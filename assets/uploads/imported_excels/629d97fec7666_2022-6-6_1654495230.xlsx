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ichael.Casey\Desktop\"/>
    </mc:Choice>
  </mc:AlternateContent>
  <bookViews>
    <workbookView xWindow="0" yWindow="0" windowWidth="20490" windowHeight="7155" firstSheet="5" activeTab="5"/>
  </bookViews>
  <sheets>
    <sheet name="TOTAL" sheetId="6" r:id="rId1"/>
    <sheet name="B16" sheetId="8" r:id="rId2"/>
    <sheet name="B16 ext" sheetId="9" r:id="rId3"/>
    <sheet name="B17" sheetId="10" r:id="rId4"/>
    <sheet name="Water Reading" sheetId="1" r:id="rId5"/>
    <sheet name="Diesel Reading May" sheetId="7" r:id="rId6"/>
  </sheets>
  <externalReferences>
    <externalReference r:id="rId7"/>
  </externalReferenc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8" i="9" l="1"/>
  <c r="C5" i="8"/>
  <c r="E5" i="7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32" i="7"/>
  <c r="E33" i="7"/>
  <c r="E34" i="7"/>
  <c r="E4" i="7"/>
  <c r="H5" i="7"/>
  <c r="H6" i="7"/>
  <c r="H7" i="7"/>
  <c r="H8" i="7"/>
  <c r="I5" i="7"/>
  <c r="I6" i="7"/>
  <c r="I7" i="7"/>
  <c r="I8" i="7"/>
  <c r="C12" i="1"/>
  <c r="C13" i="1"/>
  <c r="C14" i="1"/>
  <c r="C6" i="1"/>
  <c r="C7" i="1"/>
  <c r="C18" i="10"/>
  <c r="H17" i="7"/>
  <c r="H18" i="7"/>
  <c r="A37" i="10"/>
  <c r="F36" i="10"/>
  <c r="J35" i="10"/>
  <c r="I35" i="10"/>
  <c r="E34" i="10"/>
  <c r="C34" i="10"/>
  <c r="E33" i="10"/>
  <c r="C33" i="10"/>
  <c r="E32" i="10"/>
  <c r="C32" i="10"/>
  <c r="E31" i="10"/>
  <c r="C31" i="10"/>
  <c r="E30" i="10"/>
  <c r="C30" i="10"/>
  <c r="E29" i="10"/>
  <c r="C29" i="10"/>
  <c r="E28" i="10"/>
  <c r="C28" i="10"/>
  <c r="E27" i="10"/>
  <c r="C27" i="10"/>
  <c r="E26" i="10"/>
  <c r="C26" i="10"/>
  <c r="E25" i="10"/>
  <c r="C25" i="10"/>
  <c r="E24" i="10"/>
  <c r="C24" i="10"/>
  <c r="E23" i="10"/>
  <c r="C23" i="10"/>
  <c r="E22" i="10"/>
  <c r="C22" i="10"/>
  <c r="E21" i="10"/>
  <c r="C21" i="10"/>
  <c r="E20" i="10"/>
  <c r="C20" i="10"/>
  <c r="E19" i="10"/>
  <c r="C19" i="10"/>
  <c r="E18" i="10"/>
  <c r="E17" i="10"/>
  <c r="C17" i="10"/>
  <c r="E16" i="10"/>
  <c r="C16" i="10"/>
  <c r="E15" i="10"/>
  <c r="C15" i="10"/>
  <c r="E14" i="10"/>
  <c r="C14" i="10"/>
  <c r="E13" i="10"/>
  <c r="C13" i="10"/>
  <c r="E12" i="10"/>
  <c r="C12" i="10"/>
  <c r="E11" i="10"/>
  <c r="C11" i="10"/>
  <c r="E10" i="10"/>
  <c r="C10" i="10"/>
  <c r="E9" i="10"/>
  <c r="C9" i="10"/>
  <c r="E8" i="10"/>
  <c r="C8" i="10"/>
  <c r="E7" i="10"/>
  <c r="C7" i="10"/>
  <c r="E6" i="10"/>
  <c r="C6" i="10"/>
  <c r="E5" i="10"/>
  <c r="C5" i="10"/>
  <c r="E4" i="10"/>
  <c r="C4" i="10"/>
  <c r="A37" i="9"/>
  <c r="F36" i="9"/>
  <c r="J35" i="9"/>
  <c r="I35" i="9"/>
  <c r="J34" i="9"/>
  <c r="I34" i="9"/>
  <c r="E33" i="9"/>
  <c r="C33" i="9"/>
  <c r="E32" i="9"/>
  <c r="C32" i="9"/>
  <c r="E31" i="9"/>
  <c r="C31" i="9"/>
  <c r="E30" i="9"/>
  <c r="C30" i="9"/>
  <c r="E29" i="9"/>
  <c r="C29" i="9"/>
  <c r="E28" i="9"/>
  <c r="C28" i="9"/>
  <c r="E27" i="9"/>
  <c r="C27" i="9"/>
  <c r="E26" i="9"/>
  <c r="C26" i="9"/>
  <c r="E25" i="9"/>
  <c r="C25" i="9"/>
  <c r="E24" i="9"/>
  <c r="C24" i="9"/>
  <c r="E23" i="9"/>
  <c r="C23" i="9"/>
  <c r="E22" i="9"/>
  <c r="C22" i="9"/>
  <c r="E21" i="9"/>
  <c r="C21" i="9"/>
  <c r="E20" i="9"/>
  <c r="C20" i="9"/>
  <c r="E19" i="9"/>
  <c r="C19" i="9"/>
  <c r="E18" i="9"/>
  <c r="C18" i="9"/>
  <c r="E17" i="9"/>
  <c r="C17" i="9"/>
  <c r="E16" i="9"/>
  <c r="C16" i="9"/>
  <c r="E15" i="9"/>
  <c r="C15" i="9"/>
  <c r="E14" i="9"/>
  <c r="C14" i="9"/>
  <c r="E13" i="9"/>
  <c r="C13" i="9"/>
  <c r="E12" i="9"/>
  <c r="C12" i="9"/>
  <c r="E11" i="9"/>
  <c r="C11" i="9"/>
  <c r="E10" i="9"/>
  <c r="C10" i="9"/>
  <c r="E9" i="9"/>
  <c r="C9" i="9"/>
  <c r="C8" i="9"/>
  <c r="E7" i="9"/>
  <c r="C7" i="9"/>
  <c r="E6" i="9"/>
  <c r="C6" i="9"/>
  <c r="E5" i="9"/>
  <c r="C5" i="9"/>
  <c r="E4" i="9"/>
  <c r="C4" i="9"/>
  <c r="A37" i="8"/>
  <c r="F36" i="8"/>
  <c r="J35" i="8"/>
  <c r="I35" i="8"/>
  <c r="J34" i="8"/>
  <c r="I34" i="8"/>
  <c r="E33" i="8"/>
  <c r="C33" i="8"/>
  <c r="E32" i="8"/>
  <c r="C32" i="8"/>
  <c r="E31" i="8"/>
  <c r="C31" i="8"/>
  <c r="E30" i="8"/>
  <c r="C30" i="8"/>
  <c r="E29" i="8"/>
  <c r="C29" i="8"/>
  <c r="E28" i="8"/>
  <c r="C28" i="8"/>
  <c r="E27" i="8"/>
  <c r="C27" i="8"/>
  <c r="E26" i="8"/>
  <c r="C26" i="8"/>
  <c r="E25" i="8"/>
  <c r="C25" i="8"/>
  <c r="E24" i="8"/>
  <c r="C24" i="8"/>
  <c r="E23" i="8"/>
  <c r="C23" i="8"/>
  <c r="E22" i="8"/>
  <c r="C22" i="8"/>
  <c r="E21" i="8"/>
  <c r="C21" i="8"/>
  <c r="E20" i="8"/>
  <c r="C20" i="8"/>
  <c r="E19" i="8"/>
  <c r="C19" i="8"/>
  <c r="E18" i="8"/>
  <c r="C18" i="8"/>
  <c r="E17" i="8"/>
  <c r="C17" i="8"/>
  <c r="E16" i="8"/>
  <c r="C16" i="8"/>
  <c r="E15" i="8"/>
  <c r="C15" i="8"/>
  <c r="E14" i="8"/>
  <c r="C14" i="8"/>
  <c r="E13" i="8"/>
  <c r="C13" i="8"/>
  <c r="E12" i="8"/>
  <c r="C12" i="8"/>
  <c r="E11" i="8"/>
  <c r="C11" i="8"/>
  <c r="E10" i="8"/>
  <c r="C10" i="8"/>
  <c r="E9" i="8"/>
  <c r="C9" i="8"/>
  <c r="E8" i="8"/>
  <c r="C8" i="8"/>
  <c r="E7" i="8"/>
  <c r="C7" i="8"/>
  <c r="E6" i="8"/>
  <c r="C6" i="8"/>
  <c r="E5" i="8"/>
  <c r="E4" i="8"/>
  <c r="C4" i="8"/>
  <c r="G15" i="6"/>
  <c r="A37" i="7"/>
  <c r="H34" i="7"/>
  <c r="H33" i="7"/>
  <c r="I33" i="7"/>
  <c r="H31" i="6"/>
  <c r="H32" i="7"/>
  <c r="I32" i="7"/>
  <c r="H30" i="6"/>
  <c r="H31" i="7"/>
  <c r="I31" i="7"/>
  <c r="H29" i="6"/>
  <c r="H30" i="7"/>
  <c r="I30" i="7"/>
  <c r="H28" i="6"/>
  <c r="H29" i="7"/>
  <c r="I29" i="7"/>
  <c r="H27" i="6"/>
  <c r="H28" i="7"/>
  <c r="I28" i="7"/>
  <c r="H26" i="6"/>
  <c r="H27" i="7"/>
  <c r="I27" i="7"/>
  <c r="H25" i="6"/>
  <c r="H26" i="7"/>
  <c r="I26" i="7"/>
  <c r="H24" i="6"/>
  <c r="H25" i="7"/>
  <c r="I25" i="7"/>
  <c r="H23" i="6"/>
  <c r="H24" i="7"/>
  <c r="I24" i="7"/>
  <c r="H22" i="6"/>
  <c r="H23" i="7"/>
  <c r="I23" i="7"/>
  <c r="H21" i="6"/>
  <c r="H22" i="7"/>
  <c r="I22" i="7"/>
  <c r="H20" i="6"/>
  <c r="H21" i="7"/>
  <c r="I21" i="7"/>
  <c r="H19" i="6"/>
  <c r="H20" i="7"/>
  <c r="I20" i="7"/>
  <c r="H18" i="6"/>
  <c r="H19" i="7"/>
  <c r="I19" i="7"/>
  <c r="H17" i="6"/>
  <c r="I18" i="7"/>
  <c r="H16" i="6"/>
  <c r="G16" i="6"/>
  <c r="I17" i="7"/>
  <c r="H15" i="6"/>
  <c r="H16" i="7"/>
  <c r="I16" i="7"/>
  <c r="H14" i="6"/>
  <c r="H15" i="7"/>
  <c r="I15" i="7"/>
  <c r="H13" i="6"/>
  <c r="H14" i="7"/>
  <c r="G12" i="6"/>
  <c r="H13" i="7"/>
  <c r="I13" i="7"/>
  <c r="H11" i="6"/>
  <c r="H12" i="7"/>
  <c r="I12" i="7"/>
  <c r="H10" i="6"/>
  <c r="H11" i="7"/>
  <c r="I11" i="7"/>
  <c r="H9" i="6"/>
  <c r="H10" i="7"/>
  <c r="G8" i="6"/>
  <c r="H9" i="7"/>
  <c r="I9" i="7"/>
  <c r="H7" i="6"/>
  <c r="H6" i="6"/>
  <c r="H5" i="6"/>
  <c r="G4" i="6"/>
  <c r="H3" i="6"/>
  <c r="H4" i="7"/>
  <c r="H36" i="7"/>
  <c r="J35" i="7"/>
  <c r="G2" i="6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H32" i="6"/>
  <c r="G32" i="6"/>
  <c r="G30" i="6"/>
  <c r="I17" i="8"/>
  <c r="I14" i="9"/>
  <c r="I18" i="9"/>
  <c r="I30" i="9"/>
  <c r="I32" i="10"/>
  <c r="I20" i="10"/>
  <c r="G27" i="6"/>
  <c r="I19" i="10"/>
  <c r="I27" i="10"/>
  <c r="J34" i="10"/>
  <c r="J33" i="10"/>
  <c r="I28" i="10"/>
  <c r="I8" i="10"/>
  <c r="I16" i="10"/>
  <c r="I16" i="9"/>
  <c r="I32" i="9"/>
  <c r="J33" i="9"/>
  <c r="I31" i="10"/>
  <c r="I31" i="8"/>
  <c r="J30" i="10"/>
  <c r="J29" i="10"/>
  <c r="J30" i="8"/>
  <c r="J29" i="8"/>
  <c r="I24" i="10"/>
  <c r="I23" i="10"/>
  <c r="I24" i="9"/>
  <c r="I22" i="9"/>
  <c r="I21" i="9"/>
  <c r="I20" i="9"/>
  <c r="J20" i="8"/>
  <c r="J24" i="8"/>
  <c r="J28" i="8"/>
  <c r="J32" i="8"/>
  <c r="I7" i="9"/>
  <c r="I23" i="9"/>
  <c r="G21" i="6"/>
  <c r="J31" i="9"/>
  <c r="G20" i="6"/>
  <c r="I21" i="8"/>
  <c r="I25" i="8"/>
  <c r="I33" i="8"/>
  <c r="J32" i="9"/>
  <c r="G14" i="6"/>
  <c r="I14" i="8"/>
  <c r="I18" i="8"/>
  <c r="I22" i="8"/>
  <c r="I26" i="8"/>
  <c r="I15" i="10"/>
  <c r="J19" i="8"/>
  <c r="J23" i="8"/>
  <c r="J27" i="8"/>
  <c r="J31" i="8"/>
  <c r="J30" i="9"/>
  <c r="I12" i="10"/>
  <c r="I11" i="10"/>
  <c r="I12" i="9"/>
  <c r="I10" i="9"/>
  <c r="J16" i="8"/>
  <c r="C37" i="8"/>
  <c r="J15" i="8"/>
  <c r="I13" i="8"/>
  <c r="J12" i="8"/>
  <c r="J11" i="8"/>
  <c r="I10" i="8"/>
  <c r="I9" i="8"/>
  <c r="J8" i="8"/>
  <c r="I7" i="10"/>
  <c r="I6" i="9"/>
  <c r="I5" i="9"/>
  <c r="I4" i="9"/>
  <c r="J7" i="8"/>
  <c r="I6" i="8"/>
  <c r="I5" i="8"/>
  <c r="G25" i="6"/>
  <c r="J6" i="8"/>
  <c r="J10" i="8"/>
  <c r="J14" i="8"/>
  <c r="J18" i="8"/>
  <c r="J22" i="8"/>
  <c r="J26" i="8"/>
  <c r="I32" i="8"/>
  <c r="J20" i="9"/>
  <c r="I6" i="10"/>
  <c r="I10" i="10"/>
  <c r="I14" i="10"/>
  <c r="I18" i="10"/>
  <c r="I22" i="10"/>
  <c r="I26" i="10"/>
  <c r="I30" i="10"/>
  <c r="I34" i="10"/>
  <c r="E32" i="6"/>
  <c r="F32" i="6"/>
  <c r="I29" i="8"/>
  <c r="J33" i="8"/>
  <c r="J14" i="9"/>
  <c r="I17" i="9"/>
  <c r="I28" i="9"/>
  <c r="J31" i="10"/>
  <c r="I14" i="7"/>
  <c r="H12" i="6"/>
  <c r="G31" i="6"/>
  <c r="I7" i="8"/>
  <c r="I11" i="8"/>
  <c r="I15" i="8"/>
  <c r="I19" i="8"/>
  <c r="I23" i="8"/>
  <c r="I30" i="8"/>
  <c r="J18" i="9"/>
  <c r="I29" i="9"/>
  <c r="I31" i="9"/>
  <c r="I33" i="9"/>
  <c r="J28" i="10"/>
  <c r="J32" i="10"/>
  <c r="C36" i="8"/>
  <c r="I27" i="8"/>
  <c r="G29" i="6"/>
  <c r="G13" i="6"/>
  <c r="E36" i="8"/>
  <c r="I8" i="8"/>
  <c r="I12" i="8"/>
  <c r="I16" i="8"/>
  <c r="I20" i="8"/>
  <c r="I24" i="8"/>
  <c r="I8" i="9"/>
  <c r="I10" i="7"/>
  <c r="H8" i="6"/>
  <c r="G28" i="6"/>
  <c r="J5" i="8"/>
  <c r="J9" i="8"/>
  <c r="J13" i="8"/>
  <c r="J17" i="8"/>
  <c r="J21" i="8"/>
  <c r="J25" i="8"/>
  <c r="I28" i="8"/>
  <c r="I5" i="10"/>
  <c r="I9" i="10"/>
  <c r="I13" i="10"/>
  <c r="I17" i="10"/>
  <c r="E15" i="6"/>
  <c r="I21" i="10"/>
  <c r="I25" i="10"/>
  <c r="I29" i="10"/>
  <c r="I33" i="10"/>
  <c r="J4" i="9"/>
  <c r="G17" i="6"/>
  <c r="G9" i="6"/>
  <c r="G26" i="6"/>
  <c r="G18" i="6"/>
  <c r="G10" i="6"/>
  <c r="H4" i="6"/>
  <c r="G19" i="6"/>
  <c r="G11" i="6"/>
  <c r="G3" i="6"/>
  <c r="G5" i="6"/>
  <c r="G22" i="6"/>
  <c r="G6" i="6"/>
  <c r="G23" i="6"/>
  <c r="G7" i="6"/>
  <c r="G24" i="6"/>
  <c r="J9" i="10"/>
  <c r="J17" i="10"/>
  <c r="J25" i="10"/>
  <c r="J4" i="10"/>
  <c r="J12" i="10"/>
  <c r="J20" i="10"/>
  <c r="J11" i="10"/>
  <c r="J23" i="10"/>
  <c r="J5" i="10"/>
  <c r="J13" i="10"/>
  <c r="J21" i="10"/>
  <c r="J8" i="10"/>
  <c r="J16" i="10"/>
  <c r="J24" i="10"/>
  <c r="J7" i="10"/>
  <c r="J15" i="10"/>
  <c r="J19" i="10"/>
  <c r="J6" i="10"/>
  <c r="J10" i="10"/>
  <c r="J14" i="10"/>
  <c r="J18" i="10"/>
  <c r="J22" i="10"/>
  <c r="J6" i="9"/>
  <c r="I9" i="9"/>
  <c r="J22" i="9"/>
  <c r="I25" i="9"/>
  <c r="J12" i="9"/>
  <c r="I15" i="9"/>
  <c r="J10" i="9"/>
  <c r="I19" i="9"/>
  <c r="I13" i="9"/>
  <c r="J8" i="9"/>
  <c r="I11" i="9"/>
  <c r="J24" i="9"/>
  <c r="J16" i="9"/>
  <c r="J29" i="9"/>
  <c r="J7" i="9"/>
  <c r="J11" i="9"/>
  <c r="J15" i="9"/>
  <c r="J17" i="9"/>
  <c r="J21" i="9"/>
  <c r="J25" i="9"/>
  <c r="J5" i="9"/>
  <c r="J9" i="9"/>
  <c r="J13" i="9"/>
  <c r="J19" i="9"/>
  <c r="J23" i="9"/>
  <c r="J28" i="9"/>
  <c r="J27" i="10"/>
  <c r="J26" i="10"/>
  <c r="E36" i="9"/>
  <c r="I26" i="9"/>
  <c r="I27" i="9"/>
  <c r="J26" i="9"/>
  <c r="J27" i="9"/>
  <c r="C36" i="9"/>
  <c r="J4" i="8"/>
  <c r="C36" i="10"/>
  <c r="I4" i="8"/>
  <c r="E36" i="10"/>
  <c r="I4" i="7"/>
  <c r="C4" i="1"/>
  <c r="E4" i="1"/>
  <c r="C5" i="1"/>
  <c r="E5" i="1"/>
  <c r="E6" i="1"/>
  <c r="E7" i="1"/>
  <c r="C8" i="1"/>
  <c r="E8" i="1"/>
  <c r="C9" i="1"/>
  <c r="E9" i="1"/>
  <c r="C10" i="1"/>
  <c r="E10" i="1"/>
  <c r="C11" i="1"/>
  <c r="E11" i="1"/>
  <c r="E12" i="1"/>
  <c r="E13" i="1"/>
  <c r="E28" i="6"/>
  <c r="E17" i="6"/>
  <c r="F17" i="6"/>
  <c r="E14" i="6"/>
  <c r="F14" i="6"/>
  <c r="E30" i="6"/>
  <c r="F30" i="6"/>
  <c r="E4" i="6"/>
  <c r="F4" i="6"/>
  <c r="E25" i="6"/>
  <c r="F25" i="6"/>
  <c r="E29" i="6"/>
  <c r="F29" i="6"/>
  <c r="E26" i="6"/>
  <c r="F26" i="6"/>
  <c r="E24" i="6"/>
  <c r="F24" i="6"/>
  <c r="E21" i="6"/>
  <c r="F21" i="6"/>
  <c r="E22" i="6"/>
  <c r="F22" i="6"/>
  <c r="E27" i="6"/>
  <c r="F27" i="6"/>
  <c r="E19" i="6"/>
  <c r="F19" i="6"/>
  <c r="E18" i="6"/>
  <c r="F18" i="6"/>
  <c r="E20" i="6"/>
  <c r="F20" i="6"/>
  <c r="E31" i="6"/>
  <c r="F31" i="6"/>
  <c r="F28" i="6"/>
  <c r="E16" i="6"/>
  <c r="F16" i="6"/>
  <c r="E23" i="6"/>
  <c r="F23" i="6"/>
  <c r="E12" i="6"/>
  <c r="F12" i="6"/>
  <c r="E10" i="6"/>
  <c r="F10" i="6"/>
  <c r="E8" i="6"/>
  <c r="F8" i="6"/>
  <c r="E13" i="6"/>
  <c r="F13" i="6"/>
  <c r="E11" i="6"/>
  <c r="F11" i="6"/>
  <c r="E5" i="6"/>
  <c r="F5" i="6"/>
  <c r="E3" i="6"/>
  <c r="F3" i="6"/>
  <c r="I36" i="8"/>
  <c r="J36" i="8"/>
  <c r="E6" i="6"/>
  <c r="F6" i="6"/>
  <c r="E9" i="6"/>
  <c r="F9" i="6"/>
  <c r="E7" i="6"/>
  <c r="F7" i="6"/>
  <c r="H2" i="6"/>
  <c r="F15" i="6"/>
  <c r="I36" i="10"/>
  <c r="J36" i="9"/>
  <c r="I36" i="9"/>
  <c r="J36" i="10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I9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I34" i="1"/>
  <c r="I26" i="1"/>
  <c r="I25" i="1"/>
  <c r="I22" i="1"/>
  <c r="I17" i="1"/>
  <c r="I14" i="1"/>
  <c r="I23" i="1"/>
  <c r="H15" i="1"/>
  <c r="I13" i="6"/>
  <c r="I24" i="1"/>
  <c r="I16" i="1"/>
  <c r="I33" i="1"/>
  <c r="I31" i="1"/>
  <c r="I30" i="1"/>
  <c r="I27" i="1"/>
  <c r="I19" i="1"/>
  <c r="I20" i="1"/>
  <c r="I21" i="1"/>
  <c r="I28" i="1"/>
  <c r="I29" i="1"/>
  <c r="I32" i="1"/>
  <c r="I18" i="1"/>
  <c r="H32" i="1"/>
  <c r="I30" i="6"/>
  <c r="H28" i="1"/>
  <c r="I26" i="6"/>
  <c r="H24" i="1"/>
  <c r="I22" i="6"/>
  <c r="H20" i="1"/>
  <c r="I18" i="6"/>
  <c r="H16" i="1"/>
  <c r="I14" i="6"/>
  <c r="H31" i="1"/>
  <c r="I29" i="6"/>
  <c r="H27" i="1"/>
  <c r="I25" i="6"/>
  <c r="H23" i="1"/>
  <c r="I21" i="6"/>
  <c r="H19" i="1"/>
  <c r="I17" i="6"/>
  <c r="H33" i="1"/>
  <c r="I31" i="6"/>
  <c r="H29" i="1"/>
  <c r="I27" i="6"/>
  <c r="H25" i="1"/>
  <c r="I23" i="6"/>
  <c r="H21" i="1"/>
  <c r="I19" i="6"/>
  <c r="H17" i="1"/>
  <c r="I15" i="6"/>
  <c r="I6" i="1"/>
  <c r="H6" i="1"/>
  <c r="I4" i="6"/>
  <c r="H4" i="1"/>
  <c r="I2" i="6"/>
  <c r="H34" i="1"/>
  <c r="I32" i="6"/>
  <c r="H30" i="1"/>
  <c r="I28" i="6"/>
  <c r="H26" i="1"/>
  <c r="I24" i="6"/>
  <c r="H22" i="1"/>
  <c r="I20" i="6"/>
  <c r="H18" i="1"/>
  <c r="I16" i="6"/>
  <c r="I4" i="1"/>
  <c r="H5" i="1"/>
  <c r="I3" i="6"/>
  <c r="I5" i="1"/>
  <c r="I10" i="1"/>
  <c r="H11" i="1"/>
  <c r="I9" i="6"/>
  <c r="I7" i="1"/>
  <c r="I12" i="1"/>
  <c r="I13" i="1"/>
  <c r="I15" i="1"/>
  <c r="H10" i="1"/>
  <c r="I8" i="6"/>
  <c r="H14" i="1"/>
  <c r="I12" i="6"/>
  <c r="H13" i="1"/>
  <c r="I11" i="6"/>
  <c r="H12" i="1"/>
  <c r="I10" i="6"/>
  <c r="I11" i="1"/>
  <c r="H9" i="1"/>
  <c r="I7" i="6"/>
  <c r="I8" i="1"/>
  <c r="H8" i="1"/>
  <c r="I6" i="6"/>
  <c r="C35" i="1"/>
  <c r="H7" i="1"/>
  <c r="I5" i="6"/>
  <c r="E35" i="1"/>
  <c r="J29" i="6"/>
  <c r="J21" i="6"/>
  <c r="J18" i="6"/>
  <c r="J17" i="6"/>
  <c r="J8" i="6"/>
  <c r="J4" i="6"/>
  <c r="J6" i="6"/>
  <c r="J31" i="6"/>
  <c r="J2" i="6"/>
  <c r="J30" i="6"/>
  <c r="J5" i="6"/>
  <c r="J32" i="6"/>
  <c r="J7" i="6"/>
  <c r="J19" i="6"/>
  <c r="J22" i="6"/>
  <c r="J10" i="6"/>
  <c r="J26" i="6"/>
  <c r="J11" i="6"/>
  <c r="J23" i="6"/>
  <c r="J13" i="6"/>
  <c r="J20" i="6"/>
  <c r="J9" i="6"/>
  <c r="J14" i="6"/>
  <c r="J27" i="6"/>
  <c r="J16" i="6"/>
  <c r="J28" i="6"/>
  <c r="J15" i="6"/>
  <c r="J3" i="6"/>
  <c r="J12" i="6"/>
  <c r="J24" i="6"/>
  <c r="J25" i="6"/>
  <c r="I35" i="1"/>
  <c r="H35" i="1"/>
  <c r="I4" i="10"/>
  <c r="E2" i="6"/>
  <c r="F2" i="6"/>
  <c r="I36" i="7"/>
</calcChain>
</file>

<file path=xl/sharedStrings.xml><?xml version="1.0" encoding="utf-8"?>
<sst xmlns="http://schemas.openxmlformats.org/spreadsheetml/2006/main" count="280" uniqueCount="61">
  <si>
    <t>Site Name</t>
  </si>
  <si>
    <t>Day</t>
  </si>
  <si>
    <t>Month</t>
  </si>
  <si>
    <t>Year</t>
  </si>
  <si>
    <t>Total Electricity Kwh</t>
  </si>
  <si>
    <t>Electricity Tariff ($/Kwh)</t>
  </si>
  <si>
    <t xml:space="preserve">Total Fuel Oil  (Liters) </t>
  </si>
  <si>
    <t>Fuel Oil  $/Liter</t>
  </si>
  <si>
    <t>Water Utility Supply (m3) m3</t>
  </si>
  <si>
    <t>Water Utility Supply (m3) $/m3</t>
  </si>
  <si>
    <t xml:space="preserve">Room Nights </t>
  </si>
  <si>
    <t>Food Covers</t>
  </si>
  <si>
    <t>Langkawi</t>
  </si>
  <si>
    <t>Daily Electricity Consumption</t>
  </si>
  <si>
    <t>Meter Reading (kWh)</t>
  </si>
  <si>
    <t>Consumption (kWh)</t>
  </si>
  <si>
    <t>MD (kW)</t>
  </si>
  <si>
    <t>Occupancy</t>
  </si>
  <si>
    <t>Weather</t>
  </si>
  <si>
    <t>Total Consumption</t>
  </si>
  <si>
    <t>Cost</t>
  </si>
  <si>
    <t>(Peak)</t>
  </si>
  <si>
    <t>(Off Peak)</t>
  </si>
  <si>
    <t>%</t>
  </si>
  <si>
    <t>Daily (KWh)</t>
  </si>
  <si>
    <t>Daily (RM)</t>
  </si>
  <si>
    <t>Isolated Thunderstorm</t>
  </si>
  <si>
    <t>Cloudy</t>
  </si>
  <si>
    <t>Isolated Rain</t>
  </si>
  <si>
    <t>Fair</t>
  </si>
  <si>
    <t>Total</t>
  </si>
  <si>
    <t>PLEASE MAKE SURE TO KEY IN THE OCCUPANCY AND WEATHER FOR THE DAY!</t>
  </si>
  <si>
    <t>f</t>
  </si>
  <si>
    <t>Rain</t>
  </si>
  <si>
    <t>Hot</t>
  </si>
  <si>
    <t>Daily Water Consumption</t>
  </si>
  <si>
    <t>Meter Reading (Main)</t>
  </si>
  <si>
    <t>Consumption</t>
  </si>
  <si>
    <t>Meter Reading Landscape</t>
  </si>
  <si>
    <t>(m3)</t>
  </si>
  <si>
    <t xml:space="preserve">                                            </t>
  </si>
  <si>
    <t>Daily Diesel Consumption</t>
  </si>
  <si>
    <t>BOILER</t>
  </si>
  <si>
    <t>TIME</t>
  </si>
  <si>
    <t>TOTAL</t>
  </si>
  <si>
    <t>Meter Reading</t>
  </si>
  <si>
    <t>Lit/hr</t>
  </si>
  <si>
    <t>NO</t>
  </si>
  <si>
    <t>START</t>
  </si>
  <si>
    <t>STOP</t>
  </si>
  <si>
    <t>HRS</t>
  </si>
  <si>
    <t>(L)</t>
  </si>
  <si>
    <t>Carry foward last month</t>
  </si>
  <si>
    <t>Watersport Tractor</t>
  </si>
  <si>
    <t>Diesel In</t>
  </si>
  <si>
    <t>Close</t>
  </si>
  <si>
    <t>close</t>
  </si>
  <si>
    <t>Water sport Tractor</t>
  </si>
  <si>
    <t>closed</t>
  </si>
  <si>
    <t>Closed</t>
  </si>
  <si>
    <t>PLEASE MAKE SURE TO KEY IN THE OCCUPANCY FOR THE DAY!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</si>
</sst>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[$-409]d\-mmm\-yy;@"/>
    <numFmt numFmtId="165" formatCode="#,##0.0"/>
  </numFmts>
  <fonts count="11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u/>
      <sz val="14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1"/>
      <color rgb="FF444444"/>
      <name val="Calibri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00B05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" fillId="0" borderId="0"/>
  </cellStyleXfs>
  <cellXfs count="96">
    <xf numFmtId="0" fontId="0" fillId="0" borderId="0" xfId="0"/>
    <xf numFmtId="0" fontId="0" fillId="0" borderId="0" xfId="0" applyAlignment="1">
      <alignment horizontal="center"/>
    </xf>
    <xf numFmtId="164" fontId="3" fillId="0" borderId="1" xfId="0" applyNumberFormat="1" applyFont="1" applyBorder="1"/>
    <xf numFmtId="164" fontId="0" fillId="0" borderId="1" xfId="0" applyNumberFormat="1" applyBorder="1"/>
    <xf numFmtId="164" fontId="0" fillId="0" borderId="0" xfId="0" applyNumberFormat="1"/>
    <xf numFmtId="164" fontId="3" fillId="0" borderId="0" xfId="0" applyNumberFormat="1" applyFont="1" applyAlignment="1">
      <alignment horizontal="left"/>
    </xf>
    <xf numFmtId="0" fontId="2" fillId="0" borderId="1" xfId="0" applyFont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3" fontId="2" fillId="0" borderId="1" xfId="0" applyNumberFormat="1" applyFont="1" applyBorder="1" applyAlignment="1">
      <alignment horizontal="center"/>
    </xf>
    <xf numFmtId="3" fontId="0" fillId="2" borderId="1" xfId="0" applyNumberFormat="1" applyFill="1" applyBorder="1" applyAlignment="1" applyProtection="1">
      <alignment horizontal="center"/>
      <protection locked="0"/>
    </xf>
    <xf numFmtId="0" fontId="0" fillId="0" borderId="1" xfId="0" applyBorder="1"/>
    <xf numFmtId="164" fontId="5" fillId="0" borderId="0" xfId="0" applyNumberFormat="1" applyFont="1"/>
    <xf numFmtId="39" fontId="0" fillId="0" borderId="0" xfId="1" applyNumberFormat="1" applyFont="1" applyAlignment="1">
      <alignment horizontal="center"/>
    </xf>
    <xf numFmtId="39" fontId="2" fillId="0" borderId="1" xfId="1" applyNumberFormat="1" applyFont="1" applyFill="1" applyBorder="1" applyAlignment="1">
      <alignment horizontal="center"/>
    </xf>
    <xf numFmtId="39" fontId="0" fillId="0" borderId="1" xfId="1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0" fontId="7" fillId="0" borderId="1" xfId="2" applyFont="1" applyBorder="1" applyAlignment="1">
      <alignment horizontal="center" vertical="center"/>
    </xf>
    <xf numFmtId="0" fontId="8" fillId="0" borderId="1" xfId="2" applyFont="1" applyBorder="1" applyAlignment="1">
      <alignment horizontal="center" vertical="center"/>
    </xf>
    <xf numFmtId="0" fontId="7" fillId="0" borderId="1" xfId="2" applyFont="1" applyBorder="1" applyAlignment="1">
      <alignment horizontal="center" vertical="center" wrapText="1"/>
    </xf>
    <xf numFmtId="2" fontId="8" fillId="0" borderId="1" xfId="2" applyNumberFormat="1" applyFont="1" applyBorder="1" applyAlignment="1">
      <alignment horizontal="center" vertical="center" wrapText="1"/>
    </xf>
    <xf numFmtId="0" fontId="8" fillId="0" borderId="1" xfId="2" applyFont="1" applyBorder="1" applyAlignment="1">
      <alignment horizontal="center" vertical="center" wrapText="1"/>
    </xf>
    <xf numFmtId="0" fontId="1" fillId="0" borderId="0" xfId="2"/>
    <xf numFmtId="0" fontId="9" fillId="0" borderId="1" xfId="2" applyFont="1" applyBorder="1" applyAlignment="1">
      <alignment horizontal="center"/>
    </xf>
    <xf numFmtId="0" fontId="7" fillId="0" borderId="1" xfId="2" applyFont="1" applyBorder="1" applyAlignment="1">
      <alignment horizontal="center"/>
    </xf>
    <xf numFmtId="0" fontId="8" fillId="0" borderId="1" xfId="2" applyFont="1" applyBorder="1" applyAlignment="1">
      <alignment horizontal="center"/>
    </xf>
    <xf numFmtId="1" fontId="1" fillId="0" borderId="1" xfId="2" applyNumberFormat="1" applyBorder="1" applyAlignment="1">
      <alignment horizontal="center"/>
    </xf>
    <xf numFmtId="0" fontId="6" fillId="0" borderId="1" xfId="2" applyFont="1" applyBorder="1" applyAlignment="1">
      <alignment horizontal="center"/>
    </xf>
    <xf numFmtId="2" fontId="6" fillId="0" borderId="1" xfId="2" applyNumberFormat="1" applyFont="1" applyBorder="1" applyAlignment="1">
      <alignment horizontal="center"/>
    </xf>
    <xf numFmtId="164" fontId="3" fillId="0" borderId="0" xfId="2" applyNumberFormat="1" applyFont="1" applyAlignment="1">
      <alignment horizontal="left"/>
    </xf>
    <xf numFmtId="0" fontId="1" fillId="0" borderId="0" xfId="2" applyAlignment="1">
      <alignment horizontal="center"/>
    </xf>
    <xf numFmtId="165" fontId="1" fillId="0" borderId="0" xfId="2" applyNumberFormat="1" applyAlignment="1">
      <alignment horizontal="center"/>
    </xf>
    <xf numFmtId="164" fontId="3" fillId="0" borderId="2" xfId="2" applyNumberFormat="1" applyFont="1" applyBorder="1"/>
    <xf numFmtId="0" fontId="2" fillId="0" borderId="1" xfId="2" applyFont="1" applyBorder="1" applyAlignment="1">
      <alignment horizontal="center"/>
    </xf>
    <xf numFmtId="39" fontId="2" fillId="0" borderId="1" xfId="1" applyNumberFormat="1" applyFont="1" applyBorder="1" applyAlignment="1">
      <alignment horizontal="center"/>
    </xf>
    <xf numFmtId="0" fontId="2" fillId="0" borderId="3" xfId="2" applyFont="1" applyBorder="1" applyAlignment="1">
      <alignment horizontal="center"/>
    </xf>
    <xf numFmtId="165" fontId="2" fillId="0" borderId="0" xfId="2" applyNumberFormat="1" applyFont="1" applyAlignment="1">
      <alignment horizontal="center"/>
    </xf>
    <xf numFmtId="164" fontId="1" fillId="0" borderId="2" xfId="2" applyNumberFormat="1" applyBorder="1"/>
    <xf numFmtId="164" fontId="1" fillId="0" borderId="2" xfId="2" applyNumberFormat="1" applyBorder="1" applyAlignment="1">
      <alignment horizontal="center"/>
    </xf>
    <xf numFmtId="0" fontId="1" fillId="0" borderId="1" xfId="2" applyBorder="1" applyAlignment="1">
      <alignment horizontal="center"/>
    </xf>
    <xf numFmtId="165" fontId="1" fillId="3" borderId="3" xfId="2" applyNumberFormat="1" applyFill="1" applyBorder="1" applyAlignment="1" applyProtection="1">
      <alignment horizontal="center"/>
      <protection locked="0"/>
    </xf>
    <xf numFmtId="165" fontId="1" fillId="0" borderId="1" xfId="2" applyNumberFormat="1" applyBorder="1" applyAlignment="1">
      <alignment horizontal="center"/>
    </xf>
    <xf numFmtId="165" fontId="1" fillId="3" borderId="1" xfId="2" applyNumberFormat="1" applyFill="1" applyBorder="1" applyAlignment="1">
      <alignment horizontal="center"/>
    </xf>
    <xf numFmtId="165" fontId="1" fillId="4" borderId="1" xfId="2" applyNumberFormat="1" applyFill="1" applyBorder="1" applyAlignment="1">
      <alignment horizontal="center"/>
    </xf>
    <xf numFmtId="0" fontId="1" fillId="4" borderId="1" xfId="2" applyFill="1" applyBorder="1" applyAlignment="1">
      <alignment horizontal="center"/>
    </xf>
    <xf numFmtId="165" fontId="1" fillId="4" borderId="0" xfId="2" applyNumberFormat="1" applyFill="1" applyAlignment="1">
      <alignment horizontal="center"/>
    </xf>
    <xf numFmtId="3" fontId="1" fillId="0" borderId="3" xfId="2" applyNumberFormat="1" applyBorder="1" applyAlignment="1" applyProtection="1">
      <alignment horizontal="center"/>
      <protection locked="0"/>
    </xf>
    <xf numFmtId="0" fontId="1" fillId="0" borderId="1" xfId="2" applyBorder="1" applyAlignment="1" applyProtection="1">
      <alignment horizontal="center"/>
      <protection locked="0"/>
    </xf>
    <xf numFmtId="3" fontId="2" fillId="0" borderId="3" xfId="2" applyNumberFormat="1" applyFont="1" applyBorder="1" applyAlignment="1">
      <alignment horizontal="center"/>
    </xf>
    <xf numFmtId="0" fontId="1" fillId="0" borderId="1" xfId="2" applyBorder="1"/>
    <xf numFmtId="1" fontId="1" fillId="0" borderId="0" xfId="2" applyNumberFormat="1" applyAlignment="1">
      <alignment horizontal="center"/>
    </xf>
    <xf numFmtId="164" fontId="1" fillId="0" borderId="0" xfId="2" applyNumberFormat="1"/>
    <xf numFmtId="165" fontId="1" fillId="0" borderId="0" xfId="2" applyNumberFormat="1" applyAlignment="1">
      <alignment horizontal="left"/>
    </xf>
    <xf numFmtId="164" fontId="5" fillId="0" borderId="0" xfId="2" applyNumberFormat="1" applyFont="1"/>
    <xf numFmtId="164" fontId="3" fillId="0" borderId="1" xfId="2" applyNumberFormat="1" applyFont="1" applyBorder="1"/>
    <xf numFmtId="164" fontId="1" fillId="0" borderId="1" xfId="2" applyNumberFormat="1" applyBorder="1"/>
    <xf numFmtId="0" fontId="2" fillId="0" borderId="1" xfId="2" applyFont="1" applyBorder="1" applyAlignment="1" applyProtection="1">
      <alignment horizontal="center"/>
      <protection locked="0"/>
    </xf>
    <xf numFmtId="164" fontId="1" fillId="0" borderId="1" xfId="2" applyNumberFormat="1" applyBorder="1" applyAlignment="1">
      <alignment horizontal="center"/>
    </xf>
    <xf numFmtId="3" fontId="1" fillId="2" borderId="1" xfId="2" applyNumberFormat="1" applyFill="1" applyBorder="1" applyAlignment="1" applyProtection="1">
      <alignment horizontal="center"/>
      <protection locked="0"/>
    </xf>
    <xf numFmtId="3" fontId="1" fillId="0" borderId="1" xfId="2" applyNumberFormat="1" applyBorder="1" applyAlignment="1">
      <alignment horizontal="center"/>
    </xf>
    <xf numFmtId="0" fontId="1" fillId="2" borderId="1" xfId="2" applyFill="1" applyBorder="1" applyAlignment="1" applyProtection="1">
      <alignment horizontal="center"/>
      <protection locked="0"/>
    </xf>
    <xf numFmtId="0" fontId="1" fillId="2" borderId="4" xfId="2" applyFill="1" applyBorder="1" applyAlignment="1" applyProtection="1">
      <alignment horizontal="center"/>
      <protection locked="0"/>
    </xf>
    <xf numFmtId="3" fontId="1" fillId="2" borderId="3" xfId="2" applyNumberFormat="1" applyFill="1" applyBorder="1" applyAlignment="1" applyProtection="1">
      <alignment horizontal="center"/>
      <protection locked="0"/>
    </xf>
    <xf numFmtId="3" fontId="2" fillId="0" borderId="1" xfId="2" applyNumberFormat="1" applyFont="1" applyBorder="1" applyAlignment="1">
      <alignment horizontal="center"/>
    </xf>
    <xf numFmtId="165" fontId="2" fillId="0" borderId="5" xfId="2" applyNumberFormat="1" applyFont="1" applyBorder="1" applyAlignment="1">
      <alignment horizontal="center"/>
    </xf>
    <xf numFmtId="165" fontId="1" fillId="0" borderId="5" xfId="2" applyNumberFormat="1" applyBorder="1" applyAlignment="1" applyProtection="1">
      <alignment horizontal="center"/>
      <protection locked="0"/>
    </xf>
    <xf numFmtId="165" fontId="1" fillId="4" borderId="5" xfId="2" applyNumberFormat="1" applyFill="1" applyBorder="1" applyAlignment="1" applyProtection="1">
      <alignment horizontal="center"/>
      <protection locked="0"/>
    </xf>
    <xf numFmtId="165" fontId="1" fillId="4" borderId="5" xfId="2" applyNumberFormat="1" applyFill="1" applyBorder="1" applyAlignment="1">
      <alignment horizontal="center"/>
    </xf>
    <xf numFmtId="39" fontId="2" fillId="0" borderId="2" xfId="1" applyNumberFormat="1" applyFont="1" applyFill="1" applyBorder="1" applyAlignment="1">
      <alignment horizontal="center"/>
    </xf>
    <xf numFmtId="39" fontId="0" fillId="0" borderId="2" xfId="1" applyNumberFormat="1" applyFont="1" applyBorder="1" applyAlignment="1">
      <alignment horizontal="center"/>
    </xf>
    <xf numFmtId="39" fontId="1" fillId="0" borderId="2" xfId="1" applyNumberFormat="1" applyFont="1" applyBorder="1" applyAlignment="1">
      <alignment horizontal="center"/>
    </xf>
    <xf numFmtId="39" fontId="1" fillId="4" borderId="2" xfId="1" applyNumberFormat="1" applyFont="1" applyFill="1" applyBorder="1" applyAlignment="1">
      <alignment horizontal="center"/>
    </xf>
    <xf numFmtId="165" fontId="2" fillId="0" borderId="2" xfId="2" applyNumberFormat="1" applyFont="1" applyBorder="1" applyAlignment="1">
      <alignment horizontal="center"/>
    </xf>
    <xf numFmtId="165" fontId="1" fillId="0" borderId="5" xfId="2" applyNumberFormat="1" applyBorder="1" applyAlignment="1">
      <alignment horizontal="center"/>
    </xf>
    <xf numFmtId="0" fontId="10" fillId="0" borderId="5" xfId="0" quotePrefix="1" applyFont="1" applyBorder="1" applyAlignment="1">
      <alignment horizontal="center" vertical="center"/>
    </xf>
    <xf numFmtId="39" fontId="0" fillId="0" borderId="5" xfId="1" applyNumberFormat="1" applyFont="1" applyBorder="1" applyAlignment="1">
      <alignment horizontal="center"/>
    </xf>
    <xf numFmtId="0" fontId="1" fillId="0" borderId="2" xfId="2" applyBorder="1" applyAlignment="1">
      <alignment horizontal="center"/>
    </xf>
    <xf numFmtId="0" fontId="1" fillId="4" borderId="2" xfId="2" applyFill="1" applyBorder="1" applyAlignment="1">
      <alignment horizontal="center"/>
    </xf>
    <xf numFmtId="165" fontId="1" fillId="3" borderId="3" xfId="2" applyNumberFormat="1" applyFill="1" applyBorder="1" applyAlignment="1">
      <alignment horizontal="center"/>
    </xf>
    <xf numFmtId="39" fontId="2" fillId="0" borderId="7" xfId="1" applyNumberFormat="1" applyFont="1" applyBorder="1" applyAlignment="1">
      <alignment horizontal="center"/>
    </xf>
    <xf numFmtId="164" fontId="1" fillId="0" borderId="1" xfId="2" applyNumberFormat="1" applyBorder="1" applyAlignment="1">
      <alignment horizontal="center" vertical="center"/>
    </xf>
    <xf numFmtId="3" fontId="1" fillId="2" borderId="1" xfId="2" applyNumberFormat="1" applyFill="1" applyBorder="1" applyAlignment="1" applyProtection="1">
      <alignment horizontal="center" vertical="center"/>
      <protection locked="0"/>
    </xf>
    <xf numFmtId="3" fontId="1" fillId="0" borderId="1" xfId="2" applyNumberFormat="1" applyBorder="1" applyAlignment="1">
      <alignment horizontal="center" vertical="center"/>
    </xf>
    <xf numFmtId="39" fontId="0" fillId="0" borderId="1" xfId="1" applyNumberFormat="1" applyFont="1" applyBorder="1" applyAlignment="1">
      <alignment horizontal="center" vertical="center"/>
    </xf>
    <xf numFmtId="0" fontId="1" fillId="0" borderId="0" xfId="2" applyAlignment="1">
      <alignment vertical="center"/>
    </xf>
    <xf numFmtId="1" fontId="2" fillId="0" borderId="2" xfId="2" applyNumberFormat="1" applyFont="1" applyBorder="1" applyAlignment="1">
      <alignment horizontal="center"/>
    </xf>
    <xf numFmtId="0" fontId="1" fillId="0" borderId="3" xfId="2" applyBorder="1" applyAlignment="1">
      <alignment horizontal="center"/>
    </xf>
    <xf numFmtId="1" fontId="2" fillId="0" borderId="2" xfId="0" applyNumberFormat="1" applyFont="1" applyBorder="1" applyAlignment="1">
      <alignment horizontal="center"/>
    </xf>
    <xf numFmtId="0" fontId="0" fillId="0" borderId="3" xfId="0" applyBorder="1" applyAlignment="1">
      <alignment horizontal="center"/>
    </xf>
    <xf numFmtId="165" fontId="2" fillId="5" borderId="5" xfId="2" applyNumberFormat="1" applyFont="1" applyFill="1" applyBorder="1" applyAlignment="1" applyProtection="1">
      <alignment horizontal="center" wrapText="1"/>
      <protection locked="0"/>
    </xf>
    <xf numFmtId="0" fontId="2" fillId="6" borderId="0" xfId="2" applyFont="1" applyFill="1" applyAlignment="1">
      <alignment horizontal="center"/>
    </xf>
    <xf numFmtId="165" fontId="1" fillId="7" borderId="6" xfId="2" applyNumberFormat="1" applyFill="1" applyBorder="1" applyAlignment="1">
      <alignment horizontal="center"/>
    </xf>
    <xf numFmtId="165" fontId="1" fillId="7" borderId="0" xfId="2" applyNumberFormat="1" applyFill="1" applyAlignment="1">
      <alignment horizontal="center"/>
    </xf>
    <xf numFmtId="165" fontId="1" fillId="8" borderId="6" xfId="2" applyNumberFormat="1" applyFill="1" applyBorder="1" applyAlignment="1">
      <alignment horizontal="center"/>
    </xf>
    <xf numFmtId="165" fontId="1" fillId="8" borderId="0" xfId="2" applyNumberFormat="1" applyFill="1" applyAlignment="1">
      <alignment horizontal="center"/>
    </xf>
    <xf numFmtId="165" fontId="1" fillId="0" borderId="6" xfId="2" applyNumberFormat="1" applyBorder="1" applyAlignment="1">
      <alignment horizontal="center"/>
    </xf>
    <xf numFmtId="165" fontId="1" fillId="0" borderId="0" xfId="2" applyNumberFormat="1" applyBorder="1" applyAlignment="1">
      <alignment horizontal="center"/>
    </xf>
  </cellXfs>
  <cellStyles count="3">
    <cellStyle name="Comma" xfId="1" builtinId="3"/>
    <cellStyle name="Normal" xfId="0" builtinId="0"/>
    <cellStyle name="Normal 2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Users\Joe.ElKhoury\AppData\Local\Microsoft\Windows\INetCache\Content.Outlook\SR778SAZ\Diesel%20202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Diesel Reading Mac"/>
    </sheetNames>
    <sheetDataSet>
      <sheetData sheetId="0" refreshError="1">
        <row r="6">
          <cell r="C6">
            <v>2.84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"/>
  <sheetViews>
    <sheetView topLeftCell="A28" workbookViewId="0">
      <selection activeCell="N28" sqref="N28"/>
    </sheetView>
  </sheetViews>
  <sheetFormatPr defaultColWidth="9.140625" defaultRowHeight="12.75" x14ac:dyDescent="0.2"/>
  <cols>
    <col min="1" max="1" width="12.7109375" style="21" bestFit="1" customWidth="1"/>
    <col min="2" max="4" width="9.140625" style="21"/>
    <col min="5" max="5" width="10.7109375" style="21" customWidth="1"/>
    <col min="6" max="6" width="12.140625" style="21" customWidth="1"/>
    <col min="7" max="8" width="9.140625" style="21"/>
    <col min="9" max="9" width="10.7109375" style="21" customWidth="1"/>
    <col min="10" max="10" width="11.28515625" style="21" customWidth="1"/>
    <col min="11" max="16384" width="9.140625" style="21"/>
  </cols>
  <sheetData>
    <row r="1" spans="1:12" ht="60" x14ac:dyDescent="0.2">
      <c r="A1" s="16" t="s">
        <v>0</v>
      </c>
      <c r="B1" s="16" t="s">
        <v>1</v>
      </c>
      <c r="C1" s="17" t="s">
        <v>2</v>
      </c>
      <c r="D1" s="16" t="s">
        <v>3</v>
      </c>
      <c r="E1" s="18" t="s">
        <v>4</v>
      </c>
      <c r="F1" s="19" t="s">
        <v>5</v>
      </c>
      <c r="G1" s="18" t="s">
        <v>6</v>
      </c>
      <c r="H1" s="19" t="s">
        <v>7</v>
      </c>
      <c r="I1" s="18" t="s">
        <v>8</v>
      </c>
      <c r="J1" s="20" t="s">
        <v>9</v>
      </c>
      <c r="K1" s="18" t="s">
        <v>10</v>
      </c>
      <c r="L1" s="18" t="s">
        <v>11</v>
      </c>
    </row>
    <row r="2" spans="1:12" ht="15" x14ac:dyDescent="0.25">
      <c r="A2" s="22" t="s">
        <v>12</v>
      </c>
      <c r="B2" s="23">
        <v>1</v>
      </c>
      <c r="C2" s="24">
        <v>5</v>
      </c>
      <c r="D2" s="23">
        <v>2022</v>
      </c>
      <c r="E2" s="25">
        <f>'B16'!I4+'B16 ext'!I4+'B17'!I4</f>
        <v>23018</v>
      </c>
      <c r="F2" s="27">
        <f>('B16'!J4+'B16 ext'!J4+'B17'!J4)/TOTAL!E2</f>
        <v>0.24653775306282039</v>
      </c>
      <c r="G2" s="25">
        <f>'Diesel Reading May'!H4</f>
        <v>404.80000000004657</v>
      </c>
      <c r="H2" s="26">
        <f>'Diesel Reading May'!I4/'Diesel Reading May'!H4</f>
        <v>2.84</v>
      </c>
      <c r="I2" s="25">
        <f>'Water Reading'!H4</f>
        <v>1026</v>
      </c>
      <c r="J2" s="27">
        <f>'Water Reading'!I4/'Water Reading'!H4</f>
        <v>1.3499999999999999</v>
      </c>
      <c r="K2" s="25">
        <v>81</v>
      </c>
      <c r="L2" s="25"/>
    </row>
    <row r="3" spans="1:12" ht="15" x14ac:dyDescent="0.25">
      <c r="A3" s="22" t="s">
        <v>12</v>
      </c>
      <c r="B3" s="23">
        <f>B2+1</f>
        <v>2</v>
      </c>
      <c r="C3" s="24">
        <v>5</v>
      </c>
      <c r="D3" s="23">
        <v>2022</v>
      </c>
      <c r="E3" s="25">
        <f>'B16'!I5+'B16 ext'!I5+'B17'!I5</f>
        <v>22439</v>
      </c>
      <c r="F3" s="27">
        <f>('B16'!J5+'B16 ext'!J5+'B17'!J5)/TOTAL!E3</f>
        <v>0.24763951156468647</v>
      </c>
      <c r="G3" s="25">
        <f>'Diesel Reading May'!H5</f>
        <v>399.80000000004657</v>
      </c>
      <c r="H3" s="26">
        <f>'Diesel Reading May'!I5/'Diesel Reading May'!H5</f>
        <v>2.84</v>
      </c>
      <c r="I3" s="25">
        <f>'Water Reading'!H5</f>
        <v>989</v>
      </c>
      <c r="J3" s="27">
        <f>'Water Reading'!I5/'Water Reading'!H5</f>
        <v>1.35</v>
      </c>
      <c r="K3" s="25">
        <v>81</v>
      </c>
      <c r="L3" s="25"/>
    </row>
    <row r="4" spans="1:12" ht="15" x14ac:dyDescent="0.25">
      <c r="A4" s="22" t="s">
        <v>12</v>
      </c>
      <c r="B4" s="23">
        <f t="shared" ref="B4:B32" si="0">B3+1</f>
        <v>3</v>
      </c>
      <c r="C4" s="24">
        <v>5</v>
      </c>
      <c r="D4" s="23">
        <v>2022</v>
      </c>
      <c r="E4" s="25">
        <f>'B16'!I6+'B16 ext'!I6+'B17'!I6</f>
        <v>20471</v>
      </c>
      <c r="F4" s="27">
        <f>('B16'!J6+'B16 ext'!J6+'B17'!J6)/TOTAL!E4</f>
        <v>0.24813521567094909</v>
      </c>
      <c r="G4" s="25">
        <f>'Diesel Reading May'!H6</f>
        <v>375.30000000004657</v>
      </c>
      <c r="H4" s="26">
        <f>'Diesel Reading May'!I6/'Diesel Reading May'!H6</f>
        <v>2.84</v>
      </c>
      <c r="I4" s="25">
        <f>'Water Reading'!H6</f>
        <v>971</v>
      </c>
      <c r="J4" s="27">
        <f>'Water Reading'!I6/'Water Reading'!H6</f>
        <v>1.35</v>
      </c>
      <c r="K4" s="25">
        <v>67</v>
      </c>
      <c r="L4" s="25"/>
    </row>
    <row r="5" spans="1:12" ht="15" x14ac:dyDescent="0.25">
      <c r="A5" s="22" t="s">
        <v>12</v>
      </c>
      <c r="B5" s="23">
        <f t="shared" si="0"/>
        <v>4</v>
      </c>
      <c r="C5" s="24">
        <v>5</v>
      </c>
      <c r="D5" s="23">
        <v>2022</v>
      </c>
      <c r="E5" s="25">
        <f>'B16'!I7+'B16 ext'!I7+'B17'!I7</f>
        <v>21733</v>
      </c>
      <c r="F5" s="27">
        <f>('B16'!J7+'B16 ext'!J7+'B17'!J7)/TOTAL!E5</f>
        <v>0.25044499148759947</v>
      </c>
      <c r="G5" s="25">
        <f>'Diesel Reading May'!H7</f>
        <v>470.0999999998603</v>
      </c>
      <c r="H5" s="26">
        <f>'Diesel Reading May'!I7/'Diesel Reading May'!H7</f>
        <v>2.84</v>
      </c>
      <c r="I5" s="25">
        <f>'Water Reading'!H7</f>
        <v>1208</v>
      </c>
      <c r="J5" s="27">
        <f>'Water Reading'!I7/'Water Reading'!H7</f>
        <v>1.3499999999999999</v>
      </c>
      <c r="K5" s="25">
        <v>63</v>
      </c>
      <c r="L5" s="25"/>
    </row>
    <row r="6" spans="1:12" ht="15" x14ac:dyDescent="0.25">
      <c r="A6" s="22" t="s">
        <v>12</v>
      </c>
      <c r="B6" s="23">
        <f t="shared" si="0"/>
        <v>5</v>
      </c>
      <c r="C6" s="24">
        <v>5</v>
      </c>
      <c r="D6" s="23">
        <v>2022</v>
      </c>
      <c r="E6" s="25">
        <f>'B16'!I8+'B16 ext'!I8+'B17'!I8</f>
        <v>24291</v>
      </c>
      <c r="F6" s="27">
        <f>('B16'!J8+'B16 ext'!J8+'B17'!J8)/TOTAL!E6</f>
        <v>0.24485846609855502</v>
      </c>
      <c r="G6" s="25">
        <f>'Diesel Reading May'!H8</f>
        <v>427.10000000009313</v>
      </c>
      <c r="H6" s="26">
        <f>'Diesel Reading May'!I8/'Diesel Reading May'!H8</f>
        <v>2.84</v>
      </c>
      <c r="I6" s="25">
        <f>'Water Reading'!H8</f>
        <v>1001</v>
      </c>
      <c r="J6" s="27">
        <f>'Water Reading'!I8/'Water Reading'!H8</f>
        <v>1.3499999999999999</v>
      </c>
      <c r="K6" s="25">
        <v>78</v>
      </c>
      <c r="L6" s="25"/>
    </row>
    <row r="7" spans="1:12" ht="15" x14ac:dyDescent="0.25">
      <c r="A7" s="22" t="s">
        <v>12</v>
      </c>
      <c r="B7" s="23">
        <f t="shared" si="0"/>
        <v>6</v>
      </c>
      <c r="C7" s="24">
        <v>5</v>
      </c>
      <c r="D7" s="23">
        <v>2022</v>
      </c>
      <c r="E7" s="25">
        <f>'B16'!I9+'B16 ext'!I9+'B17'!I9</f>
        <v>22236</v>
      </c>
      <c r="F7" s="27">
        <f>('B16'!J9+'B16 ext'!J9+'B17'!J9)/TOTAL!E7</f>
        <v>0.24694657312466267</v>
      </c>
      <c r="G7" s="25">
        <f>'Diesel Reading May'!H9</f>
        <v>455</v>
      </c>
      <c r="H7" s="26">
        <f>'Diesel Reading May'!I9/'Diesel Reading May'!H9</f>
        <v>2.8400000000000003</v>
      </c>
      <c r="I7" s="25">
        <f>'Water Reading'!H9</f>
        <v>974</v>
      </c>
      <c r="J7" s="27">
        <f>'Water Reading'!I9/'Water Reading'!H9</f>
        <v>1.35</v>
      </c>
      <c r="K7" s="25">
        <v>68</v>
      </c>
      <c r="L7" s="25"/>
    </row>
    <row r="8" spans="1:12" ht="15" x14ac:dyDescent="0.25">
      <c r="A8" s="22" t="s">
        <v>12</v>
      </c>
      <c r="B8" s="23">
        <f t="shared" si="0"/>
        <v>7</v>
      </c>
      <c r="C8" s="24">
        <v>5</v>
      </c>
      <c r="D8" s="23">
        <v>2022</v>
      </c>
      <c r="E8" s="25">
        <f>'B16'!I10+'B16 ext'!I10+'B17'!I10</f>
        <v>22237</v>
      </c>
      <c r="F8" s="27">
        <f>('B16'!J10+'B16 ext'!J10+'B17'!J10)/TOTAL!E8</f>
        <v>0.24712312811980031</v>
      </c>
      <c r="G8" s="25">
        <f>'Diesel Reading May'!H10</f>
        <v>653.30000000004657</v>
      </c>
      <c r="H8" s="26">
        <f>'Diesel Reading May'!I10/'Diesel Reading May'!H10</f>
        <v>2.84</v>
      </c>
      <c r="I8" s="25">
        <f>'Water Reading'!H10</f>
        <v>999</v>
      </c>
      <c r="J8" s="27">
        <f>'Water Reading'!I10/'Water Reading'!H10</f>
        <v>1.35</v>
      </c>
      <c r="K8" s="25">
        <v>49</v>
      </c>
      <c r="L8" s="25"/>
    </row>
    <row r="9" spans="1:12" ht="15" x14ac:dyDescent="0.25">
      <c r="A9" s="22" t="s">
        <v>12</v>
      </c>
      <c r="B9" s="23">
        <f t="shared" si="0"/>
        <v>8</v>
      </c>
      <c r="C9" s="24">
        <v>5</v>
      </c>
      <c r="D9" s="23">
        <v>2022</v>
      </c>
      <c r="E9" s="25">
        <f>'B16'!I11+'B16 ext'!I11+'B17'!I11</f>
        <v>22338</v>
      </c>
      <c r="F9" s="27">
        <f>('B16'!J11+'B16 ext'!J11+'B17'!J11)/TOTAL!E9</f>
        <v>0.2463538812785388</v>
      </c>
      <c r="G9" s="25">
        <f>'Diesel Reading May'!H11</f>
        <v>0</v>
      </c>
      <c r="H9" s="26" t="e">
        <f>'Diesel Reading May'!I11/'Diesel Reading May'!H11</f>
        <v>#DIV/0!</v>
      </c>
      <c r="I9" s="25">
        <f>'Water Reading'!H11</f>
        <v>1004</v>
      </c>
      <c r="J9" s="27">
        <f>'Water Reading'!I11/'Water Reading'!H11</f>
        <v>1.35</v>
      </c>
      <c r="K9" s="25">
        <v>40</v>
      </c>
      <c r="L9" s="25"/>
    </row>
    <row r="10" spans="1:12" ht="15" x14ac:dyDescent="0.25">
      <c r="A10" s="22" t="s">
        <v>12</v>
      </c>
      <c r="B10" s="23">
        <f t="shared" si="0"/>
        <v>9</v>
      </c>
      <c r="C10" s="24">
        <v>5</v>
      </c>
      <c r="D10" s="23">
        <v>2022</v>
      </c>
      <c r="E10" s="25">
        <f>'B16'!I12+'B16 ext'!I12+'B17'!I12</f>
        <v>22044</v>
      </c>
      <c r="F10" s="27">
        <f>('B16'!J12+'B16 ext'!J12+'B17'!J12)/TOTAL!E10</f>
        <v>0.24526973326075116</v>
      </c>
      <c r="G10" s="25">
        <f>'Diesel Reading May'!H12</f>
        <v>343.0999999998603</v>
      </c>
      <c r="H10" s="26">
        <f>'Diesel Reading May'!I12/'Diesel Reading May'!H12</f>
        <v>2.84</v>
      </c>
      <c r="I10" s="25">
        <f>'Water Reading'!H12</f>
        <v>1147</v>
      </c>
      <c r="J10" s="27">
        <f>'Water Reading'!I12/'Water Reading'!H12</f>
        <v>1.35</v>
      </c>
      <c r="K10" s="25">
        <v>34</v>
      </c>
      <c r="L10" s="25"/>
    </row>
    <row r="11" spans="1:12" ht="15" x14ac:dyDescent="0.25">
      <c r="A11" s="22" t="s">
        <v>12</v>
      </c>
      <c r="B11" s="23">
        <f t="shared" si="0"/>
        <v>10</v>
      </c>
      <c r="C11" s="24">
        <v>5</v>
      </c>
      <c r="D11" s="23">
        <v>2022</v>
      </c>
      <c r="E11" s="25">
        <f>'B16'!I13+'B16 ext'!I13+'B17'!I13</f>
        <v>21911</v>
      </c>
      <c r="F11" s="27">
        <f>('B16'!J13+'B16 ext'!J13+'B17'!J13)/TOTAL!E11</f>
        <v>0.24784222536625436</v>
      </c>
      <c r="G11" s="25">
        <f>'Diesel Reading May'!H13</f>
        <v>0</v>
      </c>
      <c r="H11" s="26" t="e">
        <f>'Diesel Reading May'!I13/'Diesel Reading May'!H13</f>
        <v>#DIV/0!</v>
      </c>
      <c r="I11" s="25">
        <f>'Water Reading'!H13</f>
        <v>978</v>
      </c>
      <c r="J11" s="27">
        <f>'Water Reading'!I13/'Water Reading'!H13</f>
        <v>1.35</v>
      </c>
      <c r="K11" s="25">
        <v>29</v>
      </c>
      <c r="L11" s="25"/>
    </row>
    <row r="12" spans="1:12" ht="15" x14ac:dyDescent="0.25">
      <c r="A12" s="22" t="s">
        <v>12</v>
      </c>
      <c r="B12" s="23">
        <f t="shared" si="0"/>
        <v>11</v>
      </c>
      <c r="C12" s="24">
        <v>5</v>
      </c>
      <c r="D12" s="23">
        <v>2022</v>
      </c>
      <c r="E12" s="25">
        <f>'B16'!I14+'B16 ext'!I14+'B17'!I14</f>
        <v>22033</v>
      </c>
      <c r="F12" s="27">
        <f>('B16'!J14+'B16 ext'!J14+'B17'!J14)/TOTAL!E12</f>
        <v>0.2484273135750919</v>
      </c>
      <c r="G12" s="25">
        <f>'Diesel Reading May'!H14</f>
        <v>414.60000000009313</v>
      </c>
      <c r="H12" s="26">
        <f>'Diesel Reading May'!I14/'Diesel Reading May'!H14</f>
        <v>2.84</v>
      </c>
      <c r="I12" s="25">
        <f>'Water Reading'!H14</f>
        <v>973</v>
      </c>
      <c r="J12" s="27">
        <f>'Water Reading'!I14/'Water Reading'!H14</f>
        <v>1.3499999999999999</v>
      </c>
      <c r="K12" s="25">
        <v>30</v>
      </c>
      <c r="L12" s="25"/>
    </row>
    <row r="13" spans="1:12" ht="15" x14ac:dyDescent="0.25">
      <c r="A13" s="22" t="s">
        <v>12</v>
      </c>
      <c r="B13" s="23">
        <f t="shared" si="0"/>
        <v>12</v>
      </c>
      <c r="C13" s="24">
        <v>5</v>
      </c>
      <c r="D13" s="23">
        <v>2022</v>
      </c>
      <c r="E13" s="25">
        <f>'B16'!I15+'B16 ext'!I15+'B17'!I15</f>
        <v>23632</v>
      </c>
      <c r="F13" s="27">
        <f>('B16'!J15+'B16 ext'!J15+'B17'!J15)/TOTAL!E13</f>
        <v>0.24315754062288419</v>
      </c>
      <c r="G13" s="25">
        <f>'Diesel Reading May'!H15</f>
        <v>126.5</v>
      </c>
      <c r="H13" s="26">
        <f>'Diesel Reading May'!I15/'Diesel Reading May'!H15</f>
        <v>2.84</v>
      </c>
      <c r="I13" s="25">
        <f>'Water Reading'!H15</f>
        <v>950</v>
      </c>
      <c r="J13" s="27">
        <f>'Water Reading'!I15/'Water Reading'!H15</f>
        <v>1.3500000000000003</v>
      </c>
      <c r="K13" s="25">
        <v>40</v>
      </c>
      <c r="L13" s="25"/>
    </row>
    <row r="14" spans="1:12" ht="15" x14ac:dyDescent="0.25">
      <c r="A14" s="22" t="s">
        <v>12</v>
      </c>
      <c r="B14" s="23">
        <f t="shared" si="0"/>
        <v>13</v>
      </c>
      <c r="C14" s="24">
        <v>5</v>
      </c>
      <c r="D14" s="23">
        <v>2022</v>
      </c>
      <c r="E14" s="25">
        <f>'B16'!I16+'B16 ext'!I16+'B17'!I16</f>
        <v>26173</v>
      </c>
      <c r="F14" s="27">
        <f>('B16'!J16+'B16 ext'!J16+'B17'!J16)/TOTAL!E14</f>
        <v>0.24922442975585524</v>
      </c>
      <c r="G14" s="25">
        <f>'Diesel Reading May'!H16</f>
        <v>383.39999999990687</v>
      </c>
      <c r="H14" s="26">
        <f>'Diesel Reading May'!I16/'Diesel Reading May'!H16</f>
        <v>2.8400000000000003</v>
      </c>
      <c r="I14" s="25">
        <f>'Water Reading'!H16</f>
        <v>1071</v>
      </c>
      <c r="J14" s="27">
        <f>'Water Reading'!I16/'Water Reading'!H16</f>
        <v>1.3499999999999999</v>
      </c>
      <c r="K14" s="25">
        <v>56</v>
      </c>
      <c r="L14" s="25"/>
    </row>
    <row r="15" spans="1:12" ht="15" x14ac:dyDescent="0.25">
      <c r="A15" s="22" t="s">
        <v>12</v>
      </c>
      <c r="B15" s="23">
        <f t="shared" si="0"/>
        <v>14</v>
      </c>
      <c r="C15" s="24">
        <v>5</v>
      </c>
      <c r="D15" s="23">
        <v>2022</v>
      </c>
      <c r="E15" s="25">
        <f>'B16'!I17+'B16 ext'!I17+'B17'!I17</f>
        <v>25301</v>
      </c>
      <c r="F15" s="27">
        <f>('B16'!J17+'B16 ext'!J17+'B17'!J17)/TOTAL!E15</f>
        <v>0.24668155408877115</v>
      </c>
      <c r="G15" s="25">
        <f>'Diesel Reading May'!H17</f>
        <v>391.69999999995343</v>
      </c>
      <c r="H15" s="26">
        <f>'Diesel Reading May'!I17/'Diesel Reading May'!H17</f>
        <v>2.84</v>
      </c>
      <c r="I15" s="25">
        <f>'Water Reading'!H17</f>
        <v>1039</v>
      </c>
      <c r="J15" s="27">
        <f>'Water Reading'!I17/'Water Reading'!H17</f>
        <v>1.35</v>
      </c>
      <c r="K15" s="25">
        <v>75</v>
      </c>
      <c r="L15" s="25"/>
    </row>
    <row r="16" spans="1:12" ht="15" x14ac:dyDescent="0.25">
      <c r="A16" s="22" t="s">
        <v>12</v>
      </c>
      <c r="B16" s="23">
        <f t="shared" si="0"/>
        <v>15</v>
      </c>
      <c r="C16" s="24">
        <v>5</v>
      </c>
      <c r="D16" s="23">
        <v>2022</v>
      </c>
      <c r="E16" s="25">
        <f>'B16'!I18+'B16 ext'!I18+'B17'!I18</f>
        <v>21162</v>
      </c>
      <c r="F16" s="27">
        <f>('B16'!J18+'B16 ext'!J18+'B17'!J18)/TOTAL!E16</f>
        <v>0.24707655231074568</v>
      </c>
      <c r="G16" s="25">
        <f>'Diesel Reading May'!H18</f>
        <v>406.10000000009313</v>
      </c>
      <c r="H16" s="26">
        <f>'Diesel Reading May'!I18/'Diesel Reading May'!H18</f>
        <v>2.84</v>
      </c>
      <c r="I16" s="25">
        <f>'Water Reading'!H18</f>
        <v>883</v>
      </c>
      <c r="J16" s="27">
        <f>'Water Reading'!I18/'Water Reading'!H18</f>
        <v>1.3499999999999999</v>
      </c>
      <c r="K16" s="25">
        <v>73</v>
      </c>
      <c r="L16" s="25"/>
    </row>
    <row r="17" spans="1:12" ht="15" x14ac:dyDescent="0.25">
      <c r="A17" s="22" t="s">
        <v>12</v>
      </c>
      <c r="B17" s="23">
        <f t="shared" si="0"/>
        <v>16</v>
      </c>
      <c r="C17" s="24">
        <v>5</v>
      </c>
      <c r="D17" s="23">
        <v>2022</v>
      </c>
      <c r="E17" s="25">
        <f>'B16'!I19+'B16 ext'!I19+'B17'!I19</f>
        <v>22878</v>
      </c>
      <c r="F17" s="27">
        <f>('B16'!J19+'B16 ext'!J19+'B17'!J19)/TOTAL!E17</f>
        <v>0.24910293731969574</v>
      </c>
      <c r="G17" s="25">
        <f>'Diesel Reading May'!H19</f>
        <v>401.60000000009313</v>
      </c>
      <c r="H17" s="26">
        <f>'Diesel Reading May'!I19/'Diesel Reading May'!H19</f>
        <v>2.8400000000000003</v>
      </c>
      <c r="I17" s="25">
        <f>'Water Reading'!H19</f>
        <v>890</v>
      </c>
      <c r="J17" s="27">
        <f>'Water Reading'!I19/'Water Reading'!H19</f>
        <v>1.3500000000000003</v>
      </c>
      <c r="K17" s="25">
        <v>40</v>
      </c>
      <c r="L17" s="25"/>
    </row>
    <row r="18" spans="1:12" ht="15" x14ac:dyDescent="0.25">
      <c r="A18" s="22" t="s">
        <v>12</v>
      </c>
      <c r="B18" s="23">
        <f t="shared" si="0"/>
        <v>17</v>
      </c>
      <c r="C18" s="24">
        <v>5</v>
      </c>
      <c r="D18" s="23">
        <v>2022</v>
      </c>
      <c r="E18" s="25">
        <f>'B16'!I20+'B16 ext'!I20+'B17'!I20</f>
        <v>21641</v>
      </c>
      <c r="F18" s="27">
        <f>('B16'!J20+'B16 ext'!J20+'B17'!J20)/TOTAL!E18</f>
        <v>0.24675135160112749</v>
      </c>
      <c r="G18" s="25">
        <f>'Diesel Reading May'!H20</f>
        <v>311.69999999995343</v>
      </c>
      <c r="H18" s="26">
        <f>'Diesel Reading May'!I20/'Diesel Reading May'!H20</f>
        <v>2.84</v>
      </c>
      <c r="I18" s="25">
        <f>'Water Reading'!H20</f>
        <v>921</v>
      </c>
      <c r="J18" s="27">
        <f>'Water Reading'!I20/'Water Reading'!H20</f>
        <v>1.3499999999999999</v>
      </c>
      <c r="K18" s="25">
        <v>29</v>
      </c>
      <c r="L18" s="25"/>
    </row>
    <row r="19" spans="1:12" ht="15" x14ac:dyDescent="0.25">
      <c r="A19" s="22" t="s">
        <v>12</v>
      </c>
      <c r="B19" s="23">
        <f t="shared" si="0"/>
        <v>18</v>
      </c>
      <c r="C19" s="24">
        <v>5</v>
      </c>
      <c r="D19" s="23">
        <v>2022</v>
      </c>
      <c r="E19" s="25">
        <f>'B16'!I21+'B16 ext'!I21+'B17'!I21</f>
        <v>21905</v>
      </c>
      <c r="F19" s="27">
        <f>('B16'!J21+'B16 ext'!J21+'B17'!J21)/TOTAL!E19</f>
        <v>0.24660999771741607</v>
      </c>
      <c r="G19" s="25">
        <f>'Diesel Reading May'!H21</f>
        <v>352.19999999995343</v>
      </c>
      <c r="H19" s="26">
        <f>'Diesel Reading May'!I21/'Diesel Reading May'!H21</f>
        <v>2.84</v>
      </c>
      <c r="I19" s="25">
        <f>'Water Reading'!H21</f>
        <v>949</v>
      </c>
      <c r="J19" s="27">
        <f>'Water Reading'!I21/'Water Reading'!H21</f>
        <v>1.35</v>
      </c>
      <c r="K19" s="25">
        <v>34</v>
      </c>
      <c r="L19" s="25"/>
    </row>
    <row r="20" spans="1:12" ht="15" x14ac:dyDescent="0.25">
      <c r="A20" s="22" t="s">
        <v>12</v>
      </c>
      <c r="B20" s="23">
        <f t="shared" si="0"/>
        <v>19</v>
      </c>
      <c r="C20" s="24">
        <v>5</v>
      </c>
      <c r="D20" s="23">
        <v>2022</v>
      </c>
      <c r="E20" s="25">
        <f>'B16'!I22+'B16 ext'!I22+'B17'!I22</f>
        <v>23654</v>
      </c>
      <c r="F20" s="27">
        <f>('B16'!J22+'B16 ext'!J22+'B17'!J22)/TOTAL!E20</f>
        <v>0.248257926777712</v>
      </c>
      <c r="G20" s="25">
        <f>'Diesel Reading May'!H22</f>
        <v>356.89999999990687</v>
      </c>
      <c r="H20" s="26">
        <f>'Diesel Reading May'!I22/'Diesel Reading May'!H22</f>
        <v>2.84</v>
      </c>
      <c r="I20" s="25">
        <f>'Water Reading'!H22</f>
        <v>959</v>
      </c>
      <c r="J20" s="27">
        <f>'Water Reading'!I22/'Water Reading'!H22</f>
        <v>1.35</v>
      </c>
      <c r="K20" s="25">
        <v>37</v>
      </c>
      <c r="L20" s="25"/>
    </row>
    <row r="21" spans="1:12" ht="15" x14ac:dyDescent="0.25">
      <c r="A21" s="22" t="s">
        <v>12</v>
      </c>
      <c r="B21" s="23">
        <f t="shared" si="0"/>
        <v>20</v>
      </c>
      <c r="C21" s="24">
        <v>5</v>
      </c>
      <c r="D21" s="23">
        <v>2022</v>
      </c>
      <c r="E21" s="25">
        <f>'B16'!I23+'B16 ext'!I23+'B17'!I23</f>
        <v>23368</v>
      </c>
      <c r="F21" s="27">
        <f>('B16'!J23+'B16 ext'!J23+'B17'!J23)/TOTAL!E21</f>
        <v>0.24635599965765148</v>
      </c>
      <c r="G21" s="25">
        <f>'Diesel Reading May'!H23</f>
        <v>349.60000000009313</v>
      </c>
      <c r="H21" s="26">
        <f>'Diesel Reading May'!I23/'Diesel Reading May'!H23</f>
        <v>2.84</v>
      </c>
      <c r="I21" s="25">
        <f>'Water Reading'!H23</f>
        <v>976</v>
      </c>
      <c r="J21" s="27">
        <f>'Water Reading'!I23/'Water Reading'!H23</f>
        <v>1.35</v>
      </c>
      <c r="K21" s="25">
        <v>44</v>
      </c>
      <c r="L21" s="25"/>
    </row>
    <row r="22" spans="1:12" ht="15" x14ac:dyDescent="0.25">
      <c r="A22" s="22" t="s">
        <v>12</v>
      </c>
      <c r="B22" s="23">
        <f t="shared" si="0"/>
        <v>21</v>
      </c>
      <c r="C22" s="24">
        <v>5</v>
      </c>
      <c r="D22" s="23">
        <v>2022</v>
      </c>
      <c r="E22" s="25">
        <f>'B16'!I24+'B16 ext'!I24+'B17'!I24</f>
        <v>22530</v>
      </c>
      <c r="F22" s="27">
        <f>('B16'!J24+'B16 ext'!J24+'B17'!J24)/TOTAL!E22</f>
        <v>0.24955645805592541</v>
      </c>
      <c r="G22" s="25">
        <f>'Diesel Reading May'!H24</f>
        <v>233.10000000009313</v>
      </c>
      <c r="H22" s="26">
        <f>'Diesel Reading May'!I24/'Diesel Reading May'!H24</f>
        <v>2.84</v>
      </c>
      <c r="I22" s="25">
        <f>'Water Reading'!H24</f>
        <v>930</v>
      </c>
      <c r="J22" s="27">
        <f>'Water Reading'!I24/'Water Reading'!H24</f>
        <v>1.35</v>
      </c>
      <c r="K22" s="25">
        <v>39</v>
      </c>
      <c r="L22" s="25"/>
    </row>
    <row r="23" spans="1:12" ht="15" x14ac:dyDescent="0.25">
      <c r="A23" s="22" t="s">
        <v>12</v>
      </c>
      <c r="B23" s="23">
        <f t="shared" si="0"/>
        <v>22</v>
      </c>
      <c r="C23" s="24">
        <v>5</v>
      </c>
      <c r="D23" s="23">
        <v>2022</v>
      </c>
      <c r="E23" s="25">
        <f>'B16'!I25+'B16 ext'!I25+'B17'!I25</f>
        <v>21774</v>
      </c>
      <c r="F23" s="27">
        <f>('B16'!J25+'B16 ext'!J25+'B17'!J25)/TOTAL!E23</f>
        <v>0.24875186001653349</v>
      </c>
      <c r="G23" s="25">
        <f>'Diesel Reading May'!H25</f>
        <v>0</v>
      </c>
      <c r="H23" s="26" t="e">
        <f>'Diesel Reading May'!I25/'Diesel Reading May'!H25</f>
        <v>#DIV/0!</v>
      </c>
      <c r="I23" s="25">
        <f>'Water Reading'!H25</f>
        <v>933</v>
      </c>
      <c r="J23" s="27">
        <f>'Water Reading'!I25/'Water Reading'!H25</f>
        <v>1.3499999999999999</v>
      </c>
      <c r="K23" s="25">
        <v>23</v>
      </c>
      <c r="L23" s="25"/>
    </row>
    <row r="24" spans="1:12" ht="15" x14ac:dyDescent="0.25">
      <c r="A24" s="22" t="s">
        <v>12</v>
      </c>
      <c r="B24" s="23">
        <f t="shared" si="0"/>
        <v>23</v>
      </c>
      <c r="C24" s="24">
        <v>5</v>
      </c>
      <c r="D24" s="23">
        <v>2022</v>
      </c>
      <c r="E24" s="25">
        <f>'B16'!I26+'B16 ext'!I26+'B17'!I26</f>
        <v>22703</v>
      </c>
      <c r="F24" s="27">
        <f>('B16'!J26+'B16 ext'!J26+'B17'!J26)/TOTAL!E24</f>
        <v>0.24618248689600494</v>
      </c>
      <c r="G24" s="25">
        <f>'Diesel Reading May'!H26</f>
        <v>330</v>
      </c>
      <c r="H24" s="26">
        <f>'Diesel Reading May'!I26/'Diesel Reading May'!H26</f>
        <v>2.84</v>
      </c>
      <c r="I24" s="25">
        <f>'Water Reading'!H26</f>
        <v>918</v>
      </c>
      <c r="J24" s="27">
        <f>'Water Reading'!I26/'Water Reading'!H26</f>
        <v>1.35</v>
      </c>
      <c r="K24" s="25">
        <v>17</v>
      </c>
      <c r="L24" s="25"/>
    </row>
    <row r="25" spans="1:12" ht="15" x14ac:dyDescent="0.25">
      <c r="A25" s="22" t="s">
        <v>12</v>
      </c>
      <c r="B25" s="23">
        <f t="shared" si="0"/>
        <v>24</v>
      </c>
      <c r="C25" s="24">
        <v>5</v>
      </c>
      <c r="D25" s="23">
        <v>2022</v>
      </c>
      <c r="E25" s="25">
        <f>'B16'!I27+'B16 ext'!I27+'B17'!I27</f>
        <v>20673</v>
      </c>
      <c r="F25" s="27">
        <f>('B16'!J27+'B16 ext'!J27+'B17'!J27)/TOTAL!E25</f>
        <v>0.24840661732694816</v>
      </c>
      <c r="G25" s="25">
        <f>'Diesel Reading May'!H27</f>
        <v>0</v>
      </c>
      <c r="H25" s="26" t="e">
        <f>'Diesel Reading May'!I27/'Diesel Reading May'!H27</f>
        <v>#DIV/0!</v>
      </c>
      <c r="I25" s="25">
        <f>'Water Reading'!H27</f>
        <v>943</v>
      </c>
      <c r="J25" s="27">
        <f>'Water Reading'!I27/'Water Reading'!H27</f>
        <v>1.3499999999999999</v>
      </c>
      <c r="K25" s="25">
        <v>16</v>
      </c>
      <c r="L25" s="25"/>
    </row>
    <row r="26" spans="1:12" ht="15" x14ac:dyDescent="0.25">
      <c r="A26" s="22" t="s">
        <v>12</v>
      </c>
      <c r="B26" s="23">
        <f>B25+1</f>
        <v>25</v>
      </c>
      <c r="C26" s="24">
        <v>5</v>
      </c>
      <c r="D26" s="23">
        <v>2022</v>
      </c>
      <c r="E26" s="25">
        <f>'B16'!I28+'B16 ext'!I28+'B17'!I28</f>
        <v>23172</v>
      </c>
      <c r="F26" s="27">
        <f>('B16'!J28+'B16 ext'!J28+'B17'!J28)/TOTAL!E26</f>
        <v>0.24477265665458309</v>
      </c>
      <c r="G26" s="25">
        <f>'Diesel Reading May'!H28</f>
        <v>309</v>
      </c>
      <c r="H26" s="26">
        <f>'Diesel Reading May'!I28/'Diesel Reading May'!H28</f>
        <v>2.84</v>
      </c>
      <c r="I26" s="25">
        <f>'Water Reading'!H28</f>
        <v>949</v>
      </c>
      <c r="J26" s="27">
        <f>'Water Reading'!I28/'Water Reading'!H28</f>
        <v>1.35</v>
      </c>
      <c r="K26" s="25">
        <v>18</v>
      </c>
      <c r="L26" s="25"/>
    </row>
    <row r="27" spans="1:12" ht="15" x14ac:dyDescent="0.25">
      <c r="A27" s="22" t="s">
        <v>12</v>
      </c>
      <c r="B27" s="23">
        <f t="shared" si="0"/>
        <v>26</v>
      </c>
      <c r="C27" s="24">
        <v>5</v>
      </c>
      <c r="D27" s="23">
        <v>2022</v>
      </c>
      <c r="E27" s="25">
        <f>'B16'!I29+'B16 ext'!I29+'B17'!I29</f>
        <v>26016</v>
      </c>
      <c r="F27" s="27">
        <f>('B16'!J29+'B16 ext'!J29+'B17'!J29)/TOTAL!E27</f>
        <v>0.24709178966789669</v>
      </c>
      <c r="G27" s="25">
        <f>'Diesel Reading May'!H29</f>
        <v>0</v>
      </c>
      <c r="H27" s="26" t="e">
        <f>'Diesel Reading May'!I29/'Diesel Reading May'!H29</f>
        <v>#DIV/0!</v>
      </c>
      <c r="I27" s="25">
        <f>'Water Reading'!H29</f>
        <v>938</v>
      </c>
      <c r="J27" s="27">
        <f>'Water Reading'!I29/'Water Reading'!H29</f>
        <v>1.35</v>
      </c>
      <c r="K27" s="25">
        <v>20</v>
      </c>
      <c r="L27" s="25"/>
    </row>
    <row r="28" spans="1:12" ht="15" x14ac:dyDescent="0.25">
      <c r="A28" s="22" t="s">
        <v>12</v>
      </c>
      <c r="B28" s="23">
        <f t="shared" si="0"/>
        <v>27</v>
      </c>
      <c r="C28" s="24">
        <v>5</v>
      </c>
      <c r="D28" s="23">
        <v>2022</v>
      </c>
      <c r="E28" s="25">
        <f>'B16'!I30+'B16 ext'!I30+'B17'!I30</f>
        <v>25580</v>
      </c>
      <c r="F28" s="27">
        <f>('B16'!J30+'B16 ext'!J30+'B17'!J30)/TOTAL!E28</f>
        <v>0.24696297888975763</v>
      </c>
      <c r="G28" s="25">
        <f>'Diesel Reading May'!H30</f>
        <v>367.5</v>
      </c>
      <c r="H28" s="26">
        <f>'Diesel Reading May'!I30/'Diesel Reading May'!H30</f>
        <v>2.8400000000000003</v>
      </c>
      <c r="I28" s="25">
        <f>'Water Reading'!H30</f>
        <v>1003</v>
      </c>
      <c r="J28" s="27">
        <f>'Water Reading'!I30/'Water Reading'!H30</f>
        <v>1.35</v>
      </c>
      <c r="K28" s="25">
        <v>59</v>
      </c>
      <c r="L28" s="25"/>
    </row>
    <row r="29" spans="1:12" ht="15" x14ac:dyDescent="0.25">
      <c r="A29" s="22" t="s">
        <v>12</v>
      </c>
      <c r="B29" s="23">
        <f t="shared" si="0"/>
        <v>28</v>
      </c>
      <c r="C29" s="24">
        <v>5</v>
      </c>
      <c r="D29" s="23">
        <v>2022</v>
      </c>
      <c r="E29" s="25">
        <f>'B16'!I31+'B16 ext'!I31+'B17'!I31</f>
        <v>22345</v>
      </c>
      <c r="F29" s="27">
        <f>('B16'!J31+'B16 ext'!J31+'B17'!J31)/TOTAL!E29</f>
        <v>0.24743991944506602</v>
      </c>
      <c r="G29" s="25">
        <f>'Diesel Reading May'!H31</f>
        <v>308</v>
      </c>
      <c r="H29" s="26">
        <f>'Diesel Reading May'!I31/'Diesel Reading May'!H31</f>
        <v>2.84</v>
      </c>
      <c r="I29" s="25">
        <f>'Water Reading'!H31</f>
        <v>990</v>
      </c>
      <c r="J29" s="27">
        <f>'Water Reading'!I31/'Water Reading'!H31</f>
        <v>1.35</v>
      </c>
      <c r="K29" s="25">
        <v>62</v>
      </c>
      <c r="L29" s="25"/>
    </row>
    <row r="30" spans="1:12" ht="15" x14ac:dyDescent="0.25">
      <c r="A30" s="22" t="s">
        <v>12</v>
      </c>
      <c r="B30" s="23">
        <f t="shared" si="0"/>
        <v>29</v>
      </c>
      <c r="C30" s="24">
        <v>5</v>
      </c>
      <c r="D30" s="23">
        <v>2022</v>
      </c>
      <c r="E30" s="25">
        <f>'B16'!I32+'B16 ext'!I32+'B17'!I32</f>
        <v>0</v>
      </c>
      <c r="F30" s="27" t="e">
        <f>('B16'!J32+'B16 ext'!J32+'B17'!J32)/TOTAL!E30</f>
        <v>#DIV/0!</v>
      </c>
      <c r="G30" s="25">
        <f>'Diesel Reading May'!H32</f>
        <v>294.19999999995343</v>
      </c>
      <c r="H30" s="26">
        <f>'Diesel Reading May'!I32/'Diesel Reading May'!H32</f>
        <v>2.84</v>
      </c>
      <c r="I30" s="25">
        <f>'Water Reading'!H32</f>
        <v>1001</v>
      </c>
      <c r="J30" s="27">
        <f>'Water Reading'!I32/'Water Reading'!H32</f>
        <v>1.3499999999999999</v>
      </c>
      <c r="K30" s="25">
        <v>26</v>
      </c>
      <c r="L30" s="25"/>
    </row>
    <row r="31" spans="1:12" ht="15" x14ac:dyDescent="0.25">
      <c r="A31" s="22" t="s">
        <v>12</v>
      </c>
      <c r="B31" s="23">
        <f t="shared" si="0"/>
        <v>30</v>
      </c>
      <c r="C31" s="24">
        <v>5</v>
      </c>
      <c r="D31" s="23">
        <v>2022</v>
      </c>
      <c r="E31" s="25">
        <f>'B16'!I33+'B16 ext'!I33+'B17'!I33</f>
        <v>0</v>
      </c>
      <c r="F31" s="27" t="e">
        <f>('B16'!J33+'B16 ext'!J33+'B17'!J33)/TOTAL!E31</f>
        <v>#DIV/0!</v>
      </c>
      <c r="G31" s="25">
        <f>'Diesel Reading May'!H33</f>
        <v>288.30000000004657</v>
      </c>
      <c r="H31" s="26">
        <f>'Diesel Reading May'!I33/'Diesel Reading May'!H33</f>
        <v>2.84</v>
      </c>
      <c r="I31" s="25">
        <f>'Water Reading'!H33</f>
        <v>1120</v>
      </c>
      <c r="J31" s="27">
        <f>'Water Reading'!I33/'Water Reading'!H33</f>
        <v>1.35</v>
      </c>
      <c r="K31" s="25">
        <v>23</v>
      </c>
      <c r="L31" s="25"/>
    </row>
    <row r="32" spans="1:12" ht="15" x14ac:dyDescent="0.25">
      <c r="A32" s="22" t="s">
        <v>12</v>
      </c>
      <c r="B32" s="23">
        <f t="shared" si="0"/>
        <v>31</v>
      </c>
      <c r="C32" s="24">
        <v>5</v>
      </c>
      <c r="D32" s="23">
        <v>2022</v>
      </c>
      <c r="E32" s="25">
        <f>'B16'!I34+'B16 ext'!I34+'B17'!I34</f>
        <v>0</v>
      </c>
      <c r="F32" s="27" t="e">
        <f>('B16'!J34+'B16 ext'!J34+'B17'!J34)/TOTAL!E32</f>
        <v>#DIV/0!</v>
      </c>
      <c r="G32" s="25">
        <f>'Diesel Reading May'!H34</f>
        <v>0</v>
      </c>
      <c r="H32" s="26" t="e">
        <f>'Diesel Reading May'!I34/'Diesel Reading May'!H34</f>
        <v>#DIV/0!</v>
      </c>
      <c r="I32" s="25">
        <f>'Water Reading'!H34</f>
        <v>0</v>
      </c>
      <c r="J32" s="27" t="e">
        <f>'Water Reading'!I34/'Water Reading'!H34</f>
        <v>#DIV/0!</v>
      </c>
      <c r="K32" s="25">
        <v>26</v>
      </c>
      <c r="L32" s="2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39"/>
  <sheetViews>
    <sheetView topLeftCell="A23" zoomScaleNormal="100" workbookViewId="0">
      <selection activeCell="H4" sqref="H4:H34"/>
    </sheetView>
  </sheetViews>
  <sheetFormatPr defaultRowHeight="12.75" x14ac:dyDescent="0.2"/>
  <cols>
    <col min="1" max="1" width="14" style="50" customWidth="1"/>
    <col min="2" max="2" width="20.28515625" style="29" bestFit="1" customWidth="1"/>
    <col min="3" max="3" width="18.85546875" style="29" bestFit="1" customWidth="1"/>
    <col min="4" max="4" width="20.28515625" style="29" bestFit="1" customWidth="1"/>
    <col min="5" max="5" width="18.85546875" style="29" customWidth="1"/>
    <col min="6" max="6" width="14.7109375" style="29" customWidth="1"/>
    <col min="7" max="7" width="11.28515625" style="21" customWidth="1"/>
    <col min="8" max="8" width="20.140625" style="21" customWidth="1"/>
    <col min="9" max="9" width="19.140625" style="29" bestFit="1" customWidth="1"/>
    <col min="10" max="10" width="10.140625" style="12" bestFit="1" customWidth="1"/>
    <col min="11" max="256" width="9.140625" style="21"/>
    <col min="257" max="257" width="14" style="21" customWidth="1"/>
    <col min="258" max="258" width="20.28515625" style="21" bestFit="1" customWidth="1"/>
    <col min="259" max="259" width="18.85546875" style="21" bestFit="1" customWidth="1"/>
    <col min="260" max="260" width="20.28515625" style="21" bestFit="1" customWidth="1"/>
    <col min="261" max="261" width="18.85546875" style="21" customWidth="1"/>
    <col min="262" max="262" width="14.7109375" style="21" customWidth="1"/>
    <col min="263" max="263" width="11.28515625" style="21" customWidth="1"/>
    <col min="264" max="264" width="11.7109375" style="21" customWidth="1"/>
    <col min="265" max="265" width="19.140625" style="21" bestFit="1" customWidth="1"/>
    <col min="266" max="266" width="10.140625" style="21" bestFit="1" customWidth="1"/>
    <col min="267" max="512" width="9.140625" style="21"/>
    <col min="513" max="513" width="14" style="21" customWidth="1"/>
    <col min="514" max="514" width="20.28515625" style="21" bestFit="1" customWidth="1"/>
    <col min="515" max="515" width="18.85546875" style="21" bestFit="1" customWidth="1"/>
    <col min="516" max="516" width="20.28515625" style="21" bestFit="1" customWidth="1"/>
    <col min="517" max="517" width="18.85546875" style="21" customWidth="1"/>
    <col min="518" max="518" width="14.7109375" style="21" customWidth="1"/>
    <col min="519" max="519" width="11.28515625" style="21" customWidth="1"/>
    <col min="520" max="520" width="11.7109375" style="21" customWidth="1"/>
    <col min="521" max="521" width="19.140625" style="21" bestFit="1" customWidth="1"/>
    <col min="522" max="522" width="10.140625" style="21" bestFit="1" customWidth="1"/>
    <col min="523" max="768" width="9.140625" style="21"/>
    <col min="769" max="769" width="14" style="21" customWidth="1"/>
    <col min="770" max="770" width="20.28515625" style="21" bestFit="1" customWidth="1"/>
    <col min="771" max="771" width="18.85546875" style="21" bestFit="1" customWidth="1"/>
    <col min="772" max="772" width="20.28515625" style="21" bestFit="1" customWidth="1"/>
    <col min="773" max="773" width="18.85546875" style="21" customWidth="1"/>
    <col min="774" max="774" width="14.7109375" style="21" customWidth="1"/>
    <col min="775" max="775" width="11.28515625" style="21" customWidth="1"/>
    <col min="776" max="776" width="11.7109375" style="21" customWidth="1"/>
    <col min="777" max="777" width="19.140625" style="21" bestFit="1" customWidth="1"/>
    <col min="778" max="778" width="10.140625" style="21" bestFit="1" customWidth="1"/>
    <col min="779" max="1024" width="9.140625" style="21"/>
    <col min="1025" max="1025" width="14" style="21" customWidth="1"/>
    <col min="1026" max="1026" width="20.28515625" style="21" bestFit="1" customWidth="1"/>
    <col min="1027" max="1027" width="18.85546875" style="21" bestFit="1" customWidth="1"/>
    <col min="1028" max="1028" width="20.28515625" style="21" bestFit="1" customWidth="1"/>
    <col min="1029" max="1029" width="18.85546875" style="21" customWidth="1"/>
    <col min="1030" max="1030" width="14.7109375" style="21" customWidth="1"/>
    <col min="1031" max="1031" width="11.28515625" style="21" customWidth="1"/>
    <col min="1032" max="1032" width="11.7109375" style="21" customWidth="1"/>
    <col min="1033" max="1033" width="19.140625" style="21" bestFit="1" customWidth="1"/>
    <col min="1034" max="1034" width="10.140625" style="21" bestFit="1" customWidth="1"/>
    <col min="1035" max="1280" width="9.140625" style="21"/>
    <col min="1281" max="1281" width="14" style="21" customWidth="1"/>
    <col min="1282" max="1282" width="20.28515625" style="21" bestFit="1" customWidth="1"/>
    <col min="1283" max="1283" width="18.85546875" style="21" bestFit="1" customWidth="1"/>
    <col min="1284" max="1284" width="20.28515625" style="21" bestFit="1" customWidth="1"/>
    <col min="1285" max="1285" width="18.85546875" style="21" customWidth="1"/>
    <col min="1286" max="1286" width="14.7109375" style="21" customWidth="1"/>
    <col min="1287" max="1287" width="11.28515625" style="21" customWidth="1"/>
    <col min="1288" max="1288" width="11.7109375" style="21" customWidth="1"/>
    <col min="1289" max="1289" width="19.140625" style="21" bestFit="1" customWidth="1"/>
    <col min="1290" max="1290" width="10.140625" style="21" bestFit="1" customWidth="1"/>
    <col min="1291" max="1536" width="9.140625" style="21"/>
    <col min="1537" max="1537" width="14" style="21" customWidth="1"/>
    <col min="1538" max="1538" width="20.28515625" style="21" bestFit="1" customWidth="1"/>
    <col min="1539" max="1539" width="18.85546875" style="21" bestFit="1" customWidth="1"/>
    <col min="1540" max="1540" width="20.28515625" style="21" bestFit="1" customWidth="1"/>
    <col min="1541" max="1541" width="18.85546875" style="21" customWidth="1"/>
    <col min="1542" max="1542" width="14.7109375" style="21" customWidth="1"/>
    <col min="1543" max="1543" width="11.28515625" style="21" customWidth="1"/>
    <col min="1544" max="1544" width="11.7109375" style="21" customWidth="1"/>
    <col min="1545" max="1545" width="19.140625" style="21" bestFit="1" customWidth="1"/>
    <col min="1546" max="1546" width="10.140625" style="21" bestFit="1" customWidth="1"/>
    <col min="1547" max="1792" width="9.140625" style="21"/>
    <col min="1793" max="1793" width="14" style="21" customWidth="1"/>
    <col min="1794" max="1794" width="20.28515625" style="21" bestFit="1" customWidth="1"/>
    <col min="1795" max="1795" width="18.85546875" style="21" bestFit="1" customWidth="1"/>
    <col min="1796" max="1796" width="20.28515625" style="21" bestFit="1" customWidth="1"/>
    <col min="1797" max="1797" width="18.85546875" style="21" customWidth="1"/>
    <col min="1798" max="1798" width="14.7109375" style="21" customWidth="1"/>
    <col min="1799" max="1799" width="11.28515625" style="21" customWidth="1"/>
    <col min="1800" max="1800" width="11.7109375" style="21" customWidth="1"/>
    <col min="1801" max="1801" width="19.140625" style="21" bestFit="1" customWidth="1"/>
    <col min="1802" max="1802" width="10.140625" style="21" bestFit="1" customWidth="1"/>
    <col min="1803" max="2048" width="9.140625" style="21"/>
    <col min="2049" max="2049" width="14" style="21" customWidth="1"/>
    <col min="2050" max="2050" width="20.28515625" style="21" bestFit="1" customWidth="1"/>
    <col min="2051" max="2051" width="18.85546875" style="21" bestFit="1" customWidth="1"/>
    <col min="2052" max="2052" width="20.28515625" style="21" bestFit="1" customWidth="1"/>
    <col min="2053" max="2053" width="18.85546875" style="21" customWidth="1"/>
    <col min="2054" max="2054" width="14.7109375" style="21" customWidth="1"/>
    <col min="2055" max="2055" width="11.28515625" style="21" customWidth="1"/>
    <col min="2056" max="2056" width="11.7109375" style="21" customWidth="1"/>
    <col min="2057" max="2057" width="19.140625" style="21" bestFit="1" customWidth="1"/>
    <col min="2058" max="2058" width="10.140625" style="21" bestFit="1" customWidth="1"/>
    <col min="2059" max="2304" width="9.140625" style="21"/>
    <col min="2305" max="2305" width="14" style="21" customWidth="1"/>
    <col min="2306" max="2306" width="20.28515625" style="21" bestFit="1" customWidth="1"/>
    <col min="2307" max="2307" width="18.85546875" style="21" bestFit="1" customWidth="1"/>
    <col min="2308" max="2308" width="20.28515625" style="21" bestFit="1" customWidth="1"/>
    <col min="2309" max="2309" width="18.85546875" style="21" customWidth="1"/>
    <col min="2310" max="2310" width="14.7109375" style="21" customWidth="1"/>
    <col min="2311" max="2311" width="11.28515625" style="21" customWidth="1"/>
    <col min="2312" max="2312" width="11.7109375" style="21" customWidth="1"/>
    <col min="2313" max="2313" width="19.140625" style="21" bestFit="1" customWidth="1"/>
    <col min="2314" max="2314" width="10.140625" style="21" bestFit="1" customWidth="1"/>
    <col min="2315" max="2560" width="9.140625" style="21"/>
    <col min="2561" max="2561" width="14" style="21" customWidth="1"/>
    <col min="2562" max="2562" width="20.28515625" style="21" bestFit="1" customWidth="1"/>
    <col min="2563" max="2563" width="18.85546875" style="21" bestFit="1" customWidth="1"/>
    <col min="2564" max="2564" width="20.28515625" style="21" bestFit="1" customWidth="1"/>
    <col min="2565" max="2565" width="18.85546875" style="21" customWidth="1"/>
    <col min="2566" max="2566" width="14.7109375" style="21" customWidth="1"/>
    <col min="2567" max="2567" width="11.28515625" style="21" customWidth="1"/>
    <col min="2568" max="2568" width="11.7109375" style="21" customWidth="1"/>
    <col min="2569" max="2569" width="19.140625" style="21" bestFit="1" customWidth="1"/>
    <col min="2570" max="2570" width="10.140625" style="21" bestFit="1" customWidth="1"/>
    <col min="2571" max="2816" width="9.140625" style="21"/>
    <col min="2817" max="2817" width="14" style="21" customWidth="1"/>
    <col min="2818" max="2818" width="20.28515625" style="21" bestFit="1" customWidth="1"/>
    <col min="2819" max="2819" width="18.85546875" style="21" bestFit="1" customWidth="1"/>
    <col min="2820" max="2820" width="20.28515625" style="21" bestFit="1" customWidth="1"/>
    <col min="2821" max="2821" width="18.85546875" style="21" customWidth="1"/>
    <col min="2822" max="2822" width="14.7109375" style="21" customWidth="1"/>
    <col min="2823" max="2823" width="11.28515625" style="21" customWidth="1"/>
    <col min="2824" max="2824" width="11.7109375" style="21" customWidth="1"/>
    <col min="2825" max="2825" width="19.140625" style="21" bestFit="1" customWidth="1"/>
    <col min="2826" max="2826" width="10.140625" style="21" bestFit="1" customWidth="1"/>
    <col min="2827" max="3072" width="9.140625" style="21"/>
    <col min="3073" max="3073" width="14" style="21" customWidth="1"/>
    <col min="3074" max="3074" width="20.28515625" style="21" bestFit="1" customWidth="1"/>
    <col min="3075" max="3075" width="18.85546875" style="21" bestFit="1" customWidth="1"/>
    <col min="3076" max="3076" width="20.28515625" style="21" bestFit="1" customWidth="1"/>
    <col min="3077" max="3077" width="18.85546875" style="21" customWidth="1"/>
    <col min="3078" max="3078" width="14.7109375" style="21" customWidth="1"/>
    <col min="3079" max="3079" width="11.28515625" style="21" customWidth="1"/>
    <col min="3080" max="3080" width="11.7109375" style="21" customWidth="1"/>
    <col min="3081" max="3081" width="19.140625" style="21" bestFit="1" customWidth="1"/>
    <col min="3082" max="3082" width="10.140625" style="21" bestFit="1" customWidth="1"/>
    <col min="3083" max="3328" width="9.140625" style="21"/>
    <col min="3329" max="3329" width="14" style="21" customWidth="1"/>
    <col min="3330" max="3330" width="20.28515625" style="21" bestFit="1" customWidth="1"/>
    <col min="3331" max="3331" width="18.85546875" style="21" bestFit="1" customWidth="1"/>
    <col min="3332" max="3332" width="20.28515625" style="21" bestFit="1" customWidth="1"/>
    <col min="3333" max="3333" width="18.85546875" style="21" customWidth="1"/>
    <col min="3334" max="3334" width="14.7109375" style="21" customWidth="1"/>
    <col min="3335" max="3335" width="11.28515625" style="21" customWidth="1"/>
    <col min="3336" max="3336" width="11.7109375" style="21" customWidth="1"/>
    <col min="3337" max="3337" width="19.140625" style="21" bestFit="1" customWidth="1"/>
    <col min="3338" max="3338" width="10.140625" style="21" bestFit="1" customWidth="1"/>
    <col min="3339" max="3584" width="9.140625" style="21"/>
    <col min="3585" max="3585" width="14" style="21" customWidth="1"/>
    <col min="3586" max="3586" width="20.28515625" style="21" bestFit="1" customWidth="1"/>
    <col min="3587" max="3587" width="18.85546875" style="21" bestFit="1" customWidth="1"/>
    <col min="3588" max="3588" width="20.28515625" style="21" bestFit="1" customWidth="1"/>
    <col min="3589" max="3589" width="18.85546875" style="21" customWidth="1"/>
    <col min="3590" max="3590" width="14.7109375" style="21" customWidth="1"/>
    <col min="3591" max="3591" width="11.28515625" style="21" customWidth="1"/>
    <col min="3592" max="3592" width="11.7109375" style="21" customWidth="1"/>
    <col min="3593" max="3593" width="19.140625" style="21" bestFit="1" customWidth="1"/>
    <col min="3594" max="3594" width="10.140625" style="21" bestFit="1" customWidth="1"/>
    <col min="3595" max="3840" width="9.140625" style="21"/>
    <col min="3841" max="3841" width="14" style="21" customWidth="1"/>
    <col min="3842" max="3842" width="20.28515625" style="21" bestFit="1" customWidth="1"/>
    <col min="3843" max="3843" width="18.85546875" style="21" bestFit="1" customWidth="1"/>
    <col min="3844" max="3844" width="20.28515625" style="21" bestFit="1" customWidth="1"/>
    <col min="3845" max="3845" width="18.85546875" style="21" customWidth="1"/>
    <col min="3846" max="3846" width="14.7109375" style="21" customWidth="1"/>
    <col min="3847" max="3847" width="11.28515625" style="21" customWidth="1"/>
    <col min="3848" max="3848" width="11.7109375" style="21" customWidth="1"/>
    <col min="3849" max="3849" width="19.140625" style="21" bestFit="1" customWidth="1"/>
    <col min="3850" max="3850" width="10.140625" style="21" bestFit="1" customWidth="1"/>
    <col min="3851" max="4096" width="9.140625" style="21"/>
    <col min="4097" max="4097" width="14" style="21" customWidth="1"/>
    <col min="4098" max="4098" width="20.28515625" style="21" bestFit="1" customWidth="1"/>
    <col min="4099" max="4099" width="18.85546875" style="21" bestFit="1" customWidth="1"/>
    <col min="4100" max="4100" width="20.28515625" style="21" bestFit="1" customWidth="1"/>
    <col min="4101" max="4101" width="18.85546875" style="21" customWidth="1"/>
    <col min="4102" max="4102" width="14.7109375" style="21" customWidth="1"/>
    <col min="4103" max="4103" width="11.28515625" style="21" customWidth="1"/>
    <col min="4104" max="4104" width="11.7109375" style="21" customWidth="1"/>
    <col min="4105" max="4105" width="19.140625" style="21" bestFit="1" customWidth="1"/>
    <col min="4106" max="4106" width="10.140625" style="21" bestFit="1" customWidth="1"/>
    <col min="4107" max="4352" width="9.140625" style="21"/>
    <col min="4353" max="4353" width="14" style="21" customWidth="1"/>
    <col min="4354" max="4354" width="20.28515625" style="21" bestFit="1" customWidth="1"/>
    <col min="4355" max="4355" width="18.85546875" style="21" bestFit="1" customWidth="1"/>
    <col min="4356" max="4356" width="20.28515625" style="21" bestFit="1" customWidth="1"/>
    <col min="4357" max="4357" width="18.85546875" style="21" customWidth="1"/>
    <col min="4358" max="4358" width="14.7109375" style="21" customWidth="1"/>
    <col min="4359" max="4359" width="11.28515625" style="21" customWidth="1"/>
    <col min="4360" max="4360" width="11.7109375" style="21" customWidth="1"/>
    <col min="4361" max="4361" width="19.140625" style="21" bestFit="1" customWidth="1"/>
    <col min="4362" max="4362" width="10.140625" style="21" bestFit="1" customWidth="1"/>
    <col min="4363" max="4608" width="9.140625" style="21"/>
    <col min="4609" max="4609" width="14" style="21" customWidth="1"/>
    <col min="4610" max="4610" width="20.28515625" style="21" bestFit="1" customWidth="1"/>
    <col min="4611" max="4611" width="18.85546875" style="21" bestFit="1" customWidth="1"/>
    <col min="4612" max="4612" width="20.28515625" style="21" bestFit="1" customWidth="1"/>
    <col min="4613" max="4613" width="18.85546875" style="21" customWidth="1"/>
    <col min="4614" max="4614" width="14.7109375" style="21" customWidth="1"/>
    <col min="4615" max="4615" width="11.28515625" style="21" customWidth="1"/>
    <col min="4616" max="4616" width="11.7109375" style="21" customWidth="1"/>
    <col min="4617" max="4617" width="19.140625" style="21" bestFit="1" customWidth="1"/>
    <col min="4618" max="4618" width="10.140625" style="21" bestFit="1" customWidth="1"/>
    <col min="4619" max="4864" width="9.140625" style="21"/>
    <col min="4865" max="4865" width="14" style="21" customWidth="1"/>
    <col min="4866" max="4866" width="20.28515625" style="21" bestFit="1" customWidth="1"/>
    <col min="4867" max="4867" width="18.85546875" style="21" bestFit="1" customWidth="1"/>
    <col min="4868" max="4868" width="20.28515625" style="21" bestFit="1" customWidth="1"/>
    <col min="4869" max="4869" width="18.85546875" style="21" customWidth="1"/>
    <col min="4870" max="4870" width="14.7109375" style="21" customWidth="1"/>
    <col min="4871" max="4871" width="11.28515625" style="21" customWidth="1"/>
    <col min="4872" max="4872" width="11.7109375" style="21" customWidth="1"/>
    <col min="4873" max="4873" width="19.140625" style="21" bestFit="1" customWidth="1"/>
    <col min="4874" max="4874" width="10.140625" style="21" bestFit="1" customWidth="1"/>
    <col min="4875" max="5120" width="9.140625" style="21"/>
    <col min="5121" max="5121" width="14" style="21" customWidth="1"/>
    <col min="5122" max="5122" width="20.28515625" style="21" bestFit="1" customWidth="1"/>
    <col min="5123" max="5123" width="18.85546875" style="21" bestFit="1" customWidth="1"/>
    <col min="5124" max="5124" width="20.28515625" style="21" bestFit="1" customWidth="1"/>
    <col min="5125" max="5125" width="18.85546875" style="21" customWidth="1"/>
    <col min="5126" max="5126" width="14.7109375" style="21" customWidth="1"/>
    <col min="5127" max="5127" width="11.28515625" style="21" customWidth="1"/>
    <col min="5128" max="5128" width="11.7109375" style="21" customWidth="1"/>
    <col min="5129" max="5129" width="19.140625" style="21" bestFit="1" customWidth="1"/>
    <col min="5130" max="5130" width="10.140625" style="21" bestFit="1" customWidth="1"/>
    <col min="5131" max="5376" width="9.140625" style="21"/>
    <col min="5377" max="5377" width="14" style="21" customWidth="1"/>
    <col min="5378" max="5378" width="20.28515625" style="21" bestFit="1" customWidth="1"/>
    <col min="5379" max="5379" width="18.85546875" style="21" bestFit="1" customWidth="1"/>
    <col min="5380" max="5380" width="20.28515625" style="21" bestFit="1" customWidth="1"/>
    <col min="5381" max="5381" width="18.85546875" style="21" customWidth="1"/>
    <col min="5382" max="5382" width="14.7109375" style="21" customWidth="1"/>
    <col min="5383" max="5383" width="11.28515625" style="21" customWidth="1"/>
    <col min="5384" max="5384" width="11.7109375" style="21" customWidth="1"/>
    <col min="5385" max="5385" width="19.140625" style="21" bestFit="1" customWidth="1"/>
    <col min="5386" max="5386" width="10.140625" style="21" bestFit="1" customWidth="1"/>
    <col min="5387" max="5632" width="9.140625" style="21"/>
    <col min="5633" max="5633" width="14" style="21" customWidth="1"/>
    <col min="5634" max="5634" width="20.28515625" style="21" bestFit="1" customWidth="1"/>
    <col min="5635" max="5635" width="18.85546875" style="21" bestFit="1" customWidth="1"/>
    <col min="5636" max="5636" width="20.28515625" style="21" bestFit="1" customWidth="1"/>
    <col min="5637" max="5637" width="18.85546875" style="21" customWidth="1"/>
    <col min="5638" max="5638" width="14.7109375" style="21" customWidth="1"/>
    <col min="5639" max="5639" width="11.28515625" style="21" customWidth="1"/>
    <col min="5640" max="5640" width="11.7109375" style="21" customWidth="1"/>
    <col min="5641" max="5641" width="19.140625" style="21" bestFit="1" customWidth="1"/>
    <col min="5642" max="5642" width="10.140625" style="21" bestFit="1" customWidth="1"/>
    <col min="5643" max="5888" width="9.140625" style="21"/>
    <col min="5889" max="5889" width="14" style="21" customWidth="1"/>
    <col min="5890" max="5890" width="20.28515625" style="21" bestFit="1" customWidth="1"/>
    <col min="5891" max="5891" width="18.85546875" style="21" bestFit="1" customWidth="1"/>
    <col min="5892" max="5892" width="20.28515625" style="21" bestFit="1" customWidth="1"/>
    <col min="5893" max="5893" width="18.85546875" style="21" customWidth="1"/>
    <col min="5894" max="5894" width="14.7109375" style="21" customWidth="1"/>
    <col min="5895" max="5895" width="11.28515625" style="21" customWidth="1"/>
    <col min="5896" max="5896" width="11.7109375" style="21" customWidth="1"/>
    <col min="5897" max="5897" width="19.140625" style="21" bestFit="1" customWidth="1"/>
    <col min="5898" max="5898" width="10.140625" style="21" bestFit="1" customWidth="1"/>
    <col min="5899" max="6144" width="9.140625" style="21"/>
    <col min="6145" max="6145" width="14" style="21" customWidth="1"/>
    <col min="6146" max="6146" width="20.28515625" style="21" bestFit="1" customWidth="1"/>
    <col min="6147" max="6147" width="18.85546875" style="21" bestFit="1" customWidth="1"/>
    <col min="6148" max="6148" width="20.28515625" style="21" bestFit="1" customWidth="1"/>
    <col min="6149" max="6149" width="18.85546875" style="21" customWidth="1"/>
    <col min="6150" max="6150" width="14.7109375" style="21" customWidth="1"/>
    <col min="6151" max="6151" width="11.28515625" style="21" customWidth="1"/>
    <col min="6152" max="6152" width="11.7109375" style="21" customWidth="1"/>
    <col min="6153" max="6153" width="19.140625" style="21" bestFit="1" customWidth="1"/>
    <col min="6154" max="6154" width="10.140625" style="21" bestFit="1" customWidth="1"/>
    <col min="6155" max="6400" width="9.140625" style="21"/>
    <col min="6401" max="6401" width="14" style="21" customWidth="1"/>
    <col min="6402" max="6402" width="20.28515625" style="21" bestFit="1" customWidth="1"/>
    <col min="6403" max="6403" width="18.85546875" style="21" bestFit="1" customWidth="1"/>
    <col min="6404" max="6404" width="20.28515625" style="21" bestFit="1" customWidth="1"/>
    <col min="6405" max="6405" width="18.85546875" style="21" customWidth="1"/>
    <col min="6406" max="6406" width="14.7109375" style="21" customWidth="1"/>
    <col min="6407" max="6407" width="11.28515625" style="21" customWidth="1"/>
    <col min="6408" max="6408" width="11.7109375" style="21" customWidth="1"/>
    <col min="6409" max="6409" width="19.140625" style="21" bestFit="1" customWidth="1"/>
    <col min="6410" max="6410" width="10.140625" style="21" bestFit="1" customWidth="1"/>
    <col min="6411" max="6656" width="9.140625" style="21"/>
    <col min="6657" max="6657" width="14" style="21" customWidth="1"/>
    <col min="6658" max="6658" width="20.28515625" style="21" bestFit="1" customWidth="1"/>
    <col min="6659" max="6659" width="18.85546875" style="21" bestFit="1" customWidth="1"/>
    <col min="6660" max="6660" width="20.28515625" style="21" bestFit="1" customWidth="1"/>
    <col min="6661" max="6661" width="18.85546875" style="21" customWidth="1"/>
    <col min="6662" max="6662" width="14.7109375" style="21" customWidth="1"/>
    <col min="6663" max="6663" width="11.28515625" style="21" customWidth="1"/>
    <col min="6664" max="6664" width="11.7109375" style="21" customWidth="1"/>
    <col min="6665" max="6665" width="19.140625" style="21" bestFit="1" customWidth="1"/>
    <col min="6666" max="6666" width="10.140625" style="21" bestFit="1" customWidth="1"/>
    <col min="6667" max="6912" width="9.140625" style="21"/>
    <col min="6913" max="6913" width="14" style="21" customWidth="1"/>
    <col min="6914" max="6914" width="20.28515625" style="21" bestFit="1" customWidth="1"/>
    <col min="6915" max="6915" width="18.85546875" style="21" bestFit="1" customWidth="1"/>
    <col min="6916" max="6916" width="20.28515625" style="21" bestFit="1" customWidth="1"/>
    <col min="6917" max="6917" width="18.85546875" style="21" customWidth="1"/>
    <col min="6918" max="6918" width="14.7109375" style="21" customWidth="1"/>
    <col min="6919" max="6919" width="11.28515625" style="21" customWidth="1"/>
    <col min="6920" max="6920" width="11.7109375" style="21" customWidth="1"/>
    <col min="6921" max="6921" width="19.140625" style="21" bestFit="1" customWidth="1"/>
    <col min="6922" max="6922" width="10.140625" style="21" bestFit="1" customWidth="1"/>
    <col min="6923" max="7168" width="9.140625" style="21"/>
    <col min="7169" max="7169" width="14" style="21" customWidth="1"/>
    <col min="7170" max="7170" width="20.28515625" style="21" bestFit="1" customWidth="1"/>
    <col min="7171" max="7171" width="18.85546875" style="21" bestFit="1" customWidth="1"/>
    <col min="7172" max="7172" width="20.28515625" style="21" bestFit="1" customWidth="1"/>
    <col min="7173" max="7173" width="18.85546875" style="21" customWidth="1"/>
    <col min="7174" max="7174" width="14.7109375" style="21" customWidth="1"/>
    <col min="7175" max="7175" width="11.28515625" style="21" customWidth="1"/>
    <col min="7176" max="7176" width="11.7109375" style="21" customWidth="1"/>
    <col min="7177" max="7177" width="19.140625" style="21" bestFit="1" customWidth="1"/>
    <col min="7178" max="7178" width="10.140625" style="21" bestFit="1" customWidth="1"/>
    <col min="7179" max="7424" width="9.140625" style="21"/>
    <col min="7425" max="7425" width="14" style="21" customWidth="1"/>
    <col min="7426" max="7426" width="20.28515625" style="21" bestFit="1" customWidth="1"/>
    <col min="7427" max="7427" width="18.85546875" style="21" bestFit="1" customWidth="1"/>
    <col min="7428" max="7428" width="20.28515625" style="21" bestFit="1" customWidth="1"/>
    <col min="7429" max="7429" width="18.85546875" style="21" customWidth="1"/>
    <col min="7430" max="7430" width="14.7109375" style="21" customWidth="1"/>
    <col min="7431" max="7431" width="11.28515625" style="21" customWidth="1"/>
    <col min="7432" max="7432" width="11.7109375" style="21" customWidth="1"/>
    <col min="7433" max="7433" width="19.140625" style="21" bestFit="1" customWidth="1"/>
    <col min="7434" max="7434" width="10.140625" style="21" bestFit="1" customWidth="1"/>
    <col min="7435" max="7680" width="9.140625" style="21"/>
    <col min="7681" max="7681" width="14" style="21" customWidth="1"/>
    <col min="7682" max="7682" width="20.28515625" style="21" bestFit="1" customWidth="1"/>
    <col min="7683" max="7683" width="18.85546875" style="21" bestFit="1" customWidth="1"/>
    <col min="7684" max="7684" width="20.28515625" style="21" bestFit="1" customWidth="1"/>
    <col min="7685" max="7685" width="18.85546875" style="21" customWidth="1"/>
    <col min="7686" max="7686" width="14.7109375" style="21" customWidth="1"/>
    <col min="7687" max="7687" width="11.28515625" style="21" customWidth="1"/>
    <col min="7688" max="7688" width="11.7109375" style="21" customWidth="1"/>
    <col min="7689" max="7689" width="19.140625" style="21" bestFit="1" customWidth="1"/>
    <col min="7690" max="7690" width="10.140625" style="21" bestFit="1" customWidth="1"/>
    <col min="7691" max="7936" width="9.140625" style="21"/>
    <col min="7937" max="7937" width="14" style="21" customWidth="1"/>
    <col min="7938" max="7938" width="20.28515625" style="21" bestFit="1" customWidth="1"/>
    <col min="7939" max="7939" width="18.85546875" style="21" bestFit="1" customWidth="1"/>
    <col min="7940" max="7940" width="20.28515625" style="21" bestFit="1" customWidth="1"/>
    <col min="7941" max="7941" width="18.85546875" style="21" customWidth="1"/>
    <col min="7942" max="7942" width="14.7109375" style="21" customWidth="1"/>
    <col min="7943" max="7943" width="11.28515625" style="21" customWidth="1"/>
    <col min="7944" max="7944" width="11.7109375" style="21" customWidth="1"/>
    <col min="7945" max="7945" width="19.140625" style="21" bestFit="1" customWidth="1"/>
    <col min="7946" max="7946" width="10.140625" style="21" bestFit="1" customWidth="1"/>
    <col min="7947" max="8192" width="9.140625" style="21"/>
    <col min="8193" max="8193" width="14" style="21" customWidth="1"/>
    <col min="8194" max="8194" width="20.28515625" style="21" bestFit="1" customWidth="1"/>
    <col min="8195" max="8195" width="18.85546875" style="21" bestFit="1" customWidth="1"/>
    <col min="8196" max="8196" width="20.28515625" style="21" bestFit="1" customWidth="1"/>
    <col min="8197" max="8197" width="18.85546875" style="21" customWidth="1"/>
    <col min="8198" max="8198" width="14.7109375" style="21" customWidth="1"/>
    <col min="8199" max="8199" width="11.28515625" style="21" customWidth="1"/>
    <col min="8200" max="8200" width="11.7109375" style="21" customWidth="1"/>
    <col min="8201" max="8201" width="19.140625" style="21" bestFit="1" customWidth="1"/>
    <col min="8202" max="8202" width="10.140625" style="21" bestFit="1" customWidth="1"/>
    <col min="8203" max="8448" width="9.140625" style="21"/>
    <col min="8449" max="8449" width="14" style="21" customWidth="1"/>
    <col min="8450" max="8450" width="20.28515625" style="21" bestFit="1" customWidth="1"/>
    <col min="8451" max="8451" width="18.85546875" style="21" bestFit="1" customWidth="1"/>
    <col min="8452" max="8452" width="20.28515625" style="21" bestFit="1" customWidth="1"/>
    <col min="8453" max="8453" width="18.85546875" style="21" customWidth="1"/>
    <col min="8454" max="8454" width="14.7109375" style="21" customWidth="1"/>
    <col min="8455" max="8455" width="11.28515625" style="21" customWidth="1"/>
    <col min="8456" max="8456" width="11.7109375" style="21" customWidth="1"/>
    <col min="8457" max="8457" width="19.140625" style="21" bestFit="1" customWidth="1"/>
    <col min="8458" max="8458" width="10.140625" style="21" bestFit="1" customWidth="1"/>
    <col min="8459" max="8704" width="9.140625" style="21"/>
    <col min="8705" max="8705" width="14" style="21" customWidth="1"/>
    <col min="8706" max="8706" width="20.28515625" style="21" bestFit="1" customWidth="1"/>
    <col min="8707" max="8707" width="18.85546875" style="21" bestFit="1" customWidth="1"/>
    <col min="8708" max="8708" width="20.28515625" style="21" bestFit="1" customWidth="1"/>
    <col min="8709" max="8709" width="18.85546875" style="21" customWidth="1"/>
    <col min="8710" max="8710" width="14.7109375" style="21" customWidth="1"/>
    <col min="8711" max="8711" width="11.28515625" style="21" customWidth="1"/>
    <col min="8712" max="8712" width="11.7109375" style="21" customWidth="1"/>
    <col min="8713" max="8713" width="19.140625" style="21" bestFit="1" customWidth="1"/>
    <col min="8714" max="8714" width="10.140625" style="21" bestFit="1" customWidth="1"/>
    <col min="8715" max="8960" width="9.140625" style="21"/>
    <col min="8961" max="8961" width="14" style="21" customWidth="1"/>
    <col min="8962" max="8962" width="20.28515625" style="21" bestFit="1" customWidth="1"/>
    <col min="8963" max="8963" width="18.85546875" style="21" bestFit="1" customWidth="1"/>
    <col min="8964" max="8964" width="20.28515625" style="21" bestFit="1" customWidth="1"/>
    <col min="8965" max="8965" width="18.85546875" style="21" customWidth="1"/>
    <col min="8966" max="8966" width="14.7109375" style="21" customWidth="1"/>
    <col min="8967" max="8967" width="11.28515625" style="21" customWidth="1"/>
    <col min="8968" max="8968" width="11.7109375" style="21" customWidth="1"/>
    <col min="8969" max="8969" width="19.140625" style="21" bestFit="1" customWidth="1"/>
    <col min="8970" max="8970" width="10.140625" style="21" bestFit="1" customWidth="1"/>
    <col min="8971" max="9216" width="9.140625" style="21"/>
    <col min="9217" max="9217" width="14" style="21" customWidth="1"/>
    <col min="9218" max="9218" width="20.28515625" style="21" bestFit="1" customWidth="1"/>
    <col min="9219" max="9219" width="18.85546875" style="21" bestFit="1" customWidth="1"/>
    <col min="9220" max="9220" width="20.28515625" style="21" bestFit="1" customWidth="1"/>
    <col min="9221" max="9221" width="18.85546875" style="21" customWidth="1"/>
    <col min="9222" max="9222" width="14.7109375" style="21" customWidth="1"/>
    <col min="9223" max="9223" width="11.28515625" style="21" customWidth="1"/>
    <col min="9224" max="9224" width="11.7109375" style="21" customWidth="1"/>
    <col min="9225" max="9225" width="19.140625" style="21" bestFit="1" customWidth="1"/>
    <col min="9226" max="9226" width="10.140625" style="21" bestFit="1" customWidth="1"/>
    <col min="9227" max="9472" width="9.140625" style="21"/>
    <col min="9473" max="9473" width="14" style="21" customWidth="1"/>
    <col min="9474" max="9474" width="20.28515625" style="21" bestFit="1" customWidth="1"/>
    <col min="9475" max="9475" width="18.85546875" style="21" bestFit="1" customWidth="1"/>
    <col min="9476" max="9476" width="20.28515625" style="21" bestFit="1" customWidth="1"/>
    <col min="9477" max="9477" width="18.85546875" style="21" customWidth="1"/>
    <col min="9478" max="9478" width="14.7109375" style="21" customWidth="1"/>
    <col min="9479" max="9479" width="11.28515625" style="21" customWidth="1"/>
    <col min="9480" max="9480" width="11.7109375" style="21" customWidth="1"/>
    <col min="9481" max="9481" width="19.140625" style="21" bestFit="1" customWidth="1"/>
    <col min="9482" max="9482" width="10.140625" style="21" bestFit="1" customWidth="1"/>
    <col min="9483" max="9728" width="9.140625" style="21"/>
    <col min="9729" max="9729" width="14" style="21" customWidth="1"/>
    <col min="9730" max="9730" width="20.28515625" style="21" bestFit="1" customWidth="1"/>
    <col min="9731" max="9731" width="18.85546875" style="21" bestFit="1" customWidth="1"/>
    <col min="9732" max="9732" width="20.28515625" style="21" bestFit="1" customWidth="1"/>
    <col min="9733" max="9733" width="18.85546875" style="21" customWidth="1"/>
    <col min="9734" max="9734" width="14.7109375" style="21" customWidth="1"/>
    <col min="9735" max="9735" width="11.28515625" style="21" customWidth="1"/>
    <col min="9736" max="9736" width="11.7109375" style="21" customWidth="1"/>
    <col min="9737" max="9737" width="19.140625" style="21" bestFit="1" customWidth="1"/>
    <col min="9738" max="9738" width="10.140625" style="21" bestFit="1" customWidth="1"/>
    <col min="9739" max="9984" width="9.140625" style="21"/>
    <col min="9985" max="9985" width="14" style="21" customWidth="1"/>
    <col min="9986" max="9986" width="20.28515625" style="21" bestFit="1" customWidth="1"/>
    <col min="9987" max="9987" width="18.85546875" style="21" bestFit="1" customWidth="1"/>
    <col min="9988" max="9988" width="20.28515625" style="21" bestFit="1" customWidth="1"/>
    <col min="9989" max="9989" width="18.85546875" style="21" customWidth="1"/>
    <col min="9990" max="9990" width="14.7109375" style="21" customWidth="1"/>
    <col min="9991" max="9991" width="11.28515625" style="21" customWidth="1"/>
    <col min="9992" max="9992" width="11.7109375" style="21" customWidth="1"/>
    <col min="9993" max="9993" width="19.140625" style="21" bestFit="1" customWidth="1"/>
    <col min="9994" max="9994" width="10.140625" style="21" bestFit="1" customWidth="1"/>
    <col min="9995" max="10240" width="9.140625" style="21"/>
    <col min="10241" max="10241" width="14" style="21" customWidth="1"/>
    <col min="10242" max="10242" width="20.28515625" style="21" bestFit="1" customWidth="1"/>
    <col min="10243" max="10243" width="18.85546875" style="21" bestFit="1" customWidth="1"/>
    <col min="10244" max="10244" width="20.28515625" style="21" bestFit="1" customWidth="1"/>
    <col min="10245" max="10245" width="18.85546875" style="21" customWidth="1"/>
    <col min="10246" max="10246" width="14.7109375" style="21" customWidth="1"/>
    <col min="10247" max="10247" width="11.28515625" style="21" customWidth="1"/>
    <col min="10248" max="10248" width="11.7109375" style="21" customWidth="1"/>
    <col min="10249" max="10249" width="19.140625" style="21" bestFit="1" customWidth="1"/>
    <col min="10250" max="10250" width="10.140625" style="21" bestFit="1" customWidth="1"/>
    <col min="10251" max="10496" width="9.140625" style="21"/>
    <col min="10497" max="10497" width="14" style="21" customWidth="1"/>
    <col min="10498" max="10498" width="20.28515625" style="21" bestFit="1" customWidth="1"/>
    <col min="10499" max="10499" width="18.85546875" style="21" bestFit="1" customWidth="1"/>
    <col min="10500" max="10500" width="20.28515625" style="21" bestFit="1" customWidth="1"/>
    <col min="10501" max="10501" width="18.85546875" style="21" customWidth="1"/>
    <col min="10502" max="10502" width="14.7109375" style="21" customWidth="1"/>
    <col min="10503" max="10503" width="11.28515625" style="21" customWidth="1"/>
    <col min="10504" max="10504" width="11.7109375" style="21" customWidth="1"/>
    <col min="10505" max="10505" width="19.140625" style="21" bestFit="1" customWidth="1"/>
    <col min="10506" max="10506" width="10.140625" style="21" bestFit="1" customWidth="1"/>
    <col min="10507" max="10752" width="9.140625" style="21"/>
    <col min="10753" max="10753" width="14" style="21" customWidth="1"/>
    <col min="10754" max="10754" width="20.28515625" style="21" bestFit="1" customWidth="1"/>
    <col min="10755" max="10755" width="18.85546875" style="21" bestFit="1" customWidth="1"/>
    <col min="10756" max="10756" width="20.28515625" style="21" bestFit="1" customWidth="1"/>
    <col min="10757" max="10757" width="18.85546875" style="21" customWidth="1"/>
    <col min="10758" max="10758" width="14.7109375" style="21" customWidth="1"/>
    <col min="10759" max="10759" width="11.28515625" style="21" customWidth="1"/>
    <col min="10760" max="10760" width="11.7109375" style="21" customWidth="1"/>
    <col min="10761" max="10761" width="19.140625" style="21" bestFit="1" customWidth="1"/>
    <col min="10762" max="10762" width="10.140625" style="21" bestFit="1" customWidth="1"/>
    <col min="10763" max="11008" width="9.140625" style="21"/>
    <col min="11009" max="11009" width="14" style="21" customWidth="1"/>
    <col min="11010" max="11010" width="20.28515625" style="21" bestFit="1" customWidth="1"/>
    <col min="11011" max="11011" width="18.85546875" style="21" bestFit="1" customWidth="1"/>
    <col min="11012" max="11012" width="20.28515625" style="21" bestFit="1" customWidth="1"/>
    <col min="11013" max="11013" width="18.85546875" style="21" customWidth="1"/>
    <col min="11014" max="11014" width="14.7109375" style="21" customWidth="1"/>
    <col min="11015" max="11015" width="11.28515625" style="21" customWidth="1"/>
    <col min="11016" max="11016" width="11.7109375" style="21" customWidth="1"/>
    <col min="11017" max="11017" width="19.140625" style="21" bestFit="1" customWidth="1"/>
    <col min="11018" max="11018" width="10.140625" style="21" bestFit="1" customWidth="1"/>
    <col min="11019" max="11264" width="9.140625" style="21"/>
    <col min="11265" max="11265" width="14" style="21" customWidth="1"/>
    <col min="11266" max="11266" width="20.28515625" style="21" bestFit="1" customWidth="1"/>
    <col min="11267" max="11267" width="18.85546875" style="21" bestFit="1" customWidth="1"/>
    <col min="11268" max="11268" width="20.28515625" style="21" bestFit="1" customWidth="1"/>
    <col min="11269" max="11269" width="18.85546875" style="21" customWidth="1"/>
    <col min="11270" max="11270" width="14.7109375" style="21" customWidth="1"/>
    <col min="11271" max="11271" width="11.28515625" style="21" customWidth="1"/>
    <col min="11272" max="11272" width="11.7109375" style="21" customWidth="1"/>
    <col min="11273" max="11273" width="19.140625" style="21" bestFit="1" customWidth="1"/>
    <col min="11274" max="11274" width="10.140625" style="21" bestFit="1" customWidth="1"/>
    <col min="11275" max="11520" width="9.140625" style="21"/>
    <col min="11521" max="11521" width="14" style="21" customWidth="1"/>
    <col min="11522" max="11522" width="20.28515625" style="21" bestFit="1" customWidth="1"/>
    <col min="11523" max="11523" width="18.85546875" style="21" bestFit="1" customWidth="1"/>
    <col min="11524" max="11524" width="20.28515625" style="21" bestFit="1" customWidth="1"/>
    <col min="11525" max="11525" width="18.85546875" style="21" customWidth="1"/>
    <col min="11526" max="11526" width="14.7109375" style="21" customWidth="1"/>
    <col min="11527" max="11527" width="11.28515625" style="21" customWidth="1"/>
    <col min="11528" max="11528" width="11.7109375" style="21" customWidth="1"/>
    <col min="11529" max="11529" width="19.140625" style="21" bestFit="1" customWidth="1"/>
    <col min="11530" max="11530" width="10.140625" style="21" bestFit="1" customWidth="1"/>
    <col min="11531" max="11776" width="9.140625" style="21"/>
    <col min="11777" max="11777" width="14" style="21" customWidth="1"/>
    <col min="11778" max="11778" width="20.28515625" style="21" bestFit="1" customWidth="1"/>
    <col min="11779" max="11779" width="18.85546875" style="21" bestFit="1" customWidth="1"/>
    <col min="11780" max="11780" width="20.28515625" style="21" bestFit="1" customWidth="1"/>
    <col min="11781" max="11781" width="18.85546875" style="21" customWidth="1"/>
    <col min="11782" max="11782" width="14.7109375" style="21" customWidth="1"/>
    <col min="11783" max="11783" width="11.28515625" style="21" customWidth="1"/>
    <col min="11784" max="11784" width="11.7109375" style="21" customWidth="1"/>
    <col min="11785" max="11785" width="19.140625" style="21" bestFit="1" customWidth="1"/>
    <col min="11786" max="11786" width="10.140625" style="21" bestFit="1" customWidth="1"/>
    <col min="11787" max="12032" width="9.140625" style="21"/>
    <col min="12033" max="12033" width="14" style="21" customWidth="1"/>
    <col min="12034" max="12034" width="20.28515625" style="21" bestFit="1" customWidth="1"/>
    <col min="12035" max="12035" width="18.85546875" style="21" bestFit="1" customWidth="1"/>
    <col min="12036" max="12036" width="20.28515625" style="21" bestFit="1" customWidth="1"/>
    <col min="12037" max="12037" width="18.85546875" style="21" customWidth="1"/>
    <col min="12038" max="12038" width="14.7109375" style="21" customWidth="1"/>
    <col min="12039" max="12039" width="11.28515625" style="21" customWidth="1"/>
    <col min="12040" max="12040" width="11.7109375" style="21" customWidth="1"/>
    <col min="12041" max="12041" width="19.140625" style="21" bestFit="1" customWidth="1"/>
    <col min="12042" max="12042" width="10.140625" style="21" bestFit="1" customWidth="1"/>
    <col min="12043" max="12288" width="9.140625" style="21"/>
    <col min="12289" max="12289" width="14" style="21" customWidth="1"/>
    <col min="12290" max="12290" width="20.28515625" style="21" bestFit="1" customWidth="1"/>
    <col min="12291" max="12291" width="18.85546875" style="21" bestFit="1" customWidth="1"/>
    <col min="12292" max="12292" width="20.28515625" style="21" bestFit="1" customWidth="1"/>
    <col min="12293" max="12293" width="18.85546875" style="21" customWidth="1"/>
    <col min="12294" max="12294" width="14.7109375" style="21" customWidth="1"/>
    <col min="12295" max="12295" width="11.28515625" style="21" customWidth="1"/>
    <col min="12296" max="12296" width="11.7109375" style="21" customWidth="1"/>
    <col min="12297" max="12297" width="19.140625" style="21" bestFit="1" customWidth="1"/>
    <col min="12298" max="12298" width="10.140625" style="21" bestFit="1" customWidth="1"/>
    <col min="12299" max="12544" width="9.140625" style="21"/>
    <col min="12545" max="12545" width="14" style="21" customWidth="1"/>
    <col min="12546" max="12546" width="20.28515625" style="21" bestFit="1" customWidth="1"/>
    <col min="12547" max="12547" width="18.85546875" style="21" bestFit="1" customWidth="1"/>
    <col min="12548" max="12548" width="20.28515625" style="21" bestFit="1" customWidth="1"/>
    <col min="12549" max="12549" width="18.85546875" style="21" customWidth="1"/>
    <col min="12550" max="12550" width="14.7109375" style="21" customWidth="1"/>
    <col min="12551" max="12551" width="11.28515625" style="21" customWidth="1"/>
    <col min="12552" max="12552" width="11.7109375" style="21" customWidth="1"/>
    <col min="12553" max="12553" width="19.140625" style="21" bestFit="1" customWidth="1"/>
    <col min="12554" max="12554" width="10.140625" style="21" bestFit="1" customWidth="1"/>
    <col min="12555" max="12800" width="9.140625" style="21"/>
    <col min="12801" max="12801" width="14" style="21" customWidth="1"/>
    <col min="12802" max="12802" width="20.28515625" style="21" bestFit="1" customWidth="1"/>
    <col min="12803" max="12803" width="18.85546875" style="21" bestFit="1" customWidth="1"/>
    <col min="12804" max="12804" width="20.28515625" style="21" bestFit="1" customWidth="1"/>
    <col min="12805" max="12805" width="18.85546875" style="21" customWidth="1"/>
    <col min="12806" max="12806" width="14.7109375" style="21" customWidth="1"/>
    <col min="12807" max="12807" width="11.28515625" style="21" customWidth="1"/>
    <col min="12808" max="12808" width="11.7109375" style="21" customWidth="1"/>
    <col min="12809" max="12809" width="19.140625" style="21" bestFit="1" customWidth="1"/>
    <col min="12810" max="12810" width="10.140625" style="21" bestFit="1" customWidth="1"/>
    <col min="12811" max="13056" width="9.140625" style="21"/>
    <col min="13057" max="13057" width="14" style="21" customWidth="1"/>
    <col min="13058" max="13058" width="20.28515625" style="21" bestFit="1" customWidth="1"/>
    <col min="13059" max="13059" width="18.85546875" style="21" bestFit="1" customWidth="1"/>
    <col min="13060" max="13060" width="20.28515625" style="21" bestFit="1" customWidth="1"/>
    <col min="13061" max="13061" width="18.85546875" style="21" customWidth="1"/>
    <col min="13062" max="13062" width="14.7109375" style="21" customWidth="1"/>
    <col min="13063" max="13063" width="11.28515625" style="21" customWidth="1"/>
    <col min="13064" max="13064" width="11.7109375" style="21" customWidth="1"/>
    <col min="13065" max="13065" width="19.140625" style="21" bestFit="1" customWidth="1"/>
    <col min="13066" max="13066" width="10.140625" style="21" bestFit="1" customWidth="1"/>
    <col min="13067" max="13312" width="9.140625" style="21"/>
    <col min="13313" max="13313" width="14" style="21" customWidth="1"/>
    <col min="13314" max="13314" width="20.28515625" style="21" bestFit="1" customWidth="1"/>
    <col min="13315" max="13315" width="18.85546875" style="21" bestFit="1" customWidth="1"/>
    <col min="13316" max="13316" width="20.28515625" style="21" bestFit="1" customWidth="1"/>
    <col min="13317" max="13317" width="18.85546875" style="21" customWidth="1"/>
    <col min="13318" max="13318" width="14.7109375" style="21" customWidth="1"/>
    <col min="13319" max="13319" width="11.28515625" style="21" customWidth="1"/>
    <col min="13320" max="13320" width="11.7109375" style="21" customWidth="1"/>
    <col min="13321" max="13321" width="19.140625" style="21" bestFit="1" customWidth="1"/>
    <col min="13322" max="13322" width="10.140625" style="21" bestFit="1" customWidth="1"/>
    <col min="13323" max="13568" width="9.140625" style="21"/>
    <col min="13569" max="13569" width="14" style="21" customWidth="1"/>
    <col min="13570" max="13570" width="20.28515625" style="21" bestFit="1" customWidth="1"/>
    <col min="13571" max="13571" width="18.85546875" style="21" bestFit="1" customWidth="1"/>
    <col min="13572" max="13572" width="20.28515625" style="21" bestFit="1" customWidth="1"/>
    <col min="13573" max="13573" width="18.85546875" style="21" customWidth="1"/>
    <col min="13574" max="13574" width="14.7109375" style="21" customWidth="1"/>
    <col min="13575" max="13575" width="11.28515625" style="21" customWidth="1"/>
    <col min="13576" max="13576" width="11.7109375" style="21" customWidth="1"/>
    <col min="13577" max="13577" width="19.140625" style="21" bestFit="1" customWidth="1"/>
    <col min="13578" max="13578" width="10.140625" style="21" bestFit="1" customWidth="1"/>
    <col min="13579" max="13824" width="9.140625" style="21"/>
    <col min="13825" max="13825" width="14" style="21" customWidth="1"/>
    <col min="13826" max="13826" width="20.28515625" style="21" bestFit="1" customWidth="1"/>
    <col min="13827" max="13827" width="18.85546875" style="21" bestFit="1" customWidth="1"/>
    <col min="13828" max="13828" width="20.28515625" style="21" bestFit="1" customWidth="1"/>
    <col min="13829" max="13829" width="18.85546875" style="21" customWidth="1"/>
    <col min="13830" max="13830" width="14.7109375" style="21" customWidth="1"/>
    <col min="13831" max="13831" width="11.28515625" style="21" customWidth="1"/>
    <col min="13832" max="13832" width="11.7109375" style="21" customWidth="1"/>
    <col min="13833" max="13833" width="19.140625" style="21" bestFit="1" customWidth="1"/>
    <col min="13834" max="13834" width="10.140625" style="21" bestFit="1" customWidth="1"/>
    <col min="13835" max="14080" width="9.140625" style="21"/>
    <col min="14081" max="14081" width="14" style="21" customWidth="1"/>
    <col min="14082" max="14082" width="20.28515625" style="21" bestFit="1" customWidth="1"/>
    <col min="14083" max="14083" width="18.85546875" style="21" bestFit="1" customWidth="1"/>
    <col min="14084" max="14084" width="20.28515625" style="21" bestFit="1" customWidth="1"/>
    <col min="14085" max="14085" width="18.85546875" style="21" customWidth="1"/>
    <col min="14086" max="14086" width="14.7109375" style="21" customWidth="1"/>
    <col min="14087" max="14087" width="11.28515625" style="21" customWidth="1"/>
    <col min="14088" max="14088" width="11.7109375" style="21" customWidth="1"/>
    <col min="14089" max="14089" width="19.140625" style="21" bestFit="1" customWidth="1"/>
    <col min="14090" max="14090" width="10.140625" style="21" bestFit="1" customWidth="1"/>
    <col min="14091" max="14336" width="9.140625" style="21"/>
    <col min="14337" max="14337" width="14" style="21" customWidth="1"/>
    <col min="14338" max="14338" width="20.28515625" style="21" bestFit="1" customWidth="1"/>
    <col min="14339" max="14339" width="18.85546875" style="21" bestFit="1" customWidth="1"/>
    <col min="14340" max="14340" width="20.28515625" style="21" bestFit="1" customWidth="1"/>
    <col min="14341" max="14341" width="18.85546875" style="21" customWidth="1"/>
    <col min="14342" max="14342" width="14.7109375" style="21" customWidth="1"/>
    <col min="14343" max="14343" width="11.28515625" style="21" customWidth="1"/>
    <col min="14344" max="14344" width="11.7109375" style="21" customWidth="1"/>
    <col min="14345" max="14345" width="19.140625" style="21" bestFit="1" customWidth="1"/>
    <col min="14346" max="14346" width="10.140625" style="21" bestFit="1" customWidth="1"/>
    <col min="14347" max="14592" width="9.140625" style="21"/>
    <col min="14593" max="14593" width="14" style="21" customWidth="1"/>
    <col min="14594" max="14594" width="20.28515625" style="21" bestFit="1" customWidth="1"/>
    <col min="14595" max="14595" width="18.85546875" style="21" bestFit="1" customWidth="1"/>
    <col min="14596" max="14596" width="20.28515625" style="21" bestFit="1" customWidth="1"/>
    <col min="14597" max="14597" width="18.85546875" style="21" customWidth="1"/>
    <col min="14598" max="14598" width="14.7109375" style="21" customWidth="1"/>
    <col min="14599" max="14599" width="11.28515625" style="21" customWidth="1"/>
    <col min="14600" max="14600" width="11.7109375" style="21" customWidth="1"/>
    <col min="14601" max="14601" width="19.140625" style="21" bestFit="1" customWidth="1"/>
    <col min="14602" max="14602" width="10.140625" style="21" bestFit="1" customWidth="1"/>
    <col min="14603" max="14848" width="9.140625" style="21"/>
    <col min="14849" max="14849" width="14" style="21" customWidth="1"/>
    <col min="14850" max="14850" width="20.28515625" style="21" bestFit="1" customWidth="1"/>
    <col min="14851" max="14851" width="18.85546875" style="21" bestFit="1" customWidth="1"/>
    <col min="14852" max="14852" width="20.28515625" style="21" bestFit="1" customWidth="1"/>
    <col min="14853" max="14853" width="18.85546875" style="21" customWidth="1"/>
    <col min="14854" max="14854" width="14.7109375" style="21" customWidth="1"/>
    <col min="14855" max="14855" width="11.28515625" style="21" customWidth="1"/>
    <col min="14856" max="14856" width="11.7109375" style="21" customWidth="1"/>
    <col min="14857" max="14857" width="19.140625" style="21" bestFit="1" customWidth="1"/>
    <col min="14858" max="14858" width="10.140625" style="21" bestFit="1" customWidth="1"/>
    <col min="14859" max="15104" width="9.140625" style="21"/>
    <col min="15105" max="15105" width="14" style="21" customWidth="1"/>
    <col min="15106" max="15106" width="20.28515625" style="21" bestFit="1" customWidth="1"/>
    <col min="15107" max="15107" width="18.85546875" style="21" bestFit="1" customWidth="1"/>
    <col min="15108" max="15108" width="20.28515625" style="21" bestFit="1" customWidth="1"/>
    <col min="15109" max="15109" width="18.85546875" style="21" customWidth="1"/>
    <col min="15110" max="15110" width="14.7109375" style="21" customWidth="1"/>
    <col min="15111" max="15111" width="11.28515625" style="21" customWidth="1"/>
    <col min="15112" max="15112" width="11.7109375" style="21" customWidth="1"/>
    <col min="15113" max="15113" width="19.140625" style="21" bestFit="1" customWidth="1"/>
    <col min="15114" max="15114" width="10.140625" style="21" bestFit="1" customWidth="1"/>
    <col min="15115" max="15360" width="9.140625" style="21"/>
    <col min="15361" max="15361" width="14" style="21" customWidth="1"/>
    <col min="15362" max="15362" width="20.28515625" style="21" bestFit="1" customWidth="1"/>
    <col min="15363" max="15363" width="18.85546875" style="21" bestFit="1" customWidth="1"/>
    <col min="15364" max="15364" width="20.28515625" style="21" bestFit="1" customWidth="1"/>
    <col min="15365" max="15365" width="18.85546875" style="21" customWidth="1"/>
    <col min="15366" max="15366" width="14.7109375" style="21" customWidth="1"/>
    <col min="15367" max="15367" width="11.28515625" style="21" customWidth="1"/>
    <col min="15368" max="15368" width="11.7109375" style="21" customWidth="1"/>
    <col min="15369" max="15369" width="19.140625" style="21" bestFit="1" customWidth="1"/>
    <col min="15370" max="15370" width="10.140625" style="21" bestFit="1" customWidth="1"/>
    <col min="15371" max="15616" width="9.140625" style="21"/>
    <col min="15617" max="15617" width="14" style="21" customWidth="1"/>
    <col min="15618" max="15618" width="20.28515625" style="21" bestFit="1" customWidth="1"/>
    <col min="15619" max="15619" width="18.85546875" style="21" bestFit="1" customWidth="1"/>
    <col min="15620" max="15620" width="20.28515625" style="21" bestFit="1" customWidth="1"/>
    <col min="15621" max="15621" width="18.85546875" style="21" customWidth="1"/>
    <col min="15622" max="15622" width="14.7109375" style="21" customWidth="1"/>
    <col min="15623" max="15623" width="11.28515625" style="21" customWidth="1"/>
    <col min="15624" max="15624" width="11.7109375" style="21" customWidth="1"/>
    <col min="15625" max="15625" width="19.140625" style="21" bestFit="1" customWidth="1"/>
    <col min="15626" max="15626" width="10.140625" style="21" bestFit="1" customWidth="1"/>
    <col min="15627" max="15872" width="9.140625" style="21"/>
    <col min="15873" max="15873" width="14" style="21" customWidth="1"/>
    <col min="15874" max="15874" width="20.28515625" style="21" bestFit="1" customWidth="1"/>
    <col min="15875" max="15875" width="18.85546875" style="21" bestFit="1" customWidth="1"/>
    <col min="15876" max="15876" width="20.28515625" style="21" bestFit="1" customWidth="1"/>
    <col min="15877" max="15877" width="18.85546875" style="21" customWidth="1"/>
    <col min="15878" max="15878" width="14.7109375" style="21" customWidth="1"/>
    <col min="15879" max="15879" width="11.28515625" style="21" customWidth="1"/>
    <col min="15880" max="15880" width="11.7109375" style="21" customWidth="1"/>
    <col min="15881" max="15881" width="19.140625" style="21" bestFit="1" customWidth="1"/>
    <col min="15882" max="15882" width="10.140625" style="21" bestFit="1" customWidth="1"/>
    <col min="15883" max="16128" width="9.140625" style="21"/>
    <col min="16129" max="16129" width="14" style="21" customWidth="1"/>
    <col min="16130" max="16130" width="20.28515625" style="21" bestFit="1" customWidth="1"/>
    <col min="16131" max="16131" width="18.85546875" style="21" bestFit="1" customWidth="1"/>
    <col min="16132" max="16132" width="20.28515625" style="21" bestFit="1" customWidth="1"/>
    <col min="16133" max="16133" width="18.85546875" style="21" customWidth="1"/>
    <col min="16134" max="16134" width="14.7109375" style="21" customWidth="1"/>
    <col min="16135" max="16135" width="11.28515625" style="21" customWidth="1"/>
    <col min="16136" max="16136" width="11.7109375" style="21" customWidth="1"/>
    <col min="16137" max="16137" width="19.140625" style="21" bestFit="1" customWidth="1"/>
    <col min="16138" max="16138" width="10.140625" style="21" bestFit="1" customWidth="1"/>
    <col min="16139" max="16384" width="9.140625" style="21"/>
  </cols>
  <sheetData>
    <row r="1" spans="1:10" ht="18" x14ac:dyDescent="0.25">
      <c r="A1" s="28" t="s">
        <v>13</v>
      </c>
    </row>
    <row r="2" spans="1:10" ht="18" x14ac:dyDescent="0.25">
      <c r="A2" s="53"/>
      <c r="B2" s="32" t="s">
        <v>14</v>
      </c>
      <c r="C2" s="32" t="s">
        <v>15</v>
      </c>
      <c r="D2" s="32" t="s">
        <v>14</v>
      </c>
      <c r="E2" s="32" t="s">
        <v>15</v>
      </c>
      <c r="F2" s="32" t="s">
        <v>16</v>
      </c>
      <c r="G2" s="32" t="s">
        <v>17</v>
      </c>
      <c r="H2" s="32" t="s">
        <v>18</v>
      </c>
      <c r="I2" s="32" t="s">
        <v>19</v>
      </c>
      <c r="J2" s="13" t="s">
        <v>20</v>
      </c>
    </row>
    <row r="3" spans="1:10" x14ac:dyDescent="0.2">
      <c r="A3" s="54"/>
      <c r="B3" s="32" t="s">
        <v>21</v>
      </c>
      <c r="C3" s="32" t="s">
        <v>21</v>
      </c>
      <c r="D3" s="32" t="s">
        <v>22</v>
      </c>
      <c r="E3" s="32" t="s">
        <v>22</v>
      </c>
      <c r="F3" s="55" t="s">
        <v>21</v>
      </c>
      <c r="G3" s="32" t="s">
        <v>23</v>
      </c>
      <c r="H3" s="48"/>
      <c r="I3" s="32" t="s">
        <v>24</v>
      </c>
      <c r="J3" s="13" t="s">
        <v>25</v>
      </c>
    </row>
    <row r="4" spans="1:10" x14ac:dyDescent="0.2">
      <c r="A4" s="56">
        <v>44682</v>
      </c>
      <c r="B4" s="57">
        <v>6612</v>
      </c>
      <c r="C4" s="58">
        <f>IF(B5-B4 &lt; 0,0,B5-B4)</f>
        <v>6565</v>
      </c>
      <c r="D4" s="57">
        <v>6490</v>
      </c>
      <c r="E4" s="58">
        <f>IF(D5-D4 &lt; 0,0,D5-D4)</f>
        <v>3817</v>
      </c>
      <c r="F4" s="57">
        <v>575</v>
      </c>
      <c r="G4" s="59">
        <v>88</v>
      </c>
      <c r="H4" s="59" t="s">
        <v>26</v>
      </c>
      <c r="I4" s="58">
        <f>+E4+C4</f>
        <v>10382</v>
      </c>
      <c r="J4" s="14">
        <f>(C4*0.288)+(E4*0.177)</f>
        <v>2566.3289999999997</v>
      </c>
    </row>
    <row r="5" spans="1:10" x14ac:dyDescent="0.2">
      <c r="A5" s="56">
        <v>44683</v>
      </c>
      <c r="B5" s="57">
        <v>13177</v>
      </c>
      <c r="C5" s="58">
        <f>IF(B6-B5 &lt; 0,0,B6-B5)</f>
        <v>6652</v>
      </c>
      <c r="D5" s="57">
        <v>10307</v>
      </c>
      <c r="E5" s="58">
        <f t="shared" ref="E5:E33" si="0">IF(D6-D5 &lt; 0,0,D6-D5)</f>
        <v>3950</v>
      </c>
      <c r="F5" s="57">
        <v>575</v>
      </c>
      <c r="G5" s="59">
        <v>88</v>
      </c>
      <c r="H5" s="59" t="s">
        <v>26</v>
      </c>
      <c r="I5" s="58">
        <f t="shared" ref="I5:I35" si="1">+E5+C5</f>
        <v>10602</v>
      </c>
      <c r="J5" s="14">
        <f t="shared" ref="J5:J35" si="2">(C5*0.288)+(E5*0.177)</f>
        <v>2614.9259999999999</v>
      </c>
    </row>
    <row r="6" spans="1:10" x14ac:dyDescent="0.2">
      <c r="A6" s="56">
        <v>44684</v>
      </c>
      <c r="B6" s="57">
        <v>19829</v>
      </c>
      <c r="C6" s="58">
        <f t="shared" ref="C6:C33" si="3">IF(B7-B6 &lt; 0,0,B7-B6)</f>
        <v>6104</v>
      </c>
      <c r="D6" s="57">
        <v>14257</v>
      </c>
      <c r="E6" s="58">
        <f t="shared" si="0"/>
        <v>3497</v>
      </c>
      <c r="F6" s="57">
        <v>575</v>
      </c>
      <c r="G6" s="59">
        <v>72</v>
      </c>
      <c r="H6" s="59" t="s">
        <v>26</v>
      </c>
      <c r="I6" s="58">
        <f t="shared" si="1"/>
        <v>9601</v>
      </c>
      <c r="J6" s="14">
        <f t="shared" si="2"/>
        <v>2376.9209999999998</v>
      </c>
    </row>
    <row r="7" spans="1:10" x14ac:dyDescent="0.2">
      <c r="A7" s="56">
        <v>44685</v>
      </c>
      <c r="B7" s="57">
        <v>25933</v>
      </c>
      <c r="C7" s="58">
        <f t="shared" si="3"/>
        <v>7001</v>
      </c>
      <c r="D7" s="57">
        <v>17754</v>
      </c>
      <c r="E7" s="58">
        <f t="shared" si="0"/>
        <v>3522</v>
      </c>
      <c r="F7" s="57">
        <v>575</v>
      </c>
      <c r="G7" s="59">
        <v>68</v>
      </c>
      <c r="H7" s="59" t="s">
        <v>27</v>
      </c>
      <c r="I7" s="58">
        <f t="shared" si="1"/>
        <v>10523</v>
      </c>
      <c r="J7" s="14">
        <f t="shared" si="2"/>
        <v>2639.6819999999998</v>
      </c>
    </row>
    <row r="8" spans="1:10" x14ac:dyDescent="0.2">
      <c r="A8" s="56">
        <v>44686</v>
      </c>
      <c r="B8" s="57">
        <v>32934</v>
      </c>
      <c r="C8" s="58">
        <f t="shared" si="3"/>
        <v>7199</v>
      </c>
      <c r="D8" s="57">
        <v>21276</v>
      </c>
      <c r="E8" s="58">
        <f t="shared" si="0"/>
        <v>4547</v>
      </c>
      <c r="F8" s="57">
        <v>575</v>
      </c>
      <c r="G8" s="59">
        <v>84</v>
      </c>
      <c r="H8" s="59" t="s">
        <v>28</v>
      </c>
      <c r="I8" s="58">
        <f t="shared" si="1"/>
        <v>11746</v>
      </c>
      <c r="J8" s="14">
        <f t="shared" si="2"/>
        <v>2878.1309999999999</v>
      </c>
    </row>
    <row r="9" spans="1:10" x14ac:dyDescent="0.2">
      <c r="A9" s="56">
        <v>44687</v>
      </c>
      <c r="B9" s="57">
        <v>40133</v>
      </c>
      <c r="C9" s="58">
        <f t="shared" si="3"/>
        <v>6678</v>
      </c>
      <c r="D9" s="57">
        <v>25823</v>
      </c>
      <c r="E9" s="58">
        <f t="shared" si="0"/>
        <v>3969</v>
      </c>
      <c r="F9" s="57">
        <v>599</v>
      </c>
      <c r="G9" s="59">
        <v>74</v>
      </c>
      <c r="H9" s="59" t="s">
        <v>28</v>
      </c>
      <c r="I9" s="58">
        <f t="shared" si="1"/>
        <v>10647</v>
      </c>
      <c r="J9" s="14">
        <f t="shared" si="2"/>
        <v>2625.777</v>
      </c>
    </row>
    <row r="10" spans="1:10" x14ac:dyDescent="0.2">
      <c r="A10" s="56">
        <v>44688</v>
      </c>
      <c r="B10" s="57">
        <v>46811</v>
      </c>
      <c r="C10" s="58">
        <f t="shared" si="3"/>
        <v>6665</v>
      </c>
      <c r="D10" s="57">
        <v>29792</v>
      </c>
      <c r="E10" s="58">
        <f t="shared" si="0"/>
        <v>3855</v>
      </c>
      <c r="F10" s="57">
        <v>599</v>
      </c>
      <c r="G10" s="60">
        <v>53</v>
      </c>
      <c r="H10" s="59" t="s">
        <v>28</v>
      </c>
      <c r="I10" s="58">
        <f t="shared" si="1"/>
        <v>10520</v>
      </c>
      <c r="J10" s="14">
        <f t="shared" si="2"/>
        <v>2601.8549999999996</v>
      </c>
    </row>
    <row r="11" spans="1:10" x14ac:dyDescent="0.2">
      <c r="A11" s="56">
        <v>44689</v>
      </c>
      <c r="B11" s="57">
        <v>53476</v>
      </c>
      <c r="C11" s="58">
        <f t="shared" si="3"/>
        <v>6539</v>
      </c>
      <c r="D11" s="57">
        <v>33647</v>
      </c>
      <c r="E11" s="58">
        <f t="shared" si="0"/>
        <v>3877</v>
      </c>
      <c r="F11" s="57">
        <v>599</v>
      </c>
      <c r="G11" s="59">
        <v>43</v>
      </c>
      <c r="H11" s="59" t="s">
        <v>28</v>
      </c>
      <c r="I11" s="58">
        <f t="shared" si="1"/>
        <v>10416</v>
      </c>
      <c r="J11" s="14">
        <f t="shared" si="2"/>
        <v>2569.4609999999998</v>
      </c>
    </row>
    <row r="12" spans="1:10" x14ac:dyDescent="0.2">
      <c r="A12" s="56">
        <v>44690</v>
      </c>
      <c r="B12" s="57">
        <v>60015</v>
      </c>
      <c r="C12" s="58">
        <f t="shared" si="3"/>
        <v>6108</v>
      </c>
      <c r="D12" s="57">
        <v>37524</v>
      </c>
      <c r="E12" s="58">
        <f t="shared" si="0"/>
        <v>3664</v>
      </c>
      <c r="F12" s="57">
        <v>599</v>
      </c>
      <c r="G12" s="59">
        <v>37</v>
      </c>
      <c r="H12" s="59" t="s">
        <v>28</v>
      </c>
      <c r="I12" s="58">
        <f t="shared" si="1"/>
        <v>9772</v>
      </c>
      <c r="J12" s="14">
        <f t="shared" si="2"/>
        <v>2407.6319999999996</v>
      </c>
    </row>
    <row r="13" spans="1:10" x14ac:dyDescent="0.2">
      <c r="A13" s="56">
        <v>44691</v>
      </c>
      <c r="B13" s="57">
        <v>66123</v>
      </c>
      <c r="C13" s="58">
        <f t="shared" si="3"/>
        <v>6435</v>
      </c>
      <c r="D13" s="57">
        <v>41188</v>
      </c>
      <c r="E13" s="58">
        <f t="shared" si="0"/>
        <v>3583</v>
      </c>
      <c r="F13" s="57">
        <v>599</v>
      </c>
      <c r="G13" s="59">
        <v>32</v>
      </c>
      <c r="H13" s="59" t="s">
        <v>28</v>
      </c>
      <c r="I13" s="58">
        <f t="shared" si="1"/>
        <v>10018</v>
      </c>
      <c r="J13" s="14">
        <f t="shared" si="2"/>
        <v>2487.471</v>
      </c>
    </row>
    <row r="14" spans="1:10" x14ac:dyDescent="0.2">
      <c r="A14" s="56">
        <v>44692</v>
      </c>
      <c r="B14" s="57">
        <v>72558</v>
      </c>
      <c r="C14" s="58">
        <f t="shared" si="3"/>
        <v>6138</v>
      </c>
      <c r="D14" s="57">
        <v>44771</v>
      </c>
      <c r="E14" s="58">
        <f t="shared" si="0"/>
        <v>3983</v>
      </c>
      <c r="F14" s="57">
        <v>599</v>
      </c>
      <c r="G14" s="59">
        <v>32</v>
      </c>
      <c r="H14" s="59" t="s">
        <v>29</v>
      </c>
      <c r="I14" s="58">
        <f t="shared" si="1"/>
        <v>10121</v>
      </c>
      <c r="J14" s="14">
        <f t="shared" si="2"/>
        <v>2472.7349999999997</v>
      </c>
    </row>
    <row r="15" spans="1:10" x14ac:dyDescent="0.2">
      <c r="A15" s="56">
        <v>44693</v>
      </c>
      <c r="B15" s="57">
        <v>78696</v>
      </c>
      <c r="C15" s="58">
        <f t="shared" si="3"/>
        <v>6863</v>
      </c>
      <c r="D15" s="57">
        <v>48754</v>
      </c>
      <c r="E15" s="58">
        <f t="shared" si="0"/>
        <v>4164</v>
      </c>
      <c r="F15" s="57">
        <v>599</v>
      </c>
      <c r="G15" s="59">
        <v>43</v>
      </c>
      <c r="H15" s="59" t="s">
        <v>29</v>
      </c>
      <c r="I15" s="58">
        <f t="shared" si="1"/>
        <v>11027</v>
      </c>
      <c r="J15" s="14">
        <f t="shared" si="2"/>
        <v>2713.5719999999997</v>
      </c>
    </row>
    <row r="16" spans="1:10" x14ac:dyDescent="0.2">
      <c r="A16" s="56">
        <v>44694</v>
      </c>
      <c r="B16" s="57">
        <v>85559</v>
      </c>
      <c r="C16" s="58">
        <f t="shared" si="3"/>
        <v>7417</v>
      </c>
      <c r="D16" s="57">
        <v>52918</v>
      </c>
      <c r="E16" s="58">
        <f t="shared" si="0"/>
        <v>4361</v>
      </c>
      <c r="F16" s="57">
        <v>599</v>
      </c>
      <c r="G16" s="59">
        <v>61</v>
      </c>
      <c r="H16" s="59" t="s">
        <v>28</v>
      </c>
      <c r="I16" s="58">
        <f t="shared" si="1"/>
        <v>11778</v>
      </c>
      <c r="J16" s="14">
        <f t="shared" si="2"/>
        <v>2907.9929999999999</v>
      </c>
    </row>
    <row r="17" spans="1:10" x14ac:dyDescent="0.2">
      <c r="A17" s="56">
        <v>44695</v>
      </c>
      <c r="B17" s="57">
        <v>92976</v>
      </c>
      <c r="C17" s="58">
        <f t="shared" si="3"/>
        <v>7224</v>
      </c>
      <c r="D17" s="57">
        <v>57279</v>
      </c>
      <c r="E17" s="58">
        <f t="shared" si="0"/>
        <v>4179</v>
      </c>
      <c r="F17" s="57">
        <v>599</v>
      </c>
      <c r="G17" s="59">
        <v>82</v>
      </c>
      <c r="H17" s="59" t="s">
        <v>28</v>
      </c>
      <c r="I17" s="58">
        <f t="shared" si="1"/>
        <v>11403</v>
      </c>
      <c r="J17" s="14">
        <f t="shared" si="2"/>
        <v>2820.1949999999997</v>
      </c>
    </row>
    <row r="18" spans="1:10" x14ac:dyDescent="0.2">
      <c r="A18" s="56">
        <v>44696</v>
      </c>
      <c r="B18" s="57">
        <v>100200</v>
      </c>
      <c r="C18" s="58">
        <f t="shared" si="3"/>
        <v>6022</v>
      </c>
      <c r="D18" s="57">
        <v>61458</v>
      </c>
      <c r="E18" s="58">
        <f t="shared" si="0"/>
        <v>3618</v>
      </c>
      <c r="F18" s="57">
        <v>599</v>
      </c>
      <c r="G18" s="59">
        <v>79</v>
      </c>
      <c r="H18" s="59" t="s">
        <v>29</v>
      </c>
      <c r="I18" s="58">
        <f t="shared" si="1"/>
        <v>9640</v>
      </c>
      <c r="J18" s="14">
        <f t="shared" si="2"/>
        <v>2374.7219999999998</v>
      </c>
    </row>
    <row r="19" spans="1:10" x14ac:dyDescent="0.2">
      <c r="A19" s="56">
        <v>44697</v>
      </c>
      <c r="B19" s="57">
        <v>106222</v>
      </c>
      <c r="C19" s="58">
        <f t="shared" si="3"/>
        <v>6281</v>
      </c>
      <c r="D19" s="57">
        <v>65076</v>
      </c>
      <c r="E19" s="58">
        <f t="shared" si="0"/>
        <v>3588</v>
      </c>
      <c r="F19" s="57">
        <v>559</v>
      </c>
      <c r="G19" s="59">
        <v>43</v>
      </c>
      <c r="H19" s="59" t="s">
        <v>26</v>
      </c>
      <c r="I19" s="58">
        <f t="shared" si="1"/>
        <v>9869</v>
      </c>
      <c r="J19" s="14">
        <f t="shared" si="2"/>
        <v>2444.0039999999999</v>
      </c>
    </row>
    <row r="20" spans="1:10" x14ac:dyDescent="0.2">
      <c r="A20" s="56">
        <v>44698</v>
      </c>
      <c r="B20" s="57">
        <v>112503</v>
      </c>
      <c r="C20" s="58">
        <f t="shared" si="3"/>
        <v>6157</v>
      </c>
      <c r="D20" s="57">
        <v>68664</v>
      </c>
      <c r="E20" s="58">
        <f t="shared" si="0"/>
        <v>3675</v>
      </c>
      <c r="F20" s="59">
        <v>599</v>
      </c>
      <c r="G20" s="59">
        <v>32</v>
      </c>
      <c r="H20" s="59" t="s">
        <v>26</v>
      </c>
      <c r="I20" s="58">
        <f t="shared" si="1"/>
        <v>9832</v>
      </c>
      <c r="J20" s="14">
        <f t="shared" si="2"/>
        <v>2423.6909999999998</v>
      </c>
    </row>
    <row r="21" spans="1:10" x14ac:dyDescent="0.2">
      <c r="A21" s="56">
        <v>44699</v>
      </c>
      <c r="B21" s="57">
        <v>118660</v>
      </c>
      <c r="C21" s="58">
        <f t="shared" si="3"/>
        <v>6373</v>
      </c>
      <c r="D21" s="57">
        <v>72339</v>
      </c>
      <c r="E21" s="58">
        <f t="shared" si="0"/>
        <v>3703</v>
      </c>
      <c r="F21" s="59">
        <v>599</v>
      </c>
      <c r="G21" s="59">
        <v>37</v>
      </c>
      <c r="H21" s="59" t="s">
        <v>29</v>
      </c>
      <c r="I21" s="58">
        <f t="shared" si="1"/>
        <v>10076</v>
      </c>
      <c r="J21" s="14">
        <f t="shared" si="2"/>
        <v>2490.8549999999996</v>
      </c>
    </row>
    <row r="22" spans="1:10" x14ac:dyDescent="0.2">
      <c r="A22" s="56">
        <v>44700</v>
      </c>
      <c r="B22" s="57">
        <v>125033</v>
      </c>
      <c r="C22" s="58">
        <f t="shared" si="3"/>
        <v>6855</v>
      </c>
      <c r="D22" s="57">
        <v>76042</v>
      </c>
      <c r="E22" s="58">
        <f t="shared" si="0"/>
        <v>3801</v>
      </c>
      <c r="F22" s="59">
        <v>559</v>
      </c>
      <c r="G22" s="59">
        <v>40</v>
      </c>
      <c r="H22" s="59" t="s">
        <v>29</v>
      </c>
      <c r="I22" s="58">
        <f t="shared" si="1"/>
        <v>10656</v>
      </c>
      <c r="J22" s="14">
        <f t="shared" si="2"/>
        <v>2647.0169999999998</v>
      </c>
    </row>
    <row r="23" spans="1:10" x14ac:dyDescent="0.2">
      <c r="A23" s="56">
        <v>44701</v>
      </c>
      <c r="B23" s="57">
        <v>131888</v>
      </c>
      <c r="C23" s="58">
        <f t="shared" si="3"/>
        <v>6792</v>
      </c>
      <c r="D23" s="57">
        <v>79843</v>
      </c>
      <c r="E23" s="58">
        <f t="shared" si="0"/>
        <v>4368</v>
      </c>
      <c r="F23" s="57">
        <v>559</v>
      </c>
      <c r="G23" s="59">
        <v>48</v>
      </c>
      <c r="H23" s="59" t="s">
        <v>29</v>
      </c>
      <c r="I23" s="58">
        <f t="shared" si="1"/>
        <v>11160</v>
      </c>
      <c r="J23" s="14">
        <f t="shared" si="2"/>
        <v>2729.232</v>
      </c>
    </row>
    <row r="24" spans="1:10" x14ac:dyDescent="0.2">
      <c r="A24" s="56">
        <v>44702</v>
      </c>
      <c r="B24" s="57">
        <v>138680</v>
      </c>
      <c r="C24" s="58">
        <f t="shared" si="3"/>
        <v>7031</v>
      </c>
      <c r="D24" s="57">
        <v>84211</v>
      </c>
      <c r="E24" s="58">
        <f t="shared" si="0"/>
        <v>3653</v>
      </c>
      <c r="F24" s="57">
        <v>599</v>
      </c>
      <c r="G24" s="59">
        <v>42</v>
      </c>
      <c r="H24" s="59" t="s">
        <v>29</v>
      </c>
      <c r="I24" s="58">
        <f t="shared" si="1"/>
        <v>10684</v>
      </c>
      <c r="J24" s="14">
        <f t="shared" si="2"/>
        <v>2671.509</v>
      </c>
    </row>
    <row r="25" spans="1:10" x14ac:dyDescent="0.2">
      <c r="A25" s="56">
        <v>44703</v>
      </c>
      <c r="B25" s="57">
        <v>145711</v>
      </c>
      <c r="C25" s="58">
        <f t="shared" si="3"/>
        <v>6530</v>
      </c>
      <c r="D25" s="57">
        <v>87864</v>
      </c>
      <c r="E25" s="58">
        <f t="shared" si="0"/>
        <v>3691</v>
      </c>
      <c r="F25" s="57">
        <v>599</v>
      </c>
      <c r="G25" s="59">
        <v>25</v>
      </c>
      <c r="H25" s="59" t="s">
        <v>29</v>
      </c>
      <c r="I25" s="58">
        <f t="shared" si="1"/>
        <v>10221</v>
      </c>
      <c r="J25" s="14">
        <f t="shared" si="2"/>
        <v>2533.9470000000001</v>
      </c>
    </row>
    <row r="26" spans="1:10" x14ac:dyDescent="0.2">
      <c r="A26" s="56">
        <v>44704</v>
      </c>
      <c r="B26" s="57">
        <v>152241</v>
      </c>
      <c r="C26" s="58">
        <f t="shared" si="3"/>
        <v>6663</v>
      </c>
      <c r="D26" s="57">
        <v>91555</v>
      </c>
      <c r="E26" s="58">
        <f t="shared" si="0"/>
        <v>4135</v>
      </c>
      <c r="F26" s="57">
        <v>599</v>
      </c>
      <c r="G26" s="59">
        <v>18</v>
      </c>
      <c r="H26" s="59" t="s">
        <v>29</v>
      </c>
      <c r="I26" s="58">
        <f t="shared" si="1"/>
        <v>10798</v>
      </c>
      <c r="J26" s="14">
        <f t="shared" si="2"/>
        <v>2650.8389999999999</v>
      </c>
    </row>
    <row r="27" spans="1:10" x14ac:dyDescent="0.2">
      <c r="A27" s="56">
        <v>44705</v>
      </c>
      <c r="B27" s="57">
        <v>158904</v>
      </c>
      <c r="C27" s="58">
        <f t="shared" si="3"/>
        <v>6095</v>
      </c>
      <c r="D27" s="57">
        <v>95690</v>
      </c>
      <c r="E27" s="58">
        <f t="shared" si="0"/>
        <v>3431</v>
      </c>
      <c r="F27" s="57">
        <v>599</v>
      </c>
      <c r="G27" s="59">
        <v>17</v>
      </c>
      <c r="H27" s="59" t="s">
        <v>26</v>
      </c>
      <c r="I27" s="58">
        <f t="shared" si="1"/>
        <v>9526</v>
      </c>
      <c r="J27" s="14">
        <f t="shared" si="2"/>
        <v>2362.6469999999999</v>
      </c>
    </row>
    <row r="28" spans="1:10" x14ac:dyDescent="0.2">
      <c r="A28" s="56">
        <v>44706</v>
      </c>
      <c r="B28" s="57">
        <v>164999</v>
      </c>
      <c r="C28" s="58">
        <f t="shared" si="3"/>
        <v>6615</v>
      </c>
      <c r="D28" s="57">
        <v>99121</v>
      </c>
      <c r="E28" s="58">
        <f t="shared" si="0"/>
        <v>4114</v>
      </c>
      <c r="F28" s="57">
        <v>599</v>
      </c>
      <c r="G28" s="59">
        <v>19</v>
      </c>
      <c r="H28" s="59" t="s">
        <v>26</v>
      </c>
      <c r="I28" s="58">
        <f t="shared" si="1"/>
        <v>10729</v>
      </c>
      <c r="J28" s="14">
        <f t="shared" si="2"/>
        <v>2633.2979999999998</v>
      </c>
    </row>
    <row r="29" spans="1:10" x14ac:dyDescent="0.2">
      <c r="A29" s="56">
        <v>44707</v>
      </c>
      <c r="B29" s="57">
        <v>171614</v>
      </c>
      <c r="C29" s="58">
        <f t="shared" si="3"/>
        <v>7837</v>
      </c>
      <c r="D29" s="57">
        <v>103235</v>
      </c>
      <c r="E29" s="58">
        <f t="shared" si="0"/>
        <v>4390</v>
      </c>
      <c r="F29" s="57">
        <v>599</v>
      </c>
      <c r="G29" s="59">
        <v>21</v>
      </c>
      <c r="H29" s="59" t="s">
        <v>29</v>
      </c>
      <c r="I29" s="58">
        <f t="shared" si="1"/>
        <v>12227</v>
      </c>
      <c r="J29" s="14">
        <f t="shared" si="2"/>
        <v>3034.0860000000002</v>
      </c>
    </row>
    <row r="30" spans="1:10" x14ac:dyDescent="0.2">
      <c r="A30" s="56">
        <v>44708</v>
      </c>
      <c r="B30" s="57">
        <v>179451</v>
      </c>
      <c r="C30" s="58">
        <f t="shared" si="3"/>
        <v>7211</v>
      </c>
      <c r="D30" s="57">
        <v>107625</v>
      </c>
      <c r="E30" s="58">
        <f t="shared" si="0"/>
        <v>4219</v>
      </c>
      <c r="F30" s="57">
        <v>619</v>
      </c>
      <c r="G30" s="59">
        <v>64</v>
      </c>
      <c r="H30" s="59" t="s">
        <v>29</v>
      </c>
      <c r="I30" s="58">
        <f t="shared" si="1"/>
        <v>11430</v>
      </c>
      <c r="J30" s="14">
        <f t="shared" si="2"/>
        <v>2823.5309999999999</v>
      </c>
    </row>
    <row r="31" spans="1:10" x14ac:dyDescent="0.2">
      <c r="A31" s="56">
        <v>44709</v>
      </c>
      <c r="B31" s="57">
        <v>186662</v>
      </c>
      <c r="C31" s="58">
        <f t="shared" si="3"/>
        <v>6206</v>
      </c>
      <c r="D31" s="57">
        <v>111844</v>
      </c>
      <c r="E31" s="58">
        <f t="shared" si="0"/>
        <v>3817</v>
      </c>
      <c r="F31" s="57">
        <v>619</v>
      </c>
      <c r="G31" s="59">
        <v>67</v>
      </c>
      <c r="H31" s="59" t="s">
        <v>28</v>
      </c>
      <c r="I31" s="58">
        <f t="shared" si="1"/>
        <v>10023</v>
      </c>
      <c r="J31" s="14">
        <f t="shared" si="2"/>
        <v>2462.9369999999999</v>
      </c>
    </row>
    <row r="32" spans="1:10" x14ac:dyDescent="0.2">
      <c r="A32" s="56">
        <v>44710</v>
      </c>
      <c r="B32" s="57">
        <v>192868</v>
      </c>
      <c r="C32" s="58">
        <f t="shared" si="3"/>
        <v>0</v>
      </c>
      <c r="D32" s="57">
        <v>115661</v>
      </c>
      <c r="E32" s="58">
        <f t="shared" si="0"/>
        <v>0</v>
      </c>
      <c r="F32" s="57">
        <v>619</v>
      </c>
      <c r="G32" s="59">
        <v>2825</v>
      </c>
      <c r="H32" s="59" t="s">
        <v>28</v>
      </c>
      <c r="I32" s="58">
        <f t="shared" si="1"/>
        <v>0</v>
      </c>
      <c r="J32" s="14">
        <f t="shared" si="2"/>
        <v>0</v>
      </c>
    </row>
    <row r="33" spans="1:10" x14ac:dyDescent="0.2">
      <c r="A33" s="56">
        <v>44711</v>
      </c>
      <c r="B33" s="57">
        <v>192868</v>
      </c>
      <c r="C33" s="58">
        <f t="shared" si="3"/>
        <v>0</v>
      </c>
      <c r="D33" s="57">
        <v>115661</v>
      </c>
      <c r="E33" s="58">
        <f t="shared" si="0"/>
        <v>0</v>
      </c>
      <c r="F33" s="57">
        <v>619</v>
      </c>
      <c r="G33" s="59">
        <v>28</v>
      </c>
      <c r="H33" s="59" t="s">
        <v>28</v>
      </c>
      <c r="I33" s="58">
        <f t="shared" si="1"/>
        <v>0</v>
      </c>
      <c r="J33" s="14">
        <f t="shared" si="2"/>
        <v>0</v>
      </c>
    </row>
    <row r="34" spans="1:10" x14ac:dyDescent="0.2">
      <c r="A34" s="56">
        <v>44712</v>
      </c>
      <c r="B34" s="61">
        <v>0</v>
      </c>
      <c r="C34" s="58">
        <v>0</v>
      </c>
      <c r="D34" s="57">
        <v>0</v>
      </c>
      <c r="E34" s="58">
        <v>0</v>
      </c>
      <c r="F34" s="57">
        <v>0</v>
      </c>
      <c r="G34" s="59">
        <v>35</v>
      </c>
      <c r="H34" s="59" t="s">
        <v>28</v>
      </c>
      <c r="I34" s="58">
        <f t="shared" si="1"/>
        <v>0</v>
      </c>
      <c r="J34" s="14">
        <f t="shared" si="2"/>
        <v>0</v>
      </c>
    </row>
    <row r="35" spans="1:10" x14ac:dyDescent="0.2">
      <c r="A35" s="37"/>
      <c r="B35" s="57"/>
      <c r="C35" s="58"/>
      <c r="D35" s="57"/>
      <c r="E35" s="58"/>
      <c r="F35" s="57"/>
      <c r="G35" s="59"/>
      <c r="H35" s="59"/>
      <c r="I35" s="58">
        <f t="shared" si="1"/>
        <v>0</v>
      </c>
      <c r="J35" s="14">
        <f t="shared" si="2"/>
        <v>0</v>
      </c>
    </row>
    <row r="36" spans="1:10" x14ac:dyDescent="0.2">
      <c r="A36" s="84" t="s">
        <v>30</v>
      </c>
      <c r="B36" s="85"/>
      <c r="C36" s="62">
        <f>SUM(C4:C34)</f>
        <v>186256</v>
      </c>
      <c r="D36" s="62"/>
      <c r="E36" s="62">
        <f>SUM(E4:E34)</f>
        <v>109171</v>
      </c>
      <c r="F36" s="62">
        <f>MAX(F4:F34)</f>
        <v>619</v>
      </c>
      <c r="G36" s="48"/>
      <c r="H36" s="48"/>
      <c r="I36" s="58">
        <f>+E36+C36</f>
        <v>295427</v>
      </c>
      <c r="J36" s="14">
        <f>(C36*0.288)+(E36*0.177)</f>
        <v>72964.994999999995</v>
      </c>
    </row>
    <row r="37" spans="1:10" x14ac:dyDescent="0.2">
      <c r="A37" s="49">
        <f>COUNT(A4:A34)</f>
        <v>31</v>
      </c>
      <c r="C37" s="29">
        <f>COUNTIF(C4:C34,"&gt;0")</f>
        <v>28</v>
      </c>
      <c r="G37" s="29"/>
    </row>
    <row r="39" spans="1:10" ht="15.75" x14ac:dyDescent="0.25">
      <c r="A39" s="52" t="s">
        <v>31</v>
      </c>
    </row>
  </sheetData>
  <mergeCells count="1">
    <mergeCell ref="A36:B36"/>
  </mergeCells>
  <pageMargins left="0.21" right="0.21" top="0.57999999999999996" bottom="0.69" header="0.5" footer="0.5"/>
  <pageSetup paperSize="9" scale="64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40"/>
  <sheetViews>
    <sheetView zoomScaleNormal="100" workbookViewId="0">
      <selection activeCell="H4" sqref="H4:H34"/>
    </sheetView>
  </sheetViews>
  <sheetFormatPr defaultRowHeight="12.75" x14ac:dyDescent="0.2"/>
  <cols>
    <col min="1" max="1" width="14" style="50" customWidth="1"/>
    <col min="2" max="2" width="20.28515625" style="29" bestFit="1" customWidth="1"/>
    <col min="3" max="3" width="18.85546875" style="29" bestFit="1" customWidth="1"/>
    <col min="4" max="4" width="20.28515625" style="29" bestFit="1" customWidth="1"/>
    <col min="5" max="5" width="18.85546875" style="29" customWidth="1"/>
    <col min="6" max="6" width="14.7109375" style="29" customWidth="1"/>
    <col min="7" max="7" width="11.28515625" style="21" customWidth="1"/>
    <col min="8" max="8" width="20.5703125" style="21" customWidth="1"/>
    <col min="9" max="9" width="19.140625" style="29" bestFit="1" customWidth="1"/>
    <col min="10" max="10" width="10.140625" style="12" bestFit="1" customWidth="1"/>
    <col min="11" max="256" width="9.140625" style="21"/>
    <col min="257" max="257" width="14" style="21" customWidth="1"/>
    <col min="258" max="258" width="20.28515625" style="21" bestFit="1" customWidth="1"/>
    <col min="259" max="259" width="18.85546875" style="21" bestFit="1" customWidth="1"/>
    <col min="260" max="260" width="20.28515625" style="21" bestFit="1" customWidth="1"/>
    <col min="261" max="261" width="18.85546875" style="21" customWidth="1"/>
    <col min="262" max="262" width="14.7109375" style="21" customWidth="1"/>
    <col min="263" max="263" width="11.28515625" style="21" customWidth="1"/>
    <col min="264" max="264" width="13.85546875" style="21" customWidth="1"/>
    <col min="265" max="265" width="19.140625" style="21" bestFit="1" customWidth="1"/>
    <col min="266" max="266" width="10.140625" style="21" bestFit="1" customWidth="1"/>
    <col min="267" max="512" width="9.140625" style="21"/>
    <col min="513" max="513" width="14" style="21" customWidth="1"/>
    <col min="514" max="514" width="20.28515625" style="21" bestFit="1" customWidth="1"/>
    <col min="515" max="515" width="18.85546875" style="21" bestFit="1" customWidth="1"/>
    <col min="516" max="516" width="20.28515625" style="21" bestFit="1" customWidth="1"/>
    <col min="517" max="517" width="18.85546875" style="21" customWidth="1"/>
    <col min="518" max="518" width="14.7109375" style="21" customWidth="1"/>
    <col min="519" max="519" width="11.28515625" style="21" customWidth="1"/>
    <col min="520" max="520" width="13.85546875" style="21" customWidth="1"/>
    <col min="521" max="521" width="19.140625" style="21" bestFit="1" customWidth="1"/>
    <col min="522" max="522" width="10.140625" style="21" bestFit="1" customWidth="1"/>
    <col min="523" max="768" width="9.140625" style="21"/>
    <col min="769" max="769" width="14" style="21" customWidth="1"/>
    <col min="770" max="770" width="20.28515625" style="21" bestFit="1" customWidth="1"/>
    <col min="771" max="771" width="18.85546875" style="21" bestFit="1" customWidth="1"/>
    <col min="772" max="772" width="20.28515625" style="21" bestFit="1" customWidth="1"/>
    <col min="773" max="773" width="18.85546875" style="21" customWidth="1"/>
    <col min="774" max="774" width="14.7109375" style="21" customWidth="1"/>
    <col min="775" max="775" width="11.28515625" style="21" customWidth="1"/>
    <col min="776" max="776" width="13.85546875" style="21" customWidth="1"/>
    <col min="777" max="777" width="19.140625" style="21" bestFit="1" customWidth="1"/>
    <col min="778" max="778" width="10.140625" style="21" bestFit="1" customWidth="1"/>
    <col min="779" max="1024" width="9.140625" style="21"/>
    <col min="1025" max="1025" width="14" style="21" customWidth="1"/>
    <col min="1026" max="1026" width="20.28515625" style="21" bestFit="1" customWidth="1"/>
    <col min="1027" max="1027" width="18.85546875" style="21" bestFit="1" customWidth="1"/>
    <col min="1028" max="1028" width="20.28515625" style="21" bestFit="1" customWidth="1"/>
    <col min="1029" max="1029" width="18.85546875" style="21" customWidth="1"/>
    <col min="1030" max="1030" width="14.7109375" style="21" customWidth="1"/>
    <col min="1031" max="1031" width="11.28515625" style="21" customWidth="1"/>
    <col min="1032" max="1032" width="13.85546875" style="21" customWidth="1"/>
    <col min="1033" max="1033" width="19.140625" style="21" bestFit="1" customWidth="1"/>
    <col min="1034" max="1034" width="10.140625" style="21" bestFit="1" customWidth="1"/>
    <col min="1035" max="1280" width="9.140625" style="21"/>
    <col min="1281" max="1281" width="14" style="21" customWidth="1"/>
    <col min="1282" max="1282" width="20.28515625" style="21" bestFit="1" customWidth="1"/>
    <col min="1283" max="1283" width="18.85546875" style="21" bestFit="1" customWidth="1"/>
    <col min="1284" max="1284" width="20.28515625" style="21" bestFit="1" customWidth="1"/>
    <col min="1285" max="1285" width="18.85546875" style="21" customWidth="1"/>
    <col min="1286" max="1286" width="14.7109375" style="21" customWidth="1"/>
    <col min="1287" max="1287" width="11.28515625" style="21" customWidth="1"/>
    <col min="1288" max="1288" width="13.85546875" style="21" customWidth="1"/>
    <col min="1289" max="1289" width="19.140625" style="21" bestFit="1" customWidth="1"/>
    <col min="1290" max="1290" width="10.140625" style="21" bestFit="1" customWidth="1"/>
    <col min="1291" max="1536" width="9.140625" style="21"/>
    <col min="1537" max="1537" width="14" style="21" customWidth="1"/>
    <col min="1538" max="1538" width="20.28515625" style="21" bestFit="1" customWidth="1"/>
    <col min="1539" max="1539" width="18.85546875" style="21" bestFit="1" customWidth="1"/>
    <col min="1540" max="1540" width="20.28515625" style="21" bestFit="1" customWidth="1"/>
    <col min="1541" max="1541" width="18.85546875" style="21" customWidth="1"/>
    <col min="1542" max="1542" width="14.7109375" style="21" customWidth="1"/>
    <col min="1543" max="1543" width="11.28515625" style="21" customWidth="1"/>
    <col min="1544" max="1544" width="13.85546875" style="21" customWidth="1"/>
    <col min="1545" max="1545" width="19.140625" style="21" bestFit="1" customWidth="1"/>
    <col min="1546" max="1546" width="10.140625" style="21" bestFit="1" customWidth="1"/>
    <col min="1547" max="1792" width="9.140625" style="21"/>
    <col min="1793" max="1793" width="14" style="21" customWidth="1"/>
    <col min="1794" max="1794" width="20.28515625" style="21" bestFit="1" customWidth="1"/>
    <col min="1795" max="1795" width="18.85546875" style="21" bestFit="1" customWidth="1"/>
    <col min="1796" max="1796" width="20.28515625" style="21" bestFit="1" customWidth="1"/>
    <col min="1797" max="1797" width="18.85546875" style="21" customWidth="1"/>
    <col min="1798" max="1798" width="14.7109375" style="21" customWidth="1"/>
    <col min="1799" max="1799" width="11.28515625" style="21" customWidth="1"/>
    <col min="1800" max="1800" width="13.85546875" style="21" customWidth="1"/>
    <col min="1801" max="1801" width="19.140625" style="21" bestFit="1" customWidth="1"/>
    <col min="1802" max="1802" width="10.140625" style="21" bestFit="1" customWidth="1"/>
    <col min="1803" max="2048" width="9.140625" style="21"/>
    <col min="2049" max="2049" width="14" style="21" customWidth="1"/>
    <col min="2050" max="2050" width="20.28515625" style="21" bestFit="1" customWidth="1"/>
    <col min="2051" max="2051" width="18.85546875" style="21" bestFit="1" customWidth="1"/>
    <col min="2052" max="2052" width="20.28515625" style="21" bestFit="1" customWidth="1"/>
    <col min="2053" max="2053" width="18.85546875" style="21" customWidth="1"/>
    <col min="2054" max="2054" width="14.7109375" style="21" customWidth="1"/>
    <col min="2055" max="2055" width="11.28515625" style="21" customWidth="1"/>
    <col min="2056" max="2056" width="13.85546875" style="21" customWidth="1"/>
    <col min="2057" max="2057" width="19.140625" style="21" bestFit="1" customWidth="1"/>
    <col min="2058" max="2058" width="10.140625" style="21" bestFit="1" customWidth="1"/>
    <col min="2059" max="2304" width="9.140625" style="21"/>
    <col min="2305" max="2305" width="14" style="21" customWidth="1"/>
    <col min="2306" max="2306" width="20.28515625" style="21" bestFit="1" customWidth="1"/>
    <col min="2307" max="2307" width="18.85546875" style="21" bestFit="1" customWidth="1"/>
    <col min="2308" max="2308" width="20.28515625" style="21" bestFit="1" customWidth="1"/>
    <col min="2309" max="2309" width="18.85546875" style="21" customWidth="1"/>
    <col min="2310" max="2310" width="14.7109375" style="21" customWidth="1"/>
    <col min="2311" max="2311" width="11.28515625" style="21" customWidth="1"/>
    <col min="2312" max="2312" width="13.85546875" style="21" customWidth="1"/>
    <col min="2313" max="2313" width="19.140625" style="21" bestFit="1" customWidth="1"/>
    <col min="2314" max="2314" width="10.140625" style="21" bestFit="1" customWidth="1"/>
    <col min="2315" max="2560" width="9.140625" style="21"/>
    <col min="2561" max="2561" width="14" style="21" customWidth="1"/>
    <col min="2562" max="2562" width="20.28515625" style="21" bestFit="1" customWidth="1"/>
    <col min="2563" max="2563" width="18.85546875" style="21" bestFit="1" customWidth="1"/>
    <col min="2564" max="2564" width="20.28515625" style="21" bestFit="1" customWidth="1"/>
    <col min="2565" max="2565" width="18.85546875" style="21" customWidth="1"/>
    <col min="2566" max="2566" width="14.7109375" style="21" customWidth="1"/>
    <col min="2567" max="2567" width="11.28515625" style="21" customWidth="1"/>
    <col min="2568" max="2568" width="13.85546875" style="21" customWidth="1"/>
    <col min="2569" max="2569" width="19.140625" style="21" bestFit="1" customWidth="1"/>
    <col min="2570" max="2570" width="10.140625" style="21" bestFit="1" customWidth="1"/>
    <col min="2571" max="2816" width="9.140625" style="21"/>
    <col min="2817" max="2817" width="14" style="21" customWidth="1"/>
    <col min="2818" max="2818" width="20.28515625" style="21" bestFit="1" customWidth="1"/>
    <col min="2819" max="2819" width="18.85546875" style="21" bestFit="1" customWidth="1"/>
    <col min="2820" max="2820" width="20.28515625" style="21" bestFit="1" customWidth="1"/>
    <col min="2821" max="2821" width="18.85546875" style="21" customWidth="1"/>
    <col min="2822" max="2822" width="14.7109375" style="21" customWidth="1"/>
    <col min="2823" max="2823" width="11.28515625" style="21" customWidth="1"/>
    <col min="2824" max="2824" width="13.85546875" style="21" customWidth="1"/>
    <col min="2825" max="2825" width="19.140625" style="21" bestFit="1" customWidth="1"/>
    <col min="2826" max="2826" width="10.140625" style="21" bestFit="1" customWidth="1"/>
    <col min="2827" max="3072" width="9.140625" style="21"/>
    <col min="3073" max="3073" width="14" style="21" customWidth="1"/>
    <col min="3074" max="3074" width="20.28515625" style="21" bestFit="1" customWidth="1"/>
    <col min="3075" max="3075" width="18.85546875" style="21" bestFit="1" customWidth="1"/>
    <col min="3076" max="3076" width="20.28515625" style="21" bestFit="1" customWidth="1"/>
    <col min="3077" max="3077" width="18.85546875" style="21" customWidth="1"/>
    <col min="3078" max="3078" width="14.7109375" style="21" customWidth="1"/>
    <col min="3079" max="3079" width="11.28515625" style="21" customWidth="1"/>
    <col min="3080" max="3080" width="13.85546875" style="21" customWidth="1"/>
    <col min="3081" max="3081" width="19.140625" style="21" bestFit="1" customWidth="1"/>
    <col min="3082" max="3082" width="10.140625" style="21" bestFit="1" customWidth="1"/>
    <col min="3083" max="3328" width="9.140625" style="21"/>
    <col min="3329" max="3329" width="14" style="21" customWidth="1"/>
    <col min="3330" max="3330" width="20.28515625" style="21" bestFit="1" customWidth="1"/>
    <col min="3331" max="3331" width="18.85546875" style="21" bestFit="1" customWidth="1"/>
    <col min="3332" max="3332" width="20.28515625" style="21" bestFit="1" customWidth="1"/>
    <col min="3333" max="3333" width="18.85546875" style="21" customWidth="1"/>
    <col min="3334" max="3334" width="14.7109375" style="21" customWidth="1"/>
    <col min="3335" max="3335" width="11.28515625" style="21" customWidth="1"/>
    <col min="3336" max="3336" width="13.85546875" style="21" customWidth="1"/>
    <col min="3337" max="3337" width="19.140625" style="21" bestFit="1" customWidth="1"/>
    <col min="3338" max="3338" width="10.140625" style="21" bestFit="1" customWidth="1"/>
    <col min="3339" max="3584" width="9.140625" style="21"/>
    <col min="3585" max="3585" width="14" style="21" customWidth="1"/>
    <col min="3586" max="3586" width="20.28515625" style="21" bestFit="1" customWidth="1"/>
    <col min="3587" max="3587" width="18.85546875" style="21" bestFit="1" customWidth="1"/>
    <col min="3588" max="3588" width="20.28515625" style="21" bestFit="1" customWidth="1"/>
    <col min="3589" max="3589" width="18.85546875" style="21" customWidth="1"/>
    <col min="3590" max="3590" width="14.7109375" style="21" customWidth="1"/>
    <col min="3591" max="3591" width="11.28515625" style="21" customWidth="1"/>
    <col min="3592" max="3592" width="13.85546875" style="21" customWidth="1"/>
    <col min="3593" max="3593" width="19.140625" style="21" bestFit="1" customWidth="1"/>
    <col min="3594" max="3594" width="10.140625" style="21" bestFit="1" customWidth="1"/>
    <col min="3595" max="3840" width="9.140625" style="21"/>
    <col min="3841" max="3841" width="14" style="21" customWidth="1"/>
    <col min="3842" max="3842" width="20.28515625" style="21" bestFit="1" customWidth="1"/>
    <col min="3843" max="3843" width="18.85546875" style="21" bestFit="1" customWidth="1"/>
    <col min="3844" max="3844" width="20.28515625" style="21" bestFit="1" customWidth="1"/>
    <col min="3845" max="3845" width="18.85546875" style="21" customWidth="1"/>
    <col min="3846" max="3846" width="14.7109375" style="21" customWidth="1"/>
    <col min="3847" max="3847" width="11.28515625" style="21" customWidth="1"/>
    <col min="3848" max="3848" width="13.85546875" style="21" customWidth="1"/>
    <col min="3849" max="3849" width="19.140625" style="21" bestFit="1" customWidth="1"/>
    <col min="3850" max="3850" width="10.140625" style="21" bestFit="1" customWidth="1"/>
    <col min="3851" max="4096" width="9.140625" style="21"/>
    <col min="4097" max="4097" width="14" style="21" customWidth="1"/>
    <col min="4098" max="4098" width="20.28515625" style="21" bestFit="1" customWidth="1"/>
    <col min="4099" max="4099" width="18.85546875" style="21" bestFit="1" customWidth="1"/>
    <col min="4100" max="4100" width="20.28515625" style="21" bestFit="1" customWidth="1"/>
    <col min="4101" max="4101" width="18.85546875" style="21" customWidth="1"/>
    <col min="4102" max="4102" width="14.7109375" style="21" customWidth="1"/>
    <col min="4103" max="4103" width="11.28515625" style="21" customWidth="1"/>
    <col min="4104" max="4104" width="13.85546875" style="21" customWidth="1"/>
    <col min="4105" max="4105" width="19.140625" style="21" bestFit="1" customWidth="1"/>
    <col min="4106" max="4106" width="10.140625" style="21" bestFit="1" customWidth="1"/>
    <col min="4107" max="4352" width="9.140625" style="21"/>
    <col min="4353" max="4353" width="14" style="21" customWidth="1"/>
    <col min="4354" max="4354" width="20.28515625" style="21" bestFit="1" customWidth="1"/>
    <col min="4355" max="4355" width="18.85546875" style="21" bestFit="1" customWidth="1"/>
    <col min="4356" max="4356" width="20.28515625" style="21" bestFit="1" customWidth="1"/>
    <col min="4357" max="4357" width="18.85546875" style="21" customWidth="1"/>
    <col min="4358" max="4358" width="14.7109375" style="21" customWidth="1"/>
    <col min="4359" max="4359" width="11.28515625" style="21" customWidth="1"/>
    <col min="4360" max="4360" width="13.85546875" style="21" customWidth="1"/>
    <col min="4361" max="4361" width="19.140625" style="21" bestFit="1" customWidth="1"/>
    <col min="4362" max="4362" width="10.140625" style="21" bestFit="1" customWidth="1"/>
    <col min="4363" max="4608" width="9.140625" style="21"/>
    <col min="4609" max="4609" width="14" style="21" customWidth="1"/>
    <col min="4610" max="4610" width="20.28515625" style="21" bestFit="1" customWidth="1"/>
    <col min="4611" max="4611" width="18.85546875" style="21" bestFit="1" customWidth="1"/>
    <col min="4612" max="4612" width="20.28515625" style="21" bestFit="1" customWidth="1"/>
    <col min="4613" max="4613" width="18.85546875" style="21" customWidth="1"/>
    <col min="4614" max="4614" width="14.7109375" style="21" customWidth="1"/>
    <col min="4615" max="4615" width="11.28515625" style="21" customWidth="1"/>
    <col min="4616" max="4616" width="13.85546875" style="21" customWidth="1"/>
    <col min="4617" max="4617" width="19.140625" style="21" bestFit="1" customWidth="1"/>
    <col min="4618" max="4618" width="10.140625" style="21" bestFit="1" customWidth="1"/>
    <col min="4619" max="4864" width="9.140625" style="21"/>
    <col min="4865" max="4865" width="14" style="21" customWidth="1"/>
    <col min="4866" max="4866" width="20.28515625" style="21" bestFit="1" customWidth="1"/>
    <col min="4867" max="4867" width="18.85546875" style="21" bestFit="1" customWidth="1"/>
    <col min="4868" max="4868" width="20.28515625" style="21" bestFit="1" customWidth="1"/>
    <col min="4869" max="4869" width="18.85546875" style="21" customWidth="1"/>
    <col min="4870" max="4870" width="14.7109375" style="21" customWidth="1"/>
    <col min="4871" max="4871" width="11.28515625" style="21" customWidth="1"/>
    <col min="4872" max="4872" width="13.85546875" style="21" customWidth="1"/>
    <col min="4873" max="4873" width="19.140625" style="21" bestFit="1" customWidth="1"/>
    <col min="4874" max="4874" width="10.140625" style="21" bestFit="1" customWidth="1"/>
    <col min="4875" max="5120" width="9.140625" style="21"/>
    <col min="5121" max="5121" width="14" style="21" customWidth="1"/>
    <col min="5122" max="5122" width="20.28515625" style="21" bestFit="1" customWidth="1"/>
    <col min="5123" max="5123" width="18.85546875" style="21" bestFit="1" customWidth="1"/>
    <col min="5124" max="5124" width="20.28515625" style="21" bestFit="1" customWidth="1"/>
    <col min="5125" max="5125" width="18.85546875" style="21" customWidth="1"/>
    <col min="5126" max="5126" width="14.7109375" style="21" customWidth="1"/>
    <col min="5127" max="5127" width="11.28515625" style="21" customWidth="1"/>
    <col min="5128" max="5128" width="13.85546875" style="21" customWidth="1"/>
    <col min="5129" max="5129" width="19.140625" style="21" bestFit="1" customWidth="1"/>
    <col min="5130" max="5130" width="10.140625" style="21" bestFit="1" customWidth="1"/>
    <col min="5131" max="5376" width="9.140625" style="21"/>
    <col min="5377" max="5377" width="14" style="21" customWidth="1"/>
    <col min="5378" max="5378" width="20.28515625" style="21" bestFit="1" customWidth="1"/>
    <col min="5379" max="5379" width="18.85546875" style="21" bestFit="1" customWidth="1"/>
    <col min="5380" max="5380" width="20.28515625" style="21" bestFit="1" customWidth="1"/>
    <col min="5381" max="5381" width="18.85546875" style="21" customWidth="1"/>
    <col min="5382" max="5382" width="14.7109375" style="21" customWidth="1"/>
    <col min="5383" max="5383" width="11.28515625" style="21" customWidth="1"/>
    <col min="5384" max="5384" width="13.85546875" style="21" customWidth="1"/>
    <col min="5385" max="5385" width="19.140625" style="21" bestFit="1" customWidth="1"/>
    <col min="5386" max="5386" width="10.140625" style="21" bestFit="1" customWidth="1"/>
    <col min="5387" max="5632" width="9.140625" style="21"/>
    <col min="5633" max="5633" width="14" style="21" customWidth="1"/>
    <col min="5634" max="5634" width="20.28515625" style="21" bestFit="1" customWidth="1"/>
    <col min="5635" max="5635" width="18.85546875" style="21" bestFit="1" customWidth="1"/>
    <col min="5636" max="5636" width="20.28515625" style="21" bestFit="1" customWidth="1"/>
    <col min="5637" max="5637" width="18.85546875" style="21" customWidth="1"/>
    <col min="5638" max="5638" width="14.7109375" style="21" customWidth="1"/>
    <col min="5639" max="5639" width="11.28515625" style="21" customWidth="1"/>
    <col min="5640" max="5640" width="13.85546875" style="21" customWidth="1"/>
    <col min="5641" max="5641" width="19.140625" style="21" bestFit="1" customWidth="1"/>
    <col min="5642" max="5642" width="10.140625" style="21" bestFit="1" customWidth="1"/>
    <col min="5643" max="5888" width="9.140625" style="21"/>
    <col min="5889" max="5889" width="14" style="21" customWidth="1"/>
    <col min="5890" max="5890" width="20.28515625" style="21" bestFit="1" customWidth="1"/>
    <col min="5891" max="5891" width="18.85546875" style="21" bestFit="1" customWidth="1"/>
    <col min="5892" max="5892" width="20.28515625" style="21" bestFit="1" customWidth="1"/>
    <col min="5893" max="5893" width="18.85546875" style="21" customWidth="1"/>
    <col min="5894" max="5894" width="14.7109375" style="21" customWidth="1"/>
    <col min="5895" max="5895" width="11.28515625" style="21" customWidth="1"/>
    <col min="5896" max="5896" width="13.85546875" style="21" customWidth="1"/>
    <col min="5897" max="5897" width="19.140625" style="21" bestFit="1" customWidth="1"/>
    <col min="5898" max="5898" width="10.140625" style="21" bestFit="1" customWidth="1"/>
    <col min="5899" max="6144" width="9.140625" style="21"/>
    <col min="6145" max="6145" width="14" style="21" customWidth="1"/>
    <col min="6146" max="6146" width="20.28515625" style="21" bestFit="1" customWidth="1"/>
    <col min="6147" max="6147" width="18.85546875" style="21" bestFit="1" customWidth="1"/>
    <col min="6148" max="6148" width="20.28515625" style="21" bestFit="1" customWidth="1"/>
    <col min="6149" max="6149" width="18.85546875" style="21" customWidth="1"/>
    <col min="6150" max="6150" width="14.7109375" style="21" customWidth="1"/>
    <col min="6151" max="6151" width="11.28515625" style="21" customWidth="1"/>
    <col min="6152" max="6152" width="13.85546875" style="21" customWidth="1"/>
    <col min="6153" max="6153" width="19.140625" style="21" bestFit="1" customWidth="1"/>
    <col min="6154" max="6154" width="10.140625" style="21" bestFit="1" customWidth="1"/>
    <col min="6155" max="6400" width="9.140625" style="21"/>
    <col min="6401" max="6401" width="14" style="21" customWidth="1"/>
    <col min="6402" max="6402" width="20.28515625" style="21" bestFit="1" customWidth="1"/>
    <col min="6403" max="6403" width="18.85546875" style="21" bestFit="1" customWidth="1"/>
    <col min="6404" max="6404" width="20.28515625" style="21" bestFit="1" customWidth="1"/>
    <col min="6405" max="6405" width="18.85546875" style="21" customWidth="1"/>
    <col min="6406" max="6406" width="14.7109375" style="21" customWidth="1"/>
    <col min="6407" max="6407" width="11.28515625" style="21" customWidth="1"/>
    <col min="6408" max="6408" width="13.85546875" style="21" customWidth="1"/>
    <col min="6409" max="6409" width="19.140625" style="21" bestFit="1" customWidth="1"/>
    <col min="6410" max="6410" width="10.140625" style="21" bestFit="1" customWidth="1"/>
    <col min="6411" max="6656" width="9.140625" style="21"/>
    <col min="6657" max="6657" width="14" style="21" customWidth="1"/>
    <col min="6658" max="6658" width="20.28515625" style="21" bestFit="1" customWidth="1"/>
    <col min="6659" max="6659" width="18.85546875" style="21" bestFit="1" customWidth="1"/>
    <col min="6660" max="6660" width="20.28515625" style="21" bestFit="1" customWidth="1"/>
    <col min="6661" max="6661" width="18.85546875" style="21" customWidth="1"/>
    <col min="6662" max="6662" width="14.7109375" style="21" customWidth="1"/>
    <col min="6663" max="6663" width="11.28515625" style="21" customWidth="1"/>
    <col min="6664" max="6664" width="13.85546875" style="21" customWidth="1"/>
    <col min="6665" max="6665" width="19.140625" style="21" bestFit="1" customWidth="1"/>
    <col min="6666" max="6666" width="10.140625" style="21" bestFit="1" customWidth="1"/>
    <col min="6667" max="6912" width="9.140625" style="21"/>
    <col min="6913" max="6913" width="14" style="21" customWidth="1"/>
    <col min="6914" max="6914" width="20.28515625" style="21" bestFit="1" customWidth="1"/>
    <col min="6915" max="6915" width="18.85546875" style="21" bestFit="1" customWidth="1"/>
    <col min="6916" max="6916" width="20.28515625" style="21" bestFit="1" customWidth="1"/>
    <col min="6917" max="6917" width="18.85546875" style="21" customWidth="1"/>
    <col min="6918" max="6918" width="14.7109375" style="21" customWidth="1"/>
    <col min="6919" max="6919" width="11.28515625" style="21" customWidth="1"/>
    <col min="6920" max="6920" width="13.85546875" style="21" customWidth="1"/>
    <col min="6921" max="6921" width="19.140625" style="21" bestFit="1" customWidth="1"/>
    <col min="6922" max="6922" width="10.140625" style="21" bestFit="1" customWidth="1"/>
    <col min="6923" max="7168" width="9.140625" style="21"/>
    <col min="7169" max="7169" width="14" style="21" customWidth="1"/>
    <col min="7170" max="7170" width="20.28515625" style="21" bestFit="1" customWidth="1"/>
    <col min="7171" max="7171" width="18.85546875" style="21" bestFit="1" customWidth="1"/>
    <col min="7172" max="7172" width="20.28515625" style="21" bestFit="1" customWidth="1"/>
    <col min="7173" max="7173" width="18.85546875" style="21" customWidth="1"/>
    <col min="7174" max="7174" width="14.7109375" style="21" customWidth="1"/>
    <col min="7175" max="7175" width="11.28515625" style="21" customWidth="1"/>
    <col min="7176" max="7176" width="13.85546875" style="21" customWidth="1"/>
    <col min="7177" max="7177" width="19.140625" style="21" bestFit="1" customWidth="1"/>
    <col min="7178" max="7178" width="10.140625" style="21" bestFit="1" customWidth="1"/>
    <col min="7179" max="7424" width="9.140625" style="21"/>
    <col min="7425" max="7425" width="14" style="21" customWidth="1"/>
    <col min="7426" max="7426" width="20.28515625" style="21" bestFit="1" customWidth="1"/>
    <col min="7427" max="7427" width="18.85546875" style="21" bestFit="1" customWidth="1"/>
    <col min="7428" max="7428" width="20.28515625" style="21" bestFit="1" customWidth="1"/>
    <col min="7429" max="7429" width="18.85546875" style="21" customWidth="1"/>
    <col min="7430" max="7430" width="14.7109375" style="21" customWidth="1"/>
    <col min="7431" max="7431" width="11.28515625" style="21" customWidth="1"/>
    <col min="7432" max="7432" width="13.85546875" style="21" customWidth="1"/>
    <col min="7433" max="7433" width="19.140625" style="21" bestFit="1" customWidth="1"/>
    <col min="7434" max="7434" width="10.140625" style="21" bestFit="1" customWidth="1"/>
    <col min="7435" max="7680" width="9.140625" style="21"/>
    <col min="7681" max="7681" width="14" style="21" customWidth="1"/>
    <col min="7682" max="7682" width="20.28515625" style="21" bestFit="1" customWidth="1"/>
    <col min="7683" max="7683" width="18.85546875" style="21" bestFit="1" customWidth="1"/>
    <col min="7684" max="7684" width="20.28515625" style="21" bestFit="1" customWidth="1"/>
    <col min="7685" max="7685" width="18.85546875" style="21" customWidth="1"/>
    <col min="7686" max="7686" width="14.7109375" style="21" customWidth="1"/>
    <col min="7687" max="7687" width="11.28515625" style="21" customWidth="1"/>
    <col min="7688" max="7688" width="13.85546875" style="21" customWidth="1"/>
    <col min="7689" max="7689" width="19.140625" style="21" bestFit="1" customWidth="1"/>
    <col min="7690" max="7690" width="10.140625" style="21" bestFit="1" customWidth="1"/>
    <col min="7691" max="7936" width="9.140625" style="21"/>
    <col min="7937" max="7937" width="14" style="21" customWidth="1"/>
    <col min="7938" max="7938" width="20.28515625" style="21" bestFit="1" customWidth="1"/>
    <col min="7939" max="7939" width="18.85546875" style="21" bestFit="1" customWidth="1"/>
    <col min="7940" max="7940" width="20.28515625" style="21" bestFit="1" customWidth="1"/>
    <col min="7941" max="7941" width="18.85546875" style="21" customWidth="1"/>
    <col min="7942" max="7942" width="14.7109375" style="21" customWidth="1"/>
    <col min="7943" max="7943" width="11.28515625" style="21" customWidth="1"/>
    <col min="7944" max="7944" width="13.85546875" style="21" customWidth="1"/>
    <col min="7945" max="7945" width="19.140625" style="21" bestFit="1" customWidth="1"/>
    <col min="7946" max="7946" width="10.140625" style="21" bestFit="1" customWidth="1"/>
    <col min="7947" max="8192" width="9.140625" style="21"/>
    <col min="8193" max="8193" width="14" style="21" customWidth="1"/>
    <col min="8194" max="8194" width="20.28515625" style="21" bestFit="1" customWidth="1"/>
    <col min="8195" max="8195" width="18.85546875" style="21" bestFit="1" customWidth="1"/>
    <col min="8196" max="8196" width="20.28515625" style="21" bestFit="1" customWidth="1"/>
    <col min="8197" max="8197" width="18.85546875" style="21" customWidth="1"/>
    <col min="8198" max="8198" width="14.7109375" style="21" customWidth="1"/>
    <col min="8199" max="8199" width="11.28515625" style="21" customWidth="1"/>
    <col min="8200" max="8200" width="13.85546875" style="21" customWidth="1"/>
    <col min="8201" max="8201" width="19.140625" style="21" bestFit="1" customWidth="1"/>
    <col min="8202" max="8202" width="10.140625" style="21" bestFit="1" customWidth="1"/>
    <col min="8203" max="8448" width="9.140625" style="21"/>
    <col min="8449" max="8449" width="14" style="21" customWidth="1"/>
    <col min="8450" max="8450" width="20.28515625" style="21" bestFit="1" customWidth="1"/>
    <col min="8451" max="8451" width="18.85546875" style="21" bestFit="1" customWidth="1"/>
    <col min="8452" max="8452" width="20.28515625" style="21" bestFit="1" customWidth="1"/>
    <col min="8453" max="8453" width="18.85546875" style="21" customWidth="1"/>
    <col min="8454" max="8454" width="14.7109375" style="21" customWidth="1"/>
    <col min="8455" max="8455" width="11.28515625" style="21" customWidth="1"/>
    <col min="8456" max="8456" width="13.85546875" style="21" customWidth="1"/>
    <col min="8457" max="8457" width="19.140625" style="21" bestFit="1" customWidth="1"/>
    <col min="8458" max="8458" width="10.140625" style="21" bestFit="1" customWidth="1"/>
    <col min="8459" max="8704" width="9.140625" style="21"/>
    <col min="8705" max="8705" width="14" style="21" customWidth="1"/>
    <col min="8706" max="8706" width="20.28515625" style="21" bestFit="1" customWidth="1"/>
    <col min="8707" max="8707" width="18.85546875" style="21" bestFit="1" customWidth="1"/>
    <col min="8708" max="8708" width="20.28515625" style="21" bestFit="1" customWidth="1"/>
    <col min="8709" max="8709" width="18.85546875" style="21" customWidth="1"/>
    <col min="8710" max="8710" width="14.7109375" style="21" customWidth="1"/>
    <col min="8711" max="8711" width="11.28515625" style="21" customWidth="1"/>
    <col min="8712" max="8712" width="13.85546875" style="21" customWidth="1"/>
    <col min="8713" max="8713" width="19.140625" style="21" bestFit="1" customWidth="1"/>
    <col min="8714" max="8714" width="10.140625" style="21" bestFit="1" customWidth="1"/>
    <col min="8715" max="8960" width="9.140625" style="21"/>
    <col min="8961" max="8961" width="14" style="21" customWidth="1"/>
    <col min="8962" max="8962" width="20.28515625" style="21" bestFit="1" customWidth="1"/>
    <col min="8963" max="8963" width="18.85546875" style="21" bestFit="1" customWidth="1"/>
    <col min="8964" max="8964" width="20.28515625" style="21" bestFit="1" customWidth="1"/>
    <col min="8965" max="8965" width="18.85546875" style="21" customWidth="1"/>
    <col min="8966" max="8966" width="14.7109375" style="21" customWidth="1"/>
    <col min="8967" max="8967" width="11.28515625" style="21" customWidth="1"/>
    <col min="8968" max="8968" width="13.85546875" style="21" customWidth="1"/>
    <col min="8969" max="8969" width="19.140625" style="21" bestFit="1" customWidth="1"/>
    <col min="8970" max="8970" width="10.140625" style="21" bestFit="1" customWidth="1"/>
    <col min="8971" max="9216" width="9.140625" style="21"/>
    <col min="9217" max="9217" width="14" style="21" customWidth="1"/>
    <col min="9218" max="9218" width="20.28515625" style="21" bestFit="1" customWidth="1"/>
    <col min="9219" max="9219" width="18.85546875" style="21" bestFit="1" customWidth="1"/>
    <col min="9220" max="9220" width="20.28515625" style="21" bestFit="1" customWidth="1"/>
    <col min="9221" max="9221" width="18.85546875" style="21" customWidth="1"/>
    <col min="9222" max="9222" width="14.7109375" style="21" customWidth="1"/>
    <col min="9223" max="9223" width="11.28515625" style="21" customWidth="1"/>
    <col min="9224" max="9224" width="13.85546875" style="21" customWidth="1"/>
    <col min="9225" max="9225" width="19.140625" style="21" bestFit="1" customWidth="1"/>
    <col min="9226" max="9226" width="10.140625" style="21" bestFit="1" customWidth="1"/>
    <col min="9227" max="9472" width="9.140625" style="21"/>
    <col min="9473" max="9473" width="14" style="21" customWidth="1"/>
    <col min="9474" max="9474" width="20.28515625" style="21" bestFit="1" customWidth="1"/>
    <col min="9475" max="9475" width="18.85546875" style="21" bestFit="1" customWidth="1"/>
    <col min="9476" max="9476" width="20.28515625" style="21" bestFit="1" customWidth="1"/>
    <col min="9477" max="9477" width="18.85546875" style="21" customWidth="1"/>
    <col min="9478" max="9478" width="14.7109375" style="21" customWidth="1"/>
    <col min="9479" max="9479" width="11.28515625" style="21" customWidth="1"/>
    <col min="9480" max="9480" width="13.85546875" style="21" customWidth="1"/>
    <col min="9481" max="9481" width="19.140625" style="21" bestFit="1" customWidth="1"/>
    <col min="9482" max="9482" width="10.140625" style="21" bestFit="1" customWidth="1"/>
    <col min="9483" max="9728" width="9.140625" style="21"/>
    <col min="9729" max="9729" width="14" style="21" customWidth="1"/>
    <col min="9730" max="9730" width="20.28515625" style="21" bestFit="1" customWidth="1"/>
    <col min="9731" max="9731" width="18.85546875" style="21" bestFit="1" customWidth="1"/>
    <col min="9732" max="9732" width="20.28515625" style="21" bestFit="1" customWidth="1"/>
    <col min="9733" max="9733" width="18.85546875" style="21" customWidth="1"/>
    <col min="9734" max="9734" width="14.7109375" style="21" customWidth="1"/>
    <col min="9735" max="9735" width="11.28515625" style="21" customWidth="1"/>
    <col min="9736" max="9736" width="13.85546875" style="21" customWidth="1"/>
    <col min="9737" max="9737" width="19.140625" style="21" bestFit="1" customWidth="1"/>
    <col min="9738" max="9738" width="10.140625" style="21" bestFit="1" customWidth="1"/>
    <col min="9739" max="9984" width="9.140625" style="21"/>
    <col min="9985" max="9985" width="14" style="21" customWidth="1"/>
    <col min="9986" max="9986" width="20.28515625" style="21" bestFit="1" customWidth="1"/>
    <col min="9987" max="9987" width="18.85546875" style="21" bestFit="1" customWidth="1"/>
    <col min="9988" max="9988" width="20.28515625" style="21" bestFit="1" customWidth="1"/>
    <col min="9989" max="9989" width="18.85546875" style="21" customWidth="1"/>
    <col min="9990" max="9990" width="14.7109375" style="21" customWidth="1"/>
    <col min="9991" max="9991" width="11.28515625" style="21" customWidth="1"/>
    <col min="9992" max="9992" width="13.85546875" style="21" customWidth="1"/>
    <col min="9993" max="9993" width="19.140625" style="21" bestFit="1" customWidth="1"/>
    <col min="9994" max="9994" width="10.140625" style="21" bestFit="1" customWidth="1"/>
    <col min="9995" max="10240" width="9.140625" style="21"/>
    <col min="10241" max="10241" width="14" style="21" customWidth="1"/>
    <col min="10242" max="10242" width="20.28515625" style="21" bestFit="1" customWidth="1"/>
    <col min="10243" max="10243" width="18.85546875" style="21" bestFit="1" customWidth="1"/>
    <col min="10244" max="10244" width="20.28515625" style="21" bestFit="1" customWidth="1"/>
    <col min="10245" max="10245" width="18.85546875" style="21" customWidth="1"/>
    <col min="10246" max="10246" width="14.7109375" style="21" customWidth="1"/>
    <col min="10247" max="10247" width="11.28515625" style="21" customWidth="1"/>
    <col min="10248" max="10248" width="13.85546875" style="21" customWidth="1"/>
    <col min="10249" max="10249" width="19.140625" style="21" bestFit="1" customWidth="1"/>
    <col min="10250" max="10250" width="10.140625" style="21" bestFit="1" customWidth="1"/>
    <col min="10251" max="10496" width="9.140625" style="21"/>
    <col min="10497" max="10497" width="14" style="21" customWidth="1"/>
    <col min="10498" max="10498" width="20.28515625" style="21" bestFit="1" customWidth="1"/>
    <col min="10499" max="10499" width="18.85546875" style="21" bestFit="1" customWidth="1"/>
    <col min="10500" max="10500" width="20.28515625" style="21" bestFit="1" customWidth="1"/>
    <col min="10501" max="10501" width="18.85546875" style="21" customWidth="1"/>
    <col min="10502" max="10502" width="14.7109375" style="21" customWidth="1"/>
    <col min="10503" max="10503" width="11.28515625" style="21" customWidth="1"/>
    <col min="10504" max="10504" width="13.85546875" style="21" customWidth="1"/>
    <col min="10505" max="10505" width="19.140625" style="21" bestFit="1" customWidth="1"/>
    <col min="10506" max="10506" width="10.140625" style="21" bestFit="1" customWidth="1"/>
    <col min="10507" max="10752" width="9.140625" style="21"/>
    <col min="10753" max="10753" width="14" style="21" customWidth="1"/>
    <col min="10754" max="10754" width="20.28515625" style="21" bestFit="1" customWidth="1"/>
    <col min="10755" max="10755" width="18.85546875" style="21" bestFit="1" customWidth="1"/>
    <col min="10756" max="10756" width="20.28515625" style="21" bestFit="1" customWidth="1"/>
    <col min="10757" max="10757" width="18.85546875" style="21" customWidth="1"/>
    <col min="10758" max="10758" width="14.7109375" style="21" customWidth="1"/>
    <col min="10759" max="10759" width="11.28515625" style="21" customWidth="1"/>
    <col min="10760" max="10760" width="13.85546875" style="21" customWidth="1"/>
    <col min="10761" max="10761" width="19.140625" style="21" bestFit="1" customWidth="1"/>
    <col min="10762" max="10762" width="10.140625" style="21" bestFit="1" customWidth="1"/>
    <col min="10763" max="11008" width="9.140625" style="21"/>
    <col min="11009" max="11009" width="14" style="21" customWidth="1"/>
    <col min="11010" max="11010" width="20.28515625" style="21" bestFit="1" customWidth="1"/>
    <col min="11011" max="11011" width="18.85546875" style="21" bestFit="1" customWidth="1"/>
    <col min="11012" max="11012" width="20.28515625" style="21" bestFit="1" customWidth="1"/>
    <col min="11013" max="11013" width="18.85546875" style="21" customWidth="1"/>
    <col min="11014" max="11014" width="14.7109375" style="21" customWidth="1"/>
    <col min="11015" max="11015" width="11.28515625" style="21" customWidth="1"/>
    <col min="11016" max="11016" width="13.85546875" style="21" customWidth="1"/>
    <col min="11017" max="11017" width="19.140625" style="21" bestFit="1" customWidth="1"/>
    <col min="11018" max="11018" width="10.140625" style="21" bestFit="1" customWidth="1"/>
    <col min="11019" max="11264" width="9.140625" style="21"/>
    <col min="11265" max="11265" width="14" style="21" customWidth="1"/>
    <col min="11266" max="11266" width="20.28515625" style="21" bestFit="1" customWidth="1"/>
    <col min="11267" max="11267" width="18.85546875" style="21" bestFit="1" customWidth="1"/>
    <col min="11268" max="11268" width="20.28515625" style="21" bestFit="1" customWidth="1"/>
    <col min="11269" max="11269" width="18.85546875" style="21" customWidth="1"/>
    <col min="11270" max="11270" width="14.7109375" style="21" customWidth="1"/>
    <col min="11271" max="11271" width="11.28515625" style="21" customWidth="1"/>
    <col min="11272" max="11272" width="13.85546875" style="21" customWidth="1"/>
    <col min="11273" max="11273" width="19.140625" style="21" bestFit="1" customWidth="1"/>
    <col min="11274" max="11274" width="10.140625" style="21" bestFit="1" customWidth="1"/>
    <col min="11275" max="11520" width="9.140625" style="21"/>
    <col min="11521" max="11521" width="14" style="21" customWidth="1"/>
    <col min="11522" max="11522" width="20.28515625" style="21" bestFit="1" customWidth="1"/>
    <col min="11523" max="11523" width="18.85546875" style="21" bestFit="1" customWidth="1"/>
    <col min="11524" max="11524" width="20.28515625" style="21" bestFit="1" customWidth="1"/>
    <col min="11525" max="11525" width="18.85546875" style="21" customWidth="1"/>
    <col min="11526" max="11526" width="14.7109375" style="21" customWidth="1"/>
    <col min="11527" max="11527" width="11.28515625" style="21" customWidth="1"/>
    <col min="11528" max="11528" width="13.85546875" style="21" customWidth="1"/>
    <col min="11529" max="11529" width="19.140625" style="21" bestFit="1" customWidth="1"/>
    <col min="11530" max="11530" width="10.140625" style="21" bestFit="1" customWidth="1"/>
    <col min="11531" max="11776" width="9.140625" style="21"/>
    <col min="11777" max="11777" width="14" style="21" customWidth="1"/>
    <col min="11778" max="11778" width="20.28515625" style="21" bestFit="1" customWidth="1"/>
    <col min="11779" max="11779" width="18.85546875" style="21" bestFit="1" customWidth="1"/>
    <col min="11780" max="11780" width="20.28515625" style="21" bestFit="1" customWidth="1"/>
    <col min="11781" max="11781" width="18.85546875" style="21" customWidth="1"/>
    <col min="11782" max="11782" width="14.7109375" style="21" customWidth="1"/>
    <col min="11783" max="11783" width="11.28515625" style="21" customWidth="1"/>
    <col min="11784" max="11784" width="13.85546875" style="21" customWidth="1"/>
    <col min="11785" max="11785" width="19.140625" style="21" bestFit="1" customWidth="1"/>
    <col min="11786" max="11786" width="10.140625" style="21" bestFit="1" customWidth="1"/>
    <col min="11787" max="12032" width="9.140625" style="21"/>
    <col min="12033" max="12033" width="14" style="21" customWidth="1"/>
    <col min="12034" max="12034" width="20.28515625" style="21" bestFit="1" customWidth="1"/>
    <col min="12035" max="12035" width="18.85546875" style="21" bestFit="1" customWidth="1"/>
    <col min="12036" max="12036" width="20.28515625" style="21" bestFit="1" customWidth="1"/>
    <col min="12037" max="12037" width="18.85546875" style="21" customWidth="1"/>
    <col min="12038" max="12038" width="14.7109375" style="21" customWidth="1"/>
    <col min="12039" max="12039" width="11.28515625" style="21" customWidth="1"/>
    <col min="12040" max="12040" width="13.85546875" style="21" customWidth="1"/>
    <col min="12041" max="12041" width="19.140625" style="21" bestFit="1" customWidth="1"/>
    <col min="12042" max="12042" width="10.140625" style="21" bestFit="1" customWidth="1"/>
    <col min="12043" max="12288" width="9.140625" style="21"/>
    <col min="12289" max="12289" width="14" style="21" customWidth="1"/>
    <col min="12290" max="12290" width="20.28515625" style="21" bestFit="1" customWidth="1"/>
    <col min="12291" max="12291" width="18.85546875" style="21" bestFit="1" customWidth="1"/>
    <col min="12292" max="12292" width="20.28515625" style="21" bestFit="1" customWidth="1"/>
    <col min="12293" max="12293" width="18.85546875" style="21" customWidth="1"/>
    <col min="12294" max="12294" width="14.7109375" style="21" customWidth="1"/>
    <col min="12295" max="12295" width="11.28515625" style="21" customWidth="1"/>
    <col min="12296" max="12296" width="13.85546875" style="21" customWidth="1"/>
    <col min="12297" max="12297" width="19.140625" style="21" bestFit="1" customWidth="1"/>
    <col min="12298" max="12298" width="10.140625" style="21" bestFit="1" customWidth="1"/>
    <col min="12299" max="12544" width="9.140625" style="21"/>
    <col min="12545" max="12545" width="14" style="21" customWidth="1"/>
    <col min="12546" max="12546" width="20.28515625" style="21" bestFit="1" customWidth="1"/>
    <col min="12547" max="12547" width="18.85546875" style="21" bestFit="1" customWidth="1"/>
    <col min="12548" max="12548" width="20.28515625" style="21" bestFit="1" customWidth="1"/>
    <col min="12549" max="12549" width="18.85546875" style="21" customWidth="1"/>
    <col min="12550" max="12550" width="14.7109375" style="21" customWidth="1"/>
    <col min="12551" max="12551" width="11.28515625" style="21" customWidth="1"/>
    <col min="12552" max="12552" width="13.85546875" style="21" customWidth="1"/>
    <col min="12553" max="12553" width="19.140625" style="21" bestFit="1" customWidth="1"/>
    <col min="12554" max="12554" width="10.140625" style="21" bestFit="1" customWidth="1"/>
    <col min="12555" max="12800" width="9.140625" style="21"/>
    <col min="12801" max="12801" width="14" style="21" customWidth="1"/>
    <col min="12802" max="12802" width="20.28515625" style="21" bestFit="1" customWidth="1"/>
    <col min="12803" max="12803" width="18.85546875" style="21" bestFit="1" customWidth="1"/>
    <col min="12804" max="12804" width="20.28515625" style="21" bestFit="1" customWidth="1"/>
    <col min="12805" max="12805" width="18.85546875" style="21" customWidth="1"/>
    <col min="12806" max="12806" width="14.7109375" style="21" customWidth="1"/>
    <col min="12807" max="12807" width="11.28515625" style="21" customWidth="1"/>
    <col min="12808" max="12808" width="13.85546875" style="21" customWidth="1"/>
    <col min="12809" max="12809" width="19.140625" style="21" bestFit="1" customWidth="1"/>
    <col min="12810" max="12810" width="10.140625" style="21" bestFit="1" customWidth="1"/>
    <col min="12811" max="13056" width="9.140625" style="21"/>
    <col min="13057" max="13057" width="14" style="21" customWidth="1"/>
    <col min="13058" max="13058" width="20.28515625" style="21" bestFit="1" customWidth="1"/>
    <col min="13059" max="13059" width="18.85546875" style="21" bestFit="1" customWidth="1"/>
    <col min="13060" max="13060" width="20.28515625" style="21" bestFit="1" customWidth="1"/>
    <col min="13061" max="13061" width="18.85546875" style="21" customWidth="1"/>
    <col min="13062" max="13062" width="14.7109375" style="21" customWidth="1"/>
    <col min="13063" max="13063" width="11.28515625" style="21" customWidth="1"/>
    <col min="13064" max="13064" width="13.85546875" style="21" customWidth="1"/>
    <col min="13065" max="13065" width="19.140625" style="21" bestFit="1" customWidth="1"/>
    <col min="13066" max="13066" width="10.140625" style="21" bestFit="1" customWidth="1"/>
    <col min="13067" max="13312" width="9.140625" style="21"/>
    <col min="13313" max="13313" width="14" style="21" customWidth="1"/>
    <col min="13314" max="13314" width="20.28515625" style="21" bestFit="1" customWidth="1"/>
    <col min="13315" max="13315" width="18.85546875" style="21" bestFit="1" customWidth="1"/>
    <col min="13316" max="13316" width="20.28515625" style="21" bestFit="1" customWidth="1"/>
    <col min="13317" max="13317" width="18.85546875" style="21" customWidth="1"/>
    <col min="13318" max="13318" width="14.7109375" style="21" customWidth="1"/>
    <col min="13319" max="13319" width="11.28515625" style="21" customWidth="1"/>
    <col min="13320" max="13320" width="13.85546875" style="21" customWidth="1"/>
    <col min="13321" max="13321" width="19.140625" style="21" bestFit="1" customWidth="1"/>
    <col min="13322" max="13322" width="10.140625" style="21" bestFit="1" customWidth="1"/>
    <col min="13323" max="13568" width="9.140625" style="21"/>
    <col min="13569" max="13569" width="14" style="21" customWidth="1"/>
    <col min="13570" max="13570" width="20.28515625" style="21" bestFit="1" customWidth="1"/>
    <col min="13571" max="13571" width="18.85546875" style="21" bestFit="1" customWidth="1"/>
    <col min="13572" max="13572" width="20.28515625" style="21" bestFit="1" customWidth="1"/>
    <col min="13573" max="13573" width="18.85546875" style="21" customWidth="1"/>
    <col min="13574" max="13574" width="14.7109375" style="21" customWidth="1"/>
    <col min="13575" max="13575" width="11.28515625" style="21" customWidth="1"/>
    <col min="13576" max="13576" width="13.85546875" style="21" customWidth="1"/>
    <col min="13577" max="13577" width="19.140625" style="21" bestFit="1" customWidth="1"/>
    <col min="13578" max="13578" width="10.140625" style="21" bestFit="1" customWidth="1"/>
    <col min="13579" max="13824" width="9.140625" style="21"/>
    <col min="13825" max="13825" width="14" style="21" customWidth="1"/>
    <col min="13826" max="13826" width="20.28515625" style="21" bestFit="1" customWidth="1"/>
    <col min="13827" max="13827" width="18.85546875" style="21" bestFit="1" customWidth="1"/>
    <col min="13828" max="13828" width="20.28515625" style="21" bestFit="1" customWidth="1"/>
    <col min="13829" max="13829" width="18.85546875" style="21" customWidth="1"/>
    <col min="13830" max="13830" width="14.7109375" style="21" customWidth="1"/>
    <col min="13831" max="13831" width="11.28515625" style="21" customWidth="1"/>
    <col min="13832" max="13832" width="13.85546875" style="21" customWidth="1"/>
    <col min="13833" max="13833" width="19.140625" style="21" bestFit="1" customWidth="1"/>
    <col min="13834" max="13834" width="10.140625" style="21" bestFit="1" customWidth="1"/>
    <col min="13835" max="14080" width="9.140625" style="21"/>
    <col min="14081" max="14081" width="14" style="21" customWidth="1"/>
    <col min="14082" max="14082" width="20.28515625" style="21" bestFit="1" customWidth="1"/>
    <col min="14083" max="14083" width="18.85546875" style="21" bestFit="1" customWidth="1"/>
    <col min="14084" max="14084" width="20.28515625" style="21" bestFit="1" customWidth="1"/>
    <col min="14085" max="14085" width="18.85546875" style="21" customWidth="1"/>
    <col min="14086" max="14086" width="14.7109375" style="21" customWidth="1"/>
    <col min="14087" max="14087" width="11.28515625" style="21" customWidth="1"/>
    <col min="14088" max="14088" width="13.85546875" style="21" customWidth="1"/>
    <col min="14089" max="14089" width="19.140625" style="21" bestFit="1" customWidth="1"/>
    <col min="14090" max="14090" width="10.140625" style="21" bestFit="1" customWidth="1"/>
    <col min="14091" max="14336" width="9.140625" style="21"/>
    <col min="14337" max="14337" width="14" style="21" customWidth="1"/>
    <col min="14338" max="14338" width="20.28515625" style="21" bestFit="1" customWidth="1"/>
    <col min="14339" max="14339" width="18.85546875" style="21" bestFit="1" customWidth="1"/>
    <col min="14340" max="14340" width="20.28515625" style="21" bestFit="1" customWidth="1"/>
    <col min="14341" max="14341" width="18.85546875" style="21" customWidth="1"/>
    <col min="14342" max="14342" width="14.7109375" style="21" customWidth="1"/>
    <col min="14343" max="14343" width="11.28515625" style="21" customWidth="1"/>
    <col min="14344" max="14344" width="13.85546875" style="21" customWidth="1"/>
    <col min="14345" max="14345" width="19.140625" style="21" bestFit="1" customWidth="1"/>
    <col min="14346" max="14346" width="10.140625" style="21" bestFit="1" customWidth="1"/>
    <col min="14347" max="14592" width="9.140625" style="21"/>
    <col min="14593" max="14593" width="14" style="21" customWidth="1"/>
    <col min="14594" max="14594" width="20.28515625" style="21" bestFit="1" customWidth="1"/>
    <col min="14595" max="14595" width="18.85546875" style="21" bestFit="1" customWidth="1"/>
    <col min="14596" max="14596" width="20.28515625" style="21" bestFit="1" customWidth="1"/>
    <col min="14597" max="14597" width="18.85546875" style="21" customWidth="1"/>
    <col min="14598" max="14598" width="14.7109375" style="21" customWidth="1"/>
    <col min="14599" max="14599" width="11.28515625" style="21" customWidth="1"/>
    <col min="14600" max="14600" width="13.85546875" style="21" customWidth="1"/>
    <col min="14601" max="14601" width="19.140625" style="21" bestFit="1" customWidth="1"/>
    <col min="14602" max="14602" width="10.140625" style="21" bestFit="1" customWidth="1"/>
    <col min="14603" max="14848" width="9.140625" style="21"/>
    <col min="14849" max="14849" width="14" style="21" customWidth="1"/>
    <col min="14850" max="14850" width="20.28515625" style="21" bestFit="1" customWidth="1"/>
    <col min="14851" max="14851" width="18.85546875" style="21" bestFit="1" customWidth="1"/>
    <col min="14852" max="14852" width="20.28515625" style="21" bestFit="1" customWidth="1"/>
    <col min="14853" max="14853" width="18.85546875" style="21" customWidth="1"/>
    <col min="14854" max="14854" width="14.7109375" style="21" customWidth="1"/>
    <col min="14855" max="14855" width="11.28515625" style="21" customWidth="1"/>
    <col min="14856" max="14856" width="13.85546875" style="21" customWidth="1"/>
    <col min="14857" max="14857" width="19.140625" style="21" bestFit="1" customWidth="1"/>
    <col min="14858" max="14858" width="10.140625" style="21" bestFit="1" customWidth="1"/>
    <col min="14859" max="15104" width="9.140625" style="21"/>
    <col min="15105" max="15105" width="14" style="21" customWidth="1"/>
    <col min="15106" max="15106" width="20.28515625" style="21" bestFit="1" customWidth="1"/>
    <col min="15107" max="15107" width="18.85546875" style="21" bestFit="1" customWidth="1"/>
    <col min="15108" max="15108" width="20.28515625" style="21" bestFit="1" customWidth="1"/>
    <col min="15109" max="15109" width="18.85546875" style="21" customWidth="1"/>
    <col min="15110" max="15110" width="14.7109375" style="21" customWidth="1"/>
    <col min="15111" max="15111" width="11.28515625" style="21" customWidth="1"/>
    <col min="15112" max="15112" width="13.85546875" style="21" customWidth="1"/>
    <col min="15113" max="15113" width="19.140625" style="21" bestFit="1" customWidth="1"/>
    <col min="15114" max="15114" width="10.140625" style="21" bestFit="1" customWidth="1"/>
    <col min="15115" max="15360" width="9.140625" style="21"/>
    <col min="15361" max="15361" width="14" style="21" customWidth="1"/>
    <col min="15362" max="15362" width="20.28515625" style="21" bestFit="1" customWidth="1"/>
    <col min="15363" max="15363" width="18.85546875" style="21" bestFit="1" customWidth="1"/>
    <col min="15364" max="15364" width="20.28515625" style="21" bestFit="1" customWidth="1"/>
    <col min="15365" max="15365" width="18.85546875" style="21" customWidth="1"/>
    <col min="15366" max="15366" width="14.7109375" style="21" customWidth="1"/>
    <col min="15367" max="15367" width="11.28515625" style="21" customWidth="1"/>
    <col min="15368" max="15368" width="13.85546875" style="21" customWidth="1"/>
    <col min="15369" max="15369" width="19.140625" style="21" bestFit="1" customWidth="1"/>
    <col min="15370" max="15370" width="10.140625" style="21" bestFit="1" customWidth="1"/>
    <col min="15371" max="15616" width="9.140625" style="21"/>
    <col min="15617" max="15617" width="14" style="21" customWidth="1"/>
    <col min="15618" max="15618" width="20.28515625" style="21" bestFit="1" customWidth="1"/>
    <col min="15619" max="15619" width="18.85546875" style="21" bestFit="1" customWidth="1"/>
    <col min="15620" max="15620" width="20.28515625" style="21" bestFit="1" customWidth="1"/>
    <col min="15621" max="15621" width="18.85546875" style="21" customWidth="1"/>
    <col min="15622" max="15622" width="14.7109375" style="21" customWidth="1"/>
    <col min="15623" max="15623" width="11.28515625" style="21" customWidth="1"/>
    <col min="15624" max="15624" width="13.85546875" style="21" customWidth="1"/>
    <col min="15625" max="15625" width="19.140625" style="21" bestFit="1" customWidth="1"/>
    <col min="15626" max="15626" width="10.140625" style="21" bestFit="1" customWidth="1"/>
    <col min="15627" max="15872" width="9.140625" style="21"/>
    <col min="15873" max="15873" width="14" style="21" customWidth="1"/>
    <col min="15874" max="15874" width="20.28515625" style="21" bestFit="1" customWidth="1"/>
    <col min="15875" max="15875" width="18.85546875" style="21" bestFit="1" customWidth="1"/>
    <col min="15876" max="15876" width="20.28515625" style="21" bestFit="1" customWidth="1"/>
    <col min="15877" max="15877" width="18.85546875" style="21" customWidth="1"/>
    <col min="15878" max="15878" width="14.7109375" style="21" customWidth="1"/>
    <col min="15879" max="15879" width="11.28515625" style="21" customWidth="1"/>
    <col min="15880" max="15880" width="13.85546875" style="21" customWidth="1"/>
    <col min="15881" max="15881" width="19.140625" style="21" bestFit="1" customWidth="1"/>
    <col min="15882" max="15882" width="10.140625" style="21" bestFit="1" customWidth="1"/>
    <col min="15883" max="16128" width="9.140625" style="21"/>
    <col min="16129" max="16129" width="14" style="21" customWidth="1"/>
    <col min="16130" max="16130" width="20.28515625" style="21" bestFit="1" customWidth="1"/>
    <col min="16131" max="16131" width="18.85546875" style="21" bestFit="1" customWidth="1"/>
    <col min="16132" max="16132" width="20.28515625" style="21" bestFit="1" customWidth="1"/>
    <col min="16133" max="16133" width="18.85546875" style="21" customWidth="1"/>
    <col min="16134" max="16134" width="14.7109375" style="21" customWidth="1"/>
    <col min="16135" max="16135" width="11.28515625" style="21" customWidth="1"/>
    <col min="16136" max="16136" width="13.85546875" style="21" customWidth="1"/>
    <col min="16137" max="16137" width="19.140625" style="21" bestFit="1" customWidth="1"/>
    <col min="16138" max="16138" width="10.140625" style="21" bestFit="1" customWidth="1"/>
    <col min="16139" max="16384" width="9.140625" style="21"/>
  </cols>
  <sheetData>
    <row r="1" spans="1:10" ht="18" x14ac:dyDescent="0.25">
      <c r="A1" s="28" t="s">
        <v>13</v>
      </c>
    </row>
    <row r="2" spans="1:10" ht="18" x14ac:dyDescent="0.25">
      <c r="A2" s="53"/>
      <c r="B2" s="32" t="s">
        <v>14</v>
      </c>
      <c r="C2" s="32" t="s">
        <v>15</v>
      </c>
      <c r="D2" s="32" t="s">
        <v>14</v>
      </c>
      <c r="E2" s="32" t="s">
        <v>15</v>
      </c>
      <c r="F2" s="32" t="s">
        <v>16</v>
      </c>
      <c r="G2" s="32" t="s">
        <v>17</v>
      </c>
      <c r="H2" s="32" t="s">
        <v>18</v>
      </c>
      <c r="I2" s="32" t="s">
        <v>19</v>
      </c>
      <c r="J2" s="13" t="s">
        <v>20</v>
      </c>
    </row>
    <row r="3" spans="1:10" x14ac:dyDescent="0.2">
      <c r="A3" s="54"/>
      <c r="B3" s="32" t="s">
        <v>21</v>
      </c>
      <c r="C3" s="32" t="s">
        <v>21</v>
      </c>
      <c r="D3" s="32" t="s">
        <v>22</v>
      </c>
      <c r="E3" s="32" t="s">
        <v>22</v>
      </c>
      <c r="F3" s="55" t="s">
        <v>21</v>
      </c>
      <c r="G3" s="32" t="s">
        <v>23</v>
      </c>
      <c r="H3" s="48"/>
      <c r="I3" s="32" t="s">
        <v>24</v>
      </c>
      <c r="J3" s="13" t="s">
        <v>25</v>
      </c>
    </row>
    <row r="4" spans="1:10" x14ac:dyDescent="0.2">
      <c r="A4" s="56">
        <v>44682</v>
      </c>
      <c r="B4" s="57">
        <v>2242</v>
      </c>
      <c r="C4" s="58">
        <f>IF(B5-B4 &lt; 0,0,B5-B4)</f>
        <v>2358</v>
      </c>
      <c r="D4" s="57">
        <v>1784</v>
      </c>
      <c r="E4" s="58">
        <f t="shared" ref="E4:E33" si="0">IF(D5-D4 &lt; 0,0,D5-D4)</f>
        <v>1082</v>
      </c>
      <c r="F4" s="57">
        <v>192</v>
      </c>
      <c r="G4" s="59">
        <v>88</v>
      </c>
      <c r="H4" s="59" t="s">
        <v>26</v>
      </c>
      <c r="I4" s="58">
        <f>+E4+C4</f>
        <v>3440</v>
      </c>
      <c r="J4" s="14">
        <f>(C4*0.288)+(E4*0.177)</f>
        <v>870.61799999999994</v>
      </c>
    </row>
    <row r="5" spans="1:10" x14ac:dyDescent="0.2">
      <c r="A5" s="56">
        <v>44683</v>
      </c>
      <c r="B5" s="57">
        <v>4600</v>
      </c>
      <c r="C5" s="58">
        <f t="shared" ref="C5:C33" si="1">IF(B6-B5 &lt; 0,0,B6-B5)</f>
        <v>2350</v>
      </c>
      <c r="D5" s="57">
        <v>2866</v>
      </c>
      <c r="E5" s="58">
        <f t="shared" si="0"/>
        <v>1094</v>
      </c>
      <c r="F5" s="57">
        <v>199</v>
      </c>
      <c r="G5" s="59">
        <v>88</v>
      </c>
      <c r="H5" s="59" t="s">
        <v>26</v>
      </c>
      <c r="I5" s="58">
        <f t="shared" ref="I5:I35" si="2">+E5+C5</f>
        <v>3444</v>
      </c>
      <c r="J5" s="14">
        <f t="shared" ref="J5:J35" si="3">(C5*0.288)+(E5*0.177)</f>
        <v>870.43799999999987</v>
      </c>
    </row>
    <row r="6" spans="1:10" x14ac:dyDescent="0.2">
      <c r="A6" s="56">
        <v>44684</v>
      </c>
      <c r="B6" s="57">
        <v>6950</v>
      </c>
      <c r="C6" s="58">
        <f t="shared" si="1"/>
        <v>2347</v>
      </c>
      <c r="D6" s="57">
        <v>3960</v>
      </c>
      <c r="E6" s="58">
        <f t="shared" si="0"/>
        <v>1031</v>
      </c>
      <c r="F6" s="57">
        <v>199</v>
      </c>
      <c r="G6" s="59">
        <v>72</v>
      </c>
      <c r="H6" s="59" t="s">
        <v>26</v>
      </c>
      <c r="I6" s="58">
        <f t="shared" si="2"/>
        <v>3378</v>
      </c>
      <c r="J6" s="14">
        <f t="shared" si="3"/>
        <v>858.42299999999989</v>
      </c>
    </row>
    <row r="7" spans="1:10" x14ac:dyDescent="0.2">
      <c r="A7" s="56">
        <v>44685</v>
      </c>
      <c r="B7" s="57">
        <v>9297</v>
      </c>
      <c r="C7" s="58">
        <f t="shared" si="1"/>
        <v>2270</v>
      </c>
      <c r="D7" s="57">
        <v>4991</v>
      </c>
      <c r="E7" s="58">
        <f t="shared" si="0"/>
        <v>999</v>
      </c>
      <c r="F7" s="57">
        <v>199</v>
      </c>
      <c r="G7" s="59">
        <v>68</v>
      </c>
      <c r="H7" s="59" t="s">
        <v>27</v>
      </c>
      <c r="I7" s="58">
        <f t="shared" si="2"/>
        <v>3269</v>
      </c>
      <c r="J7" s="14">
        <f t="shared" si="3"/>
        <v>830.58299999999997</v>
      </c>
    </row>
    <row r="8" spans="1:10" x14ac:dyDescent="0.2">
      <c r="A8" s="56">
        <v>44686</v>
      </c>
      <c r="B8" s="57">
        <v>11567</v>
      </c>
      <c r="C8" s="58">
        <f t="shared" si="1"/>
        <v>2313</v>
      </c>
      <c r="D8" s="57">
        <v>5990</v>
      </c>
      <c r="E8" s="58">
        <f t="shared" si="0"/>
        <v>1294</v>
      </c>
      <c r="F8" s="57">
        <v>199</v>
      </c>
      <c r="G8" s="59">
        <v>84</v>
      </c>
      <c r="H8" s="59" t="s">
        <v>28</v>
      </c>
      <c r="I8" s="58">
        <f t="shared" si="2"/>
        <v>3607</v>
      </c>
      <c r="J8" s="14">
        <f t="shared" si="3"/>
        <v>895.18200000000002</v>
      </c>
    </row>
    <row r="9" spans="1:10" x14ac:dyDescent="0.2">
      <c r="A9" s="56">
        <v>44687</v>
      </c>
      <c r="B9" s="57">
        <v>13880</v>
      </c>
      <c r="C9" s="58">
        <f t="shared" si="1"/>
        <v>2275</v>
      </c>
      <c r="D9" s="57">
        <v>7284</v>
      </c>
      <c r="E9" s="58">
        <f t="shared" si="0"/>
        <v>1100</v>
      </c>
      <c r="F9" s="57">
        <v>199</v>
      </c>
      <c r="G9" s="59">
        <v>74</v>
      </c>
      <c r="H9" s="59" t="s">
        <v>28</v>
      </c>
      <c r="I9" s="58">
        <f t="shared" si="2"/>
        <v>3375</v>
      </c>
      <c r="J9" s="14">
        <f t="shared" si="3"/>
        <v>849.89999999999986</v>
      </c>
    </row>
    <row r="10" spans="1:10" x14ac:dyDescent="0.2">
      <c r="A10" s="56">
        <v>44688</v>
      </c>
      <c r="B10" s="57">
        <v>16155</v>
      </c>
      <c r="C10" s="58">
        <f t="shared" si="1"/>
        <v>2265</v>
      </c>
      <c r="D10" s="57">
        <v>8384</v>
      </c>
      <c r="E10" s="58">
        <f t="shared" si="0"/>
        <v>1109</v>
      </c>
      <c r="F10" s="57">
        <v>199</v>
      </c>
      <c r="G10" s="60">
        <v>53</v>
      </c>
      <c r="H10" s="59" t="s">
        <v>28</v>
      </c>
      <c r="I10" s="58">
        <f t="shared" si="2"/>
        <v>3374</v>
      </c>
      <c r="J10" s="14">
        <f t="shared" si="3"/>
        <v>848.61299999999994</v>
      </c>
    </row>
    <row r="11" spans="1:10" x14ac:dyDescent="0.2">
      <c r="A11" s="56">
        <v>44689</v>
      </c>
      <c r="B11" s="57">
        <v>18420</v>
      </c>
      <c r="C11" s="58">
        <f t="shared" si="1"/>
        <v>2069</v>
      </c>
      <c r="D11" s="57">
        <v>9493</v>
      </c>
      <c r="E11" s="58">
        <f t="shared" si="0"/>
        <v>1008</v>
      </c>
      <c r="F11" s="57">
        <v>199</v>
      </c>
      <c r="G11" s="59">
        <v>43</v>
      </c>
      <c r="H11" s="59" t="s">
        <v>28</v>
      </c>
      <c r="I11" s="58">
        <f t="shared" si="2"/>
        <v>3077</v>
      </c>
      <c r="J11" s="14">
        <f t="shared" si="3"/>
        <v>774.28800000000001</v>
      </c>
    </row>
    <row r="12" spans="1:10" x14ac:dyDescent="0.2">
      <c r="A12" s="56">
        <v>44690</v>
      </c>
      <c r="B12" s="57">
        <v>20489</v>
      </c>
      <c r="C12" s="58">
        <f t="shared" si="1"/>
        <v>1842</v>
      </c>
      <c r="D12" s="57">
        <v>10501</v>
      </c>
      <c r="E12" s="58">
        <f t="shared" si="0"/>
        <v>905</v>
      </c>
      <c r="F12" s="57">
        <v>199</v>
      </c>
      <c r="G12" s="59">
        <v>37</v>
      </c>
      <c r="H12" s="59" t="s">
        <v>28</v>
      </c>
      <c r="I12" s="58">
        <f t="shared" si="2"/>
        <v>2747</v>
      </c>
      <c r="J12" s="14">
        <f t="shared" si="3"/>
        <v>690.68100000000004</v>
      </c>
    </row>
    <row r="13" spans="1:10" x14ac:dyDescent="0.2">
      <c r="A13" s="56">
        <v>44691</v>
      </c>
      <c r="B13" s="57">
        <v>22331</v>
      </c>
      <c r="C13" s="58">
        <f t="shared" si="1"/>
        <v>1951</v>
      </c>
      <c r="D13" s="57">
        <v>11406</v>
      </c>
      <c r="E13" s="58">
        <f t="shared" si="0"/>
        <v>979</v>
      </c>
      <c r="F13" s="57">
        <v>199</v>
      </c>
      <c r="G13" s="59">
        <v>32</v>
      </c>
      <c r="H13" s="59" t="s">
        <v>28</v>
      </c>
      <c r="I13" s="58">
        <f t="shared" si="2"/>
        <v>2930</v>
      </c>
      <c r="J13" s="14">
        <f t="shared" si="3"/>
        <v>735.17099999999994</v>
      </c>
    </row>
    <row r="14" spans="1:10" x14ac:dyDescent="0.2">
      <c r="A14" s="56">
        <v>44692</v>
      </c>
      <c r="B14" s="57">
        <v>24282</v>
      </c>
      <c r="C14" s="58">
        <f t="shared" si="1"/>
        <v>2031</v>
      </c>
      <c r="D14" s="57">
        <v>12385</v>
      </c>
      <c r="E14" s="58">
        <f t="shared" si="0"/>
        <v>840</v>
      </c>
      <c r="F14" s="57">
        <v>199</v>
      </c>
      <c r="G14" s="59">
        <v>32</v>
      </c>
      <c r="H14" s="59" t="s">
        <v>29</v>
      </c>
      <c r="I14" s="58">
        <f t="shared" si="2"/>
        <v>2871</v>
      </c>
      <c r="J14" s="14">
        <f t="shared" si="3"/>
        <v>733.60799999999995</v>
      </c>
    </row>
    <row r="15" spans="1:10" x14ac:dyDescent="0.2">
      <c r="A15" s="56">
        <v>44693</v>
      </c>
      <c r="B15" s="57">
        <v>26313</v>
      </c>
      <c r="C15" s="58">
        <f t="shared" si="1"/>
        <v>2102</v>
      </c>
      <c r="D15" s="57">
        <v>13225</v>
      </c>
      <c r="E15" s="58">
        <f t="shared" si="0"/>
        <v>1143</v>
      </c>
      <c r="F15" s="57">
        <v>199</v>
      </c>
      <c r="G15" s="59">
        <v>43</v>
      </c>
      <c r="H15" s="59" t="s">
        <v>29</v>
      </c>
      <c r="I15" s="58">
        <f t="shared" si="2"/>
        <v>3245</v>
      </c>
      <c r="J15" s="14">
        <f t="shared" si="3"/>
        <v>807.6869999999999</v>
      </c>
    </row>
    <row r="16" spans="1:10" x14ac:dyDescent="0.2">
      <c r="A16" s="56">
        <v>44694</v>
      </c>
      <c r="B16" s="57">
        <v>28415</v>
      </c>
      <c r="C16" s="58">
        <f t="shared" si="1"/>
        <v>2559</v>
      </c>
      <c r="D16" s="57">
        <v>14368</v>
      </c>
      <c r="E16" s="58">
        <f t="shared" si="0"/>
        <v>921</v>
      </c>
      <c r="F16" s="57">
        <v>199</v>
      </c>
      <c r="G16" s="59">
        <v>61</v>
      </c>
      <c r="H16" s="59" t="s">
        <v>28</v>
      </c>
      <c r="I16" s="58">
        <f t="shared" si="2"/>
        <v>3480</v>
      </c>
      <c r="J16" s="14">
        <f t="shared" si="3"/>
        <v>900.00900000000001</v>
      </c>
    </row>
    <row r="17" spans="1:10" x14ac:dyDescent="0.2">
      <c r="A17" s="56">
        <v>44695</v>
      </c>
      <c r="B17" s="57">
        <v>30974</v>
      </c>
      <c r="C17" s="58">
        <f t="shared" si="1"/>
        <v>2392</v>
      </c>
      <c r="D17" s="57">
        <v>15289</v>
      </c>
      <c r="E17" s="58">
        <f t="shared" si="0"/>
        <v>1134</v>
      </c>
      <c r="F17" s="57">
        <v>199</v>
      </c>
      <c r="G17" s="59">
        <v>82</v>
      </c>
      <c r="H17" s="59" t="s">
        <v>28</v>
      </c>
      <c r="I17" s="58">
        <f t="shared" si="2"/>
        <v>3526</v>
      </c>
      <c r="J17" s="14">
        <f t="shared" si="3"/>
        <v>889.61399999999992</v>
      </c>
    </row>
    <row r="18" spans="1:10" x14ac:dyDescent="0.2">
      <c r="A18" s="56">
        <v>44696</v>
      </c>
      <c r="B18" s="57">
        <v>33366</v>
      </c>
      <c r="C18" s="58">
        <f t="shared" si="1"/>
        <v>2199</v>
      </c>
      <c r="D18" s="57">
        <v>16423</v>
      </c>
      <c r="E18" s="58">
        <f t="shared" si="0"/>
        <v>1030</v>
      </c>
      <c r="F18" s="57">
        <v>209</v>
      </c>
      <c r="G18" s="59">
        <v>79</v>
      </c>
      <c r="H18" s="59" t="s">
        <v>29</v>
      </c>
      <c r="I18" s="58">
        <f t="shared" si="2"/>
        <v>3229</v>
      </c>
      <c r="J18" s="14">
        <f t="shared" si="3"/>
        <v>815.62199999999984</v>
      </c>
    </row>
    <row r="19" spans="1:10" x14ac:dyDescent="0.2">
      <c r="A19" s="56">
        <v>44697</v>
      </c>
      <c r="B19" s="57">
        <v>35565</v>
      </c>
      <c r="C19" s="58">
        <f t="shared" si="1"/>
        <v>2972</v>
      </c>
      <c r="D19" s="57">
        <v>17453</v>
      </c>
      <c r="E19" s="58">
        <f t="shared" si="0"/>
        <v>1083</v>
      </c>
      <c r="F19" s="57">
        <v>209</v>
      </c>
      <c r="G19" s="59">
        <v>43</v>
      </c>
      <c r="H19" s="59" t="s">
        <v>26</v>
      </c>
      <c r="I19" s="58">
        <f t="shared" si="2"/>
        <v>4055</v>
      </c>
      <c r="J19" s="14">
        <f t="shared" si="3"/>
        <v>1047.627</v>
      </c>
    </row>
    <row r="20" spans="1:10" x14ac:dyDescent="0.2">
      <c r="A20" s="56">
        <v>44698</v>
      </c>
      <c r="B20" s="57">
        <v>38537</v>
      </c>
      <c r="C20" s="58">
        <f t="shared" si="1"/>
        <v>2095</v>
      </c>
      <c r="D20" s="57">
        <v>18536</v>
      </c>
      <c r="E20" s="58">
        <f t="shared" si="0"/>
        <v>1092</v>
      </c>
      <c r="F20" s="57">
        <v>209</v>
      </c>
      <c r="G20" s="59">
        <v>32</v>
      </c>
      <c r="H20" s="59" t="s">
        <v>26</v>
      </c>
      <c r="I20" s="58">
        <f t="shared" si="2"/>
        <v>3187</v>
      </c>
      <c r="J20" s="14">
        <f t="shared" si="3"/>
        <v>796.64399999999989</v>
      </c>
    </row>
    <row r="21" spans="1:10" x14ac:dyDescent="0.2">
      <c r="A21" s="56">
        <v>44699</v>
      </c>
      <c r="B21" s="57">
        <v>40632</v>
      </c>
      <c r="C21" s="58">
        <f t="shared" si="1"/>
        <v>1646</v>
      </c>
      <c r="D21" s="57">
        <v>19628</v>
      </c>
      <c r="E21" s="58">
        <f t="shared" si="0"/>
        <v>1050</v>
      </c>
      <c r="F21" s="57">
        <v>109</v>
      </c>
      <c r="G21" s="59">
        <v>37</v>
      </c>
      <c r="H21" s="59" t="s">
        <v>29</v>
      </c>
      <c r="I21" s="58">
        <f t="shared" si="2"/>
        <v>2696</v>
      </c>
      <c r="J21" s="14">
        <f t="shared" si="3"/>
        <v>659.89799999999991</v>
      </c>
    </row>
    <row r="22" spans="1:10" x14ac:dyDescent="0.2">
      <c r="A22" s="56">
        <v>44700</v>
      </c>
      <c r="B22" s="57">
        <v>42278</v>
      </c>
      <c r="C22" s="58">
        <f t="shared" si="1"/>
        <v>2453</v>
      </c>
      <c r="D22" s="57">
        <v>20678</v>
      </c>
      <c r="E22" s="58">
        <f t="shared" si="0"/>
        <v>1053</v>
      </c>
      <c r="F22" s="57">
        <v>209</v>
      </c>
      <c r="G22" s="59">
        <v>40</v>
      </c>
      <c r="H22" s="59" t="s">
        <v>29</v>
      </c>
      <c r="I22" s="58">
        <f t="shared" si="2"/>
        <v>3506</v>
      </c>
      <c r="J22" s="14">
        <f t="shared" si="3"/>
        <v>892.84499999999991</v>
      </c>
    </row>
    <row r="23" spans="1:10" x14ac:dyDescent="0.2">
      <c r="A23" s="56">
        <v>44701</v>
      </c>
      <c r="B23" s="57">
        <v>44731</v>
      </c>
      <c r="C23" s="58">
        <f t="shared" si="1"/>
        <v>2030</v>
      </c>
      <c r="D23" s="57">
        <v>21731</v>
      </c>
      <c r="E23" s="58">
        <f t="shared" si="0"/>
        <v>1092</v>
      </c>
      <c r="F23" s="57">
        <v>209</v>
      </c>
      <c r="G23" s="59">
        <v>48</v>
      </c>
      <c r="H23" s="59" t="s">
        <v>29</v>
      </c>
      <c r="I23" s="58">
        <f t="shared" si="2"/>
        <v>3122</v>
      </c>
      <c r="J23" s="14">
        <f t="shared" si="3"/>
        <v>777.92399999999998</v>
      </c>
    </row>
    <row r="24" spans="1:10" x14ac:dyDescent="0.2">
      <c r="A24" s="56">
        <v>44702</v>
      </c>
      <c r="B24" s="57">
        <v>46761</v>
      </c>
      <c r="C24" s="58">
        <f t="shared" si="1"/>
        <v>2108</v>
      </c>
      <c r="D24" s="57">
        <v>22823</v>
      </c>
      <c r="E24" s="58">
        <f t="shared" si="0"/>
        <v>996</v>
      </c>
      <c r="F24" s="57">
        <v>209</v>
      </c>
      <c r="G24" s="59">
        <v>42</v>
      </c>
      <c r="H24" s="59" t="s">
        <v>29</v>
      </c>
      <c r="I24" s="58">
        <f t="shared" si="2"/>
        <v>3104</v>
      </c>
      <c r="J24" s="14">
        <f t="shared" si="3"/>
        <v>783.39599999999996</v>
      </c>
    </row>
    <row r="25" spans="1:10" x14ac:dyDescent="0.2">
      <c r="A25" s="56">
        <v>44703</v>
      </c>
      <c r="B25" s="57">
        <v>48869</v>
      </c>
      <c r="C25" s="58">
        <f t="shared" si="1"/>
        <v>2088</v>
      </c>
      <c r="D25" s="57">
        <v>23819</v>
      </c>
      <c r="E25" s="58">
        <f t="shared" si="0"/>
        <v>974</v>
      </c>
      <c r="F25" s="57">
        <v>209</v>
      </c>
      <c r="G25" s="59">
        <v>25</v>
      </c>
      <c r="H25" s="59" t="s">
        <v>29</v>
      </c>
      <c r="I25" s="58">
        <f t="shared" si="2"/>
        <v>3062</v>
      </c>
      <c r="J25" s="14">
        <f t="shared" si="3"/>
        <v>773.74199999999996</v>
      </c>
    </row>
    <row r="26" spans="1:10" x14ac:dyDescent="0.2">
      <c r="A26" s="56">
        <v>44704</v>
      </c>
      <c r="B26" s="57">
        <v>50957</v>
      </c>
      <c r="C26" s="58">
        <f t="shared" si="1"/>
        <v>2089</v>
      </c>
      <c r="D26" s="57">
        <v>24793</v>
      </c>
      <c r="E26" s="58">
        <f t="shared" si="0"/>
        <v>981</v>
      </c>
      <c r="F26" s="57">
        <v>209</v>
      </c>
      <c r="G26" s="59">
        <v>18</v>
      </c>
      <c r="H26" s="59" t="s">
        <v>29</v>
      </c>
      <c r="I26" s="58">
        <f t="shared" si="2"/>
        <v>3070</v>
      </c>
      <c r="J26" s="14">
        <f t="shared" si="3"/>
        <v>775.26900000000001</v>
      </c>
    </row>
    <row r="27" spans="1:10" x14ac:dyDescent="0.2">
      <c r="A27" s="56">
        <v>44705</v>
      </c>
      <c r="B27" s="57">
        <v>53046</v>
      </c>
      <c r="C27" s="58">
        <f t="shared" si="1"/>
        <v>2107</v>
      </c>
      <c r="D27" s="57">
        <v>25774</v>
      </c>
      <c r="E27" s="58">
        <f t="shared" si="0"/>
        <v>969</v>
      </c>
      <c r="F27" s="57">
        <v>209</v>
      </c>
      <c r="G27" s="59">
        <v>17</v>
      </c>
      <c r="H27" s="59" t="s">
        <v>26</v>
      </c>
      <c r="I27" s="58">
        <f t="shared" si="2"/>
        <v>3076</v>
      </c>
      <c r="J27" s="14">
        <f t="shared" si="3"/>
        <v>778.32899999999995</v>
      </c>
    </row>
    <row r="28" spans="1:10" x14ac:dyDescent="0.2">
      <c r="A28" s="56">
        <v>44706</v>
      </c>
      <c r="B28" s="57">
        <v>55153</v>
      </c>
      <c r="C28" s="58">
        <f t="shared" si="1"/>
        <v>2074</v>
      </c>
      <c r="D28" s="57">
        <v>26743</v>
      </c>
      <c r="E28" s="58">
        <f t="shared" si="0"/>
        <v>1104</v>
      </c>
      <c r="F28" s="57">
        <v>209</v>
      </c>
      <c r="G28" s="59">
        <v>19</v>
      </c>
      <c r="H28" s="59" t="s">
        <v>26</v>
      </c>
      <c r="I28" s="58">
        <f t="shared" si="2"/>
        <v>3178</v>
      </c>
      <c r="J28" s="14">
        <f t="shared" si="3"/>
        <v>792.71999999999991</v>
      </c>
    </row>
    <row r="29" spans="1:10" x14ac:dyDescent="0.2">
      <c r="A29" s="56">
        <v>44707</v>
      </c>
      <c r="B29" s="57">
        <v>57227</v>
      </c>
      <c r="C29" s="58">
        <f t="shared" si="1"/>
        <v>2394</v>
      </c>
      <c r="D29" s="57">
        <v>27847</v>
      </c>
      <c r="E29" s="58">
        <f t="shared" si="0"/>
        <v>1123</v>
      </c>
      <c r="F29" s="57">
        <v>209</v>
      </c>
      <c r="G29" s="59">
        <v>21</v>
      </c>
      <c r="H29" s="59" t="s">
        <v>29</v>
      </c>
      <c r="I29" s="58">
        <f t="shared" si="2"/>
        <v>3517</v>
      </c>
      <c r="J29" s="14">
        <f t="shared" si="3"/>
        <v>888.24299999999994</v>
      </c>
    </row>
    <row r="30" spans="1:10" x14ac:dyDescent="0.2">
      <c r="A30" s="56">
        <v>44708</v>
      </c>
      <c r="B30" s="57">
        <v>59621</v>
      </c>
      <c r="C30" s="58">
        <f t="shared" si="1"/>
        <v>2384</v>
      </c>
      <c r="D30" s="57">
        <v>28970</v>
      </c>
      <c r="E30" s="58">
        <f t="shared" si="0"/>
        <v>962</v>
      </c>
      <c r="F30" s="57">
        <v>209</v>
      </c>
      <c r="G30" s="59">
        <v>64</v>
      </c>
      <c r="H30" s="59" t="s">
        <v>29</v>
      </c>
      <c r="I30" s="58">
        <f t="shared" si="2"/>
        <v>3346</v>
      </c>
      <c r="J30" s="14">
        <f t="shared" si="3"/>
        <v>856.86599999999999</v>
      </c>
    </row>
    <row r="31" spans="1:10" x14ac:dyDescent="0.2">
      <c r="A31" s="56">
        <v>44709</v>
      </c>
      <c r="B31" s="57">
        <v>62005</v>
      </c>
      <c r="C31" s="58">
        <f t="shared" si="1"/>
        <v>2336</v>
      </c>
      <c r="D31" s="57">
        <v>29932</v>
      </c>
      <c r="E31" s="58">
        <f t="shared" si="0"/>
        <v>893</v>
      </c>
      <c r="F31" s="57">
        <v>209</v>
      </c>
      <c r="G31" s="59">
        <v>67</v>
      </c>
      <c r="H31" s="59" t="s">
        <v>28</v>
      </c>
      <c r="I31" s="58">
        <f t="shared" si="2"/>
        <v>3229</v>
      </c>
      <c r="J31" s="14">
        <f t="shared" si="3"/>
        <v>830.82899999999995</v>
      </c>
    </row>
    <row r="32" spans="1:10" x14ac:dyDescent="0.2">
      <c r="A32" s="56">
        <v>44710</v>
      </c>
      <c r="B32" s="57">
        <v>64341</v>
      </c>
      <c r="C32" s="58">
        <f t="shared" si="1"/>
        <v>0</v>
      </c>
      <c r="D32" s="57">
        <v>30825</v>
      </c>
      <c r="E32" s="58">
        <f t="shared" si="0"/>
        <v>0</v>
      </c>
      <c r="F32" s="57">
        <v>212</v>
      </c>
      <c r="G32" s="59">
        <v>2825</v>
      </c>
      <c r="H32" s="59" t="s">
        <v>28</v>
      </c>
      <c r="I32" s="58">
        <f t="shared" si="2"/>
        <v>0</v>
      </c>
      <c r="J32" s="14">
        <f t="shared" si="3"/>
        <v>0</v>
      </c>
    </row>
    <row r="33" spans="1:10" x14ac:dyDescent="0.2">
      <c r="A33" s="56">
        <v>44711</v>
      </c>
      <c r="B33" s="57">
        <v>64341</v>
      </c>
      <c r="C33" s="58">
        <f t="shared" si="1"/>
        <v>0</v>
      </c>
      <c r="D33" s="57">
        <v>30825</v>
      </c>
      <c r="E33" s="58">
        <f t="shared" si="0"/>
        <v>0</v>
      </c>
      <c r="F33" s="57">
        <v>212</v>
      </c>
      <c r="G33" s="59">
        <v>28</v>
      </c>
      <c r="H33" s="59" t="s">
        <v>28</v>
      </c>
      <c r="I33" s="58">
        <f t="shared" si="2"/>
        <v>0</v>
      </c>
      <c r="J33" s="14">
        <f t="shared" si="3"/>
        <v>0</v>
      </c>
    </row>
    <row r="34" spans="1:10" x14ac:dyDescent="0.2">
      <c r="A34" s="56">
        <v>44712</v>
      </c>
      <c r="B34" s="57">
        <v>0</v>
      </c>
      <c r="C34" s="58">
        <v>0</v>
      </c>
      <c r="D34" s="57">
        <v>0</v>
      </c>
      <c r="E34" s="58">
        <v>0</v>
      </c>
      <c r="F34" s="57">
        <v>0</v>
      </c>
      <c r="G34" s="59">
        <v>35</v>
      </c>
      <c r="H34" s="59" t="s">
        <v>28</v>
      </c>
      <c r="I34" s="58">
        <f t="shared" si="2"/>
        <v>0</v>
      </c>
      <c r="J34" s="14">
        <f t="shared" si="3"/>
        <v>0</v>
      </c>
    </row>
    <row r="35" spans="1:10" x14ac:dyDescent="0.2">
      <c r="A35" s="56"/>
      <c r="B35" s="61"/>
      <c r="C35" s="58"/>
      <c r="D35" s="57"/>
      <c r="E35" s="58"/>
      <c r="F35" s="57"/>
      <c r="G35" s="59"/>
      <c r="H35" s="59"/>
      <c r="I35" s="58">
        <f t="shared" si="2"/>
        <v>0</v>
      </c>
      <c r="J35" s="14">
        <f t="shared" si="3"/>
        <v>0</v>
      </c>
    </row>
    <row r="36" spans="1:10" ht="13.5" customHeight="1" x14ac:dyDescent="0.2">
      <c r="A36" s="84"/>
      <c r="B36" s="85"/>
      <c r="C36" s="62">
        <f>SUM(C4:C35)</f>
        <v>62099</v>
      </c>
      <c r="D36" s="62"/>
      <c r="E36" s="62">
        <f>SUM(E4:E35)</f>
        <v>29041</v>
      </c>
      <c r="F36" s="62">
        <f>MAX(F4:F34)</f>
        <v>212</v>
      </c>
      <c r="G36" s="48"/>
      <c r="H36" s="48"/>
      <c r="I36" s="58">
        <f>+E36+C36</f>
        <v>91140</v>
      </c>
      <c r="J36" s="14">
        <f>(C36*0.288)+(E36*0.177)</f>
        <v>23024.769</v>
      </c>
    </row>
    <row r="37" spans="1:10" x14ac:dyDescent="0.2">
      <c r="A37" s="50">
        <f>COUNT(A4:A34)</f>
        <v>31</v>
      </c>
      <c r="G37" s="29"/>
      <c r="H37" s="21" t="s">
        <v>32</v>
      </c>
    </row>
    <row r="38" spans="1:10" x14ac:dyDescent="0.2">
      <c r="H38" s="21" t="s">
        <v>33</v>
      </c>
    </row>
    <row r="39" spans="1:10" ht="15.75" x14ac:dyDescent="0.25">
      <c r="A39" s="52" t="s">
        <v>31</v>
      </c>
      <c r="H39" s="21" t="s">
        <v>34</v>
      </c>
    </row>
    <row r="40" spans="1:10" x14ac:dyDescent="0.2">
      <c r="H40" s="21" t="s">
        <v>27</v>
      </c>
    </row>
  </sheetData>
  <mergeCells count="1">
    <mergeCell ref="A36:B36"/>
  </mergeCells>
  <pageMargins left="0.24" right="0.18" top="0.63" bottom="0.56999999999999995" header="0.5" footer="0.5"/>
  <pageSetup paperSize="9" scale="51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40"/>
  <sheetViews>
    <sheetView zoomScaleNormal="100" workbookViewId="0">
      <selection activeCell="H4" sqref="H4:H34"/>
    </sheetView>
  </sheetViews>
  <sheetFormatPr defaultRowHeight="12.75" x14ac:dyDescent="0.2"/>
  <cols>
    <col min="1" max="1" width="14" style="50" customWidth="1"/>
    <col min="2" max="2" width="20.28515625" style="29" bestFit="1" customWidth="1"/>
    <col min="3" max="3" width="18.85546875" style="29" bestFit="1" customWidth="1"/>
    <col min="4" max="4" width="20.28515625" style="29" bestFit="1" customWidth="1"/>
    <col min="5" max="5" width="18.85546875" style="29" customWidth="1"/>
    <col min="6" max="6" width="14.7109375" style="29" customWidth="1"/>
    <col min="7" max="7" width="11.28515625" style="21" customWidth="1"/>
    <col min="8" max="8" width="20.5703125" style="21" customWidth="1"/>
    <col min="9" max="9" width="19.140625" style="29" bestFit="1" customWidth="1"/>
    <col min="10" max="10" width="10.140625" style="12" bestFit="1" customWidth="1"/>
    <col min="11" max="256" width="9.140625" style="21"/>
    <col min="257" max="257" width="14" style="21" customWidth="1"/>
    <col min="258" max="258" width="20.28515625" style="21" bestFit="1" customWidth="1"/>
    <col min="259" max="259" width="18.85546875" style="21" bestFit="1" customWidth="1"/>
    <col min="260" max="260" width="20.28515625" style="21" bestFit="1" customWidth="1"/>
    <col min="261" max="261" width="18.85546875" style="21" customWidth="1"/>
    <col min="262" max="262" width="14.7109375" style="21" customWidth="1"/>
    <col min="263" max="263" width="11.28515625" style="21" customWidth="1"/>
    <col min="264" max="264" width="18.7109375" style="21" customWidth="1"/>
    <col min="265" max="265" width="19.140625" style="21" bestFit="1" customWidth="1"/>
    <col min="266" max="266" width="10.140625" style="21" bestFit="1" customWidth="1"/>
    <col min="267" max="512" width="9.140625" style="21"/>
    <col min="513" max="513" width="14" style="21" customWidth="1"/>
    <col min="514" max="514" width="20.28515625" style="21" bestFit="1" customWidth="1"/>
    <col min="515" max="515" width="18.85546875" style="21" bestFit="1" customWidth="1"/>
    <col min="516" max="516" width="20.28515625" style="21" bestFit="1" customWidth="1"/>
    <col min="517" max="517" width="18.85546875" style="21" customWidth="1"/>
    <col min="518" max="518" width="14.7109375" style="21" customWidth="1"/>
    <col min="519" max="519" width="11.28515625" style="21" customWidth="1"/>
    <col min="520" max="520" width="18.7109375" style="21" customWidth="1"/>
    <col min="521" max="521" width="19.140625" style="21" bestFit="1" customWidth="1"/>
    <col min="522" max="522" width="10.140625" style="21" bestFit="1" customWidth="1"/>
    <col min="523" max="768" width="9.140625" style="21"/>
    <col min="769" max="769" width="14" style="21" customWidth="1"/>
    <col min="770" max="770" width="20.28515625" style="21" bestFit="1" customWidth="1"/>
    <col min="771" max="771" width="18.85546875" style="21" bestFit="1" customWidth="1"/>
    <col min="772" max="772" width="20.28515625" style="21" bestFit="1" customWidth="1"/>
    <col min="773" max="773" width="18.85546875" style="21" customWidth="1"/>
    <col min="774" max="774" width="14.7109375" style="21" customWidth="1"/>
    <col min="775" max="775" width="11.28515625" style="21" customWidth="1"/>
    <col min="776" max="776" width="18.7109375" style="21" customWidth="1"/>
    <col min="777" max="777" width="19.140625" style="21" bestFit="1" customWidth="1"/>
    <col min="778" max="778" width="10.140625" style="21" bestFit="1" customWidth="1"/>
    <col min="779" max="1024" width="9.140625" style="21"/>
    <col min="1025" max="1025" width="14" style="21" customWidth="1"/>
    <col min="1026" max="1026" width="20.28515625" style="21" bestFit="1" customWidth="1"/>
    <col min="1027" max="1027" width="18.85546875" style="21" bestFit="1" customWidth="1"/>
    <col min="1028" max="1028" width="20.28515625" style="21" bestFit="1" customWidth="1"/>
    <col min="1029" max="1029" width="18.85546875" style="21" customWidth="1"/>
    <col min="1030" max="1030" width="14.7109375" style="21" customWidth="1"/>
    <col min="1031" max="1031" width="11.28515625" style="21" customWidth="1"/>
    <col min="1032" max="1032" width="18.7109375" style="21" customWidth="1"/>
    <col min="1033" max="1033" width="19.140625" style="21" bestFit="1" customWidth="1"/>
    <col min="1034" max="1034" width="10.140625" style="21" bestFit="1" customWidth="1"/>
    <col min="1035" max="1280" width="9.140625" style="21"/>
    <col min="1281" max="1281" width="14" style="21" customWidth="1"/>
    <col min="1282" max="1282" width="20.28515625" style="21" bestFit="1" customWidth="1"/>
    <col min="1283" max="1283" width="18.85546875" style="21" bestFit="1" customWidth="1"/>
    <col min="1284" max="1284" width="20.28515625" style="21" bestFit="1" customWidth="1"/>
    <col min="1285" max="1285" width="18.85546875" style="21" customWidth="1"/>
    <col min="1286" max="1286" width="14.7109375" style="21" customWidth="1"/>
    <col min="1287" max="1287" width="11.28515625" style="21" customWidth="1"/>
    <col min="1288" max="1288" width="18.7109375" style="21" customWidth="1"/>
    <col min="1289" max="1289" width="19.140625" style="21" bestFit="1" customWidth="1"/>
    <col min="1290" max="1290" width="10.140625" style="21" bestFit="1" customWidth="1"/>
    <col min="1291" max="1536" width="9.140625" style="21"/>
    <col min="1537" max="1537" width="14" style="21" customWidth="1"/>
    <col min="1538" max="1538" width="20.28515625" style="21" bestFit="1" customWidth="1"/>
    <col min="1539" max="1539" width="18.85546875" style="21" bestFit="1" customWidth="1"/>
    <col min="1540" max="1540" width="20.28515625" style="21" bestFit="1" customWidth="1"/>
    <col min="1541" max="1541" width="18.85546875" style="21" customWidth="1"/>
    <col min="1542" max="1542" width="14.7109375" style="21" customWidth="1"/>
    <col min="1543" max="1543" width="11.28515625" style="21" customWidth="1"/>
    <col min="1544" max="1544" width="18.7109375" style="21" customWidth="1"/>
    <col min="1545" max="1545" width="19.140625" style="21" bestFit="1" customWidth="1"/>
    <col min="1546" max="1546" width="10.140625" style="21" bestFit="1" customWidth="1"/>
    <col min="1547" max="1792" width="9.140625" style="21"/>
    <col min="1793" max="1793" width="14" style="21" customWidth="1"/>
    <col min="1794" max="1794" width="20.28515625" style="21" bestFit="1" customWidth="1"/>
    <col min="1795" max="1795" width="18.85546875" style="21" bestFit="1" customWidth="1"/>
    <col min="1796" max="1796" width="20.28515625" style="21" bestFit="1" customWidth="1"/>
    <col min="1797" max="1797" width="18.85546875" style="21" customWidth="1"/>
    <col min="1798" max="1798" width="14.7109375" style="21" customWidth="1"/>
    <col min="1799" max="1799" width="11.28515625" style="21" customWidth="1"/>
    <col min="1800" max="1800" width="18.7109375" style="21" customWidth="1"/>
    <col min="1801" max="1801" width="19.140625" style="21" bestFit="1" customWidth="1"/>
    <col min="1802" max="1802" width="10.140625" style="21" bestFit="1" customWidth="1"/>
    <col min="1803" max="2048" width="9.140625" style="21"/>
    <col min="2049" max="2049" width="14" style="21" customWidth="1"/>
    <col min="2050" max="2050" width="20.28515625" style="21" bestFit="1" customWidth="1"/>
    <col min="2051" max="2051" width="18.85546875" style="21" bestFit="1" customWidth="1"/>
    <col min="2052" max="2052" width="20.28515625" style="21" bestFit="1" customWidth="1"/>
    <col min="2053" max="2053" width="18.85546875" style="21" customWidth="1"/>
    <col min="2054" max="2054" width="14.7109375" style="21" customWidth="1"/>
    <col min="2055" max="2055" width="11.28515625" style="21" customWidth="1"/>
    <col min="2056" max="2056" width="18.7109375" style="21" customWidth="1"/>
    <col min="2057" max="2057" width="19.140625" style="21" bestFit="1" customWidth="1"/>
    <col min="2058" max="2058" width="10.140625" style="21" bestFit="1" customWidth="1"/>
    <col min="2059" max="2304" width="9.140625" style="21"/>
    <col min="2305" max="2305" width="14" style="21" customWidth="1"/>
    <col min="2306" max="2306" width="20.28515625" style="21" bestFit="1" customWidth="1"/>
    <col min="2307" max="2307" width="18.85546875" style="21" bestFit="1" customWidth="1"/>
    <col min="2308" max="2308" width="20.28515625" style="21" bestFit="1" customWidth="1"/>
    <col min="2309" max="2309" width="18.85546875" style="21" customWidth="1"/>
    <col min="2310" max="2310" width="14.7109375" style="21" customWidth="1"/>
    <col min="2311" max="2311" width="11.28515625" style="21" customWidth="1"/>
    <col min="2312" max="2312" width="18.7109375" style="21" customWidth="1"/>
    <col min="2313" max="2313" width="19.140625" style="21" bestFit="1" customWidth="1"/>
    <col min="2314" max="2314" width="10.140625" style="21" bestFit="1" customWidth="1"/>
    <col min="2315" max="2560" width="9.140625" style="21"/>
    <col min="2561" max="2561" width="14" style="21" customWidth="1"/>
    <col min="2562" max="2562" width="20.28515625" style="21" bestFit="1" customWidth="1"/>
    <col min="2563" max="2563" width="18.85546875" style="21" bestFit="1" customWidth="1"/>
    <col min="2564" max="2564" width="20.28515625" style="21" bestFit="1" customWidth="1"/>
    <col min="2565" max="2565" width="18.85546875" style="21" customWidth="1"/>
    <col min="2566" max="2566" width="14.7109375" style="21" customWidth="1"/>
    <col min="2567" max="2567" width="11.28515625" style="21" customWidth="1"/>
    <col min="2568" max="2568" width="18.7109375" style="21" customWidth="1"/>
    <col min="2569" max="2569" width="19.140625" style="21" bestFit="1" customWidth="1"/>
    <col min="2570" max="2570" width="10.140625" style="21" bestFit="1" customWidth="1"/>
    <col min="2571" max="2816" width="9.140625" style="21"/>
    <col min="2817" max="2817" width="14" style="21" customWidth="1"/>
    <col min="2818" max="2818" width="20.28515625" style="21" bestFit="1" customWidth="1"/>
    <col min="2819" max="2819" width="18.85546875" style="21" bestFit="1" customWidth="1"/>
    <col min="2820" max="2820" width="20.28515625" style="21" bestFit="1" customWidth="1"/>
    <col min="2821" max="2821" width="18.85546875" style="21" customWidth="1"/>
    <col min="2822" max="2822" width="14.7109375" style="21" customWidth="1"/>
    <col min="2823" max="2823" width="11.28515625" style="21" customWidth="1"/>
    <col min="2824" max="2824" width="18.7109375" style="21" customWidth="1"/>
    <col min="2825" max="2825" width="19.140625" style="21" bestFit="1" customWidth="1"/>
    <col min="2826" max="2826" width="10.140625" style="21" bestFit="1" customWidth="1"/>
    <col min="2827" max="3072" width="9.140625" style="21"/>
    <col min="3073" max="3073" width="14" style="21" customWidth="1"/>
    <col min="3074" max="3074" width="20.28515625" style="21" bestFit="1" customWidth="1"/>
    <col min="3075" max="3075" width="18.85546875" style="21" bestFit="1" customWidth="1"/>
    <col min="3076" max="3076" width="20.28515625" style="21" bestFit="1" customWidth="1"/>
    <col min="3077" max="3077" width="18.85546875" style="21" customWidth="1"/>
    <col min="3078" max="3078" width="14.7109375" style="21" customWidth="1"/>
    <col min="3079" max="3079" width="11.28515625" style="21" customWidth="1"/>
    <col min="3080" max="3080" width="18.7109375" style="21" customWidth="1"/>
    <col min="3081" max="3081" width="19.140625" style="21" bestFit="1" customWidth="1"/>
    <col min="3082" max="3082" width="10.140625" style="21" bestFit="1" customWidth="1"/>
    <col min="3083" max="3328" width="9.140625" style="21"/>
    <col min="3329" max="3329" width="14" style="21" customWidth="1"/>
    <col min="3330" max="3330" width="20.28515625" style="21" bestFit="1" customWidth="1"/>
    <col min="3331" max="3331" width="18.85546875" style="21" bestFit="1" customWidth="1"/>
    <col min="3332" max="3332" width="20.28515625" style="21" bestFit="1" customWidth="1"/>
    <col min="3333" max="3333" width="18.85546875" style="21" customWidth="1"/>
    <col min="3334" max="3334" width="14.7109375" style="21" customWidth="1"/>
    <col min="3335" max="3335" width="11.28515625" style="21" customWidth="1"/>
    <col min="3336" max="3336" width="18.7109375" style="21" customWidth="1"/>
    <col min="3337" max="3337" width="19.140625" style="21" bestFit="1" customWidth="1"/>
    <col min="3338" max="3338" width="10.140625" style="21" bestFit="1" customWidth="1"/>
    <col min="3339" max="3584" width="9.140625" style="21"/>
    <col min="3585" max="3585" width="14" style="21" customWidth="1"/>
    <col min="3586" max="3586" width="20.28515625" style="21" bestFit="1" customWidth="1"/>
    <col min="3587" max="3587" width="18.85546875" style="21" bestFit="1" customWidth="1"/>
    <col min="3588" max="3588" width="20.28515625" style="21" bestFit="1" customWidth="1"/>
    <col min="3589" max="3589" width="18.85546875" style="21" customWidth="1"/>
    <col min="3590" max="3590" width="14.7109375" style="21" customWidth="1"/>
    <col min="3591" max="3591" width="11.28515625" style="21" customWidth="1"/>
    <col min="3592" max="3592" width="18.7109375" style="21" customWidth="1"/>
    <col min="3593" max="3593" width="19.140625" style="21" bestFit="1" customWidth="1"/>
    <col min="3594" max="3594" width="10.140625" style="21" bestFit="1" customWidth="1"/>
    <col min="3595" max="3840" width="9.140625" style="21"/>
    <col min="3841" max="3841" width="14" style="21" customWidth="1"/>
    <col min="3842" max="3842" width="20.28515625" style="21" bestFit="1" customWidth="1"/>
    <col min="3843" max="3843" width="18.85546875" style="21" bestFit="1" customWidth="1"/>
    <col min="3844" max="3844" width="20.28515625" style="21" bestFit="1" customWidth="1"/>
    <col min="3845" max="3845" width="18.85546875" style="21" customWidth="1"/>
    <col min="3846" max="3846" width="14.7109375" style="21" customWidth="1"/>
    <col min="3847" max="3847" width="11.28515625" style="21" customWidth="1"/>
    <col min="3848" max="3848" width="18.7109375" style="21" customWidth="1"/>
    <col min="3849" max="3849" width="19.140625" style="21" bestFit="1" customWidth="1"/>
    <col min="3850" max="3850" width="10.140625" style="21" bestFit="1" customWidth="1"/>
    <col min="3851" max="4096" width="9.140625" style="21"/>
    <col min="4097" max="4097" width="14" style="21" customWidth="1"/>
    <col min="4098" max="4098" width="20.28515625" style="21" bestFit="1" customWidth="1"/>
    <col min="4099" max="4099" width="18.85546875" style="21" bestFit="1" customWidth="1"/>
    <col min="4100" max="4100" width="20.28515625" style="21" bestFit="1" customWidth="1"/>
    <col min="4101" max="4101" width="18.85546875" style="21" customWidth="1"/>
    <col min="4102" max="4102" width="14.7109375" style="21" customWidth="1"/>
    <col min="4103" max="4103" width="11.28515625" style="21" customWidth="1"/>
    <col min="4104" max="4104" width="18.7109375" style="21" customWidth="1"/>
    <col min="4105" max="4105" width="19.140625" style="21" bestFit="1" customWidth="1"/>
    <col min="4106" max="4106" width="10.140625" style="21" bestFit="1" customWidth="1"/>
    <col min="4107" max="4352" width="9.140625" style="21"/>
    <col min="4353" max="4353" width="14" style="21" customWidth="1"/>
    <col min="4354" max="4354" width="20.28515625" style="21" bestFit="1" customWidth="1"/>
    <col min="4355" max="4355" width="18.85546875" style="21" bestFit="1" customWidth="1"/>
    <col min="4356" max="4356" width="20.28515625" style="21" bestFit="1" customWidth="1"/>
    <col min="4357" max="4357" width="18.85546875" style="21" customWidth="1"/>
    <col min="4358" max="4358" width="14.7109375" style="21" customWidth="1"/>
    <col min="4359" max="4359" width="11.28515625" style="21" customWidth="1"/>
    <col min="4360" max="4360" width="18.7109375" style="21" customWidth="1"/>
    <col min="4361" max="4361" width="19.140625" style="21" bestFit="1" customWidth="1"/>
    <col min="4362" max="4362" width="10.140625" style="21" bestFit="1" customWidth="1"/>
    <col min="4363" max="4608" width="9.140625" style="21"/>
    <col min="4609" max="4609" width="14" style="21" customWidth="1"/>
    <col min="4610" max="4610" width="20.28515625" style="21" bestFit="1" customWidth="1"/>
    <col min="4611" max="4611" width="18.85546875" style="21" bestFit="1" customWidth="1"/>
    <col min="4612" max="4612" width="20.28515625" style="21" bestFit="1" customWidth="1"/>
    <col min="4613" max="4613" width="18.85546875" style="21" customWidth="1"/>
    <col min="4614" max="4614" width="14.7109375" style="21" customWidth="1"/>
    <col min="4615" max="4615" width="11.28515625" style="21" customWidth="1"/>
    <col min="4616" max="4616" width="18.7109375" style="21" customWidth="1"/>
    <col min="4617" max="4617" width="19.140625" style="21" bestFit="1" customWidth="1"/>
    <col min="4618" max="4618" width="10.140625" style="21" bestFit="1" customWidth="1"/>
    <col min="4619" max="4864" width="9.140625" style="21"/>
    <col min="4865" max="4865" width="14" style="21" customWidth="1"/>
    <col min="4866" max="4866" width="20.28515625" style="21" bestFit="1" customWidth="1"/>
    <col min="4867" max="4867" width="18.85546875" style="21" bestFit="1" customWidth="1"/>
    <col min="4868" max="4868" width="20.28515625" style="21" bestFit="1" customWidth="1"/>
    <col min="4869" max="4869" width="18.85546875" style="21" customWidth="1"/>
    <col min="4870" max="4870" width="14.7109375" style="21" customWidth="1"/>
    <col min="4871" max="4871" width="11.28515625" style="21" customWidth="1"/>
    <col min="4872" max="4872" width="18.7109375" style="21" customWidth="1"/>
    <col min="4873" max="4873" width="19.140625" style="21" bestFit="1" customWidth="1"/>
    <col min="4874" max="4874" width="10.140625" style="21" bestFit="1" customWidth="1"/>
    <col min="4875" max="5120" width="9.140625" style="21"/>
    <col min="5121" max="5121" width="14" style="21" customWidth="1"/>
    <col min="5122" max="5122" width="20.28515625" style="21" bestFit="1" customWidth="1"/>
    <col min="5123" max="5123" width="18.85546875" style="21" bestFit="1" customWidth="1"/>
    <col min="5124" max="5124" width="20.28515625" style="21" bestFit="1" customWidth="1"/>
    <col min="5125" max="5125" width="18.85546875" style="21" customWidth="1"/>
    <col min="5126" max="5126" width="14.7109375" style="21" customWidth="1"/>
    <col min="5127" max="5127" width="11.28515625" style="21" customWidth="1"/>
    <col min="5128" max="5128" width="18.7109375" style="21" customWidth="1"/>
    <col min="5129" max="5129" width="19.140625" style="21" bestFit="1" customWidth="1"/>
    <col min="5130" max="5130" width="10.140625" style="21" bestFit="1" customWidth="1"/>
    <col min="5131" max="5376" width="9.140625" style="21"/>
    <col min="5377" max="5377" width="14" style="21" customWidth="1"/>
    <col min="5378" max="5378" width="20.28515625" style="21" bestFit="1" customWidth="1"/>
    <col min="5379" max="5379" width="18.85546875" style="21" bestFit="1" customWidth="1"/>
    <col min="5380" max="5380" width="20.28515625" style="21" bestFit="1" customWidth="1"/>
    <col min="5381" max="5381" width="18.85546875" style="21" customWidth="1"/>
    <col min="5382" max="5382" width="14.7109375" style="21" customWidth="1"/>
    <col min="5383" max="5383" width="11.28515625" style="21" customWidth="1"/>
    <col min="5384" max="5384" width="18.7109375" style="21" customWidth="1"/>
    <col min="5385" max="5385" width="19.140625" style="21" bestFit="1" customWidth="1"/>
    <col min="5386" max="5386" width="10.140625" style="21" bestFit="1" customWidth="1"/>
    <col min="5387" max="5632" width="9.140625" style="21"/>
    <col min="5633" max="5633" width="14" style="21" customWidth="1"/>
    <col min="5634" max="5634" width="20.28515625" style="21" bestFit="1" customWidth="1"/>
    <col min="5635" max="5635" width="18.85546875" style="21" bestFit="1" customWidth="1"/>
    <col min="5636" max="5636" width="20.28515625" style="21" bestFit="1" customWidth="1"/>
    <col min="5637" max="5637" width="18.85546875" style="21" customWidth="1"/>
    <col min="5638" max="5638" width="14.7109375" style="21" customWidth="1"/>
    <col min="5639" max="5639" width="11.28515625" style="21" customWidth="1"/>
    <col min="5640" max="5640" width="18.7109375" style="21" customWidth="1"/>
    <col min="5641" max="5641" width="19.140625" style="21" bestFit="1" customWidth="1"/>
    <col min="5642" max="5642" width="10.140625" style="21" bestFit="1" customWidth="1"/>
    <col min="5643" max="5888" width="9.140625" style="21"/>
    <col min="5889" max="5889" width="14" style="21" customWidth="1"/>
    <col min="5890" max="5890" width="20.28515625" style="21" bestFit="1" customWidth="1"/>
    <col min="5891" max="5891" width="18.85546875" style="21" bestFit="1" customWidth="1"/>
    <col min="5892" max="5892" width="20.28515625" style="21" bestFit="1" customWidth="1"/>
    <col min="5893" max="5893" width="18.85546875" style="21" customWidth="1"/>
    <col min="5894" max="5894" width="14.7109375" style="21" customWidth="1"/>
    <col min="5895" max="5895" width="11.28515625" style="21" customWidth="1"/>
    <col min="5896" max="5896" width="18.7109375" style="21" customWidth="1"/>
    <col min="5897" max="5897" width="19.140625" style="21" bestFit="1" customWidth="1"/>
    <col min="5898" max="5898" width="10.140625" style="21" bestFit="1" customWidth="1"/>
    <col min="5899" max="6144" width="9.140625" style="21"/>
    <col min="6145" max="6145" width="14" style="21" customWidth="1"/>
    <col min="6146" max="6146" width="20.28515625" style="21" bestFit="1" customWidth="1"/>
    <col min="6147" max="6147" width="18.85546875" style="21" bestFit="1" customWidth="1"/>
    <col min="6148" max="6148" width="20.28515625" style="21" bestFit="1" customWidth="1"/>
    <col min="6149" max="6149" width="18.85546875" style="21" customWidth="1"/>
    <col min="6150" max="6150" width="14.7109375" style="21" customWidth="1"/>
    <col min="6151" max="6151" width="11.28515625" style="21" customWidth="1"/>
    <col min="6152" max="6152" width="18.7109375" style="21" customWidth="1"/>
    <col min="6153" max="6153" width="19.140625" style="21" bestFit="1" customWidth="1"/>
    <col min="6154" max="6154" width="10.140625" style="21" bestFit="1" customWidth="1"/>
    <col min="6155" max="6400" width="9.140625" style="21"/>
    <col min="6401" max="6401" width="14" style="21" customWidth="1"/>
    <col min="6402" max="6402" width="20.28515625" style="21" bestFit="1" customWidth="1"/>
    <col min="6403" max="6403" width="18.85546875" style="21" bestFit="1" customWidth="1"/>
    <col min="6404" max="6404" width="20.28515625" style="21" bestFit="1" customWidth="1"/>
    <col min="6405" max="6405" width="18.85546875" style="21" customWidth="1"/>
    <col min="6406" max="6406" width="14.7109375" style="21" customWidth="1"/>
    <col min="6407" max="6407" width="11.28515625" style="21" customWidth="1"/>
    <col min="6408" max="6408" width="18.7109375" style="21" customWidth="1"/>
    <col min="6409" max="6409" width="19.140625" style="21" bestFit="1" customWidth="1"/>
    <col min="6410" max="6410" width="10.140625" style="21" bestFit="1" customWidth="1"/>
    <col min="6411" max="6656" width="9.140625" style="21"/>
    <col min="6657" max="6657" width="14" style="21" customWidth="1"/>
    <col min="6658" max="6658" width="20.28515625" style="21" bestFit="1" customWidth="1"/>
    <col min="6659" max="6659" width="18.85546875" style="21" bestFit="1" customWidth="1"/>
    <col min="6660" max="6660" width="20.28515625" style="21" bestFit="1" customWidth="1"/>
    <col min="6661" max="6661" width="18.85546875" style="21" customWidth="1"/>
    <col min="6662" max="6662" width="14.7109375" style="21" customWidth="1"/>
    <col min="6663" max="6663" width="11.28515625" style="21" customWidth="1"/>
    <col min="6664" max="6664" width="18.7109375" style="21" customWidth="1"/>
    <col min="6665" max="6665" width="19.140625" style="21" bestFit="1" customWidth="1"/>
    <col min="6666" max="6666" width="10.140625" style="21" bestFit="1" customWidth="1"/>
    <col min="6667" max="6912" width="9.140625" style="21"/>
    <col min="6913" max="6913" width="14" style="21" customWidth="1"/>
    <col min="6914" max="6914" width="20.28515625" style="21" bestFit="1" customWidth="1"/>
    <col min="6915" max="6915" width="18.85546875" style="21" bestFit="1" customWidth="1"/>
    <col min="6916" max="6916" width="20.28515625" style="21" bestFit="1" customWidth="1"/>
    <col min="6917" max="6917" width="18.85546875" style="21" customWidth="1"/>
    <col min="6918" max="6918" width="14.7109375" style="21" customWidth="1"/>
    <col min="6919" max="6919" width="11.28515625" style="21" customWidth="1"/>
    <col min="6920" max="6920" width="18.7109375" style="21" customWidth="1"/>
    <col min="6921" max="6921" width="19.140625" style="21" bestFit="1" customWidth="1"/>
    <col min="6922" max="6922" width="10.140625" style="21" bestFit="1" customWidth="1"/>
    <col min="6923" max="7168" width="9.140625" style="21"/>
    <col min="7169" max="7169" width="14" style="21" customWidth="1"/>
    <col min="7170" max="7170" width="20.28515625" style="21" bestFit="1" customWidth="1"/>
    <col min="7171" max="7171" width="18.85546875" style="21" bestFit="1" customWidth="1"/>
    <col min="7172" max="7172" width="20.28515625" style="21" bestFit="1" customWidth="1"/>
    <col min="7173" max="7173" width="18.85546875" style="21" customWidth="1"/>
    <col min="7174" max="7174" width="14.7109375" style="21" customWidth="1"/>
    <col min="7175" max="7175" width="11.28515625" style="21" customWidth="1"/>
    <col min="7176" max="7176" width="18.7109375" style="21" customWidth="1"/>
    <col min="7177" max="7177" width="19.140625" style="21" bestFit="1" customWidth="1"/>
    <col min="7178" max="7178" width="10.140625" style="21" bestFit="1" customWidth="1"/>
    <col min="7179" max="7424" width="9.140625" style="21"/>
    <col min="7425" max="7425" width="14" style="21" customWidth="1"/>
    <col min="7426" max="7426" width="20.28515625" style="21" bestFit="1" customWidth="1"/>
    <col min="7427" max="7427" width="18.85546875" style="21" bestFit="1" customWidth="1"/>
    <col min="7428" max="7428" width="20.28515625" style="21" bestFit="1" customWidth="1"/>
    <col min="7429" max="7429" width="18.85546875" style="21" customWidth="1"/>
    <col min="7430" max="7430" width="14.7109375" style="21" customWidth="1"/>
    <col min="7431" max="7431" width="11.28515625" style="21" customWidth="1"/>
    <col min="7432" max="7432" width="18.7109375" style="21" customWidth="1"/>
    <col min="7433" max="7433" width="19.140625" style="21" bestFit="1" customWidth="1"/>
    <col min="7434" max="7434" width="10.140625" style="21" bestFit="1" customWidth="1"/>
    <col min="7435" max="7680" width="9.140625" style="21"/>
    <col min="7681" max="7681" width="14" style="21" customWidth="1"/>
    <col min="7682" max="7682" width="20.28515625" style="21" bestFit="1" customWidth="1"/>
    <col min="7683" max="7683" width="18.85546875" style="21" bestFit="1" customWidth="1"/>
    <col min="7684" max="7684" width="20.28515625" style="21" bestFit="1" customWidth="1"/>
    <col min="7685" max="7685" width="18.85546875" style="21" customWidth="1"/>
    <col min="7686" max="7686" width="14.7109375" style="21" customWidth="1"/>
    <col min="7687" max="7687" width="11.28515625" style="21" customWidth="1"/>
    <col min="7688" max="7688" width="18.7109375" style="21" customWidth="1"/>
    <col min="7689" max="7689" width="19.140625" style="21" bestFit="1" customWidth="1"/>
    <col min="7690" max="7690" width="10.140625" style="21" bestFit="1" customWidth="1"/>
    <col min="7691" max="7936" width="9.140625" style="21"/>
    <col min="7937" max="7937" width="14" style="21" customWidth="1"/>
    <col min="7938" max="7938" width="20.28515625" style="21" bestFit="1" customWidth="1"/>
    <col min="7939" max="7939" width="18.85546875" style="21" bestFit="1" customWidth="1"/>
    <col min="7940" max="7940" width="20.28515625" style="21" bestFit="1" customWidth="1"/>
    <col min="7941" max="7941" width="18.85546875" style="21" customWidth="1"/>
    <col min="7942" max="7942" width="14.7109375" style="21" customWidth="1"/>
    <col min="7943" max="7943" width="11.28515625" style="21" customWidth="1"/>
    <col min="7944" max="7944" width="18.7109375" style="21" customWidth="1"/>
    <col min="7945" max="7945" width="19.140625" style="21" bestFit="1" customWidth="1"/>
    <col min="7946" max="7946" width="10.140625" style="21" bestFit="1" customWidth="1"/>
    <col min="7947" max="8192" width="9.140625" style="21"/>
    <col min="8193" max="8193" width="14" style="21" customWidth="1"/>
    <col min="8194" max="8194" width="20.28515625" style="21" bestFit="1" customWidth="1"/>
    <col min="8195" max="8195" width="18.85546875" style="21" bestFit="1" customWidth="1"/>
    <col min="8196" max="8196" width="20.28515625" style="21" bestFit="1" customWidth="1"/>
    <col min="8197" max="8197" width="18.85546875" style="21" customWidth="1"/>
    <col min="8198" max="8198" width="14.7109375" style="21" customWidth="1"/>
    <col min="8199" max="8199" width="11.28515625" style="21" customWidth="1"/>
    <col min="8200" max="8200" width="18.7109375" style="21" customWidth="1"/>
    <col min="8201" max="8201" width="19.140625" style="21" bestFit="1" customWidth="1"/>
    <col min="8202" max="8202" width="10.140625" style="21" bestFit="1" customWidth="1"/>
    <col min="8203" max="8448" width="9.140625" style="21"/>
    <col min="8449" max="8449" width="14" style="21" customWidth="1"/>
    <col min="8450" max="8450" width="20.28515625" style="21" bestFit="1" customWidth="1"/>
    <col min="8451" max="8451" width="18.85546875" style="21" bestFit="1" customWidth="1"/>
    <col min="8452" max="8452" width="20.28515625" style="21" bestFit="1" customWidth="1"/>
    <col min="8453" max="8453" width="18.85546875" style="21" customWidth="1"/>
    <col min="8454" max="8454" width="14.7109375" style="21" customWidth="1"/>
    <col min="8455" max="8455" width="11.28515625" style="21" customWidth="1"/>
    <col min="8456" max="8456" width="18.7109375" style="21" customWidth="1"/>
    <col min="8457" max="8457" width="19.140625" style="21" bestFit="1" customWidth="1"/>
    <col min="8458" max="8458" width="10.140625" style="21" bestFit="1" customWidth="1"/>
    <col min="8459" max="8704" width="9.140625" style="21"/>
    <col min="8705" max="8705" width="14" style="21" customWidth="1"/>
    <col min="8706" max="8706" width="20.28515625" style="21" bestFit="1" customWidth="1"/>
    <col min="8707" max="8707" width="18.85546875" style="21" bestFit="1" customWidth="1"/>
    <col min="8708" max="8708" width="20.28515625" style="21" bestFit="1" customWidth="1"/>
    <col min="8709" max="8709" width="18.85546875" style="21" customWidth="1"/>
    <col min="8710" max="8710" width="14.7109375" style="21" customWidth="1"/>
    <col min="8711" max="8711" width="11.28515625" style="21" customWidth="1"/>
    <col min="8712" max="8712" width="18.7109375" style="21" customWidth="1"/>
    <col min="8713" max="8713" width="19.140625" style="21" bestFit="1" customWidth="1"/>
    <col min="8714" max="8714" width="10.140625" style="21" bestFit="1" customWidth="1"/>
    <col min="8715" max="8960" width="9.140625" style="21"/>
    <col min="8961" max="8961" width="14" style="21" customWidth="1"/>
    <col min="8962" max="8962" width="20.28515625" style="21" bestFit="1" customWidth="1"/>
    <col min="8963" max="8963" width="18.85546875" style="21" bestFit="1" customWidth="1"/>
    <col min="8964" max="8964" width="20.28515625" style="21" bestFit="1" customWidth="1"/>
    <col min="8965" max="8965" width="18.85546875" style="21" customWidth="1"/>
    <col min="8966" max="8966" width="14.7109375" style="21" customWidth="1"/>
    <col min="8967" max="8967" width="11.28515625" style="21" customWidth="1"/>
    <col min="8968" max="8968" width="18.7109375" style="21" customWidth="1"/>
    <col min="8969" max="8969" width="19.140625" style="21" bestFit="1" customWidth="1"/>
    <col min="8970" max="8970" width="10.140625" style="21" bestFit="1" customWidth="1"/>
    <col min="8971" max="9216" width="9.140625" style="21"/>
    <col min="9217" max="9217" width="14" style="21" customWidth="1"/>
    <col min="9218" max="9218" width="20.28515625" style="21" bestFit="1" customWidth="1"/>
    <col min="9219" max="9219" width="18.85546875" style="21" bestFit="1" customWidth="1"/>
    <col min="9220" max="9220" width="20.28515625" style="21" bestFit="1" customWidth="1"/>
    <col min="9221" max="9221" width="18.85546875" style="21" customWidth="1"/>
    <col min="9222" max="9222" width="14.7109375" style="21" customWidth="1"/>
    <col min="9223" max="9223" width="11.28515625" style="21" customWidth="1"/>
    <col min="9224" max="9224" width="18.7109375" style="21" customWidth="1"/>
    <col min="9225" max="9225" width="19.140625" style="21" bestFit="1" customWidth="1"/>
    <col min="9226" max="9226" width="10.140625" style="21" bestFit="1" customWidth="1"/>
    <col min="9227" max="9472" width="9.140625" style="21"/>
    <col min="9473" max="9473" width="14" style="21" customWidth="1"/>
    <col min="9474" max="9474" width="20.28515625" style="21" bestFit="1" customWidth="1"/>
    <col min="9475" max="9475" width="18.85546875" style="21" bestFit="1" customWidth="1"/>
    <col min="9476" max="9476" width="20.28515625" style="21" bestFit="1" customWidth="1"/>
    <col min="9477" max="9477" width="18.85546875" style="21" customWidth="1"/>
    <col min="9478" max="9478" width="14.7109375" style="21" customWidth="1"/>
    <col min="9479" max="9479" width="11.28515625" style="21" customWidth="1"/>
    <col min="9480" max="9480" width="18.7109375" style="21" customWidth="1"/>
    <col min="9481" max="9481" width="19.140625" style="21" bestFit="1" customWidth="1"/>
    <col min="9482" max="9482" width="10.140625" style="21" bestFit="1" customWidth="1"/>
    <col min="9483" max="9728" width="9.140625" style="21"/>
    <col min="9729" max="9729" width="14" style="21" customWidth="1"/>
    <col min="9730" max="9730" width="20.28515625" style="21" bestFit="1" customWidth="1"/>
    <col min="9731" max="9731" width="18.85546875" style="21" bestFit="1" customWidth="1"/>
    <col min="9732" max="9732" width="20.28515625" style="21" bestFit="1" customWidth="1"/>
    <col min="9733" max="9733" width="18.85546875" style="21" customWidth="1"/>
    <col min="9734" max="9734" width="14.7109375" style="21" customWidth="1"/>
    <col min="9735" max="9735" width="11.28515625" style="21" customWidth="1"/>
    <col min="9736" max="9736" width="18.7109375" style="21" customWidth="1"/>
    <col min="9737" max="9737" width="19.140625" style="21" bestFit="1" customWidth="1"/>
    <col min="9738" max="9738" width="10.140625" style="21" bestFit="1" customWidth="1"/>
    <col min="9739" max="9984" width="9.140625" style="21"/>
    <col min="9985" max="9985" width="14" style="21" customWidth="1"/>
    <col min="9986" max="9986" width="20.28515625" style="21" bestFit="1" customWidth="1"/>
    <col min="9987" max="9987" width="18.85546875" style="21" bestFit="1" customWidth="1"/>
    <col min="9988" max="9988" width="20.28515625" style="21" bestFit="1" customWidth="1"/>
    <col min="9989" max="9989" width="18.85546875" style="21" customWidth="1"/>
    <col min="9990" max="9990" width="14.7109375" style="21" customWidth="1"/>
    <col min="9991" max="9991" width="11.28515625" style="21" customWidth="1"/>
    <col min="9992" max="9992" width="18.7109375" style="21" customWidth="1"/>
    <col min="9993" max="9993" width="19.140625" style="21" bestFit="1" customWidth="1"/>
    <col min="9994" max="9994" width="10.140625" style="21" bestFit="1" customWidth="1"/>
    <col min="9995" max="10240" width="9.140625" style="21"/>
    <col min="10241" max="10241" width="14" style="21" customWidth="1"/>
    <col min="10242" max="10242" width="20.28515625" style="21" bestFit="1" customWidth="1"/>
    <col min="10243" max="10243" width="18.85546875" style="21" bestFit="1" customWidth="1"/>
    <col min="10244" max="10244" width="20.28515625" style="21" bestFit="1" customWidth="1"/>
    <col min="10245" max="10245" width="18.85546875" style="21" customWidth="1"/>
    <col min="10246" max="10246" width="14.7109375" style="21" customWidth="1"/>
    <col min="10247" max="10247" width="11.28515625" style="21" customWidth="1"/>
    <col min="10248" max="10248" width="18.7109375" style="21" customWidth="1"/>
    <col min="10249" max="10249" width="19.140625" style="21" bestFit="1" customWidth="1"/>
    <col min="10250" max="10250" width="10.140625" style="21" bestFit="1" customWidth="1"/>
    <col min="10251" max="10496" width="9.140625" style="21"/>
    <col min="10497" max="10497" width="14" style="21" customWidth="1"/>
    <col min="10498" max="10498" width="20.28515625" style="21" bestFit="1" customWidth="1"/>
    <col min="10499" max="10499" width="18.85546875" style="21" bestFit="1" customWidth="1"/>
    <col min="10500" max="10500" width="20.28515625" style="21" bestFit="1" customWidth="1"/>
    <col min="10501" max="10501" width="18.85546875" style="21" customWidth="1"/>
    <col min="10502" max="10502" width="14.7109375" style="21" customWidth="1"/>
    <col min="10503" max="10503" width="11.28515625" style="21" customWidth="1"/>
    <col min="10504" max="10504" width="18.7109375" style="21" customWidth="1"/>
    <col min="10505" max="10505" width="19.140625" style="21" bestFit="1" customWidth="1"/>
    <col min="10506" max="10506" width="10.140625" style="21" bestFit="1" customWidth="1"/>
    <col min="10507" max="10752" width="9.140625" style="21"/>
    <col min="10753" max="10753" width="14" style="21" customWidth="1"/>
    <col min="10754" max="10754" width="20.28515625" style="21" bestFit="1" customWidth="1"/>
    <col min="10755" max="10755" width="18.85546875" style="21" bestFit="1" customWidth="1"/>
    <col min="10756" max="10756" width="20.28515625" style="21" bestFit="1" customWidth="1"/>
    <col min="10757" max="10757" width="18.85546875" style="21" customWidth="1"/>
    <col min="10758" max="10758" width="14.7109375" style="21" customWidth="1"/>
    <col min="10759" max="10759" width="11.28515625" style="21" customWidth="1"/>
    <col min="10760" max="10760" width="18.7109375" style="21" customWidth="1"/>
    <col min="10761" max="10761" width="19.140625" style="21" bestFit="1" customWidth="1"/>
    <col min="10762" max="10762" width="10.140625" style="21" bestFit="1" customWidth="1"/>
    <col min="10763" max="11008" width="9.140625" style="21"/>
    <col min="11009" max="11009" width="14" style="21" customWidth="1"/>
    <col min="11010" max="11010" width="20.28515625" style="21" bestFit="1" customWidth="1"/>
    <col min="11011" max="11011" width="18.85546875" style="21" bestFit="1" customWidth="1"/>
    <col min="11012" max="11012" width="20.28515625" style="21" bestFit="1" customWidth="1"/>
    <col min="11013" max="11013" width="18.85546875" style="21" customWidth="1"/>
    <col min="11014" max="11014" width="14.7109375" style="21" customWidth="1"/>
    <col min="11015" max="11015" width="11.28515625" style="21" customWidth="1"/>
    <col min="11016" max="11016" width="18.7109375" style="21" customWidth="1"/>
    <col min="11017" max="11017" width="19.140625" style="21" bestFit="1" customWidth="1"/>
    <col min="11018" max="11018" width="10.140625" style="21" bestFit="1" customWidth="1"/>
    <col min="11019" max="11264" width="9.140625" style="21"/>
    <col min="11265" max="11265" width="14" style="21" customWidth="1"/>
    <col min="11266" max="11266" width="20.28515625" style="21" bestFit="1" customWidth="1"/>
    <col min="11267" max="11267" width="18.85546875" style="21" bestFit="1" customWidth="1"/>
    <col min="11268" max="11268" width="20.28515625" style="21" bestFit="1" customWidth="1"/>
    <col min="11269" max="11269" width="18.85546875" style="21" customWidth="1"/>
    <col min="11270" max="11270" width="14.7109375" style="21" customWidth="1"/>
    <col min="11271" max="11271" width="11.28515625" style="21" customWidth="1"/>
    <col min="11272" max="11272" width="18.7109375" style="21" customWidth="1"/>
    <col min="11273" max="11273" width="19.140625" style="21" bestFit="1" customWidth="1"/>
    <col min="11274" max="11274" width="10.140625" style="21" bestFit="1" customWidth="1"/>
    <col min="11275" max="11520" width="9.140625" style="21"/>
    <col min="11521" max="11521" width="14" style="21" customWidth="1"/>
    <col min="11522" max="11522" width="20.28515625" style="21" bestFit="1" customWidth="1"/>
    <col min="11523" max="11523" width="18.85546875" style="21" bestFit="1" customWidth="1"/>
    <col min="11524" max="11524" width="20.28515625" style="21" bestFit="1" customWidth="1"/>
    <col min="11525" max="11525" width="18.85546875" style="21" customWidth="1"/>
    <col min="11526" max="11526" width="14.7109375" style="21" customWidth="1"/>
    <col min="11527" max="11527" width="11.28515625" style="21" customWidth="1"/>
    <col min="11528" max="11528" width="18.7109375" style="21" customWidth="1"/>
    <col min="11529" max="11529" width="19.140625" style="21" bestFit="1" customWidth="1"/>
    <col min="11530" max="11530" width="10.140625" style="21" bestFit="1" customWidth="1"/>
    <col min="11531" max="11776" width="9.140625" style="21"/>
    <col min="11777" max="11777" width="14" style="21" customWidth="1"/>
    <col min="11778" max="11778" width="20.28515625" style="21" bestFit="1" customWidth="1"/>
    <col min="11779" max="11779" width="18.85546875" style="21" bestFit="1" customWidth="1"/>
    <col min="11780" max="11780" width="20.28515625" style="21" bestFit="1" customWidth="1"/>
    <col min="11781" max="11781" width="18.85546875" style="21" customWidth="1"/>
    <col min="11782" max="11782" width="14.7109375" style="21" customWidth="1"/>
    <col min="11783" max="11783" width="11.28515625" style="21" customWidth="1"/>
    <col min="11784" max="11784" width="18.7109375" style="21" customWidth="1"/>
    <col min="11785" max="11785" width="19.140625" style="21" bestFit="1" customWidth="1"/>
    <col min="11786" max="11786" width="10.140625" style="21" bestFit="1" customWidth="1"/>
    <col min="11787" max="12032" width="9.140625" style="21"/>
    <col min="12033" max="12033" width="14" style="21" customWidth="1"/>
    <col min="12034" max="12034" width="20.28515625" style="21" bestFit="1" customWidth="1"/>
    <col min="12035" max="12035" width="18.85546875" style="21" bestFit="1" customWidth="1"/>
    <col min="12036" max="12036" width="20.28515625" style="21" bestFit="1" customWidth="1"/>
    <col min="12037" max="12037" width="18.85546875" style="21" customWidth="1"/>
    <col min="12038" max="12038" width="14.7109375" style="21" customWidth="1"/>
    <col min="12039" max="12039" width="11.28515625" style="21" customWidth="1"/>
    <col min="12040" max="12040" width="18.7109375" style="21" customWidth="1"/>
    <col min="12041" max="12041" width="19.140625" style="21" bestFit="1" customWidth="1"/>
    <col min="12042" max="12042" width="10.140625" style="21" bestFit="1" customWidth="1"/>
    <col min="12043" max="12288" width="9.140625" style="21"/>
    <col min="12289" max="12289" width="14" style="21" customWidth="1"/>
    <col min="12290" max="12290" width="20.28515625" style="21" bestFit="1" customWidth="1"/>
    <col min="12291" max="12291" width="18.85546875" style="21" bestFit="1" customWidth="1"/>
    <col min="12292" max="12292" width="20.28515625" style="21" bestFit="1" customWidth="1"/>
    <col min="12293" max="12293" width="18.85546875" style="21" customWidth="1"/>
    <col min="12294" max="12294" width="14.7109375" style="21" customWidth="1"/>
    <col min="12295" max="12295" width="11.28515625" style="21" customWidth="1"/>
    <col min="12296" max="12296" width="18.7109375" style="21" customWidth="1"/>
    <col min="12297" max="12297" width="19.140625" style="21" bestFit="1" customWidth="1"/>
    <col min="12298" max="12298" width="10.140625" style="21" bestFit="1" customWidth="1"/>
    <col min="12299" max="12544" width="9.140625" style="21"/>
    <col min="12545" max="12545" width="14" style="21" customWidth="1"/>
    <col min="12546" max="12546" width="20.28515625" style="21" bestFit="1" customWidth="1"/>
    <col min="12547" max="12547" width="18.85546875" style="21" bestFit="1" customWidth="1"/>
    <col min="12548" max="12548" width="20.28515625" style="21" bestFit="1" customWidth="1"/>
    <col min="12549" max="12549" width="18.85546875" style="21" customWidth="1"/>
    <col min="12550" max="12550" width="14.7109375" style="21" customWidth="1"/>
    <col min="12551" max="12551" width="11.28515625" style="21" customWidth="1"/>
    <col min="12552" max="12552" width="18.7109375" style="21" customWidth="1"/>
    <col min="12553" max="12553" width="19.140625" style="21" bestFit="1" customWidth="1"/>
    <col min="12554" max="12554" width="10.140625" style="21" bestFit="1" customWidth="1"/>
    <col min="12555" max="12800" width="9.140625" style="21"/>
    <col min="12801" max="12801" width="14" style="21" customWidth="1"/>
    <col min="12802" max="12802" width="20.28515625" style="21" bestFit="1" customWidth="1"/>
    <col min="12803" max="12803" width="18.85546875" style="21" bestFit="1" customWidth="1"/>
    <col min="12804" max="12804" width="20.28515625" style="21" bestFit="1" customWidth="1"/>
    <col min="12805" max="12805" width="18.85546875" style="21" customWidth="1"/>
    <col min="12806" max="12806" width="14.7109375" style="21" customWidth="1"/>
    <col min="12807" max="12807" width="11.28515625" style="21" customWidth="1"/>
    <col min="12808" max="12808" width="18.7109375" style="21" customWidth="1"/>
    <col min="12809" max="12809" width="19.140625" style="21" bestFit="1" customWidth="1"/>
    <col min="12810" max="12810" width="10.140625" style="21" bestFit="1" customWidth="1"/>
    <col min="12811" max="13056" width="9.140625" style="21"/>
    <col min="13057" max="13057" width="14" style="21" customWidth="1"/>
    <col min="13058" max="13058" width="20.28515625" style="21" bestFit="1" customWidth="1"/>
    <col min="13059" max="13059" width="18.85546875" style="21" bestFit="1" customWidth="1"/>
    <col min="13060" max="13060" width="20.28515625" style="21" bestFit="1" customWidth="1"/>
    <col min="13061" max="13061" width="18.85546875" style="21" customWidth="1"/>
    <col min="13062" max="13062" width="14.7109375" style="21" customWidth="1"/>
    <col min="13063" max="13063" width="11.28515625" style="21" customWidth="1"/>
    <col min="13064" max="13064" width="18.7109375" style="21" customWidth="1"/>
    <col min="13065" max="13065" width="19.140625" style="21" bestFit="1" customWidth="1"/>
    <col min="13066" max="13066" width="10.140625" style="21" bestFit="1" customWidth="1"/>
    <col min="13067" max="13312" width="9.140625" style="21"/>
    <col min="13313" max="13313" width="14" style="21" customWidth="1"/>
    <col min="13314" max="13314" width="20.28515625" style="21" bestFit="1" customWidth="1"/>
    <col min="13315" max="13315" width="18.85546875" style="21" bestFit="1" customWidth="1"/>
    <col min="13316" max="13316" width="20.28515625" style="21" bestFit="1" customWidth="1"/>
    <col min="13317" max="13317" width="18.85546875" style="21" customWidth="1"/>
    <col min="13318" max="13318" width="14.7109375" style="21" customWidth="1"/>
    <col min="13319" max="13319" width="11.28515625" style="21" customWidth="1"/>
    <col min="13320" max="13320" width="18.7109375" style="21" customWidth="1"/>
    <col min="13321" max="13321" width="19.140625" style="21" bestFit="1" customWidth="1"/>
    <col min="13322" max="13322" width="10.140625" style="21" bestFit="1" customWidth="1"/>
    <col min="13323" max="13568" width="9.140625" style="21"/>
    <col min="13569" max="13569" width="14" style="21" customWidth="1"/>
    <col min="13570" max="13570" width="20.28515625" style="21" bestFit="1" customWidth="1"/>
    <col min="13571" max="13571" width="18.85546875" style="21" bestFit="1" customWidth="1"/>
    <col min="13572" max="13572" width="20.28515625" style="21" bestFit="1" customWidth="1"/>
    <col min="13573" max="13573" width="18.85546875" style="21" customWidth="1"/>
    <col min="13574" max="13574" width="14.7109375" style="21" customWidth="1"/>
    <col min="13575" max="13575" width="11.28515625" style="21" customWidth="1"/>
    <col min="13576" max="13576" width="18.7109375" style="21" customWidth="1"/>
    <col min="13577" max="13577" width="19.140625" style="21" bestFit="1" customWidth="1"/>
    <col min="13578" max="13578" width="10.140625" style="21" bestFit="1" customWidth="1"/>
    <col min="13579" max="13824" width="9.140625" style="21"/>
    <col min="13825" max="13825" width="14" style="21" customWidth="1"/>
    <col min="13826" max="13826" width="20.28515625" style="21" bestFit="1" customWidth="1"/>
    <col min="13827" max="13827" width="18.85546875" style="21" bestFit="1" customWidth="1"/>
    <col min="13828" max="13828" width="20.28515625" style="21" bestFit="1" customWidth="1"/>
    <col min="13829" max="13829" width="18.85546875" style="21" customWidth="1"/>
    <col min="13830" max="13830" width="14.7109375" style="21" customWidth="1"/>
    <col min="13831" max="13831" width="11.28515625" style="21" customWidth="1"/>
    <col min="13832" max="13832" width="18.7109375" style="21" customWidth="1"/>
    <col min="13833" max="13833" width="19.140625" style="21" bestFit="1" customWidth="1"/>
    <col min="13834" max="13834" width="10.140625" style="21" bestFit="1" customWidth="1"/>
    <col min="13835" max="14080" width="9.140625" style="21"/>
    <col min="14081" max="14081" width="14" style="21" customWidth="1"/>
    <col min="14082" max="14082" width="20.28515625" style="21" bestFit="1" customWidth="1"/>
    <col min="14083" max="14083" width="18.85546875" style="21" bestFit="1" customWidth="1"/>
    <col min="14084" max="14084" width="20.28515625" style="21" bestFit="1" customWidth="1"/>
    <col min="14085" max="14085" width="18.85546875" style="21" customWidth="1"/>
    <col min="14086" max="14086" width="14.7109375" style="21" customWidth="1"/>
    <col min="14087" max="14087" width="11.28515625" style="21" customWidth="1"/>
    <col min="14088" max="14088" width="18.7109375" style="21" customWidth="1"/>
    <col min="14089" max="14089" width="19.140625" style="21" bestFit="1" customWidth="1"/>
    <col min="14090" max="14090" width="10.140625" style="21" bestFit="1" customWidth="1"/>
    <col min="14091" max="14336" width="9.140625" style="21"/>
    <col min="14337" max="14337" width="14" style="21" customWidth="1"/>
    <col min="14338" max="14338" width="20.28515625" style="21" bestFit="1" customWidth="1"/>
    <col min="14339" max="14339" width="18.85546875" style="21" bestFit="1" customWidth="1"/>
    <col min="14340" max="14340" width="20.28515625" style="21" bestFit="1" customWidth="1"/>
    <col min="14341" max="14341" width="18.85546875" style="21" customWidth="1"/>
    <col min="14342" max="14342" width="14.7109375" style="21" customWidth="1"/>
    <col min="14343" max="14343" width="11.28515625" style="21" customWidth="1"/>
    <col min="14344" max="14344" width="18.7109375" style="21" customWidth="1"/>
    <col min="14345" max="14345" width="19.140625" style="21" bestFit="1" customWidth="1"/>
    <col min="14346" max="14346" width="10.140625" style="21" bestFit="1" customWidth="1"/>
    <col min="14347" max="14592" width="9.140625" style="21"/>
    <col min="14593" max="14593" width="14" style="21" customWidth="1"/>
    <col min="14594" max="14594" width="20.28515625" style="21" bestFit="1" customWidth="1"/>
    <col min="14595" max="14595" width="18.85546875" style="21" bestFit="1" customWidth="1"/>
    <col min="14596" max="14596" width="20.28515625" style="21" bestFit="1" customWidth="1"/>
    <col min="14597" max="14597" width="18.85546875" style="21" customWidth="1"/>
    <col min="14598" max="14598" width="14.7109375" style="21" customWidth="1"/>
    <col min="14599" max="14599" width="11.28515625" style="21" customWidth="1"/>
    <col min="14600" max="14600" width="18.7109375" style="21" customWidth="1"/>
    <col min="14601" max="14601" width="19.140625" style="21" bestFit="1" customWidth="1"/>
    <col min="14602" max="14602" width="10.140625" style="21" bestFit="1" customWidth="1"/>
    <col min="14603" max="14848" width="9.140625" style="21"/>
    <col min="14849" max="14849" width="14" style="21" customWidth="1"/>
    <col min="14850" max="14850" width="20.28515625" style="21" bestFit="1" customWidth="1"/>
    <col min="14851" max="14851" width="18.85546875" style="21" bestFit="1" customWidth="1"/>
    <col min="14852" max="14852" width="20.28515625" style="21" bestFit="1" customWidth="1"/>
    <col min="14853" max="14853" width="18.85546875" style="21" customWidth="1"/>
    <col min="14854" max="14854" width="14.7109375" style="21" customWidth="1"/>
    <col min="14855" max="14855" width="11.28515625" style="21" customWidth="1"/>
    <col min="14856" max="14856" width="18.7109375" style="21" customWidth="1"/>
    <col min="14857" max="14857" width="19.140625" style="21" bestFit="1" customWidth="1"/>
    <col min="14858" max="14858" width="10.140625" style="21" bestFit="1" customWidth="1"/>
    <col min="14859" max="15104" width="9.140625" style="21"/>
    <col min="15105" max="15105" width="14" style="21" customWidth="1"/>
    <col min="15106" max="15106" width="20.28515625" style="21" bestFit="1" customWidth="1"/>
    <col min="15107" max="15107" width="18.85546875" style="21" bestFit="1" customWidth="1"/>
    <col min="15108" max="15108" width="20.28515625" style="21" bestFit="1" customWidth="1"/>
    <col min="15109" max="15109" width="18.85546875" style="21" customWidth="1"/>
    <col min="15110" max="15110" width="14.7109375" style="21" customWidth="1"/>
    <col min="15111" max="15111" width="11.28515625" style="21" customWidth="1"/>
    <col min="15112" max="15112" width="18.7109375" style="21" customWidth="1"/>
    <col min="15113" max="15113" width="19.140625" style="21" bestFit="1" customWidth="1"/>
    <col min="15114" max="15114" width="10.140625" style="21" bestFit="1" customWidth="1"/>
    <col min="15115" max="15360" width="9.140625" style="21"/>
    <col min="15361" max="15361" width="14" style="21" customWidth="1"/>
    <col min="15362" max="15362" width="20.28515625" style="21" bestFit="1" customWidth="1"/>
    <col min="15363" max="15363" width="18.85546875" style="21" bestFit="1" customWidth="1"/>
    <col min="15364" max="15364" width="20.28515625" style="21" bestFit="1" customWidth="1"/>
    <col min="15365" max="15365" width="18.85546875" style="21" customWidth="1"/>
    <col min="15366" max="15366" width="14.7109375" style="21" customWidth="1"/>
    <col min="15367" max="15367" width="11.28515625" style="21" customWidth="1"/>
    <col min="15368" max="15368" width="18.7109375" style="21" customWidth="1"/>
    <col min="15369" max="15369" width="19.140625" style="21" bestFit="1" customWidth="1"/>
    <col min="15370" max="15370" width="10.140625" style="21" bestFit="1" customWidth="1"/>
    <col min="15371" max="15616" width="9.140625" style="21"/>
    <col min="15617" max="15617" width="14" style="21" customWidth="1"/>
    <col min="15618" max="15618" width="20.28515625" style="21" bestFit="1" customWidth="1"/>
    <col min="15619" max="15619" width="18.85546875" style="21" bestFit="1" customWidth="1"/>
    <col min="15620" max="15620" width="20.28515625" style="21" bestFit="1" customWidth="1"/>
    <col min="15621" max="15621" width="18.85546875" style="21" customWidth="1"/>
    <col min="15622" max="15622" width="14.7109375" style="21" customWidth="1"/>
    <col min="15623" max="15623" width="11.28515625" style="21" customWidth="1"/>
    <col min="15624" max="15624" width="18.7109375" style="21" customWidth="1"/>
    <col min="15625" max="15625" width="19.140625" style="21" bestFit="1" customWidth="1"/>
    <col min="15626" max="15626" width="10.140625" style="21" bestFit="1" customWidth="1"/>
    <col min="15627" max="15872" width="9.140625" style="21"/>
    <col min="15873" max="15873" width="14" style="21" customWidth="1"/>
    <col min="15874" max="15874" width="20.28515625" style="21" bestFit="1" customWidth="1"/>
    <col min="15875" max="15875" width="18.85546875" style="21" bestFit="1" customWidth="1"/>
    <col min="15876" max="15876" width="20.28515625" style="21" bestFit="1" customWidth="1"/>
    <col min="15877" max="15877" width="18.85546875" style="21" customWidth="1"/>
    <col min="15878" max="15878" width="14.7109375" style="21" customWidth="1"/>
    <col min="15879" max="15879" width="11.28515625" style="21" customWidth="1"/>
    <col min="15880" max="15880" width="18.7109375" style="21" customWidth="1"/>
    <col min="15881" max="15881" width="19.140625" style="21" bestFit="1" customWidth="1"/>
    <col min="15882" max="15882" width="10.140625" style="21" bestFit="1" customWidth="1"/>
    <col min="15883" max="16128" width="9.140625" style="21"/>
    <col min="16129" max="16129" width="14" style="21" customWidth="1"/>
    <col min="16130" max="16130" width="20.28515625" style="21" bestFit="1" customWidth="1"/>
    <col min="16131" max="16131" width="18.85546875" style="21" bestFit="1" customWidth="1"/>
    <col min="16132" max="16132" width="20.28515625" style="21" bestFit="1" customWidth="1"/>
    <col min="16133" max="16133" width="18.85546875" style="21" customWidth="1"/>
    <col min="16134" max="16134" width="14.7109375" style="21" customWidth="1"/>
    <col min="16135" max="16135" width="11.28515625" style="21" customWidth="1"/>
    <col min="16136" max="16136" width="18.7109375" style="21" customWidth="1"/>
    <col min="16137" max="16137" width="19.140625" style="21" bestFit="1" customWidth="1"/>
    <col min="16138" max="16138" width="10.140625" style="21" bestFit="1" customWidth="1"/>
    <col min="16139" max="16384" width="9.140625" style="21"/>
  </cols>
  <sheetData>
    <row r="1" spans="1:10" ht="18" x14ac:dyDescent="0.25">
      <c r="A1" s="28" t="s">
        <v>13</v>
      </c>
    </row>
    <row r="2" spans="1:10" ht="18" x14ac:dyDescent="0.25">
      <c r="A2" s="53"/>
      <c r="B2" s="32" t="s">
        <v>14</v>
      </c>
      <c r="C2" s="32" t="s">
        <v>15</v>
      </c>
      <c r="D2" s="32" t="s">
        <v>14</v>
      </c>
      <c r="E2" s="32" t="s">
        <v>15</v>
      </c>
      <c r="F2" s="32" t="s">
        <v>16</v>
      </c>
      <c r="G2" s="32" t="s">
        <v>17</v>
      </c>
      <c r="H2" s="32" t="s">
        <v>18</v>
      </c>
      <c r="I2" s="32" t="s">
        <v>19</v>
      </c>
      <c r="J2" s="13" t="s">
        <v>20</v>
      </c>
    </row>
    <row r="3" spans="1:10" x14ac:dyDescent="0.2">
      <c r="A3" s="54"/>
      <c r="B3" s="32" t="s">
        <v>21</v>
      </c>
      <c r="C3" s="32" t="s">
        <v>21</v>
      </c>
      <c r="D3" s="32"/>
      <c r="E3" s="32" t="s">
        <v>22</v>
      </c>
      <c r="F3" s="55" t="s">
        <v>21</v>
      </c>
      <c r="G3" s="32" t="s">
        <v>23</v>
      </c>
      <c r="H3" s="48"/>
      <c r="I3" s="32" t="s">
        <v>24</v>
      </c>
      <c r="J3" s="13" t="s">
        <v>25</v>
      </c>
    </row>
    <row r="4" spans="1:10" x14ac:dyDescent="0.2">
      <c r="A4" s="56">
        <v>44682</v>
      </c>
      <c r="B4" s="57">
        <v>6090</v>
      </c>
      <c r="C4" s="58">
        <f>IF(B5-B4 &lt; 0,0,B5-B4)</f>
        <v>5497</v>
      </c>
      <c r="D4" s="57">
        <v>5868</v>
      </c>
      <c r="E4" s="58">
        <f>IF(D5-D4 &lt; 0,0,D5-D4)</f>
        <v>3699</v>
      </c>
      <c r="F4" s="57">
        <v>463</v>
      </c>
      <c r="G4" s="59">
        <v>88</v>
      </c>
      <c r="H4" s="59" t="s">
        <v>26</v>
      </c>
      <c r="I4" s="58">
        <f>+E4+C4</f>
        <v>9196</v>
      </c>
      <c r="J4" s="14">
        <f>(C4*0.288)+(E4*0.177)</f>
        <v>2237.8589999999999</v>
      </c>
    </row>
    <row r="5" spans="1:10" x14ac:dyDescent="0.2">
      <c r="A5" s="56">
        <v>44683</v>
      </c>
      <c r="B5" s="57">
        <v>11587</v>
      </c>
      <c r="C5" s="58">
        <f t="shared" ref="C5:C34" si="0">IF(B6-B5 &lt; 0,0,B6-B5)</f>
        <v>5278</v>
      </c>
      <c r="D5" s="57">
        <v>9567</v>
      </c>
      <c r="E5" s="58">
        <f t="shared" ref="E5:E34" si="1">IF(D6-D5 &lt; 0,0,D6-D5)</f>
        <v>3115</v>
      </c>
      <c r="F5" s="57">
        <v>464</v>
      </c>
      <c r="G5" s="59">
        <v>88</v>
      </c>
      <c r="H5" s="59" t="s">
        <v>26</v>
      </c>
      <c r="I5" s="58">
        <f>+E5+C5</f>
        <v>8393</v>
      </c>
      <c r="J5" s="14">
        <f t="shared" ref="J5:J35" si="2">(C5*0.288)+(E5*0.177)</f>
        <v>2071.4189999999999</v>
      </c>
    </row>
    <row r="6" spans="1:10" s="83" customFormat="1" ht="11.25" customHeight="1" x14ac:dyDescent="0.2">
      <c r="A6" s="79">
        <v>44684</v>
      </c>
      <c r="B6" s="80">
        <v>16865</v>
      </c>
      <c r="C6" s="81">
        <f t="shared" si="0"/>
        <v>4668</v>
      </c>
      <c r="D6" s="80">
        <v>12682</v>
      </c>
      <c r="E6" s="81">
        <f t="shared" si="1"/>
        <v>2824</v>
      </c>
      <c r="F6" s="80">
        <v>464</v>
      </c>
      <c r="G6" s="59">
        <v>72</v>
      </c>
      <c r="H6" s="59" t="s">
        <v>26</v>
      </c>
      <c r="I6" s="81">
        <f>+E6+C6</f>
        <v>7492</v>
      </c>
      <c r="J6" s="82">
        <f t="shared" si="2"/>
        <v>1844.2319999999997</v>
      </c>
    </row>
    <row r="7" spans="1:10" x14ac:dyDescent="0.2">
      <c r="A7" s="56">
        <v>44685</v>
      </c>
      <c r="B7" s="57">
        <v>21533</v>
      </c>
      <c r="C7" s="58">
        <f t="shared" si="0"/>
        <v>5109</v>
      </c>
      <c r="D7" s="57">
        <v>15506</v>
      </c>
      <c r="E7" s="58">
        <f t="shared" si="1"/>
        <v>2832</v>
      </c>
      <c r="F7" s="59">
        <v>464</v>
      </c>
      <c r="G7" s="59">
        <v>68</v>
      </c>
      <c r="H7" s="59" t="s">
        <v>27</v>
      </c>
      <c r="I7" s="58">
        <f t="shared" ref="I7:I35" si="3">+E7+C7</f>
        <v>7941</v>
      </c>
      <c r="J7" s="14">
        <f t="shared" si="2"/>
        <v>1972.6559999999997</v>
      </c>
    </row>
    <row r="8" spans="1:10" x14ac:dyDescent="0.2">
      <c r="A8" s="56">
        <v>44686</v>
      </c>
      <c r="B8" s="57">
        <v>26642</v>
      </c>
      <c r="C8" s="58">
        <f t="shared" si="0"/>
        <v>5338</v>
      </c>
      <c r="D8" s="57">
        <v>18338</v>
      </c>
      <c r="E8" s="58">
        <f t="shared" si="1"/>
        <v>3600</v>
      </c>
      <c r="F8" s="59">
        <v>464</v>
      </c>
      <c r="G8" s="59">
        <v>84</v>
      </c>
      <c r="H8" s="59" t="s">
        <v>28</v>
      </c>
      <c r="I8" s="58">
        <f t="shared" si="3"/>
        <v>8938</v>
      </c>
      <c r="J8" s="14">
        <f t="shared" si="2"/>
        <v>2174.5439999999999</v>
      </c>
    </row>
    <row r="9" spans="1:10" x14ac:dyDescent="0.2">
      <c r="A9" s="56">
        <v>44687</v>
      </c>
      <c r="B9" s="57">
        <v>31980</v>
      </c>
      <c r="C9" s="58">
        <f t="shared" si="0"/>
        <v>5059</v>
      </c>
      <c r="D9" s="57">
        <v>21938</v>
      </c>
      <c r="E9" s="58">
        <f t="shared" si="1"/>
        <v>3155</v>
      </c>
      <c r="F9" s="57">
        <v>464</v>
      </c>
      <c r="G9" s="59">
        <v>74</v>
      </c>
      <c r="H9" s="59" t="s">
        <v>28</v>
      </c>
      <c r="I9" s="58">
        <f t="shared" si="3"/>
        <v>8214</v>
      </c>
      <c r="J9" s="14">
        <f t="shared" si="2"/>
        <v>2015.4269999999999</v>
      </c>
    </row>
    <row r="10" spans="1:10" x14ac:dyDescent="0.2">
      <c r="A10" s="56">
        <v>44688</v>
      </c>
      <c r="B10" s="57">
        <v>37039</v>
      </c>
      <c r="C10" s="58">
        <f t="shared" si="0"/>
        <v>5118</v>
      </c>
      <c r="D10" s="57">
        <v>25093</v>
      </c>
      <c r="E10" s="58">
        <f t="shared" si="1"/>
        <v>3225</v>
      </c>
      <c r="F10" s="57">
        <v>464</v>
      </c>
      <c r="G10" s="60">
        <v>53</v>
      </c>
      <c r="H10" s="59" t="s">
        <v>28</v>
      </c>
      <c r="I10" s="58">
        <f t="shared" si="3"/>
        <v>8343</v>
      </c>
      <c r="J10" s="14">
        <f t="shared" si="2"/>
        <v>2044.8089999999997</v>
      </c>
    </row>
    <row r="11" spans="1:10" x14ac:dyDescent="0.2">
      <c r="A11" s="56">
        <v>44689</v>
      </c>
      <c r="B11" s="57">
        <v>42157</v>
      </c>
      <c r="C11" s="58">
        <f t="shared" si="0"/>
        <v>5349</v>
      </c>
      <c r="D11" s="57">
        <v>28318</v>
      </c>
      <c r="E11" s="58">
        <f t="shared" si="1"/>
        <v>3496</v>
      </c>
      <c r="F11" s="57">
        <v>464</v>
      </c>
      <c r="G11" s="59">
        <v>43</v>
      </c>
      <c r="H11" s="59" t="s">
        <v>28</v>
      </c>
      <c r="I11" s="58">
        <f t="shared" si="3"/>
        <v>8845</v>
      </c>
      <c r="J11" s="14">
        <f t="shared" si="2"/>
        <v>2159.3040000000001</v>
      </c>
    </row>
    <row r="12" spans="1:10" x14ac:dyDescent="0.2">
      <c r="A12" s="56">
        <v>44690</v>
      </c>
      <c r="B12" s="57">
        <v>47506</v>
      </c>
      <c r="C12" s="58">
        <f t="shared" si="0"/>
        <v>5608</v>
      </c>
      <c r="D12" s="57">
        <v>31814</v>
      </c>
      <c r="E12" s="58">
        <f t="shared" si="1"/>
        <v>3917</v>
      </c>
      <c r="F12" s="57">
        <v>464</v>
      </c>
      <c r="G12" s="59">
        <v>37</v>
      </c>
      <c r="H12" s="59" t="s">
        <v>28</v>
      </c>
      <c r="I12" s="58">
        <f t="shared" si="3"/>
        <v>9525</v>
      </c>
      <c r="J12" s="14">
        <f t="shared" si="2"/>
        <v>2308.4129999999996</v>
      </c>
    </row>
    <row r="13" spans="1:10" x14ac:dyDescent="0.2">
      <c r="A13" s="56">
        <v>44691</v>
      </c>
      <c r="B13" s="57">
        <v>53114</v>
      </c>
      <c r="C13" s="58">
        <f t="shared" si="0"/>
        <v>5598</v>
      </c>
      <c r="D13" s="57">
        <v>35731</v>
      </c>
      <c r="E13" s="58">
        <f t="shared" si="1"/>
        <v>3365</v>
      </c>
      <c r="F13" s="57">
        <v>464</v>
      </c>
      <c r="G13" s="59">
        <v>32</v>
      </c>
      <c r="H13" s="59" t="s">
        <v>28</v>
      </c>
      <c r="I13" s="58">
        <f t="shared" si="3"/>
        <v>8963</v>
      </c>
      <c r="J13" s="14">
        <f t="shared" si="2"/>
        <v>2207.8289999999997</v>
      </c>
    </row>
    <row r="14" spans="1:10" x14ac:dyDescent="0.2">
      <c r="A14" s="56">
        <v>44692</v>
      </c>
      <c r="B14" s="57">
        <v>58712</v>
      </c>
      <c r="C14" s="58">
        <f t="shared" si="0"/>
        <v>6009</v>
      </c>
      <c r="D14" s="57">
        <v>39096</v>
      </c>
      <c r="E14" s="58">
        <f t="shared" si="1"/>
        <v>3032</v>
      </c>
      <c r="F14" s="57">
        <v>464</v>
      </c>
      <c r="G14" s="59">
        <v>32</v>
      </c>
      <c r="H14" s="59" t="s">
        <v>29</v>
      </c>
      <c r="I14" s="58">
        <f t="shared" si="3"/>
        <v>9041</v>
      </c>
      <c r="J14" s="14">
        <f t="shared" si="2"/>
        <v>2267.2559999999999</v>
      </c>
    </row>
    <row r="15" spans="1:10" x14ac:dyDescent="0.2">
      <c r="A15" s="56">
        <v>44693</v>
      </c>
      <c r="B15" s="57">
        <v>64721</v>
      </c>
      <c r="C15" s="58">
        <f t="shared" si="0"/>
        <v>5120</v>
      </c>
      <c r="D15" s="57">
        <v>42128</v>
      </c>
      <c r="E15" s="58">
        <f t="shared" si="1"/>
        <v>4240</v>
      </c>
      <c r="F15" s="57">
        <v>464</v>
      </c>
      <c r="G15" s="59">
        <v>43</v>
      </c>
      <c r="H15" s="59" t="s">
        <v>29</v>
      </c>
      <c r="I15" s="58">
        <f t="shared" si="3"/>
        <v>9360</v>
      </c>
      <c r="J15" s="14">
        <f t="shared" si="2"/>
        <v>2225.04</v>
      </c>
    </row>
    <row r="16" spans="1:10" x14ac:dyDescent="0.2">
      <c r="A16" s="56">
        <v>44694</v>
      </c>
      <c r="B16" s="57">
        <v>69841</v>
      </c>
      <c r="C16" s="58">
        <f t="shared" si="0"/>
        <v>7054</v>
      </c>
      <c r="D16" s="57">
        <v>46368</v>
      </c>
      <c r="E16" s="58">
        <f t="shared" si="1"/>
        <v>3861</v>
      </c>
      <c r="F16" s="57">
        <v>464</v>
      </c>
      <c r="G16" s="59">
        <v>61</v>
      </c>
      <c r="H16" s="59" t="s">
        <v>28</v>
      </c>
      <c r="I16" s="58">
        <f t="shared" si="3"/>
        <v>10915</v>
      </c>
      <c r="J16" s="14">
        <f t="shared" si="2"/>
        <v>2714.9489999999996</v>
      </c>
    </row>
    <row r="17" spans="1:10" x14ac:dyDescent="0.2">
      <c r="A17" s="56">
        <v>44695</v>
      </c>
      <c r="B17" s="57">
        <v>76895</v>
      </c>
      <c r="C17" s="58">
        <f t="shared" si="0"/>
        <v>6267</v>
      </c>
      <c r="D17" s="57">
        <v>50229</v>
      </c>
      <c r="E17" s="58">
        <f t="shared" si="1"/>
        <v>4105</v>
      </c>
      <c r="F17" s="57">
        <v>503</v>
      </c>
      <c r="G17" s="59">
        <v>82</v>
      </c>
      <c r="H17" s="59" t="s">
        <v>28</v>
      </c>
      <c r="I17" s="58">
        <f t="shared" si="3"/>
        <v>10372</v>
      </c>
      <c r="J17" s="14">
        <f t="shared" si="2"/>
        <v>2531.4809999999998</v>
      </c>
    </row>
    <row r="18" spans="1:10" x14ac:dyDescent="0.2">
      <c r="A18" s="56">
        <v>44696</v>
      </c>
      <c r="B18" s="57">
        <v>83162</v>
      </c>
      <c r="C18" s="58">
        <f t="shared" si="0"/>
        <v>5139</v>
      </c>
      <c r="D18" s="57">
        <v>54334</v>
      </c>
      <c r="E18" s="58">
        <f t="shared" si="1"/>
        <v>3154</v>
      </c>
      <c r="F18" s="57">
        <v>503</v>
      </c>
      <c r="G18" s="59">
        <v>79</v>
      </c>
      <c r="H18" s="59" t="s">
        <v>29</v>
      </c>
      <c r="I18" s="58">
        <f t="shared" si="3"/>
        <v>8293</v>
      </c>
      <c r="J18" s="14">
        <f t="shared" si="2"/>
        <v>2038.29</v>
      </c>
    </row>
    <row r="19" spans="1:10" x14ac:dyDescent="0.2">
      <c r="A19" s="56">
        <v>44697</v>
      </c>
      <c r="B19" s="57">
        <v>88301</v>
      </c>
      <c r="C19" s="58">
        <f t="shared" si="0"/>
        <v>5608</v>
      </c>
      <c r="D19" s="57">
        <v>57488</v>
      </c>
      <c r="E19" s="58">
        <f t="shared" si="1"/>
        <v>3346</v>
      </c>
      <c r="F19" s="57">
        <v>503</v>
      </c>
      <c r="G19" s="59">
        <v>43</v>
      </c>
      <c r="H19" s="59" t="s">
        <v>26</v>
      </c>
      <c r="I19" s="58">
        <f t="shared" si="3"/>
        <v>8954</v>
      </c>
      <c r="J19" s="14">
        <f t="shared" si="2"/>
        <v>2207.3459999999995</v>
      </c>
    </row>
    <row r="20" spans="1:10" x14ac:dyDescent="0.2">
      <c r="A20" s="56">
        <v>44698</v>
      </c>
      <c r="B20" s="57">
        <v>93909</v>
      </c>
      <c r="C20" s="58">
        <f t="shared" si="0"/>
        <v>5347</v>
      </c>
      <c r="D20" s="57">
        <v>60834</v>
      </c>
      <c r="E20" s="58">
        <f t="shared" si="1"/>
        <v>3275</v>
      </c>
      <c r="F20" s="57">
        <v>503</v>
      </c>
      <c r="G20" s="59">
        <v>32</v>
      </c>
      <c r="H20" s="59" t="s">
        <v>26</v>
      </c>
      <c r="I20" s="58">
        <f t="shared" si="3"/>
        <v>8622</v>
      </c>
      <c r="J20" s="14">
        <f t="shared" si="2"/>
        <v>2119.6109999999999</v>
      </c>
    </row>
    <row r="21" spans="1:10" x14ac:dyDescent="0.2">
      <c r="A21" s="56">
        <v>44699</v>
      </c>
      <c r="B21" s="57">
        <v>99256</v>
      </c>
      <c r="C21" s="58">
        <f t="shared" si="0"/>
        <v>5718</v>
      </c>
      <c r="D21" s="57">
        <v>64109</v>
      </c>
      <c r="E21" s="58">
        <f t="shared" si="1"/>
        <v>3415</v>
      </c>
      <c r="F21" s="57">
        <v>503</v>
      </c>
      <c r="G21" s="59">
        <v>37</v>
      </c>
      <c r="H21" s="59" t="s">
        <v>29</v>
      </c>
      <c r="I21" s="58">
        <f t="shared" si="3"/>
        <v>9133</v>
      </c>
      <c r="J21" s="14">
        <f t="shared" si="2"/>
        <v>2251.2389999999996</v>
      </c>
    </row>
    <row r="22" spans="1:10" x14ac:dyDescent="0.2">
      <c r="A22" s="56">
        <v>44700</v>
      </c>
      <c r="B22" s="57">
        <v>104974</v>
      </c>
      <c r="C22" s="58">
        <f t="shared" si="0"/>
        <v>5877</v>
      </c>
      <c r="D22" s="57">
        <v>67524</v>
      </c>
      <c r="E22" s="58">
        <f t="shared" si="1"/>
        <v>3615</v>
      </c>
      <c r="F22" s="57">
        <v>503</v>
      </c>
      <c r="G22" s="59">
        <v>40</v>
      </c>
      <c r="H22" s="59" t="s">
        <v>29</v>
      </c>
      <c r="I22" s="58">
        <f t="shared" si="3"/>
        <v>9492</v>
      </c>
      <c r="J22" s="14">
        <f t="shared" si="2"/>
        <v>2332.4309999999996</v>
      </c>
    </row>
    <row r="23" spans="1:10" x14ac:dyDescent="0.2">
      <c r="A23" s="56">
        <v>44701</v>
      </c>
      <c r="B23" s="57">
        <v>110851</v>
      </c>
      <c r="C23" s="58">
        <f t="shared" si="0"/>
        <v>5779</v>
      </c>
      <c r="D23" s="57">
        <v>71139</v>
      </c>
      <c r="E23" s="58">
        <f t="shared" si="1"/>
        <v>3307</v>
      </c>
      <c r="F23" s="57">
        <v>503</v>
      </c>
      <c r="G23" s="59">
        <v>48</v>
      </c>
      <c r="H23" s="59" t="s">
        <v>29</v>
      </c>
      <c r="I23" s="58">
        <f t="shared" si="3"/>
        <v>9086</v>
      </c>
      <c r="J23" s="14">
        <f t="shared" si="2"/>
        <v>2249.6909999999998</v>
      </c>
    </row>
    <row r="24" spans="1:10" x14ac:dyDescent="0.2">
      <c r="A24" s="56">
        <v>44702</v>
      </c>
      <c r="B24" s="57">
        <v>116630</v>
      </c>
      <c r="C24" s="58">
        <f t="shared" si="0"/>
        <v>5588</v>
      </c>
      <c r="D24" s="57">
        <v>74446</v>
      </c>
      <c r="E24" s="58">
        <f t="shared" si="1"/>
        <v>3154</v>
      </c>
      <c r="F24" s="57">
        <v>503</v>
      </c>
      <c r="G24" s="59">
        <v>42</v>
      </c>
      <c r="H24" s="59" t="s">
        <v>29</v>
      </c>
      <c r="I24" s="58">
        <f t="shared" si="3"/>
        <v>8742</v>
      </c>
      <c r="J24" s="14">
        <f t="shared" si="2"/>
        <v>2167.6019999999999</v>
      </c>
    </row>
    <row r="25" spans="1:10" x14ac:dyDescent="0.2">
      <c r="A25" s="56">
        <v>44703</v>
      </c>
      <c r="B25" s="57">
        <v>122218</v>
      </c>
      <c r="C25" s="58">
        <f t="shared" si="0"/>
        <v>5457</v>
      </c>
      <c r="D25" s="57">
        <v>77600</v>
      </c>
      <c r="E25" s="58">
        <f t="shared" si="1"/>
        <v>3034</v>
      </c>
      <c r="F25" s="57">
        <v>503</v>
      </c>
      <c r="G25" s="59">
        <v>25</v>
      </c>
      <c r="H25" s="59" t="s">
        <v>29</v>
      </c>
      <c r="I25" s="58">
        <f t="shared" si="3"/>
        <v>8491</v>
      </c>
      <c r="J25" s="14">
        <f t="shared" si="2"/>
        <v>2108.634</v>
      </c>
    </row>
    <row r="26" spans="1:10" x14ac:dyDescent="0.2">
      <c r="A26" s="56">
        <v>44704</v>
      </c>
      <c r="B26" s="57">
        <v>127675</v>
      </c>
      <c r="C26" s="58">
        <f t="shared" si="0"/>
        <v>5398</v>
      </c>
      <c r="D26" s="57">
        <v>80634</v>
      </c>
      <c r="E26" s="58">
        <f t="shared" si="1"/>
        <v>3437</v>
      </c>
      <c r="F26" s="57">
        <v>503</v>
      </c>
      <c r="G26" s="59">
        <v>18</v>
      </c>
      <c r="H26" s="59" t="s">
        <v>29</v>
      </c>
      <c r="I26" s="58">
        <f t="shared" si="3"/>
        <v>8835</v>
      </c>
      <c r="J26" s="14">
        <f t="shared" si="2"/>
        <v>2162.973</v>
      </c>
    </row>
    <row r="27" spans="1:10" x14ac:dyDescent="0.2">
      <c r="A27" s="56">
        <v>44705</v>
      </c>
      <c r="B27" s="57">
        <v>133073</v>
      </c>
      <c r="C27" s="58">
        <f t="shared" si="0"/>
        <v>5097</v>
      </c>
      <c r="D27" s="57">
        <v>84071</v>
      </c>
      <c r="E27" s="58">
        <f t="shared" si="1"/>
        <v>2974</v>
      </c>
      <c r="F27" s="57">
        <v>503</v>
      </c>
      <c r="G27" s="59">
        <v>17</v>
      </c>
      <c r="H27" s="59" t="s">
        <v>26</v>
      </c>
      <c r="I27" s="58">
        <f t="shared" si="3"/>
        <v>8071</v>
      </c>
      <c r="J27" s="14">
        <f t="shared" si="2"/>
        <v>1994.3339999999998</v>
      </c>
    </row>
    <row r="28" spans="1:10" x14ac:dyDescent="0.2">
      <c r="A28" s="56">
        <v>44706</v>
      </c>
      <c r="B28" s="57">
        <v>138170</v>
      </c>
      <c r="C28" s="58">
        <f t="shared" si="0"/>
        <v>5459</v>
      </c>
      <c r="D28" s="57">
        <v>87045</v>
      </c>
      <c r="E28" s="58">
        <f t="shared" si="1"/>
        <v>3806</v>
      </c>
      <c r="F28" s="57">
        <v>503</v>
      </c>
      <c r="G28" s="59">
        <v>19</v>
      </c>
      <c r="H28" s="59" t="s">
        <v>26</v>
      </c>
      <c r="I28" s="58">
        <f t="shared" si="3"/>
        <v>9265</v>
      </c>
      <c r="J28" s="14">
        <f t="shared" si="2"/>
        <v>2245.8539999999998</v>
      </c>
    </row>
    <row r="29" spans="1:10" x14ac:dyDescent="0.2">
      <c r="A29" s="56">
        <v>44707</v>
      </c>
      <c r="B29" s="57">
        <v>143629</v>
      </c>
      <c r="C29" s="58">
        <f t="shared" si="0"/>
        <v>6197</v>
      </c>
      <c r="D29" s="57">
        <v>90851</v>
      </c>
      <c r="E29" s="58">
        <f t="shared" si="1"/>
        <v>4075</v>
      </c>
      <c r="F29" s="57">
        <v>503</v>
      </c>
      <c r="G29" s="59">
        <v>21</v>
      </c>
      <c r="H29" s="59" t="s">
        <v>29</v>
      </c>
      <c r="I29" s="58">
        <f t="shared" si="3"/>
        <v>10272</v>
      </c>
      <c r="J29" s="14">
        <f t="shared" si="2"/>
        <v>2506.011</v>
      </c>
    </row>
    <row r="30" spans="1:10" x14ac:dyDescent="0.2">
      <c r="A30" s="56">
        <v>44708</v>
      </c>
      <c r="B30" s="57">
        <v>149826</v>
      </c>
      <c r="C30" s="58">
        <f t="shared" si="0"/>
        <v>6528</v>
      </c>
      <c r="D30" s="57">
        <v>94926</v>
      </c>
      <c r="E30" s="58">
        <f t="shared" si="1"/>
        <v>4276</v>
      </c>
      <c r="F30" s="57">
        <v>503</v>
      </c>
      <c r="G30" s="59">
        <v>64</v>
      </c>
      <c r="H30" s="59" t="s">
        <v>29</v>
      </c>
      <c r="I30" s="58">
        <f t="shared" si="3"/>
        <v>10804</v>
      </c>
      <c r="J30" s="14">
        <f t="shared" si="2"/>
        <v>2636.9159999999997</v>
      </c>
    </row>
    <row r="31" spans="1:10" x14ac:dyDescent="0.2">
      <c r="A31" s="56">
        <v>44709</v>
      </c>
      <c r="B31" s="57">
        <v>156354</v>
      </c>
      <c r="C31" s="58">
        <f t="shared" si="0"/>
        <v>5638</v>
      </c>
      <c r="D31" s="57">
        <v>99202</v>
      </c>
      <c r="E31" s="58">
        <f t="shared" si="1"/>
        <v>3455</v>
      </c>
      <c r="F31" s="57">
        <v>523</v>
      </c>
      <c r="G31" s="59">
        <v>67</v>
      </c>
      <c r="H31" s="59" t="s">
        <v>28</v>
      </c>
      <c r="I31" s="58">
        <f t="shared" si="3"/>
        <v>9093</v>
      </c>
      <c r="J31" s="14">
        <f t="shared" si="2"/>
        <v>2235.279</v>
      </c>
    </row>
    <row r="32" spans="1:10" x14ac:dyDescent="0.2">
      <c r="A32" s="56">
        <v>44710</v>
      </c>
      <c r="B32" s="57">
        <v>161992</v>
      </c>
      <c r="C32" s="58">
        <f t="shared" si="0"/>
        <v>0</v>
      </c>
      <c r="D32" s="57">
        <v>102657</v>
      </c>
      <c r="E32" s="58">
        <f t="shared" si="1"/>
        <v>0</v>
      </c>
      <c r="F32" s="57">
        <v>523</v>
      </c>
      <c r="G32" s="59">
        <v>2825</v>
      </c>
      <c r="H32" s="59" t="s">
        <v>28</v>
      </c>
      <c r="I32" s="58">
        <f t="shared" si="3"/>
        <v>0</v>
      </c>
      <c r="J32" s="14">
        <f t="shared" si="2"/>
        <v>0</v>
      </c>
    </row>
    <row r="33" spans="1:10" x14ac:dyDescent="0.2">
      <c r="A33" s="56">
        <v>44711</v>
      </c>
      <c r="B33" s="57">
        <v>161992</v>
      </c>
      <c r="C33" s="58">
        <f t="shared" si="0"/>
        <v>0</v>
      </c>
      <c r="D33" s="57">
        <v>102657</v>
      </c>
      <c r="E33" s="58">
        <f t="shared" si="1"/>
        <v>0</v>
      </c>
      <c r="F33" s="57">
        <v>523</v>
      </c>
      <c r="G33" s="59">
        <v>28</v>
      </c>
      <c r="H33" s="59" t="s">
        <v>28</v>
      </c>
      <c r="I33" s="58">
        <f t="shared" si="3"/>
        <v>0</v>
      </c>
      <c r="J33" s="14">
        <f t="shared" si="2"/>
        <v>0</v>
      </c>
    </row>
    <row r="34" spans="1:10" x14ac:dyDescent="0.2">
      <c r="A34" s="56">
        <v>44712</v>
      </c>
      <c r="B34" s="57">
        <v>0</v>
      </c>
      <c r="C34" s="58">
        <f t="shared" si="0"/>
        <v>0</v>
      </c>
      <c r="D34" s="57">
        <v>1915</v>
      </c>
      <c r="E34" s="58">
        <f t="shared" si="1"/>
        <v>0</v>
      </c>
      <c r="F34" s="57">
        <v>0</v>
      </c>
      <c r="G34" s="59">
        <v>35</v>
      </c>
      <c r="H34" s="59" t="s">
        <v>28</v>
      </c>
      <c r="I34" s="58">
        <f t="shared" si="3"/>
        <v>0</v>
      </c>
      <c r="J34" s="14">
        <f t="shared" si="2"/>
        <v>0</v>
      </c>
    </row>
    <row r="35" spans="1:10" x14ac:dyDescent="0.2">
      <c r="A35" s="56"/>
      <c r="B35" s="61"/>
      <c r="C35" s="58"/>
      <c r="D35" s="57"/>
      <c r="E35" s="58"/>
      <c r="F35" s="57"/>
      <c r="G35" s="59"/>
      <c r="H35" s="59"/>
      <c r="I35" s="58">
        <f t="shared" si="3"/>
        <v>0</v>
      </c>
      <c r="J35" s="14">
        <f t="shared" si="2"/>
        <v>0</v>
      </c>
    </row>
    <row r="36" spans="1:10" x14ac:dyDescent="0.2">
      <c r="A36" s="84"/>
      <c r="B36" s="85"/>
      <c r="C36" s="62">
        <f>SUM(C4:C35)</f>
        <v>155902</v>
      </c>
      <c r="D36" s="62"/>
      <c r="E36" s="62">
        <f>SUM(E4:E35)</f>
        <v>96789</v>
      </c>
      <c r="F36" s="62">
        <f>MAX(F4:F34)</f>
        <v>523</v>
      </c>
      <c r="G36" s="48"/>
      <c r="H36" s="48"/>
      <c r="I36" s="58">
        <f>+E36+C36</f>
        <v>252691</v>
      </c>
      <c r="J36" s="14">
        <f>(C36*0.288)+(E36*0.177)</f>
        <v>62031.428999999996</v>
      </c>
    </row>
    <row r="37" spans="1:10" x14ac:dyDescent="0.2">
      <c r="A37" s="50">
        <f>COUNT(A4:A34)</f>
        <v>31</v>
      </c>
      <c r="G37" s="29"/>
    </row>
    <row r="38" spans="1:10" x14ac:dyDescent="0.2">
      <c r="H38" s="21" t="s">
        <v>33</v>
      </c>
    </row>
    <row r="39" spans="1:10" ht="15.75" x14ac:dyDescent="0.25">
      <c r="A39" s="52" t="s">
        <v>31</v>
      </c>
      <c r="H39" s="21" t="s">
        <v>34</v>
      </c>
    </row>
    <row r="40" spans="1:10" x14ac:dyDescent="0.2">
      <c r="H40" s="21" t="s">
        <v>27</v>
      </c>
    </row>
  </sheetData>
  <mergeCells count="1">
    <mergeCell ref="A36:B36"/>
  </mergeCells>
  <pageMargins left="0.25" right="0.17" top="0.63" bottom="0.57999999999999996" header="0.5" footer="0.5"/>
  <pageSetup paperSize="9" scale="61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38"/>
  <sheetViews>
    <sheetView zoomScale="90" zoomScaleNormal="90" workbookViewId="0">
      <selection activeCell="G4" sqref="G4:G34"/>
    </sheetView>
  </sheetViews>
  <sheetFormatPr defaultRowHeight="12.75" x14ac:dyDescent="0.2"/>
  <cols>
    <col min="1" max="1" width="14" style="4" customWidth="1"/>
    <col min="2" max="2" width="20.28515625" style="1" bestFit="1" customWidth="1"/>
    <col min="3" max="3" width="18.85546875" style="1" bestFit="1" customWidth="1"/>
    <col min="4" max="4" width="25.7109375" style="1" bestFit="1" customWidth="1"/>
    <col min="5" max="5" width="18.85546875" style="1" customWidth="1"/>
    <col min="6" max="6" width="11.28515625" customWidth="1"/>
    <col min="7" max="7" width="19.85546875" customWidth="1"/>
    <col min="8" max="8" width="19.140625" style="1" bestFit="1" customWidth="1"/>
    <col min="9" max="9" width="13.28515625" style="12" customWidth="1"/>
  </cols>
  <sheetData>
    <row r="1" spans="1:9" ht="18" x14ac:dyDescent="0.25">
      <c r="A1" s="5" t="s">
        <v>35</v>
      </c>
    </row>
    <row r="2" spans="1:9" ht="18" x14ac:dyDescent="0.25">
      <c r="A2" s="2"/>
      <c r="B2" s="6" t="s">
        <v>36</v>
      </c>
      <c r="C2" s="6" t="s">
        <v>37</v>
      </c>
      <c r="D2" s="6" t="s">
        <v>38</v>
      </c>
      <c r="E2" s="6" t="s">
        <v>37</v>
      </c>
      <c r="F2" s="6" t="s">
        <v>17</v>
      </c>
      <c r="G2" s="6" t="s">
        <v>18</v>
      </c>
      <c r="H2" s="6" t="s">
        <v>19</v>
      </c>
      <c r="I2" s="13" t="s">
        <v>20</v>
      </c>
    </row>
    <row r="3" spans="1:9" x14ac:dyDescent="0.2">
      <c r="A3" s="3"/>
      <c r="B3" s="6" t="s">
        <v>39</v>
      </c>
      <c r="C3" s="6" t="s">
        <v>39</v>
      </c>
      <c r="D3" s="6" t="s">
        <v>39</v>
      </c>
      <c r="E3" s="6" t="s">
        <v>39</v>
      </c>
      <c r="F3" s="6" t="s">
        <v>23</v>
      </c>
      <c r="G3" s="10"/>
      <c r="H3" s="6" t="s">
        <v>39</v>
      </c>
      <c r="I3" s="13" t="s">
        <v>25</v>
      </c>
    </row>
    <row r="4" spans="1:9" x14ac:dyDescent="0.2">
      <c r="A4" s="56">
        <v>44682</v>
      </c>
      <c r="B4" s="9">
        <v>305280</v>
      </c>
      <c r="C4" s="7">
        <f t="shared" ref="C4:C7" si="0">IF(B5-B4&lt;0,0,B5-B4)</f>
        <v>1025</v>
      </c>
      <c r="D4" s="9">
        <v>3042</v>
      </c>
      <c r="E4" s="7">
        <f t="shared" ref="E4:E6" si="1">IF(D5-D4&lt;0,0,D5-D4)</f>
        <v>1</v>
      </c>
      <c r="F4" s="59">
        <v>88</v>
      </c>
      <c r="G4" s="59" t="s">
        <v>26</v>
      </c>
      <c r="H4" s="7">
        <f>+E4+C4</f>
        <v>1026</v>
      </c>
      <c r="I4" s="14">
        <f>(C4*1.35)+(E4*1.35)</f>
        <v>1385.1</v>
      </c>
    </row>
    <row r="5" spans="1:9" x14ac:dyDescent="0.2">
      <c r="A5" s="56">
        <v>44683</v>
      </c>
      <c r="B5" s="9">
        <v>306305</v>
      </c>
      <c r="C5" s="7">
        <f t="shared" si="0"/>
        <v>988</v>
      </c>
      <c r="D5" s="9">
        <v>3043</v>
      </c>
      <c r="E5" s="7">
        <f t="shared" si="1"/>
        <v>1</v>
      </c>
      <c r="F5" s="59">
        <v>88</v>
      </c>
      <c r="G5" s="59" t="s">
        <v>26</v>
      </c>
      <c r="H5" s="7">
        <f t="shared" ref="H5:H34" si="2">+E5+C5</f>
        <v>989</v>
      </c>
      <c r="I5" s="14">
        <f t="shared" ref="I5:I34" si="3">(C5*1.35)+(E5*1.35)</f>
        <v>1335.15</v>
      </c>
    </row>
    <row r="6" spans="1:9" x14ac:dyDescent="0.2">
      <c r="A6" s="56">
        <v>44684</v>
      </c>
      <c r="B6" s="9">
        <v>307293</v>
      </c>
      <c r="C6" s="7">
        <f t="shared" si="0"/>
        <v>971</v>
      </c>
      <c r="D6" s="9">
        <v>3044</v>
      </c>
      <c r="E6" s="7">
        <f t="shared" si="1"/>
        <v>0</v>
      </c>
      <c r="F6" s="59">
        <v>72</v>
      </c>
      <c r="G6" s="59" t="s">
        <v>26</v>
      </c>
      <c r="H6" s="7">
        <f t="shared" si="2"/>
        <v>971</v>
      </c>
      <c r="I6" s="14">
        <f>(C6*1.35)+(E6*1.35)</f>
        <v>1310.8500000000001</v>
      </c>
    </row>
    <row r="7" spans="1:9" x14ac:dyDescent="0.2">
      <c r="A7" s="56">
        <v>44685</v>
      </c>
      <c r="B7" s="9">
        <v>308264</v>
      </c>
      <c r="C7" s="7">
        <f t="shared" si="0"/>
        <v>1207</v>
      </c>
      <c r="D7" s="9">
        <v>3044</v>
      </c>
      <c r="E7" s="7">
        <f>IF(D8-D7&lt;0,0,D8-D7)</f>
        <v>1</v>
      </c>
      <c r="F7" s="59">
        <v>68</v>
      </c>
      <c r="G7" s="59" t="s">
        <v>27</v>
      </c>
      <c r="H7" s="7">
        <f t="shared" si="2"/>
        <v>1208</v>
      </c>
      <c r="I7" s="14">
        <f t="shared" si="3"/>
        <v>1630.8</v>
      </c>
    </row>
    <row r="8" spans="1:9" x14ac:dyDescent="0.2">
      <c r="A8" s="56">
        <v>44686</v>
      </c>
      <c r="B8" s="9">
        <v>309471</v>
      </c>
      <c r="C8" s="7">
        <f>IF(B9-B8&lt;0,0,B9-B8)</f>
        <v>1000</v>
      </c>
      <c r="D8" s="9">
        <v>3045</v>
      </c>
      <c r="E8" s="7">
        <f>IF(D9-D8&lt;0,0,D9-D8)</f>
        <v>1</v>
      </c>
      <c r="F8" s="59">
        <v>84</v>
      </c>
      <c r="G8" s="59" t="s">
        <v>28</v>
      </c>
      <c r="H8" s="7">
        <f t="shared" si="2"/>
        <v>1001</v>
      </c>
      <c r="I8" s="14">
        <f t="shared" si="3"/>
        <v>1351.35</v>
      </c>
    </row>
    <row r="9" spans="1:9" x14ac:dyDescent="0.2">
      <c r="A9" s="56">
        <v>44687</v>
      </c>
      <c r="B9" s="9">
        <v>310471</v>
      </c>
      <c r="C9" s="7">
        <f t="shared" ref="C9:C34" si="4">IF(B10-B9&lt;0,0,B10-B9)</f>
        <v>973</v>
      </c>
      <c r="D9" s="9">
        <v>3046</v>
      </c>
      <c r="E9" s="7">
        <f t="shared" ref="E9:E34" si="5">IF(D10-D9&lt;0,0,D10-D9)</f>
        <v>1</v>
      </c>
      <c r="F9" s="59">
        <v>74</v>
      </c>
      <c r="G9" s="59" t="s">
        <v>28</v>
      </c>
      <c r="H9" s="7">
        <f t="shared" si="2"/>
        <v>974</v>
      </c>
      <c r="I9" s="14">
        <f t="shared" si="3"/>
        <v>1314.9</v>
      </c>
    </row>
    <row r="10" spans="1:9" x14ac:dyDescent="0.2">
      <c r="A10" s="56">
        <v>44688</v>
      </c>
      <c r="B10" s="9">
        <v>311444</v>
      </c>
      <c r="C10" s="7">
        <f t="shared" si="4"/>
        <v>998</v>
      </c>
      <c r="D10" s="9">
        <v>3047</v>
      </c>
      <c r="E10" s="7">
        <f t="shared" si="5"/>
        <v>1</v>
      </c>
      <c r="F10" s="60">
        <v>53</v>
      </c>
      <c r="G10" s="59" t="s">
        <v>28</v>
      </c>
      <c r="H10" s="7">
        <f t="shared" si="2"/>
        <v>999</v>
      </c>
      <c r="I10" s="14">
        <f t="shared" si="3"/>
        <v>1348.65</v>
      </c>
    </row>
    <row r="11" spans="1:9" x14ac:dyDescent="0.2">
      <c r="A11" s="56">
        <v>44689</v>
      </c>
      <c r="B11" s="9">
        <v>312442</v>
      </c>
      <c r="C11" s="7">
        <f t="shared" si="4"/>
        <v>994</v>
      </c>
      <c r="D11" s="9">
        <v>3048</v>
      </c>
      <c r="E11" s="7">
        <f t="shared" si="5"/>
        <v>10</v>
      </c>
      <c r="F11" s="59">
        <v>43</v>
      </c>
      <c r="G11" s="59" t="s">
        <v>28</v>
      </c>
      <c r="H11" s="7">
        <f t="shared" si="2"/>
        <v>1004</v>
      </c>
      <c r="I11" s="14">
        <f t="shared" si="3"/>
        <v>1355.4</v>
      </c>
    </row>
    <row r="12" spans="1:9" x14ac:dyDescent="0.2">
      <c r="A12" s="56">
        <v>44690</v>
      </c>
      <c r="B12" s="9">
        <v>313436</v>
      </c>
      <c r="C12" s="7">
        <f t="shared" si="4"/>
        <v>1146</v>
      </c>
      <c r="D12" s="9">
        <v>3058</v>
      </c>
      <c r="E12" s="7">
        <f t="shared" si="5"/>
        <v>1</v>
      </c>
      <c r="F12" s="59">
        <v>37</v>
      </c>
      <c r="G12" s="59" t="s">
        <v>28</v>
      </c>
      <c r="H12" s="7">
        <f t="shared" si="2"/>
        <v>1147</v>
      </c>
      <c r="I12" s="14">
        <f t="shared" si="3"/>
        <v>1548.45</v>
      </c>
    </row>
    <row r="13" spans="1:9" x14ac:dyDescent="0.2">
      <c r="A13" s="56">
        <v>44691</v>
      </c>
      <c r="B13" s="9">
        <v>314582</v>
      </c>
      <c r="C13" s="7">
        <f t="shared" si="4"/>
        <v>976</v>
      </c>
      <c r="D13" s="9">
        <v>3059</v>
      </c>
      <c r="E13" s="7">
        <f t="shared" si="5"/>
        <v>2</v>
      </c>
      <c r="F13" s="59">
        <v>32</v>
      </c>
      <c r="G13" s="59" t="s">
        <v>28</v>
      </c>
      <c r="H13" s="7">
        <f t="shared" si="2"/>
        <v>978</v>
      </c>
      <c r="I13" s="14">
        <f t="shared" si="3"/>
        <v>1320.3000000000002</v>
      </c>
    </row>
    <row r="14" spans="1:9" x14ac:dyDescent="0.2">
      <c r="A14" s="56">
        <v>44692</v>
      </c>
      <c r="B14" s="9">
        <v>315558</v>
      </c>
      <c r="C14" s="7">
        <f t="shared" si="4"/>
        <v>970</v>
      </c>
      <c r="D14" s="9">
        <v>3061</v>
      </c>
      <c r="E14" s="7">
        <f t="shared" si="5"/>
        <v>3</v>
      </c>
      <c r="F14" s="59">
        <v>32</v>
      </c>
      <c r="G14" s="59" t="s">
        <v>29</v>
      </c>
      <c r="H14" s="7">
        <f t="shared" si="2"/>
        <v>973</v>
      </c>
      <c r="I14" s="14">
        <f t="shared" si="3"/>
        <v>1313.55</v>
      </c>
    </row>
    <row r="15" spans="1:9" x14ac:dyDescent="0.2">
      <c r="A15" s="56">
        <v>44693</v>
      </c>
      <c r="B15" s="9">
        <v>316528</v>
      </c>
      <c r="C15" s="7">
        <f t="shared" si="4"/>
        <v>948</v>
      </c>
      <c r="D15" s="9">
        <v>3064</v>
      </c>
      <c r="E15" s="7">
        <f t="shared" si="5"/>
        <v>2</v>
      </c>
      <c r="F15" s="59">
        <v>43</v>
      </c>
      <c r="G15" s="59" t="s">
        <v>29</v>
      </c>
      <c r="H15" s="7">
        <f t="shared" si="2"/>
        <v>950</v>
      </c>
      <c r="I15" s="14">
        <f t="shared" si="3"/>
        <v>1282.5000000000002</v>
      </c>
    </row>
    <row r="16" spans="1:9" x14ac:dyDescent="0.2">
      <c r="A16" s="56">
        <v>44694</v>
      </c>
      <c r="B16" s="9">
        <v>317476</v>
      </c>
      <c r="C16" s="7">
        <f t="shared" si="4"/>
        <v>1070</v>
      </c>
      <c r="D16" s="9">
        <v>3066</v>
      </c>
      <c r="E16" s="7">
        <f t="shared" si="5"/>
        <v>1</v>
      </c>
      <c r="F16" s="59">
        <v>61</v>
      </c>
      <c r="G16" s="59" t="s">
        <v>28</v>
      </c>
      <c r="H16" s="7">
        <f t="shared" si="2"/>
        <v>1071</v>
      </c>
      <c r="I16" s="14">
        <f t="shared" si="3"/>
        <v>1445.85</v>
      </c>
    </row>
    <row r="17" spans="1:11" x14ac:dyDescent="0.2">
      <c r="A17" s="56">
        <v>44695</v>
      </c>
      <c r="B17" s="9">
        <v>318546</v>
      </c>
      <c r="C17" s="7">
        <f t="shared" si="4"/>
        <v>1028</v>
      </c>
      <c r="D17" s="9">
        <v>3067</v>
      </c>
      <c r="E17" s="7">
        <f t="shared" si="5"/>
        <v>11</v>
      </c>
      <c r="F17" s="59">
        <v>82</v>
      </c>
      <c r="G17" s="59" t="s">
        <v>28</v>
      </c>
      <c r="H17" s="7">
        <f t="shared" si="2"/>
        <v>1039</v>
      </c>
      <c r="I17" s="14">
        <f t="shared" si="3"/>
        <v>1402.65</v>
      </c>
    </row>
    <row r="18" spans="1:11" x14ac:dyDescent="0.2">
      <c r="A18" s="56">
        <v>44696</v>
      </c>
      <c r="B18" s="9">
        <v>319574</v>
      </c>
      <c r="C18" s="7">
        <f t="shared" si="4"/>
        <v>862</v>
      </c>
      <c r="D18" s="9">
        <v>3078</v>
      </c>
      <c r="E18" s="7">
        <f t="shared" si="5"/>
        <v>21</v>
      </c>
      <c r="F18" s="59">
        <v>79</v>
      </c>
      <c r="G18" s="59" t="s">
        <v>29</v>
      </c>
      <c r="H18" s="7">
        <f t="shared" si="2"/>
        <v>883</v>
      </c>
      <c r="I18" s="14">
        <f t="shared" si="3"/>
        <v>1192.05</v>
      </c>
      <c r="K18" t="s">
        <v>40</v>
      </c>
    </row>
    <row r="19" spans="1:11" x14ac:dyDescent="0.2">
      <c r="A19" s="56">
        <v>44697</v>
      </c>
      <c r="B19" s="9">
        <v>320436</v>
      </c>
      <c r="C19" s="7">
        <f t="shared" si="4"/>
        <v>888</v>
      </c>
      <c r="D19" s="9">
        <v>3099</v>
      </c>
      <c r="E19" s="7">
        <f t="shared" si="5"/>
        <v>2</v>
      </c>
      <c r="F19" s="59">
        <v>43</v>
      </c>
      <c r="G19" s="59" t="s">
        <v>26</v>
      </c>
      <c r="H19" s="7">
        <f t="shared" si="2"/>
        <v>890</v>
      </c>
      <c r="I19" s="14">
        <f t="shared" si="3"/>
        <v>1201.5000000000002</v>
      </c>
    </row>
    <row r="20" spans="1:11" x14ac:dyDescent="0.2">
      <c r="A20" s="56">
        <v>44698</v>
      </c>
      <c r="B20" s="9">
        <v>321324</v>
      </c>
      <c r="C20" s="7">
        <f t="shared" si="4"/>
        <v>920</v>
      </c>
      <c r="D20" s="9">
        <v>3101</v>
      </c>
      <c r="E20" s="7">
        <f t="shared" si="5"/>
        <v>1</v>
      </c>
      <c r="F20" s="59">
        <v>32</v>
      </c>
      <c r="G20" s="59" t="s">
        <v>26</v>
      </c>
      <c r="H20" s="7">
        <f t="shared" si="2"/>
        <v>921</v>
      </c>
      <c r="I20" s="14">
        <f t="shared" si="3"/>
        <v>1243.3499999999999</v>
      </c>
    </row>
    <row r="21" spans="1:11" x14ac:dyDescent="0.2">
      <c r="A21" s="56">
        <v>44699</v>
      </c>
      <c r="B21" s="9">
        <v>322244</v>
      </c>
      <c r="C21" s="7">
        <f t="shared" si="4"/>
        <v>924</v>
      </c>
      <c r="D21" s="9">
        <v>3102</v>
      </c>
      <c r="E21" s="7">
        <f t="shared" si="5"/>
        <v>25</v>
      </c>
      <c r="F21" s="59">
        <v>37</v>
      </c>
      <c r="G21" s="59" t="s">
        <v>29</v>
      </c>
      <c r="H21" s="7">
        <f t="shared" si="2"/>
        <v>949</v>
      </c>
      <c r="I21" s="14">
        <f t="shared" si="3"/>
        <v>1281.1500000000001</v>
      </c>
    </row>
    <row r="22" spans="1:11" x14ac:dyDescent="0.2">
      <c r="A22" s="56">
        <v>44700</v>
      </c>
      <c r="B22" s="9">
        <v>323168</v>
      </c>
      <c r="C22" s="7">
        <f t="shared" si="4"/>
        <v>946</v>
      </c>
      <c r="D22" s="9">
        <v>3127</v>
      </c>
      <c r="E22" s="7">
        <f t="shared" si="5"/>
        <v>13</v>
      </c>
      <c r="F22" s="59">
        <v>40</v>
      </c>
      <c r="G22" s="59" t="s">
        <v>29</v>
      </c>
      <c r="H22" s="7">
        <f t="shared" si="2"/>
        <v>959</v>
      </c>
      <c r="I22" s="14">
        <f t="shared" si="3"/>
        <v>1294.6500000000001</v>
      </c>
    </row>
    <row r="23" spans="1:11" x14ac:dyDescent="0.2">
      <c r="A23" s="56">
        <v>44701</v>
      </c>
      <c r="B23" s="9">
        <v>324114</v>
      </c>
      <c r="C23" s="7">
        <f t="shared" si="4"/>
        <v>966</v>
      </c>
      <c r="D23" s="9">
        <v>3140</v>
      </c>
      <c r="E23" s="7">
        <f t="shared" si="5"/>
        <v>10</v>
      </c>
      <c r="F23" s="59">
        <v>48</v>
      </c>
      <c r="G23" s="59" t="s">
        <v>29</v>
      </c>
      <c r="H23" s="7">
        <f t="shared" si="2"/>
        <v>976</v>
      </c>
      <c r="I23" s="14">
        <f t="shared" si="3"/>
        <v>1317.6000000000001</v>
      </c>
    </row>
    <row r="24" spans="1:11" x14ac:dyDescent="0.2">
      <c r="A24" s="56">
        <v>44702</v>
      </c>
      <c r="B24" s="9">
        <v>325080</v>
      </c>
      <c r="C24" s="7">
        <f t="shared" si="4"/>
        <v>922</v>
      </c>
      <c r="D24" s="9">
        <v>3150</v>
      </c>
      <c r="E24" s="7">
        <f t="shared" si="5"/>
        <v>8</v>
      </c>
      <c r="F24" s="59">
        <v>42</v>
      </c>
      <c r="G24" s="59" t="s">
        <v>29</v>
      </c>
      <c r="H24" s="7">
        <f t="shared" si="2"/>
        <v>930</v>
      </c>
      <c r="I24" s="14">
        <f t="shared" si="3"/>
        <v>1255.5</v>
      </c>
    </row>
    <row r="25" spans="1:11" x14ac:dyDescent="0.2">
      <c r="A25" s="56">
        <v>44703</v>
      </c>
      <c r="B25" s="9">
        <v>326002</v>
      </c>
      <c r="C25" s="7">
        <f t="shared" si="4"/>
        <v>932</v>
      </c>
      <c r="D25" s="9">
        <v>3158</v>
      </c>
      <c r="E25" s="7">
        <f t="shared" si="5"/>
        <v>1</v>
      </c>
      <c r="F25" s="59">
        <v>25</v>
      </c>
      <c r="G25" s="59" t="s">
        <v>29</v>
      </c>
      <c r="H25" s="7">
        <f t="shared" si="2"/>
        <v>933</v>
      </c>
      <c r="I25" s="14">
        <f t="shared" si="3"/>
        <v>1259.55</v>
      </c>
    </row>
    <row r="26" spans="1:11" x14ac:dyDescent="0.2">
      <c r="A26" s="56">
        <v>44704</v>
      </c>
      <c r="B26" s="9">
        <v>326934</v>
      </c>
      <c r="C26" s="7">
        <f t="shared" si="4"/>
        <v>913</v>
      </c>
      <c r="D26" s="9">
        <v>3159</v>
      </c>
      <c r="E26" s="7">
        <f t="shared" si="5"/>
        <v>5</v>
      </c>
      <c r="F26" s="59">
        <v>18</v>
      </c>
      <c r="G26" s="59" t="s">
        <v>29</v>
      </c>
      <c r="H26" s="7">
        <f t="shared" si="2"/>
        <v>918</v>
      </c>
      <c r="I26" s="14">
        <f t="shared" si="3"/>
        <v>1239.3000000000002</v>
      </c>
    </row>
    <row r="27" spans="1:11" x14ac:dyDescent="0.2">
      <c r="A27" s="56">
        <v>44705</v>
      </c>
      <c r="B27" s="9">
        <v>327847</v>
      </c>
      <c r="C27" s="7">
        <f t="shared" si="4"/>
        <v>922</v>
      </c>
      <c r="D27" s="9">
        <v>3164</v>
      </c>
      <c r="E27" s="7">
        <f t="shared" si="5"/>
        <v>21</v>
      </c>
      <c r="F27" s="59">
        <v>17</v>
      </c>
      <c r="G27" s="59" t="s">
        <v>26</v>
      </c>
      <c r="H27" s="7">
        <f t="shared" si="2"/>
        <v>943</v>
      </c>
      <c r="I27" s="14">
        <f t="shared" si="3"/>
        <v>1273.05</v>
      </c>
    </row>
    <row r="28" spans="1:11" x14ac:dyDescent="0.2">
      <c r="A28" s="56">
        <v>44706</v>
      </c>
      <c r="B28" s="9">
        <v>328769</v>
      </c>
      <c r="C28" s="7">
        <f t="shared" si="4"/>
        <v>919</v>
      </c>
      <c r="D28" s="9">
        <v>3185</v>
      </c>
      <c r="E28" s="7">
        <f t="shared" si="5"/>
        <v>30</v>
      </c>
      <c r="F28" s="59">
        <v>19</v>
      </c>
      <c r="G28" s="59" t="s">
        <v>26</v>
      </c>
      <c r="H28" s="7">
        <f t="shared" si="2"/>
        <v>949</v>
      </c>
      <c r="I28" s="14">
        <f t="shared" si="3"/>
        <v>1281.1500000000001</v>
      </c>
    </row>
    <row r="29" spans="1:11" x14ac:dyDescent="0.2">
      <c r="A29" s="56">
        <v>44707</v>
      </c>
      <c r="B29" s="9">
        <v>329688</v>
      </c>
      <c r="C29" s="7">
        <f t="shared" si="4"/>
        <v>933</v>
      </c>
      <c r="D29" s="9">
        <v>3215</v>
      </c>
      <c r="E29" s="7">
        <f t="shared" si="5"/>
        <v>5</v>
      </c>
      <c r="F29" s="59">
        <v>21</v>
      </c>
      <c r="G29" s="59" t="s">
        <v>29</v>
      </c>
      <c r="H29" s="7">
        <f t="shared" si="2"/>
        <v>938</v>
      </c>
      <c r="I29" s="14">
        <f t="shared" si="3"/>
        <v>1266.3000000000002</v>
      </c>
    </row>
    <row r="30" spans="1:11" x14ac:dyDescent="0.2">
      <c r="A30" s="56">
        <v>44708</v>
      </c>
      <c r="B30" s="9">
        <v>330621</v>
      </c>
      <c r="C30" s="7">
        <f t="shared" si="4"/>
        <v>1003</v>
      </c>
      <c r="D30" s="9">
        <v>3220</v>
      </c>
      <c r="E30" s="7">
        <f t="shared" si="5"/>
        <v>0</v>
      </c>
      <c r="F30" s="59">
        <v>64</v>
      </c>
      <c r="G30" s="59" t="s">
        <v>29</v>
      </c>
      <c r="H30" s="7">
        <f t="shared" si="2"/>
        <v>1003</v>
      </c>
      <c r="I30" s="14">
        <f t="shared" si="3"/>
        <v>1354.0500000000002</v>
      </c>
    </row>
    <row r="31" spans="1:11" x14ac:dyDescent="0.2">
      <c r="A31" s="56">
        <v>44709</v>
      </c>
      <c r="B31" s="9">
        <v>331624</v>
      </c>
      <c r="C31" s="7">
        <f t="shared" si="4"/>
        <v>990</v>
      </c>
      <c r="D31" s="9">
        <v>3220</v>
      </c>
      <c r="E31" s="7">
        <f t="shared" si="5"/>
        <v>0</v>
      </c>
      <c r="F31" s="59">
        <v>67</v>
      </c>
      <c r="G31" s="59" t="s">
        <v>28</v>
      </c>
      <c r="H31" s="7">
        <f t="shared" si="2"/>
        <v>990</v>
      </c>
      <c r="I31" s="14">
        <f t="shared" si="3"/>
        <v>1336.5</v>
      </c>
    </row>
    <row r="32" spans="1:11" x14ac:dyDescent="0.2">
      <c r="A32" s="56">
        <v>44710</v>
      </c>
      <c r="B32" s="9">
        <v>332614</v>
      </c>
      <c r="C32" s="7">
        <f t="shared" si="4"/>
        <v>1000</v>
      </c>
      <c r="D32" s="9">
        <v>3220</v>
      </c>
      <c r="E32" s="7">
        <f t="shared" si="5"/>
        <v>1</v>
      </c>
      <c r="F32" s="59">
        <v>2825</v>
      </c>
      <c r="G32" s="59" t="s">
        <v>28</v>
      </c>
      <c r="H32" s="7">
        <f t="shared" si="2"/>
        <v>1001</v>
      </c>
      <c r="I32" s="14">
        <f t="shared" si="3"/>
        <v>1351.35</v>
      </c>
    </row>
    <row r="33" spans="1:9" x14ac:dyDescent="0.2">
      <c r="A33" s="56">
        <v>44711</v>
      </c>
      <c r="B33" s="9">
        <v>333614</v>
      </c>
      <c r="C33" s="7">
        <f t="shared" si="4"/>
        <v>1119</v>
      </c>
      <c r="D33" s="9">
        <v>3221</v>
      </c>
      <c r="E33" s="7">
        <f t="shared" si="5"/>
        <v>1</v>
      </c>
      <c r="F33" s="59">
        <v>28</v>
      </c>
      <c r="G33" s="59" t="s">
        <v>28</v>
      </c>
      <c r="H33" s="7">
        <f t="shared" si="2"/>
        <v>1120</v>
      </c>
      <c r="I33" s="14">
        <f t="shared" si="3"/>
        <v>1512</v>
      </c>
    </row>
    <row r="34" spans="1:9" x14ac:dyDescent="0.2">
      <c r="A34" s="56">
        <v>44712</v>
      </c>
      <c r="B34" s="9">
        <v>334733</v>
      </c>
      <c r="C34" s="7">
        <f t="shared" si="4"/>
        <v>0</v>
      </c>
      <c r="D34" s="9">
        <v>3222</v>
      </c>
      <c r="E34" s="7">
        <f t="shared" si="5"/>
        <v>0</v>
      </c>
      <c r="F34" s="59">
        <v>35</v>
      </c>
      <c r="G34" s="59" t="s">
        <v>28</v>
      </c>
      <c r="H34" s="7">
        <f t="shared" si="2"/>
        <v>0</v>
      </c>
      <c r="I34" s="14">
        <f t="shared" si="3"/>
        <v>0</v>
      </c>
    </row>
    <row r="35" spans="1:9" x14ac:dyDescent="0.2">
      <c r="A35" s="86"/>
      <c r="B35" s="87"/>
      <c r="C35" s="8">
        <f>SUM(C4:C34)</f>
        <v>29453</v>
      </c>
      <c r="D35" s="8"/>
      <c r="E35" s="8">
        <f>SUM(E4:E34)</f>
        <v>180</v>
      </c>
      <c r="F35" s="10"/>
      <c r="G35" s="10"/>
      <c r="H35" s="7">
        <f>SUM(H4:H34)</f>
        <v>29633</v>
      </c>
      <c r="I35" s="14">
        <f>SUM(I4:I34)</f>
        <v>40004.550000000003</v>
      </c>
    </row>
    <row r="36" spans="1:9" x14ac:dyDescent="0.2">
      <c r="A36" s="15"/>
      <c r="F36" s="1"/>
    </row>
    <row r="38" spans="1:9" ht="15.75" x14ac:dyDescent="0.25">
      <c r="A38" s="11" t="s">
        <v>31</v>
      </c>
    </row>
  </sheetData>
  <mergeCells count="1">
    <mergeCell ref="A35:B35"/>
  </mergeCells>
  <phoneticPr fontId="4" type="noConversion"/>
  <printOptions horizontalCentered="1" verticalCentered="1"/>
  <pageMargins left="0.21" right="0.21" top="0.57999999999999996" bottom="0.69" header="0.5" footer="0.5"/>
  <pageSetup paperSize="9" scale="77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39"/>
  <sheetViews>
    <sheetView tabSelected="1" zoomScale="85" workbookViewId="0">
      <selection activeCell="L19" sqref="L19"/>
    </sheetView>
  </sheetViews>
  <sheetFormatPr defaultRowHeight="12.75" x14ac:dyDescent="0.2"/>
  <cols>
    <col min="1" max="1" width="14" style="50" customWidth="1"/>
    <col min="2" max="2" width="12.140625" style="29" customWidth="1"/>
    <col min="3" max="3" width="12.5703125" style="29" customWidth="1"/>
    <col min="4" max="4" width="12.5703125" style="21" customWidth="1"/>
    <col min="5" max="5" width="9.42578125" style="12" customWidth="1"/>
    <col min="6" max="6" width="17.140625" style="30" bestFit="1" customWidth="1"/>
    <col min="7" max="7" width="16.7109375" style="30" customWidth="1"/>
    <col min="8" max="8" width="13.7109375" style="30" customWidth="1"/>
    <col min="9" max="9" width="10" style="30" customWidth="1"/>
    <col min="10" max="10" width="9" style="30" customWidth="1"/>
    <col min="11" max="255" width="9.140625" style="21"/>
    <col min="256" max="256" width="14" style="21" customWidth="1"/>
    <col min="257" max="257" width="12.140625" style="21" customWidth="1"/>
    <col min="258" max="259" width="12.5703125" style="21" customWidth="1"/>
    <col min="260" max="260" width="9.42578125" style="21" customWidth="1"/>
    <col min="261" max="261" width="17.140625" style="21" bestFit="1" customWidth="1"/>
    <col min="262" max="262" width="16.7109375" style="21" customWidth="1"/>
    <col min="263" max="263" width="13.7109375" style="21" customWidth="1"/>
    <col min="264" max="264" width="10" style="21" customWidth="1"/>
    <col min="265" max="265" width="9" style="21" customWidth="1"/>
    <col min="266" max="266" width="9.140625" style="21" customWidth="1"/>
    <col min="267" max="511" width="9.140625" style="21"/>
    <col min="512" max="512" width="14" style="21" customWidth="1"/>
    <col min="513" max="513" width="12.140625" style="21" customWidth="1"/>
    <col min="514" max="515" width="12.5703125" style="21" customWidth="1"/>
    <col min="516" max="516" width="9.42578125" style="21" customWidth="1"/>
    <col min="517" max="517" width="17.140625" style="21" bestFit="1" customWidth="1"/>
    <col min="518" max="518" width="16.7109375" style="21" customWidth="1"/>
    <col min="519" max="519" width="13.7109375" style="21" customWidth="1"/>
    <col min="520" max="520" width="10" style="21" customWidth="1"/>
    <col min="521" max="521" width="9" style="21" customWidth="1"/>
    <col min="522" max="522" width="9.140625" style="21" customWidth="1"/>
    <col min="523" max="767" width="9.140625" style="21"/>
    <col min="768" max="768" width="14" style="21" customWidth="1"/>
    <col min="769" max="769" width="12.140625" style="21" customWidth="1"/>
    <col min="770" max="771" width="12.5703125" style="21" customWidth="1"/>
    <col min="772" max="772" width="9.42578125" style="21" customWidth="1"/>
    <col min="773" max="773" width="17.140625" style="21" bestFit="1" customWidth="1"/>
    <col min="774" max="774" width="16.7109375" style="21" customWidth="1"/>
    <col min="775" max="775" width="13.7109375" style="21" customWidth="1"/>
    <col min="776" max="776" width="10" style="21" customWidth="1"/>
    <col min="777" max="777" width="9" style="21" customWidth="1"/>
    <col min="778" max="778" width="9.140625" style="21" customWidth="1"/>
    <col min="779" max="1023" width="9.140625" style="21"/>
    <col min="1024" max="1024" width="14" style="21" customWidth="1"/>
    <col min="1025" max="1025" width="12.140625" style="21" customWidth="1"/>
    <col min="1026" max="1027" width="12.5703125" style="21" customWidth="1"/>
    <col min="1028" max="1028" width="9.42578125" style="21" customWidth="1"/>
    <col min="1029" max="1029" width="17.140625" style="21" bestFit="1" customWidth="1"/>
    <col min="1030" max="1030" width="16.7109375" style="21" customWidth="1"/>
    <col min="1031" max="1031" width="13.7109375" style="21" customWidth="1"/>
    <col min="1032" max="1032" width="10" style="21" customWidth="1"/>
    <col min="1033" max="1033" width="9" style="21" customWidth="1"/>
    <col min="1034" max="1034" width="9.140625" style="21" customWidth="1"/>
    <col min="1035" max="1279" width="9.140625" style="21"/>
    <col min="1280" max="1280" width="14" style="21" customWidth="1"/>
    <col min="1281" max="1281" width="12.140625" style="21" customWidth="1"/>
    <col min="1282" max="1283" width="12.5703125" style="21" customWidth="1"/>
    <col min="1284" max="1284" width="9.42578125" style="21" customWidth="1"/>
    <col min="1285" max="1285" width="17.140625" style="21" bestFit="1" customWidth="1"/>
    <col min="1286" max="1286" width="16.7109375" style="21" customWidth="1"/>
    <col min="1287" max="1287" width="13.7109375" style="21" customWidth="1"/>
    <col min="1288" max="1288" width="10" style="21" customWidth="1"/>
    <col min="1289" max="1289" width="9" style="21" customWidth="1"/>
    <col min="1290" max="1290" width="9.140625" style="21" customWidth="1"/>
    <col min="1291" max="1535" width="9.140625" style="21"/>
    <col min="1536" max="1536" width="14" style="21" customWidth="1"/>
    <col min="1537" max="1537" width="12.140625" style="21" customWidth="1"/>
    <col min="1538" max="1539" width="12.5703125" style="21" customWidth="1"/>
    <col min="1540" max="1540" width="9.42578125" style="21" customWidth="1"/>
    <col min="1541" max="1541" width="17.140625" style="21" bestFit="1" customWidth="1"/>
    <col min="1542" max="1542" width="16.7109375" style="21" customWidth="1"/>
    <col min="1543" max="1543" width="13.7109375" style="21" customWidth="1"/>
    <col min="1544" max="1544" width="10" style="21" customWidth="1"/>
    <col min="1545" max="1545" width="9" style="21" customWidth="1"/>
    <col min="1546" max="1546" width="9.140625" style="21" customWidth="1"/>
    <col min="1547" max="1791" width="9.140625" style="21"/>
    <col min="1792" max="1792" width="14" style="21" customWidth="1"/>
    <col min="1793" max="1793" width="12.140625" style="21" customWidth="1"/>
    <col min="1794" max="1795" width="12.5703125" style="21" customWidth="1"/>
    <col min="1796" max="1796" width="9.42578125" style="21" customWidth="1"/>
    <col min="1797" max="1797" width="17.140625" style="21" bestFit="1" customWidth="1"/>
    <col min="1798" max="1798" width="16.7109375" style="21" customWidth="1"/>
    <col min="1799" max="1799" width="13.7109375" style="21" customWidth="1"/>
    <col min="1800" max="1800" width="10" style="21" customWidth="1"/>
    <col min="1801" max="1801" width="9" style="21" customWidth="1"/>
    <col min="1802" max="1802" width="9.140625" style="21" customWidth="1"/>
    <col min="1803" max="2047" width="9.140625" style="21"/>
    <col min="2048" max="2048" width="14" style="21" customWidth="1"/>
    <col min="2049" max="2049" width="12.140625" style="21" customWidth="1"/>
    <col min="2050" max="2051" width="12.5703125" style="21" customWidth="1"/>
    <col min="2052" max="2052" width="9.42578125" style="21" customWidth="1"/>
    <col min="2053" max="2053" width="17.140625" style="21" bestFit="1" customWidth="1"/>
    <col min="2054" max="2054" width="16.7109375" style="21" customWidth="1"/>
    <col min="2055" max="2055" width="13.7109375" style="21" customWidth="1"/>
    <col min="2056" max="2056" width="10" style="21" customWidth="1"/>
    <col min="2057" max="2057" width="9" style="21" customWidth="1"/>
    <col min="2058" max="2058" width="9.140625" style="21" customWidth="1"/>
    <col min="2059" max="2303" width="9.140625" style="21"/>
    <col min="2304" max="2304" width="14" style="21" customWidth="1"/>
    <col min="2305" max="2305" width="12.140625" style="21" customWidth="1"/>
    <col min="2306" max="2307" width="12.5703125" style="21" customWidth="1"/>
    <col min="2308" max="2308" width="9.42578125" style="21" customWidth="1"/>
    <col min="2309" max="2309" width="17.140625" style="21" bestFit="1" customWidth="1"/>
    <col min="2310" max="2310" width="16.7109375" style="21" customWidth="1"/>
    <col min="2311" max="2311" width="13.7109375" style="21" customWidth="1"/>
    <col min="2312" max="2312" width="10" style="21" customWidth="1"/>
    <col min="2313" max="2313" width="9" style="21" customWidth="1"/>
    <col min="2314" max="2314" width="9.140625" style="21" customWidth="1"/>
    <col min="2315" max="2559" width="9.140625" style="21"/>
    <col min="2560" max="2560" width="14" style="21" customWidth="1"/>
    <col min="2561" max="2561" width="12.140625" style="21" customWidth="1"/>
    <col min="2562" max="2563" width="12.5703125" style="21" customWidth="1"/>
    <col min="2564" max="2564" width="9.42578125" style="21" customWidth="1"/>
    <col min="2565" max="2565" width="17.140625" style="21" bestFit="1" customWidth="1"/>
    <col min="2566" max="2566" width="16.7109375" style="21" customWidth="1"/>
    <col min="2567" max="2567" width="13.7109375" style="21" customWidth="1"/>
    <col min="2568" max="2568" width="10" style="21" customWidth="1"/>
    <col min="2569" max="2569" width="9" style="21" customWidth="1"/>
    <col min="2570" max="2570" width="9.140625" style="21" customWidth="1"/>
    <col min="2571" max="2815" width="9.140625" style="21"/>
    <col min="2816" max="2816" width="14" style="21" customWidth="1"/>
    <col min="2817" max="2817" width="12.140625" style="21" customWidth="1"/>
    <col min="2818" max="2819" width="12.5703125" style="21" customWidth="1"/>
    <col min="2820" max="2820" width="9.42578125" style="21" customWidth="1"/>
    <col min="2821" max="2821" width="17.140625" style="21" bestFit="1" customWidth="1"/>
    <col min="2822" max="2822" width="16.7109375" style="21" customWidth="1"/>
    <col min="2823" max="2823" width="13.7109375" style="21" customWidth="1"/>
    <col min="2824" max="2824" width="10" style="21" customWidth="1"/>
    <col min="2825" max="2825" width="9" style="21" customWidth="1"/>
    <col min="2826" max="2826" width="9.140625" style="21" customWidth="1"/>
    <col min="2827" max="3071" width="9.140625" style="21"/>
    <col min="3072" max="3072" width="14" style="21" customWidth="1"/>
    <col min="3073" max="3073" width="12.140625" style="21" customWidth="1"/>
    <col min="3074" max="3075" width="12.5703125" style="21" customWidth="1"/>
    <col min="3076" max="3076" width="9.42578125" style="21" customWidth="1"/>
    <col min="3077" max="3077" width="17.140625" style="21" bestFit="1" customWidth="1"/>
    <col min="3078" max="3078" width="16.7109375" style="21" customWidth="1"/>
    <col min="3079" max="3079" width="13.7109375" style="21" customWidth="1"/>
    <col min="3080" max="3080" width="10" style="21" customWidth="1"/>
    <col min="3081" max="3081" width="9" style="21" customWidth="1"/>
    <col min="3082" max="3082" width="9.140625" style="21" customWidth="1"/>
    <col min="3083" max="3327" width="9.140625" style="21"/>
    <col min="3328" max="3328" width="14" style="21" customWidth="1"/>
    <col min="3329" max="3329" width="12.140625" style="21" customWidth="1"/>
    <col min="3330" max="3331" width="12.5703125" style="21" customWidth="1"/>
    <col min="3332" max="3332" width="9.42578125" style="21" customWidth="1"/>
    <col min="3333" max="3333" width="17.140625" style="21" bestFit="1" customWidth="1"/>
    <col min="3334" max="3334" width="16.7109375" style="21" customWidth="1"/>
    <col min="3335" max="3335" width="13.7109375" style="21" customWidth="1"/>
    <col min="3336" max="3336" width="10" style="21" customWidth="1"/>
    <col min="3337" max="3337" width="9" style="21" customWidth="1"/>
    <col min="3338" max="3338" width="9.140625" style="21" customWidth="1"/>
    <col min="3339" max="3583" width="9.140625" style="21"/>
    <col min="3584" max="3584" width="14" style="21" customWidth="1"/>
    <col min="3585" max="3585" width="12.140625" style="21" customWidth="1"/>
    <col min="3586" max="3587" width="12.5703125" style="21" customWidth="1"/>
    <col min="3588" max="3588" width="9.42578125" style="21" customWidth="1"/>
    <col min="3589" max="3589" width="17.140625" style="21" bestFit="1" customWidth="1"/>
    <col min="3590" max="3590" width="16.7109375" style="21" customWidth="1"/>
    <col min="3591" max="3591" width="13.7109375" style="21" customWidth="1"/>
    <col min="3592" max="3592" width="10" style="21" customWidth="1"/>
    <col min="3593" max="3593" width="9" style="21" customWidth="1"/>
    <col min="3594" max="3594" width="9.140625" style="21" customWidth="1"/>
    <col min="3595" max="3839" width="9.140625" style="21"/>
    <col min="3840" max="3840" width="14" style="21" customWidth="1"/>
    <col min="3841" max="3841" width="12.140625" style="21" customWidth="1"/>
    <col min="3842" max="3843" width="12.5703125" style="21" customWidth="1"/>
    <col min="3844" max="3844" width="9.42578125" style="21" customWidth="1"/>
    <col min="3845" max="3845" width="17.140625" style="21" bestFit="1" customWidth="1"/>
    <col min="3846" max="3846" width="16.7109375" style="21" customWidth="1"/>
    <col min="3847" max="3847" width="13.7109375" style="21" customWidth="1"/>
    <col min="3848" max="3848" width="10" style="21" customWidth="1"/>
    <col min="3849" max="3849" width="9" style="21" customWidth="1"/>
    <col min="3850" max="3850" width="9.140625" style="21" customWidth="1"/>
    <col min="3851" max="4095" width="9.140625" style="21"/>
    <col min="4096" max="4096" width="14" style="21" customWidth="1"/>
    <col min="4097" max="4097" width="12.140625" style="21" customWidth="1"/>
    <col min="4098" max="4099" width="12.5703125" style="21" customWidth="1"/>
    <col min="4100" max="4100" width="9.42578125" style="21" customWidth="1"/>
    <col min="4101" max="4101" width="17.140625" style="21" bestFit="1" customWidth="1"/>
    <col min="4102" max="4102" width="16.7109375" style="21" customWidth="1"/>
    <col min="4103" max="4103" width="13.7109375" style="21" customWidth="1"/>
    <col min="4104" max="4104" width="10" style="21" customWidth="1"/>
    <col min="4105" max="4105" width="9" style="21" customWidth="1"/>
    <col min="4106" max="4106" width="9.140625" style="21" customWidth="1"/>
    <col min="4107" max="4351" width="9.140625" style="21"/>
    <col min="4352" max="4352" width="14" style="21" customWidth="1"/>
    <col min="4353" max="4353" width="12.140625" style="21" customWidth="1"/>
    <col min="4354" max="4355" width="12.5703125" style="21" customWidth="1"/>
    <col min="4356" max="4356" width="9.42578125" style="21" customWidth="1"/>
    <col min="4357" max="4357" width="17.140625" style="21" bestFit="1" customWidth="1"/>
    <col min="4358" max="4358" width="16.7109375" style="21" customWidth="1"/>
    <col min="4359" max="4359" width="13.7109375" style="21" customWidth="1"/>
    <col min="4360" max="4360" width="10" style="21" customWidth="1"/>
    <col min="4361" max="4361" width="9" style="21" customWidth="1"/>
    <col min="4362" max="4362" width="9.140625" style="21" customWidth="1"/>
    <col min="4363" max="4607" width="9.140625" style="21"/>
    <col min="4608" max="4608" width="14" style="21" customWidth="1"/>
    <col min="4609" max="4609" width="12.140625" style="21" customWidth="1"/>
    <col min="4610" max="4611" width="12.5703125" style="21" customWidth="1"/>
    <col min="4612" max="4612" width="9.42578125" style="21" customWidth="1"/>
    <col min="4613" max="4613" width="17.140625" style="21" bestFit="1" customWidth="1"/>
    <col min="4614" max="4614" width="16.7109375" style="21" customWidth="1"/>
    <col min="4615" max="4615" width="13.7109375" style="21" customWidth="1"/>
    <col min="4616" max="4616" width="10" style="21" customWidth="1"/>
    <col min="4617" max="4617" width="9" style="21" customWidth="1"/>
    <col min="4618" max="4618" width="9.140625" style="21" customWidth="1"/>
    <col min="4619" max="4863" width="9.140625" style="21"/>
    <col min="4864" max="4864" width="14" style="21" customWidth="1"/>
    <col min="4865" max="4865" width="12.140625" style="21" customWidth="1"/>
    <col min="4866" max="4867" width="12.5703125" style="21" customWidth="1"/>
    <col min="4868" max="4868" width="9.42578125" style="21" customWidth="1"/>
    <col min="4869" max="4869" width="17.140625" style="21" bestFit="1" customWidth="1"/>
    <col min="4870" max="4870" width="16.7109375" style="21" customWidth="1"/>
    <col min="4871" max="4871" width="13.7109375" style="21" customWidth="1"/>
    <col min="4872" max="4872" width="10" style="21" customWidth="1"/>
    <col min="4873" max="4873" width="9" style="21" customWidth="1"/>
    <col min="4874" max="4874" width="9.140625" style="21" customWidth="1"/>
    <col min="4875" max="5119" width="9.140625" style="21"/>
    <col min="5120" max="5120" width="14" style="21" customWidth="1"/>
    <col min="5121" max="5121" width="12.140625" style="21" customWidth="1"/>
    <col min="5122" max="5123" width="12.5703125" style="21" customWidth="1"/>
    <col min="5124" max="5124" width="9.42578125" style="21" customWidth="1"/>
    <col min="5125" max="5125" width="17.140625" style="21" bestFit="1" customWidth="1"/>
    <col min="5126" max="5126" width="16.7109375" style="21" customWidth="1"/>
    <col min="5127" max="5127" width="13.7109375" style="21" customWidth="1"/>
    <col min="5128" max="5128" width="10" style="21" customWidth="1"/>
    <col min="5129" max="5129" width="9" style="21" customWidth="1"/>
    <col min="5130" max="5130" width="9.140625" style="21" customWidth="1"/>
    <col min="5131" max="5375" width="9.140625" style="21"/>
    <col min="5376" max="5376" width="14" style="21" customWidth="1"/>
    <col min="5377" max="5377" width="12.140625" style="21" customWidth="1"/>
    <col min="5378" max="5379" width="12.5703125" style="21" customWidth="1"/>
    <col min="5380" max="5380" width="9.42578125" style="21" customWidth="1"/>
    <col min="5381" max="5381" width="17.140625" style="21" bestFit="1" customWidth="1"/>
    <col min="5382" max="5382" width="16.7109375" style="21" customWidth="1"/>
    <col min="5383" max="5383" width="13.7109375" style="21" customWidth="1"/>
    <col min="5384" max="5384" width="10" style="21" customWidth="1"/>
    <col min="5385" max="5385" width="9" style="21" customWidth="1"/>
    <col min="5386" max="5386" width="9.140625" style="21" customWidth="1"/>
    <col min="5387" max="5631" width="9.140625" style="21"/>
    <col min="5632" max="5632" width="14" style="21" customWidth="1"/>
    <col min="5633" max="5633" width="12.140625" style="21" customWidth="1"/>
    <col min="5634" max="5635" width="12.5703125" style="21" customWidth="1"/>
    <col min="5636" max="5636" width="9.42578125" style="21" customWidth="1"/>
    <col min="5637" max="5637" width="17.140625" style="21" bestFit="1" customWidth="1"/>
    <col min="5638" max="5638" width="16.7109375" style="21" customWidth="1"/>
    <col min="5639" max="5639" width="13.7109375" style="21" customWidth="1"/>
    <col min="5640" max="5640" width="10" style="21" customWidth="1"/>
    <col min="5641" max="5641" width="9" style="21" customWidth="1"/>
    <col min="5642" max="5642" width="9.140625" style="21" customWidth="1"/>
    <col min="5643" max="5887" width="9.140625" style="21"/>
    <col min="5888" max="5888" width="14" style="21" customWidth="1"/>
    <col min="5889" max="5889" width="12.140625" style="21" customWidth="1"/>
    <col min="5890" max="5891" width="12.5703125" style="21" customWidth="1"/>
    <col min="5892" max="5892" width="9.42578125" style="21" customWidth="1"/>
    <col min="5893" max="5893" width="17.140625" style="21" bestFit="1" customWidth="1"/>
    <col min="5894" max="5894" width="16.7109375" style="21" customWidth="1"/>
    <col min="5895" max="5895" width="13.7109375" style="21" customWidth="1"/>
    <col min="5896" max="5896" width="10" style="21" customWidth="1"/>
    <col min="5897" max="5897" width="9" style="21" customWidth="1"/>
    <col min="5898" max="5898" width="9.140625" style="21" customWidth="1"/>
    <col min="5899" max="6143" width="9.140625" style="21"/>
    <col min="6144" max="6144" width="14" style="21" customWidth="1"/>
    <col min="6145" max="6145" width="12.140625" style="21" customWidth="1"/>
    <col min="6146" max="6147" width="12.5703125" style="21" customWidth="1"/>
    <col min="6148" max="6148" width="9.42578125" style="21" customWidth="1"/>
    <col min="6149" max="6149" width="17.140625" style="21" bestFit="1" customWidth="1"/>
    <col min="6150" max="6150" width="16.7109375" style="21" customWidth="1"/>
    <col min="6151" max="6151" width="13.7109375" style="21" customWidth="1"/>
    <col min="6152" max="6152" width="10" style="21" customWidth="1"/>
    <col min="6153" max="6153" width="9" style="21" customWidth="1"/>
    <col min="6154" max="6154" width="9.140625" style="21" customWidth="1"/>
    <col min="6155" max="6399" width="9.140625" style="21"/>
    <col min="6400" max="6400" width="14" style="21" customWidth="1"/>
    <col min="6401" max="6401" width="12.140625" style="21" customWidth="1"/>
    <col min="6402" max="6403" width="12.5703125" style="21" customWidth="1"/>
    <col min="6404" max="6404" width="9.42578125" style="21" customWidth="1"/>
    <col min="6405" max="6405" width="17.140625" style="21" bestFit="1" customWidth="1"/>
    <col min="6406" max="6406" width="16.7109375" style="21" customWidth="1"/>
    <col min="6407" max="6407" width="13.7109375" style="21" customWidth="1"/>
    <col min="6408" max="6408" width="10" style="21" customWidth="1"/>
    <col min="6409" max="6409" width="9" style="21" customWidth="1"/>
    <col min="6410" max="6410" width="9.140625" style="21" customWidth="1"/>
    <col min="6411" max="6655" width="9.140625" style="21"/>
    <col min="6656" max="6656" width="14" style="21" customWidth="1"/>
    <col min="6657" max="6657" width="12.140625" style="21" customWidth="1"/>
    <col min="6658" max="6659" width="12.5703125" style="21" customWidth="1"/>
    <col min="6660" max="6660" width="9.42578125" style="21" customWidth="1"/>
    <col min="6661" max="6661" width="17.140625" style="21" bestFit="1" customWidth="1"/>
    <col min="6662" max="6662" width="16.7109375" style="21" customWidth="1"/>
    <col min="6663" max="6663" width="13.7109375" style="21" customWidth="1"/>
    <col min="6664" max="6664" width="10" style="21" customWidth="1"/>
    <col min="6665" max="6665" width="9" style="21" customWidth="1"/>
    <col min="6666" max="6666" width="9.140625" style="21" customWidth="1"/>
    <col min="6667" max="6911" width="9.140625" style="21"/>
    <col min="6912" max="6912" width="14" style="21" customWidth="1"/>
    <col min="6913" max="6913" width="12.140625" style="21" customWidth="1"/>
    <col min="6914" max="6915" width="12.5703125" style="21" customWidth="1"/>
    <col min="6916" max="6916" width="9.42578125" style="21" customWidth="1"/>
    <col min="6917" max="6917" width="17.140625" style="21" bestFit="1" customWidth="1"/>
    <col min="6918" max="6918" width="16.7109375" style="21" customWidth="1"/>
    <col min="6919" max="6919" width="13.7109375" style="21" customWidth="1"/>
    <col min="6920" max="6920" width="10" style="21" customWidth="1"/>
    <col min="6921" max="6921" width="9" style="21" customWidth="1"/>
    <col min="6922" max="6922" width="9.140625" style="21" customWidth="1"/>
    <col min="6923" max="7167" width="9.140625" style="21"/>
    <col min="7168" max="7168" width="14" style="21" customWidth="1"/>
    <col min="7169" max="7169" width="12.140625" style="21" customWidth="1"/>
    <col min="7170" max="7171" width="12.5703125" style="21" customWidth="1"/>
    <col min="7172" max="7172" width="9.42578125" style="21" customWidth="1"/>
    <col min="7173" max="7173" width="17.140625" style="21" bestFit="1" customWidth="1"/>
    <col min="7174" max="7174" width="16.7109375" style="21" customWidth="1"/>
    <col min="7175" max="7175" width="13.7109375" style="21" customWidth="1"/>
    <col min="7176" max="7176" width="10" style="21" customWidth="1"/>
    <col min="7177" max="7177" width="9" style="21" customWidth="1"/>
    <col min="7178" max="7178" width="9.140625" style="21" customWidth="1"/>
    <col min="7179" max="7423" width="9.140625" style="21"/>
    <col min="7424" max="7424" width="14" style="21" customWidth="1"/>
    <col min="7425" max="7425" width="12.140625" style="21" customWidth="1"/>
    <col min="7426" max="7427" width="12.5703125" style="21" customWidth="1"/>
    <col min="7428" max="7428" width="9.42578125" style="21" customWidth="1"/>
    <col min="7429" max="7429" width="17.140625" style="21" bestFit="1" customWidth="1"/>
    <col min="7430" max="7430" width="16.7109375" style="21" customWidth="1"/>
    <col min="7431" max="7431" width="13.7109375" style="21" customWidth="1"/>
    <col min="7432" max="7432" width="10" style="21" customWidth="1"/>
    <col min="7433" max="7433" width="9" style="21" customWidth="1"/>
    <col min="7434" max="7434" width="9.140625" style="21" customWidth="1"/>
    <col min="7435" max="7679" width="9.140625" style="21"/>
    <col min="7680" max="7680" width="14" style="21" customWidth="1"/>
    <col min="7681" max="7681" width="12.140625" style="21" customWidth="1"/>
    <col min="7682" max="7683" width="12.5703125" style="21" customWidth="1"/>
    <col min="7684" max="7684" width="9.42578125" style="21" customWidth="1"/>
    <col min="7685" max="7685" width="17.140625" style="21" bestFit="1" customWidth="1"/>
    <col min="7686" max="7686" width="16.7109375" style="21" customWidth="1"/>
    <col min="7687" max="7687" width="13.7109375" style="21" customWidth="1"/>
    <col min="7688" max="7688" width="10" style="21" customWidth="1"/>
    <col min="7689" max="7689" width="9" style="21" customWidth="1"/>
    <col min="7690" max="7690" width="9.140625" style="21" customWidth="1"/>
    <col min="7691" max="7935" width="9.140625" style="21"/>
    <col min="7936" max="7936" width="14" style="21" customWidth="1"/>
    <col min="7937" max="7937" width="12.140625" style="21" customWidth="1"/>
    <col min="7938" max="7939" width="12.5703125" style="21" customWidth="1"/>
    <col min="7940" max="7940" width="9.42578125" style="21" customWidth="1"/>
    <col min="7941" max="7941" width="17.140625" style="21" bestFit="1" customWidth="1"/>
    <col min="7942" max="7942" width="16.7109375" style="21" customWidth="1"/>
    <col min="7943" max="7943" width="13.7109375" style="21" customWidth="1"/>
    <col min="7944" max="7944" width="10" style="21" customWidth="1"/>
    <col min="7945" max="7945" width="9" style="21" customWidth="1"/>
    <col min="7946" max="7946" width="9.140625" style="21" customWidth="1"/>
    <col min="7947" max="8191" width="9.140625" style="21"/>
    <col min="8192" max="8192" width="14" style="21" customWidth="1"/>
    <col min="8193" max="8193" width="12.140625" style="21" customWidth="1"/>
    <col min="8194" max="8195" width="12.5703125" style="21" customWidth="1"/>
    <col min="8196" max="8196" width="9.42578125" style="21" customWidth="1"/>
    <col min="8197" max="8197" width="17.140625" style="21" bestFit="1" customWidth="1"/>
    <col min="8198" max="8198" width="16.7109375" style="21" customWidth="1"/>
    <col min="8199" max="8199" width="13.7109375" style="21" customWidth="1"/>
    <col min="8200" max="8200" width="10" style="21" customWidth="1"/>
    <col min="8201" max="8201" width="9" style="21" customWidth="1"/>
    <col min="8202" max="8202" width="9.140625" style="21" customWidth="1"/>
    <col min="8203" max="8447" width="9.140625" style="21"/>
    <col min="8448" max="8448" width="14" style="21" customWidth="1"/>
    <col min="8449" max="8449" width="12.140625" style="21" customWidth="1"/>
    <col min="8450" max="8451" width="12.5703125" style="21" customWidth="1"/>
    <col min="8452" max="8452" width="9.42578125" style="21" customWidth="1"/>
    <col min="8453" max="8453" width="17.140625" style="21" bestFit="1" customWidth="1"/>
    <col min="8454" max="8454" width="16.7109375" style="21" customWidth="1"/>
    <col min="8455" max="8455" width="13.7109375" style="21" customWidth="1"/>
    <col min="8456" max="8456" width="10" style="21" customWidth="1"/>
    <col min="8457" max="8457" width="9" style="21" customWidth="1"/>
    <col min="8458" max="8458" width="9.140625" style="21" customWidth="1"/>
    <col min="8459" max="8703" width="9.140625" style="21"/>
    <col min="8704" max="8704" width="14" style="21" customWidth="1"/>
    <col min="8705" max="8705" width="12.140625" style="21" customWidth="1"/>
    <col min="8706" max="8707" width="12.5703125" style="21" customWidth="1"/>
    <col min="8708" max="8708" width="9.42578125" style="21" customWidth="1"/>
    <col min="8709" max="8709" width="17.140625" style="21" bestFit="1" customWidth="1"/>
    <col min="8710" max="8710" width="16.7109375" style="21" customWidth="1"/>
    <col min="8711" max="8711" width="13.7109375" style="21" customWidth="1"/>
    <col min="8712" max="8712" width="10" style="21" customWidth="1"/>
    <col min="8713" max="8713" width="9" style="21" customWidth="1"/>
    <col min="8714" max="8714" width="9.140625" style="21" customWidth="1"/>
    <col min="8715" max="8959" width="9.140625" style="21"/>
    <col min="8960" max="8960" width="14" style="21" customWidth="1"/>
    <col min="8961" max="8961" width="12.140625" style="21" customWidth="1"/>
    <col min="8962" max="8963" width="12.5703125" style="21" customWidth="1"/>
    <col min="8964" max="8964" width="9.42578125" style="21" customWidth="1"/>
    <col min="8965" max="8965" width="17.140625" style="21" bestFit="1" customWidth="1"/>
    <col min="8966" max="8966" width="16.7109375" style="21" customWidth="1"/>
    <col min="8967" max="8967" width="13.7109375" style="21" customWidth="1"/>
    <col min="8968" max="8968" width="10" style="21" customWidth="1"/>
    <col min="8969" max="8969" width="9" style="21" customWidth="1"/>
    <col min="8970" max="8970" width="9.140625" style="21" customWidth="1"/>
    <col min="8971" max="9215" width="9.140625" style="21"/>
    <col min="9216" max="9216" width="14" style="21" customWidth="1"/>
    <col min="9217" max="9217" width="12.140625" style="21" customWidth="1"/>
    <col min="9218" max="9219" width="12.5703125" style="21" customWidth="1"/>
    <col min="9220" max="9220" width="9.42578125" style="21" customWidth="1"/>
    <col min="9221" max="9221" width="17.140625" style="21" bestFit="1" customWidth="1"/>
    <col min="9222" max="9222" width="16.7109375" style="21" customWidth="1"/>
    <col min="9223" max="9223" width="13.7109375" style="21" customWidth="1"/>
    <col min="9224" max="9224" width="10" style="21" customWidth="1"/>
    <col min="9225" max="9225" width="9" style="21" customWidth="1"/>
    <col min="9226" max="9226" width="9.140625" style="21" customWidth="1"/>
    <col min="9227" max="9471" width="9.140625" style="21"/>
    <col min="9472" max="9472" width="14" style="21" customWidth="1"/>
    <col min="9473" max="9473" width="12.140625" style="21" customWidth="1"/>
    <col min="9474" max="9475" width="12.5703125" style="21" customWidth="1"/>
    <col min="9476" max="9476" width="9.42578125" style="21" customWidth="1"/>
    <col min="9477" max="9477" width="17.140625" style="21" bestFit="1" customWidth="1"/>
    <col min="9478" max="9478" width="16.7109375" style="21" customWidth="1"/>
    <col min="9479" max="9479" width="13.7109375" style="21" customWidth="1"/>
    <col min="9480" max="9480" width="10" style="21" customWidth="1"/>
    <col min="9481" max="9481" width="9" style="21" customWidth="1"/>
    <col min="9482" max="9482" width="9.140625" style="21" customWidth="1"/>
    <col min="9483" max="9727" width="9.140625" style="21"/>
    <col min="9728" max="9728" width="14" style="21" customWidth="1"/>
    <col min="9729" max="9729" width="12.140625" style="21" customWidth="1"/>
    <col min="9730" max="9731" width="12.5703125" style="21" customWidth="1"/>
    <col min="9732" max="9732" width="9.42578125" style="21" customWidth="1"/>
    <col min="9733" max="9733" width="17.140625" style="21" bestFit="1" customWidth="1"/>
    <col min="9734" max="9734" width="16.7109375" style="21" customWidth="1"/>
    <col min="9735" max="9735" width="13.7109375" style="21" customWidth="1"/>
    <col min="9736" max="9736" width="10" style="21" customWidth="1"/>
    <col min="9737" max="9737" width="9" style="21" customWidth="1"/>
    <col min="9738" max="9738" width="9.140625" style="21" customWidth="1"/>
    <col min="9739" max="9983" width="9.140625" style="21"/>
    <col min="9984" max="9984" width="14" style="21" customWidth="1"/>
    <col min="9985" max="9985" width="12.140625" style="21" customWidth="1"/>
    <col min="9986" max="9987" width="12.5703125" style="21" customWidth="1"/>
    <col min="9988" max="9988" width="9.42578125" style="21" customWidth="1"/>
    <col min="9989" max="9989" width="17.140625" style="21" bestFit="1" customWidth="1"/>
    <col min="9990" max="9990" width="16.7109375" style="21" customWidth="1"/>
    <col min="9991" max="9991" width="13.7109375" style="21" customWidth="1"/>
    <col min="9992" max="9992" width="10" style="21" customWidth="1"/>
    <col min="9993" max="9993" width="9" style="21" customWidth="1"/>
    <col min="9994" max="9994" width="9.140625" style="21" customWidth="1"/>
    <col min="9995" max="10239" width="9.140625" style="21"/>
    <col min="10240" max="10240" width="14" style="21" customWidth="1"/>
    <col min="10241" max="10241" width="12.140625" style="21" customWidth="1"/>
    <col min="10242" max="10243" width="12.5703125" style="21" customWidth="1"/>
    <col min="10244" max="10244" width="9.42578125" style="21" customWidth="1"/>
    <col min="10245" max="10245" width="17.140625" style="21" bestFit="1" customWidth="1"/>
    <col min="10246" max="10246" width="16.7109375" style="21" customWidth="1"/>
    <col min="10247" max="10247" width="13.7109375" style="21" customWidth="1"/>
    <col min="10248" max="10248" width="10" style="21" customWidth="1"/>
    <col min="10249" max="10249" width="9" style="21" customWidth="1"/>
    <col min="10250" max="10250" width="9.140625" style="21" customWidth="1"/>
    <col min="10251" max="10495" width="9.140625" style="21"/>
    <col min="10496" max="10496" width="14" style="21" customWidth="1"/>
    <col min="10497" max="10497" width="12.140625" style="21" customWidth="1"/>
    <col min="10498" max="10499" width="12.5703125" style="21" customWidth="1"/>
    <col min="10500" max="10500" width="9.42578125" style="21" customWidth="1"/>
    <col min="10501" max="10501" width="17.140625" style="21" bestFit="1" customWidth="1"/>
    <col min="10502" max="10502" width="16.7109375" style="21" customWidth="1"/>
    <col min="10503" max="10503" width="13.7109375" style="21" customWidth="1"/>
    <col min="10504" max="10504" width="10" style="21" customWidth="1"/>
    <col min="10505" max="10505" width="9" style="21" customWidth="1"/>
    <col min="10506" max="10506" width="9.140625" style="21" customWidth="1"/>
    <col min="10507" max="10751" width="9.140625" style="21"/>
    <col min="10752" max="10752" width="14" style="21" customWidth="1"/>
    <col min="10753" max="10753" width="12.140625" style="21" customWidth="1"/>
    <col min="10754" max="10755" width="12.5703125" style="21" customWidth="1"/>
    <col min="10756" max="10756" width="9.42578125" style="21" customWidth="1"/>
    <col min="10757" max="10757" width="17.140625" style="21" bestFit="1" customWidth="1"/>
    <col min="10758" max="10758" width="16.7109375" style="21" customWidth="1"/>
    <col min="10759" max="10759" width="13.7109375" style="21" customWidth="1"/>
    <col min="10760" max="10760" width="10" style="21" customWidth="1"/>
    <col min="10761" max="10761" width="9" style="21" customWidth="1"/>
    <col min="10762" max="10762" width="9.140625" style="21" customWidth="1"/>
    <col min="10763" max="11007" width="9.140625" style="21"/>
    <col min="11008" max="11008" width="14" style="21" customWidth="1"/>
    <col min="11009" max="11009" width="12.140625" style="21" customWidth="1"/>
    <col min="11010" max="11011" width="12.5703125" style="21" customWidth="1"/>
    <col min="11012" max="11012" width="9.42578125" style="21" customWidth="1"/>
    <col min="11013" max="11013" width="17.140625" style="21" bestFit="1" customWidth="1"/>
    <col min="11014" max="11014" width="16.7109375" style="21" customWidth="1"/>
    <col min="11015" max="11015" width="13.7109375" style="21" customWidth="1"/>
    <col min="11016" max="11016" width="10" style="21" customWidth="1"/>
    <col min="11017" max="11017" width="9" style="21" customWidth="1"/>
    <col min="11018" max="11018" width="9.140625" style="21" customWidth="1"/>
    <col min="11019" max="11263" width="9.140625" style="21"/>
    <col min="11264" max="11264" width="14" style="21" customWidth="1"/>
    <col min="11265" max="11265" width="12.140625" style="21" customWidth="1"/>
    <col min="11266" max="11267" width="12.5703125" style="21" customWidth="1"/>
    <col min="11268" max="11268" width="9.42578125" style="21" customWidth="1"/>
    <col min="11269" max="11269" width="17.140625" style="21" bestFit="1" customWidth="1"/>
    <col min="11270" max="11270" width="16.7109375" style="21" customWidth="1"/>
    <col min="11271" max="11271" width="13.7109375" style="21" customWidth="1"/>
    <col min="11272" max="11272" width="10" style="21" customWidth="1"/>
    <col min="11273" max="11273" width="9" style="21" customWidth="1"/>
    <col min="11274" max="11274" width="9.140625" style="21" customWidth="1"/>
    <col min="11275" max="11519" width="9.140625" style="21"/>
    <col min="11520" max="11520" width="14" style="21" customWidth="1"/>
    <col min="11521" max="11521" width="12.140625" style="21" customWidth="1"/>
    <col min="11522" max="11523" width="12.5703125" style="21" customWidth="1"/>
    <col min="11524" max="11524" width="9.42578125" style="21" customWidth="1"/>
    <col min="11525" max="11525" width="17.140625" style="21" bestFit="1" customWidth="1"/>
    <col min="11526" max="11526" width="16.7109375" style="21" customWidth="1"/>
    <col min="11527" max="11527" width="13.7109375" style="21" customWidth="1"/>
    <col min="11528" max="11528" width="10" style="21" customWidth="1"/>
    <col min="11529" max="11529" width="9" style="21" customWidth="1"/>
    <col min="11530" max="11530" width="9.140625" style="21" customWidth="1"/>
    <col min="11531" max="11775" width="9.140625" style="21"/>
    <col min="11776" max="11776" width="14" style="21" customWidth="1"/>
    <col min="11777" max="11777" width="12.140625" style="21" customWidth="1"/>
    <col min="11778" max="11779" width="12.5703125" style="21" customWidth="1"/>
    <col min="11780" max="11780" width="9.42578125" style="21" customWidth="1"/>
    <col min="11781" max="11781" width="17.140625" style="21" bestFit="1" customWidth="1"/>
    <col min="11782" max="11782" width="16.7109375" style="21" customWidth="1"/>
    <col min="11783" max="11783" width="13.7109375" style="21" customWidth="1"/>
    <col min="11784" max="11784" width="10" style="21" customWidth="1"/>
    <col min="11785" max="11785" width="9" style="21" customWidth="1"/>
    <col min="11786" max="11786" width="9.140625" style="21" customWidth="1"/>
    <col min="11787" max="12031" width="9.140625" style="21"/>
    <col min="12032" max="12032" width="14" style="21" customWidth="1"/>
    <col min="12033" max="12033" width="12.140625" style="21" customWidth="1"/>
    <col min="12034" max="12035" width="12.5703125" style="21" customWidth="1"/>
    <col min="12036" max="12036" width="9.42578125" style="21" customWidth="1"/>
    <col min="12037" max="12037" width="17.140625" style="21" bestFit="1" customWidth="1"/>
    <col min="12038" max="12038" width="16.7109375" style="21" customWidth="1"/>
    <col min="12039" max="12039" width="13.7109375" style="21" customWidth="1"/>
    <col min="12040" max="12040" width="10" style="21" customWidth="1"/>
    <col min="12041" max="12041" width="9" style="21" customWidth="1"/>
    <col min="12042" max="12042" width="9.140625" style="21" customWidth="1"/>
    <col min="12043" max="12287" width="9.140625" style="21"/>
    <col min="12288" max="12288" width="14" style="21" customWidth="1"/>
    <col min="12289" max="12289" width="12.140625" style="21" customWidth="1"/>
    <col min="12290" max="12291" width="12.5703125" style="21" customWidth="1"/>
    <col min="12292" max="12292" width="9.42578125" style="21" customWidth="1"/>
    <col min="12293" max="12293" width="17.140625" style="21" bestFit="1" customWidth="1"/>
    <col min="12294" max="12294" width="16.7109375" style="21" customWidth="1"/>
    <col min="12295" max="12295" width="13.7109375" style="21" customWidth="1"/>
    <col min="12296" max="12296" width="10" style="21" customWidth="1"/>
    <col min="12297" max="12297" width="9" style="21" customWidth="1"/>
    <col min="12298" max="12298" width="9.140625" style="21" customWidth="1"/>
    <col min="12299" max="12543" width="9.140625" style="21"/>
    <col min="12544" max="12544" width="14" style="21" customWidth="1"/>
    <col min="12545" max="12545" width="12.140625" style="21" customWidth="1"/>
    <col min="12546" max="12547" width="12.5703125" style="21" customWidth="1"/>
    <col min="12548" max="12548" width="9.42578125" style="21" customWidth="1"/>
    <col min="12549" max="12549" width="17.140625" style="21" bestFit="1" customWidth="1"/>
    <col min="12550" max="12550" width="16.7109375" style="21" customWidth="1"/>
    <col min="12551" max="12551" width="13.7109375" style="21" customWidth="1"/>
    <col min="12552" max="12552" width="10" style="21" customWidth="1"/>
    <col min="12553" max="12553" width="9" style="21" customWidth="1"/>
    <col min="12554" max="12554" width="9.140625" style="21" customWidth="1"/>
    <col min="12555" max="12799" width="9.140625" style="21"/>
    <col min="12800" max="12800" width="14" style="21" customWidth="1"/>
    <col min="12801" max="12801" width="12.140625" style="21" customWidth="1"/>
    <col min="12802" max="12803" width="12.5703125" style="21" customWidth="1"/>
    <col min="12804" max="12804" width="9.42578125" style="21" customWidth="1"/>
    <col min="12805" max="12805" width="17.140625" style="21" bestFit="1" customWidth="1"/>
    <col min="12806" max="12806" width="16.7109375" style="21" customWidth="1"/>
    <col min="12807" max="12807" width="13.7109375" style="21" customWidth="1"/>
    <col min="12808" max="12808" width="10" style="21" customWidth="1"/>
    <col min="12809" max="12809" width="9" style="21" customWidth="1"/>
    <col min="12810" max="12810" width="9.140625" style="21" customWidth="1"/>
    <col min="12811" max="13055" width="9.140625" style="21"/>
    <col min="13056" max="13056" width="14" style="21" customWidth="1"/>
    <col min="13057" max="13057" width="12.140625" style="21" customWidth="1"/>
    <col min="13058" max="13059" width="12.5703125" style="21" customWidth="1"/>
    <col min="13060" max="13060" width="9.42578125" style="21" customWidth="1"/>
    <col min="13061" max="13061" width="17.140625" style="21" bestFit="1" customWidth="1"/>
    <col min="13062" max="13062" width="16.7109375" style="21" customWidth="1"/>
    <col min="13063" max="13063" width="13.7109375" style="21" customWidth="1"/>
    <col min="13064" max="13064" width="10" style="21" customWidth="1"/>
    <col min="13065" max="13065" width="9" style="21" customWidth="1"/>
    <col min="13066" max="13066" width="9.140625" style="21" customWidth="1"/>
    <col min="13067" max="13311" width="9.140625" style="21"/>
    <col min="13312" max="13312" width="14" style="21" customWidth="1"/>
    <col min="13313" max="13313" width="12.140625" style="21" customWidth="1"/>
    <col min="13314" max="13315" width="12.5703125" style="21" customWidth="1"/>
    <col min="13316" max="13316" width="9.42578125" style="21" customWidth="1"/>
    <col min="13317" max="13317" width="17.140625" style="21" bestFit="1" customWidth="1"/>
    <col min="13318" max="13318" width="16.7109375" style="21" customWidth="1"/>
    <col min="13319" max="13319" width="13.7109375" style="21" customWidth="1"/>
    <col min="13320" max="13320" width="10" style="21" customWidth="1"/>
    <col min="13321" max="13321" width="9" style="21" customWidth="1"/>
    <col min="13322" max="13322" width="9.140625" style="21" customWidth="1"/>
    <col min="13323" max="13567" width="9.140625" style="21"/>
    <col min="13568" max="13568" width="14" style="21" customWidth="1"/>
    <col min="13569" max="13569" width="12.140625" style="21" customWidth="1"/>
    <col min="13570" max="13571" width="12.5703125" style="21" customWidth="1"/>
    <col min="13572" max="13572" width="9.42578125" style="21" customWidth="1"/>
    <col min="13573" max="13573" width="17.140625" style="21" bestFit="1" customWidth="1"/>
    <col min="13574" max="13574" width="16.7109375" style="21" customWidth="1"/>
    <col min="13575" max="13575" width="13.7109375" style="21" customWidth="1"/>
    <col min="13576" max="13576" width="10" style="21" customWidth="1"/>
    <col min="13577" max="13577" width="9" style="21" customWidth="1"/>
    <col min="13578" max="13578" width="9.140625" style="21" customWidth="1"/>
    <col min="13579" max="13823" width="9.140625" style="21"/>
    <col min="13824" max="13824" width="14" style="21" customWidth="1"/>
    <col min="13825" max="13825" width="12.140625" style="21" customWidth="1"/>
    <col min="13826" max="13827" width="12.5703125" style="21" customWidth="1"/>
    <col min="13828" max="13828" width="9.42578125" style="21" customWidth="1"/>
    <col min="13829" max="13829" width="17.140625" style="21" bestFit="1" customWidth="1"/>
    <col min="13830" max="13830" width="16.7109375" style="21" customWidth="1"/>
    <col min="13831" max="13831" width="13.7109375" style="21" customWidth="1"/>
    <col min="13832" max="13832" width="10" style="21" customWidth="1"/>
    <col min="13833" max="13833" width="9" style="21" customWidth="1"/>
    <col min="13834" max="13834" width="9.140625" style="21" customWidth="1"/>
    <col min="13835" max="14079" width="9.140625" style="21"/>
    <col min="14080" max="14080" width="14" style="21" customWidth="1"/>
    <col min="14081" max="14081" width="12.140625" style="21" customWidth="1"/>
    <col min="14082" max="14083" width="12.5703125" style="21" customWidth="1"/>
    <col min="14084" max="14084" width="9.42578125" style="21" customWidth="1"/>
    <col min="14085" max="14085" width="17.140625" style="21" bestFit="1" customWidth="1"/>
    <col min="14086" max="14086" width="16.7109375" style="21" customWidth="1"/>
    <col min="14087" max="14087" width="13.7109375" style="21" customWidth="1"/>
    <col min="14088" max="14088" width="10" style="21" customWidth="1"/>
    <col min="14089" max="14089" width="9" style="21" customWidth="1"/>
    <col min="14090" max="14090" width="9.140625" style="21" customWidth="1"/>
    <col min="14091" max="14335" width="9.140625" style="21"/>
    <col min="14336" max="14336" width="14" style="21" customWidth="1"/>
    <col min="14337" max="14337" width="12.140625" style="21" customWidth="1"/>
    <col min="14338" max="14339" width="12.5703125" style="21" customWidth="1"/>
    <col min="14340" max="14340" width="9.42578125" style="21" customWidth="1"/>
    <col min="14341" max="14341" width="17.140625" style="21" bestFit="1" customWidth="1"/>
    <col min="14342" max="14342" width="16.7109375" style="21" customWidth="1"/>
    <col min="14343" max="14343" width="13.7109375" style="21" customWidth="1"/>
    <col min="14344" max="14344" width="10" style="21" customWidth="1"/>
    <col min="14345" max="14345" width="9" style="21" customWidth="1"/>
    <col min="14346" max="14346" width="9.140625" style="21" customWidth="1"/>
    <col min="14347" max="14591" width="9.140625" style="21"/>
    <col min="14592" max="14592" width="14" style="21" customWidth="1"/>
    <col min="14593" max="14593" width="12.140625" style="21" customWidth="1"/>
    <col min="14594" max="14595" width="12.5703125" style="21" customWidth="1"/>
    <col min="14596" max="14596" width="9.42578125" style="21" customWidth="1"/>
    <col min="14597" max="14597" width="17.140625" style="21" bestFit="1" customWidth="1"/>
    <col min="14598" max="14598" width="16.7109375" style="21" customWidth="1"/>
    <col min="14599" max="14599" width="13.7109375" style="21" customWidth="1"/>
    <col min="14600" max="14600" width="10" style="21" customWidth="1"/>
    <col min="14601" max="14601" width="9" style="21" customWidth="1"/>
    <col min="14602" max="14602" width="9.140625" style="21" customWidth="1"/>
    <col min="14603" max="14847" width="9.140625" style="21"/>
    <col min="14848" max="14848" width="14" style="21" customWidth="1"/>
    <col min="14849" max="14849" width="12.140625" style="21" customWidth="1"/>
    <col min="14850" max="14851" width="12.5703125" style="21" customWidth="1"/>
    <col min="14852" max="14852" width="9.42578125" style="21" customWidth="1"/>
    <col min="14853" max="14853" width="17.140625" style="21" bestFit="1" customWidth="1"/>
    <col min="14854" max="14854" width="16.7109375" style="21" customWidth="1"/>
    <col min="14855" max="14855" width="13.7109375" style="21" customWidth="1"/>
    <col min="14856" max="14856" width="10" style="21" customWidth="1"/>
    <col min="14857" max="14857" width="9" style="21" customWidth="1"/>
    <col min="14858" max="14858" width="9.140625" style="21" customWidth="1"/>
    <col min="14859" max="15103" width="9.140625" style="21"/>
    <col min="15104" max="15104" width="14" style="21" customWidth="1"/>
    <col min="15105" max="15105" width="12.140625" style="21" customWidth="1"/>
    <col min="15106" max="15107" width="12.5703125" style="21" customWidth="1"/>
    <col min="15108" max="15108" width="9.42578125" style="21" customWidth="1"/>
    <col min="15109" max="15109" width="17.140625" style="21" bestFit="1" customWidth="1"/>
    <col min="15110" max="15110" width="16.7109375" style="21" customWidth="1"/>
    <col min="15111" max="15111" width="13.7109375" style="21" customWidth="1"/>
    <col min="15112" max="15112" width="10" style="21" customWidth="1"/>
    <col min="15113" max="15113" width="9" style="21" customWidth="1"/>
    <col min="15114" max="15114" width="9.140625" style="21" customWidth="1"/>
    <col min="15115" max="15359" width="9.140625" style="21"/>
    <col min="15360" max="15360" width="14" style="21" customWidth="1"/>
    <col min="15361" max="15361" width="12.140625" style="21" customWidth="1"/>
    <col min="15362" max="15363" width="12.5703125" style="21" customWidth="1"/>
    <col min="15364" max="15364" width="9.42578125" style="21" customWidth="1"/>
    <col min="15365" max="15365" width="17.140625" style="21" bestFit="1" customWidth="1"/>
    <col min="15366" max="15366" width="16.7109375" style="21" customWidth="1"/>
    <col min="15367" max="15367" width="13.7109375" style="21" customWidth="1"/>
    <col min="15368" max="15368" width="10" style="21" customWidth="1"/>
    <col min="15369" max="15369" width="9" style="21" customWidth="1"/>
    <col min="15370" max="15370" width="9.140625" style="21" customWidth="1"/>
    <col min="15371" max="15615" width="9.140625" style="21"/>
    <col min="15616" max="15616" width="14" style="21" customWidth="1"/>
    <col min="15617" max="15617" width="12.140625" style="21" customWidth="1"/>
    <col min="15618" max="15619" width="12.5703125" style="21" customWidth="1"/>
    <col min="15620" max="15620" width="9.42578125" style="21" customWidth="1"/>
    <col min="15621" max="15621" width="17.140625" style="21" bestFit="1" customWidth="1"/>
    <col min="15622" max="15622" width="16.7109375" style="21" customWidth="1"/>
    <col min="15623" max="15623" width="13.7109375" style="21" customWidth="1"/>
    <col min="15624" max="15624" width="10" style="21" customWidth="1"/>
    <col min="15625" max="15625" width="9" style="21" customWidth="1"/>
    <col min="15626" max="15626" width="9.140625" style="21" customWidth="1"/>
    <col min="15627" max="15871" width="9.140625" style="21"/>
    <col min="15872" max="15872" width="14" style="21" customWidth="1"/>
    <col min="15873" max="15873" width="12.140625" style="21" customWidth="1"/>
    <col min="15874" max="15875" width="12.5703125" style="21" customWidth="1"/>
    <col min="15876" max="15876" width="9.42578125" style="21" customWidth="1"/>
    <col min="15877" max="15877" width="17.140625" style="21" bestFit="1" customWidth="1"/>
    <col min="15878" max="15878" width="16.7109375" style="21" customWidth="1"/>
    <col min="15879" max="15879" width="13.7109375" style="21" customWidth="1"/>
    <col min="15880" max="15880" width="10" style="21" customWidth="1"/>
    <col min="15881" max="15881" width="9" style="21" customWidth="1"/>
    <col min="15882" max="15882" width="9.140625" style="21" customWidth="1"/>
    <col min="15883" max="16127" width="9.140625" style="21"/>
    <col min="16128" max="16128" width="14" style="21" customWidth="1"/>
    <col min="16129" max="16129" width="12.140625" style="21" customWidth="1"/>
    <col min="16130" max="16131" width="12.5703125" style="21" customWidth="1"/>
    <col min="16132" max="16132" width="9.42578125" style="21" customWidth="1"/>
    <col min="16133" max="16133" width="17.140625" style="21" bestFit="1" customWidth="1"/>
    <col min="16134" max="16134" width="16.7109375" style="21" customWidth="1"/>
    <col min="16135" max="16135" width="13.7109375" style="21" customWidth="1"/>
    <col min="16136" max="16136" width="10" style="21" customWidth="1"/>
    <col min="16137" max="16137" width="9" style="21" customWidth="1"/>
    <col min="16138" max="16138" width="9.140625" style="21" customWidth="1"/>
    <col min="16139" max="16384" width="9.140625" style="21"/>
  </cols>
  <sheetData>
    <row r="1" spans="1:13" ht="18" x14ac:dyDescent="0.25">
      <c r="A1" s="28" t="s">
        <v>41</v>
      </c>
    </row>
    <row r="2" spans="1:13" ht="18" x14ac:dyDescent="0.25">
      <c r="A2" s="31"/>
      <c r="B2" s="32" t="s">
        <v>42</v>
      </c>
      <c r="C2" s="32" t="s">
        <v>43</v>
      </c>
      <c r="D2" s="32" t="s">
        <v>43</v>
      </c>
      <c r="E2" s="33" t="s">
        <v>44</v>
      </c>
      <c r="F2" s="34" t="s">
        <v>45</v>
      </c>
      <c r="G2" s="32" t="s">
        <v>45</v>
      </c>
      <c r="H2" s="32" t="s">
        <v>37</v>
      </c>
      <c r="I2" s="67" t="s">
        <v>20</v>
      </c>
      <c r="J2" s="63" t="s">
        <v>46</v>
      </c>
      <c r="K2" s="35"/>
    </row>
    <row r="3" spans="1:13" x14ac:dyDescent="0.2">
      <c r="A3" s="36"/>
      <c r="B3" s="32" t="s">
        <v>47</v>
      </c>
      <c r="C3" s="32" t="s">
        <v>48</v>
      </c>
      <c r="D3" s="32" t="s">
        <v>49</v>
      </c>
      <c r="E3" s="78" t="s">
        <v>50</v>
      </c>
      <c r="F3" s="34" t="s">
        <v>48</v>
      </c>
      <c r="G3" s="32" t="s">
        <v>49</v>
      </c>
      <c r="H3" s="32" t="s">
        <v>51</v>
      </c>
      <c r="I3" s="67" t="s">
        <v>25</v>
      </c>
      <c r="J3" s="63"/>
      <c r="K3" s="35"/>
    </row>
    <row r="4" spans="1:13" ht="15" x14ac:dyDescent="0.2">
      <c r="A4" s="56">
        <v>44682</v>
      </c>
      <c r="B4" s="38">
        <v>1</v>
      </c>
      <c r="C4" s="38">
        <v>8.5</v>
      </c>
      <c r="D4" s="75">
        <v>18</v>
      </c>
      <c r="E4" s="73">
        <f>D4-C4</f>
        <v>9.5</v>
      </c>
      <c r="F4" s="39">
        <v>1661955.7</v>
      </c>
      <c r="G4" s="40">
        <v>1662360.5</v>
      </c>
      <c r="H4" s="41">
        <f t="shared" ref="H4:H34" si="0">G4-F4</f>
        <v>404.80000000004657</v>
      </c>
      <c r="I4" s="68">
        <f>(H4*[1]Summary!$C$6)</f>
        <v>1149.6320000001322</v>
      </c>
      <c r="J4" s="72">
        <v>4668.1000000000004</v>
      </c>
      <c r="K4" s="89" t="s">
        <v>52</v>
      </c>
      <c r="L4" s="89"/>
      <c r="M4" s="89"/>
    </row>
    <row r="5" spans="1:13" ht="15" x14ac:dyDescent="0.2">
      <c r="A5" s="56">
        <v>44683</v>
      </c>
      <c r="B5" s="38">
        <v>1</v>
      </c>
      <c r="C5" s="38">
        <v>8.5</v>
      </c>
      <c r="D5" s="75">
        <v>20</v>
      </c>
      <c r="E5" s="73">
        <f>D5-C5</f>
        <v>11.5</v>
      </c>
      <c r="F5" s="39">
        <v>1662360.5</v>
      </c>
      <c r="G5" s="40">
        <v>1662760.3</v>
      </c>
      <c r="H5" s="41">
        <f t="shared" si="0"/>
        <v>399.80000000004657</v>
      </c>
      <c r="I5" s="68">
        <f>(H5*[1]Summary!$C$6)</f>
        <v>1135.4320000001321</v>
      </c>
      <c r="J5" s="64">
        <v>-50</v>
      </c>
      <c r="K5" s="90" t="s">
        <v>53</v>
      </c>
      <c r="L5" s="91"/>
      <c r="M5" s="91"/>
    </row>
    <row r="6" spans="1:13" ht="15" x14ac:dyDescent="0.2">
      <c r="A6" s="56">
        <v>44684</v>
      </c>
      <c r="B6" s="38">
        <v>1</v>
      </c>
      <c r="C6" s="38">
        <v>8.5</v>
      </c>
      <c r="D6" s="75">
        <v>20</v>
      </c>
      <c r="E6" s="73">
        <f t="shared" ref="E6:E34" si="1">D6-C6</f>
        <v>11.5</v>
      </c>
      <c r="F6" s="39">
        <v>1662760.3</v>
      </c>
      <c r="G6" s="40">
        <v>1663135.6</v>
      </c>
      <c r="H6" s="41">
        <f t="shared" si="0"/>
        <v>375.30000000004657</v>
      </c>
      <c r="I6" s="68">
        <f>(H6*[1]Summary!$C$6)</f>
        <v>1065.8520000001322</v>
      </c>
      <c r="J6" s="64"/>
      <c r="K6" s="30"/>
    </row>
    <row r="7" spans="1:13" ht="15" x14ac:dyDescent="0.2">
      <c r="A7" s="56">
        <v>44685</v>
      </c>
      <c r="B7" s="38">
        <v>1</v>
      </c>
      <c r="C7" s="38">
        <v>8</v>
      </c>
      <c r="D7" s="75">
        <v>20</v>
      </c>
      <c r="E7" s="73">
        <f t="shared" si="1"/>
        <v>12</v>
      </c>
      <c r="F7" s="39">
        <v>1663135.6</v>
      </c>
      <c r="G7" s="40">
        <v>1663605.7</v>
      </c>
      <c r="H7" s="41">
        <f t="shared" si="0"/>
        <v>470.0999999998603</v>
      </c>
      <c r="I7" s="68">
        <f>(H7*[1]Summary!$C$6)</f>
        <v>1335.0839999996033</v>
      </c>
      <c r="J7" s="64"/>
      <c r="K7" s="30"/>
    </row>
    <row r="8" spans="1:13" ht="15" x14ac:dyDescent="0.2">
      <c r="A8" s="56">
        <v>44686</v>
      </c>
      <c r="B8" s="38">
        <v>1</v>
      </c>
      <c r="C8" s="38">
        <v>8</v>
      </c>
      <c r="D8" s="75">
        <v>20</v>
      </c>
      <c r="E8" s="73">
        <f t="shared" si="1"/>
        <v>12</v>
      </c>
      <c r="F8" s="39">
        <v>1663605.7</v>
      </c>
      <c r="G8" s="40">
        <v>1664032.8</v>
      </c>
      <c r="H8" s="41">
        <f t="shared" si="0"/>
        <v>427.10000000009313</v>
      </c>
      <c r="I8" s="69">
        <f>(H8*[1]Summary!$C$6)</f>
        <v>1212.9640000002644</v>
      </c>
      <c r="J8" s="64"/>
      <c r="K8" s="30"/>
    </row>
    <row r="9" spans="1:13" ht="15" x14ac:dyDescent="0.2">
      <c r="A9" s="56">
        <v>44687</v>
      </c>
      <c r="B9" s="38">
        <v>1</v>
      </c>
      <c r="C9" s="38">
        <v>8</v>
      </c>
      <c r="D9" s="75">
        <v>20</v>
      </c>
      <c r="E9" s="73">
        <f t="shared" si="1"/>
        <v>12</v>
      </c>
      <c r="F9" s="39">
        <v>1664032.8</v>
      </c>
      <c r="G9" s="42">
        <v>1664487.8</v>
      </c>
      <c r="H9" s="41">
        <f t="shared" si="0"/>
        <v>455</v>
      </c>
      <c r="I9" s="70">
        <f>(H9*[1]Summary!$C$6)</f>
        <v>1292.2</v>
      </c>
      <c r="J9" s="65">
        <v>7000</v>
      </c>
      <c r="K9" s="92" t="s">
        <v>54</v>
      </c>
      <c r="L9" s="93"/>
      <c r="M9" s="93"/>
    </row>
    <row r="10" spans="1:13" ht="15" x14ac:dyDescent="0.2">
      <c r="A10" s="56">
        <v>44688</v>
      </c>
      <c r="B10" s="38">
        <v>1</v>
      </c>
      <c r="C10" s="38">
        <v>8.5</v>
      </c>
      <c r="D10" s="75">
        <v>20</v>
      </c>
      <c r="E10" s="73">
        <f t="shared" si="1"/>
        <v>11.5</v>
      </c>
      <c r="F10" s="39">
        <v>1664487.8</v>
      </c>
      <c r="G10" s="42">
        <v>1665141.1</v>
      </c>
      <c r="H10" s="41">
        <f t="shared" si="0"/>
        <v>653.30000000004657</v>
      </c>
      <c r="I10" s="70">
        <f>(H10*[1]Summary!$C$6)</f>
        <v>1855.3720000001322</v>
      </c>
      <c r="J10" s="65"/>
      <c r="K10" s="30"/>
    </row>
    <row r="11" spans="1:13" ht="15" x14ac:dyDescent="0.2">
      <c r="A11" s="56">
        <v>44689</v>
      </c>
      <c r="B11" s="38" t="s">
        <v>55</v>
      </c>
      <c r="C11" s="38"/>
      <c r="D11" s="75"/>
      <c r="E11" s="73">
        <f t="shared" si="1"/>
        <v>0</v>
      </c>
      <c r="F11" s="39"/>
      <c r="G11" s="42"/>
      <c r="H11" s="41">
        <f t="shared" si="0"/>
        <v>0</v>
      </c>
      <c r="I11" s="70">
        <f>(H11*[1]Summary!$C$6)</f>
        <v>0</v>
      </c>
      <c r="J11" s="65"/>
      <c r="K11" s="30"/>
    </row>
    <row r="12" spans="1:13" ht="15" x14ac:dyDescent="0.2">
      <c r="A12" s="56">
        <v>44690</v>
      </c>
      <c r="B12" s="38">
        <v>1</v>
      </c>
      <c r="C12" s="38">
        <v>8.3000000000000007</v>
      </c>
      <c r="D12" s="75">
        <v>18</v>
      </c>
      <c r="E12" s="73">
        <f t="shared" si="1"/>
        <v>9.6999999999999993</v>
      </c>
      <c r="F12" s="39">
        <v>1665141.1</v>
      </c>
      <c r="G12" s="42">
        <v>1665484.2</v>
      </c>
      <c r="H12" s="41">
        <f t="shared" si="0"/>
        <v>343.0999999998603</v>
      </c>
      <c r="I12" s="70">
        <f>(H12*[1]Summary!$C$6)</f>
        <v>974.40399999960323</v>
      </c>
      <c r="J12" s="65"/>
      <c r="K12" s="30"/>
    </row>
    <row r="13" spans="1:13" ht="15" x14ac:dyDescent="0.2">
      <c r="A13" s="56">
        <v>44691</v>
      </c>
      <c r="B13" s="38" t="s">
        <v>56</v>
      </c>
      <c r="C13" s="38"/>
      <c r="D13" s="75"/>
      <c r="E13" s="73">
        <f t="shared" si="1"/>
        <v>0</v>
      </c>
      <c r="F13" s="39"/>
      <c r="G13" s="42"/>
      <c r="H13" s="41">
        <f t="shared" si="0"/>
        <v>0</v>
      </c>
      <c r="I13" s="70">
        <f>(H13*[1]Summary!$C$6)</f>
        <v>0</v>
      </c>
      <c r="J13" s="65"/>
      <c r="K13" s="30"/>
    </row>
    <row r="14" spans="1:13" ht="15" x14ac:dyDescent="0.2">
      <c r="A14" s="56">
        <v>44692</v>
      </c>
      <c r="B14" s="38">
        <v>1</v>
      </c>
      <c r="C14" s="38">
        <v>8.3000000000000007</v>
      </c>
      <c r="D14" s="75">
        <v>20</v>
      </c>
      <c r="E14" s="73">
        <f t="shared" si="1"/>
        <v>11.7</v>
      </c>
      <c r="F14" s="39">
        <v>1665484.2</v>
      </c>
      <c r="G14" s="42">
        <v>1665898.8</v>
      </c>
      <c r="H14" s="41">
        <f t="shared" si="0"/>
        <v>414.60000000009313</v>
      </c>
      <c r="I14" s="70">
        <f>(H14*[1]Summary!$C$6)</f>
        <v>1177.4640000002644</v>
      </c>
      <c r="J14" s="65"/>
      <c r="K14" s="30"/>
    </row>
    <row r="15" spans="1:13" ht="15" x14ac:dyDescent="0.2">
      <c r="A15" s="56">
        <v>44693</v>
      </c>
      <c r="B15" s="38">
        <v>1</v>
      </c>
      <c r="C15" s="38">
        <v>8.3000000000000007</v>
      </c>
      <c r="D15" s="75">
        <v>12</v>
      </c>
      <c r="E15" s="73">
        <f t="shared" si="1"/>
        <v>3.6999999999999993</v>
      </c>
      <c r="F15" s="39">
        <v>1665898.8</v>
      </c>
      <c r="G15" s="42">
        <v>1666025.3</v>
      </c>
      <c r="H15" s="41">
        <f t="shared" si="0"/>
        <v>126.5</v>
      </c>
      <c r="I15" s="70">
        <f>(H15*[1]Summary!$C$6)</f>
        <v>359.26</v>
      </c>
      <c r="J15" s="65"/>
      <c r="K15" s="30"/>
    </row>
    <row r="16" spans="1:13" ht="15" x14ac:dyDescent="0.2">
      <c r="A16" s="56">
        <v>44694</v>
      </c>
      <c r="B16" s="38">
        <v>1</v>
      </c>
      <c r="C16" s="38">
        <v>8</v>
      </c>
      <c r="D16" s="75">
        <v>18</v>
      </c>
      <c r="E16" s="73">
        <f t="shared" si="1"/>
        <v>10</v>
      </c>
      <c r="F16" s="39">
        <v>1666025.3</v>
      </c>
      <c r="G16" s="42">
        <v>1666408.7</v>
      </c>
      <c r="H16" s="41">
        <f>G16-F16</f>
        <v>383.39999999990687</v>
      </c>
      <c r="I16" s="70">
        <f>(H16*[1]Summary!$C$6)</f>
        <v>1088.8559999997356</v>
      </c>
      <c r="J16" s="65"/>
      <c r="K16" s="30"/>
    </row>
    <row r="17" spans="1:13" ht="15" x14ac:dyDescent="0.2">
      <c r="A17" s="56">
        <v>44695</v>
      </c>
      <c r="B17" s="43">
        <v>1</v>
      </c>
      <c r="C17" s="43">
        <v>8.3000000000000007</v>
      </c>
      <c r="D17" s="76">
        <v>20</v>
      </c>
      <c r="E17" s="73">
        <f t="shared" si="1"/>
        <v>11.7</v>
      </c>
      <c r="F17" s="39">
        <v>1666408.7</v>
      </c>
      <c r="G17" s="42">
        <v>1666800.4</v>
      </c>
      <c r="H17" s="41">
        <f t="shared" ref="H17:H18" si="2">G17-F17</f>
        <v>391.69999999995343</v>
      </c>
      <c r="I17" s="70">
        <f>(H17*[1]Summary!$C$6)</f>
        <v>1112.4279999998678</v>
      </c>
      <c r="J17" s="65"/>
      <c r="K17" s="30"/>
    </row>
    <row r="18" spans="1:13" ht="15" x14ac:dyDescent="0.2">
      <c r="A18" s="56">
        <v>44696</v>
      </c>
      <c r="B18" s="43">
        <v>1</v>
      </c>
      <c r="C18" s="43">
        <v>8.3000000000000007</v>
      </c>
      <c r="D18" s="76">
        <v>20</v>
      </c>
      <c r="E18" s="73">
        <f t="shared" si="1"/>
        <v>11.7</v>
      </c>
      <c r="F18" s="39">
        <v>1666800.4</v>
      </c>
      <c r="G18" s="42">
        <v>1667206.5</v>
      </c>
      <c r="H18" s="41">
        <f t="shared" si="2"/>
        <v>406.10000000009313</v>
      </c>
      <c r="I18" s="70">
        <f>(H18*[1]Summary!$C$6)</f>
        <v>1153.3240000002645</v>
      </c>
      <c r="J18" s="65"/>
      <c r="K18" s="30"/>
    </row>
    <row r="19" spans="1:13" ht="15" x14ac:dyDescent="0.2">
      <c r="A19" s="56">
        <v>44697</v>
      </c>
      <c r="B19" s="43">
        <v>1</v>
      </c>
      <c r="C19" s="43">
        <v>8.3000000000000007</v>
      </c>
      <c r="D19" s="76">
        <v>20</v>
      </c>
      <c r="E19" s="73">
        <f t="shared" si="1"/>
        <v>11.7</v>
      </c>
      <c r="F19" s="39">
        <v>1667206.5</v>
      </c>
      <c r="G19" s="42">
        <v>1667608.1</v>
      </c>
      <c r="H19" s="41">
        <f t="shared" si="0"/>
        <v>401.60000000009313</v>
      </c>
      <c r="I19" s="70">
        <f>(H19*[1]Summary!$C$6)</f>
        <v>1140.5440000002645</v>
      </c>
      <c r="J19" s="65"/>
      <c r="K19" s="30"/>
    </row>
    <row r="20" spans="1:13" ht="15" x14ac:dyDescent="0.2">
      <c r="A20" s="56">
        <v>44698</v>
      </c>
      <c r="B20" s="43">
        <v>1</v>
      </c>
      <c r="C20" s="43">
        <v>8.3000000000000007</v>
      </c>
      <c r="D20" s="76">
        <v>18</v>
      </c>
      <c r="E20" s="73">
        <f t="shared" si="1"/>
        <v>9.6999999999999993</v>
      </c>
      <c r="F20" s="39">
        <v>1667608.1</v>
      </c>
      <c r="G20" s="42">
        <v>1667919.8</v>
      </c>
      <c r="H20" s="41">
        <f t="shared" si="0"/>
        <v>311.69999999995343</v>
      </c>
      <c r="I20" s="70">
        <f>(H20*[1]Summary!$C$6)</f>
        <v>885.22799999986773</v>
      </c>
      <c r="J20" s="65"/>
      <c r="K20" s="30"/>
    </row>
    <row r="21" spans="1:13" ht="15" x14ac:dyDescent="0.2">
      <c r="A21" s="56">
        <v>44699</v>
      </c>
      <c r="B21" s="43">
        <v>1</v>
      </c>
      <c r="C21" s="43">
        <v>8.3000000000000007</v>
      </c>
      <c r="D21" s="76">
        <v>18</v>
      </c>
      <c r="E21" s="73">
        <f t="shared" si="1"/>
        <v>9.6999999999999993</v>
      </c>
      <c r="F21" s="77">
        <v>1667919.8</v>
      </c>
      <c r="G21" s="42">
        <v>1668272</v>
      </c>
      <c r="H21" s="41">
        <f>G21-F21</f>
        <v>352.19999999995343</v>
      </c>
      <c r="I21" s="70">
        <f>(H21*[1]Summary!$C$6)</f>
        <v>1000.2479999998677</v>
      </c>
      <c r="J21" s="66"/>
      <c r="K21" s="30"/>
    </row>
    <row r="22" spans="1:13" ht="15" x14ac:dyDescent="0.2">
      <c r="A22" s="56">
        <v>44700</v>
      </c>
      <c r="B22" s="43">
        <v>1</v>
      </c>
      <c r="C22" s="43">
        <v>8</v>
      </c>
      <c r="D22" s="76">
        <v>17</v>
      </c>
      <c r="E22" s="73">
        <f t="shared" si="1"/>
        <v>9</v>
      </c>
      <c r="F22" s="77">
        <v>1668272</v>
      </c>
      <c r="G22" s="42">
        <v>1668628.9</v>
      </c>
      <c r="H22" s="41">
        <f t="shared" si="0"/>
        <v>356.89999999990687</v>
      </c>
      <c r="I22" s="70">
        <f>(H22*[1]Summary!$C$6)</f>
        <v>1013.5959999997355</v>
      </c>
      <c r="J22" s="65"/>
      <c r="K22" s="44"/>
    </row>
    <row r="23" spans="1:13" ht="15" x14ac:dyDescent="0.2">
      <c r="A23" s="56">
        <v>44701</v>
      </c>
      <c r="B23" s="43">
        <v>1</v>
      </c>
      <c r="C23" s="43">
        <v>8.3000000000000007</v>
      </c>
      <c r="D23" s="76">
        <v>17</v>
      </c>
      <c r="E23" s="73">
        <f t="shared" si="1"/>
        <v>8.6999999999999993</v>
      </c>
      <c r="F23" s="77">
        <v>1668628.9</v>
      </c>
      <c r="G23" s="42">
        <v>1668978.5</v>
      </c>
      <c r="H23" s="41">
        <f t="shared" si="0"/>
        <v>349.60000000009313</v>
      </c>
      <c r="I23" s="70">
        <f>(H23*[1]Summary!$C$6)</f>
        <v>992.86400000026447</v>
      </c>
      <c r="J23" s="65"/>
      <c r="K23" s="30"/>
    </row>
    <row r="24" spans="1:13" ht="15" x14ac:dyDescent="0.2">
      <c r="A24" s="56">
        <v>44702</v>
      </c>
      <c r="B24" s="43">
        <v>2</v>
      </c>
      <c r="C24" s="43">
        <v>8.3000000000000007</v>
      </c>
      <c r="D24" s="76">
        <v>17</v>
      </c>
      <c r="E24" s="73">
        <f t="shared" si="1"/>
        <v>8.6999999999999993</v>
      </c>
      <c r="F24" s="77">
        <v>1619410.4</v>
      </c>
      <c r="G24" s="42">
        <v>1619643.5</v>
      </c>
      <c r="H24" s="41">
        <f t="shared" si="0"/>
        <v>233.10000000009313</v>
      </c>
      <c r="I24" s="70">
        <f>(H24*[1]Summary!$C$6)</f>
        <v>662.00400000026445</v>
      </c>
      <c r="J24" s="65">
        <v>-70</v>
      </c>
      <c r="K24" s="94" t="s">
        <v>57</v>
      </c>
      <c r="L24" s="95"/>
      <c r="M24" s="95"/>
    </row>
    <row r="25" spans="1:13" ht="15" x14ac:dyDescent="0.2">
      <c r="A25" s="56">
        <v>44703</v>
      </c>
      <c r="B25" s="43" t="s">
        <v>58</v>
      </c>
      <c r="C25" s="43"/>
      <c r="D25" s="76"/>
      <c r="E25" s="73">
        <f t="shared" si="1"/>
        <v>0</v>
      </c>
      <c r="F25" s="39"/>
      <c r="G25" s="42"/>
      <c r="H25" s="41">
        <f t="shared" si="0"/>
        <v>0</v>
      </c>
      <c r="I25" s="70">
        <f>(H25*[1]Summary!$C$6)</f>
        <v>0</v>
      </c>
      <c r="J25" s="65"/>
      <c r="K25" s="30"/>
    </row>
    <row r="26" spans="1:13" ht="15" x14ac:dyDescent="0.2">
      <c r="A26" s="56">
        <v>44704</v>
      </c>
      <c r="B26" s="43">
        <v>1</v>
      </c>
      <c r="C26" s="43">
        <v>8.3000000000000007</v>
      </c>
      <c r="D26" s="76">
        <v>18</v>
      </c>
      <c r="E26" s="73">
        <f t="shared" si="1"/>
        <v>9.6999999999999993</v>
      </c>
      <c r="F26" s="39">
        <v>1668978.6</v>
      </c>
      <c r="G26" s="42">
        <v>1669308.6</v>
      </c>
      <c r="H26" s="41">
        <f t="shared" si="0"/>
        <v>330</v>
      </c>
      <c r="I26" s="70">
        <f>(H26*[1]Summary!$C$6)</f>
        <v>937.19999999999993</v>
      </c>
      <c r="J26" s="65"/>
      <c r="K26" s="30"/>
    </row>
    <row r="27" spans="1:13" ht="15" x14ac:dyDescent="0.2">
      <c r="A27" s="56">
        <v>44705</v>
      </c>
      <c r="B27" s="43" t="s">
        <v>58</v>
      </c>
      <c r="C27" s="43"/>
      <c r="D27" s="76"/>
      <c r="E27" s="73">
        <f t="shared" si="1"/>
        <v>0</v>
      </c>
      <c r="F27" s="39"/>
      <c r="G27" s="42"/>
      <c r="H27" s="41">
        <f t="shared" si="0"/>
        <v>0</v>
      </c>
      <c r="I27" s="70">
        <f>(H27*[1]Summary!$C$6)</f>
        <v>0</v>
      </c>
      <c r="J27" s="65"/>
      <c r="K27" s="30"/>
    </row>
    <row r="28" spans="1:13" ht="15" x14ac:dyDescent="0.2">
      <c r="A28" s="56">
        <v>44706</v>
      </c>
      <c r="B28" s="43">
        <v>2</v>
      </c>
      <c r="C28" s="43">
        <v>8.3000000000000007</v>
      </c>
      <c r="D28" s="76">
        <v>18</v>
      </c>
      <c r="E28" s="73">
        <f t="shared" si="1"/>
        <v>9.6999999999999993</v>
      </c>
      <c r="F28" s="39">
        <v>1619643.5</v>
      </c>
      <c r="G28" s="42">
        <v>1619952.5</v>
      </c>
      <c r="H28" s="41">
        <f t="shared" si="0"/>
        <v>309</v>
      </c>
      <c r="I28" s="70">
        <f>(H28*[1]Summary!$C$6)</f>
        <v>877.56</v>
      </c>
      <c r="J28" s="65"/>
      <c r="K28" s="30"/>
    </row>
    <row r="29" spans="1:13" ht="15" x14ac:dyDescent="0.2">
      <c r="A29" s="56">
        <v>44707</v>
      </c>
      <c r="B29" s="43" t="s">
        <v>59</v>
      </c>
      <c r="C29" s="43"/>
      <c r="D29" s="76"/>
      <c r="E29" s="73">
        <f t="shared" si="1"/>
        <v>0</v>
      </c>
      <c r="F29" s="39"/>
      <c r="G29" s="42"/>
      <c r="H29" s="41">
        <f t="shared" si="0"/>
        <v>0</v>
      </c>
      <c r="I29" s="70">
        <f>(H29*[1]Summary!$C$6)</f>
        <v>0</v>
      </c>
      <c r="J29" s="65"/>
      <c r="K29" s="30"/>
    </row>
    <row r="30" spans="1:13" ht="15" x14ac:dyDescent="0.2">
      <c r="A30" s="56">
        <v>44708</v>
      </c>
      <c r="B30" s="38">
        <v>2</v>
      </c>
      <c r="C30" s="38">
        <v>8</v>
      </c>
      <c r="D30" s="75">
        <v>20.3</v>
      </c>
      <c r="E30" s="73">
        <f t="shared" si="1"/>
        <v>12.3</v>
      </c>
      <c r="F30" s="39">
        <v>1619952.5</v>
      </c>
      <c r="G30" s="40">
        <v>1620320</v>
      </c>
      <c r="H30" s="41">
        <f t="shared" si="0"/>
        <v>367.5</v>
      </c>
      <c r="I30" s="70">
        <f>(H30*[1]Summary!$C$6)</f>
        <v>1043.7</v>
      </c>
      <c r="J30" s="65"/>
      <c r="K30" s="30"/>
    </row>
    <row r="31" spans="1:13" ht="15" x14ac:dyDescent="0.2">
      <c r="A31" s="56">
        <v>44709</v>
      </c>
      <c r="B31" s="38">
        <v>2</v>
      </c>
      <c r="C31" s="38">
        <v>8.4</v>
      </c>
      <c r="D31" s="75">
        <v>18</v>
      </c>
      <c r="E31" s="73">
        <f t="shared" si="1"/>
        <v>9.6</v>
      </c>
      <c r="F31" s="39">
        <v>1620320</v>
      </c>
      <c r="G31" s="40">
        <v>1620628</v>
      </c>
      <c r="H31" s="41">
        <f t="shared" si="0"/>
        <v>308</v>
      </c>
      <c r="I31" s="70">
        <f>(H31*[1]Summary!$C$6)</f>
        <v>874.71999999999991</v>
      </c>
      <c r="J31" s="65"/>
      <c r="K31" s="30"/>
    </row>
    <row r="32" spans="1:13" ht="15" x14ac:dyDescent="0.2">
      <c r="A32" s="56">
        <v>44710</v>
      </c>
      <c r="B32" s="38">
        <v>2</v>
      </c>
      <c r="C32" s="38">
        <v>8.4</v>
      </c>
      <c r="D32" s="75">
        <v>18</v>
      </c>
      <c r="E32" s="73">
        <f t="shared" si="1"/>
        <v>9.6</v>
      </c>
      <c r="F32" s="39">
        <v>1620628</v>
      </c>
      <c r="G32" s="40">
        <v>1620922.2</v>
      </c>
      <c r="H32" s="41">
        <f t="shared" si="0"/>
        <v>294.19999999995343</v>
      </c>
      <c r="I32" s="70">
        <f>(H32*[1]Summary!$C$6)</f>
        <v>835.52799999986769</v>
      </c>
      <c r="J32" s="65"/>
      <c r="K32" s="30"/>
    </row>
    <row r="33" spans="1:13" ht="15" x14ac:dyDescent="0.2">
      <c r="A33" s="56">
        <v>44711</v>
      </c>
      <c r="B33" s="38">
        <v>2</v>
      </c>
      <c r="C33" s="38">
        <v>8.3000000000000007</v>
      </c>
      <c r="D33" s="75">
        <v>18</v>
      </c>
      <c r="E33" s="73">
        <f t="shared" si="1"/>
        <v>9.6999999999999993</v>
      </c>
      <c r="F33" s="39">
        <v>1620922.2</v>
      </c>
      <c r="G33" s="40">
        <v>1621210.5</v>
      </c>
      <c r="H33" s="41">
        <f t="shared" si="0"/>
        <v>288.30000000004657</v>
      </c>
      <c r="I33" s="69">
        <f>(H33*[1]Summary!$C$6)</f>
        <v>818.77200000013215</v>
      </c>
      <c r="J33" s="64"/>
      <c r="K33" s="30"/>
    </row>
    <row r="34" spans="1:13" ht="15" x14ac:dyDescent="0.2">
      <c r="A34" s="56">
        <v>44712</v>
      </c>
      <c r="B34" s="38" t="s">
        <v>59</v>
      </c>
      <c r="C34" s="38"/>
      <c r="D34" s="75"/>
      <c r="E34" s="73">
        <f t="shared" si="1"/>
        <v>0</v>
      </c>
      <c r="F34" s="39"/>
      <c r="G34" s="40"/>
      <c r="H34" s="41">
        <f t="shared" si="0"/>
        <v>0</v>
      </c>
      <c r="I34" s="68"/>
      <c r="J34" s="64">
        <v>-70</v>
      </c>
      <c r="K34" s="94" t="s">
        <v>57</v>
      </c>
      <c r="L34" s="95"/>
      <c r="M34" s="95"/>
    </row>
    <row r="35" spans="1:13" x14ac:dyDescent="0.2">
      <c r="A35" s="37"/>
      <c r="B35" s="38"/>
      <c r="C35" s="38"/>
      <c r="D35" s="75"/>
      <c r="E35" s="74"/>
      <c r="F35" s="45"/>
      <c r="G35" s="40"/>
      <c r="H35" s="46"/>
      <c r="I35" s="68"/>
      <c r="J35" s="88">
        <f>SUM(J4:J34)-H36</f>
        <v>2325.1999999998607</v>
      </c>
      <c r="K35" s="30"/>
    </row>
    <row r="36" spans="1:13" x14ac:dyDescent="0.2">
      <c r="A36" s="84" t="s">
        <v>30</v>
      </c>
      <c r="B36" s="85"/>
      <c r="C36" s="38"/>
      <c r="D36" s="75"/>
      <c r="E36" s="74"/>
      <c r="F36" s="47"/>
      <c r="G36" s="48"/>
      <c r="H36" s="33">
        <f>SUM(H4:H34)</f>
        <v>9152.9000000001397</v>
      </c>
      <c r="I36" s="71">
        <f>SUM(I4:I34)</f>
        <v>25994.236000000397</v>
      </c>
      <c r="J36" s="88"/>
    </row>
    <row r="37" spans="1:13" x14ac:dyDescent="0.2">
      <c r="A37" s="49">
        <f>COUNT(A4:A34)</f>
        <v>31</v>
      </c>
      <c r="D37" s="29"/>
    </row>
    <row r="38" spans="1:13" x14ac:dyDescent="0.2">
      <c r="F38" s="51"/>
      <c r="G38" s="35"/>
      <c r="H38" s="35"/>
    </row>
    <row r="39" spans="1:13" ht="15.75" x14ac:dyDescent="0.25">
      <c r="A39" s="52" t="s">
        <v>60</v>
      </c>
    </row>
  </sheetData>
  <mergeCells count="7">
    <mergeCell ref="A36:B36"/>
    <mergeCell ref="J35:J36"/>
    <mergeCell ref="K4:M4"/>
    <mergeCell ref="K5:M5"/>
    <mergeCell ref="K9:M9"/>
    <mergeCell ref="K24:M24"/>
    <mergeCell ref="K34:M34"/>
  </mergeCells>
  <pageMargins left="0.21" right="0.21" top="0.57999999999999996" bottom="0.69" header="0.5" footer="0.5"/>
  <pageSetup paperSize="9" scale="7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TOTAL</vt:lpstr>
      <vt:lpstr>B16</vt:lpstr>
      <vt:lpstr>B16 ext</vt:lpstr>
      <vt:lpstr>B17</vt:lpstr>
      <vt:lpstr>Water Reading</vt:lpstr>
      <vt:lpstr>Diesel Reading May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Adi Ezani</dc:creator>
  <cp:keywords/>
  <dc:description/>
  <cp:lastModifiedBy>Michael Casey</cp:lastModifiedBy>
  <cp:revision/>
  <dcterms:created xsi:type="dcterms:W3CDTF">2010-04-20T02:02:44Z</dcterms:created>
  <dcterms:modified xsi:type="dcterms:W3CDTF">2022-06-06T05:59:54Z</dcterms:modified>
  <cp:category/>
  <cp:contentStatus/>
</cp:coreProperties>
</file>