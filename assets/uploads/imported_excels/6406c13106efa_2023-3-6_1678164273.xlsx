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ZHFP2\Share\Engineering\ALL\秘书\FS Shenzhen_HEP_Daily\"/>
    </mc:Choice>
  </mc:AlternateContent>
  <bookViews>
    <workbookView xWindow="0" yWindow="0" windowWidth="28770" windowHeight="11205" tabRatio="620"/>
  </bookViews>
  <sheets>
    <sheet name="TOTAL" sheetId="117" r:id="rId1"/>
    <sheet name="Shenzhen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19" l="1"/>
  <c r="I31" i="117" s="1"/>
  <c r="H35" i="119"/>
  <c r="I32" i="117"/>
  <c r="F35" i="119"/>
  <c r="D35" i="119"/>
  <c r="B32" i="117"/>
  <c r="G32" i="117"/>
  <c r="K32" i="117"/>
  <c r="L32" i="117"/>
  <c r="K3" i="117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K14" i="117"/>
  <c r="L14" i="117"/>
  <c r="K15" i="117"/>
  <c r="L15" i="117"/>
  <c r="K16" i="117"/>
  <c r="L16" i="117"/>
  <c r="K17" i="117"/>
  <c r="L17" i="117"/>
  <c r="K18" i="117"/>
  <c r="L18" i="117"/>
  <c r="K19" i="117"/>
  <c r="L19" i="117"/>
  <c r="K20" i="117"/>
  <c r="L20" i="117"/>
  <c r="K21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K30" i="117"/>
  <c r="L30" i="117"/>
  <c r="K31" i="117"/>
  <c r="L31" i="117"/>
  <c r="L2" i="117"/>
  <c r="K2" i="117"/>
  <c r="H5" i="119"/>
  <c r="I2" i="117" s="1"/>
  <c r="F14" i="119"/>
  <c r="G11" i="117" s="1"/>
  <c r="F16" i="119"/>
  <c r="G13" i="117"/>
  <c r="F22" i="119"/>
  <c r="G19" i="117" s="1"/>
  <c r="F24" i="119"/>
  <c r="G21" i="117"/>
  <c r="D18" i="119"/>
  <c r="D26" i="119"/>
  <c r="D33" i="119"/>
  <c r="D34" i="119"/>
  <c r="F34" i="119"/>
  <c r="G31" i="117" s="1"/>
  <c r="H33" i="119"/>
  <c r="I30" i="117" s="1"/>
  <c r="F33" i="119"/>
  <c r="G30" i="117" s="1"/>
  <c r="H32" i="119"/>
  <c r="I29" i="117" s="1"/>
  <c r="F32" i="119"/>
  <c r="G29" i="117" s="1"/>
  <c r="D32" i="119"/>
  <c r="H31" i="119"/>
  <c r="I28" i="117" s="1"/>
  <c r="F31" i="119"/>
  <c r="G28" i="117"/>
  <c r="D31" i="119"/>
  <c r="H30" i="119"/>
  <c r="I27" i="117"/>
  <c r="F30" i="119"/>
  <c r="G27" i="117" s="1"/>
  <c r="D30" i="119"/>
  <c r="H29" i="119"/>
  <c r="I26" i="117" s="1"/>
  <c r="F29" i="119"/>
  <c r="G26" i="117"/>
  <c r="D29" i="119"/>
  <c r="H28" i="119"/>
  <c r="I25" i="117" s="1"/>
  <c r="F28" i="119"/>
  <c r="G25" i="117" s="1"/>
  <c r="D28" i="119"/>
  <c r="H27" i="119"/>
  <c r="I24" i="117"/>
  <c r="F27" i="119"/>
  <c r="G24" i="117"/>
  <c r="D27" i="119"/>
  <c r="H26" i="119"/>
  <c r="I23" i="117" s="1"/>
  <c r="F26" i="119"/>
  <c r="G23" i="117" s="1"/>
  <c r="H25" i="119"/>
  <c r="I22" i="117" s="1"/>
  <c r="F25" i="119"/>
  <c r="G22" i="117" s="1"/>
  <c r="D25" i="119"/>
  <c r="H24" i="119"/>
  <c r="I21" i="117" s="1"/>
  <c r="D24" i="119"/>
  <c r="H23" i="119"/>
  <c r="I20" i="117" s="1"/>
  <c r="F23" i="119"/>
  <c r="G20" i="117"/>
  <c r="D23" i="119"/>
  <c r="H22" i="119"/>
  <c r="I19" i="117"/>
  <c r="D22" i="119"/>
  <c r="H21" i="119"/>
  <c r="I18" i="117"/>
  <c r="F21" i="119"/>
  <c r="G18" i="117" s="1"/>
  <c r="D21" i="119"/>
  <c r="H20" i="119"/>
  <c r="I17" i="117" s="1"/>
  <c r="F20" i="119"/>
  <c r="G17" i="117"/>
  <c r="D20" i="119"/>
  <c r="H19" i="119"/>
  <c r="I16" i="117" s="1"/>
  <c r="F19" i="119"/>
  <c r="G16" i="117" s="1"/>
  <c r="D19" i="119"/>
  <c r="H18" i="119"/>
  <c r="I15" i="117"/>
  <c r="F18" i="119"/>
  <c r="G15" i="117"/>
  <c r="H17" i="119"/>
  <c r="I14" i="117"/>
  <c r="F17" i="119"/>
  <c r="G14" i="117"/>
  <c r="D17" i="119"/>
  <c r="H16" i="119"/>
  <c r="I13" i="117" s="1"/>
  <c r="D16" i="119"/>
  <c r="H15" i="119"/>
  <c r="I12" i="117" s="1"/>
  <c r="F15" i="119"/>
  <c r="G12" i="117" s="1"/>
  <c r="D15" i="119"/>
  <c r="H14" i="119"/>
  <c r="I11" i="117" s="1"/>
  <c r="D14" i="119"/>
  <c r="H13" i="119"/>
  <c r="I10" i="117" s="1"/>
  <c r="F13" i="119"/>
  <c r="G10" i="117"/>
  <c r="D13" i="119"/>
  <c r="H12" i="119"/>
  <c r="I9" i="117" s="1"/>
  <c r="F12" i="119"/>
  <c r="G9" i="117" s="1"/>
  <c r="D12" i="119"/>
  <c r="H11" i="119"/>
  <c r="I8" i="117" s="1"/>
  <c r="F11" i="119"/>
  <c r="G8" i="117"/>
  <c r="D11" i="119"/>
  <c r="H10" i="119"/>
  <c r="I7" i="117"/>
  <c r="F10" i="119"/>
  <c r="G7" i="117" s="1"/>
  <c r="D10" i="119"/>
  <c r="H9" i="119"/>
  <c r="I6" i="117" s="1"/>
  <c r="F9" i="119"/>
  <c r="G6" i="117"/>
  <c r="D9" i="119"/>
  <c r="H8" i="119"/>
  <c r="I5" i="117" s="1"/>
  <c r="F8" i="119"/>
  <c r="G5" i="117" s="1"/>
  <c r="D8" i="119"/>
  <c r="H7" i="119"/>
  <c r="I4" i="117"/>
  <c r="F7" i="119"/>
  <c r="G4" i="117"/>
  <c r="D7" i="119"/>
  <c r="H6" i="119"/>
  <c r="I3" i="117" s="1"/>
  <c r="F6" i="119"/>
  <c r="G3" i="117" s="1"/>
  <c r="D6" i="119"/>
  <c r="F5" i="119"/>
  <c r="G2" i="117" s="1"/>
  <c r="D5" i="119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</calcChain>
</file>

<file path=xl/sharedStrings.xml><?xml version="1.0" encoding="utf-8"?>
<sst xmlns="http://schemas.openxmlformats.org/spreadsheetml/2006/main" count="56" uniqueCount="25">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</sst>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60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3" fillId="0" borderId="10" xfId="11" applyNumberFormat="1" applyFont="1" applyBorder="1" applyAlignment="1">
      <alignment horizontal="center" vertical="center"/>
    </xf>
    <xf numFmtId="1" fontId="1" fillId="0" borderId="10" xfId="11" applyNumberFormat="1" applyBorder="1" applyAlignment="1">
      <alignment horizontal="center"/>
    </xf>
    <xf numFmtId="0" fontId="1" fillId="0" borderId="1" xfId="11" applyBorder="1"/>
    <xf numFmtId="0" fontId="1" fillId="9" borderId="1" xfId="11" applyFill="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1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0" fillId="9" borderId="14" xfId="0" applyFill="1" applyBorder="1"/>
    <xf numFmtId="1" fontId="8" fillId="0" borderId="15" xfId="11" applyNumberFormat="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6" fillId="7" borderId="14" xfId="11" applyFont="1" applyFill="1" applyBorder="1" applyAlignment="1">
      <alignment horizontal="center" vertical="center" wrapText="1"/>
    </xf>
    <xf numFmtId="0" fontId="7" fillId="0" borderId="15" xfId="11" applyFont="1" applyBorder="1" applyAlignment="1">
      <alignment horizontal="center"/>
    </xf>
    <xf numFmtId="1" fontId="13" fillId="0" borderId="16" xfId="11" applyNumberFormat="1" applyFont="1" applyBorder="1" applyAlignment="1">
      <alignment horizontal="center" vertical="center"/>
    </xf>
    <xf numFmtId="0" fontId="7" fillId="0" borderId="11" xfId="11" applyFont="1" applyBorder="1"/>
    <xf numFmtId="1" fontId="13" fillId="0" borderId="9" xfId="11" applyNumberFormat="1" applyFont="1" applyBorder="1" applyAlignment="1">
      <alignment horizontal="center" vertical="center"/>
    </xf>
    <xf numFmtId="0" fontId="1" fillId="10" borderId="12" xfId="11" applyFill="1" applyBorder="1"/>
    <xf numFmtId="1" fontId="13" fillId="0" borderId="17" xfId="11" applyNumberFormat="1" applyFont="1" applyBorder="1" applyAlignment="1">
      <alignment horizontal="center" vertical="center"/>
    </xf>
    <xf numFmtId="0" fontId="1" fillId="9" borderId="14" xfId="11" applyFill="1" applyBorder="1" applyAlignment="1">
      <alignment horizontal="center"/>
    </xf>
    <xf numFmtId="0" fontId="9" fillId="2" borderId="1" xfId="11" applyFont="1" applyFill="1" applyBorder="1" applyAlignment="1">
      <alignment horizontal="center"/>
    </xf>
    <xf numFmtId="0" fontId="9" fillId="2" borderId="12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topLeftCell="A2" workbookViewId="0">
      <selection activeCell="Q11" sqref="P10:Q11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24</v>
      </c>
      <c r="H1" s="4" t="s">
        <v>22</v>
      </c>
      <c r="I1" s="3" t="s">
        <v>7</v>
      </c>
      <c r="J1" s="5" t="s">
        <v>8</v>
      </c>
      <c r="K1" s="3" t="s">
        <v>9</v>
      </c>
      <c r="L1" s="3" t="s">
        <v>0</v>
      </c>
    </row>
    <row r="2" spans="1:12" ht="15" x14ac:dyDescent="0.25">
      <c r="A2" s="6" t="s">
        <v>23</v>
      </c>
      <c r="B2" s="7">
        <v>1</v>
      </c>
      <c r="C2" s="8">
        <v>12</v>
      </c>
      <c r="D2" s="7">
        <v>2022</v>
      </c>
      <c r="E2" s="9">
        <v>19224.999999997657</v>
      </c>
      <c r="F2" s="30">
        <v>0.93</v>
      </c>
      <c r="G2" s="9">
        <f>'Shenzhen Daily'!F5</f>
        <v>1364</v>
      </c>
      <c r="H2" s="30">
        <v>4.3899999999999997</v>
      </c>
      <c r="I2" s="9">
        <f>'Shenzhen Daily'!H5</f>
        <v>360</v>
      </c>
      <c r="J2" s="30">
        <v>1.72</v>
      </c>
      <c r="K2" s="9">
        <f>'Shenzhen Daily'!I5</f>
        <v>102.9952</v>
      </c>
      <c r="L2" s="9">
        <f>'Shenzhen Daily'!J5</f>
        <v>252</v>
      </c>
    </row>
    <row r="3" spans="1:12" ht="15" x14ac:dyDescent="0.25">
      <c r="A3" s="6" t="s">
        <v>23</v>
      </c>
      <c r="B3" s="7">
        <f>B2+1</f>
        <v>2</v>
      </c>
      <c r="C3" s="8">
        <v>12</v>
      </c>
      <c r="D3" s="7">
        <v>2022</v>
      </c>
      <c r="E3" s="9">
        <v>18580.000000000593</v>
      </c>
      <c r="F3" s="30">
        <v>0.93</v>
      </c>
      <c r="G3" s="9">
        <f>'Shenzhen Daily'!F6</f>
        <v>1451</v>
      </c>
      <c r="H3" s="30">
        <v>4.3899999999999997</v>
      </c>
      <c r="I3" s="9">
        <f>'Shenzhen Daily'!H6</f>
        <v>236</v>
      </c>
      <c r="J3" s="30">
        <v>1.72</v>
      </c>
      <c r="K3" s="9">
        <f>'Shenzhen Daily'!I6</f>
        <v>97.010200000000012</v>
      </c>
      <c r="L3" s="9">
        <f>'Shenzhen Daily'!J6</f>
        <v>229</v>
      </c>
    </row>
    <row r="4" spans="1:12" ht="15" x14ac:dyDescent="0.25">
      <c r="A4" s="6" t="s">
        <v>23</v>
      </c>
      <c r="B4" s="7">
        <f t="shared" ref="B4:B32" si="0">B3+1</f>
        <v>3</v>
      </c>
      <c r="C4" s="8">
        <v>12</v>
      </c>
      <c r="D4" s="7">
        <v>2022</v>
      </c>
      <c r="E4" s="9">
        <v>21210.000000000473</v>
      </c>
      <c r="F4" s="30">
        <v>0.93</v>
      </c>
      <c r="G4" s="9">
        <f>'Shenzhen Daily'!F7</f>
        <v>1646</v>
      </c>
      <c r="H4" s="30">
        <v>4.3899999999999997</v>
      </c>
      <c r="I4" s="9">
        <f>'Shenzhen Daily'!H7</f>
        <v>419</v>
      </c>
      <c r="J4" s="30">
        <v>1.72</v>
      </c>
      <c r="K4" s="9">
        <f>'Shenzhen Daily'!I7</f>
        <v>124.00920000000001</v>
      </c>
      <c r="L4" s="9">
        <f>'Shenzhen Daily'!J7</f>
        <v>324</v>
      </c>
    </row>
    <row r="5" spans="1:12" ht="15" x14ac:dyDescent="0.25">
      <c r="A5" s="6" t="s">
        <v>23</v>
      </c>
      <c r="B5" s="7">
        <f t="shared" si="0"/>
        <v>4</v>
      </c>
      <c r="C5" s="8">
        <v>12</v>
      </c>
      <c r="D5" s="7">
        <v>2022</v>
      </c>
      <c r="E5" s="9">
        <v>21873.000000000124</v>
      </c>
      <c r="F5" s="30">
        <v>0.93</v>
      </c>
      <c r="G5" s="9">
        <f>'Shenzhen Daily'!F8</f>
        <v>1332</v>
      </c>
      <c r="H5" s="30">
        <v>4.3899999999999997</v>
      </c>
      <c r="I5" s="9">
        <f>'Shenzhen Daily'!H8</f>
        <v>341</v>
      </c>
      <c r="J5" s="30">
        <v>1.72</v>
      </c>
      <c r="K5" s="9">
        <f>'Shenzhen Daily'!I8</f>
        <v>133</v>
      </c>
      <c r="L5" s="9">
        <f>'Shenzhen Daily'!J8</f>
        <v>234</v>
      </c>
    </row>
    <row r="6" spans="1:12" ht="15" x14ac:dyDescent="0.25">
      <c r="A6" s="6" t="s">
        <v>23</v>
      </c>
      <c r="B6" s="7">
        <f t="shared" si="0"/>
        <v>5</v>
      </c>
      <c r="C6" s="8">
        <v>12</v>
      </c>
      <c r="D6" s="7">
        <v>2022</v>
      </c>
      <c r="E6" s="9">
        <v>21306.000000000073</v>
      </c>
      <c r="F6" s="30">
        <v>0.93</v>
      </c>
      <c r="G6" s="9">
        <f>'Shenzhen Daily'!F9</f>
        <v>1395</v>
      </c>
      <c r="H6" s="30">
        <v>4.3899999999999997</v>
      </c>
      <c r="I6" s="9">
        <f>'Shenzhen Daily'!H9</f>
        <v>423</v>
      </c>
      <c r="J6" s="30">
        <v>1.72</v>
      </c>
      <c r="K6" s="9">
        <f>'Shenzhen Daily'!I9</f>
        <v>119.9926</v>
      </c>
      <c r="L6" s="9">
        <f>'Shenzhen Daily'!J9</f>
        <v>248</v>
      </c>
    </row>
    <row r="7" spans="1:12" ht="15" x14ac:dyDescent="0.25">
      <c r="A7" s="6" t="s">
        <v>23</v>
      </c>
      <c r="B7" s="7">
        <f t="shared" si="0"/>
        <v>6</v>
      </c>
      <c r="C7" s="8">
        <v>12</v>
      </c>
      <c r="D7" s="7">
        <v>2022</v>
      </c>
      <c r="E7" s="9">
        <v>18261.000000000393</v>
      </c>
      <c r="F7" s="30">
        <v>0.93</v>
      </c>
      <c r="G7" s="9">
        <f>'Shenzhen Daily'!F10</f>
        <v>1398</v>
      </c>
      <c r="H7" s="30">
        <v>4.3899999999999997</v>
      </c>
      <c r="I7" s="9">
        <f>'Shenzhen Daily'!H10</f>
        <v>303</v>
      </c>
      <c r="J7" s="30">
        <v>1.72</v>
      </c>
      <c r="K7" s="9">
        <f>'Shenzhen Daily'!I10</f>
        <v>181.01300000000001</v>
      </c>
      <c r="L7" s="9">
        <f>'Shenzhen Daily'!J10</f>
        <v>387</v>
      </c>
    </row>
    <row r="8" spans="1:12" ht="15" x14ac:dyDescent="0.25">
      <c r="A8" s="6" t="s">
        <v>23</v>
      </c>
      <c r="B8" s="7">
        <f t="shared" si="0"/>
        <v>7</v>
      </c>
      <c r="C8" s="8">
        <v>12</v>
      </c>
      <c r="D8" s="7">
        <v>2022</v>
      </c>
      <c r="E8" s="9">
        <v>20761.999999999607</v>
      </c>
      <c r="F8" s="30">
        <v>0.93</v>
      </c>
      <c r="G8" s="9">
        <f>'Shenzhen Daily'!F11</f>
        <v>1476</v>
      </c>
      <c r="H8" s="30">
        <v>4.3899999999999997</v>
      </c>
      <c r="I8" s="9">
        <f>'Shenzhen Daily'!H11</f>
        <v>335</v>
      </c>
      <c r="J8" s="30">
        <v>1.72</v>
      </c>
      <c r="K8" s="9">
        <f>'Shenzhen Daily'!I11</f>
        <v>195.00459999999998</v>
      </c>
      <c r="L8" s="9">
        <f>'Shenzhen Daily'!J11</f>
        <v>387</v>
      </c>
    </row>
    <row r="9" spans="1:12" ht="15" x14ac:dyDescent="0.25">
      <c r="A9" s="6" t="s">
        <v>23</v>
      </c>
      <c r="B9" s="7">
        <f t="shared" si="0"/>
        <v>8</v>
      </c>
      <c r="C9" s="8">
        <v>12</v>
      </c>
      <c r="D9" s="7">
        <v>2022</v>
      </c>
      <c r="E9" s="9">
        <v>20885.999999999764</v>
      </c>
      <c r="F9" s="30">
        <v>0.93</v>
      </c>
      <c r="G9" s="9">
        <f>'Shenzhen Daily'!F12</f>
        <v>1398</v>
      </c>
      <c r="H9" s="30">
        <v>4.3899999999999997</v>
      </c>
      <c r="I9" s="9">
        <f>'Shenzhen Daily'!H12</f>
        <v>349</v>
      </c>
      <c r="J9" s="30">
        <v>1.72</v>
      </c>
      <c r="K9" s="9">
        <f>'Shenzhen Daily'!I12</f>
        <v>205.00620000000001</v>
      </c>
      <c r="L9" s="9">
        <f>'Shenzhen Daily'!J12</f>
        <v>381</v>
      </c>
    </row>
    <row r="10" spans="1:12" ht="15" x14ac:dyDescent="0.25">
      <c r="A10" s="6" t="s">
        <v>23</v>
      </c>
      <c r="B10" s="7">
        <f t="shared" si="0"/>
        <v>9</v>
      </c>
      <c r="C10" s="8">
        <v>12</v>
      </c>
      <c r="D10" s="7">
        <v>2022</v>
      </c>
      <c r="E10" s="9">
        <v>22673.999999999887</v>
      </c>
      <c r="F10" s="30">
        <v>0.93</v>
      </c>
      <c r="G10" s="9">
        <f>'Shenzhen Daily'!F13</f>
        <v>1565</v>
      </c>
      <c r="H10" s="30">
        <v>4.3899999999999997</v>
      </c>
      <c r="I10" s="9">
        <f>'Shenzhen Daily'!H13</f>
        <v>355</v>
      </c>
      <c r="J10" s="30">
        <v>1.72</v>
      </c>
      <c r="K10" s="9">
        <f>'Shenzhen Daily'!I13</f>
        <v>173.9906</v>
      </c>
      <c r="L10" s="9">
        <f>'Shenzhen Daily'!J13</f>
        <v>362</v>
      </c>
    </row>
    <row r="11" spans="1:12" ht="15" x14ac:dyDescent="0.25">
      <c r="A11" s="6" t="s">
        <v>23</v>
      </c>
      <c r="B11" s="7">
        <f t="shared" si="0"/>
        <v>10</v>
      </c>
      <c r="C11" s="8">
        <v>12</v>
      </c>
      <c r="D11" s="7">
        <v>2022</v>
      </c>
      <c r="E11" s="9">
        <v>19957.000000000062</v>
      </c>
      <c r="F11" s="30">
        <v>0.93</v>
      </c>
      <c r="G11" s="9">
        <f>'Shenzhen Daily'!F14</f>
        <v>1589</v>
      </c>
      <c r="H11" s="30">
        <v>4.3899999999999997</v>
      </c>
      <c r="I11" s="9">
        <f>'Shenzhen Daily'!H14</f>
        <v>333</v>
      </c>
      <c r="J11" s="30">
        <v>1.72</v>
      </c>
      <c r="K11" s="9">
        <f>'Shenzhen Daily'!I14</f>
        <v>210.00700000000001</v>
      </c>
      <c r="L11" s="9">
        <f>'Shenzhen Daily'!J14</f>
        <v>308</v>
      </c>
    </row>
    <row r="12" spans="1:12" ht="15" x14ac:dyDescent="0.25">
      <c r="A12" s="6" t="s">
        <v>23</v>
      </c>
      <c r="B12" s="7">
        <f t="shared" si="0"/>
        <v>11</v>
      </c>
      <c r="C12" s="8">
        <v>12</v>
      </c>
      <c r="D12" s="7">
        <v>2022</v>
      </c>
      <c r="E12" s="9">
        <v>20377.000000000709</v>
      </c>
      <c r="F12" s="30">
        <v>0.93</v>
      </c>
      <c r="G12" s="9">
        <f>'Shenzhen Daily'!F15</f>
        <v>1495</v>
      </c>
      <c r="H12" s="30">
        <v>4.3899999999999997</v>
      </c>
      <c r="I12" s="9">
        <f>'Shenzhen Daily'!H15</f>
        <v>341</v>
      </c>
      <c r="J12" s="30">
        <v>1.72</v>
      </c>
      <c r="K12" s="9">
        <f>'Shenzhen Daily'!I15</f>
        <v>193.00960000000001</v>
      </c>
      <c r="L12" s="9">
        <f>'Shenzhen Daily'!J15</f>
        <v>237</v>
      </c>
    </row>
    <row r="13" spans="1:12" ht="15" x14ac:dyDescent="0.25">
      <c r="A13" s="6" t="s">
        <v>23</v>
      </c>
      <c r="B13" s="7">
        <f t="shared" si="0"/>
        <v>12</v>
      </c>
      <c r="C13" s="8">
        <v>12</v>
      </c>
      <c r="D13" s="7">
        <v>2022</v>
      </c>
      <c r="E13" s="9">
        <v>17375.99999999857</v>
      </c>
      <c r="F13" s="30">
        <v>0.93</v>
      </c>
      <c r="G13" s="9">
        <f>'Shenzhen Daily'!F16</f>
        <v>1382</v>
      </c>
      <c r="H13" s="30">
        <v>4.3899999999999997</v>
      </c>
      <c r="I13" s="9">
        <f>'Shenzhen Daily'!H16</f>
        <v>325</v>
      </c>
      <c r="J13" s="30">
        <v>1.72</v>
      </c>
      <c r="K13" s="9">
        <f>'Shenzhen Daily'!I16</f>
        <v>178.00720000000001</v>
      </c>
      <c r="L13" s="9">
        <f>'Shenzhen Daily'!J16</f>
        <v>270</v>
      </c>
    </row>
    <row r="14" spans="1:12" ht="15" x14ac:dyDescent="0.25">
      <c r="A14" s="6" t="s">
        <v>23</v>
      </c>
      <c r="B14" s="7">
        <f t="shared" si="0"/>
        <v>13</v>
      </c>
      <c r="C14" s="8">
        <v>12</v>
      </c>
      <c r="D14" s="7">
        <v>2022</v>
      </c>
      <c r="E14" s="9">
        <v>19484.000000000713</v>
      </c>
      <c r="F14" s="30">
        <v>0.93</v>
      </c>
      <c r="G14" s="9">
        <f>'Shenzhen Daily'!F17</f>
        <v>1510</v>
      </c>
      <c r="H14" s="30">
        <v>4.3899999999999997</v>
      </c>
      <c r="I14" s="9">
        <f>'Shenzhen Daily'!H17</f>
        <v>325</v>
      </c>
      <c r="J14" s="30">
        <v>1.72</v>
      </c>
      <c r="K14" s="9">
        <f>'Shenzhen Daily'!I17</f>
        <v>166.01060000000001</v>
      </c>
      <c r="L14" s="9">
        <f>'Shenzhen Daily'!J17</f>
        <v>277</v>
      </c>
    </row>
    <row r="15" spans="1:12" ht="15" x14ac:dyDescent="0.25">
      <c r="A15" s="6" t="s">
        <v>23</v>
      </c>
      <c r="B15" s="7">
        <f t="shared" si="0"/>
        <v>14</v>
      </c>
      <c r="C15" s="8">
        <v>12</v>
      </c>
      <c r="D15" s="7">
        <v>2022</v>
      </c>
      <c r="E15" s="9">
        <v>19508.000000001084</v>
      </c>
      <c r="F15" s="30">
        <v>0.93</v>
      </c>
      <c r="G15" s="9">
        <f>'Shenzhen Daily'!F18</f>
        <v>1644</v>
      </c>
      <c r="H15" s="30">
        <v>4.3899999999999997</v>
      </c>
      <c r="I15" s="9">
        <f>'Shenzhen Daily'!H18</f>
        <v>291</v>
      </c>
      <c r="J15" s="30">
        <v>1.72</v>
      </c>
      <c r="K15" s="9">
        <f>'Shenzhen Daily'!I18</f>
        <v>213.99699999999999</v>
      </c>
      <c r="L15" s="9">
        <f>'Shenzhen Daily'!J18</f>
        <v>329</v>
      </c>
    </row>
    <row r="16" spans="1:12" ht="15" x14ac:dyDescent="0.25">
      <c r="A16" s="6" t="s">
        <v>23</v>
      </c>
      <c r="B16" s="7">
        <f t="shared" si="0"/>
        <v>15</v>
      </c>
      <c r="C16" s="8">
        <v>12</v>
      </c>
      <c r="D16" s="7">
        <v>2022</v>
      </c>
      <c r="E16" s="9">
        <v>19787.999999999545</v>
      </c>
      <c r="F16" s="30">
        <v>0.93</v>
      </c>
      <c r="G16" s="9">
        <f>'Shenzhen Daily'!F19</f>
        <v>1739</v>
      </c>
      <c r="H16" s="30">
        <v>4.3899999999999997</v>
      </c>
      <c r="I16" s="9">
        <f>'Shenzhen Daily'!H19</f>
        <v>299</v>
      </c>
      <c r="J16" s="30">
        <v>1.72</v>
      </c>
      <c r="K16" s="9">
        <f>'Shenzhen Daily'!I19</f>
        <v>232.98939999999999</v>
      </c>
      <c r="L16" s="9">
        <f>'Shenzhen Daily'!J19</f>
        <v>370</v>
      </c>
    </row>
    <row r="17" spans="1:12" ht="15" x14ac:dyDescent="0.25">
      <c r="A17" s="6" t="s">
        <v>23</v>
      </c>
      <c r="B17" s="7">
        <f t="shared" si="0"/>
        <v>16</v>
      </c>
      <c r="C17" s="8">
        <v>12</v>
      </c>
      <c r="D17" s="7">
        <v>2022</v>
      </c>
      <c r="E17" s="9">
        <v>20214.999999999629</v>
      </c>
      <c r="F17" s="30">
        <v>0.93</v>
      </c>
      <c r="G17" s="9">
        <f>'Shenzhen Daily'!F20</f>
        <v>1847</v>
      </c>
      <c r="H17" s="30">
        <v>4.3899999999999997</v>
      </c>
      <c r="I17" s="9">
        <f>'Shenzhen Daily'!H20</f>
        <v>370</v>
      </c>
      <c r="J17" s="30">
        <v>1.72</v>
      </c>
      <c r="K17" s="9">
        <f>'Shenzhen Daily'!I20</f>
        <v>225.99360000000001</v>
      </c>
      <c r="L17" s="9">
        <f>'Shenzhen Daily'!J20</f>
        <v>365</v>
      </c>
    </row>
    <row r="18" spans="1:12" ht="15" x14ac:dyDescent="0.25">
      <c r="A18" s="6" t="s">
        <v>23</v>
      </c>
      <c r="B18" s="7">
        <f t="shared" si="0"/>
        <v>17</v>
      </c>
      <c r="C18" s="8">
        <v>12</v>
      </c>
      <c r="D18" s="7">
        <v>2022</v>
      </c>
      <c r="E18" s="9">
        <v>19156.999999999294</v>
      </c>
      <c r="F18" s="30">
        <v>0.93</v>
      </c>
      <c r="G18" s="9">
        <f>'Shenzhen Daily'!F21</f>
        <v>1943</v>
      </c>
      <c r="H18" s="30">
        <v>4.3899999999999997</v>
      </c>
      <c r="I18" s="9">
        <f>'Shenzhen Daily'!H21</f>
        <v>469</v>
      </c>
      <c r="J18" s="30">
        <v>1.72</v>
      </c>
      <c r="K18" s="9">
        <f>'Shenzhen Daily'!I21</f>
        <v>252.00839999999999</v>
      </c>
      <c r="L18" s="9">
        <f>'Shenzhen Daily'!J21</f>
        <v>376</v>
      </c>
    </row>
    <row r="19" spans="1:12" ht="15" x14ac:dyDescent="0.25">
      <c r="A19" s="6" t="s">
        <v>23</v>
      </c>
      <c r="B19" s="7">
        <f t="shared" si="0"/>
        <v>18</v>
      </c>
      <c r="C19" s="8">
        <v>12</v>
      </c>
      <c r="D19" s="7">
        <v>2022</v>
      </c>
      <c r="E19" s="9">
        <v>21353.000000000626</v>
      </c>
      <c r="F19" s="30">
        <v>0.93</v>
      </c>
      <c r="G19" s="9">
        <f>'Shenzhen Daily'!F22</f>
        <v>2078</v>
      </c>
      <c r="H19" s="30">
        <v>4.3899999999999997</v>
      </c>
      <c r="I19" s="9">
        <f>'Shenzhen Daily'!H22</f>
        <v>285</v>
      </c>
      <c r="J19" s="30">
        <v>1.72</v>
      </c>
      <c r="K19" s="9">
        <f>'Shenzhen Daily'!I22</f>
        <v>240.99600000000001</v>
      </c>
      <c r="L19" s="9">
        <f>'Shenzhen Daily'!J22</f>
        <v>291</v>
      </c>
    </row>
    <row r="20" spans="1:12" ht="15" x14ac:dyDescent="0.25">
      <c r="A20" s="6" t="s">
        <v>23</v>
      </c>
      <c r="B20" s="7">
        <f t="shared" si="0"/>
        <v>19</v>
      </c>
      <c r="C20" s="8">
        <v>12</v>
      </c>
      <c r="D20" s="7">
        <v>2022</v>
      </c>
      <c r="E20" s="9">
        <v>14147.000000000662</v>
      </c>
      <c r="F20" s="30">
        <v>0.93</v>
      </c>
      <c r="G20" s="9">
        <f>'Shenzhen Daily'!F23</f>
        <v>1388</v>
      </c>
      <c r="H20" s="30">
        <v>4.3899999999999997</v>
      </c>
      <c r="I20" s="9">
        <f>'Shenzhen Daily'!H23</f>
        <v>336</v>
      </c>
      <c r="J20" s="30">
        <v>1.72</v>
      </c>
      <c r="K20" s="9">
        <f>'Shenzhen Daily'!I23</f>
        <v>163.989</v>
      </c>
      <c r="L20" s="9">
        <f>'Shenzhen Daily'!J23</f>
        <v>179</v>
      </c>
    </row>
    <row r="21" spans="1:12" ht="15" x14ac:dyDescent="0.25">
      <c r="A21" s="6" t="s">
        <v>23</v>
      </c>
      <c r="B21" s="7">
        <f t="shared" si="0"/>
        <v>20</v>
      </c>
      <c r="C21" s="8">
        <v>12</v>
      </c>
      <c r="D21" s="7">
        <v>2022</v>
      </c>
      <c r="E21" s="9">
        <v>19016.999999998574</v>
      </c>
      <c r="F21" s="30">
        <v>0.93</v>
      </c>
      <c r="G21" s="9">
        <f>'Shenzhen Daily'!F24</f>
        <v>1480</v>
      </c>
      <c r="H21" s="30">
        <v>4.3899999999999997</v>
      </c>
      <c r="I21" s="9">
        <f>'Shenzhen Daily'!H24</f>
        <v>313</v>
      </c>
      <c r="J21" s="30">
        <v>1.72</v>
      </c>
      <c r="K21" s="9">
        <f>'Shenzhen Daily'!I24</f>
        <v>166.9948</v>
      </c>
      <c r="L21" s="9">
        <f>'Shenzhen Daily'!J24</f>
        <v>151</v>
      </c>
    </row>
    <row r="22" spans="1:12" ht="15" x14ac:dyDescent="0.25">
      <c r="A22" s="6" t="s">
        <v>23</v>
      </c>
      <c r="B22" s="7">
        <f t="shared" si="0"/>
        <v>21</v>
      </c>
      <c r="C22" s="8">
        <v>12</v>
      </c>
      <c r="D22" s="7">
        <v>2022</v>
      </c>
      <c r="E22" s="9">
        <v>19315.000000000775</v>
      </c>
      <c r="F22" s="30">
        <v>0.93</v>
      </c>
      <c r="G22" s="9">
        <f>'Shenzhen Daily'!F25</f>
        <v>1482</v>
      </c>
      <c r="H22" s="30">
        <v>4.3899999999999997</v>
      </c>
      <c r="I22" s="9">
        <f>'Shenzhen Daily'!H25</f>
        <v>318</v>
      </c>
      <c r="J22" s="30">
        <v>1.72</v>
      </c>
      <c r="K22" s="9">
        <f>'Shenzhen Daily'!I25</f>
        <v>178.99140000000003</v>
      </c>
      <c r="L22" s="9">
        <f>'Shenzhen Daily'!J25</f>
        <v>191</v>
      </c>
    </row>
    <row r="23" spans="1:12" ht="15" x14ac:dyDescent="0.25">
      <c r="A23" s="6" t="s">
        <v>23</v>
      </c>
      <c r="B23" s="7">
        <f t="shared" si="0"/>
        <v>22</v>
      </c>
      <c r="C23" s="8">
        <v>12</v>
      </c>
      <c r="D23" s="7">
        <v>2022</v>
      </c>
      <c r="E23" s="9">
        <v>17695.000000001113</v>
      </c>
      <c r="F23" s="30">
        <v>0.93</v>
      </c>
      <c r="G23" s="9">
        <f>'Shenzhen Daily'!F26</f>
        <v>1473</v>
      </c>
      <c r="H23" s="30">
        <v>4.3899999999999997</v>
      </c>
      <c r="I23" s="9">
        <f>'Shenzhen Daily'!H26</f>
        <v>314</v>
      </c>
      <c r="J23" s="30">
        <v>1.72</v>
      </c>
      <c r="K23" s="9">
        <f>'Shenzhen Daily'!I26</f>
        <v>178.99140000000003</v>
      </c>
      <c r="L23" s="9">
        <f>'Shenzhen Daily'!J26</f>
        <v>168</v>
      </c>
    </row>
    <row r="24" spans="1:12" ht="15" x14ac:dyDescent="0.25">
      <c r="A24" s="6" t="s">
        <v>23</v>
      </c>
      <c r="B24" s="7">
        <f t="shared" si="0"/>
        <v>23</v>
      </c>
      <c r="C24" s="8">
        <v>12</v>
      </c>
      <c r="D24" s="7">
        <v>2022</v>
      </c>
      <c r="E24" s="9">
        <v>21615.999999999171</v>
      </c>
      <c r="F24" s="30">
        <v>0.93</v>
      </c>
      <c r="G24" s="9">
        <f>'Shenzhen Daily'!F27</f>
        <v>1576</v>
      </c>
      <c r="H24" s="30">
        <v>4.3899999999999997</v>
      </c>
      <c r="I24" s="9">
        <f>'Shenzhen Daily'!H27</f>
        <v>358</v>
      </c>
      <c r="J24" s="30">
        <v>1.72</v>
      </c>
      <c r="K24" s="9">
        <f>'Shenzhen Daily'!I27</f>
        <v>181.99720000000002</v>
      </c>
      <c r="L24" s="9">
        <f>'Shenzhen Daily'!J27</f>
        <v>179</v>
      </c>
    </row>
    <row r="25" spans="1:12" ht="15" x14ac:dyDescent="0.25">
      <c r="A25" s="6" t="s">
        <v>23</v>
      </c>
      <c r="B25" s="7">
        <f t="shared" si="0"/>
        <v>24</v>
      </c>
      <c r="C25" s="8">
        <v>12</v>
      </c>
      <c r="D25" s="7">
        <v>2022</v>
      </c>
      <c r="E25" s="9">
        <v>18472.99999999892</v>
      </c>
      <c r="F25" s="30">
        <v>0.93</v>
      </c>
      <c r="G25" s="9">
        <f>'Shenzhen Daily'!F28</f>
        <v>1456</v>
      </c>
      <c r="H25" s="30">
        <v>4.3899999999999997</v>
      </c>
      <c r="I25" s="9">
        <f>'Shenzhen Daily'!H28</f>
        <v>357</v>
      </c>
      <c r="J25" s="30">
        <v>1.72</v>
      </c>
      <c r="K25" s="9">
        <f>'Shenzhen Daily'!I28</f>
        <v>175.00140000000002</v>
      </c>
      <c r="L25" s="9">
        <f>'Shenzhen Daily'!J28</f>
        <v>190</v>
      </c>
    </row>
    <row r="26" spans="1:12" ht="15" x14ac:dyDescent="0.25">
      <c r="A26" s="6" t="s">
        <v>23</v>
      </c>
      <c r="B26" s="7">
        <f>B25+1</f>
        <v>25</v>
      </c>
      <c r="C26" s="8">
        <v>12</v>
      </c>
      <c r="D26" s="7">
        <v>2022</v>
      </c>
      <c r="E26" s="9">
        <v>16711.000000001084</v>
      </c>
      <c r="F26" s="30">
        <v>0.93</v>
      </c>
      <c r="G26" s="9">
        <f>'Shenzhen Daily'!F29</f>
        <v>1482</v>
      </c>
      <c r="H26" s="30">
        <v>4.3899999999999997</v>
      </c>
      <c r="I26" s="9">
        <f>'Shenzhen Daily'!H29</f>
        <v>322</v>
      </c>
      <c r="J26" s="30">
        <v>1.72</v>
      </c>
      <c r="K26" s="9">
        <f>'Shenzhen Daily'!I29</f>
        <v>156.00900000000001</v>
      </c>
      <c r="L26" s="9">
        <f>'Shenzhen Daily'!J29</f>
        <v>202</v>
      </c>
    </row>
    <row r="27" spans="1:12" ht="15" x14ac:dyDescent="0.25">
      <c r="A27" s="6" t="s">
        <v>23</v>
      </c>
      <c r="B27" s="7">
        <f t="shared" si="0"/>
        <v>26</v>
      </c>
      <c r="C27" s="8">
        <v>12</v>
      </c>
      <c r="D27" s="7">
        <v>2022</v>
      </c>
      <c r="E27" s="9">
        <v>17011.000000000076</v>
      </c>
      <c r="F27" s="30">
        <v>0.93</v>
      </c>
      <c r="G27" s="9">
        <f>'Shenzhen Daily'!F30</f>
        <v>1395</v>
      </c>
      <c r="H27" s="30">
        <v>4.3899999999999997</v>
      </c>
      <c r="I27" s="9">
        <f>'Shenzhen Daily'!H30</f>
        <v>278</v>
      </c>
      <c r="J27" s="30">
        <v>1.72</v>
      </c>
      <c r="K27" s="9">
        <f>'Shenzhen Daily'!I30</f>
        <v>180.00219999999999</v>
      </c>
      <c r="L27" s="9">
        <f>'Shenzhen Daily'!J30</f>
        <v>149</v>
      </c>
    </row>
    <row r="28" spans="1:12" ht="15" x14ac:dyDescent="0.25">
      <c r="A28" s="6" t="s">
        <v>23</v>
      </c>
      <c r="B28" s="7">
        <f t="shared" si="0"/>
        <v>27</v>
      </c>
      <c r="C28" s="8">
        <v>12</v>
      </c>
      <c r="D28" s="7">
        <v>2022</v>
      </c>
      <c r="E28" s="9">
        <v>16201.999999999816</v>
      </c>
      <c r="F28" s="30">
        <v>0.93</v>
      </c>
      <c r="G28" s="9">
        <f>'Shenzhen Daily'!F31</f>
        <v>1199</v>
      </c>
      <c r="H28" s="30">
        <v>4.3899999999999997</v>
      </c>
      <c r="I28" s="9">
        <f>'Shenzhen Daily'!H31</f>
        <v>280</v>
      </c>
      <c r="J28" s="30">
        <v>1.72</v>
      </c>
      <c r="K28" s="9">
        <f>'Shenzhen Daily'!I31</f>
        <v>143.0016</v>
      </c>
      <c r="L28" s="9">
        <f>'Shenzhen Daily'!J31</f>
        <v>159</v>
      </c>
    </row>
    <row r="29" spans="1:12" ht="15" x14ac:dyDescent="0.25">
      <c r="A29" s="6" t="s">
        <v>23</v>
      </c>
      <c r="B29" s="7">
        <f t="shared" si="0"/>
        <v>28</v>
      </c>
      <c r="C29" s="8">
        <v>12</v>
      </c>
      <c r="D29" s="7">
        <v>2022</v>
      </c>
      <c r="E29" s="9">
        <v>17328.000000000116</v>
      </c>
      <c r="F29" s="30">
        <v>0.93</v>
      </c>
      <c r="G29" s="9">
        <f>'Shenzhen Daily'!F32</f>
        <v>1355</v>
      </c>
      <c r="H29" s="30">
        <v>4.3899999999999997</v>
      </c>
      <c r="I29" s="9">
        <f>'Shenzhen Daily'!H32</f>
        <v>285</v>
      </c>
      <c r="J29" s="30">
        <v>1.72</v>
      </c>
      <c r="K29" s="9">
        <f>'Shenzhen Daily'!I32</f>
        <v>119.9926</v>
      </c>
      <c r="L29" s="9">
        <f>'Shenzhen Daily'!J32</f>
        <v>178</v>
      </c>
    </row>
    <row r="30" spans="1:12" ht="15" x14ac:dyDescent="0.25">
      <c r="A30" s="6" t="s">
        <v>23</v>
      </c>
      <c r="B30" s="7">
        <f t="shared" si="0"/>
        <v>29</v>
      </c>
      <c r="C30" s="8">
        <v>12</v>
      </c>
      <c r="D30" s="7">
        <v>2022</v>
      </c>
      <c r="E30" s="9">
        <v>16240.000000000178</v>
      </c>
      <c r="F30" s="30">
        <v>0.93</v>
      </c>
      <c r="G30" s="9">
        <f>'Shenzhen Daily'!F33</f>
        <v>1397</v>
      </c>
      <c r="H30" s="30">
        <v>4.3899999999999997</v>
      </c>
      <c r="I30" s="9">
        <f>'Shenzhen Daily'!H33</f>
        <v>298</v>
      </c>
      <c r="J30" s="30">
        <v>1.72</v>
      </c>
      <c r="K30" s="9">
        <f>'Shenzhen Daily'!I33</f>
        <v>129.01</v>
      </c>
      <c r="L30" s="9">
        <f>'Shenzhen Daily'!J33</f>
        <v>156</v>
      </c>
    </row>
    <row r="31" spans="1:12" ht="15" x14ac:dyDescent="0.25">
      <c r="A31" s="6" t="s">
        <v>23</v>
      </c>
      <c r="B31" s="7">
        <f t="shared" si="0"/>
        <v>30</v>
      </c>
      <c r="C31" s="8">
        <v>12</v>
      </c>
      <c r="D31" s="7">
        <v>2022</v>
      </c>
      <c r="E31" s="9">
        <v>16916.999999998294</v>
      </c>
      <c r="F31" s="30">
        <v>0.93</v>
      </c>
      <c r="G31" s="9">
        <f>'Shenzhen Daily'!F34</f>
        <v>1421</v>
      </c>
      <c r="H31" s="30">
        <v>4.3899999999999997</v>
      </c>
      <c r="I31" s="9">
        <f>'Shenzhen Daily'!H34</f>
        <v>330</v>
      </c>
      <c r="J31" s="30">
        <v>1.72</v>
      </c>
      <c r="K31" s="9">
        <f>'Shenzhen Daily'!I34</f>
        <v>129.01</v>
      </c>
      <c r="L31" s="9">
        <f>'Shenzhen Daily'!J34</f>
        <v>194</v>
      </c>
    </row>
    <row r="32" spans="1:12" ht="15" x14ac:dyDescent="0.25">
      <c r="A32" s="6" t="s">
        <v>23</v>
      </c>
      <c r="B32" s="7">
        <f t="shared" si="0"/>
        <v>31</v>
      </c>
      <c r="C32" s="8">
        <v>12</v>
      </c>
      <c r="D32" s="7">
        <v>2022</v>
      </c>
      <c r="E32" s="9">
        <v>17731.000000000877</v>
      </c>
      <c r="F32" s="30">
        <v>1.93</v>
      </c>
      <c r="G32" s="9">
        <f>'Shenzhen Daily'!F35</f>
        <v>1392</v>
      </c>
      <c r="H32" s="30">
        <v>4.3899999999999997</v>
      </c>
      <c r="I32" s="9">
        <f>'Shenzhen Daily'!H35</f>
        <v>322</v>
      </c>
      <c r="J32" s="30">
        <v>2.72</v>
      </c>
      <c r="K32" s="9">
        <f>'Shenzhen Daily'!I35</f>
        <v>240.99600000000001</v>
      </c>
      <c r="L32" s="9">
        <f>'Shenzhen Daily'!J35</f>
        <v>272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5"/>
  <sheetViews>
    <sheetView topLeftCell="A28" zoomScale="85" zoomScaleNormal="85" workbookViewId="0">
      <pane xSplit="1" topLeftCell="B1" activePane="topRight" state="frozen"/>
      <selection pane="topRight" activeCell="O35" sqref="O35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52"/>
      <c r="C1" s="10"/>
      <c r="D1" s="11"/>
      <c r="E1" s="10"/>
      <c r="F1" s="10"/>
      <c r="G1" s="54"/>
      <c r="H1" s="54"/>
      <c r="I1" s="12"/>
      <c r="J1" s="12"/>
    </row>
    <row r="2" spans="1:10" ht="35.25" customHeight="1" thickBot="1" x14ac:dyDescent="0.2">
      <c r="A2" s="14" t="s">
        <v>10</v>
      </c>
      <c r="B2" s="52"/>
      <c r="C2" s="55" t="s">
        <v>20</v>
      </c>
      <c r="D2" s="56"/>
      <c r="E2" s="57" t="s">
        <v>21</v>
      </c>
      <c r="F2" s="57"/>
      <c r="G2" s="58" t="s">
        <v>11</v>
      </c>
      <c r="H2" s="59"/>
      <c r="I2" s="15"/>
      <c r="J2" s="15"/>
    </row>
    <row r="3" spans="1:10" ht="44.25" customHeight="1" x14ac:dyDescent="0.15">
      <c r="A3" s="16" t="s">
        <v>12</v>
      </c>
      <c r="B3" s="52"/>
      <c r="C3" s="40" t="s">
        <v>13</v>
      </c>
      <c r="D3" s="17" t="s">
        <v>14</v>
      </c>
      <c r="E3" s="44" t="s">
        <v>15</v>
      </c>
      <c r="F3" s="18" t="s">
        <v>14</v>
      </c>
      <c r="G3" s="44" t="s">
        <v>16</v>
      </c>
      <c r="H3" s="19" t="s">
        <v>17</v>
      </c>
      <c r="I3" s="20" t="s">
        <v>18</v>
      </c>
      <c r="J3" s="20" t="s">
        <v>19</v>
      </c>
    </row>
    <row r="4" spans="1:10" s="22" customFormat="1" ht="35.25" customHeight="1" x14ac:dyDescent="0.2">
      <c r="A4" s="21">
        <v>44895</v>
      </c>
      <c r="B4" s="53"/>
      <c r="C4" s="41">
        <v>34423.450000000004</v>
      </c>
      <c r="D4" s="42"/>
      <c r="E4" s="41">
        <v>3408680</v>
      </c>
      <c r="F4" s="45"/>
      <c r="G4" s="41">
        <v>669637</v>
      </c>
      <c r="H4" s="47"/>
      <c r="I4" s="23">
        <v>109</v>
      </c>
      <c r="J4" s="23">
        <v>0</v>
      </c>
    </row>
    <row r="5" spans="1:10" ht="33" customHeight="1" x14ac:dyDescent="0.2">
      <c r="A5" s="24">
        <v>44896</v>
      </c>
      <c r="B5" s="53"/>
      <c r="C5" s="41">
        <v>34440.869999999995</v>
      </c>
      <c r="D5" s="43">
        <f t="shared" ref="D5:D22" si="0">IF((C5-C4&lt;0), "0",C5-C4)</f>
        <v>17.419999999990978</v>
      </c>
      <c r="E5" s="41">
        <v>3410044</v>
      </c>
      <c r="F5" s="43">
        <f>IF((E5-E4&lt;0), "0",E5-E4)</f>
        <v>1364</v>
      </c>
      <c r="G5" s="41">
        <v>669997</v>
      </c>
      <c r="H5" s="39">
        <f>IF((G5-G4&lt;0), "0",G5-G4)</f>
        <v>360</v>
      </c>
      <c r="I5" s="26">
        <v>102.9952</v>
      </c>
      <c r="J5" s="26">
        <v>252</v>
      </c>
    </row>
    <row r="6" spans="1:10" ht="45" customHeight="1" x14ac:dyDescent="0.2">
      <c r="A6" s="24">
        <v>44897</v>
      </c>
      <c r="B6" s="53"/>
      <c r="C6" s="41">
        <v>34458.899999999994</v>
      </c>
      <c r="D6" s="43">
        <f t="shared" si="0"/>
        <v>18.029999999998836</v>
      </c>
      <c r="E6" s="41">
        <v>3411495</v>
      </c>
      <c r="F6" s="43">
        <f t="shared" ref="F6:F35" si="1">IF((E6-E5&lt;0), "0",E6-E5)</f>
        <v>1451</v>
      </c>
      <c r="G6" s="41">
        <v>670233</v>
      </c>
      <c r="H6" s="48">
        <f t="shared" ref="H6:H35" si="2">IF((G6-G5&lt;0), "0",G6-G5)</f>
        <v>236</v>
      </c>
      <c r="I6" s="12">
        <v>97.010200000000012</v>
      </c>
      <c r="J6" s="38">
        <v>229</v>
      </c>
    </row>
    <row r="7" spans="1:10" ht="45" customHeight="1" x14ac:dyDescent="0.2">
      <c r="A7" s="24">
        <v>44898</v>
      </c>
      <c r="B7" s="53"/>
      <c r="C7" s="41">
        <v>34478.44</v>
      </c>
      <c r="D7" s="43">
        <f t="shared" si="0"/>
        <v>19.540000000008149</v>
      </c>
      <c r="E7" s="41">
        <v>3413141</v>
      </c>
      <c r="F7" s="43">
        <f t="shared" si="1"/>
        <v>1646</v>
      </c>
      <c r="G7" s="41">
        <v>670652</v>
      </c>
      <c r="H7" s="39">
        <f t="shared" si="2"/>
        <v>419</v>
      </c>
      <c r="I7" s="12">
        <v>124.00920000000001</v>
      </c>
      <c r="J7" s="12">
        <v>324</v>
      </c>
    </row>
    <row r="8" spans="1:10" ht="45" customHeight="1" x14ac:dyDescent="0.2">
      <c r="A8" s="24">
        <v>44899</v>
      </c>
      <c r="B8" s="52"/>
      <c r="C8" s="31">
        <v>34499.629999999997</v>
      </c>
      <c r="D8" s="37">
        <f t="shared" si="0"/>
        <v>21.189999999995052</v>
      </c>
      <c r="E8" s="31">
        <v>3414473</v>
      </c>
      <c r="F8" s="46">
        <f t="shared" si="1"/>
        <v>1332</v>
      </c>
      <c r="G8" s="41">
        <v>670993</v>
      </c>
      <c r="H8" s="39">
        <f t="shared" si="2"/>
        <v>341</v>
      </c>
      <c r="I8" s="12">
        <v>133</v>
      </c>
      <c r="J8" s="12">
        <v>234</v>
      </c>
    </row>
    <row r="9" spans="1:10" ht="45" customHeight="1" x14ac:dyDescent="0.2">
      <c r="A9" s="24">
        <v>44900</v>
      </c>
      <c r="B9" s="52"/>
      <c r="C9" s="31">
        <v>34519.030000000006</v>
      </c>
      <c r="D9" s="25">
        <f t="shared" si="0"/>
        <v>19.400000000008731</v>
      </c>
      <c r="E9" s="31">
        <v>3415868</v>
      </c>
      <c r="F9" s="25">
        <f t="shared" si="1"/>
        <v>1395</v>
      </c>
      <c r="G9" s="31">
        <v>671416</v>
      </c>
      <c r="H9" s="25">
        <f t="shared" si="2"/>
        <v>423</v>
      </c>
      <c r="I9" s="12">
        <v>119.9926</v>
      </c>
      <c r="J9" s="12">
        <v>248</v>
      </c>
    </row>
    <row r="10" spans="1:10" ht="45" customHeight="1" x14ac:dyDescent="0.2">
      <c r="A10" s="24">
        <v>44901</v>
      </c>
      <c r="B10" s="52"/>
      <c r="C10" s="31">
        <v>34536.14</v>
      </c>
      <c r="D10" s="25">
        <f t="shared" si="0"/>
        <v>17.109999999993306</v>
      </c>
      <c r="E10" s="31">
        <v>3417266</v>
      </c>
      <c r="F10" s="25">
        <f t="shared" si="1"/>
        <v>1398</v>
      </c>
      <c r="G10" s="31">
        <v>671719</v>
      </c>
      <c r="H10" s="25">
        <f t="shared" si="2"/>
        <v>303</v>
      </c>
      <c r="I10" s="12">
        <v>181.01300000000001</v>
      </c>
      <c r="J10" s="12">
        <v>387</v>
      </c>
    </row>
    <row r="11" spans="1:10" ht="45" customHeight="1" x14ac:dyDescent="0.2">
      <c r="A11" s="24">
        <v>44902</v>
      </c>
      <c r="B11" s="52"/>
      <c r="C11" s="31">
        <v>34554.870000000003</v>
      </c>
      <c r="D11" s="25">
        <f t="shared" si="0"/>
        <v>18.730000000003201</v>
      </c>
      <c r="E11" s="31">
        <v>3418742</v>
      </c>
      <c r="F11" s="25">
        <f t="shared" si="1"/>
        <v>1476</v>
      </c>
      <c r="G11" s="31">
        <v>672054</v>
      </c>
      <c r="H11" s="25">
        <f t="shared" si="2"/>
        <v>335</v>
      </c>
      <c r="I11" s="12">
        <v>195.00459999999998</v>
      </c>
      <c r="J11" s="12">
        <v>387</v>
      </c>
    </row>
    <row r="12" spans="1:10" ht="45" customHeight="1" x14ac:dyDescent="0.2">
      <c r="A12" s="24">
        <v>44903</v>
      </c>
      <c r="B12" s="52"/>
      <c r="C12" s="31">
        <v>34573.78</v>
      </c>
      <c r="D12" s="25">
        <f t="shared" si="0"/>
        <v>18.909999999996217</v>
      </c>
      <c r="E12" s="31">
        <v>3420140</v>
      </c>
      <c r="F12" s="25">
        <f t="shared" si="1"/>
        <v>1398</v>
      </c>
      <c r="G12" s="31">
        <v>672403</v>
      </c>
      <c r="H12" s="25">
        <f t="shared" si="2"/>
        <v>349</v>
      </c>
      <c r="I12" s="12">
        <v>205.00620000000001</v>
      </c>
      <c r="J12" s="12">
        <v>381</v>
      </c>
    </row>
    <row r="13" spans="1:10" ht="45" customHeight="1" x14ac:dyDescent="0.2">
      <c r="A13" s="24">
        <v>44904</v>
      </c>
      <c r="B13" s="52"/>
      <c r="C13" s="31">
        <v>34595.619999999995</v>
      </c>
      <c r="D13" s="25">
        <f t="shared" si="0"/>
        <v>21.839999999996508</v>
      </c>
      <c r="E13" s="31">
        <v>3421705</v>
      </c>
      <c r="F13" s="25">
        <f t="shared" si="1"/>
        <v>1565</v>
      </c>
      <c r="G13" s="31">
        <v>672758</v>
      </c>
      <c r="H13" s="25">
        <f t="shared" si="2"/>
        <v>355</v>
      </c>
      <c r="I13" s="12">
        <v>173.9906</v>
      </c>
      <c r="J13" s="12">
        <v>362</v>
      </c>
    </row>
    <row r="14" spans="1:10" ht="45" customHeight="1" x14ac:dyDescent="0.2">
      <c r="A14" s="24">
        <v>44905</v>
      </c>
      <c r="B14" s="52"/>
      <c r="C14" s="31">
        <v>34616.19</v>
      </c>
      <c r="D14" s="25">
        <f t="shared" si="0"/>
        <v>20.570000000006985</v>
      </c>
      <c r="E14" s="31">
        <v>3423294</v>
      </c>
      <c r="F14" s="25">
        <f t="shared" si="1"/>
        <v>1589</v>
      </c>
      <c r="G14" s="31">
        <v>673091</v>
      </c>
      <c r="H14" s="25">
        <f t="shared" si="2"/>
        <v>333</v>
      </c>
      <c r="I14" s="12">
        <v>210.00700000000001</v>
      </c>
      <c r="J14" s="12">
        <v>308</v>
      </c>
    </row>
    <row r="15" spans="1:10" ht="45" customHeight="1" x14ac:dyDescent="0.2">
      <c r="A15" s="24">
        <v>44906</v>
      </c>
      <c r="B15" s="52"/>
      <c r="C15" s="31">
        <v>34634.83</v>
      </c>
      <c r="D15" s="25">
        <f t="shared" si="0"/>
        <v>18.639999999999418</v>
      </c>
      <c r="E15" s="31">
        <v>3424789</v>
      </c>
      <c r="F15" s="25">
        <f t="shared" si="1"/>
        <v>1495</v>
      </c>
      <c r="G15" s="31">
        <v>673432</v>
      </c>
      <c r="H15" s="25">
        <f t="shared" si="2"/>
        <v>341</v>
      </c>
      <c r="I15" s="12">
        <v>193.00960000000001</v>
      </c>
      <c r="J15" s="12">
        <v>237</v>
      </c>
    </row>
    <row r="16" spans="1:10" ht="45" customHeight="1" x14ac:dyDescent="0.2">
      <c r="A16" s="24">
        <v>44907</v>
      </c>
      <c r="B16" s="52"/>
      <c r="C16" s="31">
        <v>34651.42</v>
      </c>
      <c r="D16" s="25">
        <f t="shared" si="0"/>
        <v>16.589999999996508</v>
      </c>
      <c r="E16" s="31">
        <v>3426171</v>
      </c>
      <c r="F16" s="25">
        <f t="shared" si="1"/>
        <v>1382</v>
      </c>
      <c r="G16" s="31">
        <v>673757</v>
      </c>
      <c r="H16" s="25">
        <f t="shared" si="2"/>
        <v>325</v>
      </c>
      <c r="I16" s="12">
        <v>178.00720000000001</v>
      </c>
      <c r="J16" s="12">
        <v>270</v>
      </c>
    </row>
    <row r="17" spans="1:15" ht="45" customHeight="1" x14ac:dyDescent="0.2">
      <c r="A17" s="24">
        <v>44908</v>
      </c>
      <c r="B17" s="52"/>
      <c r="C17" s="31">
        <v>34669.61</v>
      </c>
      <c r="D17" s="25">
        <f t="shared" si="0"/>
        <v>18.190000000002328</v>
      </c>
      <c r="E17" s="31">
        <v>3427681</v>
      </c>
      <c r="F17" s="25">
        <f t="shared" si="1"/>
        <v>1510</v>
      </c>
      <c r="G17" s="31">
        <v>674082</v>
      </c>
      <c r="H17" s="25">
        <f t="shared" si="2"/>
        <v>325</v>
      </c>
      <c r="I17" s="12">
        <v>166.01060000000001</v>
      </c>
      <c r="J17" s="12">
        <v>277</v>
      </c>
    </row>
    <row r="18" spans="1:15" ht="45" customHeight="1" x14ac:dyDescent="0.2">
      <c r="A18" s="24">
        <v>44909</v>
      </c>
      <c r="B18" s="52"/>
      <c r="C18" s="31">
        <v>34688.36</v>
      </c>
      <c r="D18" s="25">
        <f t="shared" si="0"/>
        <v>18.75</v>
      </c>
      <c r="E18" s="31">
        <v>3429325</v>
      </c>
      <c r="F18" s="25">
        <f t="shared" si="1"/>
        <v>1644</v>
      </c>
      <c r="G18" s="31">
        <v>674373</v>
      </c>
      <c r="H18" s="25">
        <f t="shared" si="2"/>
        <v>291</v>
      </c>
      <c r="I18" s="12">
        <v>213.99699999999999</v>
      </c>
      <c r="J18" s="12">
        <v>329</v>
      </c>
    </row>
    <row r="19" spans="1:15" ht="45" customHeight="1" x14ac:dyDescent="0.2">
      <c r="A19" s="24">
        <v>44910</v>
      </c>
      <c r="B19" s="52"/>
      <c r="C19" s="31">
        <v>34708.310000000005</v>
      </c>
      <c r="D19" s="25">
        <f t="shared" si="0"/>
        <v>19.950000000004366</v>
      </c>
      <c r="E19" s="31">
        <v>3431064</v>
      </c>
      <c r="F19" s="25">
        <f t="shared" si="1"/>
        <v>1739</v>
      </c>
      <c r="G19" s="31">
        <v>674672</v>
      </c>
      <c r="H19" s="25">
        <f t="shared" si="2"/>
        <v>299</v>
      </c>
      <c r="I19" s="12">
        <v>232.98939999999999</v>
      </c>
      <c r="J19" s="12">
        <v>370</v>
      </c>
    </row>
    <row r="20" spans="1:15" ht="45" customHeight="1" x14ac:dyDescent="0.2">
      <c r="A20" s="24">
        <v>44911</v>
      </c>
      <c r="B20" s="52"/>
      <c r="C20" s="31">
        <v>34728.050000000003</v>
      </c>
      <c r="D20" s="25">
        <f t="shared" si="0"/>
        <v>19.739999999997963</v>
      </c>
      <c r="E20" s="31">
        <v>3432911</v>
      </c>
      <c r="F20" s="25">
        <f t="shared" si="1"/>
        <v>1847</v>
      </c>
      <c r="G20" s="31">
        <v>675042</v>
      </c>
      <c r="H20" s="25">
        <f t="shared" si="2"/>
        <v>370</v>
      </c>
      <c r="I20" s="12">
        <v>225.99360000000001</v>
      </c>
      <c r="J20" s="12">
        <v>365</v>
      </c>
    </row>
    <row r="21" spans="1:15" ht="45" customHeight="1" x14ac:dyDescent="0.2">
      <c r="A21" s="24">
        <v>44912</v>
      </c>
      <c r="B21" s="52"/>
      <c r="C21" s="31">
        <v>34747.03</v>
      </c>
      <c r="D21" s="25">
        <f t="shared" si="0"/>
        <v>18.979999999995925</v>
      </c>
      <c r="E21" s="31">
        <v>3434854</v>
      </c>
      <c r="F21" s="25">
        <f t="shared" si="1"/>
        <v>1943</v>
      </c>
      <c r="G21" s="31">
        <v>675511</v>
      </c>
      <c r="H21" s="25">
        <f t="shared" si="2"/>
        <v>469</v>
      </c>
      <c r="I21" s="12">
        <v>252.00839999999999</v>
      </c>
      <c r="J21" s="12">
        <v>376</v>
      </c>
    </row>
    <row r="22" spans="1:15" ht="45" customHeight="1" x14ac:dyDescent="0.2">
      <c r="A22" s="24">
        <v>44913</v>
      </c>
      <c r="B22" s="52"/>
      <c r="C22" s="31">
        <v>34766.620000000003</v>
      </c>
      <c r="D22" s="25">
        <f t="shared" si="0"/>
        <v>19.590000000003783</v>
      </c>
      <c r="E22" s="31">
        <v>3436932</v>
      </c>
      <c r="F22" s="25">
        <f t="shared" si="1"/>
        <v>2078</v>
      </c>
      <c r="G22" s="31">
        <v>675796</v>
      </c>
      <c r="H22" s="25">
        <f t="shared" si="2"/>
        <v>285</v>
      </c>
      <c r="I22" s="12">
        <v>240.99600000000001</v>
      </c>
      <c r="J22" s="12">
        <v>291</v>
      </c>
    </row>
    <row r="23" spans="1:15" ht="45" customHeight="1" x14ac:dyDescent="0.2">
      <c r="A23" s="24">
        <v>44914</v>
      </c>
      <c r="B23" s="52"/>
      <c r="C23" s="31">
        <v>34781.279999999999</v>
      </c>
      <c r="D23" s="25">
        <f>IF((C23-C22&lt;0), "0",C23-C22)</f>
        <v>14.659999999996217</v>
      </c>
      <c r="E23" s="31">
        <v>3438320</v>
      </c>
      <c r="F23" s="25">
        <f t="shared" si="1"/>
        <v>1388</v>
      </c>
      <c r="G23" s="31">
        <v>676132</v>
      </c>
      <c r="H23" s="25">
        <f t="shared" si="2"/>
        <v>336</v>
      </c>
      <c r="I23" s="12">
        <v>163.989</v>
      </c>
      <c r="J23" s="12">
        <v>179</v>
      </c>
    </row>
    <row r="24" spans="1:15" ht="45" customHeight="1" x14ac:dyDescent="0.2">
      <c r="A24" s="24">
        <v>44915</v>
      </c>
      <c r="B24" s="52"/>
      <c r="C24" s="31">
        <v>34799.46</v>
      </c>
      <c r="D24" s="25">
        <f t="shared" ref="D24:D35" si="3">IF((C24-C23&lt;0), "0",C24-C23)</f>
        <v>18.180000000000291</v>
      </c>
      <c r="E24" s="31">
        <v>3439800</v>
      </c>
      <c r="F24" s="25">
        <f t="shared" si="1"/>
        <v>1480</v>
      </c>
      <c r="G24" s="31">
        <v>676445</v>
      </c>
      <c r="H24" s="25">
        <f t="shared" si="2"/>
        <v>313</v>
      </c>
      <c r="I24" s="12">
        <v>166.9948</v>
      </c>
      <c r="J24" s="12">
        <v>151</v>
      </c>
    </row>
    <row r="25" spans="1:15" ht="45" customHeight="1" x14ac:dyDescent="0.2">
      <c r="A25" s="24">
        <v>44916</v>
      </c>
      <c r="B25" s="52"/>
      <c r="C25" s="31">
        <v>34818.620000000003</v>
      </c>
      <c r="D25" s="25">
        <f t="shared" si="3"/>
        <v>19.160000000003492</v>
      </c>
      <c r="E25" s="31">
        <v>3441282</v>
      </c>
      <c r="F25" s="25">
        <f t="shared" si="1"/>
        <v>1482</v>
      </c>
      <c r="G25" s="31">
        <v>676763</v>
      </c>
      <c r="H25" s="25">
        <f t="shared" si="2"/>
        <v>318</v>
      </c>
      <c r="I25" s="12">
        <v>178.99140000000003</v>
      </c>
      <c r="J25" s="12">
        <v>191</v>
      </c>
    </row>
    <row r="26" spans="1:15" ht="45" customHeight="1" x14ac:dyDescent="0.2">
      <c r="A26" s="24">
        <v>44917</v>
      </c>
      <c r="B26" s="52"/>
      <c r="C26" s="31">
        <v>34836.200000000004</v>
      </c>
      <c r="D26" s="25">
        <f t="shared" si="3"/>
        <v>17.580000000001746</v>
      </c>
      <c r="E26" s="31">
        <v>3442755</v>
      </c>
      <c r="F26" s="25">
        <f t="shared" si="1"/>
        <v>1473</v>
      </c>
      <c r="G26" s="31">
        <v>677077</v>
      </c>
      <c r="H26" s="25">
        <f t="shared" si="2"/>
        <v>314</v>
      </c>
      <c r="I26" s="12">
        <v>178.99140000000003</v>
      </c>
      <c r="J26" s="12">
        <v>168</v>
      </c>
    </row>
    <row r="27" spans="1:15" ht="45" customHeight="1" x14ac:dyDescent="0.2">
      <c r="A27" s="24">
        <v>44918</v>
      </c>
      <c r="B27" s="52"/>
      <c r="C27" s="31">
        <v>34857.51</v>
      </c>
      <c r="D27" s="25">
        <f t="shared" si="3"/>
        <v>21.309999999997672</v>
      </c>
      <c r="E27" s="31">
        <v>3444331</v>
      </c>
      <c r="F27" s="25">
        <f t="shared" si="1"/>
        <v>1576</v>
      </c>
      <c r="G27" s="31">
        <v>677435</v>
      </c>
      <c r="H27" s="25">
        <f t="shared" si="2"/>
        <v>358</v>
      </c>
      <c r="I27" s="12">
        <v>181.99720000000002</v>
      </c>
      <c r="J27" s="12">
        <v>179</v>
      </c>
    </row>
    <row r="28" spans="1:15" ht="45" customHeight="1" x14ac:dyDescent="0.2">
      <c r="A28" s="24">
        <v>44919</v>
      </c>
      <c r="B28" s="52"/>
      <c r="C28" s="31">
        <v>34875.39</v>
      </c>
      <c r="D28" s="25">
        <f t="shared" si="3"/>
        <v>17.879999999997381</v>
      </c>
      <c r="E28" s="31">
        <v>3445787</v>
      </c>
      <c r="F28" s="25">
        <f t="shared" si="1"/>
        <v>1456</v>
      </c>
      <c r="G28" s="31">
        <v>677792</v>
      </c>
      <c r="H28" s="25">
        <f t="shared" si="2"/>
        <v>357</v>
      </c>
      <c r="I28" s="12">
        <v>175.00140000000002</v>
      </c>
      <c r="J28" s="12">
        <v>190</v>
      </c>
    </row>
    <row r="29" spans="1:15" ht="45" customHeight="1" x14ac:dyDescent="0.2">
      <c r="A29" s="24">
        <v>44920</v>
      </c>
      <c r="B29" s="52"/>
      <c r="C29" s="31">
        <v>34892.119999999995</v>
      </c>
      <c r="D29" s="25">
        <f t="shared" si="3"/>
        <v>16.729999999995925</v>
      </c>
      <c r="E29" s="31">
        <v>3447269</v>
      </c>
      <c r="F29" s="25">
        <f t="shared" si="1"/>
        <v>1482</v>
      </c>
      <c r="G29" s="31">
        <v>678114</v>
      </c>
      <c r="H29" s="25">
        <f t="shared" si="2"/>
        <v>322</v>
      </c>
      <c r="I29" s="12">
        <v>156.00900000000001</v>
      </c>
      <c r="J29" s="12">
        <v>202</v>
      </c>
    </row>
    <row r="30" spans="1:15" ht="45" customHeight="1" x14ac:dyDescent="0.2">
      <c r="A30" s="24">
        <v>44921</v>
      </c>
      <c r="B30" s="52"/>
      <c r="C30" s="31">
        <v>34909.770000000004</v>
      </c>
      <c r="D30" s="25">
        <f t="shared" si="3"/>
        <v>17.650000000008731</v>
      </c>
      <c r="E30" s="31">
        <v>3448664</v>
      </c>
      <c r="F30" s="25">
        <f t="shared" si="1"/>
        <v>1395</v>
      </c>
      <c r="G30" s="31">
        <v>678392</v>
      </c>
      <c r="H30" s="25">
        <f t="shared" si="2"/>
        <v>278</v>
      </c>
      <c r="I30" s="12">
        <v>180.00219999999999</v>
      </c>
      <c r="J30" s="12">
        <v>149</v>
      </c>
      <c r="O30" s="34"/>
    </row>
    <row r="31" spans="1:15" ht="45" customHeight="1" x14ac:dyDescent="0.2">
      <c r="A31" s="24">
        <v>44922</v>
      </c>
      <c r="B31" s="52"/>
      <c r="C31" s="31">
        <v>34924.94000000001</v>
      </c>
      <c r="D31" s="25">
        <f t="shared" si="3"/>
        <v>15.17000000000553</v>
      </c>
      <c r="E31" s="31">
        <v>3449863</v>
      </c>
      <c r="F31" s="25">
        <f t="shared" si="1"/>
        <v>1199</v>
      </c>
      <c r="G31" s="31">
        <v>678672</v>
      </c>
      <c r="H31" s="25">
        <f t="shared" si="2"/>
        <v>280</v>
      </c>
      <c r="I31" s="12">
        <v>143.0016</v>
      </c>
      <c r="J31" s="12">
        <v>159</v>
      </c>
    </row>
    <row r="32" spans="1:15" ht="45" customHeight="1" x14ac:dyDescent="0.2">
      <c r="A32" s="24">
        <v>44923</v>
      </c>
      <c r="B32" s="52"/>
      <c r="C32" s="31">
        <v>34941.990000000005</v>
      </c>
      <c r="D32" s="25">
        <f t="shared" si="3"/>
        <v>17.049999999995634</v>
      </c>
      <c r="E32" s="31">
        <v>3451218</v>
      </c>
      <c r="F32" s="25">
        <f t="shared" si="1"/>
        <v>1355</v>
      </c>
      <c r="G32" s="31">
        <v>678957</v>
      </c>
      <c r="H32" s="25">
        <f t="shared" si="2"/>
        <v>285</v>
      </c>
      <c r="I32" s="12">
        <v>119.9926</v>
      </c>
      <c r="J32" s="12">
        <v>178</v>
      </c>
    </row>
    <row r="33" spans="1:10" ht="36" customHeight="1" x14ac:dyDescent="0.2">
      <c r="A33" s="24">
        <v>44924</v>
      </c>
      <c r="B33" s="36"/>
      <c r="C33" s="31">
        <v>34958.57</v>
      </c>
      <c r="D33" s="25">
        <f t="shared" si="3"/>
        <v>16.57999999999447</v>
      </c>
      <c r="E33" s="31">
        <v>3452615</v>
      </c>
      <c r="F33" s="25">
        <f t="shared" si="1"/>
        <v>1397</v>
      </c>
      <c r="G33" s="31">
        <v>679255</v>
      </c>
      <c r="H33" s="25">
        <f t="shared" si="2"/>
        <v>298</v>
      </c>
      <c r="I33" s="12">
        <v>129.01</v>
      </c>
      <c r="J33" s="12">
        <v>156</v>
      </c>
    </row>
    <row r="34" spans="1:10" ht="45.6" customHeight="1" x14ac:dyDescent="0.2">
      <c r="A34" s="24">
        <v>44925</v>
      </c>
      <c r="B34" s="49"/>
      <c r="C34" s="41">
        <v>34975.839999999997</v>
      </c>
      <c r="D34" s="50">
        <f t="shared" si="3"/>
        <v>17.269999999996799</v>
      </c>
      <c r="E34" s="31">
        <v>3454036</v>
      </c>
      <c r="F34" s="32">
        <f t="shared" si="1"/>
        <v>1421</v>
      </c>
      <c r="G34" s="31">
        <v>679585</v>
      </c>
      <c r="H34" s="25">
        <f t="shared" si="2"/>
        <v>330</v>
      </c>
      <c r="I34" s="12">
        <v>129.01</v>
      </c>
      <c r="J34" s="33">
        <v>194</v>
      </c>
    </row>
    <row r="35" spans="1:10" ht="36.75" customHeight="1" x14ac:dyDescent="0.15">
      <c r="A35" s="24">
        <v>44926</v>
      </c>
      <c r="B35" s="49"/>
      <c r="C35" s="51">
        <v>34993.159999999996</v>
      </c>
      <c r="D35" s="25">
        <f t="shared" si="3"/>
        <v>17.319999999999709</v>
      </c>
      <c r="E35" s="35">
        <v>3455428</v>
      </c>
      <c r="F35" s="25">
        <f t="shared" si="1"/>
        <v>1392</v>
      </c>
      <c r="G35" s="35">
        <v>679907</v>
      </c>
      <c r="H35" s="25">
        <f t="shared" si="2"/>
        <v>322</v>
      </c>
      <c r="I35" s="12">
        <v>240.99600000000001</v>
      </c>
      <c r="J35" s="12">
        <v>272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2023-03-07T04:05:46Z</dcterms:modified>
</cp:coreProperties>
</file>