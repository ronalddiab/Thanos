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-120" yWindow="-120" windowWidth="29040" windowHeight="15840" tabRatio="598" activeTab="4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" i="2" l="1"/>
  <c r="T8" i="2" s="1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7" i="2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7" i="2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7" i="2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7" i="2"/>
  <c r="H8" i="2" s="1"/>
  <c r="H9" i="2" s="1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7" i="2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O9" i="1"/>
  <c r="O10" i="1"/>
  <c r="P10" i="1" s="1"/>
  <c r="O11" i="1"/>
  <c r="P11" i="1" s="1"/>
  <c r="O12" i="1"/>
  <c r="P12" i="1" s="1"/>
  <c r="O13" i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8" i="1"/>
  <c r="P9" i="1"/>
  <c r="P13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L14" i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13" i="1"/>
  <c r="M14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18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10" i="1"/>
  <c r="G18" i="1"/>
  <c r="G20" i="1"/>
  <c r="G22" i="1"/>
  <c r="G26" i="1"/>
  <c r="D1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<sst xmlns="http://schemas.openxmlformats.org/spreadsheetml/2006/main" count="441" uniqueCount="144">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</sst>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0</v>
      </c>
      <c r="F6" s="162">
        <v>1.27</v>
      </c>
      <c r="G6" s="47">
        <f>Gas!C7*0.9147</f>
        <v>0</v>
      </c>
      <c r="H6" s="163">
        <v>3.65</v>
      </c>
      <c r="I6" s="165">
        <f>Submetering!H6+Submetering!AD6+Submetering!AE6</f>
        <v>-194</v>
      </c>
      <c r="J6" s="165">
        <v>10.029999999999999</v>
      </c>
      <c r="K6" s="47">
        <f>ELECT.!B7</f>
        <v>0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0</v>
      </c>
      <c r="F7" s="162">
        <v>1.27</v>
      </c>
      <c r="G7" s="47">
        <f>Gas!C8*0.9147</f>
        <v>0</v>
      </c>
      <c r="H7" s="163">
        <v>3.65</v>
      </c>
      <c r="I7" s="165">
        <f>Submetering!H7+Submetering!AD7+Submetering!AE7</f>
        <v>-194</v>
      </c>
      <c r="J7" s="165">
        <v>10.029999999999999</v>
      </c>
      <c r="K7" s="47">
        <f>ELECT.!B8</f>
        <v>0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62">
        <v>1.27</v>
      </c>
      <c r="G8" s="47">
        <f>Gas!C9*0.9147</f>
        <v>0</v>
      </c>
      <c r="H8" s="163">
        <v>3.65</v>
      </c>
      <c r="I8" s="165">
        <f>Submetering!H8+Submetering!AD8+Submetering!AE8</f>
        <v>-194</v>
      </c>
      <c r="J8" s="165">
        <v>10.029999999999999</v>
      </c>
      <c r="K8" s="47">
        <f>ELECT.!B9</f>
        <v>0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62">
        <v>1.27</v>
      </c>
      <c r="G9" s="47">
        <f>Gas!C10*0.9147</f>
        <v>0</v>
      </c>
      <c r="H9" s="163">
        <v>3.65</v>
      </c>
      <c r="I9" s="165">
        <f>Submetering!H9+Submetering!AD9+Submetering!AE9</f>
        <v>-194</v>
      </c>
      <c r="J9" s="165">
        <v>10.029999999999999</v>
      </c>
      <c r="K9" s="47">
        <f>ELECT.!B10</f>
        <v>0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62">
        <v>1.27</v>
      </c>
      <c r="G10" s="47">
        <f>Gas!C11*0.9147</f>
        <v>0</v>
      </c>
      <c r="H10" s="163">
        <v>3.65</v>
      </c>
      <c r="I10" s="165">
        <f>Submetering!H10+Submetering!AD10+Submetering!AE10</f>
        <v>-194</v>
      </c>
      <c r="J10" s="165">
        <v>10.029999999999999</v>
      </c>
      <c r="K10" s="47">
        <f>ELECT.!B11</f>
        <v>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62">
        <v>1.27</v>
      </c>
      <c r="G11" s="47">
        <f>Gas!C12*0.9147</f>
        <v>0</v>
      </c>
      <c r="H11" s="163">
        <v>3.65</v>
      </c>
      <c r="I11" s="165">
        <f>Submetering!H11+Submetering!AD11+Submetering!AE11</f>
        <v>-194</v>
      </c>
      <c r="J11" s="165">
        <v>10.029999999999999</v>
      </c>
      <c r="K11" s="47">
        <f>ELECT.!B12</f>
        <v>0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62">
        <v>1.27</v>
      </c>
      <c r="G12" s="47">
        <f>Gas!C13*0.9147</f>
        <v>0</v>
      </c>
      <c r="H12" s="163">
        <v>3.65</v>
      </c>
      <c r="I12" s="165">
        <f>Submetering!H12+Submetering!AD12+Submetering!AE12</f>
        <v>-194</v>
      </c>
      <c r="J12" s="165">
        <v>10.029999999999999</v>
      </c>
      <c r="K12" s="47">
        <f>ELECT.!B13</f>
        <v>0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62">
        <v>1.27</v>
      </c>
      <c r="G13" s="47">
        <f>Gas!C14*0.9147</f>
        <v>0</v>
      </c>
      <c r="H13" s="163">
        <v>3.65</v>
      </c>
      <c r="I13" s="165">
        <f>Submetering!H13+Submetering!AD13+Submetering!AE13</f>
        <v>-194</v>
      </c>
      <c r="J13" s="165">
        <v>10.029999999999999</v>
      </c>
      <c r="K13" s="47">
        <f>ELECT.!B14</f>
        <v>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62">
        <v>1.27</v>
      </c>
      <c r="G14" s="47">
        <f>Gas!C15*0.9147</f>
        <v>0</v>
      </c>
      <c r="H14" s="163">
        <v>3.65</v>
      </c>
      <c r="I14" s="165">
        <f>Submetering!H14+Submetering!AD14+Submetering!AE14</f>
        <v>-194</v>
      </c>
      <c r="J14" s="165">
        <v>10.029999999999999</v>
      </c>
      <c r="K14" s="47">
        <f>ELECT.!B15</f>
        <v>0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62">
        <v>1.27</v>
      </c>
      <c r="G15" s="47">
        <f>Gas!C16*0.9147</f>
        <v>0</v>
      </c>
      <c r="H15" s="163">
        <v>3.65</v>
      </c>
      <c r="I15" s="165">
        <f>Submetering!H15+Submetering!AD15+Submetering!AE15</f>
        <v>-194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0</v>
      </c>
      <c r="F6" s="47">
        <f>Water!E7</f>
        <v>0</v>
      </c>
      <c r="G6" s="47">
        <f>Water!G7</f>
        <v>0</v>
      </c>
      <c r="H6" s="47">
        <f>Water!I7</f>
        <v>0</v>
      </c>
      <c r="I6" s="47" t="str">
        <f>ELECT.!F7</f>
        <v>0</v>
      </c>
      <c r="J6" s="47" t="str">
        <f>ELECT.!H7</f>
        <v>0</v>
      </c>
      <c r="K6" s="47" t="str">
        <f>ELECT.!K7</f>
        <v>0</v>
      </c>
      <c r="L6" s="47" t="str">
        <f>ELECT.!M7</f>
        <v>0</v>
      </c>
      <c r="M6" s="47">
        <f>ELECT.!O7</f>
        <v>0</v>
      </c>
      <c r="N6" s="47" t="str">
        <f>ELECT.!Q7</f>
        <v>0</v>
      </c>
      <c r="O6" s="47" t="str">
        <f>ELECT.!S7</f>
        <v>0</v>
      </c>
      <c r="P6" s="47">
        <f>ELECT.!W7*2</f>
        <v>0</v>
      </c>
      <c r="Q6" s="47">
        <f>ELECT.!D7</f>
        <v>0</v>
      </c>
      <c r="R6" s="48" t="str">
        <f>BTU!C7</f>
        <v>0</v>
      </c>
      <c r="S6" s="48" t="str">
        <f>BTU!F7</f>
        <v>0</v>
      </c>
      <c r="T6" s="48" t="str">
        <f>BTU!I7</f>
        <v>0</v>
      </c>
      <c r="U6" s="48" t="str">
        <f>BTU!O7</f>
        <v>0</v>
      </c>
      <c r="V6" s="48" t="str">
        <f>BTU!L7</f>
        <v>0</v>
      </c>
      <c r="W6" s="48" t="str">
        <f>BTU!R7</f>
        <v>0</v>
      </c>
      <c r="X6" s="45">
        <f>ELECT.!B7</f>
        <v>0</v>
      </c>
      <c r="Y6" s="45">
        <f t="shared" si="0"/>
        <v>0</v>
      </c>
      <c r="Z6">
        <f>'Mall, Citadel, Rotana'!C7+'Mall, Citadel, Rotana'!E7+'Mall, Citadel, Rotana'!G7+'Mall, Citadel, Rotana'!I7</f>
        <v>0</v>
      </c>
      <c r="AA6">
        <f>'Mall, Citadel, Rotana'!K7+'Mall, Citadel, Rotana'!M7</f>
        <v>0</v>
      </c>
      <c r="AB6">
        <f>'Mall, Citadel, Rotana'!O7</f>
        <v>0</v>
      </c>
      <c r="AC6">
        <f>'Mall, Citadel, Rotana'!Q7+'Mall, Citadel, Rotana'!S7</f>
        <v>0</v>
      </c>
      <c r="AD6" s="45">
        <f t="shared" si="1"/>
        <v>-25.569199999999999</v>
      </c>
      <c r="AE6" s="45">
        <f t="shared" si="2"/>
        <v>-168.4308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0</v>
      </c>
      <c r="F7" s="47">
        <f>Water!E8</f>
        <v>0</v>
      </c>
      <c r="G7" s="47">
        <f>Water!G8</f>
        <v>0</v>
      </c>
      <c r="H7" s="47">
        <f>Water!I8</f>
        <v>0</v>
      </c>
      <c r="I7" s="47">
        <f>ELECT.!F8</f>
        <v>0</v>
      </c>
      <c r="J7" s="47">
        <f>ELECT.!H8</f>
        <v>0</v>
      </c>
      <c r="K7" s="47">
        <f>ELECT.!K8</f>
        <v>0</v>
      </c>
      <c r="L7" s="47">
        <f>ELECT.!M8</f>
        <v>0</v>
      </c>
      <c r="M7" s="47">
        <f>ELECT.!O8</f>
        <v>0</v>
      </c>
      <c r="N7" s="47">
        <f>ELECT.!Q8</f>
        <v>0</v>
      </c>
      <c r="O7" s="47">
        <f>ELECT.!S8</f>
        <v>0</v>
      </c>
      <c r="P7" s="47">
        <f>ELECT.!W8*2</f>
        <v>0</v>
      </c>
      <c r="Q7" s="47">
        <f>ELECT.!D8</f>
        <v>0</v>
      </c>
      <c r="R7" s="48">
        <f>BTU!C8</f>
        <v>0</v>
      </c>
      <c r="S7" s="48">
        <f>BTU!F8</f>
        <v>0</v>
      </c>
      <c r="T7" s="48">
        <f>BTU!I8</f>
        <v>0</v>
      </c>
      <c r="U7" s="48">
        <f>BTU!O8</f>
        <v>0</v>
      </c>
      <c r="V7" s="48">
        <f>BTU!L8</f>
        <v>0</v>
      </c>
      <c r="W7" s="48">
        <f>BTU!R8</f>
        <v>0</v>
      </c>
      <c r="X7" s="45">
        <f>ELECT.!B8</f>
        <v>0</v>
      </c>
      <c r="Y7" s="45">
        <f t="shared" si="0"/>
        <v>0</v>
      </c>
      <c r="Z7">
        <f>'Mall, Citadel, Rotana'!C8+'Mall, Citadel, Rotana'!E8+'Mall, Citadel, Rotana'!G8+'Mall, Citadel, Rotana'!I8</f>
        <v>0</v>
      </c>
      <c r="AA7">
        <f>'Mall, Citadel, Rotana'!K8+'Mall, Citadel, Rotana'!M8</f>
        <v>0</v>
      </c>
      <c r="AB7">
        <f>'Mall, Citadel, Rotana'!O8</f>
        <v>0</v>
      </c>
      <c r="AC7">
        <f>'Mall, Citadel, Rotana'!Q8+'Mall, Citadel, Rotana'!S8</f>
        <v>0</v>
      </c>
      <c r="AD7" s="45">
        <f t="shared" si="1"/>
        <v>-25.569199999999999</v>
      </c>
      <c r="AE7" s="45">
        <f t="shared" si="2"/>
        <v>-168.4308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0</v>
      </c>
      <c r="F8" s="47">
        <f>Water!E9</f>
        <v>0</v>
      </c>
      <c r="G8" s="47">
        <f>Water!G9</f>
        <v>0</v>
      </c>
      <c r="H8" s="47">
        <f>Water!I9</f>
        <v>0</v>
      </c>
      <c r="I8" s="47">
        <f>ELECT.!F9</f>
        <v>0</v>
      </c>
      <c r="J8" s="47">
        <f>ELECT.!H9</f>
        <v>0</v>
      </c>
      <c r="K8" s="47">
        <f>ELECT.!K9</f>
        <v>0</v>
      </c>
      <c r="L8" s="47">
        <f>ELECT.!M9</f>
        <v>0</v>
      </c>
      <c r="M8" s="47">
        <f>ELECT.!O9</f>
        <v>0</v>
      </c>
      <c r="N8" s="47">
        <f>ELECT.!Q9</f>
        <v>0</v>
      </c>
      <c r="O8" s="47">
        <f>ELECT.!S9</f>
        <v>0</v>
      </c>
      <c r="P8" s="47">
        <f>ELECT.!W9*2</f>
        <v>0</v>
      </c>
      <c r="Q8" s="47">
        <f>ELECT.!D9</f>
        <v>0</v>
      </c>
      <c r="R8" s="48">
        <f>BTU!C9</f>
        <v>0</v>
      </c>
      <c r="S8" s="48">
        <f>BTU!F9</f>
        <v>0</v>
      </c>
      <c r="T8" s="48">
        <f>BTU!I9</f>
        <v>0</v>
      </c>
      <c r="U8" s="48">
        <f>BTU!O9</f>
        <v>0</v>
      </c>
      <c r="V8" s="48">
        <f>BTU!L9</f>
        <v>0</v>
      </c>
      <c r="W8" s="48">
        <f>BTU!R9</f>
        <v>0</v>
      </c>
      <c r="X8" s="45">
        <f>ELECT.!B9</f>
        <v>0</v>
      </c>
      <c r="Y8" s="4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5">
        <f t="shared" si="1"/>
        <v>-25.569199999999999</v>
      </c>
      <c r="AE8" s="45">
        <f t="shared" si="2"/>
        <v>-168.4308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0</v>
      </c>
      <c r="F9" s="47">
        <f>Water!E10</f>
        <v>0</v>
      </c>
      <c r="G9" s="47">
        <f>Water!G10</f>
        <v>0</v>
      </c>
      <c r="H9" s="47">
        <f>Water!I10</f>
        <v>0</v>
      </c>
      <c r="I9" s="47">
        <f>ELECT.!F10</f>
        <v>0</v>
      </c>
      <c r="J9" s="47">
        <f>ELECT.!H10</f>
        <v>0</v>
      </c>
      <c r="K9" s="47">
        <f>ELECT.!K10</f>
        <v>0</v>
      </c>
      <c r="L9" s="47">
        <f>ELECT.!M10</f>
        <v>0</v>
      </c>
      <c r="M9" s="47">
        <f>ELECT.!O10</f>
        <v>0</v>
      </c>
      <c r="N9" s="47">
        <f>ELECT.!Q10</f>
        <v>0</v>
      </c>
      <c r="O9" s="47">
        <f>ELECT.!S10</f>
        <v>0</v>
      </c>
      <c r="P9" s="47">
        <f>ELECT.!W10*2</f>
        <v>0</v>
      </c>
      <c r="Q9" s="47">
        <f>ELECT.!D10</f>
        <v>0</v>
      </c>
      <c r="R9" s="48">
        <f>BTU!C10</f>
        <v>0</v>
      </c>
      <c r="S9" s="48">
        <f>BTU!F10</f>
        <v>0</v>
      </c>
      <c r="T9" s="48">
        <f>BTU!I10</f>
        <v>0</v>
      </c>
      <c r="U9" s="48">
        <f>BTU!O10</f>
        <v>0</v>
      </c>
      <c r="V9" s="48">
        <f>BTU!L10</f>
        <v>0</v>
      </c>
      <c r="W9" s="48">
        <f>BTU!R10</f>
        <v>0</v>
      </c>
      <c r="X9" s="45">
        <f>ELECT.!B10</f>
        <v>0</v>
      </c>
      <c r="Y9" s="4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5">
        <f t="shared" si="1"/>
        <v>-25.569199999999999</v>
      </c>
      <c r="AE9" s="45">
        <f t="shared" si="2"/>
        <v>-168.4308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0</v>
      </c>
      <c r="F10" s="47">
        <f>Water!E11</f>
        <v>0</v>
      </c>
      <c r="G10" s="47">
        <f>Water!G11</f>
        <v>0</v>
      </c>
      <c r="H10" s="47">
        <f>Water!I11</f>
        <v>0</v>
      </c>
      <c r="I10" s="47">
        <f>ELECT.!F11</f>
        <v>0</v>
      </c>
      <c r="J10" s="47">
        <f>ELECT.!H11</f>
        <v>0</v>
      </c>
      <c r="K10" s="47">
        <f>ELECT.!K11</f>
        <v>0</v>
      </c>
      <c r="L10" s="47">
        <f>ELECT.!M11</f>
        <v>0</v>
      </c>
      <c r="M10" s="47">
        <f>ELECT.!O11</f>
        <v>0</v>
      </c>
      <c r="N10" s="47">
        <f>ELECT.!Q11</f>
        <v>0</v>
      </c>
      <c r="O10" s="47">
        <f>ELECT.!S11</f>
        <v>0</v>
      </c>
      <c r="P10" s="47">
        <f>ELECT.!W11*2</f>
        <v>0</v>
      </c>
      <c r="Q10" s="47">
        <f>ELECT.!D11</f>
        <v>0</v>
      </c>
      <c r="R10" s="48">
        <f>BTU!C11</f>
        <v>0</v>
      </c>
      <c r="S10" s="48">
        <f>BTU!F11</f>
        <v>0</v>
      </c>
      <c r="T10" s="48">
        <f>BTU!I11</f>
        <v>0</v>
      </c>
      <c r="U10" s="48">
        <f>BTU!O11</f>
        <v>0</v>
      </c>
      <c r="V10" s="48">
        <f>BTU!L11</f>
        <v>0</v>
      </c>
      <c r="W10" s="48">
        <f>BTU!R11</f>
        <v>0</v>
      </c>
      <c r="X10" s="45">
        <f>ELECT.!B11</f>
        <v>0</v>
      </c>
      <c r="Y10" s="4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5">
        <f t="shared" si="1"/>
        <v>-25.569199999999999</v>
      </c>
      <c r="AE10" s="45">
        <f t="shared" si="2"/>
        <v>-168.4308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0</v>
      </c>
      <c r="F11" s="47">
        <f>Water!E12</f>
        <v>0</v>
      </c>
      <c r="G11" s="47">
        <f>Water!G12</f>
        <v>0</v>
      </c>
      <c r="H11" s="47">
        <f>Water!I12</f>
        <v>0</v>
      </c>
      <c r="I11" s="47">
        <f>ELECT.!F12</f>
        <v>0</v>
      </c>
      <c r="J11" s="47">
        <f>ELECT.!H12</f>
        <v>0</v>
      </c>
      <c r="K11" s="47">
        <f>ELECT.!K12</f>
        <v>0</v>
      </c>
      <c r="L11" s="47">
        <f>ELECT.!M12</f>
        <v>0</v>
      </c>
      <c r="M11" s="47">
        <f>ELECT.!O12</f>
        <v>0</v>
      </c>
      <c r="N11" s="47">
        <f>ELECT.!Q12</f>
        <v>0</v>
      </c>
      <c r="O11" s="47">
        <f>ELECT.!S12</f>
        <v>0</v>
      </c>
      <c r="P11" s="47">
        <f>ELECT.!W12*2</f>
        <v>0</v>
      </c>
      <c r="Q11" s="47">
        <f>ELECT.!D12</f>
        <v>0</v>
      </c>
      <c r="R11" s="48">
        <f>BTU!C12</f>
        <v>0</v>
      </c>
      <c r="S11" s="48">
        <f>BTU!F12</f>
        <v>0</v>
      </c>
      <c r="T11" s="48">
        <f>BTU!I12</f>
        <v>0</v>
      </c>
      <c r="U11" s="48">
        <f>BTU!O12</f>
        <v>0</v>
      </c>
      <c r="V11" s="48">
        <f>BTU!L12</f>
        <v>0</v>
      </c>
      <c r="W11" s="48">
        <f>BTU!R12</f>
        <v>0</v>
      </c>
      <c r="X11" s="45">
        <f>ELECT.!B12</f>
        <v>0</v>
      </c>
      <c r="Y11" s="4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5">
        <f t="shared" si="1"/>
        <v>-25.569199999999999</v>
      </c>
      <c r="AE11" s="45">
        <f t="shared" si="2"/>
        <v>-168.4308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0</v>
      </c>
      <c r="F12" s="47">
        <f>Water!E13</f>
        <v>0</v>
      </c>
      <c r="G12" s="47">
        <f>Water!G13</f>
        <v>0</v>
      </c>
      <c r="H12" s="47">
        <f>Water!I13</f>
        <v>0</v>
      </c>
      <c r="I12" s="47">
        <f>ELECT.!F13</f>
        <v>0</v>
      </c>
      <c r="J12" s="47">
        <f>ELECT.!H13</f>
        <v>0</v>
      </c>
      <c r="K12" s="47">
        <f>ELECT.!K13</f>
        <v>0</v>
      </c>
      <c r="L12" s="47">
        <f>ELECT.!M13</f>
        <v>0</v>
      </c>
      <c r="M12" s="47">
        <f>ELECT.!O13</f>
        <v>0</v>
      </c>
      <c r="N12" s="47">
        <f>ELECT.!Q13</f>
        <v>0</v>
      </c>
      <c r="O12" s="47">
        <f>ELECT.!S13</f>
        <v>0</v>
      </c>
      <c r="P12" s="47">
        <f>ELECT.!W13*2</f>
        <v>0</v>
      </c>
      <c r="Q12" s="47">
        <f>ELECT.!D13</f>
        <v>0</v>
      </c>
      <c r="R12" s="48">
        <f>BTU!C13</f>
        <v>0</v>
      </c>
      <c r="S12" s="48">
        <f>BTU!F13</f>
        <v>0</v>
      </c>
      <c r="T12" s="48">
        <f>BTU!I13</f>
        <v>0</v>
      </c>
      <c r="U12" s="48">
        <f>BTU!O13</f>
        <v>0</v>
      </c>
      <c r="V12" s="48">
        <f>BTU!L13</f>
        <v>0</v>
      </c>
      <c r="W12" s="48">
        <f>BTU!R13</f>
        <v>0</v>
      </c>
      <c r="X12" s="45">
        <f>ELECT.!B13</f>
        <v>0</v>
      </c>
      <c r="Y12" s="4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5">
        <f t="shared" si="1"/>
        <v>-25.569199999999999</v>
      </c>
      <c r="AE12" s="45">
        <f t="shared" si="2"/>
        <v>-168.4308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0</v>
      </c>
      <c r="F13" s="47">
        <f>Water!E14</f>
        <v>0</v>
      </c>
      <c r="G13" s="47">
        <f>Water!G14</f>
        <v>0</v>
      </c>
      <c r="H13" s="47">
        <f>Water!I14</f>
        <v>0</v>
      </c>
      <c r="I13" s="47">
        <f>ELECT.!F14</f>
        <v>0</v>
      </c>
      <c r="J13" s="47">
        <f>ELECT.!H14</f>
        <v>0</v>
      </c>
      <c r="K13" s="47">
        <f>ELECT.!K14</f>
        <v>0</v>
      </c>
      <c r="L13" s="47">
        <f>ELECT.!M14</f>
        <v>0</v>
      </c>
      <c r="M13" s="47">
        <f>ELECT.!O14</f>
        <v>0</v>
      </c>
      <c r="N13" s="47">
        <f>ELECT.!Q14</f>
        <v>0</v>
      </c>
      <c r="O13" s="47">
        <f>ELECT.!S14</f>
        <v>0</v>
      </c>
      <c r="P13" s="47">
        <f>ELECT.!W14*2</f>
        <v>0</v>
      </c>
      <c r="Q13" s="47">
        <f>ELECT.!D14</f>
        <v>0</v>
      </c>
      <c r="R13" s="48">
        <f>BTU!C14</f>
        <v>0</v>
      </c>
      <c r="S13" s="48">
        <f>BTU!F14</f>
        <v>0</v>
      </c>
      <c r="T13" s="48">
        <f>BTU!I14</f>
        <v>0</v>
      </c>
      <c r="U13" s="48">
        <f>BTU!O14</f>
        <v>0</v>
      </c>
      <c r="V13" s="48">
        <f>BTU!L14</f>
        <v>0</v>
      </c>
      <c r="W13" s="48">
        <f>BTU!R14</f>
        <v>0</v>
      </c>
      <c r="X13" s="45">
        <f>ELECT.!B14</f>
        <v>0</v>
      </c>
      <c r="Y13" s="4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5">
        <f t="shared" si="1"/>
        <v>-25.569199999999999</v>
      </c>
      <c r="AE13" s="45">
        <f t="shared" si="2"/>
        <v>-168.4308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0</v>
      </c>
      <c r="F14" s="47">
        <f>Water!E15</f>
        <v>0</v>
      </c>
      <c r="G14" s="47">
        <f>Water!G15</f>
        <v>0</v>
      </c>
      <c r="H14" s="47">
        <f>Water!I15</f>
        <v>0</v>
      </c>
      <c r="I14" s="47">
        <f>ELECT.!F15</f>
        <v>0</v>
      </c>
      <c r="J14" s="47">
        <f>ELECT.!H15</f>
        <v>0</v>
      </c>
      <c r="K14" s="47">
        <f>ELECT.!K15</f>
        <v>0</v>
      </c>
      <c r="L14" s="47">
        <f>ELECT.!M15</f>
        <v>0</v>
      </c>
      <c r="M14" s="47">
        <f>ELECT.!O15</f>
        <v>0</v>
      </c>
      <c r="N14" s="47">
        <f>ELECT.!Q15</f>
        <v>0</v>
      </c>
      <c r="O14" s="47">
        <f>ELECT.!S15</f>
        <v>0</v>
      </c>
      <c r="P14" s="47">
        <f>ELECT.!W15*2</f>
        <v>0</v>
      </c>
      <c r="Q14" s="47">
        <f>ELECT.!D15</f>
        <v>0</v>
      </c>
      <c r="R14" s="48">
        <f>BTU!C15</f>
        <v>0</v>
      </c>
      <c r="S14" s="48">
        <f>BTU!F15</f>
        <v>0</v>
      </c>
      <c r="T14" s="48">
        <f>BTU!I15</f>
        <v>0</v>
      </c>
      <c r="U14" s="48">
        <f>BTU!O15</f>
        <v>0</v>
      </c>
      <c r="V14" s="48">
        <f>BTU!L15</f>
        <v>0</v>
      </c>
      <c r="W14" s="48">
        <f>BTU!R15</f>
        <v>0</v>
      </c>
      <c r="X14" s="45">
        <f>ELECT.!B15</f>
        <v>0</v>
      </c>
      <c r="Y14" s="4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5">
        <f t="shared" si="1"/>
        <v>-25.569199999999999</v>
      </c>
      <c r="AE14" s="45">
        <f t="shared" si="2"/>
        <v>-168.4308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0</v>
      </c>
      <c r="F15" s="47">
        <f>Water!E16</f>
        <v>0</v>
      </c>
      <c r="G15" s="47">
        <f>Water!G16</f>
        <v>0</v>
      </c>
      <c r="H15" s="47">
        <f>Water!I16</f>
        <v>0</v>
      </c>
      <c r="I15" s="47">
        <f>ELECT.!F16</f>
        <v>0</v>
      </c>
      <c r="J15" s="47">
        <f>ELECT.!H16</f>
        <v>0</v>
      </c>
      <c r="K15" s="47">
        <f>ELECT.!K16</f>
        <v>0</v>
      </c>
      <c r="L15" s="47">
        <f>ELECT.!M16</f>
        <v>0</v>
      </c>
      <c r="M15" s="47">
        <f>ELECT.!O16</f>
        <v>0</v>
      </c>
      <c r="N15" s="47">
        <f>ELECT.!Q16</f>
        <v>0</v>
      </c>
      <c r="O15" s="47">
        <f>ELECT.!S16</f>
        <v>0</v>
      </c>
      <c r="P15" s="47">
        <f>ELECT.!W16*2</f>
        <v>0</v>
      </c>
      <c r="Q15" s="47">
        <f>ELECT.!D16</f>
        <v>0</v>
      </c>
      <c r="R15" s="48">
        <f>BTU!C16</f>
        <v>0</v>
      </c>
      <c r="S15" s="48">
        <f>BTU!F16</f>
        <v>0</v>
      </c>
      <c r="T15" s="48">
        <f>BTU!I16</f>
        <v>0</v>
      </c>
      <c r="U15" s="48">
        <f>BTU!O16</f>
        <v>0</v>
      </c>
      <c r="V15" s="48">
        <f>BTU!L16</f>
        <v>0</v>
      </c>
      <c r="W15" s="48">
        <f>BTU!R16</f>
        <v>0</v>
      </c>
      <c r="X15" s="45">
        <f>ELECT.!B16</f>
        <v>0</v>
      </c>
      <c r="Y15" s="4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5">
        <f t="shared" si="1"/>
        <v>-25.569199999999999</v>
      </c>
      <c r="AE15" s="45">
        <f t="shared" si="2"/>
        <v>-168.4308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>
        <f>ELECT.!F17</f>
        <v>0</v>
      </c>
      <c r="J16" s="47">
        <f>ELECT.!H17</f>
        <v>0</v>
      </c>
      <c r="K16" s="47">
        <f>ELECT.!K17</f>
        <v>0</v>
      </c>
      <c r="L16" s="47">
        <f>ELECT.!M17</f>
        <v>0</v>
      </c>
      <c r="M16" s="47">
        <f>ELECT.!O17</f>
        <v>0</v>
      </c>
      <c r="N16" s="47">
        <f>ELECT.!Q17</f>
        <v>0</v>
      </c>
      <c r="O16" s="47">
        <f>ELECT.!S17</f>
        <v>0</v>
      </c>
      <c r="P16" s="47">
        <f>ELECT.!W17*2</f>
        <v>0</v>
      </c>
      <c r="Q16" s="47">
        <f>ELECT.!D17</f>
        <v>0</v>
      </c>
      <c r="R16" s="48">
        <f>BTU!C17</f>
        <v>0</v>
      </c>
      <c r="S16" s="48">
        <f>BTU!F17</f>
        <v>0</v>
      </c>
      <c r="T16" s="48">
        <f>BTU!I17</f>
        <v>0</v>
      </c>
      <c r="U16" s="48">
        <f>BTU!O17</f>
        <v>0</v>
      </c>
      <c r="V16" s="48">
        <f>BTU!L17</f>
        <v>0</v>
      </c>
      <c r="W16" s="48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workbookViewId="0">
      <selection activeCell="B6" sqref="A6:XFD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f t="shared" ref="B6:B33" si="10">B6</f>
        <v>45345</v>
      </c>
      <c r="C7" s="16">
        <f t="shared" si="0"/>
        <v>0</v>
      </c>
      <c r="D7" s="42">
        <f t="shared" ref="D6:D33" si="11">D6</f>
        <v>39562</v>
      </c>
      <c r="E7" s="16">
        <f t="shared" si="1"/>
        <v>0</v>
      </c>
      <c r="F7" s="42">
        <f t="shared" ref="F6:F33" si="12">F6</f>
        <v>20425</v>
      </c>
      <c r="G7" s="16">
        <f t="shared" si="2"/>
        <v>0</v>
      </c>
      <c r="H7" s="42">
        <f t="shared" ref="H6:H33" si="13">H6</f>
        <v>242858</v>
      </c>
      <c r="I7" s="16">
        <f t="shared" si="3"/>
        <v>0</v>
      </c>
      <c r="J7" s="42">
        <v>303517</v>
      </c>
      <c r="K7" s="16">
        <f t="shared" si="4"/>
        <v>0</v>
      </c>
      <c r="L7" s="42">
        <f t="shared" ref="L6:L33" si="14">L6</f>
        <v>24998</v>
      </c>
      <c r="M7" s="16">
        <f t="shared" si="5"/>
        <v>0</v>
      </c>
      <c r="N7" s="42">
        <f t="shared" ref="N6:N33" si="15">N6</f>
        <v>215557</v>
      </c>
      <c r="O7" s="16">
        <f t="shared" si="6"/>
        <v>0</v>
      </c>
      <c r="P7" s="42">
        <f t="shared" ref="P6:P33" si="16">P6</f>
        <v>106760</v>
      </c>
      <c r="Q7" s="16">
        <f t="shared" si="7"/>
        <v>0</v>
      </c>
      <c r="R7" s="1">
        <v>55047</v>
      </c>
      <c r="S7" s="16">
        <f>R7-R30</f>
        <v>0</v>
      </c>
      <c r="T7" s="42">
        <f t="shared" ref="T6:T33" si="17">T6</f>
        <v>3656</v>
      </c>
      <c r="U7" s="16">
        <f t="shared" si="9"/>
        <v>0</v>
      </c>
    </row>
    <row r="8" spans="1:24" ht="13.5" thickBot="1" x14ac:dyDescent="0.25">
      <c r="A8" s="10">
        <v>44353</v>
      </c>
      <c r="B8" s="42">
        <f t="shared" si="10"/>
        <v>45345</v>
      </c>
      <c r="C8" s="16">
        <f t="shared" si="0"/>
        <v>0</v>
      </c>
      <c r="D8" s="42">
        <f t="shared" si="11"/>
        <v>39562</v>
      </c>
      <c r="E8" s="16">
        <f t="shared" si="1"/>
        <v>0</v>
      </c>
      <c r="F8" s="42">
        <f t="shared" si="12"/>
        <v>20425</v>
      </c>
      <c r="G8" s="16">
        <f t="shared" si="2"/>
        <v>0</v>
      </c>
      <c r="H8" s="42">
        <f t="shared" si="13"/>
        <v>242858</v>
      </c>
      <c r="I8" s="16">
        <f t="shared" si="3"/>
        <v>0</v>
      </c>
      <c r="J8" s="42">
        <v>303517</v>
      </c>
      <c r="K8" s="16">
        <f t="shared" si="4"/>
        <v>0</v>
      </c>
      <c r="L8" s="42">
        <f t="shared" si="14"/>
        <v>24998</v>
      </c>
      <c r="M8" s="16">
        <f t="shared" si="5"/>
        <v>0</v>
      </c>
      <c r="N8" s="42">
        <f t="shared" si="15"/>
        <v>215557</v>
      </c>
      <c r="O8" s="16">
        <f t="shared" si="6"/>
        <v>0</v>
      </c>
      <c r="P8" s="42">
        <f t="shared" si="16"/>
        <v>106760</v>
      </c>
      <c r="Q8" s="16">
        <f t="shared" si="7"/>
        <v>0</v>
      </c>
      <c r="R8" s="1">
        <v>55047</v>
      </c>
      <c r="S8" s="16">
        <f>R8-R7</f>
        <v>0</v>
      </c>
      <c r="T8" s="42">
        <f t="shared" si="17"/>
        <v>3656</v>
      </c>
      <c r="U8" s="16">
        <f t="shared" si="9"/>
        <v>0</v>
      </c>
    </row>
    <row r="9" spans="1:24" ht="13.5" thickBot="1" x14ac:dyDescent="0.25">
      <c r="A9" s="10">
        <v>44354</v>
      </c>
      <c r="B9" s="42">
        <f t="shared" si="10"/>
        <v>45345</v>
      </c>
      <c r="C9" s="16">
        <f t="shared" si="0"/>
        <v>0</v>
      </c>
      <c r="D9" s="42">
        <f t="shared" si="11"/>
        <v>39562</v>
      </c>
      <c r="E9" s="16">
        <f t="shared" si="1"/>
        <v>0</v>
      </c>
      <c r="F9" s="42">
        <f t="shared" si="12"/>
        <v>20425</v>
      </c>
      <c r="G9" s="16">
        <f t="shared" si="2"/>
        <v>0</v>
      </c>
      <c r="H9" s="42">
        <f t="shared" si="13"/>
        <v>242858</v>
      </c>
      <c r="I9" s="16">
        <f t="shared" si="3"/>
        <v>0</v>
      </c>
      <c r="J9" s="42">
        <v>303517</v>
      </c>
      <c r="K9" s="16">
        <f t="shared" si="4"/>
        <v>0</v>
      </c>
      <c r="L9" s="42">
        <f t="shared" si="14"/>
        <v>24998</v>
      </c>
      <c r="M9" s="16">
        <f t="shared" si="5"/>
        <v>0</v>
      </c>
      <c r="N9" s="42">
        <f t="shared" si="15"/>
        <v>215557</v>
      </c>
      <c r="O9" s="16">
        <f t="shared" si="6"/>
        <v>0</v>
      </c>
      <c r="P9" s="42">
        <f t="shared" si="16"/>
        <v>106760</v>
      </c>
      <c r="Q9" s="16">
        <f>P9-P8</f>
        <v>0</v>
      </c>
      <c r="R9" s="1">
        <v>55047</v>
      </c>
      <c r="S9" s="16">
        <f>R9-R8</f>
        <v>0</v>
      </c>
      <c r="T9" s="42">
        <f t="shared" si="17"/>
        <v>3656</v>
      </c>
      <c r="U9" s="16">
        <f t="shared" si="9"/>
        <v>0</v>
      </c>
    </row>
    <row r="10" spans="1:24" ht="13.5" thickBot="1" x14ac:dyDescent="0.25">
      <c r="A10" s="10">
        <v>44355</v>
      </c>
      <c r="B10" s="42">
        <f t="shared" si="10"/>
        <v>45345</v>
      </c>
      <c r="C10" s="16">
        <f t="shared" si="0"/>
        <v>0</v>
      </c>
      <c r="D10" s="42">
        <f t="shared" si="11"/>
        <v>39562</v>
      </c>
      <c r="E10" s="16">
        <f t="shared" si="1"/>
        <v>0</v>
      </c>
      <c r="F10" s="42">
        <f t="shared" si="12"/>
        <v>20425</v>
      </c>
      <c r="G10" s="16">
        <f t="shared" si="2"/>
        <v>0</v>
      </c>
      <c r="H10" s="42">
        <f t="shared" si="13"/>
        <v>242858</v>
      </c>
      <c r="I10" s="16">
        <f t="shared" si="3"/>
        <v>0</v>
      </c>
      <c r="J10" s="42">
        <v>303517</v>
      </c>
      <c r="K10" s="16">
        <f t="shared" si="4"/>
        <v>0</v>
      </c>
      <c r="L10" s="42">
        <f t="shared" si="14"/>
        <v>24998</v>
      </c>
      <c r="M10" s="16">
        <f t="shared" si="5"/>
        <v>0</v>
      </c>
      <c r="N10" s="42">
        <f t="shared" si="15"/>
        <v>215557</v>
      </c>
      <c r="O10" s="16">
        <f t="shared" si="6"/>
        <v>0</v>
      </c>
      <c r="P10" s="42">
        <f t="shared" si="16"/>
        <v>106760</v>
      </c>
      <c r="Q10" s="16">
        <f>P10-P9</f>
        <v>0</v>
      </c>
      <c r="R10" s="1">
        <v>55047</v>
      </c>
      <c r="S10" s="16">
        <f>R10-R9</f>
        <v>0</v>
      </c>
      <c r="T10" s="42">
        <f t="shared" si="17"/>
        <v>3656</v>
      </c>
      <c r="U10" s="16">
        <f t="shared" si="9"/>
        <v>0</v>
      </c>
    </row>
    <row r="11" spans="1:24" ht="13.5" thickBot="1" x14ac:dyDescent="0.25">
      <c r="A11" s="10">
        <v>44356</v>
      </c>
      <c r="B11" s="42">
        <f t="shared" si="10"/>
        <v>45345</v>
      </c>
      <c r="C11" s="16">
        <f t="shared" si="0"/>
        <v>0</v>
      </c>
      <c r="D11" s="42">
        <f t="shared" si="11"/>
        <v>39562</v>
      </c>
      <c r="E11" s="16">
        <f t="shared" si="1"/>
        <v>0</v>
      </c>
      <c r="F11" s="42">
        <f t="shared" si="12"/>
        <v>20425</v>
      </c>
      <c r="G11" s="16">
        <f t="shared" si="2"/>
        <v>0</v>
      </c>
      <c r="H11" s="42">
        <f t="shared" si="13"/>
        <v>242858</v>
      </c>
      <c r="I11" s="16">
        <f t="shared" si="3"/>
        <v>0</v>
      </c>
      <c r="J11" s="42">
        <v>303517</v>
      </c>
      <c r="K11" s="16">
        <f t="shared" si="4"/>
        <v>0</v>
      </c>
      <c r="L11" s="42">
        <f t="shared" si="14"/>
        <v>24998</v>
      </c>
      <c r="M11" s="16">
        <f t="shared" si="5"/>
        <v>0</v>
      </c>
      <c r="N11" s="42">
        <f t="shared" si="15"/>
        <v>215557</v>
      </c>
      <c r="O11" s="16">
        <f t="shared" si="6"/>
        <v>0</v>
      </c>
      <c r="P11" s="42">
        <f t="shared" si="16"/>
        <v>106760</v>
      </c>
      <c r="Q11" s="16">
        <f t="shared" si="7"/>
        <v>0</v>
      </c>
      <c r="R11" s="1">
        <v>55047</v>
      </c>
      <c r="S11" s="16">
        <f t="shared" si="8"/>
        <v>0</v>
      </c>
      <c r="T11" s="42">
        <f t="shared" si="17"/>
        <v>3656</v>
      </c>
      <c r="U11" s="16">
        <f t="shared" si="9"/>
        <v>0</v>
      </c>
    </row>
    <row r="12" spans="1:24" ht="13.5" thickBot="1" x14ac:dyDescent="0.25">
      <c r="A12" s="10">
        <v>44357</v>
      </c>
      <c r="B12" s="42">
        <f t="shared" si="10"/>
        <v>45345</v>
      </c>
      <c r="C12" s="16">
        <f t="shared" si="0"/>
        <v>0</v>
      </c>
      <c r="D12" s="42">
        <f t="shared" si="11"/>
        <v>39562</v>
      </c>
      <c r="E12" s="16">
        <f t="shared" si="1"/>
        <v>0</v>
      </c>
      <c r="F12" s="42">
        <f t="shared" si="12"/>
        <v>20425</v>
      </c>
      <c r="G12" s="16">
        <f t="shared" si="2"/>
        <v>0</v>
      </c>
      <c r="H12" s="42">
        <f t="shared" si="13"/>
        <v>242858</v>
      </c>
      <c r="I12" s="16">
        <f t="shared" si="3"/>
        <v>0</v>
      </c>
      <c r="J12" s="42">
        <v>303517</v>
      </c>
      <c r="K12" s="16">
        <f t="shared" si="4"/>
        <v>0</v>
      </c>
      <c r="L12" s="42">
        <f t="shared" si="14"/>
        <v>24998</v>
      </c>
      <c r="M12" s="16">
        <f t="shared" si="5"/>
        <v>0</v>
      </c>
      <c r="N12" s="42">
        <f t="shared" si="15"/>
        <v>215557</v>
      </c>
      <c r="O12" s="16">
        <f t="shared" si="6"/>
        <v>0</v>
      </c>
      <c r="P12" s="42">
        <f t="shared" si="16"/>
        <v>106760</v>
      </c>
      <c r="Q12" s="16">
        <f t="shared" si="7"/>
        <v>0</v>
      </c>
      <c r="R12" s="1">
        <v>55047</v>
      </c>
      <c r="S12" s="16">
        <f t="shared" si="8"/>
        <v>0</v>
      </c>
      <c r="T12" s="42">
        <f t="shared" si="17"/>
        <v>3656</v>
      </c>
      <c r="U12" s="16">
        <f t="shared" si="9"/>
        <v>0</v>
      </c>
    </row>
    <row r="13" spans="1:24" ht="13.5" thickBot="1" x14ac:dyDescent="0.25">
      <c r="A13" s="10">
        <v>44358</v>
      </c>
      <c r="B13" s="42">
        <f t="shared" si="10"/>
        <v>45345</v>
      </c>
      <c r="C13" s="16">
        <f t="shared" si="0"/>
        <v>0</v>
      </c>
      <c r="D13" s="42">
        <f t="shared" si="11"/>
        <v>39562</v>
      </c>
      <c r="E13" s="16">
        <f t="shared" si="1"/>
        <v>0</v>
      </c>
      <c r="F13" s="42">
        <f t="shared" si="12"/>
        <v>20425</v>
      </c>
      <c r="G13" s="16">
        <f t="shared" si="2"/>
        <v>0</v>
      </c>
      <c r="H13" s="42">
        <f t="shared" si="13"/>
        <v>242858</v>
      </c>
      <c r="I13" s="16">
        <f t="shared" si="3"/>
        <v>0</v>
      </c>
      <c r="J13" s="42">
        <v>303517</v>
      </c>
      <c r="K13" s="16">
        <f t="shared" si="4"/>
        <v>0</v>
      </c>
      <c r="L13" s="42">
        <f t="shared" si="14"/>
        <v>24998</v>
      </c>
      <c r="M13" s="16">
        <f t="shared" si="5"/>
        <v>0</v>
      </c>
      <c r="N13" s="42">
        <f t="shared" si="15"/>
        <v>215557</v>
      </c>
      <c r="O13" s="16">
        <f t="shared" si="6"/>
        <v>0</v>
      </c>
      <c r="P13" s="42">
        <f t="shared" si="16"/>
        <v>106760</v>
      </c>
      <c r="Q13" s="16">
        <f t="shared" si="7"/>
        <v>0</v>
      </c>
      <c r="R13" s="1">
        <v>55047</v>
      </c>
      <c r="S13" s="16">
        <f t="shared" si="8"/>
        <v>0</v>
      </c>
      <c r="T13" s="42">
        <f t="shared" si="17"/>
        <v>3656</v>
      </c>
      <c r="U13" s="16">
        <f t="shared" si="9"/>
        <v>0</v>
      </c>
    </row>
    <row r="14" spans="1:24" ht="13.5" thickBot="1" x14ac:dyDescent="0.25">
      <c r="A14" s="10">
        <v>44359</v>
      </c>
      <c r="B14" s="42">
        <f t="shared" si="10"/>
        <v>45345</v>
      </c>
      <c r="C14" s="16">
        <f t="shared" si="0"/>
        <v>0</v>
      </c>
      <c r="D14" s="42">
        <f t="shared" si="11"/>
        <v>39562</v>
      </c>
      <c r="E14" s="16">
        <f t="shared" si="1"/>
        <v>0</v>
      </c>
      <c r="F14" s="42">
        <f t="shared" si="12"/>
        <v>20425</v>
      </c>
      <c r="G14" s="16">
        <f t="shared" si="2"/>
        <v>0</v>
      </c>
      <c r="H14" s="42">
        <f t="shared" si="13"/>
        <v>242858</v>
      </c>
      <c r="I14" s="16">
        <f t="shared" si="3"/>
        <v>0</v>
      </c>
      <c r="J14" s="42">
        <v>303517</v>
      </c>
      <c r="K14" s="16">
        <f t="shared" si="4"/>
        <v>0</v>
      </c>
      <c r="L14" s="42">
        <f t="shared" si="14"/>
        <v>24998</v>
      </c>
      <c r="M14" s="16">
        <f t="shared" si="5"/>
        <v>0</v>
      </c>
      <c r="N14" s="42">
        <f t="shared" si="15"/>
        <v>215557</v>
      </c>
      <c r="O14" s="16">
        <f t="shared" si="6"/>
        <v>0</v>
      </c>
      <c r="P14" s="42">
        <f t="shared" si="16"/>
        <v>106760</v>
      </c>
      <c r="Q14" s="16">
        <f t="shared" si="7"/>
        <v>0</v>
      </c>
      <c r="R14" s="1">
        <v>55047</v>
      </c>
      <c r="S14" s="16">
        <f t="shared" si="8"/>
        <v>0</v>
      </c>
      <c r="T14" s="42">
        <f t="shared" si="17"/>
        <v>3656</v>
      </c>
      <c r="U14" s="16">
        <f>(T14-T13)*800/5</f>
        <v>0</v>
      </c>
    </row>
    <row r="15" spans="1:24" ht="13.5" thickBot="1" x14ac:dyDescent="0.25">
      <c r="A15" s="10">
        <v>44360</v>
      </c>
      <c r="B15" s="42">
        <f t="shared" si="10"/>
        <v>45345</v>
      </c>
      <c r="C15" s="16">
        <f t="shared" si="0"/>
        <v>0</v>
      </c>
      <c r="D15" s="42">
        <f t="shared" si="11"/>
        <v>39562</v>
      </c>
      <c r="E15" s="16">
        <f t="shared" si="1"/>
        <v>0</v>
      </c>
      <c r="F15" s="42">
        <f t="shared" si="12"/>
        <v>20425</v>
      </c>
      <c r="G15" s="16">
        <f t="shared" si="2"/>
        <v>0</v>
      </c>
      <c r="H15" s="42">
        <f t="shared" si="13"/>
        <v>242858</v>
      </c>
      <c r="I15" s="16">
        <f t="shared" si="3"/>
        <v>0</v>
      </c>
      <c r="J15" s="42">
        <v>303517</v>
      </c>
      <c r="K15" s="16">
        <f t="shared" si="4"/>
        <v>0</v>
      </c>
      <c r="L15" s="42">
        <f t="shared" si="14"/>
        <v>24998</v>
      </c>
      <c r="M15" s="16">
        <f t="shared" si="5"/>
        <v>0</v>
      </c>
      <c r="N15" s="42">
        <f t="shared" si="15"/>
        <v>215557</v>
      </c>
      <c r="O15" s="16">
        <f t="shared" si="6"/>
        <v>0</v>
      </c>
      <c r="P15" s="42">
        <f t="shared" si="16"/>
        <v>106760</v>
      </c>
      <c r="Q15" s="16">
        <f t="shared" si="7"/>
        <v>0</v>
      </c>
      <c r="R15" s="1">
        <v>55047</v>
      </c>
      <c r="S15" s="16">
        <f t="shared" si="8"/>
        <v>0</v>
      </c>
      <c r="T15" s="42">
        <f t="shared" si="17"/>
        <v>3656</v>
      </c>
      <c r="U15" s="16">
        <f>(T15-T14)*800/5</f>
        <v>0</v>
      </c>
      <c r="X15" t="s">
        <v>12</v>
      </c>
    </row>
    <row r="16" spans="1:24" ht="13.5" thickBot="1" x14ac:dyDescent="0.25">
      <c r="A16" s="10">
        <v>44361</v>
      </c>
      <c r="B16" s="42">
        <f t="shared" si="10"/>
        <v>45345</v>
      </c>
      <c r="C16" s="16">
        <f t="shared" si="0"/>
        <v>0</v>
      </c>
      <c r="D16" s="42">
        <f t="shared" si="11"/>
        <v>39562</v>
      </c>
      <c r="E16" s="16">
        <f t="shared" si="1"/>
        <v>0</v>
      </c>
      <c r="F16" s="42">
        <f t="shared" si="12"/>
        <v>20425</v>
      </c>
      <c r="G16" s="16">
        <f t="shared" si="2"/>
        <v>0</v>
      </c>
      <c r="H16" s="42">
        <f t="shared" si="13"/>
        <v>242858</v>
      </c>
      <c r="I16" s="16">
        <f t="shared" si="3"/>
        <v>0</v>
      </c>
      <c r="J16" s="42">
        <v>303517</v>
      </c>
      <c r="K16" s="16">
        <f t="shared" si="4"/>
        <v>0</v>
      </c>
      <c r="L16" s="42">
        <f t="shared" si="14"/>
        <v>24998</v>
      </c>
      <c r="M16" s="16">
        <f t="shared" si="5"/>
        <v>0</v>
      </c>
      <c r="N16" s="42">
        <f t="shared" si="15"/>
        <v>215557</v>
      </c>
      <c r="O16" s="16">
        <f t="shared" si="6"/>
        <v>0</v>
      </c>
      <c r="P16" s="42">
        <f t="shared" si="16"/>
        <v>106760</v>
      </c>
      <c r="Q16" s="16">
        <f t="shared" si="7"/>
        <v>0</v>
      </c>
      <c r="R16" s="1">
        <v>55047</v>
      </c>
      <c r="S16" s="16">
        <f t="shared" si="8"/>
        <v>0</v>
      </c>
      <c r="T16" s="42">
        <f t="shared" si="17"/>
        <v>3656</v>
      </c>
      <c r="U16" s="16">
        <f t="shared" si="9"/>
        <v>0</v>
      </c>
      <c r="W16" t="s">
        <v>12</v>
      </c>
    </row>
    <row r="17" spans="1:23" ht="13.5" thickBot="1" x14ac:dyDescent="0.25">
      <c r="A17" s="10">
        <v>44362</v>
      </c>
      <c r="B17" s="42">
        <f t="shared" si="10"/>
        <v>45345</v>
      </c>
      <c r="C17" s="16">
        <f t="shared" si="0"/>
        <v>0</v>
      </c>
      <c r="D17" s="42">
        <f t="shared" si="11"/>
        <v>39562</v>
      </c>
      <c r="E17" s="16">
        <f t="shared" si="1"/>
        <v>0</v>
      </c>
      <c r="F17" s="42">
        <f t="shared" si="12"/>
        <v>20425</v>
      </c>
      <c r="G17" s="16">
        <f t="shared" si="2"/>
        <v>0</v>
      </c>
      <c r="H17" s="42">
        <f t="shared" si="13"/>
        <v>242858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si="14"/>
        <v>24998</v>
      </c>
      <c r="M17" s="16">
        <f t="shared" si="5"/>
        <v>0</v>
      </c>
      <c r="N17" s="42">
        <f t="shared" si="15"/>
        <v>215557</v>
      </c>
      <c r="O17" s="16">
        <f t="shared" si="6"/>
        <v>0</v>
      </c>
      <c r="P17" s="42">
        <f t="shared" si="16"/>
        <v>106760</v>
      </c>
      <c r="Q17" s="16">
        <f t="shared" si="7"/>
        <v>0</v>
      </c>
      <c r="R17" s="1">
        <v>55047</v>
      </c>
      <c r="S17" s="16">
        <f>S16</f>
        <v>0</v>
      </c>
      <c r="T17" s="42">
        <f t="shared" si="17"/>
        <v>3656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0"/>
        <v>45345</v>
      </c>
      <c r="C18" s="16">
        <f t="shared" si="0"/>
        <v>0</v>
      </c>
      <c r="D18" s="42">
        <f t="shared" si="11"/>
        <v>39562</v>
      </c>
      <c r="E18" s="16">
        <f t="shared" si="1"/>
        <v>0</v>
      </c>
      <c r="F18" s="42">
        <f t="shared" si="12"/>
        <v>20425</v>
      </c>
      <c r="G18" s="16">
        <f t="shared" si="2"/>
        <v>0</v>
      </c>
      <c r="H18" s="42">
        <f t="shared" si="13"/>
        <v>242858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4"/>
        <v>24998</v>
      </c>
      <c r="M18" s="16">
        <f t="shared" si="5"/>
        <v>0</v>
      </c>
      <c r="N18" s="42">
        <f t="shared" si="15"/>
        <v>215557</v>
      </c>
      <c r="O18" s="16">
        <f t="shared" si="6"/>
        <v>0</v>
      </c>
      <c r="P18" s="42">
        <f t="shared" si="16"/>
        <v>106760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3656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0"/>
        <v>45345</v>
      </c>
      <c r="C19" s="16">
        <f t="shared" si="0"/>
        <v>0</v>
      </c>
      <c r="D19" s="42">
        <f t="shared" si="11"/>
        <v>39562</v>
      </c>
      <c r="E19" s="16">
        <f t="shared" si="1"/>
        <v>0</v>
      </c>
      <c r="F19" s="42">
        <f t="shared" si="12"/>
        <v>20425</v>
      </c>
      <c r="G19" s="16">
        <f t="shared" si="2"/>
        <v>0</v>
      </c>
      <c r="H19" s="42">
        <f t="shared" si="13"/>
        <v>242858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4"/>
        <v>24998</v>
      </c>
      <c r="M19" s="16">
        <f t="shared" si="5"/>
        <v>0</v>
      </c>
      <c r="N19" s="42">
        <f t="shared" si="15"/>
        <v>215557</v>
      </c>
      <c r="O19" s="16">
        <f t="shared" si="6"/>
        <v>0</v>
      </c>
      <c r="P19" s="42">
        <f t="shared" si="16"/>
        <v>106760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3656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0"/>
        <v>45345</v>
      </c>
      <c r="C20" s="16">
        <f t="shared" si="0"/>
        <v>0</v>
      </c>
      <c r="D20" s="42">
        <f t="shared" si="11"/>
        <v>39562</v>
      </c>
      <c r="E20" s="16">
        <f t="shared" si="1"/>
        <v>0</v>
      </c>
      <c r="F20" s="42">
        <f t="shared" si="12"/>
        <v>20425</v>
      </c>
      <c r="G20" s="16">
        <f t="shared" si="2"/>
        <v>0</v>
      </c>
      <c r="H20" s="42">
        <f t="shared" si="13"/>
        <v>242858</v>
      </c>
      <c r="I20" s="16">
        <f t="shared" si="3"/>
        <v>0</v>
      </c>
      <c r="J20" s="42">
        <v>303517</v>
      </c>
      <c r="K20" s="16">
        <v>0</v>
      </c>
      <c r="L20" s="42">
        <f t="shared" si="14"/>
        <v>24998</v>
      </c>
      <c r="M20" s="16">
        <f t="shared" si="5"/>
        <v>0</v>
      </c>
      <c r="N20" s="42">
        <f t="shared" si="15"/>
        <v>215557</v>
      </c>
      <c r="O20" s="16">
        <f t="shared" si="6"/>
        <v>0</v>
      </c>
      <c r="P20" s="42">
        <f t="shared" si="16"/>
        <v>106760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3656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0"/>
        <v>45345</v>
      </c>
      <c r="C21" s="16">
        <f t="shared" si="0"/>
        <v>0</v>
      </c>
      <c r="D21" s="42">
        <f t="shared" si="11"/>
        <v>39562</v>
      </c>
      <c r="E21" s="16">
        <f t="shared" si="1"/>
        <v>0</v>
      </c>
      <c r="F21" s="42">
        <f t="shared" si="12"/>
        <v>20425</v>
      </c>
      <c r="G21" s="16">
        <f t="shared" si="2"/>
        <v>0</v>
      </c>
      <c r="H21" s="42">
        <f t="shared" si="13"/>
        <v>242858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4"/>
        <v>24998</v>
      </c>
      <c r="M21" s="16">
        <f t="shared" si="5"/>
        <v>0</v>
      </c>
      <c r="N21" s="42">
        <f t="shared" si="15"/>
        <v>215557</v>
      </c>
      <c r="O21" s="16">
        <f t="shared" si="6"/>
        <v>0</v>
      </c>
      <c r="P21" s="42">
        <f t="shared" si="16"/>
        <v>106760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3656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0"/>
        <v>45345</v>
      </c>
      <c r="C22" s="16">
        <f t="shared" si="0"/>
        <v>0</v>
      </c>
      <c r="D22" s="42">
        <f t="shared" si="11"/>
        <v>39562</v>
      </c>
      <c r="E22" s="16">
        <f t="shared" si="1"/>
        <v>0</v>
      </c>
      <c r="F22" s="42">
        <f t="shared" si="12"/>
        <v>20425</v>
      </c>
      <c r="G22" s="16">
        <f t="shared" si="2"/>
        <v>0</v>
      </c>
      <c r="H22" s="42">
        <f t="shared" si="13"/>
        <v>242858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4"/>
        <v>24998</v>
      </c>
      <c r="M22" s="16">
        <f t="shared" si="5"/>
        <v>0</v>
      </c>
      <c r="N22" s="42">
        <f t="shared" si="15"/>
        <v>215557</v>
      </c>
      <c r="O22" s="16">
        <f t="shared" si="6"/>
        <v>0</v>
      </c>
      <c r="P22" s="42">
        <f t="shared" si="16"/>
        <v>106760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3656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0"/>
        <v>45345</v>
      </c>
      <c r="C23" s="16">
        <f t="shared" si="0"/>
        <v>0</v>
      </c>
      <c r="D23" s="42">
        <f t="shared" si="11"/>
        <v>39562</v>
      </c>
      <c r="E23" s="16">
        <f t="shared" si="1"/>
        <v>0</v>
      </c>
      <c r="F23" s="42">
        <f t="shared" si="12"/>
        <v>20425</v>
      </c>
      <c r="G23" s="16">
        <f t="shared" si="2"/>
        <v>0</v>
      </c>
      <c r="H23" s="42">
        <f t="shared" si="13"/>
        <v>242858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4"/>
        <v>24998</v>
      </c>
      <c r="M23" s="16">
        <f t="shared" si="5"/>
        <v>0</v>
      </c>
      <c r="N23" s="42">
        <f t="shared" si="15"/>
        <v>215557</v>
      </c>
      <c r="O23" s="16">
        <f t="shared" si="6"/>
        <v>0</v>
      </c>
      <c r="P23" s="42">
        <f t="shared" si="16"/>
        <v>106760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3656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0"/>
        <v>45345</v>
      </c>
      <c r="C24" s="16">
        <f t="shared" si="0"/>
        <v>0</v>
      </c>
      <c r="D24" s="42">
        <f t="shared" si="11"/>
        <v>39562</v>
      </c>
      <c r="E24" s="16">
        <f t="shared" si="1"/>
        <v>0</v>
      </c>
      <c r="F24" s="42">
        <f t="shared" si="12"/>
        <v>20425</v>
      </c>
      <c r="G24" s="16">
        <f t="shared" si="2"/>
        <v>0</v>
      </c>
      <c r="H24" s="42">
        <f t="shared" si="13"/>
        <v>242858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4"/>
        <v>24998</v>
      </c>
      <c r="M24" s="16">
        <f t="shared" si="5"/>
        <v>0</v>
      </c>
      <c r="N24" s="42">
        <f t="shared" si="15"/>
        <v>215557</v>
      </c>
      <c r="O24" s="16">
        <f t="shared" si="6"/>
        <v>0</v>
      </c>
      <c r="P24" s="42">
        <f t="shared" si="16"/>
        <v>106760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3656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0"/>
        <v>45345</v>
      </c>
      <c r="C25" s="16">
        <f t="shared" si="0"/>
        <v>0</v>
      </c>
      <c r="D25" s="42">
        <f t="shared" si="11"/>
        <v>39562</v>
      </c>
      <c r="E25" s="16">
        <f t="shared" si="1"/>
        <v>0</v>
      </c>
      <c r="F25" s="42">
        <f t="shared" si="12"/>
        <v>20425</v>
      </c>
      <c r="G25" s="16">
        <f t="shared" si="2"/>
        <v>0</v>
      </c>
      <c r="H25" s="42">
        <f t="shared" si="13"/>
        <v>242858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4"/>
        <v>24998</v>
      </c>
      <c r="M25" s="16">
        <f t="shared" si="5"/>
        <v>0</v>
      </c>
      <c r="N25" s="42">
        <f t="shared" si="15"/>
        <v>215557</v>
      </c>
      <c r="O25" s="16">
        <f t="shared" si="6"/>
        <v>0</v>
      </c>
      <c r="P25" s="42">
        <f t="shared" si="16"/>
        <v>106760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3656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0"/>
        <v>45345</v>
      </c>
      <c r="C26" s="16">
        <f t="shared" si="0"/>
        <v>0</v>
      </c>
      <c r="D26" s="42">
        <f t="shared" si="11"/>
        <v>39562</v>
      </c>
      <c r="E26" s="16">
        <f t="shared" si="1"/>
        <v>0</v>
      </c>
      <c r="F26" s="42">
        <f t="shared" si="12"/>
        <v>20425</v>
      </c>
      <c r="G26" s="16">
        <f t="shared" si="2"/>
        <v>0</v>
      </c>
      <c r="H26" s="42">
        <f t="shared" si="13"/>
        <v>242858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4"/>
        <v>24998</v>
      </c>
      <c r="M26" s="16">
        <f t="shared" si="5"/>
        <v>0</v>
      </c>
      <c r="N26" s="42">
        <f t="shared" si="15"/>
        <v>215557</v>
      </c>
      <c r="O26" s="16">
        <f t="shared" si="6"/>
        <v>0</v>
      </c>
      <c r="P26" s="42">
        <f t="shared" si="16"/>
        <v>106760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3656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0"/>
        <v>45345</v>
      </c>
      <c r="C27" s="16">
        <f t="shared" si="0"/>
        <v>0</v>
      </c>
      <c r="D27" s="42">
        <f t="shared" si="11"/>
        <v>39562</v>
      </c>
      <c r="E27" s="16">
        <f t="shared" si="1"/>
        <v>0</v>
      </c>
      <c r="F27" s="42">
        <f t="shared" si="12"/>
        <v>20425</v>
      </c>
      <c r="G27" s="16">
        <f t="shared" si="2"/>
        <v>0</v>
      </c>
      <c r="H27" s="42">
        <f t="shared" si="13"/>
        <v>242858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4"/>
        <v>24998</v>
      </c>
      <c r="M27" s="16">
        <f t="shared" si="5"/>
        <v>0</v>
      </c>
      <c r="N27" s="42">
        <f t="shared" si="15"/>
        <v>215557</v>
      </c>
      <c r="O27" s="16">
        <f t="shared" si="6"/>
        <v>0</v>
      </c>
      <c r="P27" s="42">
        <f t="shared" si="16"/>
        <v>106760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3656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0"/>
        <v>45345</v>
      </c>
      <c r="C28" s="16">
        <f t="shared" si="0"/>
        <v>0</v>
      </c>
      <c r="D28" s="42">
        <f t="shared" si="11"/>
        <v>39562</v>
      </c>
      <c r="E28" s="16">
        <f t="shared" si="1"/>
        <v>0</v>
      </c>
      <c r="F28" s="42">
        <f t="shared" si="12"/>
        <v>20425</v>
      </c>
      <c r="G28" s="16">
        <f t="shared" si="2"/>
        <v>0</v>
      </c>
      <c r="H28" s="42">
        <f t="shared" si="13"/>
        <v>242858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4"/>
        <v>24998</v>
      </c>
      <c r="M28" s="16">
        <f t="shared" si="5"/>
        <v>0</v>
      </c>
      <c r="N28" s="42">
        <f t="shared" si="15"/>
        <v>215557</v>
      </c>
      <c r="O28" s="16">
        <f t="shared" si="6"/>
        <v>0</v>
      </c>
      <c r="P28" s="42">
        <f t="shared" si="16"/>
        <v>106760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3656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0"/>
        <v>45345</v>
      </c>
      <c r="C29" s="16">
        <f t="shared" si="0"/>
        <v>0</v>
      </c>
      <c r="D29" s="42">
        <f t="shared" si="11"/>
        <v>39562</v>
      </c>
      <c r="E29" s="16">
        <f t="shared" si="1"/>
        <v>0</v>
      </c>
      <c r="F29" s="42">
        <f t="shared" si="12"/>
        <v>20425</v>
      </c>
      <c r="G29" s="16">
        <f t="shared" si="2"/>
        <v>0</v>
      </c>
      <c r="H29" s="42">
        <f t="shared" si="13"/>
        <v>242858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4"/>
        <v>24998</v>
      </c>
      <c r="M29" s="16">
        <f t="shared" si="5"/>
        <v>0</v>
      </c>
      <c r="N29" s="42">
        <f t="shared" si="15"/>
        <v>215557</v>
      </c>
      <c r="O29" s="16">
        <f t="shared" si="6"/>
        <v>0</v>
      </c>
      <c r="P29" s="42">
        <f t="shared" si="16"/>
        <v>106760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3656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0"/>
        <v>45345</v>
      </c>
      <c r="C30" s="16">
        <f t="shared" si="0"/>
        <v>0</v>
      </c>
      <c r="D30" s="42">
        <f t="shared" si="11"/>
        <v>39562</v>
      </c>
      <c r="E30" s="16">
        <f t="shared" si="1"/>
        <v>0</v>
      </c>
      <c r="F30" s="42">
        <f t="shared" si="12"/>
        <v>20425</v>
      </c>
      <c r="G30" s="16">
        <f t="shared" si="2"/>
        <v>0</v>
      </c>
      <c r="H30" s="42">
        <f t="shared" si="13"/>
        <v>242858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4"/>
        <v>24998</v>
      </c>
      <c r="M30" s="16">
        <f t="shared" si="5"/>
        <v>0</v>
      </c>
      <c r="N30" s="42">
        <f t="shared" si="15"/>
        <v>215557</v>
      </c>
      <c r="O30" s="16">
        <f t="shared" si="6"/>
        <v>0</v>
      </c>
      <c r="P30" s="42">
        <f t="shared" si="16"/>
        <v>106760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3656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0"/>
        <v>45345</v>
      </c>
      <c r="C31" s="16">
        <f t="shared" si="0"/>
        <v>0</v>
      </c>
      <c r="D31" s="42">
        <f t="shared" si="11"/>
        <v>39562</v>
      </c>
      <c r="E31" s="16">
        <f t="shared" si="1"/>
        <v>0</v>
      </c>
      <c r="F31" s="42">
        <f t="shared" si="12"/>
        <v>20425</v>
      </c>
      <c r="G31" s="16">
        <f t="shared" si="2"/>
        <v>0</v>
      </c>
      <c r="H31" s="42">
        <f t="shared" si="13"/>
        <v>242858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4"/>
        <v>24998</v>
      </c>
      <c r="M31" s="16">
        <f t="shared" si="5"/>
        <v>0</v>
      </c>
      <c r="N31" s="42">
        <f t="shared" si="15"/>
        <v>215557</v>
      </c>
      <c r="O31" s="16">
        <f t="shared" si="6"/>
        <v>0</v>
      </c>
      <c r="P31" s="42">
        <f t="shared" si="16"/>
        <v>106760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3656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0"/>
        <v>45345</v>
      </c>
      <c r="C32" s="16">
        <f t="shared" si="0"/>
        <v>0</v>
      </c>
      <c r="D32" s="42">
        <f t="shared" si="11"/>
        <v>39562</v>
      </c>
      <c r="E32" s="16">
        <f t="shared" si="1"/>
        <v>0</v>
      </c>
      <c r="F32" s="42">
        <f t="shared" si="12"/>
        <v>20425</v>
      </c>
      <c r="G32" s="16">
        <f t="shared" si="2"/>
        <v>0</v>
      </c>
      <c r="H32" s="42">
        <f t="shared" si="13"/>
        <v>242858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4"/>
        <v>24998</v>
      </c>
      <c r="M32" s="16">
        <f t="shared" si="5"/>
        <v>0</v>
      </c>
      <c r="N32" s="42">
        <f t="shared" si="15"/>
        <v>215557</v>
      </c>
      <c r="O32" s="16">
        <f t="shared" si="6"/>
        <v>0</v>
      </c>
      <c r="P32" s="42">
        <f t="shared" si="16"/>
        <v>106760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3656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0"/>
        <v>45345</v>
      </c>
      <c r="C33" s="16">
        <f t="shared" si="0"/>
        <v>0</v>
      </c>
      <c r="D33" s="42">
        <f t="shared" si="11"/>
        <v>39562</v>
      </c>
      <c r="E33" s="16">
        <f t="shared" si="1"/>
        <v>0</v>
      </c>
      <c r="F33" s="42">
        <f t="shared" si="12"/>
        <v>20425</v>
      </c>
      <c r="G33" s="16">
        <f t="shared" si="2"/>
        <v>0</v>
      </c>
      <c r="H33" s="42">
        <f t="shared" si="13"/>
        <v>242858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4"/>
        <v>24998</v>
      </c>
      <c r="M33" s="16">
        <f t="shared" si="5"/>
        <v>0</v>
      </c>
      <c r="N33" s="42">
        <f t="shared" si="15"/>
        <v>215557</v>
      </c>
      <c r="O33" s="16">
        <f t="shared" si="6"/>
        <v>0</v>
      </c>
      <c r="P33" s="42">
        <f t="shared" si="16"/>
        <v>106760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3656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2720</v>
      </c>
      <c r="D34" s="13"/>
      <c r="E34" s="11">
        <f>SUM(E3:E33)</f>
        <v>1760</v>
      </c>
      <c r="F34" s="13"/>
      <c r="G34" s="11">
        <f>SUM(G3:G33)</f>
        <v>280</v>
      </c>
      <c r="H34" s="13"/>
      <c r="I34" s="11">
        <f>SUM(I3:I33)</f>
        <v>273</v>
      </c>
      <c r="J34" s="13"/>
      <c r="K34" s="11">
        <f>SUM(K3:K33)</f>
        <v>0</v>
      </c>
      <c r="L34" s="13"/>
      <c r="M34" s="11">
        <f>SUM(M3:M33)</f>
        <v>2240</v>
      </c>
      <c r="N34" s="43"/>
      <c r="O34" s="11">
        <f>SUM(O3:O33)</f>
        <v>13</v>
      </c>
      <c r="P34" s="13"/>
      <c r="Q34" s="11">
        <f>SUM(Q3:Q33)</f>
        <v>589</v>
      </c>
      <c r="R34" s="1"/>
      <c r="S34" s="11">
        <f>SUM(S3:S33)</f>
        <v>0</v>
      </c>
      <c r="T34" s="1"/>
      <c r="U34" s="11">
        <f>SUM(U3:U33)</f>
        <v>640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6" sqref="A6:XFD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/>
      <c r="C7" s="49">
        <f t="shared" si="3"/>
        <v>0</v>
      </c>
      <c r="D7" s="3"/>
      <c r="E7" s="49">
        <f t="shared" si="4"/>
        <v>0</v>
      </c>
      <c r="F7" s="3"/>
      <c r="G7" s="49">
        <f t="shared" si="7"/>
        <v>0</v>
      </c>
      <c r="H7" s="3"/>
      <c r="I7" s="54">
        <f t="shared" si="8"/>
        <v>0</v>
      </c>
      <c r="J7" s="23">
        <f t="shared" si="5"/>
        <v>0</v>
      </c>
      <c r="K7" s="24">
        <f t="shared" si="6"/>
        <v>0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/>
      <c r="C8" s="49">
        <f t="shared" si="3"/>
        <v>0</v>
      </c>
      <c r="D8" s="3"/>
      <c r="E8" s="49">
        <f t="shared" si="4"/>
        <v>0</v>
      </c>
      <c r="F8" s="3"/>
      <c r="G8" s="49">
        <f t="shared" si="7"/>
        <v>0</v>
      </c>
      <c r="H8" s="3"/>
      <c r="I8" s="54">
        <f t="shared" si="8"/>
        <v>0</v>
      </c>
      <c r="J8" s="23">
        <f t="shared" si="5"/>
        <v>0</v>
      </c>
      <c r="K8" s="24">
        <f t="shared" si="6"/>
        <v>0</v>
      </c>
    </row>
    <row r="9" spans="1:14" ht="16.5" thickBot="1" x14ac:dyDescent="0.3">
      <c r="A9" s="10">
        <v>44354</v>
      </c>
      <c r="B9" s="3"/>
      <c r="C9" s="49">
        <f t="shared" ref="C9:C33" si="9">(IF((B9-B8)&lt;0,"0",(B9-B8)))*10</f>
        <v>0</v>
      </c>
      <c r="D9" s="3"/>
      <c r="E9" s="49">
        <f t="shared" si="4"/>
        <v>0</v>
      </c>
      <c r="F9" s="3"/>
      <c r="G9" s="49">
        <f t="shared" si="7"/>
        <v>0</v>
      </c>
      <c r="H9" s="3"/>
      <c r="I9" s="54">
        <f t="shared" si="8"/>
        <v>0</v>
      </c>
      <c r="J9" s="23">
        <f t="shared" si="5"/>
        <v>0</v>
      </c>
      <c r="K9" s="24">
        <f t="shared" si="6"/>
        <v>0</v>
      </c>
    </row>
    <row r="10" spans="1:14" ht="16.5" thickBot="1" x14ac:dyDescent="0.3">
      <c r="A10" s="10">
        <v>44355</v>
      </c>
      <c r="B10" s="3"/>
      <c r="C10" s="49">
        <f>(IF((B10-B9)&lt;0,"0",(B10-B9)))*10</f>
        <v>0</v>
      </c>
      <c r="D10" s="3"/>
      <c r="E10" s="49">
        <f t="shared" si="4"/>
        <v>0</v>
      </c>
      <c r="F10" s="3"/>
      <c r="G10" s="49">
        <f t="shared" si="7"/>
        <v>0</v>
      </c>
      <c r="H10" s="3"/>
      <c r="I10" s="54">
        <f t="shared" si="8"/>
        <v>0</v>
      </c>
      <c r="J10" s="23">
        <f t="shared" si="5"/>
        <v>0</v>
      </c>
      <c r="K10" s="24">
        <f t="shared" si="6"/>
        <v>0</v>
      </c>
    </row>
    <row r="11" spans="1:14" ht="16.5" thickBot="1" x14ac:dyDescent="0.3">
      <c r="A11" s="10">
        <v>44356</v>
      </c>
      <c r="B11" s="3"/>
      <c r="C11" s="49">
        <f t="shared" si="9"/>
        <v>0</v>
      </c>
      <c r="D11" s="3"/>
      <c r="E11" s="49">
        <f t="shared" si="4"/>
        <v>0</v>
      </c>
      <c r="F11" s="3"/>
      <c r="G11" s="49">
        <f t="shared" si="7"/>
        <v>0</v>
      </c>
      <c r="H11" s="3"/>
      <c r="I11" s="54">
        <f t="shared" si="8"/>
        <v>0</v>
      </c>
      <c r="J11" s="23">
        <f t="shared" si="5"/>
        <v>0</v>
      </c>
      <c r="K11" s="24">
        <f t="shared" si="6"/>
        <v>0</v>
      </c>
      <c r="N11" t="s">
        <v>12</v>
      </c>
    </row>
    <row r="12" spans="1:14" ht="16.5" thickBot="1" x14ac:dyDescent="0.3">
      <c r="A12" s="10">
        <v>44357</v>
      </c>
      <c r="B12" s="3"/>
      <c r="C12" s="49">
        <f t="shared" si="9"/>
        <v>0</v>
      </c>
      <c r="D12" s="3"/>
      <c r="E12" s="49">
        <f t="shared" si="4"/>
        <v>0</v>
      </c>
      <c r="F12" s="3"/>
      <c r="G12" s="49">
        <f t="shared" si="7"/>
        <v>0</v>
      </c>
      <c r="H12" s="3"/>
      <c r="I12" s="54">
        <f t="shared" si="8"/>
        <v>0</v>
      </c>
      <c r="J12" s="23">
        <f t="shared" si="5"/>
        <v>0</v>
      </c>
      <c r="K12" s="24">
        <f t="shared" si="6"/>
        <v>0</v>
      </c>
    </row>
    <row r="13" spans="1:14" ht="16.5" thickBot="1" x14ac:dyDescent="0.3">
      <c r="A13" s="10">
        <v>44358</v>
      </c>
      <c r="B13" s="3"/>
      <c r="C13" s="49">
        <f t="shared" si="9"/>
        <v>0</v>
      </c>
      <c r="D13" s="3"/>
      <c r="E13" s="49">
        <f t="shared" si="4"/>
        <v>0</v>
      </c>
      <c r="F13" s="3"/>
      <c r="G13" s="49">
        <f t="shared" si="7"/>
        <v>0</v>
      </c>
      <c r="H13" s="3"/>
      <c r="I13" s="54">
        <f t="shared" si="8"/>
        <v>0</v>
      </c>
      <c r="J13" s="23">
        <f t="shared" si="5"/>
        <v>0</v>
      </c>
      <c r="K13" s="24">
        <f t="shared" si="6"/>
        <v>0</v>
      </c>
    </row>
    <row r="14" spans="1:14" ht="16.5" thickBot="1" x14ac:dyDescent="0.3">
      <c r="A14" s="10">
        <v>44359</v>
      </c>
      <c r="B14" s="3"/>
      <c r="C14" s="49">
        <f t="shared" si="9"/>
        <v>0</v>
      </c>
      <c r="D14" s="3"/>
      <c r="E14" s="49">
        <f t="shared" si="4"/>
        <v>0</v>
      </c>
      <c r="F14" s="3"/>
      <c r="G14" s="49">
        <f t="shared" si="7"/>
        <v>0</v>
      </c>
      <c r="H14" s="3"/>
      <c r="I14" s="54">
        <f t="shared" si="8"/>
        <v>0</v>
      </c>
      <c r="J14" s="23">
        <f t="shared" si="5"/>
        <v>0</v>
      </c>
      <c r="K14" s="24">
        <f t="shared" si="6"/>
        <v>0</v>
      </c>
    </row>
    <row r="15" spans="1:14" ht="16.5" thickBot="1" x14ac:dyDescent="0.3">
      <c r="A15" s="10">
        <v>44360</v>
      </c>
      <c r="B15" s="3"/>
      <c r="C15" s="49">
        <f t="shared" si="9"/>
        <v>0</v>
      </c>
      <c r="D15" s="3"/>
      <c r="E15" s="49">
        <f t="shared" si="4"/>
        <v>0</v>
      </c>
      <c r="F15" s="3"/>
      <c r="G15" s="49">
        <f t="shared" si="7"/>
        <v>0</v>
      </c>
      <c r="H15" s="3"/>
      <c r="I15" s="54">
        <f t="shared" si="8"/>
        <v>0</v>
      </c>
      <c r="J15" s="23">
        <f t="shared" si="5"/>
        <v>0</v>
      </c>
      <c r="K15" s="24">
        <f t="shared" si="6"/>
        <v>0</v>
      </c>
    </row>
    <row r="16" spans="1:14" ht="16.5" thickBot="1" x14ac:dyDescent="0.3">
      <c r="A16" s="10">
        <v>44361</v>
      </c>
      <c r="B16" s="3"/>
      <c r="C16" s="49">
        <f t="shared" si="9"/>
        <v>0</v>
      </c>
      <c r="D16" s="3"/>
      <c r="E16" s="49">
        <f t="shared" si="4"/>
        <v>0</v>
      </c>
      <c r="F16" s="3"/>
      <c r="G16" s="49">
        <f t="shared" si="7"/>
        <v>0</v>
      </c>
      <c r="H16" s="3"/>
      <c r="I16" s="54">
        <f t="shared" si="8"/>
        <v>0</v>
      </c>
      <c r="J16" s="23">
        <f t="shared" si="5"/>
        <v>0</v>
      </c>
      <c r="K16" s="24">
        <f t="shared" si="6"/>
        <v>0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5290</v>
      </c>
      <c r="D34" s="3"/>
      <c r="E34" s="66">
        <f>SUM(E3:E33)</f>
        <v>0</v>
      </c>
      <c r="F34" s="3"/>
      <c r="G34" s="66">
        <f>SUM(G3:G33)</f>
        <v>1798.2</v>
      </c>
      <c r="H34" s="3"/>
      <c r="I34" s="66">
        <f>SUM(I3:I33)</f>
        <v>14.093999999999998</v>
      </c>
      <c r="J34" s="66">
        <f>SUM(J3:J33)</f>
        <v>7102.2939999999999</v>
      </c>
      <c r="K34" s="66">
        <f>SUM(K3:K33)</f>
        <v>41619.442839999996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tabSelected="1" zoomScale="120" zoomScaleNormal="120" zoomScaleSheetLayoutView="110" workbookViewId="0">
      <selection activeCell="A6" sqref="A6:XFD6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/>
      <c r="C7" s="161"/>
      <c r="D7" s="49">
        <f t="shared" si="11"/>
        <v>0</v>
      </c>
      <c r="E7" s="137"/>
      <c r="F7" s="49" t="str">
        <f t="shared" si="12"/>
        <v>0</v>
      </c>
      <c r="G7" s="141"/>
      <c r="H7" s="49" t="str">
        <f t="shared" si="13"/>
        <v>0</v>
      </c>
      <c r="I7" s="138">
        <f t="shared" si="14"/>
        <v>0</v>
      </c>
      <c r="J7" s="137"/>
      <c r="K7" s="49" t="str">
        <f t="shared" si="15"/>
        <v>0</v>
      </c>
      <c r="L7" s="139"/>
      <c r="M7" s="49" t="str">
        <f t="shared" si="16"/>
        <v>0</v>
      </c>
      <c r="N7" s="137"/>
      <c r="O7" s="49">
        <f t="shared" si="23"/>
        <v>0</v>
      </c>
      <c r="P7" s="139"/>
      <c r="Q7" s="49" t="str">
        <f t="shared" si="17"/>
        <v>0</v>
      </c>
      <c r="R7" s="137"/>
      <c r="S7" s="49" t="str">
        <f t="shared" si="18"/>
        <v>0</v>
      </c>
      <c r="T7" s="137">
        <v>0</v>
      </c>
      <c r="U7" s="140"/>
      <c r="V7" s="137"/>
      <c r="W7" s="49" t="str">
        <f t="shared" si="19"/>
        <v>0</v>
      </c>
      <c r="X7" s="28">
        <f t="shared" si="20"/>
        <v>0</v>
      </c>
      <c r="Y7" s="35">
        <f t="shared" si="21"/>
        <v>0</v>
      </c>
      <c r="Z7" s="27">
        <f t="shared" si="22"/>
        <v>0</v>
      </c>
      <c r="AA7" s="27">
        <f t="shared" ref="AA7:AA33" si="24">SUM(Z4:Z7)</f>
        <v>24389.429313600005</v>
      </c>
    </row>
    <row r="8" spans="1:27" ht="16.5" thickBot="1" x14ac:dyDescent="0.25">
      <c r="A8" s="10">
        <v>44353</v>
      </c>
      <c r="B8" s="49"/>
      <c r="C8" s="161"/>
      <c r="D8" s="49">
        <f t="shared" si="11"/>
        <v>0</v>
      </c>
      <c r="E8" s="137"/>
      <c r="F8" s="49">
        <f t="shared" si="12"/>
        <v>0</v>
      </c>
      <c r="G8" s="141"/>
      <c r="H8" s="49">
        <f t="shared" si="13"/>
        <v>0</v>
      </c>
      <c r="I8" s="138">
        <f t="shared" si="14"/>
        <v>0</v>
      </c>
      <c r="J8" s="137"/>
      <c r="K8" s="49">
        <f t="shared" si="15"/>
        <v>0</v>
      </c>
      <c r="L8" s="139"/>
      <c r="M8" s="49">
        <f t="shared" si="16"/>
        <v>0</v>
      </c>
      <c r="N8" s="137"/>
      <c r="O8" s="49">
        <f t="shared" si="23"/>
        <v>0</v>
      </c>
      <c r="P8" s="139"/>
      <c r="Q8" s="49">
        <f t="shared" si="17"/>
        <v>0</v>
      </c>
      <c r="R8" s="137"/>
      <c r="S8" s="49">
        <f t="shared" si="18"/>
        <v>0</v>
      </c>
      <c r="T8" s="137">
        <v>0</v>
      </c>
      <c r="U8" s="140"/>
      <c r="V8" s="137"/>
      <c r="W8" s="49">
        <f t="shared" si="19"/>
        <v>0</v>
      </c>
      <c r="X8" s="28">
        <f t="shared" si="20"/>
        <v>0</v>
      </c>
      <c r="Y8" s="35">
        <f t="shared" si="21"/>
        <v>0</v>
      </c>
      <c r="Z8" s="27">
        <f t="shared" si="22"/>
        <v>0</v>
      </c>
      <c r="AA8" s="27">
        <f t="shared" si="24"/>
        <v>16676.119824000001</v>
      </c>
    </row>
    <row r="9" spans="1:27" ht="16.5" thickBot="1" x14ac:dyDescent="0.25">
      <c r="A9" s="10">
        <v>44354</v>
      </c>
      <c r="B9" s="49"/>
      <c r="C9" s="161"/>
      <c r="D9" s="49">
        <f t="shared" si="11"/>
        <v>0</v>
      </c>
      <c r="E9" s="137"/>
      <c r="F9" s="49">
        <f t="shared" si="12"/>
        <v>0</v>
      </c>
      <c r="G9" s="141"/>
      <c r="H9" s="49">
        <f t="shared" si="13"/>
        <v>0</v>
      </c>
      <c r="I9" s="138">
        <f t="shared" si="14"/>
        <v>0</v>
      </c>
      <c r="J9" s="137"/>
      <c r="K9" s="49">
        <f t="shared" si="15"/>
        <v>0</v>
      </c>
      <c r="L9" s="139"/>
      <c r="M9" s="49">
        <f t="shared" si="16"/>
        <v>0</v>
      </c>
      <c r="N9" s="137"/>
      <c r="O9" s="49">
        <f t="shared" si="23"/>
        <v>0</v>
      </c>
      <c r="P9" s="139"/>
      <c r="Q9" s="49">
        <f t="shared" si="17"/>
        <v>0</v>
      </c>
      <c r="R9" s="137"/>
      <c r="S9" s="49">
        <f t="shared" si="18"/>
        <v>0</v>
      </c>
      <c r="T9" s="137">
        <v>0</v>
      </c>
      <c r="U9" s="140"/>
      <c r="V9" s="137"/>
      <c r="W9" s="49">
        <f t="shared" si="19"/>
        <v>0</v>
      </c>
      <c r="X9" s="28">
        <f t="shared" si="20"/>
        <v>0</v>
      </c>
      <c r="Y9" s="35">
        <f t="shared" si="21"/>
        <v>0</v>
      </c>
      <c r="Z9" s="27">
        <f t="shared" si="22"/>
        <v>0</v>
      </c>
      <c r="AA9" s="27">
        <f t="shared" si="24"/>
        <v>9873.4696528000004</v>
      </c>
    </row>
    <row r="10" spans="1:27" ht="16.5" thickBot="1" x14ac:dyDescent="0.25">
      <c r="A10" s="10">
        <v>44355</v>
      </c>
      <c r="B10" s="49"/>
      <c r="C10" s="161"/>
      <c r="D10" s="49">
        <f t="shared" si="11"/>
        <v>0</v>
      </c>
      <c r="E10" s="137"/>
      <c r="F10" s="49">
        <f t="shared" si="12"/>
        <v>0</v>
      </c>
      <c r="G10" s="141"/>
      <c r="H10" s="49">
        <f t="shared" si="13"/>
        <v>0</v>
      </c>
      <c r="I10" s="138">
        <f t="shared" si="14"/>
        <v>0</v>
      </c>
      <c r="J10" s="137"/>
      <c r="K10" s="49">
        <f t="shared" si="15"/>
        <v>0</v>
      </c>
      <c r="L10" s="139"/>
      <c r="M10" s="49">
        <f t="shared" si="16"/>
        <v>0</v>
      </c>
      <c r="N10" s="137"/>
      <c r="O10" s="49">
        <f t="shared" si="23"/>
        <v>0</v>
      </c>
      <c r="P10" s="139"/>
      <c r="Q10" s="49">
        <f t="shared" si="17"/>
        <v>0</v>
      </c>
      <c r="R10" s="137"/>
      <c r="S10" s="49">
        <f t="shared" si="18"/>
        <v>0</v>
      </c>
      <c r="T10" s="137">
        <v>0</v>
      </c>
      <c r="U10" s="140"/>
      <c r="V10" s="137"/>
      <c r="W10" s="49">
        <f t="shared" si="19"/>
        <v>0</v>
      </c>
      <c r="X10" s="28">
        <f t="shared" si="20"/>
        <v>0</v>
      </c>
      <c r="Y10" s="35">
        <f t="shared" si="21"/>
        <v>0</v>
      </c>
      <c r="Z10" s="27">
        <f t="shared" si="22"/>
        <v>0</v>
      </c>
      <c r="AA10" s="27">
        <f t="shared" si="24"/>
        <v>0</v>
      </c>
    </row>
    <row r="11" spans="1:27" ht="15.75" customHeight="1" thickBot="1" x14ac:dyDescent="0.25">
      <c r="A11" s="10">
        <v>44356</v>
      </c>
      <c r="B11" s="49"/>
      <c r="C11" s="161"/>
      <c r="D11" s="49">
        <f t="shared" si="11"/>
        <v>0</v>
      </c>
      <c r="E11" s="137"/>
      <c r="F11" s="49">
        <f t="shared" si="12"/>
        <v>0</v>
      </c>
      <c r="G11" s="141"/>
      <c r="H11" s="49">
        <f t="shared" si="13"/>
        <v>0</v>
      </c>
      <c r="I11" s="138">
        <f t="shared" si="14"/>
        <v>0</v>
      </c>
      <c r="J11" s="137"/>
      <c r="K11" s="49">
        <f t="shared" si="15"/>
        <v>0</v>
      </c>
      <c r="L11" s="139"/>
      <c r="M11" s="49">
        <f t="shared" si="16"/>
        <v>0</v>
      </c>
      <c r="N11" s="137"/>
      <c r="O11" s="49">
        <f t="shared" si="23"/>
        <v>0</v>
      </c>
      <c r="P11" s="139"/>
      <c r="Q11" s="49">
        <f t="shared" si="17"/>
        <v>0</v>
      </c>
      <c r="R11" s="137"/>
      <c r="S11" s="49">
        <f t="shared" si="18"/>
        <v>0</v>
      </c>
      <c r="T11" s="137">
        <v>0</v>
      </c>
      <c r="U11" s="140"/>
      <c r="V11" s="137"/>
      <c r="W11" s="49">
        <f t="shared" si="19"/>
        <v>0</v>
      </c>
      <c r="X11" s="28">
        <f t="shared" si="20"/>
        <v>0</v>
      </c>
      <c r="Y11" s="35">
        <f t="shared" si="21"/>
        <v>0</v>
      </c>
      <c r="Z11" s="27">
        <f t="shared" si="22"/>
        <v>0</v>
      </c>
      <c r="AA11" s="27">
        <f t="shared" si="24"/>
        <v>0</v>
      </c>
    </row>
    <row r="12" spans="1:27" ht="16.5" thickBot="1" x14ac:dyDescent="0.25">
      <c r="A12" s="10">
        <v>44357</v>
      </c>
      <c r="B12" s="49"/>
      <c r="C12" s="161"/>
      <c r="D12" s="49">
        <f t="shared" si="11"/>
        <v>0</v>
      </c>
      <c r="E12" s="137"/>
      <c r="F12" s="49">
        <f t="shared" si="12"/>
        <v>0</v>
      </c>
      <c r="G12" s="141"/>
      <c r="H12" s="49">
        <f t="shared" si="13"/>
        <v>0</v>
      </c>
      <c r="I12" s="138">
        <f t="shared" si="14"/>
        <v>0</v>
      </c>
      <c r="J12" s="137"/>
      <c r="K12" s="49">
        <f t="shared" si="15"/>
        <v>0</v>
      </c>
      <c r="L12" s="139"/>
      <c r="M12" s="49">
        <f t="shared" si="16"/>
        <v>0</v>
      </c>
      <c r="N12" s="137"/>
      <c r="O12" s="49">
        <f t="shared" si="23"/>
        <v>0</v>
      </c>
      <c r="P12" s="139"/>
      <c r="Q12" s="49">
        <f t="shared" si="17"/>
        <v>0</v>
      </c>
      <c r="R12" s="137"/>
      <c r="S12" s="49">
        <f t="shared" si="18"/>
        <v>0</v>
      </c>
      <c r="T12" s="137">
        <v>0</v>
      </c>
      <c r="U12" s="140"/>
      <c r="V12" s="137"/>
      <c r="W12" s="49">
        <f t="shared" si="19"/>
        <v>0</v>
      </c>
      <c r="X12" s="28">
        <f t="shared" si="20"/>
        <v>0</v>
      </c>
      <c r="Y12" s="35">
        <f t="shared" si="21"/>
        <v>0</v>
      </c>
      <c r="Z12" s="27">
        <f t="shared" si="22"/>
        <v>0</v>
      </c>
      <c r="AA12" s="27">
        <f t="shared" si="24"/>
        <v>0</v>
      </c>
    </row>
    <row r="13" spans="1:27" ht="16.5" thickBot="1" x14ac:dyDescent="0.25">
      <c r="A13" s="10">
        <v>44358</v>
      </c>
      <c r="B13" s="49"/>
      <c r="C13" s="161"/>
      <c r="D13" s="49">
        <f t="shared" si="11"/>
        <v>0</v>
      </c>
      <c r="E13" s="137"/>
      <c r="F13" s="49">
        <f t="shared" si="12"/>
        <v>0</v>
      </c>
      <c r="G13" s="141"/>
      <c r="H13" s="49">
        <f t="shared" si="13"/>
        <v>0</v>
      </c>
      <c r="I13" s="138">
        <f t="shared" si="14"/>
        <v>0</v>
      </c>
      <c r="J13" s="137"/>
      <c r="K13" s="49">
        <f t="shared" si="15"/>
        <v>0</v>
      </c>
      <c r="L13" s="139"/>
      <c r="M13" s="49">
        <f t="shared" si="16"/>
        <v>0</v>
      </c>
      <c r="N13" s="137"/>
      <c r="O13" s="49">
        <f t="shared" si="23"/>
        <v>0</v>
      </c>
      <c r="P13" s="139"/>
      <c r="Q13" s="49">
        <f t="shared" si="17"/>
        <v>0</v>
      </c>
      <c r="R13" s="137"/>
      <c r="S13" s="49">
        <f>IF((R13-R12)&lt;0,"0",(R13-R12))</f>
        <v>0</v>
      </c>
      <c r="T13" s="137">
        <v>0</v>
      </c>
      <c r="U13" s="140"/>
      <c r="V13" s="137"/>
      <c r="W13" s="49">
        <f t="shared" si="19"/>
        <v>0</v>
      </c>
      <c r="X13" s="28">
        <f t="shared" si="20"/>
        <v>0</v>
      </c>
      <c r="Y13" s="35">
        <f t="shared" si="21"/>
        <v>0</v>
      </c>
      <c r="Z13" s="27">
        <f t="shared" si="22"/>
        <v>0</v>
      </c>
      <c r="AA13" s="27">
        <f t="shared" si="24"/>
        <v>0</v>
      </c>
    </row>
    <row r="14" spans="1:27" ht="16.5" thickBot="1" x14ac:dyDescent="0.25">
      <c r="A14" s="10">
        <v>44359</v>
      </c>
      <c r="B14" s="49"/>
      <c r="C14" s="161"/>
      <c r="D14" s="49">
        <f t="shared" si="11"/>
        <v>0</v>
      </c>
      <c r="E14" s="137"/>
      <c r="F14" s="49">
        <f>IF((E14-E13)&lt;0,"0",(E14-E13))</f>
        <v>0</v>
      </c>
      <c r="G14" s="141"/>
      <c r="H14" s="49">
        <f t="shared" si="13"/>
        <v>0</v>
      </c>
      <c r="I14" s="138">
        <f t="shared" si="14"/>
        <v>0</v>
      </c>
      <c r="J14" s="137"/>
      <c r="K14" s="49">
        <f t="shared" si="15"/>
        <v>0</v>
      </c>
      <c r="L14" s="139"/>
      <c r="M14" s="49">
        <f t="shared" si="16"/>
        <v>0</v>
      </c>
      <c r="N14" s="137"/>
      <c r="O14" s="49">
        <f t="shared" si="23"/>
        <v>0</v>
      </c>
      <c r="P14" s="139"/>
      <c r="Q14" s="49">
        <f t="shared" si="17"/>
        <v>0</v>
      </c>
      <c r="R14" s="137"/>
      <c r="S14" s="49">
        <f>IF((R14-R13)&lt;0,"0",(R14-R13))</f>
        <v>0</v>
      </c>
      <c r="T14" s="137">
        <v>0</v>
      </c>
      <c r="U14" s="140"/>
      <c r="V14" s="137"/>
      <c r="W14" s="49">
        <f t="shared" si="19"/>
        <v>0</v>
      </c>
      <c r="X14" s="28">
        <f t="shared" si="20"/>
        <v>0</v>
      </c>
      <c r="Y14" s="35">
        <f t="shared" si="21"/>
        <v>0</v>
      </c>
      <c r="Z14" s="27">
        <f t="shared" si="22"/>
        <v>0</v>
      </c>
      <c r="AA14" s="27">
        <f t="shared" si="24"/>
        <v>0</v>
      </c>
    </row>
    <row r="15" spans="1:27" ht="16.5" thickBot="1" x14ac:dyDescent="0.25">
      <c r="A15" s="10">
        <v>44360</v>
      </c>
      <c r="B15" s="49"/>
      <c r="C15" s="161"/>
      <c r="D15" s="49">
        <f t="shared" si="11"/>
        <v>0</v>
      </c>
      <c r="E15" s="137"/>
      <c r="F15" s="49">
        <f>IF((E15-E14)&lt;0,"0",(E15-E14))</f>
        <v>0</v>
      </c>
      <c r="G15" s="141"/>
      <c r="H15" s="49">
        <f t="shared" si="13"/>
        <v>0</v>
      </c>
      <c r="I15" s="138">
        <f t="shared" si="14"/>
        <v>0</v>
      </c>
      <c r="J15" s="137"/>
      <c r="K15" s="49">
        <f t="shared" si="15"/>
        <v>0</v>
      </c>
      <c r="L15" s="139"/>
      <c r="M15" s="49">
        <f t="shared" si="16"/>
        <v>0</v>
      </c>
      <c r="N15" s="137"/>
      <c r="O15" s="49">
        <f t="shared" si="23"/>
        <v>0</v>
      </c>
      <c r="P15" s="139"/>
      <c r="Q15" s="49">
        <f t="shared" si="17"/>
        <v>0</v>
      </c>
      <c r="R15" s="137"/>
      <c r="S15" s="49">
        <f>IF((R15-R14)&lt;0,"0",(R15-R14))</f>
        <v>0</v>
      </c>
      <c r="T15" s="137">
        <v>0</v>
      </c>
      <c r="U15" s="140"/>
      <c r="V15" s="137"/>
      <c r="W15" s="49">
        <f t="shared" si="19"/>
        <v>0</v>
      </c>
      <c r="X15" s="28">
        <f t="shared" si="20"/>
        <v>0</v>
      </c>
      <c r="Y15" s="35">
        <f t="shared" si="21"/>
        <v>0</v>
      </c>
      <c r="Z15" s="27">
        <f t="shared" si="22"/>
        <v>0</v>
      </c>
      <c r="AA15" s="27">
        <f t="shared" si="24"/>
        <v>0</v>
      </c>
    </row>
    <row r="16" spans="1:27" ht="16.5" thickBot="1" x14ac:dyDescent="0.25">
      <c r="A16" s="10">
        <v>44361</v>
      </c>
      <c r="B16" s="49"/>
      <c r="C16" s="161"/>
      <c r="D16" s="49">
        <f t="shared" si="11"/>
        <v>0</v>
      </c>
      <c r="E16" s="137"/>
      <c r="F16" s="49">
        <f>IF((E16-E15)&lt;0,"0",(E16-E15))</f>
        <v>0</v>
      </c>
      <c r="G16" s="141"/>
      <c r="H16" s="49">
        <f t="shared" si="13"/>
        <v>0</v>
      </c>
      <c r="I16" s="138">
        <f t="shared" si="14"/>
        <v>0</v>
      </c>
      <c r="J16" s="137"/>
      <c r="K16" s="49">
        <f t="shared" si="15"/>
        <v>0</v>
      </c>
      <c r="L16" s="139"/>
      <c r="M16" s="49">
        <f t="shared" si="16"/>
        <v>0</v>
      </c>
      <c r="N16" s="137"/>
      <c r="O16" s="49">
        <f t="shared" si="23"/>
        <v>0</v>
      </c>
      <c r="P16" s="139"/>
      <c r="Q16" s="49">
        <f t="shared" si="17"/>
        <v>0</v>
      </c>
      <c r="R16" s="137"/>
      <c r="S16" s="49">
        <f t="shared" si="18"/>
        <v>0</v>
      </c>
      <c r="T16" s="137">
        <v>0</v>
      </c>
      <c r="U16" s="140"/>
      <c r="V16" s="137"/>
      <c r="W16" s="49">
        <f t="shared" si="19"/>
        <v>0</v>
      </c>
      <c r="X16" s="28">
        <f t="shared" si="20"/>
        <v>0</v>
      </c>
      <c r="Y16" s="35">
        <f t="shared" si="21"/>
        <v>0</v>
      </c>
      <c r="Z16" s="27">
        <f t="shared" si="22"/>
        <v>0</v>
      </c>
      <c r="AA16" s="27">
        <f t="shared" si="24"/>
        <v>0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>
        <f t="shared" si="12"/>
        <v>0</v>
      </c>
      <c r="G17" s="141"/>
      <c r="H17" s="49">
        <f t="shared" si="13"/>
        <v>0</v>
      </c>
      <c r="I17" s="148">
        <f t="shared" si="14"/>
        <v>0</v>
      </c>
      <c r="J17" s="137"/>
      <c r="K17" s="146">
        <f t="shared" si="15"/>
        <v>0</v>
      </c>
      <c r="L17" s="139"/>
      <c r="M17" s="146">
        <f t="shared" si="16"/>
        <v>0</v>
      </c>
      <c r="N17" s="137"/>
      <c r="O17" s="146">
        <f t="shared" si="23"/>
        <v>0</v>
      </c>
      <c r="P17" s="139"/>
      <c r="Q17" s="146">
        <f t="shared" si="17"/>
        <v>0</v>
      </c>
      <c r="R17" s="137"/>
      <c r="S17" s="146">
        <f t="shared" si="18"/>
        <v>0</v>
      </c>
      <c r="T17" s="147">
        <v>0</v>
      </c>
      <c r="U17" s="140"/>
      <c r="V17" s="137"/>
      <c r="W17" s="146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0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0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0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676</v>
      </c>
      <c r="C34" s="159"/>
      <c r="D34" s="159">
        <f>SUM(D2:D33)</f>
        <v>2080</v>
      </c>
      <c r="E34" s="159">
        <v>0</v>
      </c>
      <c r="F34" s="159">
        <f>SUM(F2:F33)</f>
        <v>64269</v>
      </c>
      <c r="G34" s="159">
        <v>0</v>
      </c>
      <c r="H34" s="159">
        <f>SUM(H2:H33)</f>
        <v>210782</v>
      </c>
      <c r="I34" s="159">
        <f>SUM(I5:I33)</f>
        <v>134920</v>
      </c>
      <c r="J34" s="159">
        <v>0</v>
      </c>
      <c r="K34" s="159">
        <f>SUM(K2:K33)</f>
        <v>24762</v>
      </c>
      <c r="L34" s="159">
        <v>0</v>
      </c>
      <c r="M34" s="159">
        <f>SUM(M2:M33)</f>
        <v>25461</v>
      </c>
      <c r="N34" s="159">
        <v>0</v>
      </c>
      <c r="O34" s="159">
        <f>SUM(O2:O33)</f>
        <v>41886</v>
      </c>
      <c r="P34" s="159">
        <v>0</v>
      </c>
      <c r="Q34" s="159">
        <f>SUM(Q2:Q33)</f>
        <v>45898</v>
      </c>
      <c r="R34" s="159">
        <v>0</v>
      </c>
      <c r="S34" s="159">
        <f>SUM(S2:S33)</f>
        <v>41434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46684</v>
      </c>
      <c r="X34" s="159">
        <f>SUM(X5:X33)</f>
        <v>109533</v>
      </c>
      <c r="Y34" s="159">
        <f>SUM(Y2:Y33)</f>
        <v>52827</v>
      </c>
      <c r="Z34" s="159">
        <f>SUM(Z2:Z33)</f>
        <v>34095.892105600004</v>
      </c>
      <c r="AA34" s="159">
        <f>SUM(AA2:AA33)</f>
        <v>126677.10563040001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A6" sqref="A6:XFD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/>
      <c r="C7" s="55" t="str">
        <f>IF((B7-B6)&lt;0,"0",(B7-B6))</f>
        <v>0</v>
      </c>
    </row>
    <row r="8" spans="1:9" ht="24" thickBot="1" x14ac:dyDescent="0.4">
      <c r="A8" s="10">
        <v>44353</v>
      </c>
      <c r="B8" s="154"/>
      <c r="C8" s="55">
        <f>IF((B8-B7)&lt;0,"0",(B8-B7))</f>
        <v>0</v>
      </c>
    </row>
    <row r="9" spans="1:9" ht="24" thickBot="1" x14ac:dyDescent="0.4">
      <c r="A9" s="10">
        <v>44354</v>
      </c>
      <c r="B9" s="154"/>
      <c r="C9" s="55">
        <f t="shared" si="0"/>
        <v>0</v>
      </c>
    </row>
    <row r="10" spans="1:9" ht="24" thickBot="1" x14ac:dyDescent="0.4">
      <c r="A10" s="10">
        <v>44355</v>
      </c>
      <c r="B10" s="154"/>
      <c r="C10" s="55">
        <f t="shared" si="0"/>
        <v>0</v>
      </c>
    </row>
    <row r="11" spans="1:9" ht="24" thickBot="1" x14ac:dyDescent="0.4">
      <c r="A11" s="10">
        <v>44356</v>
      </c>
      <c r="B11" s="154"/>
      <c r="C11" s="55">
        <f t="shared" si="0"/>
        <v>0</v>
      </c>
    </row>
    <row r="12" spans="1:9" ht="24" thickBot="1" x14ac:dyDescent="0.4">
      <c r="A12" s="10">
        <v>44357</v>
      </c>
      <c r="B12" s="154"/>
      <c r="C12" s="55">
        <f t="shared" si="0"/>
        <v>0</v>
      </c>
    </row>
    <row r="13" spans="1:9" ht="24" thickBot="1" x14ac:dyDescent="0.4">
      <c r="A13" s="10">
        <v>44358</v>
      </c>
      <c r="B13" s="154"/>
      <c r="C13" s="55">
        <f t="shared" si="0"/>
        <v>0</v>
      </c>
    </row>
    <row r="14" spans="1:9" ht="24" thickBot="1" x14ac:dyDescent="0.4">
      <c r="A14" s="10">
        <v>44359</v>
      </c>
      <c r="B14" s="154"/>
      <c r="C14" s="55">
        <f t="shared" si="0"/>
        <v>0</v>
      </c>
    </row>
    <row r="15" spans="1:9" ht="24" thickBot="1" x14ac:dyDescent="0.4">
      <c r="A15" s="10">
        <v>44360</v>
      </c>
      <c r="B15" s="154"/>
      <c r="C15" s="55">
        <f t="shared" si="0"/>
        <v>0</v>
      </c>
      <c r="I15" t="s">
        <v>12</v>
      </c>
    </row>
    <row r="16" spans="1:9" ht="26.25" customHeight="1" thickBot="1" x14ac:dyDescent="0.4">
      <c r="A16" s="10">
        <v>44361</v>
      </c>
      <c r="B16" s="154"/>
      <c r="C16" s="55">
        <f t="shared" si="0"/>
        <v>0</v>
      </c>
    </row>
    <row r="17" spans="1:9" ht="25.5" customHeight="1" thickBot="1" x14ac:dyDescent="0.4">
      <c r="A17" s="10">
        <v>44362</v>
      </c>
      <c r="B17" s="154"/>
      <c r="C17" s="55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7513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zoomScale="87" zoomScaleNormal="87" workbookViewId="0">
      <pane xSplit="1" topLeftCell="B1" activePane="topRight" state="frozen"/>
      <selection pane="topRight" activeCell="A6" sqref="A6:XFD6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/>
      <c r="C7" s="54" t="str">
        <f t="shared" si="11"/>
        <v>0</v>
      </c>
      <c r="D7" s="38">
        <f t="shared" si="12"/>
        <v>0</v>
      </c>
      <c r="E7" s="1"/>
      <c r="F7" s="54" t="str">
        <f t="shared" si="13"/>
        <v>0</v>
      </c>
      <c r="G7" s="38">
        <f t="shared" si="14"/>
        <v>0</v>
      </c>
      <c r="H7" s="1"/>
      <c r="I7" s="54" t="str">
        <f t="shared" si="15"/>
        <v>0</v>
      </c>
      <c r="J7" s="38">
        <f t="shared" si="16"/>
        <v>0</v>
      </c>
      <c r="K7" s="7"/>
      <c r="L7" s="54" t="str">
        <f t="shared" si="17"/>
        <v>0</v>
      </c>
      <c r="M7" s="38">
        <f t="shared" si="18"/>
        <v>0</v>
      </c>
      <c r="N7" s="7"/>
      <c r="O7" s="54" t="str">
        <f t="shared" si="19"/>
        <v>0</v>
      </c>
      <c r="P7" s="38">
        <f t="shared" si="20"/>
        <v>0</v>
      </c>
      <c r="Q7" s="7"/>
      <c r="R7" s="54" t="str">
        <f t="shared" si="21"/>
        <v>0</v>
      </c>
      <c r="S7" s="38">
        <f t="shared" si="22"/>
        <v>0</v>
      </c>
      <c r="T7" s="8">
        <f t="shared" si="24"/>
        <v>0</v>
      </c>
      <c r="U7" s="40">
        <f t="shared" si="23"/>
        <v>0</v>
      </c>
    </row>
    <row r="8" spans="1:25" ht="16.5" thickBot="1" x14ac:dyDescent="0.25">
      <c r="A8" s="10">
        <v>44353</v>
      </c>
      <c r="B8" s="1"/>
      <c r="C8" s="54">
        <f t="shared" si="11"/>
        <v>0</v>
      </c>
      <c r="D8" s="38">
        <f t="shared" si="12"/>
        <v>0</v>
      </c>
      <c r="E8" s="1"/>
      <c r="F8" s="54">
        <f t="shared" si="13"/>
        <v>0</v>
      </c>
      <c r="G8" s="38">
        <f t="shared" si="14"/>
        <v>0</v>
      </c>
      <c r="H8" s="1"/>
      <c r="I8" s="54">
        <f t="shared" si="15"/>
        <v>0</v>
      </c>
      <c r="J8" s="38">
        <f t="shared" si="16"/>
        <v>0</v>
      </c>
      <c r="K8" s="7"/>
      <c r="L8" s="54">
        <f t="shared" si="17"/>
        <v>0</v>
      </c>
      <c r="M8" s="38">
        <f t="shared" si="18"/>
        <v>0</v>
      </c>
      <c r="N8" s="7"/>
      <c r="O8" s="54">
        <f t="shared" si="19"/>
        <v>0</v>
      </c>
      <c r="P8" s="38">
        <f t="shared" si="20"/>
        <v>0</v>
      </c>
      <c r="Q8" s="7"/>
      <c r="R8" s="54">
        <f t="shared" si="21"/>
        <v>0</v>
      </c>
      <c r="S8" s="38">
        <f t="shared" si="22"/>
        <v>0</v>
      </c>
      <c r="T8" s="8">
        <f t="shared" si="24"/>
        <v>0</v>
      </c>
      <c r="U8" s="40">
        <f t="shared" si="23"/>
        <v>0</v>
      </c>
    </row>
    <row r="9" spans="1:25" ht="16.5" thickBot="1" x14ac:dyDescent="0.25">
      <c r="A9" s="10">
        <v>44354</v>
      </c>
      <c r="B9" s="1"/>
      <c r="C9" s="54">
        <f t="shared" si="11"/>
        <v>0</v>
      </c>
      <c r="D9" s="38">
        <f t="shared" si="12"/>
        <v>0</v>
      </c>
      <c r="E9" s="1"/>
      <c r="F9" s="54">
        <f t="shared" si="13"/>
        <v>0</v>
      </c>
      <c r="G9" s="38">
        <f t="shared" si="14"/>
        <v>0</v>
      </c>
      <c r="H9" s="1"/>
      <c r="I9" s="54">
        <f t="shared" si="15"/>
        <v>0</v>
      </c>
      <c r="J9" s="38">
        <f t="shared" si="16"/>
        <v>0</v>
      </c>
      <c r="K9" s="7"/>
      <c r="L9" s="54">
        <f t="shared" si="17"/>
        <v>0</v>
      </c>
      <c r="M9" s="38">
        <f t="shared" si="18"/>
        <v>0</v>
      </c>
      <c r="N9" s="7"/>
      <c r="O9" s="54">
        <f t="shared" si="19"/>
        <v>0</v>
      </c>
      <c r="P9" s="38">
        <f t="shared" si="20"/>
        <v>0</v>
      </c>
      <c r="Q9" s="7"/>
      <c r="R9" s="54">
        <f t="shared" si="21"/>
        <v>0</v>
      </c>
      <c r="S9" s="38">
        <f t="shared" si="22"/>
        <v>0</v>
      </c>
      <c r="T9" s="8">
        <f t="shared" si="24"/>
        <v>0</v>
      </c>
      <c r="U9" s="40">
        <f t="shared" si="23"/>
        <v>0</v>
      </c>
    </row>
    <row r="10" spans="1:25" ht="16.5" thickBot="1" x14ac:dyDescent="0.25">
      <c r="A10" s="10">
        <v>44355</v>
      </c>
      <c r="B10" s="1"/>
      <c r="C10" s="54">
        <f t="shared" si="11"/>
        <v>0</v>
      </c>
      <c r="D10" s="38">
        <f t="shared" si="12"/>
        <v>0</v>
      </c>
      <c r="E10" s="1"/>
      <c r="F10" s="54">
        <f t="shared" si="13"/>
        <v>0</v>
      </c>
      <c r="G10" s="38">
        <f t="shared" si="14"/>
        <v>0</v>
      </c>
      <c r="H10" s="1"/>
      <c r="I10" s="54">
        <f t="shared" si="15"/>
        <v>0</v>
      </c>
      <c r="J10" s="38">
        <f t="shared" si="16"/>
        <v>0</v>
      </c>
      <c r="K10" s="7"/>
      <c r="L10" s="54">
        <f t="shared" si="17"/>
        <v>0</v>
      </c>
      <c r="M10" s="38">
        <f t="shared" si="18"/>
        <v>0</v>
      </c>
      <c r="N10" s="7"/>
      <c r="O10" s="54">
        <f t="shared" si="19"/>
        <v>0</v>
      </c>
      <c r="P10" s="38">
        <f t="shared" si="20"/>
        <v>0</v>
      </c>
      <c r="Q10" s="7"/>
      <c r="R10" s="54">
        <f t="shared" si="21"/>
        <v>0</v>
      </c>
      <c r="S10" s="38">
        <f t="shared" si="22"/>
        <v>0</v>
      </c>
      <c r="T10" s="8">
        <f t="shared" si="24"/>
        <v>0</v>
      </c>
      <c r="U10" s="40">
        <f t="shared" si="23"/>
        <v>0</v>
      </c>
    </row>
    <row r="11" spans="1:25" ht="16.5" thickBot="1" x14ac:dyDescent="0.25">
      <c r="A11" s="10">
        <v>44356</v>
      </c>
      <c r="B11" s="1"/>
      <c r="C11" s="54">
        <f t="shared" si="11"/>
        <v>0</v>
      </c>
      <c r="D11" s="38">
        <f t="shared" si="12"/>
        <v>0</v>
      </c>
      <c r="E11" s="1"/>
      <c r="F11" s="54">
        <f t="shared" si="13"/>
        <v>0</v>
      </c>
      <c r="G11" s="38">
        <f t="shared" si="14"/>
        <v>0</v>
      </c>
      <c r="H11" s="1"/>
      <c r="I11" s="54">
        <f t="shared" si="15"/>
        <v>0</v>
      </c>
      <c r="J11" s="38">
        <f t="shared" si="16"/>
        <v>0</v>
      </c>
      <c r="K11" s="7"/>
      <c r="L11" s="54">
        <f t="shared" si="17"/>
        <v>0</v>
      </c>
      <c r="M11" s="38">
        <f t="shared" si="18"/>
        <v>0</v>
      </c>
      <c r="N11" s="7"/>
      <c r="O11" s="54">
        <f t="shared" si="19"/>
        <v>0</v>
      </c>
      <c r="P11" s="38">
        <f t="shared" si="20"/>
        <v>0</v>
      </c>
      <c r="Q11" s="7"/>
      <c r="R11" s="54">
        <f t="shared" si="21"/>
        <v>0</v>
      </c>
      <c r="S11" s="38">
        <f t="shared" si="22"/>
        <v>0</v>
      </c>
      <c r="T11" s="8">
        <f t="shared" si="24"/>
        <v>0</v>
      </c>
      <c r="U11" s="40">
        <f t="shared" si="23"/>
        <v>0</v>
      </c>
    </row>
    <row r="12" spans="1:25" ht="16.5" thickBot="1" x14ac:dyDescent="0.25">
      <c r="A12" s="10">
        <v>44357</v>
      </c>
      <c r="B12" s="1"/>
      <c r="C12" s="54">
        <f t="shared" si="11"/>
        <v>0</v>
      </c>
      <c r="D12" s="38">
        <f t="shared" si="12"/>
        <v>0</v>
      </c>
      <c r="E12" s="1"/>
      <c r="F12" s="54">
        <f t="shared" si="13"/>
        <v>0</v>
      </c>
      <c r="G12" s="38">
        <f t="shared" si="14"/>
        <v>0</v>
      </c>
      <c r="H12" s="1"/>
      <c r="I12" s="54">
        <f t="shared" si="15"/>
        <v>0</v>
      </c>
      <c r="J12" s="38">
        <f t="shared" si="16"/>
        <v>0</v>
      </c>
      <c r="K12" s="7"/>
      <c r="L12" s="54">
        <f t="shared" si="17"/>
        <v>0</v>
      </c>
      <c r="M12" s="38">
        <f t="shared" si="18"/>
        <v>0</v>
      </c>
      <c r="N12" s="7"/>
      <c r="O12" s="54">
        <f t="shared" si="19"/>
        <v>0</v>
      </c>
      <c r="P12" s="38">
        <f t="shared" si="20"/>
        <v>0</v>
      </c>
      <c r="Q12" s="7"/>
      <c r="R12" s="54">
        <f t="shared" si="21"/>
        <v>0</v>
      </c>
      <c r="S12" s="38">
        <f t="shared" si="22"/>
        <v>0</v>
      </c>
      <c r="T12" s="8">
        <f t="shared" si="24"/>
        <v>0</v>
      </c>
      <c r="U12" s="40">
        <f t="shared" si="23"/>
        <v>0</v>
      </c>
    </row>
    <row r="13" spans="1:25" ht="16.5" thickBot="1" x14ac:dyDescent="0.25">
      <c r="A13" s="10">
        <v>44358</v>
      </c>
      <c r="B13" s="1"/>
      <c r="C13" s="54">
        <f t="shared" si="11"/>
        <v>0</v>
      </c>
      <c r="D13" s="38">
        <f t="shared" si="12"/>
        <v>0</v>
      </c>
      <c r="E13" s="1"/>
      <c r="F13" s="54">
        <f t="shared" si="13"/>
        <v>0</v>
      </c>
      <c r="G13" s="38">
        <f t="shared" si="14"/>
        <v>0</v>
      </c>
      <c r="H13" s="1"/>
      <c r="I13" s="54">
        <f t="shared" si="15"/>
        <v>0</v>
      </c>
      <c r="J13" s="38">
        <f t="shared" si="16"/>
        <v>0</v>
      </c>
      <c r="K13" s="7"/>
      <c r="L13" s="54">
        <f t="shared" si="17"/>
        <v>0</v>
      </c>
      <c r="M13" s="38">
        <f t="shared" si="18"/>
        <v>0</v>
      </c>
      <c r="N13" s="7"/>
      <c r="O13" s="54">
        <f t="shared" si="19"/>
        <v>0</v>
      </c>
      <c r="P13" s="38">
        <f t="shared" si="20"/>
        <v>0</v>
      </c>
      <c r="Q13" s="7"/>
      <c r="R13" s="54">
        <f t="shared" si="21"/>
        <v>0</v>
      </c>
      <c r="S13" s="38">
        <f t="shared" si="22"/>
        <v>0</v>
      </c>
      <c r="T13" s="8">
        <f t="shared" si="24"/>
        <v>0</v>
      </c>
      <c r="U13" s="40">
        <f t="shared" si="23"/>
        <v>0</v>
      </c>
    </row>
    <row r="14" spans="1:25" ht="16.5" thickBot="1" x14ac:dyDescent="0.25">
      <c r="A14" s="10">
        <v>44359</v>
      </c>
      <c r="B14" s="1"/>
      <c r="C14" s="54">
        <f t="shared" si="11"/>
        <v>0</v>
      </c>
      <c r="D14" s="38">
        <f t="shared" si="12"/>
        <v>0</v>
      </c>
      <c r="E14" s="1"/>
      <c r="F14" s="54">
        <f t="shared" si="13"/>
        <v>0</v>
      </c>
      <c r="G14" s="38">
        <f t="shared" si="14"/>
        <v>0</v>
      </c>
      <c r="H14" s="1"/>
      <c r="I14" s="54">
        <f t="shared" si="15"/>
        <v>0</v>
      </c>
      <c r="J14" s="38">
        <f t="shared" si="16"/>
        <v>0</v>
      </c>
      <c r="K14" s="7"/>
      <c r="L14" s="54">
        <f t="shared" si="17"/>
        <v>0</v>
      </c>
      <c r="M14" s="38">
        <f t="shared" si="18"/>
        <v>0</v>
      </c>
      <c r="N14" s="7"/>
      <c r="O14" s="54">
        <f t="shared" si="19"/>
        <v>0</v>
      </c>
      <c r="P14" s="38">
        <f t="shared" si="20"/>
        <v>0</v>
      </c>
      <c r="Q14" s="7"/>
      <c r="R14" s="54">
        <f t="shared" si="21"/>
        <v>0</v>
      </c>
      <c r="S14" s="38">
        <f t="shared" si="22"/>
        <v>0</v>
      </c>
      <c r="T14" s="8">
        <f t="shared" si="24"/>
        <v>0</v>
      </c>
      <c r="U14" s="40">
        <f t="shared" si="23"/>
        <v>0</v>
      </c>
    </row>
    <row r="15" spans="1:25" ht="16.5" thickBot="1" x14ac:dyDescent="0.25">
      <c r="A15" s="10">
        <v>44360</v>
      </c>
      <c r="B15" s="1"/>
      <c r="C15" s="54">
        <f t="shared" si="11"/>
        <v>0</v>
      </c>
      <c r="D15" s="38">
        <f t="shared" si="12"/>
        <v>0</v>
      </c>
      <c r="E15" s="1"/>
      <c r="F15" s="54">
        <f t="shared" si="13"/>
        <v>0</v>
      </c>
      <c r="G15" s="38">
        <f t="shared" si="14"/>
        <v>0</v>
      </c>
      <c r="H15" s="1"/>
      <c r="I15" s="54">
        <f t="shared" si="15"/>
        <v>0</v>
      </c>
      <c r="J15" s="38">
        <f t="shared" si="16"/>
        <v>0</v>
      </c>
      <c r="K15" s="7"/>
      <c r="L15" s="54">
        <f t="shared" si="17"/>
        <v>0</v>
      </c>
      <c r="M15" s="38">
        <f t="shared" si="18"/>
        <v>0</v>
      </c>
      <c r="N15" s="7"/>
      <c r="O15" s="54">
        <f t="shared" si="19"/>
        <v>0</v>
      </c>
      <c r="P15" s="38">
        <f t="shared" si="20"/>
        <v>0</v>
      </c>
      <c r="Q15" s="7"/>
      <c r="R15" s="54">
        <f t="shared" si="21"/>
        <v>0</v>
      </c>
      <c r="S15" s="38">
        <f t="shared" si="22"/>
        <v>0</v>
      </c>
      <c r="T15" s="8">
        <f t="shared" si="24"/>
        <v>0</v>
      </c>
      <c r="U15" s="40">
        <f t="shared" si="23"/>
        <v>0</v>
      </c>
      <c r="W15" t="s">
        <v>12</v>
      </c>
    </row>
    <row r="16" spans="1:25" ht="16.5" thickBot="1" x14ac:dyDescent="0.25">
      <c r="A16" s="10">
        <v>44361</v>
      </c>
      <c r="B16" s="1"/>
      <c r="C16" s="54">
        <f t="shared" si="11"/>
        <v>0</v>
      </c>
      <c r="D16" s="38">
        <f t="shared" si="12"/>
        <v>0</v>
      </c>
      <c r="E16" s="1"/>
      <c r="F16" s="54">
        <f t="shared" si="13"/>
        <v>0</v>
      </c>
      <c r="G16" s="38">
        <f t="shared" si="14"/>
        <v>0</v>
      </c>
      <c r="H16" s="1"/>
      <c r="I16" s="54">
        <f t="shared" si="15"/>
        <v>0</v>
      </c>
      <c r="J16" s="38">
        <f t="shared" si="16"/>
        <v>0</v>
      </c>
      <c r="K16" s="7"/>
      <c r="L16" s="54">
        <f t="shared" si="17"/>
        <v>0</v>
      </c>
      <c r="M16" s="38">
        <f t="shared" si="18"/>
        <v>0</v>
      </c>
      <c r="N16" s="7"/>
      <c r="O16" s="54">
        <f t="shared" si="19"/>
        <v>0</v>
      </c>
      <c r="P16" s="38">
        <f t="shared" si="20"/>
        <v>0</v>
      </c>
      <c r="Q16" s="7"/>
      <c r="R16" s="54">
        <f t="shared" si="21"/>
        <v>0</v>
      </c>
      <c r="S16" s="38">
        <f t="shared" si="22"/>
        <v>0</v>
      </c>
      <c r="T16" s="8">
        <f t="shared" si="24"/>
        <v>0</v>
      </c>
      <c r="U16" s="40">
        <f t="shared" si="23"/>
        <v>0</v>
      </c>
      <c r="Y16" t="s">
        <v>12</v>
      </c>
    </row>
    <row r="17" spans="1:24" ht="16.5" thickBot="1" x14ac:dyDescent="0.25">
      <c r="A17" s="10">
        <v>44362</v>
      </c>
      <c r="B17" s="1"/>
      <c r="C17" s="54">
        <f t="shared" si="11"/>
        <v>0</v>
      </c>
      <c r="D17" s="38">
        <f t="shared" si="12"/>
        <v>0</v>
      </c>
      <c r="E17" s="1"/>
      <c r="F17" s="54">
        <f t="shared" si="13"/>
        <v>0</v>
      </c>
      <c r="G17" s="38">
        <f t="shared" si="14"/>
        <v>0</v>
      </c>
      <c r="H17" s="1"/>
      <c r="I17" s="54">
        <f t="shared" si="15"/>
        <v>0</v>
      </c>
      <c r="J17" s="38">
        <f t="shared" si="16"/>
        <v>0</v>
      </c>
      <c r="K17" s="7"/>
      <c r="L17" s="54">
        <f t="shared" si="17"/>
        <v>0</v>
      </c>
      <c r="M17" s="38">
        <f t="shared" si="18"/>
        <v>0</v>
      </c>
      <c r="N17" s="7"/>
      <c r="O17" s="54">
        <f t="shared" si="19"/>
        <v>0</v>
      </c>
      <c r="P17" s="38">
        <f t="shared" si="20"/>
        <v>0</v>
      </c>
      <c r="Q17" s="7"/>
      <c r="R17" s="54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34.917000000001281</v>
      </c>
      <c r="D34" s="159">
        <f>SUM(D2:D33)</f>
        <v>85294.799999999654</v>
      </c>
      <c r="E34" s="159">
        <v>0</v>
      </c>
      <c r="F34" s="159">
        <f>SUM(F2:F33)</f>
        <v>12.226000000000113</v>
      </c>
      <c r="G34" s="159">
        <f>SUM(G2:G33)</f>
        <v>23229.400000000212</v>
      </c>
      <c r="H34" s="159"/>
      <c r="I34" s="159">
        <f>SUM(I2:I33)</f>
        <v>38</v>
      </c>
      <c r="J34" s="159">
        <f>SUM(J2:J33)</f>
        <v>72200</v>
      </c>
      <c r="K34" s="159"/>
      <c r="L34" s="159">
        <f>SUM(L2:L33)</f>
        <v>10.200000000000728</v>
      </c>
      <c r="M34" s="159">
        <f>SUM(M2:M33)</f>
        <v>19380.000000001382</v>
      </c>
      <c r="N34" s="159"/>
      <c r="O34" s="159">
        <f>SUM(O2:O33)</f>
        <v>6.8110000000001492</v>
      </c>
      <c r="P34" s="159">
        <f>SUM(P2:P33)</f>
        <v>12940.900000000283</v>
      </c>
      <c r="Q34" s="159"/>
      <c r="R34" s="159">
        <f>SUM(R2:R33)</f>
        <v>12.369999999999891</v>
      </c>
      <c r="S34" s="159">
        <f>SUM(S2:S33)</f>
        <v>23502.999999999793</v>
      </c>
      <c r="T34" s="159">
        <f>SUM(T2:T33)</f>
        <v>124.49900000000071</v>
      </c>
      <c r="U34" s="159">
        <f>SUM(U2:U33)</f>
        <v>236548.10000000132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-13252517</v>
      </c>
      <c r="D7" s="115">
        <f t="shared" si="0"/>
        <v>-16830696.59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4353</v>
      </c>
      <c r="D8" s="115">
        <f t="shared" si="0"/>
        <v>5528.31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653</v>
      </c>
      <c r="D9" s="115">
        <f t="shared" si="0"/>
        <v>829.31000000000006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2240</v>
      </c>
      <c r="D10" s="115">
        <f t="shared" si="0"/>
        <v>2844.8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589</v>
      </c>
      <c r="D11" s="115">
        <f t="shared" si="0"/>
        <v>748.03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3656</v>
      </c>
      <c r="K16" s="104">
        <f>(J16-I16)*160</f>
        <v>640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24998</v>
      </c>
      <c r="K18" s="104">
        <f>(J18-I18)*160</f>
        <v>2240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106760</v>
      </c>
      <c r="K19" s="104">
        <f>J19-I19</f>
        <v>589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45345</v>
      </c>
      <c r="K21" s="104">
        <f>(J21-I21)*120</f>
        <v>2040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39562</v>
      </c>
      <c r="K22" s="104">
        <f>(J22-I22)*160</f>
        <v>1760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20425</v>
      </c>
      <c r="K23" s="104">
        <f>(J23-I23)*20</f>
        <v>280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242858</v>
      </c>
      <c r="K24" s="104">
        <f>J24-I24</f>
        <v>273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215557</v>
      </c>
      <c r="K25" s="104">
        <f>J25-I25</f>
        <v>13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2021-06-04T23:25:07Z</dcterms:modified>
</cp:coreProperties>
</file>