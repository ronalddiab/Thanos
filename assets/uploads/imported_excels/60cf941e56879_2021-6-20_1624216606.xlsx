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4" i="10" l="1"/>
  <c r="X16" i="7" l="1"/>
  <c r="X17" i="7"/>
  <c r="CL10" i="7" l="1"/>
  <c r="F9" i="7" l="1"/>
  <c r="F8" i="7"/>
  <c r="CL9" i="7"/>
  <c r="G22" i="3" l="1"/>
  <c r="G23" i="3"/>
  <c r="G24" i="3"/>
  <c r="G25" i="3"/>
  <c r="G26" i="3"/>
  <c r="G27" i="3"/>
  <c r="G28" i="3"/>
  <c r="G29" i="3"/>
  <c r="G30" i="3"/>
  <c r="G31" i="3"/>
  <c r="G32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G21" i="3" s="1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0" i="3" l="1"/>
  <c r="G19" i="3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<sst xmlns="http://schemas.openxmlformats.org/spreadsheetml/2006/main" count="313" uniqueCount="148">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</sst>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36300.000000000218</v>
      </c>
      <c r="F33" s="17">
        <f t="shared" ref="F33:BC33" si="1">SUM(F2:F32)</f>
        <v>53199.999999999935</v>
      </c>
      <c r="G33" s="17">
        <f t="shared" si="1"/>
        <v>48700.000000000196</v>
      </c>
      <c r="H33" s="17">
        <f t="shared" si="1"/>
        <v>24200.000000000004</v>
      </c>
      <c r="I33" s="17">
        <f t="shared" si="1"/>
        <v>39600.000000000087</v>
      </c>
      <c r="J33" s="17">
        <f t="shared" si="1"/>
        <v>18399.999999999975</v>
      </c>
      <c r="K33" s="17">
        <f t="shared" si="1"/>
        <v>147</v>
      </c>
      <c r="L33" s="17">
        <f t="shared" si="1"/>
        <v>57</v>
      </c>
      <c r="M33" s="17">
        <f t="shared" si="1"/>
        <v>13875</v>
      </c>
      <c r="N33" s="17">
        <f t="shared" si="1"/>
        <v>5848.8999999999651</v>
      </c>
      <c r="O33" s="17">
        <f t="shared" si="1"/>
        <v>5799.9999999999545</v>
      </c>
      <c r="P33" s="17">
        <f t="shared" si="1"/>
        <v>47099.999999999927</v>
      </c>
      <c r="Q33" s="17">
        <f t="shared" si="1"/>
        <v>5449.9999999999891</v>
      </c>
      <c r="R33" s="17">
        <f t="shared" si="1"/>
        <v>5350.0000000000218</v>
      </c>
      <c r="S33" s="17">
        <f t="shared" si="1"/>
        <v>5529.9999999999727</v>
      </c>
      <c r="T33" s="17">
        <f t="shared" si="1"/>
        <v>656</v>
      </c>
      <c r="U33" s="35">
        <f t="shared" si="1"/>
        <v>9689.9999999999418</v>
      </c>
      <c r="V33" s="35">
        <f t="shared" si="1"/>
        <v>3819.9999999999927</v>
      </c>
      <c r="W33" s="35">
        <f t="shared" si="1"/>
        <v>3010.0000000000191</v>
      </c>
      <c r="X33" s="35">
        <f t="shared" si="1"/>
        <v>1980.0000000000182</v>
      </c>
      <c r="Y33" s="35">
        <f t="shared" si="1"/>
        <v>2849.9999999999936</v>
      </c>
      <c r="Z33" s="35">
        <f t="shared" si="1"/>
        <v>4094.9499999999452</v>
      </c>
      <c r="AA33" s="35">
        <f t="shared" si="1"/>
        <v>4094.9499999999452</v>
      </c>
      <c r="AB33" s="35">
        <f t="shared" si="1"/>
        <v>1180.0000000000068</v>
      </c>
      <c r="AC33" s="35">
        <f t="shared" si="1"/>
        <v>860.00000000001364</v>
      </c>
      <c r="AD33" s="35">
        <f t="shared" si="1"/>
        <v>490.00000000000909</v>
      </c>
      <c r="AE33" s="35">
        <f t="shared" si="1"/>
        <v>480.00000000001819</v>
      </c>
      <c r="AF33" s="17">
        <f t="shared" si="1"/>
        <v>578</v>
      </c>
      <c r="AG33" s="32">
        <f t="shared" si="1"/>
        <v>620.00000000000455</v>
      </c>
      <c r="AH33" s="32">
        <f t="shared" si="1"/>
        <v>550.00000000001137</v>
      </c>
      <c r="AI33" s="32">
        <f t="shared" si="1"/>
        <v>610.00000000001364</v>
      </c>
      <c r="AJ33" s="32">
        <f t="shared" si="1"/>
        <v>689.99999999999773</v>
      </c>
      <c r="AK33" s="32">
        <f t="shared" si="1"/>
        <v>579.99999999998408</v>
      </c>
      <c r="AL33" s="32">
        <f t="shared" si="1"/>
        <v>444</v>
      </c>
      <c r="AM33" s="32">
        <f t="shared" si="1"/>
        <v>439.99999999999773</v>
      </c>
      <c r="AN33" s="32">
        <f t="shared" si="1"/>
        <v>797</v>
      </c>
      <c r="AO33" s="32">
        <f t="shared" si="1"/>
        <v>490.00000000000909</v>
      </c>
      <c r="AP33" s="32">
        <f t="shared" si="1"/>
        <v>815</v>
      </c>
      <c r="AQ33" s="17">
        <f t="shared" si="1"/>
        <v>576</v>
      </c>
      <c r="AR33" s="17">
        <f t="shared" si="1"/>
        <v>141.70000000000073</v>
      </c>
      <c r="AS33" s="17">
        <f t="shared" si="1"/>
        <v>80.600000000000364</v>
      </c>
      <c r="AT33" s="17">
        <f t="shared" si="1"/>
        <v>641.90000000000146</v>
      </c>
      <c r="AU33" s="17">
        <f t="shared" si="1"/>
        <v>5231</v>
      </c>
      <c r="AV33" s="17">
        <f t="shared" si="1"/>
        <v>13599.999999999911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148.35149999999999</v>
      </c>
      <c r="BC33" s="17">
        <f t="shared" si="1"/>
        <v>166</v>
      </c>
    </row>
    <row r="35" spans="5:55" x14ac:dyDescent="0.25">
      <c r="E35" s="38">
        <f>E33/E37</f>
        <v>0.21112261396550006</v>
      </c>
      <c r="G35" s="29">
        <f>G33-M36</f>
        <v>28976.100000000231</v>
      </c>
      <c r="AE35" s="35">
        <f>SUM(U33:AE33)</f>
        <v>32549.899999999903</v>
      </c>
      <c r="AG35" s="32">
        <f>SUM(AG33:AP33)</f>
        <v>6036.0000000000182</v>
      </c>
    </row>
    <row r="36" spans="5:55" x14ac:dyDescent="0.25">
      <c r="G36" s="29">
        <f>G35-633*14</f>
        <v>20114.100000000231</v>
      </c>
      <c r="M36" s="29">
        <f>M33+N33</f>
        <v>19723.899999999965</v>
      </c>
    </row>
    <row r="37" spans="5:55" x14ac:dyDescent="0.25">
      <c r="E37" s="17">
        <f>E33+F33+G33+H33+J33-633*14</f>
        <v>171938.00000000032</v>
      </c>
      <c r="G37" s="37">
        <f>M36/E37</f>
        <v>0.11471518803289517</v>
      </c>
      <c r="M37" s="35">
        <f>AE35</f>
        <v>32549.899999999903</v>
      </c>
    </row>
    <row r="38" spans="5:55" x14ac:dyDescent="0.25">
      <c r="L38" s="27">
        <f>M38/E37</f>
        <v>3.5105677627982217E-2</v>
      </c>
      <c r="M38" s="29">
        <f>AG35</f>
        <v>6036.0000000000182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A1" zoomScale="80" zoomScaleNormal="80" workbookViewId="0">
      <pane ySplit="1" topLeftCell="A8" activePane="bottomLeft" state="frozen"/>
      <selection pane="bottomLeft" activeCell="BE23" sqref="BE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44"/>
        <v/>
      </c>
      <c r="Q23" s="58"/>
      <c r="R23" s="67" t="str">
        <f t="shared" si="6"/>
        <v/>
      </c>
      <c r="S23" s="58"/>
      <c r="T23" s="67" t="str">
        <f t="shared" si="7"/>
        <v/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5"/>
        <v/>
      </c>
      <c r="AM23" s="58"/>
      <c r="AN23" s="65" t="str">
        <f t="shared" si="15"/>
        <v/>
      </c>
      <c r="AO23" s="58"/>
      <c r="AP23" s="65" t="str">
        <f t="shared" si="15"/>
        <v/>
      </c>
      <c r="AQ23" s="58"/>
      <c r="AR23" s="65" t="str">
        <f t="shared" si="16"/>
        <v/>
      </c>
      <c r="AS23" s="58"/>
      <c r="AT23" s="65" t="str">
        <f t="shared" si="17"/>
        <v/>
      </c>
      <c r="AU23" s="58"/>
      <c r="AV23" s="65" t="str">
        <f t="shared" si="18"/>
        <v/>
      </c>
      <c r="AW23" s="58"/>
      <c r="AX23" s="65" t="str">
        <f t="shared" si="19"/>
        <v/>
      </c>
      <c r="AY23" s="58"/>
      <c r="AZ23" s="65" t="str">
        <f t="shared" si="20"/>
        <v/>
      </c>
      <c r="BA23" s="58"/>
      <c r="BB23" s="65" t="str">
        <f t="shared" si="21"/>
        <v/>
      </c>
      <c r="BC23" s="58"/>
      <c r="BD23" s="65" t="str">
        <f t="shared" si="22"/>
        <v/>
      </c>
      <c r="BE23" s="59"/>
      <c r="BF23" s="67" t="str">
        <f t="shared" si="39"/>
        <v/>
      </c>
      <c r="BG23" s="60"/>
      <c r="BH23" s="65" t="str">
        <f t="shared" si="23"/>
        <v/>
      </c>
      <c r="BI23" s="60"/>
      <c r="BJ23" s="65" t="str">
        <f t="shared" si="40"/>
        <v/>
      </c>
      <c r="BK23" s="60"/>
      <c r="BL23" s="65" t="str">
        <f t="shared" si="24"/>
        <v/>
      </c>
      <c r="BM23" s="60"/>
      <c r="BN23" s="65" t="str">
        <f t="shared" si="25"/>
        <v/>
      </c>
      <c r="BO23" s="60"/>
      <c r="BP23" s="65" t="str">
        <f t="shared" si="26"/>
        <v/>
      </c>
      <c r="BQ23" s="60"/>
      <c r="BR23" s="65" t="str">
        <f t="shared" si="27"/>
        <v/>
      </c>
      <c r="BS23" s="60"/>
      <c r="BT23" s="65" t="str">
        <f t="shared" si="42"/>
        <v/>
      </c>
      <c r="BU23" s="60"/>
      <c r="BV23" s="65" t="str">
        <f t="shared" si="29"/>
        <v/>
      </c>
      <c r="BW23" s="60"/>
      <c r="BX23" s="65" t="str">
        <f t="shared" si="30"/>
        <v/>
      </c>
      <c r="BY23" s="60"/>
      <c r="BZ23" s="67" t="str">
        <f t="shared" si="31"/>
        <v/>
      </c>
      <c r="CA23" s="60"/>
      <c r="CB23" s="67" t="str">
        <f t="shared" si="32"/>
        <v/>
      </c>
      <c r="CC23" s="60"/>
      <c r="CD23" s="67" t="str">
        <f t="shared" si="33"/>
        <v/>
      </c>
      <c r="CE23" s="60"/>
      <c r="CF23" s="67" t="str">
        <f t="shared" si="34"/>
        <v/>
      </c>
      <c r="CG23" s="60"/>
      <c r="CH23" s="67" t="str">
        <f t="shared" si="35"/>
        <v/>
      </c>
      <c r="CI23" s="60"/>
      <c r="CJ23" s="67" t="str">
        <f t="shared" si="36"/>
        <v/>
      </c>
      <c r="CK23" s="60"/>
      <c r="CL23" s="64" t="str">
        <f t="shared" si="37"/>
        <v/>
      </c>
      <c r="CM23" s="65" t="e">
        <f t="shared" si="41"/>
        <v>#VALUE!</v>
      </c>
      <c r="CN23" s="62">
        <v>0</v>
      </c>
      <c r="CO23" s="62">
        <v>0</v>
      </c>
      <c r="CP23" s="68"/>
      <c r="CQ23" s="67" t="str">
        <f t="shared" si="38"/>
        <v/>
      </c>
      <c r="CR23" s="68"/>
      <c r="CS23" s="67" t="str">
        <f t="shared" si="38"/>
        <v/>
      </c>
      <c r="CT23" s="75"/>
      <c r="CU23" s="67" t="str">
        <f t="shared" si="38"/>
        <v/>
      </c>
      <c r="CV23" s="68"/>
      <c r="CW23" s="67" t="str">
        <f t="shared" si="38"/>
        <v/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E27" sqref="E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-197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2021-06-20T16:40:47Z</dcterms:modified>
</cp:coreProperties>
</file>