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elma\Downloads\"/>
    </mc:Choice>
  </mc:AlternateContent>
  <xr:revisionPtr revIDLastSave="2682" documentId="8_{00B7C460-6DDE-4F49-8B51-05921E1F5BEF}" xr6:coauthVersionLast="47" xr6:coauthVersionMax="47" xr10:uidLastSave="{1DDF8E72-4DDE-497A-B905-4DC61093BB8E}"/>
  <bookViews>
    <workbookView xWindow="-120" yWindow="-120" windowWidth="17520" windowHeight="12600" firstSheet="1" activeTab="12" xr2:uid="{00000000-000D-0000-FFFF-FFFF00000000}"/>
  </bookViews>
  <sheets>
    <sheet name="Utility Consnsumption" sheetId="11" r:id="rId1"/>
    <sheet name="Total" sheetId="13" r:id="rId2"/>
    <sheet name="Submetering" sheetId="12" r:id="rId3"/>
    <sheet name="Boat" sheetId="16" r:id="rId4"/>
    <sheet name="Water" sheetId="2" r:id="rId5"/>
    <sheet name="Gas" sheetId="6" r:id="rId6"/>
    <sheet name="Sheet1" sheetId="14" state="hidden" r:id="rId7"/>
    <sheet name="Sheet2" sheetId="15" state="hidden" r:id="rId8"/>
    <sheet name="Consp" sheetId="9" state="hidden" r:id="rId9"/>
    <sheet name="Temp." sheetId="4" state="hidden" r:id="rId10"/>
    <sheet name="M-Rep" sheetId="7" state="hidden" r:id="rId11"/>
    <sheet name="YTD" sheetId="10" state="hidden" r:id="rId12"/>
    <sheet name="Elect" sheetId="1" r:id="rId13"/>
  </sheets>
  <definedNames>
    <definedName name="_xlnm.Print_Area" localSheetId="8">Consp!$A$1:$BQ$40</definedName>
    <definedName name="_xlnm.Print_Area" localSheetId="12">Elect!$A$1:$BZ$40</definedName>
    <definedName name="_xlnm.Print_Area" localSheetId="5">Gas!$A$1:$J$40</definedName>
    <definedName name="_xlnm.Print_Area" localSheetId="9">Temp.!$A$1:$J$45</definedName>
    <definedName name="_xlnm.Print_Area" localSheetId="0">'Utility Consnsumption'!$A$1:$M$62</definedName>
    <definedName name="_xlnm.Print_Area" localSheetId="4">Water!$A$1:$Z$50</definedName>
    <definedName name="_xlnm.Print_Area" localSheetId="11">YTD!$A$1:$Q$2370</definedName>
    <definedName name="_xlnm.Print_Titles" localSheetId="8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1" l="1"/>
  <c r="K13" i="11"/>
  <c r="I13" i="11"/>
  <c r="G13" i="11"/>
  <c r="E13" i="11"/>
  <c r="C13" i="11"/>
  <c r="G52" i="11"/>
  <c r="E30" i="2"/>
  <c r="G12" i="2"/>
  <c r="G13" i="2"/>
  <c r="H6" i="11"/>
  <c r="K38" i="2"/>
  <c r="I38" i="2"/>
  <c r="E41" i="11"/>
  <c r="C17" i="2"/>
  <c r="G27" i="2"/>
  <c r="C25" i="2"/>
  <c r="E18" i="2"/>
  <c r="E19" i="2"/>
  <c r="E20" i="2"/>
  <c r="C34" i="2"/>
  <c r="C35" i="2"/>
  <c r="C33" i="2"/>
  <c r="E23" i="2"/>
  <c r="E24" i="2"/>
  <c r="C4" i="16"/>
  <c r="AH2" i="12" s="1"/>
  <c r="E4" i="16"/>
  <c r="AM2" i="12" s="1"/>
  <c r="G4" i="16"/>
  <c r="AR2" i="12" s="1"/>
  <c r="C5" i="16"/>
  <c r="AH3" i="12" s="1"/>
  <c r="E5" i="16"/>
  <c r="AM3" i="12" s="1"/>
  <c r="G5" i="16"/>
  <c r="AR3" i="12" s="1"/>
  <c r="C6" i="16"/>
  <c r="AH4" i="12" s="1"/>
  <c r="E6" i="16"/>
  <c r="AM4" i="12" s="1"/>
  <c r="G6" i="16"/>
  <c r="AR4" i="12" s="1"/>
  <c r="C7" i="16"/>
  <c r="AH5" i="12" s="1"/>
  <c r="E7" i="16"/>
  <c r="AM5" i="12" s="1"/>
  <c r="G7" i="16"/>
  <c r="AR5" i="12" s="1"/>
  <c r="C8" i="16"/>
  <c r="AH6" i="12" s="1"/>
  <c r="E8" i="16"/>
  <c r="AM6" i="12" s="1"/>
  <c r="G8" i="16"/>
  <c r="AR6" i="12" s="1"/>
  <c r="C9" i="16"/>
  <c r="AH7" i="12" s="1"/>
  <c r="E9" i="16"/>
  <c r="AM7" i="12" s="1"/>
  <c r="G9" i="16"/>
  <c r="AR7" i="12" s="1"/>
  <c r="C10" i="16"/>
  <c r="AH8" i="12" s="1"/>
  <c r="E10" i="16"/>
  <c r="AM8" i="12" s="1"/>
  <c r="G10" i="16"/>
  <c r="AR8" i="12" s="1"/>
  <c r="C11" i="16"/>
  <c r="AH9" i="12" s="1"/>
  <c r="E11" i="16"/>
  <c r="AM9" i="12" s="1"/>
  <c r="G11" i="16"/>
  <c r="AR9" i="12" s="1"/>
  <c r="C12" i="16"/>
  <c r="AH10" i="12" s="1"/>
  <c r="E12" i="16"/>
  <c r="AM10" i="12" s="1"/>
  <c r="G12" i="16"/>
  <c r="AR10" i="12" s="1"/>
  <c r="C13" i="16"/>
  <c r="AH11" i="12" s="1"/>
  <c r="E13" i="16"/>
  <c r="AM11" i="12" s="1"/>
  <c r="G13" i="16"/>
  <c r="AR11" i="12" s="1"/>
  <c r="C14" i="16"/>
  <c r="AH12" i="12" s="1"/>
  <c r="E14" i="16"/>
  <c r="AM12" i="12" s="1"/>
  <c r="G14" i="16"/>
  <c r="AR12" i="12" s="1"/>
  <c r="C15" i="16"/>
  <c r="AH13" i="12" s="1"/>
  <c r="E15" i="16"/>
  <c r="AM13" i="12" s="1"/>
  <c r="G15" i="16"/>
  <c r="AR13" i="12" s="1"/>
  <c r="C16" i="16"/>
  <c r="AH14" i="12" s="1"/>
  <c r="E16" i="16"/>
  <c r="AM14" i="12" s="1"/>
  <c r="G16" i="16"/>
  <c r="AR14" i="12" s="1"/>
  <c r="C17" i="16"/>
  <c r="AH15" i="12" s="1"/>
  <c r="E17" i="16"/>
  <c r="AM15" i="12" s="1"/>
  <c r="G17" i="16"/>
  <c r="AR15" i="12" s="1"/>
  <c r="C18" i="16"/>
  <c r="AH16" i="12" s="1"/>
  <c r="E18" i="16"/>
  <c r="AM16" i="12" s="1"/>
  <c r="G18" i="16"/>
  <c r="AR16" i="12" s="1"/>
  <c r="C19" i="16"/>
  <c r="AH17" i="12" s="1"/>
  <c r="E19" i="16"/>
  <c r="AM17" i="12" s="1"/>
  <c r="G19" i="16"/>
  <c r="AR17" i="12" s="1"/>
  <c r="C20" i="16"/>
  <c r="AH18" i="12" s="1"/>
  <c r="E20" i="16"/>
  <c r="AM18" i="12" s="1"/>
  <c r="G20" i="16"/>
  <c r="AR18" i="12" s="1"/>
  <c r="C21" i="16"/>
  <c r="AH19" i="12" s="1"/>
  <c r="E21" i="16"/>
  <c r="AM19" i="12" s="1"/>
  <c r="G21" i="16"/>
  <c r="AR19" i="12" s="1"/>
  <c r="C22" i="16"/>
  <c r="AH20" i="12" s="1"/>
  <c r="E22" i="16"/>
  <c r="AM20" i="12" s="1"/>
  <c r="G22" i="16"/>
  <c r="AR20" i="12" s="1"/>
  <c r="C23" i="16"/>
  <c r="AH21" i="12" s="1"/>
  <c r="E23" i="16"/>
  <c r="AM21" i="12" s="1"/>
  <c r="G23" i="16"/>
  <c r="AR21" i="12" s="1"/>
  <c r="C24" i="16"/>
  <c r="AH22" i="12" s="1"/>
  <c r="E24" i="16"/>
  <c r="AM22" i="12" s="1"/>
  <c r="G24" i="16"/>
  <c r="AR22" i="12" s="1"/>
  <c r="C25" i="16"/>
  <c r="AH23" i="12" s="1"/>
  <c r="E25" i="16"/>
  <c r="AM23" i="12" s="1"/>
  <c r="G25" i="16"/>
  <c r="AR23" i="12" s="1"/>
  <c r="G23" i="13" s="1"/>
  <c r="C26" i="16"/>
  <c r="AH24" i="12" s="1"/>
  <c r="E26" i="16"/>
  <c r="AM24" i="12" s="1"/>
  <c r="G26" i="16"/>
  <c r="AR24" i="12" s="1"/>
  <c r="C27" i="16"/>
  <c r="AH25" i="12" s="1"/>
  <c r="E27" i="16"/>
  <c r="AM25" i="12" s="1"/>
  <c r="G27" i="16"/>
  <c r="AR25" i="12" s="1"/>
  <c r="C28" i="16"/>
  <c r="AH26" i="12" s="1"/>
  <c r="E28" i="16"/>
  <c r="AM26" i="12" s="1"/>
  <c r="G28" i="16"/>
  <c r="AR26" i="12" s="1"/>
  <c r="C29" i="16"/>
  <c r="AH27" i="12" s="1"/>
  <c r="E29" i="16"/>
  <c r="AM27" i="12" s="1"/>
  <c r="G29" i="16"/>
  <c r="AR27" i="12" s="1"/>
  <c r="C30" i="16"/>
  <c r="AH28" i="12" s="1"/>
  <c r="E30" i="16"/>
  <c r="AM28" i="12" s="1"/>
  <c r="G30" i="16"/>
  <c r="AR28" i="12" s="1"/>
  <c r="C31" i="16"/>
  <c r="AH29" i="12" s="1"/>
  <c r="E31" i="16"/>
  <c r="AM29" i="12" s="1"/>
  <c r="G31" i="16"/>
  <c r="AR29" i="12" s="1"/>
  <c r="C32" i="16"/>
  <c r="AH30" i="12" s="1"/>
  <c r="E32" i="16"/>
  <c r="AM30" i="12" s="1"/>
  <c r="G32" i="16"/>
  <c r="AR30" i="12" s="1"/>
  <c r="C33" i="16"/>
  <c r="AH31" i="12" s="1"/>
  <c r="E33" i="16"/>
  <c r="AM31" i="12" s="1"/>
  <c r="G33" i="16"/>
  <c r="AR31" i="12" s="1"/>
  <c r="C34" i="16"/>
  <c r="AH32" i="12" s="1"/>
  <c r="E34" i="16"/>
  <c r="AM32" i="12" s="1"/>
  <c r="G34" i="16"/>
  <c r="AR32" i="12" s="1"/>
  <c r="G35" i="16" l="1"/>
  <c r="E35" i="16"/>
  <c r="C35" i="16"/>
  <c r="E33" i="2" l="1"/>
  <c r="G24" i="2"/>
  <c r="G25" i="2"/>
  <c r="G26" i="2"/>
  <c r="G31" i="2"/>
  <c r="G32" i="2"/>
  <c r="G33" i="2"/>
  <c r="G34" i="2"/>
  <c r="G35" i="2"/>
  <c r="G36" i="2"/>
  <c r="G37" i="2"/>
  <c r="G28" i="2"/>
  <c r="G29" i="2"/>
  <c r="G30" i="2"/>
  <c r="E21" i="2"/>
  <c r="E22" i="2"/>
  <c r="E25" i="2"/>
  <c r="E26" i="2"/>
  <c r="E27" i="2"/>
  <c r="E28" i="2"/>
  <c r="E29" i="2"/>
  <c r="E31" i="2"/>
  <c r="E32" i="2"/>
  <c r="E34" i="2"/>
  <c r="E35" i="2"/>
  <c r="E36" i="2"/>
  <c r="E37" i="2"/>
  <c r="C30" i="2"/>
  <c r="C31" i="2"/>
  <c r="C32" i="2"/>
  <c r="H35" i="2"/>
  <c r="I30" i="13" s="1"/>
  <c r="C36" i="2"/>
  <c r="C37" i="2"/>
  <c r="C26" i="2"/>
  <c r="C27" i="2"/>
  <c r="C28" i="2"/>
  <c r="C29" i="2"/>
  <c r="E9" i="2"/>
  <c r="C7" i="2"/>
  <c r="H36" i="2" l="1"/>
  <c r="I31" i="13" s="1"/>
  <c r="H37" i="2"/>
  <c r="I32" i="13" s="1"/>
  <c r="H26" i="2"/>
  <c r="I21" i="13" s="1"/>
  <c r="H27" i="2"/>
  <c r="I22" i="13" s="1"/>
  <c r="H34" i="2"/>
  <c r="I29" i="13" s="1"/>
  <c r="H33" i="2"/>
  <c r="I28" i="13" s="1"/>
  <c r="H32" i="2"/>
  <c r="I27" i="13" s="1"/>
  <c r="H31" i="2"/>
  <c r="I26" i="13" s="1"/>
  <c r="H30" i="2"/>
  <c r="I25" i="13" s="1"/>
  <c r="H29" i="2"/>
  <c r="I24" i="13" s="1"/>
  <c r="H28" i="2"/>
  <c r="I23" i="13" s="1"/>
  <c r="A1" i="6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M15" i="1"/>
  <c r="M16" i="1"/>
  <c r="M17" i="1"/>
  <c r="M18" i="1"/>
  <c r="M19" i="1"/>
  <c r="M20" i="1"/>
  <c r="M21" i="1"/>
  <c r="K21" i="1" s="1"/>
  <c r="M22" i="1"/>
  <c r="M23" i="1"/>
  <c r="K23" i="1" s="1"/>
  <c r="M24" i="1"/>
  <c r="K24" i="1" s="1"/>
  <c r="M25" i="1"/>
  <c r="K25" i="1" s="1"/>
  <c r="M26" i="1"/>
  <c r="K26" i="1" s="1"/>
  <c r="M27" i="1"/>
  <c r="K27" i="1" s="1"/>
  <c r="M28" i="1"/>
  <c r="U27" i="1"/>
  <c r="BF21" i="1"/>
  <c r="AT20" i="1"/>
  <c r="W17" i="1"/>
  <c r="J17" i="1"/>
  <c r="S8" i="1"/>
  <c r="S9" i="1"/>
  <c r="Q9" i="1"/>
  <c r="Q8" i="1"/>
  <c r="K14" i="1" l="1"/>
  <c r="K22" i="1"/>
  <c r="K20" i="1"/>
  <c r="K19" i="1"/>
  <c r="K18" i="1"/>
  <c r="K17" i="1"/>
  <c r="K16" i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P30" i="12" s="1"/>
  <c r="E30" i="6"/>
  <c r="G9" i="2"/>
  <c r="G10" i="2"/>
  <c r="G11" i="2"/>
  <c r="G14" i="2"/>
  <c r="G15" i="2"/>
  <c r="G16" i="2"/>
  <c r="G17" i="2"/>
  <c r="G18" i="2"/>
  <c r="G19" i="2"/>
  <c r="G20" i="2"/>
  <c r="G21" i="2"/>
  <c r="G22" i="2"/>
  <c r="G23" i="2"/>
  <c r="E10" i="2"/>
  <c r="E11" i="2"/>
  <c r="E12" i="2"/>
  <c r="E13" i="2"/>
  <c r="E14" i="2"/>
  <c r="E15" i="2"/>
  <c r="E16" i="2"/>
  <c r="E17" i="2"/>
  <c r="C22" i="2"/>
  <c r="C23" i="2"/>
  <c r="C24" i="2"/>
  <c r="H25" i="2"/>
  <c r="I20" i="13" s="1"/>
  <c r="C19" i="2"/>
  <c r="C20" i="2"/>
  <c r="C21" i="2"/>
  <c r="C8" i="2"/>
  <c r="C9" i="2"/>
  <c r="C10" i="2"/>
  <c r="C11" i="2"/>
  <c r="C12" i="2"/>
  <c r="C13" i="2"/>
  <c r="C14" i="2"/>
  <c r="C15" i="2"/>
  <c r="C16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G13" i="6"/>
  <c r="G14" i="6"/>
  <c r="G15" i="6"/>
  <c r="G16" i="6"/>
  <c r="G17" i="6"/>
  <c r="G10" i="6"/>
  <c r="G11" i="6"/>
  <c r="G12" i="6"/>
  <c r="E7" i="2"/>
  <c r="E8" i="2"/>
  <c r="K6" i="9" s="1"/>
  <c r="AK4" i="12"/>
  <c r="K8" i="9"/>
  <c r="K10" i="9"/>
  <c r="K11" i="9"/>
  <c r="AK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G21" i="9"/>
  <c r="G22" i="9"/>
  <c r="E21" i="9"/>
  <c r="E23" i="9"/>
  <c r="E25" i="9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Q27" i="12"/>
  <c r="L30" i="12"/>
  <c r="Q35" i="1"/>
  <c r="H31" i="12"/>
  <c r="Q33" i="1"/>
  <c r="H29" i="12"/>
  <c r="Q34" i="1"/>
  <c r="H30" i="12"/>
  <c r="AL23" i="12"/>
  <c r="AL25" i="12"/>
  <c r="AL26" i="12"/>
  <c r="AL27" i="12"/>
  <c r="AL29" i="12"/>
  <c r="AL32" i="12"/>
  <c r="AK23" i="12"/>
  <c r="AK26" i="12"/>
  <c r="K31" i="9"/>
  <c r="AK29" i="12"/>
  <c r="AK30" i="12"/>
  <c r="AK31" i="12"/>
  <c r="AK32" i="12"/>
  <c r="AJ24" i="12"/>
  <c r="AJ25" i="12"/>
  <c r="I29" i="9"/>
  <c r="AJ30" i="12"/>
  <c r="AJ31" i="12"/>
  <c r="AJ32" i="12"/>
  <c r="AS3" i="12"/>
  <c r="AS4" i="12"/>
  <c r="AS5" i="12"/>
  <c r="AS6" i="12"/>
  <c r="AS7" i="12"/>
  <c r="AS8" i="12"/>
  <c r="AS9" i="12"/>
  <c r="AS10" i="12"/>
  <c r="AS11" i="12"/>
  <c r="AS12" i="12"/>
  <c r="AS13" i="12"/>
  <c r="AS14" i="12"/>
  <c r="AS15" i="12"/>
  <c r="AS16" i="12"/>
  <c r="AS17" i="12"/>
  <c r="AS18" i="12"/>
  <c r="AS19" i="12"/>
  <c r="AS20" i="12"/>
  <c r="AS21" i="12"/>
  <c r="AS22" i="12"/>
  <c r="AS23" i="12"/>
  <c r="AS24" i="12"/>
  <c r="AS25" i="12"/>
  <c r="AS26" i="12"/>
  <c r="AS27" i="12"/>
  <c r="AS28" i="12"/>
  <c r="AS29" i="12"/>
  <c r="AS30" i="12"/>
  <c r="AS31" i="12"/>
  <c r="AS32" i="12"/>
  <c r="AS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 s="1"/>
  <c r="BN17" i="1"/>
  <c r="G53" i="11"/>
  <c r="U6" i="1"/>
  <c r="J2" i="12"/>
  <c r="U7" i="1"/>
  <c r="S6" i="1"/>
  <c r="I2" i="12"/>
  <c r="A1" i="2"/>
  <c r="BT37" i="1"/>
  <c r="BT38" i="1"/>
  <c r="E7" i="6"/>
  <c r="H7" i="6"/>
  <c r="E8" i="6"/>
  <c r="AP3" i="12"/>
  <c r="E9" i="6"/>
  <c r="AP4" i="12"/>
  <c r="E10" i="6"/>
  <c r="AP5" i="12"/>
  <c r="E11" i="6"/>
  <c r="AP6" i="12"/>
  <c r="E12" i="6"/>
  <c r="AP7" i="12"/>
  <c r="E13" i="6"/>
  <c r="AP8" i="12"/>
  <c r="E14" i="6"/>
  <c r="AP9" i="12"/>
  <c r="E15" i="6"/>
  <c r="H15" i="6"/>
  <c r="E16" i="6"/>
  <c r="AP11" i="12"/>
  <c r="E17" i="6"/>
  <c r="E18" i="6"/>
  <c r="AP13" i="12"/>
  <c r="E19" i="6"/>
  <c r="E20" i="6"/>
  <c r="AP15" i="12"/>
  <c r="E21" i="6"/>
  <c r="E22" i="6"/>
  <c r="AP17" i="12"/>
  <c r="E23" i="6"/>
  <c r="H23" i="6"/>
  <c r="E24" i="6"/>
  <c r="E25" i="6"/>
  <c r="AP20" i="12"/>
  <c r="E26" i="6"/>
  <c r="E27" i="6"/>
  <c r="AP22" i="12"/>
  <c r="E28" i="6"/>
  <c r="AP23" i="12"/>
  <c r="E29" i="6"/>
  <c r="AP24" i="12"/>
  <c r="AP25" i="12"/>
  <c r="AP26" i="12"/>
  <c r="AP27" i="12"/>
  <c r="AP28" i="12"/>
  <c r="AP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/>
  <c r="G18" i="6"/>
  <c r="AQ13" i="12"/>
  <c r="C18" i="6"/>
  <c r="I18" i="6"/>
  <c r="C17" i="6"/>
  <c r="AH15" i="9"/>
  <c r="N21" i="12"/>
  <c r="Y4" i="12"/>
  <c r="Y5" i="12"/>
  <c r="AZ10" i="1"/>
  <c r="J36" i="1"/>
  <c r="F32" i="12"/>
  <c r="AA5" i="1"/>
  <c r="BB27" i="1"/>
  <c r="T26" i="12"/>
  <c r="S30" i="1"/>
  <c r="I26" i="12"/>
  <c r="BL22" i="1"/>
  <c r="G22" i="6"/>
  <c r="AQ17" i="12"/>
  <c r="AJ19" i="12"/>
  <c r="AJ21" i="12"/>
  <c r="AJ22" i="12"/>
  <c r="AJ23" i="12"/>
  <c r="AJ16" i="12"/>
  <c r="AJ5" i="12"/>
  <c r="AJ6" i="12"/>
  <c r="AJ7" i="12"/>
  <c r="AJ8" i="12"/>
  <c r="AJ9" i="12"/>
  <c r="AJ10" i="12"/>
  <c r="AJ11" i="12"/>
  <c r="AJ12" i="12"/>
  <c r="AJ13" i="12"/>
  <c r="AJ14" i="12"/>
  <c r="AJ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O32" i="12"/>
  <c r="AQ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K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O30" i="12"/>
  <c r="C36" i="6"/>
  <c r="G8" i="6"/>
  <c r="AQ3" i="12"/>
  <c r="G9" i="6"/>
  <c r="AQ6" i="12"/>
  <c r="AQ7" i="12"/>
  <c r="AQ8" i="12"/>
  <c r="AQ9" i="12"/>
  <c r="AQ10" i="12"/>
  <c r="AQ11" i="12"/>
  <c r="G19" i="6"/>
  <c r="J19" i="6"/>
  <c r="AJ17" i="9"/>
  <c r="G20" i="6"/>
  <c r="AQ15" i="12"/>
  <c r="G21" i="6"/>
  <c r="AQ16" i="12"/>
  <c r="G23" i="6"/>
  <c r="G24" i="6"/>
  <c r="J24" i="6"/>
  <c r="AJ22" i="9"/>
  <c r="AQ20" i="12"/>
  <c r="AQ21" i="12"/>
  <c r="AQ22" i="12"/>
  <c r="AQ24" i="12"/>
  <c r="AQ25" i="12"/>
  <c r="AQ28" i="12"/>
  <c r="AQ29" i="12"/>
  <c r="AQ30" i="12"/>
  <c r="C8" i="6"/>
  <c r="I8" i="6"/>
  <c r="C9" i="6"/>
  <c r="C10" i="6"/>
  <c r="AO5" i="12"/>
  <c r="C11" i="6"/>
  <c r="AO6" i="12"/>
  <c r="C12" i="6"/>
  <c r="AH10" i="9"/>
  <c r="C13" i="6"/>
  <c r="C14" i="6"/>
  <c r="AO9" i="12"/>
  <c r="C15" i="6"/>
  <c r="I15" i="6"/>
  <c r="C16" i="6"/>
  <c r="I16" i="6"/>
  <c r="C19" i="6"/>
  <c r="AO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AE11" i="12" s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/>
  <c r="O30" i="1"/>
  <c r="G29" i="9"/>
  <c r="O31" i="1"/>
  <c r="G30" i="9"/>
  <c r="O32" i="1"/>
  <c r="G31" i="9"/>
  <c r="O33" i="1"/>
  <c r="G32" i="9"/>
  <c r="M6" i="1"/>
  <c r="E5" i="9" s="1"/>
  <c r="M7" i="1"/>
  <c r="K7" i="1" s="1"/>
  <c r="M8" i="1"/>
  <c r="K8" i="1" s="1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O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K5" i="1" s="1"/>
  <c r="E35" i="9"/>
  <c r="J5" i="1"/>
  <c r="C35" i="9"/>
  <c r="G6" i="6"/>
  <c r="C6" i="6"/>
  <c r="G6" i="2"/>
  <c r="E6" i="2"/>
  <c r="C6" i="2"/>
  <c r="D34" i="11"/>
  <c r="J39" i="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L3" i="12"/>
  <c r="AL4" i="12"/>
  <c r="AL5" i="12"/>
  <c r="AL6" i="12"/>
  <c r="AL7" i="12"/>
  <c r="AL8" i="12"/>
  <c r="AL9" i="12"/>
  <c r="AL10" i="12"/>
  <c r="AL11" i="12"/>
  <c r="AL12" i="12"/>
  <c r="AL14" i="12"/>
  <c r="AL15" i="12"/>
  <c r="AL16" i="12"/>
  <c r="AL17" i="12"/>
  <c r="AL18" i="12"/>
  <c r="AL19" i="12"/>
  <c r="AL20" i="12"/>
  <c r="AL21" i="12"/>
  <c r="AL22" i="12"/>
  <c r="AL24" i="12"/>
  <c r="AL28" i="12"/>
  <c r="AL30" i="12"/>
  <c r="K7" i="9"/>
  <c r="K18" i="9"/>
  <c r="K19" i="9"/>
  <c r="AK18" i="12"/>
  <c r="AK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L2" i="12"/>
  <c r="AJ2" i="12"/>
  <c r="BV37" i="1"/>
  <c r="BV38" i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572" i="10"/>
  <c r="Q1607" i="10"/>
  <c r="Q1718" i="10"/>
  <c r="Q1136" i="10"/>
  <c r="P40" i="10"/>
  <c r="Q1983" i="10"/>
  <c r="H29" i="6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AU20" i="9"/>
  <c r="G31" i="4"/>
  <c r="AU7" i="9"/>
  <c r="H33" i="6"/>
  <c r="AO22" i="12"/>
  <c r="BO36" i="9"/>
  <c r="P24" i="9"/>
  <c r="I25" i="9"/>
  <c r="K25" i="9"/>
  <c r="AT31" i="9"/>
  <c r="AU18" i="9"/>
  <c r="Y41" i="2"/>
  <c r="BP36" i="9" s="1"/>
  <c r="P26" i="10"/>
  <c r="Q663" i="10"/>
  <c r="AK6" i="12"/>
  <c r="K9" i="9"/>
  <c r="G23" i="4"/>
  <c r="AK21" i="12"/>
  <c r="AT20" i="9"/>
  <c r="J14" i="6"/>
  <c r="AJ12" i="9"/>
  <c r="K27" i="6"/>
  <c r="G22" i="13" s="1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J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Q23" i="12"/>
  <c r="J28" i="6"/>
  <c r="AJ26" i="9" s="1"/>
  <c r="AJ17" i="12"/>
  <c r="I20" i="9"/>
  <c r="C8" i="9"/>
  <c r="AF21" i="12"/>
  <c r="AU24" i="9"/>
  <c r="AG24" i="12"/>
  <c r="AT27" i="9"/>
  <c r="K11" i="12"/>
  <c r="AQ5" i="12"/>
  <c r="J10" i="6"/>
  <c r="AJ8" i="9"/>
  <c r="I35" i="6"/>
  <c r="C66" i="10"/>
  <c r="AL31" i="12"/>
  <c r="AO17" i="12"/>
  <c r="AH20" i="9"/>
  <c r="I22" i="6"/>
  <c r="J32" i="6"/>
  <c r="AJ30" i="9"/>
  <c r="J21" i="6"/>
  <c r="AJ19" i="9"/>
  <c r="H18" i="4"/>
  <c r="K21" i="9"/>
  <c r="K13" i="9"/>
  <c r="AL13" i="12"/>
  <c r="R20" i="9"/>
  <c r="G22" i="12"/>
  <c r="G24" i="12"/>
  <c r="G27" i="9"/>
  <c r="M21" i="12"/>
  <c r="M3" i="12"/>
  <c r="Q14" i="12"/>
  <c r="V15" i="12"/>
  <c r="H35" i="4"/>
  <c r="G35" i="4"/>
  <c r="H11" i="4"/>
  <c r="G11" i="4"/>
  <c r="K26" i="12"/>
  <c r="AO21" i="12"/>
  <c r="I26" i="6"/>
  <c r="AH24" i="9"/>
  <c r="H18" i="6"/>
  <c r="H29" i="4"/>
  <c r="G29" i="4"/>
  <c r="J26" i="6"/>
  <c r="AJ24" i="9" s="1"/>
  <c r="C31" i="9"/>
  <c r="G13" i="4"/>
  <c r="H39" i="4"/>
  <c r="G39" i="4"/>
  <c r="H24" i="4"/>
  <c r="AF6" i="12"/>
  <c r="AG10" i="12"/>
  <c r="AT13" i="9"/>
  <c r="AT9" i="9"/>
  <c r="AQ18" i="12"/>
  <c r="J23" i="6"/>
  <c r="AJ21" i="9"/>
  <c r="I11" i="9"/>
  <c r="AJ26" i="12"/>
  <c r="H9" i="6"/>
  <c r="AF30" i="12"/>
  <c r="K6" i="12"/>
  <c r="AO29" i="12"/>
  <c r="K29" i="6"/>
  <c r="G24" i="13" s="1"/>
  <c r="I29" i="6"/>
  <c r="AO24" i="12"/>
  <c r="AH27" i="9"/>
  <c r="G21" i="4"/>
  <c r="H16" i="6"/>
  <c r="G2370" i="10"/>
  <c r="Q1200" i="10"/>
  <c r="Q2104" i="10"/>
  <c r="Q625" i="10"/>
  <c r="Q101" i="10"/>
  <c r="Q413" i="10"/>
  <c r="AT21" i="9"/>
  <c r="AG7" i="12"/>
  <c r="O65" i="10"/>
  <c r="O2352" i="10"/>
  <c r="F23" i="12"/>
  <c r="AF23" i="12"/>
  <c r="AU26" i="9"/>
  <c r="AE5" i="12"/>
  <c r="K9" i="12"/>
  <c r="AJ18" i="12"/>
  <c r="AE26" i="12"/>
  <c r="K2" i="12"/>
  <c r="AE22" i="12"/>
  <c r="H19" i="4"/>
  <c r="Q253" i="10"/>
  <c r="Q1469" i="10"/>
  <c r="Q175" i="10"/>
  <c r="C29" i="9"/>
  <c r="G23" i="9"/>
  <c r="AT24" i="9"/>
  <c r="AO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O25" i="12"/>
  <c r="N32" i="12"/>
  <c r="K17" i="6"/>
  <c r="G12" i="13" s="1"/>
  <c r="F18" i="12"/>
  <c r="C21" i="9"/>
  <c r="E24" i="9"/>
  <c r="G21" i="12"/>
  <c r="AG30" i="12"/>
  <c r="AT33" i="9"/>
  <c r="AG15" i="12"/>
  <c r="AT18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BI16" i="1" s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P32" i="12"/>
  <c r="AH29" i="9"/>
  <c r="I34" i="6"/>
  <c r="AH28" i="9"/>
  <c r="K30" i="6"/>
  <c r="G25" i="13" s="1"/>
  <c r="J34" i="6"/>
  <c r="AJ32" i="9" s="1"/>
  <c r="I7" i="6"/>
  <c r="H12" i="6"/>
  <c r="J18" i="6"/>
  <c r="AJ16" i="9"/>
  <c r="AQ2" i="12"/>
  <c r="AO19" i="12"/>
  <c r="K24" i="6"/>
  <c r="G19" i="13" s="1"/>
  <c r="J8" i="6"/>
  <c r="AJ6" i="9"/>
  <c r="AH22" i="9"/>
  <c r="I19" i="9"/>
  <c r="I26" i="9"/>
  <c r="BN24" i="9"/>
  <c r="K26" i="6"/>
  <c r="G21" i="13" s="1"/>
  <c r="AK12" i="12"/>
  <c r="I8" i="9"/>
  <c r="J25" i="6"/>
  <c r="AJ23" i="9"/>
  <c r="K6" i="6"/>
  <c r="H26" i="6"/>
  <c r="AP21" i="12"/>
  <c r="AH8" i="9"/>
  <c r="AO12" i="12"/>
  <c r="AO20" i="12"/>
  <c r="AH23" i="9"/>
  <c r="K25" i="6"/>
  <c r="G20" i="13" s="1"/>
  <c r="AC27" i="12"/>
  <c r="AF24" i="12"/>
  <c r="AE27" i="12"/>
  <c r="K6" i="1"/>
  <c r="G2" i="12" s="1"/>
  <c r="G15" i="12"/>
  <c r="V38" i="2"/>
  <c r="S38" i="2"/>
  <c r="C22" i="7"/>
  <c r="AF10" i="12"/>
  <c r="AQ26" i="12"/>
  <c r="AH31" i="9"/>
  <c r="AU31" i="9"/>
  <c r="I22" i="9"/>
  <c r="H27" i="6"/>
  <c r="H2370" i="10"/>
  <c r="AT7" i="9"/>
  <c r="K30" i="1"/>
  <c r="G26" i="12"/>
  <c r="K22" i="9"/>
  <c r="H24" i="2"/>
  <c r="I19" i="13" s="1"/>
  <c r="D2370" i="10"/>
  <c r="K29" i="9"/>
  <c r="BM25" i="9"/>
  <c r="H28" i="6"/>
  <c r="AT22" i="9"/>
  <c r="H20" i="6"/>
  <c r="AC32" i="12"/>
  <c r="I27" i="9"/>
  <c r="AO28" i="12"/>
  <c r="G37" i="4"/>
  <c r="G30" i="4"/>
  <c r="Q27" i="2"/>
  <c r="X25" i="9"/>
  <c r="AF20" i="12"/>
  <c r="AQ19" i="12"/>
  <c r="J33" i="6"/>
  <c r="AJ31" i="9" s="1"/>
  <c r="AT26" i="9"/>
  <c r="D6" i="10"/>
  <c r="O6" i="10"/>
  <c r="I17" i="9"/>
  <c r="AO16" i="12"/>
  <c r="AO15" i="12"/>
  <c r="K21" i="6"/>
  <c r="G16" i="13" s="1"/>
  <c r="J20" i="6"/>
  <c r="AJ18" i="9"/>
  <c r="AK8" i="12"/>
  <c r="AH14" i="9"/>
  <c r="K16" i="6"/>
  <c r="G11" i="13" s="1"/>
  <c r="AO11" i="12"/>
  <c r="I17" i="6"/>
  <c r="K14" i="6"/>
  <c r="G9" i="13" s="1"/>
  <c r="I14" i="6"/>
  <c r="AO7" i="12"/>
  <c r="AP10" i="12"/>
  <c r="AH13" i="9"/>
  <c r="I16" i="9"/>
  <c r="I15" i="9"/>
  <c r="AH16" i="9"/>
  <c r="I14" i="9"/>
  <c r="J16" i="6"/>
  <c r="AJ14" i="9"/>
  <c r="AT15" i="9"/>
  <c r="G12" i="12"/>
  <c r="AT14" i="9"/>
  <c r="AU14" i="9"/>
  <c r="AC5" i="12"/>
  <c r="M2370" i="10"/>
  <c r="I2370" i="10"/>
  <c r="F10" i="12"/>
  <c r="AT12" i="9"/>
  <c r="AC9" i="12"/>
  <c r="AK7" i="12"/>
  <c r="I9" i="9"/>
  <c r="I10" i="9"/>
  <c r="AO3" i="12"/>
  <c r="J12" i="6"/>
  <c r="AJ10" i="9"/>
  <c r="AH9" i="9"/>
  <c r="I12" i="6"/>
  <c r="AC6" i="12"/>
  <c r="AT8" i="9"/>
  <c r="AU8" i="9"/>
  <c r="E9" i="9"/>
  <c r="I10" i="6"/>
  <c r="I5" i="9"/>
  <c r="K7" i="6"/>
  <c r="G2" i="13" s="1"/>
  <c r="AH6" i="9"/>
  <c r="G37" i="1"/>
  <c r="G38" i="1"/>
  <c r="O19" i="10"/>
  <c r="I2353" i="10"/>
  <c r="K9" i="1"/>
  <c r="G5" i="12" s="1"/>
  <c r="F4" i="12"/>
  <c r="G4" i="12"/>
  <c r="G14" i="4"/>
  <c r="G26" i="4"/>
  <c r="G28" i="4"/>
  <c r="K9" i="6"/>
  <c r="G4" i="13" s="1"/>
  <c r="AC3" i="12"/>
  <c r="AG3" i="12"/>
  <c r="K22" i="6"/>
  <c r="G17" i="13" s="1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 s="1"/>
  <c r="H34" i="6"/>
  <c r="AP29" i="12"/>
  <c r="K32" i="6"/>
  <c r="G27" i="13" s="1"/>
  <c r="H32" i="6"/>
  <c r="K33" i="6"/>
  <c r="G28" i="13" s="1"/>
  <c r="AO26" i="12"/>
  <c r="K31" i="6"/>
  <c r="G26" i="13" s="1"/>
  <c r="C32" i="9"/>
  <c r="U37" i="1"/>
  <c r="U38" i="1"/>
  <c r="K32" i="1"/>
  <c r="G28" i="12"/>
  <c r="G11" i="12"/>
  <c r="G3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P19" i="12"/>
  <c r="H24" i="6"/>
  <c r="AJ28" i="12"/>
  <c r="I31" i="9"/>
  <c r="AK27" i="12"/>
  <c r="K30" i="9"/>
  <c r="K28" i="9"/>
  <c r="AK25" i="12"/>
  <c r="K34" i="1"/>
  <c r="G30" i="12"/>
  <c r="G33" i="9"/>
  <c r="E32" i="9"/>
  <c r="K33" i="1"/>
  <c r="G29" i="12"/>
  <c r="F21" i="12"/>
  <c r="C24" i="9"/>
  <c r="O2369" i="10"/>
  <c r="T38" i="2"/>
  <c r="G18" i="12"/>
  <c r="AT28" i="9"/>
  <c r="AQ12" i="12"/>
  <c r="K8" i="6"/>
  <c r="G3" i="13" s="1"/>
  <c r="AP18" i="12"/>
  <c r="G20" i="12"/>
  <c r="G19" i="12"/>
  <c r="AU21" i="9"/>
  <c r="J13" i="6"/>
  <c r="AJ11" i="9"/>
  <c r="AQ14" i="12"/>
  <c r="J11" i="6"/>
  <c r="AJ9" i="9"/>
  <c r="K10" i="6"/>
  <c r="G5" i="13" s="1"/>
  <c r="H8" i="6"/>
  <c r="K12" i="6"/>
  <c r="G7" i="13" s="1"/>
  <c r="H10" i="6"/>
  <c r="K18" i="6"/>
  <c r="G13" i="13" s="1"/>
  <c r="K11" i="6"/>
  <c r="G6" i="13" s="1"/>
  <c r="AO13" i="12"/>
  <c r="H23" i="2"/>
  <c r="I18" i="13" s="1"/>
  <c r="AK15" i="12"/>
  <c r="I21" i="9"/>
  <c r="J22" i="6"/>
  <c r="AJ20" i="9"/>
  <c r="H22" i="6"/>
  <c r="AO18" i="12"/>
  <c r="AH21" i="9"/>
  <c r="I21" i="6"/>
  <c r="K20" i="6"/>
  <c r="G15" i="13" s="1"/>
  <c r="I19" i="6"/>
  <c r="AH17" i="9"/>
  <c r="H19" i="2"/>
  <c r="I14" i="13" s="1"/>
  <c r="I18" i="9"/>
  <c r="H20" i="2"/>
  <c r="I15" i="13" s="1"/>
  <c r="X37" i="2"/>
  <c r="Z37" i="2" s="1"/>
  <c r="H12" i="2"/>
  <c r="I7" i="13" s="1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G10" i="12"/>
  <c r="K19" i="6"/>
  <c r="G14" i="13" s="1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 s="1"/>
  <c r="F15" i="12"/>
  <c r="C18" i="9"/>
  <c r="G17" i="12"/>
  <c r="K12" i="1"/>
  <c r="G8" i="12" s="1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 s="1"/>
  <c r="C15" i="9"/>
  <c r="H16" i="2"/>
  <c r="I11" i="13" s="1"/>
  <c r="AP14" i="12"/>
  <c r="H10" i="2"/>
  <c r="I5" i="13" s="1"/>
  <c r="AK5" i="12"/>
  <c r="I13" i="9"/>
  <c r="AO10" i="12"/>
  <c r="J14" i="4"/>
  <c r="H40" i="4"/>
  <c r="G40" i="4"/>
  <c r="C37" i="1"/>
  <c r="C38" i="1"/>
  <c r="R5" i="9"/>
  <c r="O38" i="2"/>
  <c r="AK20" i="12"/>
  <c r="K23" i="9"/>
  <c r="K17" i="9"/>
  <c r="AK14" i="12"/>
  <c r="AT5" i="9"/>
  <c r="AW5" i="9"/>
  <c r="F30" i="12"/>
  <c r="C33" i="9"/>
  <c r="F11" i="12"/>
  <c r="C14" i="9"/>
  <c r="L11" i="12"/>
  <c r="AO27" i="12"/>
  <c r="I32" i="6"/>
  <c r="I13" i="6"/>
  <c r="AH11" i="9"/>
  <c r="AO4" i="12"/>
  <c r="AH7" i="9"/>
  <c r="I9" i="6"/>
  <c r="AQ4" i="12"/>
  <c r="J9" i="6"/>
  <c r="AJ7" i="9"/>
  <c r="I36" i="6"/>
  <c r="K36" i="6"/>
  <c r="G31" i="13" s="1"/>
  <c r="AO31" i="12"/>
  <c r="AP16" i="12"/>
  <c r="H21" i="6"/>
  <c r="AP12" i="12"/>
  <c r="H17" i="6"/>
  <c r="AJ29" i="12"/>
  <c r="I32" i="9"/>
  <c r="AJ27" i="12"/>
  <c r="I30" i="9"/>
  <c r="K35" i="1"/>
  <c r="G31" i="12"/>
  <c r="K18" i="12"/>
  <c r="AG20" i="12"/>
  <c r="AT23" i="9"/>
  <c r="AE18" i="12"/>
  <c r="K16" i="9"/>
  <c r="AK13" i="12"/>
  <c r="K12" i="9"/>
  <c r="AK9" i="12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 s="1"/>
  <c r="C23" i="9"/>
  <c r="AG2" i="12"/>
  <c r="N4" i="12"/>
  <c r="AR37" i="1"/>
  <c r="AR38" i="1"/>
  <c r="G19" i="9"/>
  <c r="C12" i="9"/>
  <c r="I10" i="4"/>
  <c r="AP2" i="12"/>
  <c r="K15" i="6"/>
  <c r="G10" i="13" s="1"/>
  <c r="H19" i="6"/>
  <c r="C38" i="6"/>
  <c r="W30" i="2"/>
  <c r="BN28" i="9" s="1"/>
  <c r="H18" i="2"/>
  <c r="I13" i="13" s="1"/>
  <c r="H15" i="2"/>
  <c r="I10" i="13" s="1"/>
  <c r="AK28" i="12"/>
  <c r="AJ4" i="12"/>
  <c r="I28" i="9"/>
  <c r="AH26" i="9"/>
  <c r="C38" i="2"/>
  <c r="I33" i="9" s="1"/>
  <c r="AO8" i="12"/>
  <c r="AH30" i="9"/>
  <c r="H25" i="6"/>
  <c r="H34" i="4"/>
  <c r="G14" i="12"/>
  <c r="J35" i="6"/>
  <c r="O2368" i="10"/>
  <c r="AK16" i="12"/>
  <c r="I11" i="6"/>
  <c r="C19" i="9"/>
  <c r="H22" i="4"/>
  <c r="J26" i="4"/>
  <c r="G25" i="4"/>
  <c r="I31" i="4"/>
  <c r="H11" i="6"/>
  <c r="G12" i="4"/>
  <c r="E11" i="9"/>
  <c r="I6" i="9"/>
  <c r="AJ3" i="12"/>
  <c r="AK24" i="12"/>
  <c r="K20" i="9"/>
  <c r="H22" i="2"/>
  <c r="I17" i="13" s="1"/>
  <c r="AK17" i="12"/>
  <c r="AK11" i="12"/>
  <c r="AF31" i="12"/>
  <c r="AF17" i="12"/>
  <c r="AF15" i="12"/>
  <c r="AG31" i="12"/>
  <c r="AT34" i="9"/>
  <c r="AG8" i="12"/>
  <c r="AT11" i="9"/>
  <c r="E2370" i="10"/>
  <c r="AK37" i="1"/>
  <c r="AK38" i="1"/>
  <c r="G9" i="12"/>
  <c r="H21" i="2"/>
  <c r="I16" i="13" s="1"/>
  <c r="H17" i="2"/>
  <c r="I12" i="13" s="1"/>
  <c r="G38" i="2"/>
  <c r="H9" i="2"/>
  <c r="I4" i="13" s="1"/>
  <c r="H11" i="2"/>
  <c r="I6" i="13" s="1"/>
  <c r="H13" i="2"/>
  <c r="I8" i="13" s="1"/>
  <c r="H14" i="2"/>
  <c r="I9" i="13" s="1"/>
  <c r="I12" i="9"/>
  <c r="H14" i="6"/>
  <c r="H13" i="6"/>
  <c r="K13" i="6"/>
  <c r="G8" i="13" s="1"/>
  <c r="AX37" i="1"/>
  <c r="AX38" i="1"/>
  <c r="AV37" i="1"/>
  <c r="AV38" i="1"/>
  <c r="AT37" i="1"/>
  <c r="AT38" i="1"/>
  <c r="Y37" i="1"/>
  <c r="Y38" i="1"/>
  <c r="C11" i="9"/>
  <c r="BP37" i="1"/>
  <c r="BP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I27" i="4"/>
  <c r="J18" i="4"/>
  <c r="J12" i="4"/>
  <c r="I15" i="4"/>
  <c r="J13" i="4"/>
  <c r="E22" i="9"/>
  <c r="M37" i="1"/>
  <c r="M38" i="1" s="1"/>
  <c r="Z27" i="2"/>
  <c r="BQ25" i="9"/>
  <c r="Y27" i="2"/>
  <c r="BP25" i="9"/>
  <c r="BJ20" i="1"/>
  <c r="AC22" i="12"/>
  <c r="AC19" i="12"/>
  <c r="BJ12" i="1"/>
  <c r="BI25" i="1"/>
  <c r="BJ25" i="1"/>
  <c r="BJ6" i="1"/>
  <c r="W22" i="2"/>
  <c r="U22" i="2"/>
  <c r="BM20" i="9"/>
  <c r="Q36" i="2"/>
  <c r="W36" i="2"/>
  <c r="U36" i="2"/>
  <c r="W35" i="2"/>
  <c r="U35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P31" i="9"/>
  <c r="W33" i="2"/>
  <c r="BN31" i="9"/>
  <c r="U33" i="2"/>
  <c r="BM31" i="9"/>
  <c r="W24" i="2"/>
  <c r="BN22" i="9"/>
  <c r="U24" i="2"/>
  <c r="BM22" i="9"/>
  <c r="W28" i="2"/>
  <c r="BN26" i="9"/>
  <c r="U28" i="2"/>
  <c r="BM26" i="9"/>
  <c r="BJ18" i="1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AC28" i="12"/>
  <c r="BJ31" i="1"/>
  <c r="BJ29" i="1"/>
  <c r="BI34" i="1"/>
  <c r="BJ34" i="1"/>
  <c r="BI28" i="1"/>
  <c r="BJ28" i="1"/>
  <c r="BS9" i="1"/>
  <c r="E5" i="13" s="1"/>
  <c r="BX9" i="1"/>
  <c r="AC23" i="12"/>
  <c r="X28" i="2"/>
  <c r="P26" i="9"/>
  <c r="BS27" i="1"/>
  <c r="E23" i="13" s="1"/>
  <c r="BS36" i="1"/>
  <c r="E32" i="13" s="1"/>
  <c r="BX36" i="1"/>
  <c r="BS26" i="1"/>
  <c r="E22" i="13" s="1"/>
  <c r="BX26" i="1"/>
  <c r="AC4" i="12"/>
  <c r="AC14" i="12"/>
  <c r="BS23" i="1"/>
  <c r="E19" i="13" s="1"/>
  <c r="BX23" i="1"/>
  <c r="BS31" i="1"/>
  <c r="E27" i="13" s="1"/>
  <c r="BS8" i="1"/>
  <c r="E4" i="13" s="1"/>
  <c r="I22" i="4"/>
  <c r="J27" i="4"/>
  <c r="BS18" i="1"/>
  <c r="E14" i="13" s="1"/>
  <c r="X24" i="2"/>
  <c r="J39" i="4"/>
  <c r="Q24" i="2"/>
  <c r="X22" i="9"/>
  <c r="O2370" i="10"/>
  <c r="P22" i="9"/>
  <c r="BS30" i="1"/>
  <c r="E26" i="13" s="1"/>
  <c r="AC2" i="12"/>
  <c r="I39" i="4"/>
  <c r="X19" i="2"/>
  <c r="Y19" i="2"/>
  <c r="BP17" i="9"/>
  <c r="BS13" i="1"/>
  <c r="E9" i="13" s="1"/>
  <c r="BS10" i="1"/>
  <c r="E6" i="13" s="1"/>
  <c r="J19" i="4"/>
  <c r="J22" i="4"/>
  <c r="I40" i="4"/>
  <c r="BS6" i="1"/>
  <c r="E2" i="13" s="1"/>
  <c r="J21" i="4"/>
  <c r="P16" i="9"/>
  <c r="Q15" i="2"/>
  <c r="X13" i="9"/>
  <c r="X33" i="2"/>
  <c r="Z33" i="2"/>
  <c r="BQ31" i="9"/>
  <c r="BS12" i="1"/>
  <c r="E8" i="13" s="1"/>
  <c r="Q33" i="2"/>
  <c r="X31" i="9"/>
  <c r="BS32" i="1"/>
  <c r="E28" i="13" s="1"/>
  <c r="BX32" i="1"/>
  <c r="AC29" i="12"/>
  <c r="BS33" i="1"/>
  <c r="E29" i="13" s="1"/>
  <c r="BX33" i="1"/>
  <c r="E42" i="4"/>
  <c r="C38" i="7"/>
  <c r="I21" i="4"/>
  <c r="I34" i="4"/>
  <c r="J28" i="4"/>
  <c r="J23" i="4"/>
  <c r="J31" i="4"/>
  <c r="BM27" i="9"/>
  <c r="X29" i="2"/>
  <c r="BN27" i="9"/>
  <c r="Q29" i="2"/>
  <c r="X27" i="9"/>
  <c r="P27" i="9"/>
  <c r="AC12" i="12"/>
  <c r="X23" i="2"/>
  <c r="Y23" i="2"/>
  <c r="BP21" i="9"/>
  <c r="Q23" i="2"/>
  <c r="X21" i="9"/>
  <c r="BM21" i="9"/>
  <c r="BS24" i="1"/>
  <c r="E20" i="13" s="1"/>
  <c r="AC20" i="12"/>
  <c r="Q19" i="2"/>
  <c r="X17" i="9"/>
  <c r="X20" i="2"/>
  <c r="Q20" i="2"/>
  <c r="X18" i="9"/>
  <c r="P18" i="9"/>
  <c r="Y26" i="2"/>
  <c r="BP24" i="9"/>
  <c r="Z26" i="2"/>
  <c r="BQ24" i="9"/>
  <c r="BO24" i="9"/>
  <c r="I18" i="4"/>
  <c r="I26" i="4"/>
  <c r="I32" i="4"/>
  <c r="I36" i="4"/>
  <c r="BS17" i="1"/>
  <c r="E13" i="13" s="1"/>
  <c r="J30" i="4"/>
  <c r="J24" i="4"/>
  <c r="X13" i="2"/>
  <c r="BO11" i="9"/>
  <c r="I16" i="4"/>
  <c r="J32" i="4"/>
  <c r="E44" i="4"/>
  <c r="C39" i="7"/>
  <c r="I30" i="4"/>
  <c r="Q12" i="2"/>
  <c r="X10" i="9"/>
  <c r="X12" i="2"/>
  <c r="P10" i="9"/>
  <c r="AC25" i="12"/>
  <c r="BS29" i="1"/>
  <c r="E25" i="13" s="1"/>
  <c r="AC16" i="12"/>
  <c r="BS20" i="1"/>
  <c r="BX20" i="1"/>
  <c r="P14" i="9"/>
  <c r="Q16" i="2"/>
  <c r="X14" i="9"/>
  <c r="X16" i="2"/>
  <c r="X18" i="2"/>
  <c r="Y18" i="2"/>
  <c r="BP16" i="9"/>
  <c r="X10" i="2"/>
  <c r="Y10" i="2"/>
  <c r="BP8" i="9"/>
  <c r="P8" i="9"/>
  <c r="BN8" i="9"/>
  <c r="Q13" i="2"/>
  <c r="X11" i="9"/>
  <c r="X15" i="2"/>
  <c r="Y15" i="2"/>
  <c r="BP13" i="9"/>
  <c r="AC31" i="12"/>
  <c r="BS35" i="1"/>
  <c r="E31" i="13" s="1"/>
  <c r="BX35" i="1"/>
  <c r="I37" i="4"/>
  <c r="I35" i="4"/>
  <c r="I38" i="4"/>
  <c r="X35" i="2"/>
  <c r="Q35" i="2"/>
  <c r="Q18" i="2"/>
  <c r="X16" i="9"/>
  <c r="AH33" i="9"/>
  <c r="E27" i="11"/>
  <c r="F27" i="11"/>
  <c r="I20" i="4"/>
  <c r="I17" i="4"/>
  <c r="I29" i="4"/>
  <c r="J33" i="4"/>
  <c r="P30" i="9"/>
  <c r="X32" i="2"/>
  <c r="Z32" i="2" s="1"/>
  <c r="BQ30" i="9" s="1"/>
  <c r="Q32" i="2"/>
  <c r="X30" i="9"/>
  <c r="X34" i="2"/>
  <c r="P32" i="9"/>
  <c r="Q34" i="2"/>
  <c r="X32" i="9"/>
  <c r="J36" i="4"/>
  <c r="J37" i="4"/>
  <c r="J40" i="4"/>
  <c r="AC15" i="12"/>
  <c r="BS19" i="1"/>
  <c r="E15" i="13" s="1"/>
  <c r="BX19" i="1"/>
  <c r="AC17" i="12"/>
  <c r="BS21" i="1"/>
  <c r="E17" i="13" s="1"/>
  <c r="BX21" i="1"/>
  <c r="X22" i="2"/>
  <c r="BN20" i="9"/>
  <c r="Q22" i="2"/>
  <c r="X20" i="9"/>
  <c r="P20" i="9"/>
  <c r="I12" i="4"/>
  <c r="I14" i="4"/>
  <c r="I24" i="4"/>
  <c r="I13" i="4"/>
  <c r="I23" i="4"/>
  <c r="I25" i="4"/>
  <c r="J34" i="4"/>
  <c r="J35" i="4"/>
  <c r="X36" i="2"/>
  <c r="Y36" i="2" s="1"/>
  <c r="P13" i="9"/>
  <c r="Q30" i="2"/>
  <c r="X28" i="9" s="1"/>
  <c r="P28" i="9"/>
  <c r="I19" i="4"/>
  <c r="I28" i="4"/>
  <c r="J29" i="4"/>
  <c r="BS22" i="1"/>
  <c r="E18" i="13" s="1"/>
  <c r="BX22" i="1"/>
  <c r="AC18" i="12"/>
  <c r="I38" i="6"/>
  <c r="I39" i="6"/>
  <c r="P23" i="9"/>
  <c r="Q25" i="2"/>
  <c r="X23" i="9"/>
  <c r="X25" i="2"/>
  <c r="R33" i="9"/>
  <c r="I33" i="4"/>
  <c r="J25" i="4"/>
  <c r="J20" i="4"/>
  <c r="J17" i="4"/>
  <c r="J38" i="4"/>
  <c r="X21" i="2"/>
  <c r="BN19" i="9"/>
  <c r="P19" i="9"/>
  <c r="Q21" i="2"/>
  <c r="X19" i="9"/>
  <c r="P15" i="9"/>
  <c r="BM15" i="9"/>
  <c r="Q17" i="2"/>
  <c r="X15" i="9"/>
  <c r="BN15" i="9"/>
  <c r="X17" i="2"/>
  <c r="P7" i="9"/>
  <c r="X9" i="2"/>
  <c r="Q9" i="2"/>
  <c r="X7" i="9"/>
  <c r="X11" i="2"/>
  <c r="P9" i="9"/>
  <c r="Q11" i="2"/>
  <c r="X9" i="9"/>
  <c r="X14" i="2"/>
  <c r="P12" i="9"/>
  <c r="Q14" i="2"/>
  <c r="X12" i="9"/>
  <c r="AN37" i="1"/>
  <c r="B13" i="11"/>
  <c r="J38" i="1"/>
  <c r="AC7" i="12"/>
  <c r="BS11" i="1"/>
  <c r="E7" i="13" s="1"/>
  <c r="C39" i="6"/>
  <c r="AH34" i="9"/>
  <c r="AJ37" i="9"/>
  <c r="BU11" i="1"/>
  <c r="BX11" i="1"/>
  <c r="BW29" i="1"/>
  <c r="BX29" i="1"/>
  <c r="BU17" i="1"/>
  <c r="BX17" i="1"/>
  <c r="BW24" i="1"/>
  <c r="BX24" i="1"/>
  <c r="BX12" i="1"/>
  <c r="BY12" i="1"/>
  <c r="BU6" i="1"/>
  <c r="BX6" i="1"/>
  <c r="BW10" i="1"/>
  <c r="BX10" i="1"/>
  <c r="BW13" i="1"/>
  <c r="BX13" i="1"/>
  <c r="BX30" i="1"/>
  <c r="BX18" i="1"/>
  <c r="BW31" i="1"/>
  <c r="BX31" i="1"/>
  <c r="BW27" i="1"/>
  <c r="BX27" i="1"/>
  <c r="BS25" i="1"/>
  <c r="E21" i="13" s="1"/>
  <c r="BX25" i="1"/>
  <c r="BO13" i="9"/>
  <c r="BS28" i="1"/>
  <c r="E24" i="13" s="1"/>
  <c r="BZ9" i="1"/>
  <c r="BY9" i="1"/>
  <c r="BS14" i="1"/>
  <c r="E10" i="13" s="1"/>
  <c r="BS34" i="1"/>
  <c r="E30" i="13" s="1"/>
  <c r="BZ27" i="1"/>
  <c r="BU27" i="1"/>
  <c r="Z28" i="2"/>
  <c r="BQ26" i="9"/>
  <c r="Y28" i="2"/>
  <c r="BP26" i="9"/>
  <c r="BO26" i="9"/>
  <c r="Z19" i="2"/>
  <c r="BQ17" i="9"/>
  <c r="BO31" i="9"/>
  <c r="BU36" i="1"/>
  <c r="BW36" i="1"/>
  <c r="BZ31" i="1"/>
  <c r="BU31" i="1"/>
  <c r="BY36" i="1"/>
  <c r="BU30" i="1"/>
  <c r="BY30" i="1"/>
  <c r="BY6" i="1"/>
  <c r="BW6" i="1"/>
  <c r="BZ18" i="1"/>
  <c r="BW18" i="1"/>
  <c r="BW30" i="1"/>
  <c r="BU18" i="1"/>
  <c r="Z10" i="2"/>
  <c r="BQ8" i="9"/>
  <c r="Z24" i="2"/>
  <c r="BQ22" i="9"/>
  <c r="Y24" i="2"/>
  <c r="BP22" i="9"/>
  <c r="BO22" i="9"/>
  <c r="BO17" i="9"/>
  <c r="Y13" i="2"/>
  <c r="BP11" i="9"/>
  <c r="Z18" i="2"/>
  <c r="BQ16" i="9"/>
  <c r="Y33" i="2"/>
  <c r="BP31" i="9"/>
  <c r="BO8" i="9"/>
  <c r="BZ12" i="1"/>
  <c r="BU12" i="1"/>
  <c r="BW12" i="1"/>
  <c r="BU9" i="1"/>
  <c r="BU33" i="1"/>
  <c r="BZ33" i="1"/>
  <c r="BW33" i="1"/>
  <c r="BW32" i="1"/>
  <c r="BU32" i="1"/>
  <c r="Z13" i="2"/>
  <c r="BQ11" i="9"/>
  <c r="Y29" i="2"/>
  <c r="BP27" i="9"/>
  <c r="BO27" i="9"/>
  <c r="Z29" i="2"/>
  <c r="BQ27" i="9"/>
  <c r="BW9" i="1"/>
  <c r="BY10" i="1"/>
  <c r="BU10" i="1"/>
  <c r="BU13" i="1"/>
  <c r="BW28" i="1"/>
  <c r="BU28" i="1"/>
  <c r="BU29" i="1"/>
  <c r="BU24" i="1"/>
  <c r="BW26" i="1"/>
  <c r="Z23" i="2"/>
  <c r="BQ21" i="9"/>
  <c r="BO21" i="9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BY17" i="1"/>
  <c r="BW20" i="1"/>
  <c r="Z16" i="2"/>
  <c r="BQ14" i="9"/>
  <c r="Y16" i="2"/>
  <c r="BP14" i="9"/>
  <c r="BO14" i="9"/>
  <c r="BO16" i="9"/>
  <c r="Z15" i="2"/>
  <c r="BQ13" i="9"/>
  <c r="BU22" i="1"/>
  <c r="BW22" i="1"/>
  <c r="BU21" i="1"/>
  <c r="BW21" i="1"/>
  <c r="BU19" i="1"/>
  <c r="BW19" i="1"/>
  <c r="BU35" i="1"/>
  <c r="BW35" i="1"/>
  <c r="Y25" i="2"/>
  <c r="BP23" i="9"/>
  <c r="BO23" i="9"/>
  <c r="Z25" i="2"/>
  <c r="BQ23" i="9"/>
  <c r="Z22" i="2"/>
  <c r="BQ20" i="9"/>
  <c r="BO20" i="9"/>
  <c r="Y22" i="2"/>
  <c r="BP20" i="9"/>
  <c r="Y34" i="2"/>
  <c r="BP32" i="9"/>
  <c r="BO32" i="9"/>
  <c r="Z34" i="2"/>
  <c r="BQ32" i="9"/>
  <c r="Z35" i="2"/>
  <c r="Y35" i="2"/>
  <c r="BY23" i="1"/>
  <c r="BZ23" i="1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Z11" i="2"/>
  <c r="BQ9" i="9"/>
  <c r="BO9" i="9"/>
  <c r="Y11" i="2"/>
  <c r="BP9" i="9"/>
  <c r="Y14" i="2"/>
  <c r="BP12" i="9"/>
  <c r="Z14" i="2"/>
  <c r="BQ12" i="9"/>
  <c r="BO12" i="9"/>
  <c r="AN38" i="1"/>
  <c r="BW11" i="1"/>
  <c r="BY32" i="1"/>
  <c r="BZ32" i="1"/>
  <c r="BX34" i="1"/>
  <c r="BW14" i="1"/>
  <c r="BX14" i="1"/>
  <c r="BX28" i="1"/>
  <c r="BY28" i="1"/>
  <c r="BW25" i="1"/>
  <c r="BU25" i="1"/>
  <c r="BZ14" i="1"/>
  <c r="BU14" i="1"/>
  <c r="BY27" i="1"/>
  <c r="BU34" i="1"/>
  <c r="BW34" i="1"/>
  <c r="BZ34" i="1"/>
  <c r="BY31" i="1"/>
  <c r="BZ6" i="1"/>
  <c r="BZ30" i="1"/>
  <c r="BZ36" i="1"/>
  <c r="BY18" i="1"/>
  <c r="BY14" i="1"/>
  <c r="BY33" i="1"/>
  <c r="BZ13" i="1"/>
  <c r="BZ10" i="1"/>
  <c r="BZ28" i="1"/>
  <c r="BY24" i="1"/>
  <c r="BZ24" i="1"/>
  <c r="BZ17" i="1"/>
  <c r="BY29" i="1"/>
  <c r="BZ29" i="1"/>
  <c r="BZ20" i="1"/>
  <c r="BY20" i="1"/>
  <c r="BZ35" i="1"/>
  <c r="BY35" i="1"/>
  <c r="BY19" i="1"/>
  <c r="BZ19" i="1"/>
  <c r="BZ21" i="1"/>
  <c r="BY21" i="1"/>
  <c r="BZ22" i="1"/>
  <c r="BY22" i="1"/>
  <c r="BZ11" i="1"/>
  <c r="BY11" i="1"/>
  <c r="BZ25" i="1"/>
  <c r="BY25" i="1"/>
  <c r="BY34" i="1"/>
  <c r="G54" i="11" l="1"/>
  <c r="BU20" i="1"/>
  <c r="E16" i="13"/>
  <c r="BN37" i="1"/>
  <c r="BN38" i="1" s="1"/>
  <c r="BH15" i="1"/>
  <c r="BJ16" i="1"/>
  <c r="BS16" i="1"/>
  <c r="V39" i="2"/>
  <c r="Y37" i="2"/>
  <c r="T39" i="2"/>
  <c r="C39" i="2"/>
  <c r="I34" i="9" s="1"/>
  <c r="G39" i="2"/>
  <c r="Z36" i="2"/>
  <c r="O39" i="2"/>
  <c r="R34" i="9" s="1"/>
  <c r="BB37" i="1"/>
  <c r="BB38" i="1" s="1"/>
  <c r="BI7" i="1"/>
  <c r="Z3" i="12"/>
  <c r="E7" i="9"/>
  <c r="E6" i="9"/>
  <c r="H7" i="2"/>
  <c r="I2" i="13" s="1"/>
  <c r="U7" i="2"/>
  <c r="BM5" i="9" s="1"/>
  <c r="Q7" i="2"/>
  <c r="X5" i="9" s="1"/>
  <c r="X7" i="2"/>
  <c r="W7" i="2"/>
  <c r="BN5" i="9" s="1"/>
  <c r="P5" i="9"/>
  <c r="K5" i="9"/>
  <c r="H8" i="2"/>
  <c r="AK2" i="12"/>
  <c r="AK3" i="12"/>
  <c r="E38" i="2"/>
  <c r="E39" i="2" s="1"/>
  <c r="K33" i="9" s="1"/>
  <c r="Y32" i="2"/>
  <c r="BP30" i="9" s="1"/>
  <c r="BO30" i="9"/>
  <c r="X30" i="2"/>
  <c r="Q31" i="2"/>
  <c r="P29" i="9"/>
  <c r="U31" i="2"/>
  <c r="BM29" i="9" s="1"/>
  <c r="U30" i="2"/>
  <c r="BM28" i="9" s="1"/>
  <c r="X31" i="2"/>
  <c r="W31" i="2"/>
  <c r="BN29" i="9" s="1"/>
  <c r="K29" i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Q38" i="1"/>
  <c r="BU8" i="1"/>
  <c r="BW8" i="1"/>
  <c r="BX8" i="1"/>
  <c r="G38" i="6"/>
  <c r="G39" i="6" s="1"/>
  <c r="BL37" i="1"/>
  <c r="BL38" i="1" s="1"/>
  <c r="AD22" i="12"/>
  <c r="AJ29" i="9"/>
  <c r="J38" i="6"/>
  <c r="AQ31" i="12"/>
  <c r="K35" i="6"/>
  <c r="G30" i="13" s="1"/>
  <c r="E38" i="6"/>
  <c r="E39" i="6" s="1"/>
  <c r="H35" i="6"/>
  <c r="H38" i="6" s="1"/>
  <c r="H39" i="6" s="1"/>
  <c r="H38" i="2" l="1"/>
  <c r="I3" i="13"/>
  <c r="AC11" i="12"/>
  <c r="BH37" i="1"/>
  <c r="BH38" i="1" s="1"/>
  <c r="BI15" i="1"/>
  <c r="E12" i="13"/>
  <c r="BU16" i="1"/>
  <c r="BX16" i="1"/>
  <c r="BW16" i="1"/>
  <c r="BJ7" i="1"/>
  <c r="BI37" i="1"/>
  <c r="F13" i="11" s="1"/>
  <c r="BS7" i="1"/>
  <c r="E3" i="13" s="1"/>
  <c r="P6" i="9"/>
  <c r="X8" i="2"/>
  <c r="X38" i="2" s="1"/>
  <c r="W8" i="2"/>
  <c r="BN6" i="9" s="1"/>
  <c r="U8" i="2"/>
  <c r="BM6" i="9" s="1"/>
  <c r="Q8" i="2"/>
  <c r="X6" i="9" s="1"/>
  <c r="C27" i="7"/>
  <c r="W38" i="2"/>
  <c r="BN33" i="9" s="1"/>
  <c r="H39" i="2"/>
  <c r="W39" i="2" s="1"/>
  <c r="BN34" i="9" s="1"/>
  <c r="P33" i="9"/>
  <c r="U38" i="2"/>
  <c r="BM33" i="9" s="1"/>
  <c r="BO5" i="9"/>
  <c r="Y7" i="2"/>
  <c r="BP5" i="9" s="1"/>
  <c r="E20" i="11"/>
  <c r="X29" i="9"/>
  <c r="Y31" i="2"/>
  <c r="BP29" i="9" s="1"/>
  <c r="BO29" i="9"/>
  <c r="Z31" i="2"/>
  <c r="BQ29" i="9" s="1"/>
  <c r="BO28" i="9"/>
  <c r="Y30" i="2"/>
  <c r="BP28" i="9" s="1"/>
  <c r="Z30" i="2"/>
  <c r="BQ28" i="9" s="1"/>
  <c r="BO35" i="9"/>
  <c r="Z40" i="2"/>
  <c r="BQ35" i="9" s="1"/>
  <c r="Y40" i="2"/>
  <c r="BP35" i="9" s="1"/>
  <c r="Z44" i="2"/>
  <c r="BQ39" i="9" s="1"/>
  <c r="Y44" i="2"/>
  <c r="BP39" i="9" s="1"/>
  <c r="BO39" i="9"/>
  <c r="BZ8" i="1"/>
  <c r="BY8" i="1"/>
  <c r="AJ33" i="9"/>
  <c r="J39" i="6"/>
  <c r="AJ34" i="9" s="1"/>
  <c r="F34" i="11"/>
  <c r="G34" i="11" s="1"/>
  <c r="G35" i="11" s="1"/>
  <c r="K38" i="6"/>
  <c r="BJ15" i="1" l="1"/>
  <c r="BJ37" i="1" s="1"/>
  <c r="BS15" i="1"/>
  <c r="BY16" i="1"/>
  <c r="BZ16" i="1"/>
  <c r="BU7" i="1"/>
  <c r="BW7" i="1"/>
  <c r="BX7" i="1"/>
  <c r="BS37" i="1"/>
  <c r="L13" i="11"/>
  <c r="J13" i="11"/>
  <c r="U39" i="2"/>
  <c r="BM34" i="9" s="1"/>
  <c r="P34" i="9"/>
  <c r="BO6" i="9"/>
  <c r="Z8" i="2"/>
  <c r="BQ6" i="9" s="1"/>
  <c r="Y8" i="2"/>
  <c r="BP6" i="9" s="1"/>
  <c r="Q38" i="2"/>
  <c r="X33" i="9" s="1"/>
  <c r="Q39" i="2"/>
  <c r="X34" i="9" s="1"/>
  <c r="X39" i="2"/>
  <c r="Y38" i="2"/>
  <c r="BP33" i="9" s="1"/>
  <c r="Z38" i="2"/>
  <c r="BQ33" i="9" s="1"/>
  <c r="BO33" i="9"/>
  <c r="C43" i="7"/>
  <c r="BU15" i="1" l="1"/>
  <c r="BX15" i="1"/>
  <c r="E11" i="13"/>
  <c r="BW15" i="1"/>
  <c r="M13" i="11"/>
  <c r="BU37" i="1"/>
  <c r="BS38" i="1"/>
  <c r="BW37" i="1"/>
  <c r="BZ7" i="1"/>
  <c r="BY7" i="1"/>
  <c r="BX37" i="1"/>
  <c r="BO34" i="9"/>
  <c r="Y39" i="2"/>
  <c r="BP34" i="9" s="1"/>
  <c r="Z39" i="2"/>
  <c r="BQ34" i="9" s="1"/>
  <c r="BZ15" i="1" l="1"/>
  <c r="BY15" i="1"/>
  <c r="BY37" i="1"/>
  <c r="BZ37" i="1"/>
  <c r="BX38" i="1"/>
  <c r="K17" i="1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BW38" i="1"/>
  <c r="BU38" i="1"/>
  <c r="BZ38" i="1" l="1"/>
  <c r="BY38" i="1"/>
</calcChain>
</file>

<file path=xl/sharedStrings.xml><?xml version="1.0" encoding="utf-8"?>
<sst xmlns="http://schemas.openxmlformats.org/spreadsheetml/2006/main" count="900" uniqueCount="418">
  <si>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</si>
  <si>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</si>
  <si>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</si>
  <si>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</si>
  <si>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</si>
  <si>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</si>
  <si>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</si>
  <si>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</si>
  <si>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</si>
  <si>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</si>
  <si>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</si>
  <si>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</si>
  <si>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</si>
  <si>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</si>
  <si>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</si>
  <si>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</si>
  <si>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</si>
  <si>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</si>
  <si>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</si>
  <si>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</si>
  <si>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</si>
  <si>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Casino 3rd floor EM</t>
  </si>
  <si>
    <t>Casino 3rd floor Normal</t>
  </si>
  <si>
    <t>New Casino Water Charge</t>
  </si>
  <si>
    <t>Hot Water</t>
  </si>
  <si>
    <t>Cold Water</t>
  </si>
  <si>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</si>
  <si>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</si>
  <si>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</si>
  <si>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</si>
  <si>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</si>
  <si>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</si>
  <si>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</si>
  <si>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</si>
  <si>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</si>
  <si>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</si>
  <si>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</si>
  <si>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</si>
  <si>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</si>
  <si>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</si>
  <si>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</si>
  <si>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</si>
  <si>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</si>
  <si>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</si>
  <si>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</si>
  <si>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</si>
  <si>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</si>
  <si>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</si>
  <si>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</si>
  <si>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</si>
  <si>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</si>
  <si>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</si>
  <si>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</si>
  <si>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</si>
  <si>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</si>
  <si>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</si>
  <si>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</si>
  <si>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</si>
  <si>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</si>
  <si>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</si>
  <si>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</si>
  <si>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</si>
  <si>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</si>
  <si>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</si>
  <si>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</si>
  <si>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</si>
  <si>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</si>
  <si>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</si>
  <si>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</si>
  <si>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Boat -KWh</t>
  </si>
  <si>
    <t>Water</t>
  </si>
  <si>
    <t>Main water meter 1 -m3</t>
  </si>
  <si>
    <t>Main water meter 2 -m3</t>
  </si>
  <si>
    <t>Main water meter 3 -m3</t>
  </si>
  <si>
    <t>Boat -m3</t>
  </si>
  <si>
    <t>Gas</t>
  </si>
  <si>
    <t>Main Gas Flow Meter -m3</t>
  </si>
  <si>
    <t>Laundry Gas Flow Meter -m3</t>
  </si>
  <si>
    <t>Gourmandize Gas Flow Meter -m3</t>
  </si>
  <si>
    <t>Read</t>
  </si>
  <si>
    <t>Cons</t>
  </si>
  <si>
    <t>Sum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</si>
  <si>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</si>
  <si>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</si>
  <si>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</si>
  <si>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</si>
  <si>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</si>
  <si>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</si>
  <si>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</si>
  <si>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</si>
  <si>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</si>
  <si>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</si>
  <si>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</si>
  <si>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</si>
  <si>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L.E\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</si>
  <si>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</si>
  <si>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</si>
  <si>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</si>
  <si>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</si>
  <si>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</si>
  <si>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</si>
  <si>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</si>
  <si>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</si>
  <si>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</si>
  <si>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</si>
  <si>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Room</t>
  </si>
  <si>
    <t>Guest</t>
  </si>
  <si>
    <t>Counter</t>
  </si>
  <si>
    <t>Produc   58%</t>
  </si>
  <si>
    <t>MTD</t>
  </si>
  <si>
    <t>AVER. Act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</si>
  <si>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</si>
  <si>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</si>
  <si>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</si>
  <si>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</si>
  <si>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</si>
  <si>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</si>
  <si>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</si>
  <si>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</si>
  <si>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>No of Days MTD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</si>
  <si>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</si>
  <si>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</si>
  <si>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</si>
  <si>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</si>
  <si>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</si>
  <si>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</si>
  <si>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</si>
  <si>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</si>
  <si>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</si>
  <si>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LE/DAY</t>
  </si>
  <si>
    <t>Average MTD.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</si>
  <si>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</si>
  <si>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</si>
  <si>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</si>
  <si>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</si>
  <si>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</si>
  <si>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</si>
  <si>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</si>
  <si>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</si>
  <si>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</si>
  <si>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</si>
  <si>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</si>
  <si>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</si>
  <si>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</si>
  <si>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</si>
  <si>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</si>
  <si>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</si>
  <si>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</si>
  <si>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</si>
  <si>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</si>
  <si>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>Date</t>
  </si>
  <si>
    <t xml:space="preserve"> COUNTER  (2)</t>
  </si>
  <si>
    <t xml:space="preserve">MD </t>
  </si>
  <si>
    <t xml:space="preserve">KVAR 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</si>
  <si>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</si>
  <si>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</si>
  <si>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</si>
  <si>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</si>
  <si>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</si>
  <si>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</si>
  <si>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</si>
  <si>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</si>
  <si>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</si>
  <si>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</si>
  <si>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</si>
  <si>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</si>
  <si>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</si>
  <si>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</si>
  <si>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</si>
  <si>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</si>
  <si>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</si>
  <si>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</si>
  <si>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</si>
  <si>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</si>
  <si>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</si>
  <si>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</si>
  <si>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</si>
  <si>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</si>
  <si>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</si>
  <si>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</si>
  <si>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</si>
  <si>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</si>
  <si>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</si>
  <si>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</si>
  <si>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</si>
  <si>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</si>
  <si>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</si>
  <si>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</si>
  <si>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</si>
  <si>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</si>
  <si>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</si>
  <si>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</si>
  <si>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</si>
  <si>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</si>
  <si>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</si>
  <si>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</si>
  <si>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</si>
  <si>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</si>
  <si>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</si>
  <si>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</si>
  <si>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</si>
  <si>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</si>
  <si>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</si>
  <si>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</si>
  <si>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</si>
  <si>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</si>
  <si>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</si>
  <si>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</si>
  <si>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</si>
  <si>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</si>
  <si>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</si>
  <si>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</si>
  <si>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</si>
  <si>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</si>
  <si>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</si>
  <si>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</si>
  <si>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</si>
  <si>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</si>
  <si>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</si>
  <si>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</si>
  <si>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</si>
  <si>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</si>
  <si>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</si>
  <si>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</si>
  <si>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</si>
  <si>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</si>
  <si>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</si>
  <si>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</si>
  <si>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</si>
  <si>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</si>
  <si>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</si>
  <si>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</si>
  <si>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</si>
  <si>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</si>
  <si>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</si>
  <si>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</si>
  <si>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</si>
  <si>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</si>
  <si>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</si>
  <si>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</si>
  <si>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</si>
  <si>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</si>
  <si>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</si>
  <si>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</si>
  <si>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</si>
  <si>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</si>
  <si>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</si>
  <si>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</si>
  <si>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</si>
  <si>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</si>
  <si>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</si>
  <si>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</si>
  <si>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</si>
  <si>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</si>
  <si>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</si>
  <si>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</si>
  <si>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</si>
  <si>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</si>
  <si>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</si>
  <si>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</si>
  <si>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</si>
  <si>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</si>
  <si>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</si>
  <si>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</si>
  <si>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</si>
  <si>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</si>
  <si>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</si>
  <si>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</si>
  <si>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</si>
  <si>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</si>
  <si>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</si>
  <si>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</si>
  <si>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</si>
  <si>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</si>
  <si>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</si>
  <si>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</si>
  <si>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</si>
  <si>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</si>
  <si>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</si>
  <si>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</si>
  <si>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</si>
  <si>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</si>
  <si>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</si>
  <si>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</si>
  <si>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</si>
  <si>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</si>
  <si>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</si>
  <si>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</si>
  <si>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</si>
  <si>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</si>
  <si>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</si>
  <si>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</si>
  <si>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</si>
  <si>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</si>
  <si>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</si>
  <si>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</si>
  <si>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</si>
  <si>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</si>
  <si>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</si>
  <si>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</si>
  <si>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</si>
  <si>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</si>
  <si>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</si>
  <si>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</si>
  <si>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</si>
  <si>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</si>
  <si>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</si>
  <si>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</si>
  <si>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</si>
  <si>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</si>
  <si>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</si>
  <si>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</si>
  <si>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</si>
  <si>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</si>
  <si>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</si>
  <si>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</si>
  <si>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</si>
  <si>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</si>
  <si>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</si>
  <si>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</si>
  <si>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</si>
  <si>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</si>
  <si>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</si>
  <si>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</si>
  <si>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</si>
  <si>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</si>
  <si>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</si>
  <si>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</si>
  <si>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</si>
  <si>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</si>
  <si>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</si>
  <si>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</si>
  <si>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</si>
  <si>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</si>
  <si>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</si>
  <si>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</si>
  <si>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</si>
  <si>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</si>
  <si>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</si>
  <si>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</si>
  <si>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</si>
  <si>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</si>
  <si>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</si>
  <si>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</si>
  <si>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</si>
  <si>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</si>
  <si>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</si>
  <si>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</si>
  <si>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</si>
  <si>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</si>
  <si>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</si>
  <si>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</si>
  <si>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</si>
  <si>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</si>
  <si>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</si>
  <si>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</si>
  <si>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</si>
  <si>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</si>
  <si>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</si>
  <si>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</si>
  <si>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</si>
  <si>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</si>
  <si>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</si>
  <si>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 xml:space="preserve"> COUNTER  (1)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</si>
  <si>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</si>
  <si>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</si>
  <si>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</si>
  <si>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</si>
  <si>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</si>
  <si>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</si>
  <si>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</si>
  <si>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</si>
  <si>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</si>
  <si>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</si>
  <si>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</si>
  <si>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</si>
  <si>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</si>
  <si>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</si>
  <si>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</si>
  <si>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</si>
  <si>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</si>
  <si>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</si>
  <si>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</si>
  <si>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</si>
  <si>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</si>
  <si>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</si>
  <si>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</si>
  <si>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</si>
  <si>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</si>
  <si>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</si>
  <si>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</si>
  <si>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</si>
  <si>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</si>
  <si>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</si>
  <si>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</si>
  <si>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</si>
  <si>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</si>
  <si>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</si>
  <si>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</si>
  <si>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</si>
  <si>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</si>
  <si>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</si>
  <si>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</si>
  <si>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</si>
  <si>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</si>
  <si>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</si>
  <si>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</si>
  <si>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</si>
  <si>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</si>
  <si>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</si>
  <si>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</si>
  <si>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</si>
  <si>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</si>
  <si>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</si>
  <si>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</si>
  <si>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</si>
  <si>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Last Month Reading</t>
  </si>
  <si>
    <t>No of Days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</si>
</sst>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2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6"/>
      <color indexed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</cellStyleXfs>
  <cellXfs count="969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1" fontId="71" fillId="15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0" xfId="6"/>
    <xf numFmtId="3" fontId="19" fillId="11" borderId="5" xfId="6" applyNumberFormat="1" applyFont="1" applyFill="1" applyBorder="1" applyAlignment="1">
      <alignment horizontal="center" vertical="center"/>
    </xf>
    <xf numFmtId="3" fontId="19" fillId="2" borderId="105" xfId="6" applyNumberFormat="1" applyFont="1" applyFill="1" applyBorder="1" applyAlignment="1">
      <alignment horizontal="center" vertical="center"/>
    </xf>
    <xf numFmtId="3" fontId="19" fillId="0" borderId="1" xfId="6" applyNumberFormat="1" applyFont="1" applyBorder="1" applyAlignment="1">
      <alignment horizontal="center" vertical="center"/>
    </xf>
    <xf numFmtId="1" fontId="24" fillId="0" borderId="25" xfId="6" applyNumberFormat="1" applyFont="1" applyBorder="1" applyAlignment="1" applyProtection="1">
      <alignment horizontal="center" vertical="center"/>
      <protection locked="0"/>
    </xf>
    <xf numFmtId="0" fontId="19" fillId="2" borderId="41" xfId="6" applyFont="1" applyFill="1" applyBorder="1" applyAlignment="1">
      <alignment horizontal="center" vertical="center"/>
    </xf>
    <xf numFmtId="0" fontId="19" fillId="0" borderId="41" xfId="6" applyFont="1" applyBorder="1" applyAlignment="1">
      <alignment horizontal="center" vertical="center"/>
    </xf>
    <xf numFmtId="0" fontId="4" fillId="2" borderId="9" xfId="6" applyFont="1" applyFill="1" applyBorder="1" applyAlignment="1">
      <alignment horizontal="center"/>
    </xf>
    <xf numFmtId="0" fontId="4" fillId="2" borderId="17" xfId="6" applyFont="1" applyFill="1" applyBorder="1" applyAlignment="1">
      <alignment horizont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0" fontId="4" fillId="2" borderId="51" xfId="6" applyFont="1" applyFill="1" applyBorder="1" applyAlignment="1">
      <alignment horizontal="center" vertical="center"/>
    </xf>
    <xf numFmtId="0" fontId="4" fillId="2" borderId="105" xfId="6" applyFont="1" applyFill="1" applyBorder="1" applyAlignment="1">
      <alignment horizontal="center" vertical="center"/>
    </xf>
    <xf numFmtId="0" fontId="4" fillId="2" borderId="52" xfId="6" applyFont="1" applyFill="1" applyBorder="1" applyAlignment="1">
      <alignment horizontal="center" vertical="center"/>
    </xf>
    <xf numFmtId="0" fontId="4" fillId="2" borderId="44" xfId="6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0" fontId="0" fillId="0" borderId="39" xfId="0" applyBorder="1" applyAlignment="1"/>
  </cellXfs>
  <cellStyles count="7">
    <cellStyle name="Comma" xfId="1" builtinId="3"/>
    <cellStyle name="Normal" xfId="0" builtinId="0"/>
    <cellStyle name="Normal 2" xfId="6" xr:uid="{F5152CD8-05C1-4FCC-9217-181B9A5FF58F}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5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zoomScaleSheetLayoutView="100" workbookViewId="0">
      <selection activeCell="C49" sqref="C49:G54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0</v>
      </c>
      <c r="F6" s="669"/>
      <c r="G6" s="668"/>
      <c r="H6" s="670">
        <f>Elect!A1</f>
        <v>44896</v>
      </c>
      <c r="I6" s="668"/>
      <c r="J6" s="668"/>
      <c r="K6" s="668"/>
    </row>
    <row r="9" spans="2:13" ht="13.5" customHeight="1">
      <c r="B9" s="818" t="s">
        <v>1</v>
      </c>
      <c r="C9" s="819"/>
      <c r="D9" s="819"/>
      <c r="E9" s="819"/>
      <c r="F9" s="819"/>
      <c r="G9" s="819"/>
      <c r="H9" s="819"/>
      <c r="I9" s="819"/>
      <c r="J9" s="819"/>
      <c r="K9" s="819"/>
      <c r="L9" s="819"/>
      <c r="M9" s="819"/>
    </row>
    <row r="10" spans="2:13" ht="13.5" customHeight="1" thickBot="1">
      <c r="B10" s="820"/>
      <c r="C10" s="821"/>
      <c r="D10" s="821"/>
      <c r="E10" s="821"/>
      <c r="F10" s="821"/>
      <c r="G10" s="821"/>
      <c r="H10" s="821"/>
      <c r="I10" s="821"/>
      <c r="J10" s="821"/>
      <c r="K10" s="821"/>
      <c r="L10" s="821"/>
      <c r="M10" s="821"/>
    </row>
    <row r="11" spans="2:13" ht="16.5" thickBot="1">
      <c r="B11" s="831" t="s">
        <v>2</v>
      </c>
      <c r="C11" s="831"/>
      <c r="D11" s="831" t="s">
        <v>3</v>
      </c>
      <c r="E11" s="831"/>
      <c r="F11" s="831" t="s">
        <v>4</v>
      </c>
      <c r="G11" s="831"/>
      <c r="H11" s="829" t="s">
        <v>5</v>
      </c>
      <c r="I11" s="830"/>
      <c r="J11" s="829" t="s">
        <v>6</v>
      </c>
      <c r="K11" s="830"/>
      <c r="L11" s="829" t="s">
        <v>7</v>
      </c>
      <c r="M11" s="830"/>
    </row>
    <row r="12" spans="2:13" ht="16.5" thickBot="1">
      <c r="B12" s="671" t="s">
        <v>8</v>
      </c>
      <c r="C12" s="671" t="s">
        <v>9</v>
      </c>
      <c r="D12" s="671" t="s">
        <v>8</v>
      </c>
      <c r="E12" s="671" t="s">
        <v>9</v>
      </c>
      <c r="F12" s="671" t="s">
        <v>8</v>
      </c>
      <c r="G12" s="671" t="s">
        <v>9</v>
      </c>
      <c r="H12" s="671" t="s">
        <v>8</v>
      </c>
      <c r="I12" s="671" t="s">
        <v>9</v>
      </c>
      <c r="J12" s="671" t="s">
        <v>8</v>
      </c>
      <c r="K12" s="671" t="s">
        <v>9</v>
      </c>
      <c r="L12" s="671" t="s">
        <v>8</v>
      </c>
      <c r="M12" s="671" t="s">
        <v>9</v>
      </c>
    </row>
    <row r="13" spans="2:13">
      <c r="B13" s="672">
        <f>Elect!AN37</f>
        <v>172525.15833333402</v>
      </c>
      <c r="C13" s="758">
        <f>(B13*1.15)+(2879*60*0.72)</f>
        <v>322776.73208333412</v>
      </c>
      <c r="D13" s="672">
        <f>Elect!J37</f>
        <v>195595.22222230211</v>
      </c>
      <c r="E13" s="758">
        <f>(D13*1.15)+(573*60)+10000</f>
        <v>269314.50555564743</v>
      </c>
      <c r="F13" s="672">
        <f>Elect!BI37</f>
        <v>382141.78958326543</v>
      </c>
      <c r="G13" s="758">
        <f>(F13*1.15)</f>
        <v>439463.05802075524</v>
      </c>
      <c r="H13" s="672">
        <f>Elect!Q37</f>
        <v>14784.999999989814</v>
      </c>
      <c r="I13" s="758">
        <f>H13*1.6+1500</f>
        <v>25155.999999983702</v>
      </c>
      <c r="J13" s="799">
        <f>B13+D13+F13+H13</f>
        <v>765047.17013889132</v>
      </c>
      <c r="K13" s="759">
        <f>G13+E13+C13+I13</f>
        <v>1056710.2956597204</v>
      </c>
      <c r="L13" s="799">
        <f>B13+F13</f>
        <v>554666.94791659946</v>
      </c>
      <c r="M13" s="760">
        <f>C13+G13</f>
        <v>762239.7901040893</v>
      </c>
    </row>
    <row r="16" spans="2:13" ht="0.75" customHeight="1" thickBot="1">
      <c r="K16">
        <f>K18</f>
        <v>1389950.3796597118</v>
      </c>
    </row>
    <row r="17" spans="4:11" ht="13.5" customHeight="1">
      <c r="E17" s="822" t="s">
        <v>10</v>
      </c>
      <c r="F17" s="823"/>
      <c r="J17" s="756" t="s">
        <v>11</v>
      </c>
      <c r="K17" s="757">
        <f>K13/J13</f>
        <v>1.3812354805101479</v>
      </c>
    </row>
    <row r="18" spans="4:11" ht="34.5" customHeight="1" thickBot="1">
      <c r="E18" s="824"/>
      <c r="F18" s="825"/>
      <c r="J18" s="756" t="s">
        <v>12</v>
      </c>
      <c r="K18" s="761">
        <f>K13+F20+F27+G35</f>
        <v>1389950.3796597118</v>
      </c>
    </row>
    <row r="19" spans="4:11" ht="13.5" thickBot="1">
      <c r="E19" s="674" t="s">
        <v>13</v>
      </c>
      <c r="F19" s="674" t="s">
        <v>9</v>
      </c>
    </row>
    <row r="20" spans="4:11" ht="13.5" thickBot="1">
      <c r="E20" s="826">
        <f>Water!H38</f>
        <v>10279.968333333909</v>
      </c>
      <c r="F20" s="828">
        <f>E20*10</f>
        <v>102799.68333333908</v>
      </c>
    </row>
    <row r="21" spans="4:11" ht="13.5" thickBot="1">
      <c r="E21" s="827"/>
      <c r="F21" s="828"/>
    </row>
    <row r="23" spans="4:11" ht="13.5" thickBot="1"/>
    <row r="24" spans="4:11" ht="13.5" thickBot="1">
      <c r="E24" s="832" t="s">
        <v>14</v>
      </c>
      <c r="F24" s="832"/>
    </row>
    <row r="25" spans="4:11" ht="11.25" customHeight="1" thickBot="1">
      <c r="E25" s="832"/>
      <c r="F25" s="832"/>
      <c r="H25" s="83"/>
    </row>
    <row r="26" spans="4:11" ht="13.5" thickBot="1">
      <c r="E26" s="674" t="s">
        <v>13</v>
      </c>
      <c r="F26" s="674" t="s">
        <v>9</v>
      </c>
    </row>
    <row r="27" spans="4:11" ht="13.5" thickBot="1">
      <c r="E27" s="827">
        <f>Gas!C38</f>
        <v>47727.118333330043</v>
      </c>
      <c r="F27" s="828">
        <f>E27*3.9</f>
        <v>186135.76149998716</v>
      </c>
    </row>
    <row r="28" spans="4:11" ht="13.5" thickBot="1">
      <c r="E28" s="827"/>
      <c r="F28" s="828"/>
    </row>
    <row r="30" spans="4:11" ht="13.5" thickBot="1"/>
    <row r="31" spans="4:11" ht="20.25">
      <c r="D31" s="833" t="s">
        <v>15</v>
      </c>
      <c r="E31" s="834"/>
      <c r="F31" s="834"/>
      <c r="G31" s="835"/>
      <c r="H31" s="676"/>
      <c r="I31" s="676"/>
    </row>
    <row r="32" spans="4:11" ht="21" thickBot="1">
      <c r="D32" s="818"/>
      <c r="E32" s="819"/>
      <c r="F32" s="819"/>
      <c r="G32" s="836"/>
      <c r="H32" s="676"/>
      <c r="I32" s="676"/>
    </row>
    <row r="33" spans="3:9" ht="13.5" thickBot="1">
      <c r="D33" s="677" t="s">
        <v>16</v>
      </c>
      <c r="E33" s="677" t="s">
        <v>17</v>
      </c>
      <c r="F33" s="677" t="s">
        <v>18</v>
      </c>
      <c r="G33" s="677" t="s">
        <v>9</v>
      </c>
      <c r="H33" s="678"/>
      <c r="I33" s="678"/>
    </row>
    <row r="34" spans="3:9" ht="13.5" thickBot="1">
      <c r="C34" s="739"/>
      <c r="D34" s="682">
        <f>Gas!D6</f>
        <v>598602.33333333302</v>
      </c>
      <c r="E34" s="682">
        <f>Gas!D36</f>
        <v>614265.22222222202</v>
      </c>
      <c r="F34" s="714">
        <f>Gas!E38</f>
        <v>11360.163888888444</v>
      </c>
      <c r="G34" s="798">
        <f>F34*3.9</f>
        <v>44304.639166664936</v>
      </c>
      <c r="H34" s="680"/>
      <c r="I34" s="680"/>
    </row>
    <row r="35" spans="3:9" ht="18.75" thickBot="1">
      <c r="D35" s="840" t="s">
        <v>19</v>
      </c>
      <c r="E35" s="840"/>
      <c r="F35" s="840"/>
      <c r="G35" s="798">
        <f>G34</f>
        <v>44304.639166664936</v>
      </c>
      <c r="H35" s="33"/>
      <c r="I35" s="33"/>
    </row>
    <row r="37" spans="3:9" ht="13.5" thickBot="1"/>
    <row r="38" spans="3:9" ht="20.25">
      <c r="D38" s="833" t="s">
        <v>20</v>
      </c>
      <c r="E38" s="834"/>
      <c r="F38" s="834"/>
      <c r="G38" s="835"/>
      <c r="H38" s="676"/>
      <c r="I38" s="676"/>
    </row>
    <row r="39" spans="3:9" ht="21" thickBot="1">
      <c r="D39" s="818"/>
      <c r="E39" s="819"/>
      <c r="F39" s="819"/>
      <c r="G39" s="836"/>
      <c r="H39" s="676"/>
      <c r="I39" s="676"/>
    </row>
    <row r="40" spans="3:9" ht="18.75" customHeight="1" thickBot="1">
      <c r="D40" s="677" t="s">
        <v>16</v>
      </c>
      <c r="E40" s="677" t="s">
        <v>17</v>
      </c>
      <c r="F40" s="677" t="s">
        <v>8</v>
      </c>
      <c r="G40" s="677" t="s">
        <v>9</v>
      </c>
      <c r="H40" s="678"/>
      <c r="I40" s="678"/>
    </row>
    <row r="41" spans="3:9" ht="13.5" thickBot="1">
      <c r="C41" s="679" t="s">
        <v>21</v>
      </c>
      <c r="D41" s="683">
        <f>Elect!R5</f>
        <v>226100.66666666701</v>
      </c>
      <c r="E41" s="762">
        <f>Elect!R36</f>
        <v>230535.33333333299</v>
      </c>
      <c r="F41" s="684">
        <f>E41-D41</f>
        <v>4434.6666666659876</v>
      </c>
      <c r="G41" s="764">
        <f>F41*1.15</f>
        <v>5099.8666666658855</v>
      </c>
      <c r="H41" s="685"/>
      <c r="I41" s="685"/>
    </row>
    <row r="42" spans="3:9" ht="13.5" thickBot="1">
      <c r="C42" s="679" t="s">
        <v>22</v>
      </c>
      <c r="D42" s="683">
        <f>Elect!T5</f>
        <v>412645.66666666698</v>
      </c>
      <c r="E42" s="683">
        <f>Elect!T36</f>
        <v>420593.16666666698</v>
      </c>
      <c r="F42" s="684">
        <f>E42-D42</f>
        <v>7947.5</v>
      </c>
      <c r="G42" s="764">
        <f>F42*1.15</f>
        <v>9139.625</v>
      </c>
      <c r="H42" s="685"/>
      <c r="I42" s="685"/>
    </row>
    <row r="43" spans="3:9" ht="18.75" thickBot="1">
      <c r="D43" s="837" t="s">
        <v>19</v>
      </c>
      <c r="E43" s="838"/>
      <c r="F43" s="839"/>
      <c r="G43" s="765">
        <f>G42+G41</f>
        <v>14239.491666665886</v>
      </c>
      <c r="H43" s="33"/>
      <c r="I43" s="33"/>
    </row>
    <row r="44" spans="3:9">
      <c r="F44" s="225"/>
    </row>
    <row r="48" spans="3:9" ht="13.5" thickBot="1"/>
    <row r="49" spans="3:7">
      <c r="D49" s="833" t="s">
        <v>23</v>
      </c>
      <c r="E49" s="834"/>
      <c r="F49" s="834"/>
      <c r="G49" s="835"/>
    </row>
    <row r="50" spans="3:7" ht="13.5" thickBot="1">
      <c r="D50" s="818"/>
      <c r="E50" s="819"/>
      <c r="F50" s="819"/>
      <c r="G50" s="836"/>
    </row>
    <row r="51" spans="3:7" ht="13.5" thickBot="1">
      <c r="D51" s="677" t="s">
        <v>16</v>
      </c>
      <c r="E51" s="677" t="s">
        <v>17</v>
      </c>
      <c r="F51" s="677" t="s">
        <v>13</v>
      </c>
      <c r="G51" s="677" t="s">
        <v>9</v>
      </c>
    </row>
    <row r="52" spans="3:7" ht="13.5" thickBot="1">
      <c r="C52" s="679" t="s">
        <v>24</v>
      </c>
      <c r="D52" s="682">
        <v>310</v>
      </c>
      <c r="E52" s="683">
        <v>322</v>
      </c>
      <c r="F52" s="799">
        <v>12</v>
      </c>
      <c r="G52" s="675">
        <f>F52*10</f>
        <v>120</v>
      </c>
    </row>
    <row r="53" spans="3:7" ht="13.5" thickBot="1">
      <c r="C53" s="679" t="s">
        <v>25</v>
      </c>
      <c r="D53" s="683">
        <v>5476</v>
      </c>
      <c r="E53" s="683">
        <v>5583</v>
      </c>
      <c r="F53" s="684">
        <v>107</v>
      </c>
      <c r="G53" s="673">
        <f>F53*10</f>
        <v>1070</v>
      </c>
    </row>
    <row r="54" spans="3:7" ht="18.75" thickBot="1">
      <c r="D54" s="837" t="s">
        <v>19</v>
      </c>
      <c r="E54" s="838"/>
      <c r="F54" s="839"/>
      <c r="G54" s="681">
        <f>G52+G53</f>
        <v>1190</v>
      </c>
    </row>
  </sheetData>
  <sheetProtection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workbookViewId="0">
      <selection activeCell="E15" sqref="E15"/>
    </sheetView>
  </sheetViews>
  <sheetFormatPr defaultColWidth="11.5703125" defaultRowHeight="12.75"/>
  <cols>
    <col min="1" max="1" width="24" style="728" bestFit="1" customWidth="1"/>
    <col min="2" max="3" width="11.5703125" style="729"/>
    <col min="4" max="4" width="13.42578125" style="729" customWidth="1"/>
    <col min="5" max="5" width="20.7109375" style="97" customWidth="1"/>
    <col min="6" max="6" width="20.140625" style="729" customWidth="1"/>
    <col min="7" max="7" width="18.28515625" style="97" customWidth="1"/>
    <col min="8" max="8" width="17.42578125" style="729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1" customFormat="1" ht="30">
      <c r="A1" s="747" t="s">
        <v>26</v>
      </c>
      <c r="B1" s="748" t="s">
        <v>27</v>
      </c>
      <c r="C1" s="748" t="s">
        <v>28</v>
      </c>
      <c r="D1" s="748" t="s">
        <v>29</v>
      </c>
      <c r="E1" s="742" t="s">
        <v>30</v>
      </c>
      <c r="F1" s="743" t="s">
        <v>31</v>
      </c>
      <c r="G1" s="742" t="s">
        <v>32</v>
      </c>
      <c r="H1" s="743" t="s">
        <v>33</v>
      </c>
      <c r="I1" s="742" t="s">
        <v>34</v>
      </c>
      <c r="J1" s="742" t="s">
        <v>35</v>
      </c>
      <c r="K1" s="742" t="s">
        <v>36</v>
      </c>
    </row>
    <row r="2" spans="1:12">
      <c r="A2" s="749" t="s">
        <v>37</v>
      </c>
      <c r="B2" s="750">
        <v>1</v>
      </c>
      <c r="C2" s="771">
        <v>12</v>
      </c>
      <c r="D2" s="751">
        <v>2022</v>
      </c>
      <c r="E2" s="746">
        <f>Elect!BS6+Submetering!AH2</f>
        <v>26916.463333373904</v>
      </c>
      <c r="F2" s="744">
        <f>'Utility Consnsumption'!K13/'Utility Consnsumption'!J13</f>
        <v>1.3812354805101479</v>
      </c>
      <c r="G2" s="745">
        <f>Gas!K7+Submetering!AR2</f>
        <v>1803.1866666668839</v>
      </c>
      <c r="H2" s="744">
        <v>3.8</v>
      </c>
      <c r="I2" s="745">
        <f>Water!H7+Submetering!AM2</f>
        <v>819.15333333372712</v>
      </c>
      <c r="J2" s="744">
        <v>10</v>
      </c>
      <c r="K2" s="745">
        <f>Elect!BT6</f>
        <v>210</v>
      </c>
    </row>
    <row r="3" spans="1:12">
      <c r="A3" s="752" t="s">
        <v>37</v>
      </c>
      <c r="B3" s="729">
        <f>B2+1</f>
        <v>2</v>
      </c>
      <c r="C3" s="771">
        <v>12</v>
      </c>
      <c r="D3" s="751">
        <v>2022</v>
      </c>
      <c r="E3" s="746">
        <f>Elect!BS7+Submetering!AH3</f>
        <v>24471.715</v>
      </c>
      <c r="F3" s="744">
        <f>F2</f>
        <v>1.3812354805101479</v>
      </c>
      <c r="G3" s="745">
        <f>Gas!K8+Submetering!AR3</f>
        <v>1988.8</v>
      </c>
      <c r="H3" s="744">
        <v>3.8</v>
      </c>
      <c r="I3" s="745">
        <f>Water!H8+Submetering!AM3</f>
        <v>179.54222222251292</v>
      </c>
      <c r="J3" s="744">
        <v>10</v>
      </c>
      <c r="K3" s="745">
        <f>Elect!BT7</f>
        <v>242</v>
      </c>
    </row>
    <row r="4" spans="1:12">
      <c r="A4" s="752" t="s">
        <v>37</v>
      </c>
      <c r="B4" s="729">
        <f t="shared" ref="B4:B32" si="0">B3+1</f>
        <v>3</v>
      </c>
      <c r="C4" s="771">
        <v>12</v>
      </c>
      <c r="D4" s="751">
        <v>2022</v>
      </c>
      <c r="E4" s="746">
        <f>Elect!BS8+Submetering!AH4</f>
        <v>25340.555</v>
      </c>
      <c r="F4" s="744">
        <f t="shared" ref="F4:F32" si="1">F3</f>
        <v>1.3812354805101479</v>
      </c>
      <c r="G4" s="745">
        <f>Gas!K9+Submetering!AR4</f>
        <v>1988.8</v>
      </c>
      <c r="H4" s="744">
        <v>3.8</v>
      </c>
      <c r="I4" s="745">
        <f>Water!H9+Submetering!AM4</f>
        <v>239.41111111121427</v>
      </c>
      <c r="J4" s="744">
        <v>10</v>
      </c>
      <c r="K4" s="745">
        <f>Elect!BT8</f>
        <v>225</v>
      </c>
    </row>
    <row r="5" spans="1:12">
      <c r="A5" s="752" t="s">
        <v>37</v>
      </c>
      <c r="B5" s="729">
        <f t="shared" si="0"/>
        <v>4</v>
      </c>
      <c r="C5" s="771">
        <v>12</v>
      </c>
      <c r="D5" s="751">
        <v>2022</v>
      </c>
      <c r="E5" s="746">
        <f>Elect!BS9+Submetering!AH5</f>
        <v>25596.627500000002</v>
      </c>
      <c r="F5" s="744">
        <f t="shared" si="1"/>
        <v>1.3812354805101479</v>
      </c>
      <c r="G5" s="745">
        <f>Gas!K10+Submetering!AR5</f>
        <v>1981.8</v>
      </c>
      <c r="H5" s="744">
        <v>3.8</v>
      </c>
      <c r="I5" s="745">
        <f>Water!H10+Submetering!AM5</f>
        <v>272.98666666627275</v>
      </c>
      <c r="J5" s="744">
        <v>10</v>
      </c>
      <c r="K5" s="745">
        <f>Elect!BT9</f>
        <v>236</v>
      </c>
    </row>
    <row r="6" spans="1:12">
      <c r="A6" s="752" t="s">
        <v>37</v>
      </c>
      <c r="B6" s="729">
        <f t="shared" si="0"/>
        <v>5</v>
      </c>
      <c r="C6" s="771">
        <v>12</v>
      </c>
      <c r="D6" s="751">
        <v>2022</v>
      </c>
      <c r="E6" s="746">
        <f>Elect!BS10+Submetering!AH6</f>
        <v>25205.724999999999</v>
      </c>
      <c r="F6" s="744">
        <f t="shared" si="1"/>
        <v>1.3812354805101479</v>
      </c>
      <c r="G6" s="745">
        <f>Gas!K11+Submetering!AR6</f>
        <v>1981.8</v>
      </c>
      <c r="H6" s="744">
        <v>3.8</v>
      </c>
      <c r="I6" s="745">
        <f>Water!H11+Submetering!AM6</f>
        <v>325.38</v>
      </c>
      <c r="J6" s="744">
        <v>10</v>
      </c>
      <c r="K6" s="745">
        <f>Elect!BT10</f>
        <v>216</v>
      </c>
    </row>
    <row r="7" spans="1:12">
      <c r="A7" s="752" t="s">
        <v>37</v>
      </c>
      <c r="B7" s="729">
        <f t="shared" si="0"/>
        <v>6</v>
      </c>
      <c r="C7" s="771">
        <v>12</v>
      </c>
      <c r="D7" s="751">
        <v>2022</v>
      </c>
      <c r="E7" s="746">
        <f>Elect!BS11+Submetering!AH7</f>
        <v>23281.212500000001</v>
      </c>
      <c r="F7" s="744">
        <f t="shared" si="1"/>
        <v>1.3812354805101479</v>
      </c>
      <c r="G7" s="745">
        <f>Gas!K12+Submetering!AR7</f>
        <v>1960.1</v>
      </c>
      <c r="H7" s="744">
        <v>3.8</v>
      </c>
      <c r="I7" s="745">
        <f>Water!H12+Submetering!AM7</f>
        <v>314.93999999999994</v>
      </c>
      <c r="J7" s="744">
        <v>10</v>
      </c>
      <c r="K7" s="745">
        <f>Elect!BT11</f>
        <v>198</v>
      </c>
    </row>
    <row r="8" spans="1:12">
      <c r="A8" s="752" t="s">
        <v>37</v>
      </c>
      <c r="B8" s="729">
        <f t="shared" si="0"/>
        <v>7</v>
      </c>
      <c r="C8" s="771">
        <v>12</v>
      </c>
      <c r="D8" s="751">
        <v>2022</v>
      </c>
      <c r="E8" s="746">
        <f>Elect!BS12+Submetering!AH8</f>
        <v>28001.1175</v>
      </c>
      <c r="F8" s="744">
        <f t="shared" si="1"/>
        <v>1.3812354805101479</v>
      </c>
      <c r="G8" s="745">
        <f>Gas!K13+Submetering!AR8</f>
        <v>1974.566666666884</v>
      </c>
      <c r="H8" s="744">
        <v>3.8</v>
      </c>
      <c r="I8" s="745">
        <f>Water!H13+Submetering!AM8</f>
        <v>258.29333333372716</v>
      </c>
      <c r="J8" s="744">
        <v>10</v>
      </c>
      <c r="K8" s="745">
        <f>Elect!BT12</f>
        <v>184</v>
      </c>
    </row>
    <row r="9" spans="1:12">
      <c r="A9" s="752" t="s">
        <v>37</v>
      </c>
      <c r="B9" s="729">
        <f t="shared" si="0"/>
        <v>8</v>
      </c>
      <c r="C9" s="771">
        <v>12</v>
      </c>
      <c r="D9" s="751">
        <v>2022</v>
      </c>
      <c r="E9" s="746">
        <f>Elect!BS13+Submetering!AH9</f>
        <v>24074.52</v>
      </c>
      <c r="F9" s="744">
        <f t="shared" si="1"/>
        <v>1.3812354805101479</v>
      </c>
      <c r="G9" s="745">
        <f>Gas!K14+Submetering!AR9</f>
        <v>1970.95</v>
      </c>
      <c r="H9" s="744">
        <v>3.8</v>
      </c>
      <c r="I9" s="745">
        <f>Water!H14+Submetering!AM9</f>
        <v>307.39999999999998</v>
      </c>
      <c r="J9" s="744">
        <v>10</v>
      </c>
      <c r="K9" s="745">
        <f>Elect!BT13</f>
        <v>184</v>
      </c>
    </row>
    <row r="10" spans="1:12">
      <c r="A10" s="752" t="s">
        <v>37</v>
      </c>
      <c r="B10" s="729">
        <f t="shared" si="0"/>
        <v>9</v>
      </c>
      <c r="C10" s="771">
        <v>12</v>
      </c>
      <c r="D10" s="751">
        <v>2022</v>
      </c>
      <c r="E10" s="746">
        <f>Elect!BS14+Submetering!AH10</f>
        <v>23862.13</v>
      </c>
      <c r="F10" s="744">
        <f t="shared" si="1"/>
        <v>1.3812354805101479</v>
      </c>
      <c r="G10" s="745">
        <f>Gas!K15+Submetering!AR10</f>
        <v>1258.683333333116</v>
      </c>
      <c r="H10" s="744">
        <v>3.8</v>
      </c>
      <c r="I10" s="745">
        <f>Water!H15+Submetering!AM10</f>
        <v>380.28666666627271</v>
      </c>
      <c r="J10" s="744">
        <v>10</v>
      </c>
      <c r="K10" s="745">
        <f>Elect!BT14</f>
        <v>183</v>
      </c>
    </row>
    <row r="11" spans="1:12">
      <c r="A11" s="752" t="s">
        <v>37</v>
      </c>
      <c r="B11" s="729">
        <f t="shared" si="0"/>
        <v>10</v>
      </c>
      <c r="C11" s="771">
        <v>12</v>
      </c>
      <c r="D11" s="751">
        <v>2022</v>
      </c>
      <c r="E11" s="746">
        <f>Elect!BS15+Submetering!AH11</f>
        <v>23009.75</v>
      </c>
      <c r="F11" s="744">
        <f t="shared" si="1"/>
        <v>1.3812354805101479</v>
      </c>
      <c r="G11" s="745">
        <f>Gas!K16+Submetering!AR11</f>
        <v>1777.8799999999999</v>
      </c>
      <c r="H11" s="744">
        <v>3.8</v>
      </c>
      <c r="I11" s="745">
        <f>Water!H16+Submetering!AM11</f>
        <v>290.58</v>
      </c>
      <c r="J11" s="744">
        <v>10</v>
      </c>
      <c r="K11" s="745">
        <f>Elect!BT15</f>
        <v>207</v>
      </c>
    </row>
    <row r="12" spans="1:12">
      <c r="A12" s="752" t="s">
        <v>37</v>
      </c>
      <c r="B12" s="729">
        <f t="shared" si="0"/>
        <v>11</v>
      </c>
      <c r="C12" s="771">
        <v>12</v>
      </c>
      <c r="D12" s="751">
        <v>2022</v>
      </c>
      <c r="E12" s="746">
        <f>Elect!BS16+Submetering!AH12</f>
        <v>26167.805</v>
      </c>
      <c r="F12" s="744">
        <f t="shared" si="1"/>
        <v>1.3812354805101479</v>
      </c>
      <c r="G12" s="745">
        <f>Gas!K17+Submetering!AR12</f>
        <v>1747.92</v>
      </c>
      <c r="H12" s="744">
        <v>3.8</v>
      </c>
      <c r="I12" s="745">
        <f>Water!H17+Submetering!AM12</f>
        <v>309.14</v>
      </c>
      <c r="J12" s="744">
        <v>10</v>
      </c>
      <c r="K12" s="745">
        <f>Elect!BT16</f>
        <v>236</v>
      </c>
      <c r="L12" s="732" t="s">
        <v>38</v>
      </c>
    </row>
    <row r="13" spans="1:12">
      <c r="A13" s="752" t="s">
        <v>37</v>
      </c>
      <c r="B13" s="729">
        <f t="shared" si="0"/>
        <v>12</v>
      </c>
      <c r="C13" s="771">
        <v>12</v>
      </c>
      <c r="D13" s="751">
        <v>2022</v>
      </c>
      <c r="E13" s="746">
        <f>Elect!BS17+Submetering!AH13</f>
        <v>24475.0625</v>
      </c>
      <c r="F13" s="744">
        <f t="shared" si="1"/>
        <v>1.3812354805101479</v>
      </c>
      <c r="G13" s="745">
        <f>Gas!K18+Submetering!AR13</f>
        <v>1865.68</v>
      </c>
      <c r="H13" s="744">
        <v>3.8</v>
      </c>
      <c r="I13" s="745">
        <f>Water!H18+Submetering!AM13</f>
        <v>311.45999999999998</v>
      </c>
      <c r="J13" s="744">
        <v>10</v>
      </c>
      <c r="K13" s="745">
        <f>Elect!BT17</f>
        <v>236</v>
      </c>
      <c r="L13" s="732" t="s">
        <v>39</v>
      </c>
    </row>
    <row r="14" spans="1:12">
      <c r="A14" s="752" t="s">
        <v>37</v>
      </c>
      <c r="B14" s="729">
        <f t="shared" si="0"/>
        <v>13</v>
      </c>
      <c r="C14" s="771">
        <v>12</v>
      </c>
      <c r="D14" s="751">
        <v>2022</v>
      </c>
      <c r="E14" s="746">
        <f>Elect!BS18+Submetering!AH14</f>
        <v>26495.435000000001</v>
      </c>
      <c r="F14" s="744">
        <f t="shared" si="1"/>
        <v>1.3812354805101479</v>
      </c>
      <c r="G14" s="745">
        <f>Gas!K19+Submetering!AR14</f>
        <v>1566.7613333338895</v>
      </c>
      <c r="H14" s="744">
        <v>3.8</v>
      </c>
      <c r="I14" s="745">
        <f>Water!H19+Submetering!AM14</f>
        <v>327.85466666624029</v>
      </c>
      <c r="J14" s="744">
        <v>10</v>
      </c>
      <c r="K14" s="745">
        <f>Elect!BT18</f>
        <v>234</v>
      </c>
    </row>
    <row r="15" spans="1:12">
      <c r="A15" s="752" t="s">
        <v>37</v>
      </c>
      <c r="B15" s="729">
        <f t="shared" si="0"/>
        <v>14</v>
      </c>
      <c r="C15" s="771">
        <v>12</v>
      </c>
      <c r="D15" s="751">
        <v>2022</v>
      </c>
      <c r="E15" s="746">
        <f>Elect!BS19+Submetering!AH15</f>
        <v>23210.415000000001</v>
      </c>
      <c r="F15" s="744">
        <f t="shared" si="1"/>
        <v>1.3812354805101479</v>
      </c>
      <c r="G15" s="745">
        <f>Gas!K20+Submetering!AR15</f>
        <v>1692.5160952340088</v>
      </c>
      <c r="H15" s="744">
        <v>3.8</v>
      </c>
      <c r="I15" s="745">
        <f>Water!H20+Submetering!AM15</f>
        <v>318.26533333378927</v>
      </c>
      <c r="J15" s="744">
        <v>10</v>
      </c>
      <c r="K15" s="745">
        <f>Elect!BT19</f>
        <v>234</v>
      </c>
    </row>
    <row r="16" spans="1:12">
      <c r="A16" s="752" t="s">
        <v>37</v>
      </c>
      <c r="B16" s="729">
        <f t="shared" si="0"/>
        <v>15</v>
      </c>
      <c r="C16" s="771">
        <v>12</v>
      </c>
      <c r="D16" s="751">
        <v>2022</v>
      </c>
      <c r="E16" s="746">
        <f>Elect!BS20+Submetering!AH16</f>
        <v>25112.949999999997</v>
      </c>
      <c r="F16" s="744">
        <f t="shared" si="1"/>
        <v>1.3812354805101479</v>
      </c>
      <c r="G16" s="745">
        <f>Gas!K21+Submetering!AR16</f>
        <v>1692.5160952353315</v>
      </c>
      <c r="H16" s="744">
        <v>3.8</v>
      </c>
      <c r="I16" s="745">
        <f>Water!H21+Submetering!AM16</f>
        <v>318.26533333254429</v>
      </c>
      <c r="J16" s="744">
        <v>10</v>
      </c>
      <c r="K16" s="745">
        <f>Elect!BT20</f>
        <v>234</v>
      </c>
    </row>
    <row r="17" spans="1:11">
      <c r="A17" s="752" t="s">
        <v>37</v>
      </c>
      <c r="B17" s="729">
        <f t="shared" si="0"/>
        <v>16</v>
      </c>
      <c r="C17" s="771">
        <v>12</v>
      </c>
      <c r="D17" s="751">
        <v>2022</v>
      </c>
      <c r="E17" s="746">
        <f>Elect!BS21+Submetering!AH17</f>
        <v>23355.65</v>
      </c>
      <c r="F17" s="744">
        <f t="shared" si="1"/>
        <v>1.3812354805101479</v>
      </c>
      <c r="G17" s="745">
        <f>Gas!K22+Submetering!AR17</f>
        <v>1692.5160952459369</v>
      </c>
      <c r="H17" s="744">
        <v>3.8</v>
      </c>
      <c r="I17" s="745">
        <f>Water!H22+Submetering!AM17</f>
        <v>318.2653333337048</v>
      </c>
      <c r="J17" s="744">
        <v>10</v>
      </c>
      <c r="K17" s="745">
        <f>Elect!BT21</f>
        <v>232</v>
      </c>
    </row>
    <row r="18" spans="1:11">
      <c r="A18" s="752" t="s">
        <v>37</v>
      </c>
      <c r="B18" s="729">
        <f t="shared" si="0"/>
        <v>17</v>
      </c>
      <c r="C18" s="771">
        <v>12</v>
      </c>
      <c r="D18" s="751">
        <v>2022</v>
      </c>
      <c r="E18" s="746">
        <f>Elect!BS22+Submetering!AH18</f>
        <v>30111.945000000003</v>
      </c>
      <c r="F18" s="744">
        <f t="shared" si="1"/>
        <v>1.3812354805101479</v>
      </c>
      <c r="G18" s="745">
        <f>Gas!K23+Submetering!AR18</f>
        <v>2748.7703809508334</v>
      </c>
      <c r="H18" s="744">
        <v>3.8</v>
      </c>
      <c r="I18" s="745">
        <f>Water!H23+Submetering!AM18</f>
        <v>366.86933333372127</v>
      </c>
      <c r="J18" s="744">
        <v>10</v>
      </c>
      <c r="K18" s="745">
        <f>Elect!BT22</f>
        <v>216</v>
      </c>
    </row>
    <row r="19" spans="1:11">
      <c r="A19" s="752" t="s">
        <v>37</v>
      </c>
      <c r="B19" s="729">
        <f t="shared" si="0"/>
        <v>18</v>
      </c>
      <c r="C19" s="771">
        <v>12</v>
      </c>
      <c r="D19" s="751">
        <v>2022</v>
      </c>
      <c r="E19" s="746">
        <f>Elect!BS23+Submetering!AH19</f>
        <v>25531.287499999999</v>
      </c>
      <c r="F19" s="744">
        <f t="shared" si="1"/>
        <v>1.3812354805101479</v>
      </c>
      <c r="G19" s="745">
        <f>Gas!K24+Submetering!AR19</f>
        <v>1945.94</v>
      </c>
      <c r="H19" s="744">
        <v>3.8</v>
      </c>
      <c r="I19" s="745">
        <f>Water!H24+Submetering!AM19</f>
        <v>312.61999999999995</v>
      </c>
      <c r="J19" s="744">
        <v>10</v>
      </c>
      <c r="K19" s="745">
        <f>Elect!BT23</f>
        <v>167</v>
      </c>
    </row>
    <row r="20" spans="1:11">
      <c r="A20" s="752" t="s">
        <v>37</v>
      </c>
      <c r="B20" s="729">
        <f t="shared" si="0"/>
        <v>19</v>
      </c>
      <c r="C20" s="771">
        <v>12</v>
      </c>
      <c r="D20" s="751">
        <v>2022</v>
      </c>
      <c r="E20" s="746">
        <f>Elect!BS24+Submetering!AH20</f>
        <v>26342.8125</v>
      </c>
      <c r="F20" s="744">
        <f t="shared" si="1"/>
        <v>1.3812354805101479</v>
      </c>
      <c r="G20" s="745">
        <f>Gas!K25+Submetering!AR20</f>
        <v>1912.06</v>
      </c>
      <c r="H20" s="744">
        <v>3.8</v>
      </c>
      <c r="I20" s="745">
        <f>Water!H25+Submetering!AM20</f>
        <v>302.17999999999995</v>
      </c>
      <c r="J20" s="744">
        <v>10</v>
      </c>
      <c r="K20" s="745">
        <f>Elect!BT24</f>
        <v>191</v>
      </c>
    </row>
    <row r="21" spans="1:11">
      <c r="A21" s="752" t="s">
        <v>37</v>
      </c>
      <c r="B21" s="729">
        <f t="shared" si="0"/>
        <v>20</v>
      </c>
      <c r="C21" s="771">
        <v>12</v>
      </c>
      <c r="D21" s="751">
        <v>2022</v>
      </c>
      <c r="E21" s="746">
        <f>Elect!BS25+Submetering!AH21</f>
        <v>24251.1</v>
      </c>
      <c r="F21" s="744">
        <f t="shared" si="1"/>
        <v>1.3812354805101479</v>
      </c>
      <c r="G21" s="745">
        <f>Gas!K26+Submetering!AR21</f>
        <v>1971.7466666699574</v>
      </c>
      <c r="H21" s="744">
        <v>3.8</v>
      </c>
      <c r="I21" s="745">
        <f>Water!H26+Submetering!AM21</f>
        <v>354.96</v>
      </c>
      <c r="J21" s="744">
        <v>10</v>
      </c>
      <c r="K21" s="745">
        <f>Elect!BT25</f>
        <v>233</v>
      </c>
    </row>
    <row r="22" spans="1:11">
      <c r="A22" s="752" t="s">
        <v>37</v>
      </c>
      <c r="B22" s="729">
        <f t="shared" si="0"/>
        <v>21</v>
      </c>
      <c r="C22" s="771">
        <v>12</v>
      </c>
      <c r="D22" s="751">
        <v>2022</v>
      </c>
      <c r="E22" s="746">
        <f>Elect!BS26+Submetering!AH22</f>
        <v>24187.144999999997</v>
      </c>
      <c r="F22" s="744">
        <f t="shared" si="1"/>
        <v>1.3812354805101479</v>
      </c>
      <c r="G22" s="745">
        <f>Gas!K27+Submetering!AR22</f>
        <v>1940.2</v>
      </c>
      <c r="H22" s="744">
        <v>3.8</v>
      </c>
      <c r="I22" s="745">
        <f>Water!H27+Submetering!AM22</f>
        <v>307.39999999999998</v>
      </c>
      <c r="J22" s="744">
        <v>10</v>
      </c>
      <c r="K22" s="745">
        <f>Elect!BT26</f>
        <v>202</v>
      </c>
    </row>
    <row r="23" spans="1:11">
      <c r="A23" s="752" t="s">
        <v>37</v>
      </c>
      <c r="B23" s="729">
        <f t="shared" si="0"/>
        <v>22</v>
      </c>
      <c r="C23" s="771">
        <v>12</v>
      </c>
      <c r="D23" s="751">
        <v>2022</v>
      </c>
      <c r="E23" s="746">
        <f>Elect!BS27+Submetering!AH23</f>
        <v>23754.997500000001</v>
      </c>
      <c r="F23" s="744">
        <f t="shared" si="1"/>
        <v>1.3812354805101479</v>
      </c>
      <c r="G23" s="745">
        <f>Gas!K28+Submetering!AR23</f>
        <v>0</v>
      </c>
      <c r="H23" s="744">
        <v>3.8</v>
      </c>
      <c r="I23" s="745">
        <f>Water!H28+Submetering!AM23</f>
        <v>321.14599999996665</v>
      </c>
      <c r="J23" s="744">
        <v>10</v>
      </c>
      <c r="K23" s="745">
        <f>Elect!BT27</f>
        <v>209</v>
      </c>
    </row>
    <row r="24" spans="1:11">
      <c r="A24" s="752" t="s">
        <v>37</v>
      </c>
      <c r="B24" s="729">
        <f t="shared" si="0"/>
        <v>23</v>
      </c>
      <c r="C24" s="771">
        <v>12</v>
      </c>
      <c r="D24" s="751">
        <v>2022</v>
      </c>
      <c r="E24" s="746">
        <f>Elect!BS28+Submetering!AH24</f>
        <v>24417.45</v>
      </c>
      <c r="F24" s="744">
        <f t="shared" si="1"/>
        <v>1.3812354805101479</v>
      </c>
      <c r="G24" s="745">
        <f>Gas!K29+Submetering!AR24</f>
        <v>1917.6033333300427</v>
      </c>
      <c r="H24" s="744">
        <v>3.8</v>
      </c>
      <c r="I24" s="745">
        <f>Water!H29+Submetering!AM24</f>
        <v>356.29400000003329</v>
      </c>
      <c r="J24" s="744">
        <v>10</v>
      </c>
      <c r="K24" s="745">
        <f>Elect!BT28</f>
        <v>229</v>
      </c>
    </row>
    <row r="25" spans="1:11">
      <c r="A25" s="752" t="s">
        <v>37</v>
      </c>
      <c r="B25" s="729">
        <f t="shared" si="0"/>
        <v>24</v>
      </c>
      <c r="C25" s="771">
        <v>12</v>
      </c>
      <c r="D25" s="751">
        <v>2022</v>
      </c>
      <c r="E25" s="746">
        <f>Elect!BS29+Submetering!AH25</f>
        <v>22873.224166701439</v>
      </c>
      <c r="F25" s="744">
        <f t="shared" si="1"/>
        <v>1.3812354805101479</v>
      </c>
      <c r="G25" s="745">
        <f>Gas!K30+Submetering!AR25</f>
        <v>2025.67</v>
      </c>
      <c r="H25" s="744">
        <v>3.8</v>
      </c>
      <c r="I25" s="745">
        <f>Water!H30+Submetering!AM25</f>
        <v>346.84</v>
      </c>
      <c r="J25" s="744">
        <v>10</v>
      </c>
      <c r="K25" s="745">
        <f>Elect!BT29</f>
        <v>215</v>
      </c>
    </row>
    <row r="26" spans="1:11">
      <c r="A26" s="752" t="s">
        <v>37</v>
      </c>
      <c r="B26" s="729">
        <f>B25+1</f>
        <v>25</v>
      </c>
      <c r="C26" s="771">
        <v>12</v>
      </c>
      <c r="D26" s="751">
        <v>2022</v>
      </c>
      <c r="E26" s="746">
        <f>Elect!BS30+Submetering!AH26</f>
        <v>20806.065833298562</v>
      </c>
      <c r="F26" s="744">
        <f t="shared" si="1"/>
        <v>1.3812354805101479</v>
      </c>
      <c r="G26" s="745">
        <f>Gas!K31+Submetering!AR26</f>
        <v>2749.15</v>
      </c>
      <c r="H26" s="744">
        <v>3.8</v>
      </c>
      <c r="I26" s="745">
        <f>Water!H31+Submetering!AM26</f>
        <v>352.64</v>
      </c>
      <c r="J26" s="744">
        <v>10</v>
      </c>
      <c r="K26" s="745">
        <f>Elect!BT30</f>
        <v>221</v>
      </c>
    </row>
    <row r="27" spans="1:11">
      <c r="A27" s="752" t="s">
        <v>37</v>
      </c>
      <c r="B27" s="729">
        <f t="shared" si="0"/>
        <v>26</v>
      </c>
      <c r="C27" s="771">
        <v>12</v>
      </c>
      <c r="D27" s="751">
        <v>2022</v>
      </c>
      <c r="E27" s="746">
        <f>Elect!BS31+Submetering!AH27</f>
        <v>24549.520000000004</v>
      </c>
      <c r="F27" s="744">
        <f t="shared" si="1"/>
        <v>1.3812354805101479</v>
      </c>
      <c r="G27" s="745">
        <f>Gas!K32+Submetering!AR27</f>
        <v>1605.16</v>
      </c>
      <c r="H27" s="744">
        <v>3.8</v>
      </c>
      <c r="I27" s="745">
        <f>Water!H32+Submetering!AM27</f>
        <v>328.85999999999996</v>
      </c>
      <c r="J27" s="744">
        <v>10</v>
      </c>
      <c r="K27" s="745">
        <f>Elect!BT31</f>
        <v>231</v>
      </c>
    </row>
    <row r="28" spans="1:11">
      <c r="A28" s="752" t="s">
        <v>37</v>
      </c>
      <c r="B28" s="729">
        <f t="shared" si="0"/>
        <v>27</v>
      </c>
      <c r="C28" s="771">
        <v>12</v>
      </c>
      <c r="D28" s="751">
        <v>2022</v>
      </c>
      <c r="E28" s="746">
        <f>Elect!BS32+Submetering!AH28</f>
        <v>27949.1</v>
      </c>
      <c r="F28" s="744">
        <f t="shared" si="1"/>
        <v>1.3812354805101479</v>
      </c>
      <c r="G28" s="745">
        <f>Gas!K33+Submetering!AR28</f>
        <v>2118.1999999999998</v>
      </c>
      <c r="H28" s="744">
        <v>3.8</v>
      </c>
      <c r="I28" s="745">
        <f>Water!H33+Submetering!AM28</f>
        <v>328.28</v>
      </c>
      <c r="J28" s="744">
        <v>10</v>
      </c>
      <c r="K28" s="745">
        <f>Elect!BT32</f>
        <v>200</v>
      </c>
    </row>
    <row r="29" spans="1:11">
      <c r="A29" s="752" t="s">
        <v>37</v>
      </c>
      <c r="B29" s="729">
        <f t="shared" si="0"/>
        <v>28</v>
      </c>
      <c r="C29" s="771">
        <v>12</v>
      </c>
      <c r="D29" s="751">
        <v>2022</v>
      </c>
      <c r="E29" s="746">
        <f>Elect!BS33+Submetering!AH29</f>
        <v>22735.649166701434</v>
      </c>
      <c r="F29" s="744">
        <f t="shared" si="1"/>
        <v>1.3812354805101479</v>
      </c>
      <c r="G29" s="745">
        <f>Gas!K34+Submetering!AR29</f>
        <v>1776.173333333116</v>
      </c>
      <c r="H29" s="744">
        <v>3.8</v>
      </c>
      <c r="I29" s="745">
        <f>Water!H34+Submetering!AM29</f>
        <v>327.7</v>
      </c>
      <c r="J29" s="744">
        <v>10</v>
      </c>
      <c r="K29" s="745">
        <f>Elect!BT33</f>
        <v>243</v>
      </c>
    </row>
    <row r="30" spans="1:11">
      <c r="A30" s="752" t="s">
        <v>37</v>
      </c>
      <c r="B30" s="729">
        <f t="shared" si="0"/>
        <v>29</v>
      </c>
      <c r="C30" s="771">
        <v>12</v>
      </c>
      <c r="D30" s="751">
        <v>2022</v>
      </c>
      <c r="E30" s="746">
        <f>Elect!BS34+Submetering!AH30</f>
        <v>23146.263333298564</v>
      </c>
      <c r="F30" s="744">
        <f t="shared" si="1"/>
        <v>1.3812354805101479</v>
      </c>
      <c r="G30" s="745">
        <f>Gas!K35+Submetering!AR30</f>
        <v>1861.68</v>
      </c>
      <c r="H30" s="744">
        <v>3.8</v>
      </c>
      <c r="I30" s="745">
        <f>Water!H35+Submetering!AM30</f>
        <v>327.98999999999785</v>
      </c>
      <c r="J30" s="744">
        <v>10</v>
      </c>
      <c r="K30" s="745">
        <f>Elect!BT34</f>
        <v>235</v>
      </c>
    </row>
    <row r="31" spans="1:11">
      <c r="A31" s="752" t="s">
        <v>37</v>
      </c>
      <c r="B31" s="729">
        <f t="shared" si="0"/>
        <v>30</v>
      </c>
      <c r="C31" s="771">
        <v>12</v>
      </c>
      <c r="D31" s="751">
        <v>2022</v>
      </c>
      <c r="E31" s="746">
        <f>Elect!BS35+Submetering!AH31</f>
        <v>22872.520555517425</v>
      </c>
      <c r="F31" s="744">
        <f t="shared" si="1"/>
        <v>1.3812354805101479</v>
      </c>
      <c r="G31" s="745">
        <f>Gas!K36+Submetering!AR31</f>
        <v>1804.6755555523373</v>
      </c>
      <c r="H31" s="744">
        <v>3.8</v>
      </c>
      <c r="I31" s="745">
        <f>Water!H36+Submetering!AM31</f>
        <v>327.41000000017516</v>
      </c>
      <c r="J31" s="744">
        <v>10</v>
      </c>
      <c r="K31" s="745">
        <f>Elect!BT35</f>
        <v>240</v>
      </c>
    </row>
    <row r="32" spans="1:11">
      <c r="A32" s="753" t="s">
        <v>37</v>
      </c>
      <c r="B32" s="754">
        <f t="shared" si="0"/>
        <v>31</v>
      </c>
      <c r="C32" s="771">
        <v>12</v>
      </c>
      <c r="D32" s="751">
        <v>2022</v>
      </c>
      <c r="E32" s="746">
        <f>Elect!BS36+Submetering!AH32</f>
        <v>22940.956249999999</v>
      </c>
      <c r="F32" s="744">
        <f t="shared" si="1"/>
        <v>1.3812354805101479</v>
      </c>
      <c r="G32" s="745">
        <f>Gas!K37+Submetering!AR32</f>
        <v>1818.9266666661506</v>
      </c>
      <c r="H32" s="744">
        <v>3.8</v>
      </c>
      <c r="I32" s="745">
        <f>Water!H37+Submetering!AM32</f>
        <v>327.55500000000836</v>
      </c>
      <c r="J32" s="744">
        <v>10</v>
      </c>
      <c r="K32" s="745">
        <f>Elect!BT36</f>
        <v>236.333333333333</v>
      </c>
    </row>
  </sheetData>
  <sheetProtection algorithmName="SHA-512" hashValue="U7N3bZL7jzTljMiMfTUAJOCz7kcvDqh6WHx/YBoizHeP/ehd8VYNsbIL5tc/3wU1NSG/1G/tDFzQ2BwOzlKTBQ==" saltValue="513ecqZcJVpXdgMQfYuaWA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S33"/>
  <sheetViews>
    <sheetView topLeftCell="O1" workbookViewId="0">
      <selection activeCell="C2" sqref="C2"/>
    </sheetView>
  </sheetViews>
  <sheetFormatPr defaultRowHeight="12.75"/>
  <cols>
    <col min="1" max="1" width="25.7109375" customWidth="1"/>
    <col min="6" max="34" width="20.7109375" customWidth="1"/>
    <col min="36" max="36" width="24.42578125" customWidth="1"/>
    <col min="37" max="37" width="25.7109375" customWidth="1"/>
    <col min="38" max="39" width="25.42578125" customWidth="1"/>
    <col min="40" max="40" width="10.28515625" customWidth="1"/>
    <col min="41" max="41" width="26.7109375" customWidth="1"/>
    <col min="42" max="42" width="30" customWidth="1"/>
    <col min="43" max="44" width="35.42578125" customWidth="1"/>
    <col min="45" max="45" width="10.5703125" style="97" customWidth="1"/>
    <col min="46" max="46" width="20.7109375" customWidth="1"/>
  </cols>
  <sheetData>
    <row r="1" spans="1:45" s="10" customFormat="1" ht="25.5" customHeight="1">
      <c r="A1" s="740" t="s">
        <v>26</v>
      </c>
      <c r="B1" s="741" t="s">
        <v>27</v>
      </c>
      <c r="C1" s="741" t="s">
        <v>28</v>
      </c>
      <c r="D1" s="741" t="s">
        <v>29</v>
      </c>
      <c r="E1" s="841" t="s">
        <v>40</v>
      </c>
      <c r="F1" s="736" t="s">
        <v>41</v>
      </c>
      <c r="G1" s="737" t="s">
        <v>42</v>
      </c>
      <c r="H1" s="736" t="s">
        <v>43</v>
      </c>
      <c r="I1" s="736" t="s">
        <v>44</v>
      </c>
      <c r="J1" s="736" t="s">
        <v>45</v>
      </c>
      <c r="K1" s="730" t="s">
        <v>46</v>
      </c>
      <c r="L1" s="730" t="s">
        <v>47</v>
      </c>
      <c r="M1" s="755" t="s">
        <v>48</v>
      </c>
      <c r="N1" s="755" t="s">
        <v>49</v>
      </c>
      <c r="O1" s="755" t="s">
        <v>50</v>
      </c>
      <c r="P1" s="755" t="s">
        <v>51</v>
      </c>
      <c r="Q1" s="755" t="s">
        <v>52</v>
      </c>
      <c r="R1" s="755" t="s">
        <v>53</v>
      </c>
      <c r="S1" s="785" t="s">
        <v>54</v>
      </c>
      <c r="T1" s="755" t="s">
        <v>55</v>
      </c>
      <c r="U1" s="755" t="s">
        <v>56</v>
      </c>
      <c r="V1" s="755" t="s">
        <v>57</v>
      </c>
      <c r="W1" s="785" t="s">
        <v>58</v>
      </c>
      <c r="X1" s="755" t="s">
        <v>59</v>
      </c>
      <c r="Y1" s="785" t="s">
        <v>60</v>
      </c>
      <c r="Z1" s="755" t="s">
        <v>61</v>
      </c>
      <c r="AA1" s="785" t="s">
        <v>62</v>
      </c>
      <c r="AB1" s="755" t="s">
        <v>63</v>
      </c>
      <c r="AC1" s="755" t="s">
        <v>64</v>
      </c>
      <c r="AD1" s="785" t="s">
        <v>65</v>
      </c>
      <c r="AE1" s="755" t="s">
        <v>66</v>
      </c>
      <c r="AF1" s="755" t="s">
        <v>67</v>
      </c>
      <c r="AG1" s="755" t="s">
        <v>68</v>
      </c>
      <c r="AH1" s="755" t="s">
        <v>69</v>
      </c>
      <c r="AI1" s="841" t="s">
        <v>70</v>
      </c>
      <c r="AJ1" s="755" t="s">
        <v>71</v>
      </c>
      <c r="AK1" s="755" t="s">
        <v>72</v>
      </c>
      <c r="AL1" s="755" t="s">
        <v>73</v>
      </c>
      <c r="AM1" s="755" t="s">
        <v>74</v>
      </c>
      <c r="AN1" s="841" t="s">
        <v>75</v>
      </c>
      <c r="AO1" s="755" t="s">
        <v>76</v>
      </c>
      <c r="AP1" s="755" t="s">
        <v>77</v>
      </c>
      <c r="AQ1" s="755" t="s">
        <v>78</v>
      </c>
      <c r="AR1" s="755" t="s">
        <v>74</v>
      </c>
      <c r="AS1" s="742" t="s">
        <v>36</v>
      </c>
    </row>
    <row r="2" spans="1:45" ht="19.5" customHeight="1">
      <c r="A2" s="749" t="s">
        <v>37</v>
      </c>
      <c r="B2" s="750">
        <v>1</v>
      </c>
      <c r="C2" s="771">
        <v>12</v>
      </c>
      <c r="D2" s="751">
        <v>2022</v>
      </c>
      <c r="E2" s="842"/>
      <c r="F2" s="738">
        <f>Elect!J6</f>
        <v>5035.166666701436</v>
      </c>
      <c r="G2" s="738">
        <f>Elect!K6</f>
        <v>4149.3333333330229</v>
      </c>
      <c r="H2" s="738">
        <f>Elect!Q6</f>
        <v>510</v>
      </c>
      <c r="I2" s="738">
        <f>Elect!S6</f>
        <v>138.33333333299379</v>
      </c>
      <c r="J2" s="738">
        <f>Elect!U6</f>
        <v>224.33333333302289</v>
      </c>
      <c r="K2" s="738">
        <f>Elect!W6</f>
        <v>3837.5533333334979</v>
      </c>
      <c r="L2" s="738">
        <f>Elect!Y6</f>
        <v>0</v>
      </c>
      <c r="M2" s="738">
        <f>Elect!AA6</f>
        <v>2646.82</v>
      </c>
      <c r="N2" s="738">
        <f>Elect!AC6</f>
        <v>0</v>
      </c>
      <c r="O2" s="738">
        <f>Elect!AE6</f>
        <v>12.72</v>
      </c>
      <c r="P2" s="738">
        <f>Elect!AG6</f>
        <v>8.3033333351020708</v>
      </c>
      <c r="Q2" s="738">
        <f>Elect!AI6</f>
        <v>368.08500000000004</v>
      </c>
      <c r="R2" s="738">
        <f>Elect!AK6</f>
        <v>2130.953333333498</v>
      </c>
      <c r="S2" s="738">
        <f>Elect!AM6</f>
        <v>126.67</v>
      </c>
      <c r="T2" s="738">
        <f>Elect!AP6</f>
        <v>173.32500000034926</v>
      </c>
      <c r="U2" s="738">
        <f>Elect!AR6</f>
        <v>187</v>
      </c>
      <c r="V2" s="738">
        <f>Elect!AT6</f>
        <v>117.33333333329938</v>
      </c>
      <c r="W2" s="738">
        <f>Elect!AV6</f>
        <v>46.166666666977108</v>
      </c>
      <c r="X2" s="738">
        <f>Elect!AX6</f>
        <v>1079.1666666697711</v>
      </c>
      <c r="Y2" s="738">
        <f>Elect!AZ6</f>
        <v>10.333333332993789</v>
      </c>
      <c r="Z2" s="738">
        <f>Elect!BB6</f>
        <v>4754.666666701436</v>
      </c>
      <c r="AA2" s="738">
        <f>Elect!BD6</f>
        <v>236</v>
      </c>
      <c r="AB2" s="738">
        <f>Elect!BF6</f>
        <v>0</v>
      </c>
      <c r="AC2" s="738">
        <f>Elect!BH6</f>
        <v>5636.1999999655418</v>
      </c>
      <c r="AD2" s="738">
        <f>Elect!BL6</f>
        <v>338</v>
      </c>
      <c r="AE2" s="738">
        <f>Elect!BN6</f>
        <v>967</v>
      </c>
      <c r="AF2" s="738">
        <f>Elect!BP6</f>
        <v>137</v>
      </c>
      <c r="AG2" s="738">
        <f>Elect!BR6</f>
        <v>136.33333333302289</v>
      </c>
      <c r="AH2" s="738">
        <f>Boat!C4</f>
        <v>0</v>
      </c>
      <c r="AI2" s="842"/>
      <c r="AJ2" s="738">
        <f>Water!C7</f>
        <v>253.26666666686359</v>
      </c>
      <c r="AK2" s="738">
        <f>Water!E7</f>
        <v>322.86666666686358</v>
      </c>
      <c r="AL2" s="738">
        <f>Water!G7</f>
        <v>243.01999999999998</v>
      </c>
      <c r="AM2" s="738">
        <f>Boat!E4</f>
        <v>0</v>
      </c>
      <c r="AN2" s="842"/>
      <c r="AO2" s="738">
        <f>Gas!C7</f>
        <v>1396.02</v>
      </c>
      <c r="AP2" s="738">
        <f>Gas!E7</f>
        <v>407.16666666688394</v>
      </c>
      <c r="AQ2" s="738">
        <f>Gas!G7</f>
        <v>65.444444444030523</v>
      </c>
      <c r="AR2" s="738">
        <f>Boat!G4</f>
        <v>0</v>
      </c>
      <c r="AS2" s="745">
        <f>Elect!BT6</f>
        <v>210</v>
      </c>
    </row>
    <row r="3" spans="1:45" ht="12.75" customHeight="1">
      <c r="A3" s="752" t="s">
        <v>37</v>
      </c>
      <c r="B3" s="729">
        <f>B2+1</f>
        <v>2</v>
      </c>
      <c r="C3" s="771">
        <v>12</v>
      </c>
      <c r="D3" s="751">
        <v>2022</v>
      </c>
      <c r="E3" s="842"/>
      <c r="F3" s="738">
        <f>Elect!J7</f>
        <v>6579</v>
      </c>
      <c r="G3" s="738">
        <f>Elect!K7</f>
        <v>3507</v>
      </c>
      <c r="H3" s="738">
        <f>Elect!Q7</f>
        <v>510</v>
      </c>
      <c r="I3" s="738">
        <f>Elect!S7</f>
        <v>137</v>
      </c>
      <c r="J3" s="738">
        <f>Elect!U7</f>
        <v>251</v>
      </c>
      <c r="K3" s="738">
        <f>Elect!W7</f>
        <v>988.98</v>
      </c>
      <c r="L3" s="738">
        <f>Elect!Y7</f>
        <v>0</v>
      </c>
      <c r="M3" s="738">
        <f>Elect!AA7</f>
        <v>2176.71</v>
      </c>
      <c r="N3" s="738">
        <f>Elect!AC7</f>
        <v>0</v>
      </c>
      <c r="O3" s="738">
        <f>Elect!AE7</f>
        <v>9.5400000000000009</v>
      </c>
      <c r="P3" s="738">
        <f>Elect!AG7</f>
        <v>11.66</v>
      </c>
      <c r="Q3" s="738">
        <f>Elect!AI7</f>
        <v>328.6</v>
      </c>
      <c r="R3" s="738">
        <f>Elect!AK7</f>
        <v>2198.9700000000003</v>
      </c>
      <c r="S3" s="738">
        <f>Elect!AM7</f>
        <v>111.83000000000001</v>
      </c>
      <c r="T3" s="738">
        <f>Elect!AP7</f>
        <v>125.325</v>
      </c>
      <c r="U3" s="738">
        <f>Elect!AR7</f>
        <v>211</v>
      </c>
      <c r="V3" s="738">
        <f>Elect!AT7</f>
        <v>155</v>
      </c>
      <c r="W3" s="738">
        <f>Elect!AV7</f>
        <v>30</v>
      </c>
      <c r="X3" s="738">
        <f>Elect!AX7</f>
        <v>922</v>
      </c>
      <c r="Y3" s="738">
        <f>Elect!AZ7</f>
        <v>10</v>
      </c>
      <c r="Z3" s="738">
        <f>Elect!BB7</f>
        <v>4485</v>
      </c>
      <c r="AA3" s="738">
        <f>Elect!BD7</f>
        <v>201</v>
      </c>
      <c r="AB3" s="738">
        <f>Elect!BF7</f>
        <v>10</v>
      </c>
      <c r="AC3" s="738">
        <f>Elect!BH7</f>
        <v>5407.1</v>
      </c>
      <c r="AD3" s="738">
        <f>Elect!BL7</f>
        <v>263</v>
      </c>
      <c r="AE3" s="738">
        <f>Elect!BN7</f>
        <v>875</v>
      </c>
      <c r="AF3" s="738">
        <f>Elect!BP7</f>
        <v>127</v>
      </c>
      <c r="AG3" s="738">
        <f>Elect!BR7</f>
        <v>134</v>
      </c>
      <c r="AH3" s="738">
        <f>Boat!C5</f>
        <v>0</v>
      </c>
      <c r="AI3" s="842"/>
      <c r="AJ3" s="738">
        <f>Water!C8</f>
        <v>22.555555555649335</v>
      </c>
      <c r="AK3" s="738">
        <f>Water!E8</f>
        <v>35.7666666668636</v>
      </c>
      <c r="AL3" s="738">
        <f>Water!G8</f>
        <v>121.21999999999998</v>
      </c>
      <c r="AM3" s="738">
        <f>Boat!E5</f>
        <v>0</v>
      </c>
      <c r="AN3" s="842"/>
      <c r="AO3" s="738">
        <f>Gas!C8</f>
        <v>1643</v>
      </c>
      <c r="AP3" s="738">
        <f>Gas!E8</f>
        <v>345.79999999999995</v>
      </c>
      <c r="AQ3" s="738">
        <f>Gas!G8</f>
        <v>90.888888888992369</v>
      </c>
      <c r="AR3" s="738">
        <f>Boat!G5</f>
        <v>0</v>
      </c>
      <c r="AS3" s="745">
        <f>Elect!BT7</f>
        <v>242</v>
      </c>
    </row>
    <row r="4" spans="1:45" ht="12.75" customHeight="1">
      <c r="A4" s="752" t="s">
        <v>37</v>
      </c>
      <c r="B4" s="729">
        <f t="shared" ref="B4:B31" si="0">B3+1</f>
        <v>3</v>
      </c>
      <c r="C4" s="771">
        <v>12</v>
      </c>
      <c r="D4" s="751">
        <v>2022</v>
      </c>
      <c r="E4" s="842"/>
      <c r="F4" s="738">
        <f>Elect!J8</f>
        <v>5998</v>
      </c>
      <c r="G4" s="738">
        <f>Elect!K8</f>
        <v>3618</v>
      </c>
      <c r="H4" s="738">
        <f>Elect!Q8</f>
        <v>480</v>
      </c>
      <c r="I4" s="738">
        <f>Elect!S8</f>
        <v>139</v>
      </c>
      <c r="J4" s="738">
        <f>Elect!U8</f>
        <v>257</v>
      </c>
      <c r="K4" s="738">
        <f>Elect!W8</f>
        <v>3490.05</v>
      </c>
      <c r="L4" s="738">
        <f>Elect!Y8</f>
        <v>0</v>
      </c>
      <c r="M4" s="738">
        <f>Elect!AA8</f>
        <v>0</v>
      </c>
      <c r="N4" s="738">
        <f>Elect!AC8</f>
        <v>0</v>
      </c>
      <c r="O4" s="738">
        <f>Elect!AE8</f>
        <v>13.25</v>
      </c>
      <c r="P4" s="738">
        <f>Elect!AG8</f>
        <v>12.190000000000001</v>
      </c>
      <c r="Q4" s="738">
        <f>Elect!AI8</f>
        <v>393.79</v>
      </c>
      <c r="R4" s="738">
        <f>Elect!AK8</f>
        <v>2473.5100000000002</v>
      </c>
      <c r="S4" s="738">
        <f>Elect!AM8</f>
        <v>115.54</v>
      </c>
      <c r="T4" s="738">
        <f>Elect!AP8</f>
        <v>147.375</v>
      </c>
      <c r="U4" s="738">
        <f>Elect!AR8</f>
        <v>183</v>
      </c>
      <c r="V4" s="738">
        <f>Elect!AT8</f>
        <v>144</v>
      </c>
      <c r="W4" s="738">
        <f>Elect!AV8</f>
        <v>32</v>
      </c>
      <c r="X4" s="738">
        <f>Elect!AX8</f>
        <v>976</v>
      </c>
      <c r="Y4" s="738">
        <f>Elect!AZ8</f>
        <v>11</v>
      </c>
      <c r="Z4" s="738">
        <f>Elect!BB8</f>
        <v>4908</v>
      </c>
      <c r="AA4" s="738">
        <f>Elect!BD8</f>
        <v>216</v>
      </c>
      <c r="AB4" s="738">
        <f>Elect!BF8</f>
        <v>100</v>
      </c>
      <c r="AC4" s="738">
        <f>Elect!BH8</f>
        <v>5646.85</v>
      </c>
      <c r="AD4" s="738">
        <f>Elect!BL8</f>
        <v>270</v>
      </c>
      <c r="AE4" s="738">
        <f>Elect!BN8</f>
        <v>1040</v>
      </c>
      <c r="AF4" s="738">
        <f>Elect!BP8</f>
        <v>107</v>
      </c>
      <c r="AG4" s="738">
        <f>Elect!BR8</f>
        <v>149</v>
      </c>
      <c r="AH4" s="738">
        <f>Boat!C6</f>
        <v>0</v>
      </c>
      <c r="AI4" s="842"/>
      <c r="AJ4" s="738">
        <f>Water!C9</f>
        <v>85.711111111214265</v>
      </c>
      <c r="AK4" s="738">
        <f>Water!E9</f>
        <v>107.3</v>
      </c>
      <c r="AL4" s="738">
        <f>Water!G9</f>
        <v>46.4</v>
      </c>
      <c r="AM4" s="738">
        <f>Boat!E6</f>
        <v>0</v>
      </c>
      <c r="AN4" s="842"/>
      <c r="AO4" s="738">
        <f>Gas!C9</f>
        <v>1643</v>
      </c>
      <c r="AP4" s="738">
        <f>Gas!E9</f>
        <v>345.79999999999995</v>
      </c>
      <c r="AQ4" s="738">
        <f>Gas!G9</f>
        <v>81.333333333022892</v>
      </c>
      <c r="AR4" s="738">
        <f>Boat!G6</f>
        <v>0</v>
      </c>
      <c r="AS4" s="745">
        <f>Elect!BT8</f>
        <v>225</v>
      </c>
    </row>
    <row r="5" spans="1:45" ht="12.75" customHeight="1">
      <c r="A5" s="752" t="s">
        <v>37</v>
      </c>
      <c r="B5" s="729">
        <f t="shared" si="0"/>
        <v>4</v>
      </c>
      <c r="C5" s="771">
        <v>12</v>
      </c>
      <c r="D5" s="751">
        <v>2022</v>
      </c>
      <c r="E5" s="842"/>
      <c r="F5" s="738">
        <f>Elect!J9</f>
        <v>6469</v>
      </c>
      <c r="G5" s="738">
        <f>Elect!K9</f>
        <v>3537</v>
      </c>
      <c r="H5" s="738">
        <f>Elect!Q9</f>
        <v>510</v>
      </c>
      <c r="I5" s="738">
        <f>Elect!S9</f>
        <v>143</v>
      </c>
      <c r="J5" s="738">
        <f>Elect!U9</f>
        <v>263</v>
      </c>
      <c r="K5" s="738">
        <f>Elect!W9</f>
        <v>448.38</v>
      </c>
      <c r="L5" s="738">
        <f>Elect!Y9</f>
        <v>0</v>
      </c>
      <c r="M5" s="738">
        <f>Elect!AA9</f>
        <v>2972.2400000000002</v>
      </c>
      <c r="N5" s="738">
        <f>Elect!AC9</f>
        <v>0</v>
      </c>
      <c r="O5" s="738">
        <f>Elect!AE9</f>
        <v>13.780000000000001</v>
      </c>
      <c r="P5" s="738">
        <f>Elect!AG9</f>
        <v>12.190000000000001</v>
      </c>
      <c r="Q5" s="738">
        <f>Elect!AI9</f>
        <v>204.05</v>
      </c>
      <c r="R5" s="738">
        <f>Elect!AK9</f>
        <v>2271.0500000000002</v>
      </c>
      <c r="S5" s="738">
        <f>Elect!AM9</f>
        <v>111.30000000000001</v>
      </c>
      <c r="T5" s="738">
        <f>Elect!AP9</f>
        <v>151.53749999999999</v>
      </c>
      <c r="U5" s="738">
        <f>Elect!AR9</f>
        <v>191</v>
      </c>
      <c r="V5" s="738">
        <f>Elect!AT9</f>
        <v>160</v>
      </c>
      <c r="W5" s="738">
        <f>Elect!AV9</f>
        <v>32</v>
      </c>
      <c r="X5" s="738">
        <f>Elect!AX9</f>
        <v>924</v>
      </c>
      <c r="Y5" s="738">
        <f>Elect!AZ9</f>
        <v>10</v>
      </c>
      <c r="Z5" s="738">
        <f>Elect!BB9</f>
        <v>5200</v>
      </c>
      <c r="AA5" s="738">
        <f>Elect!BD9</f>
        <v>227</v>
      </c>
      <c r="AB5" s="738">
        <f>Elect!BF9</f>
        <v>0</v>
      </c>
      <c r="AC5" s="738">
        <f>Elect!BH9</f>
        <v>5689.1</v>
      </c>
      <c r="AD5" s="738">
        <f>Elect!BL9</f>
        <v>278</v>
      </c>
      <c r="AE5" s="738">
        <f>Elect!BN9</f>
        <v>1025</v>
      </c>
      <c r="AF5" s="738">
        <f>Elect!BP9</f>
        <v>137</v>
      </c>
      <c r="AG5" s="738">
        <f>Elect!BR9</f>
        <v>153</v>
      </c>
      <c r="AH5" s="738">
        <f>Boat!C7</f>
        <v>0</v>
      </c>
      <c r="AI5" s="842"/>
      <c r="AJ5" s="738">
        <f>Water!C10</f>
        <v>83.133333333136392</v>
      </c>
      <c r="AK5" s="738">
        <f>Water!E10</f>
        <v>106.33333333313639</v>
      </c>
      <c r="AL5" s="738">
        <f>Water!G10</f>
        <v>83.52</v>
      </c>
      <c r="AM5" s="738">
        <f>Boat!E7</f>
        <v>0</v>
      </c>
      <c r="AN5" s="842"/>
      <c r="AO5" s="738">
        <f>Gas!C10</f>
        <v>1643</v>
      </c>
      <c r="AP5" s="738">
        <f>Gas!E10</f>
        <v>338.79999999999995</v>
      </c>
      <c r="AQ5" s="738">
        <f>Gas!G10</f>
        <v>95.666666666977108</v>
      </c>
      <c r="AR5" s="738">
        <f>Boat!G7</f>
        <v>0</v>
      </c>
      <c r="AS5" s="745">
        <f>Elect!BT9</f>
        <v>236</v>
      </c>
    </row>
    <row r="6" spans="1:45" ht="12.75" customHeight="1">
      <c r="A6" s="752" t="s">
        <v>37</v>
      </c>
      <c r="B6" s="729">
        <f t="shared" si="0"/>
        <v>5</v>
      </c>
      <c r="C6" s="771">
        <v>12</v>
      </c>
      <c r="D6" s="751">
        <v>2022</v>
      </c>
      <c r="E6" s="842"/>
      <c r="F6" s="738">
        <f>Elect!J10</f>
        <v>6327</v>
      </c>
      <c r="G6" s="738">
        <f>Elect!K10</f>
        <v>4093</v>
      </c>
      <c r="H6" s="738">
        <f>Elect!Q10</f>
        <v>450</v>
      </c>
      <c r="I6" s="738">
        <f>Elect!S10</f>
        <v>144</v>
      </c>
      <c r="J6" s="738">
        <f>Elect!U10</f>
        <v>257</v>
      </c>
      <c r="K6" s="738">
        <f>Elect!W10</f>
        <v>2495.2400000000002</v>
      </c>
      <c r="L6" s="738">
        <f>Elect!Y10</f>
        <v>0</v>
      </c>
      <c r="M6" s="738">
        <f>Elect!AA10</f>
        <v>958.24</v>
      </c>
      <c r="N6" s="738">
        <f>Elect!AC10</f>
        <v>0</v>
      </c>
      <c r="O6" s="738">
        <f>Elect!AE10</f>
        <v>13.25</v>
      </c>
      <c r="P6" s="738">
        <f>Elect!AG10</f>
        <v>12.190000000000001</v>
      </c>
      <c r="Q6" s="738">
        <f>Elect!AI10</f>
        <v>191.86</v>
      </c>
      <c r="R6" s="738">
        <f>Elect!AK10</f>
        <v>2385</v>
      </c>
      <c r="S6" s="738">
        <f>Elect!AM10</f>
        <v>118.72</v>
      </c>
      <c r="T6" s="738">
        <f>Elect!AP10</f>
        <v>131.625</v>
      </c>
      <c r="U6" s="738">
        <f>Elect!AR10</f>
        <v>203</v>
      </c>
      <c r="V6" s="738">
        <f>Elect!AT10</f>
        <v>150</v>
      </c>
      <c r="W6" s="738">
        <f>Elect!AV10</f>
        <v>34</v>
      </c>
      <c r="X6" s="738">
        <f>Elect!AX10</f>
        <v>951</v>
      </c>
      <c r="Y6" s="738">
        <f>Elect!AZ10</f>
        <v>11</v>
      </c>
      <c r="Z6" s="738">
        <f>Elect!BB10</f>
        <v>4895</v>
      </c>
      <c r="AA6" s="738">
        <f>Elect!BD10</f>
        <v>242</v>
      </c>
      <c r="AB6" s="738">
        <f>Elect!BF10</f>
        <v>5</v>
      </c>
      <c r="AC6" s="738">
        <f>Elect!BH10</f>
        <v>5631.6</v>
      </c>
      <c r="AD6" s="738">
        <f>Elect!BL10</f>
        <v>281</v>
      </c>
      <c r="AE6" s="738">
        <f>Elect!BN10</f>
        <v>986</v>
      </c>
      <c r="AF6" s="738">
        <f>Elect!BP10</f>
        <v>146</v>
      </c>
      <c r="AG6" s="738">
        <f>Elect!BR10</f>
        <v>157</v>
      </c>
      <c r="AH6" s="738">
        <f>Boat!C8</f>
        <v>0</v>
      </c>
      <c r="AI6" s="842"/>
      <c r="AJ6" s="738">
        <f>Water!C11</f>
        <v>87</v>
      </c>
      <c r="AK6" s="738">
        <f>Water!E11</f>
        <v>110.19999999999999</v>
      </c>
      <c r="AL6" s="738">
        <f>Water!G11</f>
        <v>128.17999999999998</v>
      </c>
      <c r="AM6" s="738">
        <f>Boat!E8</f>
        <v>0</v>
      </c>
      <c r="AN6" s="842"/>
      <c r="AO6" s="738">
        <f>Gas!C11</f>
        <v>1643</v>
      </c>
      <c r="AP6" s="738">
        <f>Gas!E11</f>
        <v>338.79999999999995</v>
      </c>
      <c r="AQ6" s="738">
        <f>Gas!G11</f>
        <v>97</v>
      </c>
      <c r="AR6" s="738">
        <f>Boat!G8</f>
        <v>0</v>
      </c>
      <c r="AS6" s="745">
        <f>Elect!BT10</f>
        <v>216</v>
      </c>
    </row>
    <row r="7" spans="1:45" ht="12.75" customHeight="1">
      <c r="A7" s="752" t="s">
        <v>37</v>
      </c>
      <c r="B7" s="729">
        <f t="shared" si="0"/>
        <v>6</v>
      </c>
      <c r="C7" s="771">
        <v>12</v>
      </c>
      <c r="D7" s="751">
        <v>2022</v>
      </c>
      <c r="E7" s="842"/>
      <c r="F7" s="738">
        <f>Elect!J11</f>
        <v>6729</v>
      </c>
      <c r="G7" s="738">
        <f>Elect!K11</f>
        <v>3438</v>
      </c>
      <c r="H7" s="738">
        <f>Elect!Q11</f>
        <v>450</v>
      </c>
      <c r="I7" s="738">
        <f>Elect!S11</f>
        <v>148</v>
      </c>
      <c r="J7" s="738">
        <f>Elect!U11</f>
        <v>268</v>
      </c>
      <c r="K7" s="738">
        <f>Elect!W11</f>
        <v>620.63</v>
      </c>
      <c r="L7" s="738">
        <f>Elect!Y11</f>
        <v>0</v>
      </c>
      <c r="M7" s="738">
        <f>Elect!AA11</f>
        <v>169.60000000000002</v>
      </c>
      <c r="N7" s="738">
        <f>Elect!AC11</f>
        <v>0</v>
      </c>
      <c r="O7" s="738">
        <f>Elect!AE11</f>
        <v>13.780000000000001</v>
      </c>
      <c r="P7" s="738">
        <f>Elect!AG11</f>
        <v>11.66</v>
      </c>
      <c r="Q7" s="738">
        <f>Elect!AI11</f>
        <v>160.59</v>
      </c>
      <c r="R7" s="738">
        <f>Elect!AK11</f>
        <v>2593.8200000000002</v>
      </c>
      <c r="S7" s="738">
        <f>Elect!AM11</f>
        <v>116.07000000000001</v>
      </c>
      <c r="T7" s="738">
        <f>Elect!AP11</f>
        <v>125.21250000000001</v>
      </c>
      <c r="U7" s="738">
        <f>Elect!AR11</f>
        <v>200</v>
      </c>
      <c r="V7" s="738">
        <f>Elect!AT11</f>
        <v>131</v>
      </c>
      <c r="W7" s="738">
        <f>Elect!AV11</f>
        <v>33</v>
      </c>
      <c r="X7" s="738">
        <f>Elect!AX11</f>
        <v>1073</v>
      </c>
      <c r="Y7" s="738">
        <f>Elect!AZ11</f>
        <v>11</v>
      </c>
      <c r="Z7" s="738">
        <f>Elect!BB11</f>
        <v>4663</v>
      </c>
      <c r="AA7" s="738">
        <f>Elect!BD11</f>
        <v>233</v>
      </c>
      <c r="AB7" s="738">
        <f>Elect!BF11</f>
        <v>108</v>
      </c>
      <c r="AC7" s="738">
        <f>Elect!BH11</f>
        <v>5838.85</v>
      </c>
      <c r="AD7" s="738">
        <f>Elect!BL11</f>
        <v>286</v>
      </c>
      <c r="AE7" s="738">
        <f>Elect!BN11</f>
        <v>1042</v>
      </c>
      <c r="AF7" s="738">
        <f>Elect!BP11</f>
        <v>145</v>
      </c>
      <c r="AG7" s="738">
        <f>Elect!BR11</f>
        <v>158</v>
      </c>
      <c r="AH7" s="738">
        <f>Boat!C9</f>
        <v>0</v>
      </c>
      <c r="AI7" s="842"/>
      <c r="AJ7" s="738">
        <f>Water!C12</f>
        <v>81.199999999999989</v>
      </c>
      <c r="AK7" s="738">
        <f>Water!E12</f>
        <v>104.39999999999999</v>
      </c>
      <c r="AL7" s="738">
        <f>Water!G12</f>
        <v>129.34</v>
      </c>
      <c r="AM7" s="738">
        <f>Boat!E9</f>
        <v>0</v>
      </c>
      <c r="AN7" s="842"/>
      <c r="AO7" s="738">
        <f>Gas!C12</f>
        <v>1643</v>
      </c>
      <c r="AP7" s="738">
        <f>Gas!E12</f>
        <v>317.09999999999997</v>
      </c>
      <c r="AQ7" s="738">
        <f>Gas!G12</f>
        <v>95</v>
      </c>
      <c r="AR7" s="738">
        <f>Boat!G9</f>
        <v>0</v>
      </c>
      <c r="AS7" s="745">
        <f>Elect!BT11</f>
        <v>198</v>
      </c>
    </row>
    <row r="8" spans="1:45" ht="12.75" customHeight="1">
      <c r="A8" s="752" t="s">
        <v>37</v>
      </c>
      <c r="B8" s="729">
        <f t="shared" si="0"/>
        <v>7</v>
      </c>
      <c r="C8" s="771">
        <v>12</v>
      </c>
      <c r="D8" s="751">
        <v>2022</v>
      </c>
      <c r="E8" s="842"/>
      <c r="F8" s="738">
        <f>Elect!J12</f>
        <v>6469</v>
      </c>
      <c r="G8" s="738">
        <f>Elect!K12</f>
        <v>4925</v>
      </c>
      <c r="H8" s="738">
        <f>Elect!Q12</f>
        <v>480</v>
      </c>
      <c r="I8" s="738">
        <f>Elect!S12</f>
        <v>139</v>
      </c>
      <c r="J8" s="738">
        <f>Elect!U12</f>
        <v>254</v>
      </c>
      <c r="K8" s="738">
        <f>Elect!W12</f>
        <v>5764.81</v>
      </c>
      <c r="L8" s="738">
        <f>Elect!Y12</f>
        <v>0</v>
      </c>
      <c r="M8" s="738">
        <f>Elect!AA12</f>
        <v>43.46</v>
      </c>
      <c r="N8" s="738">
        <f>Elect!AC12</f>
        <v>0</v>
      </c>
      <c r="O8" s="738">
        <f>Elect!AE12</f>
        <v>13.25</v>
      </c>
      <c r="P8" s="738">
        <f>Elect!AG12</f>
        <v>12.190000000000001</v>
      </c>
      <c r="Q8" s="738">
        <f>Elect!AI12</f>
        <v>216.77</v>
      </c>
      <c r="R8" s="738">
        <f>Elect!AK12</f>
        <v>2291.19</v>
      </c>
      <c r="S8" s="738">
        <f>Elect!AM12</f>
        <v>117.66000000000001</v>
      </c>
      <c r="T8" s="738">
        <f>Elect!AP12</f>
        <v>157.38750000000002</v>
      </c>
      <c r="U8" s="738">
        <f>Elect!AR12</f>
        <v>195</v>
      </c>
      <c r="V8" s="738">
        <f>Elect!AT12</f>
        <v>162</v>
      </c>
      <c r="W8" s="738">
        <f>Elect!AV12</f>
        <v>46</v>
      </c>
      <c r="X8" s="738">
        <f>Elect!AX12</f>
        <v>827</v>
      </c>
      <c r="Y8" s="738">
        <f>Elect!AZ12</f>
        <v>11</v>
      </c>
      <c r="Z8" s="738">
        <f>Elect!BB12</f>
        <v>5060</v>
      </c>
      <c r="AA8" s="738">
        <f>Elect!BD12</f>
        <v>246</v>
      </c>
      <c r="AB8" s="738">
        <f>Elect!BF12</f>
        <v>72</v>
      </c>
      <c r="AC8" s="738">
        <f>Elect!BH12</f>
        <v>5816.4</v>
      </c>
      <c r="AD8" s="738">
        <f>Elect!BL12</f>
        <v>275</v>
      </c>
      <c r="AE8" s="738">
        <f>Elect!BN12</f>
        <v>1145</v>
      </c>
      <c r="AF8" s="738">
        <f>Elect!BP12</f>
        <v>143</v>
      </c>
      <c r="AG8" s="738">
        <f>Elect!BR12</f>
        <v>153</v>
      </c>
      <c r="AH8" s="738">
        <f>Boat!C10</f>
        <v>0</v>
      </c>
      <c r="AI8" s="842"/>
      <c r="AJ8" s="738">
        <f>Water!C13</f>
        <v>85.066666666863597</v>
      </c>
      <c r="AK8" s="738">
        <f>Water!E13</f>
        <v>108.2666666668636</v>
      </c>
      <c r="AL8" s="738">
        <f>Water!G13</f>
        <v>64.959999999999994</v>
      </c>
      <c r="AM8" s="738">
        <f>Boat!E10</f>
        <v>0</v>
      </c>
      <c r="AN8" s="842"/>
      <c r="AO8" s="738">
        <f>Gas!C13</f>
        <v>1643</v>
      </c>
      <c r="AP8" s="738">
        <f>Gas!E13</f>
        <v>331.56666666688398</v>
      </c>
      <c r="AQ8" s="738">
        <f>Gas!G13</f>
        <v>96.333333333022892</v>
      </c>
      <c r="AR8" s="738">
        <f>Boat!G10</f>
        <v>0</v>
      </c>
      <c r="AS8" s="745">
        <f>Elect!BT12</f>
        <v>184</v>
      </c>
    </row>
    <row r="9" spans="1:45" ht="12.75" customHeight="1">
      <c r="A9" s="752" t="s">
        <v>37</v>
      </c>
      <c r="B9" s="729">
        <f t="shared" si="0"/>
        <v>8</v>
      </c>
      <c r="C9" s="771">
        <v>12</v>
      </c>
      <c r="D9" s="751">
        <v>2022</v>
      </c>
      <c r="E9" s="842"/>
      <c r="F9" s="738">
        <f>Elect!J13</f>
        <v>6399</v>
      </c>
      <c r="G9" s="738">
        <f>Elect!K13</f>
        <v>4015</v>
      </c>
      <c r="H9" s="738">
        <f>Elect!Q13</f>
        <v>510</v>
      </c>
      <c r="I9" s="738">
        <f>Elect!S13</f>
        <v>142</v>
      </c>
      <c r="J9" s="738">
        <f>Elect!U13</f>
        <v>256</v>
      </c>
      <c r="K9" s="738">
        <f>Elect!W13</f>
        <v>2300.73</v>
      </c>
      <c r="L9" s="738">
        <f>Elect!Y13</f>
        <v>0</v>
      </c>
      <c r="M9" s="738">
        <f>Elect!AA13</f>
        <v>37.1</v>
      </c>
      <c r="N9" s="738">
        <f>Elect!AC13</f>
        <v>1.59</v>
      </c>
      <c r="O9" s="738">
        <f>Elect!AE13</f>
        <v>13.25</v>
      </c>
      <c r="P9" s="738">
        <f>Elect!AG13</f>
        <v>12.190000000000001</v>
      </c>
      <c r="Q9" s="738">
        <f>Elect!AI13</f>
        <v>286.73</v>
      </c>
      <c r="R9" s="738">
        <f>Elect!AK13</f>
        <v>2312.3900000000003</v>
      </c>
      <c r="S9" s="738">
        <f>Elect!AM13</f>
        <v>112.89</v>
      </c>
      <c r="T9" s="738">
        <f>Elect!AP13</f>
        <v>70.650000000000006</v>
      </c>
      <c r="U9" s="738">
        <f>Elect!AR13</f>
        <v>197</v>
      </c>
      <c r="V9" s="738">
        <f>Elect!AT13</f>
        <v>201</v>
      </c>
      <c r="W9" s="738">
        <f>Elect!AV13</f>
        <v>41</v>
      </c>
      <c r="X9" s="738">
        <f>Elect!AX13</f>
        <v>923</v>
      </c>
      <c r="Y9" s="738">
        <f>Elect!AZ13</f>
        <v>124</v>
      </c>
      <c r="Z9" s="738">
        <f>Elect!BB13</f>
        <v>4707</v>
      </c>
      <c r="AA9" s="738">
        <f>Elect!BD13</f>
        <v>241</v>
      </c>
      <c r="AB9" s="738">
        <f>Elect!BF13</f>
        <v>70</v>
      </c>
      <c r="AC9" s="738">
        <f>Elect!BH13</f>
        <v>5514</v>
      </c>
      <c r="AD9" s="738">
        <f>Elect!BL13</f>
        <v>167</v>
      </c>
      <c r="AE9" s="738">
        <f>Elect!BN13</f>
        <v>1204</v>
      </c>
      <c r="AF9" s="738">
        <f>Elect!BP13</f>
        <v>136</v>
      </c>
      <c r="AG9" s="738">
        <f>Elect!BR13</f>
        <v>151</v>
      </c>
      <c r="AH9" s="738">
        <f>Boat!C11</f>
        <v>0</v>
      </c>
      <c r="AI9" s="842"/>
      <c r="AJ9" s="738">
        <f>Water!C14</f>
        <v>84.1</v>
      </c>
      <c r="AK9" s="738">
        <f>Water!E14</f>
        <v>107.3</v>
      </c>
      <c r="AL9" s="738">
        <f>Water!G14</f>
        <v>115.99999999999999</v>
      </c>
      <c r="AM9" s="738">
        <f>Boat!E11</f>
        <v>0</v>
      </c>
      <c r="AN9" s="842"/>
      <c r="AO9" s="738">
        <f>Gas!C14</f>
        <v>1643</v>
      </c>
      <c r="AP9" s="738">
        <f>Gas!E14</f>
        <v>327.95</v>
      </c>
      <c r="AQ9" s="738">
        <f>Gas!G14</f>
        <v>96</v>
      </c>
      <c r="AR9" s="738">
        <f>Boat!G11</f>
        <v>0</v>
      </c>
      <c r="AS9" s="745">
        <f>Elect!BT13</f>
        <v>184</v>
      </c>
    </row>
    <row r="10" spans="1:45" ht="12.75" customHeight="1">
      <c r="A10" s="752" t="s">
        <v>37</v>
      </c>
      <c r="B10" s="729">
        <f t="shared" si="0"/>
        <v>9</v>
      </c>
      <c r="C10" s="771">
        <v>12</v>
      </c>
      <c r="D10" s="751">
        <v>2022</v>
      </c>
      <c r="E10" s="842"/>
      <c r="F10" s="738">
        <f>Elect!J14</f>
        <v>6217</v>
      </c>
      <c r="G10" s="738">
        <f>Elect!K14</f>
        <v>4022</v>
      </c>
      <c r="H10" s="738">
        <f>Elect!Q14</f>
        <v>450</v>
      </c>
      <c r="I10" s="738">
        <f>Elect!S14</f>
        <v>141</v>
      </c>
      <c r="J10" s="738">
        <f>Elect!U14</f>
        <v>257</v>
      </c>
      <c r="K10" s="738">
        <f>Elect!W14</f>
        <v>2243.4900000000002</v>
      </c>
      <c r="L10" s="738">
        <f>Elect!Y14</f>
        <v>0</v>
      </c>
      <c r="M10" s="738">
        <f>Elect!AA14</f>
        <v>251.22</v>
      </c>
      <c r="N10" s="738">
        <f>Elect!AC14</f>
        <v>0</v>
      </c>
      <c r="O10" s="738">
        <f>Elect!AE14</f>
        <v>12.190000000000001</v>
      </c>
      <c r="P10" s="738">
        <f>Elect!AG14</f>
        <v>11.13</v>
      </c>
      <c r="Q10" s="738">
        <f>Elect!AI14</f>
        <v>311.11</v>
      </c>
      <c r="R10" s="738">
        <f>Elect!AK14</f>
        <v>2160.2800000000002</v>
      </c>
      <c r="S10" s="738">
        <f>Elect!AM14</f>
        <v>115.01</v>
      </c>
      <c r="T10" s="738">
        <f>Elect!AP14</f>
        <v>84.15</v>
      </c>
      <c r="U10" s="738">
        <f>Elect!AR14</f>
        <v>217</v>
      </c>
      <c r="V10" s="738">
        <f>Elect!AT14</f>
        <v>171</v>
      </c>
      <c r="W10" s="738">
        <f>Elect!AV14</f>
        <v>41</v>
      </c>
      <c r="X10" s="738">
        <f>Elect!AX14</f>
        <v>917</v>
      </c>
      <c r="Y10" s="738">
        <f>Elect!AZ14</f>
        <v>493</v>
      </c>
      <c r="Z10" s="738">
        <f>Elect!BB14</f>
        <v>4453</v>
      </c>
      <c r="AA10" s="738">
        <f>Elect!BD14</f>
        <v>228</v>
      </c>
      <c r="AB10" s="738">
        <f>Elect!BF14</f>
        <v>89</v>
      </c>
      <c r="AC10" s="738">
        <f>Elect!BH14</f>
        <v>5397.55</v>
      </c>
      <c r="AD10" s="738">
        <f>Elect!BL14</f>
        <v>75</v>
      </c>
      <c r="AE10" s="738">
        <f>Elect!BN14</f>
        <v>1147</v>
      </c>
      <c r="AF10" s="738">
        <f>Elect!BP14</f>
        <v>134</v>
      </c>
      <c r="AG10" s="738">
        <f>Elect!BR14</f>
        <v>152</v>
      </c>
      <c r="AH10" s="738">
        <f>Boat!C12</f>
        <v>0</v>
      </c>
      <c r="AI10" s="842"/>
      <c r="AJ10" s="738">
        <f>Water!C15</f>
        <v>80.233333333136386</v>
      </c>
      <c r="AK10" s="738">
        <f>Water!E15</f>
        <v>103.43333333313639</v>
      </c>
      <c r="AL10" s="738">
        <f>Water!G15</f>
        <v>196.61999999999998</v>
      </c>
      <c r="AM10" s="738">
        <f>Boat!E12</f>
        <v>0</v>
      </c>
      <c r="AN10" s="842"/>
      <c r="AO10" s="738">
        <f>Gas!C15</f>
        <v>874.5</v>
      </c>
      <c r="AP10" s="738">
        <f>Gas!E15</f>
        <v>384.18333333311602</v>
      </c>
      <c r="AQ10" s="738">
        <f>Gas!G15</f>
        <v>90.666666666977108</v>
      </c>
      <c r="AR10" s="738">
        <f>Boat!G12</f>
        <v>0</v>
      </c>
      <c r="AS10" s="745">
        <f>Elect!BT14</f>
        <v>183</v>
      </c>
    </row>
    <row r="11" spans="1:45" ht="12.75" customHeight="1">
      <c r="A11" s="752" t="s">
        <v>37</v>
      </c>
      <c r="B11" s="729">
        <f t="shared" si="0"/>
        <v>10</v>
      </c>
      <c r="C11" s="771">
        <v>12</v>
      </c>
      <c r="D11" s="751">
        <v>2022</v>
      </c>
      <c r="E11" s="842"/>
      <c r="F11" s="738">
        <f>Elect!J15</f>
        <v>6463</v>
      </c>
      <c r="G11" s="738">
        <f>Elect!K15</f>
        <v>4149</v>
      </c>
      <c r="H11" s="738">
        <f>Elect!Q15</f>
        <v>510</v>
      </c>
      <c r="I11" s="738">
        <f>Elect!S15</f>
        <v>142</v>
      </c>
      <c r="J11" s="738">
        <f>Elect!U15</f>
        <v>265</v>
      </c>
      <c r="K11" s="738">
        <f>Elect!W15</f>
        <v>2414.6800000000003</v>
      </c>
      <c r="L11" s="738">
        <f>Elect!Y15</f>
        <v>0</v>
      </c>
      <c r="M11" s="738">
        <f>Elect!AA15</f>
        <v>0</v>
      </c>
      <c r="N11" s="738">
        <f>Elect!AC15</f>
        <v>0</v>
      </c>
      <c r="O11" s="738">
        <f>Elect!AE15</f>
        <v>12.190000000000001</v>
      </c>
      <c r="P11" s="738">
        <f>Elect!AG15</f>
        <v>11.66</v>
      </c>
      <c r="Q11" s="738">
        <f>Elect!AI15</f>
        <v>236.91000000000003</v>
      </c>
      <c r="R11" s="738">
        <f>Elect!AK15</f>
        <v>1837.51</v>
      </c>
      <c r="S11" s="738">
        <f>Elect!AM15</f>
        <v>116.60000000000001</v>
      </c>
      <c r="T11" s="738">
        <f>Elect!AP15</f>
        <v>93.15</v>
      </c>
      <c r="U11" s="738">
        <f>Elect!AR15</f>
        <v>197</v>
      </c>
      <c r="V11" s="738">
        <f>Elect!AT15</f>
        <v>176</v>
      </c>
      <c r="W11" s="738">
        <f>Elect!AV15</f>
        <v>40</v>
      </c>
      <c r="X11" s="738">
        <f>Elect!AX15</f>
        <v>900</v>
      </c>
      <c r="Y11" s="738">
        <f>Elect!AZ15</f>
        <v>10</v>
      </c>
      <c r="Z11" s="738">
        <f>Elect!BB15</f>
        <v>4001</v>
      </c>
      <c r="AA11" s="738">
        <f>Elect!BD15</f>
        <v>213</v>
      </c>
      <c r="AB11" s="738">
        <f>Elect!BF15</f>
        <v>70</v>
      </c>
      <c r="AC11" s="738">
        <f>Elect!BH15</f>
        <v>5707.05</v>
      </c>
      <c r="AD11" s="738">
        <f>Elect!BL15</f>
        <v>189</v>
      </c>
      <c r="AE11" s="738">
        <f>Elect!BN15</f>
        <v>1182</v>
      </c>
      <c r="AF11" s="738">
        <f>Elect!BP15</f>
        <v>129</v>
      </c>
      <c r="AG11" s="738">
        <f>Elect!BR15</f>
        <v>135</v>
      </c>
      <c r="AH11" s="738">
        <f>Boat!C13</f>
        <v>0</v>
      </c>
      <c r="AI11" s="842"/>
      <c r="AJ11" s="738">
        <f>Water!C16</f>
        <v>75.399999999999991</v>
      </c>
      <c r="AK11" s="738">
        <f>Water!E16</f>
        <v>92.8</v>
      </c>
      <c r="AL11" s="738">
        <f>Water!G16</f>
        <v>122.38</v>
      </c>
      <c r="AM11" s="738">
        <f>Boat!E13</f>
        <v>0</v>
      </c>
      <c r="AN11" s="842"/>
      <c r="AO11" s="738">
        <f>Gas!C16</f>
        <v>1471.28</v>
      </c>
      <c r="AP11" s="738">
        <f>Gas!E16</f>
        <v>306.59999999999997</v>
      </c>
      <c r="AQ11" s="738">
        <f>Gas!G16</f>
        <v>90</v>
      </c>
      <c r="AR11" s="738">
        <f>Boat!G13</f>
        <v>0</v>
      </c>
      <c r="AS11" s="745">
        <f>Elect!BT15</f>
        <v>207</v>
      </c>
    </row>
    <row r="12" spans="1:45" ht="12.75" customHeight="1">
      <c r="A12" s="752" t="s">
        <v>37</v>
      </c>
      <c r="B12" s="729">
        <f t="shared" si="0"/>
        <v>11</v>
      </c>
      <c r="C12" s="771">
        <v>12</v>
      </c>
      <c r="D12" s="751">
        <v>2022</v>
      </c>
      <c r="E12" s="842"/>
      <c r="F12" s="738">
        <f>Elect!J16</f>
        <v>6856</v>
      </c>
      <c r="G12" s="738">
        <f>Elect!K16</f>
        <v>4055</v>
      </c>
      <c r="H12" s="738">
        <f>Elect!Q16</f>
        <v>450</v>
      </c>
      <c r="I12" s="738">
        <f>Elect!S16</f>
        <v>143</v>
      </c>
      <c r="J12" s="738">
        <f>Elect!U16</f>
        <v>267</v>
      </c>
      <c r="K12" s="738">
        <f>Elect!W16</f>
        <v>2371.2200000000003</v>
      </c>
      <c r="L12" s="738">
        <f>Elect!Y16</f>
        <v>0</v>
      </c>
      <c r="M12" s="738">
        <f>Elect!AA16</f>
        <v>132.5</v>
      </c>
      <c r="N12" s="738">
        <f>Elect!AC16</f>
        <v>0</v>
      </c>
      <c r="O12" s="738">
        <f>Elect!AE16</f>
        <v>12.72</v>
      </c>
      <c r="P12" s="738">
        <f>Elect!AG16</f>
        <v>11.66</v>
      </c>
      <c r="Q12" s="738">
        <f>Elect!AI16</f>
        <v>248.04000000000002</v>
      </c>
      <c r="R12" s="738">
        <f>Elect!AK16</f>
        <v>2050.04</v>
      </c>
      <c r="S12" s="738">
        <f>Elect!AM16</f>
        <v>116.60000000000001</v>
      </c>
      <c r="T12" s="738">
        <f>Elect!AP16</f>
        <v>76.725000000000009</v>
      </c>
      <c r="U12" s="738">
        <f>Elect!AR16</f>
        <v>198</v>
      </c>
      <c r="V12" s="738">
        <f>Elect!AT16</f>
        <v>184</v>
      </c>
      <c r="W12" s="738">
        <f>Elect!AV16</f>
        <v>42</v>
      </c>
      <c r="X12" s="738">
        <f>Elect!AX16</f>
        <v>933</v>
      </c>
      <c r="Y12" s="738">
        <f>Elect!AZ16</f>
        <v>477</v>
      </c>
      <c r="Z12" s="738">
        <f>Elect!BB16</f>
        <v>5759</v>
      </c>
      <c r="AA12" s="738">
        <f>Elect!BD16</f>
        <v>248</v>
      </c>
      <c r="AB12" s="738">
        <f>Elect!BF16</f>
        <v>50</v>
      </c>
      <c r="AC12" s="738">
        <f>Elect!BH16</f>
        <v>5951.2999999999993</v>
      </c>
      <c r="AD12" s="738">
        <f>Elect!BL16</f>
        <v>231</v>
      </c>
      <c r="AE12" s="738">
        <f>Elect!BN16</f>
        <v>1198</v>
      </c>
      <c r="AF12" s="738">
        <f>Elect!BP16</f>
        <v>148</v>
      </c>
      <c r="AG12" s="738">
        <f>Elect!BR16</f>
        <v>129</v>
      </c>
      <c r="AH12" s="738">
        <f>Boat!C14</f>
        <v>0</v>
      </c>
      <c r="AI12" s="842"/>
      <c r="AJ12" s="738">
        <f>Water!C17</f>
        <v>81.199999999999989</v>
      </c>
      <c r="AK12" s="738">
        <f>Water!E17</f>
        <v>104.39999999999999</v>
      </c>
      <c r="AL12" s="738">
        <f>Water!G17</f>
        <v>123.53999999999999</v>
      </c>
      <c r="AM12" s="738">
        <f>Boat!E14</f>
        <v>0</v>
      </c>
      <c r="AN12" s="842"/>
      <c r="AO12" s="738">
        <f>Gas!C17</f>
        <v>1411.92</v>
      </c>
      <c r="AP12" s="738">
        <f>Gas!E17</f>
        <v>336</v>
      </c>
      <c r="AQ12" s="738">
        <f>Gas!G17</f>
        <v>88</v>
      </c>
      <c r="AR12" s="738">
        <f>Boat!G14</f>
        <v>0</v>
      </c>
      <c r="AS12" s="745">
        <f>Elect!BT16</f>
        <v>236</v>
      </c>
    </row>
    <row r="13" spans="1:45" ht="12.75" customHeight="1">
      <c r="A13" s="752" t="s">
        <v>37</v>
      </c>
      <c r="B13" s="729">
        <f t="shared" si="0"/>
        <v>12</v>
      </c>
      <c r="C13" s="771">
        <v>12</v>
      </c>
      <c r="D13" s="751">
        <v>2022</v>
      </c>
      <c r="E13" s="842"/>
      <c r="F13" s="738">
        <f>Elect!J17</f>
        <v>6916</v>
      </c>
      <c r="G13" s="738">
        <f>Elect!K17</f>
        <v>3705</v>
      </c>
      <c r="H13" s="738">
        <f>Elect!Q17</f>
        <v>420</v>
      </c>
      <c r="I13" s="738">
        <f>Elect!S17</f>
        <v>142</v>
      </c>
      <c r="J13" s="738">
        <f>Elect!U17</f>
        <v>264</v>
      </c>
      <c r="K13" s="738">
        <f>Elect!W17</f>
        <v>2666.4300000000003</v>
      </c>
      <c r="L13" s="738">
        <f>Elect!Y17</f>
        <v>0</v>
      </c>
      <c r="M13" s="738">
        <f>Elect!AA17</f>
        <v>0</v>
      </c>
      <c r="N13" s="738">
        <f>Elect!AC17</f>
        <v>0</v>
      </c>
      <c r="O13" s="738">
        <f>Elect!AE17</f>
        <v>13.25</v>
      </c>
      <c r="P13" s="738">
        <f>Elect!AG17</f>
        <v>11.66</v>
      </c>
      <c r="Q13" s="738">
        <f>Elect!AI17</f>
        <v>278.25</v>
      </c>
      <c r="R13" s="738">
        <f>Elect!AK17</f>
        <v>2156.04</v>
      </c>
      <c r="S13" s="738">
        <f>Elect!AM17</f>
        <v>116.07000000000001</v>
      </c>
      <c r="T13" s="738">
        <f>Elect!AP17</f>
        <v>96.412500000000009</v>
      </c>
      <c r="U13" s="738">
        <f>Elect!AR17</f>
        <v>208</v>
      </c>
      <c r="V13" s="738">
        <f>Elect!AT17</f>
        <v>194</v>
      </c>
      <c r="W13" s="738">
        <f>Elect!AV17</f>
        <v>43</v>
      </c>
      <c r="X13" s="738">
        <f>Elect!AX17</f>
        <v>899</v>
      </c>
      <c r="Y13" s="738">
        <f>Elect!AZ17</f>
        <v>10</v>
      </c>
      <c r="Z13" s="738">
        <f>Elect!BB17</f>
        <v>4536</v>
      </c>
      <c r="AA13" s="738">
        <f>Elect!BD17</f>
        <v>249</v>
      </c>
      <c r="AB13" s="738">
        <f>Elect!BF17</f>
        <v>15</v>
      </c>
      <c r="AC13" s="738">
        <f>Elect!BH17</f>
        <v>5646.9500000000007</v>
      </c>
      <c r="AD13" s="738">
        <f>Elect!BL17</f>
        <v>240</v>
      </c>
      <c r="AE13" s="738">
        <f>Elect!BN17</f>
        <v>1167</v>
      </c>
      <c r="AF13" s="738">
        <f>Elect!BP17</f>
        <v>162</v>
      </c>
      <c r="AG13" s="738">
        <f>Elect!BR17</f>
        <v>136</v>
      </c>
      <c r="AH13" s="738">
        <f>Boat!C15</f>
        <v>0</v>
      </c>
      <c r="AI13" s="842"/>
      <c r="AJ13" s="738">
        <f>Water!C18</f>
        <v>87</v>
      </c>
      <c r="AK13" s="738">
        <f>Water!E18</f>
        <v>104.39999999999999</v>
      </c>
      <c r="AL13" s="738">
        <f>Water!G18</f>
        <v>120.05999999999999</v>
      </c>
      <c r="AM13" s="738">
        <f>Boat!E15</f>
        <v>0</v>
      </c>
      <c r="AN13" s="842"/>
      <c r="AO13" s="738">
        <f>Gas!C18</f>
        <v>1503.0800000000002</v>
      </c>
      <c r="AP13" s="738">
        <f>Gas!E18</f>
        <v>362.59999999999997</v>
      </c>
      <c r="AQ13" s="738">
        <f>Gas!G18</f>
        <v>91</v>
      </c>
      <c r="AR13" s="738">
        <f>Boat!G15</f>
        <v>0</v>
      </c>
      <c r="AS13" s="745">
        <f>Elect!BT17</f>
        <v>236</v>
      </c>
    </row>
    <row r="14" spans="1:45" ht="12.75" customHeight="1">
      <c r="A14" s="752" t="s">
        <v>37</v>
      </c>
      <c r="B14" s="729">
        <f t="shared" si="0"/>
        <v>13</v>
      </c>
      <c r="C14" s="771">
        <v>12</v>
      </c>
      <c r="D14" s="751">
        <v>2022</v>
      </c>
      <c r="E14" s="842"/>
      <c r="F14" s="738">
        <f>Elect!J18</f>
        <v>8015</v>
      </c>
      <c r="G14" s="738">
        <f>Elect!K18</f>
        <v>3681</v>
      </c>
      <c r="H14" s="738">
        <f>Elect!Q18</f>
        <v>450</v>
      </c>
      <c r="I14" s="738">
        <f>Elect!S18</f>
        <v>144</v>
      </c>
      <c r="J14" s="738">
        <f>Elect!U18</f>
        <v>264</v>
      </c>
      <c r="K14" s="738">
        <f>Elect!W18</f>
        <v>3150.8500000000004</v>
      </c>
      <c r="L14" s="738">
        <f>Elect!Y18</f>
        <v>0</v>
      </c>
      <c r="M14" s="738">
        <f>Elect!AA18</f>
        <v>0</v>
      </c>
      <c r="N14" s="738">
        <f>Elect!AC18</f>
        <v>0</v>
      </c>
      <c r="O14" s="738">
        <f>Elect!AE18</f>
        <v>12.72</v>
      </c>
      <c r="P14" s="738">
        <f>Elect!AG18</f>
        <v>12.190000000000001</v>
      </c>
      <c r="Q14" s="738">
        <f>Elect!AI18</f>
        <v>307.40000000000003</v>
      </c>
      <c r="R14" s="738">
        <f>Elect!AK18</f>
        <v>2283.2400000000002</v>
      </c>
      <c r="S14" s="738">
        <f>Elect!AM18</f>
        <v>117.66000000000001</v>
      </c>
      <c r="T14" s="738">
        <f>Elect!AP18</f>
        <v>86.625</v>
      </c>
      <c r="U14" s="738">
        <f>Elect!AR18</f>
        <v>195</v>
      </c>
      <c r="V14" s="738">
        <f>Elect!AT18</f>
        <v>200</v>
      </c>
      <c r="W14" s="738">
        <f>Elect!AV18</f>
        <v>44</v>
      </c>
      <c r="X14" s="738">
        <f>Elect!AX18</f>
        <v>921</v>
      </c>
      <c r="Y14" s="738">
        <f>Elect!AZ18</f>
        <v>11</v>
      </c>
      <c r="Z14" s="738">
        <f>Elect!BB18</f>
        <v>4783</v>
      </c>
      <c r="AA14" s="738">
        <f>Elect!BD18</f>
        <v>253</v>
      </c>
      <c r="AB14" s="738">
        <f>Elect!BF18</f>
        <v>59</v>
      </c>
      <c r="AC14" s="738">
        <f>Elect!BH18</f>
        <v>5593.75</v>
      </c>
      <c r="AD14" s="738">
        <f>Elect!BL18</f>
        <v>245</v>
      </c>
      <c r="AE14" s="738">
        <f>Elect!BN18</f>
        <v>1176</v>
      </c>
      <c r="AF14" s="738">
        <f>Elect!BP18</f>
        <v>149</v>
      </c>
      <c r="AG14" s="738">
        <f>Elect!BR18</f>
        <v>146</v>
      </c>
      <c r="AH14" s="738">
        <f>Boat!C16</f>
        <v>0</v>
      </c>
      <c r="AI14" s="842"/>
      <c r="AJ14" s="738">
        <f>Water!C19</f>
        <v>76.753333333102631</v>
      </c>
      <c r="AK14" s="738">
        <f>Water!E19</f>
        <v>98.213333333138507</v>
      </c>
      <c r="AL14" s="738">
        <f>Water!G19</f>
        <v>152.88799999999915</v>
      </c>
      <c r="AM14" s="738">
        <f>Boat!E16</f>
        <v>0</v>
      </c>
      <c r="AN14" s="842"/>
      <c r="AO14" s="738">
        <f>Gas!C19</f>
        <v>1231.5080000007899</v>
      </c>
      <c r="AP14" s="738">
        <f>Gas!E19</f>
        <v>335.2533333330997</v>
      </c>
      <c r="AQ14" s="738">
        <f>Gas!G19</f>
        <v>91.711111110984348</v>
      </c>
      <c r="AR14" s="738">
        <f>Boat!G16</f>
        <v>0</v>
      </c>
      <c r="AS14" s="745">
        <f>Elect!BT18</f>
        <v>234</v>
      </c>
    </row>
    <row r="15" spans="1:45" ht="12.75" customHeight="1">
      <c r="A15" s="752" t="s">
        <v>37</v>
      </c>
      <c r="B15" s="729">
        <f t="shared" si="0"/>
        <v>14</v>
      </c>
      <c r="C15" s="771">
        <v>12</v>
      </c>
      <c r="D15" s="751">
        <v>2022</v>
      </c>
      <c r="E15" s="842"/>
      <c r="F15" s="738">
        <f>Elect!J19</f>
        <v>4600</v>
      </c>
      <c r="G15" s="738">
        <f>Elect!K19</f>
        <v>3650</v>
      </c>
      <c r="H15" s="738">
        <f>Elect!Q19</f>
        <v>480</v>
      </c>
      <c r="I15" s="738">
        <f>Elect!S19</f>
        <v>142</v>
      </c>
      <c r="J15" s="738">
        <f>Elect!U19</f>
        <v>259</v>
      </c>
      <c r="K15" s="738">
        <f>Elect!W19</f>
        <v>661.44</v>
      </c>
      <c r="L15" s="738">
        <f>Elect!Y19</f>
        <v>2462.38</v>
      </c>
      <c r="M15" s="738">
        <f>Elect!AA19</f>
        <v>0</v>
      </c>
      <c r="N15" s="738">
        <f>Elect!AC19</f>
        <v>0</v>
      </c>
      <c r="O15" s="738">
        <f>Elect!AE19</f>
        <v>12.72</v>
      </c>
      <c r="P15" s="738">
        <f>Elect!AG19</f>
        <v>11.66</v>
      </c>
      <c r="Q15" s="738">
        <f>Elect!AI19</f>
        <v>334.43</v>
      </c>
      <c r="R15" s="738">
        <f>Elect!AK19</f>
        <v>2331.4700000000003</v>
      </c>
      <c r="S15" s="738">
        <f>Elect!AM19</f>
        <v>115.54</v>
      </c>
      <c r="T15" s="738">
        <f>Elect!AP19</f>
        <v>92.924999999999997</v>
      </c>
      <c r="U15" s="738">
        <f>Elect!AR19</f>
        <v>201</v>
      </c>
      <c r="V15" s="738">
        <f>Elect!AT19</f>
        <v>205</v>
      </c>
      <c r="W15" s="738">
        <f>Elect!AV19</f>
        <v>46</v>
      </c>
      <c r="X15" s="738">
        <f>Elect!AX19</f>
        <v>921</v>
      </c>
      <c r="Y15" s="738">
        <f>Elect!AZ19</f>
        <v>11</v>
      </c>
      <c r="Z15" s="738">
        <f>Elect!BB19</f>
        <v>4598</v>
      </c>
      <c r="AA15" s="738">
        <f>Elect!BD19</f>
        <v>254</v>
      </c>
      <c r="AB15" s="738">
        <f>Elect!BF19</f>
        <v>70</v>
      </c>
      <c r="AC15" s="738">
        <f>Elect!BH19</f>
        <v>5801.85</v>
      </c>
      <c r="AD15" s="738">
        <f>Elect!BL19</f>
        <v>241</v>
      </c>
      <c r="AE15" s="738">
        <f>Elect!BN19</f>
        <v>1206</v>
      </c>
      <c r="AF15" s="738">
        <f>Elect!BP19</f>
        <v>141</v>
      </c>
      <c r="AG15" s="738">
        <f>Elect!BR19</f>
        <v>128</v>
      </c>
      <c r="AH15" s="738">
        <f>Boat!C17</f>
        <v>0</v>
      </c>
      <c r="AI15" s="842"/>
      <c r="AJ15" s="738">
        <f>Water!C20</f>
        <v>80.426666666931112</v>
      </c>
      <c r="AK15" s="738">
        <f>Water!E20</f>
        <v>100.72666666685727</v>
      </c>
      <c r="AL15" s="738">
        <f>Water!G20</f>
        <v>137.11200000000085</v>
      </c>
      <c r="AM15" s="738">
        <f>Boat!E17</f>
        <v>0</v>
      </c>
      <c r="AN15" s="842"/>
      <c r="AO15" s="738">
        <f>Gas!C20</f>
        <v>1350.3794285671413</v>
      </c>
      <c r="AP15" s="738">
        <f>Gas!E20</f>
        <v>342.13666666686765</v>
      </c>
      <c r="AQ15" s="738">
        <f>Gas!G20</f>
        <v>90.695238096057437</v>
      </c>
      <c r="AR15" s="738">
        <f>Boat!G17</f>
        <v>0</v>
      </c>
      <c r="AS15" s="745">
        <f>Elect!BT19</f>
        <v>234</v>
      </c>
    </row>
    <row r="16" spans="1:45" ht="12.75" customHeight="1">
      <c r="A16" s="752" t="s">
        <v>37</v>
      </c>
      <c r="B16" s="729">
        <f t="shared" si="0"/>
        <v>15</v>
      </c>
      <c r="C16" s="771">
        <v>12</v>
      </c>
      <c r="D16" s="751">
        <v>2022</v>
      </c>
      <c r="E16" s="842"/>
      <c r="F16" s="738">
        <f>Elect!J20</f>
        <v>6393</v>
      </c>
      <c r="G16" s="738">
        <f>Elect!K20</f>
        <v>3633</v>
      </c>
      <c r="H16" s="738">
        <f>Elect!Q20</f>
        <v>420</v>
      </c>
      <c r="I16" s="738">
        <f>Elect!S20</f>
        <v>142</v>
      </c>
      <c r="J16" s="738">
        <f>Elect!U20</f>
        <v>265</v>
      </c>
      <c r="K16" s="738">
        <f>Elect!W20</f>
        <v>0</v>
      </c>
      <c r="L16" s="738">
        <f>Elect!Y20</f>
        <v>1492.48</v>
      </c>
      <c r="M16" s="738">
        <f>Elect!AA20</f>
        <v>1500.96</v>
      </c>
      <c r="N16" s="738">
        <f>Elect!AC20</f>
        <v>0</v>
      </c>
      <c r="O16" s="738">
        <f>Elect!AE20</f>
        <v>12.72</v>
      </c>
      <c r="P16" s="738">
        <f>Elect!AG20</f>
        <v>12.190000000000001</v>
      </c>
      <c r="Q16" s="738">
        <f>Elect!AI20</f>
        <v>321.18</v>
      </c>
      <c r="R16" s="738">
        <f>Elect!AK20</f>
        <v>2292.25</v>
      </c>
      <c r="S16" s="738">
        <f>Elect!AM20</f>
        <v>116.07000000000001</v>
      </c>
      <c r="T16" s="738">
        <f>Elect!AP20</f>
        <v>98.55</v>
      </c>
      <c r="U16" s="738">
        <f>Elect!AR20</f>
        <v>196</v>
      </c>
      <c r="V16" s="738">
        <f>Elect!AT20</f>
        <v>158</v>
      </c>
      <c r="W16" s="738">
        <f>Elect!AV20</f>
        <v>48</v>
      </c>
      <c r="X16" s="738">
        <f>Elect!AX20</f>
        <v>916</v>
      </c>
      <c r="Y16" s="738">
        <f>Elect!AZ20</f>
        <v>10</v>
      </c>
      <c r="Z16" s="738">
        <f>Elect!BB20</f>
        <v>4828</v>
      </c>
      <c r="AA16" s="738">
        <f>Elect!BD20</f>
        <v>243</v>
      </c>
      <c r="AB16" s="738">
        <f>Elect!BF20</f>
        <v>65</v>
      </c>
      <c r="AC16" s="738">
        <f>Elect!BH20</f>
        <v>5989.55</v>
      </c>
      <c r="AD16" s="738">
        <f>Elect!BL20</f>
        <v>241</v>
      </c>
      <c r="AE16" s="738">
        <f>Elect!BN20</f>
        <v>1200</v>
      </c>
      <c r="AF16" s="738">
        <f>Elect!BP20</f>
        <v>141</v>
      </c>
      <c r="AG16" s="738">
        <f>Elect!BR20</f>
        <v>128</v>
      </c>
      <c r="AH16" s="738">
        <f>Boat!C18</f>
        <v>0</v>
      </c>
      <c r="AI16" s="842"/>
      <c r="AJ16" s="738">
        <f>Water!C21</f>
        <v>80.426666666255912</v>
      </c>
      <c r="AK16" s="738">
        <f>Water!E21</f>
        <v>100.72666666628756</v>
      </c>
      <c r="AL16" s="738">
        <f>Water!G21</f>
        <v>137.11200000000085</v>
      </c>
      <c r="AM16" s="738">
        <f>Boat!E18</f>
        <v>0</v>
      </c>
      <c r="AN16" s="842"/>
      <c r="AO16" s="738">
        <f>Gas!C21</f>
        <v>1350.3794285691158</v>
      </c>
      <c r="AP16" s="738">
        <f>Gas!E21</f>
        <v>342.13666666621572</v>
      </c>
      <c r="AQ16" s="738">
        <f>Gas!G21</f>
        <v>90.695238095009699</v>
      </c>
      <c r="AR16" s="738">
        <f>Boat!G18</f>
        <v>0</v>
      </c>
      <c r="AS16" s="745">
        <f>Elect!BT20</f>
        <v>234</v>
      </c>
    </row>
    <row r="17" spans="1:45" ht="12.75" customHeight="1">
      <c r="A17" s="752" t="s">
        <v>37</v>
      </c>
      <c r="B17" s="729">
        <f t="shared" si="0"/>
        <v>16</v>
      </c>
      <c r="C17" s="771">
        <v>12</v>
      </c>
      <c r="D17" s="751">
        <v>2022</v>
      </c>
      <c r="E17" s="842"/>
      <c r="F17" s="738">
        <f>Elect!J21</f>
        <v>6311</v>
      </c>
      <c r="G17" s="738">
        <f>Elect!K21</f>
        <v>3652</v>
      </c>
      <c r="H17" s="738">
        <f>Elect!Q21</f>
        <v>450</v>
      </c>
      <c r="I17" s="738">
        <f>Elect!S21</f>
        <v>141</v>
      </c>
      <c r="J17" s="738">
        <f>Elect!U21</f>
        <v>262</v>
      </c>
      <c r="K17" s="738">
        <f>Elect!W21</f>
        <v>4053.9700000000003</v>
      </c>
      <c r="L17" s="738">
        <f>Elect!Y21</f>
        <v>0</v>
      </c>
      <c r="M17" s="738">
        <f>Elect!AA21</f>
        <v>0</v>
      </c>
      <c r="N17" s="738">
        <f>Elect!AC21</f>
        <v>0</v>
      </c>
      <c r="O17" s="738">
        <f>Elect!AE21</f>
        <v>12.72</v>
      </c>
      <c r="P17" s="738">
        <f>Elect!AG21</f>
        <v>11.66</v>
      </c>
      <c r="Q17" s="738">
        <f>Elect!AI21</f>
        <v>185.5</v>
      </c>
      <c r="R17" s="738">
        <f>Elect!AK21</f>
        <v>0</v>
      </c>
      <c r="S17" s="738">
        <f>Elect!AM21</f>
        <v>116.60000000000001</v>
      </c>
      <c r="T17" s="738">
        <f>Elect!AP21</f>
        <v>72.45</v>
      </c>
      <c r="U17" s="738">
        <f>Elect!AR21</f>
        <v>196</v>
      </c>
      <c r="V17" s="738">
        <f>Elect!AT21</f>
        <v>163</v>
      </c>
      <c r="W17" s="738">
        <f>Elect!AV21</f>
        <v>49</v>
      </c>
      <c r="X17" s="738">
        <f>Elect!AX21</f>
        <v>912</v>
      </c>
      <c r="Y17" s="738">
        <f>Elect!AZ21</f>
        <v>11</v>
      </c>
      <c r="Z17" s="738">
        <f>Elect!BB21</f>
        <v>4665</v>
      </c>
      <c r="AA17" s="738">
        <f>Elect!BD21</f>
        <v>244</v>
      </c>
      <c r="AB17" s="738">
        <f>Elect!BF21</f>
        <v>65</v>
      </c>
      <c r="AC17" s="738">
        <f>Elect!BH21</f>
        <v>5836.75</v>
      </c>
      <c r="AD17" s="738">
        <f>Elect!BL21</f>
        <v>240</v>
      </c>
      <c r="AE17" s="738">
        <f>Elect!BN21</f>
        <v>1166</v>
      </c>
      <c r="AF17" s="738">
        <f>Elect!BP21</f>
        <v>139</v>
      </c>
      <c r="AG17" s="738">
        <f>Elect!BR21</f>
        <v>124</v>
      </c>
      <c r="AH17" s="738">
        <f>Boat!C19</f>
        <v>0</v>
      </c>
      <c r="AI17" s="842"/>
      <c r="AJ17" s="738">
        <f>Water!C22</f>
        <v>80.426666666846714</v>
      </c>
      <c r="AK17" s="738">
        <f>Water!E22</f>
        <v>100.72666666685727</v>
      </c>
      <c r="AL17" s="738">
        <f>Water!G22</f>
        <v>137.11200000000085</v>
      </c>
      <c r="AM17" s="738">
        <f>Boat!E19</f>
        <v>0</v>
      </c>
      <c r="AN17" s="842"/>
      <c r="AO17" s="738">
        <f>Gas!C22</f>
        <v>1350.3794285789877</v>
      </c>
      <c r="AP17" s="738">
        <f>Gas!E22</f>
        <v>342.13666666694917</v>
      </c>
      <c r="AQ17" s="738">
        <f>Gas!G22</f>
        <v>90.695238094893284</v>
      </c>
      <c r="AR17" s="738">
        <f>Boat!G19</f>
        <v>0</v>
      </c>
      <c r="AS17" s="745">
        <f>Elect!BT21</f>
        <v>232</v>
      </c>
    </row>
    <row r="18" spans="1:45" ht="12.75" customHeight="1">
      <c r="A18" s="752" t="s">
        <v>37</v>
      </c>
      <c r="B18" s="729">
        <f t="shared" si="0"/>
        <v>17</v>
      </c>
      <c r="C18" s="771">
        <v>12</v>
      </c>
      <c r="D18" s="751">
        <v>2022</v>
      </c>
      <c r="E18" s="842"/>
      <c r="F18" s="738">
        <f>Elect!J22</f>
        <v>6212</v>
      </c>
      <c r="G18" s="738">
        <f>Elect!K22</f>
        <v>3839</v>
      </c>
      <c r="H18" s="738">
        <f>Elect!Q22</f>
        <v>420</v>
      </c>
      <c r="I18" s="738">
        <f>Elect!S22</f>
        <v>145</v>
      </c>
      <c r="J18" s="738">
        <f>Elect!U22</f>
        <v>276</v>
      </c>
      <c r="K18" s="738">
        <f>Elect!W22</f>
        <v>3061.81</v>
      </c>
      <c r="L18" s="738">
        <f>Elect!Y22</f>
        <v>0</v>
      </c>
      <c r="M18" s="738">
        <f>Elect!AA22</f>
        <v>827.86</v>
      </c>
      <c r="N18" s="738">
        <f>Elect!AC22</f>
        <v>118.72</v>
      </c>
      <c r="O18" s="738">
        <f>Elect!AE22</f>
        <v>12.190000000000001</v>
      </c>
      <c r="P18" s="738">
        <f>Elect!AG22</f>
        <v>11.66</v>
      </c>
      <c r="Q18" s="738">
        <f>Elect!AI22</f>
        <v>192.39000000000001</v>
      </c>
      <c r="R18" s="738">
        <f>Elect!AK22</f>
        <v>6643.55</v>
      </c>
      <c r="S18" s="738">
        <f>Elect!AM22</f>
        <v>118.19000000000001</v>
      </c>
      <c r="T18" s="738">
        <f>Elect!AP22</f>
        <v>97.424999999999997</v>
      </c>
      <c r="U18" s="738">
        <f>Elect!AR22</f>
        <v>200</v>
      </c>
      <c r="V18" s="738">
        <f>Elect!AT22</f>
        <v>156</v>
      </c>
      <c r="W18" s="738">
        <f>Elect!AV22</f>
        <v>42</v>
      </c>
      <c r="X18" s="738">
        <f>Elect!AX22</f>
        <v>885</v>
      </c>
      <c r="Y18" s="738">
        <f>Elect!AZ22</f>
        <v>11</v>
      </c>
      <c r="Z18" s="738">
        <f>Elect!BB22</f>
        <v>4829</v>
      </c>
      <c r="AA18" s="738">
        <f>Elect!BD22</f>
        <v>260</v>
      </c>
      <c r="AB18" s="738">
        <f>Elect!BF22</f>
        <v>65</v>
      </c>
      <c r="AC18" s="738">
        <f>Elect!BH22</f>
        <v>5948.15</v>
      </c>
      <c r="AD18" s="738">
        <f>Elect!BL22</f>
        <v>245</v>
      </c>
      <c r="AE18" s="738">
        <f>Elect!BN22</f>
        <v>1129</v>
      </c>
      <c r="AF18" s="738">
        <f>Elect!BP22</f>
        <v>144</v>
      </c>
      <c r="AG18" s="738">
        <f>Elect!BR22</f>
        <v>125</v>
      </c>
      <c r="AH18" s="738">
        <f>Boat!C20</f>
        <v>0</v>
      </c>
      <c r="AI18" s="842"/>
      <c r="AJ18" s="738">
        <f>Water!C23</f>
        <v>140.16666666686359</v>
      </c>
      <c r="AK18" s="738">
        <f>Water!E23</f>
        <v>179.60666666685938</v>
      </c>
      <c r="AL18" s="738">
        <f>Water!G23</f>
        <v>47.095999999998305</v>
      </c>
      <c r="AM18" s="738">
        <f>Boat!E20</f>
        <v>0</v>
      </c>
      <c r="AN18" s="842"/>
      <c r="AO18" s="738">
        <f>Gas!C23</f>
        <v>2262.4337142839659</v>
      </c>
      <c r="AP18" s="738">
        <f>Gas!E23</f>
        <v>486.33666666686764</v>
      </c>
      <c r="AQ18" s="738">
        <f>Gas!G23</f>
        <v>99.203174603055231</v>
      </c>
      <c r="AR18" s="738">
        <f>Boat!G20</f>
        <v>0</v>
      </c>
      <c r="AS18" s="745">
        <f>Elect!BT22</f>
        <v>216</v>
      </c>
    </row>
    <row r="19" spans="1:45" ht="12.75" customHeight="1">
      <c r="A19" s="752" t="s">
        <v>37</v>
      </c>
      <c r="B19" s="729">
        <f t="shared" si="0"/>
        <v>18</v>
      </c>
      <c r="C19" s="771">
        <v>12</v>
      </c>
      <c r="D19" s="751">
        <v>2022</v>
      </c>
      <c r="E19" s="842"/>
      <c r="F19" s="738">
        <f>Elect!J23</f>
        <v>6311</v>
      </c>
      <c r="G19" s="738">
        <f>Elect!K23</f>
        <v>3485</v>
      </c>
      <c r="H19" s="738">
        <f>Elect!Q23</f>
        <v>450</v>
      </c>
      <c r="I19" s="738">
        <f>Elect!S23</f>
        <v>141</v>
      </c>
      <c r="J19" s="738">
        <f>Elect!U23</f>
        <v>257</v>
      </c>
      <c r="K19" s="738">
        <f>Elect!W23</f>
        <v>0</v>
      </c>
      <c r="L19" s="738">
        <f>Elect!Y23</f>
        <v>0</v>
      </c>
      <c r="M19" s="738">
        <f>Elect!AA23</f>
        <v>3825.5400000000004</v>
      </c>
      <c r="N19" s="738">
        <f>Elect!AC23</f>
        <v>0</v>
      </c>
      <c r="O19" s="738">
        <f>Elect!AE23</f>
        <v>13.25</v>
      </c>
      <c r="P19" s="738">
        <f>Elect!AG23</f>
        <v>12.190000000000001</v>
      </c>
      <c r="Q19" s="738">
        <f>Elect!AI23</f>
        <v>201.93</v>
      </c>
      <c r="R19" s="738">
        <f>Elect!AK23</f>
        <v>2406.2000000000003</v>
      </c>
      <c r="S19" s="738">
        <f>Elect!AM23</f>
        <v>112.89</v>
      </c>
      <c r="T19" s="738">
        <f>Elect!AP23</f>
        <v>90.787500000000009</v>
      </c>
      <c r="U19" s="738">
        <f>Elect!AR23</f>
        <v>194</v>
      </c>
      <c r="V19" s="738">
        <f>Elect!AT23</f>
        <v>183</v>
      </c>
      <c r="W19" s="738">
        <f>Elect!AV23</f>
        <v>43</v>
      </c>
      <c r="X19" s="738">
        <f>Elect!AX23</f>
        <v>838</v>
      </c>
      <c r="Y19" s="738">
        <f>Elect!AZ23</f>
        <v>10</v>
      </c>
      <c r="Z19" s="738">
        <f>Elect!BB23</f>
        <v>4730</v>
      </c>
      <c r="AA19" s="738">
        <f>Elect!BD23</f>
        <v>245</v>
      </c>
      <c r="AB19" s="738">
        <f>Elect!BF23</f>
        <v>66</v>
      </c>
      <c r="AC19" s="738">
        <f>Elect!BH23</f>
        <v>5798.5</v>
      </c>
      <c r="AD19" s="738">
        <f>Elect!BL23</f>
        <v>241</v>
      </c>
      <c r="AE19" s="738">
        <f>Elect!BN23</f>
        <v>1166</v>
      </c>
      <c r="AF19" s="738">
        <f>Elect!BP23</f>
        <v>144</v>
      </c>
      <c r="AG19" s="738">
        <f>Elect!BR23</f>
        <v>152</v>
      </c>
      <c r="AH19" s="738">
        <f>Boat!C21</f>
        <v>0</v>
      </c>
      <c r="AI19" s="842"/>
      <c r="AJ19" s="738">
        <f>Water!C24</f>
        <v>81.199999999999989</v>
      </c>
      <c r="AK19" s="738">
        <f>Water!E24</f>
        <v>110.19999999999999</v>
      </c>
      <c r="AL19" s="738">
        <f>Water!G24</f>
        <v>121.21999999999998</v>
      </c>
      <c r="AM19" s="738">
        <f>Boat!E21</f>
        <v>0</v>
      </c>
      <c r="AN19" s="842"/>
      <c r="AO19" s="738">
        <f>Gas!C24</f>
        <v>1588.94</v>
      </c>
      <c r="AP19" s="738">
        <f>Gas!E24</f>
        <v>357</v>
      </c>
      <c r="AQ19" s="738">
        <f>Gas!G24</f>
        <v>102</v>
      </c>
      <c r="AR19" s="738">
        <f>Boat!G21</f>
        <v>0</v>
      </c>
      <c r="AS19" s="745">
        <f>Elect!BT23</f>
        <v>167</v>
      </c>
    </row>
    <row r="20" spans="1:45" ht="12.75" customHeight="1">
      <c r="A20" s="752" t="s">
        <v>37</v>
      </c>
      <c r="B20" s="729">
        <f t="shared" si="0"/>
        <v>19</v>
      </c>
      <c r="C20" s="771">
        <v>12</v>
      </c>
      <c r="D20" s="751">
        <v>2022</v>
      </c>
      <c r="E20" s="842"/>
      <c r="F20" s="738">
        <f>Elect!J24</f>
        <v>6667</v>
      </c>
      <c r="G20" s="738">
        <f>Elect!K24</f>
        <v>3625</v>
      </c>
      <c r="H20" s="738">
        <f>Elect!Q24</f>
        <v>420</v>
      </c>
      <c r="I20" s="738">
        <f>Elect!S24</f>
        <v>149</v>
      </c>
      <c r="J20" s="738">
        <f>Elect!U24</f>
        <v>267</v>
      </c>
      <c r="K20" s="738">
        <f>Elect!W24</f>
        <v>2818.54</v>
      </c>
      <c r="L20" s="738">
        <f>Elect!Y24</f>
        <v>0</v>
      </c>
      <c r="M20" s="738">
        <f>Elect!AA24</f>
        <v>1103.99</v>
      </c>
      <c r="N20" s="738">
        <f>Elect!AC24</f>
        <v>0</v>
      </c>
      <c r="O20" s="738">
        <f>Elect!AE24</f>
        <v>12.190000000000001</v>
      </c>
      <c r="P20" s="738">
        <f>Elect!AG24</f>
        <v>11.66</v>
      </c>
      <c r="Q20" s="738">
        <f>Elect!AI24</f>
        <v>179.67000000000002</v>
      </c>
      <c r="R20" s="738">
        <f>Elect!AK24</f>
        <v>2350.02</v>
      </c>
      <c r="S20" s="738">
        <f>Elect!AM24</f>
        <v>117.13000000000001</v>
      </c>
      <c r="T20" s="738">
        <f>Elect!AP24</f>
        <v>112.6125</v>
      </c>
      <c r="U20" s="738">
        <f>Elect!AR24</f>
        <v>200</v>
      </c>
      <c r="V20" s="738">
        <f>Elect!AT24</f>
        <v>196</v>
      </c>
      <c r="W20" s="738">
        <f>Elect!AV24</f>
        <v>47</v>
      </c>
      <c r="X20" s="738">
        <f>Elect!AX24</f>
        <v>795</v>
      </c>
      <c r="Y20" s="738">
        <f>Elect!AZ24</f>
        <v>11</v>
      </c>
      <c r="Z20" s="738">
        <f>Elect!BB24</f>
        <v>5072</v>
      </c>
      <c r="AA20" s="738">
        <f>Elect!BD24</f>
        <v>224</v>
      </c>
      <c r="AB20" s="738">
        <f>Elect!BF24</f>
        <v>3</v>
      </c>
      <c r="AC20" s="738">
        <f>Elect!BH24</f>
        <v>6002</v>
      </c>
      <c r="AD20" s="738">
        <f>Elect!BL24</f>
        <v>245</v>
      </c>
      <c r="AE20" s="738">
        <f>Elect!BN24</f>
        <v>1186</v>
      </c>
      <c r="AF20" s="738">
        <f>Elect!BP24</f>
        <v>154</v>
      </c>
      <c r="AG20" s="738">
        <f>Elect!BR24</f>
        <v>130</v>
      </c>
      <c r="AH20" s="738">
        <f>Boat!C22</f>
        <v>0</v>
      </c>
      <c r="AI20" s="842"/>
      <c r="AJ20" s="738">
        <f>Water!C25</f>
        <v>81.199999999999989</v>
      </c>
      <c r="AK20" s="738">
        <f>Water!E25</f>
        <v>98.6</v>
      </c>
      <c r="AL20" s="738">
        <f>Water!G25</f>
        <v>122.38</v>
      </c>
      <c r="AM20" s="738">
        <f>Boat!E22</f>
        <v>0</v>
      </c>
      <c r="AN20" s="842"/>
      <c r="AO20" s="738">
        <f>Gas!C25</f>
        <v>1559.26</v>
      </c>
      <c r="AP20" s="738">
        <f>Gas!E25</f>
        <v>352.79999999999995</v>
      </c>
      <c r="AQ20" s="738">
        <f>Gas!G25</f>
        <v>76</v>
      </c>
      <c r="AR20" s="738">
        <f>Boat!G22</f>
        <v>0</v>
      </c>
      <c r="AS20" s="745">
        <f>Elect!BT24</f>
        <v>191</v>
      </c>
    </row>
    <row r="21" spans="1:45" ht="12.75" customHeight="1">
      <c r="A21" s="752" t="s">
        <v>37</v>
      </c>
      <c r="B21" s="729">
        <f t="shared" si="0"/>
        <v>20</v>
      </c>
      <c r="C21" s="771">
        <v>12</v>
      </c>
      <c r="D21" s="751">
        <v>2022</v>
      </c>
      <c r="E21" s="842"/>
      <c r="F21" s="738">
        <f>Elect!J25</f>
        <v>6132</v>
      </c>
      <c r="G21" s="738">
        <f>Elect!K25</f>
        <v>3547</v>
      </c>
      <c r="H21" s="738">
        <f>Elect!Q25</f>
        <v>450</v>
      </c>
      <c r="I21" s="738">
        <f>Elect!S25</f>
        <v>138</v>
      </c>
      <c r="J21" s="738">
        <f>Elect!U25</f>
        <v>243</v>
      </c>
      <c r="K21" s="738">
        <f>Elect!W25</f>
        <v>3068.7000000000003</v>
      </c>
      <c r="L21" s="738">
        <f>Elect!Y25</f>
        <v>0</v>
      </c>
      <c r="M21" s="738">
        <f>Elect!AA25</f>
        <v>0</v>
      </c>
      <c r="N21" s="738">
        <f>Elect!AC25</f>
        <v>0</v>
      </c>
      <c r="O21" s="738">
        <f>Elect!AE25</f>
        <v>12.190000000000001</v>
      </c>
      <c r="P21" s="738">
        <f>Elect!AG25</f>
        <v>11.13</v>
      </c>
      <c r="Q21" s="738">
        <f>Elect!AI25</f>
        <v>308.99</v>
      </c>
      <c r="R21" s="738">
        <f>Elect!AK25</f>
        <v>2258.33</v>
      </c>
      <c r="S21" s="738">
        <f>Elect!AM25</f>
        <v>115.01</v>
      </c>
      <c r="T21" s="738">
        <f>Elect!AP25</f>
        <v>153</v>
      </c>
      <c r="U21" s="738">
        <f>Elect!AR25</f>
        <v>193</v>
      </c>
      <c r="V21" s="738">
        <f>Elect!AT25</f>
        <v>188</v>
      </c>
      <c r="W21" s="738">
        <f>Elect!AV25</f>
        <v>43</v>
      </c>
      <c r="X21" s="738">
        <f>Elect!AX25</f>
        <v>744</v>
      </c>
      <c r="Y21" s="738">
        <f>Elect!AZ25</f>
        <v>10</v>
      </c>
      <c r="Z21" s="738">
        <f>Elect!BB25</f>
        <v>4466</v>
      </c>
      <c r="AA21" s="738">
        <f>Elect!BD25</f>
        <v>215</v>
      </c>
      <c r="AB21" s="738">
        <f>Elect!BF25</f>
        <v>16</v>
      </c>
      <c r="AC21" s="738">
        <f>Elect!BH25</f>
        <v>5866.75</v>
      </c>
      <c r="AD21" s="738">
        <f>Elect!BL25</f>
        <v>241</v>
      </c>
      <c r="AE21" s="738">
        <f>Elect!BN25</f>
        <v>1271</v>
      </c>
      <c r="AF21" s="738">
        <f>Elect!BP25</f>
        <v>154</v>
      </c>
      <c r="AG21" s="738">
        <f>Elect!BR25</f>
        <v>129</v>
      </c>
      <c r="AH21" s="738">
        <f>Boat!C23</f>
        <v>0</v>
      </c>
      <c r="AI21" s="842"/>
      <c r="AJ21" s="738">
        <f>Water!C26</f>
        <v>98.6</v>
      </c>
      <c r="AK21" s="738">
        <f>Water!E26</f>
        <v>127.6</v>
      </c>
      <c r="AL21" s="738">
        <f>Water!G26</f>
        <v>128.76</v>
      </c>
      <c r="AM21" s="738">
        <f>Boat!E23</f>
        <v>0</v>
      </c>
      <c r="AN21" s="842"/>
      <c r="AO21" s="738">
        <f>Gas!C26</f>
        <v>1579.0466666699574</v>
      </c>
      <c r="AP21" s="738">
        <f>Gas!E26</f>
        <v>392.7</v>
      </c>
      <c r="AQ21" s="738">
        <f>Gas!G26</f>
        <v>85</v>
      </c>
      <c r="AR21" s="738">
        <f>Boat!G23</f>
        <v>0</v>
      </c>
      <c r="AS21" s="745">
        <f>Elect!BT25</f>
        <v>233</v>
      </c>
    </row>
    <row r="22" spans="1:45" ht="12.75" customHeight="1">
      <c r="A22" s="752" t="s">
        <v>37</v>
      </c>
      <c r="B22" s="729">
        <f t="shared" si="0"/>
        <v>21</v>
      </c>
      <c r="C22" s="771">
        <v>12</v>
      </c>
      <c r="D22" s="751">
        <v>2022</v>
      </c>
      <c r="E22" s="842"/>
      <c r="F22" s="738">
        <f>Elect!J26</f>
        <v>6439</v>
      </c>
      <c r="G22" s="738">
        <f>Elect!K26</f>
        <v>5085</v>
      </c>
      <c r="H22" s="738">
        <f>Elect!Q26</f>
        <v>420</v>
      </c>
      <c r="I22" s="738">
        <f>Elect!S26</f>
        <v>146</v>
      </c>
      <c r="J22" s="738">
        <f>Elect!U26</f>
        <v>257</v>
      </c>
      <c r="K22" s="738">
        <f>Elect!W26</f>
        <v>2429.52</v>
      </c>
      <c r="L22" s="738">
        <f>Elect!Y26</f>
        <v>0</v>
      </c>
      <c r="M22" s="738">
        <f>Elect!AA26</f>
        <v>0</v>
      </c>
      <c r="N22" s="738">
        <f>Elect!AC26</f>
        <v>0</v>
      </c>
      <c r="O22" s="738">
        <f>Elect!AE26</f>
        <v>12.72</v>
      </c>
      <c r="P22" s="738">
        <f>Elect!AG26</f>
        <v>12.190000000000001</v>
      </c>
      <c r="Q22" s="738">
        <f>Elect!AI26</f>
        <v>330.72</v>
      </c>
      <c r="R22" s="738">
        <f>Elect!AK26</f>
        <v>2076.54</v>
      </c>
      <c r="S22" s="738">
        <f>Elect!AM26</f>
        <v>119.78</v>
      </c>
      <c r="T22" s="738">
        <f>Elect!AP26</f>
        <v>139.27500000000001</v>
      </c>
      <c r="U22" s="738">
        <f>Elect!AR26</f>
        <v>204</v>
      </c>
      <c r="V22" s="738">
        <f>Elect!AT26</f>
        <v>180</v>
      </c>
      <c r="W22" s="738">
        <f>Elect!AV26</f>
        <v>44</v>
      </c>
      <c r="X22" s="738">
        <f>Elect!AX26</f>
        <v>758</v>
      </c>
      <c r="Y22" s="738">
        <f>Elect!AZ26</f>
        <v>11</v>
      </c>
      <c r="Z22" s="738">
        <f>Elect!BB26</f>
        <v>5057</v>
      </c>
      <c r="AA22" s="738">
        <f>Elect!BD26</f>
        <v>246</v>
      </c>
      <c r="AB22" s="738">
        <f>Elect!BF26</f>
        <v>2</v>
      </c>
      <c r="AC22" s="738">
        <f>Elect!BH26</f>
        <v>5705.4</v>
      </c>
      <c r="AD22" s="738">
        <f>Elect!BL26</f>
        <v>246</v>
      </c>
      <c r="AE22" s="738">
        <f>Elect!BN26</f>
        <v>1230</v>
      </c>
      <c r="AF22" s="738">
        <f>Elect!BP26</f>
        <v>138</v>
      </c>
      <c r="AG22" s="738">
        <f>Elect!BR26</f>
        <v>129</v>
      </c>
      <c r="AH22" s="738">
        <f>Boat!C24</f>
        <v>0</v>
      </c>
      <c r="AI22" s="842"/>
      <c r="AJ22" s="738">
        <f>Water!C27</f>
        <v>81.199999999999989</v>
      </c>
      <c r="AK22" s="738">
        <f>Water!E27</f>
        <v>104.39999999999999</v>
      </c>
      <c r="AL22" s="738">
        <f>Water!G27</f>
        <v>121.8</v>
      </c>
      <c r="AM22" s="738">
        <f>Boat!E24</f>
        <v>0</v>
      </c>
      <c r="AN22" s="842"/>
      <c r="AO22" s="738">
        <f>Gas!C27</f>
        <v>1574.1000000000001</v>
      </c>
      <c r="AP22" s="738">
        <f>Gas!E27</f>
        <v>366.09999999999997</v>
      </c>
      <c r="AQ22" s="738">
        <f>Gas!G27</f>
        <v>77</v>
      </c>
      <c r="AR22" s="738">
        <f>Boat!G24</f>
        <v>0</v>
      </c>
      <c r="AS22" s="745">
        <f>Elect!BT26</f>
        <v>202</v>
      </c>
    </row>
    <row r="23" spans="1:45" ht="12.75" customHeight="1">
      <c r="A23" s="752" t="s">
        <v>37</v>
      </c>
      <c r="B23" s="729">
        <f t="shared" si="0"/>
        <v>22</v>
      </c>
      <c r="C23" s="771">
        <v>12</v>
      </c>
      <c r="D23" s="751">
        <v>2022</v>
      </c>
      <c r="E23" s="842"/>
      <c r="F23" s="738">
        <f>Elect!J27</f>
        <v>6321</v>
      </c>
      <c r="G23" s="738">
        <f>Elect!K27</f>
        <v>4904</v>
      </c>
      <c r="H23" s="738">
        <f>Elect!Q27</f>
        <v>510</v>
      </c>
      <c r="I23" s="738">
        <f>Elect!S27</f>
        <v>146</v>
      </c>
      <c r="J23" s="738">
        <f>Elect!U27</f>
        <v>266</v>
      </c>
      <c r="K23" s="738">
        <f>Elect!W27</f>
        <v>1638.23</v>
      </c>
      <c r="L23" s="738">
        <f>Elect!Y27</f>
        <v>0</v>
      </c>
      <c r="M23" s="738">
        <f>Elect!AA27</f>
        <v>0</v>
      </c>
      <c r="N23" s="738">
        <f>Elect!AC27</f>
        <v>0</v>
      </c>
      <c r="O23" s="738">
        <f>Elect!AE27</f>
        <v>13.780000000000001</v>
      </c>
      <c r="P23" s="738">
        <f>Elect!AG27</f>
        <v>12.72</v>
      </c>
      <c r="Q23" s="738">
        <f>Elect!AI27</f>
        <v>255.46</v>
      </c>
      <c r="R23" s="738">
        <f>Elect!AK27</f>
        <v>2349.4900000000002</v>
      </c>
      <c r="S23" s="738">
        <f>Elect!AM27</f>
        <v>114.48</v>
      </c>
      <c r="T23" s="738">
        <f>Elect!AP27</f>
        <v>133.53749999999999</v>
      </c>
      <c r="U23" s="738">
        <f>Elect!AR27</f>
        <v>198</v>
      </c>
      <c r="V23" s="738">
        <f>Elect!AT27</f>
        <v>186</v>
      </c>
      <c r="W23" s="738">
        <f>Elect!AV27</f>
        <v>41</v>
      </c>
      <c r="X23" s="738">
        <f>Elect!AX27</f>
        <v>722</v>
      </c>
      <c r="Y23" s="738">
        <f>Elect!AZ27</f>
        <v>11</v>
      </c>
      <c r="Z23" s="738">
        <f>Elect!BB27</f>
        <v>4929</v>
      </c>
      <c r="AA23" s="738">
        <f>Elect!BD27</f>
        <v>268</v>
      </c>
      <c r="AB23" s="738">
        <f>Elect!BF27</f>
        <v>50</v>
      </c>
      <c r="AC23" s="738">
        <f>Elect!BH27</f>
        <v>6001.3</v>
      </c>
      <c r="AD23" s="738">
        <f>Elect!BL27</f>
        <v>246</v>
      </c>
      <c r="AE23" s="738">
        <f>Elect!BN27</f>
        <v>1197</v>
      </c>
      <c r="AF23" s="738">
        <f>Elect!BP27</f>
        <v>129</v>
      </c>
      <c r="AG23" s="738">
        <f>Elect!BR27</f>
        <v>128</v>
      </c>
      <c r="AH23" s="738">
        <f>Boat!C25</f>
        <v>0</v>
      </c>
      <c r="AI23" s="842"/>
      <c r="AJ23" s="738">
        <f>Water!C28</f>
        <v>86.419999999966237</v>
      </c>
      <c r="AK23" s="738">
        <f>Water!E28</f>
        <v>110.7800000000021</v>
      </c>
      <c r="AL23" s="738">
        <f>Water!G28</f>
        <v>123.94599999999831</v>
      </c>
      <c r="AM23" s="738">
        <f>Boat!E25</f>
        <v>0</v>
      </c>
      <c r="AN23" s="842"/>
      <c r="AO23" s="738">
        <f>Gas!C28</f>
        <v>1574.1000000000001</v>
      </c>
      <c r="AP23" s="738">
        <f>Gas!E28</f>
        <v>372.75</v>
      </c>
      <c r="AQ23" s="738">
        <f>Gas!G28</f>
        <v>82.5</v>
      </c>
      <c r="AR23" s="738">
        <f>Boat!G25</f>
        <v>0</v>
      </c>
      <c r="AS23" s="745">
        <f>Elect!BT27</f>
        <v>209</v>
      </c>
    </row>
    <row r="24" spans="1:45" ht="12.75" customHeight="1">
      <c r="A24" s="752" t="s">
        <v>37</v>
      </c>
      <c r="B24" s="729">
        <f t="shared" si="0"/>
        <v>23</v>
      </c>
      <c r="C24" s="771">
        <v>12</v>
      </c>
      <c r="D24" s="751">
        <v>2022</v>
      </c>
      <c r="E24" s="842"/>
      <c r="F24" s="738">
        <f>Elect!J28</f>
        <v>6483</v>
      </c>
      <c r="G24" s="738">
        <f>Elect!K28</f>
        <v>5140</v>
      </c>
      <c r="H24" s="738">
        <f>Elect!Q28</f>
        <v>510</v>
      </c>
      <c r="I24" s="738">
        <f>Elect!S28</f>
        <v>145</v>
      </c>
      <c r="J24" s="738">
        <f>Elect!U28</f>
        <v>261</v>
      </c>
      <c r="K24" s="738">
        <f>Elect!W28</f>
        <v>1907.47</v>
      </c>
      <c r="L24" s="738">
        <f>Elect!Y28</f>
        <v>0</v>
      </c>
      <c r="M24" s="738">
        <f>Elect!AA28</f>
        <v>0</v>
      </c>
      <c r="N24" s="738">
        <f>Elect!AC28</f>
        <v>0</v>
      </c>
      <c r="O24" s="738">
        <f>Elect!AE28</f>
        <v>13.25</v>
      </c>
      <c r="P24" s="738">
        <f>Elect!AG28</f>
        <v>12.190000000000001</v>
      </c>
      <c r="Q24" s="738">
        <f>Elect!AI28</f>
        <v>292.03000000000003</v>
      </c>
      <c r="R24" s="738">
        <f>Elect!AK28</f>
        <v>2428.9900000000002</v>
      </c>
      <c r="S24" s="738">
        <f>Elect!AM28</f>
        <v>116.07000000000001</v>
      </c>
      <c r="T24" s="738">
        <f>Elect!AP28</f>
        <v>134.1</v>
      </c>
      <c r="U24" s="738">
        <f>Elect!AR28</f>
        <v>264</v>
      </c>
      <c r="V24" s="738">
        <f>Elect!AT28</f>
        <v>116</v>
      </c>
      <c r="W24" s="738">
        <f>Elect!AV28</f>
        <v>40</v>
      </c>
      <c r="X24" s="738">
        <f>Elect!AX28</f>
        <v>813</v>
      </c>
      <c r="Y24" s="738">
        <f>Elect!AZ28</f>
        <v>11</v>
      </c>
      <c r="Z24" s="738">
        <f>Elect!BB28</f>
        <v>5084</v>
      </c>
      <c r="AA24" s="738">
        <f>Elect!BD28</f>
        <v>282</v>
      </c>
      <c r="AB24" s="738">
        <f>Elect!BF28</f>
        <v>50</v>
      </c>
      <c r="AC24" s="738">
        <f>Elect!BH28</f>
        <v>5860.3499999999995</v>
      </c>
      <c r="AD24" s="738">
        <f>Elect!BL28</f>
        <v>245</v>
      </c>
      <c r="AE24" s="738">
        <f>Elect!BN28</f>
        <v>1148</v>
      </c>
      <c r="AF24" s="738">
        <f>Elect!BP28</f>
        <v>129</v>
      </c>
      <c r="AG24" s="738">
        <f>Elect!BR28</f>
        <v>138</v>
      </c>
      <c r="AH24" s="738">
        <f>Boat!C26</f>
        <v>0</v>
      </c>
      <c r="AI24" s="842"/>
      <c r="AJ24" s="738">
        <f>Water!C29</f>
        <v>110.78000000003375</v>
      </c>
      <c r="AK24" s="738">
        <f>Water!E29</f>
        <v>132.81999999999789</v>
      </c>
      <c r="AL24" s="738">
        <f>Water!G29</f>
        <v>112.69400000000168</v>
      </c>
      <c r="AM24" s="738">
        <f>Boat!E26</f>
        <v>0</v>
      </c>
      <c r="AN24" s="842"/>
      <c r="AO24" s="738">
        <f>Gas!C29</f>
        <v>1553.2533333300428</v>
      </c>
      <c r="AP24" s="738">
        <f>Gas!E29</f>
        <v>364.34999999999997</v>
      </c>
      <c r="AQ24" s="738">
        <f>Gas!G29</f>
        <v>105.5</v>
      </c>
      <c r="AR24" s="738">
        <f>Boat!G26</f>
        <v>0</v>
      </c>
      <c r="AS24" s="745">
        <f>Elect!BT28</f>
        <v>229</v>
      </c>
    </row>
    <row r="25" spans="1:45" ht="12.75" customHeight="1">
      <c r="A25" s="752" t="s">
        <v>37</v>
      </c>
      <c r="B25" s="729">
        <f t="shared" si="0"/>
        <v>24</v>
      </c>
      <c r="C25" s="771">
        <v>12</v>
      </c>
      <c r="D25" s="751">
        <v>2022</v>
      </c>
      <c r="E25" s="842"/>
      <c r="F25" s="738">
        <f>Elect!J29</f>
        <v>5914</v>
      </c>
      <c r="G25" s="738">
        <f>Elect!K29</f>
        <v>4318</v>
      </c>
      <c r="H25" s="738">
        <f>Elect!Q29</f>
        <v>420</v>
      </c>
      <c r="I25" s="738">
        <f>Elect!S29</f>
        <v>140</v>
      </c>
      <c r="J25" s="738">
        <f>Elect!U29</f>
        <v>259</v>
      </c>
      <c r="K25" s="738">
        <f>Elect!W29</f>
        <v>1618.6200000000001</v>
      </c>
      <c r="L25" s="738">
        <f>Elect!Y29</f>
        <v>46.11</v>
      </c>
      <c r="M25" s="738">
        <f>Elect!AA29</f>
        <v>0</v>
      </c>
      <c r="N25" s="738">
        <f>Elect!AC29</f>
        <v>0</v>
      </c>
      <c r="O25" s="738">
        <f>Elect!AE29</f>
        <v>13.780000000000001</v>
      </c>
      <c r="P25" s="738">
        <f>Elect!AG29</f>
        <v>12.72</v>
      </c>
      <c r="Q25" s="738">
        <f>Elect!AI29</f>
        <v>187.62</v>
      </c>
      <c r="R25" s="738">
        <f>Elect!AK29</f>
        <v>2217.52</v>
      </c>
      <c r="S25" s="738">
        <f>Elect!AM29</f>
        <v>116.60000000000001</v>
      </c>
      <c r="T25" s="738">
        <f>Elect!AP29</f>
        <v>171.78749999999999</v>
      </c>
      <c r="U25" s="738">
        <f>Elect!AR29</f>
        <v>183</v>
      </c>
      <c r="V25" s="738">
        <f>Elect!AT29</f>
        <v>98</v>
      </c>
      <c r="W25" s="738">
        <f>Elect!AV29</f>
        <v>41</v>
      </c>
      <c r="X25" s="738">
        <f>Elect!AX29</f>
        <v>775</v>
      </c>
      <c r="Y25" s="738">
        <f>Elect!AZ29</f>
        <v>10</v>
      </c>
      <c r="Z25" s="738">
        <f>Elect!BB29</f>
        <v>4980.666666701436</v>
      </c>
      <c r="AA25" s="738">
        <f>Elect!BD29</f>
        <v>276</v>
      </c>
      <c r="AB25" s="738">
        <f>Elect!BF29</f>
        <v>50</v>
      </c>
      <c r="AC25" s="738">
        <f>Elect!BH29</f>
        <v>5740.8</v>
      </c>
      <c r="AD25" s="738">
        <f>Elect!BL29</f>
        <v>243</v>
      </c>
      <c r="AE25" s="738">
        <f>Elect!BN29</f>
        <v>1169</v>
      </c>
      <c r="AF25" s="738">
        <f>Elect!BP29</f>
        <v>127</v>
      </c>
      <c r="AG25" s="738">
        <f>Elect!BR29</f>
        <v>154</v>
      </c>
      <c r="AH25" s="738">
        <f>Boat!C27</f>
        <v>0</v>
      </c>
      <c r="AI25" s="842"/>
      <c r="AJ25" s="738">
        <f>Water!C30</f>
        <v>98.6</v>
      </c>
      <c r="AK25" s="738">
        <f>Water!E30</f>
        <v>121.8</v>
      </c>
      <c r="AL25" s="738">
        <f>Water!G30</f>
        <v>126.44</v>
      </c>
      <c r="AM25" s="738">
        <f>Boat!E27</f>
        <v>0</v>
      </c>
      <c r="AN25" s="842"/>
      <c r="AO25" s="738">
        <f>Gas!C30</f>
        <v>1655.72</v>
      </c>
      <c r="AP25" s="738">
        <f>Gas!E30</f>
        <v>369.95</v>
      </c>
      <c r="AQ25" s="738">
        <f>Gas!G30</f>
        <v>90</v>
      </c>
      <c r="AR25" s="738">
        <f>Boat!G27</f>
        <v>0</v>
      </c>
      <c r="AS25" s="745">
        <f>Elect!BT29</f>
        <v>215</v>
      </c>
    </row>
    <row r="26" spans="1:45" ht="12.75" customHeight="1">
      <c r="A26" s="752" t="s">
        <v>37</v>
      </c>
      <c r="B26" s="729">
        <f>B25+1</f>
        <v>25</v>
      </c>
      <c r="C26" s="771">
        <v>12</v>
      </c>
      <c r="D26" s="751">
        <v>2022</v>
      </c>
      <c r="E26" s="842"/>
      <c r="F26" s="738">
        <f>Elect!J30</f>
        <v>5790</v>
      </c>
      <c r="G26" s="738">
        <f>Elect!K30</f>
        <v>3781</v>
      </c>
      <c r="H26" s="738">
        <f>Elect!Q30</f>
        <v>450</v>
      </c>
      <c r="I26" s="738">
        <f>Elect!S30</f>
        <v>136</v>
      </c>
      <c r="J26" s="738">
        <f>Elect!U30</f>
        <v>250</v>
      </c>
      <c r="K26" s="738">
        <f>Elect!W30</f>
        <v>1722.5</v>
      </c>
      <c r="L26" s="738">
        <f>Elect!Y30</f>
        <v>0</v>
      </c>
      <c r="M26" s="738">
        <f>Elect!AA30</f>
        <v>0</v>
      </c>
      <c r="N26" s="738">
        <f>Elect!AC30</f>
        <v>0</v>
      </c>
      <c r="O26" s="738">
        <f>Elect!AE30</f>
        <v>9.5400000000000009</v>
      </c>
      <c r="P26" s="738">
        <f>Elect!AG30</f>
        <v>9.01</v>
      </c>
      <c r="Q26" s="738">
        <f>Elect!AI30</f>
        <v>127.73</v>
      </c>
      <c r="R26" s="738">
        <f>Elect!AK30</f>
        <v>1915.95</v>
      </c>
      <c r="S26" s="738">
        <f>Elect!AM30</f>
        <v>107.59</v>
      </c>
      <c r="T26" s="738">
        <f>Elect!AP30</f>
        <v>112.6125</v>
      </c>
      <c r="U26" s="738">
        <f>Elect!AR30</f>
        <v>183</v>
      </c>
      <c r="V26" s="738">
        <f>Elect!AT30</f>
        <v>70</v>
      </c>
      <c r="W26" s="738">
        <f>Elect!AV30</f>
        <v>39</v>
      </c>
      <c r="X26" s="738">
        <f>Elect!AX30</f>
        <v>736</v>
      </c>
      <c r="Y26" s="738">
        <f>Elect!AZ30</f>
        <v>10</v>
      </c>
      <c r="Z26" s="738">
        <f>Elect!BB30</f>
        <v>4843.333333298564</v>
      </c>
      <c r="AA26" s="738">
        <f>Elect!BD30</f>
        <v>198</v>
      </c>
      <c r="AB26" s="738">
        <f>Elect!BF30</f>
        <v>45</v>
      </c>
      <c r="AC26" s="738">
        <f>Elect!BH30</f>
        <v>4436.8</v>
      </c>
      <c r="AD26" s="738">
        <f>Elect!BL30</f>
        <v>228</v>
      </c>
      <c r="AE26" s="738">
        <f>Elect!BN30</f>
        <v>915</v>
      </c>
      <c r="AF26" s="738">
        <f>Elect!BP30</f>
        <v>101</v>
      </c>
      <c r="AG26" s="738">
        <f>Elect!BR30</f>
        <v>122</v>
      </c>
      <c r="AH26" s="738">
        <f>Boat!C28</f>
        <v>0</v>
      </c>
      <c r="AI26" s="842"/>
      <c r="AJ26" s="738">
        <f>Water!C31</f>
        <v>110.19999999999999</v>
      </c>
      <c r="AK26" s="738">
        <f>Water!E31</f>
        <v>121.8</v>
      </c>
      <c r="AL26" s="738">
        <f>Water!G31</f>
        <v>120.63999999999999</v>
      </c>
      <c r="AM26" s="738">
        <f>Boat!E28</f>
        <v>0</v>
      </c>
      <c r="AN26" s="842"/>
      <c r="AO26" s="738">
        <f>Gas!C31</f>
        <v>2326.7000000000003</v>
      </c>
      <c r="AP26" s="738">
        <f>Gas!E31</f>
        <v>422.45</v>
      </c>
      <c r="AQ26" s="738">
        <f>Gas!G31</f>
        <v>86</v>
      </c>
      <c r="AR26" s="738">
        <f>Boat!G28</f>
        <v>0</v>
      </c>
      <c r="AS26" s="745">
        <f>Elect!BT30</f>
        <v>221</v>
      </c>
    </row>
    <row r="27" spans="1:45" ht="12.75" customHeight="1">
      <c r="A27" s="752" t="s">
        <v>37</v>
      </c>
      <c r="B27" s="729">
        <f t="shared" si="0"/>
        <v>26</v>
      </c>
      <c r="C27" s="771">
        <v>12</v>
      </c>
      <c r="D27" s="751">
        <v>2022</v>
      </c>
      <c r="E27" s="842"/>
      <c r="F27" s="738">
        <f>Elect!J31</f>
        <v>5700</v>
      </c>
      <c r="G27" s="738">
        <f>Elect!K31</f>
        <v>4708</v>
      </c>
      <c r="H27" s="738">
        <f>Elect!Q31</f>
        <v>570</v>
      </c>
      <c r="I27" s="738">
        <f>Elect!S31</f>
        <v>154</v>
      </c>
      <c r="J27" s="738">
        <f>Elect!U31</f>
        <v>276</v>
      </c>
      <c r="K27" s="738">
        <f>Elect!W31</f>
        <v>1975.3100000000002</v>
      </c>
      <c r="L27" s="738">
        <f>Elect!Y31</f>
        <v>69.430000000000007</v>
      </c>
      <c r="M27" s="738">
        <f>Elect!AA31</f>
        <v>0</v>
      </c>
      <c r="N27" s="738">
        <f>Elect!AC31</f>
        <v>0</v>
      </c>
      <c r="O27" s="738">
        <f>Elect!AE31</f>
        <v>16.43</v>
      </c>
      <c r="P27" s="738">
        <f>Elect!AG31</f>
        <v>14.84</v>
      </c>
      <c r="Q27" s="738">
        <f>Elect!AI31</f>
        <v>234.26000000000002</v>
      </c>
      <c r="R27" s="738">
        <f>Elect!AK31</f>
        <v>2068.59</v>
      </c>
      <c r="S27" s="738">
        <f>Elect!AM31</f>
        <v>120.31</v>
      </c>
      <c r="T27" s="738">
        <f>Elect!AP31</f>
        <v>147.6</v>
      </c>
      <c r="U27" s="738">
        <f>Elect!AR31</f>
        <v>257</v>
      </c>
      <c r="V27" s="738">
        <f>Elect!AT31</f>
        <v>101</v>
      </c>
      <c r="W27" s="738">
        <f>Elect!AV31</f>
        <v>45</v>
      </c>
      <c r="X27" s="738">
        <f>Elect!AX31</f>
        <v>833</v>
      </c>
      <c r="Y27" s="738">
        <f>Elect!AZ31</f>
        <v>11</v>
      </c>
      <c r="Z27" s="738">
        <f>Elect!BB31</f>
        <v>5267</v>
      </c>
      <c r="AA27" s="738">
        <f>Elect!BD31</f>
        <v>320</v>
      </c>
      <c r="AB27" s="738">
        <f>Elect!BF31</f>
        <v>40</v>
      </c>
      <c r="AC27" s="738">
        <f>Elect!BH31</f>
        <v>6758.75</v>
      </c>
      <c r="AD27" s="738">
        <f>Elect!BL31</f>
        <v>353</v>
      </c>
      <c r="AE27" s="738">
        <f>Elect!BN31</f>
        <v>1449</v>
      </c>
      <c r="AF27" s="738">
        <f>Elect!BP31</f>
        <v>156</v>
      </c>
      <c r="AG27" s="738">
        <f>Elect!BR31</f>
        <v>188</v>
      </c>
      <c r="AH27" s="738">
        <f>Boat!C29</f>
        <v>0</v>
      </c>
      <c r="AI27" s="842"/>
      <c r="AJ27" s="738">
        <f>Water!C32</f>
        <v>81.199999999999989</v>
      </c>
      <c r="AK27" s="738">
        <f>Water!E32</f>
        <v>127.6</v>
      </c>
      <c r="AL27" s="738">
        <f>Water!G32</f>
        <v>120.05999999999999</v>
      </c>
      <c r="AM27" s="738">
        <f>Boat!E29</f>
        <v>0</v>
      </c>
      <c r="AN27" s="842"/>
      <c r="AO27" s="738">
        <f>Gas!C32</f>
        <v>1193.5600000000002</v>
      </c>
      <c r="AP27" s="738">
        <f>Gas!E32</f>
        <v>411.59999999999997</v>
      </c>
      <c r="AQ27" s="738">
        <f>Gas!G32</f>
        <v>88.666666666977108</v>
      </c>
      <c r="AR27" s="738">
        <f>Boat!G29</f>
        <v>0</v>
      </c>
      <c r="AS27" s="745">
        <f>Elect!BT31</f>
        <v>231</v>
      </c>
    </row>
    <row r="28" spans="1:45" ht="12.75" customHeight="1">
      <c r="A28" s="752" t="s">
        <v>37</v>
      </c>
      <c r="B28" s="729">
        <f t="shared" si="0"/>
        <v>27</v>
      </c>
      <c r="C28" s="771">
        <v>12</v>
      </c>
      <c r="D28" s="751">
        <v>2022</v>
      </c>
      <c r="E28" s="842"/>
      <c r="F28" s="738">
        <f>Elect!J32</f>
        <v>7994</v>
      </c>
      <c r="G28" s="738">
        <f>Elect!K32</f>
        <v>4198</v>
      </c>
      <c r="H28" s="738">
        <f>Elect!Q32</f>
        <v>540</v>
      </c>
      <c r="I28" s="738">
        <f>Elect!S32</f>
        <v>142</v>
      </c>
      <c r="J28" s="738">
        <f>Elect!U32</f>
        <v>250</v>
      </c>
      <c r="K28" s="738">
        <f>Elect!W32</f>
        <v>2261.5100000000002</v>
      </c>
      <c r="L28" s="738">
        <f>Elect!Y32</f>
        <v>0</v>
      </c>
      <c r="M28" s="738">
        <f>Elect!AA32</f>
        <v>0</v>
      </c>
      <c r="N28" s="738">
        <f>Elect!AC32</f>
        <v>143.1</v>
      </c>
      <c r="O28" s="738">
        <f>Elect!AE32</f>
        <v>13.25</v>
      </c>
      <c r="P28" s="738">
        <f>Elect!AG32</f>
        <v>12.72</v>
      </c>
      <c r="Q28" s="738">
        <f>Elect!AI32</f>
        <v>280.90000000000003</v>
      </c>
      <c r="R28" s="738">
        <f>Elect!AK32</f>
        <v>3947.9700000000003</v>
      </c>
      <c r="S28" s="738">
        <f>Elect!AM32</f>
        <v>119.25</v>
      </c>
      <c r="T28" s="738">
        <f>Elect!AP32</f>
        <v>117</v>
      </c>
      <c r="U28" s="738">
        <f>Elect!AR32</f>
        <v>228</v>
      </c>
      <c r="V28" s="738">
        <f>Elect!AT32</f>
        <v>84</v>
      </c>
      <c r="W28" s="738">
        <f>Elect!AV32</f>
        <v>46</v>
      </c>
      <c r="X28" s="738">
        <f>Elect!AX32</f>
        <v>815</v>
      </c>
      <c r="Y28" s="738">
        <f>Elect!AZ32</f>
        <v>10</v>
      </c>
      <c r="Z28" s="738">
        <f>Elect!BB32</f>
        <v>5219</v>
      </c>
      <c r="AA28" s="738">
        <f>Elect!BD32</f>
        <v>290</v>
      </c>
      <c r="AB28" s="738">
        <f>Elect!BF32</f>
        <v>40</v>
      </c>
      <c r="AC28" s="738">
        <f>Elect!BH32</f>
        <v>5787.4</v>
      </c>
      <c r="AD28" s="738">
        <f>Elect!BL32</f>
        <v>248</v>
      </c>
      <c r="AE28" s="738">
        <f>Elect!BN32</f>
        <v>1214</v>
      </c>
      <c r="AF28" s="738">
        <f>Elect!BP32</f>
        <v>134</v>
      </c>
      <c r="AG28" s="738">
        <f>Elect!BR32</f>
        <v>163</v>
      </c>
      <c r="AH28" s="738">
        <f>Boat!C30</f>
        <v>0</v>
      </c>
      <c r="AI28" s="842"/>
      <c r="AJ28" s="738">
        <f>Water!C33</f>
        <v>98.6</v>
      </c>
      <c r="AK28" s="738">
        <f>Water!E33</f>
        <v>121.8</v>
      </c>
      <c r="AL28" s="738">
        <f>Water!G33</f>
        <v>107.88</v>
      </c>
      <c r="AM28" s="738">
        <f>Boat!E30</f>
        <v>0</v>
      </c>
      <c r="AN28" s="842"/>
      <c r="AO28" s="738">
        <f>Gas!C33</f>
        <v>1743.7</v>
      </c>
      <c r="AP28" s="738">
        <f>Gas!E33</f>
        <v>374.5</v>
      </c>
      <c r="AQ28" s="738">
        <f>Gas!G33</f>
        <v>78.333333333022892</v>
      </c>
      <c r="AR28" s="738">
        <f>Boat!G30</f>
        <v>0</v>
      </c>
      <c r="AS28" s="745">
        <f>Elect!BT32</f>
        <v>200</v>
      </c>
    </row>
    <row r="29" spans="1:45" ht="12.75" customHeight="1">
      <c r="A29" s="752" t="s">
        <v>37</v>
      </c>
      <c r="B29" s="729">
        <f t="shared" si="0"/>
        <v>28</v>
      </c>
      <c r="C29" s="771">
        <v>12</v>
      </c>
      <c r="D29" s="751">
        <v>2022</v>
      </c>
      <c r="E29" s="842"/>
      <c r="F29" s="738">
        <f>Elect!J33</f>
        <v>6464.666666701436</v>
      </c>
      <c r="G29" s="738">
        <f>Elect!K33</f>
        <v>4172</v>
      </c>
      <c r="H29" s="738">
        <f>Elect!Q33</f>
        <v>510</v>
      </c>
      <c r="I29" s="738">
        <f>Elect!S33</f>
        <v>150</v>
      </c>
      <c r="J29" s="738">
        <f>Elect!U33</f>
        <v>233</v>
      </c>
      <c r="K29" s="738">
        <f>Elect!W33</f>
        <v>2196.85</v>
      </c>
      <c r="L29" s="738">
        <f>Elect!Y33</f>
        <v>0</v>
      </c>
      <c r="M29" s="738">
        <f>Elect!AA33</f>
        <v>0</v>
      </c>
      <c r="N29" s="738">
        <f>Elect!AC33</f>
        <v>0</v>
      </c>
      <c r="O29" s="738">
        <f>Elect!AE33</f>
        <v>13.25</v>
      </c>
      <c r="P29" s="738">
        <f>Elect!AG33</f>
        <v>12.72</v>
      </c>
      <c r="Q29" s="738">
        <f>Elect!AI33</f>
        <v>270.83000000000004</v>
      </c>
      <c r="R29" s="738">
        <f>Elect!AK33</f>
        <v>774.33</v>
      </c>
      <c r="S29" s="738">
        <f>Elect!AM33</f>
        <v>115.54</v>
      </c>
      <c r="T29" s="738">
        <f>Elect!AP33</f>
        <v>133.76250000000002</v>
      </c>
      <c r="U29" s="738">
        <f>Elect!AR33</f>
        <v>224</v>
      </c>
      <c r="V29" s="738">
        <f>Elect!AT33</f>
        <v>101</v>
      </c>
      <c r="W29" s="738">
        <f>Elect!AV33</f>
        <v>44</v>
      </c>
      <c r="X29" s="738">
        <f>Elect!AX33</f>
        <v>903</v>
      </c>
      <c r="Y29" s="738">
        <f>Elect!AZ33</f>
        <v>12</v>
      </c>
      <c r="Z29" s="738">
        <f>Elect!BB33</f>
        <v>5424</v>
      </c>
      <c r="AA29" s="738">
        <f>Elect!BD33</f>
        <v>209</v>
      </c>
      <c r="AB29" s="738">
        <f>Elect!BF33</f>
        <v>40</v>
      </c>
      <c r="AC29" s="738">
        <f>Elect!BH33</f>
        <v>5286.7</v>
      </c>
      <c r="AD29" s="738">
        <f>Elect!BL33</f>
        <v>238</v>
      </c>
      <c r="AE29" s="738">
        <f>Elect!BN33</f>
        <v>1148</v>
      </c>
      <c r="AF29" s="738">
        <f>Elect!BP33</f>
        <v>126</v>
      </c>
      <c r="AG29" s="738">
        <f>Elect!BR33</f>
        <v>152</v>
      </c>
      <c r="AH29" s="738">
        <f>Boat!C31</f>
        <v>0</v>
      </c>
      <c r="AI29" s="842"/>
      <c r="AJ29" s="738">
        <f>Water!C34</f>
        <v>87</v>
      </c>
      <c r="AK29" s="738">
        <f>Water!E34</f>
        <v>124.69999999999999</v>
      </c>
      <c r="AL29" s="738">
        <f>Water!G34</f>
        <v>115.99999999999999</v>
      </c>
      <c r="AM29" s="738">
        <f>Boat!E31</f>
        <v>0</v>
      </c>
      <c r="AN29" s="842"/>
      <c r="AO29" s="738">
        <f>Gas!C34</f>
        <v>1376.94</v>
      </c>
      <c r="AP29" s="738">
        <f>Gas!E34</f>
        <v>399.23333333311598</v>
      </c>
      <c r="AQ29" s="738">
        <f>Gas!G34</f>
        <v>85.222222222015262</v>
      </c>
      <c r="AR29" s="738">
        <f>Boat!G31</f>
        <v>0</v>
      </c>
      <c r="AS29" s="745">
        <f>Elect!BT33</f>
        <v>243</v>
      </c>
    </row>
    <row r="30" spans="1:45" ht="12.75" customHeight="1">
      <c r="A30" s="752" t="s">
        <v>37</v>
      </c>
      <c r="B30" s="729">
        <f t="shared" si="0"/>
        <v>29</v>
      </c>
      <c r="C30" s="771">
        <v>12</v>
      </c>
      <c r="D30" s="751">
        <v>2022</v>
      </c>
      <c r="E30" s="842"/>
      <c r="F30" s="738">
        <f>Elect!J34</f>
        <v>5372.333333298564</v>
      </c>
      <c r="G30" s="738">
        <f>Elect!K34</f>
        <v>4181</v>
      </c>
      <c r="H30" s="738">
        <f>Elect!Q34</f>
        <v>540</v>
      </c>
      <c r="I30" s="738">
        <f>Elect!S34</f>
        <v>142</v>
      </c>
      <c r="J30" s="738">
        <f>Elect!U34</f>
        <v>244</v>
      </c>
      <c r="K30" s="738">
        <f>Elect!W34</f>
        <v>2170.88</v>
      </c>
      <c r="L30" s="738">
        <f>Elect!Y34</f>
        <v>0</v>
      </c>
      <c r="M30" s="738">
        <f>Elect!AA34</f>
        <v>0</v>
      </c>
      <c r="N30" s="738">
        <f>Elect!AC34</f>
        <v>0</v>
      </c>
      <c r="O30" s="738">
        <f>Elect!AE34</f>
        <v>12.72</v>
      </c>
      <c r="P30" s="738">
        <f>Elect!AG34</f>
        <v>11.66</v>
      </c>
      <c r="Q30" s="738">
        <f>Elect!AI34</f>
        <v>274.54000000000002</v>
      </c>
      <c r="R30" s="738">
        <f>Elect!AK34</f>
        <v>2327.23</v>
      </c>
      <c r="S30" s="738">
        <f>Elect!AM34</f>
        <v>113.95</v>
      </c>
      <c r="T30" s="738">
        <f>Elect!AP34</f>
        <v>144.9</v>
      </c>
      <c r="U30" s="738">
        <f>Elect!AR34</f>
        <v>208</v>
      </c>
      <c r="V30" s="738">
        <f>Elect!AT34</f>
        <v>114</v>
      </c>
      <c r="W30" s="738">
        <f>Elect!AV34</f>
        <v>43</v>
      </c>
      <c r="X30" s="738">
        <f>Elect!AX34</f>
        <v>952</v>
      </c>
      <c r="Y30" s="738">
        <f>Elect!AZ34</f>
        <v>10</v>
      </c>
      <c r="Z30" s="738">
        <f>Elect!BB34</f>
        <v>5269</v>
      </c>
      <c r="AA30" s="738">
        <f>Elect!BD34</f>
        <v>198</v>
      </c>
      <c r="AB30" s="738">
        <f>Elect!BF34</f>
        <v>40</v>
      </c>
      <c r="AC30" s="738">
        <f>Elect!BH34</f>
        <v>5344.05</v>
      </c>
      <c r="AD30" s="738">
        <f>Elect!BL34</f>
        <v>239</v>
      </c>
      <c r="AE30" s="738">
        <f>Elect!BN34</f>
        <v>1059</v>
      </c>
      <c r="AF30" s="738">
        <f>Elect!BP34</f>
        <v>132</v>
      </c>
      <c r="AG30" s="738">
        <f>Elect!BR34</f>
        <v>154</v>
      </c>
      <c r="AH30" s="738">
        <f>Boat!C32</f>
        <v>0</v>
      </c>
      <c r="AI30" s="842"/>
      <c r="AJ30" s="738">
        <f>Water!C35</f>
        <v>89.899999999999991</v>
      </c>
      <c r="AK30" s="738">
        <f>Water!E35</f>
        <v>124.11999999999789</v>
      </c>
      <c r="AL30" s="738">
        <f>Water!G35</f>
        <v>113.97</v>
      </c>
      <c r="AM30" s="738">
        <f>Boat!E32</f>
        <v>0</v>
      </c>
      <c r="AN30" s="842"/>
      <c r="AO30" s="738">
        <f>Gas!C35</f>
        <v>1468.63</v>
      </c>
      <c r="AP30" s="738">
        <f>Gas!E35</f>
        <v>393.04999999999995</v>
      </c>
      <c r="AQ30" s="738">
        <f>Gas!G35</f>
        <v>83.5</v>
      </c>
      <c r="AR30" s="738">
        <f>Boat!G32</f>
        <v>0</v>
      </c>
      <c r="AS30" s="745">
        <f>Elect!BT34</f>
        <v>235</v>
      </c>
    </row>
    <row r="31" spans="1:45" ht="12.75" customHeight="1">
      <c r="A31" s="752" t="s">
        <v>37</v>
      </c>
      <c r="B31" s="729">
        <f t="shared" si="0"/>
        <v>30</v>
      </c>
      <c r="C31" s="771">
        <v>12</v>
      </c>
      <c r="D31" s="751">
        <v>2022</v>
      </c>
      <c r="E31" s="842"/>
      <c r="F31" s="738">
        <f>Elect!J35</f>
        <v>6100.555555600673</v>
      </c>
      <c r="G31" s="738">
        <f>Elect!K35</f>
        <v>4249.1666666669771</v>
      </c>
      <c r="H31" s="738">
        <f>Elect!Q35</f>
        <v>519.99999998981366</v>
      </c>
      <c r="I31" s="738">
        <f>Elect!S35</f>
        <v>147.33333333299379</v>
      </c>
      <c r="J31" s="738">
        <f>Elect!U35</f>
        <v>236.66666666697711</v>
      </c>
      <c r="K31" s="738">
        <f>Elect!W35</f>
        <v>2188.1933333334978</v>
      </c>
      <c r="L31" s="738">
        <f>Elect!Y35</f>
        <v>0</v>
      </c>
      <c r="M31" s="738">
        <f>Elect!AA35</f>
        <v>0</v>
      </c>
      <c r="N31" s="738">
        <f>Elect!AC35</f>
        <v>0</v>
      </c>
      <c r="O31" s="738">
        <f>Elect!AE35</f>
        <v>13.073333333497867</v>
      </c>
      <c r="P31" s="738">
        <f>Elect!AG35</f>
        <v>12.366666664897931</v>
      </c>
      <c r="Q31" s="738">
        <f>Elect!AI35</f>
        <v>272.06666666650216</v>
      </c>
      <c r="R31" s="738">
        <f>Elect!AK35</f>
        <v>1291.963333333498</v>
      </c>
      <c r="S31" s="738">
        <f>Elect!AM35</f>
        <v>115.01</v>
      </c>
      <c r="T31" s="738">
        <f>Elect!AP35</f>
        <v>137.47499999999999</v>
      </c>
      <c r="U31" s="738">
        <f>Elect!AR35</f>
        <v>218.66666666697711</v>
      </c>
      <c r="V31" s="738">
        <f>Elect!AT35</f>
        <v>105.33333333329938</v>
      </c>
      <c r="W31" s="738">
        <f>Elect!AV35</f>
        <v>43.666666666977108</v>
      </c>
      <c r="X31" s="738">
        <f>Elect!AX35</f>
        <v>919.33333333022892</v>
      </c>
      <c r="Y31" s="738">
        <f>Elect!AZ35</f>
        <v>11.333333332993789</v>
      </c>
      <c r="Z31" s="738">
        <f>Elect!BB35</f>
        <v>5372.333333298564</v>
      </c>
      <c r="AA31" s="738">
        <f>Elect!BD35</f>
        <v>205.33333333302289</v>
      </c>
      <c r="AB31" s="738">
        <f>Elect!BF35</f>
        <v>40</v>
      </c>
      <c r="AC31" s="738">
        <f>Elect!BH35</f>
        <v>5305.8166666329835</v>
      </c>
      <c r="AD31" s="738">
        <f>Elect!BL35</f>
        <v>238.33333332999609</v>
      </c>
      <c r="AE31" s="738">
        <f>Elect!BN35</f>
        <v>1118.3333333302289</v>
      </c>
      <c r="AF31" s="738">
        <f>Elect!BP35</f>
        <v>128</v>
      </c>
      <c r="AG31" s="738">
        <f>Elect!BR35</f>
        <v>152.66666666697711</v>
      </c>
      <c r="AH31" s="738">
        <f>Boat!C33</f>
        <v>0</v>
      </c>
      <c r="AI31" s="842"/>
      <c r="AJ31" s="738">
        <f>Water!C36</f>
        <v>87.966666666863603</v>
      </c>
      <c r="AK31" s="738">
        <f>Water!E36</f>
        <v>124.11999999999789</v>
      </c>
      <c r="AL31" s="738">
        <f>Water!G36</f>
        <v>115.32333333331363</v>
      </c>
      <c r="AM31" s="738">
        <f>Boat!E33</f>
        <v>0</v>
      </c>
      <c r="AN31" s="842"/>
      <c r="AO31" s="738">
        <f>Gas!C36</f>
        <v>1407.5033333300428</v>
      </c>
      <c r="AP31" s="738">
        <f>Gas!E36</f>
        <v>397.17222222229464</v>
      </c>
      <c r="AQ31" s="738">
        <f>Gas!G36</f>
        <v>84.648148147971369</v>
      </c>
      <c r="AR31" s="738">
        <f>Boat!G33</f>
        <v>0</v>
      </c>
      <c r="AS31" s="745">
        <f>Elect!BT35</f>
        <v>240</v>
      </c>
    </row>
    <row r="32" spans="1:45" ht="12.75" customHeight="1">
      <c r="A32" s="753" t="s">
        <v>37</v>
      </c>
      <c r="B32" s="754">
        <f>B31+1</f>
        <v>31</v>
      </c>
      <c r="C32" s="771">
        <v>12</v>
      </c>
      <c r="D32" s="751">
        <v>2022</v>
      </c>
      <c r="E32" s="843"/>
      <c r="F32" s="738">
        <f>Elect!J36</f>
        <v>5918.5</v>
      </c>
      <c r="G32" s="738">
        <f>Elect!K36</f>
        <v>4221</v>
      </c>
      <c r="H32" s="738">
        <f>Elect!Q36</f>
        <v>525</v>
      </c>
      <c r="I32" s="738">
        <f>Elect!S36</f>
        <v>146</v>
      </c>
      <c r="J32" s="738">
        <f>Elect!U36</f>
        <v>238.5</v>
      </c>
      <c r="K32" s="738">
        <f>Elect!W36</f>
        <v>2183.8650000000002</v>
      </c>
      <c r="L32" s="738">
        <f>Elect!Y36</f>
        <v>0</v>
      </c>
      <c r="M32" s="738">
        <f>Elect!AA36</f>
        <v>0</v>
      </c>
      <c r="N32" s="738">
        <f>Elect!AC36</f>
        <v>0</v>
      </c>
      <c r="O32" s="738">
        <f>Elect!AE36</f>
        <v>12.985000000000001</v>
      </c>
      <c r="P32" s="738">
        <f>Elect!AG36</f>
        <v>12.190000000000001</v>
      </c>
      <c r="Q32" s="738">
        <f>Elect!AI36</f>
        <v>272.685</v>
      </c>
      <c r="R32" s="738">
        <f>Elect!AK36</f>
        <v>1550.78</v>
      </c>
      <c r="S32" s="738">
        <f>Elect!AM36</f>
        <v>114.745</v>
      </c>
      <c r="T32" s="738">
        <f>Elect!AP36</f>
        <v>139.33125000000001</v>
      </c>
      <c r="U32" s="738">
        <f>Elect!AR36</f>
        <v>216</v>
      </c>
      <c r="V32" s="738">
        <f>Elect!AT36</f>
        <v>107.5</v>
      </c>
      <c r="W32" s="738">
        <f>Elect!AV36</f>
        <v>43.5</v>
      </c>
      <c r="X32" s="738">
        <f>Elect!AX36</f>
        <v>927.5</v>
      </c>
      <c r="Y32" s="738">
        <f>Elect!AZ36</f>
        <v>11</v>
      </c>
      <c r="Z32" s="738">
        <f>Elect!BB36</f>
        <v>5346.5</v>
      </c>
      <c r="AA32" s="738">
        <f>Elect!BD36</f>
        <v>203.5</v>
      </c>
      <c r="AB32" s="738">
        <f>Elect!BF36</f>
        <v>40</v>
      </c>
      <c r="AC32" s="738">
        <f>Elect!BH36</f>
        <v>5315.375</v>
      </c>
      <c r="AD32" s="738">
        <f>Elect!BL36</f>
        <v>238.5</v>
      </c>
      <c r="AE32" s="738">
        <f>Elect!BN36</f>
        <v>1103.5</v>
      </c>
      <c r="AF32" s="738">
        <f>Elect!BP36</f>
        <v>129</v>
      </c>
      <c r="AG32" s="738">
        <f>Elect!BR36</f>
        <v>153</v>
      </c>
      <c r="AH32" s="738">
        <f>Boat!C34</f>
        <v>0</v>
      </c>
      <c r="AI32" s="843"/>
      <c r="AJ32" s="738">
        <f>Water!C37</f>
        <v>88.449999999999989</v>
      </c>
      <c r="AK32" s="738">
        <f>Water!E37</f>
        <v>124.12000000000843</v>
      </c>
      <c r="AL32" s="738">
        <f>Water!G37</f>
        <v>114.98499999999999</v>
      </c>
      <c r="AM32" s="738">
        <f>Boat!E34</f>
        <v>0</v>
      </c>
      <c r="AN32" s="843"/>
      <c r="AO32" s="738">
        <f>Gas!C37</f>
        <v>1422.7850000000001</v>
      </c>
      <c r="AP32" s="738">
        <f>Gas!E37</f>
        <v>396.14166666615051</v>
      </c>
      <c r="AQ32" s="738">
        <f>Gas!G37</f>
        <v>84.361111111007631</v>
      </c>
      <c r="AR32" s="738">
        <f>Boat!G34</f>
        <v>0</v>
      </c>
      <c r="AS32" s="745">
        <f>Elect!BT36</f>
        <v>236.333333333333</v>
      </c>
    </row>
    <row r="33" spans="41:44">
      <c r="AO33" s="735"/>
      <c r="AP33" s="735"/>
      <c r="AQ33" s="735"/>
      <c r="AR33" s="735"/>
    </row>
  </sheetData>
  <sheetProtection algorithmName="SHA-512" hashValue="x5bDGjbZL6ZyldVNE2ZJS0i+axQIbIlqW+6dX8xLxEk35p7QxQ0Ckg1gR/7n+URUv6y5hj1b8k+x634f1O9CCg==" saltValue="EZysqYgtvZPfwK8nXc6G5g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N1:AN32"/>
    <mergeCell ref="AI1:AI32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721C-8406-464A-84B7-BA49D37A64F6}">
  <dimension ref="A1:G35"/>
  <sheetViews>
    <sheetView topLeftCell="A23" zoomScale="80" zoomScaleNormal="80" workbookViewId="0">
      <selection activeCell="F3" sqref="F3:F34"/>
    </sheetView>
  </sheetViews>
  <sheetFormatPr defaultRowHeight="12.75"/>
  <cols>
    <col min="1" max="1" width="34.28515625" style="809" customWidth="1"/>
    <col min="2" max="2" width="21.140625" style="809" customWidth="1"/>
    <col min="3" max="3" width="14.140625" style="809" customWidth="1"/>
    <col min="4" max="4" width="20.28515625" style="809" customWidth="1"/>
    <col min="5" max="5" width="13.28515625" style="809" customWidth="1"/>
    <col min="6" max="6" width="20.140625" style="809" customWidth="1"/>
    <col min="7" max="7" width="19" style="809" customWidth="1"/>
    <col min="8" max="16384" width="9.140625" style="809"/>
  </cols>
  <sheetData>
    <row r="1" spans="1:7" ht="18">
      <c r="A1" s="846"/>
      <c r="B1" s="844" t="s">
        <v>40</v>
      </c>
      <c r="C1" s="845"/>
      <c r="D1" s="844" t="s">
        <v>70</v>
      </c>
      <c r="E1" s="845"/>
      <c r="F1" s="844" t="s">
        <v>75</v>
      </c>
      <c r="G1" s="845"/>
    </row>
    <row r="2" spans="1:7" ht="18.75" thickBot="1">
      <c r="A2" s="847"/>
      <c r="B2" s="817" t="s">
        <v>79</v>
      </c>
      <c r="C2" s="816" t="s">
        <v>80</v>
      </c>
      <c r="D2" s="817" t="s">
        <v>79</v>
      </c>
      <c r="E2" s="816" t="s">
        <v>80</v>
      </c>
      <c r="F2" s="817" t="s">
        <v>79</v>
      </c>
      <c r="G2" s="816" t="s">
        <v>80</v>
      </c>
    </row>
    <row r="3" spans="1:7" ht="20.25">
      <c r="A3" s="815"/>
      <c r="B3" s="813">
        <v>0</v>
      </c>
      <c r="C3" s="812"/>
      <c r="D3" s="813">
        <v>0</v>
      </c>
      <c r="E3" s="812"/>
      <c r="F3" s="813">
        <v>0</v>
      </c>
      <c r="G3" s="812"/>
    </row>
    <row r="4" spans="1:7" ht="20.25">
      <c r="A4" s="815">
        <v>1</v>
      </c>
      <c r="B4" s="813">
        <v>0</v>
      </c>
      <c r="C4" s="812">
        <f t="shared" ref="C4:C34" si="0">B4-B3</f>
        <v>0</v>
      </c>
      <c r="D4" s="813">
        <v>0</v>
      </c>
      <c r="E4" s="812">
        <f t="shared" ref="E4:E34" si="1">D4-D3</f>
        <v>0</v>
      </c>
      <c r="F4" s="813">
        <v>0</v>
      </c>
      <c r="G4" s="812">
        <f t="shared" ref="G4:G34" si="2">F4-F3</f>
        <v>0</v>
      </c>
    </row>
    <row r="5" spans="1:7" ht="20.25">
      <c r="A5" s="815">
        <v>2</v>
      </c>
      <c r="B5" s="813">
        <v>0</v>
      </c>
      <c r="C5" s="812">
        <f t="shared" si="0"/>
        <v>0</v>
      </c>
      <c r="D5" s="813">
        <v>0</v>
      </c>
      <c r="E5" s="812">
        <f t="shared" si="1"/>
        <v>0</v>
      </c>
      <c r="F5" s="813">
        <v>0</v>
      </c>
      <c r="G5" s="812">
        <f t="shared" si="2"/>
        <v>0</v>
      </c>
    </row>
    <row r="6" spans="1:7" ht="20.25">
      <c r="A6" s="815">
        <v>3</v>
      </c>
      <c r="B6" s="813">
        <v>0</v>
      </c>
      <c r="C6" s="812">
        <f t="shared" si="0"/>
        <v>0</v>
      </c>
      <c r="D6" s="813">
        <v>0</v>
      </c>
      <c r="E6" s="812">
        <f t="shared" si="1"/>
        <v>0</v>
      </c>
      <c r="F6" s="813">
        <v>0</v>
      </c>
      <c r="G6" s="812">
        <f t="shared" si="2"/>
        <v>0</v>
      </c>
    </row>
    <row r="7" spans="1:7" ht="20.25">
      <c r="A7" s="815">
        <v>4</v>
      </c>
      <c r="B7" s="813">
        <v>0</v>
      </c>
      <c r="C7" s="812">
        <f t="shared" si="0"/>
        <v>0</v>
      </c>
      <c r="D7" s="813">
        <v>0</v>
      </c>
      <c r="E7" s="812">
        <f t="shared" si="1"/>
        <v>0</v>
      </c>
      <c r="F7" s="813">
        <v>0</v>
      </c>
      <c r="G7" s="812">
        <f t="shared" si="2"/>
        <v>0</v>
      </c>
    </row>
    <row r="8" spans="1:7" ht="20.25">
      <c r="A8" s="815">
        <v>5</v>
      </c>
      <c r="B8" s="813">
        <v>0</v>
      </c>
      <c r="C8" s="812">
        <f t="shared" si="0"/>
        <v>0</v>
      </c>
      <c r="D8" s="813">
        <v>0</v>
      </c>
      <c r="E8" s="812">
        <f t="shared" si="1"/>
        <v>0</v>
      </c>
      <c r="F8" s="813">
        <v>0</v>
      </c>
      <c r="G8" s="812">
        <f t="shared" si="2"/>
        <v>0</v>
      </c>
    </row>
    <row r="9" spans="1:7" ht="20.25">
      <c r="A9" s="815">
        <v>6</v>
      </c>
      <c r="B9" s="813">
        <v>0</v>
      </c>
      <c r="C9" s="812">
        <f t="shared" si="0"/>
        <v>0</v>
      </c>
      <c r="D9" s="813">
        <v>0</v>
      </c>
      <c r="E9" s="812">
        <f t="shared" si="1"/>
        <v>0</v>
      </c>
      <c r="F9" s="813">
        <v>0</v>
      </c>
      <c r="G9" s="812">
        <f t="shared" si="2"/>
        <v>0</v>
      </c>
    </row>
    <row r="10" spans="1:7" ht="20.25">
      <c r="A10" s="815">
        <v>7</v>
      </c>
      <c r="B10" s="813">
        <v>0</v>
      </c>
      <c r="C10" s="812">
        <f t="shared" si="0"/>
        <v>0</v>
      </c>
      <c r="D10" s="813">
        <v>0</v>
      </c>
      <c r="E10" s="812">
        <f t="shared" si="1"/>
        <v>0</v>
      </c>
      <c r="F10" s="813">
        <v>0</v>
      </c>
      <c r="G10" s="812">
        <f t="shared" si="2"/>
        <v>0</v>
      </c>
    </row>
    <row r="11" spans="1:7" ht="20.25">
      <c r="A11" s="815">
        <v>8</v>
      </c>
      <c r="B11" s="813">
        <v>0</v>
      </c>
      <c r="C11" s="812">
        <f t="shared" si="0"/>
        <v>0</v>
      </c>
      <c r="D11" s="813">
        <v>0</v>
      </c>
      <c r="E11" s="812">
        <f t="shared" si="1"/>
        <v>0</v>
      </c>
      <c r="F11" s="813">
        <v>0</v>
      </c>
      <c r="G11" s="812">
        <f t="shared" si="2"/>
        <v>0</v>
      </c>
    </row>
    <row r="12" spans="1:7" ht="20.25">
      <c r="A12" s="815">
        <v>9</v>
      </c>
      <c r="B12" s="813">
        <v>0</v>
      </c>
      <c r="C12" s="812">
        <f t="shared" si="0"/>
        <v>0</v>
      </c>
      <c r="D12" s="813">
        <v>0</v>
      </c>
      <c r="E12" s="812">
        <f t="shared" si="1"/>
        <v>0</v>
      </c>
      <c r="F12" s="813">
        <v>0</v>
      </c>
      <c r="G12" s="812">
        <f t="shared" si="2"/>
        <v>0</v>
      </c>
    </row>
    <row r="13" spans="1:7" ht="20.25">
      <c r="A13" s="815">
        <v>10</v>
      </c>
      <c r="B13" s="813">
        <v>0</v>
      </c>
      <c r="C13" s="812">
        <f t="shared" si="0"/>
        <v>0</v>
      </c>
      <c r="D13" s="813">
        <v>0</v>
      </c>
      <c r="E13" s="812">
        <f t="shared" si="1"/>
        <v>0</v>
      </c>
      <c r="F13" s="813">
        <v>0</v>
      </c>
      <c r="G13" s="812">
        <f t="shared" si="2"/>
        <v>0</v>
      </c>
    </row>
    <row r="14" spans="1:7" ht="20.25">
      <c r="A14" s="815">
        <v>11</v>
      </c>
      <c r="B14" s="813">
        <v>0</v>
      </c>
      <c r="C14" s="812">
        <f t="shared" si="0"/>
        <v>0</v>
      </c>
      <c r="D14" s="813">
        <v>0</v>
      </c>
      <c r="E14" s="812">
        <f t="shared" si="1"/>
        <v>0</v>
      </c>
      <c r="F14" s="813">
        <v>0</v>
      </c>
      <c r="G14" s="812">
        <f t="shared" si="2"/>
        <v>0</v>
      </c>
    </row>
    <row r="15" spans="1:7" ht="20.25">
      <c r="A15" s="815">
        <v>12</v>
      </c>
      <c r="B15" s="813">
        <v>0</v>
      </c>
      <c r="C15" s="812">
        <f t="shared" si="0"/>
        <v>0</v>
      </c>
      <c r="D15" s="813">
        <v>0</v>
      </c>
      <c r="E15" s="812">
        <f t="shared" si="1"/>
        <v>0</v>
      </c>
      <c r="F15" s="813">
        <v>0</v>
      </c>
      <c r="G15" s="812">
        <f t="shared" si="2"/>
        <v>0</v>
      </c>
    </row>
    <row r="16" spans="1:7" ht="20.25">
      <c r="A16" s="815">
        <v>13</v>
      </c>
      <c r="B16" s="813">
        <v>0</v>
      </c>
      <c r="C16" s="812">
        <f t="shared" si="0"/>
        <v>0</v>
      </c>
      <c r="D16" s="813">
        <v>0</v>
      </c>
      <c r="E16" s="812">
        <f t="shared" si="1"/>
        <v>0</v>
      </c>
      <c r="F16" s="813">
        <v>0</v>
      </c>
      <c r="G16" s="812">
        <f t="shared" si="2"/>
        <v>0</v>
      </c>
    </row>
    <row r="17" spans="1:7" ht="20.25">
      <c r="A17" s="815">
        <v>14</v>
      </c>
      <c r="B17" s="813">
        <v>0</v>
      </c>
      <c r="C17" s="812">
        <f t="shared" si="0"/>
        <v>0</v>
      </c>
      <c r="D17" s="813">
        <v>0</v>
      </c>
      <c r="E17" s="812">
        <f t="shared" si="1"/>
        <v>0</v>
      </c>
      <c r="F17" s="813">
        <v>0</v>
      </c>
      <c r="G17" s="812">
        <f t="shared" si="2"/>
        <v>0</v>
      </c>
    </row>
    <row r="18" spans="1:7" ht="20.25">
      <c r="A18" s="815">
        <v>15</v>
      </c>
      <c r="B18" s="813">
        <v>0</v>
      </c>
      <c r="C18" s="812">
        <f t="shared" si="0"/>
        <v>0</v>
      </c>
      <c r="D18" s="813">
        <v>0</v>
      </c>
      <c r="E18" s="812">
        <f t="shared" si="1"/>
        <v>0</v>
      </c>
      <c r="F18" s="813">
        <v>0</v>
      </c>
      <c r="G18" s="812">
        <f t="shared" si="2"/>
        <v>0</v>
      </c>
    </row>
    <row r="19" spans="1:7" ht="20.25">
      <c r="A19" s="815">
        <v>16</v>
      </c>
      <c r="B19" s="813">
        <v>0</v>
      </c>
      <c r="C19" s="812">
        <f t="shared" si="0"/>
        <v>0</v>
      </c>
      <c r="D19" s="813">
        <v>0</v>
      </c>
      <c r="E19" s="812">
        <f t="shared" si="1"/>
        <v>0</v>
      </c>
      <c r="F19" s="813">
        <v>0</v>
      </c>
      <c r="G19" s="812">
        <f t="shared" si="2"/>
        <v>0</v>
      </c>
    </row>
    <row r="20" spans="1:7" ht="20.25">
      <c r="A20" s="815">
        <v>17</v>
      </c>
      <c r="B20" s="813">
        <v>0</v>
      </c>
      <c r="C20" s="812">
        <f t="shared" si="0"/>
        <v>0</v>
      </c>
      <c r="D20" s="813">
        <v>0</v>
      </c>
      <c r="E20" s="812">
        <f t="shared" si="1"/>
        <v>0</v>
      </c>
      <c r="F20" s="813">
        <v>0</v>
      </c>
      <c r="G20" s="812">
        <f t="shared" si="2"/>
        <v>0</v>
      </c>
    </row>
    <row r="21" spans="1:7" ht="20.25">
      <c r="A21" s="815">
        <v>18</v>
      </c>
      <c r="B21" s="813">
        <v>0</v>
      </c>
      <c r="C21" s="812">
        <f t="shared" si="0"/>
        <v>0</v>
      </c>
      <c r="D21" s="813">
        <v>0</v>
      </c>
      <c r="E21" s="812">
        <f t="shared" si="1"/>
        <v>0</v>
      </c>
      <c r="F21" s="813">
        <v>0</v>
      </c>
      <c r="G21" s="812">
        <f t="shared" si="2"/>
        <v>0</v>
      </c>
    </row>
    <row r="22" spans="1:7" ht="20.25">
      <c r="A22" s="815">
        <v>19</v>
      </c>
      <c r="B22" s="813">
        <v>0</v>
      </c>
      <c r="C22" s="812">
        <f t="shared" si="0"/>
        <v>0</v>
      </c>
      <c r="D22" s="813">
        <v>0</v>
      </c>
      <c r="E22" s="812">
        <f t="shared" si="1"/>
        <v>0</v>
      </c>
      <c r="F22" s="813">
        <v>0</v>
      </c>
      <c r="G22" s="812">
        <f t="shared" si="2"/>
        <v>0</v>
      </c>
    </row>
    <row r="23" spans="1:7" ht="20.25">
      <c r="A23" s="815">
        <v>20</v>
      </c>
      <c r="B23" s="813">
        <v>0</v>
      </c>
      <c r="C23" s="812">
        <f t="shared" si="0"/>
        <v>0</v>
      </c>
      <c r="D23" s="813">
        <v>0</v>
      </c>
      <c r="E23" s="812">
        <f t="shared" si="1"/>
        <v>0</v>
      </c>
      <c r="F23" s="813">
        <v>0</v>
      </c>
      <c r="G23" s="812">
        <f t="shared" si="2"/>
        <v>0</v>
      </c>
    </row>
    <row r="24" spans="1:7" ht="20.25">
      <c r="A24" s="815">
        <v>21</v>
      </c>
      <c r="B24" s="813">
        <v>0</v>
      </c>
      <c r="C24" s="812">
        <f t="shared" si="0"/>
        <v>0</v>
      </c>
      <c r="D24" s="813">
        <v>0</v>
      </c>
      <c r="E24" s="812">
        <f t="shared" si="1"/>
        <v>0</v>
      </c>
      <c r="F24" s="813">
        <v>0</v>
      </c>
      <c r="G24" s="812">
        <f t="shared" si="2"/>
        <v>0</v>
      </c>
    </row>
    <row r="25" spans="1:7" ht="20.25">
      <c r="A25" s="815">
        <v>22</v>
      </c>
      <c r="B25" s="813">
        <v>0</v>
      </c>
      <c r="C25" s="812">
        <f t="shared" si="0"/>
        <v>0</v>
      </c>
      <c r="D25" s="813">
        <v>0</v>
      </c>
      <c r="E25" s="812">
        <f t="shared" si="1"/>
        <v>0</v>
      </c>
      <c r="F25" s="813">
        <v>0</v>
      </c>
      <c r="G25" s="812">
        <f t="shared" si="2"/>
        <v>0</v>
      </c>
    </row>
    <row r="26" spans="1:7" ht="20.25">
      <c r="A26" s="815">
        <v>23</v>
      </c>
      <c r="B26" s="813">
        <v>0</v>
      </c>
      <c r="C26" s="812">
        <f t="shared" si="0"/>
        <v>0</v>
      </c>
      <c r="D26" s="813">
        <v>0</v>
      </c>
      <c r="E26" s="812">
        <f t="shared" si="1"/>
        <v>0</v>
      </c>
      <c r="F26" s="813">
        <v>0</v>
      </c>
      <c r="G26" s="812">
        <f t="shared" si="2"/>
        <v>0</v>
      </c>
    </row>
    <row r="27" spans="1:7" ht="20.25">
      <c r="A27" s="815">
        <v>24</v>
      </c>
      <c r="B27" s="813">
        <v>0</v>
      </c>
      <c r="C27" s="812">
        <f t="shared" si="0"/>
        <v>0</v>
      </c>
      <c r="D27" s="813">
        <v>0</v>
      </c>
      <c r="E27" s="812">
        <f t="shared" si="1"/>
        <v>0</v>
      </c>
      <c r="F27" s="813">
        <v>0</v>
      </c>
      <c r="G27" s="812">
        <f t="shared" si="2"/>
        <v>0</v>
      </c>
    </row>
    <row r="28" spans="1:7" ht="20.25">
      <c r="A28" s="815">
        <v>25</v>
      </c>
      <c r="B28" s="813">
        <v>0</v>
      </c>
      <c r="C28" s="812">
        <f t="shared" si="0"/>
        <v>0</v>
      </c>
      <c r="D28" s="813">
        <v>0</v>
      </c>
      <c r="E28" s="812">
        <f t="shared" si="1"/>
        <v>0</v>
      </c>
      <c r="F28" s="813">
        <v>0</v>
      </c>
      <c r="G28" s="812">
        <f t="shared" si="2"/>
        <v>0</v>
      </c>
    </row>
    <row r="29" spans="1:7" ht="20.25">
      <c r="A29" s="815">
        <v>26</v>
      </c>
      <c r="B29" s="813">
        <v>0</v>
      </c>
      <c r="C29" s="812">
        <f t="shared" si="0"/>
        <v>0</v>
      </c>
      <c r="D29" s="813">
        <v>0</v>
      </c>
      <c r="E29" s="812">
        <f t="shared" si="1"/>
        <v>0</v>
      </c>
      <c r="F29" s="813">
        <v>0</v>
      </c>
      <c r="G29" s="812">
        <f t="shared" si="2"/>
        <v>0</v>
      </c>
    </row>
    <row r="30" spans="1:7" ht="20.25">
      <c r="A30" s="814">
        <v>27</v>
      </c>
      <c r="B30" s="813">
        <v>0</v>
      </c>
      <c r="C30" s="812">
        <f t="shared" si="0"/>
        <v>0</v>
      </c>
      <c r="D30" s="813">
        <v>0</v>
      </c>
      <c r="E30" s="812">
        <f t="shared" si="1"/>
        <v>0</v>
      </c>
      <c r="F30" s="813">
        <v>0</v>
      </c>
      <c r="G30" s="812">
        <f t="shared" si="2"/>
        <v>0</v>
      </c>
    </row>
    <row r="31" spans="1:7" ht="20.25">
      <c r="A31" s="814">
        <v>28</v>
      </c>
      <c r="B31" s="813">
        <v>0</v>
      </c>
      <c r="C31" s="812">
        <f t="shared" si="0"/>
        <v>0</v>
      </c>
      <c r="D31" s="813">
        <v>0</v>
      </c>
      <c r="E31" s="812">
        <f t="shared" si="1"/>
        <v>0</v>
      </c>
      <c r="F31" s="813">
        <v>0</v>
      </c>
      <c r="G31" s="812">
        <f t="shared" si="2"/>
        <v>0</v>
      </c>
    </row>
    <row r="32" spans="1:7" ht="20.25">
      <c r="A32" s="815">
        <v>29</v>
      </c>
      <c r="B32" s="813">
        <v>0</v>
      </c>
      <c r="C32" s="812">
        <f t="shared" si="0"/>
        <v>0</v>
      </c>
      <c r="D32" s="813">
        <v>0</v>
      </c>
      <c r="E32" s="812">
        <f t="shared" si="1"/>
        <v>0</v>
      </c>
      <c r="F32" s="813">
        <v>0</v>
      </c>
      <c r="G32" s="812">
        <f t="shared" si="2"/>
        <v>0</v>
      </c>
    </row>
    <row r="33" spans="1:7" ht="20.25">
      <c r="A33" s="814">
        <v>30</v>
      </c>
      <c r="B33" s="813">
        <v>0</v>
      </c>
      <c r="C33" s="812">
        <f t="shared" si="0"/>
        <v>0</v>
      </c>
      <c r="D33" s="813">
        <v>0</v>
      </c>
      <c r="E33" s="812">
        <f t="shared" si="1"/>
        <v>0</v>
      </c>
      <c r="F33" s="813">
        <v>0</v>
      </c>
      <c r="G33" s="812">
        <f t="shared" si="2"/>
        <v>0</v>
      </c>
    </row>
    <row r="34" spans="1:7" ht="21" thickBot="1">
      <c r="A34" s="814">
        <v>31</v>
      </c>
      <c r="B34" s="813">
        <v>0</v>
      </c>
      <c r="C34" s="812">
        <f t="shared" si="0"/>
        <v>0</v>
      </c>
      <c r="D34" s="813">
        <v>0</v>
      </c>
      <c r="E34" s="812">
        <f t="shared" si="1"/>
        <v>0</v>
      </c>
      <c r="F34" s="813">
        <v>0</v>
      </c>
      <c r="G34" s="812">
        <f t="shared" si="2"/>
        <v>0</v>
      </c>
    </row>
    <row r="35" spans="1:7" ht="20.25">
      <c r="A35" s="810" t="s">
        <v>81</v>
      </c>
      <c r="B35" s="811"/>
      <c r="C35" s="810">
        <f>SUM(C4:C34)</f>
        <v>0</v>
      </c>
      <c r="D35" s="811"/>
      <c r="E35" s="810">
        <f>SUM(E4:E34)</f>
        <v>0</v>
      </c>
      <c r="F35" s="811"/>
      <c r="G35" s="810">
        <f>SUM(G4:G34)</f>
        <v>0</v>
      </c>
    </row>
  </sheetData>
  <sheetProtection algorithmName="SHA-512" hashValue="gxMWpfRu0M7oS5ugXPFy1dj96sFXhk8CtltpgDhCrNfyZLbNgyN1UpZY9c+1YBfHplhK1jcMgiu45BkZJ//scA==" saltValue="On9BjF6jdsPuMHHpMZAaeg==" spinCount="100000" sheet="1" objects="1" scenarios="1" formatCells="0" formatColumns="0" formatRows="0" insertColumns="0" insertRows="0" insertHyperlinks="0" deleteColumns="0" deleteRows="0" sort="0" autoFilter="0" pivotTables="0"/>
  <mergeCells count="4">
    <mergeCell ref="B1:C1"/>
    <mergeCell ref="D1:E1"/>
    <mergeCell ref="F1:G1"/>
    <mergeCell ref="A1:A2"/>
  </mergeCells>
  <conditionalFormatting sqref="E3">
    <cfRule type="cellIs" dxfId="49" priority="9" stopIfTrue="1" operator="greaterThan">
      <formula>2000</formula>
    </cfRule>
  </conditionalFormatting>
  <conditionalFormatting sqref="E3">
    <cfRule type="cellIs" dxfId="48" priority="8" stopIfTrue="1" operator="greaterThan">
      <formula>1000</formula>
    </cfRule>
  </conditionalFormatting>
  <conditionalFormatting sqref="E3">
    <cfRule type="cellIs" dxfId="47" priority="7" stopIfTrue="1" operator="greaterThan">
      <formula>2000</formula>
    </cfRule>
  </conditionalFormatting>
  <conditionalFormatting sqref="E3">
    <cfRule type="cellIs" dxfId="46" priority="6" stopIfTrue="1" operator="greaterThan">
      <formula>1000</formula>
    </cfRule>
  </conditionalFormatting>
  <conditionalFormatting sqref="E3">
    <cfRule type="cellIs" dxfId="45" priority="5" stopIfTrue="1" operator="greaterThan">
      <formula>2000</formula>
    </cfRule>
  </conditionalFormatting>
  <conditionalFormatting sqref="E3">
    <cfRule type="cellIs" dxfId="44" priority="4" stopIfTrue="1" operator="greaterThan">
      <formula>1000</formula>
    </cfRule>
  </conditionalFormatting>
  <conditionalFormatting sqref="E3">
    <cfRule type="cellIs" dxfId="43" priority="3" stopIfTrue="1" operator="greaterThan">
      <formula>2000</formula>
    </cfRule>
  </conditionalFormatting>
  <conditionalFormatting sqref="E3">
    <cfRule type="cellIs" dxfId="42" priority="2" stopIfTrue="1" operator="greaterThan">
      <formula>1000</formula>
    </cfRule>
  </conditionalFormatting>
  <conditionalFormatting sqref="G3">
    <cfRule type="cellIs" dxfId="41" priority="1" stopIfTrue="1" operator="greaterThan">
      <formula>200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60" zoomScaleNormal="60" zoomScaleSheetLayoutView="40" workbookViewId="0">
      <pane xSplit="1" ySplit="5" topLeftCell="B27" activePane="bottomRight" state="frozen"/>
      <selection pane="bottomRight" activeCell="K39" sqref="K39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59">
        <f>Elect!A1</f>
        <v>44896</v>
      </c>
      <c r="B1" s="579"/>
      <c r="C1" s="580"/>
      <c r="D1" s="850"/>
      <c r="E1" s="850"/>
      <c r="F1" s="850"/>
      <c r="G1" s="850"/>
      <c r="H1" s="850"/>
      <c r="I1" s="850"/>
      <c r="J1" s="850"/>
      <c r="K1" s="850"/>
      <c r="L1" s="850"/>
      <c r="M1" s="850"/>
      <c r="N1" s="850"/>
      <c r="O1" s="581"/>
      <c r="P1" s="861"/>
      <c r="Q1" s="861"/>
      <c r="R1" s="861"/>
      <c r="S1" s="2"/>
      <c r="T1" s="582" t="s">
        <v>82</v>
      </c>
      <c r="U1" s="566"/>
      <c r="V1" s="565">
        <v>4</v>
      </c>
      <c r="W1" s="564" t="s">
        <v>83</v>
      </c>
      <c r="X1" s="583"/>
      <c r="Y1" s="584"/>
      <c r="Z1" s="566"/>
    </row>
    <row r="2" spans="1:26" ht="39.75" customHeight="1" thickBot="1">
      <c r="A2" s="860"/>
      <c r="B2" s="586"/>
      <c r="C2" s="580"/>
      <c r="O2" s="581"/>
      <c r="P2" s="862"/>
      <c r="Q2" s="862"/>
      <c r="R2" s="862"/>
    </row>
    <row r="3" spans="1:26" s="3" customFormat="1" ht="42" customHeight="1" thickBot="1">
      <c r="A3" s="851" t="s">
        <v>27</v>
      </c>
      <c r="B3" s="587"/>
      <c r="C3" s="588"/>
      <c r="D3" s="588"/>
      <c r="E3" s="589" t="s">
        <v>84</v>
      </c>
      <c r="F3" s="588"/>
      <c r="G3" s="588"/>
      <c r="H3" s="590"/>
      <c r="I3" s="881" t="s">
        <v>85</v>
      </c>
      <c r="J3" s="882"/>
      <c r="K3" s="882"/>
      <c r="L3" s="882"/>
      <c r="M3" s="883"/>
      <c r="N3" s="873" t="s">
        <v>86</v>
      </c>
      <c r="O3" s="874"/>
      <c r="P3" s="854" t="s">
        <v>87</v>
      </c>
      <c r="Q3" s="854"/>
      <c r="R3" s="854" t="s">
        <v>88</v>
      </c>
      <c r="S3" s="854"/>
      <c r="T3" s="869" t="s">
        <v>89</v>
      </c>
      <c r="U3" s="865" t="s">
        <v>90</v>
      </c>
      <c r="V3" s="865" t="s">
        <v>91</v>
      </c>
      <c r="W3" s="865" t="s">
        <v>92</v>
      </c>
      <c r="X3" s="866" t="s">
        <v>93</v>
      </c>
      <c r="Y3" s="591" t="s">
        <v>94</v>
      </c>
      <c r="Z3" s="592" t="s">
        <v>94</v>
      </c>
    </row>
    <row r="4" spans="1:26" s="3" customFormat="1" ht="45" customHeight="1" thickBot="1">
      <c r="A4" s="852"/>
      <c r="B4" s="875" t="s">
        <v>95</v>
      </c>
      <c r="C4" s="876"/>
      <c r="D4" s="877" t="s">
        <v>96</v>
      </c>
      <c r="E4" s="878"/>
      <c r="F4" s="877" t="s">
        <v>97</v>
      </c>
      <c r="G4" s="878"/>
      <c r="H4" s="857" t="s">
        <v>98</v>
      </c>
      <c r="I4" s="879" t="s">
        <v>99</v>
      </c>
      <c r="J4" s="880"/>
      <c r="K4" s="879" t="s">
        <v>100</v>
      </c>
      <c r="L4" s="880"/>
      <c r="M4" s="792"/>
      <c r="N4" s="857" t="s">
        <v>101</v>
      </c>
      <c r="O4" s="857" t="s">
        <v>102</v>
      </c>
      <c r="P4" s="855" t="s">
        <v>103</v>
      </c>
      <c r="Q4" s="855" t="s">
        <v>104</v>
      </c>
      <c r="R4" s="855" t="s">
        <v>103</v>
      </c>
      <c r="S4" s="855" t="s">
        <v>104</v>
      </c>
      <c r="T4" s="870"/>
      <c r="U4" s="855"/>
      <c r="V4" s="855"/>
      <c r="W4" s="855"/>
      <c r="X4" s="867"/>
      <c r="Y4" s="863" t="s">
        <v>105</v>
      </c>
      <c r="Z4" s="848" t="s">
        <v>106</v>
      </c>
    </row>
    <row r="5" spans="1:26" s="3" customFormat="1" ht="48.75" customHeight="1" thickBot="1">
      <c r="A5" s="853"/>
      <c r="B5" s="593" t="s">
        <v>107</v>
      </c>
      <c r="C5" s="791" t="s">
        <v>108</v>
      </c>
      <c r="D5" s="594" t="s">
        <v>107</v>
      </c>
      <c r="E5" s="791" t="s">
        <v>108</v>
      </c>
      <c r="F5" s="594" t="s">
        <v>107</v>
      </c>
      <c r="G5" s="791" t="s">
        <v>108</v>
      </c>
      <c r="H5" s="858"/>
      <c r="I5" s="725" t="s">
        <v>107</v>
      </c>
      <c r="J5" s="726"/>
      <c r="K5" s="725" t="s">
        <v>107</v>
      </c>
      <c r="L5" s="726"/>
      <c r="M5" s="724"/>
      <c r="N5" s="856"/>
      <c r="O5" s="856"/>
      <c r="P5" s="856"/>
      <c r="Q5" s="856"/>
      <c r="R5" s="856"/>
      <c r="S5" s="856"/>
      <c r="T5" s="871"/>
      <c r="U5" s="856"/>
      <c r="V5" s="856"/>
      <c r="W5" s="856"/>
      <c r="X5" s="868"/>
      <c r="Y5" s="864"/>
      <c r="Z5" s="849"/>
    </row>
    <row r="6" spans="1:26" s="3" customFormat="1" ht="36.75" customHeight="1">
      <c r="A6" s="595"/>
      <c r="B6" s="767">
        <v>90135.333333333299</v>
      </c>
      <c r="C6" s="636">
        <f t="shared" ref="C6:C37" si="0">IF(B6&gt;=B5,B6-B5,0)*10*0.58</f>
        <v>0</v>
      </c>
      <c r="D6" s="770">
        <v>13386.333333333299</v>
      </c>
      <c r="E6" s="636">
        <f t="shared" ref="E6:E37" si="1">IF(D6&gt;=D5,D6-D5,0)*10*0.58</f>
        <v>0</v>
      </c>
      <c r="F6" s="766">
        <v>61792</v>
      </c>
      <c r="G6" s="636">
        <f>IF(F6&gt;=F5,F6-F5,0)*0.58</f>
        <v>0</v>
      </c>
      <c r="H6" s="708"/>
      <c r="I6" s="766">
        <v>310</v>
      </c>
      <c r="J6" s="723"/>
      <c r="K6" s="808">
        <v>5476</v>
      </c>
      <c r="L6" s="723"/>
      <c r="M6" s="723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7">
        <v>90179</v>
      </c>
      <c r="C7" s="636">
        <f t="shared" si="0"/>
        <v>253.26666666686359</v>
      </c>
      <c r="D7" s="770">
        <v>13442</v>
      </c>
      <c r="E7" s="636">
        <f t="shared" si="1"/>
        <v>322.86666666686358</v>
      </c>
      <c r="F7" s="766">
        <v>62211</v>
      </c>
      <c r="G7" s="636">
        <f t="shared" ref="G7:G31" si="2">IF(F7&gt;=F6,F7-F6,0)*0.58</f>
        <v>243.01999999999998</v>
      </c>
      <c r="H7" s="636">
        <f t="shared" ref="H7:H37" si="3">C7+E7+G7</f>
        <v>819.15333333372712</v>
      </c>
      <c r="I7" s="766"/>
      <c r="J7" s="636"/>
      <c r="K7" s="808"/>
      <c r="L7" s="636"/>
      <c r="M7" s="636"/>
      <c r="N7" s="109"/>
      <c r="O7" s="535">
        <f>IF(N7&gt;=N6,N7-N6,0)</f>
        <v>0</v>
      </c>
      <c r="P7" s="109"/>
      <c r="Q7" s="436">
        <f>(H7-O7)*0.58</f>
        <v>475.10893333356171</v>
      </c>
      <c r="R7" s="109"/>
      <c r="S7" s="436">
        <f>IF(R7-R6&gt;0,R7-R6,0)</f>
        <v>0</v>
      </c>
      <c r="T7" s="706">
        <f>Elect!BT6</f>
        <v>210</v>
      </c>
      <c r="U7" s="604">
        <f>H7/T7</f>
        <v>3.900730158732034</v>
      </c>
      <c r="V7" s="706">
        <f>Elect!BV6</f>
        <v>0</v>
      </c>
      <c r="W7" s="604" t="e">
        <f>H7/V7</f>
        <v>#DIV/0!</v>
      </c>
      <c r="X7" s="429">
        <f>H7*V1</f>
        <v>3276.6133333349085</v>
      </c>
      <c r="Y7" s="604">
        <f>IF(X7&gt;0,X7/T7,0)</f>
        <v>15.602920634928136</v>
      </c>
      <c r="Z7" s="607">
        <v>0</v>
      </c>
    </row>
    <row r="8" spans="1:26" s="3" customFormat="1" ht="36.75" customHeight="1">
      <c r="A8" s="595">
        <v>2</v>
      </c>
      <c r="B8" s="767">
        <v>90182.888888888905</v>
      </c>
      <c r="C8" s="636">
        <f t="shared" si="0"/>
        <v>22.555555555649335</v>
      </c>
      <c r="D8" s="770">
        <v>13448.166666666701</v>
      </c>
      <c r="E8" s="636">
        <f t="shared" si="1"/>
        <v>35.7666666668636</v>
      </c>
      <c r="F8" s="766">
        <v>62420</v>
      </c>
      <c r="G8" s="636">
        <f t="shared" si="2"/>
        <v>121.21999999999998</v>
      </c>
      <c r="H8" s="636">
        <f t="shared" si="3"/>
        <v>179.54222222251292</v>
      </c>
      <c r="I8" s="766"/>
      <c r="J8" s="636"/>
      <c r="K8" s="808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104.13448888905748</v>
      </c>
      <c r="R8" s="109"/>
      <c r="S8" s="436">
        <f t="shared" ref="S8:S37" si="6">IF(R8-R7&gt;0,R8-R7,0)</f>
        <v>0</v>
      </c>
      <c r="T8" s="706">
        <f>Elect!BT7</f>
        <v>242</v>
      </c>
      <c r="U8" s="604">
        <f t="shared" ref="U8:U37" si="7">H8/T8</f>
        <v>0.74191000918393768</v>
      </c>
      <c r="V8" s="706">
        <f>Elect!BV7</f>
        <v>0</v>
      </c>
      <c r="W8" s="604" t="e">
        <f t="shared" ref="W8:W37" si="8">H8/V8</f>
        <v>#DIV/0!</v>
      </c>
      <c r="X8" s="429">
        <f>H8*V1</f>
        <v>718.16888889005168</v>
      </c>
      <c r="Y8" s="604">
        <f>IF(X8&gt;0,X8/T8,0)</f>
        <v>2.9676400367357507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7">
        <v>90197.666666666701</v>
      </c>
      <c r="C9" s="636">
        <f t="shared" si="0"/>
        <v>85.711111111214265</v>
      </c>
      <c r="D9" s="770">
        <v>13466.666666666701</v>
      </c>
      <c r="E9" s="636">
        <f t="shared" si="1"/>
        <v>107.3</v>
      </c>
      <c r="F9" s="766">
        <v>62500</v>
      </c>
      <c r="G9" s="636">
        <f t="shared" si="2"/>
        <v>46.4</v>
      </c>
      <c r="H9" s="636">
        <f t="shared" si="3"/>
        <v>239.41111111121427</v>
      </c>
      <c r="I9" s="766"/>
      <c r="J9" s="636"/>
      <c r="K9" s="808"/>
      <c r="L9" s="636"/>
      <c r="M9" s="636"/>
      <c r="N9" s="109"/>
      <c r="O9" s="535">
        <f t="shared" si="4"/>
        <v>0</v>
      </c>
      <c r="P9" s="109"/>
      <c r="Q9" s="436">
        <f t="shared" si="5"/>
        <v>138.85844444450427</v>
      </c>
      <c r="R9" s="109"/>
      <c r="S9" s="436">
        <f t="shared" si="6"/>
        <v>0</v>
      </c>
      <c r="T9" s="706">
        <f>Elect!BT8</f>
        <v>225</v>
      </c>
      <c r="U9" s="604">
        <f t="shared" si="7"/>
        <v>1.0640493827165078</v>
      </c>
      <c r="V9" s="706">
        <f>Elect!BV8</f>
        <v>0</v>
      </c>
      <c r="W9" s="604" t="e">
        <f t="shared" si="8"/>
        <v>#DIV/0!</v>
      </c>
      <c r="X9" s="429">
        <f>H9*V1</f>
        <v>957.64444444485707</v>
      </c>
      <c r="Y9" s="604">
        <f t="shared" ref="Y9:Y37" si="9">IF(X9&gt;0,X9/T9,0)</f>
        <v>4.2561975308660314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7">
        <v>90212</v>
      </c>
      <c r="C10" s="636">
        <f t="shared" si="0"/>
        <v>83.133333333136392</v>
      </c>
      <c r="D10" s="770">
        <v>13485</v>
      </c>
      <c r="E10" s="636">
        <f t="shared" si="1"/>
        <v>106.33333333313639</v>
      </c>
      <c r="F10" s="766">
        <v>62644</v>
      </c>
      <c r="G10" s="636">
        <f t="shared" si="2"/>
        <v>83.52</v>
      </c>
      <c r="H10" s="636">
        <f t="shared" si="3"/>
        <v>272.98666666627275</v>
      </c>
      <c r="I10" s="766"/>
      <c r="J10" s="636"/>
      <c r="K10" s="808"/>
      <c r="L10" s="636"/>
      <c r="M10" s="636"/>
      <c r="N10" s="109"/>
      <c r="O10" s="535">
        <f t="shared" si="4"/>
        <v>0</v>
      </c>
      <c r="P10" s="109"/>
      <c r="Q10" s="436">
        <f t="shared" si="5"/>
        <v>158.33226666643819</v>
      </c>
      <c r="R10" s="109"/>
      <c r="S10" s="436">
        <f t="shared" si="6"/>
        <v>0</v>
      </c>
      <c r="T10" s="706">
        <f>Elect!BT9</f>
        <v>236</v>
      </c>
      <c r="U10" s="604">
        <f t="shared" si="7"/>
        <v>1.1567231638401387</v>
      </c>
      <c r="V10" s="706">
        <f>Elect!BV9</f>
        <v>0</v>
      </c>
      <c r="W10" s="604" t="e">
        <f t="shared" si="8"/>
        <v>#DIV/0!</v>
      </c>
      <c r="X10" s="429">
        <f>H10*V1</f>
        <v>1091.946666665091</v>
      </c>
      <c r="Y10" s="604">
        <f t="shared" si="9"/>
        <v>4.6268926553605549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7">
        <v>90227</v>
      </c>
      <c r="C11" s="636">
        <f t="shared" si="0"/>
        <v>87</v>
      </c>
      <c r="D11" s="770">
        <v>13504</v>
      </c>
      <c r="E11" s="636">
        <f t="shared" si="1"/>
        <v>110.19999999999999</v>
      </c>
      <c r="F11" s="766">
        <v>62865</v>
      </c>
      <c r="G11" s="636">
        <f t="shared" si="2"/>
        <v>128.17999999999998</v>
      </c>
      <c r="H11" s="636">
        <f t="shared" si="3"/>
        <v>325.38</v>
      </c>
      <c r="I11" s="766"/>
      <c r="J11" s="636"/>
      <c r="K11" s="808"/>
      <c r="L11" s="636"/>
      <c r="M11" s="636"/>
      <c r="N11" s="109"/>
      <c r="O11" s="535">
        <f t="shared" si="4"/>
        <v>0</v>
      </c>
      <c r="P11" s="109"/>
      <c r="Q11" s="436">
        <f t="shared" si="5"/>
        <v>188.72039999999998</v>
      </c>
      <c r="R11" s="109"/>
      <c r="S11" s="436">
        <f t="shared" si="6"/>
        <v>0</v>
      </c>
      <c r="T11" s="706">
        <f>Elect!BT10</f>
        <v>216</v>
      </c>
      <c r="U11" s="604">
        <f t="shared" si="7"/>
        <v>1.5063888888888888</v>
      </c>
      <c r="V11" s="706">
        <f>Elect!BV10</f>
        <v>0</v>
      </c>
      <c r="W11" s="604" t="e">
        <f t="shared" si="8"/>
        <v>#DIV/0!</v>
      </c>
      <c r="X11" s="429">
        <f>H11*V1</f>
        <v>1301.52</v>
      </c>
      <c r="Y11" s="604">
        <f t="shared" si="9"/>
        <v>6.0255555555555551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7">
        <v>90241</v>
      </c>
      <c r="C12" s="636">
        <f t="shared" si="0"/>
        <v>81.199999999999989</v>
      </c>
      <c r="D12" s="770">
        <v>13522</v>
      </c>
      <c r="E12" s="636">
        <f t="shared" si="1"/>
        <v>104.39999999999999</v>
      </c>
      <c r="F12" s="766">
        <v>63088</v>
      </c>
      <c r="G12" s="636">
        <f t="shared" si="2"/>
        <v>129.34</v>
      </c>
      <c r="H12" s="636">
        <f t="shared" si="3"/>
        <v>314.93999999999994</v>
      </c>
      <c r="I12" s="766"/>
      <c r="J12" s="636"/>
      <c r="K12" s="808"/>
      <c r="L12" s="636"/>
      <c r="M12" s="636"/>
      <c r="N12" s="109"/>
      <c r="O12" s="535">
        <f t="shared" si="4"/>
        <v>0</v>
      </c>
      <c r="P12" s="109"/>
      <c r="Q12" s="436">
        <f t="shared" si="5"/>
        <v>182.66519999999994</v>
      </c>
      <c r="R12" s="109"/>
      <c r="S12" s="436">
        <f t="shared" si="6"/>
        <v>0</v>
      </c>
      <c r="T12" s="706">
        <f>Elect!BT11</f>
        <v>198</v>
      </c>
      <c r="U12" s="604">
        <f t="shared" si="7"/>
        <v>1.5906060606060604</v>
      </c>
      <c r="V12" s="706">
        <f>Elect!BV11</f>
        <v>0</v>
      </c>
      <c r="W12" s="604" t="e">
        <f t="shared" si="8"/>
        <v>#DIV/0!</v>
      </c>
      <c r="X12" s="429">
        <f>H12*V1</f>
        <v>1259.7599999999998</v>
      </c>
      <c r="Y12" s="604">
        <f t="shared" si="9"/>
        <v>6.3624242424242414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7">
        <v>90255.666666666701</v>
      </c>
      <c r="C13" s="636">
        <f t="shared" si="0"/>
        <v>85.066666666863597</v>
      </c>
      <c r="D13" s="770">
        <v>13540.666666666701</v>
      </c>
      <c r="E13" s="636">
        <f t="shared" si="1"/>
        <v>108.2666666668636</v>
      </c>
      <c r="F13" s="766">
        <v>63200</v>
      </c>
      <c r="G13" s="636">
        <f t="shared" si="2"/>
        <v>64.959999999999994</v>
      </c>
      <c r="H13" s="636">
        <f t="shared" si="3"/>
        <v>258.29333333372716</v>
      </c>
      <c r="I13" s="766"/>
      <c r="J13" s="636"/>
      <c r="K13" s="808"/>
      <c r="L13" s="636"/>
      <c r="M13" s="636"/>
      <c r="N13" s="109"/>
      <c r="O13" s="535">
        <f t="shared" si="4"/>
        <v>0</v>
      </c>
      <c r="P13" s="109"/>
      <c r="Q13" s="436">
        <f t="shared" si="5"/>
        <v>149.81013333356174</v>
      </c>
      <c r="R13" s="109"/>
      <c r="S13" s="436">
        <f t="shared" si="6"/>
        <v>0</v>
      </c>
      <c r="T13" s="706">
        <f>Elect!BT12</f>
        <v>184</v>
      </c>
      <c r="U13" s="604">
        <f t="shared" si="7"/>
        <v>1.4037681159441693</v>
      </c>
      <c r="V13" s="706">
        <f>Elect!BV12</f>
        <v>0</v>
      </c>
      <c r="W13" s="604" t="e">
        <f t="shared" si="8"/>
        <v>#DIV/0!</v>
      </c>
      <c r="X13" s="429">
        <f>H13*V1</f>
        <v>1033.1733333349086</v>
      </c>
      <c r="Y13" s="604">
        <f t="shared" si="9"/>
        <v>5.6150724637766771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7">
        <v>90270.166666666701</v>
      </c>
      <c r="C14" s="636">
        <f>IF(B14&gt;=B13,B14-B13,0)*10*0.58</f>
        <v>84.1</v>
      </c>
      <c r="D14" s="770">
        <v>13559.166666666701</v>
      </c>
      <c r="E14" s="636">
        <f t="shared" si="1"/>
        <v>107.3</v>
      </c>
      <c r="F14" s="766">
        <v>63400</v>
      </c>
      <c r="G14" s="636">
        <f t="shared" si="2"/>
        <v>115.99999999999999</v>
      </c>
      <c r="H14" s="636">
        <f t="shared" si="3"/>
        <v>307.39999999999998</v>
      </c>
      <c r="I14" s="766"/>
      <c r="J14" s="636"/>
      <c r="K14" s="808"/>
      <c r="L14" s="636"/>
      <c r="M14" s="636"/>
      <c r="N14" s="109"/>
      <c r="O14" s="535">
        <f t="shared" si="4"/>
        <v>0</v>
      </c>
      <c r="P14" s="109"/>
      <c r="Q14" s="436">
        <f t="shared" si="5"/>
        <v>178.29199999999997</v>
      </c>
      <c r="R14" s="109"/>
      <c r="S14" s="436">
        <f t="shared" si="6"/>
        <v>0</v>
      </c>
      <c r="T14" s="706">
        <f>Elect!BT13</f>
        <v>184</v>
      </c>
      <c r="U14" s="604">
        <f t="shared" si="7"/>
        <v>1.6706521739130433</v>
      </c>
      <c r="V14" s="706">
        <f>Elect!BV13</f>
        <v>0</v>
      </c>
      <c r="W14" s="604" t="e">
        <f t="shared" si="8"/>
        <v>#DIV/0!</v>
      </c>
      <c r="X14" s="429">
        <f>H14*V1</f>
        <v>1229.5999999999999</v>
      </c>
      <c r="Y14" s="604">
        <f t="shared" si="9"/>
        <v>6.6826086956521733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7">
        <v>90284</v>
      </c>
      <c r="C15" s="636">
        <f>IF(B15&gt;=B14,B15-B14,0)*10*0.58</f>
        <v>80.233333333136386</v>
      </c>
      <c r="D15" s="770">
        <v>13577</v>
      </c>
      <c r="E15" s="636">
        <f t="shared" si="1"/>
        <v>103.43333333313639</v>
      </c>
      <c r="F15" s="766">
        <v>63739</v>
      </c>
      <c r="G15" s="636">
        <f t="shared" si="2"/>
        <v>196.61999999999998</v>
      </c>
      <c r="H15" s="636">
        <f t="shared" si="3"/>
        <v>380.28666666627271</v>
      </c>
      <c r="I15" s="766"/>
      <c r="J15" s="636"/>
      <c r="K15" s="808"/>
      <c r="L15" s="636"/>
      <c r="M15" s="636"/>
      <c r="N15" s="109"/>
      <c r="O15" s="535">
        <f t="shared" si="4"/>
        <v>0</v>
      </c>
      <c r="P15" s="109"/>
      <c r="Q15" s="436">
        <f t="shared" si="5"/>
        <v>220.56626666643817</v>
      </c>
      <c r="R15" s="109"/>
      <c r="S15" s="436">
        <f t="shared" si="6"/>
        <v>0</v>
      </c>
      <c r="T15" s="706">
        <f>Elect!BT14</f>
        <v>183</v>
      </c>
      <c r="U15" s="604">
        <f t="shared" si="7"/>
        <v>2.0780692167555888</v>
      </c>
      <c r="V15" s="706">
        <f>Elect!BV14</f>
        <v>0</v>
      </c>
      <c r="W15" s="604" t="e">
        <f t="shared" si="8"/>
        <v>#DIV/0!</v>
      </c>
      <c r="X15" s="429">
        <f>H15*V1</f>
        <v>1521.1466666650908</v>
      </c>
      <c r="Y15" s="604">
        <f t="shared" si="9"/>
        <v>8.312276867022355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7">
        <v>90297</v>
      </c>
      <c r="C16" s="636">
        <f>IF(B16&gt;=B15,B16-B15,0)*10*0.58</f>
        <v>75.399999999999991</v>
      </c>
      <c r="D16" s="770">
        <v>13593</v>
      </c>
      <c r="E16" s="636">
        <f t="shared" si="1"/>
        <v>92.8</v>
      </c>
      <c r="F16" s="766">
        <v>63950</v>
      </c>
      <c r="G16" s="636">
        <f t="shared" si="2"/>
        <v>122.38</v>
      </c>
      <c r="H16" s="636">
        <f t="shared" si="3"/>
        <v>290.58</v>
      </c>
      <c r="I16" s="766"/>
      <c r="J16" s="636"/>
      <c r="K16" s="808"/>
      <c r="L16" s="636"/>
      <c r="M16" s="636"/>
      <c r="N16" s="109"/>
      <c r="O16" s="535">
        <f t="shared" si="4"/>
        <v>0</v>
      </c>
      <c r="P16" s="109"/>
      <c r="Q16" s="436">
        <f t="shared" si="5"/>
        <v>168.53639999999999</v>
      </c>
      <c r="R16" s="109"/>
      <c r="S16" s="436">
        <f t="shared" si="6"/>
        <v>0</v>
      </c>
      <c r="T16" s="706">
        <f>Elect!BT15</f>
        <v>207</v>
      </c>
      <c r="U16" s="604">
        <f t="shared" si="7"/>
        <v>1.403768115942029</v>
      </c>
      <c r="V16" s="706">
        <f>Elect!BV15</f>
        <v>0</v>
      </c>
      <c r="W16" s="604" t="e">
        <f t="shared" si="8"/>
        <v>#DIV/0!</v>
      </c>
      <c r="X16" s="429">
        <f>H16*V1</f>
        <v>1162.32</v>
      </c>
      <c r="Y16" s="604">
        <f t="shared" si="9"/>
        <v>5.615072463768116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7">
        <v>90311</v>
      </c>
      <c r="C17" s="636">
        <f t="shared" si="0"/>
        <v>81.199999999999989</v>
      </c>
      <c r="D17" s="770">
        <v>13611</v>
      </c>
      <c r="E17" s="636">
        <f t="shared" si="1"/>
        <v>104.39999999999999</v>
      </c>
      <c r="F17" s="766">
        <v>64163</v>
      </c>
      <c r="G17" s="636">
        <f t="shared" si="2"/>
        <v>123.53999999999999</v>
      </c>
      <c r="H17" s="636">
        <f t="shared" si="3"/>
        <v>309.14</v>
      </c>
      <c r="I17" s="766"/>
      <c r="J17" s="636"/>
      <c r="K17" s="808"/>
      <c r="L17" s="636"/>
      <c r="M17" s="636"/>
      <c r="N17" s="109"/>
      <c r="O17" s="535">
        <f t="shared" si="4"/>
        <v>0</v>
      </c>
      <c r="P17" s="109"/>
      <c r="Q17" s="436">
        <f t="shared" si="5"/>
        <v>179.30119999999997</v>
      </c>
      <c r="R17" s="109"/>
      <c r="S17" s="436">
        <f t="shared" si="6"/>
        <v>0</v>
      </c>
      <c r="T17" s="706">
        <f>Elect!BT16</f>
        <v>236</v>
      </c>
      <c r="U17" s="604">
        <f t="shared" si="7"/>
        <v>1.3099152542372881</v>
      </c>
      <c r="V17" s="706">
        <f>Elect!BV16</f>
        <v>0</v>
      </c>
      <c r="W17" s="604" t="e">
        <f t="shared" si="8"/>
        <v>#DIV/0!</v>
      </c>
      <c r="X17" s="429">
        <f>H17*V1</f>
        <v>1236.56</v>
      </c>
      <c r="Y17" s="604">
        <f t="shared" si="9"/>
        <v>5.2396610169491522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7">
        <v>90326</v>
      </c>
      <c r="C18" s="636">
        <f t="shared" si="0"/>
        <v>87</v>
      </c>
      <c r="D18" s="770">
        <v>13629</v>
      </c>
      <c r="E18" s="636">
        <f t="shared" si="1"/>
        <v>104.39999999999999</v>
      </c>
      <c r="F18" s="766">
        <v>64370</v>
      </c>
      <c r="G18" s="636">
        <f t="shared" si="2"/>
        <v>120.05999999999999</v>
      </c>
      <c r="H18" s="636">
        <f t="shared" si="3"/>
        <v>311.45999999999998</v>
      </c>
      <c r="I18" s="766"/>
      <c r="J18" s="636"/>
      <c r="K18" s="808"/>
      <c r="L18" s="636"/>
      <c r="M18" s="636"/>
      <c r="N18" s="109"/>
      <c r="O18" s="535">
        <f t="shared" si="4"/>
        <v>0</v>
      </c>
      <c r="P18" s="109"/>
      <c r="Q18" s="436">
        <f t="shared" si="5"/>
        <v>180.64679999999998</v>
      </c>
      <c r="R18" s="109"/>
      <c r="S18" s="436">
        <f t="shared" si="6"/>
        <v>0</v>
      </c>
      <c r="T18" s="706">
        <f>Elect!BT17</f>
        <v>236</v>
      </c>
      <c r="U18" s="604">
        <f t="shared" si="7"/>
        <v>1.3197457627118643</v>
      </c>
      <c r="V18" s="706">
        <f>Elect!BV17</f>
        <v>0</v>
      </c>
      <c r="W18" s="604" t="e">
        <f t="shared" si="8"/>
        <v>#DIV/0!</v>
      </c>
      <c r="X18" s="429">
        <f>H18*V1</f>
        <v>1245.8399999999999</v>
      </c>
      <c r="Y18" s="604">
        <f t="shared" si="9"/>
        <v>5.2789830508474571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7">
        <v>90339.233333333294</v>
      </c>
      <c r="C19" s="636">
        <f t="shared" si="0"/>
        <v>76.753333333102631</v>
      </c>
      <c r="D19" s="770">
        <v>13645.9333333333</v>
      </c>
      <c r="E19" s="636">
        <f t="shared" si="1"/>
        <v>98.213333333138507</v>
      </c>
      <c r="F19" s="766">
        <v>64633.599999999999</v>
      </c>
      <c r="G19" s="636">
        <f t="shared" si="2"/>
        <v>152.88799999999915</v>
      </c>
      <c r="H19" s="636">
        <f t="shared" si="3"/>
        <v>327.85466666624029</v>
      </c>
      <c r="I19" s="766"/>
      <c r="J19" s="636"/>
      <c r="K19" s="808"/>
      <c r="L19" s="636"/>
      <c r="M19" s="636"/>
      <c r="N19" s="109"/>
      <c r="O19" s="535">
        <f t="shared" si="4"/>
        <v>0</v>
      </c>
      <c r="P19" s="109"/>
      <c r="Q19" s="436">
        <f t="shared" si="5"/>
        <v>190.15570666641935</v>
      </c>
      <c r="R19" s="109"/>
      <c r="S19" s="436">
        <f t="shared" si="6"/>
        <v>0</v>
      </c>
      <c r="T19" s="706">
        <f>Elect!BT18</f>
        <v>234</v>
      </c>
      <c r="U19" s="604">
        <f t="shared" si="7"/>
        <v>1.4010883190864969</v>
      </c>
      <c r="V19" s="706">
        <f>Elect!BV18</f>
        <v>0</v>
      </c>
      <c r="W19" s="604" t="e">
        <f t="shared" si="8"/>
        <v>#DIV/0!</v>
      </c>
      <c r="X19" s="429">
        <f>H19*V1</f>
        <v>1311.4186666649612</v>
      </c>
      <c r="Y19" s="604">
        <f t="shared" si="9"/>
        <v>5.6043532763459876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7">
        <v>90353.1</v>
      </c>
      <c r="C20" s="636">
        <f t="shared" si="0"/>
        <v>80.426666666931112</v>
      </c>
      <c r="D20" s="770">
        <v>13663.3</v>
      </c>
      <c r="E20" s="636">
        <f t="shared" si="1"/>
        <v>100.72666666685727</v>
      </c>
      <c r="F20" s="766">
        <v>64870</v>
      </c>
      <c r="G20" s="636">
        <f t="shared" si="2"/>
        <v>137.11200000000085</v>
      </c>
      <c r="H20" s="636">
        <f t="shared" si="3"/>
        <v>318.26533333378927</v>
      </c>
      <c r="I20" s="766"/>
      <c r="J20" s="636"/>
      <c r="K20" s="808"/>
      <c r="L20" s="636"/>
      <c r="M20" s="636"/>
      <c r="N20" s="109"/>
      <c r="O20" s="535">
        <f t="shared" si="4"/>
        <v>0</v>
      </c>
      <c r="P20" s="109"/>
      <c r="Q20" s="436">
        <f t="shared" si="5"/>
        <v>184.59389333359778</v>
      </c>
      <c r="R20" s="109"/>
      <c r="S20" s="436">
        <f t="shared" si="6"/>
        <v>0</v>
      </c>
      <c r="T20" s="706">
        <f>Elect!BT19</f>
        <v>234</v>
      </c>
      <c r="U20" s="604">
        <f t="shared" si="7"/>
        <v>1.3601082621102105</v>
      </c>
      <c r="V20" s="706">
        <f>Elect!BV19</f>
        <v>0</v>
      </c>
      <c r="W20" s="604" t="e">
        <f t="shared" si="8"/>
        <v>#DIV/0!</v>
      </c>
      <c r="X20" s="429">
        <f>H20*V1</f>
        <v>1273.0613333351571</v>
      </c>
      <c r="Y20" s="604">
        <f t="shared" si="9"/>
        <v>5.4404330484408421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7">
        <v>90366.966666666602</v>
      </c>
      <c r="C21" s="636">
        <f t="shared" si="0"/>
        <v>80.426666666255912</v>
      </c>
      <c r="D21" s="770">
        <v>13680.666666666601</v>
      </c>
      <c r="E21" s="636">
        <f t="shared" si="1"/>
        <v>100.72666666628756</v>
      </c>
      <c r="F21" s="766">
        <v>65106.400000000001</v>
      </c>
      <c r="G21" s="636">
        <f t="shared" si="2"/>
        <v>137.11200000000085</v>
      </c>
      <c r="H21" s="636">
        <f t="shared" si="3"/>
        <v>318.26533333254429</v>
      </c>
      <c r="I21" s="766"/>
      <c r="J21" s="636"/>
      <c r="K21" s="808"/>
      <c r="L21" s="636"/>
      <c r="M21" s="636"/>
      <c r="N21" s="109"/>
      <c r="O21" s="535">
        <f t="shared" si="4"/>
        <v>0</v>
      </c>
      <c r="P21" s="109"/>
      <c r="Q21" s="436">
        <f t="shared" si="5"/>
        <v>184.59389333287567</v>
      </c>
      <c r="R21" s="109"/>
      <c r="S21" s="436">
        <f t="shared" si="6"/>
        <v>0</v>
      </c>
      <c r="T21" s="706">
        <f>Elect!BT20</f>
        <v>234</v>
      </c>
      <c r="U21" s="604">
        <f t="shared" si="7"/>
        <v>1.3601082621048901</v>
      </c>
      <c r="V21" s="706">
        <f>Elect!BV20</f>
        <v>0</v>
      </c>
      <c r="W21" s="604" t="e">
        <f t="shared" si="8"/>
        <v>#DIV/0!</v>
      </c>
      <c r="X21" s="429">
        <f>H21*V1</f>
        <v>1273.0613333301771</v>
      </c>
      <c r="Y21" s="604">
        <f t="shared" si="9"/>
        <v>5.4404330484195604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7">
        <v>90380.833333333299</v>
      </c>
      <c r="C22" s="636">
        <f>IF(B22&gt;=B21,B22-B21,0)*10*0.58</f>
        <v>80.426666666846714</v>
      </c>
      <c r="D22" s="770">
        <v>13698.0333333333</v>
      </c>
      <c r="E22" s="636">
        <f t="shared" si="1"/>
        <v>100.72666666685727</v>
      </c>
      <c r="F22" s="766">
        <v>65342.8</v>
      </c>
      <c r="G22" s="636">
        <f t="shared" si="2"/>
        <v>137.11200000000085</v>
      </c>
      <c r="H22" s="636">
        <f t="shared" si="3"/>
        <v>318.2653333337048</v>
      </c>
      <c r="I22" s="766"/>
      <c r="J22" s="636"/>
      <c r="K22" s="808"/>
      <c r="L22" s="636"/>
      <c r="M22" s="636"/>
      <c r="N22" s="109"/>
      <c r="O22" s="535">
        <f t="shared" si="4"/>
        <v>0</v>
      </c>
      <c r="P22" s="109"/>
      <c r="Q22" s="436">
        <f t="shared" si="5"/>
        <v>184.59389333354878</v>
      </c>
      <c r="R22" s="109"/>
      <c r="S22" s="436">
        <f t="shared" si="6"/>
        <v>0</v>
      </c>
      <c r="T22" s="706">
        <f>Elect!BT21</f>
        <v>232</v>
      </c>
      <c r="U22" s="604">
        <f t="shared" si="7"/>
        <v>1.3718333333349344</v>
      </c>
      <c r="V22" s="706">
        <f>Elect!BV21</f>
        <v>0</v>
      </c>
      <c r="W22" s="604" t="e">
        <f t="shared" si="8"/>
        <v>#DIV/0!</v>
      </c>
      <c r="X22" s="429">
        <f>H22*V1</f>
        <v>1273.0613333348192</v>
      </c>
      <c r="Y22" s="604">
        <f t="shared" si="9"/>
        <v>5.4873333333397376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7">
        <v>90405</v>
      </c>
      <c r="C23" s="636">
        <f>IF(B23&gt;=B22,B23-B22,0)*10*0.58</f>
        <v>140.16666666686359</v>
      </c>
      <c r="D23" s="770">
        <v>13729</v>
      </c>
      <c r="E23" s="636">
        <f t="shared" si="1"/>
        <v>179.60666666685938</v>
      </c>
      <c r="F23" s="766">
        <v>65424</v>
      </c>
      <c r="G23" s="636">
        <f t="shared" si="2"/>
        <v>47.095999999998305</v>
      </c>
      <c r="H23" s="636">
        <f t="shared" si="3"/>
        <v>366.86933333372127</v>
      </c>
      <c r="I23" s="766"/>
      <c r="J23" s="636"/>
      <c r="K23" s="808"/>
      <c r="L23" s="636"/>
      <c r="M23" s="636"/>
      <c r="N23" s="109"/>
      <c r="O23" s="535">
        <f t="shared" si="4"/>
        <v>0</v>
      </c>
      <c r="P23" s="109"/>
      <c r="Q23" s="436">
        <f t="shared" si="5"/>
        <v>212.78421333355831</v>
      </c>
      <c r="R23" s="109"/>
      <c r="S23" s="436">
        <f t="shared" si="6"/>
        <v>0</v>
      </c>
      <c r="T23" s="706">
        <f>Elect!BT22</f>
        <v>216</v>
      </c>
      <c r="U23" s="604">
        <f t="shared" si="7"/>
        <v>1.6984691358042652</v>
      </c>
      <c r="V23" s="706">
        <f>Elect!BV22</f>
        <v>0</v>
      </c>
      <c r="W23" s="604" t="e">
        <f t="shared" si="8"/>
        <v>#DIV/0!</v>
      </c>
      <c r="X23" s="429">
        <f>H23*V1</f>
        <v>1467.4773333348851</v>
      </c>
      <c r="Y23" s="604">
        <f t="shared" si="9"/>
        <v>6.7938765432170607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7">
        <v>90419</v>
      </c>
      <c r="C24" s="636">
        <f>IF(B24&gt;=B23,B24-B23,0)*10*0.58</f>
        <v>81.199999999999989</v>
      </c>
      <c r="D24" s="770">
        <v>13748</v>
      </c>
      <c r="E24" s="636">
        <f t="shared" si="1"/>
        <v>110.19999999999999</v>
      </c>
      <c r="F24" s="766">
        <v>65633</v>
      </c>
      <c r="G24" s="636">
        <f t="shared" si="2"/>
        <v>121.21999999999998</v>
      </c>
      <c r="H24" s="636">
        <f t="shared" si="3"/>
        <v>312.61999999999995</v>
      </c>
      <c r="I24" s="766"/>
      <c r="J24" s="636"/>
      <c r="K24" s="808"/>
      <c r="L24" s="636"/>
      <c r="M24" s="636"/>
      <c r="N24" s="109"/>
      <c r="O24" s="535">
        <f t="shared" si="4"/>
        <v>0</v>
      </c>
      <c r="P24" s="109"/>
      <c r="Q24" s="436">
        <f t="shared" si="5"/>
        <v>181.31959999999995</v>
      </c>
      <c r="R24" s="109"/>
      <c r="S24" s="436">
        <f t="shared" si="6"/>
        <v>0</v>
      </c>
      <c r="T24" s="706">
        <f>Elect!BT23</f>
        <v>167</v>
      </c>
      <c r="U24" s="604">
        <f t="shared" si="7"/>
        <v>1.8719760479041914</v>
      </c>
      <c r="V24" s="706">
        <f>Elect!BV23</f>
        <v>0</v>
      </c>
      <c r="W24" s="604" t="e">
        <f t="shared" si="8"/>
        <v>#DIV/0!</v>
      </c>
      <c r="X24" s="429">
        <f>H24*V1</f>
        <v>1250.4799999999998</v>
      </c>
      <c r="Y24" s="604">
        <f t="shared" si="9"/>
        <v>7.4879041916167655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7">
        <v>90433</v>
      </c>
      <c r="C25" s="636">
        <f>IF(B25&gt;=B24,B25-B24,0)*10*0.58</f>
        <v>81.199999999999989</v>
      </c>
      <c r="D25" s="770">
        <v>13765</v>
      </c>
      <c r="E25" s="636">
        <f t="shared" si="1"/>
        <v>98.6</v>
      </c>
      <c r="F25" s="766">
        <v>65844</v>
      </c>
      <c r="G25" s="636">
        <f t="shared" si="2"/>
        <v>122.38</v>
      </c>
      <c r="H25" s="636">
        <f t="shared" si="3"/>
        <v>302.17999999999995</v>
      </c>
      <c r="I25" s="766"/>
      <c r="J25" s="636"/>
      <c r="K25" s="808"/>
      <c r="L25" s="636"/>
      <c r="M25" s="636"/>
      <c r="N25" s="109"/>
      <c r="O25" s="535">
        <f t="shared" si="4"/>
        <v>0</v>
      </c>
      <c r="P25" s="109"/>
      <c r="Q25" s="436">
        <f t="shared" si="5"/>
        <v>175.26439999999997</v>
      </c>
      <c r="R25" s="109"/>
      <c r="S25" s="436">
        <f t="shared" si="6"/>
        <v>0</v>
      </c>
      <c r="T25" s="706">
        <f>Elect!BT24</f>
        <v>191</v>
      </c>
      <c r="U25" s="604">
        <f t="shared" si="7"/>
        <v>1.5820942408376961</v>
      </c>
      <c r="V25" s="706">
        <f>Elect!BV24</f>
        <v>0</v>
      </c>
      <c r="W25" s="604" t="e">
        <f t="shared" si="8"/>
        <v>#DIV/0!</v>
      </c>
      <c r="X25" s="429">
        <f>H25*V1</f>
        <v>1208.7199999999998</v>
      </c>
      <c r="Y25" s="604">
        <f t="shared" si="9"/>
        <v>6.3283769633507845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7">
        <v>90450</v>
      </c>
      <c r="C26" s="636">
        <f t="shared" si="0"/>
        <v>98.6</v>
      </c>
      <c r="D26" s="770">
        <v>13787</v>
      </c>
      <c r="E26" s="636">
        <f t="shared" si="1"/>
        <v>127.6</v>
      </c>
      <c r="F26" s="766">
        <v>66066</v>
      </c>
      <c r="G26" s="636">
        <f t="shared" si="2"/>
        <v>128.76</v>
      </c>
      <c r="H26" s="636">
        <f t="shared" si="3"/>
        <v>354.96</v>
      </c>
      <c r="I26" s="766"/>
      <c r="J26" s="636"/>
      <c r="K26" s="808"/>
      <c r="L26" s="636"/>
      <c r="M26" s="636"/>
      <c r="N26" s="109"/>
      <c r="O26" s="535">
        <f t="shared" si="4"/>
        <v>0</v>
      </c>
      <c r="P26" s="109"/>
      <c r="Q26" s="436">
        <f t="shared" si="5"/>
        <v>205.87679999999997</v>
      </c>
      <c r="R26" s="109"/>
      <c r="S26" s="436">
        <f t="shared" si="6"/>
        <v>0</v>
      </c>
      <c r="T26" s="706">
        <f>Elect!BT25</f>
        <v>233</v>
      </c>
      <c r="U26" s="604">
        <f t="shared" si="7"/>
        <v>1.5234334763948496</v>
      </c>
      <c r="V26" s="706">
        <f>Elect!BV25</f>
        <v>0</v>
      </c>
      <c r="W26" s="604" t="e">
        <f t="shared" si="8"/>
        <v>#DIV/0!</v>
      </c>
      <c r="X26" s="429">
        <f>H26*V1</f>
        <v>1419.84</v>
      </c>
      <c r="Y26" s="604">
        <f t="shared" si="9"/>
        <v>6.0937339055793984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7">
        <v>90464</v>
      </c>
      <c r="C27" s="636">
        <f t="shared" si="0"/>
        <v>81.199999999999989</v>
      </c>
      <c r="D27" s="770">
        <v>13805</v>
      </c>
      <c r="E27" s="636">
        <f t="shared" si="1"/>
        <v>104.39999999999999</v>
      </c>
      <c r="F27" s="766">
        <v>66276</v>
      </c>
      <c r="G27" s="636">
        <f t="shared" si="2"/>
        <v>121.8</v>
      </c>
      <c r="H27" s="636">
        <f t="shared" si="3"/>
        <v>307.39999999999998</v>
      </c>
      <c r="I27" s="766"/>
      <c r="J27" s="636"/>
      <c r="K27" s="808"/>
      <c r="L27" s="636"/>
      <c r="M27" s="636"/>
      <c r="N27" s="109"/>
      <c r="O27" s="535">
        <f t="shared" si="4"/>
        <v>0</v>
      </c>
      <c r="P27" s="109"/>
      <c r="Q27" s="436">
        <f t="shared" si="5"/>
        <v>178.29199999999997</v>
      </c>
      <c r="R27" s="109"/>
      <c r="S27" s="436">
        <f t="shared" si="6"/>
        <v>0</v>
      </c>
      <c r="T27" s="706">
        <f>Elect!BT26</f>
        <v>202</v>
      </c>
      <c r="U27" s="604">
        <f t="shared" si="7"/>
        <v>1.5217821782178216</v>
      </c>
      <c r="V27" s="706">
        <f>Elect!BV26</f>
        <v>0</v>
      </c>
      <c r="W27" s="604" t="e">
        <f t="shared" si="8"/>
        <v>#DIV/0!</v>
      </c>
      <c r="X27" s="429">
        <f>H27*V1</f>
        <v>1229.5999999999999</v>
      </c>
      <c r="Y27" s="604">
        <f t="shared" si="9"/>
        <v>6.0871287128712863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7">
        <v>90478.9</v>
      </c>
      <c r="C28" s="636">
        <f>IF(B28&gt;=B27,B28-B27,0)*10*0.58</f>
        <v>86.419999999966237</v>
      </c>
      <c r="D28" s="770">
        <v>13824.1</v>
      </c>
      <c r="E28" s="636">
        <f t="shared" si="1"/>
        <v>110.7800000000021</v>
      </c>
      <c r="F28" s="766">
        <v>66489.7</v>
      </c>
      <c r="G28" s="636">
        <f t="shared" si="2"/>
        <v>123.94599999999831</v>
      </c>
      <c r="H28" s="636">
        <f t="shared" si="3"/>
        <v>321.14599999996665</v>
      </c>
      <c r="I28" s="766"/>
      <c r="J28" s="636"/>
      <c r="K28" s="808"/>
      <c r="L28" s="636"/>
      <c r="M28" s="636"/>
      <c r="N28" s="109"/>
      <c r="O28" s="535">
        <f t="shared" si="4"/>
        <v>0</v>
      </c>
      <c r="P28" s="109"/>
      <c r="Q28" s="436">
        <f t="shared" si="5"/>
        <v>186.26467999998064</v>
      </c>
      <c r="R28" s="109"/>
      <c r="S28" s="436">
        <f t="shared" si="6"/>
        <v>0</v>
      </c>
      <c r="T28" s="706">
        <f>Elect!BT27</f>
        <v>209</v>
      </c>
      <c r="U28" s="604">
        <f t="shared" si="7"/>
        <v>1.5365837320572566</v>
      </c>
      <c r="V28" s="706">
        <f>Elect!BV27</f>
        <v>0</v>
      </c>
      <c r="W28" s="604" t="e">
        <f t="shared" si="8"/>
        <v>#DIV/0!</v>
      </c>
      <c r="X28" s="429">
        <f>H28*V1</f>
        <v>1284.5839999998666</v>
      </c>
      <c r="Y28" s="604">
        <f t="shared" si="9"/>
        <v>6.1463349282290265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7">
        <v>90498</v>
      </c>
      <c r="C29" s="636">
        <f>IF(B29&gt;=B28,B29-B28,0)*10*0.58</f>
        <v>110.78000000003375</v>
      </c>
      <c r="D29" s="770">
        <v>13847</v>
      </c>
      <c r="E29" s="636">
        <f t="shared" si="1"/>
        <v>132.81999999999789</v>
      </c>
      <c r="F29" s="766">
        <v>66684</v>
      </c>
      <c r="G29" s="636">
        <f t="shared" si="2"/>
        <v>112.69400000000168</v>
      </c>
      <c r="H29" s="636">
        <f t="shared" si="3"/>
        <v>356.29400000003329</v>
      </c>
      <c r="I29" s="766"/>
      <c r="J29" s="636"/>
      <c r="K29" s="808"/>
      <c r="L29" s="636"/>
      <c r="M29" s="636"/>
      <c r="N29" s="109"/>
      <c r="O29" s="535">
        <f t="shared" si="4"/>
        <v>0</v>
      </c>
      <c r="P29" s="109"/>
      <c r="Q29" s="436">
        <f t="shared" si="5"/>
        <v>206.6505200000193</v>
      </c>
      <c r="R29" s="458"/>
      <c r="S29" s="436">
        <f t="shared" si="6"/>
        <v>0</v>
      </c>
      <c r="T29" s="706">
        <f>Elect!BT28</f>
        <v>229</v>
      </c>
      <c r="U29" s="604">
        <f t="shared" si="7"/>
        <v>1.5558689956333331</v>
      </c>
      <c r="V29" s="706">
        <f>Elect!BV28</f>
        <v>0</v>
      </c>
      <c r="W29" s="604" t="e">
        <f t="shared" si="8"/>
        <v>#DIV/0!</v>
      </c>
      <c r="X29" s="429">
        <f>H29*V1</f>
        <v>1425.1760000001332</v>
      </c>
      <c r="Y29" s="604">
        <f t="shared" si="9"/>
        <v>6.2234759825333326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7">
        <v>90515</v>
      </c>
      <c r="C30" s="636">
        <f t="shared" si="0"/>
        <v>98.6</v>
      </c>
      <c r="D30" s="770">
        <v>13868</v>
      </c>
      <c r="E30" s="636">
        <f t="shared" si="1"/>
        <v>121.8</v>
      </c>
      <c r="F30" s="766">
        <v>66902</v>
      </c>
      <c r="G30" s="636">
        <f t="shared" si="2"/>
        <v>126.44</v>
      </c>
      <c r="H30" s="636">
        <f t="shared" si="3"/>
        <v>346.84</v>
      </c>
      <c r="I30" s="766"/>
      <c r="J30" s="636"/>
      <c r="K30" s="808"/>
      <c r="L30" s="636"/>
      <c r="M30" s="636"/>
      <c r="N30" s="109"/>
      <c r="O30" s="535">
        <f t="shared" si="4"/>
        <v>0</v>
      </c>
      <c r="P30" s="109"/>
      <c r="Q30" s="436">
        <f t="shared" si="5"/>
        <v>201.16719999999998</v>
      </c>
      <c r="R30" s="458"/>
      <c r="S30" s="436">
        <f t="shared" si="6"/>
        <v>0</v>
      </c>
      <c r="T30" s="706">
        <f>Elect!BT29</f>
        <v>215</v>
      </c>
      <c r="U30" s="604">
        <f t="shared" si="7"/>
        <v>1.6132093023255814</v>
      </c>
      <c r="V30" s="706">
        <f>Elect!BV29</f>
        <v>0</v>
      </c>
      <c r="W30" s="604" t="e">
        <f t="shared" si="8"/>
        <v>#DIV/0!</v>
      </c>
      <c r="X30" s="429">
        <f>H30*V1</f>
        <v>1387.36</v>
      </c>
      <c r="Y30" s="604">
        <f t="shared" si="9"/>
        <v>6.4528372093023254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7">
        <v>90534</v>
      </c>
      <c r="C31" s="636">
        <f t="shared" si="0"/>
        <v>110.19999999999999</v>
      </c>
      <c r="D31" s="770">
        <v>13889</v>
      </c>
      <c r="E31" s="636">
        <f t="shared" si="1"/>
        <v>121.8</v>
      </c>
      <c r="F31" s="766">
        <v>67110</v>
      </c>
      <c r="G31" s="636">
        <f t="shared" si="2"/>
        <v>120.63999999999999</v>
      </c>
      <c r="H31" s="636">
        <f t="shared" si="3"/>
        <v>352.64</v>
      </c>
      <c r="I31" s="766"/>
      <c r="J31" s="636"/>
      <c r="K31" s="808"/>
      <c r="L31" s="636"/>
      <c r="M31" s="636"/>
      <c r="N31" s="109"/>
      <c r="O31" s="535">
        <f t="shared" si="4"/>
        <v>0</v>
      </c>
      <c r="P31" s="109"/>
      <c r="Q31" s="436">
        <f t="shared" si="5"/>
        <v>204.53119999999998</v>
      </c>
      <c r="R31" s="458"/>
      <c r="S31" s="436">
        <f t="shared" si="6"/>
        <v>0</v>
      </c>
      <c r="T31" s="706">
        <f>Elect!BT30</f>
        <v>221</v>
      </c>
      <c r="U31" s="604">
        <f t="shared" si="7"/>
        <v>1.5956561085972849</v>
      </c>
      <c r="V31" s="706">
        <f>Elect!BV30</f>
        <v>0</v>
      </c>
      <c r="W31" s="604" t="e">
        <f t="shared" si="8"/>
        <v>#DIV/0!</v>
      </c>
      <c r="X31" s="429">
        <f>H31*V1</f>
        <v>1410.56</v>
      </c>
      <c r="Y31" s="604">
        <f t="shared" si="9"/>
        <v>6.3826244343891396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7">
        <v>90548</v>
      </c>
      <c r="C32" s="636">
        <f>IF(B32&gt;=B31,B32-B31,0)*10*0.58</f>
        <v>81.199999999999989</v>
      </c>
      <c r="D32" s="770">
        <v>13911</v>
      </c>
      <c r="E32" s="636">
        <f t="shared" si="1"/>
        <v>127.6</v>
      </c>
      <c r="F32" s="766">
        <v>67317</v>
      </c>
      <c r="G32" s="636">
        <f t="shared" ref="G32:G35" si="12">IF(F32&gt;=F31,F32-F31,0)*0.58</f>
        <v>120.05999999999999</v>
      </c>
      <c r="H32" s="636">
        <f t="shared" si="3"/>
        <v>328.85999999999996</v>
      </c>
      <c r="I32" s="766"/>
      <c r="J32" s="636"/>
      <c r="K32" s="808"/>
      <c r="L32" s="636"/>
      <c r="M32" s="636"/>
      <c r="N32" s="109"/>
      <c r="O32" s="535">
        <f t="shared" si="4"/>
        <v>0</v>
      </c>
      <c r="P32" s="109"/>
      <c r="Q32" s="436">
        <f t="shared" si="5"/>
        <v>190.73879999999997</v>
      </c>
      <c r="R32" s="458"/>
      <c r="S32" s="436">
        <f t="shared" si="6"/>
        <v>0</v>
      </c>
      <c r="T32" s="706">
        <f>Elect!BT31</f>
        <v>231</v>
      </c>
      <c r="U32" s="604">
        <f t="shared" si="7"/>
        <v>1.4236363636363634</v>
      </c>
      <c r="V32" s="706">
        <f>Elect!BV31</f>
        <v>0</v>
      </c>
      <c r="W32" s="604" t="e">
        <f t="shared" si="8"/>
        <v>#DIV/0!</v>
      </c>
      <c r="X32" s="429">
        <f>H32*V1</f>
        <v>1315.4399999999998</v>
      </c>
      <c r="Y32" s="604">
        <f t="shared" si="9"/>
        <v>5.6945454545454535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7">
        <v>90565</v>
      </c>
      <c r="C33" s="636">
        <f t="shared" si="0"/>
        <v>98.6</v>
      </c>
      <c r="D33" s="770">
        <v>13932</v>
      </c>
      <c r="E33" s="636">
        <f t="shared" si="1"/>
        <v>121.8</v>
      </c>
      <c r="F33" s="766">
        <v>67503</v>
      </c>
      <c r="G33" s="636">
        <f t="shared" si="12"/>
        <v>107.88</v>
      </c>
      <c r="H33" s="636">
        <f t="shared" si="3"/>
        <v>328.28</v>
      </c>
      <c r="I33" s="766"/>
      <c r="J33" s="636"/>
      <c r="K33" s="808"/>
      <c r="L33" s="636"/>
      <c r="M33" s="636"/>
      <c r="N33" s="109"/>
      <c r="O33" s="535">
        <f t="shared" si="4"/>
        <v>0</v>
      </c>
      <c r="P33" s="109"/>
      <c r="Q33" s="436">
        <f t="shared" si="5"/>
        <v>190.40239999999997</v>
      </c>
      <c r="R33" s="458"/>
      <c r="S33" s="436">
        <f t="shared" si="6"/>
        <v>0</v>
      </c>
      <c r="T33" s="706">
        <f>Elect!BT32</f>
        <v>200</v>
      </c>
      <c r="U33" s="604">
        <f t="shared" si="7"/>
        <v>1.6414</v>
      </c>
      <c r="V33" s="706">
        <f>Elect!BV32</f>
        <v>0</v>
      </c>
      <c r="W33" s="604" t="e">
        <f t="shared" si="8"/>
        <v>#DIV/0!</v>
      </c>
      <c r="X33" s="429">
        <f>H33*V1</f>
        <v>1313.12</v>
      </c>
      <c r="Y33" s="604">
        <f t="shared" si="9"/>
        <v>6.5655999999999999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7">
        <v>90580</v>
      </c>
      <c r="C34" s="636">
        <f t="shared" si="0"/>
        <v>87</v>
      </c>
      <c r="D34" s="770">
        <v>13953.5</v>
      </c>
      <c r="E34" s="636">
        <f t="shared" si="1"/>
        <v>124.69999999999999</v>
      </c>
      <c r="F34" s="766">
        <v>67703</v>
      </c>
      <c r="G34" s="636">
        <f t="shared" si="12"/>
        <v>115.99999999999999</v>
      </c>
      <c r="H34" s="636">
        <f t="shared" si="3"/>
        <v>327.7</v>
      </c>
      <c r="I34" s="766"/>
      <c r="J34" s="636"/>
      <c r="K34" s="808"/>
      <c r="L34" s="636"/>
      <c r="M34" s="636"/>
      <c r="N34" s="109"/>
      <c r="O34" s="535">
        <f t="shared" si="4"/>
        <v>0</v>
      </c>
      <c r="P34" s="109"/>
      <c r="Q34" s="436">
        <f t="shared" si="5"/>
        <v>190.06599999999997</v>
      </c>
      <c r="R34" s="458"/>
      <c r="S34" s="436">
        <f t="shared" si="6"/>
        <v>0</v>
      </c>
      <c r="T34" s="706">
        <f>Elect!BT33</f>
        <v>243</v>
      </c>
      <c r="U34" s="604">
        <f t="shared" si="7"/>
        <v>1.348559670781893</v>
      </c>
      <c r="V34" s="706">
        <f>Elect!BV33</f>
        <v>0</v>
      </c>
      <c r="W34" s="604" t="e">
        <f t="shared" si="8"/>
        <v>#DIV/0!</v>
      </c>
      <c r="X34" s="429">
        <f>H34*V1</f>
        <v>1310.8</v>
      </c>
      <c r="Y34" s="604">
        <f t="shared" si="9"/>
        <v>5.3942386831275719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7">
        <v>90595.5</v>
      </c>
      <c r="C35" s="636">
        <f t="shared" si="0"/>
        <v>89.899999999999991</v>
      </c>
      <c r="D35" s="770">
        <v>13974.9</v>
      </c>
      <c r="E35" s="636">
        <f t="shared" si="1"/>
        <v>124.11999999999789</v>
      </c>
      <c r="F35" s="766">
        <v>67899.5</v>
      </c>
      <c r="G35" s="636">
        <f t="shared" si="12"/>
        <v>113.97</v>
      </c>
      <c r="H35" s="636">
        <f t="shared" si="3"/>
        <v>327.98999999999785</v>
      </c>
      <c r="I35" s="766"/>
      <c r="J35" s="636"/>
      <c r="K35" s="808"/>
      <c r="L35" s="636"/>
      <c r="M35" s="636"/>
      <c r="N35" s="109"/>
      <c r="O35" s="535">
        <f t="shared" si="4"/>
        <v>0</v>
      </c>
      <c r="P35" s="526"/>
      <c r="Q35" s="436">
        <f t="shared" si="5"/>
        <v>190.23419999999874</v>
      </c>
      <c r="R35" s="458"/>
      <c r="S35" s="436">
        <f t="shared" si="6"/>
        <v>0</v>
      </c>
      <c r="T35" s="706">
        <f>Elect!BT34</f>
        <v>235</v>
      </c>
      <c r="U35" s="604">
        <f t="shared" si="7"/>
        <v>1.3957021276595654</v>
      </c>
      <c r="V35" s="706">
        <f>Elect!BV34</f>
        <v>0</v>
      </c>
      <c r="W35" s="604" t="e">
        <f t="shared" si="8"/>
        <v>#DIV/0!</v>
      </c>
      <c r="X35" s="429">
        <f>H35*V1</f>
        <v>1311.9599999999914</v>
      </c>
      <c r="Y35" s="604">
        <f t="shared" si="9"/>
        <v>5.5828085106382614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7">
        <v>90610.666666666701</v>
      </c>
      <c r="C36" s="636">
        <f t="shared" si="0"/>
        <v>87.966666666863603</v>
      </c>
      <c r="D36" s="770">
        <v>13996.3</v>
      </c>
      <c r="E36" s="636">
        <f t="shared" si="1"/>
        <v>124.11999999999789</v>
      </c>
      <c r="F36" s="766">
        <v>68098.333333333299</v>
      </c>
      <c r="G36" s="636">
        <f>IF(F36&gt;=F35,F36-F35,0)*0.58</f>
        <v>115.32333333331363</v>
      </c>
      <c r="H36" s="636">
        <f t="shared" si="3"/>
        <v>327.41000000017516</v>
      </c>
      <c r="I36" s="766"/>
      <c r="J36" s="636"/>
      <c r="K36" s="808"/>
      <c r="L36" s="636"/>
      <c r="M36" s="636"/>
      <c r="N36" s="109"/>
      <c r="O36" s="535">
        <f t="shared" si="4"/>
        <v>0</v>
      </c>
      <c r="P36" s="526"/>
      <c r="Q36" s="436">
        <f t="shared" si="5"/>
        <v>189.89780000010157</v>
      </c>
      <c r="R36" s="458"/>
      <c r="S36" s="436">
        <f t="shared" si="6"/>
        <v>0</v>
      </c>
      <c r="T36" s="706">
        <f>Elect!BT35</f>
        <v>240</v>
      </c>
      <c r="U36" s="604">
        <f t="shared" si="7"/>
        <v>1.3642083333340631</v>
      </c>
      <c r="V36" s="706">
        <f>Elect!BV35</f>
        <v>0</v>
      </c>
      <c r="W36" s="604" t="e">
        <f t="shared" si="8"/>
        <v>#DIV/0!</v>
      </c>
      <c r="X36" s="429">
        <f>H36*V1</f>
        <v>1309.6400000007006</v>
      </c>
      <c r="Y36" s="604">
        <f t="shared" si="9"/>
        <v>5.4568333333362524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7">
        <v>90625.916666666701</v>
      </c>
      <c r="C37" s="636">
        <f t="shared" si="0"/>
        <v>88.449999999999989</v>
      </c>
      <c r="D37" s="770">
        <v>14017.7</v>
      </c>
      <c r="E37" s="636">
        <f t="shared" si="1"/>
        <v>124.12000000000843</v>
      </c>
      <c r="F37" s="766">
        <v>68296.583333333299</v>
      </c>
      <c r="G37" s="636">
        <f>IF(F37&gt;=F36,F37-F36,0)*0.58</f>
        <v>114.98499999999999</v>
      </c>
      <c r="H37" s="636">
        <f t="shared" si="3"/>
        <v>327.55500000000836</v>
      </c>
      <c r="I37" s="3">
        <v>322</v>
      </c>
      <c r="J37" s="722"/>
      <c r="K37" s="3">
        <v>5583</v>
      </c>
      <c r="L37" s="722"/>
      <c r="M37" s="722"/>
      <c r="N37" s="526"/>
      <c r="O37" s="535">
        <f t="shared" si="4"/>
        <v>0</v>
      </c>
      <c r="P37" s="526"/>
      <c r="Q37" s="436">
        <f t="shared" si="5"/>
        <v>189.98190000000483</v>
      </c>
      <c r="R37" s="721"/>
      <c r="S37" s="436">
        <f t="shared" si="6"/>
        <v>0</v>
      </c>
      <c r="T37" s="706">
        <f>Elect!BT36</f>
        <v>236.333333333333</v>
      </c>
      <c r="U37" s="604">
        <f t="shared" si="7"/>
        <v>1.3859873060649175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109</v>
      </c>
      <c r="B38" s="800"/>
      <c r="C38" s="727">
        <f>SUM(C7:C37)</f>
        <v>2845.3833333337266</v>
      </c>
      <c r="D38" s="538"/>
      <c r="E38" s="727">
        <f>SUM(E7:E37)</f>
        <v>3661.9266666668682</v>
      </c>
      <c r="F38" s="766"/>
      <c r="G38" s="727">
        <f>SUM(G7:G37)</f>
        <v>3772.6583333333128</v>
      </c>
      <c r="H38" s="727">
        <f>SUM(H7:H37)</f>
        <v>10279.968333333909</v>
      </c>
      <c r="I38" s="727">
        <f>I37-I6</f>
        <v>12</v>
      </c>
      <c r="J38" s="542"/>
      <c r="K38" s="727">
        <f>K37-K6</f>
        <v>107</v>
      </c>
      <c r="L38" s="542"/>
      <c r="M38" s="542"/>
      <c r="N38" s="538"/>
      <c r="O38" s="542">
        <f>SUM(O7:O36)</f>
        <v>0</v>
      </c>
      <c r="P38" s="538"/>
      <c r="Q38" s="542">
        <f>SUM(Q7:Q34)</f>
        <v>5392.2677333335614</v>
      </c>
      <c r="R38" s="538"/>
      <c r="S38" s="542">
        <f>SUM(S7:S34)</f>
        <v>0</v>
      </c>
      <c r="T38" s="543">
        <f>SUM(T7:T36)</f>
        <v>6523</v>
      </c>
      <c r="U38" s="605">
        <f>IF(H38&gt;0,H38/T38,0)</f>
        <v>1.5759571260668264</v>
      </c>
      <c r="V38" s="659">
        <f>SUM(V7:V36)</f>
        <v>0</v>
      </c>
      <c r="W38" s="605" t="e">
        <f>IF(H38&gt;0,H38/V38,0)</f>
        <v>#DIV/0!</v>
      </c>
      <c r="X38" s="608">
        <f>SUM(X7:X36)</f>
        <v>39809.653333335606</v>
      </c>
      <c r="Y38" s="605">
        <f t="shared" ref="Y38:Y44" si="13">IF(X38&gt;0,X38/T38,0)</f>
        <v>6.1029669375035418</v>
      </c>
      <c r="Z38" s="609" t="e">
        <f t="shared" ref="Z38:Z44" si="14">IF(X38&gt;0,X38/V38,0)</f>
        <v>#DIV/0!</v>
      </c>
    </row>
    <row r="39" spans="1:26" s="3" customFormat="1" ht="36.75" customHeight="1">
      <c r="A39" s="545" t="s">
        <v>110</v>
      </c>
      <c r="B39" s="800"/>
      <c r="C39" s="547">
        <f>C38/B48</f>
        <v>94.846111111124216</v>
      </c>
      <c r="D39" s="539"/>
      <c r="E39" s="547">
        <f>E38/B48</f>
        <v>122.06422222222893</v>
      </c>
      <c r="F39" s="766"/>
      <c r="G39" s="547">
        <f>G38/B48</f>
        <v>125.7552777777771</v>
      </c>
      <c r="H39" s="547">
        <f>H38/B48</f>
        <v>342.66561111113032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179.74225777778537</v>
      </c>
      <c r="R39" s="539"/>
      <c r="S39" s="547" t="e">
        <f>S38/C48</f>
        <v>#DIV/0!</v>
      </c>
      <c r="T39" s="548">
        <f>T38/B48</f>
        <v>217.43333333333334</v>
      </c>
      <c r="U39" s="606">
        <f>IF(H39&gt;0,H39/T39,0)</f>
        <v>1.5759571260668266</v>
      </c>
      <c r="V39" s="619">
        <f>V38/B48</f>
        <v>0</v>
      </c>
      <c r="W39" s="605" t="e">
        <f>IF(H39&gt;0,H39/V39,0)</f>
        <v>#DIV/0!</v>
      </c>
      <c r="X39" s="610">
        <f>X38/B48</f>
        <v>1326.9884444445202</v>
      </c>
      <c r="Y39" s="606">
        <f t="shared" si="13"/>
        <v>6.1029669375035418</v>
      </c>
      <c r="Z39" s="611" t="e">
        <f t="shared" si="14"/>
        <v>#DIV/0!</v>
      </c>
    </row>
    <row r="40" spans="1:26" s="3" customFormat="1" ht="36.75" customHeight="1">
      <c r="A40" s="597" t="s">
        <v>111</v>
      </c>
      <c r="B40" s="801"/>
      <c r="C40" s="612"/>
      <c r="D40" s="612"/>
      <c r="E40" s="613"/>
      <c r="F40" s="766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3"/>
        <v>0</v>
      </c>
      <c r="Z40" s="609">
        <f t="shared" si="14"/>
        <v>0</v>
      </c>
    </row>
    <row r="41" spans="1:26" s="3" customFormat="1" ht="36.75" customHeight="1">
      <c r="A41" s="598" t="s">
        <v>112</v>
      </c>
      <c r="B41" s="802"/>
      <c r="C41" s="618"/>
      <c r="D41" s="618"/>
      <c r="E41" s="539"/>
      <c r="F41" s="766">
        <v>66684</v>
      </c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3"/>
        <v>#REF!</v>
      </c>
      <c r="Z41" s="611" t="e">
        <f t="shared" si="14"/>
        <v>#REF!</v>
      </c>
    </row>
    <row r="42" spans="1:26" s="628" customFormat="1" ht="42.75" customHeight="1">
      <c r="A42" s="599" t="s">
        <v>113</v>
      </c>
      <c r="B42" s="621"/>
      <c r="C42" s="621"/>
      <c r="D42" s="622"/>
      <c r="E42" s="621"/>
      <c r="F42" s="766">
        <v>66684</v>
      </c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114</v>
      </c>
      <c r="B43" s="629"/>
      <c r="C43" s="629"/>
      <c r="D43" s="629"/>
      <c r="E43" s="629"/>
      <c r="F43" s="766">
        <v>66684</v>
      </c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3"/>
        <v>0</v>
      </c>
      <c r="Z43" s="633">
        <f t="shared" si="14"/>
        <v>0</v>
      </c>
    </row>
    <row r="44" spans="1:26" ht="36" customHeight="1">
      <c r="A44" s="601" t="s">
        <v>115</v>
      </c>
      <c r="B44" s="634"/>
      <c r="C44" s="635"/>
      <c r="D44" s="634"/>
      <c r="E44" s="634"/>
      <c r="F44" s="766">
        <v>66684</v>
      </c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3"/>
        <v>#VALUE!</v>
      </c>
      <c r="Z44" s="554" t="e">
        <f t="shared" si="14"/>
        <v>#VALUE!</v>
      </c>
    </row>
    <row r="45" spans="1:26" ht="36" customHeight="1">
      <c r="A45" s="602" t="s">
        <v>116</v>
      </c>
      <c r="B45" s="638"/>
      <c r="C45" s="639"/>
      <c r="D45" s="638"/>
      <c r="E45" s="638"/>
      <c r="F45" s="766">
        <v>66684</v>
      </c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117</v>
      </c>
      <c r="B46" s="538"/>
      <c r="C46" s="553"/>
      <c r="D46" s="538"/>
      <c r="E46" s="538"/>
      <c r="F46" s="766">
        <v>66684</v>
      </c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>
      <c r="A47" s="545" t="s">
        <v>118</v>
      </c>
      <c r="B47" s="539"/>
      <c r="C47" s="555"/>
      <c r="D47" s="539"/>
      <c r="E47" s="539"/>
      <c r="F47" s="766">
        <v>66684</v>
      </c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119</v>
      </c>
      <c r="B48" s="106">
        <f>COUNTIF(B7:B36,"&gt;0")</f>
        <v>30</v>
      </c>
      <c r="C48" s="106"/>
      <c r="D48" s="651"/>
      <c r="E48" s="651"/>
      <c r="F48" s="766">
        <v>66684</v>
      </c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72" t="s">
        <v>84</v>
      </c>
      <c r="B136" s="872"/>
      <c r="C136" s="872"/>
      <c r="D136" s="872"/>
      <c r="E136" s="872"/>
      <c r="F136" s="872"/>
      <c r="G136" s="872"/>
      <c r="H136" s="872"/>
      <c r="I136" s="872"/>
      <c r="J136" s="872"/>
      <c r="K136" s="872"/>
      <c r="L136" s="872"/>
      <c r="M136" s="872"/>
      <c r="N136" s="872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40" priority="7" stopIfTrue="1" operator="greaterThan">
      <formula>500</formula>
    </cfRule>
  </conditionalFormatting>
  <conditionalFormatting sqref="C6:C37 E6:E37">
    <cfRule type="cellIs" dxfId="39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C38:C39 E38:E39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29" activePane="bottomRight" state="frozen"/>
      <selection pane="bottomRight" activeCell="I35" sqref="I35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84">
        <f>Elect!A1</f>
        <v>44896</v>
      </c>
      <c r="E1" s="886" t="s">
        <v>75</v>
      </c>
      <c r="H1" s="564" t="s">
        <v>120</v>
      </c>
      <c r="I1" s="667"/>
      <c r="J1" s="565">
        <v>3.9</v>
      </c>
    </row>
    <row r="2" spans="1:13" ht="23.25" customHeight="1">
      <c r="A2" s="884"/>
      <c r="C2" s="27"/>
      <c r="E2" s="886"/>
      <c r="G2" s="27"/>
      <c r="H2" s="27"/>
      <c r="I2" s="27"/>
      <c r="K2" s="529"/>
      <c r="L2" s="528"/>
      <c r="M2" s="385"/>
    </row>
    <row r="3" spans="1:13" ht="21" customHeight="1" thickBot="1">
      <c r="A3" s="885"/>
      <c r="B3" s="27"/>
      <c r="C3" s="27"/>
      <c r="D3" s="27"/>
      <c r="E3" s="887"/>
      <c r="F3" s="27"/>
      <c r="G3" s="27"/>
      <c r="H3" s="27"/>
      <c r="I3" s="27"/>
    </row>
    <row r="4" spans="1:13" ht="53.25" customHeight="1">
      <c r="A4" s="660" t="s">
        <v>121</v>
      </c>
      <c r="B4" s="888" t="s">
        <v>122</v>
      </c>
      <c r="C4" s="889"/>
      <c r="D4" s="888" t="s">
        <v>123</v>
      </c>
      <c r="E4" s="889"/>
      <c r="F4" s="888" t="s">
        <v>124</v>
      </c>
      <c r="G4" s="889"/>
      <c r="H4" s="534" t="s">
        <v>125</v>
      </c>
      <c r="I4" s="534" t="s">
        <v>126</v>
      </c>
      <c r="J4" s="533" t="s">
        <v>127</v>
      </c>
      <c r="K4" s="733" t="s">
        <v>128</v>
      </c>
      <c r="L4" s="23"/>
      <c r="M4" s="23"/>
    </row>
    <row r="5" spans="1:13" ht="26.25" customHeight="1" thickBot="1">
      <c r="A5" s="661"/>
      <c r="B5" s="137" t="s">
        <v>79</v>
      </c>
      <c r="C5" s="138" t="s">
        <v>80</v>
      </c>
      <c r="D5" s="137" t="s">
        <v>79</v>
      </c>
      <c r="E5" s="138" t="s">
        <v>80</v>
      </c>
      <c r="F5" s="137" t="s">
        <v>79</v>
      </c>
      <c r="G5" s="138" t="s">
        <v>80</v>
      </c>
      <c r="H5" s="25" t="s">
        <v>129</v>
      </c>
      <c r="I5" s="25" t="s">
        <v>129</v>
      </c>
      <c r="J5" s="25" t="s">
        <v>129</v>
      </c>
      <c r="K5" s="138" t="s">
        <v>80</v>
      </c>
      <c r="L5" s="23"/>
      <c r="M5" s="23"/>
    </row>
    <row r="6" spans="1:13" s="3" customFormat="1" ht="41.25" customHeight="1">
      <c r="A6" s="662"/>
      <c r="B6" s="763">
        <v>8406888</v>
      </c>
      <c r="C6" s="636">
        <f t="shared" ref="C6:C14" si="0">IF(B6&gt;=B5,B6-B5,0)*1.06</f>
        <v>0</v>
      </c>
      <c r="D6" s="770">
        <v>598602.33333333302</v>
      </c>
      <c r="E6" s="636">
        <f>IF(D6&gt;=D5,D6-D5,0)*0.7</f>
        <v>0</v>
      </c>
      <c r="F6" s="770">
        <v>629322.66666666698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3">
        <v>8408205</v>
      </c>
      <c r="C7" s="636">
        <f t="shared" si="0"/>
        <v>1396.02</v>
      </c>
      <c r="D7" s="770">
        <v>599184</v>
      </c>
      <c r="E7" s="636">
        <f t="shared" ref="E7:E35" si="2">IF(D7&gt;=D6,D7-D6,0)*0.7</f>
        <v>407.16666666688394</v>
      </c>
      <c r="F7" s="770">
        <v>629388.11111111101</v>
      </c>
      <c r="G7" s="636">
        <f t="shared" si="1"/>
        <v>65.444444444030523</v>
      </c>
      <c r="H7" s="636">
        <f>(E7*0.55)*1.61</f>
        <v>360.54608333352576</v>
      </c>
      <c r="I7" s="636">
        <f>C7*J1</f>
        <v>5444.4780000000001</v>
      </c>
      <c r="J7" s="636">
        <f>G7*J1</f>
        <v>255.23333333171902</v>
      </c>
      <c r="K7" s="692">
        <f t="shared" ref="K7:K37" si="3">C7+E7</f>
        <v>1803.1866666668839</v>
      </c>
    </row>
    <row r="8" spans="1:13" s="3" customFormat="1" ht="41.25" customHeight="1">
      <c r="A8" s="662">
        <v>2</v>
      </c>
      <c r="B8" s="763">
        <v>8409755</v>
      </c>
      <c r="C8" s="636">
        <f t="shared" si="0"/>
        <v>1643</v>
      </c>
      <c r="D8" s="770">
        <v>599678</v>
      </c>
      <c r="E8" s="636">
        <f t="shared" si="2"/>
        <v>345.79999999999995</v>
      </c>
      <c r="F8" s="770">
        <v>629479</v>
      </c>
      <c r="G8" s="636">
        <f t="shared" si="1"/>
        <v>90.888888888992369</v>
      </c>
      <c r="H8" s="636">
        <f t="shared" ref="H8:H37" si="4">(E8*0.55)*1.61</f>
        <v>306.20590000000004</v>
      </c>
      <c r="I8" s="636">
        <f>C8*J1</f>
        <v>6407.7</v>
      </c>
      <c r="J8" s="636">
        <f>G8*J1</f>
        <v>354.46666666707023</v>
      </c>
      <c r="K8" s="692">
        <f t="shared" si="3"/>
        <v>1988.8</v>
      </c>
    </row>
    <row r="9" spans="1:13" s="3" customFormat="1" ht="41.25" customHeight="1">
      <c r="A9" s="662">
        <v>3</v>
      </c>
      <c r="B9" s="763">
        <v>8411305</v>
      </c>
      <c r="C9" s="636">
        <f t="shared" si="0"/>
        <v>1643</v>
      </c>
      <c r="D9" s="770">
        <v>600172</v>
      </c>
      <c r="E9" s="636">
        <f t="shared" si="2"/>
        <v>345.79999999999995</v>
      </c>
      <c r="F9" s="770">
        <v>629560.33333333302</v>
      </c>
      <c r="G9" s="636">
        <f t="shared" si="1"/>
        <v>81.333333333022892</v>
      </c>
      <c r="H9" s="636">
        <f>(E9*0.55)*1.61</f>
        <v>306.20590000000004</v>
      </c>
      <c r="I9" s="636">
        <f>C9*J1</f>
        <v>6407.7</v>
      </c>
      <c r="J9" s="636">
        <f>G9*J1</f>
        <v>317.19999999878928</v>
      </c>
      <c r="K9" s="692">
        <f>C9+E9</f>
        <v>1988.8</v>
      </c>
    </row>
    <row r="10" spans="1:13" s="3" customFormat="1" ht="41.25" customHeight="1">
      <c r="A10" s="662">
        <v>4</v>
      </c>
      <c r="B10" s="763">
        <v>8412855</v>
      </c>
      <c r="C10" s="636">
        <f>IF(B10&gt;=B9,B10-B9,0)*1.06</f>
        <v>1643</v>
      </c>
      <c r="D10" s="770">
        <v>600656</v>
      </c>
      <c r="E10" s="636">
        <f t="shared" si="2"/>
        <v>338.79999999999995</v>
      </c>
      <c r="F10" s="770">
        <v>629656</v>
      </c>
      <c r="G10" s="636">
        <f t="shared" si="1"/>
        <v>95.666666666977108</v>
      </c>
      <c r="H10" s="636">
        <f>(E10*0.55)*1.61</f>
        <v>300.00740000000002</v>
      </c>
      <c r="I10" s="636">
        <f>C10*J1</f>
        <v>6407.7</v>
      </c>
      <c r="J10" s="636">
        <f>G10*J1</f>
        <v>373.10000000121073</v>
      </c>
      <c r="K10" s="692">
        <f t="shared" si="3"/>
        <v>1981.8</v>
      </c>
    </row>
    <row r="11" spans="1:13" s="3" customFormat="1" ht="41.25" customHeight="1">
      <c r="A11" s="662">
        <v>5</v>
      </c>
      <c r="B11" s="763">
        <v>8414405</v>
      </c>
      <c r="C11" s="636">
        <f>IF(B11&gt;=B10,B11-B10,0)*1.06</f>
        <v>1643</v>
      </c>
      <c r="D11" s="770">
        <v>601140</v>
      </c>
      <c r="E11" s="636">
        <f t="shared" si="2"/>
        <v>338.79999999999995</v>
      </c>
      <c r="F11" s="770">
        <v>629753</v>
      </c>
      <c r="G11" s="636">
        <f t="shared" si="1"/>
        <v>97</v>
      </c>
      <c r="H11" s="636">
        <f t="shared" si="4"/>
        <v>300.00740000000002</v>
      </c>
      <c r="I11" s="636">
        <f>C11*J1</f>
        <v>6407.7</v>
      </c>
      <c r="J11" s="636">
        <f>G11*J1</f>
        <v>378.3</v>
      </c>
      <c r="K11" s="692">
        <f t="shared" si="3"/>
        <v>1981.8</v>
      </c>
    </row>
    <row r="12" spans="1:13" s="3" customFormat="1" ht="41.25" customHeight="1">
      <c r="A12" s="662">
        <v>6</v>
      </c>
      <c r="B12" s="763">
        <v>8415955</v>
      </c>
      <c r="C12" s="636">
        <f>IF(B12&gt;=B11,B12-B11,0)*1.06</f>
        <v>1643</v>
      </c>
      <c r="D12" s="770">
        <v>601593</v>
      </c>
      <c r="E12" s="636">
        <f t="shared" si="2"/>
        <v>317.09999999999997</v>
      </c>
      <c r="F12" s="770">
        <v>629848</v>
      </c>
      <c r="G12" s="636">
        <f t="shared" si="1"/>
        <v>95</v>
      </c>
      <c r="H12" s="636">
        <f t="shared" si="4"/>
        <v>280.79205000000002</v>
      </c>
      <c r="I12" s="636">
        <f>C12*J1</f>
        <v>6407.7</v>
      </c>
      <c r="J12" s="636">
        <f>G12*J1</f>
        <v>370.5</v>
      </c>
      <c r="K12" s="692">
        <f t="shared" si="3"/>
        <v>1960.1</v>
      </c>
    </row>
    <row r="13" spans="1:13" s="3" customFormat="1" ht="41.25" customHeight="1">
      <c r="A13" s="662">
        <v>7</v>
      </c>
      <c r="B13" s="763">
        <v>8417505</v>
      </c>
      <c r="C13" s="636">
        <f>IF(B13&gt;=B12,B13-B12,0)*1.06</f>
        <v>1643</v>
      </c>
      <c r="D13" s="770">
        <v>602066.66666666698</v>
      </c>
      <c r="E13" s="636">
        <f t="shared" si="2"/>
        <v>331.56666666688398</v>
      </c>
      <c r="F13" s="770">
        <v>629944.33333333302</v>
      </c>
      <c r="G13" s="636">
        <f t="shared" si="1"/>
        <v>96.333333333022892</v>
      </c>
      <c r="H13" s="636">
        <f t="shared" si="4"/>
        <v>293.6022833335258</v>
      </c>
      <c r="I13" s="636">
        <f>C13*J1</f>
        <v>6407.7</v>
      </c>
      <c r="J13" s="636">
        <f>G13*J1</f>
        <v>375.69999999878928</v>
      </c>
      <c r="K13" s="692">
        <f t="shared" si="3"/>
        <v>1974.566666666884</v>
      </c>
    </row>
    <row r="14" spans="1:13" s="3" customFormat="1" ht="41.25" customHeight="1">
      <c r="A14" s="662">
        <v>8</v>
      </c>
      <c r="B14" s="763">
        <v>8419055</v>
      </c>
      <c r="C14" s="636">
        <f t="shared" si="0"/>
        <v>1643</v>
      </c>
      <c r="D14" s="770">
        <v>602535.16666666698</v>
      </c>
      <c r="E14" s="636">
        <f t="shared" si="2"/>
        <v>327.95</v>
      </c>
      <c r="F14" s="770">
        <v>630040.33333333302</v>
      </c>
      <c r="G14" s="636">
        <f t="shared" si="1"/>
        <v>96</v>
      </c>
      <c r="H14" s="636">
        <f t="shared" si="4"/>
        <v>290.39972500000005</v>
      </c>
      <c r="I14" s="636">
        <f>C14*J1</f>
        <v>6407.7</v>
      </c>
      <c r="J14" s="636">
        <f>G14*J1</f>
        <v>374.4</v>
      </c>
      <c r="K14" s="692">
        <f t="shared" si="3"/>
        <v>1970.95</v>
      </c>
    </row>
    <row r="15" spans="1:13" s="3" customFormat="1" ht="41.25" customHeight="1">
      <c r="A15" s="662">
        <v>9</v>
      </c>
      <c r="B15" s="763">
        <v>8419880</v>
      </c>
      <c r="C15" s="636">
        <f t="shared" ref="C15:C26" si="5">IF(B15&gt;=B14,B15-B14,0)*1.06</f>
        <v>874.5</v>
      </c>
      <c r="D15" s="770">
        <v>603084</v>
      </c>
      <c r="E15" s="636">
        <f t="shared" si="2"/>
        <v>384.18333333311602</v>
      </c>
      <c r="F15" s="770">
        <v>630131</v>
      </c>
      <c r="G15" s="636">
        <f t="shared" si="1"/>
        <v>90.666666666977108</v>
      </c>
      <c r="H15" s="636">
        <f t="shared" si="4"/>
        <v>340.19434166647432</v>
      </c>
      <c r="I15" s="636">
        <f>C15*J1</f>
        <v>3410.5499999999997</v>
      </c>
      <c r="J15" s="636">
        <f>G15*J1</f>
        <v>353.60000000121073</v>
      </c>
      <c r="K15" s="692">
        <f t="shared" si="3"/>
        <v>1258.683333333116</v>
      </c>
    </row>
    <row r="16" spans="1:13" s="3" customFormat="1" ht="41.25" customHeight="1">
      <c r="A16" s="662">
        <v>10</v>
      </c>
      <c r="B16" s="763">
        <v>8421268</v>
      </c>
      <c r="C16" s="636">
        <f t="shared" si="5"/>
        <v>1471.28</v>
      </c>
      <c r="D16" s="770">
        <v>603522</v>
      </c>
      <c r="E16" s="636">
        <f t="shared" si="2"/>
        <v>306.59999999999997</v>
      </c>
      <c r="F16" s="770">
        <v>630221</v>
      </c>
      <c r="G16" s="636">
        <f t="shared" si="1"/>
        <v>90</v>
      </c>
      <c r="H16" s="636">
        <f t="shared" si="4"/>
        <v>271.49430000000001</v>
      </c>
      <c r="I16" s="636">
        <f>C16*J1</f>
        <v>5737.9920000000002</v>
      </c>
      <c r="J16" s="636">
        <f>G16*J1</f>
        <v>351</v>
      </c>
      <c r="K16" s="692">
        <f t="shared" si="3"/>
        <v>1777.8799999999999</v>
      </c>
    </row>
    <row r="17" spans="1:11" s="3" customFormat="1" ht="41.25" customHeight="1">
      <c r="A17" s="662">
        <v>11</v>
      </c>
      <c r="B17" s="763">
        <v>8422600</v>
      </c>
      <c r="C17" s="636">
        <f t="shared" si="5"/>
        <v>1411.92</v>
      </c>
      <c r="D17" s="770">
        <v>604002</v>
      </c>
      <c r="E17" s="636">
        <f t="shared" si="2"/>
        <v>336</v>
      </c>
      <c r="F17" s="770">
        <v>630309</v>
      </c>
      <c r="G17" s="636">
        <f t="shared" si="1"/>
        <v>88</v>
      </c>
      <c r="H17" s="636">
        <f t="shared" si="4"/>
        <v>297.52800000000002</v>
      </c>
      <c r="I17" s="636">
        <f>C17*J1</f>
        <v>5506.4880000000003</v>
      </c>
      <c r="J17" s="636">
        <f>G17*J1</f>
        <v>343.2</v>
      </c>
      <c r="K17" s="692">
        <f t="shared" si="3"/>
        <v>1747.92</v>
      </c>
    </row>
    <row r="18" spans="1:11" s="3" customFormat="1" ht="41.25" customHeight="1">
      <c r="A18" s="662">
        <v>12</v>
      </c>
      <c r="B18" s="763">
        <v>8424018</v>
      </c>
      <c r="C18" s="636">
        <f t="shared" si="5"/>
        <v>1503.0800000000002</v>
      </c>
      <c r="D18" s="770">
        <v>604520</v>
      </c>
      <c r="E18" s="636">
        <f t="shared" si="2"/>
        <v>362.59999999999997</v>
      </c>
      <c r="F18" s="770">
        <v>630400</v>
      </c>
      <c r="G18" s="636">
        <f t="shared" ref="G18:G20" si="6">IF(F18&gt;=F17,F18-F17,0)</f>
        <v>91</v>
      </c>
      <c r="H18" s="636">
        <f t="shared" si="4"/>
        <v>321.08230000000003</v>
      </c>
      <c r="I18" s="636">
        <f>C18*J1</f>
        <v>5862.0120000000006</v>
      </c>
      <c r="J18" s="636">
        <f>G18*J1</f>
        <v>354.9</v>
      </c>
      <c r="K18" s="692">
        <f t="shared" si="3"/>
        <v>1865.68</v>
      </c>
    </row>
    <row r="19" spans="1:11" s="3" customFormat="1" ht="41.25" customHeight="1">
      <c r="A19" s="662">
        <v>13</v>
      </c>
      <c r="B19" s="763">
        <v>8425179.8000000007</v>
      </c>
      <c r="C19" s="636">
        <f>IF(B19&gt;=B18,B19-B18,0)*1.06</f>
        <v>1231.5080000007899</v>
      </c>
      <c r="D19" s="770">
        <v>604998.933333333</v>
      </c>
      <c r="E19" s="636">
        <f>IF(D19&gt;=D18,D19-D18,0)*0.7</f>
        <v>335.2533333330997</v>
      </c>
      <c r="F19" s="770">
        <v>630491.71111111098</v>
      </c>
      <c r="G19" s="636">
        <f t="shared" si="6"/>
        <v>91.711111110984348</v>
      </c>
      <c r="H19" s="636">
        <f t="shared" si="4"/>
        <v>296.86682666645981</v>
      </c>
      <c r="I19" s="636">
        <f>C19*J1</f>
        <v>4802.8812000030803</v>
      </c>
      <c r="J19" s="636">
        <f>G19*J1</f>
        <v>357.67333333283892</v>
      </c>
      <c r="K19" s="692">
        <f t="shared" si="3"/>
        <v>1566.7613333338895</v>
      </c>
    </row>
    <row r="20" spans="1:11" s="3" customFormat="1" ht="41.25" customHeight="1">
      <c r="A20" s="662">
        <v>14</v>
      </c>
      <c r="B20" s="763">
        <v>8426453.7428571396</v>
      </c>
      <c r="C20" s="636">
        <f>IF(B20&gt;=B19,B20-B19,0)*1.06</f>
        <v>1350.3794285671413</v>
      </c>
      <c r="D20" s="770">
        <v>605487.69999999995</v>
      </c>
      <c r="E20" s="636">
        <f>IF(D20&gt;=D19,D20-D19,0)*0.7</f>
        <v>342.13666666686765</v>
      </c>
      <c r="F20" s="770">
        <v>630582.40634920704</v>
      </c>
      <c r="G20" s="636">
        <f t="shared" si="6"/>
        <v>90.695238096057437</v>
      </c>
      <c r="H20" s="636">
        <f t="shared" si="4"/>
        <v>302.96201833351131</v>
      </c>
      <c r="I20" s="636">
        <f>C20*J1</f>
        <v>5266.4797714118513</v>
      </c>
      <c r="J20" s="636">
        <f>G20*J1</f>
        <v>353.71142857462399</v>
      </c>
      <c r="K20" s="692">
        <f t="shared" si="3"/>
        <v>1692.5160952340088</v>
      </c>
    </row>
    <row r="21" spans="1:11" s="3" customFormat="1" ht="41.25" customHeight="1">
      <c r="A21" s="662">
        <v>15</v>
      </c>
      <c r="B21" s="763">
        <v>8427727.6857142802</v>
      </c>
      <c r="C21" s="636">
        <f>IF(B21&gt;=B20,B21-B20,0)*1.06</f>
        <v>1350.3794285691158</v>
      </c>
      <c r="D21" s="770">
        <v>605976.46666666598</v>
      </c>
      <c r="E21" s="636">
        <f>IF(D21&gt;=D20,D21-D20,0)*0.7</f>
        <v>342.13666666621572</v>
      </c>
      <c r="F21" s="770">
        <v>630673.10158730205</v>
      </c>
      <c r="G21" s="636">
        <f t="shared" ref="G21:G37" si="7">IF(F21&gt;=F20,F21-F20,0)</f>
        <v>90.695238095009699</v>
      </c>
      <c r="H21" s="636">
        <f t="shared" si="4"/>
        <v>302.96201833293406</v>
      </c>
      <c r="I21" s="636">
        <f>C21*J1</f>
        <v>5266.479771419552</v>
      </c>
      <c r="J21" s="636">
        <f>G21*J1</f>
        <v>353.71142857053781</v>
      </c>
      <c r="K21" s="692">
        <f t="shared" si="3"/>
        <v>1692.5160952353315</v>
      </c>
    </row>
    <row r="22" spans="1:11" s="3" customFormat="1" ht="41.25" customHeight="1">
      <c r="A22" s="662">
        <v>16</v>
      </c>
      <c r="B22" s="763">
        <v>8429001.6285714302</v>
      </c>
      <c r="C22" s="636">
        <f t="shared" si="5"/>
        <v>1350.3794285789877</v>
      </c>
      <c r="D22" s="770">
        <v>606465.23333333305</v>
      </c>
      <c r="E22" s="636">
        <f t="shared" si="2"/>
        <v>342.13666666694917</v>
      </c>
      <c r="F22" s="770">
        <v>630763.79682539694</v>
      </c>
      <c r="G22" s="636">
        <f t="shared" si="7"/>
        <v>90.695238094893284</v>
      </c>
      <c r="H22" s="636">
        <f t="shared" si="4"/>
        <v>302.96201833358356</v>
      </c>
      <c r="I22" s="636">
        <f>C22*J1</f>
        <v>5266.4797714580518</v>
      </c>
      <c r="J22" s="636">
        <f>G22*J1</f>
        <v>353.7114285700838</v>
      </c>
      <c r="K22" s="692">
        <f t="shared" si="3"/>
        <v>1692.5160952459369</v>
      </c>
    </row>
    <row r="23" spans="1:11" s="3" customFormat="1" ht="41.25" customHeight="1">
      <c r="A23" s="662">
        <v>17</v>
      </c>
      <c r="B23" s="763">
        <v>8431136</v>
      </c>
      <c r="C23" s="636">
        <f t="shared" si="5"/>
        <v>2262.4337142839659</v>
      </c>
      <c r="D23" s="770">
        <v>607160</v>
      </c>
      <c r="E23" s="636">
        <f t="shared" si="2"/>
        <v>486.33666666686764</v>
      </c>
      <c r="F23" s="770">
        <v>630863</v>
      </c>
      <c r="G23" s="636">
        <f t="shared" si="7"/>
        <v>99.203174603055231</v>
      </c>
      <c r="H23" s="636">
        <f t="shared" si="4"/>
        <v>430.65111833351136</v>
      </c>
      <c r="I23" s="636">
        <f>C23*J1</f>
        <v>8823.4914857074673</v>
      </c>
      <c r="J23" s="636">
        <f>G23*J1</f>
        <v>386.89238095191541</v>
      </c>
      <c r="K23" s="692">
        <f t="shared" si="3"/>
        <v>2748.7703809508334</v>
      </c>
    </row>
    <row r="24" spans="1:11" s="3" customFormat="1" ht="41.25" customHeight="1">
      <c r="A24" s="662">
        <v>18</v>
      </c>
      <c r="B24" s="763">
        <v>8432635</v>
      </c>
      <c r="C24" s="636">
        <f t="shared" si="5"/>
        <v>1588.94</v>
      </c>
      <c r="D24" s="770">
        <v>607670</v>
      </c>
      <c r="E24" s="636">
        <f t="shared" si="2"/>
        <v>357</v>
      </c>
      <c r="F24" s="770">
        <v>630965</v>
      </c>
      <c r="G24" s="636">
        <f t="shared" si="7"/>
        <v>102</v>
      </c>
      <c r="H24" s="636">
        <f t="shared" si="4"/>
        <v>316.12350000000004</v>
      </c>
      <c r="I24" s="636">
        <f>C24*J1</f>
        <v>6196.866</v>
      </c>
      <c r="J24" s="636">
        <f>G24*J1</f>
        <v>397.8</v>
      </c>
      <c r="K24" s="692">
        <f t="shared" si="3"/>
        <v>1945.94</v>
      </c>
    </row>
    <row r="25" spans="1:11" s="3" customFormat="1" ht="41.25" customHeight="1">
      <c r="A25" s="662">
        <v>19</v>
      </c>
      <c r="B25" s="763">
        <v>8434106</v>
      </c>
      <c r="C25" s="636">
        <f t="shared" si="5"/>
        <v>1559.26</v>
      </c>
      <c r="D25" s="770">
        <v>608174</v>
      </c>
      <c r="E25" s="636">
        <f t="shared" si="2"/>
        <v>352.79999999999995</v>
      </c>
      <c r="F25" s="770">
        <v>631041</v>
      </c>
      <c r="G25" s="636">
        <f t="shared" si="7"/>
        <v>76</v>
      </c>
      <c r="H25" s="636">
        <f t="shared" si="4"/>
        <v>312.40440000000001</v>
      </c>
      <c r="I25" s="636">
        <f>C25*J1</f>
        <v>6081.1139999999996</v>
      </c>
      <c r="J25" s="636">
        <f>G25*J1</f>
        <v>296.39999999999998</v>
      </c>
      <c r="K25" s="692">
        <f t="shared" si="3"/>
        <v>1912.06</v>
      </c>
    </row>
    <row r="26" spans="1:11" s="3" customFormat="1" ht="41.25" customHeight="1">
      <c r="A26" s="662">
        <v>20</v>
      </c>
      <c r="B26" s="763">
        <v>8435595.6666666698</v>
      </c>
      <c r="C26" s="636">
        <f t="shared" si="5"/>
        <v>1579.0466666699574</v>
      </c>
      <c r="D26" s="770">
        <v>608735</v>
      </c>
      <c r="E26" s="636">
        <f t="shared" si="2"/>
        <v>392.7</v>
      </c>
      <c r="F26" s="770">
        <v>631126</v>
      </c>
      <c r="G26" s="636">
        <f t="shared" si="7"/>
        <v>85</v>
      </c>
      <c r="H26" s="636">
        <f t="shared" si="4"/>
        <v>347.73585000000003</v>
      </c>
      <c r="I26" s="636">
        <f>C26*J1</f>
        <v>6158.282000012834</v>
      </c>
      <c r="J26" s="636">
        <f>G26*J1</f>
        <v>331.5</v>
      </c>
      <c r="K26" s="692">
        <f t="shared" si="3"/>
        <v>1971.7466666699574</v>
      </c>
    </row>
    <row r="27" spans="1:11" s="3" customFormat="1" ht="41.25" customHeight="1">
      <c r="A27" s="662">
        <v>21</v>
      </c>
      <c r="B27" s="763">
        <v>8437080.6666666698</v>
      </c>
      <c r="C27" s="636">
        <f t="shared" ref="C27:C32" si="8">IF(B27&gt;=B26,B27-B26,0)*1.06</f>
        <v>1574.1000000000001</v>
      </c>
      <c r="D27" s="770">
        <v>609258</v>
      </c>
      <c r="E27" s="636">
        <f t="shared" si="2"/>
        <v>366.09999999999997</v>
      </c>
      <c r="F27" s="770">
        <v>631203</v>
      </c>
      <c r="G27" s="636">
        <f t="shared" si="7"/>
        <v>77</v>
      </c>
      <c r="H27" s="636">
        <f t="shared" si="4"/>
        <v>324.18155000000002</v>
      </c>
      <c r="I27" s="636">
        <f>C27*J1</f>
        <v>6138.9900000000007</v>
      </c>
      <c r="J27" s="636">
        <f>G27*J1</f>
        <v>300.3</v>
      </c>
      <c r="K27" s="692">
        <f t="shared" si="3"/>
        <v>1940.2</v>
      </c>
    </row>
    <row r="28" spans="1:11" s="3" customFormat="1" ht="41.25" customHeight="1">
      <c r="A28" s="662">
        <v>22</v>
      </c>
      <c r="B28" s="763">
        <v>8438565.6666666698</v>
      </c>
      <c r="C28" s="636">
        <f t="shared" si="8"/>
        <v>1574.1000000000001</v>
      </c>
      <c r="D28" s="770">
        <v>609790.5</v>
      </c>
      <c r="E28" s="636">
        <f t="shared" si="2"/>
        <v>372.75</v>
      </c>
      <c r="F28" s="770">
        <v>631285.5</v>
      </c>
      <c r="G28" s="636">
        <f t="shared" si="7"/>
        <v>82.5</v>
      </c>
      <c r="H28" s="636">
        <f>(E28*0.55)*1.61</f>
        <v>330.07012500000008</v>
      </c>
      <c r="I28" s="636">
        <f>C28*J1</f>
        <v>6138.9900000000007</v>
      </c>
      <c r="J28" s="636">
        <f>G28*J1</f>
        <v>321.75</v>
      </c>
      <c r="K28" s="692"/>
    </row>
    <row r="29" spans="1:11" s="3" customFormat="1" ht="41.25" customHeight="1">
      <c r="A29" s="662">
        <v>23</v>
      </c>
      <c r="B29" s="763">
        <v>8440031</v>
      </c>
      <c r="C29" s="636">
        <f t="shared" si="8"/>
        <v>1553.2533333300428</v>
      </c>
      <c r="D29" s="770">
        <v>610311</v>
      </c>
      <c r="E29" s="636">
        <f t="shared" si="2"/>
        <v>364.34999999999997</v>
      </c>
      <c r="F29" s="770">
        <v>631391</v>
      </c>
      <c r="G29" s="636">
        <f t="shared" si="7"/>
        <v>105.5</v>
      </c>
      <c r="H29" s="636">
        <f>(E29*0.55)*1.61</f>
        <v>322.63192499999997</v>
      </c>
      <c r="I29" s="636">
        <f>C29*J1</f>
        <v>6057.6879999871671</v>
      </c>
      <c r="J29" s="636">
        <f>G29*J1</f>
        <v>411.45</v>
      </c>
      <c r="K29" s="692">
        <f t="shared" si="3"/>
        <v>1917.6033333300427</v>
      </c>
    </row>
    <row r="30" spans="1:11" s="3" customFormat="1" ht="41.25" customHeight="1">
      <c r="A30" s="662">
        <v>24</v>
      </c>
      <c r="B30" s="763">
        <v>8441593</v>
      </c>
      <c r="C30" s="636">
        <f t="shared" si="8"/>
        <v>1655.72</v>
      </c>
      <c r="D30" s="770">
        <v>610839.5</v>
      </c>
      <c r="E30" s="636">
        <f t="shared" si="2"/>
        <v>369.95</v>
      </c>
      <c r="F30" s="770">
        <v>631481</v>
      </c>
      <c r="G30" s="636">
        <f t="shared" si="7"/>
        <v>90</v>
      </c>
      <c r="H30" s="636">
        <f>(E30*0.55)*1.61</f>
        <v>327.59072500000002</v>
      </c>
      <c r="I30" s="636">
        <f>C30*J1</f>
        <v>6457.308</v>
      </c>
      <c r="J30" s="636">
        <f>G30*J1</f>
        <v>351</v>
      </c>
      <c r="K30" s="692">
        <f t="shared" si="3"/>
        <v>2025.67</v>
      </c>
    </row>
    <row r="31" spans="1:11" s="3" customFormat="1" ht="41.25" customHeight="1">
      <c r="A31" s="662">
        <v>25</v>
      </c>
      <c r="B31" s="763">
        <v>8443788</v>
      </c>
      <c r="C31" s="636">
        <f t="shared" si="8"/>
        <v>2326.7000000000003</v>
      </c>
      <c r="D31" s="770">
        <v>611443</v>
      </c>
      <c r="E31" s="636">
        <f t="shared" si="2"/>
        <v>422.45</v>
      </c>
      <c r="F31" s="770">
        <v>631567</v>
      </c>
      <c r="G31" s="636">
        <f t="shared" si="7"/>
        <v>86</v>
      </c>
      <c r="H31" s="636">
        <f t="shared" si="4"/>
        <v>374.07947500000006</v>
      </c>
      <c r="I31" s="636">
        <f>C31*J3</f>
        <v>0</v>
      </c>
      <c r="J31" s="636">
        <f>G31*J1</f>
        <v>335.4</v>
      </c>
      <c r="K31" s="692">
        <f t="shared" si="3"/>
        <v>2749.15</v>
      </c>
    </row>
    <row r="32" spans="1:11" s="3" customFormat="1" ht="41.25" customHeight="1">
      <c r="A32" s="662">
        <v>26</v>
      </c>
      <c r="B32" s="763">
        <v>8444914</v>
      </c>
      <c r="C32" s="636">
        <f t="shared" si="8"/>
        <v>1193.5600000000002</v>
      </c>
      <c r="D32" s="770">
        <v>612031</v>
      </c>
      <c r="E32" s="636">
        <f t="shared" si="2"/>
        <v>411.59999999999997</v>
      </c>
      <c r="F32" s="770">
        <v>631655.66666666698</v>
      </c>
      <c r="G32" s="636">
        <f t="shared" si="7"/>
        <v>88.666666666977108</v>
      </c>
      <c r="H32" s="636">
        <f t="shared" si="4"/>
        <v>364.47180000000003</v>
      </c>
      <c r="I32" s="636">
        <f>C32*J1</f>
        <v>4654.8840000000009</v>
      </c>
      <c r="J32" s="636">
        <f>G32*J1</f>
        <v>345.80000000121072</v>
      </c>
      <c r="K32" s="692">
        <f t="shared" si="3"/>
        <v>1605.16</v>
      </c>
    </row>
    <row r="33" spans="1:13" s="205" customFormat="1" ht="41.25" customHeight="1">
      <c r="A33" s="663">
        <v>27</v>
      </c>
      <c r="B33" s="763">
        <v>8446559</v>
      </c>
      <c r="C33" s="636">
        <f t="shared" ref="C33:C37" si="9">IF(B33&gt;=B32,B33-B32,0)*1.06</f>
        <v>1743.7</v>
      </c>
      <c r="D33" s="770">
        <v>612566</v>
      </c>
      <c r="E33" s="636">
        <f t="shared" si="2"/>
        <v>374.5</v>
      </c>
      <c r="F33" s="770">
        <v>631734</v>
      </c>
      <c r="G33" s="636">
        <f t="shared" si="7"/>
        <v>78.333333333022892</v>
      </c>
      <c r="H33" s="636">
        <f t="shared" si="4"/>
        <v>331.61975000000007</v>
      </c>
      <c r="I33" s="636">
        <f>C33*J1</f>
        <v>6800.43</v>
      </c>
      <c r="J33" s="636">
        <f>G33*J1</f>
        <v>305.49999999878929</v>
      </c>
      <c r="K33" s="692">
        <f t="shared" si="3"/>
        <v>2118.1999999999998</v>
      </c>
    </row>
    <row r="34" spans="1:13" s="205" customFormat="1" ht="41.25" customHeight="1">
      <c r="A34" s="663">
        <v>28</v>
      </c>
      <c r="B34" s="763">
        <v>8447858</v>
      </c>
      <c r="C34" s="636">
        <f t="shared" si="9"/>
        <v>1376.94</v>
      </c>
      <c r="D34" s="770">
        <v>613136.33333333302</v>
      </c>
      <c r="E34" s="636">
        <f t="shared" si="2"/>
        <v>399.23333333311598</v>
      </c>
      <c r="F34" s="770">
        <v>631819.22222222202</v>
      </c>
      <c r="G34" s="636">
        <f t="shared" si="7"/>
        <v>85.222222222015262</v>
      </c>
      <c r="H34" s="636">
        <f t="shared" si="4"/>
        <v>353.52111666647426</v>
      </c>
      <c r="I34" s="636">
        <f>C34*J1</f>
        <v>5370.0659999999998</v>
      </c>
      <c r="J34" s="636">
        <f>G34*J1</f>
        <v>332.3666666658595</v>
      </c>
      <c r="K34" s="692">
        <f t="shared" si="3"/>
        <v>1776.173333333116</v>
      </c>
    </row>
    <row r="35" spans="1:13" s="205" customFormat="1" ht="41.25" customHeight="1">
      <c r="A35" s="662">
        <v>29</v>
      </c>
      <c r="B35" s="763">
        <v>8449243.5</v>
      </c>
      <c r="C35" s="636">
        <f t="shared" si="9"/>
        <v>1468.63</v>
      </c>
      <c r="D35" s="770">
        <v>613697.83333333302</v>
      </c>
      <c r="E35" s="636">
        <f t="shared" si="2"/>
        <v>393.04999999999995</v>
      </c>
      <c r="F35" s="770">
        <v>631902.72222222202</v>
      </c>
      <c r="G35" s="636">
        <f t="shared" si="7"/>
        <v>83.5</v>
      </c>
      <c r="H35" s="636">
        <f t="shared" si="4"/>
        <v>348.04577499999999</v>
      </c>
      <c r="I35" s="636">
        <f>C35*J1</f>
        <v>5727.6570000000002</v>
      </c>
      <c r="J35" s="636">
        <f>G35*J1</f>
        <v>325.64999999999998</v>
      </c>
      <c r="K35" s="692">
        <f t="shared" si="3"/>
        <v>1861.68</v>
      </c>
    </row>
    <row r="36" spans="1:13" s="205" customFormat="1" ht="41.25" customHeight="1">
      <c r="A36" s="663">
        <v>30</v>
      </c>
      <c r="B36" s="763">
        <v>8450571.3333333302</v>
      </c>
      <c r="C36" s="636">
        <f t="shared" si="9"/>
        <v>1407.5033333300428</v>
      </c>
      <c r="D36" s="770">
        <v>614265.22222222202</v>
      </c>
      <c r="E36" s="636">
        <f>IF(D36&gt;=D35,D36-D35,0)*0.7</f>
        <v>397.17222222229464</v>
      </c>
      <c r="F36" s="770">
        <v>631987.37037036999</v>
      </c>
      <c r="G36" s="636">
        <f t="shared" si="7"/>
        <v>84.648148147971369</v>
      </c>
      <c r="H36" s="636">
        <f t="shared" si="4"/>
        <v>351.69600277784195</v>
      </c>
      <c r="I36" s="636">
        <f>C36*J1</f>
        <v>5489.2629999871669</v>
      </c>
      <c r="J36" s="636">
        <f>G36*J1</f>
        <v>330.12777777708834</v>
      </c>
      <c r="K36" s="692">
        <f t="shared" si="3"/>
        <v>1804.6755555523373</v>
      </c>
    </row>
    <row r="37" spans="1:13" s="205" customFormat="1" ht="41.25" customHeight="1">
      <c r="A37" s="663">
        <v>31</v>
      </c>
      <c r="B37" s="763">
        <v>8451913.5833333302</v>
      </c>
      <c r="C37" s="636">
        <f t="shared" si="9"/>
        <v>1422.7850000000001</v>
      </c>
      <c r="D37" s="770">
        <v>614831.13888888794</v>
      </c>
      <c r="E37" s="636">
        <f>IF(D37&gt;=D36,D37-D36,0)*0.7</f>
        <v>396.14166666615051</v>
      </c>
      <c r="F37" s="770">
        <v>632071.73148148099</v>
      </c>
      <c r="G37" s="636">
        <f t="shared" si="7"/>
        <v>84.361111111007631</v>
      </c>
      <c r="H37" s="636">
        <f t="shared" si="4"/>
        <v>350.78344583287628</v>
      </c>
      <c r="I37" s="636">
        <f>C37*J1</f>
        <v>5548.8615</v>
      </c>
      <c r="J37" s="636">
        <f>G37*J1</f>
        <v>329.00833333292974</v>
      </c>
      <c r="K37" s="692">
        <f t="shared" si="3"/>
        <v>1818.9266666661506</v>
      </c>
    </row>
    <row r="38" spans="1:13" s="205" customFormat="1" ht="41.25" customHeight="1">
      <c r="A38" s="664" t="s">
        <v>109</v>
      </c>
      <c r="B38" s="687"/>
      <c r="C38" s="688">
        <f>SUM(C7:C37)</f>
        <v>47727.118333330043</v>
      </c>
      <c r="D38" s="687"/>
      <c r="E38" s="688">
        <f>SUM(E7:E37)</f>
        <v>11360.163888888444</v>
      </c>
      <c r="F38" s="687"/>
      <c r="G38" s="688">
        <f>SUM(G7:G37)</f>
        <v>2749.0648148140172</v>
      </c>
      <c r="H38" s="689">
        <f>SUM(H6:H37)</f>
        <v>10059.425123610719</v>
      </c>
      <c r="I38" s="689">
        <f>SUM(I6:I37)</f>
        <v>177061.63149998712</v>
      </c>
      <c r="J38" s="689">
        <f>SUM(J6:J37)</f>
        <v>10721.352777774664</v>
      </c>
      <c r="K38" s="734">
        <f>SUM(K6:K37)</f>
        <v>57140.432222218486</v>
      </c>
    </row>
    <row r="39" spans="1:13" s="205" customFormat="1" ht="41.25" customHeight="1" thickBot="1">
      <c r="A39" s="665" t="s">
        <v>130</v>
      </c>
      <c r="B39" s="690"/>
      <c r="C39" s="691">
        <f>C38/A42</f>
        <v>1590.9039444443347</v>
      </c>
      <c r="D39" s="690"/>
      <c r="E39" s="691">
        <f>E38/A42</f>
        <v>378.6721296296148</v>
      </c>
      <c r="F39" s="690"/>
      <c r="G39" s="691">
        <f>G38/A42</f>
        <v>91.635493827133899</v>
      </c>
      <c r="H39" s="691">
        <f>H38/A42</f>
        <v>335.31417078702395</v>
      </c>
      <c r="I39" s="691">
        <f>I38/A42</f>
        <v>5902.0543833329039</v>
      </c>
      <c r="J39" s="691">
        <f>J38/A42</f>
        <v>357.37842592582211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119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38" priority="18" stopIfTrue="1" operator="greaterThan">
      <formula>2000</formula>
    </cfRule>
  </conditionalFormatting>
  <conditionalFormatting sqref="E7:E37">
    <cfRule type="cellIs" dxfId="37" priority="16" stopIfTrue="1" operator="greaterThan">
      <formula>1000</formula>
    </cfRule>
  </conditionalFormatting>
  <conditionalFormatting sqref="G7:G37">
    <cfRule type="cellIs" dxfId="36" priority="15" stopIfTrue="1" operator="greaterThan">
      <formula>200</formula>
    </cfRule>
  </conditionalFormatting>
  <conditionalFormatting sqref="C6 E6:E37">
    <cfRule type="cellIs" dxfId="35" priority="13" stopIfTrue="1" operator="greaterThan">
      <formula>2000</formula>
    </cfRule>
  </conditionalFormatting>
  <conditionalFormatting sqref="E6:E37">
    <cfRule type="cellIs" dxfId="34" priority="12" stopIfTrue="1" operator="greaterThan">
      <formula>1000</formula>
    </cfRule>
  </conditionalFormatting>
  <conditionalFormatting sqref="C6 E6:E37">
    <cfRule type="cellIs" dxfId="33" priority="11" stopIfTrue="1" operator="greaterThan">
      <formula>2000</formula>
    </cfRule>
  </conditionalFormatting>
  <conditionalFormatting sqref="E6:E37">
    <cfRule type="cellIs" dxfId="32" priority="10" stopIfTrue="1" operator="greaterThan">
      <formula>1000</formula>
    </cfRule>
  </conditionalFormatting>
  <conditionalFormatting sqref="C6 E6:E37">
    <cfRule type="cellIs" dxfId="31" priority="9" stopIfTrue="1" operator="greaterThan">
      <formula>2000</formula>
    </cfRule>
  </conditionalFormatting>
  <conditionalFormatting sqref="E6:E37">
    <cfRule type="cellIs" dxfId="30" priority="8" stopIfTrue="1" operator="greaterThan">
      <formula>1000</formula>
    </cfRule>
  </conditionalFormatting>
  <conditionalFormatting sqref="C6 E6:E37">
    <cfRule type="cellIs" dxfId="29" priority="7" stopIfTrue="1" operator="greaterThan">
      <formula>2000</formula>
    </cfRule>
  </conditionalFormatting>
  <conditionalFormatting sqref="E6:E37">
    <cfRule type="cellIs" dxfId="28" priority="6" stopIfTrue="1" operator="greaterThan">
      <formula>1000</formula>
    </cfRule>
  </conditionalFormatting>
  <conditionalFormatting sqref="G6">
    <cfRule type="cellIs" dxfId="27" priority="5" stopIfTrue="1" operator="greaterThan">
      <formula>200</formula>
    </cfRule>
  </conditionalFormatting>
  <conditionalFormatting sqref="C7:C37 E7:E37">
    <cfRule type="cellIs" dxfId="26" priority="4" stopIfTrue="1" operator="greaterThan">
      <formula>2000</formula>
    </cfRule>
  </conditionalFormatting>
  <conditionalFormatting sqref="E7:E37">
    <cfRule type="cellIs" dxfId="25" priority="3" stopIfTrue="1" operator="greaterThan">
      <formula>1000</formula>
    </cfRule>
  </conditionalFormatting>
  <conditionalFormatting sqref="C7:C37 E7:E37">
    <cfRule type="cellIs" dxfId="24" priority="2" stopIfTrue="1" operator="greaterThan">
      <formula>2000</formula>
    </cfRule>
  </conditionalFormatting>
  <conditionalFormatting sqref="E7:E37">
    <cfRule type="cellIs" dxfId="23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B1" sqref="B1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917">
        <f>Elect!A1</f>
        <v>44896</v>
      </c>
      <c r="B1" s="168"/>
      <c r="C1" s="168"/>
      <c r="H1" s="139"/>
      <c r="I1" s="140"/>
      <c r="J1" s="141"/>
      <c r="K1" s="141"/>
      <c r="L1" s="919" t="s">
        <v>131</v>
      </c>
      <c r="M1" s="919"/>
      <c r="N1" s="919"/>
      <c r="P1" s="920">
        <f>Elect!A1</f>
        <v>44896</v>
      </c>
      <c r="Q1" s="920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918"/>
      <c r="B2" s="904" t="s">
        <v>132</v>
      </c>
      <c r="C2" s="905"/>
      <c r="D2" s="905"/>
      <c r="E2" s="905"/>
      <c r="F2" s="905"/>
      <c r="G2" s="921"/>
      <c r="H2" s="904" t="s">
        <v>84</v>
      </c>
      <c r="I2" s="905"/>
      <c r="J2" s="905"/>
      <c r="K2" s="905"/>
      <c r="L2" s="905"/>
      <c r="M2" s="905"/>
      <c r="N2" s="905"/>
      <c r="O2" s="905"/>
      <c r="P2" s="921"/>
      <c r="Q2" s="147"/>
      <c r="R2" s="793"/>
      <c r="S2" s="148"/>
      <c r="T2" s="149"/>
      <c r="U2" s="150" t="s">
        <v>133</v>
      </c>
      <c r="V2" s="149"/>
      <c r="W2" s="149"/>
      <c r="X2" s="149"/>
      <c r="Y2" s="149"/>
      <c r="Z2" s="796"/>
      <c r="AA2" s="795"/>
      <c r="AB2" s="151"/>
      <c r="AC2" s="169" t="s">
        <v>134</v>
      </c>
      <c r="AD2" s="794"/>
      <c r="AE2" s="797"/>
      <c r="AF2" s="152"/>
      <c r="AG2" s="892" t="s">
        <v>75</v>
      </c>
      <c r="AH2" s="893"/>
      <c r="AI2" s="893"/>
      <c r="AJ2" s="354" t="s">
        <v>135</v>
      </c>
      <c r="AK2" s="898" t="s">
        <v>136</v>
      </c>
      <c r="AL2" s="900" t="s">
        <v>137</v>
      </c>
      <c r="AM2" s="900" t="s">
        <v>138</v>
      </c>
      <c r="AN2" s="890" t="s">
        <v>139</v>
      </c>
      <c r="AO2" s="908" t="s">
        <v>140</v>
      </c>
      <c r="AP2" s="909" t="s">
        <v>141</v>
      </c>
      <c r="AQ2" s="911" t="s">
        <v>142</v>
      </c>
      <c r="AR2" s="913" t="s">
        <v>143</v>
      </c>
      <c r="AS2" s="915" t="s">
        <v>141</v>
      </c>
      <c r="AT2" s="906" t="s">
        <v>144</v>
      </c>
      <c r="AU2" s="907"/>
      <c r="AV2" s="904" t="s">
        <v>145</v>
      </c>
      <c r="AW2" s="905"/>
      <c r="AX2" s="172"/>
      <c r="AY2" s="173"/>
      <c r="AZ2" s="174" t="s">
        <v>146</v>
      </c>
      <c r="BA2" s="174"/>
      <c r="BB2" s="175"/>
      <c r="BC2" s="155"/>
      <c r="BD2" s="153"/>
      <c r="BE2" s="793" t="s">
        <v>147</v>
      </c>
      <c r="BF2" s="793"/>
      <c r="BG2" s="154"/>
      <c r="BH2" s="174"/>
      <c r="BI2" s="174"/>
      <c r="BJ2" s="174" t="s">
        <v>148</v>
      </c>
      <c r="BK2" s="174"/>
      <c r="BL2" s="175"/>
      <c r="BM2" s="793"/>
      <c r="BN2" s="793"/>
      <c r="BO2" s="793" t="s">
        <v>149</v>
      </c>
      <c r="BP2" s="793"/>
      <c r="BQ2" s="154"/>
    </row>
    <row r="3" spans="1:69" ht="174.75" customHeight="1" thickBot="1">
      <c r="A3" s="156" t="s">
        <v>150</v>
      </c>
      <c r="B3" s="922" t="s">
        <v>151</v>
      </c>
      <c r="C3" s="923"/>
      <c r="D3" s="924" t="s">
        <v>152</v>
      </c>
      <c r="E3" s="925"/>
      <c r="F3" s="926" t="s">
        <v>153</v>
      </c>
      <c r="G3" s="927"/>
      <c r="H3" s="926" t="s">
        <v>154</v>
      </c>
      <c r="I3" s="927"/>
      <c r="J3" s="928" t="s">
        <v>155</v>
      </c>
      <c r="K3" s="929"/>
      <c r="L3" s="930" t="s">
        <v>156</v>
      </c>
      <c r="M3" s="931"/>
      <c r="N3" s="152" t="s">
        <v>157</v>
      </c>
      <c r="O3" s="894" t="s">
        <v>98</v>
      </c>
      <c r="P3" s="895"/>
      <c r="Q3" s="894" t="s">
        <v>158</v>
      </c>
      <c r="R3" s="895"/>
      <c r="S3" s="896" t="s">
        <v>159</v>
      </c>
      <c r="T3" s="897"/>
      <c r="U3" s="896" t="s">
        <v>160</v>
      </c>
      <c r="V3" s="897"/>
      <c r="W3" s="902" t="s">
        <v>161</v>
      </c>
      <c r="X3" s="903"/>
      <c r="Y3" s="896" t="s">
        <v>162</v>
      </c>
      <c r="Z3" s="897"/>
      <c r="AA3" s="902" t="s">
        <v>163</v>
      </c>
      <c r="AB3" s="903"/>
      <c r="AC3" s="896" t="s">
        <v>164</v>
      </c>
      <c r="AD3" s="897"/>
      <c r="AE3" s="157" t="s">
        <v>165</v>
      </c>
      <c r="AF3" s="386" t="s">
        <v>166</v>
      </c>
      <c r="AG3" s="181" t="s">
        <v>167</v>
      </c>
      <c r="AH3" s="158" t="s">
        <v>168</v>
      </c>
      <c r="AI3" s="159" t="s">
        <v>104</v>
      </c>
      <c r="AJ3" s="355">
        <v>0</v>
      </c>
      <c r="AK3" s="899"/>
      <c r="AL3" s="901"/>
      <c r="AM3" s="901"/>
      <c r="AN3" s="891"/>
      <c r="AO3" s="968"/>
      <c r="AP3" s="910"/>
      <c r="AQ3" s="912"/>
      <c r="AR3" s="914"/>
      <c r="AS3" s="916"/>
      <c r="AT3" s="161" t="s">
        <v>169</v>
      </c>
      <c r="AU3" s="161" t="s">
        <v>170</v>
      </c>
      <c r="AV3" s="160" t="s">
        <v>89</v>
      </c>
      <c r="AW3" s="162" t="s">
        <v>91</v>
      </c>
      <c r="AX3" s="176" t="s">
        <v>90</v>
      </c>
      <c r="AY3" s="177" t="s">
        <v>92</v>
      </c>
      <c r="AZ3" s="356" t="s">
        <v>93</v>
      </c>
      <c r="BA3" s="178" t="s">
        <v>171</v>
      </c>
      <c r="BB3" s="179" t="s">
        <v>172</v>
      </c>
      <c r="BC3" s="387" t="s">
        <v>90</v>
      </c>
      <c r="BD3" s="388" t="s">
        <v>92</v>
      </c>
      <c r="BE3" s="357" t="s">
        <v>93</v>
      </c>
      <c r="BF3" s="164" t="s">
        <v>171</v>
      </c>
      <c r="BG3" s="165" t="s">
        <v>172</v>
      </c>
      <c r="BH3" s="177" t="s">
        <v>90</v>
      </c>
      <c r="BI3" s="177" t="s">
        <v>92</v>
      </c>
      <c r="BJ3" s="356" t="s">
        <v>93</v>
      </c>
      <c r="BK3" s="178" t="s">
        <v>171</v>
      </c>
      <c r="BL3" s="179" t="s">
        <v>172</v>
      </c>
      <c r="BM3" s="163" t="s">
        <v>90</v>
      </c>
      <c r="BN3" s="163" t="s">
        <v>92</v>
      </c>
      <c r="BO3" s="357" t="s">
        <v>93</v>
      </c>
      <c r="BP3" s="164" t="s">
        <v>171</v>
      </c>
      <c r="BQ3" s="165" t="s">
        <v>172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5035.166666701436</v>
      </c>
      <c r="D5" s="461">
        <v>0</v>
      </c>
      <c r="E5" s="460">
        <f>Elect!M6</f>
        <v>1759.3333333330229</v>
      </c>
      <c r="F5" s="461">
        <v>20</v>
      </c>
      <c r="G5" s="460">
        <f>Elect!O6</f>
        <v>2390</v>
      </c>
      <c r="H5" s="461">
        <v>800</v>
      </c>
      <c r="I5" s="460">
        <f>Water!C7</f>
        <v>253.26666666686359</v>
      </c>
      <c r="J5" s="461">
        <v>0</v>
      </c>
      <c r="K5" s="460">
        <f>Water!E7</f>
        <v>322.86666666686358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819.15333333372712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475.10893333356171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1396.02</v>
      </c>
      <c r="AI5" s="465" t="e">
        <f>Gas!#REF!</f>
        <v>#REF!</v>
      </c>
      <c r="AJ5" s="466">
        <f>Gas!J7</f>
        <v>255.23333333171902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136.33333333302289</v>
      </c>
      <c r="AU5" s="460">
        <f>Elect!BP6</f>
        <v>137</v>
      </c>
      <c r="AV5" s="460" t="e">
        <f>Elect!#REF!</f>
        <v>#REF!</v>
      </c>
      <c r="AW5" s="460">
        <f>Elect!BR6</f>
        <v>136.33333333302289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3.900730158732034</v>
      </c>
      <c r="BN5" s="477" t="e">
        <f>Water!W7</f>
        <v>#DIV/0!</v>
      </c>
      <c r="BO5" s="472">
        <f>Water!X7</f>
        <v>3276.6133333349085</v>
      </c>
      <c r="BP5" s="477">
        <f>Water!Y7</f>
        <v>15.602920634928136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6579</v>
      </c>
      <c r="D6" s="461">
        <v>0</v>
      </c>
      <c r="E6" s="460">
        <f>Elect!M7</f>
        <v>1977</v>
      </c>
      <c r="F6" s="461">
        <v>20</v>
      </c>
      <c r="G6" s="460">
        <f>Elect!O7</f>
        <v>1530</v>
      </c>
      <c r="H6" s="461">
        <v>936</v>
      </c>
      <c r="I6" s="460">
        <f>Water!C8</f>
        <v>22.555555555649335</v>
      </c>
      <c r="J6" s="461">
        <v>0</v>
      </c>
      <c r="K6" s="460">
        <f>Water!E8</f>
        <v>35.7666666668636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179.54222222251292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104.13448888905748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8408205</v>
      </c>
      <c r="AH6" s="464">
        <f>Gas!C8</f>
        <v>1643</v>
      </c>
      <c r="AI6" s="465" t="e">
        <f>Gas!#REF!</f>
        <v>#REF!</v>
      </c>
      <c r="AJ6" s="466">
        <f>Gas!J8</f>
        <v>354.46666666707023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134</v>
      </c>
      <c r="AU6" s="460">
        <f>Elect!BP7</f>
        <v>127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562255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0.74191000918393768</v>
      </c>
      <c r="BN6" s="477" t="e">
        <f>Water!W8</f>
        <v>#DIV/0!</v>
      </c>
      <c r="BO6" s="472">
        <f>Water!X8</f>
        <v>718.16888889005168</v>
      </c>
      <c r="BP6" s="477">
        <f>Water!Y8</f>
        <v>2.9676400367357507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5998</v>
      </c>
      <c r="D7" s="461">
        <v>0</v>
      </c>
      <c r="E7" s="460">
        <f>Elect!M8</f>
        <v>2024</v>
      </c>
      <c r="F7" s="461">
        <v>20</v>
      </c>
      <c r="G7" s="460">
        <f>Elect!O8</f>
        <v>1594</v>
      </c>
      <c r="H7" s="461">
        <v>685</v>
      </c>
      <c r="I7" s="460">
        <f>Water!C9</f>
        <v>85.711111111214265</v>
      </c>
      <c r="J7" s="461">
        <v>0</v>
      </c>
      <c r="K7" s="460">
        <f>Water!E9</f>
        <v>107.3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239.41111111121427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138.85844444450427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8411305</v>
      </c>
      <c r="AH7" s="464">
        <f>Gas!C9</f>
        <v>1643</v>
      </c>
      <c r="AI7" s="465" t="e">
        <f>Gas!#REF!</f>
        <v>#REF!</v>
      </c>
      <c r="AJ7" s="466">
        <f>Gas!J9</f>
        <v>317.19999999878928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149</v>
      </c>
      <c r="AU7" s="460">
        <f>Elect!BP8</f>
        <v>107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562404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1.0640493827165078</v>
      </c>
      <c r="BN7" s="477" t="e">
        <f>Water!W9</f>
        <v>#DIV/0!</v>
      </c>
      <c r="BO7" s="472">
        <f>Water!X9</f>
        <v>957.64444444485707</v>
      </c>
      <c r="BP7" s="477">
        <f>Water!Y9</f>
        <v>4.2561975308660314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6469</v>
      </c>
      <c r="D8" s="461">
        <v>0</v>
      </c>
      <c r="E8" s="460">
        <f>Elect!M9</f>
        <v>1987</v>
      </c>
      <c r="F8" s="461">
        <v>20</v>
      </c>
      <c r="G8" s="460">
        <f>Elect!O9</f>
        <v>1550</v>
      </c>
      <c r="H8" s="461">
        <v>786</v>
      </c>
      <c r="I8" s="460">
        <f>Water!C10</f>
        <v>83.133333333136392</v>
      </c>
      <c r="J8" s="461">
        <v>0</v>
      </c>
      <c r="K8" s="460">
        <f>Water!E10</f>
        <v>106.33333333313639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272.98666666627275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158.33226666643819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8412855</v>
      </c>
      <c r="AH8" s="464">
        <f>Gas!C10</f>
        <v>1643</v>
      </c>
      <c r="AI8" s="465" t="e">
        <f>Gas!#REF!</f>
        <v>#REF!</v>
      </c>
      <c r="AJ8" s="466">
        <f>Gas!J10</f>
        <v>373.10000000121073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153</v>
      </c>
      <c r="AU8" s="460">
        <f>Elect!BP9</f>
        <v>137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562557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1.1567231638401387</v>
      </c>
      <c r="BN8" s="477" t="e">
        <f>Water!W10</f>
        <v>#DIV/0!</v>
      </c>
      <c r="BO8" s="472">
        <f>Water!X10</f>
        <v>1091.946666665091</v>
      </c>
      <c r="BP8" s="477">
        <f>Water!Y10</f>
        <v>4.6268926553605549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6327</v>
      </c>
      <c r="D9" s="461">
        <v>0</v>
      </c>
      <c r="E9" s="460">
        <f>Elect!M10</f>
        <v>2106</v>
      </c>
      <c r="F9" s="461">
        <v>20</v>
      </c>
      <c r="G9" s="460">
        <f>Elect!O10</f>
        <v>1987</v>
      </c>
      <c r="H9" s="461">
        <v>789</v>
      </c>
      <c r="I9" s="460">
        <f>Water!C11</f>
        <v>87</v>
      </c>
      <c r="J9" s="461">
        <v>0</v>
      </c>
      <c r="K9" s="460">
        <f>Water!E11</f>
        <v>110.19999999999999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325.38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188.72039999999998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8414405</v>
      </c>
      <c r="AH9" s="464">
        <f>Gas!C11</f>
        <v>1643</v>
      </c>
      <c r="AI9" s="465" t="e">
        <f>Gas!#REF!</f>
        <v>#REF!</v>
      </c>
      <c r="AJ9" s="466">
        <f>Gas!J11</f>
        <v>378.3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157</v>
      </c>
      <c r="AU9" s="460">
        <f>Elect!BP10</f>
        <v>146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562714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1.5063888888888888</v>
      </c>
      <c r="BN9" s="477" t="e">
        <f>Water!W11</f>
        <v>#DIV/0!</v>
      </c>
      <c r="BO9" s="472">
        <f>Water!X11</f>
        <v>1301.52</v>
      </c>
      <c r="BP9" s="477">
        <f>Water!Y11</f>
        <v>6.0255555555555551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6729</v>
      </c>
      <c r="D10" s="461">
        <v>0</v>
      </c>
      <c r="E10" s="460">
        <f>Elect!M11</f>
        <v>1800</v>
      </c>
      <c r="F10" s="461">
        <v>20</v>
      </c>
      <c r="G10" s="460">
        <f>Elect!O11</f>
        <v>1638</v>
      </c>
      <c r="H10" s="461">
        <v>805</v>
      </c>
      <c r="I10" s="460">
        <f>Water!C12</f>
        <v>81.199999999999989</v>
      </c>
      <c r="J10" s="461">
        <v>0</v>
      </c>
      <c r="K10" s="460">
        <f>Water!E12</f>
        <v>104.39999999999999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314.93999999999994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182.66519999999994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8415955</v>
      </c>
      <c r="AH10" s="464">
        <f>Gas!C12</f>
        <v>1643</v>
      </c>
      <c r="AI10" s="465" t="e">
        <f>Gas!#REF!</f>
        <v>#REF!</v>
      </c>
      <c r="AJ10" s="466">
        <f>Gas!J12</f>
        <v>370.5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158</v>
      </c>
      <c r="AU10" s="460">
        <f>Elect!BP11</f>
        <v>145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562872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1.5906060606060604</v>
      </c>
      <c r="BN10" s="477" t="e">
        <f>Water!W12</f>
        <v>#DIV/0!</v>
      </c>
      <c r="BO10" s="472">
        <f>Water!X12</f>
        <v>1259.7599999999998</v>
      </c>
      <c r="BP10" s="477">
        <f>Water!Y12</f>
        <v>6.3624242424242414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6469</v>
      </c>
      <c r="D11" s="461">
        <v>0</v>
      </c>
      <c r="E11" s="460">
        <f>Elect!M12</f>
        <v>2432</v>
      </c>
      <c r="F11" s="461">
        <v>20</v>
      </c>
      <c r="G11" s="460">
        <f>Elect!O12</f>
        <v>2493</v>
      </c>
      <c r="H11" s="461">
        <v>871</v>
      </c>
      <c r="I11" s="460">
        <f>Water!C13</f>
        <v>85.066666666863597</v>
      </c>
      <c r="J11" s="461">
        <v>0</v>
      </c>
      <c r="K11" s="460">
        <f>Water!E13</f>
        <v>108.2666666668636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258.29333333372716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149.81013333356174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8417505</v>
      </c>
      <c r="AH11" s="464">
        <f>Gas!C13</f>
        <v>1643</v>
      </c>
      <c r="AI11" s="465" t="e">
        <f>Gas!#REF!</f>
        <v>#REF!</v>
      </c>
      <c r="AJ11" s="466">
        <f>Gas!J13</f>
        <v>375.69999999878928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153</v>
      </c>
      <c r="AU11" s="460">
        <f>Elect!BP12</f>
        <v>143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563025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1.4037681159441693</v>
      </c>
      <c r="BN11" s="477" t="e">
        <f>Water!W13</f>
        <v>#DIV/0!</v>
      </c>
      <c r="BO11" s="472">
        <f>Water!X13</f>
        <v>1033.1733333349086</v>
      </c>
      <c r="BP11" s="477">
        <f>Water!Y13</f>
        <v>5.6150724637766771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6399</v>
      </c>
      <c r="D12" s="461">
        <v>0</v>
      </c>
      <c r="E12" s="460">
        <f>Elect!M13</f>
        <v>2016</v>
      </c>
      <c r="F12" s="461">
        <v>20</v>
      </c>
      <c r="G12" s="460">
        <f>Elect!O13</f>
        <v>1999</v>
      </c>
      <c r="H12" s="461">
        <v>963</v>
      </c>
      <c r="I12" s="460">
        <f>Water!C14</f>
        <v>84.1</v>
      </c>
      <c r="J12" s="461">
        <v>0</v>
      </c>
      <c r="K12" s="460">
        <f>Water!E14</f>
        <v>107.3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307.39999999999998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178.29199999999997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8419055</v>
      </c>
      <c r="AH12" s="464">
        <f>Gas!C14</f>
        <v>1643</v>
      </c>
      <c r="AI12" s="465" t="e">
        <f>Gas!#REF!</f>
        <v>#REF!</v>
      </c>
      <c r="AJ12" s="466">
        <f>Gas!J14</f>
        <v>374.4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151</v>
      </c>
      <c r="AU12" s="460">
        <f>Elect!BP13</f>
        <v>136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563176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1.6706521739130433</v>
      </c>
      <c r="BN12" s="477" t="e">
        <f>Water!W14</f>
        <v>#DIV/0!</v>
      </c>
      <c r="BO12" s="472">
        <f>Water!X14</f>
        <v>1229.5999999999999</v>
      </c>
      <c r="BP12" s="477">
        <f>Water!Y14</f>
        <v>6.6826086956521733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6217</v>
      </c>
      <c r="D13" s="461">
        <v>0</v>
      </c>
      <c r="E13" s="460">
        <f>Elect!M14</f>
        <v>2020</v>
      </c>
      <c r="F13" s="461">
        <v>20</v>
      </c>
      <c r="G13" s="460">
        <f>Elect!O14</f>
        <v>2002</v>
      </c>
      <c r="H13" s="461">
        <v>790</v>
      </c>
      <c r="I13" s="460">
        <f>Water!C15</f>
        <v>80.233333333136386</v>
      </c>
      <c r="J13" s="461">
        <v>0</v>
      </c>
      <c r="K13" s="460">
        <f>Water!E15</f>
        <v>103.43333333313639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380.28666666627271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220.56626666643817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8419880</v>
      </c>
      <c r="AH13" s="464">
        <f>Gas!C15</f>
        <v>874.5</v>
      </c>
      <c r="AI13" s="465" t="e">
        <f>Gas!#REF!</f>
        <v>#REF!</v>
      </c>
      <c r="AJ13" s="466">
        <f>Gas!J15</f>
        <v>353.60000000121073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152</v>
      </c>
      <c r="AU13" s="460">
        <f>Elect!BP14</f>
        <v>134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563328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2.0780692167555888</v>
      </c>
      <c r="BN13" s="477" t="e">
        <f>Water!W15</f>
        <v>#DIV/0!</v>
      </c>
      <c r="BO13" s="472">
        <f>Water!X15</f>
        <v>1521.1466666650908</v>
      </c>
      <c r="BP13" s="477">
        <f>Water!Y15</f>
        <v>8.312276867022355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6463</v>
      </c>
      <c r="D14" s="461">
        <v>0</v>
      </c>
      <c r="E14" s="460">
        <f>Elect!M15</f>
        <v>2043</v>
      </c>
      <c r="F14" s="461">
        <v>20</v>
      </c>
      <c r="G14" s="460">
        <f>Elect!O15</f>
        <v>2106</v>
      </c>
      <c r="H14" s="461">
        <v>792</v>
      </c>
      <c r="I14" s="460">
        <f>Water!C16</f>
        <v>75.399999999999991</v>
      </c>
      <c r="J14" s="461">
        <v>0</v>
      </c>
      <c r="K14" s="460">
        <f>Water!E16</f>
        <v>92.8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290.58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168.53639999999999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8421268</v>
      </c>
      <c r="AH14" s="464">
        <f>Gas!C16</f>
        <v>1471.28</v>
      </c>
      <c r="AI14" s="465" t="e">
        <f>Gas!#REF!</f>
        <v>#REF!</v>
      </c>
      <c r="AJ14" s="466">
        <f>Gas!J16</f>
        <v>351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135</v>
      </c>
      <c r="AU14" s="460">
        <f>Elect!BP15</f>
        <v>129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563463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1.403768115942029</v>
      </c>
      <c r="BN14" s="477" t="e">
        <f>Water!W16</f>
        <v>#DIV/0!</v>
      </c>
      <c r="BO14" s="472">
        <f>Water!X16</f>
        <v>1162.32</v>
      </c>
      <c r="BP14" s="477">
        <f>Water!Y16</f>
        <v>5.615072463768116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6856</v>
      </c>
      <c r="D15" s="461">
        <v>0</v>
      </c>
      <c r="E15" s="460">
        <f>Elect!M16</f>
        <v>2189</v>
      </c>
      <c r="F15" s="461">
        <v>20</v>
      </c>
      <c r="G15" s="460">
        <f>Elect!O16</f>
        <v>1866</v>
      </c>
      <c r="H15" s="461">
        <v>817</v>
      </c>
      <c r="I15" s="460">
        <f>Water!C17</f>
        <v>81.199999999999989</v>
      </c>
      <c r="J15" s="461">
        <v>0</v>
      </c>
      <c r="K15" s="460">
        <f>Water!E17</f>
        <v>104.39999999999999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309.14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179.30119999999997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1411.92</v>
      </c>
      <c r="AI15" s="465" t="e">
        <f>Gas!#REF!</f>
        <v>#REF!</v>
      </c>
      <c r="AJ15" s="466">
        <f>Gas!J17</f>
        <v>343.2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129</v>
      </c>
      <c r="AU15" s="460">
        <f>Elect!BP16</f>
        <v>148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563592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1.3099152542372881</v>
      </c>
      <c r="BN15" s="477" t="e">
        <f>Water!W17</f>
        <v>#DIV/0!</v>
      </c>
      <c r="BO15" s="472">
        <f>Water!X17</f>
        <v>1236.56</v>
      </c>
      <c r="BP15" s="477">
        <f>Water!Y17</f>
        <v>5.2396610169491522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6916</v>
      </c>
      <c r="D16" s="461">
        <v>0</v>
      </c>
      <c r="E16" s="460">
        <f>Elect!M17</f>
        <v>2119</v>
      </c>
      <c r="F16" s="461">
        <v>20</v>
      </c>
      <c r="G16" s="460">
        <f>Elect!O17</f>
        <v>1586</v>
      </c>
      <c r="H16" s="461">
        <v>907</v>
      </c>
      <c r="I16" s="460">
        <f>Water!C18</f>
        <v>87</v>
      </c>
      <c r="J16" s="461">
        <v>0</v>
      </c>
      <c r="K16" s="460">
        <f>Water!E18</f>
        <v>104.39999999999999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311.45999999999998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180.64679999999998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8424018</v>
      </c>
      <c r="AH16" s="464">
        <f>Gas!C18</f>
        <v>1503.0800000000002</v>
      </c>
      <c r="AI16" s="465" t="e">
        <f>Gas!#REF!</f>
        <v>#REF!</v>
      </c>
      <c r="AJ16" s="466">
        <f>Gas!J18</f>
        <v>354.9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136</v>
      </c>
      <c r="AU16" s="460">
        <f>Elect!BP17</f>
        <v>162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563728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1.3197457627118643</v>
      </c>
      <c r="BN16" s="477" t="e">
        <f>Water!W18</f>
        <v>#DIV/0!</v>
      </c>
      <c r="BO16" s="472">
        <f>Water!X18</f>
        <v>1245.8399999999999</v>
      </c>
      <c r="BP16" s="477">
        <f>Water!Y18</f>
        <v>5.2789830508474571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8015</v>
      </c>
      <c r="D17" s="461">
        <v>0</v>
      </c>
      <c r="E17" s="460">
        <f>Elect!M18</f>
        <v>2095</v>
      </c>
      <c r="F17" s="461">
        <v>20</v>
      </c>
      <c r="G17" s="460">
        <f>Elect!O18</f>
        <v>1586</v>
      </c>
      <c r="H17" s="461">
        <v>812</v>
      </c>
      <c r="I17" s="460">
        <f>Water!C19</f>
        <v>76.753333333102631</v>
      </c>
      <c r="J17" s="461">
        <v>0</v>
      </c>
      <c r="K17" s="460">
        <f>Water!E19</f>
        <v>98.213333333138507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327.85466666624029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190.15570666641935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8425179.8000000007</v>
      </c>
      <c r="AH17" s="464">
        <f>Gas!C19</f>
        <v>1231.5080000007899</v>
      </c>
      <c r="AI17" s="465" t="e">
        <f>Gas!#REF!</f>
        <v>#REF!</v>
      </c>
      <c r="AJ17" s="466">
        <f>Gas!J19</f>
        <v>357.67333333283892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146</v>
      </c>
      <c r="AU17" s="460">
        <f>Elect!BP18</f>
        <v>149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563874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1.4010883190864969</v>
      </c>
      <c r="BN17" s="477" t="e">
        <f>Water!W19</f>
        <v>#DIV/0!</v>
      </c>
      <c r="BO17" s="472">
        <f>Water!X19</f>
        <v>1311.4186666649612</v>
      </c>
      <c r="BP17" s="477">
        <f>Water!Y19</f>
        <v>5.6043532763459876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4600</v>
      </c>
      <c r="D18" s="461">
        <v>0</v>
      </c>
      <c r="E18" s="460">
        <f>Elect!M19</f>
        <v>2075</v>
      </c>
      <c r="F18" s="461">
        <v>30</v>
      </c>
      <c r="G18" s="460">
        <f>Elect!O19</f>
        <v>1575</v>
      </c>
      <c r="H18" s="461">
        <v>810</v>
      </c>
      <c r="I18" s="460">
        <f>Water!C20</f>
        <v>80.426666666931112</v>
      </c>
      <c r="J18" s="461">
        <v>0</v>
      </c>
      <c r="K18" s="460">
        <f>Water!E20</f>
        <v>100.72666666685727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318.26533333378927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184.59389333359778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8426453.7428571396</v>
      </c>
      <c r="AH18" s="464">
        <f>Gas!C20</f>
        <v>1350.3794285671413</v>
      </c>
      <c r="AI18" s="465" t="e">
        <f>Gas!#REF!</f>
        <v>#REF!</v>
      </c>
      <c r="AJ18" s="466">
        <f>Gas!J20</f>
        <v>353.71142857462399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128</v>
      </c>
      <c r="AU18" s="460">
        <f>Elect!BP19</f>
        <v>141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562121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1.3601082621102105</v>
      </c>
      <c r="BN18" s="477" t="e">
        <f>Water!W20</f>
        <v>#DIV/0!</v>
      </c>
      <c r="BO18" s="472">
        <f>Water!X20</f>
        <v>1273.0613333351571</v>
      </c>
      <c r="BP18" s="477">
        <f>Water!Y20</f>
        <v>5.4404330484408421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6393</v>
      </c>
      <c r="D19" s="461">
        <v>0</v>
      </c>
      <c r="E19" s="460">
        <f>Elect!M20</f>
        <v>2024</v>
      </c>
      <c r="F19" s="461">
        <v>20</v>
      </c>
      <c r="G19" s="460">
        <f>Elect!O20</f>
        <v>1609</v>
      </c>
      <c r="H19" s="461">
        <v>841</v>
      </c>
      <c r="I19" s="460">
        <f>Water!C21</f>
        <v>80.426666666255912</v>
      </c>
      <c r="J19" s="461">
        <v>0</v>
      </c>
      <c r="K19" s="460">
        <f>Water!E21</f>
        <v>100.72666666628756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318.26533333254429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184.59389333287567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8427727.6857142802</v>
      </c>
      <c r="AH19" s="464">
        <f>Gas!C21</f>
        <v>1350.3794285691158</v>
      </c>
      <c r="AI19" s="465" t="e">
        <f>Gas!#REF!</f>
        <v>#REF!</v>
      </c>
      <c r="AJ19" s="466">
        <f>Gas!J21</f>
        <v>353.71142857053781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128</v>
      </c>
      <c r="AU19" s="460">
        <f>Elect!BP20</f>
        <v>141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564130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1.3601082621048901</v>
      </c>
      <c r="BN19" s="477" t="e">
        <f>Water!W21</f>
        <v>#DIV/0!</v>
      </c>
      <c r="BO19" s="472">
        <f>Water!X21</f>
        <v>1273.0613333301771</v>
      </c>
      <c r="BP19" s="477">
        <f>Water!Y21</f>
        <v>5.4404330484195604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6311</v>
      </c>
      <c r="D20" s="461">
        <v>0</v>
      </c>
      <c r="E20" s="460">
        <f>Elect!M21</f>
        <v>2045</v>
      </c>
      <c r="F20" s="461">
        <v>20</v>
      </c>
      <c r="G20" s="460">
        <f>Elect!O21</f>
        <v>1607</v>
      </c>
      <c r="H20" s="461">
        <v>932</v>
      </c>
      <c r="I20" s="460">
        <f>Water!C22</f>
        <v>80.426666666846714</v>
      </c>
      <c r="J20" s="461">
        <v>0</v>
      </c>
      <c r="K20" s="460">
        <f>Water!E22</f>
        <v>100.72666666685727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318.2653333337048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184.59389333354878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8429001.6285714302</v>
      </c>
      <c r="AH20" s="464">
        <f>Gas!C22</f>
        <v>1350.3794285789877</v>
      </c>
      <c r="AI20" s="465" t="e">
        <f>Gas!#REF!</f>
        <v>#REF!</v>
      </c>
      <c r="AJ20" s="466">
        <f>Gas!J22</f>
        <v>353.7114285700838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124</v>
      </c>
      <c r="AU20" s="460">
        <f>Elect!BP21</f>
        <v>139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564254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1.3718333333349344</v>
      </c>
      <c r="BN20" s="477" t="e">
        <f>Water!W22</f>
        <v>#DIV/0!</v>
      </c>
      <c r="BO20" s="472">
        <f>Water!X22</f>
        <v>1273.0613333348192</v>
      </c>
      <c r="BP20" s="477">
        <f>Water!Y22</f>
        <v>5.4873333333397376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6212</v>
      </c>
      <c r="D21" s="461">
        <v>0</v>
      </c>
      <c r="E21" s="460">
        <f>Elect!M22</f>
        <v>1978</v>
      </c>
      <c r="F21" s="461">
        <v>20</v>
      </c>
      <c r="G21" s="460">
        <f>Elect!O22</f>
        <v>1861</v>
      </c>
      <c r="H21" s="461">
        <v>972</v>
      </c>
      <c r="I21" s="460">
        <f>Water!C23</f>
        <v>140.16666666686359</v>
      </c>
      <c r="J21" s="461">
        <v>0</v>
      </c>
      <c r="K21" s="460">
        <f>Water!E23</f>
        <v>179.60666666685938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366.86933333372127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212.78421333355831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8431136</v>
      </c>
      <c r="AH21" s="464">
        <f>Gas!C23</f>
        <v>2262.4337142839659</v>
      </c>
      <c r="AI21" s="465" t="e">
        <f>Gas!#REF!</f>
        <v>#REF!</v>
      </c>
      <c r="AJ21" s="466">
        <f>Gas!J23</f>
        <v>386.89238095191541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125</v>
      </c>
      <c r="AU21" s="460">
        <f>Elect!BP22</f>
        <v>144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1.6984691358042652</v>
      </c>
      <c r="BN21" s="477" t="e">
        <f>Water!W23</f>
        <v>#DIV/0!</v>
      </c>
      <c r="BO21" s="472">
        <f>Water!X23</f>
        <v>1467.4773333348851</v>
      </c>
      <c r="BP21" s="477">
        <f>Water!Y23</f>
        <v>6.7938765432170607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6311</v>
      </c>
      <c r="D22" s="461">
        <v>0</v>
      </c>
      <c r="E22" s="460">
        <f>Elect!M23</f>
        <v>1956</v>
      </c>
      <c r="F22" s="461">
        <v>20</v>
      </c>
      <c r="G22" s="460">
        <f>Elect!O23</f>
        <v>1529</v>
      </c>
      <c r="H22" s="461">
        <v>864</v>
      </c>
      <c r="I22" s="460">
        <f>Water!C24</f>
        <v>81.199999999999989</v>
      </c>
      <c r="J22" s="461">
        <v>0</v>
      </c>
      <c r="K22" s="460">
        <f>Water!E24</f>
        <v>110.19999999999999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312.61999999999995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181.31959999999995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8432635</v>
      </c>
      <c r="AH22" s="464">
        <f>Gas!C24</f>
        <v>1588.94</v>
      </c>
      <c r="AI22" s="465" t="e">
        <f>Gas!#REF!</f>
        <v>#REF!</v>
      </c>
      <c r="AJ22" s="466">
        <f>Gas!J24</f>
        <v>397.8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152</v>
      </c>
      <c r="AU22" s="460">
        <f>Elect!BP23</f>
        <v>144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564531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1.8719760479041914</v>
      </c>
      <c r="BN22" s="477" t="e">
        <f>Water!W24</f>
        <v>#DIV/0!</v>
      </c>
      <c r="BO22" s="472">
        <f>Water!X24</f>
        <v>1250.4799999999998</v>
      </c>
      <c r="BP22" s="477">
        <f>Water!Y24</f>
        <v>7.4879041916167655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6667</v>
      </c>
      <c r="D23" s="461">
        <v>0</v>
      </c>
      <c r="E23" s="460">
        <f>Elect!M24</f>
        <v>2037</v>
      </c>
      <c r="F23" s="461">
        <v>30</v>
      </c>
      <c r="G23" s="460">
        <f>Elect!O24</f>
        <v>1588</v>
      </c>
      <c r="H23" s="461">
        <v>894</v>
      </c>
      <c r="I23" s="460">
        <f>Water!C25</f>
        <v>81.199999999999989</v>
      </c>
      <c r="J23" s="461">
        <v>0</v>
      </c>
      <c r="K23" s="460">
        <f>Water!E25</f>
        <v>98.6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302.17999999999995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175.26439999999997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8434106</v>
      </c>
      <c r="AH23" s="464">
        <f>Gas!C25</f>
        <v>1559.26</v>
      </c>
      <c r="AI23" s="465" t="e">
        <f>Gas!#REF!</f>
        <v>#REF!</v>
      </c>
      <c r="AJ23" s="466">
        <f>Gas!J25</f>
        <v>296.39999999999998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130</v>
      </c>
      <c r="AU23" s="460">
        <f>Elect!BP24</f>
        <v>154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564661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1.5820942408376961</v>
      </c>
      <c r="BN23" s="477" t="e">
        <f>Water!W25</f>
        <v>#DIV/0!</v>
      </c>
      <c r="BO23" s="472">
        <f>Water!X25</f>
        <v>1208.7199999999998</v>
      </c>
      <c r="BP23" s="477">
        <f>Water!Y25</f>
        <v>6.3283769633507845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6132</v>
      </c>
      <c r="D24" s="461">
        <v>0</v>
      </c>
      <c r="E24" s="460">
        <f>Elect!M25</f>
        <v>1978</v>
      </c>
      <c r="F24" s="461">
        <v>20</v>
      </c>
      <c r="G24" s="460">
        <f>Elect!O25</f>
        <v>1569</v>
      </c>
      <c r="H24" s="461">
        <v>944</v>
      </c>
      <c r="I24" s="460">
        <f>Water!C26</f>
        <v>98.6</v>
      </c>
      <c r="J24" s="461">
        <v>0</v>
      </c>
      <c r="K24" s="460">
        <f>Water!E26</f>
        <v>127.6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354.96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205.87679999999997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8435595.6666666698</v>
      </c>
      <c r="AH24" s="464">
        <f>Gas!C26</f>
        <v>1579.0466666699574</v>
      </c>
      <c r="AI24" s="465" t="e">
        <f>Gas!#REF!</f>
        <v>#REF!</v>
      </c>
      <c r="AJ24" s="466">
        <f>Gas!J26</f>
        <v>331.5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129</v>
      </c>
      <c r="AU24" s="460">
        <f>Elect!BP25</f>
        <v>154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564790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1.5234334763948496</v>
      </c>
      <c r="BN24" s="477" t="e">
        <f>Water!W26</f>
        <v>#DIV/0!</v>
      </c>
      <c r="BO24" s="472">
        <f>Water!X26</f>
        <v>1419.84</v>
      </c>
      <c r="BP24" s="477">
        <f>Water!Y26</f>
        <v>6.0937339055793984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6439</v>
      </c>
      <c r="D25" s="461">
        <v>0</v>
      </c>
      <c r="E25" s="460">
        <f>Elect!M26</f>
        <v>2117</v>
      </c>
      <c r="F25" s="461">
        <v>20</v>
      </c>
      <c r="G25" s="460">
        <f>Elect!O26</f>
        <v>2968</v>
      </c>
      <c r="H25" s="461">
        <v>916</v>
      </c>
      <c r="I25" s="460">
        <f>Water!C27</f>
        <v>81.199999999999989</v>
      </c>
      <c r="J25" s="461">
        <v>0</v>
      </c>
      <c r="K25" s="460">
        <f>Water!E27</f>
        <v>104.39999999999999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307.39999999999998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178.29199999999997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8437080.6666666698</v>
      </c>
      <c r="AH25" s="464">
        <f>Gas!C27</f>
        <v>1574.1000000000001</v>
      </c>
      <c r="AI25" s="465" t="e">
        <f>Gas!#REF!</f>
        <v>#REF!</v>
      </c>
      <c r="AJ25" s="466">
        <f>Gas!J27</f>
        <v>300.3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129</v>
      </c>
      <c r="AU25" s="460">
        <f>Elect!BP26</f>
        <v>138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564919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1.5217821782178216</v>
      </c>
      <c r="BN25" s="477" t="e">
        <f>Water!W27</f>
        <v>#DIV/0!</v>
      </c>
      <c r="BO25" s="472">
        <f>Water!X27</f>
        <v>1229.5999999999999</v>
      </c>
      <c r="BP25" s="477">
        <f>Water!Y27</f>
        <v>6.0871287128712863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6321</v>
      </c>
      <c r="D26" s="461">
        <v>0</v>
      </c>
      <c r="E26" s="460">
        <f>Elect!M27</f>
        <v>1935</v>
      </c>
      <c r="F26" s="461">
        <v>20</v>
      </c>
      <c r="G26" s="460">
        <f>Elect!O27</f>
        <v>2969</v>
      </c>
      <c r="H26" s="461">
        <v>931</v>
      </c>
      <c r="I26" s="460">
        <f>Water!C28</f>
        <v>86.419999999966237</v>
      </c>
      <c r="J26" s="461">
        <v>0</v>
      </c>
      <c r="K26" s="460">
        <f>Water!E28</f>
        <v>110.7800000000021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321.14599999996665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186.26467999998064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8438565.6666666698</v>
      </c>
      <c r="AH26" s="464">
        <f>Gas!C28</f>
        <v>1574.1000000000001</v>
      </c>
      <c r="AI26" s="465" t="e">
        <f>Gas!#REF!</f>
        <v>#REF!</v>
      </c>
      <c r="AJ26" s="466">
        <f>Gas!J28</f>
        <v>321.75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128</v>
      </c>
      <c r="AU26" s="460">
        <f>Elect!BP27</f>
        <v>129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565047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1.5365837320572566</v>
      </c>
      <c r="BN26" s="477" t="e">
        <f>Water!W28</f>
        <v>#DIV/0!</v>
      </c>
      <c r="BO26" s="472">
        <f>Water!X28</f>
        <v>1284.5839999998666</v>
      </c>
      <c r="BP26" s="477">
        <f>Water!Y28</f>
        <v>6.1463349282290265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6483</v>
      </c>
      <c r="D27" s="461">
        <v>0</v>
      </c>
      <c r="E27" s="460">
        <f>Elect!M28</f>
        <v>2061</v>
      </c>
      <c r="F27" s="461">
        <v>30</v>
      </c>
      <c r="G27" s="460">
        <f>Elect!O28</f>
        <v>3079</v>
      </c>
      <c r="H27" s="461">
        <v>1009</v>
      </c>
      <c r="I27" s="460">
        <f>Water!C29</f>
        <v>110.78000000003375</v>
      </c>
      <c r="J27" s="461">
        <v>0</v>
      </c>
      <c r="K27" s="460">
        <f>Water!E29</f>
        <v>132.81999999999789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356.29400000003329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206.6505200000193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8440031</v>
      </c>
      <c r="AH27" s="464">
        <f>Gas!C29</f>
        <v>1553.2533333300428</v>
      </c>
      <c r="AI27" s="465" t="e">
        <f>Gas!#REF!</f>
        <v>#REF!</v>
      </c>
      <c r="AJ27" s="466">
        <f>Gas!J29</f>
        <v>411.45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138</v>
      </c>
      <c r="AU27" s="460">
        <f>Elect!BP28</f>
        <v>129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565185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1.5558689956333331</v>
      </c>
      <c r="BN27" s="477" t="e">
        <f>Water!W29</f>
        <v>#DIV/0!</v>
      </c>
      <c r="BO27" s="472">
        <f>Water!X29</f>
        <v>1425.1760000001332</v>
      </c>
      <c r="BP27" s="477">
        <f>Water!Y29</f>
        <v>6.2234759825333326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5914</v>
      </c>
      <c r="D28" s="461">
        <v>0</v>
      </c>
      <c r="E28" s="460">
        <f>Elect!M29</f>
        <v>2064</v>
      </c>
      <c r="F28" s="461">
        <v>20</v>
      </c>
      <c r="G28" s="460">
        <f>Elect!O29</f>
        <v>2254</v>
      </c>
      <c r="H28" s="461">
        <v>891</v>
      </c>
      <c r="I28" s="460">
        <f>Water!C30</f>
        <v>98.6</v>
      </c>
      <c r="J28" s="461">
        <v>0</v>
      </c>
      <c r="K28" s="460">
        <f>Water!E30</f>
        <v>121.8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346.84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201.16719999999998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8441593</v>
      </c>
      <c r="AH28" s="464">
        <f>Gas!C30</f>
        <v>1655.72</v>
      </c>
      <c r="AI28" s="465" t="e">
        <f>Gas!#REF!</f>
        <v>#REF!</v>
      </c>
      <c r="AJ28" s="466">
        <f>Gas!J30</f>
        <v>351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154</v>
      </c>
      <c r="AU28" s="460">
        <f>Elect!BP29</f>
        <v>127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565339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1.6132093023255814</v>
      </c>
      <c r="BN28" s="477" t="e">
        <f>Water!W30</f>
        <v>#DIV/0!</v>
      </c>
      <c r="BO28" s="472">
        <f>Water!X30</f>
        <v>1387.36</v>
      </c>
      <c r="BP28" s="477">
        <f>Water!Y30</f>
        <v>6.4528372093023254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5790</v>
      </c>
      <c r="D29" s="461">
        <v>0</v>
      </c>
      <c r="E29" s="460">
        <f>Elect!M30</f>
        <v>1785</v>
      </c>
      <c r="F29" s="461">
        <v>20</v>
      </c>
      <c r="G29" s="460">
        <f>Elect!O30</f>
        <v>1996</v>
      </c>
      <c r="H29" s="461">
        <v>1008</v>
      </c>
      <c r="I29" s="460">
        <f>Water!C31</f>
        <v>110.19999999999999</v>
      </c>
      <c r="J29" s="461">
        <v>0</v>
      </c>
      <c r="K29" s="460">
        <f>Water!E31</f>
        <v>121.8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352.64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204.53119999999998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8443788</v>
      </c>
      <c r="AH29" s="464">
        <f>Gas!C31</f>
        <v>2326.7000000000003</v>
      </c>
      <c r="AI29" s="465" t="e">
        <f>Gas!#REF!</f>
        <v>#REF!</v>
      </c>
      <c r="AJ29" s="466">
        <f>Gas!J31</f>
        <v>335.4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122</v>
      </c>
      <c r="AU29" s="460">
        <f>Elect!BP30</f>
        <v>101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565461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1.5956561085972849</v>
      </c>
      <c r="BN29" s="477" t="e">
        <f>Water!W31</f>
        <v>#DIV/0!</v>
      </c>
      <c r="BO29" s="472">
        <f>Water!X31</f>
        <v>1410.56</v>
      </c>
      <c r="BP29" s="477">
        <f>Water!Y31</f>
        <v>6.3826244343891396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5700</v>
      </c>
      <c r="D30" s="461">
        <v>0</v>
      </c>
      <c r="E30" s="460">
        <f>Elect!M31</f>
        <v>2247</v>
      </c>
      <c r="F30" s="461">
        <v>20</v>
      </c>
      <c r="G30" s="460">
        <f>Elect!O31</f>
        <v>2461</v>
      </c>
      <c r="H30" s="461">
        <v>760</v>
      </c>
      <c r="I30" s="460">
        <f>Water!C32</f>
        <v>81.199999999999989</v>
      </c>
      <c r="J30" s="461">
        <v>0</v>
      </c>
      <c r="K30" s="460">
        <f>Water!E32</f>
        <v>127.6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328.85999999999996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190.73879999999997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8444914</v>
      </c>
      <c r="AH30" s="464">
        <f>Gas!C32</f>
        <v>1193.5600000000002</v>
      </c>
      <c r="AI30" s="465" t="e">
        <f>Gas!#REF!</f>
        <v>#REF!</v>
      </c>
      <c r="AJ30" s="466">
        <f>Gas!J32</f>
        <v>345.80000000121072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188</v>
      </c>
      <c r="AU30" s="460">
        <f>Elect!BP31</f>
        <v>156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565649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1.4236363636363634</v>
      </c>
      <c r="BN30" s="477" t="e">
        <f>Water!W32</f>
        <v>#DIV/0!</v>
      </c>
      <c r="BO30" s="472">
        <f>Water!X32</f>
        <v>1315.4399999999998</v>
      </c>
      <c r="BP30" s="477">
        <f>Water!Y32</f>
        <v>5.6945454545454535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7994</v>
      </c>
      <c r="D31" s="461">
        <v>0</v>
      </c>
      <c r="E31" s="460">
        <f>Elect!M32</f>
        <v>2280</v>
      </c>
      <c r="F31" s="461">
        <v>30</v>
      </c>
      <c r="G31" s="460">
        <f>Elect!O32</f>
        <v>1918</v>
      </c>
      <c r="H31" s="461">
        <v>1010</v>
      </c>
      <c r="I31" s="460">
        <f>Water!C33</f>
        <v>98.6</v>
      </c>
      <c r="J31" s="461">
        <v>0</v>
      </c>
      <c r="K31" s="460">
        <f>Water!E33</f>
        <v>121.8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328.28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190.40239999999997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8446559</v>
      </c>
      <c r="AH31" s="464">
        <f>Gas!C33</f>
        <v>1743.7</v>
      </c>
      <c r="AI31" s="465" t="e">
        <f>Gas!#REF!</f>
        <v>#REF!</v>
      </c>
      <c r="AJ31" s="466">
        <f>Gas!J33</f>
        <v>305.49999999878929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163</v>
      </c>
      <c r="AU31" s="460">
        <f>Elect!BP32</f>
        <v>134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565812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1.6414</v>
      </c>
      <c r="BN31" s="477" t="e">
        <f>Water!W33</f>
        <v>#DIV/0!</v>
      </c>
      <c r="BO31" s="472">
        <f>Water!X33</f>
        <v>1313.12</v>
      </c>
      <c r="BP31" s="477">
        <f>Water!Y33</f>
        <v>6.5655999999999999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6464.666666701436</v>
      </c>
      <c r="D32" s="482">
        <v>0</v>
      </c>
      <c r="E32" s="481">
        <f>Elect!M33</f>
        <v>2121</v>
      </c>
      <c r="F32" s="482">
        <v>20</v>
      </c>
      <c r="G32" s="481">
        <f>Elect!O33</f>
        <v>2051</v>
      </c>
      <c r="H32" s="482">
        <v>1008</v>
      </c>
      <c r="I32" s="481">
        <f>Water!C34</f>
        <v>87</v>
      </c>
      <c r="J32" s="482">
        <v>0</v>
      </c>
      <c r="K32" s="481">
        <f>Water!E34</f>
        <v>124.69999999999999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327.7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190.06599999999997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8447858</v>
      </c>
      <c r="AH32" s="485">
        <f>Gas!C34</f>
        <v>1376.94</v>
      </c>
      <c r="AI32" s="486" t="e">
        <f>Gas!#REF!</f>
        <v>#REF!</v>
      </c>
      <c r="AJ32" s="487">
        <f>Gas!J34</f>
        <v>332.3666666658595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152</v>
      </c>
      <c r="AU32" s="481">
        <f>Elect!BP33</f>
        <v>126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565964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1.348559670781893</v>
      </c>
      <c r="BN32" s="498" t="e">
        <f>Water!W34</f>
        <v>#DIV/0!</v>
      </c>
      <c r="BO32" s="493">
        <f>Water!X34</f>
        <v>1310.8</v>
      </c>
      <c r="BP32" s="498">
        <f>Water!Y34</f>
        <v>5.3942386831275719</v>
      </c>
      <c r="BQ32" s="499" t="e">
        <f>Water!Z34</f>
        <v>#DIV/0!</v>
      </c>
    </row>
    <row r="33" spans="1:98" s="521" customFormat="1" ht="72" customHeight="1">
      <c r="A33" s="443" t="s">
        <v>109</v>
      </c>
      <c r="B33" s="500">
        <v>931200</v>
      </c>
      <c r="C33" s="501">
        <f>Elect!J34</f>
        <v>5372.333333298564</v>
      </c>
      <c r="D33" s="502">
        <v>0</v>
      </c>
      <c r="E33" s="501">
        <f>Elect!M34</f>
        <v>2137</v>
      </c>
      <c r="F33" s="502">
        <v>600</v>
      </c>
      <c r="G33" s="501">
        <f>Elect!O34</f>
        <v>2044</v>
      </c>
      <c r="H33" s="502">
        <v>24543</v>
      </c>
      <c r="I33" s="501">
        <f>Water!C38</f>
        <v>2845.3833333337266</v>
      </c>
      <c r="J33" s="502">
        <v>0</v>
      </c>
      <c r="K33" s="501">
        <f>Water!E39</f>
        <v>122.06422222222893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10279.968333333909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5392.2677333335614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47727.118333330043</v>
      </c>
      <c r="AI33" s="506" t="e">
        <f>Gas!#REF!</f>
        <v>#REF!</v>
      </c>
      <c r="AJ33" s="507">
        <f>Gas!J38</f>
        <v>10721.352777774664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154</v>
      </c>
      <c r="AU33" s="506">
        <f>Elect!BP34</f>
        <v>132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566118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1.5759571260668264</v>
      </c>
      <c r="BN33" s="518" t="e">
        <f>Water!W38</f>
        <v>#DIV/0!</v>
      </c>
      <c r="BO33" s="513">
        <f>Water!X38</f>
        <v>39809.653333335606</v>
      </c>
      <c r="BP33" s="518">
        <f>Water!Y38</f>
        <v>6.1029669375035418</v>
      </c>
      <c r="BQ33" s="519" t="e">
        <f>Water!Z38</f>
        <v>#DIV/0!</v>
      </c>
    </row>
    <row r="34" spans="1:98" s="523" customFormat="1" ht="72" customHeight="1" thickBot="1">
      <c r="A34" s="444" t="s">
        <v>110</v>
      </c>
      <c r="B34" s="500">
        <v>33257.142857142855</v>
      </c>
      <c r="C34" s="501">
        <f>Elect!J35</f>
        <v>6100.555555600673</v>
      </c>
      <c r="D34" s="502">
        <v>0</v>
      </c>
      <c r="E34" s="501">
        <f>Elect!M35</f>
        <v>2200.5</v>
      </c>
      <c r="F34" s="502">
        <v>21.428571428571427</v>
      </c>
      <c r="G34" s="501">
        <f>Elect!O35</f>
        <v>2048.6666666669771</v>
      </c>
      <c r="H34" s="502">
        <v>876.53571428571433</v>
      </c>
      <c r="I34" s="501">
        <f>Water!C39</f>
        <v>94.846111111124216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342.66561111113032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179.74225777778537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1590.9039444443347</v>
      </c>
      <c r="AI34" s="506" t="e">
        <f>Gas!#REF!</f>
        <v>#REF!</v>
      </c>
      <c r="AJ34" s="507">
        <f>Gas!J39</f>
        <v>357.37842592582211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152.66666666697711</v>
      </c>
      <c r="AU34" s="506">
        <f>Elect!BP35</f>
        <v>128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566270.66666666698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1.5759571260668266</v>
      </c>
      <c r="BN34" s="518" t="e">
        <f>Water!W39</f>
        <v>#DIV/0!</v>
      </c>
      <c r="BO34" s="513">
        <f>Water!X39</f>
        <v>1326.9884444445202</v>
      </c>
      <c r="BP34" s="518">
        <f>Water!Y39</f>
        <v>6.1029669375035418</v>
      </c>
      <c r="BQ34" s="519" t="e">
        <f>Water!Z39</f>
        <v>#DIV/0!</v>
      </c>
    </row>
    <row r="35" spans="1:98" s="523" customFormat="1" ht="72" customHeight="1">
      <c r="A35" s="445" t="s">
        <v>111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561984.66666666698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112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113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114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115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116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173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174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32" t="s">
        <v>175</v>
      </c>
      <c r="B4" s="932"/>
      <c r="C4" s="932"/>
      <c r="D4" s="932"/>
      <c r="E4" s="932"/>
      <c r="F4" s="932"/>
      <c r="G4" s="108">
        <f>Elect!A1</f>
        <v>44896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176</v>
      </c>
      <c r="B7" s="99" t="s">
        <v>177</v>
      </c>
      <c r="C7" s="99" t="s">
        <v>178</v>
      </c>
      <c r="D7" s="99" t="s">
        <v>177</v>
      </c>
      <c r="E7" s="99" t="s">
        <v>178</v>
      </c>
      <c r="F7" s="99" t="s">
        <v>179</v>
      </c>
      <c r="G7" s="100" t="s">
        <v>180</v>
      </c>
      <c r="H7" s="100" t="s">
        <v>181</v>
      </c>
      <c r="I7" s="99" t="s">
        <v>109</v>
      </c>
      <c r="J7" s="101" t="s">
        <v>109</v>
      </c>
    </row>
    <row r="8" spans="1:10" ht="13.5" thickBot="1">
      <c r="A8" s="102"/>
      <c r="B8" s="103" t="s">
        <v>182</v>
      </c>
      <c r="C8" s="103" t="s">
        <v>182</v>
      </c>
      <c r="D8" s="103" t="s">
        <v>183</v>
      </c>
      <c r="E8" s="103" t="s">
        <v>183</v>
      </c>
      <c r="F8" s="104" t="s">
        <v>184</v>
      </c>
      <c r="G8" s="103" t="s">
        <v>38</v>
      </c>
      <c r="H8" s="103"/>
      <c r="I8" s="104" t="s">
        <v>185</v>
      </c>
      <c r="J8" s="105" t="s">
        <v>186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187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187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33"/>
      <c r="B3" s="935">
        <f>Elect!A1</f>
        <v>44896</v>
      </c>
      <c r="C3" s="936"/>
      <c r="D3" s="936"/>
      <c r="E3" s="937"/>
    </row>
    <row r="4" spans="1:5" ht="14.25" customHeight="1" thickBot="1">
      <c r="A4" s="934"/>
      <c r="B4" s="938" t="s">
        <v>38</v>
      </c>
      <c r="C4" s="939"/>
      <c r="D4" s="940" t="s">
        <v>188</v>
      </c>
      <c r="E4" s="941"/>
    </row>
    <row r="5" spans="1:5" ht="13.5" thickBot="1">
      <c r="A5" s="34" t="s">
        <v>189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190</v>
      </c>
      <c r="B6" s="38"/>
      <c r="C6" s="39"/>
      <c r="D6" s="40"/>
      <c r="E6" s="41"/>
    </row>
    <row r="7" spans="1:5" ht="13.5" thickBot="1">
      <c r="A7" s="117" t="s">
        <v>191</v>
      </c>
      <c r="B7" s="42"/>
      <c r="C7" s="43" t="s">
        <v>192</v>
      </c>
      <c r="D7" s="42" t="s">
        <v>192</v>
      </c>
      <c r="E7" s="43" t="s">
        <v>192</v>
      </c>
    </row>
    <row r="8" spans="1:5">
      <c r="A8" s="118" t="s">
        <v>193</v>
      </c>
      <c r="B8" s="42"/>
      <c r="C8" s="43" t="s">
        <v>192</v>
      </c>
      <c r="D8" s="44" t="s">
        <v>192</v>
      </c>
      <c r="E8" s="45" t="s">
        <v>192</v>
      </c>
    </row>
    <row r="9" spans="1:5" ht="13.5" thickBot="1">
      <c r="A9" s="118" t="s">
        <v>194</v>
      </c>
      <c r="B9" s="359"/>
      <c r="C9" s="360" t="s">
        <v>192</v>
      </c>
      <c r="D9" s="44" t="s">
        <v>192</v>
      </c>
      <c r="E9" s="45" t="s">
        <v>192</v>
      </c>
    </row>
    <row r="10" spans="1:5" ht="13.5" thickBot="1">
      <c r="A10" s="119" t="s">
        <v>195</v>
      </c>
      <c r="B10" s="76"/>
      <c r="C10" s="361"/>
      <c r="D10" s="48"/>
      <c r="E10" s="47"/>
    </row>
    <row r="11" spans="1:5" ht="13.5" thickBot="1">
      <c r="A11" s="362" t="s">
        <v>196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197</v>
      </c>
      <c r="B12" s="366"/>
      <c r="C12" s="366" t="s">
        <v>192</v>
      </c>
      <c r="D12" s="52">
        <v>0</v>
      </c>
      <c r="E12" s="53" t="e">
        <v>#REF!</v>
      </c>
    </row>
    <row r="13" spans="1:5" ht="13.5" thickBot="1">
      <c r="A13" s="120" t="s">
        <v>198</v>
      </c>
      <c r="B13" s="76"/>
      <c r="C13" s="77"/>
      <c r="D13" s="42" t="s">
        <v>192</v>
      </c>
      <c r="E13" s="43" t="s">
        <v>192</v>
      </c>
    </row>
    <row r="14" spans="1:5">
      <c r="A14" s="117" t="s">
        <v>199</v>
      </c>
      <c r="B14" s="42"/>
      <c r="C14" s="63" t="s">
        <v>192</v>
      </c>
      <c r="D14" s="55"/>
      <c r="E14" s="56"/>
    </row>
    <row r="15" spans="1:5" ht="13.5" thickBot="1">
      <c r="A15" s="118" t="s">
        <v>200</v>
      </c>
      <c r="B15" s="44"/>
      <c r="C15" s="54" t="s">
        <v>192</v>
      </c>
      <c r="D15" s="58"/>
      <c r="E15" s="59"/>
    </row>
    <row r="16" spans="1:5" ht="13.5" thickBot="1">
      <c r="A16" s="118" t="s">
        <v>201</v>
      </c>
      <c r="B16" s="44"/>
      <c r="C16" s="54" t="s">
        <v>192</v>
      </c>
      <c r="D16" s="61"/>
      <c r="E16" s="62"/>
    </row>
    <row r="17" spans="1:5">
      <c r="A17" s="118" t="s">
        <v>202</v>
      </c>
      <c r="B17" s="44"/>
      <c r="C17" s="54" t="s">
        <v>192</v>
      </c>
      <c r="D17" s="44" t="s">
        <v>192</v>
      </c>
      <c r="E17" s="54" t="s">
        <v>192</v>
      </c>
    </row>
    <row r="18" spans="1:5">
      <c r="A18" s="118" t="s">
        <v>203</v>
      </c>
      <c r="B18" s="44"/>
      <c r="C18" s="54" t="s">
        <v>192</v>
      </c>
      <c r="D18" s="44" t="s">
        <v>192</v>
      </c>
      <c r="E18" s="54" t="s">
        <v>192</v>
      </c>
    </row>
    <row r="19" spans="1:5">
      <c r="A19" s="118" t="s">
        <v>204</v>
      </c>
      <c r="B19" s="44"/>
      <c r="C19" s="54" t="s">
        <v>192</v>
      </c>
      <c r="D19" s="44" t="s">
        <v>192</v>
      </c>
      <c r="E19" s="54" t="s">
        <v>192</v>
      </c>
    </row>
    <row r="20" spans="1:5">
      <c r="A20" s="118" t="s">
        <v>205</v>
      </c>
      <c r="B20" s="44"/>
      <c r="C20" s="64" t="e">
        <f>#REF!</f>
        <v>#REF!</v>
      </c>
      <c r="D20" s="44" t="s">
        <v>192</v>
      </c>
      <c r="E20" s="54" t="s">
        <v>192</v>
      </c>
    </row>
    <row r="21" spans="1:5">
      <c r="A21" s="118" t="s">
        <v>206</v>
      </c>
      <c r="B21" s="44"/>
      <c r="C21" s="54" t="s">
        <v>192</v>
      </c>
      <c r="D21" s="44" t="s">
        <v>192</v>
      </c>
      <c r="E21" s="54" t="s">
        <v>192</v>
      </c>
    </row>
    <row r="22" spans="1:5">
      <c r="A22" s="118" t="s">
        <v>207</v>
      </c>
      <c r="B22" s="44"/>
      <c r="C22" s="54">
        <f>Water!S38</f>
        <v>0</v>
      </c>
      <c r="D22" s="44" t="s">
        <v>192</v>
      </c>
      <c r="E22" s="54" t="s">
        <v>192</v>
      </c>
    </row>
    <row r="23" spans="1:5" ht="13.5" thickBot="1">
      <c r="A23" s="121" t="s">
        <v>208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209</v>
      </c>
      <c r="B24" s="49"/>
      <c r="C24" s="60"/>
      <c r="D24" s="55" t="s">
        <v>192</v>
      </c>
      <c r="E24" s="56" t="s">
        <v>192</v>
      </c>
    </row>
    <row r="25" spans="1:5">
      <c r="A25" s="123" t="s">
        <v>210</v>
      </c>
      <c r="B25" s="42"/>
      <c r="C25" s="67">
        <f>Elect!J34</f>
        <v>5372.333333298564</v>
      </c>
      <c r="D25" s="55">
        <v>12266</v>
      </c>
      <c r="E25" s="66">
        <v>814</v>
      </c>
    </row>
    <row r="26" spans="1:5" ht="13.5" thickBot="1">
      <c r="A26" s="128" t="s">
        <v>211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212</v>
      </c>
      <c r="B27" s="44"/>
      <c r="C27" s="69">
        <f>Water!H38</f>
        <v>10279.968333333909</v>
      </c>
      <c r="D27" s="61"/>
      <c r="E27" s="62"/>
    </row>
    <row r="28" spans="1:5">
      <c r="A28" s="124" t="s">
        <v>213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214</v>
      </c>
      <c r="B29" s="44"/>
      <c r="C29" s="45" t="s">
        <v>192</v>
      </c>
      <c r="D29" s="70">
        <v>28880</v>
      </c>
      <c r="E29" s="66">
        <v>32980</v>
      </c>
    </row>
    <row r="30" spans="1:5" ht="13.5" thickBot="1">
      <c r="A30" s="125" t="s">
        <v>215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216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217</v>
      </c>
      <c r="B32" s="76"/>
      <c r="C32" s="77"/>
      <c r="D32" s="71" t="e">
        <v>#REF!</v>
      </c>
      <c r="E32" s="56" t="s">
        <v>192</v>
      </c>
    </row>
    <row r="33" spans="1:6" ht="13.5" thickBot="1">
      <c r="A33" s="123" t="s">
        <v>218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219</v>
      </c>
      <c r="B34" s="44"/>
      <c r="C34" s="69">
        <f>YTD!Q5</f>
        <v>0</v>
      </c>
      <c r="D34" s="74"/>
      <c r="E34" s="75"/>
    </row>
    <row r="35" spans="1:6" ht="13.5" thickBot="1">
      <c r="A35" s="124" t="s">
        <v>220</v>
      </c>
      <c r="B35" s="44"/>
      <c r="C35" s="69">
        <f>YTD!Q6</f>
        <v>0</v>
      </c>
      <c r="D35" s="61"/>
      <c r="E35" s="62"/>
    </row>
    <row r="36" spans="1:6">
      <c r="A36" s="128" t="s">
        <v>221</v>
      </c>
      <c r="B36" s="44"/>
      <c r="C36" s="82"/>
      <c r="D36" s="78" t="e">
        <v>#REF!</v>
      </c>
      <c r="E36" s="66" t="e">
        <v>#REF!</v>
      </c>
    </row>
    <row r="37" spans="1:6">
      <c r="A37" s="128" t="s">
        <v>222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223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224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225</v>
      </c>
      <c r="B40" s="76"/>
      <c r="C40" s="77"/>
      <c r="D40" s="55">
        <v>1583714</v>
      </c>
      <c r="E40" s="66">
        <v>1940567</v>
      </c>
    </row>
    <row r="41" spans="1:6">
      <c r="A41" s="367" t="s">
        <v>226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227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228</v>
      </c>
      <c r="B43" s="130"/>
      <c r="C43" s="64">
        <f>Water!X38</f>
        <v>39809.653333335606</v>
      </c>
      <c r="D43" s="58">
        <v>112</v>
      </c>
      <c r="E43" s="66">
        <v>97.529999999999944</v>
      </c>
    </row>
    <row r="44" spans="1:6" ht="13.5" thickBot="1">
      <c r="A44" s="129" t="s">
        <v>229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230</v>
      </c>
      <c r="B45" s="131"/>
      <c r="C45" s="54" t="s">
        <v>192</v>
      </c>
      <c r="D45" s="78">
        <v>2138156.84</v>
      </c>
      <c r="E45" s="66" t="e">
        <v>#REF!</v>
      </c>
    </row>
    <row r="46" spans="1:6" ht="13.5" thickBot="1">
      <c r="A46" s="132" t="s">
        <v>231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232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233</v>
      </c>
      <c r="B48" s="197"/>
      <c r="C48" s="89"/>
      <c r="D48" s="65">
        <v>330278</v>
      </c>
      <c r="E48" s="66" t="e">
        <v>#REF!</v>
      </c>
    </row>
    <row r="49" spans="1:6">
      <c r="A49" s="202" t="s">
        <v>234</v>
      </c>
      <c r="B49" s="195"/>
      <c r="C49" s="203">
        <v>6</v>
      </c>
      <c r="D49" s="44" t="s">
        <v>192</v>
      </c>
      <c r="E49" s="54" t="s">
        <v>192</v>
      </c>
    </row>
    <row r="50" spans="1:6" ht="13.5" thickBot="1">
      <c r="A50" s="222" t="s">
        <v>89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235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236</v>
      </c>
      <c r="B52" s="131"/>
      <c r="C52" s="54">
        <v>75064</v>
      </c>
      <c r="D52" s="61"/>
      <c r="E52" s="62"/>
    </row>
    <row r="53" spans="1:6" ht="13.5" thickBot="1">
      <c r="A53" s="204" t="s">
        <v>237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238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239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240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241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>
        <f>Elect!A1</f>
        <v>44896</v>
      </c>
      <c r="C1" s="774"/>
      <c r="D1" s="774"/>
      <c r="E1" s="774"/>
      <c r="F1" s="774"/>
      <c r="G1" s="774"/>
      <c r="H1" s="211" t="s">
        <v>242</v>
      </c>
      <c r="I1" s="774"/>
      <c r="J1" s="774"/>
      <c r="K1" s="774"/>
      <c r="L1" s="774"/>
      <c r="M1" s="774"/>
      <c r="N1" s="774"/>
      <c r="Q1" s="732"/>
      <c r="R1" s="732"/>
      <c r="S1" s="732"/>
      <c r="T1" s="732"/>
      <c r="U1" s="732"/>
      <c r="V1" s="732"/>
      <c r="W1" s="732"/>
      <c r="X1" s="732"/>
      <c r="Y1" s="732"/>
      <c r="Z1" s="732"/>
      <c r="AA1" s="732"/>
      <c r="AB1" s="732"/>
      <c r="AC1" s="732"/>
      <c r="AD1" s="732"/>
      <c r="AE1" s="732"/>
      <c r="AF1" s="732"/>
      <c r="AG1" s="732"/>
      <c r="AH1" s="732"/>
      <c r="AI1" s="732"/>
      <c r="AJ1" s="732"/>
      <c r="AK1" s="732"/>
      <c r="AL1" s="732"/>
      <c r="AM1" s="732"/>
      <c r="AN1" s="732"/>
      <c r="AO1" s="732"/>
      <c r="AP1" s="732"/>
      <c r="AQ1" s="732"/>
      <c r="AR1" s="732"/>
      <c r="AS1" s="732"/>
      <c r="AT1" s="732"/>
      <c r="AU1" s="732"/>
      <c r="AV1" s="732"/>
      <c r="AW1" s="732"/>
      <c r="AX1" s="732"/>
      <c r="AY1" s="732"/>
      <c r="AZ1" s="732"/>
      <c r="BA1" s="732"/>
      <c r="BB1" s="732"/>
      <c r="BC1" s="732"/>
      <c r="BD1" s="732"/>
      <c r="BE1" s="732"/>
      <c r="BF1" s="732"/>
      <c r="BG1" s="732"/>
      <c r="BH1" s="732"/>
      <c r="BI1" s="732"/>
      <c r="BJ1" s="732"/>
      <c r="BK1" s="732"/>
      <c r="BL1" s="732"/>
      <c r="BM1" s="732"/>
      <c r="BN1" s="732"/>
      <c r="BO1" s="732"/>
      <c r="BP1" s="732"/>
      <c r="BQ1" s="732"/>
      <c r="BR1" s="732"/>
      <c r="BS1" s="732"/>
      <c r="BT1" s="732"/>
      <c r="BU1" s="732"/>
      <c r="BV1" s="732"/>
      <c r="BW1" s="732"/>
      <c r="BX1" s="732"/>
      <c r="BY1" s="732"/>
      <c r="BZ1" s="732"/>
      <c r="CA1" s="732"/>
      <c r="CB1" s="732"/>
      <c r="CC1" s="732"/>
      <c r="CD1" s="732"/>
      <c r="CE1" s="732"/>
      <c r="CF1" s="732"/>
      <c r="CG1" s="732"/>
      <c r="CH1" s="732"/>
      <c r="CI1" s="732"/>
      <c r="CJ1" s="732"/>
      <c r="CK1" s="732"/>
      <c r="CL1" s="732"/>
      <c r="CM1" s="732"/>
      <c r="CN1" s="732"/>
      <c r="CO1" s="732"/>
      <c r="CP1" s="732"/>
      <c r="CQ1" s="732"/>
      <c r="CR1" s="732"/>
      <c r="CS1" s="732"/>
      <c r="CT1" s="732"/>
      <c r="CU1" s="732"/>
      <c r="CV1" s="732"/>
      <c r="CW1" s="732"/>
      <c r="CX1" s="732"/>
      <c r="CY1" s="732"/>
      <c r="CZ1" s="732"/>
      <c r="DA1" s="732"/>
      <c r="DB1" s="732"/>
      <c r="DC1" s="732"/>
      <c r="DD1" s="732"/>
      <c r="DE1" s="732"/>
      <c r="DF1" s="732"/>
    </row>
    <row r="2" spans="1:110" ht="6.75" customHeight="1" thickBot="1">
      <c r="C2" s="774"/>
      <c r="D2" s="774"/>
      <c r="E2" s="774"/>
      <c r="F2" s="774"/>
      <c r="G2" s="212"/>
      <c r="H2" s="774"/>
      <c r="I2" s="774"/>
      <c r="J2" s="774"/>
      <c r="K2" s="774"/>
      <c r="L2" s="774"/>
      <c r="M2" s="774"/>
      <c r="N2" s="774"/>
      <c r="Q2" s="732"/>
      <c r="R2" s="732"/>
      <c r="S2" s="732"/>
      <c r="T2" s="732"/>
      <c r="U2" s="732"/>
      <c r="V2" s="732"/>
      <c r="W2" s="732"/>
      <c r="X2" s="732"/>
      <c r="Y2" s="732"/>
      <c r="Z2" s="732"/>
      <c r="AA2" s="732"/>
      <c r="AB2" s="732"/>
      <c r="AC2" s="732"/>
      <c r="AD2" s="732"/>
      <c r="AE2" s="732"/>
      <c r="AF2" s="732"/>
      <c r="AG2" s="732"/>
      <c r="AH2" s="732"/>
      <c r="AI2" s="732"/>
      <c r="AJ2" s="732"/>
      <c r="AK2" s="732"/>
      <c r="AL2" s="732"/>
      <c r="AM2" s="732"/>
      <c r="AN2" s="732"/>
      <c r="AO2" s="732"/>
      <c r="AP2" s="732"/>
      <c r="AQ2" s="732"/>
      <c r="AR2" s="732"/>
      <c r="AS2" s="732"/>
      <c r="AT2" s="732"/>
      <c r="AU2" s="732"/>
      <c r="AV2" s="732"/>
      <c r="AW2" s="732"/>
      <c r="AX2" s="732"/>
      <c r="AY2" s="732"/>
      <c r="AZ2" s="732"/>
      <c r="BA2" s="732"/>
      <c r="BB2" s="732"/>
      <c r="BC2" s="732"/>
      <c r="BD2" s="732"/>
      <c r="BE2" s="732"/>
      <c r="BF2" s="732"/>
      <c r="BG2" s="732"/>
      <c r="BH2" s="732"/>
      <c r="BI2" s="732"/>
      <c r="BJ2" s="732"/>
      <c r="BK2" s="732"/>
      <c r="BL2" s="732"/>
      <c r="BM2" s="732"/>
      <c r="BN2" s="732"/>
      <c r="BO2" s="732"/>
      <c r="BP2" s="732"/>
      <c r="BQ2" s="732"/>
      <c r="BR2" s="732"/>
      <c r="BS2" s="732"/>
      <c r="BT2" s="732"/>
      <c r="BU2" s="732"/>
      <c r="BV2" s="732"/>
      <c r="BW2" s="732"/>
      <c r="BX2" s="732"/>
      <c r="BY2" s="732"/>
      <c r="BZ2" s="732"/>
      <c r="CA2" s="732"/>
      <c r="CB2" s="732"/>
      <c r="CC2" s="732"/>
      <c r="CD2" s="732"/>
      <c r="CE2" s="732"/>
      <c r="CF2" s="732"/>
      <c r="CG2" s="732"/>
      <c r="CH2" s="732"/>
      <c r="CI2" s="732"/>
      <c r="CJ2" s="732"/>
      <c r="CK2" s="732"/>
      <c r="CL2" s="732"/>
      <c r="CM2" s="732"/>
      <c r="CN2" s="732"/>
      <c r="CO2" s="732"/>
      <c r="CP2" s="732"/>
      <c r="CQ2" s="732"/>
      <c r="CR2" s="732"/>
      <c r="CS2" s="732"/>
      <c r="CT2" s="732"/>
      <c r="CU2" s="732"/>
      <c r="CV2" s="732"/>
      <c r="CW2" s="732"/>
      <c r="CX2" s="732"/>
      <c r="CY2" s="732"/>
      <c r="CZ2" s="732"/>
      <c r="DA2" s="732"/>
      <c r="DB2" s="732"/>
      <c r="DC2" s="732"/>
      <c r="DD2" s="732"/>
      <c r="DE2" s="732"/>
      <c r="DF2" s="732"/>
    </row>
    <row r="3" spans="1:110" ht="24" customHeight="1" thickTop="1" thickBot="1">
      <c r="A3" s="292"/>
      <c r="B3" s="293"/>
      <c r="C3" s="227" t="s">
        <v>243</v>
      </c>
      <c r="D3" s="227" t="s">
        <v>244</v>
      </c>
      <c r="E3" s="227" t="s">
        <v>245</v>
      </c>
      <c r="F3" s="227" t="s">
        <v>246</v>
      </c>
      <c r="G3" s="227" t="s">
        <v>247</v>
      </c>
      <c r="H3" s="227" t="s">
        <v>248</v>
      </c>
      <c r="I3" s="227" t="s">
        <v>249</v>
      </c>
      <c r="J3" s="227" t="s">
        <v>250</v>
      </c>
      <c r="K3" s="227" t="s">
        <v>251</v>
      </c>
      <c r="L3" s="227" t="s">
        <v>252</v>
      </c>
      <c r="M3" s="227" t="s">
        <v>253</v>
      </c>
      <c r="N3" s="227" t="s">
        <v>254</v>
      </c>
      <c r="O3" s="228" t="s">
        <v>255</v>
      </c>
      <c r="P3" s="229" t="s">
        <v>256</v>
      </c>
      <c r="Q3" s="230" t="s">
        <v>257</v>
      </c>
      <c r="R3" s="218"/>
      <c r="S3" s="218"/>
      <c r="T3" s="218"/>
      <c r="U3" s="218"/>
      <c r="V3" s="218"/>
      <c r="W3" s="218"/>
      <c r="X3" s="218"/>
      <c r="Y3" s="732"/>
      <c r="Z3" s="732"/>
      <c r="AA3" s="732"/>
      <c r="AB3" s="732"/>
      <c r="AC3" s="732"/>
      <c r="AD3" s="732"/>
      <c r="AE3" s="732"/>
      <c r="AF3" s="732"/>
      <c r="AG3" s="732"/>
      <c r="AH3" s="732"/>
      <c r="AI3" s="732"/>
      <c r="AJ3" s="732"/>
      <c r="AK3" s="732"/>
      <c r="AL3" s="732"/>
      <c r="AM3" s="732"/>
      <c r="AN3" s="732"/>
      <c r="AO3" s="732"/>
      <c r="AP3" s="732"/>
      <c r="AQ3" s="732"/>
      <c r="AR3" s="732"/>
      <c r="AS3" s="732"/>
      <c r="AT3" s="732"/>
      <c r="AU3" s="732"/>
      <c r="AV3" s="732"/>
      <c r="AW3" s="732"/>
      <c r="AX3" s="732"/>
      <c r="AY3" s="732"/>
      <c r="AZ3" s="732"/>
      <c r="BA3" s="732"/>
      <c r="BB3" s="732"/>
      <c r="BC3" s="732"/>
      <c r="BD3" s="732"/>
      <c r="BE3" s="732"/>
      <c r="BF3" s="732"/>
      <c r="BG3" s="732"/>
      <c r="BH3" s="732"/>
      <c r="BI3" s="732"/>
      <c r="BJ3" s="732"/>
      <c r="BK3" s="732"/>
      <c r="BL3" s="732"/>
      <c r="BM3" s="732"/>
      <c r="BN3" s="732"/>
      <c r="BO3" s="732"/>
      <c r="BP3" s="732"/>
      <c r="BQ3" s="732"/>
      <c r="BR3" s="732"/>
      <c r="BS3" s="732"/>
      <c r="BT3" s="732"/>
      <c r="BU3" s="732"/>
      <c r="BV3" s="732"/>
      <c r="BW3" s="732"/>
      <c r="BX3" s="732"/>
      <c r="BY3" s="732"/>
      <c r="BZ3" s="732"/>
      <c r="CA3" s="732"/>
      <c r="CB3" s="732"/>
      <c r="CC3" s="732"/>
      <c r="CD3" s="732"/>
      <c r="CE3" s="732"/>
      <c r="CF3" s="732"/>
      <c r="CG3" s="732"/>
      <c r="CH3" s="732"/>
      <c r="CI3" s="732"/>
      <c r="CJ3" s="732"/>
      <c r="CK3" s="732"/>
      <c r="CL3" s="732"/>
      <c r="CM3" s="732"/>
      <c r="CN3" s="732"/>
      <c r="CO3" s="732"/>
      <c r="CP3" s="732"/>
      <c r="CQ3" s="732"/>
      <c r="CR3" s="732"/>
      <c r="CS3" s="732"/>
      <c r="CT3" s="732"/>
      <c r="CU3" s="732"/>
      <c r="CV3" s="732"/>
      <c r="CW3" s="732"/>
      <c r="CX3" s="732"/>
      <c r="CY3" s="732"/>
      <c r="CZ3" s="732"/>
      <c r="DA3" s="732"/>
      <c r="DB3" s="732"/>
      <c r="DC3" s="732"/>
      <c r="DD3" s="732"/>
      <c r="DE3" s="732"/>
      <c r="DF3" s="732"/>
    </row>
    <row r="4" spans="1:110" ht="23.25">
      <c r="A4" s="294" t="s">
        <v>258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259</v>
      </c>
      <c r="B5" s="296"/>
      <c r="C5" s="234">
        <v>25072</v>
      </c>
      <c r="D5" s="380">
        <f>Elect!BP34</f>
        <v>132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25204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260</v>
      </c>
      <c r="B6" s="298"/>
      <c r="C6" s="235">
        <v>50662</v>
      </c>
      <c r="D6" s="235">
        <f>Elect!BR34</f>
        <v>154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50816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261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262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263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264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265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266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267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268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269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270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271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272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273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274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275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276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277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278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279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280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281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282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283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284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285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286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287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288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289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290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291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292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293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294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295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296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297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298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299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300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301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302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303</v>
      </c>
      <c r="B51" s="312" t="s">
        <v>304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305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306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307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308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309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310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311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312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313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314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315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316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317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318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319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2"/>
      <c r="Z66" s="732"/>
    </row>
    <row r="67" spans="1:110" s="10" customFormat="1" ht="15.75" hidden="1">
      <c r="A67" s="319" t="s">
        <v>320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2"/>
      <c r="Z67" s="732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2"/>
      <c r="Z68" s="732"/>
      <c r="AA68" s="732"/>
      <c r="AB68" s="732"/>
      <c r="AC68" s="732"/>
      <c r="AD68" s="732"/>
      <c r="AE68" s="732"/>
      <c r="AF68" s="732"/>
      <c r="AG68" s="732"/>
      <c r="AH68" s="732"/>
      <c r="AI68" s="732"/>
      <c r="AJ68" s="732"/>
      <c r="AK68" s="732"/>
      <c r="AL68" s="732"/>
      <c r="AM68" s="732"/>
      <c r="AN68" s="732"/>
      <c r="AO68" s="732"/>
      <c r="AP68" s="732"/>
      <c r="AQ68" s="732"/>
      <c r="AR68" s="732"/>
      <c r="AS68" s="732"/>
      <c r="AT68" s="732"/>
      <c r="AU68" s="732"/>
      <c r="AV68" s="732"/>
      <c r="AW68" s="732"/>
      <c r="AX68" s="732"/>
      <c r="AY68" s="732"/>
      <c r="AZ68" s="732"/>
      <c r="BA68" s="732"/>
      <c r="BB68" s="732"/>
      <c r="BC68" s="732"/>
      <c r="BD68" s="732"/>
      <c r="BE68" s="732"/>
      <c r="BF68" s="732"/>
      <c r="BG68" s="732"/>
      <c r="BH68" s="732"/>
      <c r="BI68" s="732"/>
      <c r="BJ68" s="732"/>
      <c r="BK68" s="732"/>
      <c r="BL68" s="732"/>
      <c r="BM68" s="732"/>
      <c r="BN68" s="732"/>
      <c r="BO68" s="732"/>
      <c r="BP68" s="732"/>
      <c r="BQ68" s="732"/>
      <c r="BR68" s="732"/>
      <c r="BS68" s="732"/>
      <c r="BT68" s="732"/>
      <c r="BU68" s="732"/>
      <c r="BV68" s="732"/>
      <c r="BW68" s="732"/>
      <c r="BX68" s="732"/>
      <c r="BY68" s="732"/>
      <c r="BZ68" s="732"/>
      <c r="CA68" s="732"/>
      <c r="CB68" s="732"/>
      <c r="CC68" s="732"/>
      <c r="CD68" s="732"/>
      <c r="CE68" s="732"/>
      <c r="CF68" s="732"/>
      <c r="CG68" s="732"/>
      <c r="CH68" s="732"/>
      <c r="CI68" s="732"/>
      <c r="CJ68" s="732"/>
      <c r="CK68" s="732"/>
      <c r="CL68" s="732"/>
      <c r="CM68" s="732"/>
      <c r="CN68" s="732"/>
      <c r="CO68" s="732"/>
      <c r="CP68" s="732"/>
      <c r="CQ68" s="732"/>
      <c r="CR68" s="732"/>
      <c r="CS68" s="732"/>
      <c r="CT68" s="732"/>
      <c r="CU68" s="732"/>
      <c r="CV68" s="732"/>
      <c r="CW68" s="732"/>
      <c r="CX68" s="732"/>
      <c r="CY68" s="732"/>
      <c r="CZ68" s="732"/>
      <c r="DA68" s="732"/>
      <c r="DB68" s="732"/>
      <c r="DC68" s="732"/>
      <c r="DD68" s="732"/>
      <c r="DE68" s="732"/>
      <c r="DF68" s="732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2"/>
      <c r="Z69" s="732"/>
      <c r="AA69" s="732"/>
      <c r="AB69" s="732"/>
      <c r="AC69" s="732"/>
      <c r="AD69" s="732"/>
      <c r="AE69" s="732"/>
      <c r="AF69" s="732"/>
      <c r="AG69" s="732"/>
      <c r="AH69" s="732"/>
      <c r="AI69" s="732"/>
      <c r="AJ69" s="732"/>
      <c r="AK69" s="732"/>
      <c r="AL69" s="732"/>
      <c r="AM69" s="732"/>
      <c r="AN69" s="732"/>
      <c r="AO69" s="732"/>
      <c r="AP69" s="732"/>
      <c r="AQ69" s="732"/>
      <c r="AR69" s="732"/>
      <c r="AS69" s="732"/>
      <c r="AT69" s="732"/>
      <c r="AU69" s="732"/>
      <c r="AV69" s="732"/>
      <c r="AW69" s="732"/>
      <c r="AX69" s="732"/>
      <c r="AY69" s="732"/>
      <c r="AZ69" s="732"/>
      <c r="BA69" s="732"/>
      <c r="BB69" s="732"/>
      <c r="BC69" s="732"/>
      <c r="BD69" s="732"/>
      <c r="BE69" s="732"/>
      <c r="BF69" s="732"/>
      <c r="BG69" s="732"/>
      <c r="BH69" s="732"/>
      <c r="BI69" s="732"/>
      <c r="BJ69" s="732"/>
      <c r="BK69" s="732"/>
      <c r="BL69" s="732"/>
      <c r="BM69" s="732"/>
      <c r="BN69" s="732"/>
      <c r="BO69" s="732"/>
      <c r="BP69" s="732"/>
      <c r="BQ69" s="732"/>
      <c r="BR69" s="732"/>
      <c r="BS69" s="732"/>
      <c r="BT69" s="732"/>
      <c r="BU69" s="732"/>
      <c r="BV69" s="732"/>
      <c r="BW69" s="732"/>
      <c r="BX69" s="732"/>
      <c r="BY69" s="732"/>
      <c r="BZ69" s="732"/>
      <c r="CA69" s="732"/>
      <c r="CB69" s="732"/>
      <c r="CC69" s="732"/>
      <c r="CD69" s="732"/>
      <c r="CE69" s="732"/>
      <c r="CF69" s="732"/>
      <c r="CG69" s="732"/>
      <c r="CH69" s="732"/>
      <c r="CI69" s="732"/>
      <c r="CJ69" s="732"/>
      <c r="CK69" s="732"/>
      <c r="CL69" s="732"/>
      <c r="CM69" s="732"/>
      <c r="CN69" s="732"/>
      <c r="CO69" s="732"/>
      <c r="CP69" s="732"/>
      <c r="CQ69" s="732"/>
      <c r="CR69" s="732"/>
      <c r="CS69" s="732"/>
      <c r="CT69" s="732"/>
      <c r="CU69" s="732"/>
      <c r="CV69" s="732"/>
      <c r="CW69" s="732"/>
      <c r="CX69" s="732"/>
      <c r="CY69" s="732"/>
      <c r="CZ69" s="732"/>
      <c r="DA69" s="732"/>
      <c r="DB69" s="732"/>
      <c r="DC69" s="732"/>
      <c r="DD69" s="732"/>
      <c r="DE69" s="732"/>
      <c r="DF69" s="732"/>
    </row>
    <row r="70" spans="1:110" s="10" customFormat="1" ht="15.75" hidden="1">
      <c r="A70" s="320" t="s">
        <v>321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2"/>
      <c r="Z70" s="732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2"/>
      <c r="Z71" s="732"/>
      <c r="AA71" s="732"/>
      <c r="AB71" s="732"/>
      <c r="AC71" s="732"/>
      <c r="AD71" s="732"/>
      <c r="AE71" s="732"/>
      <c r="AF71" s="732"/>
      <c r="AG71" s="732"/>
      <c r="AH71" s="732"/>
      <c r="AI71" s="732"/>
      <c r="AJ71" s="732"/>
      <c r="AK71" s="732"/>
      <c r="AL71" s="732"/>
      <c r="AM71" s="732"/>
      <c r="AN71" s="732"/>
      <c r="AO71" s="732"/>
      <c r="AP71" s="732"/>
      <c r="AQ71" s="732"/>
      <c r="AR71" s="732"/>
      <c r="AS71" s="732"/>
      <c r="AT71" s="732"/>
      <c r="AU71" s="732"/>
      <c r="AV71" s="732"/>
      <c r="AW71" s="732"/>
      <c r="AX71" s="732"/>
      <c r="AY71" s="732"/>
      <c r="AZ71" s="732"/>
      <c r="BA71" s="732"/>
      <c r="BB71" s="732"/>
      <c r="BC71" s="732"/>
      <c r="BD71" s="732"/>
      <c r="BE71" s="732"/>
      <c r="BF71" s="732"/>
      <c r="BG71" s="732"/>
      <c r="BH71" s="732"/>
      <c r="BI71" s="732"/>
      <c r="BJ71" s="732"/>
      <c r="BK71" s="732"/>
      <c r="BL71" s="732"/>
      <c r="BM71" s="732"/>
      <c r="BN71" s="732"/>
      <c r="BO71" s="732"/>
      <c r="BP71" s="732"/>
      <c r="BQ71" s="732"/>
      <c r="BR71" s="732"/>
      <c r="BS71" s="732"/>
      <c r="BT71" s="732"/>
      <c r="BU71" s="732"/>
      <c r="BV71" s="732"/>
      <c r="BW71" s="732"/>
      <c r="BX71" s="732"/>
      <c r="BY71" s="732"/>
      <c r="BZ71" s="732"/>
      <c r="CA71" s="732"/>
      <c r="CB71" s="732"/>
      <c r="CC71" s="732"/>
      <c r="CD71" s="732"/>
      <c r="CE71" s="732"/>
      <c r="CF71" s="732"/>
      <c r="CG71" s="732"/>
      <c r="CH71" s="732"/>
      <c r="CI71" s="732"/>
      <c r="CJ71" s="732"/>
      <c r="CK71" s="732"/>
      <c r="CL71" s="732"/>
      <c r="CM71" s="732"/>
      <c r="CN71" s="732"/>
      <c r="CO71" s="732"/>
      <c r="CP71" s="732"/>
      <c r="CQ71" s="732"/>
      <c r="CR71" s="732"/>
      <c r="CS71" s="732"/>
      <c r="CT71" s="732"/>
      <c r="CU71" s="732"/>
      <c r="CV71" s="732"/>
      <c r="CW71" s="732"/>
      <c r="CX71" s="732"/>
      <c r="CY71" s="732"/>
      <c r="CZ71" s="732"/>
      <c r="DA71" s="732"/>
      <c r="DB71" s="732"/>
      <c r="DC71" s="732"/>
      <c r="DD71" s="732"/>
      <c r="DE71" s="732"/>
      <c r="DF71" s="732"/>
    </row>
    <row r="72" spans="1:110" s="10" customFormat="1" ht="16.5" hidden="1" thickBot="1">
      <c r="A72" s="321" t="s">
        <v>322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2"/>
      <c r="Z72" s="732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2"/>
      <c r="Z73" s="732"/>
      <c r="AA73" s="732"/>
      <c r="AB73" s="732"/>
      <c r="AC73" s="732"/>
      <c r="AD73" s="732"/>
      <c r="AE73" s="732"/>
      <c r="AF73" s="732"/>
      <c r="AG73" s="732"/>
      <c r="AH73" s="732"/>
      <c r="AI73" s="732"/>
      <c r="AJ73" s="732"/>
      <c r="AK73" s="732"/>
      <c r="AL73" s="732"/>
      <c r="AM73" s="732"/>
      <c r="AN73" s="732"/>
      <c r="AO73" s="732"/>
      <c r="AP73" s="732"/>
      <c r="AQ73" s="732"/>
      <c r="AR73" s="732"/>
      <c r="AS73" s="732"/>
      <c r="AT73" s="732"/>
      <c r="AU73" s="732"/>
      <c r="AV73" s="732"/>
      <c r="AW73" s="732"/>
      <c r="AX73" s="732"/>
      <c r="AY73" s="732"/>
      <c r="AZ73" s="732"/>
      <c r="BA73" s="732"/>
      <c r="BB73" s="732"/>
      <c r="BC73" s="732"/>
      <c r="BD73" s="732"/>
      <c r="BE73" s="732"/>
      <c r="BF73" s="732"/>
      <c r="BG73" s="732"/>
      <c r="BH73" s="732"/>
      <c r="BI73" s="732"/>
      <c r="BJ73" s="732"/>
      <c r="BK73" s="732"/>
      <c r="BL73" s="732"/>
      <c r="BM73" s="732"/>
      <c r="BN73" s="732"/>
      <c r="BO73" s="732"/>
      <c r="BP73" s="732"/>
      <c r="BQ73" s="732"/>
      <c r="BR73" s="732"/>
      <c r="BS73" s="732"/>
      <c r="BT73" s="732"/>
      <c r="BU73" s="732"/>
      <c r="BV73" s="732"/>
      <c r="BW73" s="732"/>
      <c r="BX73" s="732"/>
      <c r="BY73" s="732"/>
      <c r="BZ73" s="732"/>
      <c r="CA73" s="732"/>
      <c r="CB73" s="732"/>
      <c r="CC73" s="732"/>
      <c r="CD73" s="732"/>
      <c r="CE73" s="732"/>
      <c r="CF73" s="732"/>
      <c r="CG73" s="732"/>
      <c r="CH73" s="732"/>
      <c r="CI73" s="732"/>
      <c r="CJ73" s="732"/>
      <c r="CK73" s="732"/>
      <c r="CL73" s="732"/>
      <c r="CM73" s="732"/>
      <c r="CN73" s="732"/>
      <c r="CO73" s="732"/>
      <c r="CP73" s="732"/>
      <c r="CQ73" s="732"/>
      <c r="CR73" s="732"/>
      <c r="CS73" s="732"/>
      <c r="CT73" s="732"/>
      <c r="CU73" s="732"/>
      <c r="CV73" s="732"/>
      <c r="CW73" s="732"/>
      <c r="CX73" s="732"/>
      <c r="CY73" s="732"/>
      <c r="CZ73" s="732"/>
      <c r="DA73" s="732"/>
      <c r="DB73" s="732"/>
      <c r="DC73" s="732"/>
      <c r="DD73" s="732"/>
      <c r="DE73" s="732"/>
      <c r="DF73" s="732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2"/>
      <c r="Z74" s="732"/>
      <c r="AA74" s="732"/>
      <c r="AB74" s="732"/>
      <c r="AC74" s="732"/>
      <c r="AD74" s="732"/>
      <c r="AE74" s="732"/>
      <c r="AF74" s="732"/>
      <c r="AG74" s="732"/>
      <c r="AH74" s="732"/>
      <c r="AI74" s="732"/>
      <c r="AJ74" s="732"/>
      <c r="AK74" s="732"/>
      <c r="AL74" s="732"/>
      <c r="AM74" s="732"/>
      <c r="AN74" s="732"/>
      <c r="AO74" s="732"/>
      <c r="AP74" s="732"/>
      <c r="AQ74" s="732"/>
      <c r="AR74" s="732"/>
      <c r="AS74" s="732"/>
      <c r="AT74" s="732"/>
      <c r="AU74" s="732"/>
      <c r="AV74" s="732"/>
      <c r="AW74" s="732"/>
      <c r="AX74" s="732"/>
      <c r="AY74" s="732"/>
      <c r="AZ74" s="732"/>
      <c r="BA74" s="732"/>
      <c r="BB74" s="732"/>
      <c r="BC74" s="732"/>
      <c r="BD74" s="732"/>
      <c r="BE74" s="732"/>
      <c r="BF74" s="732"/>
      <c r="BG74" s="732"/>
      <c r="BH74" s="732"/>
      <c r="BI74" s="732"/>
      <c r="BJ74" s="732"/>
      <c r="BK74" s="732"/>
      <c r="BL74" s="732"/>
      <c r="BM74" s="732"/>
      <c r="BN74" s="732"/>
      <c r="BO74" s="732"/>
      <c r="BP74" s="732"/>
      <c r="BQ74" s="732"/>
      <c r="BR74" s="732"/>
      <c r="BS74" s="732"/>
      <c r="BT74" s="732"/>
      <c r="BU74" s="732"/>
      <c r="BV74" s="732"/>
      <c r="BW74" s="732"/>
      <c r="BX74" s="732"/>
      <c r="BY74" s="732"/>
      <c r="BZ74" s="732"/>
      <c r="CA74" s="732"/>
      <c r="CB74" s="732"/>
      <c r="CC74" s="732"/>
      <c r="CD74" s="732"/>
      <c r="CE74" s="732"/>
      <c r="CF74" s="732"/>
      <c r="CG74" s="732"/>
      <c r="CH74" s="732"/>
      <c r="CI74" s="732"/>
      <c r="CJ74" s="732"/>
      <c r="CK74" s="732"/>
      <c r="CL74" s="732"/>
      <c r="CM74" s="732"/>
      <c r="CN74" s="732"/>
      <c r="CO74" s="732"/>
      <c r="CP74" s="732"/>
      <c r="CQ74" s="732"/>
      <c r="CR74" s="732"/>
      <c r="CS74" s="732"/>
      <c r="CT74" s="732"/>
      <c r="CU74" s="732"/>
      <c r="CV74" s="732"/>
      <c r="CW74" s="732"/>
      <c r="CX74" s="732"/>
      <c r="CY74" s="732"/>
      <c r="CZ74" s="732"/>
      <c r="DA74" s="732"/>
      <c r="DB74" s="732"/>
      <c r="DC74" s="732"/>
      <c r="DD74" s="732"/>
      <c r="DE74" s="732"/>
      <c r="DF74" s="732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2"/>
      <c r="Z75" s="732"/>
      <c r="AA75" s="732"/>
      <c r="AB75" s="732"/>
      <c r="AC75" s="732"/>
      <c r="AD75" s="732"/>
      <c r="AE75" s="732"/>
      <c r="AF75" s="732"/>
      <c r="AG75" s="732"/>
      <c r="AH75" s="732"/>
      <c r="AI75" s="732"/>
      <c r="AJ75" s="732"/>
      <c r="AK75" s="732"/>
      <c r="AL75" s="732"/>
      <c r="AM75" s="732"/>
      <c r="AN75" s="732"/>
      <c r="AO75" s="732"/>
      <c r="AP75" s="732"/>
      <c r="AQ75" s="732"/>
      <c r="AR75" s="732"/>
      <c r="AS75" s="732"/>
      <c r="AT75" s="732"/>
      <c r="AU75" s="732"/>
      <c r="AV75" s="732"/>
      <c r="AW75" s="732"/>
      <c r="AX75" s="732"/>
      <c r="AY75" s="732"/>
      <c r="AZ75" s="732"/>
      <c r="BA75" s="732"/>
      <c r="BB75" s="732"/>
      <c r="BC75" s="732"/>
      <c r="BD75" s="732"/>
      <c r="BE75" s="732"/>
      <c r="BF75" s="732"/>
      <c r="BG75" s="732"/>
      <c r="BH75" s="732"/>
      <c r="BI75" s="732"/>
      <c r="BJ75" s="732"/>
      <c r="BK75" s="732"/>
      <c r="BL75" s="732"/>
      <c r="BM75" s="732"/>
      <c r="BN75" s="732"/>
      <c r="BO75" s="732"/>
      <c r="BP75" s="732"/>
      <c r="BQ75" s="732"/>
      <c r="BR75" s="732"/>
      <c r="BS75" s="732"/>
      <c r="BT75" s="732"/>
      <c r="BU75" s="732"/>
      <c r="BV75" s="732"/>
      <c r="BW75" s="732"/>
      <c r="BX75" s="732"/>
      <c r="BY75" s="732"/>
      <c r="BZ75" s="732"/>
      <c r="CA75" s="732"/>
      <c r="CB75" s="732"/>
      <c r="CC75" s="732"/>
      <c r="CD75" s="732"/>
      <c r="CE75" s="732"/>
      <c r="CF75" s="732"/>
      <c r="CG75" s="732"/>
      <c r="CH75" s="732"/>
      <c r="CI75" s="732"/>
      <c r="CJ75" s="732"/>
      <c r="CK75" s="732"/>
      <c r="CL75" s="732"/>
      <c r="CM75" s="732"/>
      <c r="CN75" s="732"/>
      <c r="CO75" s="732"/>
      <c r="CP75" s="732"/>
      <c r="CQ75" s="732"/>
      <c r="CR75" s="732"/>
      <c r="CS75" s="732"/>
      <c r="CT75" s="732"/>
      <c r="CU75" s="732"/>
      <c r="CV75" s="732"/>
      <c r="CW75" s="732"/>
      <c r="CX75" s="732"/>
      <c r="CY75" s="732"/>
      <c r="CZ75" s="732"/>
      <c r="DA75" s="732"/>
      <c r="DB75" s="732"/>
      <c r="DC75" s="732"/>
      <c r="DD75" s="732"/>
      <c r="DE75" s="732"/>
      <c r="DF75" s="732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2"/>
      <c r="Z76" s="732"/>
      <c r="AA76" s="732"/>
      <c r="AB76" s="732"/>
      <c r="AC76" s="732"/>
      <c r="AD76" s="732"/>
      <c r="AE76" s="732"/>
      <c r="AF76" s="732"/>
      <c r="AG76" s="732"/>
      <c r="AH76" s="732"/>
      <c r="AI76" s="732"/>
      <c r="AJ76" s="732"/>
      <c r="AK76" s="732"/>
      <c r="AL76" s="732"/>
      <c r="AM76" s="732"/>
      <c r="AN76" s="732"/>
      <c r="AO76" s="732"/>
      <c r="AP76" s="732"/>
      <c r="AQ76" s="732"/>
      <c r="AR76" s="732"/>
      <c r="AS76" s="732"/>
      <c r="AT76" s="732"/>
      <c r="AU76" s="732"/>
      <c r="AV76" s="732"/>
      <c r="AW76" s="732"/>
      <c r="AX76" s="732"/>
      <c r="AY76" s="732"/>
      <c r="AZ76" s="732"/>
      <c r="BA76" s="732"/>
      <c r="BB76" s="732"/>
      <c r="BC76" s="732"/>
      <c r="BD76" s="732"/>
      <c r="BE76" s="732"/>
      <c r="BF76" s="732"/>
      <c r="BG76" s="732"/>
      <c r="BH76" s="732"/>
      <c r="BI76" s="732"/>
      <c r="BJ76" s="732"/>
      <c r="BK76" s="732"/>
      <c r="BL76" s="732"/>
      <c r="BM76" s="732"/>
      <c r="BN76" s="732"/>
      <c r="BO76" s="732"/>
      <c r="BP76" s="732"/>
      <c r="BQ76" s="732"/>
      <c r="BR76" s="732"/>
      <c r="BS76" s="732"/>
      <c r="BT76" s="732"/>
      <c r="BU76" s="732"/>
      <c r="BV76" s="732"/>
      <c r="BW76" s="732"/>
      <c r="BX76" s="732"/>
      <c r="BY76" s="732"/>
      <c r="BZ76" s="732"/>
      <c r="CA76" s="732"/>
      <c r="CB76" s="732"/>
      <c r="CC76" s="732"/>
      <c r="CD76" s="732"/>
      <c r="CE76" s="732"/>
      <c r="CF76" s="732"/>
      <c r="CG76" s="732"/>
      <c r="CH76" s="732"/>
      <c r="CI76" s="732"/>
      <c r="CJ76" s="732"/>
      <c r="CK76" s="732"/>
      <c r="CL76" s="732"/>
      <c r="CM76" s="732"/>
      <c r="CN76" s="732"/>
      <c r="CO76" s="732"/>
      <c r="CP76" s="732"/>
      <c r="CQ76" s="732"/>
      <c r="CR76" s="732"/>
      <c r="CS76" s="732"/>
      <c r="CT76" s="732"/>
      <c r="CU76" s="732"/>
      <c r="CV76" s="732"/>
      <c r="CW76" s="732"/>
      <c r="CX76" s="732"/>
      <c r="CY76" s="732"/>
      <c r="CZ76" s="732"/>
      <c r="DA76" s="732"/>
      <c r="DB76" s="732"/>
      <c r="DC76" s="732"/>
      <c r="DD76" s="732"/>
      <c r="DE76" s="732"/>
      <c r="DF76" s="732"/>
    </row>
    <row r="77" spans="1:110" ht="15.75" hidden="1">
      <c r="A77" s="320" t="s">
        <v>323</v>
      </c>
      <c r="B77" s="320" t="s">
        <v>324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2"/>
      <c r="Z77" s="732"/>
      <c r="AA77" s="732"/>
      <c r="AB77" s="732"/>
      <c r="AC77" s="732"/>
      <c r="AD77" s="732"/>
      <c r="AE77" s="732"/>
      <c r="AF77" s="732"/>
      <c r="AG77" s="732"/>
      <c r="AH77" s="732"/>
      <c r="AI77" s="732"/>
      <c r="AJ77" s="732"/>
      <c r="AK77" s="732"/>
      <c r="AL77" s="732"/>
      <c r="AM77" s="732"/>
      <c r="AN77" s="732"/>
      <c r="AO77" s="732"/>
      <c r="AP77" s="732"/>
      <c r="AQ77" s="732"/>
      <c r="AR77" s="732"/>
      <c r="AS77" s="732"/>
      <c r="AT77" s="732"/>
      <c r="AU77" s="732"/>
      <c r="AV77" s="732"/>
      <c r="AW77" s="732"/>
      <c r="AX77" s="732"/>
      <c r="AY77" s="732"/>
      <c r="AZ77" s="732"/>
      <c r="BA77" s="732"/>
      <c r="BB77" s="732"/>
      <c r="BC77" s="732"/>
      <c r="BD77" s="732"/>
      <c r="BE77" s="732"/>
      <c r="BF77" s="732"/>
      <c r="BG77" s="732"/>
      <c r="BH77" s="732"/>
      <c r="BI77" s="732"/>
      <c r="BJ77" s="732"/>
      <c r="BK77" s="732"/>
      <c r="BL77" s="732"/>
      <c r="BM77" s="732"/>
      <c r="BN77" s="732"/>
      <c r="BO77" s="732"/>
      <c r="BP77" s="732"/>
      <c r="BQ77" s="732"/>
      <c r="BR77" s="732"/>
      <c r="BS77" s="732"/>
      <c r="BT77" s="732"/>
      <c r="BU77" s="732"/>
      <c r="BV77" s="732"/>
      <c r="BW77" s="732"/>
      <c r="BX77" s="732"/>
      <c r="BY77" s="732"/>
      <c r="BZ77" s="732"/>
      <c r="CA77" s="732"/>
      <c r="CB77" s="732"/>
      <c r="CC77" s="732"/>
      <c r="CD77" s="732"/>
      <c r="CE77" s="732"/>
      <c r="CF77" s="732"/>
      <c r="CG77" s="732"/>
      <c r="CH77" s="732"/>
      <c r="CI77" s="732"/>
      <c r="CJ77" s="732"/>
      <c r="CK77" s="732"/>
      <c r="CL77" s="732"/>
      <c r="CM77" s="732"/>
      <c r="CN77" s="732"/>
      <c r="CO77" s="732"/>
      <c r="CP77" s="732"/>
      <c r="CQ77" s="732"/>
      <c r="CR77" s="732"/>
      <c r="CS77" s="732"/>
      <c r="CT77" s="732"/>
      <c r="CU77" s="732"/>
      <c r="CV77" s="732"/>
      <c r="CW77" s="732"/>
      <c r="CX77" s="732"/>
      <c r="CY77" s="732"/>
      <c r="CZ77" s="732"/>
      <c r="DA77" s="732"/>
      <c r="DB77" s="732"/>
      <c r="DC77" s="732"/>
      <c r="DD77" s="732"/>
      <c r="DE77" s="732"/>
      <c r="DF77" s="732"/>
    </row>
    <row r="78" spans="1:110" ht="15.75" hidden="1">
      <c r="A78" s="320" t="s">
        <v>325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2"/>
      <c r="Z78" s="732"/>
      <c r="AA78" s="732"/>
      <c r="AB78" s="732"/>
      <c r="AC78" s="732"/>
      <c r="AD78" s="732"/>
      <c r="AE78" s="732"/>
      <c r="AF78" s="732"/>
      <c r="AG78" s="732"/>
      <c r="AH78" s="732"/>
      <c r="AI78" s="732"/>
      <c r="AJ78" s="732"/>
      <c r="AK78" s="732"/>
      <c r="AL78" s="732"/>
      <c r="AM78" s="732"/>
      <c r="AN78" s="732"/>
      <c r="AO78" s="732"/>
      <c r="AP78" s="732"/>
      <c r="AQ78" s="732"/>
      <c r="AR78" s="732"/>
      <c r="AS78" s="732"/>
      <c r="AT78" s="732"/>
      <c r="AU78" s="732"/>
      <c r="AV78" s="732"/>
      <c r="AW78" s="732"/>
      <c r="AX78" s="732"/>
      <c r="AY78" s="732"/>
      <c r="AZ78" s="732"/>
      <c r="BA78" s="732"/>
      <c r="BB78" s="732"/>
      <c r="BC78" s="732"/>
      <c r="BD78" s="732"/>
      <c r="BE78" s="732"/>
      <c r="BF78" s="732"/>
      <c r="BG78" s="732"/>
      <c r="BH78" s="732"/>
      <c r="BI78" s="732"/>
      <c r="BJ78" s="732"/>
      <c r="BK78" s="732"/>
      <c r="BL78" s="732"/>
      <c r="BM78" s="732"/>
      <c r="BN78" s="732"/>
      <c r="BO78" s="732"/>
      <c r="BP78" s="732"/>
      <c r="BQ78" s="732"/>
      <c r="BR78" s="732"/>
      <c r="BS78" s="732"/>
      <c r="BT78" s="732"/>
      <c r="BU78" s="732"/>
      <c r="BV78" s="732"/>
      <c r="BW78" s="732"/>
      <c r="BX78" s="732"/>
      <c r="BY78" s="732"/>
      <c r="BZ78" s="732"/>
      <c r="CA78" s="732"/>
      <c r="CB78" s="732"/>
      <c r="CC78" s="732"/>
      <c r="CD78" s="732"/>
      <c r="CE78" s="732"/>
      <c r="CF78" s="732"/>
      <c r="CG78" s="732"/>
      <c r="CH78" s="732"/>
      <c r="CI78" s="732"/>
      <c r="CJ78" s="732"/>
      <c r="CK78" s="732"/>
      <c r="CL78" s="732"/>
      <c r="CM78" s="732"/>
      <c r="CN78" s="732"/>
      <c r="CO78" s="732"/>
      <c r="CP78" s="732"/>
      <c r="CQ78" s="732"/>
      <c r="CR78" s="732"/>
      <c r="CS78" s="732"/>
      <c r="CT78" s="732"/>
      <c r="CU78" s="732"/>
      <c r="CV78" s="732"/>
      <c r="CW78" s="732"/>
      <c r="CX78" s="732"/>
      <c r="CY78" s="732"/>
      <c r="CZ78" s="732"/>
      <c r="DA78" s="732"/>
      <c r="DB78" s="732"/>
      <c r="DC78" s="732"/>
      <c r="DD78" s="732"/>
      <c r="DE78" s="732"/>
      <c r="DF78" s="732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2"/>
      <c r="Z79" s="732"/>
      <c r="AA79" s="732"/>
      <c r="AB79" s="732"/>
      <c r="AC79" s="732"/>
      <c r="AD79" s="732"/>
      <c r="AE79" s="732"/>
      <c r="AF79" s="732"/>
      <c r="AG79" s="732"/>
      <c r="AH79" s="732"/>
      <c r="AI79" s="732"/>
      <c r="AJ79" s="732"/>
      <c r="AK79" s="732"/>
      <c r="AL79" s="732"/>
      <c r="AM79" s="732"/>
      <c r="AN79" s="732"/>
      <c r="AO79" s="732"/>
      <c r="AP79" s="732"/>
      <c r="AQ79" s="732"/>
      <c r="AR79" s="732"/>
      <c r="AS79" s="732"/>
      <c r="AT79" s="732"/>
      <c r="AU79" s="732"/>
      <c r="AV79" s="732"/>
      <c r="AW79" s="732"/>
      <c r="AX79" s="732"/>
      <c r="AY79" s="732"/>
      <c r="AZ79" s="732"/>
      <c r="BA79" s="732"/>
      <c r="BB79" s="732"/>
      <c r="BC79" s="732"/>
      <c r="BD79" s="732"/>
      <c r="BE79" s="732"/>
      <c r="BF79" s="732"/>
      <c r="BG79" s="732"/>
      <c r="BH79" s="732"/>
      <c r="BI79" s="732"/>
      <c r="BJ79" s="732"/>
      <c r="BK79" s="732"/>
      <c r="BL79" s="732"/>
      <c r="BM79" s="732"/>
      <c r="BN79" s="732"/>
      <c r="BO79" s="732"/>
      <c r="BP79" s="732"/>
      <c r="BQ79" s="732"/>
      <c r="BR79" s="732"/>
      <c r="BS79" s="732"/>
      <c r="BT79" s="732"/>
      <c r="BU79" s="732"/>
      <c r="BV79" s="732"/>
      <c r="BW79" s="732"/>
      <c r="BX79" s="732"/>
      <c r="BY79" s="732"/>
      <c r="BZ79" s="732"/>
      <c r="CA79" s="732"/>
      <c r="CB79" s="732"/>
      <c r="CC79" s="732"/>
      <c r="CD79" s="732"/>
      <c r="CE79" s="732"/>
      <c r="CF79" s="732"/>
      <c r="CG79" s="732"/>
      <c r="CH79" s="732"/>
      <c r="CI79" s="732"/>
      <c r="CJ79" s="732"/>
      <c r="CK79" s="732"/>
      <c r="CL79" s="732"/>
      <c r="CM79" s="732"/>
      <c r="CN79" s="732"/>
      <c r="CO79" s="732"/>
      <c r="CP79" s="732"/>
      <c r="CQ79" s="732"/>
      <c r="CR79" s="732"/>
      <c r="CS79" s="732"/>
      <c r="CT79" s="732"/>
      <c r="CU79" s="732"/>
      <c r="CV79" s="732"/>
      <c r="CW79" s="732"/>
      <c r="CX79" s="732"/>
      <c r="CY79" s="732"/>
      <c r="CZ79" s="732"/>
      <c r="DA79" s="732"/>
      <c r="DB79" s="732"/>
      <c r="DC79" s="732"/>
      <c r="DD79" s="732"/>
      <c r="DE79" s="732"/>
      <c r="DF79" s="732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2"/>
      <c r="Z80" s="732"/>
      <c r="AA80" s="732"/>
      <c r="AB80" s="732"/>
      <c r="AC80" s="732"/>
      <c r="AD80" s="732"/>
      <c r="AE80" s="732"/>
      <c r="AF80" s="732"/>
      <c r="AG80" s="732"/>
      <c r="AH80" s="732"/>
      <c r="AI80" s="732"/>
      <c r="AJ80" s="732"/>
      <c r="AK80" s="732"/>
      <c r="AL80" s="732"/>
      <c r="AM80" s="732"/>
      <c r="AN80" s="732"/>
      <c r="AO80" s="732"/>
      <c r="AP80" s="732"/>
      <c r="AQ80" s="732"/>
      <c r="AR80" s="732"/>
      <c r="AS80" s="732"/>
      <c r="AT80" s="732"/>
      <c r="AU80" s="732"/>
      <c r="AV80" s="732"/>
      <c r="AW80" s="732"/>
      <c r="AX80" s="732"/>
      <c r="AY80" s="732"/>
      <c r="AZ80" s="732"/>
      <c r="BA80" s="732"/>
      <c r="BB80" s="732"/>
      <c r="BC80" s="732"/>
      <c r="BD80" s="732"/>
      <c r="BE80" s="732"/>
      <c r="BF80" s="732"/>
      <c r="BG80" s="732"/>
      <c r="BH80" s="732"/>
      <c r="BI80" s="732"/>
      <c r="BJ80" s="732"/>
      <c r="BK80" s="732"/>
      <c r="BL80" s="732"/>
      <c r="BM80" s="732"/>
      <c r="BN80" s="732"/>
      <c r="BO80" s="732"/>
      <c r="BP80" s="732"/>
      <c r="BQ80" s="732"/>
      <c r="BR80" s="732"/>
      <c r="BS80" s="732"/>
      <c r="BT80" s="732"/>
      <c r="BU80" s="732"/>
      <c r="BV80" s="732"/>
      <c r="BW80" s="732"/>
      <c r="BX80" s="732"/>
      <c r="BY80" s="732"/>
      <c r="BZ80" s="732"/>
      <c r="CA80" s="732"/>
      <c r="CB80" s="732"/>
      <c r="CC80" s="732"/>
      <c r="CD80" s="732"/>
      <c r="CE80" s="732"/>
      <c r="CF80" s="732"/>
      <c r="CG80" s="732"/>
      <c r="CH80" s="732"/>
      <c r="CI80" s="732"/>
      <c r="CJ80" s="732"/>
      <c r="CK80" s="732"/>
      <c r="CL80" s="732"/>
      <c r="CM80" s="732"/>
      <c r="CN80" s="732"/>
      <c r="CO80" s="732"/>
      <c r="CP80" s="732"/>
      <c r="CQ80" s="732"/>
      <c r="CR80" s="732"/>
      <c r="CS80" s="732"/>
      <c r="CT80" s="732"/>
      <c r="CU80" s="732"/>
      <c r="CV80" s="732"/>
      <c r="CW80" s="732"/>
      <c r="CX80" s="732"/>
      <c r="CY80" s="732"/>
      <c r="CZ80" s="732"/>
      <c r="DA80" s="732"/>
      <c r="DB80" s="732"/>
      <c r="DC80" s="732"/>
      <c r="DD80" s="732"/>
      <c r="DE80" s="732"/>
      <c r="DF80" s="732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323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325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323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325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326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327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328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268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269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270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271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272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273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274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275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276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277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278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279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280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281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282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283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329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285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286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287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288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289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290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291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292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293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294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295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296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297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298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299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300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301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302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303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305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306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307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308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309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330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311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312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313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317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318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331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328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268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269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270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271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272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273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274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275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276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277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278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279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280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281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282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283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329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285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286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287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288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289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290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291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292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293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294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295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296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297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298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299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300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301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302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303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305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306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307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308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309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330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311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312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313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317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318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332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333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334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335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336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337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338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339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340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341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342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343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344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311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345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274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275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276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277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278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279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280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281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282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283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329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285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286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287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288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289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290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291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292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293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294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295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296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297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298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299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300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301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302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303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305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306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307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308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309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330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311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312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313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314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315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317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346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274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275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276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277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278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279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280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281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282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283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329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285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286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287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288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289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290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291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292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293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294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295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296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297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298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299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300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301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302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303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305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306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307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308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309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330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311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312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313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314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315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317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5"/>
      <c r="D2336" s="775"/>
      <c r="E2336" s="775"/>
      <c r="F2336" s="775"/>
      <c r="G2336" s="775"/>
      <c r="H2336" s="775"/>
      <c r="I2336" s="775"/>
      <c r="J2336" s="775"/>
      <c r="K2336" s="775"/>
      <c r="L2336" s="775"/>
      <c r="M2336" s="775"/>
      <c r="N2336" s="775"/>
      <c r="O2336" s="266"/>
      <c r="P2336" s="266"/>
      <c r="Q2336" s="776"/>
      <c r="R2336" s="732"/>
      <c r="S2336" s="732"/>
      <c r="T2336" s="732"/>
      <c r="U2336" s="732"/>
      <c r="V2336" s="732"/>
      <c r="W2336" s="732"/>
      <c r="X2336" s="732"/>
    </row>
    <row r="2337" spans="1:26">
      <c r="B2337" s="323"/>
      <c r="C2337" s="775">
        <v>39814</v>
      </c>
      <c r="D2337" s="775">
        <v>39845</v>
      </c>
      <c r="E2337" s="775">
        <v>39873</v>
      </c>
      <c r="F2337" s="775">
        <v>39904</v>
      </c>
      <c r="G2337" s="775">
        <v>39934</v>
      </c>
      <c r="H2337" s="775">
        <v>39965</v>
      </c>
      <c r="I2337" s="775">
        <v>39995</v>
      </c>
      <c r="J2337" s="775">
        <v>40026</v>
      </c>
      <c r="K2337" s="775">
        <v>40057</v>
      </c>
      <c r="L2337" s="775">
        <v>40087</v>
      </c>
      <c r="M2337" s="775">
        <v>40118</v>
      </c>
      <c r="N2337" s="775">
        <v>40148</v>
      </c>
      <c r="O2337" s="267"/>
      <c r="P2337" s="267"/>
      <c r="Q2337" s="777"/>
      <c r="R2337" s="732"/>
      <c r="S2337" s="732"/>
      <c r="T2337" s="732"/>
      <c r="U2337" s="732"/>
      <c r="V2337" s="732"/>
      <c r="W2337" s="732"/>
      <c r="X2337" s="732"/>
      <c r="Y2337" s="732"/>
      <c r="Z2337" s="732"/>
    </row>
    <row r="2338" spans="1:26" ht="21.75" customHeight="1">
      <c r="A2338" s="323"/>
      <c r="B2338" s="323"/>
      <c r="C2338" s="774"/>
      <c r="D2338" s="774"/>
      <c r="E2338" s="774"/>
      <c r="F2338" s="774"/>
      <c r="G2338" s="774"/>
      <c r="H2338" s="211" t="s">
        <v>347</v>
      </c>
      <c r="I2338" s="214"/>
      <c r="J2338" s="774"/>
      <c r="K2338" s="774"/>
      <c r="L2338" s="774"/>
      <c r="M2338" s="774"/>
      <c r="N2338" s="774"/>
      <c r="Q2338" s="732"/>
      <c r="R2338" s="732"/>
      <c r="S2338" s="732"/>
      <c r="T2338" s="732"/>
      <c r="U2338" s="732"/>
      <c r="V2338" s="732"/>
      <c r="W2338" s="732"/>
      <c r="X2338" s="732"/>
      <c r="Y2338" s="732"/>
      <c r="Z2338" s="732"/>
    </row>
    <row r="2339" spans="1:26" ht="13.5" thickBot="1">
      <c r="A2339" s="323"/>
      <c r="B2339" s="323"/>
      <c r="C2339" s="774"/>
      <c r="D2339" s="774"/>
      <c r="E2339" s="774"/>
      <c r="F2339" s="774"/>
      <c r="G2339" s="774"/>
      <c r="H2339" s="774"/>
      <c r="I2339" s="774"/>
      <c r="J2339" s="774"/>
      <c r="K2339" s="774"/>
      <c r="L2339" s="774"/>
      <c r="M2339" s="774"/>
      <c r="N2339" s="774"/>
      <c r="Q2339" s="732"/>
      <c r="R2339" s="732"/>
      <c r="S2339" s="732"/>
      <c r="T2339" s="732"/>
      <c r="U2339" s="732"/>
      <c r="V2339" s="732"/>
      <c r="W2339" s="732"/>
      <c r="X2339" s="732"/>
      <c r="Y2339" s="732"/>
      <c r="Z2339" s="732"/>
    </row>
    <row r="2340" spans="1:26" s="219" customFormat="1" ht="27.75" customHeight="1" thickTop="1" thickBot="1">
      <c r="A2340" s="324"/>
      <c r="B2340" s="325"/>
      <c r="C2340" s="268" t="s">
        <v>243</v>
      </c>
      <c r="D2340" s="268" t="s">
        <v>244</v>
      </c>
      <c r="E2340" s="268" t="s">
        <v>245</v>
      </c>
      <c r="F2340" s="268" t="s">
        <v>246</v>
      </c>
      <c r="G2340" s="268" t="s">
        <v>247</v>
      </c>
      <c r="H2340" s="268" t="s">
        <v>248</v>
      </c>
      <c r="I2340" s="268" t="s">
        <v>249</v>
      </c>
      <c r="J2340" s="268" t="s">
        <v>250</v>
      </c>
      <c r="K2340" s="268" t="s">
        <v>251</v>
      </c>
      <c r="L2340" s="268" t="s">
        <v>252</v>
      </c>
      <c r="M2340" s="268" t="s">
        <v>253</v>
      </c>
      <c r="N2340" s="269" t="s">
        <v>254</v>
      </c>
      <c r="O2340" s="226" t="s">
        <v>348</v>
      </c>
      <c r="P2340" s="270" t="s">
        <v>256</v>
      </c>
      <c r="Q2340" s="230" t="s">
        <v>349</v>
      </c>
      <c r="R2340" s="778"/>
      <c r="S2340" s="778"/>
      <c r="T2340" s="778"/>
      <c r="U2340" s="778"/>
      <c r="V2340" s="778"/>
      <c r="W2340" s="778"/>
      <c r="X2340" s="778"/>
      <c r="Y2340" s="778"/>
      <c r="Z2340" s="778"/>
    </row>
    <row r="2341" spans="1:26" s="213" customFormat="1" ht="16.5" thickTop="1">
      <c r="A2341" s="326" t="s">
        <v>259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260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267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2"/>
      <c r="Z2343" s="732"/>
    </row>
    <row r="2344" spans="1:26" s="219" customFormat="1" ht="15.75">
      <c r="A2344" s="330" t="s">
        <v>328</v>
      </c>
      <c r="B2344" s="331"/>
      <c r="C2344" s="779"/>
      <c r="D2344" s="779"/>
      <c r="E2344" s="779"/>
      <c r="F2344" s="779"/>
      <c r="G2344" s="779"/>
      <c r="H2344" s="779"/>
      <c r="I2344" s="779"/>
      <c r="J2344" s="779"/>
      <c r="K2344" s="779"/>
      <c r="L2344" s="779"/>
      <c r="M2344" s="779"/>
      <c r="N2344" s="780"/>
      <c r="O2344" s="273"/>
      <c r="P2344" s="274">
        <f t="shared" si="44"/>
        <v>0</v>
      </c>
      <c r="Q2344" s="275">
        <f t="shared" si="45"/>
        <v>0</v>
      </c>
      <c r="R2344" s="778"/>
      <c r="S2344" s="778"/>
      <c r="T2344" s="778"/>
      <c r="U2344" s="778"/>
      <c r="V2344" s="778"/>
      <c r="W2344" s="778"/>
      <c r="X2344" s="778"/>
      <c r="Y2344" s="778"/>
      <c r="Z2344" s="778"/>
    </row>
    <row r="2345" spans="1:26" s="219" customFormat="1" ht="18.75" customHeight="1">
      <c r="A2345" s="781" t="s">
        <v>350</v>
      </c>
      <c r="B2345" s="782" t="s">
        <v>351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8"/>
      <c r="S2345" s="778"/>
      <c r="T2345" s="778"/>
      <c r="U2345" s="778"/>
      <c r="V2345" s="778"/>
      <c r="W2345" s="778"/>
      <c r="X2345" s="778"/>
      <c r="Y2345" s="778"/>
      <c r="Z2345" s="778"/>
    </row>
    <row r="2346" spans="1:26" s="219" customFormat="1" ht="18.75" customHeight="1">
      <c r="A2346" s="781" t="s">
        <v>352</v>
      </c>
      <c r="B2346" s="782" t="s">
        <v>351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8"/>
      <c r="S2346" s="778"/>
      <c r="T2346" s="778"/>
      <c r="U2346" s="778"/>
      <c r="V2346" s="778"/>
      <c r="W2346" s="778"/>
      <c r="X2346" s="778"/>
      <c r="Y2346" s="778"/>
      <c r="Z2346" s="778"/>
    </row>
    <row r="2347" spans="1:26" s="219" customFormat="1" ht="18.75" customHeight="1">
      <c r="A2347" s="781" t="s">
        <v>353</v>
      </c>
      <c r="B2347" s="782" t="s">
        <v>351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8"/>
      <c r="S2347" s="778"/>
      <c r="T2347" s="778"/>
      <c r="U2347" s="778"/>
      <c r="V2347" s="778"/>
      <c r="W2347" s="778"/>
      <c r="X2347" s="778"/>
      <c r="Y2347" s="778"/>
      <c r="Z2347" s="778"/>
    </row>
    <row r="2348" spans="1:26" s="219" customFormat="1" ht="18.75" customHeight="1" thickBot="1">
      <c r="A2348" s="781" t="s">
        <v>354</v>
      </c>
      <c r="B2348" s="782" t="s">
        <v>351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8"/>
      <c r="S2348" s="778"/>
      <c r="T2348" s="778"/>
      <c r="U2348" s="778"/>
      <c r="V2348" s="778"/>
      <c r="W2348" s="778"/>
      <c r="X2348" s="778"/>
      <c r="Y2348" s="778"/>
      <c r="Z2348" s="778"/>
    </row>
    <row r="2349" spans="1:26" s="220" customFormat="1" ht="21.75" customHeight="1" thickTop="1" thickBot="1">
      <c r="A2349" s="379" t="s">
        <v>272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5"/>
      <c r="D2350" s="775"/>
      <c r="E2350" s="775"/>
      <c r="F2350" s="775"/>
      <c r="G2350" s="775"/>
      <c r="H2350" s="775"/>
      <c r="I2350" s="775"/>
      <c r="J2350" s="775"/>
      <c r="K2350" s="775"/>
      <c r="L2350" s="775"/>
      <c r="M2350" s="775"/>
      <c r="N2350" s="775"/>
      <c r="O2350" s="267"/>
      <c r="P2350" s="274">
        <f t="shared" si="44"/>
        <v>0</v>
      </c>
      <c r="Q2350" s="275">
        <f t="shared" si="45"/>
        <v>0</v>
      </c>
      <c r="R2350" s="732"/>
      <c r="S2350" s="732"/>
      <c r="T2350" s="732"/>
      <c r="U2350" s="732"/>
      <c r="V2350" s="732"/>
      <c r="W2350" s="732"/>
      <c r="X2350" s="732"/>
      <c r="Y2350" s="732"/>
      <c r="Z2350" s="732"/>
    </row>
    <row r="2351" spans="1:26" s="10" customFormat="1" ht="17.25" thickTop="1" thickBot="1">
      <c r="A2351" s="334" t="s">
        <v>317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2"/>
      <c r="Z2351" s="732"/>
    </row>
    <row r="2352" spans="1:26" s="10" customFormat="1" ht="17.25" thickTop="1" thickBot="1">
      <c r="A2352" s="336" t="s">
        <v>318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2"/>
      <c r="Z2352" s="732"/>
    </row>
    <row r="2353" spans="1:26" s="10" customFormat="1" ht="19.5" customHeight="1" thickBot="1">
      <c r="A2353" s="337" t="s">
        <v>319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2"/>
      <c r="Z2353" s="732"/>
    </row>
    <row r="2354" spans="1:26" ht="13.5" thickTop="1">
      <c r="A2354" s="323"/>
      <c r="B2354" s="323"/>
      <c r="C2354" s="774"/>
      <c r="D2354" s="774"/>
      <c r="E2354" s="774"/>
      <c r="F2354" s="774"/>
      <c r="G2354" s="774"/>
      <c r="H2354" s="774"/>
      <c r="I2354" s="774"/>
      <c r="J2354" s="774"/>
      <c r="K2354" s="774"/>
      <c r="L2354" s="774"/>
      <c r="M2354" s="774"/>
      <c r="N2354" s="774"/>
      <c r="O2354" s="774"/>
      <c r="P2354" s="774"/>
      <c r="Q2354" s="774"/>
      <c r="R2354" s="774"/>
      <c r="S2354" s="774"/>
      <c r="T2354" s="10"/>
      <c r="U2354" s="732"/>
      <c r="V2354" s="732"/>
      <c r="W2354" s="732"/>
      <c r="X2354" s="732"/>
      <c r="Y2354" s="732"/>
      <c r="Z2354" s="732"/>
    </row>
    <row r="2355" spans="1:26" ht="21.75" customHeight="1">
      <c r="A2355" s="323"/>
      <c r="B2355" s="323"/>
      <c r="C2355" s="774"/>
      <c r="D2355" s="774"/>
      <c r="E2355" s="774"/>
      <c r="F2355" s="774"/>
      <c r="G2355" s="774"/>
      <c r="H2355" s="211" t="s">
        <v>355</v>
      </c>
      <c r="I2355" s="214"/>
      <c r="J2355" s="774"/>
      <c r="K2355" s="774"/>
      <c r="L2355" s="774"/>
      <c r="M2355" s="774"/>
      <c r="N2355" s="774"/>
      <c r="Q2355" s="732"/>
      <c r="R2355" s="732"/>
      <c r="S2355" s="732"/>
      <c r="T2355" s="732"/>
      <c r="U2355" s="732"/>
      <c r="V2355" s="732"/>
      <c r="W2355" s="732"/>
      <c r="X2355" s="732"/>
      <c r="Y2355" s="732"/>
      <c r="Z2355" s="732"/>
    </row>
    <row r="2356" spans="1:26" ht="13.5" thickBot="1">
      <c r="A2356" s="323"/>
      <c r="B2356" s="323"/>
      <c r="C2356" s="774"/>
      <c r="D2356" s="774"/>
      <c r="E2356" s="774"/>
      <c r="F2356" s="774"/>
      <c r="G2356" s="774"/>
      <c r="H2356" s="774"/>
      <c r="I2356" s="774"/>
      <c r="J2356" s="774"/>
      <c r="K2356" s="774"/>
      <c r="L2356" s="774"/>
      <c r="M2356" s="774"/>
      <c r="N2356" s="774"/>
      <c r="Q2356" s="732"/>
      <c r="R2356" s="732"/>
      <c r="S2356" s="732"/>
      <c r="T2356" s="732"/>
      <c r="U2356" s="732"/>
      <c r="V2356" s="732"/>
      <c r="W2356" s="732"/>
      <c r="X2356" s="732"/>
      <c r="Y2356" s="732"/>
      <c r="Z2356" s="732"/>
    </row>
    <row r="2357" spans="1:26" s="219" customFormat="1" ht="27.75" customHeight="1" thickTop="1" thickBot="1">
      <c r="A2357" s="324"/>
      <c r="B2357" s="325"/>
      <c r="C2357" s="268" t="s">
        <v>243</v>
      </c>
      <c r="D2357" s="268" t="s">
        <v>244</v>
      </c>
      <c r="E2357" s="268" t="s">
        <v>245</v>
      </c>
      <c r="F2357" s="268" t="s">
        <v>246</v>
      </c>
      <c r="G2357" s="268" t="s">
        <v>247</v>
      </c>
      <c r="H2357" s="268" t="s">
        <v>248</v>
      </c>
      <c r="I2357" s="268" t="s">
        <v>249</v>
      </c>
      <c r="J2357" s="268" t="s">
        <v>250</v>
      </c>
      <c r="K2357" s="268" t="s">
        <v>251</v>
      </c>
      <c r="L2357" s="268" t="s">
        <v>252</v>
      </c>
      <c r="M2357" s="268" t="s">
        <v>253</v>
      </c>
      <c r="N2357" s="269" t="s">
        <v>254</v>
      </c>
      <c r="O2357" s="226" t="s">
        <v>348</v>
      </c>
      <c r="P2357" s="270" t="s">
        <v>256</v>
      </c>
      <c r="Q2357" s="230" t="s">
        <v>349</v>
      </c>
      <c r="R2357" s="778"/>
      <c r="S2357" s="778"/>
      <c r="T2357" s="778"/>
      <c r="U2357" s="778"/>
      <c r="V2357" s="778"/>
      <c r="W2357" s="778"/>
      <c r="X2357" s="778"/>
      <c r="Y2357" s="778"/>
      <c r="Z2357" s="778"/>
    </row>
    <row r="2358" spans="1:26" s="213" customFormat="1" ht="16.5" thickTop="1">
      <c r="A2358" s="326" t="s">
        <v>259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260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267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2"/>
      <c r="Z2360" s="732"/>
    </row>
    <row r="2361" spans="1:26" s="219" customFormat="1" ht="15.75">
      <c r="A2361" s="330" t="s">
        <v>328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8"/>
      <c r="S2361" s="778"/>
      <c r="T2361" s="778"/>
      <c r="U2361" s="778"/>
      <c r="V2361" s="778"/>
      <c r="W2361" s="778"/>
      <c r="X2361" s="778"/>
      <c r="Y2361" s="778"/>
      <c r="Z2361" s="778"/>
    </row>
    <row r="2362" spans="1:26" s="219" customFormat="1" ht="18.75" customHeight="1">
      <c r="A2362" s="781" t="s">
        <v>350</v>
      </c>
      <c r="B2362" s="782" t="s">
        <v>351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8"/>
      <c r="S2362" s="778"/>
      <c r="T2362" s="778"/>
      <c r="U2362" s="778"/>
      <c r="V2362" s="778"/>
      <c r="W2362" s="778"/>
      <c r="X2362" s="778"/>
      <c r="Y2362" s="778"/>
      <c r="Z2362" s="778"/>
    </row>
    <row r="2363" spans="1:26" s="219" customFormat="1" ht="18.75" customHeight="1">
      <c r="A2363" s="781" t="s">
        <v>352</v>
      </c>
      <c r="B2363" s="782" t="s">
        <v>351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8"/>
      <c r="S2363" s="778"/>
      <c r="T2363" s="778"/>
      <c r="U2363" s="778"/>
      <c r="V2363" s="778"/>
      <c r="W2363" s="778"/>
      <c r="X2363" s="778"/>
      <c r="Y2363" s="778"/>
      <c r="Z2363" s="778"/>
    </row>
    <row r="2364" spans="1:26" s="219" customFormat="1" ht="18.75" customHeight="1">
      <c r="A2364" s="781" t="s">
        <v>353</v>
      </c>
      <c r="B2364" s="782" t="s">
        <v>351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8"/>
      <c r="S2364" s="778"/>
      <c r="T2364" s="778"/>
      <c r="U2364" s="778"/>
      <c r="V2364" s="778"/>
      <c r="W2364" s="778"/>
      <c r="X2364" s="778"/>
      <c r="Y2364" s="778"/>
      <c r="Z2364" s="778"/>
    </row>
    <row r="2365" spans="1:26" s="219" customFormat="1" ht="18.75" customHeight="1" thickBot="1">
      <c r="A2365" s="781" t="s">
        <v>354</v>
      </c>
      <c r="B2365" s="782" t="s">
        <v>351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8"/>
      <c r="S2365" s="778"/>
      <c r="T2365" s="778"/>
      <c r="U2365" s="778"/>
      <c r="V2365" s="778"/>
      <c r="W2365" s="778"/>
      <c r="X2365" s="778"/>
      <c r="Y2365" s="778"/>
      <c r="Z2365" s="778"/>
    </row>
    <row r="2366" spans="1:26" s="220" customFormat="1" ht="21.75" customHeight="1" thickTop="1" thickBot="1">
      <c r="A2366" s="332" t="s">
        <v>272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5"/>
      <c r="D2367" s="775"/>
      <c r="E2367" s="775"/>
      <c r="F2367" s="775"/>
      <c r="G2367" s="775"/>
      <c r="H2367" s="775"/>
      <c r="I2367" s="775"/>
      <c r="J2367" s="775"/>
      <c r="K2367" s="775"/>
      <c r="L2367" s="775"/>
      <c r="M2367" s="775"/>
      <c r="N2367" s="775"/>
      <c r="O2367" s="267"/>
      <c r="P2367" s="274">
        <f t="shared" si="49"/>
        <v>0</v>
      </c>
      <c r="Q2367" s="275">
        <f t="shared" si="50"/>
        <v>0</v>
      </c>
      <c r="R2367" s="732"/>
      <c r="S2367" s="732"/>
      <c r="T2367" s="732"/>
      <c r="U2367" s="732"/>
      <c r="V2367" s="732"/>
      <c r="W2367" s="732"/>
      <c r="X2367" s="732"/>
      <c r="Y2367" s="732"/>
      <c r="Z2367" s="732"/>
    </row>
    <row r="2368" spans="1:26" s="10" customFormat="1" ht="17.25" thickTop="1" thickBot="1">
      <c r="A2368" s="334" t="s">
        <v>317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2"/>
      <c r="Z2368" s="732"/>
    </row>
    <row r="2369" spans="1:26" s="10" customFormat="1" ht="17.25" thickTop="1" thickBot="1">
      <c r="A2369" s="336" t="s">
        <v>318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2"/>
      <c r="Z2369" s="732"/>
    </row>
    <row r="2370" spans="1:26" s="10" customFormat="1" ht="19.5" customHeight="1" thickBot="1">
      <c r="A2370" s="337" t="s">
        <v>319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2"/>
      <c r="Z2370" s="732"/>
    </row>
    <row r="2371" spans="1:26" ht="13.5" thickTop="1">
      <c r="C2371" s="774"/>
      <c r="D2371" s="774"/>
      <c r="E2371" s="774"/>
      <c r="F2371" s="774"/>
      <c r="G2371" s="774"/>
      <c r="H2371" s="774"/>
      <c r="I2371" s="774"/>
      <c r="J2371" s="774"/>
      <c r="K2371" s="774"/>
      <c r="L2371" s="774"/>
      <c r="M2371" s="774"/>
      <c r="N2371" s="774"/>
      <c r="Q2371" s="732"/>
      <c r="R2371" s="732"/>
      <c r="S2371" s="732"/>
      <c r="T2371" s="732"/>
      <c r="U2371" s="732"/>
      <c r="V2371" s="732"/>
      <c r="W2371" s="732"/>
      <c r="X2371" s="732"/>
      <c r="Y2371" s="732"/>
      <c r="Z2371" s="732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tabSelected="1" zoomScale="60" zoomScaleNormal="60" zoomScaleSheetLayoutView="70" workbookViewId="0">
      <pane xSplit="8" ySplit="4" topLeftCell="BI5" activePane="bottomRight" state="frozen"/>
      <selection pane="bottomRight" activeCell="BI37" sqref="BI37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18.85546875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964">
        <v>44896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86" t="s">
        <v>40</v>
      </c>
      <c r="N1" s="886"/>
      <c r="O1" s="886"/>
      <c r="Q1" s="886"/>
      <c r="R1" s="530"/>
      <c r="S1" s="530"/>
      <c r="T1" s="530"/>
      <c r="U1" s="530"/>
      <c r="V1" s="786"/>
      <c r="W1" s="786"/>
      <c r="X1" s="786"/>
      <c r="Y1" s="786"/>
      <c r="Z1" s="786"/>
      <c r="AA1" s="786"/>
      <c r="AB1" s="786"/>
      <c r="AC1" s="786"/>
      <c r="AD1" s="786"/>
      <c r="AE1" s="786"/>
      <c r="AF1" s="786"/>
      <c r="AG1" s="786"/>
      <c r="AH1" s="786"/>
      <c r="AI1" s="786"/>
      <c r="AJ1" s="786"/>
      <c r="AK1" s="786"/>
      <c r="AL1" s="786"/>
      <c r="AM1" s="786"/>
      <c r="AN1" s="786"/>
      <c r="AO1" s="786"/>
      <c r="AP1" s="786"/>
      <c r="AQ1" s="786"/>
      <c r="AR1" s="786"/>
      <c r="AS1" s="786"/>
      <c r="AT1" s="786"/>
      <c r="AU1" s="786"/>
      <c r="AV1" s="786"/>
      <c r="AW1" s="786"/>
      <c r="AX1" s="786"/>
      <c r="AY1" s="786"/>
      <c r="AZ1" s="786"/>
      <c r="BA1" s="786"/>
      <c r="BB1" s="786"/>
      <c r="BC1" s="786"/>
      <c r="BD1" s="786"/>
      <c r="BE1" s="786"/>
      <c r="BF1" s="786"/>
      <c r="BG1" s="786"/>
      <c r="BH1" s="786"/>
      <c r="BI1" s="786"/>
      <c r="BJ1" s="786"/>
      <c r="BK1" s="530"/>
      <c r="BL1" s="530"/>
      <c r="BM1" s="786"/>
      <c r="BN1" s="786"/>
      <c r="BO1" s="528"/>
      <c r="BP1" s="942" t="s">
        <v>356</v>
      </c>
      <c r="BQ1" s="943"/>
      <c r="BR1" s="565">
        <v>1.6</v>
      </c>
      <c r="BS1" s="562" t="s">
        <v>357</v>
      </c>
      <c r="BT1" s="563"/>
      <c r="BU1" s="944" t="s">
        <v>358</v>
      </c>
      <c r="BV1" s="945"/>
      <c r="BW1" s="565">
        <v>500</v>
      </c>
      <c r="BX1" s="942" t="s">
        <v>359</v>
      </c>
      <c r="BY1" s="943"/>
      <c r="BZ1" s="565">
        <v>1.1499999999999999</v>
      </c>
    </row>
    <row r="2" spans="1:78" ht="28.5" hidden="1" customHeight="1" thickBot="1">
      <c r="A2" s="965"/>
      <c r="B2" s="114"/>
      <c r="C2" s="28"/>
      <c r="D2" s="28"/>
      <c r="E2" s="189"/>
      <c r="F2" s="189"/>
      <c r="I2" s="190"/>
      <c r="M2" s="887"/>
      <c r="N2" s="887"/>
      <c r="O2" s="887"/>
      <c r="Q2" s="887"/>
      <c r="R2" s="531"/>
      <c r="S2" s="531"/>
      <c r="T2" s="531"/>
      <c r="U2" s="531"/>
      <c r="V2" s="787"/>
      <c r="W2" s="787"/>
      <c r="X2" s="787"/>
      <c r="Y2" s="787"/>
      <c r="Z2" s="787"/>
      <c r="AA2" s="787"/>
      <c r="AB2" s="787"/>
      <c r="AC2" s="787"/>
      <c r="AD2" s="787" t="s">
        <v>38</v>
      </c>
      <c r="AE2" s="787"/>
      <c r="AF2" s="787"/>
      <c r="AG2" s="787"/>
      <c r="AH2" s="787"/>
      <c r="AI2" s="787"/>
      <c r="AJ2" s="787"/>
      <c r="AK2" s="787"/>
      <c r="AL2" s="787"/>
      <c r="AM2" s="787"/>
      <c r="AN2" s="787"/>
      <c r="AO2" s="787"/>
      <c r="AP2" s="787"/>
      <c r="AQ2" s="787"/>
      <c r="AR2" s="787"/>
      <c r="AS2" s="787"/>
      <c r="AT2" s="787"/>
      <c r="AU2" s="787"/>
      <c r="AV2" s="787"/>
      <c r="AW2" s="787"/>
      <c r="AX2" s="787"/>
      <c r="AY2" s="787"/>
      <c r="AZ2" s="787"/>
      <c r="BA2" s="787"/>
      <c r="BB2" s="787"/>
      <c r="BC2" s="787"/>
      <c r="BD2" s="787"/>
      <c r="BE2" s="787"/>
      <c r="BF2" s="787"/>
      <c r="BG2" s="787"/>
      <c r="BH2" s="787"/>
      <c r="BI2" s="787"/>
      <c r="BJ2" s="787"/>
      <c r="BK2" s="531"/>
      <c r="BL2" s="531"/>
      <c r="BM2" s="787"/>
      <c r="BN2" s="787"/>
      <c r="BO2" s="527"/>
      <c r="BP2" s="942"/>
      <c r="BQ2" s="943"/>
      <c r="BR2" s="565"/>
      <c r="BS2" s="567" t="s">
        <v>360</v>
      </c>
      <c r="BT2" s="568"/>
      <c r="BU2" s="944" t="s">
        <v>361</v>
      </c>
      <c r="BV2" s="945"/>
      <c r="BW2" s="569"/>
      <c r="BX2" s="942" t="s">
        <v>362</v>
      </c>
      <c r="BY2" s="943"/>
      <c r="BZ2" s="565">
        <v>30</v>
      </c>
    </row>
    <row r="3" spans="1:78" s="205" customFormat="1" ht="37.5" customHeight="1">
      <c r="A3" s="949" t="s">
        <v>150</v>
      </c>
      <c r="B3" s="951" t="s">
        <v>363</v>
      </c>
      <c r="C3" s="952"/>
      <c r="D3" s="946" t="s">
        <v>152</v>
      </c>
      <c r="E3" s="946"/>
      <c r="F3" s="946" t="s">
        <v>153</v>
      </c>
      <c r="G3" s="946"/>
      <c r="H3" s="966" t="s">
        <v>364</v>
      </c>
      <c r="I3" s="570" t="s">
        <v>365</v>
      </c>
      <c r="J3" s="536"/>
      <c r="K3" s="789"/>
      <c r="L3" s="946"/>
      <c r="M3" s="946"/>
      <c r="N3" s="946"/>
      <c r="O3" s="946"/>
      <c r="P3" s="946"/>
      <c r="Q3" s="946"/>
      <c r="R3" s="955" t="s">
        <v>366</v>
      </c>
      <c r="S3" s="955"/>
      <c r="T3" s="955"/>
      <c r="U3" s="956"/>
      <c r="V3" s="957" t="s">
        <v>367</v>
      </c>
      <c r="W3" s="958"/>
      <c r="X3" s="958"/>
      <c r="Y3" s="958"/>
      <c r="Z3" s="958"/>
      <c r="AA3" s="958"/>
      <c r="AB3" s="958"/>
      <c r="AC3" s="958"/>
      <c r="AD3" s="958"/>
      <c r="AE3" s="958"/>
      <c r="AF3" s="958"/>
      <c r="AG3" s="958"/>
      <c r="AH3" s="958"/>
      <c r="AI3" s="958"/>
      <c r="AJ3" s="958"/>
      <c r="AK3" s="958"/>
      <c r="AL3" s="958"/>
      <c r="AM3" s="958"/>
      <c r="AN3" s="959"/>
      <c r="AO3" s="963" t="s">
        <v>368</v>
      </c>
      <c r="AP3" s="955"/>
      <c r="AQ3" s="955"/>
      <c r="AR3" s="955"/>
      <c r="AS3" s="955"/>
      <c r="AT3" s="955"/>
      <c r="AU3" s="955"/>
      <c r="AV3" s="955"/>
      <c r="AW3" s="955"/>
      <c r="AX3" s="955"/>
      <c r="AY3" s="955"/>
      <c r="AZ3" s="955"/>
      <c r="BA3" s="955"/>
      <c r="BB3" s="955"/>
      <c r="BC3" s="955"/>
      <c r="BD3" s="955"/>
      <c r="BE3" s="955"/>
      <c r="BF3" s="955"/>
      <c r="BG3" s="955"/>
      <c r="BH3" s="955"/>
      <c r="BI3" s="955"/>
      <c r="BJ3" s="956"/>
      <c r="BK3" s="960" t="s">
        <v>369</v>
      </c>
      <c r="BL3" s="961"/>
      <c r="BM3" s="961"/>
      <c r="BN3" s="961"/>
      <c r="BO3" s="961"/>
      <c r="BP3" s="961"/>
      <c r="BQ3" s="961"/>
      <c r="BR3" s="962"/>
      <c r="BS3" s="953" t="s">
        <v>370</v>
      </c>
      <c r="BT3" s="790" t="s">
        <v>371</v>
      </c>
      <c r="BU3" s="790" t="s">
        <v>372</v>
      </c>
      <c r="BV3" s="790" t="s">
        <v>371</v>
      </c>
      <c r="BW3" s="790" t="s">
        <v>372</v>
      </c>
      <c r="BX3" s="946" t="s">
        <v>373</v>
      </c>
      <c r="BY3" s="571" t="s">
        <v>94</v>
      </c>
      <c r="BZ3" s="572" t="s">
        <v>94</v>
      </c>
    </row>
    <row r="4" spans="1:78" s="205" customFormat="1" ht="55.5" customHeight="1" thickBot="1">
      <c r="A4" s="950"/>
      <c r="B4" s="573" t="s">
        <v>374</v>
      </c>
      <c r="C4" s="574" t="s">
        <v>375</v>
      </c>
      <c r="D4" s="537" t="s">
        <v>374</v>
      </c>
      <c r="E4" s="574" t="s">
        <v>376</v>
      </c>
      <c r="F4" s="537" t="s">
        <v>377</v>
      </c>
      <c r="G4" s="574" t="s">
        <v>378</v>
      </c>
      <c r="H4" s="967"/>
      <c r="I4" s="575" t="s">
        <v>379</v>
      </c>
      <c r="J4" s="537" t="s">
        <v>380</v>
      </c>
      <c r="K4" s="537" t="s">
        <v>381</v>
      </c>
      <c r="L4" s="788" t="s">
        <v>382</v>
      </c>
      <c r="M4" s="537" t="s">
        <v>380</v>
      </c>
      <c r="N4" s="537" t="s">
        <v>383</v>
      </c>
      <c r="O4" s="537" t="s">
        <v>380</v>
      </c>
      <c r="P4" s="576" t="s">
        <v>384</v>
      </c>
      <c r="Q4" s="788" t="s">
        <v>385</v>
      </c>
      <c r="R4" s="686" t="s">
        <v>21</v>
      </c>
      <c r="S4" s="537" t="s">
        <v>380</v>
      </c>
      <c r="T4" s="686" t="s">
        <v>22</v>
      </c>
      <c r="U4" s="537" t="s">
        <v>380</v>
      </c>
      <c r="V4" s="548" t="s">
        <v>386</v>
      </c>
      <c r="W4" s="788" t="s">
        <v>387</v>
      </c>
      <c r="X4" s="548" t="s">
        <v>388</v>
      </c>
      <c r="Y4" s="788" t="s">
        <v>387</v>
      </c>
      <c r="Z4" s="713" t="s">
        <v>389</v>
      </c>
      <c r="AA4" s="788" t="s">
        <v>387</v>
      </c>
      <c r="AB4" s="548" t="s">
        <v>390</v>
      </c>
      <c r="AC4" s="788" t="s">
        <v>387</v>
      </c>
      <c r="AD4" s="548" t="s">
        <v>391</v>
      </c>
      <c r="AE4" s="788" t="s">
        <v>387</v>
      </c>
      <c r="AF4" s="548" t="s">
        <v>392</v>
      </c>
      <c r="AG4" s="788" t="s">
        <v>387</v>
      </c>
      <c r="AH4" s="548" t="s">
        <v>393</v>
      </c>
      <c r="AI4" s="788" t="s">
        <v>387</v>
      </c>
      <c r="AJ4" s="548" t="s">
        <v>394</v>
      </c>
      <c r="AK4" s="788" t="s">
        <v>387</v>
      </c>
      <c r="AL4" s="686" t="s">
        <v>395</v>
      </c>
      <c r="AM4" s="788" t="s">
        <v>387</v>
      </c>
      <c r="AN4" s="576" t="s">
        <v>396</v>
      </c>
      <c r="AO4" s="788" t="s">
        <v>397</v>
      </c>
      <c r="AP4" s="537" t="s">
        <v>380</v>
      </c>
      <c r="AQ4" s="788" t="s">
        <v>398</v>
      </c>
      <c r="AR4" s="537" t="s">
        <v>380</v>
      </c>
      <c r="AS4" s="788" t="s">
        <v>399</v>
      </c>
      <c r="AT4" s="537" t="s">
        <v>380</v>
      </c>
      <c r="AU4" s="788" t="s">
        <v>400</v>
      </c>
      <c r="AV4" s="537" t="s">
        <v>380</v>
      </c>
      <c r="AW4" s="537" t="s">
        <v>401</v>
      </c>
      <c r="AX4" s="537" t="s">
        <v>380</v>
      </c>
      <c r="AY4" s="788" t="s">
        <v>402</v>
      </c>
      <c r="AZ4" s="537" t="s">
        <v>380</v>
      </c>
      <c r="BA4" s="537" t="s">
        <v>403</v>
      </c>
      <c r="BB4" s="537" t="s">
        <v>380</v>
      </c>
      <c r="BC4" s="788" t="s">
        <v>404</v>
      </c>
      <c r="BD4" s="537" t="s">
        <v>380</v>
      </c>
      <c r="BE4" s="537" t="s">
        <v>405</v>
      </c>
      <c r="BF4" s="537" t="s">
        <v>380</v>
      </c>
      <c r="BG4" s="537" t="s">
        <v>406</v>
      </c>
      <c r="BH4" s="537" t="s">
        <v>380</v>
      </c>
      <c r="BI4" s="576" t="s">
        <v>407</v>
      </c>
      <c r="BJ4" s="576" t="s">
        <v>408</v>
      </c>
      <c r="BK4" s="788" t="s">
        <v>409</v>
      </c>
      <c r="BL4" s="537" t="s">
        <v>380</v>
      </c>
      <c r="BM4" s="537" t="s">
        <v>410</v>
      </c>
      <c r="BN4" s="537" t="s">
        <v>380</v>
      </c>
      <c r="BO4" s="537" t="s">
        <v>411</v>
      </c>
      <c r="BP4" s="537" t="s">
        <v>380</v>
      </c>
      <c r="BQ4" s="537" t="s">
        <v>412</v>
      </c>
      <c r="BR4" s="537" t="s">
        <v>380</v>
      </c>
      <c r="BS4" s="954"/>
      <c r="BT4" s="537" t="s">
        <v>413</v>
      </c>
      <c r="BU4" s="537" t="s">
        <v>414</v>
      </c>
      <c r="BV4" s="537" t="s">
        <v>415</v>
      </c>
      <c r="BW4" s="537" t="s">
        <v>415</v>
      </c>
      <c r="BX4" s="947"/>
      <c r="BY4" s="577" t="s">
        <v>105</v>
      </c>
      <c r="BZ4" s="578" t="s">
        <v>106</v>
      </c>
    </row>
    <row r="5" spans="1:78" s="385" customFormat="1" ht="39" customHeight="1">
      <c r="A5" s="525" t="s">
        <v>416</v>
      </c>
      <c r="B5" s="431"/>
      <c r="C5" s="432"/>
      <c r="D5" s="432"/>
      <c r="E5" s="432"/>
      <c r="F5" s="432"/>
      <c r="G5" s="432"/>
      <c r="H5" s="433"/>
      <c r="I5" s="769">
        <v>25597717.833333299</v>
      </c>
      <c r="J5" s="636">
        <f>IF(I5&gt;=I4,I5-I4,0)</f>
        <v>0</v>
      </c>
      <c r="K5" s="636">
        <f>M5+O5</f>
        <v>0</v>
      </c>
      <c r="L5" s="769">
        <v>272958.66666666698</v>
      </c>
      <c r="M5" s="636">
        <f>IF(L5&gt;=L4,L5-L4,0)</f>
        <v>0</v>
      </c>
      <c r="N5" s="769">
        <v>294716</v>
      </c>
      <c r="O5" s="636">
        <f t="shared" ref="O5:O36" si="0">IF(N5&gt;=N4,N5-N4,0)</f>
        <v>0</v>
      </c>
      <c r="P5" s="769">
        <v>227190</v>
      </c>
      <c r="Q5" s="636">
        <f>IF(P5&gt;=P4,P5-P4,0)*30</f>
        <v>0</v>
      </c>
      <c r="R5" s="768">
        <v>226100.66666666701</v>
      </c>
      <c r="S5" s="636">
        <f>IF(R5&gt;=R4,R5-R4,0)</f>
        <v>0</v>
      </c>
      <c r="T5" s="768">
        <v>412645.66666666698</v>
      </c>
      <c r="U5" s="636">
        <f t="shared" ref="U5:U27" si="1">IF(T5&gt;=T4,T5-T4,0)</f>
        <v>0</v>
      </c>
      <c r="V5" s="768">
        <v>641433.33333333302</v>
      </c>
      <c r="W5" s="636">
        <f t="shared" ref="W5:W36" si="2">IF(V5&gt;=V4,V5-V4,0)*0.53</f>
        <v>0</v>
      </c>
      <c r="X5" s="769">
        <v>829692</v>
      </c>
      <c r="Y5" s="636">
        <f t="shared" ref="Y5:Y36" si="3">IF(X5&gt;=X4,X5-X4,0)*0.53</f>
        <v>0</v>
      </c>
      <c r="Z5" s="768">
        <v>840351</v>
      </c>
      <c r="AA5" s="636">
        <f t="shared" ref="AA5:AA36" si="4">IF(Z5&gt;=Z4,Z5-Z4,0)*0.53</f>
        <v>0</v>
      </c>
      <c r="AB5" s="768">
        <v>184735</v>
      </c>
      <c r="AC5" s="636">
        <f>IF(AB5&gt;=AB4,AB5-AB4,0)*0.53</f>
        <v>0</v>
      </c>
      <c r="AD5" s="768">
        <v>861815</v>
      </c>
      <c r="AE5" s="636">
        <f>IF(AD5&gt;=AD4,AD5-AD4,0)*0.53</f>
        <v>0</v>
      </c>
      <c r="AF5" s="768">
        <v>1009533.33333333</v>
      </c>
      <c r="AG5" s="636">
        <f t="shared" ref="AG5:AG12" si="5">IF(AF5&gt;=AF4,AF5-AF4,0)*0.53</f>
        <v>0</v>
      </c>
      <c r="AH5" s="768">
        <v>417412.5</v>
      </c>
      <c r="AI5" s="636">
        <f t="shared" ref="AI5:AI36" si="6">IF(AH5&gt;=AH4,AH5-AH4,0)*0.53</f>
        <v>0</v>
      </c>
      <c r="AJ5" s="769">
        <v>510596.33333333302</v>
      </c>
      <c r="AK5" s="636">
        <f t="shared" ref="AK5:AK12" si="7">IF(AJ5&gt;=AJ4,AJ5-AJ4,0)*0.53</f>
        <v>0</v>
      </c>
      <c r="AL5" s="768">
        <v>567281</v>
      </c>
      <c r="AM5" s="636">
        <f t="shared" ref="AM5:AM36" si="8">IF(AL5&gt;=AL4,AL5-AL4,0)*0.53</f>
        <v>0</v>
      </c>
      <c r="AN5" s="636">
        <f>W5+Y5+AA5+AC5+AE5+AG5+AI5+AK5+AM5</f>
        <v>0</v>
      </c>
      <c r="AO5" s="768">
        <v>8168866.3333333302</v>
      </c>
      <c r="AP5" s="636">
        <f>IF(AO5&gt;=AO4,AO5-AO4,0)*0.1125</f>
        <v>0</v>
      </c>
      <c r="AQ5" s="768">
        <v>749961</v>
      </c>
      <c r="AR5" s="636">
        <f t="shared" ref="AR5:AR36" si="9">IF(AQ5&gt;=AQ4,AQ5-AQ4,0)</f>
        <v>0</v>
      </c>
      <c r="AS5" s="769">
        <v>15375.666666666701</v>
      </c>
      <c r="AT5" s="636">
        <f>IF(AS5&gt;=AS4,AS5-AS4,0)</f>
        <v>0</v>
      </c>
      <c r="AU5" s="768">
        <v>825880.83333333302</v>
      </c>
      <c r="AV5" s="636">
        <f t="shared" ref="AV5:AV36" si="10">IF(AU5&gt;=AU4,AU5-AU4,0)</f>
        <v>0</v>
      </c>
      <c r="AW5" s="768">
        <v>2878624.8333333302</v>
      </c>
      <c r="AX5" s="636">
        <f t="shared" ref="AX5:AX36" si="11">IF(AW5&gt;=AW4,AW5-AW4,0)</f>
        <v>0</v>
      </c>
      <c r="AY5" s="769">
        <v>232290.66666666701</v>
      </c>
      <c r="AZ5" s="636">
        <f t="shared" ref="AZ5:AZ18" si="12">IF(AY5&gt;=AY4,AY5-AY4,0)</f>
        <v>0</v>
      </c>
      <c r="BA5" s="768">
        <v>20790094.333333299</v>
      </c>
      <c r="BB5" s="636">
        <f t="shared" ref="BB5:BF36" si="13">IF(BA5&gt;=BA4,BA5-BA4,0)</f>
        <v>0</v>
      </c>
      <c r="BC5" s="768">
        <v>638949</v>
      </c>
      <c r="BD5" s="636">
        <f t="shared" si="13"/>
        <v>0</v>
      </c>
      <c r="BE5" s="768">
        <v>44912</v>
      </c>
      <c r="BF5" s="636">
        <f t="shared" si="13"/>
        <v>0</v>
      </c>
      <c r="BG5" s="769">
        <v>26126945.666666701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69">
        <v>1492737</v>
      </c>
      <c r="BL5" s="636">
        <f t="shared" ref="BL5:BL36" si="14">IF(BK5&gt;=BK4,BK5-BK4,0)</f>
        <v>0</v>
      </c>
      <c r="BM5" s="769">
        <v>4303840</v>
      </c>
      <c r="BN5" s="636">
        <f t="shared" ref="BN5:BN36" si="15">IF(BM5&gt;=BM4,BM5-BM4,0)</f>
        <v>0</v>
      </c>
      <c r="BO5" s="807">
        <v>449492</v>
      </c>
      <c r="BP5" s="636">
        <f t="shared" ref="BP5:BP36" si="16">IF(BO5&gt;=BO4,BO5-BO4,0)</f>
        <v>0</v>
      </c>
      <c r="BQ5" s="768">
        <v>561984.66666666698</v>
      </c>
      <c r="BR5" s="636">
        <f t="shared" ref="BR5:BR11" si="17">IF(BQ5&gt;=BQ4,BQ5-BQ4,0)</f>
        <v>0</v>
      </c>
      <c r="BS5" s="768"/>
      <c r="BT5" s="693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69">
        <v>25602753</v>
      </c>
      <c r="J6" s="636">
        <f t="shared" ref="J6:J36" si="18">IF(I6&gt;=I5,I6-I5,0)</f>
        <v>5035.166666701436</v>
      </c>
      <c r="K6" s="636">
        <f t="shared" ref="K6:K36" si="19">M6+O6</f>
        <v>4149.3333333330229</v>
      </c>
      <c r="L6" s="769">
        <v>274718</v>
      </c>
      <c r="M6" s="636">
        <f>IF(L6&gt;=L5,L6-L5,0)</f>
        <v>1759.3333333330229</v>
      </c>
      <c r="N6" s="769">
        <v>297106</v>
      </c>
      <c r="O6" s="636">
        <f>IF(N6&gt;=N5,N6-N5,0)</f>
        <v>2390</v>
      </c>
      <c r="P6" s="769">
        <v>227207</v>
      </c>
      <c r="Q6" s="636">
        <f>IF(P6&gt;=P5,P6-P5,0)*30</f>
        <v>510</v>
      </c>
      <c r="R6" s="768">
        <v>226239</v>
      </c>
      <c r="S6" s="636">
        <f>IF(R6&gt;=R5,R6-R5,0)</f>
        <v>138.33333333299379</v>
      </c>
      <c r="T6" s="768">
        <v>412870</v>
      </c>
      <c r="U6" s="636">
        <f t="shared" si="1"/>
        <v>224.33333333302289</v>
      </c>
      <c r="V6" s="768">
        <v>648674</v>
      </c>
      <c r="W6" s="636">
        <f t="shared" si="2"/>
        <v>3837.5533333334979</v>
      </c>
      <c r="X6" s="769">
        <v>829692</v>
      </c>
      <c r="Y6" s="636">
        <f t="shared" si="3"/>
        <v>0</v>
      </c>
      <c r="Z6" s="768">
        <v>845345</v>
      </c>
      <c r="AA6" s="636">
        <f t="shared" si="4"/>
        <v>2646.82</v>
      </c>
      <c r="AB6" s="768">
        <v>184735</v>
      </c>
      <c r="AC6" s="636">
        <f>IF(AB6&gt;=AB5,AB6-AB5,0)*0.53</f>
        <v>0</v>
      </c>
      <c r="AD6" s="768">
        <v>861839</v>
      </c>
      <c r="AE6" s="636">
        <f t="shared" ref="AE6:AE36" si="20">IF(AD6&gt;=AD5,AD6-AD5,0)*0.53</f>
        <v>12.72</v>
      </c>
      <c r="AF6" s="768">
        <v>1009549</v>
      </c>
      <c r="AG6" s="636">
        <f t="shared" si="5"/>
        <v>8.3033333351020708</v>
      </c>
      <c r="AH6" s="769">
        <v>418107</v>
      </c>
      <c r="AI6" s="636">
        <f t="shared" si="6"/>
        <v>368.08500000000004</v>
      </c>
      <c r="AJ6" s="769">
        <v>514617</v>
      </c>
      <c r="AK6" s="636">
        <f t="shared" si="7"/>
        <v>2130.953333333498</v>
      </c>
      <c r="AL6" s="768">
        <v>567520</v>
      </c>
      <c r="AM6" s="636">
        <f t="shared" si="8"/>
        <v>126.67</v>
      </c>
      <c r="AN6" s="636">
        <f t="shared" ref="AN6:AN36" si="21">W6+Y6+AA6+AC6+AE6+AG6+AI6+AK6+AM6</f>
        <v>9131.1050000020987</v>
      </c>
      <c r="AO6" s="768">
        <v>8170407</v>
      </c>
      <c r="AP6" s="636">
        <f t="shared" ref="AP6:AP36" si="22">IF(AO6&gt;=AO5,AO6-AO5,0)*0.1125</f>
        <v>173.32500000034926</v>
      </c>
      <c r="AQ6" s="768">
        <v>750148</v>
      </c>
      <c r="AR6" s="636">
        <f t="shared" si="9"/>
        <v>187</v>
      </c>
      <c r="AS6" s="768">
        <v>15493</v>
      </c>
      <c r="AT6" s="636">
        <f t="shared" ref="AT6:AT34" si="23">IF(AS6&gt;=AS5,AS6-AS5,0)</f>
        <v>117.33333333329938</v>
      </c>
      <c r="AU6" s="710">
        <v>825927</v>
      </c>
      <c r="AV6" s="636">
        <f t="shared" si="10"/>
        <v>46.166666666977108</v>
      </c>
      <c r="AW6" s="769">
        <v>2879704</v>
      </c>
      <c r="AX6" s="636">
        <f t="shared" si="11"/>
        <v>1079.1666666697711</v>
      </c>
      <c r="AY6" s="768">
        <v>232301</v>
      </c>
      <c r="AZ6" s="636">
        <f t="shared" si="12"/>
        <v>10.333333332993789</v>
      </c>
      <c r="BA6" s="769">
        <v>20794849</v>
      </c>
      <c r="BB6" s="636">
        <f t="shared" si="13"/>
        <v>4754.666666701436</v>
      </c>
      <c r="BC6" s="768">
        <v>639185</v>
      </c>
      <c r="BD6" s="636">
        <f t="shared" si="13"/>
        <v>236</v>
      </c>
      <c r="BE6" s="768">
        <v>44912</v>
      </c>
      <c r="BF6" s="636">
        <f t="shared" si="13"/>
        <v>0</v>
      </c>
      <c r="BG6" s="768">
        <v>26133215</v>
      </c>
      <c r="BH6" s="636">
        <f t="shared" ref="BH6:BH36" si="24">IF(BG6&gt;=BG5,BG6-BG5,0)-(0.45*BN6)-(0.45*BP6)-BR6</f>
        <v>5636.1999999655418</v>
      </c>
      <c r="BI6" s="636">
        <f t="shared" ref="BI6:BI36" si="25">AP6+AR6+AT6+AV6+AX6+AZ6+BB6+BD6+BF6+BH6</f>
        <v>12240.191666670369</v>
      </c>
      <c r="BJ6" s="636">
        <f t="shared" ref="BJ6:BJ36" si="26">BI6+AN6</f>
        <v>21371.296666672468</v>
      </c>
      <c r="BK6" s="769">
        <v>1493075</v>
      </c>
      <c r="BL6" s="636">
        <f t="shared" si="14"/>
        <v>338</v>
      </c>
      <c r="BM6" s="769">
        <v>4304807</v>
      </c>
      <c r="BN6" s="636">
        <f t="shared" si="15"/>
        <v>967</v>
      </c>
      <c r="BO6" s="769">
        <v>449629</v>
      </c>
      <c r="BP6" s="636">
        <f t="shared" si="16"/>
        <v>137</v>
      </c>
      <c r="BQ6" s="768">
        <v>562121</v>
      </c>
      <c r="BR6" s="636">
        <f t="shared" si="17"/>
        <v>136.33333333302289</v>
      </c>
      <c r="BS6" s="692">
        <f t="shared" ref="BS6:BS36" si="27">J6+Q6+AN6+BI6</f>
        <v>26916.463333373904</v>
      </c>
      <c r="BT6" s="693">
        <v>210</v>
      </c>
      <c r="BU6" s="692" t="e">
        <f t="shared" ref="BU6:BU12" si="28">IF(BS6&gt;0,BS6/BT5,0)</f>
        <v>#DIV/0!</v>
      </c>
      <c r="BV6" s="693"/>
      <c r="BW6" s="692" t="e">
        <f t="shared" ref="BW6:BW36" si="29">IF(BS6&gt;0,BS6/BV6,0)</f>
        <v>#DIV/0!</v>
      </c>
      <c r="BX6" s="692">
        <f>((BS6-Q6)*$BZ$1)+(Q6*$BR$1)</f>
        <v>31183.432833379986</v>
      </c>
      <c r="BY6" s="692" t="e">
        <f t="shared" ref="BY6:BY15" si="30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69">
        <v>25609332</v>
      </c>
      <c r="J7" s="636">
        <f t="shared" si="18"/>
        <v>6579</v>
      </c>
      <c r="K7" s="636">
        <f t="shared" si="19"/>
        <v>3507</v>
      </c>
      <c r="L7" s="769">
        <v>276695</v>
      </c>
      <c r="M7" s="636">
        <f>IF(L7&gt;=L6,L7-L6,0)</f>
        <v>1977</v>
      </c>
      <c r="N7" s="769">
        <v>298636</v>
      </c>
      <c r="O7" s="636">
        <f>IF(N7&gt;=N6,N7-N6,0)</f>
        <v>1530</v>
      </c>
      <c r="P7" s="769">
        <v>227224</v>
      </c>
      <c r="Q7" s="636">
        <f t="shared" ref="Q7:Q18" si="31">IF(P7&gt;=P6,P7-P6,0)*30</f>
        <v>510</v>
      </c>
      <c r="R7" s="768">
        <v>226376</v>
      </c>
      <c r="S7" s="636">
        <f t="shared" ref="S7:S20" si="32">IF(R7&gt;=R6,R7-R6,0)</f>
        <v>137</v>
      </c>
      <c r="T7" s="768">
        <v>413121</v>
      </c>
      <c r="U7" s="636">
        <f t="shared" si="1"/>
        <v>251</v>
      </c>
      <c r="V7" s="768">
        <v>650540</v>
      </c>
      <c r="W7" s="636">
        <f t="shared" si="2"/>
        <v>988.98</v>
      </c>
      <c r="X7" s="769">
        <v>829692</v>
      </c>
      <c r="Y7" s="636">
        <f t="shared" si="3"/>
        <v>0</v>
      </c>
      <c r="Z7" s="768">
        <v>849452</v>
      </c>
      <c r="AA7" s="636">
        <f t="shared" si="4"/>
        <v>2176.71</v>
      </c>
      <c r="AB7" s="768">
        <v>184735</v>
      </c>
      <c r="AC7" s="636">
        <f t="shared" ref="AC7:AC36" si="33">IF(AB7&gt;=AB6,AB7-AB6,0)*0.53</f>
        <v>0</v>
      </c>
      <c r="AD7" s="768">
        <v>861857</v>
      </c>
      <c r="AE7" s="636">
        <f t="shared" si="20"/>
        <v>9.5400000000000009</v>
      </c>
      <c r="AF7" s="768">
        <v>1009571</v>
      </c>
      <c r="AG7" s="636">
        <f t="shared" si="5"/>
        <v>11.66</v>
      </c>
      <c r="AH7" s="769">
        <v>418727</v>
      </c>
      <c r="AI7" s="636">
        <f t="shared" si="6"/>
        <v>328.6</v>
      </c>
      <c r="AJ7" s="769">
        <v>518766</v>
      </c>
      <c r="AK7" s="636">
        <f t="shared" si="7"/>
        <v>2198.9700000000003</v>
      </c>
      <c r="AL7" s="768">
        <v>567731</v>
      </c>
      <c r="AM7" s="636">
        <f t="shared" si="8"/>
        <v>111.83000000000001</v>
      </c>
      <c r="AN7" s="636">
        <f t="shared" si="21"/>
        <v>5826.29</v>
      </c>
      <c r="AO7" s="768">
        <v>8171521</v>
      </c>
      <c r="AP7" s="636">
        <f t="shared" si="22"/>
        <v>125.325</v>
      </c>
      <c r="AQ7" s="768">
        <v>750359</v>
      </c>
      <c r="AR7" s="636">
        <f t="shared" si="9"/>
        <v>211</v>
      </c>
      <c r="AS7" s="769">
        <v>15648</v>
      </c>
      <c r="AT7" s="636">
        <f t="shared" si="23"/>
        <v>155</v>
      </c>
      <c r="AU7" s="710">
        <v>825957</v>
      </c>
      <c r="AV7" s="636">
        <f t="shared" si="10"/>
        <v>30</v>
      </c>
      <c r="AW7" s="769">
        <v>2880626</v>
      </c>
      <c r="AX7" s="636">
        <f t="shared" si="11"/>
        <v>922</v>
      </c>
      <c r="AY7" s="768">
        <v>232311</v>
      </c>
      <c r="AZ7" s="636">
        <f t="shared" si="12"/>
        <v>10</v>
      </c>
      <c r="BA7" s="769">
        <v>20799334</v>
      </c>
      <c r="BB7" s="636">
        <f t="shared" si="13"/>
        <v>4485</v>
      </c>
      <c r="BC7" s="768">
        <v>639386</v>
      </c>
      <c r="BD7" s="636">
        <f t="shared" si="13"/>
        <v>201</v>
      </c>
      <c r="BE7" s="768">
        <v>44922</v>
      </c>
      <c r="BF7" s="636">
        <f t="shared" si="13"/>
        <v>10</v>
      </c>
      <c r="BG7" s="769">
        <v>26139207</v>
      </c>
      <c r="BH7" s="636">
        <f t="shared" si="24"/>
        <v>5407.1</v>
      </c>
      <c r="BI7" s="636">
        <f t="shared" si="25"/>
        <v>11556.424999999999</v>
      </c>
      <c r="BJ7" s="636">
        <f t="shared" si="26"/>
        <v>17382.715</v>
      </c>
      <c r="BK7" s="769">
        <v>1493338</v>
      </c>
      <c r="BL7" s="636">
        <f t="shared" si="14"/>
        <v>263</v>
      </c>
      <c r="BM7" s="769">
        <v>4305682</v>
      </c>
      <c r="BN7" s="636">
        <f t="shared" si="15"/>
        <v>875</v>
      </c>
      <c r="BO7" s="769">
        <v>449756</v>
      </c>
      <c r="BP7" s="636">
        <f t="shared" si="16"/>
        <v>127</v>
      </c>
      <c r="BQ7" s="768">
        <v>562255</v>
      </c>
      <c r="BR7" s="636">
        <f t="shared" si="17"/>
        <v>134</v>
      </c>
      <c r="BS7" s="692">
        <f t="shared" si="27"/>
        <v>24471.715</v>
      </c>
      <c r="BT7" s="693">
        <v>242</v>
      </c>
      <c r="BU7" s="692">
        <f t="shared" si="28"/>
        <v>116.53197619047619</v>
      </c>
      <c r="BV7" s="693"/>
      <c r="BW7" s="692" t="e">
        <f t="shared" si="29"/>
        <v>#DIV/0!</v>
      </c>
      <c r="BX7" s="692">
        <f t="shared" ref="BX7:BX36" si="34">((BS7-Q7)*$BZ$1)+(Q7*$BR$1)</f>
        <v>28371.972249999999</v>
      </c>
      <c r="BY7" s="692">
        <f t="shared" si="30"/>
        <v>135.10462976190476</v>
      </c>
      <c r="BZ7" s="694" t="e">
        <f t="shared" ref="BZ7:BZ36" si="35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6">IF(+B8-B7&gt;0,B8-B7,(B8-B7)&gt;0)*800</f>
        <v>0</v>
      </c>
      <c r="D8" s="432"/>
      <c r="E8" s="432">
        <f t="shared" ref="E8:E29" si="37">IF(+D8-D7&gt;0,D8-D7,(D8-D7)&gt;0)*80</f>
        <v>0</v>
      </c>
      <c r="F8" s="432"/>
      <c r="G8" s="432">
        <f t="shared" ref="G8:G29" si="38">IF(+F8-F7&gt;0,F8-F7,(F8-F7)&gt;0)*10</f>
        <v>0</v>
      </c>
      <c r="H8" s="433">
        <v>57</v>
      </c>
      <c r="I8" s="769">
        <v>25615330</v>
      </c>
      <c r="J8" s="636">
        <f t="shared" si="18"/>
        <v>5998</v>
      </c>
      <c r="K8" s="636">
        <f t="shared" si="19"/>
        <v>3618</v>
      </c>
      <c r="L8" s="769">
        <v>278719</v>
      </c>
      <c r="M8" s="636">
        <f>IF(L8&gt;=L7,L8-L7,0)</f>
        <v>2024</v>
      </c>
      <c r="N8" s="769">
        <v>300230</v>
      </c>
      <c r="O8" s="636">
        <f t="shared" ref="O8:O27" si="39">IF(N8&gt;=N7,N8-N7,0)</f>
        <v>1594</v>
      </c>
      <c r="P8" s="769">
        <v>227240</v>
      </c>
      <c r="Q8" s="636">
        <f t="shared" si="31"/>
        <v>480</v>
      </c>
      <c r="R8" s="769">
        <v>226515</v>
      </c>
      <c r="S8" s="636">
        <f t="shared" si="32"/>
        <v>139</v>
      </c>
      <c r="T8" s="768">
        <v>413378</v>
      </c>
      <c r="U8" s="636">
        <f t="shared" si="1"/>
        <v>257</v>
      </c>
      <c r="V8" s="768">
        <v>657125</v>
      </c>
      <c r="W8" s="636">
        <f t="shared" si="2"/>
        <v>3490.05</v>
      </c>
      <c r="X8" s="769">
        <v>829692</v>
      </c>
      <c r="Y8" s="636">
        <f t="shared" si="3"/>
        <v>0</v>
      </c>
      <c r="Z8" s="768">
        <v>849452</v>
      </c>
      <c r="AA8" s="636">
        <f t="shared" si="4"/>
        <v>0</v>
      </c>
      <c r="AB8" s="768">
        <v>184735</v>
      </c>
      <c r="AC8" s="636">
        <f t="shared" si="33"/>
        <v>0</v>
      </c>
      <c r="AD8" s="768">
        <v>861882</v>
      </c>
      <c r="AE8" s="636">
        <f t="shared" si="20"/>
        <v>13.25</v>
      </c>
      <c r="AF8" s="768">
        <v>1009594</v>
      </c>
      <c r="AG8" s="636">
        <f t="shared" si="5"/>
        <v>12.190000000000001</v>
      </c>
      <c r="AH8" s="768">
        <v>419470</v>
      </c>
      <c r="AI8" s="636">
        <f t="shared" si="6"/>
        <v>393.79</v>
      </c>
      <c r="AJ8" s="768">
        <v>523433</v>
      </c>
      <c r="AK8" s="636">
        <f t="shared" si="7"/>
        <v>2473.5100000000002</v>
      </c>
      <c r="AL8" s="768">
        <v>567949</v>
      </c>
      <c r="AM8" s="636">
        <f t="shared" si="8"/>
        <v>115.54</v>
      </c>
      <c r="AN8" s="636">
        <f t="shared" si="21"/>
        <v>6498.3300000000008</v>
      </c>
      <c r="AO8" s="768">
        <v>8172831</v>
      </c>
      <c r="AP8" s="636">
        <f t="shared" si="22"/>
        <v>147.375</v>
      </c>
      <c r="AQ8" s="769">
        <v>750542</v>
      </c>
      <c r="AR8" s="636">
        <f t="shared" si="9"/>
        <v>183</v>
      </c>
      <c r="AS8" s="768">
        <v>15792</v>
      </c>
      <c r="AT8" s="636">
        <f t="shared" si="23"/>
        <v>144</v>
      </c>
      <c r="AU8" s="768">
        <v>825989</v>
      </c>
      <c r="AV8" s="636">
        <f>IF(AU8&gt;=AU7,AU8-AU7,0)</f>
        <v>32</v>
      </c>
      <c r="AW8" s="768">
        <v>2881602</v>
      </c>
      <c r="AX8" s="636">
        <f t="shared" si="11"/>
        <v>976</v>
      </c>
      <c r="AY8" s="768">
        <v>232322</v>
      </c>
      <c r="AZ8" s="636">
        <f t="shared" si="12"/>
        <v>11</v>
      </c>
      <c r="BA8" s="768">
        <v>20804242</v>
      </c>
      <c r="BB8" s="636">
        <f t="shared" si="13"/>
        <v>4908</v>
      </c>
      <c r="BC8" s="768">
        <v>639602</v>
      </c>
      <c r="BD8" s="636">
        <f t="shared" si="13"/>
        <v>216</v>
      </c>
      <c r="BE8" s="768">
        <v>45022</v>
      </c>
      <c r="BF8" s="636">
        <f t="shared" si="13"/>
        <v>100</v>
      </c>
      <c r="BG8" s="769">
        <v>26145519</v>
      </c>
      <c r="BH8" s="636">
        <f t="shared" si="24"/>
        <v>5646.85</v>
      </c>
      <c r="BI8" s="636">
        <f t="shared" si="25"/>
        <v>12364.225</v>
      </c>
      <c r="BJ8" s="636">
        <f t="shared" si="26"/>
        <v>18862.555</v>
      </c>
      <c r="BK8" s="769">
        <v>1493608</v>
      </c>
      <c r="BL8" s="636">
        <f t="shared" si="14"/>
        <v>270</v>
      </c>
      <c r="BM8" s="768">
        <v>4306722</v>
      </c>
      <c r="BN8" s="636">
        <f t="shared" si="15"/>
        <v>1040</v>
      </c>
      <c r="BO8" s="768">
        <v>449863</v>
      </c>
      <c r="BP8" s="636">
        <f t="shared" si="16"/>
        <v>107</v>
      </c>
      <c r="BQ8" s="768">
        <v>562404</v>
      </c>
      <c r="BR8" s="636">
        <f t="shared" si="17"/>
        <v>149</v>
      </c>
      <c r="BS8" s="692">
        <f t="shared" si="27"/>
        <v>25340.555</v>
      </c>
      <c r="BT8" s="693">
        <v>225</v>
      </c>
      <c r="BU8" s="692">
        <f t="shared" si="28"/>
        <v>104.71303719008264</v>
      </c>
      <c r="BV8" s="693"/>
      <c r="BW8" s="692" t="e">
        <f t="shared" si="29"/>
        <v>#DIV/0!</v>
      </c>
      <c r="BX8" s="692">
        <f t="shared" si="34"/>
        <v>29357.638249999996</v>
      </c>
      <c r="BY8" s="692">
        <f t="shared" si="30"/>
        <v>121.31255475206611</v>
      </c>
      <c r="BZ8" s="694" t="e">
        <f t="shared" si="35"/>
        <v>#DIV/0!</v>
      </c>
    </row>
    <row r="9" spans="1:78" s="385" customFormat="1" ht="33.75" customHeight="1">
      <c r="A9" s="430">
        <v>4</v>
      </c>
      <c r="B9" s="431"/>
      <c r="C9" s="432">
        <f t="shared" si="36"/>
        <v>0</v>
      </c>
      <c r="D9" s="432"/>
      <c r="E9" s="432">
        <f t="shared" si="37"/>
        <v>0</v>
      </c>
      <c r="F9" s="432"/>
      <c r="G9" s="432">
        <f t="shared" si="38"/>
        <v>0</v>
      </c>
      <c r="H9" s="433"/>
      <c r="I9" s="769">
        <v>25621799</v>
      </c>
      <c r="J9" s="636">
        <f>IF(I9&gt;=I8,I9-I8,0)</f>
        <v>6469</v>
      </c>
      <c r="K9" s="636">
        <f t="shared" si="19"/>
        <v>3537</v>
      </c>
      <c r="L9" s="769">
        <v>280706</v>
      </c>
      <c r="M9" s="636">
        <f t="shared" ref="M9:M28" si="40">IF(L9&gt;=L8,L9-L8,0)</f>
        <v>1987</v>
      </c>
      <c r="N9" s="769">
        <v>301780</v>
      </c>
      <c r="O9" s="636">
        <f t="shared" si="39"/>
        <v>1550</v>
      </c>
      <c r="P9" s="769">
        <v>227257</v>
      </c>
      <c r="Q9" s="636">
        <f t="shared" si="31"/>
        <v>510</v>
      </c>
      <c r="R9" s="768">
        <v>226658</v>
      </c>
      <c r="S9" s="636">
        <f t="shared" si="32"/>
        <v>143</v>
      </c>
      <c r="T9" s="768">
        <v>413641</v>
      </c>
      <c r="U9" s="636">
        <f t="shared" si="1"/>
        <v>263</v>
      </c>
      <c r="V9" s="768">
        <v>657971</v>
      </c>
      <c r="W9" s="636">
        <f t="shared" si="2"/>
        <v>448.38</v>
      </c>
      <c r="X9" s="769">
        <v>829692</v>
      </c>
      <c r="Y9" s="636">
        <f t="shared" si="3"/>
        <v>0</v>
      </c>
      <c r="Z9" s="768">
        <v>855060</v>
      </c>
      <c r="AA9" s="636">
        <f t="shared" si="4"/>
        <v>2972.2400000000002</v>
      </c>
      <c r="AB9" s="768">
        <v>184735</v>
      </c>
      <c r="AC9" s="636">
        <f t="shared" si="33"/>
        <v>0</v>
      </c>
      <c r="AD9" s="768">
        <v>861908</v>
      </c>
      <c r="AE9" s="636">
        <f t="shared" si="20"/>
        <v>13.780000000000001</v>
      </c>
      <c r="AF9" s="768">
        <v>1009617</v>
      </c>
      <c r="AG9" s="636">
        <f t="shared" si="5"/>
        <v>12.190000000000001</v>
      </c>
      <c r="AH9" s="769">
        <v>419855</v>
      </c>
      <c r="AI9" s="636">
        <f t="shared" si="6"/>
        <v>204.05</v>
      </c>
      <c r="AJ9" s="769">
        <v>527718</v>
      </c>
      <c r="AK9" s="636">
        <f t="shared" si="7"/>
        <v>2271.0500000000002</v>
      </c>
      <c r="AL9" s="768">
        <v>568159</v>
      </c>
      <c r="AM9" s="636">
        <f t="shared" si="8"/>
        <v>111.30000000000001</v>
      </c>
      <c r="AN9" s="636">
        <f t="shared" si="21"/>
        <v>6032.9900000000007</v>
      </c>
      <c r="AO9" s="768">
        <v>8174178</v>
      </c>
      <c r="AP9" s="636">
        <f t="shared" si="22"/>
        <v>151.53749999999999</v>
      </c>
      <c r="AQ9" s="768">
        <v>750733</v>
      </c>
      <c r="AR9" s="636">
        <f t="shared" si="9"/>
        <v>191</v>
      </c>
      <c r="AS9" s="768">
        <v>15952</v>
      </c>
      <c r="AT9" s="636">
        <f t="shared" si="23"/>
        <v>160</v>
      </c>
      <c r="AU9" s="710">
        <v>826021</v>
      </c>
      <c r="AV9" s="636">
        <f>IF(AU9&gt;=AU8,AU9-AU8,0)</f>
        <v>32</v>
      </c>
      <c r="AW9" s="769">
        <v>2882526</v>
      </c>
      <c r="AX9" s="636">
        <f t="shared" si="11"/>
        <v>924</v>
      </c>
      <c r="AY9" s="768">
        <v>232332</v>
      </c>
      <c r="AZ9" s="636">
        <f t="shared" si="12"/>
        <v>10</v>
      </c>
      <c r="BA9" s="769">
        <v>20809442</v>
      </c>
      <c r="BB9" s="636">
        <f t="shared" si="13"/>
        <v>5200</v>
      </c>
      <c r="BC9" s="768">
        <v>639829</v>
      </c>
      <c r="BD9" s="636">
        <f t="shared" si="13"/>
        <v>227</v>
      </c>
      <c r="BE9" s="768">
        <v>44927</v>
      </c>
      <c r="BF9" s="636">
        <f t="shared" si="13"/>
        <v>0</v>
      </c>
      <c r="BG9" s="769">
        <v>26151884</v>
      </c>
      <c r="BH9" s="636">
        <f t="shared" si="24"/>
        <v>5689.1</v>
      </c>
      <c r="BI9" s="636">
        <f t="shared" si="25"/>
        <v>12584.637500000001</v>
      </c>
      <c r="BJ9" s="636">
        <f t="shared" si="26"/>
        <v>18617.627500000002</v>
      </c>
      <c r="BK9" s="769">
        <v>1493886</v>
      </c>
      <c r="BL9" s="636">
        <f t="shared" si="14"/>
        <v>278</v>
      </c>
      <c r="BM9" s="769">
        <v>4307747</v>
      </c>
      <c r="BN9" s="636">
        <f t="shared" si="15"/>
        <v>1025</v>
      </c>
      <c r="BO9" s="769">
        <v>450000</v>
      </c>
      <c r="BP9" s="636">
        <f t="shared" si="16"/>
        <v>137</v>
      </c>
      <c r="BQ9" s="768">
        <v>562557</v>
      </c>
      <c r="BR9" s="636">
        <f t="shared" si="17"/>
        <v>153</v>
      </c>
      <c r="BS9" s="692">
        <f t="shared" si="27"/>
        <v>25596.627500000002</v>
      </c>
      <c r="BT9" s="693">
        <v>236</v>
      </c>
      <c r="BU9" s="692">
        <f t="shared" si="28"/>
        <v>113.76278888888891</v>
      </c>
      <c r="BV9" s="693"/>
      <c r="BW9" s="692" t="e">
        <f t="shared" si="29"/>
        <v>#DIV/0!</v>
      </c>
      <c r="BX9" s="692">
        <f t="shared" si="34"/>
        <v>29665.621625</v>
      </c>
      <c r="BY9" s="692">
        <f t="shared" si="30"/>
        <v>131.84720722222221</v>
      </c>
      <c r="BZ9" s="694" t="e">
        <f t="shared" si="35"/>
        <v>#DIV/0!</v>
      </c>
    </row>
    <row r="10" spans="1:78" s="457" customFormat="1" ht="33.75" customHeight="1">
      <c r="A10" s="430">
        <v>5</v>
      </c>
      <c r="B10" s="455"/>
      <c r="C10" s="768">
        <f t="shared" si="36"/>
        <v>0</v>
      </c>
      <c r="D10" s="768"/>
      <c r="E10" s="768">
        <f t="shared" si="37"/>
        <v>0</v>
      </c>
      <c r="F10" s="768"/>
      <c r="G10" s="768">
        <f t="shared" si="38"/>
        <v>0</v>
      </c>
      <c r="H10" s="456">
        <v>58</v>
      </c>
      <c r="I10" s="769">
        <v>25628126</v>
      </c>
      <c r="J10" s="636">
        <f>IF(I10&gt;=I9,I10-I9,0)</f>
        <v>6327</v>
      </c>
      <c r="K10" s="636">
        <f t="shared" si="19"/>
        <v>4093</v>
      </c>
      <c r="L10" s="769">
        <v>282812</v>
      </c>
      <c r="M10" s="636">
        <f t="shared" si="40"/>
        <v>2106</v>
      </c>
      <c r="N10" s="769">
        <v>303767</v>
      </c>
      <c r="O10" s="636">
        <f t="shared" si="39"/>
        <v>1987</v>
      </c>
      <c r="P10" s="769">
        <v>227272</v>
      </c>
      <c r="Q10" s="636">
        <f t="shared" si="31"/>
        <v>450</v>
      </c>
      <c r="R10" s="768">
        <v>226802</v>
      </c>
      <c r="S10" s="636">
        <f t="shared" si="32"/>
        <v>144</v>
      </c>
      <c r="T10" s="768">
        <v>413898</v>
      </c>
      <c r="U10" s="636">
        <f t="shared" si="1"/>
        <v>257</v>
      </c>
      <c r="V10" s="768">
        <v>662679</v>
      </c>
      <c r="W10" s="636">
        <f t="shared" si="2"/>
        <v>2495.2400000000002</v>
      </c>
      <c r="X10" s="769">
        <v>829692</v>
      </c>
      <c r="Y10" s="636">
        <f t="shared" si="3"/>
        <v>0</v>
      </c>
      <c r="Z10" s="768">
        <v>856868</v>
      </c>
      <c r="AA10" s="636">
        <f t="shared" si="4"/>
        <v>958.24</v>
      </c>
      <c r="AB10" s="768">
        <v>184735</v>
      </c>
      <c r="AC10" s="636">
        <f t="shared" si="33"/>
        <v>0</v>
      </c>
      <c r="AD10" s="768">
        <v>861933</v>
      </c>
      <c r="AE10" s="636">
        <f t="shared" si="20"/>
        <v>13.25</v>
      </c>
      <c r="AF10" s="768">
        <v>1009640</v>
      </c>
      <c r="AG10" s="636">
        <f t="shared" si="5"/>
        <v>12.190000000000001</v>
      </c>
      <c r="AH10" s="769">
        <v>420217</v>
      </c>
      <c r="AI10" s="636">
        <f t="shared" si="6"/>
        <v>191.86</v>
      </c>
      <c r="AJ10" s="769">
        <v>532218</v>
      </c>
      <c r="AK10" s="636">
        <f t="shared" si="7"/>
        <v>2385</v>
      </c>
      <c r="AL10" s="768">
        <v>568383</v>
      </c>
      <c r="AM10" s="636">
        <f t="shared" si="8"/>
        <v>118.72</v>
      </c>
      <c r="AN10" s="636">
        <f t="shared" si="21"/>
        <v>6174.5000000000009</v>
      </c>
      <c r="AO10" s="768">
        <v>8175348</v>
      </c>
      <c r="AP10" s="636">
        <f t="shared" si="22"/>
        <v>131.625</v>
      </c>
      <c r="AQ10" s="768">
        <v>750936</v>
      </c>
      <c r="AR10" s="636">
        <f t="shared" si="9"/>
        <v>203</v>
      </c>
      <c r="AS10" s="769">
        <v>16102</v>
      </c>
      <c r="AT10" s="636">
        <f t="shared" si="23"/>
        <v>150</v>
      </c>
      <c r="AU10" s="710">
        <v>826055</v>
      </c>
      <c r="AV10" s="636">
        <f>IF(AU10&gt;=AU9,AU10-AU9,0)</f>
        <v>34</v>
      </c>
      <c r="AW10" s="769">
        <v>2883477</v>
      </c>
      <c r="AX10" s="636">
        <f t="shared" si="11"/>
        <v>951</v>
      </c>
      <c r="AY10" s="769">
        <v>232343</v>
      </c>
      <c r="AZ10" s="636">
        <f t="shared" si="12"/>
        <v>11</v>
      </c>
      <c r="BA10" s="768">
        <v>20814337</v>
      </c>
      <c r="BB10" s="636">
        <f t="shared" si="13"/>
        <v>4895</v>
      </c>
      <c r="BC10" s="768">
        <v>640071</v>
      </c>
      <c r="BD10" s="636">
        <f t="shared" si="13"/>
        <v>242</v>
      </c>
      <c r="BE10" s="768">
        <v>44932</v>
      </c>
      <c r="BF10" s="636">
        <f t="shared" si="13"/>
        <v>5</v>
      </c>
      <c r="BG10" s="769">
        <v>26158182</v>
      </c>
      <c r="BH10" s="636">
        <f t="shared" si="24"/>
        <v>5631.6</v>
      </c>
      <c r="BI10" s="636">
        <f t="shared" si="25"/>
        <v>12254.225</v>
      </c>
      <c r="BJ10" s="636">
        <f t="shared" si="26"/>
        <v>18428.725000000002</v>
      </c>
      <c r="BK10" s="769">
        <v>1494167</v>
      </c>
      <c r="BL10" s="636">
        <f t="shared" si="14"/>
        <v>281</v>
      </c>
      <c r="BM10" s="769">
        <v>4308733</v>
      </c>
      <c r="BN10" s="636">
        <f t="shared" si="15"/>
        <v>986</v>
      </c>
      <c r="BO10" s="707">
        <v>450146</v>
      </c>
      <c r="BP10" s="636">
        <f t="shared" si="16"/>
        <v>146</v>
      </c>
      <c r="BQ10" s="768">
        <v>562714</v>
      </c>
      <c r="BR10" s="636">
        <f t="shared" si="17"/>
        <v>157</v>
      </c>
      <c r="BS10" s="692">
        <f t="shared" si="27"/>
        <v>25205.724999999999</v>
      </c>
      <c r="BT10" s="693">
        <v>216</v>
      </c>
      <c r="BU10" s="692">
        <f t="shared" si="28"/>
        <v>106.80391949152542</v>
      </c>
      <c r="BV10" s="693"/>
      <c r="BW10" s="692" t="e">
        <f t="shared" si="29"/>
        <v>#DIV/0!</v>
      </c>
      <c r="BX10" s="692">
        <f t="shared" si="34"/>
        <v>29189.083749999994</v>
      </c>
      <c r="BY10" s="692">
        <f t="shared" si="30"/>
        <v>123.68255826271184</v>
      </c>
      <c r="BZ10" s="694" t="e">
        <f t="shared" si="35"/>
        <v>#DIV/0!</v>
      </c>
    </row>
    <row r="11" spans="1:78" s="385" customFormat="1" ht="33.75" customHeight="1">
      <c r="A11" s="430">
        <v>6</v>
      </c>
      <c r="B11" s="431"/>
      <c r="C11" s="432">
        <f t="shared" si="36"/>
        <v>0</v>
      </c>
      <c r="D11" s="432"/>
      <c r="E11" s="432">
        <f t="shared" si="37"/>
        <v>0</v>
      </c>
      <c r="F11" s="432"/>
      <c r="G11" s="432">
        <f t="shared" si="38"/>
        <v>0</v>
      </c>
      <c r="H11" s="433"/>
      <c r="I11" s="769">
        <v>25634855</v>
      </c>
      <c r="J11" s="636">
        <f>IF(I11&gt;=I10,I11-I10,0)</f>
        <v>6729</v>
      </c>
      <c r="K11" s="636">
        <f t="shared" si="19"/>
        <v>3438</v>
      </c>
      <c r="L11" s="769">
        <v>284612</v>
      </c>
      <c r="M11" s="636">
        <f t="shared" si="40"/>
        <v>1800</v>
      </c>
      <c r="N11" s="768">
        <v>305405</v>
      </c>
      <c r="O11" s="636">
        <f t="shared" si="39"/>
        <v>1638</v>
      </c>
      <c r="P11" s="769">
        <v>227287</v>
      </c>
      <c r="Q11" s="636">
        <f t="shared" si="31"/>
        <v>450</v>
      </c>
      <c r="R11" s="768">
        <v>226950</v>
      </c>
      <c r="S11" s="636">
        <f t="shared" si="32"/>
        <v>148</v>
      </c>
      <c r="T11" s="768">
        <v>414166</v>
      </c>
      <c r="U11" s="636">
        <f t="shared" si="1"/>
        <v>268</v>
      </c>
      <c r="V11" s="768">
        <v>663850</v>
      </c>
      <c r="W11" s="636">
        <f t="shared" si="2"/>
        <v>620.63</v>
      </c>
      <c r="X11" s="769">
        <v>829692</v>
      </c>
      <c r="Y11" s="636">
        <f t="shared" si="3"/>
        <v>0</v>
      </c>
      <c r="Z11" s="768">
        <v>857188</v>
      </c>
      <c r="AA11" s="636">
        <f t="shared" si="4"/>
        <v>169.60000000000002</v>
      </c>
      <c r="AB11" s="768">
        <v>184735</v>
      </c>
      <c r="AC11" s="636">
        <f>IF(AB11&gt;=AB10,AB11-AB10,0)*0.53</f>
        <v>0</v>
      </c>
      <c r="AD11" s="768">
        <v>861959</v>
      </c>
      <c r="AE11" s="636">
        <f t="shared" si="20"/>
        <v>13.780000000000001</v>
      </c>
      <c r="AF11" s="768">
        <v>1009662</v>
      </c>
      <c r="AG11" s="636">
        <f t="shared" si="5"/>
        <v>11.66</v>
      </c>
      <c r="AH11" s="768">
        <v>420520</v>
      </c>
      <c r="AI11" s="636">
        <f t="shared" si="6"/>
        <v>160.59</v>
      </c>
      <c r="AJ11" s="768">
        <v>537112</v>
      </c>
      <c r="AK11" s="636">
        <f t="shared" si="7"/>
        <v>2593.8200000000002</v>
      </c>
      <c r="AL11" s="768">
        <v>568602</v>
      </c>
      <c r="AM11" s="636">
        <f t="shared" si="8"/>
        <v>116.07000000000001</v>
      </c>
      <c r="AN11" s="636">
        <f t="shared" si="21"/>
        <v>3686.15</v>
      </c>
      <c r="AO11" s="707">
        <v>8176461</v>
      </c>
      <c r="AP11" s="636">
        <f t="shared" si="22"/>
        <v>125.21250000000001</v>
      </c>
      <c r="AQ11" s="768">
        <v>751136</v>
      </c>
      <c r="AR11" s="636">
        <f t="shared" si="9"/>
        <v>200</v>
      </c>
      <c r="AS11" s="769">
        <v>16233</v>
      </c>
      <c r="AT11" s="636">
        <f t="shared" si="23"/>
        <v>131</v>
      </c>
      <c r="AU11" s="769">
        <v>826088</v>
      </c>
      <c r="AV11" s="636">
        <f t="shared" si="10"/>
        <v>33</v>
      </c>
      <c r="AW11" s="768">
        <v>2884550</v>
      </c>
      <c r="AX11" s="636">
        <f t="shared" si="11"/>
        <v>1073</v>
      </c>
      <c r="AY11" s="769">
        <v>232354</v>
      </c>
      <c r="AZ11" s="636">
        <f t="shared" si="12"/>
        <v>11</v>
      </c>
      <c r="BA11" s="769">
        <v>20819000</v>
      </c>
      <c r="BB11" s="636">
        <f t="shared" si="13"/>
        <v>4663</v>
      </c>
      <c r="BC11" s="768">
        <v>640304</v>
      </c>
      <c r="BD11" s="636">
        <f t="shared" si="13"/>
        <v>233</v>
      </c>
      <c r="BE11" s="768">
        <v>45040</v>
      </c>
      <c r="BF11" s="636">
        <f t="shared" si="13"/>
        <v>108</v>
      </c>
      <c r="BG11" s="769">
        <v>26164713</v>
      </c>
      <c r="BH11" s="636">
        <f t="shared" si="24"/>
        <v>5838.85</v>
      </c>
      <c r="BI11" s="636">
        <f t="shared" si="25"/>
        <v>12416.0625</v>
      </c>
      <c r="BJ11" s="636">
        <f t="shared" si="26"/>
        <v>16102.2125</v>
      </c>
      <c r="BK11" s="769">
        <v>1494453</v>
      </c>
      <c r="BL11" s="636">
        <f t="shared" si="14"/>
        <v>286</v>
      </c>
      <c r="BM11" s="769">
        <v>4309775</v>
      </c>
      <c r="BN11" s="636">
        <f t="shared" si="15"/>
        <v>1042</v>
      </c>
      <c r="BO11" s="768">
        <v>450291</v>
      </c>
      <c r="BP11" s="636">
        <f t="shared" si="16"/>
        <v>145</v>
      </c>
      <c r="BQ11" s="769">
        <v>562872</v>
      </c>
      <c r="BR11" s="636">
        <f t="shared" si="17"/>
        <v>158</v>
      </c>
      <c r="BS11" s="692">
        <f t="shared" si="27"/>
        <v>23281.212500000001</v>
      </c>
      <c r="BT11" s="693">
        <v>198</v>
      </c>
      <c r="BU11" s="692">
        <f t="shared" si="28"/>
        <v>107.78339120370372</v>
      </c>
      <c r="BV11" s="693"/>
      <c r="BW11" s="692" t="e">
        <f t="shared" si="29"/>
        <v>#DIV/0!</v>
      </c>
      <c r="BX11" s="692">
        <f t="shared" si="34"/>
        <v>26975.894375</v>
      </c>
      <c r="BY11" s="692">
        <f t="shared" si="30"/>
        <v>124.88839988425926</v>
      </c>
      <c r="BZ11" s="694" t="e">
        <f t="shared" si="35"/>
        <v>#DIV/0!</v>
      </c>
    </row>
    <row r="12" spans="1:78" s="385" customFormat="1" ht="33.75" customHeight="1">
      <c r="A12" s="430">
        <v>7</v>
      </c>
      <c r="B12" s="431"/>
      <c r="C12" s="432">
        <f t="shared" si="36"/>
        <v>0</v>
      </c>
      <c r="D12" s="432"/>
      <c r="E12" s="432">
        <f t="shared" si="37"/>
        <v>0</v>
      </c>
      <c r="F12" s="432"/>
      <c r="G12" s="432">
        <f t="shared" si="38"/>
        <v>0</v>
      </c>
      <c r="H12" s="433">
        <v>59</v>
      </c>
      <c r="I12" s="769">
        <v>25641324</v>
      </c>
      <c r="J12" s="636">
        <f>IF(I12&gt;=I11,I12-I11,0)</f>
        <v>6469</v>
      </c>
      <c r="K12" s="636">
        <f t="shared" si="19"/>
        <v>4925</v>
      </c>
      <c r="L12" s="769">
        <v>287044</v>
      </c>
      <c r="M12" s="636">
        <f t="shared" si="40"/>
        <v>2432</v>
      </c>
      <c r="N12" s="769">
        <v>307898</v>
      </c>
      <c r="O12" s="636">
        <f t="shared" si="39"/>
        <v>2493</v>
      </c>
      <c r="P12" s="769">
        <v>227303</v>
      </c>
      <c r="Q12" s="636">
        <f t="shared" si="31"/>
        <v>480</v>
      </c>
      <c r="R12" s="768">
        <v>227089</v>
      </c>
      <c r="S12" s="636">
        <f t="shared" si="32"/>
        <v>139</v>
      </c>
      <c r="T12" s="768">
        <v>414420</v>
      </c>
      <c r="U12" s="636">
        <f t="shared" si="1"/>
        <v>254</v>
      </c>
      <c r="V12" s="768">
        <v>674727</v>
      </c>
      <c r="W12" s="636">
        <f t="shared" si="2"/>
        <v>5764.81</v>
      </c>
      <c r="X12" s="769">
        <v>829692</v>
      </c>
      <c r="Y12" s="636">
        <f t="shared" si="3"/>
        <v>0</v>
      </c>
      <c r="Z12" s="768">
        <v>857270</v>
      </c>
      <c r="AA12" s="636">
        <f t="shared" si="4"/>
        <v>43.46</v>
      </c>
      <c r="AB12" s="768">
        <v>184735</v>
      </c>
      <c r="AC12" s="636">
        <f t="shared" si="33"/>
        <v>0</v>
      </c>
      <c r="AD12" s="768">
        <v>861984</v>
      </c>
      <c r="AE12" s="636">
        <f t="shared" si="20"/>
        <v>13.25</v>
      </c>
      <c r="AF12" s="768">
        <v>1009685</v>
      </c>
      <c r="AG12" s="636">
        <f t="shared" si="5"/>
        <v>12.190000000000001</v>
      </c>
      <c r="AH12" s="768">
        <v>420929</v>
      </c>
      <c r="AI12" s="636">
        <f t="shared" si="6"/>
        <v>216.77</v>
      </c>
      <c r="AJ12" s="769">
        <v>541435</v>
      </c>
      <c r="AK12" s="636">
        <f t="shared" si="7"/>
        <v>2291.19</v>
      </c>
      <c r="AL12" s="768">
        <v>568824</v>
      </c>
      <c r="AM12" s="636">
        <f t="shared" si="8"/>
        <v>117.66000000000001</v>
      </c>
      <c r="AN12" s="636">
        <f t="shared" si="21"/>
        <v>8459.33</v>
      </c>
      <c r="AO12" s="768">
        <v>8177860</v>
      </c>
      <c r="AP12" s="636">
        <f t="shared" si="22"/>
        <v>157.38750000000002</v>
      </c>
      <c r="AQ12" s="769">
        <v>751331</v>
      </c>
      <c r="AR12" s="636">
        <f t="shared" si="9"/>
        <v>195</v>
      </c>
      <c r="AS12" s="769">
        <v>16395</v>
      </c>
      <c r="AT12" s="636">
        <f t="shared" si="23"/>
        <v>162</v>
      </c>
      <c r="AU12" s="710">
        <v>826134</v>
      </c>
      <c r="AV12" s="636">
        <f t="shared" si="10"/>
        <v>46</v>
      </c>
      <c r="AW12" s="769">
        <v>2885377</v>
      </c>
      <c r="AX12" s="636">
        <f t="shared" si="11"/>
        <v>827</v>
      </c>
      <c r="AY12" s="768">
        <v>232365</v>
      </c>
      <c r="AZ12" s="636">
        <f t="shared" si="12"/>
        <v>11</v>
      </c>
      <c r="BA12" s="769">
        <v>20824060</v>
      </c>
      <c r="BB12" s="636">
        <f t="shared" si="13"/>
        <v>5060</v>
      </c>
      <c r="BC12" s="768">
        <v>640550</v>
      </c>
      <c r="BD12" s="636">
        <f t="shared" si="13"/>
        <v>246</v>
      </c>
      <c r="BE12" s="768">
        <v>45112</v>
      </c>
      <c r="BF12" s="636">
        <f t="shared" si="13"/>
        <v>72</v>
      </c>
      <c r="BG12" s="769">
        <v>26171262</v>
      </c>
      <c r="BH12" s="636">
        <f t="shared" si="24"/>
        <v>5816.4</v>
      </c>
      <c r="BI12" s="636">
        <f t="shared" si="25"/>
        <v>12592.787499999999</v>
      </c>
      <c r="BJ12" s="636">
        <f t="shared" si="26"/>
        <v>21052.1175</v>
      </c>
      <c r="BK12" s="769">
        <v>1494728</v>
      </c>
      <c r="BL12" s="636">
        <f t="shared" si="14"/>
        <v>275</v>
      </c>
      <c r="BM12" s="769">
        <v>4310920</v>
      </c>
      <c r="BN12" s="636">
        <f t="shared" si="15"/>
        <v>1145</v>
      </c>
      <c r="BO12" s="769">
        <v>450434</v>
      </c>
      <c r="BP12" s="636">
        <f t="shared" si="16"/>
        <v>143</v>
      </c>
      <c r="BQ12" s="768">
        <v>563025</v>
      </c>
      <c r="BR12" s="636">
        <f t="shared" ref="BR12:BR36" si="41">IF(BQ12&gt;=BQ11,BQ12-BQ11,0)</f>
        <v>153</v>
      </c>
      <c r="BS12" s="692">
        <f t="shared" si="27"/>
        <v>28001.1175</v>
      </c>
      <c r="BT12" s="693">
        <v>184</v>
      </c>
      <c r="BU12" s="692">
        <f t="shared" si="28"/>
        <v>141.41978535353536</v>
      </c>
      <c r="BV12" s="693"/>
      <c r="BW12" s="692" t="e">
        <f t="shared" si="29"/>
        <v>#DIV/0!</v>
      </c>
      <c r="BX12" s="692">
        <f t="shared" si="34"/>
        <v>32417.285124999999</v>
      </c>
      <c r="BY12" s="692">
        <f t="shared" si="30"/>
        <v>163.72366224747475</v>
      </c>
      <c r="BZ12" s="694" t="e">
        <f t="shared" si="35"/>
        <v>#DIV/0!</v>
      </c>
    </row>
    <row r="13" spans="1:78" s="385" customFormat="1" ht="33.75" customHeight="1">
      <c r="A13" s="430">
        <v>8</v>
      </c>
      <c r="B13" s="431"/>
      <c r="C13" s="432">
        <f t="shared" si="36"/>
        <v>0</v>
      </c>
      <c r="D13" s="432"/>
      <c r="E13" s="432">
        <f t="shared" si="37"/>
        <v>0</v>
      </c>
      <c r="F13" s="432"/>
      <c r="G13" s="432">
        <f t="shared" si="38"/>
        <v>0</v>
      </c>
      <c r="H13" s="433"/>
      <c r="I13" s="769">
        <v>25647723</v>
      </c>
      <c r="J13" s="636">
        <f t="shared" si="18"/>
        <v>6399</v>
      </c>
      <c r="K13" s="636">
        <f t="shared" si="19"/>
        <v>4015</v>
      </c>
      <c r="L13" s="769">
        <v>289060</v>
      </c>
      <c r="M13" s="636">
        <f t="shared" si="40"/>
        <v>2016</v>
      </c>
      <c r="N13" s="769">
        <v>309897</v>
      </c>
      <c r="O13" s="636">
        <f t="shared" si="39"/>
        <v>1999</v>
      </c>
      <c r="P13" s="769">
        <v>227320</v>
      </c>
      <c r="Q13" s="636">
        <f t="shared" si="31"/>
        <v>510</v>
      </c>
      <c r="R13" s="768">
        <v>227231</v>
      </c>
      <c r="S13" s="636">
        <f t="shared" si="32"/>
        <v>142</v>
      </c>
      <c r="T13" s="768">
        <v>414676</v>
      </c>
      <c r="U13" s="636">
        <f t="shared" si="1"/>
        <v>256</v>
      </c>
      <c r="V13" s="768">
        <v>679068</v>
      </c>
      <c r="W13" s="636">
        <f t="shared" si="2"/>
        <v>2300.73</v>
      </c>
      <c r="X13" s="769">
        <v>829692</v>
      </c>
      <c r="Y13" s="636">
        <f t="shared" si="3"/>
        <v>0</v>
      </c>
      <c r="Z13" s="768">
        <v>857340</v>
      </c>
      <c r="AA13" s="636">
        <f t="shared" si="4"/>
        <v>37.1</v>
      </c>
      <c r="AB13" s="768">
        <v>184738</v>
      </c>
      <c r="AC13" s="636">
        <f t="shared" si="33"/>
        <v>1.59</v>
      </c>
      <c r="AD13" s="768">
        <v>862009</v>
      </c>
      <c r="AE13" s="636">
        <f t="shared" si="20"/>
        <v>13.25</v>
      </c>
      <c r="AF13" s="768">
        <v>1009708</v>
      </c>
      <c r="AG13" s="636">
        <f t="shared" ref="AG13:AG36" si="42">IF(AF13&gt;=AF12,AF13-AF12,0)*0.53</f>
        <v>12.190000000000001</v>
      </c>
      <c r="AH13" s="769">
        <v>421470</v>
      </c>
      <c r="AI13" s="636">
        <f t="shared" si="6"/>
        <v>286.73</v>
      </c>
      <c r="AJ13" s="769">
        <v>545798</v>
      </c>
      <c r="AK13" s="636">
        <f t="shared" ref="AK13" si="43">IF(AJ13&gt;=AJ12,AJ13-AJ12,0)*0.53</f>
        <v>2312.3900000000003</v>
      </c>
      <c r="AL13" s="768">
        <v>569037</v>
      </c>
      <c r="AM13" s="636">
        <f t="shared" si="8"/>
        <v>112.89</v>
      </c>
      <c r="AN13" s="636">
        <f t="shared" si="21"/>
        <v>5076.8700000000008</v>
      </c>
      <c r="AO13" s="768">
        <v>8178488</v>
      </c>
      <c r="AP13" s="636">
        <f t="shared" si="22"/>
        <v>70.650000000000006</v>
      </c>
      <c r="AQ13" s="768">
        <v>751528</v>
      </c>
      <c r="AR13" s="636">
        <f t="shared" si="9"/>
        <v>197</v>
      </c>
      <c r="AS13" s="769">
        <v>16596</v>
      </c>
      <c r="AT13" s="636">
        <f t="shared" si="23"/>
        <v>201</v>
      </c>
      <c r="AU13" s="769">
        <v>826175</v>
      </c>
      <c r="AV13" s="636">
        <f t="shared" si="10"/>
        <v>41</v>
      </c>
      <c r="AW13" s="769">
        <v>2886300</v>
      </c>
      <c r="AX13" s="636">
        <f t="shared" si="11"/>
        <v>923</v>
      </c>
      <c r="AY13" s="769">
        <v>232489</v>
      </c>
      <c r="AZ13" s="636">
        <f t="shared" si="12"/>
        <v>124</v>
      </c>
      <c r="BA13" s="769">
        <v>20828767</v>
      </c>
      <c r="BB13" s="636">
        <f t="shared" si="13"/>
        <v>4707</v>
      </c>
      <c r="BC13" s="768">
        <v>640791</v>
      </c>
      <c r="BD13" s="636">
        <f t="shared" si="13"/>
        <v>241</v>
      </c>
      <c r="BE13" s="768">
        <v>45182</v>
      </c>
      <c r="BF13" s="636">
        <f t="shared" si="13"/>
        <v>70</v>
      </c>
      <c r="BG13" s="769">
        <v>26177530</v>
      </c>
      <c r="BH13" s="636">
        <f t="shared" si="24"/>
        <v>5514</v>
      </c>
      <c r="BI13" s="636">
        <f t="shared" si="25"/>
        <v>12088.65</v>
      </c>
      <c r="BJ13" s="636">
        <f t="shared" si="26"/>
        <v>17165.52</v>
      </c>
      <c r="BK13" s="769">
        <v>1494895</v>
      </c>
      <c r="BL13" s="636">
        <f t="shared" si="14"/>
        <v>167</v>
      </c>
      <c r="BM13" s="769">
        <v>4312124</v>
      </c>
      <c r="BN13" s="636">
        <f t="shared" si="15"/>
        <v>1204</v>
      </c>
      <c r="BO13" s="769">
        <v>450570</v>
      </c>
      <c r="BP13" s="636">
        <f t="shared" si="16"/>
        <v>136</v>
      </c>
      <c r="BQ13" s="769">
        <v>563176</v>
      </c>
      <c r="BR13" s="636">
        <f t="shared" si="41"/>
        <v>151</v>
      </c>
      <c r="BS13" s="692">
        <f t="shared" si="27"/>
        <v>24074.52</v>
      </c>
      <c r="BT13" s="693">
        <v>184</v>
      </c>
      <c r="BU13" s="692">
        <f t="shared" ref="BU13:BU19" si="44">IF(BS13&gt;0,BS13/BT12,0)</f>
        <v>130.83978260869566</v>
      </c>
      <c r="BV13" s="693"/>
      <c r="BW13" s="692" t="e">
        <f t="shared" si="29"/>
        <v>#DIV/0!</v>
      </c>
      <c r="BX13" s="692">
        <f t="shared" si="34"/>
        <v>27915.197999999997</v>
      </c>
      <c r="BY13" s="692">
        <f t="shared" si="30"/>
        <v>151.71303260869564</v>
      </c>
      <c r="BZ13" s="694" t="e">
        <f t="shared" si="35"/>
        <v>#DIV/0!</v>
      </c>
    </row>
    <row r="14" spans="1:78" s="385" customFormat="1" ht="33.75" customHeight="1">
      <c r="A14" s="430">
        <v>9</v>
      </c>
      <c r="B14" s="431"/>
      <c r="C14" s="432">
        <f t="shared" si="36"/>
        <v>0</v>
      </c>
      <c r="D14" s="432"/>
      <c r="E14" s="432">
        <f t="shared" si="37"/>
        <v>0</v>
      </c>
      <c r="F14" s="432"/>
      <c r="G14" s="432">
        <f t="shared" si="38"/>
        <v>0</v>
      </c>
      <c r="H14" s="433">
        <v>60</v>
      </c>
      <c r="I14" s="769">
        <v>25653940</v>
      </c>
      <c r="J14" s="636">
        <f t="shared" si="18"/>
        <v>6217</v>
      </c>
      <c r="K14" s="636">
        <f t="shared" si="19"/>
        <v>4022</v>
      </c>
      <c r="L14" s="769">
        <v>291080</v>
      </c>
      <c r="M14" s="636">
        <f t="shared" si="40"/>
        <v>2020</v>
      </c>
      <c r="N14" s="769">
        <v>311899</v>
      </c>
      <c r="O14" s="636">
        <f t="shared" si="39"/>
        <v>2002</v>
      </c>
      <c r="P14" s="769">
        <v>227335</v>
      </c>
      <c r="Q14" s="636">
        <f t="shared" si="31"/>
        <v>450</v>
      </c>
      <c r="R14" s="768">
        <v>227372</v>
      </c>
      <c r="S14" s="636">
        <f t="shared" si="32"/>
        <v>141</v>
      </c>
      <c r="T14" s="768">
        <v>414933</v>
      </c>
      <c r="U14" s="636">
        <f t="shared" si="1"/>
        <v>257</v>
      </c>
      <c r="V14" s="768">
        <v>683301</v>
      </c>
      <c r="W14" s="636">
        <f t="shared" si="2"/>
        <v>2243.4900000000002</v>
      </c>
      <c r="X14" s="769">
        <v>829692</v>
      </c>
      <c r="Y14" s="636">
        <f t="shared" si="3"/>
        <v>0</v>
      </c>
      <c r="Z14" s="769">
        <v>857814</v>
      </c>
      <c r="AA14" s="636">
        <f t="shared" si="4"/>
        <v>251.22</v>
      </c>
      <c r="AB14" s="768">
        <v>184738</v>
      </c>
      <c r="AC14" s="636">
        <f t="shared" si="33"/>
        <v>0</v>
      </c>
      <c r="AD14" s="768">
        <v>862032</v>
      </c>
      <c r="AE14" s="636">
        <f t="shared" si="20"/>
        <v>12.190000000000001</v>
      </c>
      <c r="AF14" s="768">
        <v>1009729</v>
      </c>
      <c r="AG14" s="636">
        <f t="shared" si="42"/>
        <v>11.13</v>
      </c>
      <c r="AH14" s="768">
        <v>422057</v>
      </c>
      <c r="AI14" s="636">
        <f t="shared" si="6"/>
        <v>311.11</v>
      </c>
      <c r="AJ14" s="768">
        <v>549874</v>
      </c>
      <c r="AK14" s="636">
        <f t="shared" ref="AK14:AK36" si="45">IF(AJ14&gt;=AJ13,AJ14-AJ13,0)*0.53</f>
        <v>2160.2800000000002</v>
      </c>
      <c r="AL14" s="768">
        <v>569254</v>
      </c>
      <c r="AM14" s="636">
        <f t="shared" si="8"/>
        <v>115.01</v>
      </c>
      <c r="AN14" s="636">
        <f t="shared" si="21"/>
        <v>5104.43</v>
      </c>
      <c r="AO14" s="768">
        <v>8179236</v>
      </c>
      <c r="AP14" s="636">
        <f t="shared" si="22"/>
        <v>84.15</v>
      </c>
      <c r="AQ14" s="769">
        <v>751745</v>
      </c>
      <c r="AR14" s="636">
        <f t="shared" si="9"/>
        <v>217</v>
      </c>
      <c r="AS14" s="769">
        <v>16767</v>
      </c>
      <c r="AT14" s="636">
        <f t="shared" si="23"/>
        <v>171</v>
      </c>
      <c r="AU14" s="769">
        <v>826216</v>
      </c>
      <c r="AV14" s="636">
        <f t="shared" si="10"/>
        <v>41</v>
      </c>
      <c r="AW14" s="768">
        <v>2887217</v>
      </c>
      <c r="AX14" s="636">
        <f t="shared" si="11"/>
        <v>917</v>
      </c>
      <c r="AY14" s="769">
        <v>232982</v>
      </c>
      <c r="AZ14" s="636">
        <f t="shared" si="12"/>
        <v>493</v>
      </c>
      <c r="BA14" s="769">
        <v>20833220</v>
      </c>
      <c r="BB14" s="636">
        <f t="shared" si="13"/>
        <v>4453</v>
      </c>
      <c r="BC14" s="768">
        <v>641019</v>
      </c>
      <c r="BD14" s="636">
        <f t="shared" si="13"/>
        <v>228</v>
      </c>
      <c r="BE14" s="768">
        <v>45271</v>
      </c>
      <c r="BF14" s="636">
        <f t="shared" si="13"/>
        <v>89</v>
      </c>
      <c r="BG14" s="769">
        <v>26183656</v>
      </c>
      <c r="BH14" s="636">
        <f t="shared" si="24"/>
        <v>5397.55</v>
      </c>
      <c r="BI14" s="636">
        <f t="shared" si="25"/>
        <v>12090.7</v>
      </c>
      <c r="BJ14" s="636">
        <f t="shared" si="26"/>
        <v>17195.13</v>
      </c>
      <c r="BK14" s="769">
        <v>1494970</v>
      </c>
      <c r="BL14" s="636">
        <f t="shared" si="14"/>
        <v>75</v>
      </c>
      <c r="BM14" s="769">
        <v>4313271</v>
      </c>
      <c r="BN14" s="636">
        <f t="shared" si="15"/>
        <v>1147</v>
      </c>
      <c r="BO14" s="769">
        <v>450704</v>
      </c>
      <c r="BP14" s="636">
        <f t="shared" si="16"/>
        <v>134</v>
      </c>
      <c r="BQ14" s="769">
        <v>563328</v>
      </c>
      <c r="BR14" s="636">
        <f t="shared" si="41"/>
        <v>152</v>
      </c>
      <c r="BS14" s="692">
        <f t="shared" si="27"/>
        <v>23862.13</v>
      </c>
      <c r="BT14" s="693">
        <v>183</v>
      </c>
      <c r="BU14" s="692">
        <f t="shared" si="44"/>
        <v>129.68548913043477</v>
      </c>
      <c r="BV14" s="693"/>
      <c r="BW14" s="692" t="e">
        <f t="shared" si="29"/>
        <v>#DIV/0!</v>
      </c>
      <c r="BX14" s="692">
        <f t="shared" si="34"/>
        <v>27643.949499999999</v>
      </c>
      <c r="BY14" s="692">
        <f t="shared" si="30"/>
        <v>150.23885597826086</v>
      </c>
      <c r="BZ14" s="694" t="e">
        <f t="shared" si="35"/>
        <v>#DIV/0!</v>
      </c>
    </row>
    <row r="15" spans="1:78" s="385" customFormat="1" ht="33.75" customHeight="1">
      <c r="A15" s="430">
        <v>10</v>
      </c>
      <c r="B15" s="431"/>
      <c r="C15" s="432">
        <f t="shared" si="36"/>
        <v>0</v>
      </c>
      <c r="D15" s="432"/>
      <c r="E15" s="432">
        <f t="shared" si="37"/>
        <v>0</v>
      </c>
      <c r="F15" s="432"/>
      <c r="G15" s="432">
        <f t="shared" si="38"/>
        <v>0</v>
      </c>
      <c r="H15" s="433"/>
      <c r="I15" s="769">
        <v>25660403</v>
      </c>
      <c r="J15" s="636">
        <f t="shared" si="18"/>
        <v>6463</v>
      </c>
      <c r="K15" s="636">
        <f t="shared" si="19"/>
        <v>4149</v>
      </c>
      <c r="L15" s="769">
        <v>293123</v>
      </c>
      <c r="M15" s="636">
        <f t="shared" si="40"/>
        <v>2043</v>
      </c>
      <c r="N15" s="769">
        <v>314005</v>
      </c>
      <c r="O15" s="636">
        <f t="shared" si="39"/>
        <v>2106</v>
      </c>
      <c r="P15" s="769">
        <v>227352</v>
      </c>
      <c r="Q15" s="636">
        <f t="shared" si="31"/>
        <v>510</v>
      </c>
      <c r="R15" s="768">
        <v>227514</v>
      </c>
      <c r="S15" s="636">
        <f t="shared" si="32"/>
        <v>142</v>
      </c>
      <c r="T15" s="768">
        <v>415198</v>
      </c>
      <c r="U15" s="636">
        <f t="shared" si="1"/>
        <v>265</v>
      </c>
      <c r="V15" s="768">
        <v>687857</v>
      </c>
      <c r="W15" s="636">
        <f t="shared" si="2"/>
        <v>2414.6800000000003</v>
      </c>
      <c r="X15" s="769">
        <v>829692</v>
      </c>
      <c r="Y15" s="636">
        <f t="shared" si="3"/>
        <v>0</v>
      </c>
      <c r="Z15" s="768">
        <v>857814</v>
      </c>
      <c r="AA15" s="636">
        <f t="shared" si="4"/>
        <v>0</v>
      </c>
      <c r="AB15" s="768">
        <v>184738</v>
      </c>
      <c r="AC15" s="636">
        <f t="shared" si="33"/>
        <v>0</v>
      </c>
      <c r="AD15" s="768">
        <v>862055</v>
      </c>
      <c r="AE15" s="636">
        <f t="shared" si="20"/>
        <v>12.190000000000001</v>
      </c>
      <c r="AF15" s="768">
        <v>1009751</v>
      </c>
      <c r="AG15" s="636">
        <f t="shared" si="42"/>
        <v>11.66</v>
      </c>
      <c r="AH15" s="768">
        <v>422504</v>
      </c>
      <c r="AI15" s="636">
        <f t="shared" si="6"/>
        <v>236.91000000000003</v>
      </c>
      <c r="AJ15" s="769">
        <v>553341</v>
      </c>
      <c r="AK15" s="636">
        <f t="shared" si="45"/>
        <v>1837.51</v>
      </c>
      <c r="AL15" s="768">
        <v>569474</v>
      </c>
      <c r="AM15" s="636">
        <f t="shared" si="8"/>
        <v>116.60000000000001</v>
      </c>
      <c r="AN15" s="636">
        <f t="shared" si="21"/>
        <v>4629.55</v>
      </c>
      <c r="AO15" s="768">
        <v>8180064</v>
      </c>
      <c r="AP15" s="636">
        <f t="shared" si="22"/>
        <v>93.15</v>
      </c>
      <c r="AQ15" s="769">
        <v>751942</v>
      </c>
      <c r="AR15" s="636">
        <f t="shared" si="9"/>
        <v>197</v>
      </c>
      <c r="AS15" s="769">
        <v>16943</v>
      </c>
      <c r="AT15" s="636">
        <f t="shared" si="23"/>
        <v>176</v>
      </c>
      <c r="AU15" s="710">
        <v>826256</v>
      </c>
      <c r="AV15" s="636">
        <f t="shared" si="10"/>
        <v>40</v>
      </c>
      <c r="AW15" s="769">
        <v>2888117</v>
      </c>
      <c r="AX15" s="636">
        <f t="shared" si="11"/>
        <v>900</v>
      </c>
      <c r="AY15" s="768">
        <v>232992</v>
      </c>
      <c r="AZ15" s="636">
        <f t="shared" si="12"/>
        <v>10</v>
      </c>
      <c r="BA15" s="769">
        <v>20837221</v>
      </c>
      <c r="BB15" s="636">
        <f t="shared" si="13"/>
        <v>4001</v>
      </c>
      <c r="BC15" s="768">
        <v>641232</v>
      </c>
      <c r="BD15" s="636">
        <f t="shared" si="13"/>
        <v>213</v>
      </c>
      <c r="BE15" s="768">
        <v>45341</v>
      </c>
      <c r="BF15" s="636">
        <f t="shared" si="13"/>
        <v>70</v>
      </c>
      <c r="BG15" s="769">
        <v>26190088</v>
      </c>
      <c r="BH15" s="636">
        <f t="shared" si="24"/>
        <v>5707.05</v>
      </c>
      <c r="BI15" s="636">
        <f t="shared" si="25"/>
        <v>11407.2</v>
      </c>
      <c r="BJ15" s="636">
        <f t="shared" si="26"/>
        <v>16036.75</v>
      </c>
      <c r="BK15" s="769">
        <v>1495159</v>
      </c>
      <c r="BL15" s="636">
        <f t="shared" si="14"/>
        <v>189</v>
      </c>
      <c r="BM15" s="769">
        <v>4314453</v>
      </c>
      <c r="BN15" s="636">
        <f t="shared" si="15"/>
        <v>1182</v>
      </c>
      <c r="BO15" s="769">
        <v>450833</v>
      </c>
      <c r="BP15" s="636">
        <f t="shared" si="16"/>
        <v>129</v>
      </c>
      <c r="BQ15" s="768">
        <v>563463</v>
      </c>
      <c r="BR15" s="636">
        <f t="shared" si="41"/>
        <v>135</v>
      </c>
      <c r="BS15" s="692">
        <f t="shared" si="27"/>
        <v>23009.75</v>
      </c>
      <c r="BT15" s="693">
        <v>207</v>
      </c>
      <c r="BU15" s="692">
        <f t="shared" si="44"/>
        <v>125.73633879781421</v>
      </c>
      <c r="BV15" s="693"/>
      <c r="BW15" s="692" t="e">
        <f t="shared" si="29"/>
        <v>#DIV/0!</v>
      </c>
      <c r="BX15" s="692">
        <f t="shared" si="34"/>
        <v>26690.712499999998</v>
      </c>
      <c r="BY15" s="692">
        <f t="shared" si="30"/>
        <v>145.85088797814205</v>
      </c>
      <c r="BZ15" s="694" t="e">
        <f t="shared" si="35"/>
        <v>#DIV/0!</v>
      </c>
    </row>
    <row r="16" spans="1:78" s="385" customFormat="1" ht="33.75" customHeight="1">
      <c r="A16" s="430">
        <v>11</v>
      </c>
      <c r="B16" s="431"/>
      <c r="C16" s="432">
        <f t="shared" si="36"/>
        <v>0</v>
      </c>
      <c r="D16" s="432"/>
      <c r="E16" s="432">
        <f t="shared" si="37"/>
        <v>0</v>
      </c>
      <c r="F16" s="432"/>
      <c r="G16" s="432">
        <f t="shared" si="38"/>
        <v>0</v>
      </c>
      <c r="H16" s="433">
        <v>61</v>
      </c>
      <c r="I16" s="769">
        <v>25667259</v>
      </c>
      <c r="J16" s="636">
        <f t="shared" si="18"/>
        <v>6856</v>
      </c>
      <c r="K16" s="636">
        <f t="shared" si="19"/>
        <v>4055</v>
      </c>
      <c r="L16" s="769">
        <v>295312</v>
      </c>
      <c r="M16" s="636">
        <f t="shared" si="40"/>
        <v>2189</v>
      </c>
      <c r="N16" s="769">
        <v>315871</v>
      </c>
      <c r="O16" s="636">
        <f t="shared" si="39"/>
        <v>1866</v>
      </c>
      <c r="P16" s="769">
        <v>227367</v>
      </c>
      <c r="Q16" s="636">
        <f t="shared" si="31"/>
        <v>450</v>
      </c>
      <c r="R16" s="768">
        <v>227657</v>
      </c>
      <c r="S16" s="636">
        <f t="shared" si="32"/>
        <v>143</v>
      </c>
      <c r="T16" s="768">
        <v>415465</v>
      </c>
      <c r="U16" s="636">
        <f t="shared" si="1"/>
        <v>267</v>
      </c>
      <c r="V16" s="768">
        <v>692331</v>
      </c>
      <c r="W16" s="636">
        <f t="shared" si="2"/>
        <v>2371.2200000000003</v>
      </c>
      <c r="X16" s="769">
        <v>829692</v>
      </c>
      <c r="Y16" s="636">
        <f t="shared" si="3"/>
        <v>0</v>
      </c>
      <c r="Z16" s="769">
        <v>858064</v>
      </c>
      <c r="AA16" s="636">
        <f t="shared" si="4"/>
        <v>132.5</v>
      </c>
      <c r="AB16" s="768">
        <v>184738</v>
      </c>
      <c r="AC16" s="636">
        <f t="shared" si="33"/>
        <v>0</v>
      </c>
      <c r="AD16" s="768">
        <v>862079</v>
      </c>
      <c r="AE16" s="636">
        <f t="shared" si="20"/>
        <v>12.72</v>
      </c>
      <c r="AF16" s="768">
        <v>1009773</v>
      </c>
      <c r="AG16" s="636">
        <f t="shared" si="42"/>
        <v>11.66</v>
      </c>
      <c r="AH16" s="768">
        <v>422972</v>
      </c>
      <c r="AI16" s="636">
        <f t="shared" si="6"/>
        <v>248.04000000000002</v>
      </c>
      <c r="AJ16" s="768">
        <v>557209</v>
      </c>
      <c r="AK16" s="636">
        <f t="shared" si="45"/>
        <v>2050.04</v>
      </c>
      <c r="AL16" s="768">
        <v>569694</v>
      </c>
      <c r="AM16" s="636">
        <f t="shared" si="8"/>
        <v>116.60000000000001</v>
      </c>
      <c r="AN16" s="636">
        <f t="shared" si="21"/>
        <v>4942.7800000000007</v>
      </c>
      <c r="AO16" s="768">
        <v>8180746</v>
      </c>
      <c r="AP16" s="636">
        <f t="shared" si="22"/>
        <v>76.725000000000009</v>
      </c>
      <c r="AQ16" s="768">
        <v>752140</v>
      </c>
      <c r="AR16" s="636">
        <f t="shared" si="9"/>
        <v>198</v>
      </c>
      <c r="AS16" s="769">
        <v>17127</v>
      </c>
      <c r="AT16" s="636">
        <f t="shared" si="23"/>
        <v>184</v>
      </c>
      <c r="AU16" s="768">
        <v>826298</v>
      </c>
      <c r="AV16" s="636">
        <f t="shared" si="10"/>
        <v>42</v>
      </c>
      <c r="AW16" s="768">
        <v>2889050</v>
      </c>
      <c r="AX16" s="636">
        <f t="shared" si="11"/>
        <v>933</v>
      </c>
      <c r="AY16" s="768">
        <v>233469</v>
      </c>
      <c r="AZ16" s="636">
        <f t="shared" si="12"/>
        <v>477</v>
      </c>
      <c r="BA16" s="768">
        <v>20842980</v>
      </c>
      <c r="BB16" s="636">
        <f t="shared" si="13"/>
        <v>5759</v>
      </c>
      <c r="BC16" s="768">
        <v>641480</v>
      </c>
      <c r="BD16" s="636">
        <f t="shared" si="13"/>
        <v>248</v>
      </c>
      <c r="BE16" s="768">
        <v>45391</v>
      </c>
      <c r="BF16" s="636">
        <f t="shared" si="13"/>
        <v>50</v>
      </c>
      <c r="BG16" s="769">
        <v>26196774</v>
      </c>
      <c r="BH16" s="636">
        <f t="shared" si="24"/>
        <v>5951.2999999999993</v>
      </c>
      <c r="BI16" s="636">
        <f t="shared" si="25"/>
        <v>13919.025</v>
      </c>
      <c r="BJ16" s="636">
        <f t="shared" si="26"/>
        <v>18861.805</v>
      </c>
      <c r="BK16" s="769">
        <v>1495390</v>
      </c>
      <c r="BL16" s="636">
        <f t="shared" si="14"/>
        <v>231</v>
      </c>
      <c r="BM16" s="769">
        <v>4315651</v>
      </c>
      <c r="BN16" s="636">
        <f t="shared" si="15"/>
        <v>1198</v>
      </c>
      <c r="BO16" s="768">
        <v>450981</v>
      </c>
      <c r="BP16" s="636">
        <f t="shared" si="16"/>
        <v>148</v>
      </c>
      <c r="BQ16" s="768">
        <v>563592</v>
      </c>
      <c r="BR16" s="636">
        <f t="shared" si="41"/>
        <v>129</v>
      </c>
      <c r="BS16" s="692">
        <f t="shared" si="27"/>
        <v>26167.805</v>
      </c>
      <c r="BT16" s="693">
        <v>236</v>
      </c>
      <c r="BU16" s="692">
        <f t="shared" si="44"/>
        <v>126.41451690821256</v>
      </c>
      <c r="BV16" s="693"/>
      <c r="BW16" s="692" t="e">
        <f t="shared" si="29"/>
        <v>#DIV/0!</v>
      </c>
      <c r="BX16" s="692">
        <f t="shared" si="34"/>
        <v>30295.475749999998</v>
      </c>
      <c r="BY16" s="692">
        <f>IF(BX16&gt;0,BX16/BT15,0)</f>
        <v>146.35495531400966</v>
      </c>
      <c r="BZ16" s="694" t="e">
        <f t="shared" si="35"/>
        <v>#DIV/0!</v>
      </c>
    </row>
    <row r="17" spans="1:78" s="385" customFormat="1" ht="33.75" customHeight="1">
      <c r="A17" s="430">
        <v>12</v>
      </c>
      <c r="B17" s="431"/>
      <c r="C17" s="432">
        <f t="shared" si="36"/>
        <v>0</v>
      </c>
      <c r="D17" s="432"/>
      <c r="E17" s="432">
        <f t="shared" si="37"/>
        <v>0</v>
      </c>
      <c r="F17" s="432"/>
      <c r="G17" s="432">
        <f t="shared" si="38"/>
        <v>0</v>
      </c>
      <c r="H17" s="433"/>
      <c r="I17" s="769">
        <v>25674175</v>
      </c>
      <c r="J17" s="636">
        <f>IF(I17&gt;=I16,I17-I16,0)</f>
        <v>6916</v>
      </c>
      <c r="K17" s="636">
        <f t="shared" si="19"/>
        <v>3705</v>
      </c>
      <c r="L17" s="769">
        <v>297431</v>
      </c>
      <c r="M17" s="636">
        <f t="shared" si="40"/>
        <v>2119</v>
      </c>
      <c r="N17" s="769">
        <v>317457</v>
      </c>
      <c r="O17" s="636">
        <f t="shared" si="39"/>
        <v>1586</v>
      </c>
      <c r="P17" s="769">
        <v>227381</v>
      </c>
      <c r="Q17" s="636">
        <f t="shared" si="31"/>
        <v>420</v>
      </c>
      <c r="R17" s="768">
        <v>227799</v>
      </c>
      <c r="S17" s="636">
        <f t="shared" si="32"/>
        <v>142</v>
      </c>
      <c r="T17" s="768">
        <v>415729</v>
      </c>
      <c r="U17" s="636">
        <f t="shared" si="1"/>
        <v>264</v>
      </c>
      <c r="V17" s="768">
        <v>697362</v>
      </c>
      <c r="W17" s="636">
        <f t="shared" si="2"/>
        <v>2666.4300000000003</v>
      </c>
      <c r="X17" s="769">
        <v>829692</v>
      </c>
      <c r="Y17" s="636">
        <f t="shared" si="3"/>
        <v>0</v>
      </c>
      <c r="Z17" s="772">
        <v>858064</v>
      </c>
      <c r="AA17" s="636">
        <f t="shared" si="4"/>
        <v>0</v>
      </c>
      <c r="AB17" s="768">
        <v>184738</v>
      </c>
      <c r="AC17" s="636">
        <f t="shared" si="33"/>
        <v>0</v>
      </c>
      <c r="AD17" s="768">
        <v>862104</v>
      </c>
      <c r="AE17" s="636">
        <f t="shared" si="20"/>
        <v>13.25</v>
      </c>
      <c r="AF17" s="768">
        <v>1009795</v>
      </c>
      <c r="AG17" s="636">
        <f t="shared" si="42"/>
        <v>11.66</v>
      </c>
      <c r="AH17" s="768">
        <v>423497</v>
      </c>
      <c r="AI17" s="636">
        <f t="shared" si="6"/>
        <v>278.25</v>
      </c>
      <c r="AJ17" s="768">
        <v>561277</v>
      </c>
      <c r="AK17" s="636">
        <f t="shared" si="45"/>
        <v>2156.04</v>
      </c>
      <c r="AL17" s="768">
        <v>569913</v>
      </c>
      <c r="AM17" s="636">
        <f t="shared" si="8"/>
        <v>116.07000000000001</v>
      </c>
      <c r="AN17" s="636">
        <f t="shared" si="21"/>
        <v>5241.7</v>
      </c>
      <c r="AO17" s="707">
        <v>8181603</v>
      </c>
      <c r="AP17" s="636">
        <f t="shared" si="22"/>
        <v>96.412500000000009</v>
      </c>
      <c r="AQ17" s="768">
        <v>752348</v>
      </c>
      <c r="AR17" s="636">
        <f t="shared" si="9"/>
        <v>208</v>
      </c>
      <c r="AS17" s="769">
        <v>17321</v>
      </c>
      <c r="AT17" s="636">
        <f t="shared" si="23"/>
        <v>194</v>
      </c>
      <c r="AU17" s="768">
        <v>826341</v>
      </c>
      <c r="AV17" s="636">
        <f t="shared" si="10"/>
        <v>43</v>
      </c>
      <c r="AW17" s="768">
        <v>2889949</v>
      </c>
      <c r="AX17" s="636">
        <f t="shared" si="11"/>
        <v>899</v>
      </c>
      <c r="AY17" s="768">
        <v>233479</v>
      </c>
      <c r="AZ17" s="636">
        <f t="shared" si="12"/>
        <v>10</v>
      </c>
      <c r="BA17" s="768">
        <v>20847516</v>
      </c>
      <c r="BB17" s="636">
        <f t="shared" si="13"/>
        <v>4536</v>
      </c>
      <c r="BC17" s="768">
        <v>641729</v>
      </c>
      <c r="BD17" s="636">
        <f t="shared" si="13"/>
        <v>249</v>
      </c>
      <c r="BE17" s="768">
        <v>45406</v>
      </c>
      <c r="BF17" s="636">
        <f t="shared" si="13"/>
        <v>15</v>
      </c>
      <c r="BG17" s="769">
        <v>26203155</v>
      </c>
      <c r="BH17" s="636">
        <f t="shared" si="24"/>
        <v>5646.9500000000007</v>
      </c>
      <c r="BI17" s="636">
        <f t="shared" si="25"/>
        <v>11897.362500000001</v>
      </c>
      <c r="BJ17" s="636">
        <f t="shared" si="26"/>
        <v>17139.0625</v>
      </c>
      <c r="BK17" s="769">
        <v>1495630</v>
      </c>
      <c r="BL17" s="636">
        <f t="shared" si="14"/>
        <v>240</v>
      </c>
      <c r="BM17" s="768">
        <v>4316818</v>
      </c>
      <c r="BN17" s="636">
        <f t="shared" si="15"/>
        <v>1167</v>
      </c>
      <c r="BO17" s="707">
        <v>451143</v>
      </c>
      <c r="BP17" s="636">
        <f t="shared" si="16"/>
        <v>162</v>
      </c>
      <c r="BQ17" s="768">
        <v>563728</v>
      </c>
      <c r="BR17" s="636">
        <f t="shared" si="41"/>
        <v>136</v>
      </c>
      <c r="BS17" s="692">
        <f t="shared" si="27"/>
        <v>24475.0625</v>
      </c>
      <c r="BT17" s="693">
        <v>236</v>
      </c>
      <c r="BU17" s="692">
        <f t="shared" si="44"/>
        <v>103.70789194915254</v>
      </c>
      <c r="BV17" s="693"/>
      <c r="BW17" s="692" t="e">
        <f t="shared" si="29"/>
        <v>#DIV/0!</v>
      </c>
      <c r="BX17" s="692">
        <f t="shared" si="34"/>
        <v>28335.321874999998</v>
      </c>
      <c r="BY17" s="692">
        <f>IF(BX17&gt;0,BX17/BT16,0)</f>
        <v>120.06492319915253</v>
      </c>
      <c r="BZ17" s="694" t="e">
        <f t="shared" si="35"/>
        <v>#DIV/0!</v>
      </c>
    </row>
    <row r="18" spans="1:78" s="385" customFormat="1" ht="33.75" customHeight="1">
      <c r="A18" s="430">
        <v>13</v>
      </c>
      <c r="B18" s="431"/>
      <c r="C18" s="432">
        <f t="shared" si="36"/>
        <v>0</v>
      </c>
      <c r="D18" s="432"/>
      <c r="E18" s="432">
        <f t="shared" si="37"/>
        <v>0</v>
      </c>
      <c r="F18" s="432"/>
      <c r="G18" s="432">
        <f t="shared" si="38"/>
        <v>0</v>
      </c>
      <c r="H18" s="433">
        <v>62</v>
      </c>
      <c r="I18" s="769">
        <v>25682190</v>
      </c>
      <c r="J18" s="636">
        <f t="shared" si="18"/>
        <v>8015</v>
      </c>
      <c r="K18" s="636">
        <f t="shared" si="19"/>
        <v>3681</v>
      </c>
      <c r="L18" s="769">
        <v>299526</v>
      </c>
      <c r="M18" s="636">
        <f t="shared" si="40"/>
        <v>2095</v>
      </c>
      <c r="N18" s="769">
        <v>319043</v>
      </c>
      <c r="O18" s="636">
        <f t="shared" si="39"/>
        <v>1586</v>
      </c>
      <c r="P18" s="769">
        <v>227396</v>
      </c>
      <c r="Q18" s="636">
        <f t="shared" si="31"/>
        <v>450</v>
      </c>
      <c r="R18" s="768">
        <v>227943</v>
      </c>
      <c r="S18" s="636">
        <f t="shared" si="32"/>
        <v>144</v>
      </c>
      <c r="T18" s="768">
        <v>415993</v>
      </c>
      <c r="U18" s="636">
        <f t="shared" si="1"/>
        <v>264</v>
      </c>
      <c r="V18" s="768">
        <v>703307</v>
      </c>
      <c r="W18" s="636">
        <f t="shared" si="2"/>
        <v>3150.8500000000004</v>
      </c>
      <c r="X18" s="769">
        <v>829692</v>
      </c>
      <c r="Y18" s="636">
        <f t="shared" si="3"/>
        <v>0</v>
      </c>
      <c r="Z18" s="768">
        <v>858064</v>
      </c>
      <c r="AA18" s="636">
        <f t="shared" si="4"/>
        <v>0</v>
      </c>
      <c r="AB18" s="768">
        <v>184738</v>
      </c>
      <c r="AC18" s="636">
        <f t="shared" si="33"/>
        <v>0</v>
      </c>
      <c r="AD18" s="768">
        <v>862128</v>
      </c>
      <c r="AE18" s="636">
        <f t="shared" si="20"/>
        <v>12.72</v>
      </c>
      <c r="AF18" s="768">
        <v>1009818</v>
      </c>
      <c r="AG18" s="636">
        <f t="shared" si="42"/>
        <v>12.190000000000001</v>
      </c>
      <c r="AH18" s="768">
        <v>424077</v>
      </c>
      <c r="AI18" s="636">
        <f t="shared" si="6"/>
        <v>307.40000000000003</v>
      </c>
      <c r="AJ18" s="768">
        <v>565585</v>
      </c>
      <c r="AK18" s="636">
        <f t="shared" si="45"/>
        <v>2283.2400000000002</v>
      </c>
      <c r="AL18" s="768">
        <v>570135</v>
      </c>
      <c r="AM18" s="636">
        <f t="shared" si="8"/>
        <v>117.66000000000001</v>
      </c>
      <c r="AN18" s="636">
        <f t="shared" si="21"/>
        <v>5884.06</v>
      </c>
      <c r="AO18" s="768">
        <v>8182373</v>
      </c>
      <c r="AP18" s="636">
        <f t="shared" si="22"/>
        <v>86.625</v>
      </c>
      <c r="AQ18" s="769">
        <v>752543</v>
      </c>
      <c r="AR18" s="636">
        <f t="shared" si="9"/>
        <v>195</v>
      </c>
      <c r="AS18" s="769">
        <v>17521</v>
      </c>
      <c r="AT18" s="636">
        <f t="shared" si="23"/>
        <v>200</v>
      </c>
      <c r="AU18" s="769">
        <v>826385</v>
      </c>
      <c r="AV18" s="636">
        <f t="shared" si="10"/>
        <v>44</v>
      </c>
      <c r="AW18" s="769">
        <v>2890870</v>
      </c>
      <c r="AX18" s="636">
        <f t="shared" si="11"/>
        <v>921</v>
      </c>
      <c r="AY18" s="768">
        <v>233490</v>
      </c>
      <c r="AZ18" s="636">
        <f t="shared" si="12"/>
        <v>11</v>
      </c>
      <c r="BA18" s="768">
        <v>20852299</v>
      </c>
      <c r="BB18" s="636">
        <f t="shared" si="13"/>
        <v>4783</v>
      </c>
      <c r="BC18" s="768">
        <v>641982</v>
      </c>
      <c r="BD18" s="636">
        <f t="shared" si="13"/>
        <v>253</v>
      </c>
      <c r="BE18" s="768">
        <v>45465</v>
      </c>
      <c r="BF18" s="636">
        <f t="shared" si="13"/>
        <v>59</v>
      </c>
      <c r="BG18" s="769">
        <v>26209491</v>
      </c>
      <c r="BH18" s="636">
        <f t="shared" si="24"/>
        <v>5593.75</v>
      </c>
      <c r="BI18" s="636">
        <f t="shared" si="25"/>
        <v>12146.375</v>
      </c>
      <c r="BJ18" s="636">
        <f t="shared" si="26"/>
        <v>18030.435000000001</v>
      </c>
      <c r="BK18" s="769">
        <v>1495875</v>
      </c>
      <c r="BL18" s="636">
        <f t="shared" si="14"/>
        <v>245</v>
      </c>
      <c r="BM18" s="768">
        <v>4317994</v>
      </c>
      <c r="BN18" s="636">
        <f t="shared" si="15"/>
        <v>1176</v>
      </c>
      <c r="BO18" s="768">
        <v>451292</v>
      </c>
      <c r="BP18" s="636">
        <f t="shared" si="16"/>
        <v>149</v>
      </c>
      <c r="BQ18" s="768">
        <v>563874</v>
      </c>
      <c r="BR18" s="636">
        <f t="shared" si="41"/>
        <v>146</v>
      </c>
      <c r="BS18" s="692">
        <f t="shared" si="27"/>
        <v>26495.435000000001</v>
      </c>
      <c r="BT18" s="693">
        <v>234</v>
      </c>
      <c r="BU18" s="692">
        <f t="shared" si="44"/>
        <v>112.26879237288136</v>
      </c>
      <c r="BV18" s="693"/>
      <c r="BW18" s="692" t="e">
        <f t="shared" si="29"/>
        <v>#DIV/0!</v>
      </c>
      <c r="BX18" s="692">
        <f t="shared" si="34"/>
        <v>30672.250250000001</v>
      </c>
      <c r="BY18" s="692">
        <f>IF(BX18&gt;0,BX18/BT17,0)</f>
        <v>129.96716207627119</v>
      </c>
      <c r="BZ18" s="694" t="e">
        <f t="shared" si="35"/>
        <v>#DIV/0!</v>
      </c>
    </row>
    <row r="19" spans="1:78" s="385" customFormat="1" ht="33.75" customHeight="1">
      <c r="A19" s="430">
        <v>14</v>
      </c>
      <c r="B19" s="431"/>
      <c r="C19" s="432">
        <f t="shared" si="36"/>
        <v>0</v>
      </c>
      <c r="D19" s="432"/>
      <c r="E19" s="432">
        <f t="shared" si="37"/>
        <v>0</v>
      </c>
      <c r="F19" s="432"/>
      <c r="G19" s="432">
        <f t="shared" si="38"/>
        <v>0</v>
      </c>
      <c r="H19" s="433"/>
      <c r="I19" s="769">
        <v>25686790</v>
      </c>
      <c r="J19" s="636">
        <f t="shared" si="18"/>
        <v>4600</v>
      </c>
      <c r="K19" s="636">
        <f t="shared" si="19"/>
        <v>3650</v>
      </c>
      <c r="L19" s="769">
        <v>301601</v>
      </c>
      <c r="M19" s="636">
        <f t="shared" si="40"/>
        <v>2075</v>
      </c>
      <c r="N19" s="769">
        <v>320618</v>
      </c>
      <c r="O19" s="636">
        <f t="shared" si="39"/>
        <v>1575</v>
      </c>
      <c r="P19" s="769">
        <v>227412</v>
      </c>
      <c r="Q19" s="636">
        <f t="shared" ref="Q19:Q35" si="46">IF(P19&gt;=P18,P19-P18,0)*30</f>
        <v>480</v>
      </c>
      <c r="R19" s="768">
        <v>228085</v>
      </c>
      <c r="S19" s="636">
        <f t="shared" si="32"/>
        <v>142</v>
      </c>
      <c r="T19" s="768">
        <v>416252</v>
      </c>
      <c r="U19" s="636">
        <f t="shared" si="1"/>
        <v>259</v>
      </c>
      <c r="V19" s="768">
        <v>704555</v>
      </c>
      <c r="W19" s="636">
        <f t="shared" si="2"/>
        <v>661.44</v>
      </c>
      <c r="X19" s="769">
        <v>834338</v>
      </c>
      <c r="Y19" s="636">
        <f t="shared" si="3"/>
        <v>2462.38</v>
      </c>
      <c r="Z19" s="768">
        <v>858064</v>
      </c>
      <c r="AA19" s="636">
        <f t="shared" si="4"/>
        <v>0</v>
      </c>
      <c r="AB19" s="768">
        <v>184738</v>
      </c>
      <c r="AC19" s="636">
        <f t="shared" si="33"/>
        <v>0</v>
      </c>
      <c r="AD19" s="768">
        <v>862152</v>
      </c>
      <c r="AE19" s="636">
        <f t="shared" si="20"/>
        <v>12.72</v>
      </c>
      <c r="AF19" s="768">
        <v>1009840</v>
      </c>
      <c r="AG19" s="636">
        <f t="shared" si="42"/>
        <v>11.66</v>
      </c>
      <c r="AH19" s="769">
        <v>424708</v>
      </c>
      <c r="AI19" s="636">
        <f t="shared" si="6"/>
        <v>334.43</v>
      </c>
      <c r="AJ19" s="769">
        <v>569984</v>
      </c>
      <c r="AK19" s="636">
        <f t="shared" si="45"/>
        <v>2331.4700000000003</v>
      </c>
      <c r="AL19" s="768">
        <v>570353</v>
      </c>
      <c r="AM19" s="636">
        <f t="shared" si="8"/>
        <v>115.54</v>
      </c>
      <c r="AN19" s="636">
        <f t="shared" si="21"/>
        <v>5929.64</v>
      </c>
      <c r="AO19" s="768">
        <v>8183199</v>
      </c>
      <c r="AP19" s="636">
        <f t="shared" si="22"/>
        <v>92.924999999999997</v>
      </c>
      <c r="AQ19" s="768">
        <v>752744</v>
      </c>
      <c r="AR19" s="636">
        <f t="shared" si="9"/>
        <v>201</v>
      </c>
      <c r="AS19" s="769">
        <v>17726</v>
      </c>
      <c r="AT19" s="636">
        <f t="shared" si="23"/>
        <v>205</v>
      </c>
      <c r="AU19" s="768">
        <v>826431</v>
      </c>
      <c r="AV19" s="636">
        <f t="shared" si="10"/>
        <v>46</v>
      </c>
      <c r="AW19" s="769">
        <v>2891791</v>
      </c>
      <c r="AX19" s="636">
        <f t="shared" si="11"/>
        <v>921</v>
      </c>
      <c r="AY19" s="768">
        <v>233501</v>
      </c>
      <c r="AZ19" s="636">
        <f t="shared" ref="AZ19:AZ36" si="47">IF(AY19&gt;=AY18,AY19-AY18,0)</f>
        <v>11</v>
      </c>
      <c r="BA19" s="769">
        <v>20856897</v>
      </c>
      <c r="BB19" s="636">
        <f t="shared" si="13"/>
        <v>4598</v>
      </c>
      <c r="BC19" s="768">
        <v>642236</v>
      </c>
      <c r="BD19" s="636">
        <f t="shared" si="13"/>
        <v>254</v>
      </c>
      <c r="BE19" s="768">
        <v>45535</v>
      </c>
      <c r="BF19" s="636">
        <f t="shared" si="13"/>
        <v>70</v>
      </c>
      <c r="BG19" s="769">
        <v>26216027</v>
      </c>
      <c r="BH19" s="636">
        <f t="shared" si="24"/>
        <v>5801.85</v>
      </c>
      <c r="BI19" s="636">
        <f t="shared" si="25"/>
        <v>12200.775000000001</v>
      </c>
      <c r="BJ19" s="636">
        <f t="shared" si="26"/>
        <v>18130.415000000001</v>
      </c>
      <c r="BK19" s="769">
        <v>1496116</v>
      </c>
      <c r="BL19" s="636">
        <f t="shared" si="14"/>
        <v>241</v>
      </c>
      <c r="BM19" s="768">
        <v>4319200</v>
      </c>
      <c r="BN19" s="636">
        <f t="shared" si="15"/>
        <v>1206</v>
      </c>
      <c r="BO19" s="707">
        <v>451433</v>
      </c>
      <c r="BP19" s="636">
        <f t="shared" si="16"/>
        <v>141</v>
      </c>
      <c r="BQ19" s="769">
        <v>564002</v>
      </c>
      <c r="BR19" s="636">
        <f t="shared" si="41"/>
        <v>128</v>
      </c>
      <c r="BS19" s="692">
        <f t="shared" si="27"/>
        <v>23210.415000000001</v>
      </c>
      <c r="BT19" s="693">
        <v>234</v>
      </c>
      <c r="BU19" s="692">
        <f t="shared" si="44"/>
        <v>99.189807692307696</v>
      </c>
      <c r="BV19" s="693"/>
      <c r="BW19" s="692" t="e">
        <f t="shared" si="29"/>
        <v>#DIV/0!</v>
      </c>
      <c r="BX19" s="692">
        <f t="shared" si="34"/>
        <v>26907.97725</v>
      </c>
      <c r="BY19" s="692">
        <f>IF(BX19&gt;0,BX19/BT18,0)</f>
        <v>114.99135576923076</v>
      </c>
      <c r="BZ19" s="694" t="e">
        <f t="shared" si="35"/>
        <v>#DIV/0!</v>
      </c>
    </row>
    <row r="20" spans="1:78" s="385" customFormat="1" ht="33.75" customHeight="1">
      <c r="A20" s="430">
        <v>15</v>
      </c>
      <c r="B20" s="431"/>
      <c r="C20" s="432">
        <f t="shared" si="36"/>
        <v>0</v>
      </c>
      <c r="D20" s="432"/>
      <c r="E20" s="432">
        <f t="shared" si="37"/>
        <v>0</v>
      </c>
      <c r="F20" s="432"/>
      <c r="G20" s="432">
        <f t="shared" si="38"/>
        <v>0</v>
      </c>
      <c r="H20" s="433">
        <v>63</v>
      </c>
      <c r="I20" s="769">
        <v>25693183</v>
      </c>
      <c r="J20" s="636">
        <f>IF(I20&gt;=I19,I20-I19,0)</f>
        <v>6393</v>
      </c>
      <c r="K20" s="636">
        <f t="shared" si="19"/>
        <v>3633</v>
      </c>
      <c r="L20" s="769">
        <v>303625</v>
      </c>
      <c r="M20" s="636">
        <f t="shared" si="40"/>
        <v>2024</v>
      </c>
      <c r="N20" s="769">
        <v>322227</v>
      </c>
      <c r="O20" s="636">
        <f t="shared" si="39"/>
        <v>1609</v>
      </c>
      <c r="P20" s="769">
        <v>227426</v>
      </c>
      <c r="Q20" s="636">
        <f t="shared" si="46"/>
        <v>420</v>
      </c>
      <c r="R20" s="768">
        <v>228227</v>
      </c>
      <c r="S20" s="636">
        <f t="shared" si="32"/>
        <v>142</v>
      </c>
      <c r="T20" s="768">
        <v>416517</v>
      </c>
      <c r="U20" s="636">
        <f t="shared" si="1"/>
        <v>265</v>
      </c>
      <c r="V20" s="768">
        <v>704555</v>
      </c>
      <c r="W20" s="636">
        <f t="shared" si="2"/>
        <v>0</v>
      </c>
      <c r="X20" s="769">
        <v>837154</v>
      </c>
      <c r="Y20" s="636">
        <f t="shared" si="3"/>
        <v>1492.48</v>
      </c>
      <c r="Z20" s="769">
        <v>860896</v>
      </c>
      <c r="AA20" s="636">
        <f t="shared" si="4"/>
        <v>1500.96</v>
      </c>
      <c r="AB20" s="768">
        <v>184738</v>
      </c>
      <c r="AC20" s="636">
        <f t="shared" si="33"/>
        <v>0</v>
      </c>
      <c r="AD20" s="768">
        <v>862176</v>
      </c>
      <c r="AE20" s="636">
        <f t="shared" si="20"/>
        <v>12.72</v>
      </c>
      <c r="AF20" s="768">
        <v>1009863</v>
      </c>
      <c r="AG20" s="636">
        <f t="shared" si="42"/>
        <v>12.190000000000001</v>
      </c>
      <c r="AH20" s="768">
        <v>425314</v>
      </c>
      <c r="AI20" s="636">
        <f t="shared" si="6"/>
        <v>321.18</v>
      </c>
      <c r="AJ20" s="768">
        <v>574309</v>
      </c>
      <c r="AK20" s="636">
        <f t="shared" si="45"/>
        <v>2292.25</v>
      </c>
      <c r="AL20" s="768">
        <v>570572</v>
      </c>
      <c r="AM20" s="636">
        <f t="shared" si="8"/>
        <v>116.07000000000001</v>
      </c>
      <c r="AN20" s="636">
        <f t="shared" si="21"/>
        <v>5747.8499999999995</v>
      </c>
      <c r="AO20" s="768">
        <v>8184075</v>
      </c>
      <c r="AP20" s="636">
        <f t="shared" si="22"/>
        <v>98.55</v>
      </c>
      <c r="AQ20" s="769">
        <v>752940</v>
      </c>
      <c r="AR20" s="636">
        <f t="shared" si="9"/>
        <v>196</v>
      </c>
      <c r="AS20" s="769">
        <v>17884</v>
      </c>
      <c r="AT20" s="636">
        <f>IF(AS20&gt;=AS19,AS20-AS19,0)</f>
        <v>158</v>
      </c>
      <c r="AU20" s="768">
        <v>826479</v>
      </c>
      <c r="AV20" s="636">
        <f>IF(AU20&gt;=AU19,AU20-AU19,0)</f>
        <v>48</v>
      </c>
      <c r="AW20" s="768">
        <v>2892707</v>
      </c>
      <c r="AX20" s="636">
        <f t="shared" si="11"/>
        <v>916</v>
      </c>
      <c r="AY20" s="768">
        <v>233511</v>
      </c>
      <c r="AZ20" s="636">
        <f t="shared" si="47"/>
        <v>10</v>
      </c>
      <c r="BA20" s="768">
        <v>20861725</v>
      </c>
      <c r="BB20" s="636">
        <f t="shared" si="13"/>
        <v>4828</v>
      </c>
      <c r="BC20" s="768">
        <v>642479</v>
      </c>
      <c r="BD20" s="636">
        <f t="shared" si="13"/>
        <v>243</v>
      </c>
      <c r="BE20" s="768">
        <v>45600</v>
      </c>
      <c r="BF20" s="636">
        <f t="shared" si="13"/>
        <v>65</v>
      </c>
      <c r="BG20" s="769">
        <v>26222748</v>
      </c>
      <c r="BH20" s="636">
        <f t="shared" si="24"/>
        <v>5989.55</v>
      </c>
      <c r="BI20" s="636">
        <f t="shared" si="25"/>
        <v>12552.1</v>
      </c>
      <c r="BJ20" s="636">
        <f t="shared" si="26"/>
        <v>18299.95</v>
      </c>
      <c r="BK20" s="769">
        <v>1496357</v>
      </c>
      <c r="BL20" s="636">
        <f t="shared" si="14"/>
        <v>241</v>
      </c>
      <c r="BM20" s="768">
        <v>4320400</v>
      </c>
      <c r="BN20" s="636">
        <f t="shared" si="15"/>
        <v>1200</v>
      </c>
      <c r="BO20" s="768">
        <v>451574</v>
      </c>
      <c r="BP20" s="636">
        <f t="shared" si="16"/>
        <v>141</v>
      </c>
      <c r="BQ20" s="768">
        <v>564130</v>
      </c>
      <c r="BR20" s="636">
        <f t="shared" si="41"/>
        <v>128</v>
      </c>
      <c r="BS20" s="692">
        <f t="shared" si="27"/>
        <v>25112.949999999997</v>
      </c>
      <c r="BT20" s="693">
        <v>234</v>
      </c>
      <c r="BU20" s="692">
        <f>IF(BS20&gt;0,BS20/BT20,0)</f>
        <v>107.32029914529913</v>
      </c>
      <c r="BV20" s="693"/>
      <c r="BW20" s="692" t="e">
        <f t="shared" si="29"/>
        <v>#DIV/0!</v>
      </c>
      <c r="BX20" s="692">
        <f t="shared" si="34"/>
        <v>29068.892499999994</v>
      </c>
      <c r="BY20" s="692">
        <f t="shared" ref="BY20:BY36" si="48">IF(BX20&gt;0,BX20/BT20,0)</f>
        <v>124.22603632478631</v>
      </c>
      <c r="BZ20" s="694" t="e">
        <f t="shared" si="35"/>
        <v>#DIV/0!</v>
      </c>
    </row>
    <row r="21" spans="1:78" s="385" customFormat="1" ht="33.75" customHeight="1">
      <c r="A21" s="430">
        <v>16</v>
      </c>
      <c r="B21" s="431"/>
      <c r="C21" s="432">
        <f t="shared" si="36"/>
        <v>0</v>
      </c>
      <c r="D21" s="432"/>
      <c r="E21" s="432">
        <f t="shared" si="37"/>
        <v>0</v>
      </c>
      <c r="F21" s="432"/>
      <c r="G21" s="432">
        <f t="shared" si="38"/>
        <v>0</v>
      </c>
      <c r="H21" s="433"/>
      <c r="I21" s="769">
        <v>25699494</v>
      </c>
      <c r="J21" s="636">
        <f>IF(I21&gt;=I20,I21-I20,0)</f>
        <v>6311</v>
      </c>
      <c r="K21" s="636">
        <f t="shared" si="19"/>
        <v>3652</v>
      </c>
      <c r="L21" s="769">
        <v>305670</v>
      </c>
      <c r="M21" s="636">
        <f t="shared" si="40"/>
        <v>2045</v>
      </c>
      <c r="N21" s="769">
        <v>323834</v>
      </c>
      <c r="O21" s="636">
        <f t="shared" si="39"/>
        <v>1607</v>
      </c>
      <c r="P21" s="769">
        <v>227441</v>
      </c>
      <c r="Q21" s="636">
        <f t="shared" si="46"/>
        <v>450</v>
      </c>
      <c r="R21" s="768">
        <v>228368</v>
      </c>
      <c r="S21" s="636">
        <f t="shared" ref="S21:S35" si="49">IF(R21&gt;=R20,R21-R20,0)</f>
        <v>141</v>
      </c>
      <c r="T21" s="768">
        <v>416779</v>
      </c>
      <c r="U21" s="636">
        <f t="shared" si="1"/>
        <v>262</v>
      </c>
      <c r="V21" s="768">
        <v>712204</v>
      </c>
      <c r="W21" s="636">
        <f t="shared" si="2"/>
        <v>4053.9700000000003</v>
      </c>
      <c r="X21" s="769">
        <v>837154</v>
      </c>
      <c r="Y21" s="636">
        <f t="shared" si="3"/>
        <v>0</v>
      </c>
      <c r="Z21" s="769">
        <v>860896</v>
      </c>
      <c r="AA21" s="636">
        <f t="shared" si="4"/>
        <v>0</v>
      </c>
      <c r="AB21" s="768">
        <v>184738</v>
      </c>
      <c r="AC21" s="636">
        <f t="shared" si="33"/>
        <v>0</v>
      </c>
      <c r="AD21" s="768">
        <v>862200</v>
      </c>
      <c r="AE21" s="636">
        <f t="shared" si="20"/>
        <v>12.72</v>
      </c>
      <c r="AF21" s="768">
        <v>1009885</v>
      </c>
      <c r="AG21" s="636">
        <f t="shared" si="42"/>
        <v>11.66</v>
      </c>
      <c r="AH21" s="769">
        <v>425664</v>
      </c>
      <c r="AI21" s="636">
        <f t="shared" si="6"/>
        <v>185.5</v>
      </c>
      <c r="AJ21" s="769">
        <v>570792</v>
      </c>
      <c r="AK21" s="636">
        <f t="shared" si="45"/>
        <v>0</v>
      </c>
      <c r="AL21" s="768">
        <v>570792</v>
      </c>
      <c r="AM21" s="636">
        <f t="shared" si="8"/>
        <v>116.60000000000001</v>
      </c>
      <c r="AN21" s="636">
        <f t="shared" si="21"/>
        <v>4380.4500000000007</v>
      </c>
      <c r="AO21" s="768">
        <v>8184719</v>
      </c>
      <c r="AP21" s="636">
        <f t="shared" si="22"/>
        <v>72.45</v>
      </c>
      <c r="AQ21" s="768">
        <v>753136</v>
      </c>
      <c r="AR21" s="636">
        <f t="shared" si="9"/>
        <v>196</v>
      </c>
      <c r="AS21" s="769">
        <v>18047</v>
      </c>
      <c r="AT21" s="636">
        <f>IF(AS21&gt;=AS20,AS21-AS20,0)</f>
        <v>163</v>
      </c>
      <c r="AU21" s="768">
        <v>826528</v>
      </c>
      <c r="AV21" s="636">
        <f>IF(AU21&gt;=AU20,AU21-AU20,0)</f>
        <v>49</v>
      </c>
      <c r="AW21" s="768">
        <v>2893619</v>
      </c>
      <c r="AX21" s="636">
        <f t="shared" si="11"/>
        <v>912</v>
      </c>
      <c r="AY21" s="769">
        <v>233522</v>
      </c>
      <c r="AZ21" s="636">
        <f t="shared" si="47"/>
        <v>11</v>
      </c>
      <c r="BA21" s="769">
        <v>20866390</v>
      </c>
      <c r="BB21" s="636">
        <f t="shared" si="13"/>
        <v>4665</v>
      </c>
      <c r="BC21" s="768">
        <v>642723</v>
      </c>
      <c r="BD21" s="636">
        <f t="shared" si="13"/>
        <v>244</v>
      </c>
      <c r="BE21" s="768">
        <v>45665</v>
      </c>
      <c r="BF21" s="636">
        <f t="shared" si="13"/>
        <v>65</v>
      </c>
      <c r="BG21" s="769">
        <v>26229296</v>
      </c>
      <c r="BH21" s="636">
        <f t="shared" si="24"/>
        <v>5836.75</v>
      </c>
      <c r="BI21" s="636">
        <f t="shared" si="25"/>
        <v>12214.2</v>
      </c>
      <c r="BJ21" s="636">
        <f t="shared" si="26"/>
        <v>16594.650000000001</v>
      </c>
      <c r="BK21" s="769">
        <v>1496597</v>
      </c>
      <c r="BL21" s="636">
        <f t="shared" si="14"/>
        <v>240</v>
      </c>
      <c r="BM21" s="768">
        <v>4321566</v>
      </c>
      <c r="BN21" s="636">
        <f t="shared" si="15"/>
        <v>1166</v>
      </c>
      <c r="BO21" s="768">
        <v>451713</v>
      </c>
      <c r="BP21" s="636">
        <f t="shared" si="16"/>
        <v>139</v>
      </c>
      <c r="BQ21" s="768">
        <v>564254</v>
      </c>
      <c r="BR21" s="636">
        <f t="shared" si="41"/>
        <v>124</v>
      </c>
      <c r="BS21" s="692">
        <f t="shared" si="27"/>
        <v>23355.65</v>
      </c>
      <c r="BT21" s="693">
        <v>232</v>
      </c>
      <c r="BU21" s="692">
        <f t="shared" ref="BU21:BU36" si="50">IF(BS21&gt;0,BS21/BT21,0)</f>
        <v>100.6709051724138</v>
      </c>
      <c r="BV21" s="693"/>
      <c r="BW21" s="692" t="e">
        <f t="shared" si="29"/>
        <v>#DIV/0!</v>
      </c>
      <c r="BX21" s="692">
        <f t="shared" si="34"/>
        <v>27061.497500000001</v>
      </c>
      <c r="BY21" s="692">
        <f t="shared" si="48"/>
        <v>116.64438577586208</v>
      </c>
      <c r="BZ21" s="694" t="e">
        <f t="shared" si="35"/>
        <v>#DIV/0!</v>
      </c>
    </row>
    <row r="22" spans="1:78" s="385" customFormat="1" ht="33.75" customHeight="1">
      <c r="A22" s="430">
        <v>17</v>
      </c>
      <c r="B22" s="431"/>
      <c r="C22" s="432">
        <f t="shared" si="36"/>
        <v>0</v>
      </c>
      <c r="D22" s="432"/>
      <c r="E22" s="432">
        <f t="shared" si="37"/>
        <v>0</v>
      </c>
      <c r="F22" s="432"/>
      <c r="G22" s="432">
        <f t="shared" si="38"/>
        <v>0</v>
      </c>
      <c r="H22" s="433">
        <v>64</v>
      </c>
      <c r="I22" s="769">
        <v>25705706</v>
      </c>
      <c r="J22" s="636">
        <f t="shared" ref="J22:J31" si="51">IF(I22&gt;=I21,I22-I21,0)</f>
        <v>6212</v>
      </c>
      <c r="K22" s="636">
        <f t="shared" si="19"/>
        <v>3839</v>
      </c>
      <c r="L22" s="769">
        <v>307648</v>
      </c>
      <c r="M22" s="636">
        <f t="shared" si="40"/>
        <v>1978</v>
      </c>
      <c r="N22" s="769">
        <v>325695</v>
      </c>
      <c r="O22" s="636">
        <f t="shared" si="39"/>
        <v>1861</v>
      </c>
      <c r="P22" s="769">
        <v>227455</v>
      </c>
      <c r="Q22" s="636">
        <f t="shared" si="46"/>
        <v>420</v>
      </c>
      <c r="R22" s="768">
        <v>228513</v>
      </c>
      <c r="S22" s="636">
        <f t="shared" si="49"/>
        <v>145</v>
      </c>
      <c r="T22" s="768">
        <v>417055</v>
      </c>
      <c r="U22" s="636">
        <f t="shared" si="1"/>
        <v>276</v>
      </c>
      <c r="V22" s="768">
        <v>717981</v>
      </c>
      <c r="W22" s="636">
        <f t="shared" ref="W22:W28" si="52">IF(V22&gt;=V21,V22-V21,0)*0.53</f>
        <v>3061.81</v>
      </c>
      <c r="X22" s="769">
        <v>837154</v>
      </c>
      <c r="Y22" s="636">
        <f t="shared" si="3"/>
        <v>0</v>
      </c>
      <c r="Z22" s="768">
        <v>862458</v>
      </c>
      <c r="AA22" s="636">
        <f t="shared" si="4"/>
        <v>827.86</v>
      </c>
      <c r="AB22" s="768">
        <v>184962</v>
      </c>
      <c r="AC22" s="636">
        <f t="shared" si="33"/>
        <v>118.72</v>
      </c>
      <c r="AD22" s="768">
        <v>862223</v>
      </c>
      <c r="AE22" s="636">
        <f t="shared" si="20"/>
        <v>12.190000000000001</v>
      </c>
      <c r="AF22" s="768">
        <v>1009907</v>
      </c>
      <c r="AG22" s="636">
        <f t="shared" si="42"/>
        <v>11.66</v>
      </c>
      <c r="AH22" s="769">
        <v>426027</v>
      </c>
      <c r="AI22" s="636">
        <f t="shared" si="6"/>
        <v>192.39000000000001</v>
      </c>
      <c r="AJ22" s="769">
        <v>583327</v>
      </c>
      <c r="AK22" s="636">
        <f t="shared" si="45"/>
        <v>6643.55</v>
      </c>
      <c r="AL22" s="768">
        <v>571015</v>
      </c>
      <c r="AM22" s="636">
        <f t="shared" si="8"/>
        <v>118.19000000000001</v>
      </c>
      <c r="AN22" s="636">
        <f t="shared" si="21"/>
        <v>10986.37</v>
      </c>
      <c r="AO22" s="768">
        <v>8185585</v>
      </c>
      <c r="AP22" s="636">
        <f t="shared" si="22"/>
        <v>97.424999999999997</v>
      </c>
      <c r="AQ22" s="768">
        <v>753336</v>
      </c>
      <c r="AR22" s="636">
        <f t="shared" si="9"/>
        <v>200</v>
      </c>
      <c r="AS22" s="769">
        <v>18203</v>
      </c>
      <c r="AT22" s="636">
        <f t="shared" si="23"/>
        <v>156</v>
      </c>
      <c r="AU22" s="768">
        <v>826570</v>
      </c>
      <c r="AV22" s="636">
        <f t="shared" si="10"/>
        <v>42</v>
      </c>
      <c r="AW22" s="769">
        <v>2894504</v>
      </c>
      <c r="AX22" s="636">
        <f t="shared" si="11"/>
        <v>885</v>
      </c>
      <c r="AY22" s="769">
        <v>233533</v>
      </c>
      <c r="AZ22" s="636">
        <f t="shared" si="47"/>
        <v>11</v>
      </c>
      <c r="BA22" s="769">
        <v>20871219</v>
      </c>
      <c r="BB22" s="636">
        <f t="shared" si="13"/>
        <v>4829</v>
      </c>
      <c r="BC22" s="768">
        <v>642983</v>
      </c>
      <c r="BD22" s="636">
        <f t="shared" si="13"/>
        <v>260</v>
      </c>
      <c r="BE22" s="768">
        <v>45730</v>
      </c>
      <c r="BF22" s="636">
        <f t="shared" si="13"/>
        <v>65</v>
      </c>
      <c r="BG22" s="769">
        <v>26235942</v>
      </c>
      <c r="BH22" s="636">
        <f t="shared" si="24"/>
        <v>5948.15</v>
      </c>
      <c r="BI22" s="636">
        <f t="shared" si="25"/>
        <v>12493.575000000001</v>
      </c>
      <c r="BJ22" s="636">
        <f t="shared" si="26"/>
        <v>23479.945</v>
      </c>
      <c r="BK22" s="769">
        <v>1496842</v>
      </c>
      <c r="BL22" s="636">
        <f t="shared" si="14"/>
        <v>245</v>
      </c>
      <c r="BM22" s="768">
        <v>4322695</v>
      </c>
      <c r="BN22" s="636">
        <f t="shared" si="15"/>
        <v>1129</v>
      </c>
      <c r="BO22" s="707">
        <v>451857</v>
      </c>
      <c r="BP22" s="636">
        <f t="shared" si="16"/>
        <v>144</v>
      </c>
      <c r="BQ22" s="769">
        <v>564379</v>
      </c>
      <c r="BR22" s="636">
        <f t="shared" si="41"/>
        <v>125</v>
      </c>
      <c r="BS22" s="692">
        <f t="shared" si="27"/>
        <v>30111.945000000003</v>
      </c>
      <c r="BT22" s="693">
        <v>216</v>
      </c>
      <c r="BU22" s="692">
        <f t="shared" si="50"/>
        <v>139.40715277777778</v>
      </c>
      <c r="BV22" s="693"/>
      <c r="BW22" s="692" t="e">
        <f t="shared" si="29"/>
        <v>#DIV/0!</v>
      </c>
      <c r="BX22" s="692">
        <f t="shared" si="34"/>
        <v>34817.736750000004</v>
      </c>
      <c r="BY22" s="692">
        <f t="shared" si="48"/>
        <v>161.19322569444446</v>
      </c>
      <c r="BZ22" s="694" t="e">
        <f t="shared" si="35"/>
        <v>#DIV/0!</v>
      </c>
    </row>
    <row r="23" spans="1:78" s="385" customFormat="1" ht="33.75" customHeight="1">
      <c r="A23" s="430">
        <v>18</v>
      </c>
      <c r="B23" s="431"/>
      <c r="C23" s="432">
        <f t="shared" si="36"/>
        <v>0</v>
      </c>
      <c r="D23" s="432"/>
      <c r="E23" s="432">
        <f t="shared" si="37"/>
        <v>0</v>
      </c>
      <c r="F23" s="432"/>
      <c r="G23" s="432">
        <f t="shared" si="38"/>
        <v>0</v>
      </c>
      <c r="H23" s="433"/>
      <c r="I23" s="769">
        <v>25712017</v>
      </c>
      <c r="J23" s="636">
        <f t="shared" si="51"/>
        <v>6311</v>
      </c>
      <c r="K23" s="636">
        <f t="shared" si="19"/>
        <v>3485</v>
      </c>
      <c r="L23" s="769">
        <v>309604</v>
      </c>
      <c r="M23" s="636">
        <f t="shared" si="40"/>
        <v>1956</v>
      </c>
      <c r="N23" s="769">
        <v>327224</v>
      </c>
      <c r="O23" s="636">
        <f t="shared" si="39"/>
        <v>1529</v>
      </c>
      <c r="P23" s="769">
        <v>227470</v>
      </c>
      <c r="Q23" s="636">
        <f t="shared" si="46"/>
        <v>450</v>
      </c>
      <c r="R23" s="768">
        <v>228654</v>
      </c>
      <c r="S23" s="636">
        <f t="shared" si="49"/>
        <v>141</v>
      </c>
      <c r="T23" s="768">
        <v>417312</v>
      </c>
      <c r="U23" s="636">
        <f t="shared" si="1"/>
        <v>257</v>
      </c>
      <c r="V23" s="768">
        <v>717981</v>
      </c>
      <c r="W23" s="636">
        <f t="shared" si="52"/>
        <v>0</v>
      </c>
      <c r="X23" s="769">
        <v>837154</v>
      </c>
      <c r="Y23" s="636">
        <f t="shared" si="3"/>
        <v>0</v>
      </c>
      <c r="Z23" s="772">
        <v>869676</v>
      </c>
      <c r="AA23" s="636">
        <f t="shared" si="4"/>
        <v>3825.5400000000004</v>
      </c>
      <c r="AB23" s="768">
        <v>184962</v>
      </c>
      <c r="AC23" s="636">
        <f t="shared" si="33"/>
        <v>0</v>
      </c>
      <c r="AD23" s="768">
        <v>862248</v>
      </c>
      <c r="AE23" s="636">
        <f t="shared" si="20"/>
        <v>13.25</v>
      </c>
      <c r="AF23" s="768">
        <v>1009930</v>
      </c>
      <c r="AG23" s="636">
        <f t="shared" si="42"/>
        <v>12.190000000000001</v>
      </c>
      <c r="AH23" s="768">
        <v>426408</v>
      </c>
      <c r="AI23" s="636">
        <f t="shared" si="6"/>
        <v>201.93</v>
      </c>
      <c r="AJ23" s="768">
        <v>587867</v>
      </c>
      <c r="AK23" s="636">
        <f t="shared" si="45"/>
        <v>2406.2000000000003</v>
      </c>
      <c r="AL23" s="768">
        <v>571228</v>
      </c>
      <c r="AM23" s="636">
        <f t="shared" si="8"/>
        <v>112.89</v>
      </c>
      <c r="AN23" s="636">
        <f t="shared" si="21"/>
        <v>6572.0000000000009</v>
      </c>
      <c r="AO23" s="707">
        <v>8186392</v>
      </c>
      <c r="AP23" s="636">
        <f t="shared" si="22"/>
        <v>90.787500000000009</v>
      </c>
      <c r="AQ23" s="768">
        <v>753530</v>
      </c>
      <c r="AR23" s="636">
        <f t="shared" si="9"/>
        <v>194</v>
      </c>
      <c r="AS23" s="768">
        <v>18386</v>
      </c>
      <c r="AT23" s="636">
        <f t="shared" si="23"/>
        <v>183</v>
      </c>
      <c r="AU23" s="768">
        <v>826613</v>
      </c>
      <c r="AV23" s="636">
        <f t="shared" si="10"/>
        <v>43</v>
      </c>
      <c r="AW23" s="768">
        <v>2895342</v>
      </c>
      <c r="AX23" s="636">
        <f t="shared" si="11"/>
        <v>838</v>
      </c>
      <c r="AY23" s="769">
        <v>233543</v>
      </c>
      <c r="AZ23" s="636">
        <f t="shared" si="47"/>
        <v>10</v>
      </c>
      <c r="BA23" s="768">
        <v>20875949</v>
      </c>
      <c r="BB23" s="636">
        <f t="shared" si="13"/>
        <v>4730</v>
      </c>
      <c r="BC23" s="768">
        <v>643228</v>
      </c>
      <c r="BD23" s="636">
        <f t="shared" si="13"/>
        <v>245</v>
      </c>
      <c r="BE23" s="768">
        <v>45796</v>
      </c>
      <c r="BF23" s="636">
        <f t="shared" si="13"/>
        <v>66</v>
      </c>
      <c r="BG23" s="769">
        <v>26242482</v>
      </c>
      <c r="BH23" s="636">
        <f t="shared" si="24"/>
        <v>5798.5</v>
      </c>
      <c r="BI23" s="636">
        <f t="shared" si="25"/>
        <v>12198.2875</v>
      </c>
      <c r="BJ23" s="636">
        <f t="shared" si="26"/>
        <v>18770.287500000002</v>
      </c>
      <c r="BK23" s="769">
        <v>1497083</v>
      </c>
      <c r="BL23" s="636">
        <f t="shared" si="14"/>
        <v>241</v>
      </c>
      <c r="BM23" s="768">
        <v>4323861</v>
      </c>
      <c r="BN23" s="636">
        <f t="shared" si="15"/>
        <v>1166</v>
      </c>
      <c r="BO23" s="768">
        <v>452001</v>
      </c>
      <c r="BP23" s="636">
        <f t="shared" si="16"/>
        <v>144</v>
      </c>
      <c r="BQ23" s="769">
        <v>564531</v>
      </c>
      <c r="BR23" s="636">
        <f t="shared" si="41"/>
        <v>152</v>
      </c>
      <c r="BS23" s="692">
        <f t="shared" si="27"/>
        <v>25531.287499999999</v>
      </c>
      <c r="BT23" s="693">
        <v>167</v>
      </c>
      <c r="BU23" s="692">
        <f t="shared" si="50"/>
        <v>152.8819610778443</v>
      </c>
      <c r="BV23" s="693"/>
      <c r="BW23" s="692" t="e">
        <f t="shared" si="29"/>
        <v>#DIV/0!</v>
      </c>
      <c r="BX23" s="692">
        <f t="shared" si="34"/>
        <v>29563.480624999997</v>
      </c>
      <c r="BY23" s="692">
        <f t="shared" si="48"/>
        <v>177.02683008982035</v>
      </c>
      <c r="BZ23" s="694" t="e">
        <f t="shared" si="35"/>
        <v>#DIV/0!</v>
      </c>
    </row>
    <row r="24" spans="1:78" s="385" customFormat="1" ht="33.75" customHeight="1">
      <c r="A24" s="430">
        <v>19</v>
      </c>
      <c r="B24" s="431"/>
      <c r="C24" s="432">
        <f t="shared" si="36"/>
        <v>0</v>
      </c>
      <c r="D24" s="432"/>
      <c r="E24" s="432">
        <f t="shared" si="37"/>
        <v>0</v>
      </c>
      <c r="F24" s="432"/>
      <c r="G24" s="432">
        <f t="shared" si="38"/>
        <v>0</v>
      </c>
      <c r="H24" s="433">
        <v>65</v>
      </c>
      <c r="I24" s="769">
        <v>25718684</v>
      </c>
      <c r="J24" s="636">
        <f t="shared" si="51"/>
        <v>6667</v>
      </c>
      <c r="K24" s="636">
        <f t="shared" si="19"/>
        <v>3625</v>
      </c>
      <c r="L24" s="769">
        <v>311641</v>
      </c>
      <c r="M24" s="636">
        <f t="shared" si="40"/>
        <v>2037</v>
      </c>
      <c r="N24" s="769">
        <v>328812</v>
      </c>
      <c r="O24" s="636">
        <f t="shared" si="39"/>
        <v>1588</v>
      </c>
      <c r="P24" s="769">
        <v>227484</v>
      </c>
      <c r="Q24" s="636">
        <f>IF(P24&gt;=P23,P24-P23,0)*30</f>
        <v>420</v>
      </c>
      <c r="R24" s="768">
        <v>228803</v>
      </c>
      <c r="S24" s="636">
        <f t="shared" si="49"/>
        <v>149</v>
      </c>
      <c r="T24" s="768">
        <v>417579</v>
      </c>
      <c r="U24" s="636">
        <f t="shared" si="1"/>
        <v>267</v>
      </c>
      <c r="V24" s="768">
        <v>723299</v>
      </c>
      <c r="W24" s="636">
        <f t="shared" si="52"/>
        <v>2818.54</v>
      </c>
      <c r="X24" s="769">
        <v>837154</v>
      </c>
      <c r="Y24" s="636">
        <f t="shared" si="3"/>
        <v>0</v>
      </c>
      <c r="Z24" s="769">
        <v>871759</v>
      </c>
      <c r="AA24" s="636">
        <f t="shared" si="4"/>
        <v>1103.99</v>
      </c>
      <c r="AB24" s="768">
        <v>184962</v>
      </c>
      <c r="AC24" s="636">
        <f t="shared" si="33"/>
        <v>0</v>
      </c>
      <c r="AD24" s="768">
        <v>862271</v>
      </c>
      <c r="AE24" s="636">
        <f t="shared" si="20"/>
        <v>12.190000000000001</v>
      </c>
      <c r="AF24" s="768">
        <v>1009952</v>
      </c>
      <c r="AG24" s="636">
        <f t="shared" si="42"/>
        <v>11.66</v>
      </c>
      <c r="AH24" s="769">
        <v>426747</v>
      </c>
      <c r="AI24" s="636">
        <f t="shared" si="6"/>
        <v>179.67000000000002</v>
      </c>
      <c r="AJ24" s="769">
        <v>592301</v>
      </c>
      <c r="AK24" s="636">
        <f t="shared" si="45"/>
        <v>2350.02</v>
      </c>
      <c r="AL24" s="768">
        <v>571449</v>
      </c>
      <c r="AM24" s="636">
        <f t="shared" si="8"/>
        <v>117.13000000000001</v>
      </c>
      <c r="AN24" s="636">
        <f t="shared" si="21"/>
        <v>6593.2</v>
      </c>
      <c r="AO24" s="768">
        <v>8187393</v>
      </c>
      <c r="AP24" s="636">
        <f t="shared" si="22"/>
        <v>112.6125</v>
      </c>
      <c r="AQ24" s="769">
        <v>753730</v>
      </c>
      <c r="AR24" s="636">
        <f t="shared" si="9"/>
        <v>200</v>
      </c>
      <c r="AS24" s="769">
        <v>18582</v>
      </c>
      <c r="AT24" s="636">
        <f t="shared" si="23"/>
        <v>196</v>
      </c>
      <c r="AU24" s="768">
        <v>826660</v>
      </c>
      <c r="AV24" s="636">
        <f t="shared" si="10"/>
        <v>47</v>
      </c>
      <c r="AW24" s="768">
        <v>2896137</v>
      </c>
      <c r="AX24" s="636">
        <f t="shared" si="11"/>
        <v>795</v>
      </c>
      <c r="AY24" s="769">
        <v>233554</v>
      </c>
      <c r="AZ24" s="636">
        <f t="shared" si="47"/>
        <v>11</v>
      </c>
      <c r="BA24" s="768">
        <v>20881021</v>
      </c>
      <c r="BB24" s="636">
        <f t="shared" si="13"/>
        <v>5072</v>
      </c>
      <c r="BC24" s="768">
        <v>643452</v>
      </c>
      <c r="BD24" s="636">
        <f t="shared" si="13"/>
        <v>224</v>
      </c>
      <c r="BE24" s="768">
        <v>45799</v>
      </c>
      <c r="BF24" s="636">
        <f t="shared" si="13"/>
        <v>3</v>
      </c>
      <c r="BG24" s="769">
        <v>26249217</v>
      </c>
      <c r="BH24" s="636">
        <f t="shared" si="24"/>
        <v>6002</v>
      </c>
      <c r="BI24" s="636">
        <f t="shared" si="25"/>
        <v>12662.612499999999</v>
      </c>
      <c r="BJ24" s="636">
        <f t="shared" si="26"/>
        <v>19255.8125</v>
      </c>
      <c r="BK24" s="769">
        <v>1497328</v>
      </c>
      <c r="BL24" s="636">
        <f t="shared" si="14"/>
        <v>245</v>
      </c>
      <c r="BM24" s="769">
        <v>4325047</v>
      </c>
      <c r="BN24" s="636">
        <f t="shared" si="15"/>
        <v>1186</v>
      </c>
      <c r="BO24" s="768">
        <v>452155</v>
      </c>
      <c r="BP24" s="636">
        <f t="shared" si="16"/>
        <v>154</v>
      </c>
      <c r="BQ24" s="769">
        <v>564661</v>
      </c>
      <c r="BR24" s="636">
        <f t="shared" si="41"/>
        <v>130</v>
      </c>
      <c r="BS24" s="692">
        <f t="shared" si="27"/>
        <v>26342.8125</v>
      </c>
      <c r="BT24" s="693">
        <v>191</v>
      </c>
      <c r="BU24" s="692">
        <f t="shared" si="50"/>
        <v>137.92048429319371</v>
      </c>
      <c r="BV24" s="693"/>
      <c r="BW24" s="692" t="e">
        <f t="shared" si="29"/>
        <v>#DIV/0!</v>
      </c>
      <c r="BX24" s="692">
        <f t="shared" si="34"/>
        <v>30483.234374999996</v>
      </c>
      <c r="BY24" s="692">
        <f t="shared" si="48"/>
        <v>159.59808573298429</v>
      </c>
      <c r="BZ24" s="694" t="e">
        <f t="shared" si="35"/>
        <v>#DIV/0!</v>
      </c>
    </row>
    <row r="25" spans="1:78" s="385" customFormat="1" ht="33.75" customHeight="1">
      <c r="A25" s="430">
        <v>20</v>
      </c>
      <c r="B25" s="431"/>
      <c r="C25" s="432">
        <f t="shared" si="36"/>
        <v>0</v>
      </c>
      <c r="D25" s="432"/>
      <c r="E25" s="432">
        <f t="shared" si="37"/>
        <v>0</v>
      </c>
      <c r="F25" s="432"/>
      <c r="G25" s="432">
        <f t="shared" si="38"/>
        <v>0</v>
      </c>
      <c r="H25" s="433"/>
      <c r="I25" s="769">
        <v>25724816</v>
      </c>
      <c r="J25" s="636">
        <f t="shared" si="51"/>
        <v>6132</v>
      </c>
      <c r="K25" s="636">
        <f t="shared" si="19"/>
        <v>3547</v>
      </c>
      <c r="L25" s="769">
        <v>313619</v>
      </c>
      <c r="M25" s="636">
        <f t="shared" si="40"/>
        <v>1978</v>
      </c>
      <c r="N25" s="769">
        <v>330381</v>
      </c>
      <c r="O25" s="636">
        <f t="shared" si="39"/>
        <v>1569</v>
      </c>
      <c r="P25" s="769">
        <v>227499</v>
      </c>
      <c r="Q25" s="636">
        <f t="shared" si="46"/>
        <v>450</v>
      </c>
      <c r="R25" s="768">
        <v>228941</v>
      </c>
      <c r="S25" s="636">
        <f t="shared" si="49"/>
        <v>138</v>
      </c>
      <c r="T25" s="768">
        <v>417822</v>
      </c>
      <c r="U25" s="636">
        <f t="shared" si="1"/>
        <v>243</v>
      </c>
      <c r="V25" s="768">
        <v>729089</v>
      </c>
      <c r="W25" s="636">
        <f t="shared" si="52"/>
        <v>3068.7000000000003</v>
      </c>
      <c r="X25" s="769">
        <v>837154</v>
      </c>
      <c r="Y25" s="636">
        <f t="shared" si="3"/>
        <v>0</v>
      </c>
      <c r="Z25" s="772">
        <v>871759</v>
      </c>
      <c r="AA25" s="636">
        <f t="shared" si="4"/>
        <v>0</v>
      </c>
      <c r="AB25" s="768">
        <v>184962</v>
      </c>
      <c r="AC25" s="636">
        <f t="shared" si="33"/>
        <v>0</v>
      </c>
      <c r="AD25" s="768">
        <v>862294</v>
      </c>
      <c r="AE25" s="636">
        <f t="shared" si="20"/>
        <v>12.190000000000001</v>
      </c>
      <c r="AF25" s="768">
        <v>1009973</v>
      </c>
      <c r="AG25" s="636">
        <f t="shared" si="42"/>
        <v>11.13</v>
      </c>
      <c r="AH25" s="769">
        <v>427330</v>
      </c>
      <c r="AI25" s="636">
        <f t="shared" si="6"/>
        <v>308.99</v>
      </c>
      <c r="AJ25" s="769">
        <v>596562</v>
      </c>
      <c r="AK25" s="636">
        <f t="shared" si="45"/>
        <v>2258.33</v>
      </c>
      <c r="AL25" s="768">
        <v>571666</v>
      </c>
      <c r="AM25" s="636">
        <f t="shared" si="8"/>
        <v>115.01</v>
      </c>
      <c r="AN25" s="636">
        <f t="shared" si="21"/>
        <v>5774.35</v>
      </c>
      <c r="AO25" s="768">
        <v>8188753</v>
      </c>
      <c r="AP25" s="636">
        <f t="shared" si="22"/>
        <v>153</v>
      </c>
      <c r="AQ25" s="768">
        <v>753923</v>
      </c>
      <c r="AR25" s="636">
        <f>IF(AQ25&gt;=AQ24,AQ25-AQ24,0)</f>
        <v>193</v>
      </c>
      <c r="AS25" s="769">
        <v>18770</v>
      </c>
      <c r="AT25" s="636">
        <f t="shared" si="23"/>
        <v>188</v>
      </c>
      <c r="AU25" s="768">
        <v>826703</v>
      </c>
      <c r="AV25" s="636">
        <f t="shared" si="10"/>
        <v>43</v>
      </c>
      <c r="AW25" s="769">
        <v>2896881</v>
      </c>
      <c r="AX25" s="636">
        <f t="shared" si="11"/>
        <v>744</v>
      </c>
      <c r="AY25" s="769">
        <v>233564</v>
      </c>
      <c r="AZ25" s="636">
        <f t="shared" si="47"/>
        <v>10</v>
      </c>
      <c r="BA25" s="768">
        <v>20885487</v>
      </c>
      <c r="BB25" s="636">
        <f t="shared" si="13"/>
        <v>4466</v>
      </c>
      <c r="BC25" s="768">
        <v>643667</v>
      </c>
      <c r="BD25" s="636">
        <f t="shared" si="13"/>
        <v>215</v>
      </c>
      <c r="BE25" s="768">
        <v>45815</v>
      </c>
      <c r="BF25" s="636">
        <f t="shared" si="13"/>
        <v>16</v>
      </c>
      <c r="BG25" s="769">
        <v>26255854</v>
      </c>
      <c r="BH25" s="636">
        <f t="shared" si="24"/>
        <v>5866.75</v>
      </c>
      <c r="BI25" s="636">
        <f t="shared" si="25"/>
        <v>11894.75</v>
      </c>
      <c r="BJ25" s="636">
        <f t="shared" si="26"/>
        <v>17669.099999999999</v>
      </c>
      <c r="BK25" s="769">
        <v>1497569</v>
      </c>
      <c r="BL25" s="636">
        <f t="shared" si="14"/>
        <v>241</v>
      </c>
      <c r="BM25" s="769">
        <v>4326318</v>
      </c>
      <c r="BN25" s="636">
        <f t="shared" si="15"/>
        <v>1271</v>
      </c>
      <c r="BO25" s="707">
        <v>452309</v>
      </c>
      <c r="BP25" s="636">
        <f t="shared" si="16"/>
        <v>154</v>
      </c>
      <c r="BQ25" s="768">
        <v>564790</v>
      </c>
      <c r="BR25" s="636">
        <f t="shared" si="41"/>
        <v>129</v>
      </c>
      <c r="BS25" s="692">
        <f t="shared" si="27"/>
        <v>24251.1</v>
      </c>
      <c r="BT25" s="693">
        <v>233</v>
      </c>
      <c r="BU25" s="692">
        <f t="shared" si="50"/>
        <v>104.08197424892703</v>
      </c>
      <c r="BV25" s="693"/>
      <c r="BW25" s="692" t="e">
        <f t="shared" si="29"/>
        <v>#DIV/0!</v>
      </c>
      <c r="BX25" s="692">
        <f t="shared" si="34"/>
        <v>28091.264999999996</v>
      </c>
      <c r="BY25" s="692">
        <f t="shared" si="48"/>
        <v>120.56336909871243</v>
      </c>
      <c r="BZ25" s="694" t="e">
        <f t="shared" si="35"/>
        <v>#DIV/0!</v>
      </c>
    </row>
    <row r="26" spans="1:78" s="385" customFormat="1" ht="33.75" customHeight="1">
      <c r="A26" s="430">
        <v>21</v>
      </c>
      <c r="B26" s="431"/>
      <c r="C26" s="432">
        <f t="shared" si="36"/>
        <v>0</v>
      </c>
      <c r="D26" s="432"/>
      <c r="E26" s="432">
        <f t="shared" si="37"/>
        <v>0</v>
      </c>
      <c r="F26" s="432"/>
      <c r="G26" s="432">
        <f t="shared" si="38"/>
        <v>0</v>
      </c>
      <c r="H26" s="433">
        <v>66</v>
      </c>
      <c r="I26" s="769">
        <v>25731255</v>
      </c>
      <c r="J26" s="636">
        <f t="shared" si="51"/>
        <v>6439</v>
      </c>
      <c r="K26" s="636">
        <f t="shared" si="19"/>
        <v>5085</v>
      </c>
      <c r="L26" s="769">
        <v>315736</v>
      </c>
      <c r="M26" s="636">
        <f t="shared" si="40"/>
        <v>2117</v>
      </c>
      <c r="N26" s="769">
        <v>333349</v>
      </c>
      <c r="O26" s="636">
        <f t="shared" si="39"/>
        <v>2968</v>
      </c>
      <c r="P26" s="769">
        <v>227513</v>
      </c>
      <c r="Q26" s="636">
        <f t="shared" si="46"/>
        <v>420</v>
      </c>
      <c r="R26" s="768">
        <v>229087</v>
      </c>
      <c r="S26" s="636">
        <f t="shared" si="49"/>
        <v>146</v>
      </c>
      <c r="T26" s="768">
        <v>418079</v>
      </c>
      <c r="U26" s="636">
        <f t="shared" si="1"/>
        <v>257</v>
      </c>
      <c r="V26" s="768">
        <v>733673</v>
      </c>
      <c r="W26" s="636">
        <f t="shared" si="52"/>
        <v>2429.52</v>
      </c>
      <c r="X26" s="769">
        <v>837154</v>
      </c>
      <c r="Y26" s="636">
        <f t="shared" si="3"/>
        <v>0</v>
      </c>
      <c r="Z26" s="769">
        <v>871759</v>
      </c>
      <c r="AA26" s="636">
        <f t="shared" si="4"/>
        <v>0</v>
      </c>
      <c r="AB26" s="768">
        <v>184962</v>
      </c>
      <c r="AC26" s="636">
        <f t="shared" si="33"/>
        <v>0</v>
      </c>
      <c r="AD26" s="768">
        <v>862318</v>
      </c>
      <c r="AE26" s="636">
        <f t="shared" si="20"/>
        <v>12.72</v>
      </c>
      <c r="AF26" s="768">
        <v>1009996</v>
      </c>
      <c r="AG26" s="636">
        <f t="shared" si="42"/>
        <v>12.190000000000001</v>
      </c>
      <c r="AH26" s="768">
        <v>427954</v>
      </c>
      <c r="AI26" s="636">
        <f t="shared" si="6"/>
        <v>330.72</v>
      </c>
      <c r="AJ26" s="768">
        <v>600480</v>
      </c>
      <c r="AK26" s="636">
        <f t="shared" si="45"/>
        <v>2076.54</v>
      </c>
      <c r="AL26" s="768">
        <v>571892</v>
      </c>
      <c r="AM26" s="636">
        <f t="shared" si="8"/>
        <v>119.78</v>
      </c>
      <c r="AN26" s="636">
        <f t="shared" si="21"/>
        <v>4981.4699999999993</v>
      </c>
      <c r="AO26" s="707">
        <v>8189991</v>
      </c>
      <c r="AP26" s="636">
        <f t="shared" si="22"/>
        <v>139.27500000000001</v>
      </c>
      <c r="AQ26" s="768">
        <v>754127</v>
      </c>
      <c r="AR26" s="636">
        <f>IF(AQ26&gt;=AQ25,AQ26-AQ25,0)</f>
        <v>204</v>
      </c>
      <c r="AS26" s="768">
        <v>18950</v>
      </c>
      <c r="AT26" s="636">
        <f t="shared" si="23"/>
        <v>180</v>
      </c>
      <c r="AU26" s="768">
        <v>826747</v>
      </c>
      <c r="AV26" s="636">
        <f t="shared" si="10"/>
        <v>44</v>
      </c>
      <c r="AW26" s="768">
        <v>2897639</v>
      </c>
      <c r="AX26" s="636">
        <f t="shared" si="11"/>
        <v>758</v>
      </c>
      <c r="AY26" s="769">
        <v>233575</v>
      </c>
      <c r="AZ26" s="636">
        <f t="shared" si="47"/>
        <v>11</v>
      </c>
      <c r="BA26" s="768">
        <v>20890544</v>
      </c>
      <c r="BB26" s="636">
        <f t="shared" si="13"/>
        <v>5057</v>
      </c>
      <c r="BC26" s="768">
        <v>643913</v>
      </c>
      <c r="BD26" s="636">
        <f t="shared" si="13"/>
        <v>246</v>
      </c>
      <c r="BE26" s="768">
        <v>45817</v>
      </c>
      <c r="BF26" s="636">
        <f t="shared" si="13"/>
        <v>2</v>
      </c>
      <c r="BG26" s="769">
        <v>26262304</v>
      </c>
      <c r="BH26" s="636">
        <f t="shared" si="24"/>
        <v>5705.4</v>
      </c>
      <c r="BI26" s="636">
        <f t="shared" si="25"/>
        <v>12346.674999999999</v>
      </c>
      <c r="BJ26" s="636">
        <f t="shared" si="26"/>
        <v>17328.144999999997</v>
      </c>
      <c r="BK26" s="769">
        <v>1497815</v>
      </c>
      <c r="BL26" s="636">
        <f t="shared" si="14"/>
        <v>246</v>
      </c>
      <c r="BM26" s="768">
        <v>4327548</v>
      </c>
      <c r="BN26" s="636">
        <f t="shared" si="15"/>
        <v>1230</v>
      </c>
      <c r="BO26" s="768">
        <v>452447</v>
      </c>
      <c r="BP26" s="636">
        <f t="shared" si="16"/>
        <v>138</v>
      </c>
      <c r="BQ26" s="769">
        <v>564919</v>
      </c>
      <c r="BR26" s="636">
        <f t="shared" si="41"/>
        <v>129</v>
      </c>
      <c r="BS26" s="692">
        <f t="shared" si="27"/>
        <v>24187.144999999997</v>
      </c>
      <c r="BT26" s="693">
        <v>202</v>
      </c>
      <c r="BU26" s="692">
        <f t="shared" si="50"/>
        <v>119.73834158415841</v>
      </c>
      <c r="BV26" s="693"/>
      <c r="BW26" s="692" t="e">
        <f t="shared" si="29"/>
        <v>#DIV/0!</v>
      </c>
      <c r="BX26" s="692">
        <f t="shared" si="34"/>
        <v>28004.216749999996</v>
      </c>
      <c r="BY26" s="692">
        <f t="shared" si="48"/>
        <v>138.6347363861386</v>
      </c>
      <c r="BZ26" s="694" t="e">
        <f t="shared" si="35"/>
        <v>#DIV/0!</v>
      </c>
    </row>
    <row r="27" spans="1:78" s="385" customFormat="1" ht="33.75" customHeight="1">
      <c r="A27" s="430">
        <v>22</v>
      </c>
      <c r="B27" s="431"/>
      <c r="C27" s="432">
        <f t="shared" si="36"/>
        <v>0</v>
      </c>
      <c r="D27" s="432"/>
      <c r="E27" s="432">
        <f t="shared" si="37"/>
        <v>0</v>
      </c>
      <c r="F27" s="432"/>
      <c r="G27" s="432">
        <f t="shared" si="38"/>
        <v>0</v>
      </c>
      <c r="H27" s="433"/>
      <c r="I27" s="769">
        <v>25737576</v>
      </c>
      <c r="J27" s="636">
        <f t="shared" si="51"/>
        <v>6321</v>
      </c>
      <c r="K27" s="636">
        <f t="shared" si="19"/>
        <v>4904</v>
      </c>
      <c r="L27" s="769">
        <v>317671</v>
      </c>
      <c r="M27" s="636">
        <f t="shared" si="40"/>
        <v>1935</v>
      </c>
      <c r="N27" s="769">
        <v>336318</v>
      </c>
      <c r="O27" s="636">
        <f t="shared" si="39"/>
        <v>2969</v>
      </c>
      <c r="P27" s="769">
        <v>227530</v>
      </c>
      <c r="Q27" s="636">
        <f>IF(P27&gt;=P26,P27-P26,0)*30</f>
        <v>510</v>
      </c>
      <c r="R27" s="768">
        <v>229233</v>
      </c>
      <c r="S27" s="636">
        <f>IF(R27&gt;=R26,R27-R26,0)</f>
        <v>146</v>
      </c>
      <c r="T27" s="768">
        <v>418345</v>
      </c>
      <c r="U27" s="636">
        <f t="shared" si="1"/>
        <v>266</v>
      </c>
      <c r="V27" s="768">
        <v>736764</v>
      </c>
      <c r="W27" s="636">
        <f t="shared" si="52"/>
        <v>1638.23</v>
      </c>
      <c r="X27" s="769">
        <v>837154</v>
      </c>
      <c r="Y27" s="636">
        <f t="shared" si="3"/>
        <v>0</v>
      </c>
      <c r="Z27" s="768">
        <v>871759</v>
      </c>
      <c r="AA27" s="636">
        <f t="shared" si="4"/>
        <v>0</v>
      </c>
      <c r="AB27" s="768">
        <v>184962</v>
      </c>
      <c r="AC27" s="636">
        <f t="shared" si="33"/>
        <v>0</v>
      </c>
      <c r="AD27" s="768">
        <v>862344</v>
      </c>
      <c r="AE27" s="636">
        <f t="shared" si="20"/>
        <v>13.780000000000001</v>
      </c>
      <c r="AF27" s="768">
        <v>1010020</v>
      </c>
      <c r="AG27" s="636">
        <f t="shared" si="42"/>
        <v>12.72</v>
      </c>
      <c r="AH27" s="769">
        <v>428436</v>
      </c>
      <c r="AI27" s="636">
        <f t="shared" si="6"/>
        <v>255.46</v>
      </c>
      <c r="AJ27" s="768">
        <v>604913</v>
      </c>
      <c r="AK27" s="636">
        <f t="shared" si="45"/>
        <v>2349.4900000000002</v>
      </c>
      <c r="AL27" s="768">
        <v>572108</v>
      </c>
      <c r="AM27" s="636">
        <f t="shared" si="8"/>
        <v>114.48</v>
      </c>
      <c r="AN27" s="636">
        <f t="shared" si="21"/>
        <v>4384.16</v>
      </c>
      <c r="AO27" s="768">
        <v>8191178</v>
      </c>
      <c r="AP27" s="636">
        <f t="shared" si="22"/>
        <v>133.53749999999999</v>
      </c>
      <c r="AQ27" s="768">
        <v>754325</v>
      </c>
      <c r="AR27" s="636">
        <f>IF(AQ27&gt;=AQ26,AQ27-AQ26,0)</f>
        <v>198</v>
      </c>
      <c r="AS27" s="769">
        <v>19136</v>
      </c>
      <c r="AT27" s="636">
        <f t="shared" si="23"/>
        <v>186</v>
      </c>
      <c r="AU27" s="768">
        <v>826788</v>
      </c>
      <c r="AV27" s="636">
        <f t="shared" si="10"/>
        <v>41</v>
      </c>
      <c r="AW27" s="768">
        <v>2898361</v>
      </c>
      <c r="AX27" s="636">
        <f t="shared" si="11"/>
        <v>722</v>
      </c>
      <c r="AY27" s="769">
        <v>233586</v>
      </c>
      <c r="AZ27" s="636">
        <f t="shared" si="47"/>
        <v>11</v>
      </c>
      <c r="BA27" s="768">
        <v>20895473</v>
      </c>
      <c r="BB27" s="636">
        <f t="shared" si="13"/>
        <v>4929</v>
      </c>
      <c r="BC27" s="768">
        <v>644181</v>
      </c>
      <c r="BD27" s="636">
        <f t="shared" si="13"/>
        <v>268</v>
      </c>
      <c r="BE27" s="768">
        <v>45867</v>
      </c>
      <c r="BF27" s="636">
        <f t="shared" si="13"/>
        <v>50</v>
      </c>
      <c r="BG27" s="769">
        <v>26269030</v>
      </c>
      <c r="BH27" s="636">
        <f t="shared" si="24"/>
        <v>6001.3</v>
      </c>
      <c r="BI27" s="636">
        <f t="shared" si="25"/>
        <v>12539.837500000001</v>
      </c>
      <c r="BJ27" s="636">
        <f t="shared" si="26"/>
        <v>16923.997500000001</v>
      </c>
      <c r="BK27" s="769">
        <v>1498061</v>
      </c>
      <c r="BL27" s="636">
        <f t="shared" si="14"/>
        <v>246</v>
      </c>
      <c r="BM27" s="768">
        <v>4328745</v>
      </c>
      <c r="BN27" s="636">
        <f t="shared" si="15"/>
        <v>1197</v>
      </c>
      <c r="BO27" s="768">
        <v>452576</v>
      </c>
      <c r="BP27" s="636">
        <f t="shared" si="16"/>
        <v>129</v>
      </c>
      <c r="BQ27" s="769">
        <v>565047</v>
      </c>
      <c r="BR27" s="636">
        <f t="shared" si="41"/>
        <v>128</v>
      </c>
      <c r="BS27" s="692">
        <f t="shared" si="27"/>
        <v>23754.997500000001</v>
      </c>
      <c r="BT27" s="693">
        <v>209</v>
      </c>
      <c r="BU27" s="692">
        <f t="shared" si="50"/>
        <v>113.66027511961722</v>
      </c>
      <c r="BV27" s="693"/>
      <c r="BW27" s="692" t="e">
        <f t="shared" si="29"/>
        <v>#DIV/0!</v>
      </c>
      <c r="BX27" s="692">
        <f t="shared" si="34"/>
        <v>27547.747124999998</v>
      </c>
      <c r="BY27" s="692">
        <f t="shared" si="48"/>
        <v>131.80740251196173</v>
      </c>
      <c r="BZ27" s="694" t="e">
        <f t="shared" si="35"/>
        <v>#DIV/0!</v>
      </c>
    </row>
    <row r="28" spans="1:78" s="385" customFormat="1" ht="33.75" customHeight="1">
      <c r="A28" s="430">
        <v>23</v>
      </c>
      <c r="B28" s="431"/>
      <c r="C28" s="432">
        <f t="shared" si="36"/>
        <v>0</v>
      </c>
      <c r="D28" s="432"/>
      <c r="E28" s="432">
        <f t="shared" si="37"/>
        <v>0</v>
      </c>
      <c r="F28" s="432"/>
      <c r="G28" s="432">
        <f t="shared" si="38"/>
        <v>0</v>
      </c>
      <c r="H28" s="433">
        <v>67</v>
      </c>
      <c r="I28" s="769">
        <v>25744059</v>
      </c>
      <c r="J28" s="636">
        <f t="shared" si="51"/>
        <v>6483</v>
      </c>
      <c r="K28" s="636">
        <f t="shared" si="19"/>
        <v>5140</v>
      </c>
      <c r="L28" s="769">
        <v>319732</v>
      </c>
      <c r="M28" s="636">
        <f t="shared" si="40"/>
        <v>2061</v>
      </c>
      <c r="N28" s="769">
        <v>339397</v>
      </c>
      <c r="O28" s="636">
        <f t="shared" si="0"/>
        <v>3079</v>
      </c>
      <c r="P28" s="769">
        <v>227547</v>
      </c>
      <c r="Q28" s="636">
        <f t="shared" si="46"/>
        <v>510</v>
      </c>
      <c r="R28" s="768">
        <v>229378</v>
      </c>
      <c r="S28" s="636">
        <f>IF(R28&gt;=R27,R28-R27,0)</f>
        <v>145</v>
      </c>
      <c r="T28" s="768">
        <v>418606</v>
      </c>
      <c r="U28" s="636">
        <f>IF(T28&gt;=T27,T28-T27,0)</f>
        <v>261</v>
      </c>
      <c r="V28" s="768">
        <v>740363</v>
      </c>
      <c r="W28" s="636">
        <f t="shared" si="52"/>
        <v>1907.47</v>
      </c>
      <c r="X28" s="769">
        <v>837154</v>
      </c>
      <c r="Y28" s="636">
        <f t="shared" si="3"/>
        <v>0</v>
      </c>
      <c r="Z28" s="768">
        <v>871759</v>
      </c>
      <c r="AA28" s="636">
        <f t="shared" si="4"/>
        <v>0</v>
      </c>
      <c r="AB28" s="768">
        <v>184962</v>
      </c>
      <c r="AC28" s="636">
        <f t="shared" si="33"/>
        <v>0</v>
      </c>
      <c r="AD28" s="768">
        <v>862369</v>
      </c>
      <c r="AE28" s="636">
        <f t="shared" si="20"/>
        <v>13.25</v>
      </c>
      <c r="AF28" s="768">
        <v>1010043</v>
      </c>
      <c r="AG28" s="636">
        <f t="shared" si="42"/>
        <v>12.190000000000001</v>
      </c>
      <c r="AH28" s="769">
        <v>428987</v>
      </c>
      <c r="AI28" s="636">
        <f t="shared" si="6"/>
        <v>292.03000000000003</v>
      </c>
      <c r="AJ28" s="769">
        <v>609496</v>
      </c>
      <c r="AK28" s="636">
        <f t="shared" si="45"/>
        <v>2428.9900000000002</v>
      </c>
      <c r="AL28" s="768">
        <v>572327</v>
      </c>
      <c r="AM28" s="636">
        <f t="shared" si="8"/>
        <v>116.07000000000001</v>
      </c>
      <c r="AN28" s="636">
        <f t="shared" si="21"/>
        <v>4770</v>
      </c>
      <c r="AO28" s="768">
        <v>8192370</v>
      </c>
      <c r="AP28" s="636">
        <f t="shared" si="22"/>
        <v>134.1</v>
      </c>
      <c r="AQ28" s="768">
        <v>754589</v>
      </c>
      <c r="AR28" s="636">
        <f>IF(AQ28&gt;=AQ27,AQ28-AQ27,0)</f>
        <v>264</v>
      </c>
      <c r="AS28" s="769">
        <v>19252</v>
      </c>
      <c r="AT28" s="636">
        <f t="shared" si="23"/>
        <v>116</v>
      </c>
      <c r="AU28" s="768">
        <v>826828</v>
      </c>
      <c r="AV28" s="636">
        <f t="shared" si="10"/>
        <v>40</v>
      </c>
      <c r="AW28" s="768">
        <v>2899174</v>
      </c>
      <c r="AX28" s="636">
        <f t="shared" si="11"/>
        <v>813</v>
      </c>
      <c r="AY28" s="768">
        <v>233597</v>
      </c>
      <c r="AZ28" s="636">
        <f t="shared" si="47"/>
        <v>11</v>
      </c>
      <c r="BA28" s="768">
        <v>20900557</v>
      </c>
      <c r="BB28" s="636">
        <f t="shared" si="13"/>
        <v>5084</v>
      </c>
      <c r="BC28" s="768">
        <v>644463</v>
      </c>
      <c r="BD28" s="636">
        <f t="shared" si="13"/>
        <v>282</v>
      </c>
      <c r="BE28" s="768">
        <v>45917</v>
      </c>
      <c r="BF28" s="636">
        <f t="shared" si="13"/>
        <v>50</v>
      </c>
      <c r="BG28" s="769">
        <v>26275603</v>
      </c>
      <c r="BH28" s="636">
        <f t="shared" si="24"/>
        <v>5860.3499999999995</v>
      </c>
      <c r="BI28" s="636">
        <f t="shared" si="25"/>
        <v>12654.45</v>
      </c>
      <c r="BJ28" s="636">
        <f t="shared" si="26"/>
        <v>17424.45</v>
      </c>
      <c r="BK28" s="769">
        <v>1498306</v>
      </c>
      <c r="BL28" s="636">
        <f t="shared" si="14"/>
        <v>245</v>
      </c>
      <c r="BM28" s="768">
        <v>4329893</v>
      </c>
      <c r="BN28" s="636">
        <f t="shared" si="15"/>
        <v>1148</v>
      </c>
      <c r="BO28" s="768">
        <v>452705</v>
      </c>
      <c r="BP28" s="636">
        <f t="shared" si="16"/>
        <v>129</v>
      </c>
      <c r="BQ28" s="768">
        <v>565185</v>
      </c>
      <c r="BR28" s="636">
        <f t="shared" si="41"/>
        <v>138</v>
      </c>
      <c r="BS28" s="692">
        <f t="shared" si="27"/>
        <v>24417.45</v>
      </c>
      <c r="BT28" s="693">
        <v>229</v>
      </c>
      <c r="BU28" s="692">
        <f t="shared" si="50"/>
        <v>106.6264192139738</v>
      </c>
      <c r="BV28" s="693"/>
      <c r="BW28" s="692" t="e">
        <f t="shared" si="29"/>
        <v>#DIV/0!</v>
      </c>
      <c r="BX28" s="692">
        <f t="shared" si="34"/>
        <v>28309.567499999997</v>
      </c>
      <c r="BY28" s="692">
        <f t="shared" si="48"/>
        <v>123.62256550218339</v>
      </c>
      <c r="BZ28" s="694" t="e">
        <f t="shared" si="35"/>
        <v>#DIV/0!</v>
      </c>
    </row>
    <row r="29" spans="1:78" s="385" customFormat="1" ht="33.75" customHeight="1">
      <c r="A29" s="430">
        <v>24</v>
      </c>
      <c r="B29" s="431"/>
      <c r="C29" s="432">
        <f t="shared" si="36"/>
        <v>0</v>
      </c>
      <c r="D29" s="432"/>
      <c r="E29" s="432">
        <f t="shared" si="37"/>
        <v>0</v>
      </c>
      <c r="F29" s="432"/>
      <c r="G29" s="432">
        <f t="shared" si="38"/>
        <v>0</v>
      </c>
      <c r="H29" s="433"/>
      <c r="I29" s="769">
        <v>25749973</v>
      </c>
      <c r="J29" s="636">
        <f t="shared" si="51"/>
        <v>5914</v>
      </c>
      <c r="K29" s="636">
        <f t="shared" si="19"/>
        <v>4318</v>
      </c>
      <c r="L29" s="769">
        <v>321796</v>
      </c>
      <c r="M29" s="636">
        <f t="shared" ref="M29:M36" si="53">IF(L29&gt;=L28,L29-L28,0)</f>
        <v>2064</v>
      </c>
      <c r="N29" s="769">
        <v>341651</v>
      </c>
      <c r="O29" s="636">
        <f t="shared" si="0"/>
        <v>2254</v>
      </c>
      <c r="P29" s="769">
        <v>227561</v>
      </c>
      <c r="Q29" s="636">
        <f t="shared" si="46"/>
        <v>420</v>
      </c>
      <c r="R29" s="768">
        <v>229518</v>
      </c>
      <c r="S29" s="636">
        <f>IF(R29&gt;=R28,R29-R28,0)</f>
        <v>140</v>
      </c>
      <c r="T29" s="768">
        <v>418865</v>
      </c>
      <c r="U29" s="636">
        <f t="shared" ref="U29:U36" si="54">IF(T29&gt;=T28,T29-T28,0)</f>
        <v>259</v>
      </c>
      <c r="V29" s="768">
        <v>743417</v>
      </c>
      <c r="W29" s="636">
        <f t="shared" si="2"/>
        <v>1618.6200000000001</v>
      </c>
      <c r="X29" s="769">
        <v>837241</v>
      </c>
      <c r="Y29" s="636">
        <f t="shared" si="3"/>
        <v>46.11</v>
      </c>
      <c r="Z29" s="768">
        <v>871759</v>
      </c>
      <c r="AA29" s="636">
        <f t="shared" si="4"/>
        <v>0</v>
      </c>
      <c r="AB29" s="768">
        <v>184962</v>
      </c>
      <c r="AC29" s="636">
        <f t="shared" si="33"/>
        <v>0</v>
      </c>
      <c r="AD29" s="768">
        <v>862395</v>
      </c>
      <c r="AE29" s="636">
        <f t="shared" si="20"/>
        <v>13.780000000000001</v>
      </c>
      <c r="AF29" s="768">
        <v>1010067</v>
      </c>
      <c r="AG29" s="636">
        <f t="shared" si="42"/>
        <v>12.72</v>
      </c>
      <c r="AH29" s="768">
        <v>429341</v>
      </c>
      <c r="AI29" s="636">
        <f t="shared" si="6"/>
        <v>187.62</v>
      </c>
      <c r="AJ29" s="768">
        <v>613680</v>
      </c>
      <c r="AK29" s="636">
        <f t="shared" si="45"/>
        <v>2217.52</v>
      </c>
      <c r="AL29" s="768">
        <v>572547</v>
      </c>
      <c r="AM29" s="636">
        <f t="shared" si="8"/>
        <v>116.60000000000001</v>
      </c>
      <c r="AN29" s="636">
        <f t="shared" si="21"/>
        <v>4212.97</v>
      </c>
      <c r="AO29" s="768">
        <v>8193897</v>
      </c>
      <c r="AP29" s="636">
        <f t="shared" si="22"/>
        <v>171.78749999999999</v>
      </c>
      <c r="AQ29" s="768">
        <v>754772</v>
      </c>
      <c r="AR29" s="636">
        <f t="shared" si="9"/>
        <v>183</v>
      </c>
      <c r="AS29" s="768">
        <v>19350</v>
      </c>
      <c r="AT29" s="636">
        <f t="shared" si="23"/>
        <v>98</v>
      </c>
      <c r="AU29" s="768">
        <v>826869</v>
      </c>
      <c r="AV29" s="636">
        <f t="shared" si="10"/>
        <v>41</v>
      </c>
      <c r="AW29" s="768">
        <v>2899949</v>
      </c>
      <c r="AX29" s="636">
        <f t="shared" si="11"/>
        <v>775</v>
      </c>
      <c r="AY29" s="768">
        <v>233607</v>
      </c>
      <c r="AZ29" s="636">
        <f t="shared" si="47"/>
        <v>10</v>
      </c>
      <c r="BA29" s="768">
        <v>20905537.666666701</v>
      </c>
      <c r="BB29" s="636">
        <f t="shared" si="13"/>
        <v>4980.666666701436</v>
      </c>
      <c r="BC29" s="768">
        <v>644739</v>
      </c>
      <c r="BD29" s="636">
        <f t="shared" si="13"/>
        <v>276</v>
      </c>
      <c r="BE29" s="768">
        <v>45967</v>
      </c>
      <c r="BF29" s="636">
        <f t="shared" si="13"/>
        <v>50</v>
      </c>
      <c r="BG29" s="769">
        <v>26282081</v>
      </c>
      <c r="BH29" s="636">
        <f t="shared" si="24"/>
        <v>5740.8</v>
      </c>
      <c r="BI29" s="636">
        <f t="shared" si="25"/>
        <v>12326.254166701437</v>
      </c>
      <c r="BJ29" s="636">
        <f t="shared" si="26"/>
        <v>16539.224166701439</v>
      </c>
      <c r="BK29" s="769">
        <v>1498549</v>
      </c>
      <c r="BL29" s="636">
        <f t="shared" si="14"/>
        <v>243</v>
      </c>
      <c r="BM29" s="768">
        <v>4331062</v>
      </c>
      <c r="BN29" s="636">
        <f t="shared" si="15"/>
        <v>1169</v>
      </c>
      <c r="BO29" s="807">
        <v>452832</v>
      </c>
      <c r="BP29" s="636">
        <f t="shared" si="16"/>
        <v>127</v>
      </c>
      <c r="BQ29" s="769">
        <v>565339</v>
      </c>
      <c r="BR29" s="636">
        <f t="shared" si="41"/>
        <v>154</v>
      </c>
      <c r="BS29" s="692">
        <f t="shared" si="27"/>
        <v>22873.224166701439</v>
      </c>
      <c r="BT29" s="693">
        <v>215</v>
      </c>
      <c r="BU29" s="692">
        <f t="shared" si="50"/>
        <v>106.38708914744855</v>
      </c>
      <c r="BV29" s="693"/>
      <c r="BW29" s="692" t="e">
        <f t="shared" si="29"/>
        <v>#DIV/0!</v>
      </c>
      <c r="BX29" s="692">
        <f t="shared" si="34"/>
        <v>26493.207791706653</v>
      </c>
      <c r="BY29" s="692">
        <f t="shared" si="48"/>
        <v>123.22422228700769</v>
      </c>
      <c r="BZ29" s="694" t="e">
        <f t="shared" si="35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5">IF(+B30-B29&gt;0,B30-B29,(B30-B29)&gt;0)*800</f>
        <v>0</v>
      </c>
      <c r="D30" s="432"/>
      <c r="E30" s="432">
        <f t="shared" ref="E30:E35" si="56">IF(+D30-D29&gt;0,D30-D29,(D30-D29)&gt;0)*80</f>
        <v>0</v>
      </c>
      <c r="F30" s="432"/>
      <c r="G30" s="432">
        <f t="shared" ref="G30:G35" si="57">IF(+F30-F29&gt;0,F30-F29,(F30-F29)&gt;0)*10</f>
        <v>0</v>
      </c>
      <c r="H30" s="433">
        <v>68</v>
      </c>
      <c r="I30" s="769">
        <v>25755763</v>
      </c>
      <c r="J30" s="636">
        <f t="shared" si="51"/>
        <v>5790</v>
      </c>
      <c r="K30" s="636">
        <f t="shared" si="19"/>
        <v>3781</v>
      </c>
      <c r="L30" s="769">
        <v>323581</v>
      </c>
      <c r="M30" s="636">
        <f t="shared" si="53"/>
        <v>1785</v>
      </c>
      <c r="N30" s="769">
        <v>343647</v>
      </c>
      <c r="O30" s="636">
        <f t="shared" si="0"/>
        <v>1996</v>
      </c>
      <c r="P30" s="769">
        <v>227576</v>
      </c>
      <c r="Q30" s="636">
        <f t="shared" si="46"/>
        <v>450</v>
      </c>
      <c r="R30" s="768">
        <v>229654</v>
      </c>
      <c r="S30" s="636">
        <f>IF(R30&gt;=R29,R30-R29,0)</f>
        <v>136</v>
      </c>
      <c r="T30" s="768">
        <v>419115</v>
      </c>
      <c r="U30" s="636">
        <f t="shared" si="54"/>
        <v>250</v>
      </c>
      <c r="V30" s="768">
        <v>746667</v>
      </c>
      <c r="W30" s="636">
        <f>IF(V30&gt;=V29,V30-V29,0)*0.53</f>
        <v>1722.5</v>
      </c>
      <c r="X30" s="769">
        <v>837241</v>
      </c>
      <c r="Y30" s="636">
        <f t="shared" si="3"/>
        <v>0</v>
      </c>
      <c r="Z30" s="768">
        <v>871759</v>
      </c>
      <c r="AA30" s="636">
        <f t="shared" si="4"/>
        <v>0</v>
      </c>
      <c r="AB30" s="768">
        <v>184962</v>
      </c>
      <c r="AC30" s="636">
        <f t="shared" si="33"/>
        <v>0</v>
      </c>
      <c r="AD30" s="768">
        <v>862413</v>
      </c>
      <c r="AE30" s="636">
        <f t="shared" si="20"/>
        <v>9.5400000000000009</v>
      </c>
      <c r="AF30" s="768">
        <v>1010084</v>
      </c>
      <c r="AG30" s="636">
        <f t="shared" si="42"/>
        <v>9.01</v>
      </c>
      <c r="AH30" s="768">
        <v>429582</v>
      </c>
      <c r="AI30" s="636">
        <f t="shared" si="6"/>
        <v>127.73</v>
      </c>
      <c r="AJ30" s="768">
        <v>617295</v>
      </c>
      <c r="AK30" s="636">
        <f t="shared" si="45"/>
        <v>1915.95</v>
      </c>
      <c r="AL30" s="768">
        <v>572750</v>
      </c>
      <c r="AM30" s="636">
        <f t="shared" si="8"/>
        <v>107.59</v>
      </c>
      <c r="AN30" s="636">
        <f t="shared" si="21"/>
        <v>3892.32</v>
      </c>
      <c r="AO30" s="707">
        <v>8194898</v>
      </c>
      <c r="AP30" s="636">
        <f t="shared" si="22"/>
        <v>112.6125</v>
      </c>
      <c r="AQ30" s="769">
        <v>754955</v>
      </c>
      <c r="AR30" s="636">
        <f t="shared" si="9"/>
        <v>183</v>
      </c>
      <c r="AS30" s="768">
        <v>19420</v>
      </c>
      <c r="AT30" s="636">
        <f t="shared" si="23"/>
        <v>70</v>
      </c>
      <c r="AU30" s="768">
        <v>826908</v>
      </c>
      <c r="AV30" s="636">
        <f t="shared" si="10"/>
        <v>39</v>
      </c>
      <c r="AW30" s="768">
        <v>2900685</v>
      </c>
      <c r="AX30" s="636">
        <f t="shared" si="11"/>
        <v>736</v>
      </c>
      <c r="AY30" s="768">
        <v>233617</v>
      </c>
      <c r="AZ30" s="636">
        <f t="shared" si="47"/>
        <v>10</v>
      </c>
      <c r="BA30" s="768">
        <v>20910381</v>
      </c>
      <c r="BB30" s="636">
        <f t="shared" si="13"/>
        <v>4843.333333298564</v>
      </c>
      <c r="BC30" s="768">
        <v>644937</v>
      </c>
      <c r="BD30" s="636">
        <f t="shared" si="13"/>
        <v>198</v>
      </c>
      <c r="BE30" s="768">
        <v>46012</v>
      </c>
      <c r="BF30" s="636">
        <f t="shared" si="13"/>
        <v>45</v>
      </c>
      <c r="BG30" s="769">
        <v>26287097</v>
      </c>
      <c r="BH30" s="636">
        <f t="shared" si="24"/>
        <v>4436.8</v>
      </c>
      <c r="BI30" s="636">
        <f t="shared" si="25"/>
        <v>10673.745833298564</v>
      </c>
      <c r="BJ30" s="636">
        <f t="shared" si="26"/>
        <v>14566.065833298564</v>
      </c>
      <c r="BK30" s="769">
        <v>1498777</v>
      </c>
      <c r="BL30" s="636">
        <f t="shared" si="14"/>
        <v>228</v>
      </c>
      <c r="BM30" s="768">
        <v>4331977</v>
      </c>
      <c r="BN30" s="805">
        <f t="shared" si="15"/>
        <v>915</v>
      </c>
      <c r="BO30" s="803">
        <v>452933</v>
      </c>
      <c r="BP30" s="806">
        <f t="shared" si="16"/>
        <v>101</v>
      </c>
      <c r="BQ30" s="768">
        <v>565461</v>
      </c>
      <c r="BR30" s="636">
        <f t="shared" si="41"/>
        <v>122</v>
      </c>
      <c r="BS30" s="692">
        <f t="shared" si="27"/>
        <v>20806.065833298562</v>
      </c>
      <c r="BT30" s="693">
        <v>221</v>
      </c>
      <c r="BU30" s="692">
        <f t="shared" si="50"/>
        <v>94.145094268319284</v>
      </c>
      <c r="BV30" s="693"/>
      <c r="BW30" s="692" t="e">
        <f t="shared" si="29"/>
        <v>#DIV/0!</v>
      </c>
      <c r="BX30" s="692">
        <f t="shared" si="34"/>
        <v>24129.475708293347</v>
      </c>
      <c r="BY30" s="692">
        <f t="shared" si="48"/>
        <v>109.18314800132735</v>
      </c>
      <c r="BZ30" s="694" t="e">
        <f t="shared" si="35"/>
        <v>#DIV/0!</v>
      </c>
    </row>
    <row r="31" spans="1:78" s="385" customFormat="1" ht="33.75" customHeight="1">
      <c r="A31" s="430">
        <v>26</v>
      </c>
      <c r="B31" s="431"/>
      <c r="C31" s="432">
        <f t="shared" si="55"/>
        <v>0</v>
      </c>
      <c r="D31" s="432"/>
      <c r="E31" s="432">
        <f t="shared" si="56"/>
        <v>0</v>
      </c>
      <c r="F31" s="432"/>
      <c r="G31" s="432">
        <f t="shared" si="57"/>
        <v>0</v>
      </c>
      <c r="H31" s="433"/>
      <c r="I31" s="769">
        <v>25761463</v>
      </c>
      <c r="J31" s="636">
        <f t="shared" si="51"/>
        <v>5700</v>
      </c>
      <c r="K31" s="636">
        <f t="shared" si="19"/>
        <v>4708</v>
      </c>
      <c r="L31" s="769">
        <v>325828</v>
      </c>
      <c r="M31" s="636">
        <f t="shared" si="53"/>
        <v>2247</v>
      </c>
      <c r="N31" s="769">
        <v>346108</v>
      </c>
      <c r="O31" s="636">
        <f t="shared" si="0"/>
        <v>2461</v>
      </c>
      <c r="P31" s="769">
        <v>227595</v>
      </c>
      <c r="Q31" s="636">
        <f t="shared" si="46"/>
        <v>570</v>
      </c>
      <c r="R31" s="768">
        <v>229808</v>
      </c>
      <c r="S31" s="636">
        <f t="shared" si="49"/>
        <v>154</v>
      </c>
      <c r="T31" s="768">
        <v>419391</v>
      </c>
      <c r="U31" s="636">
        <f t="shared" si="54"/>
        <v>276</v>
      </c>
      <c r="V31" s="768">
        <v>750394</v>
      </c>
      <c r="W31" s="636">
        <f>IF(V31&gt;=V30,V31-V30,0)*0.53</f>
        <v>1975.3100000000002</v>
      </c>
      <c r="X31" s="769">
        <v>837372</v>
      </c>
      <c r="Y31" s="636">
        <f t="shared" si="3"/>
        <v>69.430000000000007</v>
      </c>
      <c r="Z31" s="768">
        <v>871759</v>
      </c>
      <c r="AA31" s="636">
        <f t="shared" si="4"/>
        <v>0</v>
      </c>
      <c r="AB31" s="768">
        <v>184692</v>
      </c>
      <c r="AC31" s="636">
        <f t="shared" si="33"/>
        <v>0</v>
      </c>
      <c r="AD31" s="768">
        <v>862444</v>
      </c>
      <c r="AE31" s="636">
        <f t="shared" si="20"/>
        <v>16.43</v>
      </c>
      <c r="AF31" s="768">
        <v>1010112</v>
      </c>
      <c r="AG31" s="636">
        <f t="shared" si="42"/>
        <v>14.84</v>
      </c>
      <c r="AH31" s="769">
        <v>430024</v>
      </c>
      <c r="AI31" s="636">
        <f t="shared" si="6"/>
        <v>234.26000000000002</v>
      </c>
      <c r="AJ31" s="769">
        <v>621198</v>
      </c>
      <c r="AK31" s="636">
        <f t="shared" si="45"/>
        <v>2068.59</v>
      </c>
      <c r="AL31" s="768">
        <v>572977</v>
      </c>
      <c r="AM31" s="636">
        <f t="shared" si="8"/>
        <v>120.31</v>
      </c>
      <c r="AN31" s="636">
        <f t="shared" si="21"/>
        <v>4499.170000000001</v>
      </c>
      <c r="AO31" s="768">
        <v>8196210</v>
      </c>
      <c r="AP31" s="636">
        <f t="shared" si="22"/>
        <v>147.6</v>
      </c>
      <c r="AQ31" s="768">
        <v>755212</v>
      </c>
      <c r="AR31" s="636">
        <f t="shared" si="9"/>
        <v>257</v>
      </c>
      <c r="AS31" s="768">
        <v>19521</v>
      </c>
      <c r="AT31" s="636">
        <f t="shared" si="23"/>
        <v>101</v>
      </c>
      <c r="AU31" s="768">
        <v>826953</v>
      </c>
      <c r="AV31" s="636">
        <f t="shared" si="10"/>
        <v>45</v>
      </c>
      <c r="AW31" s="768">
        <v>2901518</v>
      </c>
      <c r="AX31" s="636">
        <f t="shared" si="11"/>
        <v>833</v>
      </c>
      <c r="AY31" s="769">
        <v>233628</v>
      </c>
      <c r="AZ31" s="636">
        <f t="shared" si="47"/>
        <v>11</v>
      </c>
      <c r="BA31" s="768">
        <v>20915648</v>
      </c>
      <c r="BB31" s="636">
        <f t="shared" si="13"/>
        <v>5267</v>
      </c>
      <c r="BC31" s="768">
        <v>645257</v>
      </c>
      <c r="BD31" s="636">
        <f t="shared" si="13"/>
        <v>320</v>
      </c>
      <c r="BE31" s="768">
        <v>46052</v>
      </c>
      <c r="BF31" s="636">
        <f t="shared" si="13"/>
        <v>40</v>
      </c>
      <c r="BG31" s="768">
        <v>26294766</v>
      </c>
      <c r="BH31" s="636">
        <f t="shared" si="24"/>
        <v>6758.75</v>
      </c>
      <c r="BI31" s="636">
        <f t="shared" si="25"/>
        <v>13780.35</v>
      </c>
      <c r="BJ31" s="636">
        <f t="shared" si="26"/>
        <v>18279.52</v>
      </c>
      <c r="BK31" s="769">
        <v>1499130</v>
      </c>
      <c r="BL31" s="636">
        <f t="shared" si="14"/>
        <v>353</v>
      </c>
      <c r="BM31" s="769">
        <v>4333426</v>
      </c>
      <c r="BN31" s="805">
        <f t="shared" si="15"/>
        <v>1449</v>
      </c>
      <c r="BO31" s="804">
        <v>453089</v>
      </c>
      <c r="BP31" s="806">
        <f t="shared" si="16"/>
        <v>156</v>
      </c>
      <c r="BQ31" s="768">
        <v>565649</v>
      </c>
      <c r="BR31" s="636">
        <f t="shared" si="41"/>
        <v>188</v>
      </c>
      <c r="BS31" s="692">
        <f t="shared" si="27"/>
        <v>24549.520000000004</v>
      </c>
      <c r="BT31" s="693">
        <v>231</v>
      </c>
      <c r="BU31" s="692">
        <f t="shared" si="50"/>
        <v>106.27497835497837</v>
      </c>
      <c r="BV31" s="693"/>
      <c r="BW31" s="692" t="e">
        <f t="shared" si="29"/>
        <v>#DIV/0!</v>
      </c>
      <c r="BX31" s="692">
        <f t="shared" si="34"/>
        <v>28488.448000000004</v>
      </c>
      <c r="BY31" s="692">
        <f t="shared" si="48"/>
        <v>123.32661471861474</v>
      </c>
      <c r="BZ31" s="694" t="e">
        <f t="shared" si="35"/>
        <v>#DIV/0!</v>
      </c>
    </row>
    <row r="32" spans="1:78" ht="33.75" customHeight="1">
      <c r="A32" s="111">
        <v>27</v>
      </c>
      <c r="B32" s="110"/>
      <c r="C32" s="1">
        <f t="shared" si="55"/>
        <v>0</v>
      </c>
      <c r="D32" s="1"/>
      <c r="E32" s="1">
        <f t="shared" si="56"/>
        <v>0</v>
      </c>
      <c r="F32" s="1"/>
      <c r="G32" s="1">
        <f t="shared" si="57"/>
        <v>0</v>
      </c>
      <c r="H32" s="30">
        <v>69</v>
      </c>
      <c r="I32" s="769">
        <v>25769457</v>
      </c>
      <c r="J32" s="636">
        <f t="shared" si="18"/>
        <v>7994</v>
      </c>
      <c r="K32" s="636">
        <f t="shared" si="19"/>
        <v>4198</v>
      </c>
      <c r="L32" s="769">
        <v>328108</v>
      </c>
      <c r="M32" s="636">
        <f t="shared" si="53"/>
        <v>2280</v>
      </c>
      <c r="N32" s="769">
        <v>348026</v>
      </c>
      <c r="O32" s="636">
        <f t="shared" si="0"/>
        <v>1918</v>
      </c>
      <c r="P32" s="769">
        <v>227613</v>
      </c>
      <c r="Q32" s="636">
        <f t="shared" si="46"/>
        <v>540</v>
      </c>
      <c r="R32" s="768">
        <v>229950</v>
      </c>
      <c r="S32" s="636">
        <f t="shared" si="49"/>
        <v>142</v>
      </c>
      <c r="T32" s="768">
        <v>419641</v>
      </c>
      <c r="U32" s="636">
        <f t="shared" si="54"/>
        <v>250</v>
      </c>
      <c r="V32" s="768">
        <v>754661</v>
      </c>
      <c r="W32" s="636">
        <f>IF(V32&gt;=V31,V32-V31,0)*0.53</f>
        <v>2261.5100000000002</v>
      </c>
      <c r="X32" s="769">
        <v>837372</v>
      </c>
      <c r="Y32" s="636">
        <f t="shared" si="3"/>
        <v>0</v>
      </c>
      <c r="Z32" s="768">
        <v>871759</v>
      </c>
      <c r="AA32" s="636">
        <f t="shared" si="4"/>
        <v>0</v>
      </c>
      <c r="AB32" s="768">
        <v>184962</v>
      </c>
      <c r="AC32" s="636">
        <f t="shared" si="33"/>
        <v>143.1</v>
      </c>
      <c r="AD32" s="768">
        <v>862469</v>
      </c>
      <c r="AE32" s="636">
        <f t="shared" si="20"/>
        <v>13.25</v>
      </c>
      <c r="AF32" s="768">
        <v>1010136</v>
      </c>
      <c r="AG32" s="636">
        <f t="shared" si="42"/>
        <v>12.72</v>
      </c>
      <c r="AH32" s="768">
        <v>430554</v>
      </c>
      <c r="AI32" s="636">
        <f t="shared" si="6"/>
        <v>280.90000000000003</v>
      </c>
      <c r="AJ32" s="768">
        <v>628647</v>
      </c>
      <c r="AK32" s="636">
        <f t="shared" si="45"/>
        <v>3947.9700000000003</v>
      </c>
      <c r="AL32" s="768">
        <v>573202</v>
      </c>
      <c r="AM32" s="636">
        <f t="shared" si="8"/>
        <v>119.25</v>
      </c>
      <c r="AN32" s="636">
        <f t="shared" si="21"/>
        <v>6778.7000000000007</v>
      </c>
      <c r="AO32" s="768">
        <v>8197250</v>
      </c>
      <c r="AP32" s="636">
        <f t="shared" si="22"/>
        <v>117</v>
      </c>
      <c r="AQ32" s="769">
        <v>755440</v>
      </c>
      <c r="AR32" s="636">
        <f t="shared" si="9"/>
        <v>228</v>
      </c>
      <c r="AS32" s="768">
        <v>19605</v>
      </c>
      <c r="AT32" s="636">
        <f t="shared" si="23"/>
        <v>84</v>
      </c>
      <c r="AU32" s="768">
        <v>826999</v>
      </c>
      <c r="AV32" s="636">
        <f t="shared" si="10"/>
        <v>46</v>
      </c>
      <c r="AW32" s="768">
        <v>2902333</v>
      </c>
      <c r="AX32" s="636">
        <f t="shared" si="11"/>
        <v>815</v>
      </c>
      <c r="AY32" s="769">
        <v>233638</v>
      </c>
      <c r="AZ32" s="636">
        <f t="shared" si="47"/>
        <v>10</v>
      </c>
      <c r="BA32" s="768">
        <v>20920867</v>
      </c>
      <c r="BB32" s="636">
        <f t="shared" si="13"/>
        <v>5219</v>
      </c>
      <c r="BC32" s="768">
        <v>645547</v>
      </c>
      <c r="BD32" s="636">
        <f t="shared" si="13"/>
        <v>290</v>
      </c>
      <c r="BE32" s="768">
        <v>46092</v>
      </c>
      <c r="BF32" s="636">
        <f t="shared" si="13"/>
        <v>40</v>
      </c>
      <c r="BG32" s="769">
        <v>26301323</v>
      </c>
      <c r="BH32" s="636">
        <f t="shared" si="24"/>
        <v>5787.4</v>
      </c>
      <c r="BI32" s="636">
        <f t="shared" si="25"/>
        <v>12636.4</v>
      </c>
      <c r="BJ32" s="636">
        <f t="shared" si="26"/>
        <v>19415.099999999999</v>
      </c>
      <c r="BK32" s="769">
        <v>1499378</v>
      </c>
      <c r="BL32" s="636">
        <f t="shared" si="14"/>
        <v>248</v>
      </c>
      <c r="BM32" s="769">
        <v>4334640</v>
      </c>
      <c r="BN32" s="805">
        <f t="shared" si="15"/>
        <v>1214</v>
      </c>
      <c r="BO32" s="804">
        <v>453223</v>
      </c>
      <c r="BP32" s="806">
        <f t="shared" si="16"/>
        <v>134</v>
      </c>
      <c r="BQ32" s="768">
        <v>565812</v>
      </c>
      <c r="BR32" s="636">
        <f t="shared" si="41"/>
        <v>163</v>
      </c>
      <c r="BS32" s="692">
        <f t="shared" si="27"/>
        <v>27949.1</v>
      </c>
      <c r="BT32" s="693">
        <v>200</v>
      </c>
      <c r="BU32" s="692">
        <f t="shared" si="50"/>
        <v>139.74549999999999</v>
      </c>
      <c r="BV32" s="695"/>
      <c r="BW32" s="692" t="e">
        <f t="shared" si="29"/>
        <v>#DIV/0!</v>
      </c>
      <c r="BX32" s="692">
        <f t="shared" si="34"/>
        <v>32384.464999999997</v>
      </c>
      <c r="BY32" s="692">
        <f t="shared" si="48"/>
        <v>161.92232499999997</v>
      </c>
      <c r="BZ32" s="694" t="e">
        <f t="shared" si="35"/>
        <v>#DIV/0!</v>
      </c>
    </row>
    <row r="33" spans="1:78" ht="33.75" customHeight="1">
      <c r="A33" s="111">
        <v>28</v>
      </c>
      <c r="B33" s="110"/>
      <c r="C33" s="1">
        <f t="shared" si="55"/>
        <v>0</v>
      </c>
      <c r="D33" s="1"/>
      <c r="E33" s="1">
        <f t="shared" si="56"/>
        <v>0</v>
      </c>
      <c r="F33" s="1"/>
      <c r="G33" s="1">
        <f t="shared" si="57"/>
        <v>0</v>
      </c>
      <c r="H33" s="30"/>
      <c r="I33" s="769">
        <v>25775921.666666701</v>
      </c>
      <c r="J33" s="636">
        <f t="shared" si="18"/>
        <v>6464.666666701436</v>
      </c>
      <c r="K33" s="636">
        <f t="shared" si="19"/>
        <v>4172</v>
      </c>
      <c r="L33" s="769">
        <v>330229</v>
      </c>
      <c r="M33" s="636">
        <f t="shared" si="53"/>
        <v>2121</v>
      </c>
      <c r="N33" s="769">
        <v>350077</v>
      </c>
      <c r="O33" s="636">
        <f t="shared" si="0"/>
        <v>2051</v>
      </c>
      <c r="P33" s="769">
        <v>227630</v>
      </c>
      <c r="Q33" s="636">
        <f t="shared" si="46"/>
        <v>510</v>
      </c>
      <c r="R33" s="768">
        <v>230100</v>
      </c>
      <c r="S33" s="636">
        <f t="shared" si="49"/>
        <v>150</v>
      </c>
      <c r="T33" s="768">
        <v>419874</v>
      </c>
      <c r="U33" s="636">
        <f t="shared" si="54"/>
        <v>233</v>
      </c>
      <c r="V33" s="768">
        <v>758806</v>
      </c>
      <c r="W33" s="636">
        <f t="shared" si="2"/>
        <v>2196.85</v>
      </c>
      <c r="X33" s="769">
        <v>837372</v>
      </c>
      <c r="Y33" s="636">
        <f t="shared" si="3"/>
        <v>0</v>
      </c>
      <c r="Z33" s="768">
        <v>871759</v>
      </c>
      <c r="AA33" s="636">
        <f t="shared" si="4"/>
        <v>0</v>
      </c>
      <c r="AB33" s="768">
        <v>184962</v>
      </c>
      <c r="AC33" s="636">
        <f t="shared" si="33"/>
        <v>0</v>
      </c>
      <c r="AD33" s="768">
        <v>862494</v>
      </c>
      <c r="AE33" s="636">
        <f t="shared" si="20"/>
        <v>13.25</v>
      </c>
      <c r="AF33" s="768">
        <v>1010160</v>
      </c>
      <c r="AG33" s="636">
        <f t="shared" si="42"/>
        <v>12.72</v>
      </c>
      <c r="AH33" s="768">
        <v>431065</v>
      </c>
      <c r="AI33" s="636">
        <f t="shared" si="6"/>
        <v>270.83000000000004</v>
      </c>
      <c r="AJ33" s="768">
        <v>630108</v>
      </c>
      <c r="AK33" s="636">
        <f t="shared" si="45"/>
        <v>774.33</v>
      </c>
      <c r="AL33" s="768">
        <v>573420</v>
      </c>
      <c r="AM33" s="636">
        <f t="shared" si="8"/>
        <v>115.54</v>
      </c>
      <c r="AN33" s="636">
        <f t="shared" si="21"/>
        <v>3383.5199999999995</v>
      </c>
      <c r="AO33" s="768">
        <v>8198439</v>
      </c>
      <c r="AP33" s="636">
        <f t="shared" si="22"/>
        <v>133.76250000000002</v>
      </c>
      <c r="AQ33" s="768">
        <v>755664</v>
      </c>
      <c r="AR33" s="636">
        <f t="shared" si="9"/>
        <v>224</v>
      </c>
      <c r="AS33" s="769">
        <v>19706</v>
      </c>
      <c r="AT33" s="636">
        <f t="shared" si="23"/>
        <v>101</v>
      </c>
      <c r="AU33" s="768">
        <v>827043</v>
      </c>
      <c r="AV33" s="636">
        <f t="shared" si="10"/>
        <v>44</v>
      </c>
      <c r="AW33" s="768">
        <v>2903236</v>
      </c>
      <c r="AX33" s="636">
        <f t="shared" si="11"/>
        <v>903</v>
      </c>
      <c r="AY33" s="769">
        <v>233650</v>
      </c>
      <c r="AZ33" s="636">
        <f t="shared" si="47"/>
        <v>12</v>
      </c>
      <c r="BA33" s="768">
        <v>20926291</v>
      </c>
      <c r="BB33" s="636">
        <f t="shared" si="13"/>
        <v>5424</v>
      </c>
      <c r="BC33" s="768">
        <v>645756</v>
      </c>
      <c r="BD33" s="636">
        <f t="shared" si="13"/>
        <v>209</v>
      </c>
      <c r="BE33" s="768">
        <v>46132</v>
      </c>
      <c r="BF33" s="636">
        <f t="shared" si="13"/>
        <v>40</v>
      </c>
      <c r="BG33" s="769">
        <v>26307335</v>
      </c>
      <c r="BH33" s="636">
        <f t="shared" si="24"/>
        <v>5286.7</v>
      </c>
      <c r="BI33" s="636">
        <f t="shared" si="25"/>
        <v>12377.4625</v>
      </c>
      <c r="BJ33" s="636">
        <f t="shared" si="26"/>
        <v>15760.982499999998</v>
      </c>
      <c r="BK33" s="769">
        <v>1499616</v>
      </c>
      <c r="BL33" s="636">
        <f t="shared" si="14"/>
        <v>238</v>
      </c>
      <c r="BM33" s="768">
        <v>4335788</v>
      </c>
      <c r="BN33" s="805">
        <f t="shared" si="15"/>
        <v>1148</v>
      </c>
      <c r="BO33" s="768">
        <v>453349</v>
      </c>
      <c r="BP33" s="806">
        <f t="shared" si="16"/>
        <v>126</v>
      </c>
      <c r="BQ33" s="768">
        <v>565964</v>
      </c>
      <c r="BR33" s="636">
        <f t="shared" si="41"/>
        <v>152</v>
      </c>
      <c r="BS33" s="692">
        <f t="shared" si="27"/>
        <v>22735.649166701434</v>
      </c>
      <c r="BT33" s="693">
        <v>243</v>
      </c>
      <c r="BU33" s="692">
        <f t="shared" si="50"/>
        <v>93.562342249800139</v>
      </c>
      <c r="BV33" s="693"/>
      <c r="BW33" s="692" t="e">
        <f t="shared" si="29"/>
        <v>#DIV/0!</v>
      </c>
      <c r="BX33" s="692">
        <f t="shared" si="34"/>
        <v>26375.496541706649</v>
      </c>
      <c r="BY33" s="692">
        <f t="shared" si="48"/>
        <v>108.54113803171461</v>
      </c>
      <c r="BZ33" s="694" t="e">
        <f t="shared" si="35"/>
        <v>#DIV/0!</v>
      </c>
    </row>
    <row r="34" spans="1:78" ht="33.75" customHeight="1">
      <c r="A34" s="111">
        <v>29</v>
      </c>
      <c r="B34" s="110"/>
      <c r="C34" s="1">
        <f t="shared" si="55"/>
        <v>0</v>
      </c>
      <c r="D34" s="1"/>
      <c r="E34" s="1">
        <f t="shared" si="56"/>
        <v>0</v>
      </c>
      <c r="F34" s="1"/>
      <c r="G34" s="1">
        <f t="shared" si="57"/>
        <v>0</v>
      </c>
      <c r="H34" s="30"/>
      <c r="I34" s="769">
        <v>25781294</v>
      </c>
      <c r="J34" s="636">
        <f t="shared" si="18"/>
        <v>5372.333333298564</v>
      </c>
      <c r="K34" s="636">
        <f t="shared" si="19"/>
        <v>4181</v>
      </c>
      <c r="L34" s="769">
        <v>332366</v>
      </c>
      <c r="M34" s="636">
        <f t="shared" si="53"/>
        <v>2137</v>
      </c>
      <c r="N34" s="769">
        <v>352121</v>
      </c>
      <c r="O34" s="636">
        <f t="shared" si="0"/>
        <v>2044</v>
      </c>
      <c r="P34" s="769">
        <v>227648</v>
      </c>
      <c r="Q34" s="636">
        <f t="shared" si="46"/>
        <v>540</v>
      </c>
      <c r="R34" s="768">
        <v>230242</v>
      </c>
      <c r="S34" s="636">
        <f t="shared" si="49"/>
        <v>142</v>
      </c>
      <c r="T34" s="768">
        <v>420118</v>
      </c>
      <c r="U34" s="636">
        <f t="shared" si="54"/>
        <v>244</v>
      </c>
      <c r="V34" s="768">
        <v>762902</v>
      </c>
      <c r="W34" s="636">
        <f t="shared" si="2"/>
        <v>2170.88</v>
      </c>
      <c r="X34" s="769">
        <v>837372</v>
      </c>
      <c r="Y34" s="636">
        <f t="shared" si="3"/>
        <v>0</v>
      </c>
      <c r="Z34" s="768">
        <v>871759</v>
      </c>
      <c r="AA34" s="636">
        <f t="shared" si="4"/>
        <v>0</v>
      </c>
      <c r="AB34" s="768">
        <v>184962</v>
      </c>
      <c r="AC34" s="636">
        <f t="shared" si="33"/>
        <v>0</v>
      </c>
      <c r="AD34" s="768">
        <v>862518</v>
      </c>
      <c r="AE34" s="636">
        <f t="shared" si="20"/>
        <v>12.72</v>
      </c>
      <c r="AF34" s="768">
        <v>1010182</v>
      </c>
      <c r="AG34" s="636">
        <f t="shared" si="42"/>
        <v>11.66</v>
      </c>
      <c r="AH34" s="769">
        <v>431583</v>
      </c>
      <c r="AI34" s="636">
        <f t="shared" si="6"/>
        <v>274.54000000000002</v>
      </c>
      <c r="AJ34" s="769">
        <v>634499</v>
      </c>
      <c r="AK34" s="636">
        <f t="shared" si="45"/>
        <v>2327.23</v>
      </c>
      <c r="AL34" s="768">
        <v>573635</v>
      </c>
      <c r="AM34" s="636">
        <f t="shared" si="8"/>
        <v>113.95</v>
      </c>
      <c r="AN34" s="636">
        <f t="shared" si="21"/>
        <v>4910.9799999999996</v>
      </c>
      <c r="AO34" s="707">
        <v>8199727</v>
      </c>
      <c r="AP34" s="636">
        <f t="shared" si="22"/>
        <v>144.9</v>
      </c>
      <c r="AQ34" s="769">
        <v>755872</v>
      </c>
      <c r="AR34" s="636">
        <f t="shared" si="9"/>
        <v>208</v>
      </c>
      <c r="AS34" s="768">
        <v>19820</v>
      </c>
      <c r="AT34" s="636">
        <f t="shared" si="23"/>
        <v>114</v>
      </c>
      <c r="AU34" s="768">
        <v>827086</v>
      </c>
      <c r="AV34" s="636">
        <f t="shared" si="10"/>
        <v>43</v>
      </c>
      <c r="AW34" s="768">
        <v>2904188</v>
      </c>
      <c r="AX34" s="636">
        <f t="shared" si="11"/>
        <v>952</v>
      </c>
      <c r="AY34" s="768">
        <v>233660</v>
      </c>
      <c r="AZ34" s="636">
        <f t="shared" si="47"/>
        <v>10</v>
      </c>
      <c r="BA34" s="768">
        <v>20931560</v>
      </c>
      <c r="BB34" s="636">
        <f t="shared" si="13"/>
        <v>5269</v>
      </c>
      <c r="BC34" s="768">
        <v>645954</v>
      </c>
      <c r="BD34" s="636">
        <f t="shared" si="13"/>
        <v>198</v>
      </c>
      <c r="BE34" s="768">
        <v>46172</v>
      </c>
      <c r="BF34" s="636">
        <f t="shared" si="13"/>
        <v>40</v>
      </c>
      <c r="BG34" s="768">
        <v>26313369</v>
      </c>
      <c r="BH34" s="636">
        <f t="shared" si="24"/>
        <v>5344.05</v>
      </c>
      <c r="BI34" s="636">
        <f t="shared" si="25"/>
        <v>12322.95</v>
      </c>
      <c r="BJ34" s="636">
        <f t="shared" si="26"/>
        <v>17233.93</v>
      </c>
      <c r="BK34" s="769">
        <v>1499855</v>
      </c>
      <c r="BL34" s="636">
        <f t="shared" si="14"/>
        <v>239</v>
      </c>
      <c r="BM34" s="769">
        <v>4336847</v>
      </c>
      <c r="BN34" s="805">
        <f t="shared" si="15"/>
        <v>1059</v>
      </c>
      <c r="BO34" s="768">
        <v>453481</v>
      </c>
      <c r="BP34" s="806">
        <f t="shared" si="16"/>
        <v>132</v>
      </c>
      <c r="BQ34" s="769">
        <v>566118</v>
      </c>
      <c r="BR34" s="636">
        <f t="shared" si="41"/>
        <v>154</v>
      </c>
      <c r="BS34" s="692">
        <f t="shared" si="27"/>
        <v>23146.263333298564</v>
      </c>
      <c r="BT34" s="693">
        <v>235</v>
      </c>
      <c r="BU34" s="692">
        <f t="shared" si="50"/>
        <v>98.494737588504535</v>
      </c>
      <c r="BV34" s="693"/>
      <c r="BW34" s="692" t="e">
        <f t="shared" si="29"/>
        <v>#DIV/0!</v>
      </c>
      <c r="BX34" s="692">
        <f t="shared" si="34"/>
        <v>26861.202833293348</v>
      </c>
      <c r="BY34" s="692">
        <f t="shared" si="48"/>
        <v>114.30299077997169</v>
      </c>
      <c r="BZ34" s="694" t="e">
        <f t="shared" si="35"/>
        <v>#DIV/0!</v>
      </c>
    </row>
    <row r="35" spans="1:78" ht="33.75" customHeight="1">
      <c r="A35" s="111">
        <v>30</v>
      </c>
      <c r="B35" s="110"/>
      <c r="C35" s="1">
        <f t="shared" si="55"/>
        <v>0</v>
      </c>
      <c r="D35" s="1"/>
      <c r="E35" s="1">
        <f t="shared" si="56"/>
        <v>0</v>
      </c>
      <c r="F35" s="1"/>
      <c r="G35" s="1">
        <f t="shared" si="57"/>
        <v>0</v>
      </c>
      <c r="H35" s="30"/>
      <c r="I35" s="769">
        <v>25787394.555555601</v>
      </c>
      <c r="J35" s="636">
        <f t="shared" si="18"/>
        <v>6100.555555600673</v>
      </c>
      <c r="K35" s="636">
        <f t="shared" si="19"/>
        <v>4249.1666666669771</v>
      </c>
      <c r="L35" s="769">
        <v>334566.5</v>
      </c>
      <c r="M35" s="636">
        <f t="shared" si="53"/>
        <v>2200.5</v>
      </c>
      <c r="N35" s="769">
        <v>354169.66666666698</v>
      </c>
      <c r="O35" s="636">
        <f t="shared" si="0"/>
        <v>2048.6666666669771</v>
      </c>
      <c r="P35" s="769">
        <v>227665.33333333299</v>
      </c>
      <c r="Q35" s="636">
        <f t="shared" si="46"/>
        <v>519.99999998981366</v>
      </c>
      <c r="R35" s="768">
        <v>230389.33333333299</v>
      </c>
      <c r="S35" s="636">
        <f t="shared" si="49"/>
        <v>147.33333333299379</v>
      </c>
      <c r="T35" s="768">
        <v>420354.66666666698</v>
      </c>
      <c r="U35" s="636">
        <f t="shared" si="54"/>
        <v>236.66666666697711</v>
      </c>
      <c r="V35" s="768">
        <v>767030.66666666698</v>
      </c>
      <c r="W35" s="636">
        <f t="shared" si="2"/>
        <v>2188.1933333334978</v>
      </c>
      <c r="X35" s="769">
        <v>837372</v>
      </c>
      <c r="Y35" s="636">
        <f t="shared" si="3"/>
        <v>0</v>
      </c>
      <c r="Z35" s="768">
        <v>871759</v>
      </c>
      <c r="AA35" s="636">
        <f t="shared" si="4"/>
        <v>0</v>
      </c>
      <c r="AB35" s="768">
        <v>184962</v>
      </c>
      <c r="AC35" s="636">
        <f t="shared" si="33"/>
        <v>0</v>
      </c>
      <c r="AD35" s="768">
        <v>862542.66666666698</v>
      </c>
      <c r="AE35" s="636">
        <f t="shared" si="20"/>
        <v>13.073333333497867</v>
      </c>
      <c r="AF35" s="768">
        <v>1010205.33333333</v>
      </c>
      <c r="AG35" s="636">
        <f t="shared" si="42"/>
        <v>12.366666664897931</v>
      </c>
      <c r="AH35" s="768">
        <v>432096.33333333302</v>
      </c>
      <c r="AI35" s="636">
        <f t="shared" si="6"/>
        <v>272.06666666650216</v>
      </c>
      <c r="AJ35" s="768">
        <v>636936.66666666698</v>
      </c>
      <c r="AK35" s="636">
        <f t="shared" si="45"/>
        <v>1291.963333333498</v>
      </c>
      <c r="AL35" s="768">
        <v>573852</v>
      </c>
      <c r="AM35" s="636">
        <f t="shared" si="8"/>
        <v>115.01</v>
      </c>
      <c r="AN35" s="636">
        <f t="shared" si="21"/>
        <v>3892.6733333318934</v>
      </c>
      <c r="AO35" s="768">
        <v>8200949</v>
      </c>
      <c r="AP35" s="636">
        <f t="shared" si="22"/>
        <v>137.47499999999999</v>
      </c>
      <c r="AQ35" s="769">
        <v>756090.66666666698</v>
      </c>
      <c r="AR35" s="636">
        <f t="shared" si="9"/>
        <v>218.66666666697711</v>
      </c>
      <c r="AS35" s="768">
        <v>19925.333333333299</v>
      </c>
      <c r="AT35" s="636">
        <f>IF(AS35&gt;=AS34,AS35-AS34,0)</f>
        <v>105.33333333329938</v>
      </c>
      <c r="AU35" s="768">
        <v>827129.66666666698</v>
      </c>
      <c r="AV35" s="636">
        <f t="shared" si="10"/>
        <v>43.666666666977108</v>
      </c>
      <c r="AW35" s="768">
        <v>2905107.3333333302</v>
      </c>
      <c r="AX35" s="636">
        <f t="shared" si="11"/>
        <v>919.33333333022892</v>
      </c>
      <c r="AY35" s="769">
        <v>233671.33333333299</v>
      </c>
      <c r="AZ35" s="636">
        <f t="shared" si="47"/>
        <v>11.333333332993789</v>
      </c>
      <c r="BA35" s="768">
        <v>20936932.333333299</v>
      </c>
      <c r="BB35" s="636">
        <f t="shared" si="13"/>
        <v>5372.333333298564</v>
      </c>
      <c r="BC35" s="768">
        <v>646159.33333333302</v>
      </c>
      <c r="BD35" s="636">
        <f t="shared" si="13"/>
        <v>205.33333333302289</v>
      </c>
      <c r="BE35" s="768">
        <v>46212</v>
      </c>
      <c r="BF35" s="636">
        <f t="shared" si="13"/>
        <v>40</v>
      </c>
      <c r="BG35" s="769">
        <v>26319388.333333299</v>
      </c>
      <c r="BH35" s="636">
        <f t="shared" si="24"/>
        <v>5305.8166666329835</v>
      </c>
      <c r="BI35" s="636">
        <f t="shared" si="25"/>
        <v>12359.291666595047</v>
      </c>
      <c r="BJ35" s="636">
        <f t="shared" si="26"/>
        <v>16251.96499992694</v>
      </c>
      <c r="BK35" s="769">
        <v>1500093.33333333</v>
      </c>
      <c r="BL35" s="636">
        <f t="shared" si="14"/>
        <v>238.33333332999609</v>
      </c>
      <c r="BM35" s="769">
        <v>4337965.3333333302</v>
      </c>
      <c r="BN35" s="805">
        <f t="shared" si="15"/>
        <v>1118.3333333302289</v>
      </c>
      <c r="BO35" s="804">
        <v>453609</v>
      </c>
      <c r="BP35" s="806">
        <f t="shared" si="16"/>
        <v>128</v>
      </c>
      <c r="BQ35" s="768">
        <v>566270.66666666698</v>
      </c>
      <c r="BR35" s="636">
        <f t="shared" si="41"/>
        <v>152.66666666697711</v>
      </c>
      <c r="BS35" s="692">
        <f t="shared" si="27"/>
        <v>22872.520555517425</v>
      </c>
      <c r="BT35" s="693">
        <v>240</v>
      </c>
      <c r="BU35" s="692">
        <f t="shared" si="50"/>
        <v>95.302168981322609</v>
      </c>
      <c r="BV35" s="693"/>
      <c r="BW35" s="692" t="e">
        <f t="shared" si="29"/>
        <v>#DIV/0!</v>
      </c>
      <c r="BX35" s="692">
        <f t="shared" si="34"/>
        <v>26537.398638840452</v>
      </c>
      <c r="BY35" s="692">
        <f t="shared" si="48"/>
        <v>110.57249432850189</v>
      </c>
      <c r="BZ35" s="694" t="e">
        <f t="shared" si="35"/>
        <v>#DIV/0!</v>
      </c>
    </row>
    <row r="36" spans="1:78" ht="33.75" customHeight="1">
      <c r="A36" s="111">
        <v>31</v>
      </c>
      <c r="B36" s="717"/>
      <c r="C36" s="718"/>
      <c r="D36" s="718"/>
      <c r="E36" s="718"/>
      <c r="F36" s="718"/>
      <c r="G36" s="718"/>
      <c r="H36" s="719"/>
      <c r="I36" s="769">
        <v>25793313.055555601</v>
      </c>
      <c r="J36" s="636">
        <f t="shared" si="18"/>
        <v>5918.5</v>
      </c>
      <c r="K36" s="636">
        <f t="shared" si="19"/>
        <v>4221</v>
      </c>
      <c r="L36" s="769">
        <v>336740</v>
      </c>
      <c r="M36" s="636">
        <f t="shared" si="53"/>
        <v>2173.5</v>
      </c>
      <c r="N36" s="769">
        <v>356217.16666666698</v>
      </c>
      <c r="O36" s="636">
        <f t="shared" si="0"/>
        <v>2047.5</v>
      </c>
      <c r="P36" s="769">
        <v>227682.83333333299</v>
      </c>
      <c r="Q36" s="636">
        <f>IF(P36&gt;=P35,P36-P35,0)*30</f>
        <v>525</v>
      </c>
      <c r="R36" s="768">
        <v>230535.33333333299</v>
      </c>
      <c r="S36" s="636">
        <f>IF(R36&gt;=R35,R36-R35,0)</f>
        <v>146</v>
      </c>
      <c r="T36" s="768">
        <v>420593.16666666698</v>
      </c>
      <c r="U36" s="636">
        <f t="shared" si="54"/>
        <v>238.5</v>
      </c>
      <c r="V36" s="768">
        <v>771151.16666666698</v>
      </c>
      <c r="W36" s="636">
        <f t="shared" si="2"/>
        <v>2183.8650000000002</v>
      </c>
      <c r="X36" s="769">
        <v>837372</v>
      </c>
      <c r="Y36" s="636">
        <f t="shared" si="3"/>
        <v>0</v>
      </c>
      <c r="Z36" s="768">
        <v>871759</v>
      </c>
      <c r="AA36" s="636">
        <f t="shared" si="4"/>
        <v>0</v>
      </c>
      <c r="AB36" s="768">
        <v>184962</v>
      </c>
      <c r="AC36" s="636">
        <f t="shared" si="33"/>
        <v>0</v>
      </c>
      <c r="AD36" s="768">
        <v>862567.16666666698</v>
      </c>
      <c r="AE36" s="636">
        <f t="shared" si="20"/>
        <v>12.985000000000001</v>
      </c>
      <c r="AF36" s="768">
        <v>1010228.33333333</v>
      </c>
      <c r="AG36" s="636">
        <f t="shared" si="42"/>
        <v>12.190000000000001</v>
      </c>
      <c r="AH36" s="768">
        <v>432610.83333333302</v>
      </c>
      <c r="AI36" s="636">
        <f t="shared" si="6"/>
        <v>272.685</v>
      </c>
      <c r="AJ36" s="768">
        <v>639862.66666666698</v>
      </c>
      <c r="AK36" s="636">
        <f t="shared" si="45"/>
        <v>1550.78</v>
      </c>
      <c r="AL36" s="768">
        <v>574068.5</v>
      </c>
      <c r="AM36" s="636">
        <f t="shared" si="8"/>
        <v>114.745</v>
      </c>
      <c r="AN36" s="636">
        <f t="shared" si="21"/>
        <v>4147.25</v>
      </c>
      <c r="AO36" s="768">
        <v>8202187.5</v>
      </c>
      <c r="AP36" s="636">
        <f t="shared" si="22"/>
        <v>139.33125000000001</v>
      </c>
      <c r="AQ36" s="768">
        <v>756306.66666666698</v>
      </c>
      <c r="AR36" s="636">
        <f t="shared" si="9"/>
        <v>216</v>
      </c>
      <c r="AS36" s="769">
        <v>20032.833333333299</v>
      </c>
      <c r="AT36" s="636">
        <f>IF(AS36&gt;=AS35,AS36-AS35,0)</f>
        <v>107.5</v>
      </c>
      <c r="AU36" s="768">
        <v>827173.16666666698</v>
      </c>
      <c r="AV36" s="636">
        <f t="shared" si="10"/>
        <v>43.5</v>
      </c>
      <c r="AW36" s="768">
        <v>2906034.8333333302</v>
      </c>
      <c r="AX36" s="636">
        <f t="shared" si="11"/>
        <v>927.5</v>
      </c>
      <c r="AY36" s="769">
        <v>233682.33333333299</v>
      </c>
      <c r="AZ36" s="636">
        <f t="shared" si="47"/>
        <v>11</v>
      </c>
      <c r="BA36" s="768">
        <v>20942278.833333299</v>
      </c>
      <c r="BB36" s="636">
        <f t="shared" si="13"/>
        <v>5346.5</v>
      </c>
      <c r="BC36" s="768">
        <v>646362.83333333302</v>
      </c>
      <c r="BD36" s="636">
        <f t="shared" si="13"/>
        <v>203.5</v>
      </c>
      <c r="BE36" s="768">
        <v>46252</v>
      </c>
      <c r="BF36" s="636">
        <f t="shared" si="13"/>
        <v>40</v>
      </c>
      <c r="BG36" s="769">
        <v>26325411.333333299</v>
      </c>
      <c r="BH36" s="636">
        <f t="shared" si="24"/>
        <v>5315.375</v>
      </c>
      <c r="BI36" s="636">
        <f t="shared" si="25"/>
        <v>12350.206249999999</v>
      </c>
      <c r="BJ36" s="636">
        <f t="shared" si="26"/>
        <v>16497.456249999999</v>
      </c>
      <c r="BK36" s="769">
        <v>1500331.83333333</v>
      </c>
      <c r="BL36" s="636">
        <f t="shared" si="14"/>
        <v>238.5</v>
      </c>
      <c r="BM36" s="768">
        <v>4339068.8333333302</v>
      </c>
      <c r="BN36" s="805">
        <f t="shared" si="15"/>
        <v>1103.5</v>
      </c>
      <c r="BO36" s="768">
        <v>453738</v>
      </c>
      <c r="BP36" s="806">
        <f t="shared" si="16"/>
        <v>129</v>
      </c>
      <c r="BQ36" s="768">
        <v>566423.66666666698</v>
      </c>
      <c r="BR36" s="636">
        <f t="shared" si="41"/>
        <v>153</v>
      </c>
      <c r="BS36" s="692">
        <f t="shared" si="27"/>
        <v>22940.956249999999</v>
      </c>
      <c r="BT36" s="693">
        <v>236.333333333333</v>
      </c>
      <c r="BU36" s="692">
        <f t="shared" si="50"/>
        <v>97.070336741890117</v>
      </c>
      <c r="BV36" s="720"/>
      <c r="BW36" s="692" t="e">
        <f t="shared" si="29"/>
        <v>#DIV/0!</v>
      </c>
      <c r="BX36" s="692">
        <f t="shared" si="34"/>
        <v>26618.349687499998</v>
      </c>
      <c r="BY36" s="692">
        <f t="shared" si="48"/>
        <v>112.63053464386475</v>
      </c>
      <c r="BZ36" s="694" t="e">
        <f t="shared" si="35"/>
        <v>#DIV/0!</v>
      </c>
    </row>
    <row r="37" spans="1:78" s="3" customFormat="1" ht="36.75" customHeight="1">
      <c r="A37" s="541" t="s">
        <v>109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1">
        <f>SUM(J6:J36)</f>
        <v>195595.22222230211</v>
      </c>
      <c r="K37" s="711">
        <f>SUM(K6:K36)</f>
        <v>125282.5</v>
      </c>
      <c r="L37" s="696"/>
      <c r="M37" s="552">
        <f>SUM(M6:M36)</f>
        <v>63781.333333333023</v>
      </c>
      <c r="N37" s="696"/>
      <c r="O37" s="552">
        <f>SUM(O6:O36)</f>
        <v>61501.166666666977</v>
      </c>
      <c r="P37" s="696"/>
      <c r="Q37" s="552">
        <f>SUM(Q6:Q36)</f>
        <v>14784.999999989814</v>
      </c>
      <c r="R37" s="715"/>
      <c r="S37" s="552">
        <f>SUM(S6:S36)</f>
        <v>4434.6666666659876</v>
      </c>
      <c r="T37" s="715"/>
      <c r="U37" s="552">
        <f>SUM(U6:U36)</f>
        <v>7947.5</v>
      </c>
      <c r="V37" s="696"/>
      <c r="W37" s="552">
        <f>SUM(W6:W36)</f>
        <v>68750.45166666701</v>
      </c>
      <c r="X37" s="768"/>
      <c r="Y37" s="552">
        <f>SUM(Y5:Y36)</f>
        <v>4070.4</v>
      </c>
      <c r="Z37" s="712"/>
      <c r="AA37" s="711">
        <f>SUM(AA6:AA36)</f>
        <v>16646.240000000002</v>
      </c>
      <c r="AB37" s="696"/>
      <c r="AC37" s="552">
        <f>SUM(AC6:AC36)</f>
        <v>263.40999999999997</v>
      </c>
      <c r="AD37" s="784"/>
      <c r="AE37" s="711">
        <f>SUM(AE6:AE36)</f>
        <v>398.64833333349793</v>
      </c>
      <c r="AF37" s="784"/>
      <c r="AG37" s="711">
        <f>SUM(AG6:AG36)</f>
        <v>368.35</v>
      </c>
      <c r="AH37" s="697"/>
      <c r="AI37" s="552">
        <f>SUM(AI6:AI36)</f>
        <v>8055.1166666665022</v>
      </c>
      <c r="AJ37" s="697"/>
      <c r="AK37" s="552">
        <f>SUM(AK6:AK36)</f>
        <v>70375.166666666977</v>
      </c>
      <c r="AL37" s="711"/>
      <c r="AM37" s="552">
        <f>SUM(AM6:AM36)</f>
        <v>3597.3750000000005</v>
      </c>
      <c r="AN37" s="711">
        <f>SUM(AN6:AN36)</f>
        <v>172525.15833333402</v>
      </c>
      <c r="AO37" s="773"/>
      <c r="AP37" s="552">
        <f>SUM(AP6:AP36)</f>
        <v>3748.6312500003492</v>
      </c>
      <c r="AQ37" s="697"/>
      <c r="AR37" s="552">
        <f>SUM(AR6:AR36)</f>
        <v>6345.6666666669771</v>
      </c>
      <c r="AS37" s="697"/>
      <c r="AT37" s="552">
        <f>SUM(AT6:AT36)</f>
        <v>4657.1666666665988</v>
      </c>
      <c r="AU37" s="697"/>
      <c r="AV37" s="552">
        <f>SUM(AV6:AV36)</f>
        <v>1292.3333333339542</v>
      </c>
      <c r="AW37" s="697"/>
      <c r="AX37" s="552">
        <f>SUM(AX6:AX36)</f>
        <v>27410</v>
      </c>
      <c r="AY37" s="697"/>
      <c r="AZ37" s="552">
        <f>SUM(AZ6:AZ36)</f>
        <v>1391.6666666659876</v>
      </c>
      <c r="BA37" s="697"/>
      <c r="BB37" s="552">
        <f>SUM(BB6:BB36)</f>
        <v>152184.5</v>
      </c>
      <c r="BC37" s="784"/>
      <c r="BD37" s="552">
        <f>SUM(BD6:BD36)</f>
        <v>7413.8333333330229</v>
      </c>
      <c r="BE37" s="784"/>
      <c r="BF37" s="552">
        <f>SUM(BF6:BF36)</f>
        <v>1435</v>
      </c>
      <c r="BG37" s="697"/>
      <c r="BH37" s="711">
        <f>SUM(BH6:BH36)</f>
        <v>176262.99166659848</v>
      </c>
      <c r="BI37" s="711">
        <f>SUM(BI6:BI36)</f>
        <v>382141.78958326543</v>
      </c>
      <c r="BJ37" s="711">
        <f>SUM(BJ6:BJ36)</f>
        <v>554666.94791659946</v>
      </c>
      <c r="BK37" s="696"/>
      <c r="BL37" s="552">
        <f>SUM(BL6:BL36)</f>
        <v>7594.8333333299961</v>
      </c>
      <c r="BM37" s="697"/>
      <c r="BN37" s="552">
        <f>SUM(BN6:BN36)</f>
        <v>35228.833333330229</v>
      </c>
      <c r="BO37" s="773"/>
      <c r="BP37" s="552">
        <f>SUM(BP6:BP36)</f>
        <v>4246</v>
      </c>
      <c r="BQ37" s="697"/>
      <c r="BR37" s="552">
        <f>SUM(BR6:BR36)</f>
        <v>4439</v>
      </c>
      <c r="BS37" s="552">
        <f>SUM(BS6:BS36)</f>
        <v>765047.17013889144</v>
      </c>
      <c r="BT37" s="698">
        <f>SUM(BT6:BT36)</f>
        <v>6759.333333333333</v>
      </c>
      <c r="BU37" s="699">
        <f>IF(BS37&gt;0,BS37/BT37,0)</f>
        <v>113.18382041703691</v>
      </c>
      <c r="BV37" s="698">
        <f>SUM(BV6:BV35)</f>
        <v>0</v>
      </c>
      <c r="BW37" s="699" t="e">
        <f>IF(BS37&gt;0,BS37/BV37,0)</f>
        <v>#DIV/0!</v>
      </c>
      <c r="BX37" s="544">
        <f>SUM(BX6:BX35)</f>
        <v>859839.14597222034</v>
      </c>
      <c r="BY37" s="699">
        <f>IF(BX37&gt;0,BX37/BT37,0)</f>
        <v>127.207685073314</v>
      </c>
      <c r="BZ37" s="700" t="e">
        <f>IF(BX37&gt;0,BX37/BV37,0)</f>
        <v>#DIV/0!</v>
      </c>
    </row>
    <row r="38" spans="1:78" s="3" customFormat="1" ht="36.75" customHeight="1">
      <c r="A38" s="545" t="s">
        <v>110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6519.8407407434033</v>
      </c>
      <c r="K38" s="701">
        <f>K37/J39</f>
        <v>4176.083333333333</v>
      </c>
      <c r="L38" s="702"/>
      <c r="M38" s="701">
        <f>M37/J39</f>
        <v>2126.0444444444342</v>
      </c>
      <c r="N38" s="702"/>
      <c r="O38" s="701">
        <f>O37/J39</f>
        <v>2050.0388888888992</v>
      </c>
      <c r="P38" s="702"/>
      <c r="Q38" s="701">
        <f>Q37/J39</f>
        <v>492.83333333299379</v>
      </c>
      <c r="R38" s="716"/>
      <c r="S38" s="701">
        <f>S37/J39</f>
        <v>147.8222222221996</v>
      </c>
      <c r="T38" s="716"/>
      <c r="U38" s="701">
        <f>U37/J39</f>
        <v>264.91666666666669</v>
      </c>
      <c r="V38" s="702"/>
      <c r="W38" s="701">
        <f>W37/J39</f>
        <v>2291.6817222222335</v>
      </c>
      <c r="X38" s="702"/>
      <c r="Y38" s="701">
        <f>Y37/J39</f>
        <v>135.68</v>
      </c>
      <c r="Z38" s="703"/>
      <c r="AA38" s="701">
        <f>AA37/J39</f>
        <v>554.87466666666671</v>
      </c>
      <c r="AB38" s="702"/>
      <c r="AC38" s="701">
        <f>AC37/J39</f>
        <v>8.7803333333333331</v>
      </c>
      <c r="AD38" s="783"/>
      <c r="AE38" s="701">
        <f>AE37/J39</f>
        <v>13.288277777783264</v>
      </c>
      <c r="AF38" s="783"/>
      <c r="AG38" s="701">
        <f>AG37/J39</f>
        <v>12.278333333333334</v>
      </c>
      <c r="AH38" s="704"/>
      <c r="AI38" s="701">
        <f>AI37/J39</f>
        <v>268.50388888888341</v>
      </c>
      <c r="AJ38" s="704"/>
      <c r="AK38" s="701">
        <f>AK37/J39</f>
        <v>2345.8388888888994</v>
      </c>
      <c r="AL38" s="701"/>
      <c r="AM38" s="701">
        <f>AM37/J39</f>
        <v>119.91250000000001</v>
      </c>
      <c r="AN38" s="701">
        <f>AN37/J39</f>
        <v>5750.838611111134</v>
      </c>
      <c r="AO38" s="704"/>
      <c r="AP38" s="701">
        <f>AP37/J39</f>
        <v>124.95437500001164</v>
      </c>
      <c r="AQ38" s="704"/>
      <c r="AR38" s="701">
        <f>AR37/J39</f>
        <v>211.52222222223256</v>
      </c>
      <c r="AS38" s="704"/>
      <c r="AT38" s="701">
        <f>AT37/J39</f>
        <v>155.23888888888663</v>
      </c>
      <c r="AU38" s="704"/>
      <c r="AV38" s="701">
        <f>AV37/J39</f>
        <v>43.077777777798474</v>
      </c>
      <c r="AW38" s="704"/>
      <c r="AX38" s="701">
        <f>AX37/J39</f>
        <v>913.66666666666663</v>
      </c>
      <c r="AY38" s="704"/>
      <c r="AZ38" s="701">
        <f>AZ37/J39</f>
        <v>46.388888888866255</v>
      </c>
      <c r="BA38" s="704"/>
      <c r="BB38" s="701">
        <f>BB37/J39</f>
        <v>5072.8166666666666</v>
      </c>
      <c r="BC38" s="783"/>
      <c r="BD38" s="701">
        <f>BD37/J39</f>
        <v>247.12777777776742</v>
      </c>
      <c r="BE38" s="783"/>
      <c r="BF38" s="701">
        <f>BF37/J39</f>
        <v>47.833333333333336</v>
      </c>
      <c r="BG38" s="704"/>
      <c r="BH38" s="701">
        <f>BH37/J39</f>
        <v>5875.4330555532824</v>
      </c>
      <c r="BI38" s="701"/>
      <c r="BJ38" s="701"/>
      <c r="BK38" s="702"/>
      <c r="BL38" s="701">
        <f>BL37/J39</f>
        <v>253.16111111099988</v>
      </c>
      <c r="BM38" s="704"/>
      <c r="BN38" s="701">
        <f>BN37/J39</f>
        <v>1174.294444444341</v>
      </c>
      <c r="BO38" s="704"/>
      <c r="BP38" s="701">
        <f>BP37/J39</f>
        <v>141.53333333333333</v>
      </c>
      <c r="BQ38" s="704"/>
      <c r="BR38" s="701">
        <f>BR37/J39</f>
        <v>147.96666666666667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119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417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948"/>
      <c r="B45" s="948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A1:A2"/>
    <mergeCell ref="M1:O2"/>
    <mergeCell ref="Q1:Q2"/>
    <mergeCell ref="P3:Q3"/>
    <mergeCell ref="L3:M3"/>
    <mergeCell ref="N3:O3"/>
    <mergeCell ref="H3:H4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BP1:BQ1"/>
    <mergeCell ref="BP2:BQ2"/>
    <mergeCell ref="BU2:BV2"/>
    <mergeCell ref="BU1:BV1"/>
    <mergeCell ref="BX2:BY2"/>
    <mergeCell ref="BX1:BY1"/>
  </mergeCells>
  <phoneticPr fontId="0" type="noConversion"/>
  <conditionalFormatting sqref="BR5:BR36 BP5:BP36">
    <cfRule type="cellIs" dxfId="22" priority="161" stopIfTrue="1" operator="greaterThan">
      <formula>400</formula>
    </cfRule>
  </conditionalFormatting>
  <conditionalFormatting sqref="BN5:BN36 AI5:AI36">
    <cfRule type="cellIs" dxfId="21" priority="159" stopIfTrue="1" operator="greaterThan">
      <formula>2000</formula>
    </cfRule>
  </conditionalFormatting>
  <conditionalFormatting sqref="AR5:AR36 AX5:AX36 BL5:BL36 AV5:AV36 AT5:AT36">
    <cfRule type="cellIs" dxfId="20" priority="158" stopIfTrue="1" operator="greaterThan">
      <formula>1400</formula>
    </cfRule>
  </conditionalFormatting>
  <conditionalFormatting sqref="BH5:BH36 BB5:BB36 BD5:BD36 BF5:BF36">
    <cfRule type="cellIs" dxfId="19" priority="157" stopIfTrue="1" operator="greaterThan">
      <formula>8000</formula>
    </cfRule>
  </conditionalFormatting>
  <conditionalFormatting sqref="AZ5:AZ36">
    <cfRule type="cellIs" dxfId="18" priority="155" stopIfTrue="1" operator="greaterThan">
      <formula>700</formula>
    </cfRule>
  </conditionalFormatting>
  <conditionalFormatting sqref="AK5:AK12 AK14:AK36">
    <cfRule type="cellIs" dxfId="17" priority="153" stopIfTrue="1" operator="greaterThan">
      <formula>5000</formula>
    </cfRule>
  </conditionalFormatting>
  <conditionalFormatting sqref="Y5:Y36 AA5:AA36 AC5:AC36 AE5:AE36 AG5:AG36 W5:W36">
    <cfRule type="cellIs" dxfId="16" priority="151" stopIfTrue="1" operator="greaterThan">
      <formula>4000</formula>
    </cfRule>
  </conditionalFormatting>
  <conditionalFormatting sqref="S5:S36 U5:U36">
    <cfRule type="cellIs" dxfId="15" priority="147" stopIfTrue="1" operator="greaterThan">
      <formula>300</formula>
    </cfRule>
  </conditionalFormatting>
  <conditionalFormatting sqref="Q5:Q36">
    <cfRule type="cellIs" dxfId="14" priority="145" stopIfTrue="1" operator="greaterThan">
      <formula>1500</formula>
    </cfRule>
  </conditionalFormatting>
  <conditionalFormatting sqref="O5:O36">
    <cfRule type="cellIs" dxfId="13" priority="144" stopIfTrue="1" operator="greaterThan">
      <formula>6000</formula>
    </cfRule>
  </conditionalFormatting>
  <conditionalFormatting sqref="M5:M36">
    <cfRule type="cellIs" dxfId="12" priority="143" stopIfTrue="1" operator="greaterThan">
      <formula>3000</formula>
    </cfRule>
  </conditionalFormatting>
  <conditionalFormatting sqref="J5:J36">
    <cfRule type="cellIs" dxfId="11" priority="142" stopIfTrue="1" operator="greaterThan">
      <formula>12000</formula>
    </cfRule>
  </conditionalFormatting>
  <conditionalFormatting sqref="AP5:AP36">
    <cfRule type="cellIs" dxfId="10" priority="138" stopIfTrue="1" operator="greaterThan">
      <formula>2500</formula>
    </cfRule>
  </conditionalFormatting>
  <conditionalFormatting sqref="BT8:BT36">
    <cfRule type="cellIs" dxfId="9" priority="12" operator="greaterThan">
      <formula>262</formula>
    </cfRule>
  </conditionalFormatting>
  <conditionalFormatting sqref="BT5 BT7:BT36">
    <cfRule type="cellIs" dxfId="8" priority="11" operator="greaterThan">
      <formula>262</formula>
    </cfRule>
  </conditionalFormatting>
  <conditionalFormatting sqref="BT34:BT36 BT24:BT31">
    <cfRule type="cellIs" dxfId="7" priority="10" operator="greaterThan">
      <formula>262</formula>
    </cfRule>
  </conditionalFormatting>
  <conditionalFormatting sqref="BT34:BT36 BT24:BT31">
    <cfRule type="cellIs" dxfId="6" priority="9" operator="greaterThan">
      <formula>262</formula>
    </cfRule>
  </conditionalFormatting>
  <conditionalFormatting sqref="AM5:AM36">
    <cfRule type="cellIs" dxfId="5" priority="5" stopIfTrue="1" operator="greaterThan">
      <formula>4000</formula>
    </cfRule>
  </conditionalFormatting>
  <conditionalFormatting sqref="AK13">
    <cfRule type="cellIs" dxfId="4" priority="6" stopIfTrue="1" operator="greaterThan">
      <formula>4000</formula>
    </cfRule>
  </conditionalFormatting>
  <conditionalFormatting sqref="BT6">
    <cfRule type="cellIs" dxfId="3" priority="4" operator="greaterThan">
      <formula>262</formula>
    </cfRule>
  </conditionalFormatting>
  <conditionalFormatting sqref="BT5">
    <cfRule type="cellIs" dxfId="2" priority="3" operator="greaterThan">
      <formula>262</formula>
    </cfRule>
  </conditionalFormatting>
  <conditionalFormatting sqref="BT5">
    <cfRule type="cellIs" dxfId="1" priority="2" operator="greaterThan">
      <formula>262</formula>
    </cfRule>
  </conditionalFormatting>
  <conditionalFormatting sqref="BT5">
    <cfRule type="cellIs" dxfId="0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  <ignoredErrors>
    <ignoredError sqref="BY25" evalError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4BCC85-6B82-491C-B493-C004743EA634}"/>
</file>

<file path=customXml/itemProps2.xml><?xml version="1.0" encoding="utf-8"?>
<ds:datastoreItem xmlns:ds="http://schemas.openxmlformats.org/officeDocument/2006/customXml" ds:itemID="{4D3130CD-D410-4CE4-A243-9F17F1661C46}"/>
</file>

<file path=customXml/itemProps3.xml><?xml version="1.0" encoding="utf-8"?>
<ds:datastoreItem xmlns:ds="http://schemas.openxmlformats.org/officeDocument/2006/customXml" ds:itemID="{35CDCC65-FA18-4236-BA43-DA774CC164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2023-02-16T09:30:11Z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