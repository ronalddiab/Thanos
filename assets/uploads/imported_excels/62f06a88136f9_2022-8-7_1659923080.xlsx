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7" i="2" s="1"/>
  <c r="T8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<sst xmlns="http://schemas.openxmlformats.org/spreadsheetml/2006/main" count="514" uniqueCount="151">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</sst>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83619.326263999988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7" sqref="I7:Q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0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 t="str">
        <f>ELECT.!F10</f>
        <v>0</v>
      </c>
      <c r="J9" s="36" t="str">
        <f>ELECT.!H10</f>
        <v>0</v>
      </c>
      <c r="K9" s="36">
        <f>ELECT.!K10</f>
        <v>0</v>
      </c>
      <c r="L9" s="36" t="str">
        <f>ELECT.!M10</f>
        <v>0</v>
      </c>
      <c r="M9" s="36">
        <f>ELECT.!O10</f>
        <v>0</v>
      </c>
      <c r="N9" s="36" t="str">
        <f>ELECT.!Q10</f>
        <v>0</v>
      </c>
      <c r="O9" s="36" t="str">
        <f>ELECT.!S10</f>
        <v>0</v>
      </c>
      <c r="P9" s="36">
        <f>ELECT.!W10*2</f>
        <v>0</v>
      </c>
      <c r="Q9" s="36">
        <f>ELECT.!D10</f>
        <v>0</v>
      </c>
      <c r="R9" s="141" t="str">
        <f>BTU!C10</f>
        <v>0</v>
      </c>
      <c r="S9" s="141" t="str">
        <f>BTU!F10</f>
        <v>0</v>
      </c>
      <c r="T9" s="141" t="str">
        <f>BTU!I10</f>
        <v>0</v>
      </c>
      <c r="U9" s="141" t="str">
        <f>BTU!O10</f>
        <v>0</v>
      </c>
      <c r="V9" s="141" t="str">
        <f>BTU!L10</f>
        <v>0</v>
      </c>
      <c r="W9" s="141" t="str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9" sqref="U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3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f t="shared" si="12"/>
        <v>163878</v>
      </c>
      <c r="Q9" s="14">
        <f t="shared" si="2"/>
        <v>0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f t="shared" ref="B9:B33" si="15">B9</f>
        <v>47401</v>
      </c>
      <c r="C10" s="14">
        <f t="shared" si="3"/>
        <v>0</v>
      </c>
      <c r="D10" s="32">
        <f t="shared" ref="D9:D33" si="16">D9</f>
        <v>40852</v>
      </c>
      <c r="E10" s="14">
        <f t="shared" si="4"/>
        <v>0</v>
      </c>
      <c r="F10" s="32">
        <f t="shared" ref="F9:F33" si="17">F9</f>
        <v>21928</v>
      </c>
      <c r="G10" s="14">
        <f t="shared" si="5"/>
        <v>0</v>
      </c>
      <c r="H10" s="32">
        <f t="shared" ref="H9:H33" si="18">H9</f>
        <v>257288</v>
      </c>
      <c r="I10" s="14">
        <f t="shared" si="6"/>
        <v>0</v>
      </c>
      <c r="J10" s="32">
        <f t="shared" ref="J9:J33" si="19">J9</f>
        <v>326879</v>
      </c>
      <c r="K10" s="14">
        <f t="shared" si="7"/>
        <v>0</v>
      </c>
      <c r="L10" s="32">
        <f t="shared" ref="L9:L33" si="20">L9</f>
        <v>26375</v>
      </c>
      <c r="M10" s="14">
        <f t="shared" si="8"/>
        <v>0</v>
      </c>
      <c r="N10" s="32">
        <f t="shared" ref="N9:N33" si="21">N9</f>
        <v>226253</v>
      </c>
      <c r="O10" s="14">
        <f t="shared" si="9"/>
        <v>0</v>
      </c>
      <c r="P10" s="32">
        <f t="shared" si="12"/>
        <v>163878</v>
      </c>
      <c r="Q10" s="14">
        <f t="shared" si="2"/>
        <v>0</v>
      </c>
      <c r="R10" s="1">
        <f t="shared" si="13"/>
        <v>55047</v>
      </c>
      <c r="S10" s="14">
        <f>R10-R9</f>
        <v>0</v>
      </c>
      <c r="T10" s="32">
        <f t="shared" si="14"/>
        <v>4031</v>
      </c>
      <c r="U10" s="14">
        <f t="shared" si="10"/>
        <v>0</v>
      </c>
    </row>
    <row r="11" spans="1:24" ht="13.5" thickBot="1" x14ac:dyDescent="0.25">
      <c r="A11" s="9">
        <v>44782</v>
      </c>
      <c r="B11" s="32">
        <f t="shared" si="15"/>
        <v>47401</v>
      </c>
      <c r="C11" s="14">
        <f t="shared" si="3"/>
        <v>0</v>
      </c>
      <c r="D11" s="32">
        <f t="shared" si="16"/>
        <v>40852</v>
      </c>
      <c r="E11" s="14">
        <f t="shared" si="4"/>
        <v>0</v>
      </c>
      <c r="F11" s="32">
        <f t="shared" si="17"/>
        <v>21928</v>
      </c>
      <c r="G11" s="14">
        <f t="shared" si="5"/>
        <v>0</v>
      </c>
      <c r="H11" s="32">
        <f t="shared" si="18"/>
        <v>257288</v>
      </c>
      <c r="I11" s="14">
        <f t="shared" si="6"/>
        <v>0</v>
      </c>
      <c r="J11" s="32">
        <f t="shared" si="19"/>
        <v>326879</v>
      </c>
      <c r="K11" s="14">
        <f t="shared" si="7"/>
        <v>0</v>
      </c>
      <c r="L11" s="32">
        <f t="shared" si="20"/>
        <v>26375</v>
      </c>
      <c r="M11" s="14">
        <f t="shared" si="8"/>
        <v>0</v>
      </c>
      <c r="N11" s="32">
        <f t="shared" si="21"/>
        <v>226253</v>
      </c>
      <c r="O11" s="14">
        <f t="shared" si="9"/>
        <v>0</v>
      </c>
      <c r="P11" s="32">
        <f t="shared" si="12"/>
        <v>163878</v>
      </c>
      <c r="Q11" s="14">
        <f t="shared" si="2"/>
        <v>0</v>
      </c>
      <c r="R11" s="1">
        <f t="shared" si="13"/>
        <v>55047</v>
      </c>
      <c r="S11" s="14">
        <f t="shared" si="11"/>
        <v>0</v>
      </c>
      <c r="T11" s="32">
        <f t="shared" si="14"/>
        <v>4031</v>
      </c>
      <c r="U11" s="14">
        <f t="shared" si="10"/>
        <v>0</v>
      </c>
    </row>
    <row r="12" spans="1:24" ht="13.5" thickBot="1" x14ac:dyDescent="0.25">
      <c r="A12" s="9">
        <v>44783</v>
      </c>
      <c r="B12" s="32">
        <f t="shared" si="15"/>
        <v>47401</v>
      </c>
      <c r="C12" s="14">
        <f t="shared" si="3"/>
        <v>0</v>
      </c>
      <c r="D12" s="32">
        <f t="shared" si="16"/>
        <v>40852</v>
      </c>
      <c r="E12" s="14">
        <f t="shared" si="4"/>
        <v>0</v>
      </c>
      <c r="F12" s="32">
        <f t="shared" si="17"/>
        <v>21928</v>
      </c>
      <c r="G12" s="14">
        <f t="shared" si="5"/>
        <v>0</v>
      </c>
      <c r="H12" s="32">
        <f t="shared" si="18"/>
        <v>257288</v>
      </c>
      <c r="I12" s="14">
        <f t="shared" si="6"/>
        <v>0</v>
      </c>
      <c r="J12" s="32">
        <f t="shared" si="19"/>
        <v>326879</v>
      </c>
      <c r="K12" s="14">
        <f t="shared" si="7"/>
        <v>0</v>
      </c>
      <c r="L12" s="32">
        <f t="shared" si="20"/>
        <v>26375</v>
      </c>
      <c r="M12" s="14">
        <f t="shared" si="8"/>
        <v>0</v>
      </c>
      <c r="N12" s="32">
        <f t="shared" si="21"/>
        <v>226253</v>
      </c>
      <c r="O12" s="14">
        <f t="shared" si="9"/>
        <v>0</v>
      </c>
      <c r="P12" s="32">
        <f t="shared" si="12"/>
        <v>163878</v>
      </c>
      <c r="Q12" s="14">
        <f t="shared" si="2"/>
        <v>0</v>
      </c>
      <c r="R12" s="1">
        <f t="shared" si="13"/>
        <v>55047</v>
      </c>
      <c r="S12" s="14">
        <f t="shared" si="11"/>
        <v>0</v>
      </c>
      <c r="T12" s="32">
        <f t="shared" si="14"/>
        <v>4031</v>
      </c>
      <c r="U12" s="14">
        <f t="shared" si="10"/>
        <v>0</v>
      </c>
    </row>
    <row r="13" spans="1:24" ht="13.5" thickBot="1" x14ac:dyDescent="0.25">
      <c r="A13" s="9">
        <v>44784</v>
      </c>
      <c r="B13" s="32">
        <f t="shared" si="15"/>
        <v>47401</v>
      </c>
      <c r="C13" s="14">
        <f t="shared" si="3"/>
        <v>0</v>
      </c>
      <c r="D13" s="32">
        <f t="shared" si="16"/>
        <v>40852</v>
      </c>
      <c r="E13" s="14">
        <f t="shared" si="4"/>
        <v>0</v>
      </c>
      <c r="F13" s="32">
        <f t="shared" si="17"/>
        <v>21928</v>
      </c>
      <c r="G13" s="14">
        <f t="shared" si="5"/>
        <v>0</v>
      </c>
      <c r="H13" s="32">
        <f t="shared" si="18"/>
        <v>257288</v>
      </c>
      <c r="I13" s="14">
        <f t="shared" si="6"/>
        <v>0</v>
      </c>
      <c r="J13" s="32">
        <f t="shared" si="19"/>
        <v>326879</v>
      </c>
      <c r="K13" s="14">
        <f t="shared" si="7"/>
        <v>0</v>
      </c>
      <c r="L13" s="32">
        <f t="shared" si="20"/>
        <v>26375</v>
      </c>
      <c r="M13" s="14">
        <f t="shared" si="8"/>
        <v>0</v>
      </c>
      <c r="N13" s="32">
        <f t="shared" si="21"/>
        <v>226253</v>
      </c>
      <c r="O13" s="14">
        <f t="shared" si="9"/>
        <v>0</v>
      </c>
      <c r="P13" s="32">
        <f t="shared" si="12"/>
        <v>163878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4031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5"/>
        <v>47401</v>
      </c>
      <c r="C14" s="14">
        <f t="shared" si="3"/>
        <v>0</v>
      </c>
      <c r="D14" s="32">
        <f t="shared" si="16"/>
        <v>40852</v>
      </c>
      <c r="E14" s="14">
        <f t="shared" si="4"/>
        <v>0</v>
      </c>
      <c r="F14" s="32">
        <f t="shared" si="17"/>
        <v>21928</v>
      </c>
      <c r="G14" s="14">
        <f t="shared" si="5"/>
        <v>0</v>
      </c>
      <c r="H14" s="32">
        <f t="shared" si="18"/>
        <v>257288</v>
      </c>
      <c r="I14" s="14">
        <f t="shared" si="6"/>
        <v>0</v>
      </c>
      <c r="J14" s="32">
        <f t="shared" si="19"/>
        <v>326879</v>
      </c>
      <c r="K14" s="14">
        <f t="shared" si="7"/>
        <v>0</v>
      </c>
      <c r="L14" s="32">
        <f t="shared" si="20"/>
        <v>26375</v>
      </c>
      <c r="M14" s="14">
        <f t="shared" si="8"/>
        <v>0</v>
      </c>
      <c r="N14" s="32">
        <f t="shared" si="21"/>
        <v>226253</v>
      </c>
      <c r="O14" s="14">
        <f t="shared" si="9"/>
        <v>0</v>
      </c>
      <c r="P14" s="32">
        <f t="shared" si="12"/>
        <v>163878</v>
      </c>
      <c r="Q14" s="14">
        <f t="shared" si="2"/>
        <v>0</v>
      </c>
      <c r="R14" s="1">
        <f t="shared" si="13"/>
        <v>55047</v>
      </c>
      <c r="S14" s="14">
        <v>0</v>
      </c>
      <c r="T14" s="32">
        <f t="shared" si="14"/>
        <v>4031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5"/>
        <v>47401</v>
      </c>
      <c r="C15" s="14">
        <f t="shared" si="3"/>
        <v>0</v>
      </c>
      <c r="D15" s="32">
        <f t="shared" si="16"/>
        <v>40852</v>
      </c>
      <c r="E15" s="14">
        <f t="shared" si="4"/>
        <v>0</v>
      </c>
      <c r="F15" s="32">
        <f t="shared" si="17"/>
        <v>21928</v>
      </c>
      <c r="G15" s="14">
        <f t="shared" si="5"/>
        <v>0</v>
      </c>
      <c r="H15" s="32">
        <f t="shared" si="18"/>
        <v>257288</v>
      </c>
      <c r="I15" s="14">
        <f t="shared" si="6"/>
        <v>0</v>
      </c>
      <c r="J15" s="32">
        <f t="shared" si="19"/>
        <v>326879</v>
      </c>
      <c r="K15" s="14">
        <f t="shared" si="7"/>
        <v>0</v>
      </c>
      <c r="L15" s="32">
        <f t="shared" si="20"/>
        <v>26375</v>
      </c>
      <c r="M15" s="14">
        <f t="shared" si="8"/>
        <v>0</v>
      </c>
      <c r="N15" s="32">
        <f t="shared" si="21"/>
        <v>226253</v>
      </c>
      <c r="O15" s="14">
        <f t="shared" si="9"/>
        <v>0</v>
      </c>
      <c r="P15" s="32">
        <f t="shared" si="12"/>
        <v>163878</v>
      </c>
      <c r="Q15" s="14">
        <f t="shared" si="2"/>
        <v>0</v>
      </c>
      <c r="R15" s="1">
        <f t="shared" si="13"/>
        <v>55047</v>
      </c>
      <c r="S15" s="14">
        <v>0</v>
      </c>
      <c r="T15" s="32">
        <f t="shared" si="14"/>
        <v>4031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47401</v>
      </c>
      <c r="C16" s="14">
        <f t="shared" si="3"/>
        <v>0</v>
      </c>
      <c r="D16" s="32">
        <f t="shared" si="16"/>
        <v>40852</v>
      </c>
      <c r="E16" s="14">
        <f t="shared" si="4"/>
        <v>0</v>
      </c>
      <c r="F16" s="32">
        <f t="shared" si="17"/>
        <v>21928</v>
      </c>
      <c r="G16" s="14">
        <f t="shared" si="5"/>
        <v>0</v>
      </c>
      <c r="H16" s="32">
        <f t="shared" si="18"/>
        <v>257288</v>
      </c>
      <c r="I16" s="14">
        <f t="shared" si="6"/>
        <v>0</v>
      </c>
      <c r="J16" s="32">
        <f t="shared" si="19"/>
        <v>326879</v>
      </c>
      <c r="K16" s="14">
        <f t="shared" si="7"/>
        <v>0</v>
      </c>
      <c r="L16" s="32">
        <f t="shared" si="20"/>
        <v>26375</v>
      </c>
      <c r="M16" s="14">
        <f t="shared" si="8"/>
        <v>0</v>
      </c>
      <c r="N16" s="32">
        <f t="shared" si="21"/>
        <v>226253</v>
      </c>
      <c r="O16" s="14">
        <f t="shared" si="9"/>
        <v>0</v>
      </c>
      <c r="P16" s="32">
        <f t="shared" si="12"/>
        <v>163878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4031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5"/>
        <v>47401</v>
      </c>
      <c r="C17" s="14">
        <f t="shared" si="3"/>
        <v>0</v>
      </c>
      <c r="D17" s="32">
        <f t="shared" si="16"/>
        <v>40852</v>
      </c>
      <c r="E17" s="14">
        <f t="shared" si="4"/>
        <v>0</v>
      </c>
      <c r="F17" s="32">
        <f t="shared" si="17"/>
        <v>21928</v>
      </c>
      <c r="G17" s="14">
        <f t="shared" si="5"/>
        <v>0</v>
      </c>
      <c r="H17" s="32">
        <f t="shared" si="18"/>
        <v>257288</v>
      </c>
      <c r="I17" s="14">
        <f t="shared" si="6"/>
        <v>0</v>
      </c>
      <c r="J17" s="32">
        <f t="shared" si="19"/>
        <v>326879</v>
      </c>
      <c r="K17" s="14">
        <f t="shared" si="7"/>
        <v>0</v>
      </c>
      <c r="L17" s="32">
        <f t="shared" si="20"/>
        <v>26375</v>
      </c>
      <c r="M17" s="14">
        <f t="shared" si="8"/>
        <v>0</v>
      </c>
      <c r="N17" s="32">
        <f t="shared" si="21"/>
        <v>226253</v>
      </c>
      <c r="O17" s="14">
        <f t="shared" si="9"/>
        <v>0</v>
      </c>
      <c r="P17" s="32">
        <f t="shared" si="12"/>
        <v>163878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f t="shared" si="14"/>
        <v>4031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5"/>
        <v>47401</v>
      </c>
      <c r="C18" s="14">
        <f t="shared" si="3"/>
        <v>0</v>
      </c>
      <c r="D18" s="32">
        <f t="shared" si="16"/>
        <v>40852</v>
      </c>
      <c r="E18" s="14">
        <f t="shared" si="4"/>
        <v>0</v>
      </c>
      <c r="F18" s="32">
        <f t="shared" si="17"/>
        <v>21928</v>
      </c>
      <c r="G18" s="14">
        <f t="shared" si="5"/>
        <v>0</v>
      </c>
      <c r="H18" s="32">
        <f t="shared" si="18"/>
        <v>257288</v>
      </c>
      <c r="I18" s="14">
        <f t="shared" si="6"/>
        <v>0</v>
      </c>
      <c r="J18" s="32">
        <f t="shared" si="19"/>
        <v>326879</v>
      </c>
      <c r="K18" s="14">
        <f t="shared" si="7"/>
        <v>0</v>
      </c>
      <c r="L18" s="32">
        <f t="shared" si="20"/>
        <v>26375</v>
      </c>
      <c r="M18" s="14">
        <f t="shared" si="8"/>
        <v>0</v>
      </c>
      <c r="N18" s="32">
        <f t="shared" si="21"/>
        <v>226253</v>
      </c>
      <c r="O18" s="14">
        <f t="shared" si="9"/>
        <v>0</v>
      </c>
      <c r="P18" s="32">
        <f t="shared" si="12"/>
        <v>163878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f t="shared" si="14"/>
        <v>4031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5"/>
        <v>47401</v>
      </c>
      <c r="C19" s="14">
        <f t="shared" si="3"/>
        <v>0</v>
      </c>
      <c r="D19" s="32">
        <f t="shared" si="16"/>
        <v>40852</v>
      </c>
      <c r="E19" s="14">
        <f t="shared" si="4"/>
        <v>0</v>
      </c>
      <c r="F19" s="32">
        <f t="shared" si="17"/>
        <v>21928</v>
      </c>
      <c r="G19" s="14">
        <f t="shared" si="5"/>
        <v>0</v>
      </c>
      <c r="H19" s="32">
        <f t="shared" si="18"/>
        <v>257288</v>
      </c>
      <c r="I19" s="14">
        <f t="shared" si="6"/>
        <v>0</v>
      </c>
      <c r="J19" s="32">
        <f t="shared" si="19"/>
        <v>326879</v>
      </c>
      <c r="K19" s="14">
        <f t="shared" si="7"/>
        <v>0</v>
      </c>
      <c r="L19" s="32">
        <f t="shared" si="20"/>
        <v>26375</v>
      </c>
      <c r="M19" s="14">
        <f t="shared" si="8"/>
        <v>0</v>
      </c>
      <c r="N19" s="32">
        <f t="shared" si="21"/>
        <v>226253</v>
      </c>
      <c r="O19" s="14">
        <f t="shared" si="9"/>
        <v>0</v>
      </c>
      <c r="P19" s="32">
        <f t="shared" si="12"/>
        <v>163878</v>
      </c>
      <c r="Q19" s="14">
        <v>0</v>
      </c>
      <c r="R19" s="1">
        <f t="shared" si="13"/>
        <v>55047</v>
      </c>
      <c r="S19" s="14">
        <f t="shared" si="11"/>
        <v>0</v>
      </c>
      <c r="T19" s="32">
        <f t="shared" si="14"/>
        <v>4031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5"/>
        <v>47401</v>
      </c>
      <c r="C20" s="14">
        <f t="shared" si="3"/>
        <v>0</v>
      </c>
      <c r="D20" s="32">
        <f t="shared" si="16"/>
        <v>40852</v>
      </c>
      <c r="E20" s="14">
        <f t="shared" si="4"/>
        <v>0</v>
      </c>
      <c r="F20" s="32">
        <f t="shared" si="17"/>
        <v>21928</v>
      </c>
      <c r="G20" s="14">
        <f t="shared" si="5"/>
        <v>0</v>
      </c>
      <c r="H20" s="32">
        <f t="shared" si="18"/>
        <v>257288</v>
      </c>
      <c r="I20" s="14">
        <f t="shared" si="6"/>
        <v>0</v>
      </c>
      <c r="J20" s="32">
        <f t="shared" si="19"/>
        <v>326879</v>
      </c>
      <c r="K20" s="14">
        <f t="shared" si="7"/>
        <v>0</v>
      </c>
      <c r="L20" s="32">
        <f t="shared" si="20"/>
        <v>26375</v>
      </c>
      <c r="M20" s="14">
        <f t="shared" si="8"/>
        <v>0</v>
      </c>
      <c r="N20" s="32">
        <f t="shared" si="21"/>
        <v>226253</v>
      </c>
      <c r="O20" s="14">
        <f t="shared" si="9"/>
        <v>0</v>
      </c>
      <c r="P20" s="32">
        <f t="shared" si="12"/>
        <v>163878</v>
      </c>
      <c r="Q20" s="14">
        <f t="shared" si="2"/>
        <v>0</v>
      </c>
      <c r="R20" s="1">
        <f t="shared" si="13"/>
        <v>55047</v>
      </c>
      <c r="S20" s="14">
        <f t="shared" si="11"/>
        <v>0</v>
      </c>
      <c r="T20" s="32">
        <f t="shared" si="14"/>
        <v>4031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5"/>
        <v>47401</v>
      </c>
      <c r="C21" s="14">
        <f t="shared" si="3"/>
        <v>0</v>
      </c>
      <c r="D21" s="32">
        <f t="shared" si="16"/>
        <v>40852</v>
      </c>
      <c r="E21" s="14">
        <f t="shared" si="4"/>
        <v>0</v>
      </c>
      <c r="F21" s="32">
        <f t="shared" si="17"/>
        <v>21928</v>
      </c>
      <c r="G21" s="14">
        <f t="shared" si="5"/>
        <v>0</v>
      </c>
      <c r="H21" s="32">
        <f t="shared" si="18"/>
        <v>257288</v>
      </c>
      <c r="I21" s="14">
        <f t="shared" si="6"/>
        <v>0</v>
      </c>
      <c r="J21" s="32">
        <f t="shared" si="19"/>
        <v>326879</v>
      </c>
      <c r="K21" s="14">
        <f t="shared" si="7"/>
        <v>0</v>
      </c>
      <c r="L21" s="32">
        <f t="shared" si="20"/>
        <v>26375</v>
      </c>
      <c r="M21" s="14">
        <f t="shared" si="8"/>
        <v>0</v>
      </c>
      <c r="N21" s="32">
        <f t="shared" si="21"/>
        <v>226253</v>
      </c>
      <c r="O21" s="14">
        <f t="shared" si="9"/>
        <v>0</v>
      </c>
      <c r="P21" s="32">
        <f t="shared" si="12"/>
        <v>163878</v>
      </c>
      <c r="Q21" s="14">
        <f t="shared" si="2"/>
        <v>0</v>
      </c>
      <c r="R21" s="1">
        <f t="shared" si="13"/>
        <v>55047</v>
      </c>
      <c r="S21" s="14">
        <f t="shared" si="11"/>
        <v>0</v>
      </c>
      <c r="T21" s="32">
        <f t="shared" si="14"/>
        <v>4031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5"/>
        <v>47401</v>
      </c>
      <c r="C22" s="14">
        <f t="shared" si="3"/>
        <v>0</v>
      </c>
      <c r="D22" s="32">
        <f t="shared" si="16"/>
        <v>40852</v>
      </c>
      <c r="E22" s="14">
        <f t="shared" si="4"/>
        <v>0</v>
      </c>
      <c r="F22" s="32">
        <f t="shared" si="17"/>
        <v>21928</v>
      </c>
      <c r="G22" s="14">
        <f t="shared" si="5"/>
        <v>0</v>
      </c>
      <c r="H22" s="32">
        <f t="shared" si="18"/>
        <v>257288</v>
      </c>
      <c r="I22" s="14">
        <f t="shared" si="6"/>
        <v>0</v>
      </c>
      <c r="J22" s="32">
        <f t="shared" si="19"/>
        <v>326879</v>
      </c>
      <c r="K22" s="14">
        <f t="shared" si="7"/>
        <v>0</v>
      </c>
      <c r="L22" s="32">
        <f t="shared" si="20"/>
        <v>26375</v>
      </c>
      <c r="M22" s="14">
        <f t="shared" si="8"/>
        <v>0</v>
      </c>
      <c r="N22" s="32">
        <f t="shared" si="21"/>
        <v>226253</v>
      </c>
      <c r="O22" s="14">
        <f t="shared" si="9"/>
        <v>0</v>
      </c>
      <c r="P22" s="32">
        <f t="shared" si="12"/>
        <v>163878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14"/>
        <v>4031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5"/>
        <v>47401</v>
      </c>
      <c r="C23" s="14">
        <f t="shared" si="3"/>
        <v>0</v>
      </c>
      <c r="D23" s="32">
        <f t="shared" si="16"/>
        <v>40852</v>
      </c>
      <c r="E23" s="14">
        <f t="shared" si="4"/>
        <v>0</v>
      </c>
      <c r="F23" s="32">
        <f t="shared" si="17"/>
        <v>21928</v>
      </c>
      <c r="G23" s="14">
        <f t="shared" si="5"/>
        <v>0</v>
      </c>
      <c r="H23" s="32">
        <f t="shared" si="18"/>
        <v>257288</v>
      </c>
      <c r="I23" s="14">
        <f t="shared" si="6"/>
        <v>0</v>
      </c>
      <c r="J23" s="32">
        <f t="shared" si="19"/>
        <v>326879</v>
      </c>
      <c r="K23" s="14">
        <f t="shared" si="7"/>
        <v>0</v>
      </c>
      <c r="L23" s="32">
        <f t="shared" si="20"/>
        <v>26375</v>
      </c>
      <c r="M23" s="14">
        <f t="shared" si="8"/>
        <v>0</v>
      </c>
      <c r="N23" s="32">
        <f t="shared" si="21"/>
        <v>226253</v>
      </c>
      <c r="O23" s="14">
        <f t="shared" si="9"/>
        <v>0</v>
      </c>
      <c r="P23" s="32">
        <f t="shared" si="12"/>
        <v>163878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14"/>
        <v>4031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5"/>
        <v>47401</v>
      </c>
      <c r="C24" s="14">
        <f t="shared" si="3"/>
        <v>0</v>
      </c>
      <c r="D24" s="32">
        <f t="shared" si="16"/>
        <v>40852</v>
      </c>
      <c r="E24" s="14">
        <f t="shared" si="4"/>
        <v>0</v>
      </c>
      <c r="F24" s="32">
        <f t="shared" si="17"/>
        <v>21928</v>
      </c>
      <c r="G24" s="14">
        <f t="shared" si="5"/>
        <v>0</v>
      </c>
      <c r="H24" s="32">
        <f t="shared" si="18"/>
        <v>257288</v>
      </c>
      <c r="I24" s="14">
        <f t="shared" si="6"/>
        <v>0</v>
      </c>
      <c r="J24" s="32">
        <f t="shared" si="19"/>
        <v>326879</v>
      </c>
      <c r="K24" s="14">
        <f t="shared" si="7"/>
        <v>0</v>
      </c>
      <c r="L24" s="32">
        <f t="shared" si="20"/>
        <v>26375</v>
      </c>
      <c r="M24" s="14">
        <f t="shared" si="8"/>
        <v>0</v>
      </c>
      <c r="N24" s="32">
        <f t="shared" si="21"/>
        <v>226253</v>
      </c>
      <c r="O24" s="14">
        <f t="shared" si="9"/>
        <v>0</v>
      </c>
      <c r="P24" s="32">
        <f t="shared" si="12"/>
        <v>163878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14"/>
        <v>4031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47401</v>
      </c>
      <c r="C25" s="14">
        <f t="shared" si="3"/>
        <v>0</v>
      </c>
      <c r="D25" s="32">
        <f t="shared" si="16"/>
        <v>40852</v>
      </c>
      <c r="E25" s="14">
        <f t="shared" si="4"/>
        <v>0</v>
      </c>
      <c r="F25" s="32">
        <f t="shared" si="17"/>
        <v>21928</v>
      </c>
      <c r="G25" s="14">
        <f t="shared" si="5"/>
        <v>0</v>
      </c>
      <c r="H25" s="32">
        <f t="shared" si="18"/>
        <v>257288</v>
      </c>
      <c r="I25" s="14">
        <f t="shared" si="6"/>
        <v>0</v>
      </c>
      <c r="J25" s="32">
        <f t="shared" si="19"/>
        <v>326879</v>
      </c>
      <c r="K25" s="14">
        <f t="shared" si="7"/>
        <v>0</v>
      </c>
      <c r="L25" s="32">
        <f t="shared" si="20"/>
        <v>26375</v>
      </c>
      <c r="M25" s="14">
        <f t="shared" si="8"/>
        <v>0</v>
      </c>
      <c r="N25" s="32">
        <f t="shared" si="21"/>
        <v>226253</v>
      </c>
      <c r="O25" s="14">
        <f t="shared" si="9"/>
        <v>0</v>
      </c>
      <c r="P25" s="32">
        <f t="shared" si="12"/>
        <v>163878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4031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47401</v>
      </c>
      <c r="C26" s="14">
        <f t="shared" si="3"/>
        <v>0</v>
      </c>
      <c r="D26" s="32">
        <f t="shared" si="16"/>
        <v>40852</v>
      </c>
      <c r="E26" s="14">
        <f t="shared" si="4"/>
        <v>0</v>
      </c>
      <c r="F26" s="32">
        <f t="shared" si="17"/>
        <v>21928</v>
      </c>
      <c r="G26" s="14">
        <f t="shared" si="5"/>
        <v>0</v>
      </c>
      <c r="H26" s="32">
        <f t="shared" si="18"/>
        <v>257288</v>
      </c>
      <c r="I26" s="14">
        <f t="shared" si="6"/>
        <v>0</v>
      </c>
      <c r="J26" s="32">
        <f t="shared" si="19"/>
        <v>326879</v>
      </c>
      <c r="K26" s="14">
        <f t="shared" si="7"/>
        <v>0</v>
      </c>
      <c r="L26" s="32">
        <f t="shared" si="20"/>
        <v>26375</v>
      </c>
      <c r="M26" s="14">
        <f t="shared" si="8"/>
        <v>0</v>
      </c>
      <c r="N26" s="32">
        <f t="shared" si="21"/>
        <v>226253</v>
      </c>
      <c r="O26" s="14">
        <f t="shared" si="9"/>
        <v>0</v>
      </c>
      <c r="P26" s="32">
        <f t="shared" si="12"/>
        <v>163878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4031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47401</v>
      </c>
      <c r="C27" s="14">
        <f t="shared" si="3"/>
        <v>0</v>
      </c>
      <c r="D27" s="32">
        <f t="shared" si="16"/>
        <v>40852</v>
      </c>
      <c r="E27" s="14">
        <f t="shared" si="4"/>
        <v>0</v>
      </c>
      <c r="F27" s="32">
        <f t="shared" si="17"/>
        <v>21928</v>
      </c>
      <c r="G27" s="14">
        <f t="shared" si="5"/>
        <v>0</v>
      </c>
      <c r="H27" s="32">
        <f t="shared" si="18"/>
        <v>257288</v>
      </c>
      <c r="I27" s="14">
        <f t="shared" si="6"/>
        <v>0</v>
      </c>
      <c r="J27" s="32">
        <f t="shared" si="19"/>
        <v>326879</v>
      </c>
      <c r="K27" s="14">
        <f t="shared" si="7"/>
        <v>0</v>
      </c>
      <c r="L27" s="32">
        <f t="shared" si="20"/>
        <v>26375</v>
      </c>
      <c r="M27" s="14">
        <f t="shared" si="8"/>
        <v>0</v>
      </c>
      <c r="N27" s="32">
        <f t="shared" si="21"/>
        <v>226253</v>
      </c>
      <c r="O27" s="14">
        <f t="shared" si="9"/>
        <v>0</v>
      </c>
      <c r="P27" s="32">
        <f t="shared" si="12"/>
        <v>163878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4031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47401</v>
      </c>
      <c r="C28" s="14">
        <f t="shared" si="3"/>
        <v>0</v>
      </c>
      <c r="D28" s="32">
        <f t="shared" si="16"/>
        <v>40852</v>
      </c>
      <c r="E28" s="14">
        <f t="shared" si="4"/>
        <v>0</v>
      </c>
      <c r="F28" s="32">
        <f t="shared" si="17"/>
        <v>21928</v>
      </c>
      <c r="G28" s="14">
        <f t="shared" si="5"/>
        <v>0</v>
      </c>
      <c r="H28" s="32">
        <f t="shared" si="18"/>
        <v>257288</v>
      </c>
      <c r="I28" s="14">
        <f t="shared" si="6"/>
        <v>0</v>
      </c>
      <c r="J28" s="32">
        <f t="shared" si="19"/>
        <v>326879</v>
      </c>
      <c r="K28" s="14">
        <f t="shared" si="7"/>
        <v>0</v>
      </c>
      <c r="L28" s="32">
        <f t="shared" si="20"/>
        <v>26375</v>
      </c>
      <c r="M28" s="14">
        <f t="shared" si="8"/>
        <v>0</v>
      </c>
      <c r="N28" s="32">
        <f t="shared" si="21"/>
        <v>226253</v>
      </c>
      <c r="O28" s="14">
        <f t="shared" si="9"/>
        <v>0</v>
      </c>
      <c r="P28" s="32">
        <f t="shared" si="12"/>
        <v>163878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4031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47401</v>
      </c>
      <c r="C29" s="14">
        <f t="shared" si="3"/>
        <v>0</v>
      </c>
      <c r="D29" s="32">
        <f t="shared" si="16"/>
        <v>40852</v>
      </c>
      <c r="E29" s="14">
        <f t="shared" si="4"/>
        <v>0</v>
      </c>
      <c r="F29" s="32">
        <f t="shared" si="17"/>
        <v>21928</v>
      </c>
      <c r="G29" s="14">
        <f t="shared" si="5"/>
        <v>0</v>
      </c>
      <c r="H29" s="32">
        <f t="shared" si="18"/>
        <v>257288</v>
      </c>
      <c r="I29" s="14">
        <f t="shared" si="6"/>
        <v>0</v>
      </c>
      <c r="J29" s="32">
        <f t="shared" si="19"/>
        <v>326879</v>
      </c>
      <c r="K29" s="14">
        <f t="shared" si="7"/>
        <v>0</v>
      </c>
      <c r="L29" s="32">
        <f t="shared" si="20"/>
        <v>26375</v>
      </c>
      <c r="M29" s="14">
        <f t="shared" si="8"/>
        <v>0</v>
      </c>
      <c r="N29" s="32">
        <f t="shared" si="21"/>
        <v>226253</v>
      </c>
      <c r="O29" s="14">
        <f t="shared" si="9"/>
        <v>0</v>
      </c>
      <c r="P29" s="32">
        <f t="shared" si="12"/>
        <v>163878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4031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47401</v>
      </c>
      <c r="C30" s="14">
        <f t="shared" si="3"/>
        <v>0</v>
      </c>
      <c r="D30" s="32">
        <f t="shared" si="16"/>
        <v>40852</v>
      </c>
      <c r="E30" s="14">
        <f t="shared" si="4"/>
        <v>0</v>
      </c>
      <c r="F30" s="32">
        <f t="shared" si="17"/>
        <v>21928</v>
      </c>
      <c r="G30" s="14">
        <f t="shared" si="5"/>
        <v>0</v>
      </c>
      <c r="H30" s="32">
        <f t="shared" si="18"/>
        <v>257288</v>
      </c>
      <c r="I30" s="14">
        <f t="shared" si="6"/>
        <v>0</v>
      </c>
      <c r="J30" s="32">
        <f t="shared" si="19"/>
        <v>326879</v>
      </c>
      <c r="K30" s="14">
        <f t="shared" si="7"/>
        <v>0</v>
      </c>
      <c r="L30" s="32">
        <f t="shared" si="20"/>
        <v>26375</v>
      </c>
      <c r="M30" s="14">
        <f t="shared" si="8"/>
        <v>0</v>
      </c>
      <c r="N30" s="32">
        <f t="shared" si="21"/>
        <v>226253</v>
      </c>
      <c r="O30" s="14">
        <f t="shared" si="9"/>
        <v>0</v>
      </c>
      <c r="P30" s="32">
        <f t="shared" si="12"/>
        <v>163878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4031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47401</v>
      </c>
      <c r="C31" s="14">
        <f t="shared" si="3"/>
        <v>0</v>
      </c>
      <c r="D31" s="32">
        <f t="shared" si="16"/>
        <v>40852</v>
      </c>
      <c r="E31" s="14">
        <f t="shared" si="4"/>
        <v>0</v>
      </c>
      <c r="F31" s="32">
        <f t="shared" si="17"/>
        <v>21928</v>
      </c>
      <c r="G31" s="14">
        <f t="shared" si="5"/>
        <v>0</v>
      </c>
      <c r="H31" s="32">
        <f t="shared" si="18"/>
        <v>257288</v>
      </c>
      <c r="I31" s="14">
        <f t="shared" si="6"/>
        <v>0</v>
      </c>
      <c r="J31" s="32">
        <f t="shared" si="19"/>
        <v>326879</v>
      </c>
      <c r="K31" s="14">
        <f t="shared" si="7"/>
        <v>0</v>
      </c>
      <c r="L31" s="32">
        <f t="shared" si="20"/>
        <v>26375</v>
      </c>
      <c r="M31" s="14">
        <f t="shared" si="8"/>
        <v>0</v>
      </c>
      <c r="N31" s="32">
        <f t="shared" si="21"/>
        <v>226253</v>
      </c>
      <c r="O31" s="14">
        <f t="shared" si="9"/>
        <v>0</v>
      </c>
      <c r="P31" s="32">
        <f t="shared" si="12"/>
        <v>163878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4031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47401</v>
      </c>
      <c r="C32" s="14">
        <f t="shared" si="3"/>
        <v>0</v>
      </c>
      <c r="D32" s="32">
        <f t="shared" si="16"/>
        <v>40852</v>
      </c>
      <c r="E32" s="14">
        <f t="shared" si="4"/>
        <v>0</v>
      </c>
      <c r="F32" s="32">
        <f t="shared" si="17"/>
        <v>21928</v>
      </c>
      <c r="G32" s="14">
        <f t="shared" si="5"/>
        <v>0</v>
      </c>
      <c r="H32" s="32">
        <f t="shared" si="18"/>
        <v>257288</v>
      </c>
      <c r="I32" s="14">
        <f t="shared" si="6"/>
        <v>0</v>
      </c>
      <c r="J32" s="32">
        <f t="shared" si="19"/>
        <v>326879</v>
      </c>
      <c r="K32" s="14">
        <f t="shared" si="7"/>
        <v>0</v>
      </c>
      <c r="L32" s="32">
        <f t="shared" si="20"/>
        <v>26375</v>
      </c>
      <c r="M32" s="14">
        <f t="shared" si="8"/>
        <v>0</v>
      </c>
      <c r="N32" s="32">
        <f t="shared" si="21"/>
        <v>226253</v>
      </c>
      <c r="O32" s="14">
        <f t="shared" si="9"/>
        <v>0</v>
      </c>
      <c r="P32" s="32">
        <f t="shared" si="12"/>
        <v>163878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4031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47401</v>
      </c>
      <c r="C33" s="14">
        <f t="shared" si="3"/>
        <v>0</v>
      </c>
      <c r="D33" s="32">
        <f t="shared" si="16"/>
        <v>40852</v>
      </c>
      <c r="E33" s="14">
        <f t="shared" si="4"/>
        <v>0</v>
      </c>
      <c r="F33" s="32">
        <f t="shared" si="17"/>
        <v>21928</v>
      </c>
      <c r="G33" s="14">
        <f t="shared" si="5"/>
        <v>0</v>
      </c>
      <c r="H33" s="32">
        <f t="shared" si="18"/>
        <v>257288</v>
      </c>
      <c r="I33" s="14">
        <f t="shared" si="6"/>
        <v>0</v>
      </c>
      <c r="J33" s="32">
        <f t="shared" si="19"/>
        <v>326879</v>
      </c>
      <c r="K33" s="14">
        <f t="shared" si="7"/>
        <v>0</v>
      </c>
      <c r="L33" s="32">
        <f t="shared" si="20"/>
        <v>26375</v>
      </c>
      <c r="M33" s="14">
        <f t="shared" si="8"/>
        <v>0</v>
      </c>
      <c r="N33" s="32">
        <f t="shared" si="21"/>
        <v>226253</v>
      </c>
      <c r="O33" s="14">
        <f t="shared" si="9"/>
        <v>0</v>
      </c>
      <c r="P33" s="32">
        <f t="shared" si="12"/>
        <v>163878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4031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4960</v>
      </c>
      <c r="D34" s="14"/>
      <c r="E34" s="14">
        <f>SUM(E3:E33)</f>
        <v>3200</v>
      </c>
      <c r="F34" s="14"/>
      <c r="G34" s="14">
        <f>SUM(G3:G33)</f>
        <v>520</v>
      </c>
      <c r="H34" s="14"/>
      <c r="I34" s="14">
        <f>SUM(I3:I33)</f>
        <v>252</v>
      </c>
      <c r="J34" s="14"/>
      <c r="K34" s="14">
        <f>SUM(K3:K33)</f>
        <v>1164</v>
      </c>
      <c r="L34" s="14"/>
      <c r="M34" s="14">
        <f>SUM(M3:M33)</f>
        <v>1260</v>
      </c>
      <c r="N34" s="14"/>
      <c r="O34" s="14">
        <f>SUM(O3:O33)</f>
        <v>23</v>
      </c>
      <c r="P34" s="14"/>
      <c r="Q34" s="14">
        <f>SUM(Q3:Q33)</f>
        <v>1267</v>
      </c>
      <c r="R34" s="14"/>
      <c r="S34" s="14">
        <f>SUM(S3:S33)</f>
        <v>0</v>
      </c>
      <c r="T34" s="14"/>
      <c r="U34" s="14">
        <f>SUM(U3:U33)</f>
        <v>320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J28" sqref="J2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50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50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50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50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/>
      <c r="C10" s="144"/>
      <c r="D10" s="38">
        <f t="shared" si="4"/>
        <v>0</v>
      </c>
      <c r="E10" s="145"/>
      <c r="F10" s="38" t="str">
        <f t="shared" si="5"/>
        <v>0</v>
      </c>
      <c r="G10" s="146"/>
      <c r="H10" s="38" t="str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 t="str">
        <f t="shared" si="8"/>
        <v>0</v>
      </c>
      <c r="N10" s="145"/>
      <c r="O10" s="38">
        <f t="shared" si="16"/>
        <v>0</v>
      </c>
      <c r="P10" s="148"/>
      <c r="Q10" s="38" t="str">
        <f t="shared" si="9"/>
        <v>0</v>
      </c>
      <c r="R10" s="145"/>
      <c r="S10" s="38" t="str">
        <f t="shared" si="10"/>
        <v>0</v>
      </c>
      <c r="T10" s="145">
        <v>0</v>
      </c>
      <c r="U10" s="149"/>
      <c r="V10" s="145"/>
      <c r="W10" s="38" t="str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70945.340835199997</v>
      </c>
    </row>
    <row r="11" spans="1:27" ht="15.75" customHeight="1" thickBot="1" x14ac:dyDescent="0.3">
      <c r="A11" s="9">
        <v>44782</v>
      </c>
      <c r="B11" s="38"/>
      <c r="C11" s="144"/>
      <c r="D11" s="38">
        <f t="shared" si="4"/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70945.340835199997</v>
      </c>
    </row>
    <row r="12" spans="1:27" ht="16.5" thickBot="1" x14ac:dyDescent="0.3">
      <c r="A12" s="9">
        <v>44783</v>
      </c>
      <c r="B12" s="38"/>
      <c r="C12" s="144"/>
      <c r="D12" s="38">
        <f t="shared" si="4"/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70945.340835199997</v>
      </c>
    </row>
    <row r="13" spans="1:27" ht="16.5" thickBot="1" x14ac:dyDescent="0.3">
      <c r="A13" s="9">
        <v>44784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ref="W13" si="25">IF((V13-V12)&lt;0,"0",(V13-V12))</f>
        <v>0</v>
      </c>
      <c r="X13" s="19">
        <f t="shared" ref="X13" si="26">K13+M13+O13+Q13+S13+U13+W13</f>
        <v>0</v>
      </c>
      <c r="Y13" s="150">
        <f t="shared" si="13"/>
        <v>0</v>
      </c>
      <c r="Z13" s="3">
        <f t="shared" ref="Z13" si="27">(0.93352*(W13+S13)+0.5568*(Q13+O13))*0.26</f>
        <v>0</v>
      </c>
      <c r="AA13" s="3">
        <f>SUM(Z1:Z13)</f>
        <v>70945.340835199997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70945.340835199997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70945.340835199997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70945.340835199997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70945.340835199997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70945.340835199997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70945.340835199997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70945.340835199997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70945.340835199997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70945.340835199997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70945.340835199997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70945.340835199997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70945.340835199997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70945.340835199997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70945.340835199997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70945.340835199997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70945.340835199997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70945.340835199997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70945.340835199997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70945.340835199997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70945.340835199997</v>
      </c>
    </row>
    <row r="34" spans="1:27" ht="16.5" thickBot="1" x14ac:dyDescent="0.3">
      <c r="A34" s="136" t="s">
        <v>23</v>
      </c>
      <c r="B34" s="136">
        <f>SUM(B3:B33)</f>
        <v>1154</v>
      </c>
      <c r="C34" s="136">
        <v>0</v>
      </c>
      <c r="D34" s="136">
        <f>SUM(D3:D33)</f>
        <v>4960</v>
      </c>
      <c r="E34" s="55">
        <v>0</v>
      </c>
      <c r="F34" s="136">
        <f>SUM(F3:F33)</f>
        <v>172005</v>
      </c>
      <c r="G34" s="55">
        <v>0</v>
      </c>
      <c r="H34" s="136">
        <f>SUM(H3:H33)</f>
        <v>390130</v>
      </c>
      <c r="I34" s="55">
        <v>92693</v>
      </c>
      <c r="J34" s="55">
        <v>0</v>
      </c>
      <c r="K34" s="136">
        <f>SUM(K3:K33)</f>
        <v>79336</v>
      </c>
      <c r="L34" s="55">
        <v>0</v>
      </c>
      <c r="M34" s="136">
        <f>SUM(M3:M33)</f>
        <v>46773</v>
      </c>
      <c r="N34" s="55">
        <v>0</v>
      </c>
      <c r="O34" s="136">
        <f>SUM(O3:O33)</f>
        <v>123814</v>
      </c>
      <c r="P34" s="55">
        <v>0</v>
      </c>
      <c r="Q34" s="136">
        <f>SUM(Q3:Q33)</f>
        <v>97583</v>
      </c>
      <c r="R34" s="55">
        <v>0</v>
      </c>
      <c r="S34" s="136">
        <f>SUM(S3:S33)</f>
        <v>75104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85142</v>
      </c>
      <c r="X34" s="136">
        <f>SUM(X3:X33)</f>
        <v>507752</v>
      </c>
      <c r="Y34" s="136">
        <f>SUM(Y3:Y33)</f>
        <v>54383</v>
      </c>
      <c r="Z34" s="136">
        <f>SUM(Z3:Z33)</f>
        <v>70945.340835199997</v>
      </c>
      <c r="AA34" s="136">
        <f>SUM(AA3:AA33)</f>
        <v>1986937.7554207991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9" sqref="J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44782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44783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44784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7050</v>
      </c>
      <c r="D34" s="55"/>
      <c r="E34" s="55">
        <f>SUM(E3:E33)</f>
        <v>2900</v>
      </c>
      <c r="F34" s="55"/>
      <c r="G34" s="55">
        <f>SUM(G3:G33)</f>
        <v>4120.2</v>
      </c>
      <c r="H34" s="55"/>
      <c r="I34" s="55">
        <f>SUM(I3:I33)</f>
        <v>23.679000000000002</v>
      </c>
      <c r="J34" s="55">
        <v>0</v>
      </c>
      <c r="K34" s="55">
        <f>SUM(K4:K33)</f>
        <v>68799.464780000009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C16" sqref="C1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/>
      <c r="C10" s="44" t="str">
        <f t="shared" si="0"/>
        <v>0</v>
      </c>
    </row>
    <row r="11" spans="1:9" ht="24" thickBot="1" x14ac:dyDescent="0.4">
      <c r="A11" s="9">
        <v>44782</v>
      </c>
      <c r="B11" s="132"/>
      <c r="C11" s="44">
        <f t="shared" si="0"/>
        <v>0</v>
      </c>
    </row>
    <row r="12" spans="1:9" ht="24" thickBot="1" x14ac:dyDescent="0.4">
      <c r="A12" s="9">
        <v>44783</v>
      </c>
      <c r="B12" s="132"/>
      <c r="C12" s="44">
        <f t="shared" si="0"/>
        <v>0</v>
      </c>
    </row>
    <row r="13" spans="1:9" ht="24" thickBot="1" x14ac:dyDescent="0.4">
      <c r="A13" s="9">
        <v>44784</v>
      </c>
      <c r="B13" s="132"/>
      <c r="C13" s="44">
        <f t="shared" si="0"/>
        <v>0</v>
      </c>
    </row>
    <row r="14" spans="1:9" ht="24" thickBot="1" x14ac:dyDescent="0.4">
      <c r="A14" s="9">
        <v>44785</v>
      </c>
      <c r="B14" s="132"/>
      <c r="C14" s="44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10842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F8" sqref="AF8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>
        <v>8468</v>
      </c>
      <c r="AG6" s="162">
        <f t="shared" si="21"/>
        <v>0</v>
      </c>
    </row>
    <row r="7" spans="1:33" ht="16.5" thickBot="1" x14ac:dyDescent="0.25">
      <c r="A7" s="9">
        <v>44778</v>
      </c>
      <c r="B7" s="159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6">
        <v>44778</v>
      </c>
      <c r="X7" s="157">
        <v>195273</v>
      </c>
      <c r="Y7" s="162">
        <f t="shared" si="21"/>
        <v>300</v>
      </c>
      <c r="Z7" s="157">
        <v>9699</v>
      </c>
      <c r="AA7" s="162">
        <f t="shared" si="21"/>
        <v>4</v>
      </c>
      <c r="AB7" s="157">
        <v>31</v>
      </c>
      <c r="AC7" s="162">
        <f t="shared" si="21"/>
        <v>0</v>
      </c>
      <c r="AD7" s="157">
        <v>656</v>
      </c>
      <c r="AE7" s="162">
        <f t="shared" si="21"/>
        <v>1</v>
      </c>
      <c r="AF7" s="157">
        <v>8498</v>
      </c>
      <c r="AG7" s="162">
        <f t="shared" si="21"/>
        <v>30</v>
      </c>
    </row>
    <row r="8" spans="1:33" ht="16.5" thickBot="1" x14ac:dyDescent="0.25">
      <c r="A8" s="9">
        <v>44779</v>
      </c>
      <c r="B8" s="159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6">
        <v>44779</v>
      </c>
      <c r="X8" s="157">
        <v>195567</v>
      </c>
      <c r="Y8" s="162">
        <f t="shared" si="21"/>
        <v>294</v>
      </c>
      <c r="Z8" s="157">
        <v>9704</v>
      </c>
      <c r="AA8" s="162">
        <f t="shared" si="21"/>
        <v>5</v>
      </c>
      <c r="AB8" s="157">
        <v>31</v>
      </c>
      <c r="AC8" s="162">
        <f t="shared" si="21"/>
        <v>0</v>
      </c>
      <c r="AD8" s="157">
        <v>657</v>
      </c>
      <c r="AE8" s="162">
        <f t="shared" si="21"/>
        <v>1</v>
      </c>
      <c r="AF8" s="157">
        <v>8498</v>
      </c>
      <c r="AG8" s="162">
        <f t="shared" si="21"/>
        <v>0</v>
      </c>
    </row>
    <row r="9" spans="1:33" ht="16.5" thickBot="1" x14ac:dyDescent="0.25">
      <c r="A9" s="9">
        <v>44780</v>
      </c>
      <c r="B9" s="159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6">
        <v>44780</v>
      </c>
      <c r="X9" s="157">
        <v>195993</v>
      </c>
      <c r="Y9" s="162">
        <f t="shared" si="21"/>
        <v>426</v>
      </c>
      <c r="Z9" s="157">
        <v>9710</v>
      </c>
      <c r="AA9" s="162">
        <f t="shared" si="21"/>
        <v>6</v>
      </c>
      <c r="AB9" s="157">
        <v>31</v>
      </c>
      <c r="AC9" s="162">
        <f t="shared" si="21"/>
        <v>0</v>
      </c>
      <c r="AD9" s="157">
        <v>659</v>
      </c>
      <c r="AE9" s="162">
        <f t="shared" si="21"/>
        <v>2</v>
      </c>
      <c r="AF9" s="157">
        <v>8529</v>
      </c>
      <c r="AG9" s="162">
        <f t="shared" si="21"/>
        <v>31</v>
      </c>
    </row>
    <row r="10" spans="1:33" ht="16.5" thickBot="1" x14ac:dyDescent="0.25">
      <c r="A10" s="9">
        <v>44781</v>
      </c>
      <c r="B10" s="159"/>
      <c r="C10" s="43" t="str">
        <f t="shared" si="22"/>
        <v>0</v>
      </c>
      <c r="D10" s="28">
        <f t="shared" si="23"/>
        <v>0</v>
      </c>
      <c r="E10" s="1"/>
      <c r="F10" s="43" t="str">
        <f t="shared" si="24"/>
        <v>0</v>
      </c>
      <c r="G10" s="28">
        <f t="shared" si="25"/>
        <v>0</v>
      </c>
      <c r="H10" s="1"/>
      <c r="I10" s="43" t="str">
        <f t="shared" si="26"/>
        <v>0</v>
      </c>
      <c r="J10" s="28">
        <f t="shared" si="27"/>
        <v>0</v>
      </c>
      <c r="K10" s="7"/>
      <c r="L10" s="43" t="str">
        <f t="shared" si="28"/>
        <v>0</v>
      </c>
      <c r="M10" s="28">
        <f t="shared" si="29"/>
        <v>0</v>
      </c>
      <c r="N10" s="7"/>
      <c r="O10" s="43" t="str">
        <f>IF((N10-N9)&lt;0,"0",(N10-N9))</f>
        <v>0</v>
      </c>
      <c r="P10" s="28">
        <f t="shared" si="31"/>
        <v>0</v>
      </c>
      <c r="Q10" s="7"/>
      <c r="R10" s="43" t="str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6">
        <v>44781</v>
      </c>
      <c r="X10" s="157"/>
      <c r="Y10" s="162" t="str">
        <f t="shared" si="21"/>
        <v>0</v>
      </c>
      <c r="Z10" s="157"/>
      <c r="AA10" s="162" t="str">
        <f t="shared" si="21"/>
        <v>0</v>
      </c>
      <c r="AB10" s="157"/>
      <c r="AC10" s="162" t="str">
        <f t="shared" si="21"/>
        <v>0</v>
      </c>
      <c r="AD10" s="157"/>
      <c r="AE10" s="162" t="str">
        <f t="shared" si="21"/>
        <v>0</v>
      </c>
      <c r="AF10" s="157"/>
      <c r="AG10" s="162" t="str">
        <f t="shared" si="21"/>
        <v>0</v>
      </c>
    </row>
    <row r="11" spans="1:33" ht="16.5" thickBot="1" x14ac:dyDescent="0.25">
      <c r="A11" s="9">
        <v>44782</v>
      </c>
      <c r="B11" s="159"/>
      <c r="C11" s="43">
        <f t="shared" si="22"/>
        <v>0</v>
      </c>
      <c r="D11" s="28">
        <f t="shared" si="23"/>
        <v>0</v>
      </c>
      <c r="E11" s="1"/>
      <c r="F11" s="43">
        <f t="shared" si="24"/>
        <v>0</v>
      </c>
      <c r="G11" s="28">
        <f t="shared" si="25"/>
        <v>0</v>
      </c>
      <c r="H11" s="1"/>
      <c r="I11" s="43">
        <f t="shared" si="26"/>
        <v>0</v>
      </c>
      <c r="J11" s="28">
        <f t="shared" si="27"/>
        <v>0</v>
      </c>
      <c r="K11" s="7"/>
      <c r="L11" s="43">
        <f t="shared" si="28"/>
        <v>0</v>
      </c>
      <c r="M11" s="28">
        <f t="shared" si="29"/>
        <v>0</v>
      </c>
      <c r="N11" s="7"/>
      <c r="O11" s="43">
        <f t="shared" si="30"/>
        <v>0</v>
      </c>
      <c r="P11" s="28">
        <f t="shared" si="31"/>
        <v>0</v>
      </c>
      <c r="Q11" s="7"/>
      <c r="R11" s="43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6">
        <v>44782</v>
      </c>
      <c r="X11" s="157"/>
      <c r="Y11" s="162">
        <f t="shared" si="21"/>
        <v>0</v>
      </c>
      <c r="Z11" s="157"/>
      <c r="AA11" s="162">
        <f t="shared" si="21"/>
        <v>0</v>
      </c>
      <c r="AB11" s="157"/>
      <c r="AC11" s="162">
        <f t="shared" si="21"/>
        <v>0</v>
      </c>
      <c r="AD11" s="157"/>
      <c r="AE11" s="162">
        <f t="shared" si="21"/>
        <v>0</v>
      </c>
      <c r="AF11" s="157"/>
      <c r="AG11" s="162">
        <f t="shared" si="21"/>
        <v>0</v>
      </c>
    </row>
    <row r="12" spans="1:33" ht="16.5" thickBot="1" x14ac:dyDescent="0.25">
      <c r="A12" s="9">
        <v>44783</v>
      </c>
      <c r="B12" s="159"/>
      <c r="C12" s="43">
        <f t="shared" si="22"/>
        <v>0</v>
      </c>
      <c r="D12" s="28">
        <f t="shared" si="23"/>
        <v>0</v>
      </c>
      <c r="E12" s="1"/>
      <c r="F12" s="43">
        <f t="shared" si="24"/>
        <v>0</v>
      </c>
      <c r="G12" s="28">
        <f t="shared" si="25"/>
        <v>0</v>
      </c>
      <c r="H12" s="1"/>
      <c r="I12" s="43">
        <f t="shared" si="26"/>
        <v>0</v>
      </c>
      <c r="J12" s="28">
        <f t="shared" si="27"/>
        <v>0</v>
      </c>
      <c r="K12" s="7"/>
      <c r="L12" s="43">
        <f t="shared" si="28"/>
        <v>0</v>
      </c>
      <c r="M12" s="28">
        <f t="shared" si="29"/>
        <v>0</v>
      </c>
      <c r="N12" s="7"/>
      <c r="O12" s="43">
        <f t="shared" si="30"/>
        <v>0</v>
      </c>
      <c r="P12" s="28">
        <f t="shared" si="31"/>
        <v>0</v>
      </c>
      <c r="Q12" s="7"/>
      <c r="R12" s="43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6">
        <v>44783</v>
      </c>
      <c r="X12" s="157"/>
      <c r="Y12" s="162">
        <f t="shared" si="21"/>
        <v>0</v>
      </c>
      <c r="Z12" s="157"/>
      <c r="AA12" s="162">
        <f t="shared" si="21"/>
        <v>0</v>
      </c>
      <c r="AB12" s="157"/>
      <c r="AC12" s="162">
        <f t="shared" si="21"/>
        <v>0</v>
      </c>
      <c r="AD12" s="157"/>
      <c r="AE12" s="162">
        <f t="shared" si="21"/>
        <v>0</v>
      </c>
      <c r="AF12" s="157"/>
      <c r="AG12" s="162">
        <f t="shared" si="21"/>
        <v>0</v>
      </c>
    </row>
    <row r="13" spans="1:33" ht="16.5" thickBot="1" x14ac:dyDescent="0.25">
      <c r="A13" s="9">
        <v>44784</v>
      </c>
      <c r="B13" s="159"/>
      <c r="C13" s="43">
        <f t="shared" si="22"/>
        <v>0</v>
      </c>
      <c r="D13" s="28">
        <f t="shared" si="23"/>
        <v>0</v>
      </c>
      <c r="E13" s="1"/>
      <c r="F13" s="43">
        <f t="shared" si="24"/>
        <v>0</v>
      </c>
      <c r="G13" s="28">
        <f t="shared" si="25"/>
        <v>0</v>
      </c>
      <c r="H13" s="1"/>
      <c r="I13" s="43">
        <f t="shared" si="26"/>
        <v>0</v>
      </c>
      <c r="J13" s="28">
        <f t="shared" si="27"/>
        <v>0</v>
      </c>
      <c r="K13" s="7"/>
      <c r="L13" s="43">
        <f t="shared" si="28"/>
        <v>0</v>
      </c>
      <c r="M13" s="28">
        <f t="shared" si="29"/>
        <v>0</v>
      </c>
      <c r="N13" s="7"/>
      <c r="O13" s="43">
        <f t="shared" si="30"/>
        <v>0</v>
      </c>
      <c r="P13" s="28">
        <f t="shared" si="31"/>
        <v>0</v>
      </c>
      <c r="Q13" s="7"/>
      <c r="R13" s="43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6">
        <v>44784</v>
      </c>
      <c r="X13" s="157"/>
      <c r="Y13" s="162">
        <f t="shared" si="21"/>
        <v>0</v>
      </c>
      <c r="Z13" s="157"/>
      <c r="AA13" s="162">
        <f t="shared" si="21"/>
        <v>0</v>
      </c>
      <c r="AB13" s="157"/>
      <c r="AC13" s="162">
        <f t="shared" si="21"/>
        <v>0</v>
      </c>
      <c r="AD13" s="157"/>
      <c r="AE13" s="162">
        <f t="shared" si="21"/>
        <v>0</v>
      </c>
      <c r="AF13" s="157"/>
      <c r="AG13" s="162">
        <f t="shared" si="21"/>
        <v>0</v>
      </c>
    </row>
    <row r="14" spans="1:33" ht="16.5" thickBot="1" x14ac:dyDescent="0.25">
      <c r="A14" s="9">
        <v>44785</v>
      </c>
      <c r="B14" s="159"/>
      <c r="C14" s="43">
        <f t="shared" si="22"/>
        <v>0</v>
      </c>
      <c r="D14" s="28">
        <f t="shared" si="23"/>
        <v>0</v>
      </c>
      <c r="E14" s="1"/>
      <c r="F14" s="43">
        <f t="shared" si="24"/>
        <v>0</v>
      </c>
      <c r="G14" s="28">
        <f t="shared" si="25"/>
        <v>0</v>
      </c>
      <c r="H14" s="1"/>
      <c r="I14" s="43">
        <f t="shared" si="26"/>
        <v>0</v>
      </c>
      <c r="J14" s="28">
        <f t="shared" si="27"/>
        <v>0</v>
      </c>
      <c r="K14" s="7"/>
      <c r="L14" s="43">
        <f t="shared" si="28"/>
        <v>0</v>
      </c>
      <c r="M14" s="28">
        <f t="shared" si="29"/>
        <v>0</v>
      </c>
      <c r="N14" s="7"/>
      <c r="O14" s="43">
        <f>IF((N14-N13)&lt;0,"0",(N14-N13))</f>
        <v>0</v>
      </c>
      <c r="P14" s="28">
        <f t="shared" si="31"/>
        <v>0</v>
      </c>
      <c r="Q14" s="7"/>
      <c r="R14" s="43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>
        <f t="shared" si="21"/>
        <v>0</v>
      </c>
      <c r="Z14" s="157"/>
      <c r="AA14" s="162">
        <f t="shared" si="21"/>
        <v>0</v>
      </c>
      <c r="AB14" s="157"/>
      <c r="AC14" s="162">
        <f t="shared" si="21"/>
        <v>0</v>
      </c>
      <c r="AD14" s="157"/>
      <c r="AE14" s="162">
        <f t="shared" si="21"/>
        <v>0</v>
      </c>
      <c r="AF14" s="157"/>
      <c r="AG14" s="162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106.14600000000064</v>
      </c>
      <c r="D34" s="136">
        <f>SUM(D4:D33)</f>
        <v>171729.60000000347</v>
      </c>
      <c r="E34" s="136"/>
      <c r="F34" s="136">
        <f>SUM(F3:F33)</f>
        <v>22.35399999999936</v>
      </c>
      <c r="G34" s="136">
        <f>SUM(G4:G33)</f>
        <v>35355.1999999986</v>
      </c>
      <c r="H34" s="136"/>
      <c r="I34" s="136">
        <f>SUM(I3:I33)</f>
        <v>59</v>
      </c>
      <c r="J34" s="136">
        <f>SUM(J4:J33)</f>
        <v>96900</v>
      </c>
      <c r="K34" s="136"/>
      <c r="L34" s="136">
        <f>SUM(L3:L33)</f>
        <v>19.980000000001382</v>
      </c>
      <c r="M34" s="136">
        <f>SUM(M4:M33)</f>
        <v>32680.000000001382</v>
      </c>
      <c r="N34" s="136"/>
      <c r="O34" s="136">
        <f>SUM(O3:O33)</f>
        <v>14.610000000000127</v>
      </c>
      <c r="P34" s="136">
        <f>SUM(P4:P33)</f>
        <v>24065.400000000318</v>
      </c>
      <c r="Q34" s="136"/>
      <c r="R34" s="136">
        <v>2.21</v>
      </c>
      <c r="S34" s="136">
        <f>SUM(S4:S33)</f>
        <v>25897.000000000207</v>
      </c>
      <c r="T34" s="136">
        <v>22.454999999999998</v>
      </c>
      <c r="U34" s="136">
        <f>SUM(U4:U33)</f>
        <v>386627.20000000397</v>
      </c>
      <c r="V34"/>
      <c r="W34" s="136" t="s">
        <v>141</v>
      </c>
      <c r="X34" s="136"/>
      <c r="Y34" s="136">
        <f>SUM(Y3:Y33)</f>
        <v>2393</v>
      </c>
      <c r="Z34" s="136"/>
      <c r="AA34" s="136">
        <f>SUM(AA3:AA33)</f>
        <v>54</v>
      </c>
      <c r="AB34" s="136"/>
      <c r="AC34" s="136">
        <f>SUM(AC3:AC33)</f>
        <v>0</v>
      </c>
      <c r="AD34" s="136"/>
      <c r="AE34" s="136">
        <f>SUM(AE3:AE33)</f>
        <v>8</v>
      </c>
      <c r="AF34" s="136">
        <v>0</v>
      </c>
      <c r="AG34" s="136">
        <f>SUM(AG3:AG33)</f>
        <v>103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2431773</v>
      </c>
      <c r="D7" s="104">
        <f t="shared" si="0"/>
        <v>3088351.71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7692</v>
      </c>
      <c r="D8" s="104">
        <f t="shared" si="0"/>
        <v>9768.84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1507</v>
      </c>
      <c r="D9" s="104">
        <f t="shared" si="0"/>
        <v>1913.89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3360</v>
      </c>
      <c r="D10" s="104">
        <f t="shared" si="0"/>
        <v>4267.2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1267</v>
      </c>
      <c r="D11" s="104">
        <f t="shared" si="0"/>
        <v>1609.09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4031</v>
      </c>
      <c r="K16" s="93">
        <f>(J16-I16)*160</f>
        <v>320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326879</v>
      </c>
      <c r="K17" s="93">
        <f>(J17-I17)</f>
        <v>1164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26375</v>
      </c>
      <c r="K18" s="93">
        <f>(J18-I18)*160</f>
        <v>3360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163878</v>
      </c>
      <c r="K19" s="93">
        <f>J19-I19</f>
        <v>1267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47401</v>
      </c>
      <c r="K21" s="93">
        <f>(J21-I21)*120</f>
        <v>3720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40852</v>
      </c>
      <c r="K22" s="93">
        <f>(J22-I22)*160</f>
        <v>3200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21928</v>
      </c>
      <c r="K23" s="93">
        <f>(J23-I23)*20</f>
        <v>520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257288</v>
      </c>
      <c r="K24" s="93">
        <f>J24-I24</f>
        <v>252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226253</v>
      </c>
      <c r="K25" s="93">
        <f>J25-I25</f>
        <v>23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2022-08-08T01:43:38Z</dcterms:modified>
</cp:coreProperties>
</file>