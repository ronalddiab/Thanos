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C4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3"/>
  <c r="E32" i="1"/>
  <c r="G32" i="1"/>
  <c r="I32" i="1"/>
  <c r="K32" i="1"/>
  <c r="L32" i="1"/>
  <c r="B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<sst xmlns="http://schemas.openxmlformats.org/spreadsheetml/2006/main" count="108" uniqueCount="33">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</sst>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32" sqref="E32:K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2020</v>
      </c>
      <c r="E2" s="20">
        <f>Submetering!E2</f>
        <v>7742.25</v>
      </c>
      <c r="F2" s="16">
        <v>0.12</v>
      </c>
      <c r="G2" s="20">
        <f>Submetering!F2+Submetering!G2</f>
        <v>128.77051902056076</v>
      </c>
      <c r="H2" s="16">
        <v>0.71</v>
      </c>
      <c r="I2" s="20">
        <f>Submetering!J2+Submetering!I2+Submetering!H2</f>
        <v>61.709531337800001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2020</v>
      </c>
      <c r="E3" s="20">
        <f>Submetering!E3</f>
        <v>7629.75</v>
      </c>
      <c r="F3" s="16">
        <v>0.12</v>
      </c>
      <c r="G3" s="20">
        <f>Submetering!F3+Submetering!G3</f>
        <v>139.54847473943929</v>
      </c>
      <c r="H3" s="16">
        <v>0.71</v>
      </c>
      <c r="I3" s="20">
        <f>Submetering!J3+Submetering!I3+Submetering!H3</f>
        <v>61.6753875693</v>
      </c>
      <c r="J3" s="16">
        <v>2.3196172978505634</v>
      </c>
      <c r="K3" s="20">
        <f>Submetering!K3</f>
        <v>28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2020</v>
      </c>
      <c r="E4" s="20">
        <f>Submetering!E4</f>
        <v>7501.5</v>
      </c>
      <c r="F4" s="16">
        <v>0.12</v>
      </c>
      <c r="G4" s="20">
        <f>Submetering!F4+Submetering!G4</f>
        <v>240.86443626158882</v>
      </c>
      <c r="H4" s="16">
        <v>0.71</v>
      </c>
      <c r="I4" s="20">
        <f>Submetering!J4+Submetering!I4+Submetering!H4</f>
        <v>60.989505599200001</v>
      </c>
      <c r="J4" s="16">
        <v>2.3196172978505634</v>
      </c>
      <c r="K4" s="20">
        <f>Submetering!K4</f>
        <v>41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2020</v>
      </c>
      <c r="E5" s="20">
        <f>Submetering!E5</f>
        <v>7312.5</v>
      </c>
      <c r="F5" s="16">
        <v>0.12</v>
      </c>
      <c r="G5" s="20">
        <f>Submetering!F5+Submetering!G5</f>
        <v>183.80113624813086</v>
      </c>
      <c r="H5" s="16">
        <v>0.71</v>
      </c>
      <c r="I5" s="20">
        <f>Submetering!J5+Submetering!I5+Submetering!H5</f>
        <v>60.067073571500003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2020</v>
      </c>
      <c r="E6" s="20">
        <f>Submetering!E6</f>
        <v>7476.75</v>
      </c>
      <c r="F6" s="16">
        <v>0.12</v>
      </c>
      <c r="G6" s="20">
        <f>Submetering!F6+Submetering!G6</f>
        <v>263.82068489598129</v>
      </c>
      <c r="H6" s="16">
        <v>0.71</v>
      </c>
      <c r="I6" s="20">
        <f>Submetering!J6+Submetering!I6+Submetering!H6</f>
        <v>67.494361339799994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2020</v>
      </c>
      <c r="E7" s="20">
        <f>Submetering!E7</f>
        <v>7584.75</v>
      </c>
      <c r="F7" s="16">
        <v>0.12</v>
      </c>
      <c r="G7" s="20">
        <f>Submetering!F7+Submetering!G7</f>
        <v>201.41390177074769</v>
      </c>
      <c r="H7" s="16">
        <v>0.71</v>
      </c>
      <c r="I7" s="20">
        <f>Submetering!J7+Submetering!I7+Submetering!H7</f>
        <v>61.283461905699994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2020</v>
      </c>
      <c r="E8" s="20">
        <f>Submetering!E8</f>
        <v>7481.25</v>
      </c>
      <c r="F8" s="16">
        <v>0.12</v>
      </c>
      <c r="G8" s="20">
        <f>Submetering!F8+Submetering!G8</f>
        <v>179.0088314562617</v>
      </c>
      <c r="H8" s="16">
        <v>0.71</v>
      </c>
      <c r="I8" s="20">
        <f>Submetering!J8+Submetering!I8+Submetering!H8</f>
        <v>65.961643752900002</v>
      </c>
      <c r="J8" s="16">
        <v>2.3196172978505634</v>
      </c>
      <c r="K8" s="20">
        <f>Submetering!K8</f>
        <v>27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2020</v>
      </c>
      <c r="E9" s="20">
        <f>Submetering!E9</f>
        <v>7596</v>
      </c>
      <c r="F9" s="16">
        <v>0.12</v>
      </c>
      <c r="G9" s="20">
        <f>Submetering!F9+Submetering!G9</f>
        <v>190.33332824616826</v>
      </c>
      <c r="H9" s="16">
        <v>0.71</v>
      </c>
      <c r="I9" s="20">
        <f>Submetering!J9+Submetering!I9+Submetering!H9</f>
        <v>64.101909277399997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2020</v>
      </c>
      <c r="E10" s="20">
        <f>Submetering!E10</f>
        <v>8025.75</v>
      </c>
      <c r="F10" s="16">
        <v>0.12</v>
      </c>
      <c r="G10" s="20">
        <f>Submetering!F10+Submetering!G10</f>
        <v>155.47732952457946</v>
      </c>
      <c r="H10" s="16">
        <v>0.71</v>
      </c>
      <c r="I10" s="20">
        <f>Submetering!J10+Submetering!I10+Submetering!H10</f>
        <v>71.086495976599991</v>
      </c>
      <c r="J10" s="16">
        <v>2.3196172978505634</v>
      </c>
      <c r="K10" s="20">
        <f>Submetering!K10</f>
        <v>42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2020</v>
      </c>
      <c r="E11" s="20">
        <f>Submetering!E11</f>
        <v>7926.75</v>
      </c>
      <c r="F11" s="16">
        <v>0.12</v>
      </c>
      <c r="G11" s="20">
        <f>Submetering!F11+Submetering!G11</f>
        <v>175.60481823971963</v>
      </c>
      <c r="H11" s="16">
        <v>0.71</v>
      </c>
      <c r="I11" s="20">
        <f>Submetering!J11+Submetering!I11+Submetering!H11</f>
        <v>69.1008613021</v>
      </c>
      <c r="J11" s="16">
        <v>2.3196172978505634</v>
      </c>
      <c r="K11" s="20">
        <f>Submetering!K11</f>
        <v>18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225.54356477785049</v>
      </c>
      <c r="H12" s="16">
        <v>0.71</v>
      </c>
      <c r="I12" s="20">
        <f>Submetering!J12+Submetering!I12+Submetering!H12</f>
        <v>60.134883778999999</v>
      </c>
      <c r="J12" s="16">
        <v>2.3196172978505634</v>
      </c>
      <c r="K12" s="20">
        <f>Submetering!K12</f>
        <v>15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2020</v>
      </c>
      <c r="E13" s="20">
        <f>Submetering!E13</f>
        <v>7591.5</v>
      </c>
      <c r="F13" s="16">
        <v>0.12</v>
      </c>
      <c r="G13" s="20">
        <f>Submetering!F13+Submetering!G13</f>
        <v>273.51411042252334</v>
      </c>
      <c r="H13" s="16">
        <v>0.71</v>
      </c>
      <c r="I13" s="20">
        <f>Submetering!J13+Submetering!I13+Submetering!H13</f>
        <v>76.319989357500006</v>
      </c>
      <c r="J13" s="16">
        <v>2.3196172978505634</v>
      </c>
      <c r="K13" s="20">
        <f>Submetering!K13</f>
        <v>31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2020</v>
      </c>
      <c r="E14" s="20">
        <f>Submetering!E14</f>
        <v>7483.5</v>
      </c>
      <c r="F14" s="16">
        <v>0.12</v>
      </c>
      <c r="G14" s="20">
        <f>Submetering!F14+Submetering!G14</f>
        <v>343.9497185085047</v>
      </c>
      <c r="H14" s="16">
        <v>0.71</v>
      </c>
      <c r="I14" s="20">
        <f>Submetering!J14+Submetering!I14+Submetering!H14</f>
        <v>67.669481370900002</v>
      </c>
      <c r="J14" s="16">
        <v>2.3196172978505634</v>
      </c>
      <c r="K14" s="20">
        <f>Submetering!K14</f>
        <v>33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2020</v>
      </c>
      <c r="E15" s="20">
        <f>Submetering!E15</f>
        <v>7393.5</v>
      </c>
      <c r="F15" s="16">
        <v>0.12</v>
      </c>
      <c r="G15" s="20">
        <f>Submetering!F15+Submetering!G15</f>
        <v>300.87255482448603</v>
      </c>
      <c r="H15" s="16">
        <v>0.71</v>
      </c>
      <c r="I15" s="20">
        <f>Submetering!J14+Submetering!I15+Submetering!H15</f>
        <v>62.964481370900003</v>
      </c>
      <c r="J15" s="16">
        <v>2.3196172978505634</v>
      </c>
      <c r="K15" s="20">
        <f>Submetering!K15</f>
        <v>34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2020</v>
      </c>
      <c r="E16" s="20">
        <f>Submetering!E16</f>
        <v>7510.5</v>
      </c>
      <c r="F16" s="16">
        <v>0.12</v>
      </c>
      <c r="G16" s="20">
        <f>Submetering!F16+Submetering!G16</f>
        <v>389.10067057803741</v>
      </c>
      <c r="H16" s="16">
        <v>0.71</v>
      </c>
      <c r="I16" s="20">
        <f>Submetering!J15+Submetering!I16+Submetering!H16</f>
        <v>63.044913616300001</v>
      </c>
      <c r="J16" s="16">
        <v>2.3196172978505634</v>
      </c>
      <c r="K16" s="20">
        <f>Submetering!K16</f>
        <v>51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2020</v>
      </c>
      <c r="E17" s="20">
        <f>Submetering!E17</f>
        <v>7436.25</v>
      </c>
      <c r="F17" s="16">
        <v>0.12</v>
      </c>
      <c r="G17" s="20">
        <f>Submetering!F17+Submetering!G16</f>
        <v>312.58693079953269</v>
      </c>
      <c r="H17" s="16">
        <v>0.71</v>
      </c>
      <c r="I17" s="20">
        <f>Submetering!J17+Submetering!I17+Submetering!H17</f>
        <v>75.082370729100006</v>
      </c>
      <c r="J17" s="16">
        <v>2.3196172978505634</v>
      </c>
      <c r="K17" s="20">
        <f>Submetering!K17</f>
        <v>53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2020</v>
      </c>
      <c r="E18" s="20">
        <f>Submetering!E18</f>
        <v>7519.5</v>
      </c>
      <c r="F18" s="16">
        <v>0.12</v>
      </c>
      <c r="G18" s="20">
        <f>Submetering!F18+Submetering!G17</f>
        <v>275.70535306579444</v>
      </c>
      <c r="H18" s="16">
        <v>0.71</v>
      </c>
      <c r="I18" s="20">
        <f>Submetering!J18+Submetering!I18+Submetering!H18</f>
        <v>76.5475539591</v>
      </c>
      <c r="J18" s="16">
        <v>2.3196172978505634</v>
      </c>
      <c r="K18" s="20">
        <f>Submetering!K18</f>
        <v>59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2020</v>
      </c>
      <c r="E19" s="20">
        <f>Submetering!E19</f>
        <v>7557.75</v>
      </c>
      <c r="F19" s="16">
        <v>0.12</v>
      </c>
      <c r="G19" s="20">
        <f>Submetering!F19+Submetering!G18</f>
        <v>255.22317794915892</v>
      </c>
      <c r="H19" s="16">
        <v>0.71</v>
      </c>
      <c r="I19" s="20">
        <f>Submetering!J19+Submetering!I19+Submetering!H19</f>
        <v>67.575931280600003</v>
      </c>
      <c r="J19" s="16">
        <v>2.3196172978505634</v>
      </c>
      <c r="K19" s="20">
        <f>Submetering!K19</f>
        <v>39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2020</v>
      </c>
      <c r="E20" s="20">
        <f>Submetering!E20</f>
        <v>6999.75</v>
      </c>
      <c r="F20" s="16">
        <v>0.12</v>
      </c>
      <c r="G20" s="20">
        <f>Submetering!F20+Submetering!G19</f>
        <v>290.98719063252344</v>
      </c>
      <c r="H20" s="16">
        <v>0.71</v>
      </c>
      <c r="I20" s="20">
        <f>Submetering!J20+Submetering!I20+Submetering!H20</f>
        <v>60.468716135900003</v>
      </c>
      <c r="J20" s="16">
        <v>2.3196172978505634</v>
      </c>
      <c r="K20" s="20">
        <f>Submetering!K20</f>
        <v>33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2020</v>
      </c>
      <c r="E21" s="20">
        <f>Submetering!E21</f>
        <v>7413.75</v>
      </c>
      <c r="F21" s="16">
        <v>0.12</v>
      </c>
      <c r="G21" s="20">
        <f>Submetering!F21+Submetering!G20</f>
        <v>214.42959830299063</v>
      </c>
      <c r="H21" s="16">
        <v>0.71</v>
      </c>
      <c r="I21" s="20">
        <f>Submetering!J21+Submetering!I21+Submetering!H21</f>
        <v>57.167804709110001</v>
      </c>
      <c r="J21" s="16">
        <v>2.3196172978505634</v>
      </c>
      <c r="K21" s="20">
        <f>Submetering!K21</f>
        <v>31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2020</v>
      </c>
      <c r="E22" s="20">
        <f>Submetering!E22</f>
        <v>7512.75</v>
      </c>
      <c r="F22" s="16">
        <v>0.12</v>
      </c>
      <c r="G22" s="20">
        <f>Submetering!F22+Submetering!G21</f>
        <v>120.10384982635516</v>
      </c>
      <c r="H22" s="16">
        <v>0.71</v>
      </c>
      <c r="I22" s="20">
        <f>Submetering!J22+Submetering!I22+Submetering!H22</f>
        <v>57.662576809960001</v>
      </c>
      <c r="J22" s="16">
        <v>2.3196172978505634</v>
      </c>
      <c r="K22" s="20">
        <f>Submetering!K22</f>
        <v>24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2020</v>
      </c>
      <c r="E23" s="20">
        <f>Submetering!E23</f>
        <v>7359.75</v>
      </c>
      <c r="F23" s="16">
        <v>0.12</v>
      </c>
      <c r="G23" s="20">
        <f>Submetering!F23+Submetering!G22</f>
        <v>111.1625279969159</v>
      </c>
      <c r="H23" s="16">
        <v>0.71</v>
      </c>
      <c r="I23" s="20">
        <f>Submetering!J23+Submetering!I23+Submetering!H23</f>
        <v>46.60501254431</v>
      </c>
      <c r="J23" s="16">
        <v>2.3196172978505634</v>
      </c>
      <c r="K23" s="20">
        <f>Submetering!K23</f>
        <v>32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2020</v>
      </c>
      <c r="E24" s="20">
        <f>Submetering!E24</f>
        <v>7706.25</v>
      </c>
      <c r="F24" s="16">
        <v>0.12</v>
      </c>
      <c r="G24" s="20">
        <f>Submetering!F24+Submetering!G23</f>
        <v>125.91636204728972</v>
      </c>
      <c r="H24" s="16">
        <v>0.71</v>
      </c>
      <c r="I24" s="20">
        <f>Submetering!J24+Submetering!I24+Submetering!H24</f>
        <v>66.890239801515008</v>
      </c>
      <c r="J24" s="16">
        <v>2.3196172978505634</v>
      </c>
      <c r="K24" s="20">
        <f>Submetering!K24</f>
        <v>51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2020</v>
      </c>
      <c r="E25" s="20">
        <f>Submetering!E25</f>
        <v>7404.75</v>
      </c>
      <c r="F25" s="16">
        <v>0.12</v>
      </c>
      <c r="G25" s="20">
        <f>Submetering!F25+Submetering!G24</f>
        <v>151.06165564336447</v>
      </c>
      <c r="H25" s="16">
        <v>0.71</v>
      </c>
      <c r="I25" s="20">
        <f>Submetering!J25+Submetering!I25+Submetering!H25</f>
        <v>92.760942498199995</v>
      </c>
      <c r="J25" s="16">
        <v>2.3196172978505634</v>
      </c>
      <c r="K25" s="20">
        <f>Submetering!K25</f>
        <v>60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2020</v>
      </c>
      <c r="E26" s="20">
        <f>Submetering!E26</f>
        <v>7065</v>
      </c>
      <c r="F26" s="16">
        <v>0.12</v>
      </c>
      <c r="G26" s="20">
        <f>Submetering!F26+Submetering!G25</f>
        <v>156.92289446691592</v>
      </c>
      <c r="H26" s="16">
        <v>0.71</v>
      </c>
      <c r="I26" s="20">
        <f>Submetering!J26+Submetering!I26+Submetering!H26</f>
        <v>70.930595443798993</v>
      </c>
      <c r="J26" s="16">
        <v>2.3196172978505634</v>
      </c>
      <c r="K26" s="20">
        <f>Submetering!K26</f>
        <v>36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2020</v>
      </c>
      <c r="E27" s="20">
        <f>Submetering!E27</f>
        <v>6963.75</v>
      </c>
      <c r="F27" s="16">
        <v>0.12</v>
      </c>
      <c r="G27" s="20">
        <f>Submetering!F27+Submetering!G26</f>
        <v>302.44891499289719</v>
      </c>
      <c r="H27" s="16">
        <v>0.71</v>
      </c>
      <c r="I27" s="20">
        <f>Submetering!J27+Submetering!I27+Submetering!H27</f>
        <v>69.48588203349</v>
      </c>
      <c r="J27" s="16">
        <v>2.3196172978505634</v>
      </c>
      <c r="K27" s="20">
        <f>Submetering!K27</f>
        <v>23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29.868948182149538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4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I31" sqref="I31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10</v>
      </c>
      <c r="D2" s="6">
        <v>2020</v>
      </c>
      <c r="E2" s="20">
        <v>7742.25</v>
      </c>
      <c r="F2" s="20">
        <v>113.71529011588785</v>
      </c>
      <c r="G2" s="20">
        <v>15.055228904672898</v>
      </c>
      <c r="H2" s="20">
        <v>1.7130000000000001</v>
      </c>
      <c r="I2" s="20">
        <v>34</v>
      </c>
      <c r="J2" s="20">
        <v>25.9965313378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f>C2</f>
        <v>10</v>
      </c>
      <c r="D3" s="6">
        <v>2020</v>
      </c>
      <c r="E3" s="20">
        <v>7629.75</v>
      </c>
      <c r="F3" s="20">
        <v>117.90033880841123</v>
      </c>
      <c r="G3" s="20">
        <v>21.64813593102804</v>
      </c>
      <c r="H3" s="20">
        <v>1.67</v>
      </c>
      <c r="I3" s="6">
        <v>32</v>
      </c>
      <c r="J3" s="20">
        <v>28.005387569300002</v>
      </c>
      <c r="K3" s="20">
        <v>28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1" si="1">C3</f>
        <v>10</v>
      </c>
      <c r="D4" s="6">
        <v>2020</v>
      </c>
      <c r="E4" s="20">
        <v>7501.5</v>
      </c>
      <c r="F4" s="20">
        <v>220.70210300280377</v>
      </c>
      <c r="G4" s="20">
        <v>20.162333258785047</v>
      </c>
      <c r="H4" s="20">
        <v>0.96899999999999997</v>
      </c>
      <c r="I4" s="6">
        <v>34</v>
      </c>
      <c r="J4" s="20">
        <v>26.0205055992</v>
      </c>
      <c r="K4" s="20">
        <v>41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10</v>
      </c>
      <c r="D5" s="6">
        <v>2020</v>
      </c>
      <c r="E5" s="20">
        <v>7312.5</v>
      </c>
      <c r="F5" s="20">
        <v>160.62346717476638</v>
      </c>
      <c r="G5" s="20">
        <v>23.177669073364488</v>
      </c>
      <c r="H5" s="20">
        <v>1.089</v>
      </c>
      <c r="I5" s="6">
        <v>32</v>
      </c>
      <c r="J5" s="20">
        <v>26.978073571500001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10</v>
      </c>
      <c r="D6" s="6">
        <v>2020</v>
      </c>
      <c r="E6" s="20">
        <v>7476.75</v>
      </c>
      <c r="F6" s="20">
        <v>243.79024085514018</v>
      </c>
      <c r="G6" s="20">
        <v>20.030444040841122</v>
      </c>
      <c r="H6" s="20">
        <v>5.4720000000000004</v>
      </c>
      <c r="I6" s="20">
        <v>34</v>
      </c>
      <c r="J6" s="20">
        <v>28.0223613398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10</v>
      </c>
      <c r="D7" s="6">
        <v>2020</v>
      </c>
      <c r="E7" s="20">
        <v>7584.75</v>
      </c>
      <c r="F7" s="20">
        <v>179.46995597009348</v>
      </c>
      <c r="G7" s="20">
        <v>21.943945800654205</v>
      </c>
      <c r="H7" s="20">
        <v>3.3090000000000002</v>
      </c>
      <c r="I7" s="20">
        <v>32</v>
      </c>
      <c r="J7" s="20">
        <v>25.9744619057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10</v>
      </c>
      <c r="D8" s="6">
        <v>2020</v>
      </c>
      <c r="E8" s="20">
        <v>7481.25</v>
      </c>
      <c r="F8" s="20">
        <v>160.39547690000001</v>
      </c>
      <c r="G8" s="20">
        <v>18.613354556261683</v>
      </c>
      <c r="H8" s="20">
        <v>0.93500000000000005</v>
      </c>
      <c r="I8" s="20">
        <v>35</v>
      </c>
      <c r="J8" s="20">
        <v>30.0266437529</v>
      </c>
      <c r="K8" s="20">
        <v>27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10</v>
      </c>
      <c r="D9" s="6">
        <v>2020</v>
      </c>
      <c r="E9" s="6">
        <v>7596</v>
      </c>
      <c r="F9" s="20">
        <v>173.72138456915891</v>
      </c>
      <c r="G9" s="20">
        <v>16.611943677009346</v>
      </c>
      <c r="H9" s="20">
        <v>1.1060000000000001</v>
      </c>
      <c r="I9" s="6">
        <v>33</v>
      </c>
      <c r="J9" s="20">
        <v>29.995909277399999</v>
      </c>
      <c r="K9" s="20">
        <v>38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10</v>
      </c>
      <c r="D10" s="6">
        <v>2020</v>
      </c>
      <c r="E10" s="20">
        <v>8025.75</v>
      </c>
      <c r="F10" s="20">
        <v>138.70250612523367</v>
      </c>
      <c r="G10" s="20">
        <v>16.774823399345795</v>
      </c>
      <c r="H10" s="20">
        <v>1.091</v>
      </c>
      <c r="I10" s="6">
        <v>37</v>
      </c>
      <c r="J10" s="20">
        <v>32.995495976599997</v>
      </c>
      <c r="K10" s="20">
        <v>42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10</v>
      </c>
      <c r="D11" s="6">
        <v>2020</v>
      </c>
      <c r="E11" s="20">
        <v>7926.75</v>
      </c>
      <c r="F11" s="20">
        <v>157.50040229439253</v>
      </c>
      <c r="G11" s="20">
        <v>18.104415945327105</v>
      </c>
      <c r="H11" s="20">
        <v>1.097</v>
      </c>
      <c r="I11" s="6">
        <v>36</v>
      </c>
      <c r="J11" s="20">
        <v>32.003861302099999</v>
      </c>
      <c r="K11" s="20">
        <v>18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10</v>
      </c>
      <c r="D12" s="6">
        <v>2020</v>
      </c>
      <c r="E12" s="20">
        <v>7427.25</v>
      </c>
      <c r="F12" s="20">
        <v>208.51664601121499</v>
      </c>
      <c r="G12" s="20">
        <v>17.026918766635514</v>
      </c>
      <c r="H12" s="20">
        <v>1.1270800000000001</v>
      </c>
      <c r="I12" s="20">
        <v>29</v>
      </c>
      <c r="J12" s="20">
        <v>30.007803779</v>
      </c>
      <c r="K12" s="20">
        <v>15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10</v>
      </c>
      <c r="D13" s="6">
        <v>2020</v>
      </c>
      <c r="E13" s="20">
        <v>7591.5</v>
      </c>
      <c r="F13" s="20">
        <v>255.38443596168224</v>
      </c>
      <c r="G13" s="20">
        <v>18.129674460841123</v>
      </c>
      <c r="H13" s="20">
        <v>5.3219200000000004</v>
      </c>
      <c r="I13" s="20">
        <v>37</v>
      </c>
      <c r="J13" s="20">
        <v>33.9980693575</v>
      </c>
      <c r="K13" s="20">
        <v>31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10</v>
      </c>
      <c r="D14" s="6">
        <v>2020</v>
      </c>
      <c r="E14" s="20">
        <v>7483.5</v>
      </c>
      <c r="F14" s="20">
        <v>327.80850998691591</v>
      </c>
      <c r="G14" s="32">
        <v>16.141208521588787</v>
      </c>
      <c r="H14" s="20">
        <v>4.6639999999999997</v>
      </c>
      <c r="I14" s="20">
        <v>31</v>
      </c>
      <c r="J14" s="20">
        <v>32.0054813709</v>
      </c>
      <c r="K14" s="20">
        <v>33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10</v>
      </c>
      <c r="D15" s="6">
        <v>2020</v>
      </c>
      <c r="E15" s="20">
        <v>7393.5</v>
      </c>
      <c r="F15" s="20">
        <v>283.11414648785052</v>
      </c>
      <c r="G15" s="32">
        <v>17.758408336635515</v>
      </c>
      <c r="H15" s="20">
        <v>0.95899999999999996</v>
      </c>
      <c r="I15" s="20">
        <v>30</v>
      </c>
      <c r="J15" s="20">
        <v>28.986913616300001</v>
      </c>
      <c r="K15" s="20">
        <v>34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10</v>
      </c>
      <c r="D16" s="6">
        <v>2020</v>
      </c>
      <c r="E16" s="20">
        <v>7510.5</v>
      </c>
      <c r="F16" s="20">
        <v>367.55980789252339</v>
      </c>
      <c r="G16" s="32">
        <v>21.540862685514021</v>
      </c>
      <c r="H16" s="20">
        <v>1.0580000000000001</v>
      </c>
      <c r="I16" s="20">
        <v>33</v>
      </c>
      <c r="J16" s="20">
        <v>28.9929713559</v>
      </c>
      <c r="K16" s="20">
        <v>51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10</v>
      </c>
      <c r="D17" s="6">
        <v>2020</v>
      </c>
      <c r="E17" s="20">
        <v>7436.25</v>
      </c>
      <c r="F17" s="20">
        <v>291.04606811401868</v>
      </c>
      <c r="G17" s="32">
        <v>27.633068631214957</v>
      </c>
      <c r="H17" s="20">
        <v>1.071</v>
      </c>
      <c r="I17" s="20">
        <v>43</v>
      </c>
      <c r="J17" s="20">
        <v>31.011370729100001</v>
      </c>
      <c r="K17" s="20">
        <v>53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10</v>
      </c>
      <c r="D18" s="6">
        <v>2020</v>
      </c>
      <c r="E18" s="20">
        <v>7519.5</v>
      </c>
      <c r="F18" s="20">
        <v>248.07228443457947</v>
      </c>
      <c r="G18" s="32">
        <v>27.246557065046733</v>
      </c>
      <c r="H18" s="20">
        <v>1.0980000000000001</v>
      </c>
      <c r="I18" s="20">
        <v>45</v>
      </c>
      <c r="J18" s="20">
        <v>30.449553959100001</v>
      </c>
      <c r="K18" s="20">
        <v>59</v>
      </c>
    </row>
    <row r="19" spans="1:11" x14ac:dyDescent="0.25">
      <c r="A19" s="9" t="s">
        <v>32</v>
      </c>
      <c r="B19" s="6">
        <f t="shared" si="0"/>
        <v>18</v>
      </c>
      <c r="C19" s="6">
        <f t="shared" si="1"/>
        <v>10</v>
      </c>
      <c r="D19" s="6">
        <v>2020</v>
      </c>
      <c r="E19" s="20">
        <v>7557.75</v>
      </c>
      <c r="F19" s="20">
        <v>227.97662088411218</v>
      </c>
      <c r="G19" s="32">
        <v>26.848144065233644</v>
      </c>
      <c r="H19" s="20">
        <v>1.04</v>
      </c>
      <c r="I19" s="20">
        <v>36</v>
      </c>
      <c r="J19" s="20">
        <v>30.5359312806</v>
      </c>
      <c r="K19" s="20">
        <v>39</v>
      </c>
    </row>
    <row r="20" spans="1:11" x14ac:dyDescent="0.25">
      <c r="A20" s="9" t="s">
        <v>32</v>
      </c>
      <c r="B20" s="6">
        <f t="shared" si="0"/>
        <v>19</v>
      </c>
      <c r="C20" s="6">
        <f t="shared" si="1"/>
        <v>10</v>
      </c>
      <c r="D20" s="6">
        <v>2020</v>
      </c>
      <c r="E20" s="20">
        <v>6999.75</v>
      </c>
      <c r="F20" s="20">
        <v>264.13904656728977</v>
      </c>
      <c r="G20" s="32">
        <v>16.665952947850467</v>
      </c>
      <c r="H20" s="20">
        <v>1.016</v>
      </c>
      <c r="I20" s="20">
        <v>32</v>
      </c>
      <c r="J20" s="20">
        <v>27.452716135900001</v>
      </c>
      <c r="K20" s="20">
        <v>33</v>
      </c>
    </row>
    <row r="21" spans="1:11" x14ac:dyDescent="0.25">
      <c r="A21" s="9" t="s">
        <v>32</v>
      </c>
      <c r="B21" s="6">
        <f t="shared" si="0"/>
        <v>20</v>
      </c>
      <c r="C21" s="6">
        <f t="shared" si="1"/>
        <v>10</v>
      </c>
      <c r="D21" s="6">
        <v>2020</v>
      </c>
      <c r="E21" s="20">
        <v>7413.75</v>
      </c>
      <c r="F21" s="32">
        <v>197.76364535514017</v>
      </c>
      <c r="G21" s="32">
        <v>17.085541017009348</v>
      </c>
      <c r="H21" s="20">
        <v>1.0636626973100001</v>
      </c>
      <c r="I21" s="20">
        <v>30</v>
      </c>
      <c r="J21" s="20">
        <v>26.1041420118</v>
      </c>
      <c r="K21" s="20">
        <v>31</v>
      </c>
    </row>
    <row r="22" spans="1:11" x14ac:dyDescent="0.25">
      <c r="A22" s="9" t="s">
        <v>32</v>
      </c>
      <c r="B22" s="6">
        <f t="shared" si="0"/>
        <v>21</v>
      </c>
      <c r="C22" s="6">
        <f t="shared" si="1"/>
        <v>10</v>
      </c>
      <c r="D22" s="6">
        <v>2020</v>
      </c>
      <c r="E22" s="20">
        <v>7512.75</v>
      </c>
      <c r="F22" s="32">
        <v>103.01830880934581</v>
      </c>
      <c r="G22" s="32">
        <v>15.377541727757009</v>
      </c>
      <c r="H22" s="32">
        <v>1.2143519578599999</v>
      </c>
      <c r="I22" s="32">
        <v>33</v>
      </c>
      <c r="J22" s="32">
        <v>23.448224852100001</v>
      </c>
      <c r="K22" s="20">
        <v>24</v>
      </c>
    </row>
    <row r="23" spans="1:11" x14ac:dyDescent="0.25">
      <c r="A23" s="9" t="s">
        <v>32</v>
      </c>
      <c r="B23" s="6">
        <f t="shared" si="0"/>
        <v>22</v>
      </c>
      <c r="C23" s="6">
        <f t="shared" si="1"/>
        <v>10</v>
      </c>
      <c r="D23" s="6">
        <v>2020</v>
      </c>
      <c r="E23" s="20">
        <v>7359.75</v>
      </c>
      <c r="F23" s="32">
        <v>95.784986269158892</v>
      </c>
      <c r="G23" s="32">
        <v>14.998593542616822</v>
      </c>
      <c r="H23" s="32">
        <v>1.0532373964099999</v>
      </c>
      <c r="I23" s="32">
        <v>23</v>
      </c>
      <c r="J23" s="32">
        <v>22.551775147899999</v>
      </c>
      <c r="K23" s="20">
        <v>32</v>
      </c>
    </row>
    <row r="24" spans="1:11" x14ac:dyDescent="0.25">
      <c r="A24" s="9" t="s">
        <v>32</v>
      </c>
      <c r="B24" s="6">
        <f t="shared" si="0"/>
        <v>23</v>
      </c>
      <c r="C24" s="6">
        <f t="shared" si="1"/>
        <v>10</v>
      </c>
      <c r="D24" s="6">
        <v>2020</v>
      </c>
      <c r="E24" s="20">
        <v>7706.25</v>
      </c>
      <c r="F24" s="32">
        <v>110.91776850467291</v>
      </c>
      <c r="G24" s="32">
        <v>19.551628726542056</v>
      </c>
      <c r="H24" s="32">
        <v>0.96062187561500001</v>
      </c>
      <c r="I24" s="32">
        <v>33</v>
      </c>
      <c r="J24" s="32">
        <v>32.929617925899997</v>
      </c>
      <c r="K24" s="20">
        <v>51</v>
      </c>
    </row>
    <row r="25" spans="1:11" x14ac:dyDescent="0.25">
      <c r="A25" s="9" t="s">
        <v>32</v>
      </c>
      <c r="B25" s="6">
        <f t="shared" si="0"/>
        <v>24</v>
      </c>
      <c r="C25" s="6">
        <f t="shared" si="1"/>
        <v>10</v>
      </c>
      <c r="D25" s="6">
        <v>2020</v>
      </c>
      <c r="E25" s="20">
        <v>7404.75</v>
      </c>
      <c r="F25" s="32">
        <v>131.51002691682243</v>
      </c>
      <c r="G25" s="32">
        <v>24.232819078130845</v>
      </c>
      <c r="H25" s="32">
        <v>1.2295695357</v>
      </c>
      <c r="I25" s="32">
        <v>56</v>
      </c>
      <c r="J25" s="32">
        <v>35.531372962500001</v>
      </c>
      <c r="K25" s="20">
        <v>60</v>
      </c>
    </row>
    <row r="26" spans="1:11" x14ac:dyDescent="0.25">
      <c r="A26" s="9" t="s">
        <v>32</v>
      </c>
      <c r="B26" s="6">
        <f>B25+1</f>
        <v>25</v>
      </c>
      <c r="C26" s="6">
        <f t="shared" si="1"/>
        <v>10</v>
      </c>
      <c r="D26" s="6">
        <v>2020</v>
      </c>
      <c r="E26" s="20">
        <v>7065</v>
      </c>
      <c r="F26" s="32">
        <v>132.69007538878506</v>
      </c>
      <c r="G26" s="32">
        <v>29.577537247102804</v>
      </c>
      <c r="H26" s="32">
        <v>0.94027211469899996</v>
      </c>
      <c r="I26" s="32">
        <v>40</v>
      </c>
      <c r="J26" s="32">
        <v>29.990323329100001</v>
      </c>
      <c r="K26" s="20">
        <v>36</v>
      </c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10</v>
      </c>
      <c r="D27" s="6">
        <v>2020</v>
      </c>
      <c r="E27" s="20">
        <v>6963.75</v>
      </c>
      <c r="F27" s="32">
        <v>272.8713777457944</v>
      </c>
      <c r="G27" s="32">
        <v>29.868948182149538</v>
      </c>
      <c r="H27" s="32">
        <v>5.49560676779</v>
      </c>
      <c r="I27" s="32">
        <v>36</v>
      </c>
      <c r="J27" s="32">
        <v>27.990275265699999</v>
      </c>
      <c r="K27" s="20">
        <v>23</v>
      </c>
    </row>
    <row r="28" spans="1:11" x14ac:dyDescent="0.25">
      <c r="A28" s="9" t="s">
        <v>32</v>
      </c>
      <c r="B28" s="6">
        <f t="shared" si="0"/>
        <v>27</v>
      </c>
      <c r="C28" s="6">
        <f t="shared" si="1"/>
        <v>10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10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10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10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ref="C32" si="2">C31</f>
        <v>10</v>
      </c>
      <c r="D32" s="6">
        <v>2020</v>
      </c>
      <c r="F32" s="32"/>
      <c r="G32" s="32"/>
      <c r="H32" s="32"/>
      <c r="I32" s="32"/>
      <c r="J32" s="32"/>
      <c r="K32" s="20"/>
    </row>
    <row r="33" spans="6:10" x14ac:dyDescent="0.25">
      <c r="F33" s="32"/>
      <c r="G33" s="32"/>
      <c r="H33" s="32"/>
      <c r="I33" s="32"/>
      <c r="J33" s="32"/>
    </row>
    <row r="34" spans="6:10" x14ac:dyDescent="0.25">
      <c r="G34" s="32"/>
      <c r="H34" s="32"/>
      <c r="I34" s="32"/>
      <c r="J34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2020-10-27T13:21:07Z</dcterms:modified>
</cp:coreProperties>
</file>