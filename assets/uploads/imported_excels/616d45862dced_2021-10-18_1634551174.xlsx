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hakar.appa\Desktop\Report HLP 2020\HLP 2021\"/>
    </mc:Choice>
  </mc:AlternateContent>
  <xr:revisionPtr revIDLastSave="0" documentId="13_ncr:1_{DBF3AAB4-9D69-49B1-9BB8-2FC36EC55F33}" xr6:coauthVersionLast="47" xr6:coauthVersionMax="47" xr10:uidLastSave="{00000000-0000-0000-0000-000000000000}"/>
  <bookViews>
    <workbookView xWindow="-120" yWindow="-120" windowWidth="20730" windowHeight="11160" tabRatio="913" activeTab="5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</sheets>
  <externalReferences>
    <externalReference r:id="rId40"/>
  </externalReferences>
  <definedNames>
    <definedName name="_xlnm.Print_Area" localSheetId="6">'1'!$A$1:$M$187</definedName>
    <definedName name="_xlnm.Print_Area" localSheetId="15">'10'!$A$1:$M$206</definedName>
    <definedName name="_xlnm.Print_Area" localSheetId="18">'13'!$A$1:$M$189</definedName>
    <definedName name="_xlnm.Print_Area" localSheetId="19">'14'!$A$1:$M$187</definedName>
    <definedName name="_xlnm.Print_Area" localSheetId="20">'15'!$A$1:$J$189</definedName>
    <definedName name="_xlnm.Print_Area" localSheetId="21">'16'!$A$1:$J$189</definedName>
    <definedName name="_xlnm.Print_Area" localSheetId="22">'17'!$A$1:$M$187</definedName>
    <definedName name="_xlnm.Print_Area" localSheetId="23">'18 '!$A$1:$J$187</definedName>
    <definedName name="_xlnm.Print_Area" localSheetId="24">'19'!$A$1:$J$187</definedName>
    <definedName name="_xlnm.Print_Area" localSheetId="25">'20'!$A$1:$J$187</definedName>
    <definedName name="_xlnm.Print_Area" localSheetId="26">'21'!$A$1:$J$189</definedName>
    <definedName name="_xlnm.Print_Area" localSheetId="27">'22'!$A$1:$J$189</definedName>
    <definedName name="_xlnm.Print_Area" localSheetId="28">'23'!$A$1:$J$187</definedName>
    <definedName name="_xlnm.Print_Area" localSheetId="29">'24'!$A$1:$J$189</definedName>
    <definedName name="_xlnm.Print_Area" localSheetId="30">'25'!$A$1:$J$189</definedName>
    <definedName name="_xlnm.Print_Area" localSheetId="31">'26'!$A$1:$J$188</definedName>
    <definedName name="_xlnm.Print_Area" localSheetId="32">'27'!$A$1:$J$189</definedName>
    <definedName name="_xlnm.Print_Area" localSheetId="33">'28'!$A$1:$J$187</definedName>
    <definedName name="_xlnm.Print_Area" localSheetId="34">'29'!$A$1:$R$187</definedName>
    <definedName name="_xlnm.Print_Area" localSheetId="8">'3'!$A$1:$M$187</definedName>
    <definedName name="_xlnm.Print_Area" localSheetId="35">'30'!$A$1:$J$187</definedName>
    <definedName name="_xlnm.Print_Area" localSheetId="36">'31'!$A$1:$J$187</definedName>
    <definedName name="_xlnm.Print_Area" localSheetId="9">'4'!$A$1:$J$186</definedName>
    <definedName name="_xlnm.Print_Area" localSheetId="10">'5'!$A$1:$N$193</definedName>
    <definedName name="_xlnm.Print_Area" localSheetId="11">'6'!$A$1:$J$189</definedName>
    <definedName name="_xlnm.Print_Area" localSheetId="12">'7'!$A$1:$J$191</definedName>
    <definedName name="_xlnm.Print_Area" localSheetId="13">'8'!$A$1:$J$187</definedName>
    <definedName name="_xlnm.Print_Area" localSheetId="14">'9'!$A$1:$J$188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4" i="17" l="1"/>
  <c r="E134" i="16"/>
  <c r="J185" i="15"/>
  <c r="E134" i="14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E92" i="9" l="1"/>
  <c r="G2" i="48"/>
  <c r="E15" i="5"/>
  <c r="E155" i="4"/>
  <c r="O11" i="3" l="1"/>
  <c r="O11" i="2" l="1"/>
  <c r="E116" i="2"/>
  <c r="E79" i="25" l="1"/>
  <c r="E156" i="31"/>
  <c r="G156" i="31" s="1"/>
  <c r="E155" i="31"/>
  <c r="G155" i="31" s="1"/>
  <c r="E156" i="43"/>
  <c r="G156" i="43" s="1"/>
  <c r="E155" i="43"/>
  <c r="G155" i="43" s="1"/>
  <c r="E156" i="30"/>
  <c r="G156" i="30" s="1"/>
  <c r="E155" i="30"/>
  <c r="G155" i="30" s="1"/>
  <c r="E156" i="29"/>
  <c r="G156" i="29" s="1"/>
  <c r="E155" i="29"/>
  <c r="G155" i="29" s="1"/>
  <c r="E156" i="28"/>
  <c r="G156" i="28" s="1"/>
  <c r="E155" i="28"/>
  <c r="G155" i="28" s="1"/>
  <c r="E156" i="27"/>
  <c r="G156" i="27" s="1"/>
  <c r="E155" i="27"/>
  <c r="G155" i="27" s="1"/>
  <c r="E156" i="40"/>
  <c r="G156" i="40" s="1"/>
  <c r="E155" i="40"/>
  <c r="G155" i="40" s="1"/>
  <c r="E156" i="25"/>
  <c r="G156" i="25" s="1"/>
  <c r="E155" i="25"/>
  <c r="G155" i="25" s="1"/>
  <c r="E156" i="24"/>
  <c r="G156" i="24" s="1"/>
  <c r="E155" i="24"/>
  <c r="G155" i="24" s="1"/>
  <c r="E156" i="23"/>
  <c r="G156" i="23" s="1"/>
  <c r="E155" i="23"/>
  <c r="G155" i="23" s="1"/>
  <c r="E156" i="22"/>
  <c r="G156" i="22" s="1"/>
  <c r="E155" i="22"/>
  <c r="G155" i="22" s="1"/>
  <c r="E156" i="21"/>
  <c r="G156" i="21" s="1"/>
  <c r="E155" i="21"/>
  <c r="G155" i="21" s="1"/>
  <c r="E156" i="19"/>
  <c r="G156" i="19" s="1"/>
  <c r="E155" i="19"/>
  <c r="G155" i="19" s="1"/>
  <c r="E156" i="18"/>
  <c r="G156" i="18" s="1"/>
  <c r="E155" i="18"/>
  <c r="G155" i="18" s="1"/>
  <c r="E156" i="17"/>
  <c r="G156" i="17" s="1"/>
  <c r="E155" i="17"/>
  <c r="G155" i="17" s="1"/>
  <c r="E156" i="16"/>
  <c r="G156" i="16" s="1"/>
  <c r="E155" i="16"/>
  <c r="G155" i="16" s="1"/>
  <c r="E156" i="15"/>
  <c r="G156" i="15" s="1"/>
  <c r="E155" i="15"/>
  <c r="G155" i="15" s="1"/>
  <c r="E156" i="14"/>
  <c r="G156" i="14" s="1"/>
  <c r="E155" i="14"/>
  <c r="G155" i="14" s="1"/>
  <c r="E156" i="13"/>
  <c r="G156" i="13" s="1"/>
  <c r="E155" i="13"/>
  <c r="G155" i="13" s="1"/>
  <c r="E156" i="12"/>
  <c r="G156" i="12" s="1"/>
  <c r="E155" i="12"/>
  <c r="G155" i="12" s="1"/>
  <c r="E156" i="11"/>
  <c r="G156" i="11" s="1"/>
  <c r="E155" i="11"/>
  <c r="G155" i="11" s="1"/>
  <c r="E156" i="10"/>
  <c r="G156" i="10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E156" i="33"/>
  <c r="G156" i="33" s="1"/>
  <c r="E155" i="33"/>
  <c r="G155" i="33" s="1"/>
  <c r="E156" i="5"/>
  <c r="G156" i="5" s="1"/>
  <c r="E155" i="5"/>
  <c r="G155" i="5" s="1"/>
  <c r="E156" i="4"/>
  <c r="G156" i="4" s="1"/>
  <c r="G155" i="4"/>
  <c r="E156" i="3"/>
  <c r="G156" i="3" s="1"/>
  <c r="H156" i="3" s="1"/>
  <c r="J156" i="3" s="1"/>
  <c r="G155" i="3"/>
  <c r="H155" i="3" s="1"/>
  <c r="J155" i="3" s="1"/>
  <c r="G156" i="2"/>
  <c r="G155" i="2"/>
  <c r="J156" i="2"/>
  <c r="J155" i="2"/>
  <c r="H156" i="4" l="1"/>
  <c r="H156" i="5" s="1"/>
  <c r="H155" i="4"/>
  <c r="H155" i="5" s="1"/>
  <c r="H155" i="33" s="1"/>
  <c r="E155" i="20"/>
  <c r="G155" i="20" s="1"/>
  <c r="E156" i="20"/>
  <c r="G156" i="20" s="1"/>
  <c r="J156" i="4"/>
  <c r="V5" i="1"/>
  <c r="E152" i="31"/>
  <c r="G152" i="31" s="1"/>
  <c r="E151" i="31"/>
  <c r="G151" i="31" s="1"/>
  <c r="Z35" i="44" s="1"/>
  <c r="E150" i="31"/>
  <c r="E149" i="31"/>
  <c r="G149" i="31" s="1"/>
  <c r="E148" i="31"/>
  <c r="G148" i="31" s="1"/>
  <c r="W35" i="44" s="1"/>
  <c r="E147" i="31"/>
  <c r="G147" i="31" s="1"/>
  <c r="V35" i="44" s="1"/>
  <c r="E146" i="31"/>
  <c r="G146" i="31" s="1"/>
  <c r="T35" i="44" s="1"/>
  <c r="E145" i="31"/>
  <c r="G145" i="31" s="1"/>
  <c r="S35" i="44" s="1"/>
  <c r="E144" i="31"/>
  <c r="G144" i="31" s="1"/>
  <c r="U35" i="44" s="1"/>
  <c r="E143" i="31"/>
  <c r="G143" i="31" s="1"/>
  <c r="X35" i="44" s="1"/>
  <c r="G150" i="31"/>
  <c r="E134" i="43"/>
  <c r="G134" i="43" s="1"/>
  <c r="E134" i="31"/>
  <c r="G134" i="31" s="1"/>
  <c r="E152" i="43"/>
  <c r="G152" i="43" s="1"/>
  <c r="E151" i="43"/>
  <c r="G151" i="43" s="1"/>
  <c r="Z34" i="44" s="1"/>
  <c r="E150" i="43"/>
  <c r="G150" i="43" s="1"/>
  <c r="E149" i="43"/>
  <c r="G149" i="43" s="1"/>
  <c r="E148" i="43"/>
  <c r="G148" i="43" s="1"/>
  <c r="W34" i="44" s="1"/>
  <c r="E147" i="43"/>
  <c r="G147" i="43" s="1"/>
  <c r="V34" i="44" s="1"/>
  <c r="E146" i="43"/>
  <c r="G146" i="43" s="1"/>
  <c r="T34" i="44" s="1"/>
  <c r="E145" i="43"/>
  <c r="G145" i="43" s="1"/>
  <c r="S34" i="44" s="1"/>
  <c r="E144" i="43"/>
  <c r="G144" i="43" s="1"/>
  <c r="U34" i="44" s="1"/>
  <c r="E143" i="43"/>
  <c r="G143" i="43" s="1"/>
  <c r="X34" i="44" s="1"/>
  <c r="E152" i="30"/>
  <c r="G152" i="30" s="1"/>
  <c r="E151" i="30"/>
  <c r="G151" i="30" s="1"/>
  <c r="Z33" i="44" s="1"/>
  <c r="E150" i="30"/>
  <c r="G150" i="30" s="1"/>
  <c r="E149" i="30"/>
  <c r="G149" i="30" s="1"/>
  <c r="E148" i="30"/>
  <c r="G148" i="30" s="1"/>
  <c r="W33" i="44" s="1"/>
  <c r="E147" i="30"/>
  <c r="G147" i="30" s="1"/>
  <c r="V33" i="44" s="1"/>
  <c r="E146" i="30"/>
  <c r="G146" i="30" s="1"/>
  <c r="T33" i="44" s="1"/>
  <c r="E145" i="30"/>
  <c r="G145" i="30" s="1"/>
  <c r="S33" i="44" s="1"/>
  <c r="E144" i="30"/>
  <c r="E143" i="30"/>
  <c r="G143" i="30" s="1"/>
  <c r="X33" i="44" s="1"/>
  <c r="G144" i="30"/>
  <c r="U33" i="44" s="1"/>
  <c r="E134" i="30"/>
  <c r="G134" i="30" s="1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E147" i="29"/>
  <c r="G147" i="29" s="1"/>
  <c r="V32" i="44" s="1"/>
  <c r="E146" i="29"/>
  <c r="G146" i="29" s="1"/>
  <c r="T32" i="44" s="1"/>
  <c r="E145" i="29"/>
  <c r="G145" i="29" s="1"/>
  <c r="S32" i="44" s="1"/>
  <c r="E144" i="29"/>
  <c r="G144" i="29" s="1"/>
  <c r="U32" i="44" s="1"/>
  <c r="E143" i="29"/>
  <c r="G143" i="29" s="1"/>
  <c r="X32" i="44" s="1"/>
  <c r="E134" i="29"/>
  <c r="G134" i="29" s="1"/>
  <c r="E152" i="28"/>
  <c r="G152" i="28" s="1"/>
  <c r="E151" i="28"/>
  <c r="G151" i="28" s="1"/>
  <c r="Z31" i="44" s="1"/>
  <c r="E150" i="28"/>
  <c r="G150" i="28" s="1"/>
  <c r="E149" i="28"/>
  <c r="G149" i="28" s="1"/>
  <c r="E148" i="28"/>
  <c r="E147" i="28"/>
  <c r="G147" i="28" s="1"/>
  <c r="V31" i="44" s="1"/>
  <c r="E146" i="28"/>
  <c r="G146" i="28" s="1"/>
  <c r="T31" i="44" s="1"/>
  <c r="E145" i="28"/>
  <c r="G145" i="28" s="1"/>
  <c r="S31" i="44" s="1"/>
  <c r="E144" i="28"/>
  <c r="G144" i="28" s="1"/>
  <c r="U31" i="44" s="1"/>
  <c r="E143" i="28"/>
  <c r="G143" i="28" s="1"/>
  <c r="X31" i="44" s="1"/>
  <c r="G148" i="28"/>
  <c r="W31" i="44" s="1"/>
  <c r="E134" i="28"/>
  <c r="G134" i="28" s="1"/>
  <c r="E152" i="27"/>
  <c r="G152" i="27" s="1"/>
  <c r="E151" i="27"/>
  <c r="G151" i="27" s="1"/>
  <c r="Z30" i="44" s="1"/>
  <c r="E150" i="27"/>
  <c r="G150" i="27" s="1"/>
  <c r="E149" i="27"/>
  <c r="G149" i="27" s="1"/>
  <c r="E148" i="27"/>
  <c r="G148" i="27" s="1"/>
  <c r="W30" i="44" s="1"/>
  <c r="E147" i="27"/>
  <c r="G147" i="27" s="1"/>
  <c r="V30" i="44" s="1"/>
  <c r="E146" i="27"/>
  <c r="G146" i="27" s="1"/>
  <c r="T30" i="44" s="1"/>
  <c r="E145" i="27"/>
  <c r="G145" i="27" s="1"/>
  <c r="S30" i="44" s="1"/>
  <c r="E144" i="27"/>
  <c r="G144" i="27" s="1"/>
  <c r="U30" i="44" s="1"/>
  <c r="E143" i="27"/>
  <c r="G143" i="27" s="1"/>
  <c r="X30" i="44" s="1"/>
  <c r="E134" i="27"/>
  <c r="G134" i="27" s="1"/>
  <c r="E152" i="40"/>
  <c r="G152" i="40" s="1"/>
  <c r="E151" i="40"/>
  <c r="G151" i="40" s="1"/>
  <c r="Z29" i="44" s="1"/>
  <c r="E150" i="40"/>
  <c r="G150" i="40" s="1"/>
  <c r="E149" i="40"/>
  <c r="G149" i="40" s="1"/>
  <c r="E148" i="40"/>
  <c r="G148" i="40" s="1"/>
  <c r="W29" i="44" s="1"/>
  <c r="E147" i="40"/>
  <c r="E146" i="40"/>
  <c r="G146" i="40" s="1"/>
  <c r="T29" i="44" s="1"/>
  <c r="E145" i="40"/>
  <c r="G145" i="40" s="1"/>
  <c r="S29" i="44" s="1"/>
  <c r="E144" i="40"/>
  <c r="G144" i="40" s="1"/>
  <c r="U29" i="44" s="1"/>
  <c r="E143" i="40"/>
  <c r="G143" i="40" s="1"/>
  <c r="X29" i="44" s="1"/>
  <c r="G147" i="40"/>
  <c r="V29" i="44" s="1"/>
  <c r="E134" i="40"/>
  <c r="G134" i="40" s="1"/>
  <c r="E152" i="25"/>
  <c r="G152" i="25" s="1"/>
  <c r="E151" i="25"/>
  <c r="G151" i="25" s="1"/>
  <c r="Z28" i="44" s="1"/>
  <c r="E150" i="25"/>
  <c r="G150" i="25" s="1"/>
  <c r="E149" i="25"/>
  <c r="G149" i="25" s="1"/>
  <c r="E148" i="25"/>
  <c r="G148" i="25" s="1"/>
  <c r="W28" i="44" s="1"/>
  <c r="E147" i="25"/>
  <c r="G147" i="25" s="1"/>
  <c r="V28" i="44" s="1"/>
  <c r="E146" i="25"/>
  <c r="G146" i="25" s="1"/>
  <c r="T28" i="44" s="1"/>
  <c r="E145" i="25"/>
  <c r="G145" i="25" s="1"/>
  <c r="S28" i="44" s="1"/>
  <c r="E144" i="25"/>
  <c r="G144" i="25" s="1"/>
  <c r="U28" i="44" s="1"/>
  <c r="E143" i="25"/>
  <c r="G143" i="25" s="1"/>
  <c r="X28" i="44" s="1"/>
  <c r="E134" i="25"/>
  <c r="G134" i="25" s="1"/>
  <c r="E152" i="24"/>
  <c r="G152" i="24" s="1"/>
  <c r="E151" i="24"/>
  <c r="G151" i="24" s="1"/>
  <c r="Z27" i="44" s="1"/>
  <c r="E150" i="24"/>
  <c r="G150" i="24" s="1"/>
  <c r="E149" i="24"/>
  <c r="G149" i="24" s="1"/>
  <c r="E148" i="24"/>
  <c r="G148" i="24" s="1"/>
  <c r="W27" i="44" s="1"/>
  <c r="E147" i="24"/>
  <c r="G147" i="24" s="1"/>
  <c r="V27" i="44" s="1"/>
  <c r="E146" i="24"/>
  <c r="G146" i="24" s="1"/>
  <c r="T27" i="44" s="1"/>
  <c r="E145" i="24"/>
  <c r="G145" i="24" s="1"/>
  <c r="S27" i="44" s="1"/>
  <c r="E144" i="24"/>
  <c r="G144" i="24" s="1"/>
  <c r="U27" i="44" s="1"/>
  <c r="E143" i="24"/>
  <c r="G143" i="24" s="1"/>
  <c r="X27" i="44" s="1"/>
  <c r="E141" i="24"/>
  <c r="G141" i="24" s="1"/>
  <c r="Q27" i="44" s="1"/>
  <c r="E142" i="24"/>
  <c r="G142" i="24" s="1"/>
  <c r="R27" i="44" s="1"/>
  <c r="E134" i="24"/>
  <c r="G134" i="24" s="1"/>
  <c r="H156" i="33" l="1"/>
  <c r="J156" i="33" s="1"/>
  <c r="J156" i="5"/>
  <c r="J155" i="4"/>
  <c r="J155" i="33"/>
  <c r="H155" i="7"/>
  <c r="J155" i="5"/>
  <c r="E152" i="23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E146" i="23"/>
  <c r="G146" i="23" s="1"/>
  <c r="T26" i="44" s="1"/>
  <c r="E145" i="23"/>
  <c r="G145" i="23" s="1"/>
  <c r="S26" i="44" s="1"/>
  <c r="E144" i="23"/>
  <c r="G144" i="23" s="1"/>
  <c r="U26" i="44" s="1"/>
  <c r="E143" i="23"/>
  <c r="G143" i="23" s="1"/>
  <c r="X26" i="44" s="1"/>
  <c r="E134" i="22"/>
  <c r="G134" i="22" s="1"/>
  <c r="E134" i="23"/>
  <c r="G134" i="23" s="1"/>
  <c r="E152" i="22"/>
  <c r="G152" i="22" s="1"/>
  <c r="E151" i="22"/>
  <c r="G151" i="22" s="1"/>
  <c r="Z25" i="44" s="1"/>
  <c r="E150" i="22"/>
  <c r="E149" i="22"/>
  <c r="G149" i="22" s="1"/>
  <c r="E148" i="22"/>
  <c r="G148" i="22" s="1"/>
  <c r="W25" i="44" s="1"/>
  <c r="E147" i="22"/>
  <c r="G147" i="22" s="1"/>
  <c r="V25" i="44" s="1"/>
  <c r="E146" i="22"/>
  <c r="G146" i="22" s="1"/>
  <c r="T25" i="44" s="1"/>
  <c r="E145" i="22"/>
  <c r="G145" i="22" s="1"/>
  <c r="S25" i="44" s="1"/>
  <c r="E144" i="22"/>
  <c r="G144" i="22" s="1"/>
  <c r="U25" i="44" s="1"/>
  <c r="E143" i="22"/>
  <c r="G143" i="22" s="1"/>
  <c r="X25" i="44" s="1"/>
  <c r="G150" i="22"/>
  <c r="E152" i="21"/>
  <c r="G152" i="21" s="1"/>
  <c r="E151" i="21"/>
  <c r="G151" i="21" s="1"/>
  <c r="Z24" i="44" s="1"/>
  <c r="E150" i="21"/>
  <c r="E149" i="21"/>
  <c r="E148" i="21"/>
  <c r="G148" i="21" s="1"/>
  <c r="W24" i="44" s="1"/>
  <c r="E147" i="21"/>
  <c r="G147" i="21" s="1"/>
  <c r="V24" i="44" s="1"/>
  <c r="E146" i="21"/>
  <c r="G146" i="21" s="1"/>
  <c r="T24" i="44" s="1"/>
  <c r="E145" i="21"/>
  <c r="G145" i="21" s="1"/>
  <c r="S24" i="44" s="1"/>
  <c r="E144" i="21"/>
  <c r="G144" i="21" s="1"/>
  <c r="U24" i="44" s="1"/>
  <c r="E143" i="21"/>
  <c r="G143" i="21" s="1"/>
  <c r="X24" i="44" s="1"/>
  <c r="G150" i="21"/>
  <c r="G149" i="21"/>
  <c r="E134" i="21"/>
  <c r="G134" i="21" s="1"/>
  <c r="E152" i="19"/>
  <c r="E152" i="20" s="1"/>
  <c r="G152" i="20" s="1"/>
  <c r="E151" i="19"/>
  <c r="E151" i="20" s="1"/>
  <c r="G151" i="20" s="1"/>
  <c r="Z23" i="44" s="1"/>
  <c r="E150" i="19"/>
  <c r="E150" i="20" s="1"/>
  <c r="G150" i="20" s="1"/>
  <c r="E149" i="19"/>
  <c r="E149" i="20" s="1"/>
  <c r="G149" i="20" s="1"/>
  <c r="E148" i="19"/>
  <c r="E148" i="20" s="1"/>
  <c r="G148" i="20" s="1"/>
  <c r="W23" i="44" s="1"/>
  <c r="E147" i="19"/>
  <c r="E147" i="20" s="1"/>
  <c r="G147" i="20" s="1"/>
  <c r="V23" i="44" s="1"/>
  <c r="E146" i="19"/>
  <c r="E146" i="20" s="1"/>
  <c r="G146" i="20" s="1"/>
  <c r="T23" i="44" s="1"/>
  <c r="E145" i="19"/>
  <c r="E145" i="20" s="1"/>
  <c r="G145" i="20" s="1"/>
  <c r="S23" i="44" s="1"/>
  <c r="E144" i="19"/>
  <c r="E144" i="20" s="1"/>
  <c r="G144" i="20" s="1"/>
  <c r="U23" i="44" s="1"/>
  <c r="E143" i="19"/>
  <c r="E143" i="20" s="1"/>
  <c r="G143" i="20" s="1"/>
  <c r="X23" i="44" s="1"/>
  <c r="G151" i="19"/>
  <c r="Z22" i="44" s="1"/>
  <c r="G149" i="19"/>
  <c r="E134" i="19"/>
  <c r="G134" i="19" s="1"/>
  <c r="E152" i="18"/>
  <c r="G152" i="18" s="1"/>
  <c r="E151" i="18"/>
  <c r="G151" i="18" s="1"/>
  <c r="Z21" i="44" s="1"/>
  <c r="E150" i="18"/>
  <c r="G150" i="18" s="1"/>
  <c r="E149" i="18"/>
  <c r="G149" i="18" s="1"/>
  <c r="E148" i="18"/>
  <c r="G148" i="18" s="1"/>
  <c r="W21" i="44" s="1"/>
  <c r="E147" i="18"/>
  <c r="G147" i="18" s="1"/>
  <c r="V21" i="44" s="1"/>
  <c r="E146" i="18"/>
  <c r="G146" i="18" s="1"/>
  <c r="T21" i="44" s="1"/>
  <c r="E145" i="18"/>
  <c r="G145" i="18" s="1"/>
  <c r="S21" i="44" s="1"/>
  <c r="E144" i="18"/>
  <c r="G144" i="18" s="1"/>
  <c r="U21" i="44" s="1"/>
  <c r="E143" i="18"/>
  <c r="G143" i="18" s="1"/>
  <c r="X21" i="44" s="1"/>
  <c r="E134" i="18"/>
  <c r="G134" i="18" s="1"/>
  <c r="E152" i="17"/>
  <c r="G152" i="17" s="1"/>
  <c r="E151" i="17"/>
  <c r="G151" i="17" s="1"/>
  <c r="Z20" i="44" s="1"/>
  <c r="E150" i="17"/>
  <c r="G150" i="17" s="1"/>
  <c r="E149" i="17"/>
  <c r="G149" i="17" s="1"/>
  <c r="E148" i="17"/>
  <c r="G148" i="17" s="1"/>
  <c r="W20" i="44" s="1"/>
  <c r="E147" i="17"/>
  <c r="G147" i="17" s="1"/>
  <c r="V20" i="44" s="1"/>
  <c r="E146" i="17"/>
  <c r="G146" i="17" s="1"/>
  <c r="T20" i="44" s="1"/>
  <c r="E145" i="17"/>
  <c r="G145" i="17" s="1"/>
  <c r="S20" i="44" s="1"/>
  <c r="E144" i="17"/>
  <c r="G144" i="17" s="1"/>
  <c r="U20" i="44" s="1"/>
  <c r="E143" i="17"/>
  <c r="G143" i="17" s="1"/>
  <c r="X20" i="44" s="1"/>
  <c r="E134" i="17"/>
  <c r="G134" i="17" s="1"/>
  <c r="E152" i="16"/>
  <c r="G152" i="16" s="1"/>
  <c r="E151" i="16"/>
  <c r="G151" i="16" s="1"/>
  <c r="Z19" i="44" s="1"/>
  <c r="E150" i="16"/>
  <c r="G150" i="16" s="1"/>
  <c r="E149" i="16"/>
  <c r="E148" i="16"/>
  <c r="G148" i="16" s="1"/>
  <c r="W19" i="44" s="1"/>
  <c r="E147" i="16"/>
  <c r="G147" i="16" s="1"/>
  <c r="V19" i="44" s="1"/>
  <c r="E146" i="16"/>
  <c r="G146" i="16" s="1"/>
  <c r="T19" i="44" s="1"/>
  <c r="E145" i="16"/>
  <c r="G145" i="16" s="1"/>
  <c r="S19" i="44" s="1"/>
  <c r="E144" i="16"/>
  <c r="G144" i="16" s="1"/>
  <c r="U19" i="44" s="1"/>
  <c r="E143" i="16"/>
  <c r="G143" i="16" s="1"/>
  <c r="X19" i="44" s="1"/>
  <c r="G149" i="16"/>
  <c r="G134" i="16"/>
  <c r="E152" i="15"/>
  <c r="G152" i="15" s="1"/>
  <c r="E151" i="15"/>
  <c r="G151" i="15" s="1"/>
  <c r="Z18" i="44" s="1"/>
  <c r="E150" i="15"/>
  <c r="G150" i="15" s="1"/>
  <c r="E149" i="15"/>
  <c r="E148" i="15"/>
  <c r="G148" i="15" s="1"/>
  <c r="W18" i="44" s="1"/>
  <c r="E147" i="15"/>
  <c r="G147" i="15" s="1"/>
  <c r="V18" i="44" s="1"/>
  <c r="E146" i="15"/>
  <c r="G146" i="15" s="1"/>
  <c r="T18" i="44" s="1"/>
  <c r="E145" i="15"/>
  <c r="G145" i="15" s="1"/>
  <c r="S18" i="44" s="1"/>
  <c r="E144" i="15"/>
  <c r="G144" i="15" s="1"/>
  <c r="U18" i="44" s="1"/>
  <c r="E143" i="15"/>
  <c r="G143" i="15" s="1"/>
  <c r="X18" i="44" s="1"/>
  <c r="G149" i="15"/>
  <c r="E134" i="15"/>
  <c r="G134" i="15" s="1"/>
  <c r="E152" i="14"/>
  <c r="G152" i="14" s="1"/>
  <c r="E151" i="14"/>
  <c r="G151" i="14" s="1"/>
  <c r="Z17" i="44" s="1"/>
  <c r="E150" i="14"/>
  <c r="E149" i="14"/>
  <c r="E148" i="14"/>
  <c r="G148" i="14" s="1"/>
  <c r="W17" i="44" s="1"/>
  <c r="E147" i="14"/>
  <c r="G147" i="14" s="1"/>
  <c r="V17" i="44" s="1"/>
  <c r="E146" i="14"/>
  <c r="G146" i="14" s="1"/>
  <c r="T17" i="44" s="1"/>
  <c r="E145" i="14"/>
  <c r="G145" i="14" s="1"/>
  <c r="S17" i="44" s="1"/>
  <c r="E144" i="14"/>
  <c r="G144" i="14" s="1"/>
  <c r="U17" i="44" s="1"/>
  <c r="E143" i="14"/>
  <c r="G143" i="14" s="1"/>
  <c r="X17" i="44" s="1"/>
  <c r="G150" i="14"/>
  <c r="G149" i="14"/>
  <c r="G134" i="14"/>
  <c r="E152" i="13"/>
  <c r="G152" i="13" s="1"/>
  <c r="E151" i="13"/>
  <c r="G151" i="13" s="1"/>
  <c r="Z16" i="44" s="1"/>
  <c r="E150" i="13"/>
  <c r="G150" i="13" s="1"/>
  <c r="E149" i="13"/>
  <c r="G149" i="13" s="1"/>
  <c r="E148" i="13"/>
  <c r="G148" i="13" s="1"/>
  <c r="W16" i="44" s="1"/>
  <c r="E147" i="13"/>
  <c r="G147" i="13" s="1"/>
  <c r="V16" i="44" s="1"/>
  <c r="E146" i="13"/>
  <c r="G146" i="13" s="1"/>
  <c r="T16" i="44" s="1"/>
  <c r="E145" i="13"/>
  <c r="G145" i="13" s="1"/>
  <c r="S16" i="44" s="1"/>
  <c r="E144" i="13"/>
  <c r="G144" i="13" s="1"/>
  <c r="U16" i="44" s="1"/>
  <c r="E143" i="13"/>
  <c r="G143" i="13" s="1"/>
  <c r="X16" i="44" s="1"/>
  <c r="E134" i="13"/>
  <c r="G134" i="13" s="1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E145" i="12"/>
  <c r="G145" i="12" s="1"/>
  <c r="S15" i="44" s="1"/>
  <c r="E144" i="12"/>
  <c r="G144" i="12" s="1"/>
  <c r="U15" i="44" s="1"/>
  <c r="E143" i="12"/>
  <c r="G143" i="12" s="1"/>
  <c r="X15" i="44" s="1"/>
  <c r="E134" i="12"/>
  <c r="G134" i="12" s="1"/>
  <c r="E152" i="11"/>
  <c r="G152" i="11" s="1"/>
  <c r="E151" i="11"/>
  <c r="G151" i="11" s="1"/>
  <c r="Z14" i="44" s="1"/>
  <c r="E150" i="11"/>
  <c r="E149" i="11"/>
  <c r="E148" i="11"/>
  <c r="G148" i="11" s="1"/>
  <c r="W14" i="44" s="1"/>
  <c r="E147" i="11"/>
  <c r="G147" i="11" s="1"/>
  <c r="V14" i="44" s="1"/>
  <c r="E146" i="11"/>
  <c r="G146" i="11" s="1"/>
  <c r="T14" i="44" s="1"/>
  <c r="E145" i="11"/>
  <c r="G145" i="11" s="1"/>
  <c r="S14" i="44" s="1"/>
  <c r="E144" i="11"/>
  <c r="G144" i="11" s="1"/>
  <c r="U14" i="44" s="1"/>
  <c r="E143" i="11"/>
  <c r="G143" i="11" s="1"/>
  <c r="X14" i="44" s="1"/>
  <c r="G150" i="11"/>
  <c r="G149" i="11"/>
  <c r="E134" i="11"/>
  <c r="G134" i="11" s="1"/>
  <c r="E152" i="10"/>
  <c r="G152" i="10" s="1"/>
  <c r="E151" i="10"/>
  <c r="G151" i="10" s="1"/>
  <c r="Z13" i="44" s="1"/>
  <c r="E150" i="10"/>
  <c r="G150" i="10" s="1"/>
  <c r="E149" i="10"/>
  <c r="E148" i="10"/>
  <c r="G148" i="10" s="1"/>
  <c r="W13" i="44" s="1"/>
  <c r="E147" i="10"/>
  <c r="G147" i="10" s="1"/>
  <c r="V13" i="44" s="1"/>
  <c r="E146" i="10"/>
  <c r="G146" i="10" s="1"/>
  <c r="T13" i="44" s="1"/>
  <c r="E145" i="10"/>
  <c r="G145" i="10" s="1"/>
  <c r="S13" i="44" s="1"/>
  <c r="E144" i="10"/>
  <c r="G144" i="10" s="1"/>
  <c r="U13" i="44" s="1"/>
  <c r="E143" i="10"/>
  <c r="G143" i="10" s="1"/>
  <c r="X13" i="44" s="1"/>
  <c r="G149" i="10"/>
  <c r="E134" i="10"/>
  <c r="G134" i="10" s="1"/>
  <c r="E152" i="9"/>
  <c r="G152" i="9" s="1"/>
  <c r="E151" i="9"/>
  <c r="G151" i="9" s="1"/>
  <c r="Z12" i="44" s="1"/>
  <c r="E150" i="9"/>
  <c r="G150" i="9" s="1"/>
  <c r="E149" i="9"/>
  <c r="G149" i="9" s="1"/>
  <c r="E148" i="9"/>
  <c r="G148" i="9" s="1"/>
  <c r="W12" i="44" s="1"/>
  <c r="E147" i="9"/>
  <c r="G147" i="9" s="1"/>
  <c r="V12" i="44" s="1"/>
  <c r="E146" i="9"/>
  <c r="G146" i="9" s="1"/>
  <c r="T12" i="44" s="1"/>
  <c r="E145" i="9"/>
  <c r="G145" i="9" s="1"/>
  <c r="S12" i="44" s="1"/>
  <c r="E144" i="9"/>
  <c r="G144" i="9" s="1"/>
  <c r="U12" i="44" s="1"/>
  <c r="E143" i="9"/>
  <c r="G143" i="9" s="1"/>
  <c r="X12" i="44" s="1"/>
  <c r="E134" i="9"/>
  <c r="G134" i="9" s="1"/>
  <c r="E152" i="8"/>
  <c r="G152" i="8" s="1"/>
  <c r="E151" i="8"/>
  <c r="G151" i="8" s="1"/>
  <c r="Z11" i="44" s="1"/>
  <c r="E150" i="8"/>
  <c r="G150" i="8" s="1"/>
  <c r="E149" i="8"/>
  <c r="G149" i="8" s="1"/>
  <c r="E148" i="8"/>
  <c r="G148" i="8" s="1"/>
  <c r="W11" i="44" s="1"/>
  <c r="E147" i="8"/>
  <c r="G147" i="8" s="1"/>
  <c r="V11" i="44" s="1"/>
  <c r="E146" i="8"/>
  <c r="G146" i="8" s="1"/>
  <c r="T11" i="44" s="1"/>
  <c r="E145" i="8"/>
  <c r="G145" i="8" s="1"/>
  <c r="S11" i="44" s="1"/>
  <c r="E144" i="8"/>
  <c r="G144" i="8" s="1"/>
  <c r="U11" i="44" s="1"/>
  <c r="E143" i="8"/>
  <c r="G143" i="8" s="1"/>
  <c r="X11" i="44" s="1"/>
  <c r="E152" i="7"/>
  <c r="G152" i="7" s="1"/>
  <c r="E151" i="7"/>
  <c r="G151" i="7" s="1"/>
  <c r="Z10" i="44" s="1"/>
  <c r="E150" i="7"/>
  <c r="E149" i="7"/>
  <c r="G149" i="7" s="1"/>
  <c r="E148" i="7"/>
  <c r="G148" i="7" s="1"/>
  <c r="W10" i="44" s="1"/>
  <c r="E147" i="7"/>
  <c r="G147" i="7" s="1"/>
  <c r="V10" i="44" s="1"/>
  <c r="E146" i="7"/>
  <c r="G146" i="7" s="1"/>
  <c r="T10" i="44" s="1"/>
  <c r="E145" i="7"/>
  <c r="G145" i="7" s="1"/>
  <c r="S10" i="44" s="1"/>
  <c r="E144" i="7"/>
  <c r="G144" i="7" s="1"/>
  <c r="U10" i="44" s="1"/>
  <c r="E143" i="7"/>
  <c r="G143" i="7" s="1"/>
  <c r="X10" i="44" s="1"/>
  <c r="G150" i="7"/>
  <c r="E134" i="8"/>
  <c r="G134" i="8" s="1"/>
  <c r="E134" i="7"/>
  <c r="G134" i="7" s="1"/>
  <c r="E152" i="33"/>
  <c r="G152" i="33" s="1"/>
  <c r="E151" i="33"/>
  <c r="G151" i="33" s="1"/>
  <c r="Z9" i="44" s="1"/>
  <c r="E150" i="33"/>
  <c r="G150" i="33" s="1"/>
  <c r="E149" i="33"/>
  <c r="G149" i="33" s="1"/>
  <c r="E148" i="33"/>
  <c r="G148" i="33" s="1"/>
  <c r="W9" i="44" s="1"/>
  <c r="E147" i="33"/>
  <c r="G147" i="33" s="1"/>
  <c r="V9" i="44" s="1"/>
  <c r="E146" i="33"/>
  <c r="G146" i="33" s="1"/>
  <c r="T9" i="44" s="1"/>
  <c r="E145" i="33"/>
  <c r="G145" i="33" s="1"/>
  <c r="S9" i="44" s="1"/>
  <c r="E144" i="33"/>
  <c r="G144" i="33" s="1"/>
  <c r="U9" i="44" s="1"/>
  <c r="E143" i="33"/>
  <c r="G143" i="33" s="1"/>
  <c r="X9" i="44" s="1"/>
  <c r="E134" i="33"/>
  <c r="G134" i="33" s="1"/>
  <c r="G165" i="2"/>
  <c r="H165" i="2" s="1"/>
  <c r="H165" i="3" s="1"/>
  <c r="H165" i="4" s="1"/>
  <c r="G164" i="2"/>
  <c r="G163" i="2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E147" i="5"/>
  <c r="G147" i="5" s="1"/>
  <c r="V8" i="44" s="1"/>
  <c r="E146" i="5"/>
  <c r="G146" i="5" s="1"/>
  <c r="T8" i="44" s="1"/>
  <c r="E145" i="5"/>
  <c r="G145" i="5" s="1"/>
  <c r="S8" i="44" s="1"/>
  <c r="E144" i="5"/>
  <c r="G144" i="5" s="1"/>
  <c r="U8" i="44" s="1"/>
  <c r="E143" i="5"/>
  <c r="G143" i="5" s="1"/>
  <c r="X8" i="44" s="1"/>
  <c r="E134" i="5"/>
  <c r="G134" i="5" s="1"/>
  <c r="G134" i="4"/>
  <c r="E152" i="4"/>
  <c r="G152" i="4" s="1"/>
  <c r="E151" i="4"/>
  <c r="G151" i="4" s="1"/>
  <c r="Z7" i="44" s="1"/>
  <c r="E148" i="4"/>
  <c r="G148" i="4" s="1"/>
  <c r="W7" i="44" s="1"/>
  <c r="E147" i="4"/>
  <c r="G147" i="4" s="1"/>
  <c r="V7" i="44" s="1"/>
  <c r="E146" i="4"/>
  <c r="G146" i="4" s="1"/>
  <c r="T7" i="44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E151" i="3"/>
  <c r="G151" i="3" s="1"/>
  <c r="Z6" i="44" s="1"/>
  <c r="E150" i="3"/>
  <c r="G150" i="3" s="1"/>
  <c r="E149" i="3"/>
  <c r="G149" i="3" s="1"/>
  <c r="E148" i="3"/>
  <c r="G148" i="3" s="1"/>
  <c r="W6" i="44" s="1"/>
  <c r="E147" i="3"/>
  <c r="G147" i="3" s="1"/>
  <c r="V6" i="44" s="1"/>
  <c r="E146" i="3"/>
  <c r="G146" i="3" s="1"/>
  <c r="T6" i="44" s="1"/>
  <c r="E145" i="3"/>
  <c r="G145" i="3" s="1"/>
  <c r="S6" i="44" s="1"/>
  <c r="E144" i="3"/>
  <c r="G144" i="3" s="1"/>
  <c r="U6" i="44" s="1"/>
  <c r="E143" i="3"/>
  <c r="G143" i="3" s="1"/>
  <c r="X6" i="44" s="1"/>
  <c r="E142" i="3"/>
  <c r="E141" i="3"/>
  <c r="G152" i="3"/>
  <c r="E134" i="3"/>
  <c r="G134" i="3" s="1"/>
  <c r="J169" i="2"/>
  <c r="G152" i="2"/>
  <c r="H152" i="2" s="1"/>
  <c r="J152" i="2" s="1"/>
  <c r="G151" i="2"/>
  <c r="G134" i="2"/>
  <c r="H134" i="2" s="1"/>
  <c r="J134" i="2" s="1"/>
  <c r="E186" i="31"/>
  <c r="E185" i="31"/>
  <c r="E184" i="31"/>
  <c r="E182" i="31"/>
  <c r="E181" i="31"/>
  <c r="E180" i="31"/>
  <c r="E177" i="31"/>
  <c r="E176" i="31"/>
  <c r="E175" i="31"/>
  <c r="E172" i="31"/>
  <c r="E171" i="31"/>
  <c r="E170" i="31"/>
  <c r="E165" i="31"/>
  <c r="E164" i="31"/>
  <c r="E163" i="31"/>
  <c r="E162" i="31"/>
  <c r="E161" i="31"/>
  <c r="E160" i="31"/>
  <c r="E159" i="31"/>
  <c r="E158" i="31"/>
  <c r="E142" i="31"/>
  <c r="E141" i="31"/>
  <c r="E140" i="31"/>
  <c r="E139" i="31"/>
  <c r="E138" i="31"/>
  <c r="E133" i="31"/>
  <c r="E132" i="31"/>
  <c r="E131" i="31"/>
  <c r="E130" i="31"/>
  <c r="E129" i="31"/>
  <c r="E128" i="31"/>
  <c r="E124" i="31"/>
  <c r="E123" i="31"/>
  <c r="E122" i="31"/>
  <c r="E121" i="31"/>
  <c r="E120" i="31"/>
  <c r="E119" i="31"/>
  <c r="E118" i="31"/>
  <c r="E117" i="31"/>
  <c r="E116" i="31"/>
  <c r="E115" i="31"/>
  <c r="E114" i="31"/>
  <c r="E113" i="31"/>
  <c r="E112" i="31"/>
  <c r="E92" i="31"/>
  <c r="E91" i="31"/>
  <c r="E90" i="31"/>
  <c r="E89" i="31"/>
  <c r="E88" i="31"/>
  <c r="E87" i="31"/>
  <c r="E86" i="31"/>
  <c r="E85" i="31"/>
  <c r="E84" i="31"/>
  <c r="E83" i="31"/>
  <c r="E82" i="31"/>
  <c r="E79" i="31"/>
  <c r="E78" i="31"/>
  <c r="E77" i="31"/>
  <c r="E76" i="31"/>
  <c r="E75" i="31"/>
  <c r="E74" i="31"/>
  <c r="E71" i="31"/>
  <c r="E70" i="31"/>
  <c r="E69" i="31"/>
  <c r="E68" i="31"/>
  <c r="E67" i="31"/>
  <c r="E66" i="31"/>
  <c r="E65" i="31"/>
  <c r="E64" i="31"/>
  <c r="E63" i="31"/>
  <c r="E62" i="31"/>
  <c r="E58" i="31"/>
  <c r="E57" i="31"/>
  <c r="E56" i="31"/>
  <c r="E55" i="31"/>
  <c r="E54" i="31"/>
  <c r="E53" i="31"/>
  <c r="E52" i="31"/>
  <c r="E51" i="31"/>
  <c r="E50" i="31"/>
  <c r="E49" i="31"/>
  <c r="E46" i="31"/>
  <c r="E45" i="31"/>
  <c r="E44" i="31"/>
  <c r="E43" i="31"/>
  <c r="E42" i="31"/>
  <c r="E41" i="31"/>
  <c r="E40" i="31"/>
  <c r="E39" i="31"/>
  <c r="E38" i="31"/>
  <c r="E37" i="31"/>
  <c r="E36" i="31"/>
  <c r="E35" i="31"/>
  <c r="E24" i="31"/>
  <c r="E23" i="31"/>
  <c r="E22" i="31"/>
  <c r="E18" i="31"/>
  <c r="E12" i="31"/>
  <c r="E11" i="31"/>
  <c r="E10" i="31"/>
  <c r="E182" i="43"/>
  <c r="E181" i="43"/>
  <c r="E180" i="43"/>
  <c r="E177" i="43"/>
  <c r="E176" i="43"/>
  <c r="E175" i="43"/>
  <c r="E172" i="43"/>
  <c r="E171" i="43"/>
  <c r="E170" i="43"/>
  <c r="E165" i="43"/>
  <c r="E164" i="43"/>
  <c r="E163" i="43"/>
  <c r="E162" i="43"/>
  <c r="E161" i="43"/>
  <c r="E160" i="43"/>
  <c r="E159" i="43"/>
  <c r="E158" i="43"/>
  <c r="E142" i="43"/>
  <c r="E141" i="43"/>
  <c r="E140" i="43"/>
  <c r="E139" i="43"/>
  <c r="E138" i="43"/>
  <c r="E133" i="43"/>
  <c r="E132" i="43"/>
  <c r="E131" i="43"/>
  <c r="E130" i="43"/>
  <c r="E129" i="43"/>
  <c r="E128" i="43"/>
  <c r="E124" i="43"/>
  <c r="E123" i="43"/>
  <c r="E122" i="43"/>
  <c r="E121" i="43"/>
  <c r="E120" i="43"/>
  <c r="E119" i="43"/>
  <c r="E118" i="43"/>
  <c r="E117" i="43"/>
  <c r="E116" i="43"/>
  <c r="E115" i="43"/>
  <c r="E114" i="43"/>
  <c r="E113" i="43"/>
  <c r="E112" i="43"/>
  <c r="E92" i="43"/>
  <c r="E91" i="43"/>
  <c r="E90" i="43"/>
  <c r="E89" i="43"/>
  <c r="E88" i="43"/>
  <c r="E87" i="43"/>
  <c r="E86" i="43"/>
  <c r="E85" i="43"/>
  <c r="E84" i="43"/>
  <c r="E83" i="43"/>
  <c r="E82" i="43"/>
  <c r="E79" i="43"/>
  <c r="E78" i="43"/>
  <c r="E77" i="43"/>
  <c r="E76" i="43"/>
  <c r="E75" i="43"/>
  <c r="E74" i="43"/>
  <c r="E70" i="43"/>
  <c r="E69" i="43"/>
  <c r="E68" i="43"/>
  <c r="E67" i="43"/>
  <c r="E66" i="43"/>
  <c r="E65" i="43"/>
  <c r="E64" i="43"/>
  <c r="E63" i="43"/>
  <c r="E62" i="43"/>
  <c r="E58" i="43"/>
  <c r="E57" i="43"/>
  <c r="E56" i="43"/>
  <c r="E55" i="43"/>
  <c r="E54" i="43"/>
  <c r="E53" i="43"/>
  <c r="E52" i="43"/>
  <c r="E51" i="43"/>
  <c r="E50" i="43"/>
  <c r="E49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24" i="43"/>
  <c r="E23" i="43"/>
  <c r="E22" i="43"/>
  <c r="E18" i="43"/>
  <c r="E12" i="43"/>
  <c r="E11" i="43"/>
  <c r="E10" i="43"/>
  <c r="E186" i="30"/>
  <c r="E185" i="30"/>
  <c r="E184" i="30"/>
  <c r="E182" i="30"/>
  <c r="E181" i="30"/>
  <c r="E180" i="30"/>
  <c r="E177" i="30"/>
  <c r="E176" i="30"/>
  <c r="E175" i="30"/>
  <c r="E172" i="30"/>
  <c r="E171" i="30"/>
  <c r="E170" i="30"/>
  <c r="E165" i="30"/>
  <c r="E164" i="30"/>
  <c r="E163" i="30"/>
  <c r="E162" i="30"/>
  <c r="E161" i="30"/>
  <c r="E160" i="30"/>
  <c r="E159" i="30"/>
  <c r="E158" i="30"/>
  <c r="E142" i="30"/>
  <c r="E141" i="30"/>
  <c r="E140" i="30"/>
  <c r="E139" i="30"/>
  <c r="E138" i="30"/>
  <c r="E133" i="30"/>
  <c r="E132" i="30"/>
  <c r="E131" i="30"/>
  <c r="E130" i="30"/>
  <c r="E129" i="30"/>
  <c r="E128" i="30"/>
  <c r="E124" i="30"/>
  <c r="E123" i="30"/>
  <c r="E122" i="30"/>
  <c r="E121" i="30"/>
  <c r="E120" i="30"/>
  <c r="E119" i="30"/>
  <c r="E118" i="30"/>
  <c r="E117" i="30"/>
  <c r="E116" i="30"/>
  <c r="E115" i="30"/>
  <c r="E114" i="30"/>
  <c r="E113" i="30"/>
  <c r="E112" i="30"/>
  <c r="E92" i="30"/>
  <c r="E91" i="30"/>
  <c r="E90" i="30"/>
  <c r="E89" i="30"/>
  <c r="E88" i="30"/>
  <c r="E87" i="30"/>
  <c r="E86" i="30"/>
  <c r="E85" i="30"/>
  <c r="E84" i="30"/>
  <c r="E83" i="30"/>
  <c r="E82" i="30"/>
  <c r="E79" i="30"/>
  <c r="E78" i="30"/>
  <c r="E77" i="30"/>
  <c r="E76" i="30"/>
  <c r="E75" i="30"/>
  <c r="E74" i="30"/>
  <c r="E71" i="30"/>
  <c r="E70" i="30"/>
  <c r="E69" i="30"/>
  <c r="E68" i="30"/>
  <c r="E67" i="30"/>
  <c r="E66" i="30"/>
  <c r="E65" i="30"/>
  <c r="E64" i="30"/>
  <c r="E63" i="30"/>
  <c r="E62" i="30"/>
  <c r="E58" i="30"/>
  <c r="E57" i="30"/>
  <c r="E56" i="30"/>
  <c r="E55" i="30"/>
  <c r="E54" i="30"/>
  <c r="E53" i="30"/>
  <c r="E52" i="30"/>
  <c r="E51" i="30"/>
  <c r="E50" i="30"/>
  <c r="E49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24" i="30"/>
  <c r="E23" i="30"/>
  <c r="E22" i="30"/>
  <c r="E18" i="30"/>
  <c r="E12" i="30"/>
  <c r="E11" i="30"/>
  <c r="E10" i="30"/>
  <c r="H26" i="29"/>
  <c r="E186" i="29"/>
  <c r="E185" i="29"/>
  <c r="E184" i="29"/>
  <c r="E182" i="29"/>
  <c r="E181" i="29"/>
  <c r="E180" i="29"/>
  <c r="E177" i="29"/>
  <c r="E176" i="29"/>
  <c r="E175" i="29"/>
  <c r="E172" i="29"/>
  <c r="E171" i="29"/>
  <c r="E170" i="29"/>
  <c r="E165" i="29"/>
  <c r="E164" i="29"/>
  <c r="E163" i="29"/>
  <c r="E162" i="29"/>
  <c r="E161" i="29"/>
  <c r="E160" i="29"/>
  <c r="E159" i="29"/>
  <c r="E158" i="29"/>
  <c r="E142" i="29"/>
  <c r="E141" i="29"/>
  <c r="E140" i="29"/>
  <c r="E139" i="29"/>
  <c r="E138" i="29"/>
  <c r="E133" i="29"/>
  <c r="E132" i="29"/>
  <c r="E131" i="29"/>
  <c r="E130" i="29"/>
  <c r="E129" i="29"/>
  <c r="E128" i="29"/>
  <c r="E124" i="29"/>
  <c r="E123" i="29"/>
  <c r="E122" i="29"/>
  <c r="E121" i="29"/>
  <c r="E120" i="29"/>
  <c r="E119" i="29"/>
  <c r="E118" i="29"/>
  <c r="E117" i="29"/>
  <c r="E116" i="29"/>
  <c r="E115" i="29"/>
  <c r="E114" i="29"/>
  <c r="E113" i="29"/>
  <c r="E112" i="29"/>
  <c r="E92" i="29"/>
  <c r="E91" i="29"/>
  <c r="E90" i="29"/>
  <c r="E89" i="29"/>
  <c r="E88" i="29"/>
  <c r="E87" i="29"/>
  <c r="E86" i="29"/>
  <c r="E85" i="29"/>
  <c r="E84" i="29"/>
  <c r="E83" i="29"/>
  <c r="E82" i="29"/>
  <c r="E79" i="29"/>
  <c r="E78" i="29"/>
  <c r="E77" i="29"/>
  <c r="E76" i="29"/>
  <c r="E75" i="29"/>
  <c r="E74" i="29"/>
  <c r="E70" i="29"/>
  <c r="E69" i="29"/>
  <c r="E68" i="29"/>
  <c r="E67" i="29"/>
  <c r="E66" i="29"/>
  <c r="E65" i="29"/>
  <c r="E64" i="29"/>
  <c r="E63" i="29"/>
  <c r="E62" i="29"/>
  <c r="E58" i="29"/>
  <c r="E57" i="29"/>
  <c r="E56" i="29"/>
  <c r="E55" i="29"/>
  <c r="E54" i="29"/>
  <c r="E53" i="29"/>
  <c r="E52" i="29"/>
  <c r="E51" i="29"/>
  <c r="E50" i="29"/>
  <c r="E49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24" i="29"/>
  <c r="E23" i="29"/>
  <c r="E22" i="29"/>
  <c r="E18" i="29"/>
  <c r="E12" i="29"/>
  <c r="E11" i="29"/>
  <c r="E10" i="29"/>
  <c r="H124" i="28"/>
  <c r="H124" i="29" s="1"/>
  <c r="H124" i="30" s="1"/>
  <c r="H124" i="43" s="1"/>
  <c r="H124" i="31" s="1"/>
  <c r="E186" i="28"/>
  <c r="E185" i="28"/>
  <c r="E184" i="28"/>
  <c r="E182" i="28"/>
  <c r="E181" i="28"/>
  <c r="E180" i="28"/>
  <c r="E177" i="28"/>
  <c r="E176" i="28"/>
  <c r="E175" i="28"/>
  <c r="E172" i="28"/>
  <c r="E171" i="28"/>
  <c r="E170" i="28"/>
  <c r="E165" i="28"/>
  <c r="E164" i="28"/>
  <c r="E163" i="28"/>
  <c r="E162" i="28"/>
  <c r="E161" i="28"/>
  <c r="E160" i="28"/>
  <c r="E159" i="28"/>
  <c r="E158" i="28"/>
  <c r="E142" i="28"/>
  <c r="E141" i="28"/>
  <c r="E140" i="28"/>
  <c r="E139" i="28"/>
  <c r="E138" i="28"/>
  <c r="E133" i="28"/>
  <c r="E132" i="28"/>
  <c r="E131" i="28"/>
  <c r="E130" i="28"/>
  <c r="E129" i="28"/>
  <c r="E128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92" i="28"/>
  <c r="E91" i="28"/>
  <c r="E90" i="28"/>
  <c r="E89" i="28"/>
  <c r="E88" i="28"/>
  <c r="E87" i="28"/>
  <c r="E86" i="28"/>
  <c r="E85" i="28"/>
  <c r="E84" i="28"/>
  <c r="E83" i="28"/>
  <c r="E82" i="28"/>
  <c r="E79" i="28"/>
  <c r="E78" i="28"/>
  <c r="E77" i="28"/>
  <c r="E76" i="28"/>
  <c r="E75" i="28"/>
  <c r="E74" i="28"/>
  <c r="E70" i="28"/>
  <c r="E69" i="28"/>
  <c r="E68" i="28"/>
  <c r="E67" i="28"/>
  <c r="E66" i="28"/>
  <c r="E65" i="28"/>
  <c r="E64" i="28"/>
  <c r="E63" i="28"/>
  <c r="E62" i="28"/>
  <c r="E58" i="28"/>
  <c r="E57" i="28"/>
  <c r="E56" i="28"/>
  <c r="E55" i="28"/>
  <c r="E54" i="28"/>
  <c r="E53" i="28"/>
  <c r="E52" i="28"/>
  <c r="E51" i="28"/>
  <c r="E50" i="28"/>
  <c r="E49" i="28"/>
  <c r="E46" i="28"/>
  <c r="E45" i="28"/>
  <c r="E44" i="28"/>
  <c r="E43" i="28"/>
  <c r="E42" i="28"/>
  <c r="E41" i="28"/>
  <c r="E40" i="28"/>
  <c r="E39" i="28"/>
  <c r="E38" i="28"/>
  <c r="E37" i="28"/>
  <c r="E36" i="28"/>
  <c r="E35" i="28"/>
  <c r="E24" i="28"/>
  <c r="E23" i="28"/>
  <c r="E22" i="28"/>
  <c r="E18" i="28"/>
  <c r="E12" i="28"/>
  <c r="E11" i="28"/>
  <c r="E10" i="28"/>
  <c r="E186" i="27"/>
  <c r="E185" i="27"/>
  <c r="E184" i="27"/>
  <c r="E182" i="27"/>
  <c r="E181" i="27"/>
  <c r="E180" i="27"/>
  <c r="E177" i="27"/>
  <c r="E176" i="27"/>
  <c r="E175" i="27"/>
  <c r="E172" i="27"/>
  <c r="E171" i="27"/>
  <c r="E170" i="27"/>
  <c r="E165" i="27"/>
  <c r="E164" i="27"/>
  <c r="E163" i="27"/>
  <c r="E162" i="27"/>
  <c r="E161" i="27"/>
  <c r="E160" i="27"/>
  <c r="E159" i="27"/>
  <c r="E158" i="27"/>
  <c r="E142" i="27"/>
  <c r="E141" i="27"/>
  <c r="E140" i="27"/>
  <c r="E139" i="27"/>
  <c r="E138" i="27"/>
  <c r="E133" i="27"/>
  <c r="E132" i="27"/>
  <c r="E131" i="27"/>
  <c r="E130" i="27"/>
  <c r="E129" i="27"/>
  <c r="E128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92" i="27"/>
  <c r="E91" i="27"/>
  <c r="E90" i="27"/>
  <c r="E89" i="27"/>
  <c r="E88" i="27"/>
  <c r="E87" i="27"/>
  <c r="E86" i="27"/>
  <c r="E85" i="27"/>
  <c r="E84" i="27"/>
  <c r="E83" i="27"/>
  <c r="E82" i="27"/>
  <c r="E79" i="27"/>
  <c r="E78" i="27"/>
  <c r="E77" i="27"/>
  <c r="E76" i="27"/>
  <c r="E75" i="27"/>
  <c r="E74" i="27"/>
  <c r="E70" i="27"/>
  <c r="E69" i="27"/>
  <c r="E68" i="27"/>
  <c r="E67" i="27"/>
  <c r="E66" i="27"/>
  <c r="E65" i="27"/>
  <c r="E64" i="27"/>
  <c r="E63" i="27"/>
  <c r="E62" i="27"/>
  <c r="E58" i="27"/>
  <c r="E57" i="27"/>
  <c r="E56" i="27"/>
  <c r="E55" i="27"/>
  <c r="E54" i="27"/>
  <c r="E53" i="27"/>
  <c r="E52" i="27"/>
  <c r="E51" i="27"/>
  <c r="E50" i="27"/>
  <c r="E49" i="27"/>
  <c r="E46" i="27"/>
  <c r="E45" i="27"/>
  <c r="E44" i="27"/>
  <c r="E43" i="27"/>
  <c r="E42" i="27"/>
  <c r="E41" i="27"/>
  <c r="E40" i="27"/>
  <c r="E39" i="27"/>
  <c r="E38" i="27"/>
  <c r="E37" i="27"/>
  <c r="E36" i="27"/>
  <c r="E35" i="27"/>
  <c r="E24" i="27"/>
  <c r="E23" i="27"/>
  <c r="E22" i="27"/>
  <c r="E18" i="27"/>
  <c r="E12" i="27"/>
  <c r="E11" i="27"/>
  <c r="E10" i="27"/>
  <c r="E186" i="40"/>
  <c r="E185" i="40"/>
  <c r="E184" i="40"/>
  <c r="E182" i="40"/>
  <c r="E181" i="40"/>
  <c r="E180" i="40"/>
  <c r="E177" i="40"/>
  <c r="E176" i="40"/>
  <c r="E175" i="40"/>
  <c r="E172" i="40"/>
  <c r="E171" i="40"/>
  <c r="E170" i="40"/>
  <c r="E165" i="40"/>
  <c r="E164" i="40"/>
  <c r="E163" i="40"/>
  <c r="E162" i="40"/>
  <c r="E161" i="40"/>
  <c r="E160" i="40"/>
  <c r="E159" i="40"/>
  <c r="E158" i="40"/>
  <c r="E142" i="40"/>
  <c r="E141" i="40"/>
  <c r="E140" i="40"/>
  <c r="E139" i="40"/>
  <c r="E138" i="40"/>
  <c r="E133" i="40"/>
  <c r="E132" i="40"/>
  <c r="E131" i="40"/>
  <c r="E130" i="40"/>
  <c r="E129" i="40"/>
  <c r="E128" i="40"/>
  <c r="E123" i="40"/>
  <c r="E122" i="40"/>
  <c r="E121" i="40"/>
  <c r="E120" i="40"/>
  <c r="E119" i="40"/>
  <c r="E118" i="40"/>
  <c r="E117" i="40"/>
  <c r="E116" i="40"/>
  <c r="E115" i="40"/>
  <c r="E114" i="40"/>
  <c r="E113" i="40"/>
  <c r="E112" i="40"/>
  <c r="E92" i="40"/>
  <c r="E91" i="40"/>
  <c r="E90" i="40"/>
  <c r="E89" i="40"/>
  <c r="E88" i="40"/>
  <c r="E87" i="40"/>
  <c r="E86" i="40"/>
  <c r="E85" i="40"/>
  <c r="E84" i="40"/>
  <c r="E83" i="40"/>
  <c r="E82" i="40"/>
  <c r="E79" i="40"/>
  <c r="E78" i="40"/>
  <c r="E77" i="40"/>
  <c r="E76" i="40"/>
  <c r="E75" i="40"/>
  <c r="E74" i="40"/>
  <c r="E70" i="40"/>
  <c r="E69" i="40"/>
  <c r="E68" i="40"/>
  <c r="E67" i="40"/>
  <c r="E66" i="40"/>
  <c r="E65" i="40"/>
  <c r="E64" i="40"/>
  <c r="E63" i="40"/>
  <c r="E62" i="40"/>
  <c r="E58" i="40"/>
  <c r="E57" i="40"/>
  <c r="E56" i="40"/>
  <c r="E55" i="40"/>
  <c r="E54" i="40"/>
  <c r="E53" i="40"/>
  <c r="E52" i="40"/>
  <c r="E51" i="40"/>
  <c r="E50" i="40"/>
  <c r="E49" i="40"/>
  <c r="E46" i="40"/>
  <c r="E45" i="40"/>
  <c r="E44" i="40"/>
  <c r="E43" i="40"/>
  <c r="E42" i="40"/>
  <c r="E41" i="40"/>
  <c r="E40" i="40"/>
  <c r="E39" i="40"/>
  <c r="E38" i="40"/>
  <c r="E37" i="40"/>
  <c r="E36" i="40"/>
  <c r="E35" i="40"/>
  <c r="E24" i="40"/>
  <c r="E23" i="40"/>
  <c r="E22" i="40"/>
  <c r="E18" i="40"/>
  <c r="E12" i="40"/>
  <c r="E11" i="40"/>
  <c r="E10" i="40"/>
  <c r="E186" i="25"/>
  <c r="E185" i="25"/>
  <c r="E184" i="25"/>
  <c r="E182" i="25"/>
  <c r="E181" i="25"/>
  <c r="E180" i="25"/>
  <c r="E177" i="25"/>
  <c r="E176" i="25"/>
  <c r="E175" i="25"/>
  <c r="E172" i="25"/>
  <c r="E171" i="25"/>
  <c r="E170" i="25"/>
  <c r="E165" i="25"/>
  <c r="E164" i="25"/>
  <c r="E163" i="25"/>
  <c r="E162" i="25"/>
  <c r="E161" i="25"/>
  <c r="E160" i="25"/>
  <c r="E159" i="25"/>
  <c r="E158" i="25"/>
  <c r="E142" i="25"/>
  <c r="E141" i="25"/>
  <c r="E140" i="25"/>
  <c r="E139" i="25"/>
  <c r="E138" i="25"/>
  <c r="E133" i="25"/>
  <c r="E132" i="25"/>
  <c r="E131" i="25"/>
  <c r="E130" i="25"/>
  <c r="E129" i="25"/>
  <c r="E128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92" i="25"/>
  <c r="E91" i="25"/>
  <c r="E90" i="25"/>
  <c r="E89" i="25"/>
  <c r="E88" i="25"/>
  <c r="E87" i="25"/>
  <c r="E86" i="25"/>
  <c r="E85" i="25"/>
  <c r="E84" i="25"/>
  <c r="E83" i="25"/>
  <c r="E82" i="25"/>
  <c r="E78" i="25"/>
  <c r="E77" i="25"/>
  <c r="E76" i="25"/>
  <c r="E75" i="25"/>
  <c r="E74" i="25"/>
  <c r="E70" i="25"/>
  <c r="E69" i="25"/>
  <c r="E68" i="25"/>
  <c r="E67" i="25"/>
  <c r="E66" i="25"/>
  <c r="E65" i="25"/>
  <c r="E64" i="25"/>
  <c r="E63" i="25"/>
  <c r="E62" i="25"/>
  <c r="E58" i="25"/>
  <c r="E57" i="25"/>
  <c r="E56" i="25"/>
  <c r="E55" i="25"/>
  <c r="E54" i="25"/>
  <c r="E53" i="25"/>
  <c r="E52" i="25"/>
  <c r="E51" i="25"/>
  <c r="E50" i="25"/>
  <c r="E49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4" i="25"/>
  <c r="E23" i="25"/>
  <c r="E22" i="25"/>
  <c r="E18" i="25"/>
  <c r="E12" i="25"/>
  <c r="E11" i="25"/>
  <c r="E10" i="25"/>
  <c r="E172" i="24"/>
  <c r="E182" i="24"/>
  <c r="E181" i="24"/>
  <c r="E180" i="24"/>
  <c r="E177" i="24"/>
  <c r="E176" i="24"/>
  <c r="E175" i="24"/>
  <c r="E171" i="24"/>
  <c r="E170" i="24"/>
  <c r="E165" i="24"/>
  <c r="E164" i="24"/>
  <c r="E163" i="24"/>
  <c r="E162" i="24"/>
  <c r="E161" i="24"/>
  <c r="E160" i="24"/>
  <c r="E159" i="24"/>
  <c r="E158" i="24"/>
  <c r="E140" i="24"/>
  <c r="E139" i="24"/>
  <c r="E138" i="24"/>
  <c r="E133" i="24"/>
  <c r="E132" i="24"/>
  <c r="E131" i="24"/>
  <c r="E130" i="24"/>
  <c r="E129" i="24"/>
  <c r="E128" i="24"/>
  <c r="E124" i="24"/>
  <c r="E123" i="24"/>
  <c r="E122" i="24"/>
  <c r="E121" i="24"/>
  <c r="E120" i="24"/>
  <c r="E119" i="24"/>
  <c r="E118" i="24"/>
  <c r="E117" i="24"/>
  <c r="E116" i="24"/>
  <c r="E115" i="24"/>
  <c r="E114" i="24"/>
  <c r="E113" i="24"/>
  <c r="E112" i="24"/>
  <c r="E92" i="24"/>
  <c r="E91" i="24"/>
  <c r="E90" i="24"/>
  <c r="E89" i="24"/>
  <c r="E88" i="24"/>
  <c r="E87" i="24"/>
  <c r="E86" i="24"/>
  <c r="E85" i="24"/>
  <c r="E84" i="24"/>
  <c r="E83" i="24"/>
  <c r="E82" i="24"/>
  <c r="E79" i="24"/>
  <c r="E78" i="24"/>
  <c r="E77" i="24"/>
  <c r="E76" i="24"/>
  <c r="E75" i="24"/>
  <c r="E74" i="24"/>
  <c r="E70" i="24"/>
  <c r="E69" i="24"/>
  <c r="E68" i="24"/>
  <c r="E67" i="24"/>
  <c r="E66" i="24"/>
  <c r="E65" i="24"/>
  <c r="E64" i="24"/>
  <c r="E63" i="24"/>
  <c r="E62" i="24"/>
  <c r="E58" i="24"/>
  <c r="E57" i="24"/>
  <c r="E56" i="24"/>
  <c r="E55" i="24"/>
  <c r="E54" i="24"/>
  <c r="E53" i="24"/>
  <c r="E52" i="24"/>
  <c r="E51" i="24"/>
  <c r="E50" i="24"/>
  <c r="E49" i="24"/>
  <c r="E46" i="24"/>
  <c r="E45" i="24"/>
  <c r="E44" i="24"/>
  <c r="E43" i="24"/>
  <c r="E42" i="24"/>
  <c r="E41" i="24"/>
  <c r="E40" i="24"/>
  <c r="E39" i="24"/>
  <c r="E38" i="24"/>
  <c r="E37" i="24"/>
  <c r="E36" i="24"/>
  <c r="E35" i="24"/>
  <c r="E24" i="24"/>
  <c r="E23" i="24"/>
  <c r="E22" i="24"/>
  <c r="E18" i="24"/>
  <c r="E12" i="24"/>
  <c r="E11" i="24"/>
  <c r="E10" i="24"/>
  <c r="E182" i="23"/>
  <c r="E181" i="23"/>
  <c r="E180" i="23"/>
  <c r="E177" i="23"/>
  <c r="E176" i="23"/>
  <c r="E175" i="23"/>
  <c r="E172" i="23"/>
  <c r="E171" i="23"/>
  <c r="E170" i="23"/>
  <c r="E165" i="23"/>
  <c r="E164" i="23"/>
  <c r="E163" i="23"/>
  <c r="E162" i="23"/>
  <c r="E161" i="23"/>
  <c r="E160" i="23"/>
  <c r="E159" i="23"/>
  <c r="E158" i="23"/>
  <c r="E142" i="23"/>
  <c r="E141" i="23"/>
  <c r="E140" i="23"/>
  <c r="E139" i="23"/>
  <c r="E138" i="23"/>
  <c r="E133" i="23"/>
  <c r="E132" i="23"/>
  <c r="E131" i="23"/>
  <c r="E130" i="23"/>
  <c r="E129" i="23"/>
  <c r="E128" i="23"/>
  <c r="E124" i="23"/>
  <c r="E123" i="23"/>
  <c r="E122" i="23"/>
  <c r="E121" i="23"/>
  <c r="E120" i="23"/>
  <c r="E119" i="23"/>
  <c r="E118" i="23"/>
  <c r="E117" i="23"/>
  <c r="E116" i="23"/>
  <c r="E115" i="23"/>
  <c r="E114" i="23"/>
  <c r="E113" i="23"/>
  <c r="E112" i="23"/>
  <c r="E92" i="23"/>
  <c r="E91" i="23"/>
  <c r="E90" i="23"/>
  <c r="E89" i="23"/>
  <c r="E88" i="23"/>
  <c r="E87" i="23"/>
  <c r="E86" i="23"/>
  <c r="E85" i="23"/>
  <c r="E84" i="23"/>
  <c r="E83" i="23"/>
  <c r="E82" i="23"/>
  <c r="E79" i="23"/>
  <c r="E78" i="23"/>
  <c r="E77" i="23"/>
  <c r="E76" i="23"/>
  <c r="E75" i="23"/>
  <c r="E74" i="23"/>
  <c r="E70" i="23"/>
  <c r="E69" i="23"/>
  <c r="E68" i="23"/>
  <c r="E67" i="23"/>
  <c r="E66" i="23"/>
  <c r="E65" i="23"/>
  <c r="E64" i="23"/>
  <c r="E63" i="23"/>
  <c r="E62" i="23"/>
  <c r="E58" i="23"/>
  <c r="E57" i="23"/>
  <c r="E56" i="23"/>
  <c r="E55" i="23"/>
  <c r="E54" i="23"/>
  <c r="E53" i="23"/>
  <c r="E52" i="23"/>
  <c r="E51" i="23"/>
  <c r="E50" i="23"/>
  <c r="E49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24" i="23"/>
  <c r="E23" i="23"/>
  <c r="E22" i="23"/>
  <c r="E18" i="23"/>
  <c r="E12" i="23"/>
  <c r="E11" i="23"/>
  <c r="E10" i="23"/>
  <c r="E182" i="22"/>
  <c r="E181" i="22"/>
  <c r="E180" i="22"/>
  <c r="E177" i="22"/>
  <c r="E176" i="22"/>
  <c r="E175" i="22"/>
  <c r="E172" i="22"/>
  <c r="E171" i="22"/>
  <c r="E170" i="22"/>
  <c r="E165" i="22"/>
  <c r="E164" i="22"/>
  <c r="E163" i="22"/>
  <c r="E162" i="22"/>
  <c r="E161" i="22"/>
  <c r="E160" i="22"/>
  <c r="E159" i="22"/>
  <c r="E158" i="22"/>
  <c r="E142" i="22"/>
  <c r="E141" i="22"/>
  <c r="E140" i="22"/>
  <c r="E139" i="22"/>
  <c r="E138" i="22"/>
  <c r="E133" i="22"/>
  <c r="E132" i="22"/>
  <c r="E131" i="22"/>
  <c r="E130" i="22"/>
  <c r="E129" i="22"/>
  <c r="E128" i="22"/>
  <c r="E123" i="22"/>
  <c r="E122" i="22"/>
  <c r="E121" i="22"/>
  <c r="E120" i="22"/>
  <c r="E119" i="22"/>
  <c r="E118" i="22"/>
  <c r="E117" i="22"/>
  <c r="E116" i="22"/>
  <c r="E115" i="22"/>
  <c r="E114" i="22"/>
  <c r="E113" i="22"/>
  <c r="E112" i="22"/>
  <c r="E92" i="22"/>
  <c r="E91" i="22"/>
  <c r="E90" i="22"/>
  <c r="E89" i="22"/>
  <c r="E88" i="22"/>
  <c r="E87" i="22"/>
  <c r="E86" i="22"/>
  <c r="E85" i="22"/>
  <c r="E84" i="22"/>
  <c r="E83" i="22"/>
  <c r="E82" i="22"/>
  <c r="E79" i="22"/>
  <c r="E78" i="22"/>
  <c r="E77" i="22"/>
  <c r="E76" i="22"/>
  <c r="E75" i="22"/>
  <c r="E74" i="22"/>
  <c r="E70" i="22"/>
  <c r="E69" i="22"/>
  <c r="E68" i="22"/>
  <c r="E67" i="22"/>
  <c r="E66" i="22"/>
  <c r="E65" i="22"/>
  <c r="E64" i="22"/>
  <c r="E63" i="22"/>
  <c r="E62" i="22"/>
  <c r="E58" i="22"/>
  <c r="E57" i="22"/>
  <c r="E56" i="22"/>
  <c r="E55" i="22"/>
  <c r="E54" i="22"/>
  <c r="E53" i="22"/>
  <c r="E52" i="22"/>
  <c r="E51" i="22"/>
  <c r="E50" i="22"/>
  <c r="E49" i="22"/>
  <c r="E46" i="22"/>
  <c r="E45" i="22"/>
  <c r="E44" i="22"/>
  <c r="E43" i="22"/>
  <c r="E42" i="22"/>
  <c r="E41" i="22"/>
  <c r="E40" i="22"/>
  <c r="E39" i="22"/>
  <c r="E38" i="22"/>
  <c r="E37" i="22"/>
  <c r="E36" i="22"/>
  <c r="E35" i="22"/>
  <c r="E24" i="22"/>
  <c r="E23" i="22"/>
  <c r="E22" i="22"/>
  <c r="E18" i="22"/>
  <c r="E12" i="22"/>
  <c r="E11" i="22"/>
  <c r="E10" i="22"/>
  <c r="H124" i="21"/>
  <c r="H124" i="22" s="1"/>
  <c r="H124" i="23" s="1"/>
  <c r="H124" i="24" s="1"/>
  <c r="E182" i="21"/>
  <c r="E181" i="21"/>
  <c r="E180" i="21"/>
  <c r="E177" i="21"/>
  <c r="E176" i="21"/>
  <c r="E175" i="21"/>
  <c r="E172" i="21"/>
  <c r="E171" i="21"/>
  <c r="E170" i="21"/>
  <c r="E165" i="21"/>
  <c r="E164" i="21"/>
  <c r="E163" i="21"/>
  <c r="E162" i="21"/>
  <c r="E161" i="21"/>
  <c r="E160" i="21"/>
  <c r="E159" i="21"/>
  <c r="E158" i="21"/>
  <c r="E142" i="21"/>
  <c r="E141" i="21"/>
  <c r="E140" i="21"/>
  <c r="E139" i="21"/>
  <c r="E138" i="21"/>
  <c r="E133" i="21"/>
  <c r="E132" i="21"/>
  <c r="E131" i="21"/>
  <c r="E130" i="21"/>
  <c r="E129" i="21"/>
  <c r="E128" i="21"/>
  <c r="E124" i="21"/>
  <c r="E123" i="21"/>
  <c r="E122" i="21"/>
  <c r="E121" i="21"/>
  <c r="E120" i="21"/>
  <c r="E119" i="21"/>
  <c r="E118" i="21"/>
  <c r="E117" i="21"/>
  <c r="E116" i="21"/>
  <c r="E115" i="21"/>
  <c r="E114" i="21"/>
  <c r="E113" i="21"/>
  <c r="E112" i="21"/>
  <c r="E92" i="21"/>
  <c r="E91" i="21"/>
  <c r="E90" i="21"/>
  <c r="E89" i="21"/>
  <c r="E88" i="21"/>
  <c r="E87" i="21"/>
  <c r="E86" i="21"/>
  <c r="E85" i="21"/>
  <c r="E84" i="21"/>
  <c r="E83" i="21"/>
  <c r="E82" i="21"/>
  <c r="E79" i="21"/>
  <c r="E78" i="21"/>
  <c r="E77" i="21"/>
  <c r="E76" i="21"/>
  <c r="E75" i="21"/>
  <c r="E74" i="21"/>
  <c r="E70" i="21"/>
  <c r="E69" i="21"/>
  <c r="E68" i="21"/>
  <c r="E67" i="21"/>
  <c r="E66" i="21"/>
  <c r="E65" i="21"/>
  <c r="E64" i="21"/>
  <c r="E63" i="21"/>
  <c r="E62" i="21"/>
  <c r="E58" i="21"/>
  <c r="E57" i="21"/>
  <c r="E56" i="21"/>
  <c r="E55" i="21"/>
  <c r="E54" i="21"/>
  <c r="E53" i="21"/>
  <c r="E52" i="21"/>
  <c r="E51" i="21"/>
  <c r="E50" i="21"/>
  <c r="E49" i="21"/>
  <c r="E46" i="21"/>
  <c r="E45" i="21"/>
  <c r="E44" i="21"/>
  <c r="E43" i="21"/>
  <c r="E42" i="21"/>
  <c r="E41" i="21"/>
  <c r="E40" i="21"/>
  <c r="E39" i="21"/>
  <c r="E38" i="21"/>
  <c r="E37" i="21"/>
  <c r="E36" i="21"/>
  <c r="E35" i="21"/>
  <c r="E24" i="21"/>
  <c r="E23" i="21"/>
  <c r="E22" i="21"/>
  <c r="E18" i="21"/>
  <c r="E12" i="21"/>
  <c r="E11" i="21"/>
  <c r="E10" i="21"/>
  <c r="E71" i="20"/>
  <c r="E182" i="19"/>
  <c r="E182" i="20" s="1"/>
  <c r="E181" i="19"/>
  <c r="E181" i="20" s="1"/>
  <c r="E180" i="19"/>
  <c r="E180" i="20" s="1"/>
  <c r="E177" i="19"/>
  <c r="E177" i="20" s="1"/>
  <c r="E176" i="19"/>
  <c r="E176" i="20" s="1"/>
  <c r="E175" i="19"/>
  <c r="E175" i="20" s="1"/>
  <c r="E172" i="19"/>
  <c r="E172" i="20" s="1"/>
  <c r="E171" i="19"/>
  <c r="E171" i="20" s="1"/>
  <c r="E170" i="19"/>
  <c r="E170" i="20" s="1"/>
  <c r="E165" i="19"/>
  <c r="E165" i="20" s="1"/>
  <c r="E164" i="19"/>
  <c r="E164" i="20" s="1"/>
  <c r="E163" i="19"/>
  <c r="E163" i="20" s="1"/>
  <c r="E162" i="19"/>
  <c r="E162" i="20" s="1"/>
  <c r="E161" i="19"/>
  <c r="E161" i="20" s="1"/>
  <c r="E160" i="19"/>
  <c r="E160" i="20" s="1"/>
  <c r="E159" i="19"/>
  <c r="E159" i="20" s="1"/>
  <c r="E158" i="19"/>
  <c r="E158" i="20" s="1"/>
  <c r="E142" i="19"/>
  <c r="E142" i="20" s="1"/>
  <c r="E141" i="19"/>
  <c r="E141" i="20" s="1"/>
  <c r="E140" i="19"/>
  <c r="E140" i="20" s="1"/>
  <c r="E139" i="19"/>
  <c r="E139" i="20" s="1"/>
  <c r="E138" i="19"/>
  <c r="E138" i="20" s="1"/>
  <c r="E133" i="19"/>
  <c r="E133" i="20" s="1"/>
  <c r="E132" i="19"/>
  <c r="E132" i="20" s="1"/>
  <c r="E131" i="19"/>
  <c r="E131" i="20" s="1"/>
  <c r="E130" i="19"/>
  <c r="E130" i="20" s="1"/>
  <c r="E129" i="19"/>
  <c r="E129" i="20" s="1"/>
  <c r="E128" i="19"/>
  <c r="E128" i="20" s="1"/>
  <c r="E124" i="19"/>
  <c r="E124" i="20" s="1"/>
  <c r="E123" i="19"/>
  <c r="E123" i="20" s="1"/>
  <c r="E122" i="19"/>
  <c r="E122" i="20" s="1"/>
  <c r="E121" i="19"/>
  <c r="E121" i="20" s="1"/>
  <c r="E120" i="19"/>
  <c r="E120" i="20" s="1"/>
  <c r="E119" i="19"/>
  <c r="E119" i="20" s="1"/>
  <c r="E118" i="19"/>
  <c r="E118" i="20" s="1"/>
  <c r="E117" i="19"/>
  <c r="E117" i="20" s="1"/>
  <c r="E116" i="19"/>
  <c r="E116" i="20" s="1"/>
  <c r="E115" i="19"/>
  <c r="E115" i="20" s="1"/>
  <c r="E114" i="19"/>
  <c r="E114" i="20" s="1"/>
  <c r="E113" i="19"/>
  <c r="E113" i="20" s="1"/>
  <c r="E112" i="19"/>
  <c r="E112" i="20" s="1"/>
  <c r="E92" i="19"/>
  <c r="E92" i="20" s="1"/>
  <c r="E91" i="19"/>
  <c r="E91" i="20" s="1"/>
  <c r="E90" i="19"/>
  <c r="E90" i="20" s="1"/>
  <c r="E89" i="19"/>
  <c r="E89" i="20" s="1"/>
  <c r="E88" i="19"/>
  <c r="E88" i="20" s="1"/>
  <c r="E87" i="19"/>
  <c r="E87" i="20" s="1"/>
  <c r="E86" i="19"/>
  <c r="E86" i="20" s="1"/>
  <c r="E85" i="19"/>
  <c r="E85" i="20" s="1"/>
  <c r="E84" i="19"/>
  <c r="E84" i="20" s="1"/>
  <c r="E83" i="19"/>
  <c r="E83" i="20" s="1"/>
  <c r="E82" i="19"/>
  <c r="E82" i="20" s="1"/>
  <c r="E79" i="19"/>
  <c r="E79" i="20" s="1"/>
  <c r="E78" i="19"/>
  <c r="E78" i="20" s="1"/>
  <c r="E77" i="19"/>
  <c r="E77" i="20" s="1"/>
  <c r="E76" i="19"/>
  <c r="E76" i="20" s="1"/>
  <c r="E75" i="19"/>
  <c r="E75" i="20" s="1"/>
  <c r="E74" i="19"/>
  <c r="E74" i="20" s="1"/>
  <c r="E70" i="19"/>
  <c r="E70" i="20" s="1"/>
  <c r="E69" i="19"/>
  <c r="E69" i="20" s="1"/>
  <c r="E68" i="19"/>
  <c r="E68" i="20" s="1"/>
  <c r="E67" i="19"/>
  <c r="E67" i="20" s="1"/>
  <c r="E66" i="19"/>
  <c r="E66" i="20" s="1"/>
  <c r="E65" i="19"/>
  <c r="E65" i="20" s="1"/>
  <c r="E64" i="19"/>
  <c r="E64" i="20" s="1"/>
  <c r="E63" i="19"/>
  <c r="E63" i="20" s="1"/>
  <c r="E62" i="19"/>
  <c r="E62" i="20" s="1"/>
  <c r="E58" i="19"/>
  <c r="E58" i="20" s="1"/>
  <c r="E57" i="19"/>
  <c r="E57" i="20" s="1"/>
  <c r="E56" i="19"/>
  <c r="E56" i="20" s="1"/>
  <c r="E55" i="19"/>
  <c r="E55" i="20" s="1"/>
  <c r="E54" i="19"/>
  <c r="E54" i="20" s="1"/>
  <c r="E53" i="19"/>
  <c r="E53" i="20" s="1"/>
  <c r="E52" i="19"/>
  <c r="E52" i="20" s="1"/>
  <c r="E51" i="19"/>
  <c r="E51" i="20" s="1"/>
  <c r="E50" i="19"/>
  <c r="E50" i="20" s="1"/>
  <c r="E49" i="19"/>
  <c r="E49" i="20" s="1"/>
  <c r="E46" i="19"/>
  <c r="E46" i="20" s="1"/>
  <c r="E45" i="19"/>
  <c r="E45" i="20" s="1"/>
  <c r="E44" i="19"/>
  <c r="E44" i="20" s="1"/>
  <c r="E43" i="19"/>
  <c r="E43" i="20" s="1"/>
  <c r="E42" i="19"/>
  <c r="E42" i="20" s="1"/>
  <c r="E41" i="19"/>
  <c r="E41" i="20" s="1"/>
  <c r="E40" i="19"/>
  <c r="E40" i="20" s="1"/>
  <c r="E39" i="19"/>
  <c r="E39" i="20" s="1"/>
  <c r="E38" i="19"/>
  <c r="E38" i="20" s="1"/>
  <c r="E37" i="19"/>
  <c r="E37" i="20" s="1"/>
  <c r="E36" i="19"/>
  <c r="E36" i="20" s="1"/>
  <c r="E35" i="19"/>
  <c r="E35" i="20" s="1"/>
  <c r="E24" i="19"/>
  <c r="E24" i="20" s="1"/>
  <c r="E23" i="19"/>
  <c r="E23" i="20" s="1"/>
  <c r="E22" i="19"/>
  <c r="E22" i="20" s="1"/>
  <c r="E18" i="19"/>
  <c r="E18" i="20" s="1"/>
  <c r="E12" i="19"/>
  <c r="E12" i="20" s="1"/>
  <c r="E11" i="19"/>
  <c r="E11" i="20" s="1"/>
  <c r="E10" i="19"/>
  <c r="E10" i="20" s="1"/>
  <c r="H124" i="18"/>
  <c r="H124" i="19" s="1"/>
  <c r="E171" i="18"/>
  <c r="E182" i="18"/>
  <c r="E181" i="18"/>
  <c r="E180" i="18"/>
  <c r="E177" i="18"/>
  <c r="E176" i="18"/>
  <c r="E175" i="18"/>
  <c r="E172" i="18"/>
  <c r="E170" i="18"/>
  <c r="E165" i="18"/>
  <c r="E164" i="18"/>
  <c r="E163" i="18"/>
  <c r="E162" i="18"/>
  <c r="E161" i="18"/>
  <c r="E160" i="18"/>
  <c r="E159" i="18"/>
  <c r="E158" i="18"/>
  <c r="E142" i="18"/>
  <c r="E141" i="18"/>
  <c r="E140" i="18"/>
  <c r="E139" i="18"/>
  <c r="E138" i="18"/>
  <c r="E133" i="18"/>
  <c r="E132" i="18"/>
  <c r="E131" i="18"/>
  <c r="E130" i="18"/>
  <c r="E129" i="18"/>
  <c r="E128" i="18"/>
  <c r="E124" i="18"/>
  <c r="E123" i="18"/>
  <c r="E122" i="18"/>
  <c r="E121" i="18"/>
  <c r="E120" i="18"/>
  <c r="E119" i="18"/>
  <c r="E118" i="18"/>
  <c r="E117" i="18"/>
  <c r="E116" i="18"/>
  <c r="E115" i="18"/>
  <c r="E113" i="18"/>
  <c r="E112" i="18"/>
  <c r="E92" i="18"/>
  <c r="E91" i="18"/>
  <c r="E90" i="18"/>
  <c r="E89" i="18"/>
  <c r="E88" i="18"/>
  <c r="E87" i="18"/>
  <c r="E86" i="18"/>
  <c r="E85" i="18"/>
  <c r="E84" i="18"/>
  <c r="E83" i="18"/>
  <c r="E82" i="18"/>
  <c r="E79" i="18"/>
  <c r="E78" i="18"/>
  <c r="E77" i="18"/>
  <c r="E76" i="18"/>
  <c r="E75" i="18"/>
  <c r="E74" i="18"/>
  <c r="E70" i="18"/>
  <c r="E69" i="18"/>
  <c r="E68" i="18"/>
  <c r="E67" i="18"/>
  <c r="E66" i="18"/>
  <c r="E65" i="18"/>
  <c r="E64" i="18"/>
  <c r="E63" i="18"/>
  <c r="E62" i="18"/>
  <c r="E58" i="18"/>
  <c r="E57" i="18"/>
  <c r="E56" i="18"/>
  <c r="E55" i="18"/>
  <c r="E54" i="18"/>
  <c r="E53" i="18"/>
  <c r="E52" i="18"/>
  <c r="E51" i="18"/>
  <c r="E50" i="18"/>
  <c r="E49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24" i="18"/>
  <c r="E23" i="18"/>
  <c r="E22" i="18"/>
  <c r="E18" i="18"/>
  <c r="E12" i="18"/>
  <c r="E11" i="18"/>
  <c r="E10" i="18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72" i="17"/>
  <c r="E171" i="17"/>
  <c r="E170" i="17"/>
  <c r="E165" i="17"/>
  <c r="E164" i="17"/>
  <c r="E163" i="17"/>
  <c r="E162" i="17"/>
  <c r="E161" i="17"/>
  <c r="E160" i="17"/>
  <c r="E159" i="17"/>
  <c r="E158" i="17"/>
  <c r="E142" i="17"/>
  <c r="E141" i="17"/>
  <c r="E140" i="17"/>
  <c r="E139" i="17"/>
  <c r="E138" i="17"/>
  <c r="E133" i="17"/>
  <c r="E132" i="17"/>
  <c r="E131" i="17"/>
  <c r="E130" i="17"/>
  <c r="E129" i="17"/>
  <c r="E128" i="17"/>
  <c r="E123" i="17"/>
  <c r="E122" i="17"/>
  <c r="E121" i="17"/>
  <c r="E120" i="17"/>
  <c r="E119" i="17"/>
  <c r="E118" i="17"/>
  <c r="E117" i="17"/>
  <c r="E116" i="17"/>
  <c r="E115" i="17"/>
  <c r="E114" i="17"/>
  <c r="E113" i="17"/>
  <c r="E112" i="17"/>
  <c r="E92" i="17"/>
  <c r="E91" i="17"/>
  <c r="E90" i="17"/>
  <c r="E89" i="17"/>
  <c r="E88" i="17"/>
  <c r="E87" i="17"/>
  <c r="E86" i="17"/>
  <c r="E85" i="17"/>
  <c r="E83" i="17"/>
  <c r="E82" i="17"/>
  <c r="E79" i="17"/>
  <c r="E78" i="17"/>
  <c r="E77" i="17"/>
  <c r="E76" i="17"/>
  <c r="E75" i="17"/>
  <c r="E74" i="17"/>
  <c r="E70" i="17"/>
  <c r="E69" i="17"/>
  <c r="E68" i="17"/>
  <c r="E67" i="17"/>
  <c r="E66" i="17"/>
  <c r="E65" i="17"/>
  <c r="E63" i="17"/>
  <c r="E62" i="17"/>
  <c r="E58" i="17"/>
  <c r="E57" i="17"/>
  <c r="E56" i="17"/>
  <c r="E55" i="17"/>
  <c r="E54" i="17"/>
  <c r="E53" i="17"/>
  <c r="E52" i="17"/>
  <c r="E51" i="17"/>
  <c r="E50" i="17"/>
  <c r="E49" i="17"/>
  <c r="E46" i="17"/>
  <c r="E45" i="17"/>
  <c r="E44" i="17"/>
  <c r="E43" i="17"/>
  <c r="E42" i="17"/>
  <c r="E41" i="17"/>
  <c r="E40" i="17"/>
  <c r="E39" i="17"/>
  <c r="E38" i="17"/>
  <c r="E37" i="17"/>
  <c r="E36" i="17"/>
  <c r="E35" i="17"/>
  <c r="E24" i="17"/>
  <c r="E23" i="17"/>
  <c r="E22" i="17"/>
  <c r="E18" i="17"/>
  <c r="E12" i="17"/>
  <c r="E11" i="17"/>
  <c r="E10" i="17"/>
  <c r="E182" i="16"/>
  <c r="E181" i="16"/>
  <c r="E180" i="16"/>
  <c r="E177" i="16"/>
  <c r="E176" i="16"/>
  <c r="E175" i="16"/>
  <c r="E172" i="16"/>
  <c r="E171" i="16"/>
  <c r="E170" i="16"/>
  <c r="E165" i="16"/>
  <c r="E164" i="16"/>
  <c r="E163" i="16"/>
  <c r="E162" i="16"/>
  <c r="E161" i="16"/>
  <c r="E160" i="16"/>
  <c r="E159" i="16"/>
  <c r="E158" i="16"/>
  <c r="E142" i="16"/>
  <c r="E141" i="16"/>
  <c r="E140" i="16"/>
  <c r="E139" i="16"/>
  <c r="E138" i="16"/>
  <c r="E133" i="16"/>
  <c r="E132" i="16"/>
  <c r="E131" i="16"/>
  <c r="E130" i="16"/>
  <c r="E129" i="16"/>
  <c r="E128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92" i="16"/>
  <c r="E91" i="16"/>
  <c r="E90" i="16"/>
  <c r="E89" i="16"/>
  <c r="E88" i="16"/>
  <c r="E87" i="16"/>
  <c r="E86" i="16"/>
  <c r="E85" i="16"/>
  <c r="E84" i="16"/>
  <c r="E83" i="16"/>
  <c r="E82" i="16"/>
  <c r="E79" i="16"/>
  <c r="E78" i="16"/>
  <c r="E77" i="16"/>
  <c r="E76" i="16"/>
  <c r="E75" i="16"/>
  <c r="E74" i="16"/>
  <c r="E70" i="16"/>
  <c r="E69" i="16"/>
  <c r="E68" i="16"/>
  <c r="E67" i="16"/>
  <c r="E66" i="16"/>
  <c r="E65" i="16"/>
  <c r="E64" i="16"/>
  <c r="E63" i="16"/>
  <c r="E62" i="16"/>
  <c r="E58" i="16"/>
  <c r="E57" i="16"/>
  <c r="E56" i="16"/>
  <c r="E55" i="16"/>
  <c r="E54" i="16"/>
  <c r="E53" i="16"/>
  <c r="E52" i="16"/>
  <c r="E51" i="16"/>
  <c r="E50" i="16"/>
  <c r="E49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24" i="16"/>
  <c r="E23" i="16"/>
  <c r="E22" i="16"/>
  <c r="E18" i="16"/>
  <c r="E12" i="16"/>
  <c r="E11" i="16"/>
  <c r="E10" i="16"/>
  <c r="E182" i="15"/>
  <c r="E181" i="15"/>
  <c r="E180" i="15"/>
  <c r="E177" i="15"/>
  <c r="E176" i="15"/>
  <c r="E175" i="15"/>
  <c r="E172" i="15"/>
  <c r="E171" i="15"/>
  <c r="E170" i="15"/>
  <c r="E165" i="15"/>
  <c r="E164" i="15"/>
  <c r="E163" i="15"/>
  <c r="E162" i="15"/>
  <c r="E161" i="15"/>
  <c r="E160" i="15"/>
  <c r="E159" i="15"/>
  <c r="E158" i="15"/>
  <c r="E142" i="15"/>
  <c r="E141" i="15"/>
  <c r="E140" i="15"/>
  <c r="E139" i="15"/>
  <c r="E138" i="15"/>
  <c r="E133" i="15"/>
  <c r="E132" i="15"/>
  <c r="E131" i="15"/>
  <c r="E130" i="15"/>
  <c r="E129" i="15"/>
  <c r="E128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92" i="15"/>
  <c r="E91" i="15"/>
  <c r="E90" i="15"/>
  <c r="E89" i="15"/>
  <c r="E88" i="15"/>
  <c r="E87" i="15"/>
  <c r="E86" i="15"/>
  <c r="E85" i="15"/>
  <c r="E84" i="15"/>
  <c r="E83" i="15"/>
  <c r="E82" i="15"/>
  <c r="E79" i="15"/>
  <c r="E78" i="15"/>
  <c r="E77" i="15"/>
  <c r="E76" i="15"/>
  <c r="E75" i="15"/>
  <c r="E74" i="15"/>
  <c r="E70" i="15"/>
  <c r="E69" i="15"/>
  <c r="E68" i="15"/>
  <c r="E67" i="15"/>
  <c r="E66" i="15"/>
  <c r="E65" i="15"/>
  <c r="E64" i="15"/>
  <c r="E63" i="15"/>
  <c r="E62" i="15"/>
  <c r="E58" i="15"/>
  <c r="E57" i="15"/>
  <c r="E56" i="15"/>
  <c r="E55" i="15"/>
  <c r="E54" i="15"/>
  <c r="E53" i="15"/>
  <c r="E52" i="15"/>
  <c r="E51" i="15"/>
  <c r="E50" i="15"/>
  <c r="E49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24" i="15"/>
  <c r="E23" i="15"/>
  <c r="E22" i="15"/>
  <c r="E18" i="15"/>
  <c r="E12" i="15"/>
  <c r="E11" i="15"/>
  <c r="E10" i="15"/>
  <c r="E182" i="14"/>
  <c r="E181" i="14"/>
  <c r="E180" i="14"/>
  <c r="E177" i="14"/>
  <c r="E176" i="14"/>
  <c r="E175" i="14"/>
  <c r="E172" i="14"/>
  <c r="E171" i="14"/>
  <c r="E170" i="14"/>
  <c r="E165" i="14"/>
  <c r="E164" i="14"/>
  <c r="E163" i="14"/>
  <c r="E162" i="14"/>
  <c r="E161" i="14"/>
  <c r="E160" i="14"/>
  <c r="E159" i="14"/>
  <c r="E158" i="14"/>
  <c r="E142" i="14"/>
  <c r="E141" i="14"/>
  <c r="E140" i="14"/>
  <c r="E139" i="14"/>
  <c r="E138" i="14"/>
  <c r="E133" i="14"/>
  <c r="E132" i="14"/>
  <c r="E131" i="14"/>
  <c r="E130" i="14"/>
  <c r="E129" i="14"/>
  <c r="E128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92" i="14"/>
  <c r="E91" i="14"/>
  <c r="E90" i="14"/>
  <c r="E89" i="14"/>
  <c r="E88" i="14"/>
  <c r="E87" i="14"/>
  <c r="E86" i="14"/>
  <c r="E85" i="14"/>
  <c r="E84" i="14"/>
  <c r="E83" i="14"/>
  <c r="E82" i="14"/>
  <c r="E79" i="14"/>
  <c r="E78" i="14"/>
  <c r="E77" i="14"/>
  <c r="E76" i="14"/>
  <c r="E75" i="14"/>
  <c r="E74" i="14"/>
  <c r="E70" i="14"/>
  <c r="E69" i="14"/>
  <c r="E68" i="14"/>
  <c r="E67" i="14"/>
  <c r="E66" i="14"/>
  <c r="E65" i="14"/>
  <c r="E64" i="14"/>
  <c r="E63" i="14"/>
  <c r="E62" i="14"/>
  <c r="E58" i="14"/>
  <c r="E57" i="14"/>
  <c r="E56" i="14"/>
  <c r="E55" i="14"/>
  <c r="E54" i="14"/>
  <c r="E53" i="14"/>
  <c r="E52" i="14"/>
  <c r="E51" i="14"/>
  <c r="E50" i="14"/>
  <c r="E49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24" i="14"/>
  <c r="E23" i="14"/>
  <c r="E22" i="14"/>
  <c r="E18" i="14"/>
  <c r="E12" i="14"/>
  <c r="E11" i="14"/>
  <c r="E182" i="13"/>
  <c r="E181" i="13"/>
  <c r="E180" i="13"/>
  <c r="E177" i="13"/>
  <c r="E176" i="13"/>
  <c r="E175" i="13"/>
  <c r="E172" i="13"/>
  <c r="E170" i="13"/>
  <c r="E165" i="13"/>
  <c r="E164" i="13"/>
  <c r="E163" i="13"/>
  <c r="E162" i="13"/>
  <c r="E161" i="13"/>
  <c r="E160" i="13"/>
  <c r="E159" i="13"/>
  <c r="E158" i="13"/>
  <c r="E142" i="13"/>
  <c r="E141" i="13"/>
  <c r="E140" i="13"/>
  <c r="E139" i="13"/>
  <c r="E138" i="13"/>
  <c r="E133" i="13"/>
  <c r="E132" i="13"/>
  <c r="E131" i="13"/>
  <c r="E130" i="13"/>
  <c r="E129" i="13"/>
  <c r="E128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92" i="13"/>
  <c r="E91" i="13"/>
  <c r="E90" i="13"/>
  <c r="E89" i="13"/>
  <c r="E88" i="13"/>
  <c r="E87" i="13"/>
  <c r="E86" i="13"/>
  <c r="E85" i="13"/>
  <c r="E84" i="13"/>
  <c r="E83" i="13"/>
  <c r="E82" i="13"/>
  <c r="E79" i="13"/>
  <c r="E78" i="13"/>
  <c r="E77" i="13"/>
  <c r="E76" i="13"/>
  <c r="E75" i="13"/>
  <c r="E74" i="13"/>
  <c r="E70" i="13"/>
  <c r="E69" i="13"/>
  <c r="E68" i="13"/>
  <c r="E67" i="13"/>
  <c r="E66" i="13"/>
  <c r="E65" i="13"/>
  <c r="E64" i="13"/>
  <c r="E63" i="13"/>
  <c r="E62" i="13"/>
  <c r="E58" i="13"/>
  <c r="E57" i="13"/>
  <c r="E56" i="13"/>
  <c r="E55" i="13"/>
  <c r="E54" i="13"/>
  <c r="E53" i="13"/>
  <c r="E52" i="13"/>
  <c r="E51" i="13"/>
  <c r="E50" i="13"/>
  <c r="E49" i="13"/>
  <c r="E46" i="13"/>
  <c r="E45" i="13"/>
  <c r="E44" i="13"/>
  <c r="E43" i="13"/>
  <c r="E42" i="13"/>
  <c r="E41" i="13"/>
  <c r="E39" i="13"/>
  <c r="E38" i="13"/>
  <c r="E37" i="13"/>
  <c r="E36" i="13"/>
  <c r="E35" i="13"/>
  <c r="E24" i="13"/>
  <c r="E23" i="13"/>
  <c r="E22" i="13"/>
  <c r="E18" i="13"/>
  <c r="E12" i="13"/>
  <c r="E11" i="13"/>
  <c r="E10" i="13"/>
  <c r="E182" i="12"/>
  <c r="E181" i="12"/>
  <c r="E180" i="12"/>
  <c r="E177" i="12"/>
  <c r="E176" i="12"/>
  <c r="E175" i="12"/>
  <c r="E172" i="12"/>
  <c r="E171" i="12"/>
  <c r="E170" i="12"/>
  <c r="E165" i="12"/>
  <c r="E164" i="12"/>
  <c r="E163" i="12"/>
  <c r="E162" i="12"/>
  <c r="E161" i="12"/>
  <c r="E160" i="12"/>
  <c r="E159" i="12"/>
  <c r="E158" i="12"/>
  <c r="E142" i="12"/>
  <c r="E141" i="12"/>
  <c r="E140" i="12"/>
  <c r="E139" i="12"/>
  <c r="E138" i="12"/>
  <c r="E133" i="12"/>
  <c r="E132" i="12"/>
  <c r="E131" i="12"/>
  <c r="E130" i="12"/>
  <c r="E129" i="12"/>
  <c r="E128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92" i="12"/>
  <c r="E91" i="12"/>
  <c r="E90" i="12"/>
  <c r="E89" i="12"/>
  <c r="E88" i="12"/>
  <c r="E87" i="12"/>
  <c r="E86" i="12"/>
  <c r="E85" i="12"/>
  <c r="E84" i="12"/>
  <c r="E83" i="12"/>
  <c r="E82" i="12"/>
  <c r="E79" i="12"/>
  <c r="E78" i="12"/>
  <c r="E77" i="12"/>
  <c r="E76" i="12"/>
  <c r="E75" i="12"/>
  <c r="E74" i="12"/>
  <c r="E70" i="12"/>
  <c r="E69" i="12"/>
  <c r="E68" i="12"/>
  <c r="E67" i="12"/>
  <c r="E66" i="12"/>
  <c r="E65" i="12"/>
  <c r="E64" i="12"/>
  <c r="E63" i="12"/>
  <c r="E62" i="12"/>
  <c r="E58" i="12"/>
  <c r="E57" i="12"/>
  <c r="E56" i="12"/>
  <c r="E55" i="12"/>
  <c r="E54" i="12"/>
  <c r="E53" i="12"/>
  <c r="E52" i="12"/>
  <c r="E51" i="12"/>
  <c r="E50" i="12"/>
  <c r="E49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24" i="12"/>
  <c r="E23" i="12"/>
  <c r="E22" i="12"/>
  <c r="E18" i="12"/>
  <c r="E12" i="12"/>
  <c r="E11" i="12"/>
  <c r="E10" i="12"/>
  <c r="H124" i="11"/>
  <c r="H26" i="11"/>
  <c r="E182" i="11"/>
  <c r="E181" i="11"/>
  <c r="E180" i="11"/>
  <c r="E177" i="11"/>
  <c r="E176" i="11"/>
  <c r="E175" i="11"/>
  <c r="E172" i="11"/>
  <c r="E171" i="11"/>
  <c r="E170" i="11"/>
  <c r="E165" i="11"/>
  <c r="E164" i="11"/>
  <c r="E163" i="11"/>
  <c r="E162" i="11"/>
  <c r="E161" i="11"/>
  <c r="E160" i="11"/>
  <c r="E159" i="11"/>
  <c r="E158" i="11"/>
  <c r="E142" i="11"/>
  <c r="E141" i="11"/>
  <c r="E140" i="11"/>
  <c r="E139" i="11"/>
  <c r="E138" i="11"/>
  <c r="E133" i="11"/>
  <c r="E132" i="11"/>
  <c r="E131" i="11"/>
  <c r="E130" i="11"/>
  <c r="E129" i="11"/>
  <c r="E128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92" i="11"/>
  <c r="E91" i="11"/>
  <c r="E90" i="11"/>
  <c r="E89" i="11"/>
  <c r="E88" i="11"/>
  <c r="E87" i="11"/>
  <c r="E86" i="11"/>
  <c r="E85" i="11"/>
  <c r="E84" i="11"/>
  <c r="E83" i="11"/>
  <c r="E82" i="11"/>
  <c r="E79" i="11"/>
  <c r="E78" i="11"/>
  <c r="E77" i="11"/>
  <c r="E76" i="11"/>
  <c r="E75" i="11"/>
  <c r="E74" i="11"/>
  <c r="E70" i="11"/>
  <c r="E69" i="11"/>
  <c r="E68" i="11"/>
  <c r="E67" i="11"/>
  <c r="E66" i="11"/>
  <c r="E65" i="11"/>
  <c r="E64" i="11"/>
  <c r="E63" i="11"/>
  <c r="E62" i="11"/>
  <c r="E58" i="11"/>
  <c r="E57" i="11"/>
  <c r="E56" i="11"/>
  <c r="E55" i="11"/>
  <c r="E54" i="11"/>
  <c r="E53" i="11"/>
  <c r="E52" i="11"/>
  <c r="E51" i="11"/>
  <c r="E50" i="11"/>
  <c r="E49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24" i="11"/>
  <c r="E23" i="11"/>
  <c r="E22" i="11"/>
  <c r="E18" i="11"/>
  <c r="E12" i="11"/>
  <c r="E11" i="11"/>
  <c r="E10" i="11"/>
  <c r="E182" i="10"/>
  <c r="E181" i="10"/>
  <c r="E180" i="10"/>
  <c r="E177" i="10"/>
  <c r="E176" i="10"/>
  <c r="E175" i="10"/>
  <c r="E172" i="10"/>
  <c r="E171" i="10"/>
  <c r="E170" i="10"/>
  <c r="E165" i="10"/>
  <c r="E164" i="10"/>
  <c r="E163" i="10"/>
  <c r="E162" i="10"/>
  <c r="E161" i="10"/>
  <c r="E160" i="10"/>
  <c r="E159" i="10"/>
  <c r="E158" i="10"/>
  <c r="E142" i="10"/>
  <c r="E141" i="10"/>
  <c r="E140" i="10"/>
  <c r="E139" i="10"/>
  <c r="E138" i="10"/>
  <c r="E133" i="10"/>
  <c r="E132" i="10"/>
  <c r="E131" i="10"/>
  <c r="E130" i="10"/>
  <c r="E129" i="10"/>
  <c r="E128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92" i="10"/>
  <c r="E91" i="10"/>
  <c r="E90" i="10"/>
  <c r="E89" i="10"/>
  <c r="E88" i="10"/>
  <c r="E87" i="10"/>
  <c r="E86" i="10"/>
  <c r="E85" i="10"/>
  <c r="E84" i="10"/>
  <c r="E83" i="10"/>
  <c r="E82" i="10"/>
  <c r="E79" i="10"/>
  <c r="E78" i="10"/>
  <c r="E77" i="10"/>
  <c r="E76" i="10"/>
  <c r="E75" i="10"/>
  <c r="E74" i="10"/>
  <c r="E70" i="10"/>
  <c r="E69" i="10"/>
  <c r="E68" i="10"/>
  <c r="E67" i="10"/>
  <c r="E66" i="10"/>
  <c r="E65" i="10"/>
  <c r="E64" i="10"/>
  <c r="E63" i="10"/>
  <c r="E62" i="10"/>
  <c r="E58" i="10"/>
  <c r="E57" i="10"/>
  <c r="E56" i="10"/>
  <c r="E55" i="10"/>
  <c r="E54" i="10"/>
  <c r="E53" i="10"/>
  <c r="E52" i="10"/>
  <c r="E51" i="10"/>
  <c r="E50" i="10"/>
  <c r="E49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24" i="10"/>
  <c r="E23" i="10"/>
  <c r="E22" i="10"/>
  <c r="E18" i="10"/>
  <c r="E12" i="10"/>
  <c r="E11" i="10"/>
  <c r="E10" i="10"/>
  <c r="E182" i="9"/>
  <c r="E181" i="9"/>
  <c r="E180" i="9"/>
  <c r="E177" i="9"/>
  <c r="E176" i="9"/>
  <c r="E175" i="9"/>
  <c r="E172" i="9"/>
  <c r="E171" i="9"/>
  <c r="E170" i="9"/>
  <c r="E165" i="9"/>
  <c r="E164" i="9"/>
  <c r="E163" i="9"/>
  <c r="E162" i="9"/>
  <c r="E161" i="9"/>
  <c r="E160" i="9"/>
  <c r="E159" i="9"/>
  <c r="E158" i="9"/>
  <c r="E142" i="9"/>
  <c r="E141" i="9"/>
  <c r="E140" i="9"/>
  <c r="E139" i="9"/>
  <c r="E138" i="9"/>
  <c r="E133" i="9"/>
  <c r="E132" i="9"/>
  <c r="E131" i="9"/>
  <c r="E130" i="9"/>
  <c r="E129" i="9"/>
  <c r="E128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91" i="9"/>
  <c r="E90" i="9"/>
  <c r="E89" i="9"/>
  <c r="E88" i="9"/>
  <c r="E87" i="9"/>
  <c r="E86" i="9"/>
  <c r="E85" i="9"/>
  <c r="E84" i="9"/>
  <c r="E83" i="9"/>
  <c r="E82" i="9"/>
  <c r="E79" i="9"/>
  <c r="E78" i="9"/>
  <c r="E77" i="9"/>
  <c r="E76" i="9"/>
  <c r="E75" i="9"/>
  <c r="E74" i="9"/>
  <c r="E70" i="9"/>
  <c r="E69" i="9"/>
  <c r="E68" i="9"/>
  <c r="E67" i="9"/>
  <c r="E66" i="9"/>
  <c r="E65" i="9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46" i="9"/>
  <c r="E45" i="9"/>
  <c r="E44" i="9"/>
  <c r="E43" i="9"/>
  <c r="E42" i="9"/>
  <c r="E41" i="9"/>
  <c r="E40" i="9"/>
  <c r="E39" i="9"/>
  <c r="E38" i="9"/>
  <c r="E37" i="9"/>
  <c r="E36" i="9"/>
  <c r="E35" i="9"/>
  <c r="E24" i="9"/>
  <c r="E23" i="9"/>
  <c r="E22" i="9"/>
  <c r="E18" i="9"/>
  <c r="E12" i="9"/>
  <c r="E11" i="9"/>
  <c r="E10" i="9"/>
  <c r="E182" i="8"/>
  <c r="E181" i="8"/>
  <c r="E180" i="8"/>
  <c r="E177" i="8"/>
  <c r="E176" i="8"/>
  <c r="E175" i="8"/>
  <c r="E172" i="8"/>
  <c r="E171" i="8"/>
  <c r="E170" i="8"/>
  <c r="E165" i="8"/>
  <c r="E164" i="8"/>
  <c r="E163" i="8"/>
  <c r="E162" i="8"/>
  <c r="E161" i="8"/>
  <c r="E160" i="8"/>
  <c r="E159" i="8"/>
  <c r="E158" i="8"/>
  <c r="E142" i="8"/>
  <c r="E141" i="8"/>
  <c r="E140" i="8"/>
  <c r="E139" i="8"/>
  <c r="E138" i="8"/>
  <c r="E133" i="8"/>
  <c r="E132" i="8"/>
  <c r="E131" i="8"/>
  <c r="E130" i="8"/>
  <c r="E129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E79" i="8"/>
  <c r="E78" i="8"/>
  <c r="E77" i="8"/>
  <c r="E76" i="8"/>
  <c r="E75" i="8"/>
  <c r="E74" i="8"/>
  <c r="E70" i="8"/>
  <c r="E69" i="8"/>
  <c r="E68" i="8"/>
  <c r="E67" i="8"/>
  <c r="E66" i="8"/>
  <c r="E65" i="8"/>
  <c r="E64" i="8"/>
  <c r="E63" i="8"/>
  <c r="E62" i="8"/>
  <c r="E58" i="8"/>
  <c r="E57" i="8"/>
  <c r="E56" i="8"/>
  <c r="E55" i="8"/>
  <c r="E54" i="8"/>
  <c r="E53" i="8"/>
  <c r="E52" i="8"/>
  <c r="E51" i="8"/>
  <c r="E50" i="8"/>
  <c r="E49" i="8"/>
  <c r="E46" i="8"/>
  <c r="E45" i="8"/>
  <c r="E44" i="8"/>
  <c r="E43" i="8"/>
  <c r="E42" i="8"/>
  <c r="E41" i="8"/>
  <c r="E40" i="8"/>
  <c r="E39" i="8"/>
  <c r="E38" i="8"/>
  <c r="E37" i="8"/>
  <c r="E36" i="8"/>
  <c r="E35" i="8"/>
  <c r="E24" i="8"/>
  <c r="E23" i="8"/>
  <c r="E22" i="8"/>
  <c r="E18" i="8"/>
  <c r="E12" i="8"/>
  <c r="E11" i="8"/>
  <c r="E10" i="8"/>
  <c r="E46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5" i="7"/>
  <c r="E164" i="7"/>
  <c r="E163" i="7"/>
  <c r="E162" i="7"/>
  <c r="E161" i="7"/>
  <c r="E160" i="7"/>
  <c r="E159" i="7"/>
  <c r="E158" i="7"/>
  <c r="E142" i="7"/>
  <c r="E141" i="7"/>
  <c r="E140" i="7"/>
  <c r="E139" i="7"/>
  <c r="E138" i="7"/>
  <c r="E133" i="7"/>
  <c r="E132" i="7"/>
  <c r="E131" i="7"/>
  <c r="E130" i="7"/>
  <c r="E129" i="7"/>
  <c r="E128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92" i="7"/>
  <c r="E91" i="7"/>
  <c r="E90" i="7"/>
  <c r="E89" i="7"/>
  <c r="E88" i="7"/>
  <c r="E87" i="7"/>
  <c r="E86" i="7"/>
  <c r="E85" i="7"/>
  <c r="E84" i="7"/>
  <c r="E83" i="7"/>
  <c r="E82" i="7"/>
  <c r="E78" i="7"/>
  <c r="E77" i="7"/>
  <c r="E76" i="7"/>
  <c r="E75" i="7"/>
  <c r="E74" i="7"/>
  <c r="E70" i="7"/>
  <c r="E69" i="7"/>
  <c r="E68" i="7"/>
  <c r="E67" i="7"/>
  <c r="E66" i="7"/>
  <c r="E65" i="7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E43" i="7"/>
  <c r="E42" i="7"/>
  <c r="E41" i="7"/>
  <c r="E40" i="7"/>
  <c r="E39" i="7"/>
  <c r="E38" i="7"/>
  <c r="E37" i="7"/>
  <c r="E36" i="7"/>
  <c r="E35" i="7"/>
  <c r="E24" i="7"/>
  <c r="E23" i="7"/>
  <c r="E22" i="7"/>
  <c r="E18" i="7"/>
  <c r="E12" i="7"/>
  <c r="E11" i="7"/>
  <c r="E10" i="7"/>
  <c r="E182" i="33"/>
  <c r="E181" i="33"/>
  <c r="E180" i="33"/>
  <c r="E179" i="33"/>
  <c r="E178" i="33"/>
  <c r="E177" i="33"/>
  <c r="E176" i="33"/>
  <c r="E175" i="33"/>
  <c r="E174" i="33"/>
  <c r="E173" i="33"/>
  <c r="E172" i="33"/>
  <c r="E171" i="33"/>
  <c r="E170" i="33"/>
  <c r="E165" i="33"/>
  <c r="E164" i="33"/>
  <c r="E163" i="33"/>
  <c r="E162" i="33"/>
  <c r="E161" i="33"/>
  <c r="E160" i="33"/>
  <c r="E159" i="33"/>
  <c r="E158" i="33"/>
  <c r="E142" i="33"/>
  <c r="E141" i="33"/>
  <c r="E140" i="33"/>
  <c r="E139" i="33"/>
  <c r="E138" i="33"/>
  <c r="E133" i="33"/>
  <c r="E132" i="33"/>
  <c r="E131" i="33"/>
  <c r="E130" i="33"/>
  <c r="E129" i="33"/>
  <c r="E128" i="33"/>
  <c r="E123" i="33"/>
  <c r="E122" i="33"/>
  <c r="E120" i="33"/>
  <c r="E119" i="33"/>
  <c r="E118" i="33"/>
  <c r="E117" i="33"/>
  <c r="E116" i="33"/>
  <c r="E115" i="33"/>
  <c r="E114" i="33"/>
  <c r="E113" i="33"/>
  <c r="E112" i="33"/>
  <c r="E92" i="33"/>
  <c r="E91" i="33"/>
  <c r="E90" i="33"/>
  <c r="E89" i="33"/>
  <c r="E88" i="33"/>
  <c r="E87" i="33"/>
  <c r="E86" i="33"/>
  <c r="E85" i="33"/>
  <c r="E84" i="33"/>
  <c r="E83" i="33"/>
  <c r="E82" i="33"/>
  <c r="E78" i="33"/>
  <c r="E77" i="33"/>
  <c r="E76" i="33"/>
  <c r="E75" i="33"/>
  <c r="E74" i="33"/>
  <c r="E70" i="33"/>
  <c r="E69" i="33"/>
  <c r="E68" i="33"/>
  <c r="E67" i="33"/>
  <c r="E66" i="33"/>
  <c r="E65" i="33"/>
  <c r="E64" i="33"/>
  <c r="E63" i="33"/>
  <c r="E62" i="33"/>
  <c r="G62" i="33" s="1"/>
  <c r="E58" i="33"/>
  <c r="E57" i="33"/>
  <c r="E56" i="33"/>
  <c r="E55" i="33"/>
  <c r="E54" i="33"/>
  <c r="E53" i="33"/>
  <c r="E52" i="33"/>
  <c r="E51" i="33"/>
  <c r="E50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24" i="33"/>
  <c r="E23" i="33"/>
  <c r="E22" i="33"/>
  <c r="E18" i="33"/>
  <c r="E12" i="33"/>
  <c r="E11" i="33"/>
  <c r="E10" i="33"/>
  <c r="H124" i="5"/>
  <c r="E182" i="5"/>
  <c r="E181" i="5"/>
  <c r="E180" i="5"/>
  <c r="E177" i="5"/>
  <c r="E176" i="5"/>
  <c r="E175" i="5"/>
  <c r="E172" i="5"/>
  <c r="E171" i="5"/>
  <c r="E170" i="5"/>
  <c r="E165" i="5"/>
  <c r="G165" i="5" s="1"/>
  <c r="E164" i="5"/>
  <c r="G164" i="5" s="1"/>
  <c r="E163" i="5"/>
  <c r="G163" i="5" s="1"/>
  <c r="E162" i="5"/>
  <c r="E161" i="5"/>
  <c r="E160" i="5"/>
  <c r="E159" i="5"/>
  <c r="E158" i="5"/>
  <c r="E142" i="5"/>
  <c r="E141" i="5"/>
  <c r="E140" i="5"/>
  <c r="E139" i="5"/>
  <c r="E138" i="5"/>
  <c r="E133" i="5"/>
  <c r="E132" i="5"/>
  <c r="E131" i="5"/>
  <c r="E130" i="5"/>
  <c r="E129" i="5"/>
  <c r="E128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92" i="5"/>
  <c r="E91" i="5"/>
  <c r="E90" i="5"/>
  <c r="E89" i="5"/>
  <c r="E88" i="5"/>
  <c r="E87" i="5"/>
  <c r="E86" i="5"/>
  <c r="E85" i="5"/>
  <c r="E84" i="5"/>
  <c r="E83" i="5"/>
  <c r="E82" i="5"/>
  <c r="E79" i="5"/>
  <c r="E78" i="5"/>
  <c r="E77" i="5"/>
  <c r="E76" i="5"/>
  <c r="E75" i="5"/>
  <c r="E74" i="5"/>
  <c r="E70" i="5"/>
  <c r="E69" i="5"/>
  <c r="E68" i="5"/>
  <c r="E67" i="5"/>
  <c r="E66" i="5"/>
  <c r="E65" i="5"/>
  <c r="E63" i="5"/>
  <c r="E62" i="5"/>
  <c r="E58" i="5"/>
  <c r="E57" i="5"/>
  <c r="E56" i="5"/>
  <c r="E55" i="5"/>
  <c r="E54" i="5"/>
  <c r="E53" i="5"/>
  <c r="E52" i="5"/>
  <c r="E51" i="5"/>
  <c r="E50" i="5"/>
  <c r="E49" i="5"/>
  <c r="E46" i="5"/>
  <c r="E45" i="5"/>
  <c r="E44" i="5"/>
  <c r="E43" i="5"/>
  <c r="E42" i="5"/>
  <c r="E41" i="5"/>
  <c r="E40" i="5"/>
  <c r="E39" i="5"/>
  <c r="E38" i="5"/>
  <c r="E37" i="5"/>
  <c r="E36" i="5"/>
  <c r="E35" i="5"/>
  <c r="E24" i="5"/>
  <c r="E23" i="5"/>
  <c r="E22" i="5"/>
  <c r="E18" i="5"/>
  <c r="E12" i="5"/>
  <c r="E11" i="5"/>
  <c r="E10" i="5"/>
  <c r="E182" i="4"/>
  <c r="E181" i="4"/>
  <c r="E180" i="4"/>
  <c r="E177" i="4"/>
  <c r="E176" i="4"/>
  <c r="E175" i="4"/>
  <c r="E172" i="4"/>
  <c r="E171" i="4"/>
  <c r="E170" i="4"/>
  <c r="E165" i="4"/>
  <c r="E164" i="4"/>
  <c r="E163" i="4"/>
  <c r="E162" i="4"/>
  <c r="E161" i="4"/>
  <c r="E160" i="4"/>
  <c r="E159" i="4"/>
  <c r="E158" i="4"/>
  <c r="E142" i="4"/>
  <c r="E141" i="4"/>
  <c r="E140" i="4"/>
  <c r="E139" i="4"/>
  <c r="E138" i="4"/>
  <c r="E133" i="4"/>
  <c r="E132" i="4"/>
  <c r="E131" i="4"/>
  <c r="E130" i="4"/>
  <c r="E129" i="4"/>
  <c r="E128" i="4"/>
  <c r="E127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92" i="4"/>
  <c r="E91" i="4"/>
  <c r="E90" i="4"/>
  <c r="E89" i="4"/>
  <c r="E88" i="4"/>
  <c r="E87" i="4"/>
  <c r="E86" i="4"/>
  <c r="E85" i="4"/>
  <c r="E84" i="4"/>
  <c r="E83" i="4"/>
  <c r="E82" i="4"/>
  <c r="E79" i="4"/>
  <c r="E78" i="4"/>
  <c r="E77" i="4"/>
  <c r="E76" i="4"/>
  <c r="E75" i="4"/>
  <c r="E74" i="4"/>
  <c r="E70" i="4"/>
  <c r="E69" i="4"/>
  <c r="E68" i="4"/>
  <c r="E67" i="4"/>
  <c r="E66" i="4"/>
  <c r="E65" i="4"/>
  <c r="E64" i="4"/>
  <c r="E63" i="4"/>
  <c r="E62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2" i="4"/>
  <c r="E41" i="4"/>
  <c r="E40" i="4"/>
  <c r="E39" i="4"/>
  <c r="E38" i="4"/>
  <c r="E37" i="4"/>
  <c r="E36" i="4"/>
  <c r="E35" i="4"/>
  <c r="E24" i="4"/>
  <c r="E23" i="4"/>
  <c r="E22" i="4"/>
  <c r="E19" i="4"/>
  <c r="E19" i="5" s="1"/>
  <c r="F19" i="5" s="1"/>
  <c r="E19" i="33" s="1"/>
  <c r="E19" i="7" s="1"/>
  <c r="E19" i="8" s="1"/>
  <c r="E19" i="9" s="1"/>
  <c r="E19" i="10" s="1"/>
  <c r="E19" i="11" s="1"/>
  <c r="E19" i="12" s="1"/>
  <c r="E19" i="13" s="1"/>
  <c r="E19" i="14" s="1"/>
  <c r="E19" i="15" s="1"/>
  <c r="E19" i="16" s="1"/>
  <c r="E19" i="17" s="1"/>
  <c r="E19" i="18" s="1"/>
  <c r="E19" i="19" s="1"/>
  <c r="E18" i="4"/>
  <c r="E15" i="4"/>
  <c r="E15" i="33" s="1"/>
  <c r="E15" i="7" s="1"/>
  <c r="E15" i="8" s="1"/>
  <c r="E15" i="9" s="1"/>
  <c r="E15" i="10" s="1"/>
  <c r="E15" i="11" s="1"/>
  <c r="E15" i="12" s="1"/>
  <c r="E15" i="13" s="1"/>
  <c r="E15" i="14" s="1"/>
  <c r="E15" i="15" s="1"/>
  <c r="E15" i="16" s="1"/>
  <c r="E15" i="17" s="1"/>
  <c r="E15" i="18" s="1"/>
  <c r="F15" i="18" s="1"/>
  <c r="E15" i="19" s="1"/>
  <c r="E12" i="4"/>
  <c r="E11" i="4"/>
  <c r="E10" i="4"/>
  <c r="E9" i="4"/>
  <c r="E9" i="5" s="1"/>
  <c r="E9" i="33" s="1"/>
  <c r="E9" i="7" s="1"/>
  <c r="E9" i="8" s="1"/>
  <c r="E9" i="9" s="1"/>
  <c r="E9" i="10" s="1"/>
  <c r="E9" i="11" s="1"/>
  <c r="E9" i="12" s="1"/>
  <c r="E9" i="13" s="1"/>
  <c r="E9" i="14" s="1"/>
  <c r="E9" i="15" s="1"/>
  <c r="E9" i="16" s="1"/>
  <c r="E9" i="17" s="1"/>
  <c r="E9" i="18" s="1"/>
  <c r="E9" i="19" s="1"/>
  <c r="E8" i="5"/>
  <c r="E8" i="33" s="1"/>
  <c r="E8" i="7" s="1"/>
  <c r="E8" i="8" s="1"/>
  <c r="E8" i="9" s="1"/>
  <c r="E8" i="10" s="1"/>
  <c r="E8" i="11" s="1"/>
  <c r="E8" i="12" s="1"/>
  <c r="E8" i="13" s="1"/>
  <c r="E8" i="14" s="1"/>
  <c r="E8" i="15" s="1"/>
  <c r="E8" i="16" s="1"/>
  <c r="E8" i="17" s="1"/>
  <c r="E8" i="18" s="1"/>
  <c r="E8" i="19" s="1"/>
  <c r="E7" i="5"/>
  <c r="E7" i="33" s="1"/>
  <c r="E7" i="7" s="1"/>
  <c r="E7" i="8" s="1"/>
  <c r="E7" i="9" s="1"/>
  <c r="E7" i="10" s="1"/>
  <c r="E7" i="11" s="1"/>
  <c r="E7" i="12" s="1"/>
  <c r="E7" i="13" s="1"/>
  <c r="E7" i="14" s="1"/>
  <c r="E7" i="15" s="1"/>
  <c r="E7" i="16" s="1"/>
  <c r="E7" i="17" s="1"/>
  <c r="E7" i="18" s="1"/>
  <c r="E7" i="19" s="1"/>
  <c r="E133" i="3"/>
  <c r="E132" i="3"/>
  <c r="E131" i="3"/>
  <c r="E130" i="3"/>
  <c r="E129" i="3"/>
  <c r="E128" i="3"/>
  <c r="E74" i="3"/>
  <c r="E79" i="3"/>
  <c r="E78" i="3"/>
  <c r="E77" i="3"/>
  <c r="E76" i="3"/>
  <c r="E75" i="3"/>
  <c r="E24" i="3"/>
  <c r="E19" i="3"/>
  <c r="G19" i="3" s="1"/>
  <c r="E18" i="3"/>
  <c r="E182" i="3"/>
  <c r="E181" i="3"/>
  <c r="E180" i="3"/>
  <c r="E177" i="3"/>
  <c r="E176" i="3"/>
  <c r="E175" i="3"/>
  <c r="E172" i="3"/>
  <c r="E171" i="3"/>
  <c r="E170" i="3"/>
  <c r="E165" i="3"/>
  <c r="E164" i="3"/>
  <c r="E163" i="3"/>
  <c r="E162" i="3"/>
  <c r="E161" i="3"/>
  <c r="E160" i="3"/>
  <c r="E159" i="3"/>
  <c r="E158" i="3"/>
  <c r="E140" i="3"/>
  <c r="E138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92" i="3"/>
  <c r="E91" i="3"/>
  <c r="E90" i="3"/>
  <c r="E89" i="3"/>
  <c r="E88" i="3"/>
  <c r="E87" i="3"/>
  <c r="E86" i="3"/>
  <c r="E85" i="3"/>
  <c r="E84" i="3"/>
  <c r="E83" i="3"/>
  <c r="E82" i="3"/>
  <c r="E70" i="3"/>
  <c r="E69" i="3"/>
  <c r="E68" i="3"/>
  <c r="E67" i="3"/>
  <c r="E66" i="3"/>
  <c r="E65" i="3"/>
  <c r="E64" i="3"/>
  <c r="E63" i="3"/>
  <c r="E62" i="3"/>
  <c r="E58" i="3"/>
  <c r="E57" i="3"/>
  <c r="E56" i="3"/>
  <c r="E55" i="3"/>
  <c r="E54" i="3"/>
  <c r="E53" i="3"/>
  <c r="E52" i="3"/>
  <c r="E51" i="3"/>
  <c r="E50" i="3"/>
  <c r="E49" i="3"/>
  <c r="E46" i="3"/>
  <c r="E45" i="3"/>
  <c r="E44" i="3"/>
  <c r="E43" i="3"/>
  <c r="E42" i="3"/>
  <c r="E41" i="3"/>
  <c r="E40" i="3"/>
  <c r="E39" i="3"/>
  <c r="E38" i="3"/>
  <c r="E37" i="3"/>
  <c r="E36" i="3"/>
  <c r="E35" i="3"/>
  <c r="E23" i="3"/>
  <c r="E22" i="3"/>
  <c r="G22" i="3" s="1"/>
  <c r="E15" i="3"/>
  <c r="G15" i="3" s="1"/>
  <c r="E12" i="3"/>
  <c r="E11" i="3"/>
  <c r="G11" i="3" s="1"/>
  <c r="E10" i="3"/>
  <c r="G10" i="3" s="1"/>
  <c r="E8" i="3"/>
  <c r="G8" i="3" s="1"/>
  <c r="E7" i="3"/>
  <c r="G7" i="3" s="1"/>
  <c r="E9" i="3"/>
  <c r="G9" i="3" s="1"/>
  <c r="H179" i="2"/>
  <c r="J179" i="2" s="1"/>
  <c r="H174" i="2"/>
  <c r="J174" i="2" s="1"/>
  <c r="H164" i="2"/>
  <c r="H164" i="3" s="1"/>
  <c r="H164" i="4" s="1"/>
  <c r="H163" i="2"/>
  <c r="H163" i="3" s="1"/>
  <c r="H163" i="4" s="1"/>
  <c r="H135" i="2"/>
  <c r="J135" i="2" s="1"/>
  <c r="H127" i="2"/>
  <c r="J127" i="2" s="1"/>
  <c r="G23" i="2"/>
  <c r="H23" i="2" s="1"/>
  <c r="J23" i="2" s="1"/>
  <c r="G22" i="2"/>
  <c r="G19" i="2"/>
  <c r="E30" i="2" s="1"/>
  <c r="G18" i="2"/>
  <c r="E31" i="2" s="1"/>
  <c r="G15" i="2"/>
  <c r="G13" i="2"/>
  <c r="H13" i="2" s="1"/>
  <c r="J13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G8" i="2"/>
  <c r="E27" i="2" s="1"/>
  <c r="G7" i="2"/>
  <c r="I18" i="3"/>
  <c r="G18" i="3"/>
  <c r="I7" i="3"/>
  <c r="G146" i="19" l="1"/>
  <c r="T22" i="44" s="1"/>
  <c r="G147" i="19"/>
  <c r="V22" i="44" s="1"/>
  <c r="H156" i="7"/>
  <c r="J156" i="7" s="1"/>
  <c r="P16" i="3"/>
  <c r="P17" i="3"/>
  <c r="G145" i="19"/>
  <c r="S22" i="44" s="1"/>
  <c r="E19" i="20"/>
  <c r="F19" i="20" s="1"/>
  <c r="E19" i="21" s="1"/>
  <c r="F19" i="21" s="1"/>
  <c r="E19" i="22" s="1"/>
  <c r="F19" i="22" s="1"/>
  <c r="E19" i="23" s="1"/>
  <c r="F19" i="23" s="1"/>
  <c r="E19" i="24" s="1"/>
  <c r="F19" i="24" s="1"/>
  <c r="E19" i="25" s="1"/>
  <c r="F19" i="25" s="1"/>
  <c r="E19" i="40" s="1"/>
  <c r="F19" i="40" s="1"/>
  <c r="E19" i="27" s="1"/>
  <c r="F19" i="27" s="1"/>
  <c r="E19" i="28" s="1"/>
  <c r="F19" i="28" s="1"/>
  <c r="E19" i="29" s="1"/>
  <c r="F19" i="29" s="1"/>
  <c r="E19" i="30" s="1"/>
  <c r="F19" i="30" s="1"/>
  <c r="E19" i="43" s="1"/>
  <c r="F19" i="43" s="1"/>
  <c r="E19" i="31" s="1"/>
  <c r="F19" i="31" s="1"/>
  <c r="F19" i="19"/>
  <c r="E7" i="20"/>
  <c r="F7" i="20" s="1"/>
  <c r="E7" i="21" s="1"/>
  <c r="F7" i="21" s="1"/>
  <c r="E7" i="22" s="1"/>
  <c r="F7" i="22" s="1"/>
  <c r="E7" i="23" s="1"/>
  <c r="F7" i="23" s="1"/>
  <c r="E7" i="24" s="1"/>
  <c r="F7" i="24" s="1"/>
  <c r="E7" i="25" s="1"/>
  <c r="F7" i="25" s="1"/>
  <c r="E7" i="40" s="1"/>
  <c r="F7" i="40" s="1"/>
  <c r="E7" i="27" s="1"/>
  <c r="F7" i="27" s="1"/>
  <c r="E7" i="28" s="1"/>
  <c r="F7" i="28" s="1"/>
  <c r="E7" i="29" s="1"/>
  <c r="F7" i="29" s="1"/>
  <c r="E7" i="30" s="1"/>
  <c r="F7" i="30" s="1"/>
  <c r="E7" i="43" s="1"/>
  <c r="F7" i="43" s="1"/>
  <c r="E7" i="31" s="1"/>
  <c r="F7" i="31" s="1"/>
  <c r="F7" i="19"/>
  <c r="E8" i="20"/>
  <c r="F8" i="20" s="1"/>
  <c r="E8" i="21" s="1"/>
  <c r="F8" i="21" s="1"/>
  <c r="E8" i="22" s="1"/>
  <c r="F8" i="22" s="1"/>
  <c r="E8" i="23" s="1"/>
  <c r="F8" i="23" s="1"/>
  <c r="E8" i="24" s="1"/>
  <c r="F8" i="24" s="1"/>
  <c r="E8" i="25" s="1"/>
  <c r="F8" i="25" s="1"/>
  <c r="E8" i="40" s="1"/>
  <c r="F8" i="40" s="1"/>
  <c r="E8" i="27" s="1"/>
  <c r="F8" i="27" s="1"/>
  <c r="E8" i="28" s="1"/>
  <c r="F8" i="28" s="1"/>
  <c r="E8" i="29" s="1"/>
  <c r="F8" i="29" s="1"/>
  <c r="E8" i="30" s="1"/>
  <c r="F8" i="30" s="1"/>
  <c r="E8" i="43" s="1"/>
  <c r="F8" i="43" s="1"/>
  <c r="E8" i="31" s="1"/>
  <c r="F8" i="31" s="1"/>
  <c r="F8" i="19"/>
  <c r="E9" i="20"/>
  <c r="F9" i="20" s="1"/>
  <c r="E9" i="21" s="1"/>
  <c r="F9" i="21" s="1"/>
  <c r="E9" i="22" s="1"/>
  <c r="F9" i="22" s="1"/>
  <c r="E9" i="23" s="1"/>
  <c r="F9" i="23" s="1"/>
  <c r="E9" i="24" s="1"/>
  <c r="F9" i="24" s="1"/>
  <c r="E9" i="25" s="1"/>
  <c r="F9" i="25" s="1"/>
  <c r="E9" i="40" s="1"/>
  <c r="F9" i="40" s="1"/>
  <c r="E9" i="27" s="1"/>
  <c r="F9" i="27" s="1"/>
  <c r="E9" i="28" s="1"/>
  <c r="F9" i="28" s="1"/>
  <c r="E9" i="29" s="1"/>
  <c r="F9" i="29" s="1"/>
  <c r="E9" i="30" s="1"/>
  <c r="F9" i="30" s="1"/>
  <c r="E9" i="43" s="1"/>
  <c r="F9" i="43" s="1"/>
  <c r="E9" i="31" s="1"/>
  <c r="F9" i="31" s="1"/>
  <c r="F9" i="19"/>
  <c r="E15" i="20"/>
  <c r="F15" i="20" s="1"/>
  <c r="E15" i="21" s="1"/>
  <c r="F15" i="21" s="1"/>
  <c r="E15" i="22" s="1"/>
  <c r="F15" i="22" s="1"/>
  <c r="E15" i="23" s="1"/>
  <c r="F15" i="23" s="1"/>
  <c r="E15" i="24" s="1"/>
  <c r="F15" i="24" s="1"/>
  <c r="E15" i="25" s="1"/>
  <c r="F15" i="25" s="1"/>
  <c r="E15" i="40" s="1"/>
  <c r="F15" i="40" s="1"/>
  <c r="E15" i="27" s="1"/>
  <c r="F15" i="27" s="1"/>
  <c r="E15" i="28" s="1"/>
  <c r="F15" i="28" s="1"/>
  <c r="E15" i="29" s="1"/>
  <c r="F15" i="29" s="1"/>
  <c r="E15" i="30" s="1"/>
  <c r="F15" i="30" s="1"/>
  <c r="E15" i="43" s="1"/>
  <c r="F15" i="43" s="1"/>
  <c r="E15" i="31" s="1"/>
  <c r="F15" i="31" s="1"/>
  <c r="F15" i="19"/>
  <c r="G150" i="19"/>
  <c r="G143" i="19"/>
  <c r="X22" i="44" s="1"/>
  <c r="J155" i="7"/>
  <c r="H155" i="8"/>
  <c r="H18" i="2"/>
  <c r="J18" i="2" s="1"/>
  <c r="H19" i="2"/>
  <c r="J19" i="2" s="1"/>
  <c r="H8" i="2"/>
  <c r="J8" i="2" s="1"/>
  <c r="I9" i="2" s="1"/>
  <c r="H15" i="2"/>
  <c r="J15" i="2" s="1"/>
  <c r="I16" i="2" s="1"/>
  <c r="E28" i="2"/>
  <c r="G24" i="2"/>
  <c r="H10" i="3"/>
  <c r="J10" i="3" s="1"/>
  <c r="I13" i="2"/>
  <c r="G144" i="19"/>
  <c r="U22" i="44" s="1"/>
  <c r="G148" i="19"/>
  <c r="W22" i="44" s="1"/>
  <c r="G152" i="19"/>
  <c r="H165" i="5"/>
  <c r="H165" i="33" s="1"/>
  <c r="H165" i="7" s="1"/>
  <c r="H165" i="8" s="1"/>
  <c r="H164" i="5"/>
  <c r="H164" i="33" s="1"/>
  <c r="H164" i="7" s="1"/>
  <c r="H164" i="8" s="1"/>
  <c r="H163" i="5"/>
  <c r="H163" i="33" s="1"/>
  <c r="H163" i="7" s="1"/>
  <c r="J163" i="7" s="1"/>
  <c r="H179" i="3"/>
  <c r="H179" i="4" s="1"/>
  <c r="J179" i="4" s="1"/>
  <c r="H152" i="3"/>
  <c r="H152" i="4" s="1"/>
  <c r="H9" i="3"/>
  <c r="J9" i="3" s="1"/>
  <c r="H19" i="3"/>
  <c r="J19" i="3" s="1"/>
  <c r="H127" i="3"/>
  <c r="H127" i="4" s="1"/>
  <c r="J127" i="4" s="1"/>
  <c r="H135" i="3"/>
  <c r="H135" i="4" s="1"/>
  <c r="H135" i="5" s="1"/>
  <c r="H174" i="3"/>
  <c r="H174" i="4" s="1"/>
  <c r="H174" i="5" s="1"/>
  <c r="H151" i="2"/>
  <c r="J151" i="2" s="1"/>
  <c r="Z5" i="44"/>
  <c r="H134" i="3"/>
  <c r="H134" i="4" s="1"/>
  <c r="E134" i="20"/>
  <c r="G134" i="20" s="1"/>
  <c r="H22" i="2"/>
  <c r="J22" i="2" s="1"/>
  <c r="H23" i="3"/>
  <c r="H15" i="3"/>
  <c r="H11" i="3"/>
  <c r="J11" i="3" s="1"/>
  <c r="H12" i="3"/>
  <c r="G20" i="3"/>
  <c r="H7" i="2"/>
  <c r="J7" i="2" s="1"/>
  <c r="G20" i="2"/>
  <c r="H20" i="2" s="1"/>
  <c r="J20" i="2" s="1"/>
  <c r="I20" i="2" s="1"/>
  <c r="G13" i="3"/>
  <c r="H18" i="3" l="1"/>
  <c r="H156" i="8"/>
  <c r="J156" i="8" s="1"/>
  <c r="H155" i="9"/>
  <c r="J155" i="8"/>
  <c r="H8" i="3"/>
  <c r="J8" i="3" s="1"/>
  <c r="I9" i="3" s="1"/>
  <c r="H24" i="2"/>
  <c r="E29" i="2"/>
  <c r="H163" i="8"/>
  <c r="J163" i="8" s="1"/>
  <c r="J165" i="7"/>
  <c r="J164" i="7"/>
  <c r="J174" i="4"/>
  <c r="J134" i="3"/>
  <c r="J135" i="3"/>
  <c r="J135" i="4"/>
  <c r="H179" i="5"/>
  <c r="H179" i="33" s="1"/>
  <c r="J127" i="3"/>
  <c r="J179" i="3"/>
  <c r="H127" i="5"/>
  <c r="J127" i="5" s="1"/>
  <c r="J152" i="3"/>
  <c r="J152" i="4"/>
  <c r="H152" i="5"/>
  <c r="J134" i="4"/>
  <c r="H134" i="5"/>
  <c r="H151" i="3"/>
  <c r="H22" i="3"/>
  <c r="J22" i="3" s="1"/>
  <c r="J135" i="5"/>
  <c r="H174" i="33"/>
  <c r="J174" i="5"/>
  <c r="J165" i="8"/>
  <c r="H165" i="9"/>
  <c r="H164" i="9"/>
  <c r="J164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J18" i="3"/>
  <c r="H20" i="3"/>
  <c r="J15" i="3"/>
  <c r="I16" i="3" s="1"/>
  <c r="J12" i="3"/>
  <c r="H13" i="3"/>
  <c r="H7" i="3"/>
  <c r="J7" i="3" s="1"/>
  <c r="I13" i="3"/>
  <c r="G182" i="31"/>
  <c r="G181" i="31"/>
  <c r="G180" i="31"/>
  <c r="G177" i="31"/>
  <c r="AH23" i="45" s="1"/>
  <c r="G176" i="31"/>
  <c r="AH22" i="45" s="1"/>
  <c r="G175" i="31"/>
  <c r="AH21" i="45" s="1"/>
  <c r="G172" i="31"/>
  <c r="AH19" i="45" s="1"/>
  <c r="G171" i="31"/>
  <c r="AH18" i="45" s="1"/>
  <c r="G170" i="31"/>
  <c r="AH17" i="45" s="1"/>
  <c r="G162" i="31"/>
  <c r="G161" i="31"/>
  <c r="G160" i="31"/>
  <c r="G159" i="31"/>
  <c r="AB35" i="44" s="1"/>
  <c r="G158" i="31"/>
  <c r="G142" i="31"/>
  <c r="R35" i="44" s="1"/>
  <c r="G141" i="31"/>
  <c r="Q35" i="44" s="1"/>
  <c r="G140" i="31"/>
  <c r="P35" i="44" s="1"/>
  <c r="G139" i="31"/>
  <c r="O35" i="44" s="1"/>
  <c r="G138" i="31"/>
  <c r="N35" i="44" s="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92" i="31"/>
  <c r="G91" i="31"/>
  <c r="AK34" i="1" s="1"/>
  <c r="G90" i="31"/>
  <c r="AI34" i="1" s="1"/>
  <c r="G89" i="31"/>
  <c r="G88" i="31"/>
  <c r="G87" i="31"/>
  <c r="AC34" i="1" s="1"/>
  <c r="G86" i="31"/>
  <c r="AB34" i="1" s="1"/>
  <c r="G85" i="31"/>
  <c r="AA34" i="1" s="1"/>
  <c r="G84" i="31"/>
  <c r="Z34" i="1" s="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63" i="31"/>
  <c r="AH8" i="45" s="1"/>
  <c r="G62" i="31"/>
  <c r="AH7" i="45" s="1"/>
  <c r="G58" i="31"/>
  <c r="G57" i="31"/>
  <c r="G56" i="31"/>
  <c r="G55" i="31"/>
  <c r="G54" i="31"/>
  <c r="G53" i="3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E29" i="31"/>
  <c r="G29" i="31" s="1"/>
  <c r="G22" i="31"/>
  <c r="G19" i="31"/>
  <c r="G18" i="31"/>
  <c r="G15" i="31"/>
  <c r="G10" i="31"/>
  <c r="K9" i="31"/>
  <c r="G9" i="31"/>
  <c r="M8" i="31"/>
  <c r="G8" i="31"/>
  <c r="G7" i="31"/>
  <c r="G182" i="43"/>
  <c r="G181" i="43"/>
  <c r="G180" i="43"/>
  <c r="G177" i="43"/>
  <c r="AG23" i="45" s="1"/>
  <c r="G176" i="43"/>
  <c r="AG22" i="45" s="1"/>
  <c r="G175" i="43"/>
  <c r="AG21" i="45" s="1"/>
  <c r="G172" i="43"/>
  <c r="AG19" i="45" s="1"/>
  <c r="G171" i="43"/>
  <c r="AG18" i="45" s="1"/>
  <c r="G170" i="43"/>
  <c r="AG17" i="45" s="1"/>
  <c r="G162" i="43"/>
  <c r="G161" i="43"/>
  <c r="G160" i="43"/>
  <c r="G159" i="43"/>
  <c r="AB34" i="44" s="1"/>
  <c r="G158" i="43"/>
  <c r="AA34" i="44" s="1"/>
  <c r="G142" i="43"/>
  <c r="R34" i="44" s="1"/>
  <c r="G141" i="43"/>
  <c r="Q34" i="44" s="1"/>
  <c r="G140" i="43"/>
  <c r="P34" i="44" s="1"/>
  <c r="G139" i="43"/>
  <c r="O34" i="44" s="1"/>
  <c r="G138" i="43"/>
  <c r="N34" i="44" s="1"/>
  <c r="G133" i="43"/>
  <c r="G132" i="43"/>
  <c r="G131" i="43"/>
  <c r="G130" i="43"/>
  <c r="G129" i="43"/>
  <c r="G128" i="43"/>
  <c r="G123" i="4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 i="43"/>
  <c r="G113" i="43"/>
  <c r="G112" i="43"/>
  <c r="G92" i="43"/>
  <c r="AL33" i="1" s="1"/>
  <c r="G91" i="43"/>
  <c r="G90" i="43"/>
  <c r="G89" i="43"/>
  <c r="G88" i="43"/>
  <c r="G87" i="43"/>
  <c r="AC33" i="1" s="1"/>
  <c r="G86" i="43"/>
  <c r="AB33" i="1" s="1"/>
  <c r="G85" i="43"/>
  <c r="AA33" i="1" s="1"/>
  <c r="G84" i="43"/>
  <c r="Z33" i="1" s="1"/>
  <c r="G83" i="43"/>
  <c r="G82" i="43"/>
  <c r="G78" i="43"/>
  <c r="AS34" i="44" s="1"/>
  <c r="G77" i="43"/>
  <c r="AR34" i="44" s="1"/>
  <c r="G76" i="43"/>
  <c r="AQ34" i="44" s="1"/>
  <c r="G75" i="43"/>
  <c r="AP34" i="44" s="1"/>
  <c r="G74" i="43"/>
  <c r="G70" i="43"/>
  <c r="AG15" i="45" s="1"/>
  <c r="G69" i="43"/>
  <c r="AG14" i="45" s="1"/>
  <c r="G68" i="43"/>
  <c r="AG13" i="45" s="1"/>
  <c r="G67" i="43"/>
  <c r="G66" i="43"/>
  <c r="G65" i="43"/>
  <c r="G63" i="43"/>
  <c r="AG8" i="45" s="1"/>
  <c r="G62" i="43"/>
  <c r="AG7" i="45" s="1"/>
  <c r="G58" i="43"/>
  <c r="G57" i="43"/>
  <c r="G56" i="43"/>
  <c r="G55" i="43"/>
  <c r="G54" i="43"/>
  <c r="G53" i="43"/>
  <c r="G52" i="43"/>
  <c r="G51" i="43"/>
  <c r="G50" i="43"/>
  <c r="G49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E29" i="43"/>
  <c r="G29" i="43" s="1"/>
  <c r="G22" i="43"/>
  <c r="G19" i="43"/>
  <c r="G18" i="43"/>
  <c r="E31" i="43" s="1"/>
  <c r="G31" i="43" s="1"/>
  <c r="G15" i="43"/>
  <c r="G10" i="43"/>
  <c r="K9" i="43"/>
  <c r="G9" i="43"/>
  <c r="M8" i="43"/>
  <c r="G8" i="43"/>
  <c r="G7" i="43"/>
  <c r="G182" i="30"/>
  <c r="G181" i="30"/>
  <c r="G180" i="30"/>
  <c r="G177" i="30"/>
  <c r="AF23" i="45" s="1"/>
  <c r="G176" i="30"/>
  <c r="AF22" i="45" s="1"/>
  <c r="G175" i="30"/>
  <c r="AF21" i="45" s="1"/>
  <c r="G172" i="30"/>
  <c r="AF19" i="45" s="1"/>
  <c r="G171" i="30"/>
  <c r="AF18" i="45" s="1"/>
  <c r="G170" i="30"/>
  <c r="AF17" i="45" s="1"/>
  <c r="G162" i="30"/>
  <c r="G161" i="30"/>
  <c r="G160" i="30"/>
  <c r="G159" i="30"/>
  <c r="AB33" i="44" s="1"/>
  <c r="G158" i="30"/>
  <c r="AA33" i="44" s="1"/>
  <c r="G142" i="30"/>
  <c r="R33" i="44" s="1"/>
  <c r="G141" i="30"/>
  <c r="Q33" i="44" s="1"/>
  <c r="G140" i="30"/>
  <c r="P33" i="44" s="1"/>
  <c r="G139" i="30"/>
  <c r="O33" i="44" s="1"/>
  <c r="G138" i="30"/>
  <c r="N33" i="44" s="1"/>
  <c r="G133" i="30"/>
  <c r="G132" i="30"/>
  <c r="G131" i="30"/>
  <c r="G130" i="30"/>
  <c r="G129" i="30"/>
  <c r="G128" i="30"/>
  <c r="G123" i="30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 i="30"/>
  <c r="G113" i="30"/>
  <c r="G112" i="30"/>
  <c r="G92" i="30"/>
  <c r="AL32" i="1" s="1"/>
  <c r="G91" i="30"/>
  <c r="G90" i="30"/>
  <c r="G89" i="30"/>
  <c r="G88" i="30"/>
  <c r="G87" i="30"/>
  <c r="AC32" i="1" s="1"/>
  <c r="G86" i="30"/>
  <c r="AB32" i="1" s="1"/>
  <c r="G85" i="30"/>
  <c r="AA32" i="1" s="1"/>
  <c r="G84" i="30"/>
  <c r="Z32" i="1" s="1"/>
  <c r="G83" i="30"/>
  <c r="G82" i="30"/>
  <c r="G78" i="30"/>
  <c r="AS33" i="44" s="1"/>
  <c r="G77" i="30"/>
  <c r="AR33" i="44" s="1"/>
  <c r="G76" i="30"/>
  <c r="AQ33" i="44" s="1"/>
  <c r="G75" i="30"/>
  <c r="AP33" i="44" s="1"/>
  <c r="G74" i="30"/>
  <c r="G70" i="30"/>
  <c r="AF15" i="45" s="1"/>
  <c r="G69" i="30"/>
  <c r="AF14" i="45" s="1"/>
  <c r="G68" i="30"/>
  <c r="AF13" i="45" s="1"/>
  <c r="G67" i="30"/>
  <c r="G66" i="30"/>
  <c r="G65" i="30"/>
  <c r="G185" i="30" s="1"/>
  <c r="G63" i="30"/>
  <c r="AF8" i="45" s="1"/>
  <c r="G62" i="30"/>
  <c r="AF7" i="45" s="1"/>
  <c r="G58" i="30"/>
  <c r="G57" i="30"/>
  <c r="G56" i="30"/>
  <c r="G55" i="30"/>
  <c r="G54" i="30"/>
  <c r="G53" i="30"/>
  <c r="G52" i="30"/>
  <c r="G51" i="30"/>
  <c r="G50" i="30"/>
  <c r="G49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E29" i="30"/>
  <c r="G29" i="30" s="1"/>
  <c r="G22" i="30"/>
  <c r="G19" i="30"/>
  <c r="G184" i="30" s="1"/>
  <c r="G18" i="30"/>
  <c r="E31" i="30" s="1"/>
  <c r="G31" i="30" s="1"/>
  <c r="G15" i="30"/>
  <c r="G10" i="30"/>
  <c r="K9" i="30"/>
  <c r="G9" i="30"/>
  <c r="M8" i="30"/>
  <c r="G8" i="30"/>
  <c r="G7" i="30"/>
  <c r="G182" i="29"/>
  <c r="G181" i="29"/>
  <c r="G180" i="29"/>
  <c r="G177" i="29"/>
  <c r="AE23" i="45" s="1"/>
  <c r="G176" i="29"/>
  <c r="AE22" i="45" s="1"/>
  <c r="G175" i="29"/>
  <c r="AE21" i="45" s="1"/>
  <c r="G172" i="29"/>
  <c r="AE19" i="45" s="1"/>
  <c r="G171" i="29"/>
  <c r="AE18" i="45" s="1"/>
  <c r="G170" i="29"/>
  <c r="AE17" i="45" s="1"/>
  <c r="G162" i="29"/>
  <c r="G161" i="29"/>
  <c r="G160" i="29"/>
  <c r="G159" i="29"/>
  <c r="AB32" i="44" s="1"/>
  <c r="G158" i="29"/>
  <c r="AA32" i="44" s="1"/>
  <c r="G142" i="29"/>
  <c r="R32" i="44" s="1"/>
  <c r="G141" i="29"/>
  <c r="Q32" i="44" s="1"/>
  <c r="G140" i="29"/>
  <c r="P32" i="44" s="1"/>
  <c r="G139" i="29"/>
  <c r="O32" i="44" s="1"/>
  <c r="G138" i="29"/>
  <c r="N32" i="44" s="1"/>
  <c r="G133" i="29"/>
  <c r="G132" i="29"/>
  <c r="G131" i="29"/>
  <c r="G130" i="29"/>
  <c r="G129" i="29"/>
  <c r="G128" i="29"/>
  <c r="G123" i="29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 i="29"/>
  <c r="G113" i="29"/>
  <c r="G112" i="29"/>
  <c r="G92" i="29"/>
  <c r="AL31" i="1" s="1"/>
  <c r="G91" i="29"/>
  <c r="G90" i="29"/>
  <c r="G89" i="29"/>
  <c r="G88" i="29"/>
  <c r="G87" i="29"/>
  <c r="AC31" i="1" s="1"/>
  <c r="G86" i="29"/>
  <c r="AB31" i="1" s="1"/>
  <c r="G85" i="29"/>
  <c r="AA31" i="1" s="1"/>
  <c r="G84" i="29"/>
  <c r="Z31" i="1" s="1"/>
  <c r="G83" i="29"/>
  <c r="G82" i="29"/>
  <c r="G78" i="29"/>
  <c r="AS32" i="44" s="1"/>
  <c r="G77" i="29"/>
  <c r="AR32" i="44" s="1"/>
  <c r="G76" i="29"/>
  <c r="AQ32" i="44" s="1"/>
  <c r="G75" i="29"/>
  <c r="AP32" i="44" s="1"/>
  <c r="G74" i="29"/>
  <c r="G70" i="29"/>
  <c r="AE15" i="45" s="1"/>
  <c r="G69" i="29"/>
  <c r="AE14" i="45" s="1"/>
  <c r="G68" i="29"/>
  <c r="AE13" i="45" s="1"/>
  <c r="G67" i="29"/>
  <c r="G66" i="29"/>
  <c r="G65" i="29"/>
  <c r="G63" i="29"/>
  <c r="AE8" i="45" s="1"/>
  <c r="G62" i="29"/>
  <c r="AE7" i="45" s="1"/>
  <c r="G58" i="29"/>
  <c r="G57" i="29"/>
  <c r="G56" i="29"/>
  <c r="G55" i="29"/>
  <c r="G54" i="29"/>
  <c r="G53" i="29"/>
  <c r="G52" i="29"/>
  <c r="G51" i="29"/>
  <c r="G50" i="29"/>
  <c r="G49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G94" i="29" s="1"/>
  <c r="E29" i="29"/>
  <c r="G29" i="29" s="1"/>
  <c r="G22" i="29"/>
  <c r="G19" i="29"/>
  <c r="G18" i="29"/>
  <c r="E31" i="29" s="1"/>
  <c r="G31" i="29" s="1"/>
  <c r="G15" i="29"/>
  <c r="G10" i="29"/>
  <c r="K9" i="29"/>
  <c r="G9" i="29"/>
  <c r="M8" i="29"/>
  <c r="G8" i="29"/>
  <c r="G7" i="29"/>
  <c r="G182" i="28"/>
  <c r="G181" i="28"/>
  <c r="G180" i="28"/>
  <c r="G177" i="28"/>
  <c r="AD23" i="45" s="1"/>
  <c r="G176" i="28"/>
  <c r="AD22" i="45" s="1"/>
  <c r="G175" i="28"/>
  <c r="AD21" i="45" s="1"/>
  <c r="G172" i="28"/>
  <c r="AD19" i="45" s="1"/>
  <c r="G171" i="28"/>
  <c r="AD18" i="45" s="1"/>
  <c r="G170" i="28"/>
  <c r="AD17" i="45" s="1"/>
  <c r="G162" i="28"/>
  <c r="G161" i="28"/>
  <c r="G160" i="28"/>
  <c r="G159" i="28"/>
  <c r="AB31" i="44" s="1"/>
  <c r="G158" i="28"/>
  <c r="AA31" i="44" s="1"/>
  <c r="G142" i="28"/>
  <c r="R31" i="44" s="1"/>
  <c r="G141" i="28"/>
  <c r="Q31" i="44" s="1"/>
  <c r="G140" i="28"/>
  <c r="P31" i="44" s="1"/>
  <c r="G139" i="28"/>
  <c r="O31" i="44" s="1"/>
  <c r="G138" i="28"/>
  <c r="N31" i="44" s="1"/>
  <c r="G133" i="28"/>
  <c r="G132" i="28"/>
  <c r="G131" i="28"/>
  <c r="G130" i="28"/>
  <c r="G129" i="28"/>
  <c r="G128" i="28"/>
  <c r="G123" i="28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 i="28"/>
  <c r="G113" i="28"/>
  <c r="G112" i="28"/>
  <c r="G92" i="28"/>
  <c r="AL30" i="1" s="1"/>
  <c r="G91" i="28"/>
  <c r="G90" i="28"/>
  <c r="G89" i="28"/>
  <c r="G88" i="28"/>
  <c r="G87" i="28"/>
  <c r="AC30" i="1" s="1"/>
  <c r="G86" i="28"/>
  <c r="AB30" i="1" s="1"/>
  <c r="G85" i="28"/>
  <c r="AA30" i="1" s="1"/>
  <c r="G84" i="28"/>
  <c r="Z30" i="1" s="1"/>
  <c r="G83" i="28"/>
  <c r="G82" i="28"/>
  <c r="G78" i="28"/>
  <c r="AS31" i="44" s="1"/>
  <c r="G77" i="28"/>
  <c r="AR31" i="44" s="1"/>
  <c r="G76" i="28"/>
  <c r="AQ31" i="44" s="1"/>
  <c r="G75" i="28"/>
  <c r="AP31" i="44" s="1"/>
  <c r="G74" i="28"/>
  <c r="G70" i="28"/>
  <c r="AD15" i="45" s="1"/>
  <c r="G69" i="28"/>
  <c r="AD14" i="45" s="1"/>
  <c r="G68" i="28"/>
  <c r="AD13" i="45" s="1"/>
  <c r="G67" i="28"/>
  <c r="G66" i="28"/>
  <c r="G65" i="28"/>
  <c r="G63" i="28"/>
  <c r="AD8" i="45" s="1"/>
  <c r="G62" i="28"/>
  <c r="AD7" i="45" s="1"/>
  <c r="G58" i="28"/>
  <c r="G57" i="28"/>
  <c r="G56" i="28"/>
  <c r="G55" i="28"/>
  <c r="G54" i="28"/>
  <c r="G53" i="28"/>
  <c r="G52" i="28"/>
  <c r="G51" i="28"/>
  <c r="G50" i="28"/>
  <c r="G49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E29" i="28"/>
  <c r="G29" i="28" s="1"/>
  <c r="G22" i="28"/>
  <c r="G19" i="28"/>
  <c r="G18" i="28"/>
  <c r="E31" i="28" s="1"/>
  <c r="G31" i="28" s="1"/>
  <c r="G15" i="28"/>
  <c r="G10" i="28"/>
  <c r="K9" i="28"/>
  <c r="G9" i="28"/>
  <c r="M8" i="28"/>
  <c r="G8" i="28"/>
  <c r="E27" i="28" s="1"/>
  <c r="G27" i="28" s="1"/>
  <c r="G7" i="28"/>
  <c r="G182" i="27"/>
  <c r="G181" i="27"/>
  <c r="G180" i="27"/>
  <c r="G177" i="27"/>
  <c r="AC23" i="45" s="1"/>
  <c r="G176" i="27"/>
  <c r="AC22" i="45" s="1"/>
  <c r="G175" i="27"/>
  <c r="AC21" i="45" s="1"/>
  <c r="G172" i="27"/>
  <c r="AC19" i="45" s="1"/>
  <c r="G171" i="27"/>
  <c r="AC18" i="45" s="1"/>
  <c r="G170" i="27"/>
  <c r="AC17" i="45" s="1"/>
  <c r="G162" i="27"/>
  <c r="G161" i="27"/>
  <c r="G160" i="27"/>
  <c r="G159" i="27"/>
  <c r="AB30" i="44" s="1"/>
  <c r="G158" i="27"/>
  <c r="AA30" i="44" s="1"/>
  <c r="G142" i="27"/>
  <c r="R30" i="44" s="1"/>
  <c r="G141" i="27"/>
  <c r="Q30" i="44" s="1"/>
  <c r="G140" i="27"/>
  <c r="P30" i="44" s="1"/>
  <c r="G139" i="27"/>
  <c r="O30" i="44" s="1"/>
  <c r="G138" i="27"/>
  <c r="N30" i="44" s="1"/>
  <c r="G133" i="27"/>
  <c r="G132" i="27"/>
  <c r="G131" i="27"/>
  <c r="G130" i="27"/>
  <c r="G129" i="27"/>
  <c r="G128" i="27"/>
  <c r="G123" i="27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 i="27"/>
  <c r="G113" i="27"/>
  <c r="G112" i="27"/>
  <c r="G92" i="27"/>
  <c r="AL29" i="1" s="1"/>
  <c r="G91" i="27"/>
  <c r="G90" i="27"/>
  <c r="G89" i="27"/>
  <c r="G88" i="27"/>
  <c r="G87" i="27"/>
  <c r="AC29" i="1" s="1"/>
  <c r="G86" i="27"/>
  <c r="AB29" i="1" s="1"/>
  <c r="G85" i="27"/>
  <c r="AA29" i="1" s="1"/>
  <c r="G84" i="27"/>
  <c r="Z29" i="1" s="1"/>
  <c r="G83" i="27"/>
  <c r="G82" i="27"/>
  <c r="G78" i="27"/>
  <c r="AS30" i="44" s="1"/>
  <c r="G77" i="27"/>
  <c r="AR30" i="44" s="1"/>
  <c r="G76" i="27"/>
  <c r="AQ30" i="44" s="1"/>
  <c r="G75" i="27"/>
  <c r="AP30" i="44" s="1"/>
  <c r="G74" i="27"/>
  <c r="G70" i="27"/>
  <c r="AC15" i="45" s="1"/>
  <c r="G69" i="27"/>
  <c r="AC14" i="45" s="1"/>
  <c r="G68" i="27"/>
  <c r="AC13" i="45" s="1"/>
  <c r="G67" i="27"/>
  <c r="G66" i="27"/>
  <c r="G65" i="27"/>
  <c r="G63" i="27"/>
  <c r="AC8" i="45" s="1"/>
  <c r="G62" i="27"/>
  <c r="AC7" i="45" s="1"/>
  <c r="G58" i="27"/>
  <c r="G57" i="27"/>
  <c r="G56" i="27"/>
  <c r="G55" i="27"/>
  <c r="G54" i="27"/>
  <c r="G53" i="27"/>
  <c r="G52" i="27"/>
  <c r="G51" i="27"/>
  <c r="G50" i="27"/>
  <c r="G49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E29" i="27"/>
  <c r="G29" i="27" s="1"/>
  <c r="G22" i="27"/>
  <c r="G19" i="27"/>
  <c r="G18" i="27"/>
  <c r="E31" i="27" s="1"/>
  <c r="G31" i="27" s="1"/>
  <c r="G15" i="27"/>
  <c r="G10" i="27"/>
  <c r="K9" i="27"/>
  <c r="G9" i="27"/>
  <c r="M8" i="27"/>
  <c r="G8" i="27"/>
  <c r="G7" i="27"/>
  <c r="G182" i="40"/>
  <c r="G181" i="40"/>
  <c r="G180" i="40"/>
  <c r="G177" i="40"/>
  <c r="AB23" i="45" s="1"/>
  <c r="G176" i="40"/>
  <c r="AB22" i="45" s="1"/>
  <c r="G175" i="40"/>
  <c r="AB21" i="45" s="1"/>
  <c r="G172" i="40"/>
  <c r="AB19" i="45" s="1"/>
  <c r="G171" i="40"/>
  <c r="AB18" i="45" s="1"/>
  <c r="G170" i="40"/>
  <c r="AB17" i="45" s="1"/>
  <c r="G162" i="40"/>
  <c r="G161" i="40"/>
  <c r="G160" i="40"/>
  <c r="G159" i="40"/>
  <c r="AB29" i="44" s="1"/>
  <c r="G158" i="40"/>
  <c r="AA29" i="44" s="1"/>
  <c r="G142" i="40"/>
  <c r="R29" i="44" s="1"/>
  <c r="G141" i="40"/>
  <c r="Q29" i="44" s="1"/>
  <c r="G140" i="40"/>
  <c r="P29" i="44" s="1"/>
  <c r="G139" i="40"/>
  <c r="O29" i="44" s="1"/>
  <c r="G138" i="40"/>
  <c r="N29" i="44" s="1"/>
  <c r="G133" i="40"/>
  <c r="G132" i="40"/>
  <c r="G131" i="40"/>
  <c r="G130" i="40"/>
  <c r="G129" i="40"/>
  <c r="G128" i="40"/>
  <c r="G123" i="40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 i="40"/>
  <c r="G113" i="40"/>
  <c r="G112" i="40"/>
  <c r="G92" i="40"/>
  <c r="AL28" i="1" s="1"/>
  <c r="G91" i="40"/>
  <c r="G90" i="40"/>
  <c r="G89" i="40"/>
  <c r="G88" i="40"/>
  <c r="G87" i="40"/>
  <c r="AC28" i="1" s="1"/>
  <c r="G86" i="40"/>
  <c r="AB28" i="1" s="1"/>
  <c r="G85" i="40"/>
  <c r="AA28" i="1" s="1"/>
  <c r="G84" i="40"/>
  <c r="Z28" i="1" s="1"/>
  <c r="G83" i="40"/>
  <c r="G82" i="40"/>
  <c r="G78" i="40"/>
  <c r="AS29" i="44" s="1"/>
  <c r="G77" i="40"/>
  <c r="AR29" i="44" s="1"/>
  <c r="G76" i="40"/>
  <c r="AQ29" i="44" s="1"/>
  <c r="G75" i="40"/>
  <c r="AP29" i="44" s="1"/>
  <c r="G74" i="40"/>
  <c r="G70" i="40"/>
  <c r="AB15" i="45" s="1"/>
  <c r="G69" i="40"/>
  <c r="AB14" i="45" s="1"/>
  <c r="G68" i="40"/>
  <c r="AB13" i="45" s="1"/>
  <c r="G67" i="40"/>
  <c r="G66" i="40"/>
  <c r="G65" i="40"/>
  <c r="G185" i="40" s="1"/>
  <c r="G63" i="40"/>
  <c r="AB8" i="45" s="1"/>
  <c r="G62" i="40"/>
  <c r="AB7" i="45" s="1"/>
  <c r="G58" i="40"/>
  <c r="G57" i="40"/>
  <c r="G56" i="40"/>
  <c r="G55" i="40"/>
  <c r="G54" i="40"/>
  <c r="G53" i="40"/>
  <c r="G52" i="40"/>
  <c r="G51" i="40"/>
  <c r="G50" i="40"/>
  <c r="G49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E29" i="40"/>
  <c r="G29" i="40" s="1"/>
  <c r="G22" i="40"/>
  <c r="G19" i="40"/>
  <c r="G184" i="40" s="1"/>
  <c r="G18" i="40"/>
  <c r="E31" i="40" s="1"/>
  <c r="G31" i="40" s="1"/>
  <c r="G15" i="40"/>
  <c r="G10" i="40"/>
  <c r="K9" i="40"/>
  <c r="G9" i="40"/>
  <c r="M8" i="40"/>
  <c r="G8" i="40"/>
  <c r="G7" i="40"/>
  <c r="G182" i="25"/>
  <c r="G181" i="25"/>
  <c r="G180" i="25"/>
  <c r="G177" i="25"/>
  <c r="AA23" i="45" s="1"/>
  <c r="G176" i="25"/>
  <c r="AA22" i="45" s="1"/>
  <c r="G175" i="25"/>
  <c r="AA21" i="45" s="1"/>
  <c r="G172" i="25"/>
  <c r="AA19" i="45" s="1"/>
  <c r="G171" i="25"/>
  <c r="AA18" i="45" s="1"/>
  <c r="G170" i="25"/>
  <c r="AA17" i="45" s="1"/>
  <c r="G162" i="25"/>
  <c r="G161" i="25"/>
  <c r="G160" i="25"/>
  <c r="G159" i="25"/>
  <c r="AB28" i="44" s="1"/>
  <c r="G158" i="25"/>
  <c r="AA28" i="44" s="1"/>
  <c r="G142" i="25"/>
  <c r="R28" i="44" s="1"/>
  <c r="G141" i="25"/>
  <c r="Q28" i="44" s="1"/>
  <c r="G140" i="25"/>
  <c r="P28" i="44" s="1"/>
  <c r="G139" i="25"/>
  <c r="O28" i="44" s="1"/>
  <c r="G138" i="25"/>
  <c r="N28" i="44" s="1"/>
  <c r="G133" i="25"/>
  <c r="G132" i="25"/>
  <c r="G131" i="25"/>
  <c r="G130" i="25"/>
  <c r="G129" i="25"/>
  <c r="G128" i="25"/>
  <c r="G123" i="25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 i="25"/>
  <c r="G113" i="25"/>
  <c r="G112" i="25"/>
  <c r="G92" i="25"/>
  <c r="AL27" i="1" s="1"/>
  <c r="G91" i="25"/>
  <c r="G90" i="25"/>
  <c r="G89" i="25"/>
  <c r="G88" i="25"/>
  <c r="G87" i="25"/>
  <c r="AC27" i="1" s="1"/>
  <c r="G86" i="25"/>
  <c r="AB27" i="1" s="1"/>
  <c r="G85" i="25"/>
  <c r="AA27" i="1" s="1"/>
  <c r="G84" i="25"/>
  <c r="Z27" i="1" s="1"/>
  <c r="G83" i="25"/>
  <c r="G82" i="25"/>
  <c r="G78" i="25"/>
  <c r="AS28" i="44" s="1"/>
  <c r="G77" i="25"/>
  <c r="AR28" i="44" s="1"/>
  <c r="G76" i="25"/>
  <c r="AQ28" i="44" s="1"/>
  <c r="G75" i="25"/>
  <c r="AP28" i="44" s="1"/>
  <c r="G74" i="25"/>
  <c r="G70" i="25"/>
  <c r="AA15" i="45" s="1"/>
  <c r="G69" i="25"/>
  <c r="AA14" i="45" s="1"/>
  <c r="G68" i="25"/>
  <c r="AA13" i="45" s="1"/>
  <c r="G67" i="25"/>
  <c r="G66" i="25"/>
  <c r="G65" i="25"/>
  <c r="G63" i="25"/>
  <c r="AA8" i="45" s="1"/>
  <c r="G62" i="25"/>
  <c r="AA7" i="45" s="1"/>
  <c r="G58" i="25"/>
  <c r="G57" i="25"/>
  <c r="G56" i="25"/>
  <c r="G55" i="25"/>
  <c r="G54" i="25"/>
  <c r="G53" i="25"/>
  <c r="G52" i="25"/>
  <c r="G51" i="25"/>
  <c r="G50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E29" i="25"/>
  <c r="G29" i="25" s="1"/>
  <c r="G22" i="25"/>
  <c r="G19" i="25"/>
  <c r="G18" i="25"/>
  <c r="E31" i="25" s="1"/>
  <c r="G31" i="25" s="1"/>
  <c r="G15" i="25"/>
  <c r="G10" i="25"/>
  <c r="K9" i="25"/>
  <c r="G9" i="25"/>
  <c r="M8" i="25"/>
  <c r="G8" i="25"/>
  <c r="G7" i="25"/>
  <c r="G182" i="24"/>
  <c r="G181" i="24"/>
  <c r="G180" i="24"/>
  <c r="G177" i="24"/>
  <c r="Z23" i="45" s="1"/>
  <c r="G176" i="24"/>
  <c r="Z22" i="45" s="1"/>
  <c r="G175" i="24"/>
  <c r="Z21" i="45" s="1"/>
  <c r="G172" i="24"/>
  <c r="Z19" i="45" s="1"/>
  <c r="G171" i="24"/>
  <c r="Z18" i="45" s="1"/>
  <c r="G170" i="24"/>
  <c r="Z17" i="45" s="1"/>
  <c r="G162" i="24"/>
  <c r="G161" i="24"/>
  <c r="G160" i="24"/>
  <c r="G159" i="24"/>
  <c r="AB27" i="44" s="1"/>
  <c r="G158" i="24"/>
  <c r="AA27" i="44" s="1"/>
  <c r="G140" i="24"/>
  <c r="P27" i="44" s="1"/>
  <c r="G139" i="24"/>
  <c r="O27" i="44" s="1"/>
  <c r="G138" i="24"/>
  <c r="N27" i="44" s="1"/>
  <c r="G133" i="24"/>
  <c r="G132" i="24"/>
  <c r="G131" i="24"/>
  <c r="G130" i="24"/>
  <c r="G129" i="24"/>
  <c r="G128" i="24"/>
  <c r="G123" i="24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 i="24"/>
  <c r="G113" i="24"/>
  <c r="G112" i="24"/>
  <c r="G92" i="24"/>
  <c r="AL26" i="1" s="1"/>
  <c r="G91" i="24"/>
  <c r="G90" i="24"/>
  <c r="G89" i="24"/>
  <c r="G88" i="24"/>
  <c r="G87" i="24"/>
  <c r="AC26" i="1" s="1"/>
  <c r="G86" i="24"/>
  <c r="AB26" i="1" s="1"/>
  <c r="G85" i="24"/>
  <c r="AA26" i="1" s="1"/>
  <c r="G84" i="24"/>
  <c r="Z26" i="1" s="1"/>
  <c r="G83" i="24"/>
  <c r="G82" i="24"/>
  <c r="G78" i="24"/>
  <c r="AS27" i="44" s="1"/>
  <c r="G77" i="24"/>
  <c r="AR27" i="44" s="1"/>
  <c r="G76" i="24"/>
  <c r="AQ27" i="44" s="1"/>
  <c r="G75" i="24"/>
  <c r="AP27" i="44" s="1"/>
  <c r="G74" i="24"/>
  <c r="G70" i="24"/>
  <c r="Z15" i="45" s="1"/>
  <c r="G69" i="24"/>
  <c r="Z14" i="45" s="1"/>
  <c r="G68" i="24"/>
  <c r="Z13" i="45" s="1"/>
  <c r="G67" i="24"/>
  <c r="G66" i="24"/>
  <c r="G65" i="24"/>
  <c r="G63" i="24"/>
  <c r="Z8" i="45" s="1"/>
  <c r="G62" i="24"/>
  <c r="Z7" i="45" s="1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E29" i="24"/>
  <c r="G29" i="24" s="1"/>
  <c r="G22" i="24"/>
  <c r="G19" i="24"/>
  <c r="G18" i="24"/>
  <c r="E31" i="24" s="1"/>
  <c r="G31" i="24" s="1"/>
  <c r="G15" i="24"/>
  <c r="G10" i="24"/>
  <c r="K9" i="24"/>
  <c r="G9" i="24"/>
  <c r="M8" i="24"/>
  <c r="G8" i="24"/>
  <c r="E27" i="24" s="1"/>
  <c r="G27" i="24" s="1"/>
  <c r="G7" i="24"/>
  <c r="G182" i="23"/>
  <c r="G181" i="23"/>
  <c r="G180" i="23"/>
  <c r="G177" i="23"/>
  <c r="Y23" i="45" s="1"/>
  <c r="G176" i="23"/>
  <c r="Y22" i="45" s="1"/>
  <c r="G175" i="23"/>
  <c r="Y21" i="45" s="1"/>
  <c r="G172" i="23"/>
  <c r="Y19" i="45" s="1"/>
  <c r="G171" i="23"/>
  <c r="Y18" i="45" s="1"/>
  <c r="G170" i="23"/>
  <c r="Y17" i="45" s="1"/>
  <c r="G162" i="23"/>
  <c r="G161" i="23"/>
  <c r="G160" i="23"/>
  <c r="G159" i="23"/>
  <c r="AB26" i="44" s="1"/>
  <c r="G158" i="23"/>
  <c r="AA26" i="44" s="1"/>
  <c r="G142" i="23"/>
  <c r="R26" i="44" s="1"/>
  <c r="G141" i="23"/>
  <c r="Q26" i="44" s="1"/>
  <c r="G140" i="23"/>
  <c r="P26" i="44" s="1"/>
  <c r="G139" i="23"/>
  <c r="O26" i="44" s="1"/>
  <c r="G138" i="23"/>
  <c r="N26" i="44" s="1"/>
  <c r="G133" i="23"/>
  <c r="G132" i="23"/>
  <c r="G131" i="23"/>
  <c r="G130" i="23"/>
  <c r="G129" i="23"/>
  <c r="G128" i="23"/>
  <c r="G123" i="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 i="23"/>
  <c r="G113" i="23"/>
  <c r="G112" i="23"/>
  <c r="G92" i="23"/>
  <c r="AL25" i="1" s="1"/>
  <c r="G91" i="23"/>
  <c r="G90" i="23"/>
  <c r="G89" i="23"/>
  <c r="G88" i="23"/>
  <c r="G87" i="23"/>
  <c r="AC25" i="1" s="1"/>
  <c r="G86" i="23"/>
  <c r="AB25" i="1" s="1"/>
  <c r="G85" i="23"/>
  <c r="AA25" i="1" s="1"/>
  <c r="G84" i="23"/>
  <c r="Z25" i="1" s="1"/>
  <c r="G83" i="23"/>
  <c r="G82" i="23"/>
  <c r="G78" i="23"/>
  <c r="AS26" i="44" s="1"/>
  <c r="G77" i="23"/>
  <c r="AR26" i="44" s="1"/>
  <c r="G76" i="23"/>
  <c r="AQ26" i="44" s="1"/>
  <c r="G75" i="23"/>
  <c r="AP26" i="44" s="1"/>
  <c r="G74" i="23"/>
  <c r="G70" i="23"/>
  <c r="Y15" i="45" s="1"/>
  <c r="G69" i="23"/>
  <c r="Y14" i="45" s="1"/>
  <c r="G68" i="23"/>
  <c r="Y13" i="45" s="1"/>
  <c r="G67" i="23"/>
  <c r="G66" i="23"/>
  <c r="G65" i="23"/>
  <c r="G185" i="23" s="1"/>
  <c r="G63" i="23"/>
  <c r="Y8" i="45" s="1"/>
  <c r="G62" i="23"/>
  <c r="Y7" i="45" s="1"/>
  <c r="G58" i="23"/>
  <c r="G57" i="23"/>
  <c r="G56" i="23"/>
  <c r="G55" i="23"/>
  <c r="G54" i="23"/>
  <c r="G53" i="23"/>
  <c r="G52" i="23"/>
  <c r="G51" i="23"/>
  <c r="G50" i="23"/>
  <c r="G49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E29" i="23"/>
  <c r="G29" i="23" s="1"/>
  <c r="G22" i="23"/>
  <c r="G19" i="23"/>
  <c r="G184" i="23" s="1"/>
  <c r="G18" i="23"/>
  <c r="E31" i="23" s="1"/>
  <c r="G31" i="23" s="1"/>
  <c r="G15" i="23"/>
  <c r="G10" i="23"/>
  <c r="K9" i="23"/>
  <c r="G9" i="23"/>
  <c r="M8" i="23"/>
  <c r="G8" i="23"/>
  <c r="G7" i="23"/>
  <c r="G182" i="22"/>
  <c r="G181" i="22"/>
  <c r="G180" i="22"/>
  <c r="G177" i="22"/>
  <c r="X23" i="45" s="1"/>
  <c r="G176" i="22"/>
  <c r="X22" i="45" s="1"/>
  <c r="G175" i="22"/>
  <c r="X21" i="45" s="1"/>
  <c r="G172" i="22"/>
  <c r="X19" i="45" s="1"/>
  <c r="G171" i="22"/>
  <c r="X18" i="45" s="1"/>
  <c r="G170" i="22"/>
  <c r="X17" i="45" s="1"/>
  <c r="G162" i="22"/>
  <c r="G161" i="22"/>
  <c r="G160" i="22"/>
  <c r="G159" i="22"/>
  <c r="AB25" i="44" s="1"/>
  <c r="G158" i="22"/>
  <c r="AA25" i="44" s="1"/>
  <c r="G142" i="22"/>
  <c r="R25" i="44" s="1"/>
  <c r="G141" i="22"/>
  <c r="Q25" i="44" s="1"/>
  <c r="G140" i="22"/>
  <c r="P25" i="44" s="1"/>
  <c r="G139" i="22"/>
  <c r="O25" i="44" s="1"/>
  <c r="G138" i="22"/>
  <c r="N25" i="44" s="1"/>
  <c r="G133" i="22"/>
  <c r="G132" i="22"/>
  <c r="G131" i="22"/>
  <c r="G130" i="22"/>
  <c r="G129" i="22"/>
  <c r="G128" i="22"/>
  <c r="G123" i="22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 i="22"/>
  <c r="G113" i="22"/>
  <c r="G112" i="22"/>
  <c r="G92" i="22"/>
  <c r="AL24" i="1" s="1"/>
  <c r="G91" i="22"/>
  <c r="G90" i="22"/>
  <c r="G89" i="22"/>
  <c r="G88" i="22"/>
  <c r="G87" i="22"/>
  <c r="AC24" i="1" s="1"/>
  <c r="G86" i="22"/>
  <c r="AB24" i="1" s="1"/>
  <c r="G85" i="22"/>
  <c r="AA24" i="1" s="1"/>
  <c r="G84" i="22"/>
  <c r="Z24" i="1" s="1"/>
  <c r="G83" i="22"/>
  <c r="G82" i="22"/>
  <c r="G78" i="22"/>
  <c r="AS25" i="44" s="1"/>
  <c r="G77" i="22"/>
  <c r="AR25" i="44" s="1"/>
  <c r="G76" i="22"/>
  <c r="AQ25" i="44" s="1"/>
  <c r="G75" i="22"/>
  <c r="AP25" i="44" s="1"/>
  <c r="G74" i="22"/>
  <c r="G70" i="22"/>
  <c r="X15" i="45" s="1"/>
  <c r="G69" i="22"/>
  <c r="X14" i="45" s="1"/>
  <c r="G68" i="22"/>
  <c r="X13" i="45" s="1"/>
  <c r="G67" i="22"/>
  <c r="G66" i="22"/>
  <c r="G65" i="22"/>
  <c r="G63" i="22"/>
  <c r="X8" i="45" s="1"/>
  <c r="G62" i="22"/>
  <c r="X7" i="45" s="1"/>
  <c r="G58" i="22"/>
  <c r="G57" i="22"/>
  <c r="G56" i="22"/>
  <c r="G55" i="22"/>
  <c r="G54" i="22"/>
  <c r="G53" i="22"/>
  <c r="G52" i="22"/>
  <c r="G51" i="22"/>
  <c r="G50" i="22"/>
  <c r="G49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E29" i="22"/>
  <c r="G29" i="22" s="1"/>
  <c r="G22" i="22"/>
  <c r="G19" i="22"/>
  <c r="G18" i="22"/>
  <c r="E31" i="22" s="1"/>
  <c r="G31" i="22" s="1"/>
  <c r="G15" i="22"/>
  <c r="G10" i="22"/>
  <c r="K9" i="22"/>
  <c r="G9" i="22"/>
  <c r="M8" i="22"/>
  <c r="G8" i="22"/>
  <c r="G7" i="22"/>
  <c r="G182" i="21"/>
  <c r="G181" i="21"/>
  <c r="G180" i="21"/>
  <c r="G177" i="21"/>
  <c r="W23" i="45" s="1"/>
  <c r="G176" i="21"/>
  <c r="W22" i="45" s="1"/>
  <c r="G175" i="21"/>
  <c r="W21" i="45" s="1"/>
  <c r="G172" i="21"/>
  <c r="W19" i="45" s="1"/>
  <c r="G171" i="21"/>
  <c r="W18" i="45" s="1"/>
  <c r="G170" i="21"/>
  <c r="W17" i="45" s="1"/>
  <c r="G162" i="21"/>
  <c r="G161" i="21"/>
  <c r="G160" i="21"/>
  <c r="G159" i="21"/>
  <c r="AB24" i="44" s="1"/>
  <c r="G158" i="21"/>
  <c r="AA24" i="44" s="1"/>
  <c r="G142" i="21"/>
  <c r="R24" i="44" s="1"/>
  <c r="G141" i="21"/>
  <c r="Q24" i="44" s="1"/>
  <c r="G140" i="21"/>
  <c r="P24" i="44" s="1"/>
  <c r="G139" i="21"/>
  <c r="O24" i="44" s="1"/>
  <c r="G138" i="21"/>
  <c r="N24" i="44" s="1"/>
  <c r="G133" i="21"/>
  <c r="G132" i="21"/>
  <c r="G131" i="21"/>
  <c r="G130" i="21"/>
  <c r="G129" i="21"/>
  <c r="G128" i="21"/>
  <c r="G123" i="21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 i="21"/>
  <c r="G113" i="21"/>
  <c r="G112" i="21"/>
  <c r="G92" i="21"/>
  <c r="AL23" i="1" s="1"/>
  <c r="G91" i="21"/>
  <c r="G90" i="21"/>
  <c r="G89" i="21"/>
  <c r="G88" i="21"/>
  <c r="G87" i="21"/>
  <c r="AC23" i="1" s="1"/>
  <c r="G86" i="21"/>
  <c r="AB23" i="1" s="1"/>
  <c r="G85" i="21"/>
  <c r="AA23" i="1" s="1"/>
  <c r="G84" i="21"/>
  <c r="Z23" i="1" s="1"/>
  <c r="G83" i="21"/>
  <c r="G82" i="21"/>
  <c r="G78" i="21"/>
  <c r="AS24" i="44" s="1"/>
  <c r="G77" i="21"/>
  <c r="AR24" i="44" s="1"/>
  <c r="G76" i="21"/>
  <c r="AQ24" i="44" s="1"/>
  <c r="G75" i="21"/>
  <c r="AP24" i="44" s="1"/>
  <c r="G74" i="21"/>
  <c r="G70" i="21"/>
  <c r="W15" i="45" s="1"/>
  <c r="G69" i="21"/>
  <c r="W14" i="45" s="1"/>
  <c r="G68" i="21"/>
  <c r="W13" i="45" s="1"/>
  <c r="G67" i="21"/>
  <c r="G66" i="21"/>
  <c r="G65" i="21"/>
  <c r="G63" i="21"/>
  <c r="W8" i="45" s="1"/>
  <c r="G62" i="21"/>
  <c r="G58" i="21"/>
  <c r="G57" i="21"/>
  <c r="G56" i="21"/>
  <c r="G55" i="21"/>
  <c r="G54" i="21"/>
  <c r="G53" i="21"/>
  <c r="G52" i="21"/>
  <c r="G51" i="21"/>
  <c r="G50" i="21"/>
  <c r="G49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E29" i="21"/>
  <c r="G29" i="21" s="1"/>
  <c r="G22" i="21"/>
  <c r="G19" i="21"/>
  <c r="G18" i="21"/>
  <c r="E31" i="21" s="1"/>
  <c r="G31" i="21" s="1"/>
  <c r="G15" i="21"/>
  <c r="G10" i="21"/>
  <c r="K9" i="21"/>
  <c r="G9" i="21"/>
  <c r="M8" i="21"/>
  <c r="G8" i="21"/>
  <c r="G7" i="21"/>
  <c r="G182" i="20"/>
  <c r="G181" i="20"/>
  <c r="G180" i="20"/>
  <c r="G177" i="20"/>
  <c r="V23" i="45" s="1"/>
  <c r="G176" i="20"/>
  <c r="V22" i="45" s="1"/>
  <c r="G175" i="20"/>
  <c r="V21" i="45" s="1"/>
  <c r="G172" i="20"/>
  <c r="V19" i="45" s="1"/>
  <c r="G171" i="20"/>
  <c r="V18" i="45" s="1"/>
  <c r="G170" i="20"/>
  <c r="V17" i="45" s="1"/>
  <c r="G162" i="20"/>
  <c r="G161" i="20"/>
  <c r="G160" i="20"/>
  <c r="G159" i="20"/>
  <c r="AB23" i="44" s="1"/>
  <c r="G158" i="20"/>
  <c r="AA23" i="44" s="1"/>
  <c r="G142" i="20"/>
  <c r="R23" i="44" s="1"/>
  <c r="G141" i="20"/>
  <c r="Q23" i="44" s="1"/>
  <c r="G140" i="20"/>
  <c r="P23" i="44" s="1"/>
  <c r="G139" i="20"/>
  <c r="O23" i="44" s="1"/>
  <c r="G138" i="20"/>
  <c r="N23" i="44" s="1"/>
  <c r="G133" i="20"/>
  <c r="G132" i="20"/>
  <c r="G131" i="20"/>
  <c r="G130" i="20"/>
  <c r="G129" i="20"/>
  <c r="G128" i="20"/>
  <c r="G123" i="20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 i="20"/>
  <c r="G113" i="20"/>
  <c r="G112" i="20"/>
  <c r="G92" i="20"/>
  <c r="AL22" i="1" s="1"/>
  <c r="G91" i="20"/>
  <c r="G90" i="20"/>
  <c r="G89" i="20"/>
  <c r="G88" i="20"/>
  <c r="G87" i="20"/>
  <c r="AC22" i="1" s="1"/>
  <c r="G86" i="20"/>
  <c r="AB22" i="1" s="1"/>
  <c r="G85" i="20"/>
  <c r="AA22" i="1" s="1"/>
  <c r="G84" i="20"/>
  <c r="Z22" i="1" s="1"/>
  <c r="G83" i="20"/>
  <c r="G82" i="20"/>
  <c r="G78" i="20"/>
  <c r="AS23" i="44" s="1"/>
  <c r="G77" i="20"/>
  <c r="AR23" i="44" s="1"/>
  <c r="G76" i="20"/>
  <c r="AQ23" i="44" s="1"/>
  <c r="G75" i="20"/>
  <c r="AP23" i="44" s="1"/>
  <c r="G74" i="20"/>
  <c r="G70" i="20"/>
  <c r="V15" i="45" s="1"/>
  <c r="G69" i="20"/>
  <c r="V14" i="45" s="1"/>
  <c r="G68" i="20"/>
  <c r="V13" i="45" s="1"/>
  <c r="G67" i="20"/>
  <c r="G66" i="20"/>
  <c r="G65" i="20"/>
  <c r="G63" i="20"/>
  <c r="V8" i="45" s="1"/>
  <c r="G62" i="20"/>
  <c r="V7" i="45" s="1"/>
  <c r="G58" i="20"/>
  <c r="G57" i="20"/>
  <c r="G56" i="20"/>
  <c r="G55" i="20"/>
  <c r="G54" i="20"/>
  <c r="G53" i="20"/>
  <c r="G52" i="20"/>
  <c r="G51" i="20"/>
  <c r="G50" i="20"/>
  <c r="G49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E29" i="20"/>
  <c r="G29" i="20" s="1"/>
  <c r="G22" i="20"/>
  <c r="G19" i="20"/>
  <c r="G184" i="20" s="1"/>
  <c r="G18" i="20"/>
  <c r="E31" i="20" s="1"/>
  <c r="G31" i="20" s="1"/>
  <c r="G15" i="20"/>
  <c r="G10" i="20"/>
  <c r="K9" i="20"/>
  <c r="G9" i="20"/>
  <c r="M8" i="20"/>
  <c r="G8" i="20"/>
  <c r="G7" i="20"/>
  <c r="G182" i="19"/>
  <c r="G181" i="19"/>
  <c r="G180" i="19"/>
  <c r="G177" i="19"/>
  <c r="U23" i="45" s="1"/>
  <c r="G176" i="19"/>
  <c r="U22" i="45" s="1"/>
  <c r="G175" i="19"/>
  <c r="U21" i="45" s="1"/>
  <c r="G172" i="19"/>
  <c r="U19" i="45" s="1"/>
  <c r="G171" i="19"/>
  <c r="U18" i="45" s="1"/>
  <c r="G170" i="19"/>
  <c r="U17" i="45" s="1"/>
  <c r="G162" i="19"/>
  <c r="G161" i="19"/>
  <c r="G160" i="19"/>
  <c r="G159" i="19"/>
  <c r="AB22" i="44" s="1"/>
  <c r="G158" i="19"/>
  <c r="G142" i="19"/>
  <c r="R22" i="44" s="1"/>
  <c r="G141" i="19"/>
  <c r="Q22" i="44" s="1"/>
  <c r="G140" i="19"/>
  <c r="P22" i="44" s="1"/>
  <c r="G139" i="19"/>
  <c r="O22" i="44" s="1"/>
  <c r="G138" i="19"/>
  <c r="G133" i="19"/>
  <c r="G132" i="19"/>
  <c r="G131" i="19"/>
  <c r="G130" i="19"/>
  <c r="G129" i="19"/>
  <c r="G128" i="19"/>
  <c r="G123" i="19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 i="19"/>
  <c r="G113" i="19"/>
  <c r="G112" i="19"/>
  <c r="G92" i="19"/>
  <c r="AL21" i="1" s="1"/>
  <c r="G91" i="19"/>
  <c r="G90" i="19"/>
  <c r="G89" i="19"/>
  <c r="G88" i="19"/>
  <c r="G87" i="19"/>
  <c r="AC21" i="1" s="1"/>
  <c r="G86" i="19"/>
  <c r="AB21" i="1" s="1"/>
  <c r="G85" i="19"/>
  <c r="AA21" i="1" s="1"/>
  <c r="G84" i="19"/>
  <c r="Z21" i="1" s="1"/>
  <c r="G83" i="19"/>
  <c r="G82" i="19"/>
  <c r="G78" i="19"/>
  <c r="AS22" i="44" s="1"/>
  <c r="G77" i="19"/>
  <c r="AR22" i="44" s="1"/>
  <c r="G76" i="19"/>
  <c r="AQ22" i="44" s="1"/>
  <c r="G75" i="19"/>
  <c r="AP22" i="44" s="1"/>
  <c r="G74" i="19"/>
  <c r="G70" i="19"/>
  <c r="U15" i="45" s="1"/>
  <c r="G69" i="19"/>
  <c r="U14" i="45" s="1"/>
  <c r="G68" i="19"/>
  <c r="U13" i="45" s="1"/>
  <c r="G67" i="19"/>
  <c r="G66" i="19"/>
  <c r="G65" i="19"/>
  <c r="G63" i="19"/>
  <c r="U8" i="45" s="1"/>
  <c r="G62" i="19"/>
  <c r="U7" i="45" s="1"/>
  <c r="G58" i="19"/>
  <c r="G57" i="19"/>
  <c r="G56" i="19"/>
  <c r="G55" i="19"/>
  <c r="G54" i="19"/>
  <c r="G53" i="19"/>
  <c r="G52" i="19"/>
  <c r="G51" i="19"/>
  <c r="G50" i="19"/>
  <c r="G49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E29" i="19"/>
  <c r="G29" i="19" s="1"/>
  <c r="G22" i="19"/>
  <c r="G19" i="19"/>
  <c r="G18" i="19"/>
  <c r="E31" i="19" s="1"/>
  <c r="G31" i="19" s="1"/>
  <c r="G15" i="19"/>
  <c r="G10" i="19"/>
  <c r="K9" i="19"/>
  <c r="G9" i="19"/>
  <c r="M8" i="19"/>
  <c r="G8" i="19"/>
  <c r="E27" i="19" s="1"/>
  <c r="G27" i="19" s="1"/>
  <c r="G7" i="19"/>
  <c r="G182" i="18"/>
  <c r="G181" i="18"/>
  <c r="G180" i="18"/>
  <c r="G177" i="18"/>
  <c r="T23" i="45" s="1"/>
  <c r="G176" i="18"/>
  <c r="T22" i="45" s="1"/>
  <c r="G175" i="18"/>
  <c r="T21" i="45" s="1"/>
  <c r="G172" i="18"/>
  <c r="T19" i="45" s="1"/>
  <c r="G171" i="18"/>
  <c r="T18" i="45" s="1"/>
  <c r="G170" i="18"/>
  <c r="T17" i="45" s="1"/>
  <c r="G162" i="18"/>
  <c r="G161" i="18"/>
  <c r="G160" i="18"/>
  <c r="G159" i="18"/>
  <c r="AB21" i="44" s="1"/>
  <c r="G158" i="18"/>
  <c r="G142" i="18"/>
  <c r="R21" i="44" s="1"/>
  <c r="G141" i="18"/>
  <c r="Q21" i="44" s="1"/>
  <c r="G140" i="18"/>
  <c r="P21" i="44" s="1"/>
  <c r="G139" i="18"/>
  <c r="O21" i="44" s="1"/>
  <c r="G138" i="18"/>
  <c r="G133" i="18"/>
  <c r="G132" i="18"/>
  <c r="G131" i="18"/>
  <c r="G130" i="18"/>
  <c r="G129" i="18"/>
  <c r="G128" i="18"/>
  <c r="G123" i="18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 i="18"/>
  <c r="G113" i="18"/>
  <c r="G112" i="18"/>
  <c r="G92" i="18"/>
  <c r="AL20" i="1" s="1"/>
  <c r="G91" i="18"/>
  <c r="G90" i="18"/>
  <c r="G89" i="18"/>
  <c r="G88" i="18"/>
  <c r="G87" i="18"/>
  <c r="AC20" i="1" s="1"/>
  <c r="G86" i="18"/>
  <c r="AB20" i="1" s="1"/>
  <c r="G85" i="18"/>
  <c r="AA20" i="1" s="1"/>
  <c r="G84" i="18"/>
  <c r="Z20" i="1" s="1"/>
  <c r="G83" i="18"/>
  <c r="G82" i="18"/>
  <c r="G78" i="18"/>
  <c r="AS21" i="44" s="1"/>
  <c r="G77" i="18"/>
  <c r="AR21" i="44" s="1"/>
  <c r="G76" i="18"/>
  <c r="AQ21" i="44" s="1"/>
  <c r="G75" i="18"/>
  <c r="AP21" i="44" s="1"/>
  <c r="G74" i="18"/>
  <c r="G70" i="18"/>
  <c r="T15" i="45" s="1"/>
  <c r="G69" i="18"/>
  <c r="T14" i="45" s="1"/>
  <c r="G68" i="18"/>
  <c r="T13" i="45" s="1"/>
  <c r="G67" i="18"/>
  <c r="G66" i="18"/>
  <c r="G65" i="18"/>
  <c r="G63" i="18"/>
  <c r="T8" i="45" s="1"/>
  <c r="G62" i="18"/>
  <c r="T7" i="45" s="1"/>
  <c r="G58" i="18"/>
  <c r="G57" i="18"/>
  <c r="G56" i="18"/>
  <c r="G55" i="18"/>
  <c r="G54" i="18"/>
  <c r="G53" i="18"/>
  <c r="G52" i="18"/>
  <c r="G51" i="18"/>
  <c r="G50" i="18"/>
  <c r="G49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E29" i="18"/>
  <c r="G29" i="18" s="1"/>
  <c r="G22" i="18"/>
  <c r="G19" i="18"/>
  <c r="G18" i="18"/>
  <c r="E31" i="18" s="1"/>
  <c r="G31" i="18" s="1"/>
  <c r="G15" i="18"/>
  <c r="G10" i="18"/>
  <c r="K9" i="18"/>
  <c r="G9" i="18"/>
  <c r="M8" i="18"/>
  <c r="G8" i="18"/>
  <c r="E27" i="18" s="1"/>
  <c r="G27" i="18" s="1"/>
  <c r="G7" i="18"/>
  <c r="G182" i="17"/>
  <c r="G181" i="17"/>
  <c r="G180" i="17"/>
  <c r="G177" i="17"/>
  <c r="S23" i="45" s="1"/>
  <c r="G176" i="17"/>
  <c r="S22" i="45" s="1"/>
  <c r="G175" i="17"/>
  <c r="S21" i="45" s="1"/>
  <c r="G172" i="17"/>
  <c r="S19" i="45" s="1"/>
  <c r="G171" i="17"/>
  <c r="S18" i="45" s="1"/>
  <c r="G170" i="17"/>
  <c r="S17" i="45" s="1"/>
  <c r="G162" i="17"/>
  <c r="G161" i="17"/>
  <c r="G160" i="17"/>
  <c r="G159" i="17"/>
  <c r="AB20" i="44" s="1"/>
  <c r="G158" i="17"/>
  <c r="AA20" i="44" s="1"/>
  <c r="G142" i="17"/>
  <c r="R20" i="44" s="1"/>
  <c r="G141" i="17"/>
  <c r="Q20" i="44" s="1"/>
  <c r="G140" i="17"/>
  <c r="P20" i="44" s="1"/>
  <c r="G139" i="17"/>
  <c r="O20" i="44" s="1"/>
  <c r="G138" i="17"/>
  <c r="N20" i="44" s="1"/>
  <c r="G133" i="17"/>
  <c r="G132" i="17"/>
  <c r="G131" i="17"/>
  <c r="G130" i="17"/>
  <c r="G129" i="17"/>
  <c r="G128" i="17"/>
  <c r="G123" i="17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 i="17"/>
  <c r="G112" i="17"/>
  <c r="G92" i="17"/>
  <c r="AL19" i="1" s="1"/>
  <c r="G91" i="17"/>
  <c r="G90" i="17"/>
  <c r="G89" i="17"/>
  <c r="G88" i="17"/>
  <c r="G87" i="17"/>
  <c r="AC19" i="1" s="1"/>
  <c r="G86" i="17"/>
  <c r="AB19" i="1" s="1"/>
  <c r="G85" i="17"/>
  <c r="AA19" i="1" s="1"/>
  <c r="G84" i="17"/>
  <c r="Z19" i="1" s="1"/>
  <c r="G83" i="17"/>
  <c r="G82" i="17"/>
  <c r="G78" i="17"/>
  <c r="AS20" i="44" s="1"/>
  <c r="G77" i="17"/>
  <c r="AR20" i="44" s="1"/>
  <c r="G76" i="17"/>
  <c r="AQ20" i="44" s="1"/>
  <c r="G75" i="17"/>
  <c r="AP20" i="44" s="1"/>
  <c r="G74" i="17"/>
  <c r="G70" i="17"/>
  <c r="S15" i="45" s="1"/>
  <c r="G69" i="17"/>
  <c r="S14" i="45" s="1"/>
  <c r="G68" i="17"/>
  <c r="S13" i="45" s="1"/>
  <c r="G67" i="17"/>
  <c r="G66" i="17"/>
  <c r="G65" i="17"/>
  <c r="G63" i="17"/>
  <c r="S8" i="45" s="1"/>
  <c r="G62" i="17"/>
  <c r="S7" i="45" s="1"/>
  <c r="G58" i="17"/>
  <c r="G57" i="17"/>
  <c r="G56" i="17"/>
  <c r="G55" i="17"/>
  <c r="G54" i="17"/>
  <c r="G53" i="17"/>
  <c r="G52" i="17"/>
  <c r="G51" i="17"/>
  <c r="G50" i="17"/>
  <c r="G49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E29" i="17"/>
  <c r="G29" i="17" s="1"/>
  <c r="G22" i="17"/>
  <c r="G19" i="17"/>
  <c r="G18" i="17"/>
  <c r="E31" i="17" s="1"/>
  <c r="G31" i="17" s="1"/>
  <c r="G15" i="17"/>
  <c r="G10" i="17"/>
  <c r="K9" i="17"/>
  <c r="G9" i="17"/>
  <c r="M8" i="17"/>
  <c r="G8" i="17"/>
  <c r="E27" i="17" s="1"/>
  <c r="G27" i="17" s="1"/>
  <c r="G7" i="17"/>
  <c r="G182" i="16"/>
  <c r="G181" i="16"/>
  <c r="G180" i="16"/>
  <c r="G177" i="16"/>
  <c r="R23" i="45" s="1"/>
  <c r="G176" i="16"/>
  <c r="R22" i="45" s="1"/>
  <c r="G175" i="16"/>
  <c r="R21" i="45" s="1"/>
  <c r="G172" i="16"/>
  <c r="R19" i="45" s="1"/>
  <c r="G171" i="16"/>
  <c r="R18" i="45" s="1"/>
  <c r="G170" i="16"/>
  <c r="R17" i="45" s="1"/>
  <c r="G162" i="16"/>
  <c r="G161" i="16"/>
  <c r="G160" i="16"/>
  <c r="G159" i="16"/>
  <c r="AB19" i="44" s="1"/>
  <c r="G158" i="16"/>
  <c r="AA19" i="44" s="1"/>
  <c r="G142" i="16"/>
  <c r="R19" i="44" s="1"/>
  <c r="G141" i="16"/>
  <c r="Q19" i="44" s="1"/>
  <c r="G140" i="16"/>
  <c r="P19" i="44" s="1"/>
  <c r="G139" i="16"/>
  <c r="O19" i="44" s="1"/>
  <c r="G138" i="16"/>
  <c r="N19" i="44" s="1"/>
  <c r="G133" i="16"/>
  <c r="G132" i="16"/>
  <c r="G131" i="16"/>
  <c r="G130" i="16"/>
  <c r="G129" i="16"/>
  <c r="G128" i="16"/>
  <c r="G123" i="16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 i="16"/>
  <c r="G113" i="16"/>
  <c r="G112" i="16"/>
  <c r="G92" i="16"/>
  <c r="AL18" i="1" s="1"/>
  <c r="G91" i="16"/>
  <c r="G90" i="16"/>
  <c r="G89" i="16"/>
  <c r="G88" i="16"/>
  <c r="G87" i="16"/>
  <c r="AC18" i="1" s="1"/>
  <c r="G86" i="16"/>
  <c r="AB18" i="1" s="1"/>
  <c r="G85" i="16"/>
  <c r="AA18" i="1" s="1"/>
  <c r="G84" i="16"/>
  <c r="Z18" i="1" s="1"/>
  <c r="G83" i="16"/>
  <c r="G82" i="16"/>
  <c r="G78" i="16"/>
  <c r="AS19" i="44" s="1"/>
  <c r="G77" i="16"/>
  <c r="AR19" i="44" s="1"/>
  <c r="G76" i="16"/>
  <c r="AQ19" i="44" s="1"/>
  <c r="G75" i="16"/>
  <c r="AP19" i="44" s="1"/>
  <c r="G74" i="16"/>
  <c r="G70" i="16"/>
  <c r="R15" i="45" s="1"/>
  <c r="G69" i="16"/>
  <c r="R14" i="45" s="1"/>
  <c r="G68" i="16"/>
  <c r="R13" i="45" s="1"/>
  <c r="G67" i="16"/>
  <c r="G66" i="16"/>
  <c r="G65" i="16"/>
  <c r="G63" i="16"/>
  <c r="R8" i="45" s="1"/>
  <c r="G62" i="16"/>
  <c r="R7" i="45" s="1"/>
  <c r="G58" i="16"/>
  <c r="G57" i="16"/>
  <c r="G56" i="16"/>
  <c r="G55" i="16"/>
  <c r="G54" i="16"/>
  <c r="G53" i="16"/>
  <c r="G52" i="16"/>
  <c r="G51" i="16"/>
  <c r="G50" i="16"/>
  <c r="G49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E29" i="16"/>
  <c r="G29" i="16" s="1"/>
  <c r="G22" i="16"/>
  <c r="G19" i="16"/>
  <c r="G184" i="16" s="1"/>
  <c r="G18" i="16"/>
  <c r="E31" i="16" s="1"/>
  <c r="G31" i="16" s="1"/>
  <c r="G15" i="16"/>
  <c r="G10" i="16"/>
  <c r="K9" i="16"/>
  <c r="G9" i="16"/>
  <c r="M8" i="16"/>
  <c r="G8" i="16"/>
  <c r="G7" i="16"/>
  <c r="G182" i="15"/>
  <c r="G181" i="15"/>
  <c r="G180" i="15"/>
  <c r="G177" i="15"/>
  <c r="Q23" i="45" s="1"/>
  <c r="G176" i="15"/>
  <c r="Q22" i="45" s="1"/>
  <c r="G175" i="15"/>
  <c r="Q21" i="45" s="1"/>
  <c r="G172" i="15"/>
  <c r="Q19" i="45" s="1"/>
  <c r="G171" i="15"/>
  <c r="Q18" i="45" s="1"/>
  <c r="G170" i="15"/>
  <c r="Q17" i="45" s="1"/>
  <c r="G162" i="15"/>
  <c r="G161" i="15"/>
  <c r="G160" i="15"/>
  <c r="G159" i="15"/>
  <c r="AB18" i="44" s="1"/>
  <c r="G158" i="15"/>
  <c r="G142" i="15"/>
  <c r="R18" i="44" s="1"/>
  <c r="G141" i="15"/>
  <c r="Q18" i="44" s="1"/>
  <c r="G140" i="15"/>
  <c r="P18" i="44" s="1"/>
  <c r="G139" i="15"/>
  <c r="O18" i="44" s="1"/>
  <c r="G138" i="15"/>
  <c r="N18" i="44" s="1"/>
  <c r="G133" i="15"/>
  <c r="G132" i="15"/>
  <c r="G131" i="15"/>
  <c r="G130" i="15"/>
  <c r="G129" i="15"/>
  <c r="G128" i="15"/>
  <c r="G123" i="15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 i="15"/>
  <c r="G113" i="15"/>
  <c r="G112" i="15"/>
  <c r="G92" i="15"/>
  <c r="AL17" i="1" s="1"/>
  <c r="G91" i="15"/>
  <c r="G90" i="15"/>
  <c r="G89" i="15"/>
  <c r="G88" i="15"/>
  <c r="G87" i="15"/>
  <c r="AC17" i="1" s="1"/>
  <c r="G86" i="15"/>
  <c r="AB17" i="1" s="1"/>
  <c r="G85" i="15"/>
  <c r="AA17" i="1" s="1"/>
  <c r="G84" i="15"/>
  <c r="Z17" i="1" s="1"/>
  <c r="G83" i="15"/>
  <c r="G82" i="15"/>
  <c r="G78" i="15"/>
  <c r="AS18" i="44" s="1"/>
  <c r="G77" i="15"/>
  <c r="AR18" i="44" s="1"/>
  <c r="G76" i="15"/>
  <c r="AQ18" i="44" s="1"/>
  <c r="G75" i="15"/>
  <c r="AP18" i="44" s="1"/>
  <c r="G74" i="15"/>
  <c r="AO18" i="44" s="1"/>
  <c r="G70" i="15"/>
  <c r="Q15" i="45" s="1"/>
  <c r="G69" i="15"/>
  <c r="Q14" i="45" s="1"/>
  <c r="G68" i="15"/>
  <c r="Q13" i="45" s="1"/>
  <c r="G67" i="15"/>
  <c r="G66" i="15"/>
  <c r="G65" i="15"/>
  <c r="G63" i="15"/>
  <c r="Q8" i="45" s="1"/>
  <c r="G62" i="15"/>
  <c r="Q7" i="45" s="1"/>
  <c r="G58" i="15"/>
  <c r="G57" i="15"/>
  <c r="G56" i="15"/>
  <c r="G55" i="15"/>
  <c r="G54" i="15"/>
  <c r="G53" i="15"/>
  <c r="G52" i="15"/>
  <c r="G51" i="15"/>
  <c r="G50" i="15"/>
  <c r="G49" i="15"/>
  <c r="G46" i="15"/>
  <c r="G45" i="15"/>
  <c r="G44" i="15"/>
  <c r="AO17" i="1" s="1"/>
  <c r="G43" i="15"/>
  <c r="G42" i="15"/>
  <c r="G41" i="15"/>
  <c r="G40" i="15"/>
  <c r="G39" i="15"/>
  <c r="G38" i="15"/>
  <c r="G37" i="15"/>
  <c r="G36" i="15"/>
  <c r="G35" i="15"/>
  <c r="E29" i="15"/>
  <c r="G29" i="15" s="1"/>
  <c r="G22" i="15"/>
  <c r="G19" i="15"/>
  <c r="G18" i="15"/>
  <c r="E31" i="15" s="1"/>
  <c r="G31" i="15" s="1"/>
  <c r="G15" i="15"/>
  <c r="G10" i="15"/>
  <c r="K9" i="15"/>
  <c r="G9" i="15"/>
  <c r="M8" i="15"/>
  <c r="G8" i="15"/>
  <c r="E27" i="15" s="1"/>
  <c r="G27" i="15" s="1"/>
  <c r="G7" i="15"/>
  <c r="G182" i="14"/>
  <c r="G181" i="14"/>
  <c r="G180" i="14"/>
  <c r="G177" i="14"/>
  <c r="P23" i="45" s="1"/>
  <c r="G176" i="14"/>
  <c r="P22" i="45" s="1"/>
  <c r="G175" i="14"/>
  <c r="P21" i="45" s="1"/>
  <c r="G172" i="14"/>
  <c r="P19" i="45" s="1"/>
  <c r="G171" i="14"/>
  <c r="P18" i="45" s="1"/>
  <c r="G170" i="14"/>
  <c r="P17" i="45" s="1"/>
  <c r="G162" i="14"/>
  <c r="G161" i="14"/>
  <c r="G160" i="14"/>
  <c r="G159" i="14"/>
  <c r="AB17" i="44" s="1"/>
  <c r="G158" i="14"/>
  <c r="AA17" i="44" s="1"/>
  <c r="G142" i="14"/>
  <c r="R17" i="44" s="1"/>
  <c r="G141" i="14"/>
  <c r="Q17" i="44" s="1"/>
  <c r="G140" i="14"/>
  <c r="P17" i="44" s="1"/>
  <c r="G139" i="14"/>
  <c r="O17" i="44" s="1"/>
  <c r="G138" i="14"/>
  <c r="N17" i="44" s="1"/>
  <c r="G133" i="14"/>
  <c r="G132" i="14"/>
  <c r="G131" i="14"/>
  <c r="G130" i="14"/>
  <c r="G129" i="14"/>
  <c r="G128" i="14"/>
  <c r="G123" i="14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 i="14"/>
  <c r="G113" i="14"/>
  <c r="G112" i="14"/>
  <c r="G92" i="14"/>
  <c r="AL16" i="1" s="1"/>
  <c r="G91" i="14"/>
  <c r="G90" i="14"/>
  <c r="G89" i="14"/>
  <c r="G88" i="14"/>
  <c r="G87" i="14"/>
  <c r="AC16" i="1" s="1"/>
  <c r="G86" i="14"/>
  <c r="AB16" i="1" s="1"/>
  <c r="G85" i="14"/>
  <c r="AA16" i="1" s="1"/>
  <c r="G84" i="14"/>
  <c r="Z16" i="1" s="1"/>
  <c r="G83" i="14"/>
  <c r="G82" i="14"/>
  <c r="G78" i="14"/>
  <c r="AS17" i="44" s="1"/>
  <c r="G77" i="14"/>
  <c r="AR17" i="44" s="1"/>
  <c r="G76" i="14"/>
  <c r="AQ17" i="44" s="1"/>
  <c r="G75" i="14"/>
  <c r="AP17" i="44" s="1"/>
  <c r="G74" i="14"/>
  <c r="G70" i="14"/>
  <c r="P15" i="45" s="1"/>
  <c r="G69" i="14"/>
  <c r="P14" i="45" s="1"/>
  <c r="G68" i="14"/>
  <c r="P13" i="45" s="1"/>
  <c r="G67" i="14"/>
  <c r="G66" i="14"/>
  <c r="G65" i="14"/>
  <c r="G63" i="14"/>
  <c r="P8" i="45" s="1"/>
  <c r="G62" i="14"/>
  <c r="P7" i="45" s="1"/>
  <c r="G58" i="14"/>
  <c r="G57" i="14"/>
  <c r="G56" i="14"/>
  <c r="G55" i="14"/>
  <c r="G54" i="14"/>
  <c r="G53" i="14"/>
  <c r="G52" i="14"/>
  <c r="G51" i="14"/>
  <c r="G50" i="14"/>
  <c r="G49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E29" i="14"/>
  <c r="G29" i="14" s="1"/>
  <c r="G22" i="14"/>
  <c r="G19" i="14"/>
  <c r="G18" i="14"/>
  <c r="E31" i="14" s="1"/>
  <c r="G31" i="14" s="1"/>
  <c r="G15" i="14"/>
  <c r="G10" i="14"/>
  <c r="K9" i="14"/>
  <c r="G9" i="14"/>
  <c r="M8" i="14"/>
  <c r="G8" i="14"/>
  <c r="E27" i="14" s="1"/>
  <c r="G27" i="14" s="1"/>
  <c r="G7" i="14"/>
  <c r="G182" i="13"/>
  <c r="G181" i="13"/>
  <c r="G180" i="13"/>
  <c r="G177" i="13"/>
  <c r="O23" i="45" s="1"/>
  <c r="G176" i="13"/>
  <c r="O22" i="45" s="1"/>
  <c r="G175" i="13"/>
  <c r="O21" i="45" s="1"/>
  <c r="G172" i="13"/>
  <c r="O19" i="45" s="1"/>
  <c r="G171" i="13"/>
  <c r="O18" i="45" s="1"/>
  <c r="G170" i="13"/>
  <c r="O17" i="45" s="1"/>
  <c r="G162" i="13"/>
  <c r="G161" i="13"/>
  <c r="G160" i="13"/>
  <c r="G159" i="13"/>
  <c r="AB16" i="44" s="1"/>
  <c r="G158" i="13"/>
  <c r="AA16" i="44" s="1"/>
  <c r="G142" i="13"/>
  <c r="R16" i="44" s="1"/>
  <c r="G141" i="13"/>
  <c r="Q16" i="44" s="1"/>
  <c r="G140" i="13"/>
  <c r="P16" i="44" s="1"/>
  <c r="G139" i="13"/>
  <c r="O16" i="44" s="1"/>
  <c r="G138" i="13"/>
  <c r="N16" i="44" s="1"/>
  <c r="G133" i="13"/>
  <c r="G132" i="13"/>
  <c r="G131" i="13"/>
  <c r="G130" i="13"/>
  <c r="G129" i="13"/>
  <c r="G128" i="13"/>
  <c r="G123" i="1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 i="13"/>
  <c r="G113" i="13"/>
  <c r="G112" i="13"/>
  <c r="G92" i="13"/>
  <c r="AL15" i="1" s="1"/>
  <c r="G91" i="13"/>
  <c r="G90" i="13"/>
  <c r="G89" i="13"/>
  <c r="G88" i="13"/>
  <c r="G87" i="13"/>
  <c r="AC15" i="1" s="1"/>
  <c r="G86" i="13"/>
  <c r="AB15" i="1" s="1"/>
  <c r="G85" i="13"/>
  <c r="AA15" i="1" s="1"/>
  <c r="G84" i="13"/>
  <c r="Z15" i="1" s="1"/>
  <c r="G83" i="13"/>
  <c r="G82" i="13"/>
  <c r="G78" i="13"/>
  <c r="AS16" i="44" s="1"/>
  <c r="G77" i="13"/>
  <c r="AR16" i="44" s="1"/>
  <c r="G76" i="13"/>
  <c r="AQ16" i="44" s="1"/>
  <c r="G75" i="13"/>
  <c r="AP16" i="44" s="1"/>
  <c r="G74" i="13"/>
  <c r="G70" i="13"/>
  <c r="O15" i="45" s="1"/>
  <c r="G69" i="13"/>
  <c r="O14" i="45" s="1"/>
  <c r="G68" i="13"/>
  <c r="O13" i="45" s="1"/>
  <c r="G67" i="13"/>
  <c r="G66" i="13"/>
  <c r="G65" i="13"/>
  <c r="G63" i="13"/>
  <c r="O8" i="45" s="1"/>
  <c r="G62" i="13"/>
  <c r="G58" i="13"/>
  <c r="G57" i="13"/>
  <c r="G56" i="13"/>
  <c r="G55" i="13"/>
  <c r="G54" i="13"/>
  <c r="G53" i="13"/>
  <c r="G52" i="13"/>
  <c r="G51" i="13"/>
  <c r="G50" i="13"/>
  <c r="G49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E29" i="13"/>
  <c r="G29" i="13" s="1"/>
  <c r="G22" i="13"/>
  <c r="G19" i="13"/>
  <c r="G18" i="13"/>
  <c r="E31" i="13" s="1"/>
  <c r="G31" i="13" s="1"/>
  <c r="G15" i="13"/>
  <c r="G10" i="13"/>
  <c r="K9" i="13"/>
  <c r="G9" i="13"/>
  <c r="M8" i="13"/>
  <c r="G8" i="13"/>
  <c r="G7" i="13"/>
  <c r="G182" i="12"/>
  <c r="G181" i="12"/>
  <c r="G180" i="12"/>
  <c r="G177" i="12"/>
  <c r="N23" i="45" s="1"/>
  <c r="G176" i="12"/>
  <c r="N22" i="45" s="1"/>
  <c r="G175" i="12"/>
  <c r="N21" i="45" s="1"/>
  <c r="G172" i="12"/>
  <c r="N19" i="45" s="1"/>
  <c r="G171" i="12"/>
  <c r="N18" i="45" s="1"/>
  <c r="G170" i="12"/>
  <c r="N17" i="45" s="1"/>
  <c r="G162" i="12"/>
  <c r="G161" i="12"/>
  <c r="G160" i="12"/>
  <c r="G159" i="12"/>
  <c r="AB15" i="44" s="1"/>
  <c r="G158" i="12"/>
  <c r="AA15" i="44" s="1"/>
  <c r="G142" i="12"/>
  <c r="R15" i="44" s="1"/>
  <c r="G141" i="12"/>
  <c r="Q15" i="44" s="1"/>
  <c r="G140" i="12"/>
  <c r="P15" i="44" s="1"/>
  <c r="G139" i="12"/>
  <c r="O15" i="44" s="1"/>
  <c r="G138" i="12"/>
  <c r="N15" i="44" s="1"/>
  <c r="G133" i="12"/>
  <c r="G132" i="12"/>
  <c r="G131" i="12"/>
  <c r="G130" i="12"/>
  <c r="G129" i="12"/>
  <c r="G128" i="12"/>
  <c r="G123" i="12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 i="12"/>
  <c r="G113" i="12"/>
  <c r="G112" i="12"/>
  <c r="G92" i="12"/>
  <c r="AL14" i="1" s="1"/>
  <c r="G91" i="12"/>
  <c r="G90" i="12"/>
  <c r="G89" i="12"/>
  <c r="G88" i="12"/>
  <c r="G87" i="12"/>
  <c r="AC14" i="1" s="1"/>
  <c r="G86" i="12"/>
  <c r="AB14" i="1" s="1"/>
  <c r="G85" i="12"/>
  <c r="AA14" i="1" s="1"/>
  <c r="G84" i="12"/>
  <c r="Z14" i="1" s="1"/>
  <c r="G83" i="12"/>
  <c r="G82" i="12"/>
  <c r="G78" i="12"/>
  <c r="AS15" i="44" s="1"/>
  <c r="G77" i="12"/>
  <c r="AR15" i="44" s="1"/>
  <c r="G76" i="12"/>
  <c r="AQ15" i="44" s="1"/>
  <c r="G75" i="12"/>
  <c r="AP15" i="44" s="1"/>
  <c r="G74" i="12"/>
  <c r="G70" i="12"/>
  <c r="N15" i="45" s="1"/>
  <c r="G69" i="12"/>
  <c r="N14" i="45" s="1"/>
  <c r="G68" i="12"/>
  <c r="N13" i="45" s="1"/>
  <c r="G67" i="12"/>
  <c r="G66" i="12"/>
  <c r="G65" i="12"/>
  <c r="G63" i="12"/>
  <c r="N8" i="45" s="1"/>
  <c r="G62" i="12"/>
  <c r="N7" i="45" s="1"/>
  <c r="G58" i="12"/>
  <c r="G57" i="12"/>
  <c r="G56" i="12"/>
  <c r="G55" i="12"/>
  <c r="G54" i="12"/>
  <c r="G53" i="12"/>
  <c r="G52" i="12"/>
  <c r="G51" i="12"/>
  <c r="G50" i="12"/>
  <c r="G49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E29" i="12"/>
  <c r="G29" i="12" s="1"/>
  <c r="G22" i="12"/>
  <c r="G19" i="12"/>
  <c r="G184" i="12" s="1"/>
  <c r="G18" i="12"/>
  <c r="E31" i="12" s="1"/>
  <c r="G31" i="12" s="1"/>
  <c r="G15" i="12"/>
  <c r="G10" i="12"/>
  <c r="K9" i="12"/>
  <c r="G9" i="12"/>
  <c r="M8" i="12"/>
  <c r="G8" i="12"/>
  <c r="G7" i="12"/>
  <c r="G182" i="11"/>
  <c r="G181" i="11"/>
  <c r="G180" i="11"/>
  <c r="G177" i="11"/>
  <c r="M23" i="45" s="1"/>
  <c r="G176" i="11"/>
  <c r="M22" i="45" s="1"/>
  <c r="G175" i="11"/>
  <c r="M21" i="45" s="1"/>
  <c r="G172" i="11"/>
  <c r="M19" i="45" s="1"/>
  <c r="G171" i="11"/>
  <c r="M18" i="45" s="1"/>
  <c r="G170" i="11"/>
  <c r="M17" i="45" s="1"/>
  <c r="G162" i="11"/>
  <c r="G161" i="11"/>
  <c r="G160" i="11"/>
  <c r="G159" i="11"/>
  <c r="AB14" i="44" s="1"/>
  <c r="G158" i="11"/>
  <c r="AA14" i="44" s="1"/>
  <c r="G142" i="11"/>
  <c r="R14" i="44" s="1"/>
  <c r="G141" i="11"/>
  <c r="Q14" i="44" s="1"/>
  <c r="G140" i="11"/>
  <c r="P14" i="44" s="1"/>
  <c r="G139" i="11"/>
  <c r="O14" i="44" s="1"/>
  <c r="G138" i="11"/>
  <c r="N14" i="44" s="1"/>
  <c r="G133" i="11"/>
  <c r="AM14" i="44" s="1"/>
  <c r="G132" i="11"/>
  <c r="G131" i="11"/>
  <c r="G130" i="11"/>
  <c r="G129" i="11"/>
  <c r="G128" i="11"/>
  <c r="G123" i="11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 i="11"/>
  <c r="G113" i="11"/>
  <c r="G112" i="11"/>
  <c r="G92" i="11"/>
  <c r="AL13" i="1" s="1"/>
  <c r="G91" i="11"/>
  <c r="G90" i="11"/>
  <c r="G89" i="11"/>
  <c r="G88" i="11"/>
  <c r="G87" i="11"/>
  <c r="AC13" i="1" s="1"/>
  <c r="G86" i="11"/>
  <c r="AB13" i="1" s="1"/>
  <c r="G85" i="11"/>
  <c r="AA13" i="1" s="1"/>
  <c r="G84" i="11"/>
  <c r="Z13" i="1" s="1"/>
  <c r="G83" i="11"/>
  <c r="G82" i="11"/>
  <c r="G78" i="11"/>
  <c r="AS14" i="44" s="1"/>
  <c r="G77" i="11"/>
  <c r="AR14" i="44" s="1"/>
  <c r="G76" i="11"/>
  <c r="AQ14" i="44" s="1"/>
  <c r="G75" i="11"/>
  <c r="AP14" i="44" s="1"/>
  <c r="G74" i="11"/>
  <c r="G70" i="11"/>
  <c r="M15" i="45" s="1"/>
  <c r="G69" i="11"/>
  <c r="M14" i="45" s="1"/>
  <c r="G68" i="11"/>
  <c r="M13" i="45" s="1"/>
  <c r="G67" i="11"/>
  <c r="G66" i="11"/>
  <c r="G65" i="11"/>
  <c r="G63" i="11"/>
  <c r="M8" i="45" s="1"/>
  <c r="G62" i="11"/>
  <c r="M7" i="45" s="1"/>
  <c r="G58" i="11"/>
  <c r="G57" i="11"/>
  <c r="G56" i="11"/>
  <c r="G55" i="11"/>
  <c r="G54" i="11"/>
  <c r="G53" i="11"/>
  <c r="G52" i="11"/>
  <c r="G51" i="11"/>
  <c r="G50" i="11"/>
  <c r="G49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 s="1"/>
  <c r="G22" i="11"/>
  <c r="G19" i="11"/>
  <c r="G18" i="11"/>
  <c r="E31" i="11" s="1"/>
  <c r="G31" i="11" s="1"/>
  <c r="G15" i="11"/>
  <c r="G10" i="11"/>
  <c r="K9" i="11"/>
  <c r="G9" i="11"/>
  <c r="M8" i="11"/>
  <c r="G8" i="11"/>
  <c r="G7" i="11"/>
  <c r="G182" i="10"/>
  <c r="G181" i="10"/>
  <c r="G180" i="10"/>
  <c r="G177" i="10"/>
  <c r="L23" i="45" s="1"/>
  <c r="G176" i="10"/>
  <c r="L22" i="45" s="1"/>
  <c r="G175" i="10"/>
  <c r="L21" i="45" s="1"/>
  <c r="G172" i="10"/>
  <c r="L19" i="45" s="1"/>
  <c r="G171" i="10"/>
  <c r="L18" i="45" s="1"/>
  <c r="G170" i="10"/>
  <c r="L17" i="45" s="1"/>
  <c r="G162" i="10"/>
  <c r="G161" i="10"/>
  <c r="G160" i="10"/>
  <c r="G159" i="10"/>
  <c r="AB13" i="44" s="1"/>
  <c r="G158" i="10"/>
  <c r="AA13" i="44" s="1"/>
  <c r="G142" i="10"/>
  <c r="R13" i="44" s="1"/>
  <c r="G141" i="10"/>
  <c r="Q13" i="44" s="1"/>
  <c r="G140" i="10"/>
  <c r="P13" i="44" s="1"/>
  <c r="G139" i="10"/>
  <c r="O13" i="44" s="1"/>
  <c r="G138" i="10"/>
  <c r="N13" i="44" s="1"/>
  <c r="G133" i="10"/>
  <c r="AM13" i="44" s="1"/>
  <c r="G132" i="10"/>
  <c r="G131" i="10"/>
  <c r="G130" i="10"/>
  <c r="G129" i="10"/>
  <c r="G128" i="10"/>
  <c r="G123" i="10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 i="10"/>
  <c r="G113" i="10"/>
  <c r="G112" i="10"/>
  <c r="G92" i="10"/>
  <c r="AL12" i="1" s="1"/>
  <c r="G91" i="10"/>
  <c r="G90" i="10"/>
  <c r="G89" i="10"/>
  <c r="G88" i="10"/>
  <c r="G87" i="10"/>
  <c r="AC12" i="1" s="1"/>
  <c r="G86" i="10"/>
  <c r="AB12" i="1" s="1"/>
  <c r="G85" i="10"/>
  <c r="AA12" i="1" s="1"/>
  <c r="G84" i="10"/>
  <c r="Z12" i="1" s="1"/>
  <c r="G83" i="10"/>
  <c r="G82" i="10"/>
  <c r="G78" i="10"/>
  <c r="AS13" i="44" s="1"/>
  <c r="G77" i="10"/>
  <c r="AR13" i="44" s="1"/>
  <c r="G76" i="10"/>
  <c r="AQ13" i="44" s="1"/>
  <c r="G75" i="10"/>
  <c r="AP13" i="44" s="1"/>
  <c r="G74" i="10"/>
  <c r="G70" i="10"/>
  <c r="L15" i="45" s="1"/>
  <c r="G69" i="10"/>
  <c r="L14" i="45" s="1"/>
  <c r="G68" i="10"/>
  <c r="L13" i="45" s="1"/>
  <c r="G67" i="10"/>
  <c r="G66" i="10"/>
  <c r="G65" i="10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E29" i="10"/>
  <c r="G29" i="10" s="1"/>
  <c r="G22" i="10"/>
  <c r="G19" i="10"/>
  <c r="G18" i="10"/>
  <c r="E31" i="10" s="1"/>
  <c r="G31" i="10" s="1"/>
  <c r="G15" i="10"/>
  <c r="G10" i="10"/>
  <c r="K9" i="10"/>
  <c r="G9" i="10"/>
  <c r="M8" i="10"/>
  <c r="G8" i="10"/>
  <c r="G7" i="10"/>
  <c r="G182" i="9"/>
  <c r="G181" i="9"/>
  <c r="G180" i="9"/>
  <c r="G177" i="9"/>
  <c r="K23" i="45" s="1"/>
  <c r="G176" i="9"/>
  <c r="K22" i="45" s="1"/>
  <c r="G175" i="9"/>
  <c r="K21" i="45" s="1"/>
  <c r="G172" i="9"/>
  <c r="K19" i="45" s="1"/>
  <c r="G171" i="9"/>
  <c r="K18" i="45" s="1"/>
  <c r="G170" i="9"/>
  <c r="K17" i="45" s="1"/>
  <c r="G162" i="9"/>
  <c r="G161" i="9"/>
  <c r="G160" i="9"/>
  <c r="G159" i="9"/>
  <c r="AB12" i="44" s="1"/>
  <c r="G158" i="9"/>
  <c r="AA12" i="44" s="1"/>
  <c r="G142" i="9"/>
  <c r="R12" i="44" s="1"/>
  <c r="G141" i="9"/>
  <c r="Q12" i="44" s="1"/>
  <c r="G140" i="9"/>
  <c r="P12" i="44" s="1"/>
  <c r="G139" i="9"/>
  <c r="O12" i="44" s="1"/>
  <c r="G138" i="9"/>
  <c r="N12" i="44" s="1"/>
  <c r="G133" i="9"/>
  <c r="AM12" i="44" s="1"/>
  <c r="G132" i="9"/>
  <c r="G131" i="9"/>
  <c r="G130" i="9"/>
  <c r="G129" i="9"/>
  <c r="G128" i="9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 i="9"/>
  <c r="G113" i="9"/>
  <c r="G112" i="9"/>
  <c r="G92" i="9"/>
  <c r="AL11" i="1" s="1"/>
  <c r="G91" i="9"/>
  <c r="G90" i="9"/>
  <c r="G89" i="9"/>
  <c r="G88" i="9"/>
  <c r="G87" i="9"/>
  <c r="AC11" i="1" s="1"/>
  <c r="G86" i="9"/>
  <c r="AB11" i="1" s="1"/>
  <c r="G85" i="9"/>
  <c r="AA11" i="1" s="1"/>
  <c r="G84" i="9"/>
  <c r="Z11" i="1" s="1"/>
  <c r="G83" i="9"/>
  <c r="G82" i="9"/>
  <c r="G78" i="9"/>
  <c r="AS12" i="44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G65" i="9"/>
  <c r="G63" i="9"/>
  <c r="K8" i="45" s="1"/>
  <c r="G62" i="9"/>
  <c r="G58" i="9"/>
  <c r="G57" i="9"/>
  <c r="G56" i="9"/>
  <c r="G55" i="9"/>
  <c r="G54" i="9"/>
  <c r="G53" i="9"/>
  <c r="G52" i="9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9" i="9"/>
  <c r="G18" i="9"/>
  <c r="G15" i="9"/>
  <c r="G10" i="9"/>
  <c r="K9" i="9"/>
  <c r="G9" i="9"/>
  <c r="M8" i="9"/>
  <c r="G8" i="9"/>
  <c r="G7" i="9"/>
  <c r="G98" i="20" l="1"/>
  <c r="G185" i="22"/>
  <c r="G185" i="25"/>
  <c r="G185" i="29"/>
  <c r="O7" i="45"/>
  <c r="G184" i="13"/>
  <c r="G184" i="27"/>
  <c r="G184" i="43"/>
  <c r="G185" i="10"/>
  <c r="G185" i="19"/>
  <c r="G185" i="18"/>
  <c r="G185" i="15"/>
  <c r="G185" i="13"/>
  <c r="G185" i="14"/>
  <c r="G102" i="11"/>
  <c r="G100" i="12"/>
  <c r="G101" i="12" s="1"/>
  <c r="G100" i="20"/>
  <c r="G100" i="27"/>
  <c r="G184" i="31"/>
  <c r="L7" i="45"/>
  <c r="G184" i="10"/>
  <c r="G185" i="9"/>
  <c r="G185" i="17"/>
  <c r="G185" i="28"/>
  <c r="G185" i="31"/>
  <c r="G185" i="16"/>
  <c r="G185" i="20"/>
  <c r="G185" i="24"/>
  <c r="G185" i="27"/>
  <c r="G185" i="43"/>
  <c r="K7" i="45"/>
  <c r="G184" i="9"/>
  <c r="G184" i="22"/>
  <c r="G184" i="25"/>
  <c r="G184" i="29"/>
  <c r="G185" i="12"/>
  <c r="G185" i="11"/>
  <c r="G184" i="11"/>
  <c r="E30" i="14"/>
  <c r="G30" i="14" s="1"/>
  <c r="G184" i="14"/>
  <c r="E30" i="18"/>
  <c r="G30" i="18" s="1"/>
  <c r="G184" i="18"/>
  <c r="E30" i="15"/>
  <c r="G30" i="15" s="1"/>
  <c r="G184" i="15"/>
  <c r="E30" i="17"/>
  <c r="G30" i="17" s="1"/>
  <c r="G184" i="17"/>
  <c r="E30" i="19"/>
  <c r="G30" i="19" s="1"/>
  <c r="G184" i="19"/>
  <c r="E30" i="13"/>
  <c r="G30" i="13" s="1"/>
  <c r="W7" i="45"/>
  <c r="G184" i="21"/>
  <c r="E30" i="28"/>
  <c r="G30" i="28" s="1"/>
  <c r="G184" i="28"/>
  <c r="E30" i="24"/>
  <c r="G30" i="24" s="1"/>
  <c r="G184" i="24"/>
  <c r="G185" i="21"/>
  <c r="H156" i="9"/>
  <c r="H156" i="10" s="1"/>
  <c r="G102" i="30"/>
  <c r="G100" i="43"/>
  <c r="G94" i="13"/>
  <c r="G104" i="25"/>
  <c r="G102" i="9"/>
  <c r="G103" i="9" s="1"/>
  <c r="G100" i="18"/>
  <c r="G102" i="21"/>
  <c r="G103" i="21" s="1"/>
  <c r="G100" i="22"/>
  <c r="G101" i="22" s="1"/>
  <c r="G104" i="13"/>
  <c r="G105" i="13" s="1"/>
  <c r="G98" i="25"/>
  <c r="G98" i="29"/>
  <c r="G102" i="20"/>
  <c r="G100" i="21"/>
  <c r="G101" i="21" s="1"/>
  <c r="W13" i="1"/>
  <c r="M10" i="45"/>
  <c r="G102" i="15"/>
  <c r="G103" i="15" s="1"/>
  <c r="W17" i="1"/>
  <c r="Q10" i="45"/>
  <c r="G100" i="16"/>
  <c r="G101" i="16" s="1"/>
  <c r="W21" i="1"/>
  <c r="U10" i="45"/>
  <c r="G102" i="23"/>
  <c r="W25" i="1"/>
  <c r="Y10" i="45"/>
  <c r="G102" i="40"/>
  <c r="G103" i="40" s="1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G101" i="11" s="1"/>
  <c r="W16" i="1"/>
  <c r="P10" i="45"/>
  <c r="W20" i="1"/>
  <c r="T10" i="45"/>
  <c r="W24" i="1"/>
  <c r="X10" i="45"/>
  <c r="G102" i="25"/>
  <c r="W27" i="1"/>
  <c r="AA10" i="45"/>
  <c r="G100" i="40"/>
  <c r="G101" i="40" s="1"/>
  <c r="G102" i="29"/>
  <c r="G103" i="29" s="1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G105" i="20" s="1"/>
  <c r="X22" i="1"/>
  <c r="V11" i="45"/>
  <c r="V25" i="1"/>
  <c r="Y9" i="45"/>
  <c r="G104" i="24"/>
  <c r="G105" i="24" s="1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 i="1"/>
  <c r="AW34" i="44"/>
  <c r="AK33" i="1"/>
  <c r="AU34" i="44"/>
  <c r="AO33" i="1"/>
  <c r="AO34" i="44"/>
  <c r="AG33" i="1"/>
  <c r="AV34" i="44"/>
  <c r="AI33" i="1"/>
  <c r="AX34" i="44"/>
  <c r="AX35" i="44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 i="44"/>
  <c r="N22" i="44"/>
  <c r="AO22" i="1"/>
  <c r="AO23" i="44"/>
  <c r="AG21" i="1"/>
  <c r="AV22" i="44"/>
  <c r="AA22" i="44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 i="44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G17" i="1"/>
  <c r="AV18" i="44"/>
  <c r="AA18" i="44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D12" i="44"/>
  <c r="AG11" i="1"/>
  <c r="AV12" i="44"/>
  <c r="AK11" i="1"/>
  <c r="AU12" i="44"/>
  <c r="AO11" i="1"/>
  <c r="AO12" i="44"/>
  <c r="AH11" i="1"/>
  <c r="AW12" i="44"/>
  <c r="H163" i="9"/>
  <c r="H163" i="10" s="1"/>
  <c r="H127" i="33"/>
  <c r="J127" i="33" s="1"/>
  <c r="J179" i="5"/>
  <c r="G100" i="19"/>
  <c r="G102" i="22"/>
  <c r="G100" i="23"/>
  <c r="G101" i="23" s="1"/>
  <c r="G94" i="25"/>
  <c r="G95" i="25" s="1"/>
  <c r="G102" i="13"/>
  <c r="G103" i="13" s="1"/>
  <c r="G173" i="17"/>
  <c r="G104" i="29"/>
  <c r="G105" i="29" s="1"/>
  <c r="H151" i="4"/>
  <c r="J151" i="3"/>
  <c r="G94" i="20"/>
  <c r="G104" i="21"/>
  <c r="G105" i="21" s="1"/>
  <c r="G100" i="25"/>
  <c r="G101" i="25" s="1"/>
  <c r="G102" i="28"/>
  <c r="G103" i="28" s="1"/>
  <c r="H134" i="33"/>
  <c r="J134" i="5"/>
  <c r="BJ13" i="1"/>
  <c r="BJ12" i="1"/>
  <c r="BJ11" i="1"/>
  <c r="G96" i="11"/>
  <c r="G97" i="11" s="1"/>
  <c r="G102" i="12"/>
  <c r="G103" i="12" s="1"/>
  <c r="G98" i="13"/>
  <c r="G99" i="13" s="1"/>
  <c r="G100" i="13"/>
  <c r="G101" i="13" s="1"/>
  <c r="G102" i="27"/>
  <c r="G103" i="27" s="1"/>
  <c r="G100" i="28"/>
  <c r="G102" i="43"/>
  <c r="G103" i="43" s="1"/>
  <c r="J152" i="5"/>
  <c r="H152" i="33"/>
  <c r="G100" i="9"/>
  <c r="G101" i="9" s="1"/>
  <c r="G102" i="16"/>
  <c r="G103" i="16" s="1"/>
  <c r="G104" i="15"/>
  <c r="G105" i="15" s="1"/>
  <c r="G102" i="19"/>
  <c r="G103" i="19" s="1"/>
  <c r="G47" i="43"/>
  <c r="G183" i="43"/>
  <c r="G183" i="30"/>
  <c r="I88" i="28"/>
  <c r="I90" i="27"/>
  <c r="G183" i="27"/>
  <c r="G183" i="40"/>
  <c r="G47" i="40"/>
  <c r="I90" i="25"/>
  <c r="G79" i="23"/>
  <c r="G80" i="23" s="1"/>
  <c r="I90" i="23"/>
  <c r="G183" i="22"/>
  <c r="G183" i="21"/>
  <c r="I90" i="18"/>
  <c r="I90" i="16"/>
  <c r="I88" i="14"/>
  <c r="G183" i="11"/>
  <c r="G183" i="9"/>
  <c r="I90" i="9"/>
  <c r="H165" i="10"/>
  <c r="J165" i="9"/>
  <c r="H164" i="10"/>
  <c r="J164" i="9"/>
  <c r="H179" i="7"/>
  <c r="J179" i="33"/>
  <c r="H174" i="7"/>
  <c r="J174" i="33"/>
  <c r="J20" i="3"/>
  <c r="I20" i="3" s="1"/>
  <c r="J13" i="3"/>
  <c r="G104" i="31"/>
  <c r="G105" i="31" s="1"/>
  <c r="G183" i="31"/>
  <c r="G102" i="31"/>
  <c r="E31" i="31"/>
  <c r="G31" i="31" s="1"/>
  <c r="G94" i="31"/>
  <c r="G95" i="31" s="1"/>
  <c r="G98" i="31"/>
  <c r="G100" i="31"/>
  <c r="G101" i="31" s="1"/>
  <c r="I90" i="31"/>
  <c r="G71" i="31"/>
  <c r="I90" i="43"/>
  <c r="G71" i="43"/>
  <c r="G96" i="43"/>
  <c r="G97" i="43" s="1"/>
  <c r="I90" i="30"/>
  <c r="G71" i="30"/>
  <c r="G100" i="30"/>
  <c r="G101" i="30" s="1"/>
  <c r="G47" i="30"/>
  <c r="G100" i="29"/>
  <c r="G101" i="29" s="1"/>
  <c r="G178" i="28"/>
  <c r="G186" i="28" s="1"/>
  <c r="G79" i="28"/>
  <c r="G79" i="27"/>
  <c r="G47" i="27"/>
  <c r="I90" i="40"/>
  <c r="G71" i="40"/>
  <c r="G96" i="40"/>
  <c r="G97" i="40" s="1"/>
  <c r="G183" i="25"/>
  <c r="G173" i="24"/>
  <c r="G178" i="24"/>
  <c r="G186" i="24" s="1"/>
  <c r="G183" i="23"/>
  <c r="G71" i="23"/>
  <c r="G47" i="23"/>
  <c r="G79" i="22"/>
  <c r="G47" i="22"/>
  <c r="G96" i="21"/>
  <c r="G97" i="21" s="1"/>
  <c r="G183" i="20"/>
  <c r="I90" i="20"/>
  <c r="G71" i="20"/>
  <c r="I85" i="19"/>
  <c r="G79" i="19"/>
  <c r="G80" i="19" s="1"/>
  <c r="H80" i="19" s="1"/>
  <c r="G104" i="19"/>
  <c r="G105" i="19" s="1"/>
  <c r="G178" i="18"/>
  <c r="G186" i="18" s="1"/>
  <c r="I88" i="18"/>
  <c r="G183" i="16"/>
  <c r="G71" i="16"/>
  <c r="G47" i="16"/>
  <c r="G183" i="15"/>
  <c r="G79" i="15"/>
  <c r="G178" i="14"/>
  <c r="G186" i="14" s="1"/>
  <c r="I90" i="14"/>
  <c r="G173" i="13"/>
  <c r="G178" i="13"/>
  <c r="G186" i="13" s="1"/>
  <c r="I85" i="13"/>
  <c r="G79" i="13"/>
  <c r="G183" i="12"/>
  <c r="G47" i="12"/>
  <c r="I90" i="11"/>
  <c r="G71" i="11"/>
  <c r="G47" i="11"/>
  <c r="G183" i="10"/>
  <c r="G79" i="10"/>
  <c r="G47" i="10"/>
  <c r="G71" i="9"/>
  <c r="G96" i="9"/>
  <c r="G97" i="9" s="1"/>
  <c r="G47" i="9"/>
  <c r="G103" i="31"/>
  <c r="I88" i="31"/>
  <c r="G99" i="31"/>
  <c r="G59" i="31"/>
  <c r="G79" i="31"/>
  <c r="E27" i="31"/>
  <c r="G27" i="31" s="1"/>
  <c r="E30" i="31"/>
  <c r="G30" i="31" s="1"/>
  <c r="G173" i="31"/>
  <c r="G178" i="31"/>
  <c r="G186" i="31" s="1"/>
  <c r="G64" i="31"/>
  <c r="G96" i="31"/>
  <c r="G47" i="31"/>
  <c r="G20" i="31"/>
  <c r="I85" i="31"/>
  <c r="E28" i="31"/>
  <c r="G28" i="31" s="1"/>
  <c r="G71" i="10"/>
  <c r="I90" i="12"/>
  <c r="G173" i="14"/>
  <c r="G178" i="15"/>
  <c r="G186" i="15" s="1"/>
  <c r="I90" i="10"/>
  <c r="G71" i="12"/>
  <c r="I88" i="17"/>
  <c r="G173" i="15"/>
  <c r="G178" i="17"/>
  <c r="G186" i="17" s="1"/>
  <c r="G183" i="18"/>
  <c r="G173" i="19"/>
  <c r="G173" i="21"/>
  <c r="G183" i="24"/>
  <c r="G173" i="28"/>
  <c r="G94" i="43"/>
  <c r="G59" i="43"/>
  <c r="G98" i="43"/>
  <c r="G100" i="14"/>
  <c r="G101" i="14" s="1"/>
  <c r="G96" i="15"/>
  <c r="G97" i="15" s="1"/>
  <c r="G79" i="16"/>
  <c r="G80" i="16" s="1"/>
  <c r="G20" i="17"/>
  <c r="G102" i="17"/>
  <c r="G103" i="17" s="1"/>
  <c r="G71" i="29"/>
  <c r="G79" i="43"/>
  <c r="G173" i="18"/>
  <c r="G183" i="28"/>
  <c r="E27" i="43"/>
  <c r="G27" i="43" s="1"/>
  <c r="E30" i="43"/>
  <c r="G30" i="43" s="1"/>
  <c r="G101" i="43"/>
  <c r="G104" i="14"/>
  <c r="G105" i="14" s="1"/>
  <c r="G96" i="14"/>
  <c r="G97" i="14" s="1"/>
  <c r="G104" i="43"/>
  <c r="G64" i="43"/>
  <c r="G173" i="43"/>
  <c r="G178" i="43"/>
  <c r="G186" i="43" s="1"/>
  <c r="G96" i="12"/>
  <c r="G97" i="12" s="1"/>
  <c r="G102" i="14"/>
  <c r="G103" i="14" s="1"/>
  <c r="G79" i="17"/>
  <c r="G100" i="17"/>
  <c r="G101" i="17" s="1"/>
  <c r="G104" i="18"/>
  <c r="G96" i="18"/>
  <c r="G97" i="18" s="1"/>
  <c r="G183" i="19"/>
  <c r="I90" i="29"/>
  <c r="G183" i="29"/>
  <c r="G178" i="19"/>
  <c r="G186" i="19" s="1"/>
  <c r="I88" i="43"/>
  <c r="G100" i="15"/>
  <c r="G101" i="15" s="1"/>
  <c r="G104" i="17"/>
  <c r="G105" i="17" s="1"/>
  <c r="G96" i="17"/>
  <c r="G97" i="17" s="1"/>
  <c r="G102" i="18"/>
  <c r="G103" i="18" s="1"/>
  <c r="G71" i="25"/>
  <c r="G71" i="27"/>
  <c r="G79" i="24"/>
  <c r="G80" i="24" s="1"/>
  <c r="G102" i="24"/>
  <c r="G103" i="24" s="1"/>
  <c r="G96" i="25"/>
  <c r="G97" i="25" s="1"/>
  <c r="G79" i="30"/>
  <c r="G79" i="21"/>
  <c r="G71" i="22"/>
  <c r="I90" i="22"/>
  <c r="G20" i="43"/>
  <c r="I85" i="43"/>
  <c r="G79" i="20"/>
  <c r="G100" i="24"/>
  <c r="G101" i="24" s="1"/>
  <c r="G104" i="28"/>
  <c r="G105" i="28" s="1"/>
  <c r="G96" i="28"/>
  <c r="G97" i="28" s="1"/>
  <c r="G96" i="29"/>
  <c r="G97" i="29" s="1"/>
  <c r="G178" i="21"/>
  <c r="G186" i="21" s="1"/>
  <c r="G96" i="24"/>
  <c r="G97" i="24" s="1"/>
  <c r="E28" i="43"/>
  <c r="G28" i="43" s="1"/>
  <c r="G103" i="30"/>
  <c r="I88" i="30"/>
  <c r="G94" i="30"/>
  <c r="G59" i="30"/>
  <c r="G98" i="30"/>
  <c r="E27" i="30"/>
  <c r="G27" i="30" s="1"/>
  <c r="E30" i="30"/>
  <c r="G30" i="30" s="1"/>
  <c r="G173" i="30"/>
  <c r="G178" i="30"/>
  <c r="G186" i="30" s="1"/>
  <c r="G96" i="30"/>
  <c r="G104" i="30"/>
  <c r="G64" i="30"/>
  <c r="G20" i="30"/>
  <c r="I85" i="30"/>
  <c r="E28" i="30"/>
  <c r="G28" i="30" s="1"/>
  <c r="I88" i="29"/>
  <c r="G95" i="29"/>
  <c r="G99" i="29"/>
  <c r="G59" i="29"/>
  <c r="G79" i="29"/>
  <c r="G80" i="29" s="1"/>
  <c r="E27" i="29"/>
  <c r="G27" i="29" s="1"/>
  <c r="E30" i="29"/>
  <c r="G30" i="29" s="1"/>
  <c r="G173" i="29"/>
  <c r="G178" i="29"/>
  <c r="G186" i="29" s="1"/>
  <c r="G64" i="29"/>
  <c r="G47" i="29"/>
  <c r="G20" i="29"/>
  <c r="I85" i="29"/>
  <c r="E28" i="29"/>
  <c r="G28" i="29" s="1"/>
  <c r="G101" i="28"/>
  <c r="I90" i="28"/>
  <c r="G71" i="28"/>
  <c r="I85" i="28"/>
  <c r="G47" i="28"/>
  <c r="G20" i="28"/>
  <c r="G59" i="28"/>
  <c r="G64" i="28"/>
  <c r="G94" i="28"/>
  <c r="G98" i="28"/>
  <c r="E28" i="28"/>
  <c r="G28" i="28" s="1"/>
  <c r="I88" i="27"/>
  <c r="G94" i="27"/>
  <c r="G59" i="27"/>
  <c r="G98" i="27"/>
  <c r="E27" i="27"/>
  <c r="G27" i="27" s="1"/>
  <c r="E30" i="27"/>
  <c r="G30" i="27" s="1"/>
  <c r="G101" i="27"/>
  <c r="G173" i="27"/>
  <c r="G178" i="27"/>
  <c r="G186" i="27" s="1"/>
  <c r="G96" i="27"/>
  <c r="G104" i="27"/>
  <c r="G64" i="27"/>
  <c r="G20" i="27"/>
  <c r="I85" i="27"/>
  <c r="E28" i="27"/>
  <c r="G28" i="27" s="1"/>
  <c r="I88" i="40"/>
  <c r="G94" i="40"/>
  <c r="G59" i="40"/>
  <c r="G98" i="40"/>
  <c r="G79" i="40"/>
  <c r="E27" i="40"/>
  <c r="G27" i="40" s="1"/>
  <c r="E30" i="40"/>
  <c r="G30" i="40" s="1"/>
  <c r="G173" i="40"/>
  <c r="G178" i="40"/>
  <c r="G186" i="40" s="1"/>
  <c r="G104" i="40"/>
  <c r="G64" i="40"/>
  <c r="G20" i="40"/>
  <c r="I85" i="40"/>
  <c r="E28" i="40"/>
  <c r="G28" i="40" s="1"/>
  <c r="G103" i="25"/>
  <c r="I88" i="25"/>
  <c r="G99" i="25"/>
  <c r="G59" i="25"/>
  <c r="G79" i="25"/>
  <c r="E27" i="25"/>
  <c r="G27" i="25" s="1"/>
  <c r="E30" i="25"/>
  <c r="G30" i="25" s="1"/>
  <c r="G173" i="25"/>
  <c r="G178" i="25"/>
  <c r="G186" i="25" s="1"/>
  <c r="G105" i="25"/>
  <c r="G64" i="25"/>
  <c r="G47" i="25"/>
  <c r="G20" i="25"/>
  <c r="I85" i="25"/>
  <c r="E28" i="25"/>
  <c r="G28" i="25" s="1"/>
  <c r="I90" i="24"/>
  <c r="G71" i="24"/>
  <c r="I85" i="24"/>
  <c r="G47" i="24"/>
  <c r="I88" i="24"/>
  <c r="G20" i="24"/>
  <c r="G59" i="24"/>
  <c r="G64" i="24"/>
  <c r="G94" i="24"/>
  <c r="G98" i="24"/>
  <c r="E28" i="24"/>
  <c r="G28" i="24" s="1"/>
  <c r="G103" i="23"/>
  <c r="I88" i="23"/>
  <c r="G94" i="23"/>
  <c r="G59" i="23"/>
  <c r="G98" i="23"/>
  <c r="E27" i="23"/>
  <c r="G27" i="23" s="1"/>
  <c r="E30" i="23"/>
  <c r="G30" i="23" s="1"/>
  <c r="G173" i="23"/>
  <c r="G178" i="23"/>
  <c r="G186" i="23" s="1"/>
  <c r="G96" i="23"/>
  <c r="G104" i="23"/>
  <c r="G64" i="23"/>
  <c r="G20" i="23"/>
  <c r="I85" i="23"/>
  <c r="E28" i="23"/>
  <c r="G28" i="23" s="1"/>
  <c r="G103" i="22"/>
  <c r="I88" i="22"/>
  <c r="G94" i="22"/>
  <c r="G59" i="22"/>
  <c r="G98" i="22"/>
  <c r="E27" i="22"/>
  <c r="G27" i="22" s="1"/>
  <c r="E30" i="22"/>
  <c r="G30" i="22" s="1"/>
  <c r="G173" i="22"/>
  <c r="G178" i="22"/>
  <c r="G186" i="22" s="1"/>
  <c r="G96" i="22"/>
  <c r="G104" i="22"/>
  <c r="G64" i="22"/>
  <c r="G20" i="22"/>
  <c r="I85" i="22"/>
  <c r="E28" i="22"/>
  <c r="G28" i="22" s="1"/>
  <c r="E27" i="21"/>
  <c r="G27" i="21" s="1"/>
  <c r="E30" i="21"/>
  <c r="G30" i="21" s="1"/>
  <c r="G64" i="21"/>
  <c r="G59" i="21"/>
  <c r="G71" i="21"/>
  <c r="I85" i="21"/>
  <c r="I90" i="21"/>
  <c r="G47" i="21"/>
  <c r="I88" i="21"/>
  <c r="G20" i="21"/>
  <c r="G94" i="21"/>
  <c r="G98" i="21"/>
  <c r="E28" i="21"/>
  <c r="G28" i="21" s="1"/>
  <c r="G103" i="20"/>
  <c r="I88" i="20"/>
  <c r="G95" i="20"/>
  <c r="G99" i="20"/>
  <c r="G59" i="20"/>
  <c r="E27" i="20"/>
  <c r="G27" i="20" s="1"/>
  <c r="E30" i="20"/>
  <c r="G30" i="20" s="1"/>
  <c r="G101" i="20"/>
  <c r="G173" i="20"/>
  <c r="G178" i="20"/>
  <c r="G186" i="20" s="1"/>
  <c r="G96" i="20"/>
  <c r="G64" i="20"/>
  <c r="G47" i="20"/>
  <c r="G20" i="20"/>
  <c r="I85" i="20"/>
  <c r="E28" i="20"/>
  <c r="G28" i="20" s="1"/>
  <c r="G64" i="19"/>
  <c r="I90" i="19"/>
  <c r="G96" i="19"/>
  <c r="G59" i="19"/>
  <c r="G71" i="19"/>
  <c r="G101" i="19"/>
  <c r="G47" i="19"/>
  <c r="I88" i="19"/>
  <c r="G20" i="19"/>
  <c r="G94" i="19"/>
  <c r="G98" i="19"/>
  <c r="E28" i="19"/>
  <c r="G28" i="19" s="1"/>
  <c r="G101" i="18"/>
  <c r="I85" i="18"/>
  <c r="G105" i="18"/>
  <c r="G71" i="18"/>
  <c r="G79" i="18"/>
  <c r="G47" i="18"/>
  <c r="G60" i="18" s="1"/>
  <c r="G20" i="18"/>
  <c r="G59" i="18"/>
  <c r="G64" i="18"/>
  <c r="G94" i="18"/>
  <c r="G98" i="18"/>
  <c r="E28" i="18"/>
  <c r="G28" i="18" s="1"/>
  <c r="G71" i="17"/>
  <c r="I85" i="17"/>
  <c r="I90" i="17"/>
  <c r="G183" i="17"/>
  <c r="G47" i="17"/>
  <c r="G59" i="17"/>
  <c r="G64" i="17"/>
  <c r="G94" i="17"/>
  <c r="G98" i="17"/>
  <c r="E28" i="17"/>
  <c r="G28" i="17" s="1"/>
  <c r="I88" i="16"/>
  <c r="G94" i="16"/>
  <c r="G59" i="16"/>
  <c r="G98" i="16"/>
  <c r="E27" i="16"/>
  <c r="G27" i="16" s="1"/>
  <c r="E30" i="16"/>
  <c r="G30" i="16" s="1"/>
  <c r="G173" i="16"/>
  <c r="G178" i="16"/>
  <c r="G186" i="16" s="1"/>
  <c r="G96" i="16"/>
  <c r="G104" i="16"/>
  <c r="G64" i="16"/>
  <c r="G20" i="16"/>
  <c r="I85" i="16"/>
  <c r="E28" i="16"/>
  <c r="G28" i="16" s="1"/>
  <c r="I90" i="15"/>
  <c r="G64" i="15"/>
  <c r="G59" i="15"/>
  <c r="G71" i="15"/>
  <c r="I85" i="15"/>
  <c r="G47" i="15"/>
  <c r="I88" i="15"/>
  <c r="G20" i="15"/>
  <c r="G94" i="15"/>
  <c r="G98" i="15"/>
  <c r="E28" i="15"/>
  <c r="G28" i="15" s="1"/>
  <c r="I85" i="14"/>
  <c r="G183" i="14"/>
  <c r="G79" i="14"/>
  <c r="G71" i="14"/>
  <c r="G47" i="14"/>
  <c r="G20" i="14"/>
  <c r="G59" i="14"/>
  <c r="G64" i="14"/>
  <c r="G94" i="14"/>
  <c r="G98" i="14"/>
  <c r="E28" i="14"/>
  <c r="G28" i="14" s="1"/>
  <c r="G95" i="13"/>
  <c r="G59" i="13"/>
  <c r="G71" i="13"/>
  <c r="E27" i="13"/>
  <c r="G27" i="13" s="1"/>
  <c r="G64" i="13"/>
  <c r="I90" i="13"/>
  <c r="G96" i="13"/>
  <c r="G183" i="13"/>
  <c r="G47" i="13"/>
  <c r="I88" i="13"/>
  <c r="G20" i="13"/>
  <c r="E28" i="13"/>
  <c r="G28" i="13" s="1"/>
  <c r="E30" i="12"/>
  <c r="G30" i="12" s="1"/>
  <c r="G64" i="12"/>
  <c r="I88" i="12"/>
  <c r="G94" i="12"/>
  <c r="G59" i="12"/>
  <c r="G98" i="12"/>
  <c r="G173" i="12"/>
  <c r="G178" i="12"/>
  <c r="G186" i="12" s="1"/>
  <c r="G79" i="12"/>
  <c r="E27" i="12"/>
  <c r="G27" i="12" s="1"/>
  <c r="G104" i="12"/>
  <c r="E28" i="12"/>
  <c r="G28" i="12" s="1"/>
  <c r="G20" i="12"/>
  <c r="I85" i="12"/>
  <c r="G64" i="11"/>
  <c r="I88" i="11"/>
  <c r="G103" i="11"/>
  <c r="G94" i="11"/>
  <c r="G59" i="11"/>
  <c r="G98" i="11"/>
  <c r="G173" i="11"/>
  <c r="G178" i="11"/>
  <c r="G186" i="11" s="1"/>
  <c r="G79" i="11"/>
  <c r="E27" i="11"/>
  <c r="G27" i="11" s="1"/>
  <c r="E30" i="11"/>
  <c r="G30" i="11" s="1"/>
  <c r="G104" i="11"/>
  <c r="G20" i="11"/>
  <c r="I85" i="11"/>
  <c r="E28" i="11"/>
  <c r="G28" i="11" s="1"/>
  <c r="E30" i="10"/>
  <c r="G30" i="10" s="1"/>
  <c r="G104" i="10"/>
  <c r="G64" i="10"/>
  <c r="I88" i="10"/>
  <c r="G94" i="10"/>
  <c r="G59" i="10"/>
  <c r="G98" i="10"/>
  <c r="G100" i="10"/>
  <c r="G102" i="10"/>
  <c r="G173" i="10"/>
  <c r="G178" i="10"/>
  <c r="G186" i="10" s="1"/>
  <c r="E27" i="10"/>
  <c r="G27" i="10" s="1"/>
  <c r="G96" i="10"/>
  <c r="G20" i="10"/>
  <c r="I85" i="10"/>
  <c r="E28" i="10"/>
  <c r="G28" i="10" s="1"/>
  <c r="G64" i="9"/>
  <c r="I88" i="9"/>
  <c r="G20" i="9"/>
  <c r="G59" i="9"/>
  <c r="G94" i="9"/>
  <c r="G98" i="9"/>
  <c r="G173" i="9"/>
  <c r="G178" i="9"/>
  <c r="G186" i="9" s="1"/>
  <c r="G79" i="9"/>
  <c r="E27" i="9"/>
  <c r="G27" i="9" s="1"/>
  <c r="E30" i="9"/>
  <c r="G30" i="9" s="1"/>
  <c r="G104" i="9"/>
  <c r="E28" i="9"/>
  <c r="G28" i="9" s="1"/>
  <c r="E31" i="9"/>
  <c r="G31" i="9" s="1"/>
  <c r="I85" i="9"/>
  <c r="G182" i="8"/>
  <c r="G181" i="8"/>
  <c r="G180" i="8"/>
  <c r="G177" i="8"/>
  <c r="J23" i="45" s="1"/>
  <c r="G176" i="8"/>
  <c r="J22" i="45" s="1"/>
  <c r="G175" i="8"/>
  <c r="J21" i="45" s="1"/>
  <c r="G172" i="8"/>
  <c r="J19" i="45" s="1"/>
  <c r="G171" i="8"/>
  <c r="J18" i="45" s="1"/>
  <c r="G170" i="8"/>
  <c r="J17" i="45" s="1"/>
  <c r="G162" i="8"/>
  <c r="G161" i="8"/>
  <c r="G160" i="8"/>
  <c r="G159" i="8"/>
  <c r="AB11" i="44" s="1"/>
  <c r="G158" i="8"/>
  <c r="G142" i="8"/>
  <c r="R11" i="44" s="1"/>
  <c r="G141" i="8"/>
  <c r="Q11" i="44" s="1"/>
  <c r="G140" i="8"/>
  <c r="P11" i="44" s="1"/>
  <c r="G139" i="8"/>
  <c r="O11" i="44" s="1"/>
  <c r="G138" i="8"/>
  <c r="N11" i="44" s="1"/>
  <c r="G133" i="8"/>
  <c r="G132" i="8"/>
  <c r="G131" i="8"/>
  <c r="G130" i="8"/>
  <c r="G129" i="8"/>
  <c r="G128" i="8"/>
  <c r="G123" i="8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G89" i="8"/>
  <c r="G88" i="8"/>
  <c r="G87" i="8"/>
  <c r="AC10" i="1" s="1"/>
  <c r="G86" i="8"/>
  <c r="AB10" i="1" s="1"/>
  <c r="G85" i="8"/>
  <c r="AA10" i="1" s="1"/>
  <c r="G84" i="8"/>
  <c r="Z10" i="1" s="1"/>
  <c r="G83" i="8"/>
  <c r="G82" i="8"/>
  <c r="G78" i="8"/>
  <c r="AS11" i="44" s="1"/>
  <c r="G77" i="8"/>
  <c r="AR11" i="44" s="1"/>
  <c r="G76" i="8"/>
  <c r="AQ11" i="44" s="1"/>
  <c r="G75" i="8"/>
  <c r="AP11" i="44" s="1"/>
  <c r="G74" i="8"/>
  <c r="G70" i="8"/>
  <c r="J15" i="45" s="1"/>
  <c r="G69" i="8"/>
  <c r="J14" i="45" s="1"/>
  <c r="G68" i="8"/>
  <c r="J13" i="45" s="1"/>
  <c r="G67" i="8"/>
  <c r="G66" i="8"/>
  <c r="G65" i="8"/>
  <c r="G63" i="8"/>
  <c r="J8" i="45" s="1"/>
  <c r="G62" i="8"/>
  <c r="G58" i="8"/>
  <c r="G57" i="8"/>
  <c r="G56" i="8"/>
  <c r="G55" i="8"/>
  <c r="G54" i="8"/>
  <c r="G53" i="8"/>
  <c r="G52" i="8"/>
  <c r="G51" i="8"/>
  <c r="G50" i="8"/>
  <c r="G49" i="8"/>
  <c r="G46" i="8"/>
  <c r="G45" i="8"/>
  <c r="G44" i="8"/>
  <c r="G43" i="8"/>
  <c r="G42" i="8"/>
  <c r="G41" i="8"/>
  <c r="G40" i="8"/>
  <c r="G39" i="8"/>
  <c r="G38" i="8"/>
  <c r="G37" i="8"/>
  <c r="G36" i="8"/>
  <c r="G35" i="8"/>
  <c r="E29" i="8"/>
  <c r="G29" i="8" s="1"/>
  <c r="G22" i="8"/>
  <c r="G19" i="8"/>
  <c r="G18" i="8"/>
  <c r="E31" i="8" s="1"/>
  <c r="G31" i="8" s="1"/>
  <c r="G15" i="8"/>
  <c r="G10" i="8"/>
  <c r="K9" i="8"/>
  <c r="G9" i="8"/>
  <c r="M8" i="8"/>
  <c r="G8" i="8"/>
  <c r="G7" i="8"/>
  <c r="G182" i="7"/>
  <c r="G181" i="7"/>
  <c r="G180" i="7"/>
  <c r="G177" i="7"/>
  <c r="I23" i="45" s="1"/>
  <c r="G176" i="7"/>
  <c r="I22" i="45" s="1"/>
  <c r="G175" i="7"/>
  <c r="I21" i="45" s="1"/>
  <c r="G172" i="7"/>
  <c r="I19" i="45" s="1"/>
  <c r="G171" i="7"/>
  <c r="I18" i="45" s="1"/>
  <c r="G170" i="7"/>
  <c r="I17" i="45" s="1"/>
  <c r="G162" i="7"/>
  <c r="G161" i="7"/>
  <c r="G160" i="7"/>
  <c r="G159" i="7"/>
  <c r="AB10" i="44" s="1"/>
  <c r="G158" i="7"/>
  <c r="AA10" i="44" s="1"/>
  <c r="G142" i="7"/>
  <c r="R10" i="44" s="1"/>
  <c r="G141" i="7"/>
  <c r="Q10" i="44" s="1"/>
  <c r="G140" i="7"/>
  <c r="P10" i="44" s="1"/>
  <c r="G139" i="7"/>
  <c r="O10" i="44" s="1"/>
  <c r="G138" i="7"/>
  <c r="N10" i="44" s="1"/>
  <c r="G133" i="7"/>
  <c r="G132" i="7"/>
  <c r="G131" i="7"/>
  <c r="G130" i="7"/>
  <c r="G129" i="7"/>
  <c r="G128" i="7"/>
  <c r="G123" i="7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 i="7"/>
  <c r="G113" i="7"/>
  <c r="G112" i="7"/>
  <c r="G92" i="7"/>
  <c r="AL9" i="1" s="1"/>
  <c r="G91" i="7"/>
  <c r="G90" i="7"/>
  <c r="G89" i="7"/>
  <c r="AW10" i="44" s="1"/>
  <c r="G88" i="7"/>
  <c r="G87" i="7"/>
  <c r="AC9" i="1" s="1"/>
  <c r="G86" i="7"/>
  <c r="AB9" i="1" s="1"/>
  <c r="G85" i="7"/>
  <c r="AA9" i="1" s="1"/>
  <c r="G84" i="7"/>
  <c r="Z9" i="1" s="1"/>
  <c r="G83" i="7"/>
  <c r="G82" i="7"/>
  <c r="G78" i="7"/>
  <c r="AS10" i="44" s="1"/>
  <c r="G77" i="7"/>
  <c r="AR10" i="44" s="1"/>
  <c r="G76" i="7"/>
  <c r="AQ10" i="44" s="1"/>
  <c r="G75" i="7"/>
  <c r="AP10" i="44" s="1"/>
  <c r="G74" i="7"/>
  <c r="G70" i="7"/>
  <c r="I15" i="45" s="1"/>
  <c r="G69" i="7"/>
  <c r="I14" i="45" s="1"/>
  <c r="G68" i="7"/>
  <c r="I13" i="45" s="1"/>
  <c r="G67" i="7"/>
  <c r="G66" i="7"/>
  <c r="G65" i="7"/>
  <c r="G63" i="7"/>
  <c r="I8" i="45" s="1"/>
  <c r="G62" i="7"/>
  <c r="G58" i="7"/>
  <c r="G57" i="7"/>
  <c r="G56" i="7"/>
  <c r="G55" i="7"/>
  <c r="G54" i="7"/>
  <c r="G53" i="7"/>
  <c r="G52" i="7"/>
  <c r="G51" i="7"/>
  <c r="G50" i="7"/>
  <c r="G49" i="7"/>
  <c r="G46" i="7"/>
  <c r="G45" i="7"/>
  <c r="G44" i="7"/>
  <c r="G43" i="7"/>
  <c r="G42" i="7"/>
  <c r="G41" i="7"/>
  <c r="G40" i="7"/>
  <c r="G39" i="7"/>
  <c r="G38" i="7"/>
  <c r="G37" i="7"/>
  <c r="G36" i="7"/>
  <c r="G35" i="7"/>
  <c r="E29" i="7"/>
  <c r="G29" i="7" s="1"/>
  <c r="G22" i="7"/>
  <c r="G19" i="7"/>
  <c r="G18" i="7"/>
  <c r="E31" i="7" s="1"/>
  <c r="G31" i="7" s="1"/>
  <c r="G15" i="7"/>
  <c r="G10" i="7"/>
  <c r="K9" i="7"/>
  <c r="G9" i="7"/>
  <c r="M8" i="7"/>
  <c r="G8" i="7"/>
  <c r="G7" i="7"/>
  <c r="G182" i="33"/>
  <c r="G181" i="33"/>
  <c r="G180" i="33"/>
  <c r="G177" i="33"/>
  <c r="H23" i="45" s="1"/>
  <c r="G176" i="33"/>
  <c r="H22" i="45" s="1"/>
  <c r="G175" i="33"/>
  <c r="H21" i="45" s="1"/>
  <c r="G172" i="33"/>
  <c r="H19" i="45" s="1"/>
  <c r="G171" i="33"/>
  <c r="H18" i="45" s="1"/>
  <c r="G170" i="33"/>
  <c r="H17" i="45" s="1"/>
  <c r="G162" i="33"/>
  <c r="G161" i="33"/>
  <c r="G160" i="33"/>
  <c r="G159" i="33"/>
  <c r="AB9" i="44" s="1"/>
  <c r="G158" i="33"/>
  <c r="AA9" i="44" s="1"/>
  <c r="G142" i="33"/>
  <c r="R9" i="44" s="1"/>
  <c r="G141" i="33"/>
  <c r="Q9" i="44" s="1"/>
  <c r="G140" i="33"/>
  <c r="P9" i="44" s="1"/>
  <c r="G139" i="33"/>
  <c r="O9" i="44" s="1"/>
  <c r="G138" i="33"/>
  <c r="N9" i="44" s="1"/>
  <c r="G133" i="33"/>
  <c r="G132" i="33"/>
  <c r="G131" i="33"/>
  <c r="G130" i="33"/>
  <c r="G129" i="33"/>
  <c r="G128" i="33"/>
  <c r="G123" i="3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 i="33"/>
  <c r="G113" i="33"/>
  <c r="G112" i="33"/>
  <c r="G92" i="33"/>
  <c r="AL8" i="1" s="1"/>
  <c r="G91" i="33"/>
  <c r="G90" i="33"/>
  <c r="G89" i="33"/>
  <c r="G88" i="33"/>
  <c r="G87" i="33"/>
  <c r="AC8" i="1" s="1"/>
  <c r="G86" i="33"/>
  <c r="AB8" i="1" s="1"/>
  <c r="G85" i="33"/>
  <c r="AA8" i="1" s="1"/>
  <c r="G84" i="33"/>
  <c r="Z8" i="1" s="1"/>
  <c r="G83" i="33"/>
  <c r="G82" i="33"/>
  <c r="G78" i="33"/>
  <c r="AS9" i="44" s="1"/>
  <c r="G77" i="33"/>
  <c r="AR9" i="44" s="1"/>
  <c r="G76" i="33"/>
  <c r="AQ9" i="44" s="1"/>
  <c r="G75" i="33"/>
  <c r="AP9" i="44" s="1"/>
  <c r="G74" i="33"/>
  <c r="G70" i="33"/>
  <c r="H15" i="45" s="1"/>
  <c r="G69" i="33"/>
  <c r="H14" i="45" s="1"/>
  <c r="G68" i="33"/>
  <c r="H13" i="45" s="1"/>
  <c r="G67" i="33"/>
  <c r="G66" i="33"/>
  <c r="G65" i="33"/>
  <c r="G63" i="33"/>
  <c r="H8" i="45" s="1"/>
  <c r="H7" i="45"/>
  <c r="G58" i="33"/>
  <c r="G57" i="33"/>
  <c r="G56" i="33"/>
  <c r="G55" i="33"/>
  <c r="G54" i="33"/>
  <c r="G53" i="33"/>
  <c r="G52" i="33"/>
  <c r="G51" i="33"/>
  <c r="G50" i="33"/>
  <c r="G49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E29" i="33"/>
  <c r="G29" i="33" s="1"/>
  <c r="G22" i="33"/>
  <c r="G19" i="33"/>
  <c r="G184" i="33" s="1"/>
  <c r="G18" i="33"/>
  <c r="E31" i="33" s="1"/>
  <c r="G31" i="33" s="1"/>
  <c r="G15" i="33"/>
  <c r="G10" i="33"/>
  <c r="K9" i="33"/>
  <c r="G9" i="33"/>
  <c r="M8" i="33"/>
  <c r="G8" i="33"/>
  <c r="G7" i="33"/>
  <c r="G182" i="5"/>
  <c r="G181" i="5"/>
  <c r="G180" i="5"/>
  <c r="G177" i="5"/>
  <c r="G23" i="45" s="1"/>
  <c r="G176" i="5"/>
  <c r="G22" i="45" s="1"/>
  <c r="G175" i="5"/>
  <c r="G21" i="45" s="1"/>
  <c r="G172" i="5"/>
  <c r="G19" i="45" s="1"/>
  <c r="G171" i="5"/>
  <c r="G18" i="45" s="1"/>
  <c r="G170" i="5"/>
  <c r="G17" i="45" s="1"/>
  <c r="G162" i="5"/>
  <c r="G161" i="5"/>
  <c r="G160" i="5"/>
  <c r="G159" i="5"/>
  <c r="AB8" i="44" s="1"/>
  <c r="G158" i="5"/>
  <c r="AA8" i="44" s="1"/>
  <c r="G142" i="5"/>
  <c r="R8" i="44" s="1"/>
  <c r="G141" i="5"/>
  <c r="Q8" i="44" s="1"/>
  <c r="G140" i="5"/>
  <c r="P8" i="44" s="1"/>
  <c r="G139" i="5"/>
  <c r="O8" i="44" s="1"/>
  <c r="G138" i="5"/>
  <c r="N8" i="44" s="1"/>
  <c r="G133" i="5"/>
  <c r="AM8" i="44" s="1"/>
  <c r="G132" i="5"/>
  <c r="G131" i="5"/>
  <c r="G130" i="5"/>
  <c r="G129" i="5"/>
  <c r="G128" i="5"/>
  <c r="G123" i="5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 i="5"/>
  <c r="G113" i="5"/>
  <c r="G112" i="5"/>
  <c r="G92" i="5"/>
  <c r="AL7" i="1" s="1"/>
  <c r="G91" i="5"/>
  <c r="G90" i="5"/>
  <c r="G89" i="5"/>
  <c r="G88" i="5"/>
  <c r="G87" i="5"/>
  <c r="AC7" i="1" s="1"/>
  <c r="G86" i="5"/>
  <c r="AB7" i="1" s="1"/>
  <c r="G85" i="5"/>
  <c r="AA7" i="1" s="1"/>
  <c r="G84" i="5"/>
  <c r="Z7" i="1" s="1"/>
  <c r="G83" i="5"/>
  <c r="G82" i="5"/>
  <c r="G78" i="5"/>
  <c r="AS8" i="44" s="1"/>
  <c r="G77" i="5"/>
  <c r="AR8" i="44" s="1"/>
  <c r="G76" i="5"/>
  <c r="AQ8" i="44" s="1"/>
  <c r="G75" i="5"/>
  <c r="AP8" i="44" s="1"/>
  <c r="G74" i="5"/>
  <c r="G70" i="5"/>
  <c r="G15" i="45" s="1"/>
  <c r="G69" i="5"/>
  <c r="G14" i="45" s="1"/>
  <c r="G68" i="5"/>
  <c r="G13" i="45" s="1"/>
  <c r="G67" i="5"/>
  <c r="G66" i="5"/>
  <c r="G65" i="5"/>
  <c r="G63" i="5"/>
  <c r="G8" i="45" s="1"/>
  <c r="G62" i="5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E29" i="5"/>
  <c r="G29" i="5" s="1"/>
  <c r="G22" i="5"/>
  <c r="G19" i="5"/>
  <c r="G18" i="5"/>
  <c r="E31" i="5" s="1"/>
  <c r="G31" i="5" s="1"/>
  <c r="G15" i="5"/>
  <c r="G10" i="5"/>
  <c r="K9" i="5"/>
  <c r="G9" i="5"/>
  <c r="M8" i="5"/>
  <c r="G8" i="5"/>
  <c r="G7" i="5"/>
  <c r="G182" i="4"/>
  <c r="G181" i="4"/>
  <c r="G180" i="4"/>
  <c r="G177" i="4"/>
  <c r="F23" i="45" s="1"/>
  <c r="G176" i="4"/>
  <c r="F22" i="45" s="1"/>
  <c r="G175" i="4"/>
  <c r="F21" i="45" s="1"/>
  <c r="G172" i="4"/>
  <c r="F19" i="45" s="1"/>
  <c r="G171" i="4"/>
  <c r="F18" i="45" s="1"/>
  <c r="G170" i="4"/>
  <c r="F17" i="45" s="1"/>
  <c r="G162" i="4"/>
  <c r="G161" i="4"/>
  <c r="G160" i="4"/>
  <c r="G159" i="4"/>
  <c r="AB7" i="44" s="1"/>
  <c r="G158" i="4"/>
  <c r="AA7" i="44" s="1"/>
  <c r="G142" i="4"/>
  <c r="R7" i="44" s="1"/>
  <c r="G141" i="4"/>
  <c r="Q7" i="44" s="1"/>
  <c r="G140" i="4"/>
  <c r="P7" i="44" s="1"/>
  <c r="G139" i="4"/>
  <c r="O7" i="44" s="1"/>
  <c r="G138" i="4"/>
  <c r="N7" i="44" s="1"/>
  <c r="G133" i="4"/>
  <c r="AM7" i="44" s="1"/>
  <c r="G132" i="4"/>
  <c r="G131" i="4"/>
  <c r="G130" i="4"/>
  <c r="G129" i="4"/>
  <c r="G128" i="4"/>
  <c r="G123" i="4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 i="4"/>
  <c r="G113" i="4"/>
  <c r="G112" i="4"/>
  <c r="G92" i="4"/>
  <c r="AL6" i="1" s="1"/>
  <c r="G91" i="4"/>
  <c r="G90" i="4"/>
  <c r="G89" i="4"/>
  <c r="G88" i="4"/>
  <c r="G87" i="4"/>
  <c r="AC6" i="1" s="1"/>
  <c r="G86" i="4"/>
  <c r="AB6" i="1" s="1"/>
  <c r="G85" i="4"/>
  <c r="AA6" i="1" s="1"/>
  <c r="G84" i="4"/>
  <c r="Z6" i="1" s="1"/>
  <c r="G83" i="4"/>
  <c r="G82" i="4"/>
  <c r="G78" i="4"/>
  <c r="AS7" i="44" s="1"/>
  <c r="G77" i="4"/>
  <c r="AR7" i="44" s="1"/>
  <c r="G76" i="4"/>
  <c r="AQ7" i="44" s="1"/>
  <c r="G75" i="4"/>
  <c r="AP7" i="44" s="1"/>
  <c r="G74" i="4"/>
  <c r="G70" i="4"/>
  <c r="F15" i="45" s="1"/>
  <c r="G69" i="4"/>
  <c r="F14" i="45" s="1"/>
  <c r="G68" i="4"/>
  <c r="F13" i="45" s="1"/>
  <c r="G67" i="4"/>
  <c r="G66" i="4"/>
  <c r="G65" i="4"/>
  <c r="G63" i="4"/>
  <c r="F8" i="45" s="1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H22" i="4" s="1"/>
  <c r="G19" i="4"/>
  <c r="H19" i="4" s="1"/>
  <c r="G18" i="4"/>
  <c r="G15" i="4"/>
  <c r="H15" i="4" s="1"/>
  <c r="G10" i="4"/>
  <c r="H10" i="4" s="1"/>
  <c r="K9" i="4"/>
  <c r="G9" i="4"/>
  <c r="H9" i="4" s="1"/>
  <c r="M8" i="4"/>
  <c r="G8" i="4"/>
  <c r="H8" i="4" s="1"/>
  <c r="G7" i="4"/>
  <c r="H7" i="4" s="1"/>
  <c r="G182" i="3"/>
  <c r="G181" i="3"/>
  <c r="G180" i="3"/>
  <c r="G177" i="3"/>
  <c r="E23" i="45" s="1"/>
  <c r="G176" i="3"/>
  <c r="E22" i="45" s="1"/>
  <c r="G175" i="3"/>
  <c r="E21" i="45" s="1"/>
  <c r="G172" i="3"/>
  <c r="E19" i="45" s="1"/>
  <c r="G171" i="3"/>
  <c r="E18" i="45" s="1"/>
  <c r="G170" i="3"/>
  <c r="E17" i="45" s="1"/>
  <c r="G162" i="3"/>
  <c r="G161" i="3"/>
  <c r="G160" i="3"/>
  <c r="G159" i="3"/>
  <c r="AB6" i="44" s="1"/>
  <c r="G158" i="3"/>
  <c r="AA6" i="44" s="1"/>
  <c r="G142" i="3"/>
  <c r="R6" i="44" s="1"/>
  <c r="G141" i="3"/>
  <c r="Q6" i="44" s="1"/>
  <c r="G140" i="3"/>
  <c r="P6" i="44" s="1"/>
  <c r="G139" i="3"/>
  <c r="O6" i="44" s="1"/>
  <c r="G138" i="3"/>
  <c r="N6" i="44" s="1"/>
  <c r="G133" i="3"/>
  <c r="G132" i="3"/>
  <c r="G131" i="3"/>
  <c r="G130" i="3"/>
  <c r="G129" i="3"/>
  <c r="G128" i="3"/>
  <c r="G123" i="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 i="3"/>
  <c r="G113" i="3"/>
  <c r="G112" i="3"/>
  <c r="G92" i="3"/>
  <c r="AL5" i="1" s="1"/>
  <c r="G91" i="3"/>
  <c r="G90" i="3"/>
  <c r="G89" i="3"/>
  <c r="G88" i="3"/>
  <c r="G87" i="3"/>
  <c r="AC5" i="1" s="1"/>
  <c r="G86" i="3"/>
  <c r="AB5" i="1" s="1"/>
  <c r="G85" i="3"/>
  <c r="AA5" i="1" s="1"/>
  <c r="G84" i="3"/>
  <c r="Z5" i="1" s="1"/>
  <c r="G83" i="3"/>
  <c r="G82" i="3"/>
  <c r="G78" i="3"/>
  <c r="AS6" i="44" s="1"/>
  <c r="G77" i="3"/>
  <c r="AR6" i="44" s="1"/>
  <c r="G76" i="3"/>
  <c r="AQ6" i="44" s="1"/>
  <c r="G75" i="3"/>
  <c r="AP6" i="44" s="1"/>
  <c r="G74" i="3"/>
  <c r="G70" i="3"/>
  <c r="E15" i="45" s="1"/>
  <c r="G69" i="3"/>
  <c r="E14" i="45" s="1"/>
  <c r="G68" i="3"/>
  <c r="E13" i="45" s="1"/>
  <c r="G67" i="3"/>
  <c r="G66" i="3"/>
  <c r="G65" i="3"/>
  <c r="G63" i="3"/>
  <c r="E8" i="45" s="1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K9" i="3"/>
  <c r="M8" i="3"/>
  <c r="G182" i="2"/>
  <c r="H182" i="2" s="1"/>
  <c r="J182" i="2" s="1"/>
  <c r="G181" i="2"/>
  <c r="G180" i="2"/>
  <c r="G177" i="2"/>
  <c r="D23" i="45" s="1"/>
  <c r="G176" i="2"/>
  <c r="D22" i="45" s="1"/>
  <c r="G175" i="2"/>
  <c r="G172" i="2"/>
  <c r="D19" i="45" s="1"/>
  <c r="G171" i="2"/>
  <c r="D18" i="45" s="1"/>
  <c r="G170" i="2"/>
  <c r="D17" i="45" s="1"/>
  <c r="G162" i="2"/>
  <c r="G161" i="2"/>
  <c r="G160" i="2"/>
  <c r="G159" i="2"/>
  <c r="AB5" i="44" s="1"/>
  <c r="G158" i="2"/>
  <c r="G150" i="2"/>
  <c r="G149" i="2"/>
  <c r="G148" i="2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G141" i="2"/>
  <c r="Q5" i="44" s="1"/>
  <c r="G140" i="2"/>
  <c r="P5" i="44" s="1"/>
  <c r="G139" i="2"/>
  <c r="O5" i="44" s="1"/>
  <c r="G138" i="2"/>
  <c r="N5" i="44" s="1"/>
  <c r="G133" i="2"/>
  <c r="G132" i="2"/>
  <c r="H132" i="2" s="1"/>
  <c r="J132" i="2" s="1"/>
  <c r="G131" i="2"/>
  <c r="G130" i="2"/>
  <c r="G129" i="2"/>
  <c r="G128" i="2"/>
  <c r="G123" i="2"/>
  <c r="AL5" i="44" s="1"/>
  <c r="G122" i="2"/>
  <c r="G121" i="2"/>
  <c r="AJ5" i="44" s="1"/>
  <c r="G120" i="2"/>
  <c r="G119" i="2"/>
  <c r="AH5" i="44" s="1"/>
  <c r="G118" i="2"/>
  <c r="G117" i="2"/>
  <c r="AF5" i="44" s="1"/>
  <c r="G116" i="2"/>
  <c r="G115" i="2"/>
  <c r="G114" i="2"/>
  <c r="H114" i="2" s="1"/>
  <c r="J114" i="2" s="1"/>
  <c r="G113" i="2"/>
  <c r="G112" i="2"/>
  <c r="H112" i="2" s="1"/>
  <c r="J112" i="2" s="1"/>
  <c r="G92" i="2"/>
  <c r="G91" i="2"/>
  <c r="G90" i="2"/>
  <c r="G89" i="2"/>
  <c r="G88" i="2"/>
  <c r="G87" i="2"/>
  <c r="G86" i="2"/>
  <c r="G85" i="2"/>
  <c r="G84" i="2"/>
  <c r="G83" i="2"/>
  <c r="H83" i="2" s="1"/>
  <c r="G82" i="2"/>
  <c r="H82" i="2" s="1"/>
  <c r="G78" i="2"/>
  <c r="G77" i="2"/>
  <c r="G76" i="2"/>
  <c r="G75" i="2"/>
  <c r="G74" i="2"/>
  <c r="G70" i="2"/>
  <c r="G69" i="2"/>
  <c r="G68" i="2"/>
  <c r="G67" i="2"/>
  <c r="G66" i="2"/>
  <c r="G65" i="2"/>
  <c r="G63" i="2"/>
  <c r="G62" i="2"/>
  <c r="G184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H49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G37" i="2"/>
  <c r="H37" i="2" s="1"/>
  <c r="G36" i="2"/>
  <c r="G35" i="2"/>
  <c r="H35" i="2" s="1"/>
  <c r="G29" i="2"/>
  <c r="H29" i="2" s="1"/>
  <c r="G30" i="2"/>
  <c r="H30" i="2" s="1"/>
  <c r="G31" i="2"/>
  <c r="H31" i="2" s="1"/>
  <c r="K9" i="2"/>
  <c r="M8" i="2"/>
  <c r="G27" i="2"/>
  <c r="H27" i="2" s="1"/>
  <c r="G185" i="2" l="1"/>
  <c r="G185" i="33"/>
  <c r="G135" i="7"/>
  <c r="G60" i="17"/>
  <c r="G32" i="28"/>
  <c r="G32" i="18"/>
  <c r="G32" i="17"/>
  <c r="E9" i="45"/>
  <c r="G185" i="3"/>
  <c r="G185" i="7"/>
  <c r="G7" i="45"/>
  <c r="G184" i="5"/>
  <c r="F7" i="45"/>
  <c r="G184" i="4"/>
  <c r="G185" i="5"/>
  <c r="G135" i="33"/>
  <c r="H135" i="33" s="1"/>
  <c r="J135" i="33" s="1"/>
  <c r="J7" i="45"/>
  <c r="G184" i="8"/>
  <c r="H180" i="2"/>
  <c r="J180" i="2" s="1"/>
  <c r="G183" i="2"/>
  <c r="G102" i="5"/>
  <c r="H127" i="7"/>
  <c r="H127" i="8" s="1"/>
  <c r="E7" i="45"/>
  <c r="G184" i="3"/>
  <c r="G185" i="4"/>
  <c r="I7" i="45"/>
  <c r="G184" i="7"/>
  <c r="G185" i="8"/>
  <c r="G32" i="19"/>
  <c r="G32" i="15"/>
  <c r="AA11" i="44"/>
  <c r="J156" i="9"/>
  <c r="G125" i="33"/>
  <c r="G98" i="33"/>
  <c r="G125" i="3"/>
  <c r="AD8" i="44"/>
  <c r="G104" i="4"/>
  <c r="G105" i="4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98" i="8"/>
  <c r="G99" i="8" s="1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I59" i="12" s="1"/>
  <c r="AD11" i="44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AD10" i="44"/>
  <c r="J163" i="9"/>
  <c r="AI9" i="1"/>
  <c r="AX10" i="44"/>
  <c r="BJ9" i="1"/>
  <c r="AM10" i="44"/>
  <c r="AO9" i="1"/>
  <c r="AO10" i="44"/>
  <c r="AK9" i="1"/>
  <c r="AU10" i="44"/>
  <c r="AG9" i="1"/>
  <c r="AV10" i="44"/>
  <c r="AD9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D7" i="44"/>
  <c r="AO6" i="1"/>
  <c r="AO7" i="44"/>
  <c r="AH6" i="1"/>
  <c r="AW7" i="44"/>
  <c r="AD6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H70" i="27" s="1"/>
  <c r="H70" i="28" s="1"/>
  <c r="H70" i="29" s="1"/>
  <c r="H70" i="30" s="1"/>
  <c r="H70" i="43" s="1"/>
  <c r="H70" i="31" s="1"/>
  <c r="J70" i="31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AL4" i="1"/>
  <c r="H175" i="2"/>
  <c r="J175" i="2" s="1"/>
  <c r="D21" i="45"/>
  <c r="G102" i="4"/>
  <c r="G103" i="4" s="1"/>
  <c r="G100" i="5"/>
  <c r="G101" i="5" s="1"/>
  <c r="G94" i="8"/>
  <c r="J152" i="33"/>
  <c r="H152" i="7"/>
  <c r="H120" i="2"/>
  <c r="J120" i="2" s="1"/>
  <c r="AI5" i="44"/>
  <c r="H118" i="2"/>
  <c r="J118" i="2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H63" i="28" s="1"/>
  <c r="H63" i="29" s="1"/>
  <c r="H63" i="30" s="1"/>
  <c r="H63" i="43" s="1"/>
  <c r="H63" i="31" s="1"/>
  <c r="J63" i="31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 i="1"/>
  <c r="AM5" i="44"/>
  <c r="AD5" i="44"/>
  <c r="G100" i="4"/>
  <c r="G60" i="11"/>
  <c r="I59" i="11" s="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H74" i="30" s="1"/>
  <c r="H74" i="43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H65" i="28" s="1"/>
  <c r="H65" i="29" s="1"/>
  <c r="H65" i="30" s="1"/>
  <c r="H65" i="43" s="1"/>
  <c r="H65" i="31" s="1"/>
  <c r="J65" i="31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i="2" s="1"/>
  <c r="AK5" i="44"/>
  <c r="G94" i="33"/>
  <c r="G95" i="33" s="1"/>
  <c r="I90" i="7"/>
  <c r="AH9" i="1"/>
  <c r="G100" i="8"/>
  <c r="G101" i="8" s="1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H69" i="28" s="1"/>
  <c r="H69" i="29" s="1"/>
  <c r="H69" i="30" s="1"/>
  <c r="H69" i="43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H66" i="28" s="1"/>
  <c r="H66" i="29" s="1"/>
  <c r="H66" i="30" s="1"/>
  <c r="H66" i="43" s="1"/>
  <c r="H66" i="31" s="1"/>
  <c r="J66" i="31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i="31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H67" i="28" s="1"/>
  <c r="H67" i="29" s="1"/>
  <c r="H67" i="30" s="1"/>
  <c r="H67" i="43" s="1"/>
  <c r="H67" i="31" s="1"/>
  <c r="J67" i="31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i="31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H4" i="1"/>
  <c r="H116" i="2"/>
  <c r="J116" i="2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H68" i="28" s="1"/>
  <c r="H68" i="29" s="1"/>
  <c r="H68" i="30" s="1"/>
  <c r="H68" i="43" s="1"/>
  <c r="H68" i="31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8" s="1"/>
  <c r="H90" i="29" s="1"/>
  <c r="H90" i="30" s="1"/>
  <c r="H90" i="43" s="1"/>
  <c r="AI4" i="1"/>
  <c r="AX5" i="44"/>
  <c r="BJ7" i="1"/>
  <c r="BJ6" i="1"/>
  <c r="G60" i="43"/>
  <c r="I59" i="43" s="1"/>
  <c r="G60" i="30"/>
  <c r="I59" i="30" s="1"/>
  <c r="G183" i="7"/>
  <c r="I90" i="8"/>
  <c r="H15" i="5"/>
  <c r="H15" i="33" s="1"/>
  <c r="H15" i="7" s="1"/>
  <c r="H15" i="8" s="1"/>
  <c r="H15" i="9" s="1"/>
  <c r="H15" i="10" s="1"/>
  <c r="H15" i="11" s="1"/>
  <c r="H15" i="12" s="1"/>
  <c r="H15" i="13" s="1"/>
  <c r="H15" i="14" s="1"/>
  <c r="H15" i="15" s="1"/>
  <c r="H15" i="16" s="1"/>
  <c r="H15" i="17" s="1"/>
  <c r="H15" i="18" s="1"/>
  <c r="H15" i="19" s="1"/>
  <c r="H15" i="20" s="1"/>
  <c r="H15" i="21" s="1"/>
  <c r="H15" i="22" s="1"/>
  <c r="H15" i="23" s="1"/>
  <c r="H15" i="24" s="1"/>
  <c r="H15" i="25" s="1"/>
  <c r="H15" i="40" s="1"/>
  <c r="H15" i="27" s="1"/>
  <c r="H15" i="28" s="1"/>
  <c r="H15" i="29" s="1"/>
  <c r="H15" i="30" s="1"/>
  <c r="H15" i="43" s="1"/>
  <c r="H15" i="31" s="1"/>
  <c r="I90" i="33"/>
  <c r="H8" i="5"/>
  <c r="H8" i="33" s="1"/>
  <c r="H8" i="7" s="1"/>
  <c r="H8" i="8" s="1"/>
  <c r="H8" i="9" s="1"/>
  <c r="H8" i="10" s="1"/>
  <c r="H8" i="11" s="1"/>
  <c r="H8" i="12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10" i="17" s="1"/>
  <c r="H10" i="18" s="1"/>
  <c r="H10" i="19" s="1"/>
  <c r="H10" i="20" s="1"/>
  <c r="H10" i="21" s="1"/>
  <c r="H10" i="22" s="1"/>
  <c r="H10" i="23" s="1"/>
  <c r="H10" i="24" s="1"/>
  <c r="H10" i="25" s="1"/>
  <c r="H10" i="40" s="1"/>
  <c r="H10" i="27" s="1"/>
  <c r="H10" i="28" s="1"/>
  <c r="H10" i="29" s="1"/>
  <c r="H10" i="30" s="1"/>
  <c r="H10" i="43" s="1"/>
  <c r="H10" i="31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i="5" s="1"/>
  <c r="H9" i="5"/>
  <c r="H9" i="33" s="1"/>
  <c r="H9" i="7" s="1"/>
  <c r="H9" i="8" s="1"/>
  <c r="H9" i="9" s="1"/>
  <c r="H9" i="10" s="1"/>
  <c r="H9" i="11" s="1"/>
  <c r="H9" i="12" s="1"/>
  <c r="H9" i="13" s="1"/>
  <c r="H9" i="14" s="1"/>
  <c r="H9" i="15" s="1"/>
  <c r="H9" i="16" s="1"/>
  <c r="H9" i="17" s="1"/>
  <c r="H9" i="18" s="1"/>
  <c r="H9" i="19" s="1"/>
  <c r="H9" i="20" s="1"/>
  <c r="H9" i="21" s="1"/>
  <c r="H9" i="22" s="1"/>
  <c r="H9" i="23" s="1"/>
  <c r="H9" i="24" s="1"/>
  <c r="H9" i="25" s="1"/>
  <c r="H9" i="40" s="1"/>
  <c r="H9" i="27" s="1"/>
  <c r="H9" i="28" s="1"/>
  <c r="H9" i="29" s="1"/>
  <c r="H9" i="30" s="1"/>
  <c r="H9" i="43" s="1"/>
  <c r="H9" i="31" s="1"/>
  <c r="G47" i="5"/>
  <c r="G71" i="5"/>
  <c r="H7" i="5"/>
  <c r="H7" i="33" s="1"/>
  <c r="H7" i="7" s="1"/>
  <c r="H7" i="8" s="1"/>
  <c r="H7" i="9" s="1"/>
  <c r="H7" i="10" s="1"/>
  <c r="H7" i="11" s="1"/>
  <c r="H7" i="12" s="1"/>
  <c r="H7" i="13" s="1"/>
  <c r="H7" i="14" s="1"/>
  <c r="H7" i="15" s="1"/>
  <c r="H7" i="16" s="1"/>
  <c r="H7" i="17" s="1"/>
  <c r="H7" i="18" s="1"/>
  <c r="H7" i="19" s="1"/>
  <c r="H7" i="20" s="1"/>
  <c r="H7" i="21" s="1"/>
  <c r="H7" i="22" s="1"/>
  <c r="H7" i="23" s="1"/>
  <c r="H7" i="24" s="1"/>
  <c r="H7" i="25" s="1"/>
  <c r="H7" i="40" s="1"/>
  <c r="H7" i="27" s="1"/>
  <c r="H7" i="28" s="1"/>
  <c r="H7" i="29" s="1"/>
  <c r="H7" i="30" s="1"/>
  <c r="H7" i="43" s="1"/>
  <c r="H19" i="5"/>
  <c r="H19" i="33" s="1"/>
  <c r="H19" i="7" s="1"/>
  <c r="H19" i="8" s="1"/>
  <c r="H19" i="9" s="1"/>
  <c r="H19" i="10" s="1"/>
  <c r="H19" i="11" s="1"/>
  <c r="H19" i="12" s="1"/>
  <c r="H19" i="13" s="1"/>
  <c r="H19" i="14" s="1"/>
  <c r="H19" i="15" s="1"/>
  <c r="H19" i="16" s="1"/>
  <c r="H19" i="17" s="1"/>
  <c r="H19" i="18" s="1"/>
  <c r="H19" i="19" s="1"/>
  <c r="H19" i="20" s="1"/>
  <c r="H19" i="21" s="1"/>
  <c r="H19" i="22" s="1"/>
  <c r="H19" i="23" s="1"/>
  <c r="H19" i="24" s="1"/>
  <c r="H19" i="25" s="1"/>
  <c r="H19" i="40" s="1"/>
  <c r="H19" i="27" s="1"/>
  <c r="H19" i="28" s="1"/>
  <c r="H19" i="29" s="1"/>
  <c r="H19" i="30" s="1"/>
  <c r="H19" i="43" s="1"/>
  <c r="H19" i="31" s="1"/>
  <c r="E31" i="4"/>
  <c r="G31" i="4" s="1"/>
  <c r="H18" i="4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 i="2"/>
  <c r="J131" i="2" s="1"/>
  <c r="H129" i="2"/>
  <c r="H128" i="2"/>
  <c r="J128" i="2" s="1"/>
  <c r="H130" i="2"/>
  <c r="H179" i="8"/>
  <c r="J179" i="7"/>
  <c r="J163" i="10"/>
  <c r="H163" i="11"/>
  <c r="H132" i="3"/>
  <c r="H29" i="3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5" i="11"/>
  <c r="J165" i="10"/>
  <c r="H174" i="8"/>
  <c r="J174" i="7"/>
  <c r="H164" i="11"/>
  <c r="J164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i="43" s="1"/>
  <c r="G173" i="2"/>
  <c r="H170" i="2"/>
  <c r="H172" i="2"/>
  <c r="G183" i="3"/>
  <c r="H180" i="3"/>
  <c r="H177" i="2"/>
  <c r="J177" i="2" s="1"/>
  <c r="H171" i="2"/>
  <c r="H176" i="2"/>
  <c r="J176" i="2" s="1"/>
  <c r="H181" i="2"/>
  <c r="H182" i="3"/>
  <c r="H175" i="3"/>
  <c r="H158" i="2"/>
  <c r="J158" i="2" s="1"/>
  <c r="H160" i="2"/>
  <c r="J160" i="2" s="1"/>
  <c r="H162" i="2"/>
  <c r="J162" i="2" s="1"/>
  <c r="H159" i="2"/>
  <c r="H161" i="2"/>
  <c r="H139" i="2"/>
  <c r="H143" i="2"/>
  <c r="H147" i="2"/>
  <c r="H149" i="2"/>
  <c r="H141" i="2"/>
  <c r="J141" i="2" s="1"/>
  <c r="H145" i="2"/>
  <c r="H140" i="2"/>
  <c r="H142" i="2"/>
  <c r="J142" i="2" s="1"/>
  <c r="H144" i="2"/>
  <c r="H148" i="2"/>
  <c r="H150" i="2"/>
  <c r="H138" i="2"/>
  <c r="H146" i="2"/>
  <c r="H117" i="2"/>
  <c r="J117" i="2" s="1"/>
  <c r="H112" i="3"/>
  <c r="H119" i="2"/>
  <c r="J119" i="2" s="1"/>
  <c r="H113" i="2"/>
  <c r="J113" i="2" s="1"/>
  <c r="H121" i="2"/>
  <c r="J121" i="2" s="1"/>
  <c r="H114" i="3"/>
  <c r="H115" i="2"/>
  <c r="H123" i="2"/>
  <c r="J123" i="2" s="1"/>
  <c r="H92" i="3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i="2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6" i="3"/>
  <c r="H56" i="4" s="1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1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49" i="3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i="2" s="1"/>
  <c r="H36" i="2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i="3" s="1"/>
  <c r="H42" i="3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i="2" s="1"/>
  <c r="H38" i="2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i="3" s="1"/>
  <c r="H40" i="3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80" i="30"/>
  <c r="G80" i="28"/>
  <c r="G80" i="27"/>
  <c r="G60" i="27"/>
  <c r="I59" i="27" s="1"/>
  <c r="G80" i="40"/>
  <c r="G60" i="23"/>
  <c r="I59" i="23" s="1"/>
  <c r="G80" i="22"/>
  <c r="G60" i="22"/>
  <c r="I59" i="22" s="1"/>
  <c r="G80" i="21"/>
  <c r="G80" i="20"/>
  <c r="G60" i="16"/>
  <c r="I59" i="16" s="1"/>
  <c r="G80" i="15"/>
  <c r="G80" i="13"/>
  <c r="H80" i="13" s="1"/>
  <c r="J80" i="13" s="1"/>
  <c r="G80" i="10"/>
  <c r="G60" i="10"/>
  <c r="I59" i="10" s="1"/>
  <c r="G183" i="8"/>
  <c r="G79" i="8"/>
  <c r="G96" i="8"/>
  <c r="G97" i="8" s="1"/>
  <c r="G71" i="7"/>
  <c r="G102" i="7"/>
  <c r="G103" i="7" s="1"/>
  <c r="G79" i="33"/>
  <c r="G80" i="33" s="1"/>
  <c r="G71" i="33"/>
  <c r="G183" i="5"/>
  <c r="I90" i="5"/>
  <c r="G96" i="4"/>
  <c r="G97" i="4" s="1"/>
  <c r="G60" i="31"/>
  <c r="G80" i="31"/>
  <c r="G32" i="31"/>
  <c r="G97" i="31"/>
  <c r="AU35" i="44" s="1"/>
  <c r="G71" i="3"/>
  <c r="G183" i="33"/>
  <c r="G173" i="4"/>
  <c r="G71" i="8"/>
  <c r="G178" i="2"/>
  <c r="I90" i="3"/>
  <c r="G80" i="12"/>
  <c r="G80" i="25"/>
  <c r="G80" i="17"/>
  <c r="H80" i="17" s="1"/>
  <c r="G105" i="43"/>
  <c r="G32" i="43"/>
  <c r="G104" i="2"/>
  <c r="H104" i="2" s="1"/>
  <c r="G96" i="2"/>
  <c r="H96" i="2" s="1"/>
  <c r="G79" i="4"/>
  <c r="G99" i="43"/>
  <c r="G95" i="43"/>
  <c r="G178" i="4"/>
  <c r="G186" i="4" s="1"/>
  <c r="G80" i="43"/>
  <c r="G105" i="30"/>
  <c r="G32" i="30"/>
  <c r="G99" i="30"/>
  <c r="G97" i="30"/>
  <c r="G95" i="30"/>
  <c r="G60" i="29"/>
  <c r="G32" i="29"/>
  <c r="G95" i="28"/>
  <c r="G99" i="28"/>
  <c r="G60" i="28"/>
  <c r="G105" i="27"/>
  <c r="G32" i="27"/>
  <c r="G99" i="27"/>
  <c r="G97" i="27"/>
  <c r="G95" i="27"/>
  <c r="G105" i="40"/>
  <c r="G60" i="40"/>
  <c r="G99" i="40"/>
  <c r="G32" i="40"/>
  <c r="G95" i="40"/>
  <c r="G60" i="25"/>
  <c r="G32" i="25"/>
  <c r="G60" i="24"/>
  <c r="G95" i="24"/>
  <c r="G32" i="24"/>
  <c r="G99" i="24"/>
  <c r="G105" i="23"/>
  <c r="G32" i="23"/>
  <c r="G99" i="23"/>
  <c r="G97" i="23"/>
  <c r="G95" i="23"/>
  <c r="G105" i="22"/>
  <c r="G32" i="22"/>
  <c r="G99" i="22"/>
  <c r="G97" i="22"/>
  <c r="G95" i="22"/>
  <c r="G99" i="21"/>
  <c r="G32" i="21"/>
  <c r="G60" i="21"/>
  <c r="G95" i="21"/>
  <c r="H186" i="20"/>
  <c r="G60" i="20"/>
  <c r="G32" i="20"/>
  <c r="G97" i="20"/>
  <c r="G99" i="19"/>
  <c r="G60" i="19"/>
  <c r="G95" i="19"/>
  <c r="G97" i="19"/>
  <c r="G99" i="18"/>
  <c r="G95" i="18"/>
  <c r="G80" i="18"/>
  <c r="G95" i="17"/>
  <c r="G99" i="17"/>
  <c r="G105" i="16"/>
  <c r="G32" i="16"/>
  <c r="G99" i="16"/>
  <c r="G97" i="16"/>
  <c r="G95" i="16"/>
  <c r="G95" i="15"/>
  <c r="G99" i="15"/>
  <c r="G60" i="15"/>
  <c r="G32" i="14"/>
  <c r="G95" i="14"/>
  <c r="G60" i="14"/>
  <c r="G99" i="14"/>
  <c r="G80" i="14"/>
  <c r="G32" i="13"/>
  <c r="G97" i="13"/>
  <c r="G60" i="13"/>
  <c r="G105" i="12"/>
  <c r="G32" i="12"/>
  <c r="G99" i="12"/>
  <c r="G95" i="12"/>
  <c r="G95" i="11"/>
  <c r="G80" i="11"/>
  <c r="G105" i="11"/>
  <c r="G32" i="11"/>
  <c r="G99" i="11"/>
  <c r="G32" i="10"/>
  <c r="G99" i="10"/>
  <c r="G103" i="10"/>
  <c r="G95" i="10"/>
  <c r="G105" i="10"/>
  <c r="G97" i="10"/>
  <c r="G101" i="10"/>
  <c r="G95" i="9"/>
  <c r="G80" i="9"/>
  <c r="G105" i="9"/>
  <c r="G60" i="9"/>
  <c r="G32" i="9"/>
  <c r="G99" i="9"/>
  <c r="I88" i="8"/>
  <c r="G104" i="8"/>
  <c r="G59" i="8"/>
  <c r="G102" i="8"/>
  <c r="G95" i="8"/>
  <c r="G173" i="8"/>
  <c r="G178" i="8"/>
  <c r="G186" i="8" s="1"/>
  <c r="E27" i="8"/>
  <c r="G27" i="8" s="1"/>
  <c r="E30" i="8"/>
  <c r="G30" i="8" s="1"/>
  <c r="G64" i="8"/>
  <c r="G47" i="8"/>
  <c r="G20" i="8"/>
  <c r="I85" i="8"/>
  <c r="E28" i="8"/>
  <c r="G28" i="8" s="1"/>
  <c r="E27" i="7"/>
  <c r="G27" i="7" s="1"/>
  <c r="I88" i="7"/>
  <c r="G104" i="7"/>
  <c r="G96" i="7"/>
  <c r="G59" i="7"/>
  <c r="G173" i="7"/>
  <c r="G178" i="7"/>
  <c r="G186" i="7" s="1"/>
  <c r="G79" i="7"/>
  <c r="G94" i="7"/>
  <c r="G98" i="7"/>
  <c r="E30" i="7"/>
  <c r="G30" i="7" s="1"/>
  <c r="G101" i="7"/>
  <c r="G64" i="7"/>
  <c r="G47" i="7"/>
  <c r="G20" i="7"/>
  <c r="I85" i="7"/>
  <c r="E28" i="7"/>
  <c r="G28" i="7" s="1"/>
  <c r="E27" i="33"/>
  <c r="G27" i="33" s="1"/>
  <c r="I88" i="33"/>
  <c r="G100" i="33"/>
  <c r="G104" i="33"/>
  <c r="G96" i="33"/>
  <c r="G64" i="33"/>
  <c r="G59" i="33"/>
  <c r="G102" i="33"/>
  <c r="G99" i="33"/>
  <c r="G173" i="33"/>
  <c r="G178" i="33"/>
  <c r="G186" i="33" s="1"/>
  <c r="E30" i="33"/>
  <c r="G30" i="33" s="1"/>
  <c r="G47" i="33"/>
  <c r="G20" i="33"/>
  <c r="I85" i="33"/>
  <c r="E28" i="33"/>
  <c r="G28" i="33" s="1"/>
  <c r="G64" i="5"/>
  <c r="I88" i="5"/>
  <c r="G98" i="5"/>
  <c r="G103" i="5"/>
  <c r="G94" i="5"/>
  <c r="G59" i="5"/>
  <c r="G173" i="5"/>
  <c r="G178" i="5"/>
  <c r="G186" i="5" s="1"/>
  <c r="G79" i="5"/>
  <c r="E27" i="5"/>
  <c r="G27" i="5" s="1"/>
  <c r="E30" i="5"/>
  <c r="G30" i="5" s="1"/>
  <c r="G104" i="5"/>
  <c r="G20" i="5"/>
  <c r="I85" i="5"/>
  <c r="E28" i="5"/>
  <c r="G28" i="5" s="1"/>
  <c r="G101" i="4"/>
  <c r="G64" i="4"/>
  <c r="E30" i="4"/>
  <c r="G30" i="4" s="1"/>
  <c r="E27" i="4"/>
  <c r="G27" i="4" s="1"/>
  <c r="G59" i="4"/>
  <c r="G71" i="4"/>
  <c r="I85" i="4"/>
  <c r="I90" i="4"/>
  <c r="G183" i="4"/>
  <c r="G47" i="4"/>
  <c r="I88" i="4"/>
  <c r="G20" i="4"/>
  <c r="H20" i="4" s="1"/>
  <c r="G94" i="4"/>
  <c r="G98" i="4"/>
  <c r="E28" i="4"/>
  <c r="G28" i="4" s="1"/>
  <c r="E30" i="3"/>
  <c r="G64" i="3"/>
  <c r="I88" i="3"/>
  <c r="G104" i="3"/>
  <c r="G96" i="3"/>
  <c r="E27" i="3"/>
  <c r="G59" i="3"/>
  <c r="G173" i="3"/>
  <c r="G178" i="3"/>
  <c r="G186" i="3" s="1"/>
  <c r="G79" i="3"/>
  <c r="G94" i="3"/>
  <c r="G98" i="3"/>
  <c r="E31" i="3"/>
  <c r="G47" i="3"/>
  <c r="I85" i="3"/>
  <c r="E28" i="3"/>
  <c r="G28" i="3" s="1"/>
  <c r="G71" i="2"/>
  <c r="H71" i="2" s="1"/>
  <c r="I85" i="2"/>
  <c r="I90" i="2"/>
  <c r="G47" i="2"/>
  <c r="H47" i="2" s="1"/>
  <c r="I88" i="2"/>
  <c r="G59" i="2"/>
  <c r="H59" i="2" s="1"/>
  <c r="G64" i="2"/>
  <c r="H64" i="2" s="1"/>
  <c r="G94" i="2"/>
  <c r="H94" i="2" s="1"/>
  <c r="G98" i="2"/>
  <c r="H98" i="2" s="1"/>
  <c r="G28" i="2"/>
  <c r="H28" i="2" s="1"/>
  <c r="G177" i="50"/>
  <c r="H177" i="50" s="1"/>
  <c r="J177" i="50" s="1"/>
  <c r="E176" i="50"/>
  <c r="G176" i="50" s="1"/>
  <c r="H176" i="50" s="1"/>
  <c r="J176" i="50" s="1"/>
  <c r="E175" i="50"/>
  <c r="G175" i="50" s="1"/>
  <c r="H175" i="50" s="1"/>
  <c r="J175" i="50" s="1"/>
  <c r="H174" i="50"/>
  <c r="J174" i="50" s="1"/>
  <c r="E172" i="50"/>
  <c r="G172" i="50" s="1"/>
  <c r="H172" i="50" s="1"/>
  <c r="J172" i="50" s="1"/>
  <c r="E171" i="50"/>
  <c r="G171" i="50" s="1"/>
  <c r="H171" i="50" s="1"/>
  <c r="J171" i="50" s="1"/>
  <c r="E170" i="50"/>
  <c r="G170" i="50" s="1"/>
  <c r="H169" i="50"/>
  <c r="E167" i="50"/>
  <c r="G167" i="50" s="1"/>
  <c r="H167" i="50" s="1"/>
  <c r="J167" i="50" s="1"/>
  <c r="E166" i="50"/>
  <c r="G166" i="50" s="1"/>
  <c r="H166" i="50" s="1"/>
  <c r="J166" i="50" s="1"/>
  <c r="E165" i="50"/>
  <c r="G165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E153" i="50"/>
  <c r="G153" i="50" s="1"/>
  <c r="H153" i="50" s="1"/>
  <c r="J153" i="50" s="1"/>
  <c r="H135" i="50"/>
  <c r="J135" i="50" s="1"/>
  <c r="H134" i="50"/>
  <c r="J134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8" i="50"/>
  <c r="G138" i="50" s="1"/>
  <c r="H138" i="50" s="1"/>
  <c r="J138" i="50" s="1"/>
  <c r="E133" i="50"/>
  <c r="G133" i="50" s="1"/>
  <c r="H133" i="50" s="1"/>
  <c r="J133" i="50" s="1"/>
  <c r="E132" i="50"/>
  <c r="G132" i="50" s="1"/>
  <c r="E131" i="50"/>
  <c r="G131" i="50" s="1"/>
  <c r="E130" i="50"/>
  <c r="G130" i="50" s="1"/>
  <c r="E129" i="50"/>
  <c r="G129" i="50" s="1"/>
  <c r="E128" i="50"/>
  <c r="G128" i="50" s="1"/>
  <c r="G117" i="50"/>
  <c r="G115" i="50"/>
  <c r="H115" i="50" s="1"/>
  <c r="J115" i="50" s="1"/>
  <c r="G114" i="50"/>
  <c r="H114" i="50" s="1"/>
  <c r="J114" i="50" s="1"/>
  <c r="G113" i="50"/>
  <c r="H113" i="50" s="1"/>
  <c r="J113" i="50" s="1"/>
  <c r="G112" i="50"/>
  <c r="H112" i="50" s="1"/>
  <c r="J112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82" i="50"/>
  <c r="G82" i="50" s="1"/>
  <c r="E78" i="50"/>
  <c r="G78" i="50" s="1"/>
  <c r="E77" i="50"/>
  <c r="G77" i="50" s="1"/>
  <c r="E76" i="50"/>
  <c r="G76" i="50" s="1"/>
  <c r="E75" i="50"/>
  <c r="G75" i="50" s="1"/>
  <c r="E74" i="50"/>
  <c r="G74" i="50" s="1"/>
  <c r="E70" i="50"/>
  <c r="G70" i="50" s="1"/>
  <c r="E69" i="50"/>
  <c r="G69" i="50" s="1"/>
  <c r="E68" i="50"/>
  <c r="G68" i="50" s="1"/>
  <c r="E67" i="50"/>
  <c r="G67" i="50" s="1"/>
  <c r="E66" i="50"/>
  <c r="G66" i="50" s="1"/>
  <c r="E65" i="50"/>
  <c r="G65" i="50" s="1"/>
  <c r="E63" i="50"/>
  <c r="G63" i="50" s="1"/>
  <c r="E62" i="50"/>
  <c r="G62" i="50" s="1"/>
  <c r="G122" i="50"/>
  <c r="G120" i="50"/>
  <c r="G118" i="50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E49" i="50"/>
  <c r="G49" i="50" s="1"/>
  <c r="G46" i="50"/>
  <c r="G45" i="50"/>
  <c r="G44" i="50"/>
  <c r="G43" i="50"/>
  <c r="G42" i="50"/>
  <c r="G41" i="50"/>
  <c r="G40" i="50"/>
  <c r="G39" i="50"/>
  <c r="G38" i="50"/>
  <c r="G37" i="50"/>
  <c r="G36" i="50"/>
  <c r="G35" i="50"/>
  <c r="E29" i="50"/>
  <c r="G29" i="50" s="1"/>
  <c r="E24" i="50"/>
  <c r="E23" i="50"/>
  <c r="E22" i="50"/>
  <c r="G22" i="50" s="1"/>
  <c r="E19" i="50"/>
  <c r="G19" i="50" s="1"/>
  <c r="G18" i="50"/>
  <c r="E18" i="50"/>
  <c r="G15" i="50"/>
  <c r="E10" i="50"/>
  <c r="G10" i="50" s="1"/>
  <c r="K9" i="50"/>
  <c r="G9" i="50"/>
  <c r="M8" i="50"/>
  <c r="E8" i="50"/>
  <c r="G8" i="50" s="1"/>
  <c r="E27" i="50" s="1"/>
  <c r="G27" i="50" s="1"/>
  <c r="E7" i="50"/>
  <c r="G7" i="50" s="1"/>
  <c r="H135" i="7" l="1"/>
  <c r="H135" i="8" s="1"/>
  <c r="H135" i="9" s="1"/>
  <c r="H135" i="10" s="1"/>
  <c r="H135" i="11" s="1"/>
  <c r="H135" i="21" s="1"/>
  <c r="H122" i="3"/>
  <c r="J127" i="7"/>
  <c r="J135" i="8"/>
  <c r="J135" i="9"/>
  <c r="H178" i="2"/>
  <c r="J178" i="2" s="1"/>
  <c r="G186" i="2"/>
  <c r="H135" i="19"/>
  <c r="J135" i="7"/>
  <c r="H135" i="16"/>
  <c r="H135" i="13"/>
  <c r="H135" i="14" s="1"/>
  <c r="J135" i="14" s="1"/>
  <c r="J135" i="11"/>
  <c r="H135" i="18"/>
  <c r="H135" i="17"/>
  <c r="H135" i="20"/>
  <c r="J135" i="10"/>
  <c r="H135" i="12"/>
  <c r="H135" i="24"/>
  <c r="H135" i="22"/>
  <c r="H135" i="23"/>
  <c r="G60" i="5"/>
  <c r="I59" i="5" s="1"/>
  <c r="G60" i="4"/>
  <c r="G30" i="3"/>
  <c r="H30" i="3" s="1"/>
  <c r="H30" i="4" s="1"/>
  <c r="H30" i="5" s="1"/>
  <c r="H30" i="33" s="1"/>
  <c r="H30" i="7" s="1"/>
  <c r="H30" i="8" s="1"/>
  <c r="H30" i="9" s="1"/>
  <c r="H30" i="10" s="1"/>
  <c r="H30" i="11" s="1"/>
  <c r="H30" i="12" s="1"/>
  <c r="H30" i="13" s="1"/>
  <c r="H30" i="14" s="1"/>
  <c r="H30" i="15" s="1"/>
  <c r="H30" i="16" s="1"/>
  <c r="H30" i="17" s="1"/>
  <c r="H30" i="18" s="1"/>
  <c r="H30" i="19" s="1"/>
  <c r="H30" i="20" s="1"/>
  <c r="H30" i="21" s="1"/>
  <c r="H30" i="22" s="1"/>
  <c r="H30" i="23" s="1"/>
  <c r="H30" i="24" s="1"/>
  <c r="H30" i="25" s="1"/>
  <c r="H30" i="40" s="1"/>
  <c r="H30" i="27" s="1"/>
  <c r="H30" i="28" s="1"/>
  <c r="H30" i="29" s="1"/>
  <c r="H30" i="30" s="1"/>
  <c r="H30" i="43" s="1"/>
  <c r="H30" i="31" s="1"/>
  <c r="H118" i="3"/>
  <c r="J118" i="3" s="1"/>
  <c r="G31" i="3"/>
  <c r="H31" i="3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G27" i="3"/>
  <c r="H120" i="3"/>
  <c r="H120" i="4" s="1"/>
  <c r="J155" i="11"/>
  <c r="H155" i="12"/>
  <c r="J156" i="11"/>
  <c r="H156" i="12"/>
  <c r="H131" i="3"/>
  <c r="J131" i="3" s="1"/>
  <c r="H117" i="3"/>
  <c r="H117" i="4" s="1"/>
  <c r="H121" i="3"/>
  <c r="J121" i="3" s="1"/>
  <c r="G97" i="2"/>
  <c r="H97" i="2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i="43" s="1"/>
  <c r="H119" i="3"/>
  <c r="H119" i="4" s="1"/>
  <c r="H28" i="3"/>
  <c r="G105" i="2"/>
  <c r="H105" i="2" s="1"/>
  <c r="H158" i="3"/>
  <c r="J158" i="3" s="1"/>
  <c r="J148" i="2"/>
  <c r="H148" i="3"/>
  <c r="H148" i="4" s="1"/>
  <c r="J143" i="2"/>
  <c r="H143" i="3"/>
  <c r="H143" i="4" s="1"/>
  <c r="J147" i="2"/>
  <c r="H147" i="3"/>
  <c r="H147" i="4" s="1"/>
  <c r="H129" i="3"/>
  <c r="J129" i="3" s="1"/>
  <c r="J129" i="2"/>
  <c r="H116" i="3"/>
  <c r="J116" i="3" s="1"/>
  <c r="J144" i="2"/>
  <c r="H144" i="3"/>
  <c r="H144" i="4" s="1"/>
  <c r="H139" i="3"/>
  <c r="H139" i="4" s="1"/>
  <c r="J139" i="2"/>
  <c r="H128" i="3"/>
  <c r="J128" i="3" s="1"/>
  <c r="H133" i="3"/>
  <c r="H133" i="4" s="1"/>
  <c r="J133" i="2"/>
  <c r="J152" i="7"/>
  <c r="H152" i="8"/>
  <c r="H115" i="3"/>
  <c r="J115" i="3" s="1"/>
  <c r="J115" i="2"/>
  <c r="J150" i="2"/>
  <c r="H150" i="3"/>
  <c r="H150" i="4" s="1"/>
  <c r="H170" i="3"/>
  <c r="H170" i="4" s="1"/>
  <c r="J170" i="2"/>
  <c r="H140" i="3"/>
  <c r="J140" i="3" s="1"/>
  <c r="J140" i="2"/>
  <c r="H161" i="3"/>
  <c r="H161" i="4" s="1"/>
  <c r="J161" i="2"/>
  <c r="H181" i="3"/>
  <c r="J181" i="3" s="1"/>
  <c r="J181" i="2"/>
  <c r="J151" i="5"/>
  <c r="H151" i="33"/>
  <c r="G104" i="50"/>
  <c r="G105" i="50" s="1"/>
  <c r="J146" i="2"/>
  <c r="H146" i="3"/>
  <c r="H146" i="4" s="1"/>
  <c r="J145" i="2"/>
  <c r="H145" i="3"/>
  <c r="H145" i="4" s="1"/>
  <c r="J134" i="7"/>
  <c r="H134" i="8"/>
  <c r="H138" i="3"/>
  <c r="J138" i="3" s="1"/>
  <c r="J138" i="2"/>
  <c r="H159" i="3"/>
  <c r="J159" i="3" s="1"/>
  <c r="J159" i="2"/>
  <c r="H171" i="3"/>
  <c r="H171" i="4" s="1"/>
  <c r="J171" i="2"/>
  <c r="H130" i="3"/>
  <c r="H130" i="4" s="1"/>
  <c r="J130" i="2"/>
  <c r="H123" i="3"/>
  <c r="H123" i="4" s="1"/>
  <c r="H142" i="3"/>
  <c r="J142" i="3" s="1"/>
  <c r="J149" i="2"/>
  <c r="H149" i="3"/>
  <c r="H149" i="4" s="1"/>
  <c r="G101" i="2"/>
  <c r="H101" i="2" s="1"/>
  <c r="H101" i="3" s="1"/>
  <c r="H101" i="4" s="1"/>
  <c r="H101" i="5" s="1"/>
  <c r="G103" i="2"/>
  <c r="H103" i="2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H104" i="30" s="1"/>
  <c r="H104" i="43" s="1"/>
  <c r="H104" i="31" s="1"/>
  <c r="J104" i="31" s="1"/>
  <c r="J186" i="20"/>
  <c r="H186" i="21"/>
  <c r="H20" i="5"/>
  <c r="H20" i="33" s="1"/>
  <c r="H20" i="7" s="1"/>
  <c r="H20" i="8" s="1"/>
  <c r="H20" i="9" s="1"/>
  <c r="H20" i="10" s="1"/>
  <c r="H20" i="11" s="1"/>
  <c r="H20" i="12" s="1"/>
  <c r="H20" i="13" s="1"/>
  <c r="H20" i="14" s="1"/>
  <c r="H20" i="15" s="1"/>
  <c r="H20" i="16" s="1"/>
  <c r="H20" i="17" s="1"/>
  <c r="H20" i="18" s="1"/>
  <c r="H20" i="19" s="1"/>
  <c r="H20" i="20" s="1"/>
  <c r="H20" i="21" s="1"/>
  <c r="H20" i="22" s="1"/>
  <c r="H20" i="23" s="1"/>
  <c r="H20" i="24" s="1"/>
  <c r="H20" i="25" s="1"/>
  <c r="H20" i="40" s="1"/>
  <c r="H20" i="27" s="1"/>
  <c r="H20" i="28" s="1"/>
  <c r="H20" i="29" s="1"/>
  <c r="H20" i="30" s="1"/>
  <c r="H20" i="43" s="1"/>
  <c r="H20" i="31" s="1"/>
  <c r="J77" i="43"/>
  <c r="J65" i="43"/>
  <c r="J70" i="43"/>
  <c r="H28" i="4"/>
  <c r="H28" i="5" s="1"/>
  <c r="H28" i="33" s="1"/>
  <c r="H28" i="7" s="1"/>
  <c r="H28" i="8" s="1"/>
  <c r="H28" i="9" s="1"/>
  <c r="H28" i="10" s="1"/>
  <c r="H28" i="11" s="1"/>
  <c r="H28" i="12" s="1"/>
  <c r="H28" i="13" s="1"/>
  <c r="H28" i="14" s="1"/>
  <c r="H28" i="15" s="1"/>
  <c r="H28" i="16" s="1"/>
  <c r="H28" i="17" s="1"/>
  <c r="H28" i="18" s="1"/>
  <c r="H28" i="19" s="1"/>
  <c r="H28" i="20" s="1"/>
  <c r="H28" i="21" s="1"/>
  <c r="H28" i="22" s="1"/>
  <c r="H28" i="23" s="1"/>
  <c r="H28" i="24" s="1"/>
  <c r="H28" i="25" s="1"/>
  <c r="H28" i="40" s="1"/>
  <c r="H28" i="27" s="1"/>
  <c r="H28" i="28" s="1"/>
  <c r="H28" i="29" s="1"/>
  <c r="H28" i="30" s="1"/>
  <c r="H28" i="43" s="1"/>
  <c r="H28" i="31" s="1"/>
  <c r="J78" i="43"/>
  <c r="H186" i="2"/>
  <c r="J186" i="2" s="1"/>
  <c r="J68" i="31"/>
  <c r="H141" i="3"/>
  <c r="J141" i="3" s="1"/>
  <c r="H176" i="3"/>
  <c r="H176" i="4" s="1"/>
  <c r="H177" i="3"/>
  <c r="J177" i="3" s="1"/>
  <c r="J66" i="43"/>
  <c r="H165" i="12"/>
  <c r="J165" i="11"/>
  <c r="J163" i="11"/>
  <c r="H163" i="12"/>
  <c r="H132" i="4"/>
  <c r="J132" i="3"/>
  <c r="H179" i="9"/>
  <c r="J179" i="8"/>
  <c r="H79" i="3"/>
  <c r="H79" i="4" s="1"/>
  <c r="H79" i="5" s="1"/>
  <c r="H79" i="33" s="1"/>
  <c r="H79" i="7" s="1"/>
  <c r="H79" i="8" s="1"/>
  <c r="H79" i="9" s="1"/>
  <c r="H79" i="10" s="1"/>
  <c r="H79" i="11" s="1"/>
  <c r="H79" i="12" s="1"/>
  <c r="H79" i="13" s="1"/>
  <c r="H164" i="12"/>
  <c r="J164" i="11"/>
  <c r="J174" i="8"/>
  <c r="H174" i="9"/>
  <c r="H127" i="9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i="31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2" i="3"/>
  <c r="J162" i="3" s="1"/>
  <c r="H173" i="2"/>
  <c r="J173" i="2" s="1"/>
  <c r="H178" i="3"/>
  <c r="H183" i="2"/>
  <c r="H175" i="4"/>
  <c r="J175" i="3"/>
  <c r="H182" i="4"/>
  <c r="J182" i="3"/>
  <c r="H180" i="4"/>
  <c r="J180" i="3"/>
  <c r="H172" i="3"/>
  <c r="H185" i="2"/>
  <c r="H184" i="2"/>
  <c r="J184" i="2" s="1"/>
  <c r="H160" i="3"/>
  <c r="J122" i="3"/>
  <c r="H122" i="4"/>
  <c r="H113" i="3"/>
  <c r="J117" i="3"/>
  <c r="J114" i="3"/>
  <c r="H114" i="4"/>
  <c r="J112" i="3"/>
  <c r="H112" i="4"/>
  <c r="H86" i="31"/>
  <c r="J86" i="31" s="1"/>
  <c r="J86" i="43"/>
  <c r="H92" i="31"/>
  <c r="J92" i="31" s="1"/>
  <c r="J92" i="43"/>
  <c r="J85" i="43"/>
  <c r="H85" i="31"/>
  <c r="J85" i="31" s="1"/>
  <c r="H90" i="31"/>
  <c r="J90" i="31" s="1"/>
  <c r="J90" i="43"/>
  <c r="J89" i="43"/>
  <c r="H89" i="31"/>
  <c r="J89" i="31" s="1"/>
  <c r="J87" i="43"/>
  <c r="H87" i="31"/>
  <c r="J87" i="31" s="1"/>
  <c r="H84" i="31"/>
  <c r="J84" i="31" s="1"/>
  <c r="J84" i="43"/>
  <c r="H91" i="31"/>
  <c r="J91" i="31" s="1"/>
  <c r="J91" i="43"/>
  <c r="J88" i="43"/>
  <c r="H88" i="31"/>
  <c r="J88" i="31" s="1"/>
  <c r="H75" i="31"/>
  <c r="J75" i="31" s="1"/>
  <c r="J75" i="43"/>
  <c r="H76" i="31"/>
  <c r="J76" i="31" s="1"/>
  <c r="J76" i="43"/>
  <c r="H74" i="31"/>
  <c r="J74" i="31" s="1"/>
  <c r="J74" i="43"/>
  <c r="J62" i="43"/>
  <c r="H62" i="31"/>
  <c r="J62" i="31" s="1"/>
  <c r="H69" i="31"/>
  <c r="J69" i="31" s="1"/>
  <c r="J69" i="43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64" i="28" s="1"/>
  <c r="H64" i="29" s="1"/>
  <c r="H64" i="30" s="1"/>
  <c r="H64" i="43" s="1"/>
  <c r="H64" i="31" s="1"/>
  <c r="J64" i="31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71" i="28" s="1"/>
  <c r="H71" i="29" s="1"/>
  <c r="H71" i="30" s="1"/>
  <c r="H71" i="43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i="43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i="31" s="1"/>
  <c r="H47" i="3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i="8" s="1"/>
  <c r="G80" i="4"/>
  <c r="I59" i="31"/>
  <c r="G80" i="3"/>
  <c r="H80" i="3" s="1"/>
  <c r="J68" i="43"/>
  <c r="J67" i="43"/>
  <c r="G80" i="7"/>
  <c r="J63" i="43"/>
  <c r="I59" i="29"/>
  <c r="I59" i="28"/>
  <c r="I59" i="40"/>
  <c r="I59" i="25"/>
  <c r="I59" i="24"/>
  <c r="I59" i="21"/>
  <c r="I59" i="20"/>
  <c r="I59" i="19"/>
  <c r="I59" i="18"/>
  <c r="I59" i="17"/>
  <c r="I59" i="15"/>
  <c r="I59" i="14"/>
  <c r="I59" i="13"/>
  <c r="I59" i="9"/>
  <c r="G60" i="8"/>
  <c r="G105" i="8"/>
  <c r="G32" i="8"/>
  <c r="G103" i="8"/>
  <c r="G95" i="7"/>
  <c r="G99" i="7"/>
  <c r="G32" i="7"/>
  <c r="G60" i="7"/>
  <c r="G105" i="7"/>
  <c r="G97" i="7"/>
  <c r="G105" i="33"/>
  <c r="G101" i="33"/>
  <c r="G32" i="33"/>
  <c r="G60" i="33"/>
  <c r="G97" i="33"/>
  <c r="G103" i="33"/>
  <c r="G105" i="5"/>
  <c r="G95" i="5"/>
  <c r="G99" i="5"/>
  <c r="G32" i="5"/>
  <c r="G80" i="5"/>
  <c r="G99" i="4"/>
  <c r="G32" i="4"/>
  <c r="G95" i="4"/>
  <c r="G97" i="3"/>
  <c r="G95" i="3"/>
  <c r="G99" i="3"/>
  <c r="G60" i="3"/>
  <c r="G105" i="3"/>
  <c r="G95" i="2"/>
  <c r="H95" i="2" s="1"/>
  <c r="G99" i="2"/>
  <c r="H99" i="2" s="1"/>
  <c r="G32" i="2"/>
  <c r="H32" i="2" s="1"/>
  <c r="G60" i="2"/>
  <c r="H60" i="2" s="1"/>
  <c r="G20" i="50"/>
  <c r="G180" i="50"/>
  <c r="H180" i="50" s="1"/>
  <c r="J180" i="50" s="1"/>
  <c r="G179" i="50"/>
  <c r="H179" i="50" s="1"/>
  <c r="J179" i="50" s="1"/>
  <c r="H165" i="50"/>
  <c r="J165" i="50" s="1"/>
  <c r="G168" i="50"/>
  <c r="H168" i="50" s="1"/>
  <c r="J168" i="50" s="1"/>
  <c r="H170" i="50"/>
  <c r="J170" i="50" s="1"/>
  <c r="G173" i="50"/>
  <c r="G178" i="50"/>
  <c r="H178" i="50" s="1"/>
  <c r="J178" i="50" s="1"/>
  <c r="G94" i="50"/>
  <c r="G95" i="50" s="1"/>
  <c r="I85" i="50"/>
  <c r="G98" i="50"/>
  <c r="G99" i="50" s="1"/>
  <c r="G79" i="50"/>
  <c r="G96" i="50"/>
  <c r="E31" i="50"/>
  <c r="G31" i="50" s="1"/>
  <c r="G102" i="50"/>
  <c r="G103" i="50" s="1"/>
  <c r="G100" i="50"/>
  <c r="G101" i="50" s="1"/>
  <c r="G116" i="50"/>
  <c r="E30" i="50"/>
  <c r="G30" i="50" s="1"/>
  <c r="G71" i="50"/>
  <c r="G121" i="50"/>
  <c r="I88" i="50"/>
  <c r="G119" i="50"/>
  <c r="G123" i="50"/>
  <c r="G59" i="50"/>
  <c r="G64" i="50"/>
  <c r="E28" i="50"/>
  <c r="G28" i="50" s="1"/>
  <c r="I90" i="50"/>
  <c r="G47" i="50"/>
  <c r="H79" i="14" l="1"/>
  <c r="H79" i="15" s="1"/>
  <c r="H79" i="16" s="1"/>
  <c r="H79" i="17" s="1"/>
  <c r="H79" i="18" s="1"/>
  <c r="H79" i="19" s="1"/>
  <c r="H79" i="20" s="1"/>
  <c r="H79" i="21" s="1"/>
  <c r="H79" i="22" s="1"/>
  <c r="H79" i="23" s="1"/>
  <c r="H79" i="24" s="1"/>
  <c r="H79" i="25" s="1"/>
  <c r="J79" i="13"/>
  <c r="H118" i="4"/>
  <c r="J118" i="4" s="1"/>
  <c r="H138" i="4"/>
  <c r="G32" i="3"/>
  <c r="H32" i="3" s="1"/>
  <c r="H32" i="4" s="1"/>
  <c r="H32" i="5" s="1"/>
  <c r="H32" i="33" s="1"/>
  <c r="H32" i="7" s="1"/>
  <c r="H32" i="8" s="1"/>
  <c r="H32" i="9" s="1"/>
  <c r="H32" i="10" s="1"/>
  <c r="H32" i="11" s="1"/>
  <c r="H32" i="12" s="1"/>
  <c r="H32" i="13" s="1"/>
  <c r="H32" i="14" s="1"/>
  <c r="H32" i="15" s="1"/>
  <c r="H32" i="16" s="1"/>
  <c r="H32" i="17" s="1"/>
  <c r="H32" i="18" s="1"/>
  <c r="H32" i="19" s="1"/>
  <c r="H32" i="20" s="1"/>
  <c r="H32" i="21" s="1"/>
  <c r="H32" i="22" s="1"/>
  <c r="H32" i="23" s="1"/>
  <c r="H32" i="24" s="1"/>
  <c r="H32" i="25" s="1"/>
  <c r="H32" i="40" s="1"/>
  <c r="H32" i="27" s="1"/>
  <c r="H32" i="28" s="1"/>
  <c r="H32" i="29" s="1"/>
  <c r="H32" i="30" s="1"/>
  <c r="H32" i="43" s="1"/>
  <c r="H32" i="31" s="1"/>
  <c r="H115" i="4"/>
  <c r="H115" i="5" s="1"/>
  <c r="H135" i="43"/>
  <c r="H135" i="29"/>
  <c r="H135" i="30"/>
  <c r="H135" i="27"/>
  <c r="H135" i="40"/>
  <c r="H135" i="28"/>
  <c r="H135" i="25"/>
  <c r="H135" i="31"/>
  <c r="H121" i="4"/>
  <c r="H27" i="3"/>
  <c r="H27" i="4" s="1"/>
  <c r="H27" i="5" s="1"/>
  <c r="H27" i="33" s="1"/>
  <c r="H27" i="7" s="1"/>
  <c r="H27" i="8" s="1"/>
  <c r="H27" i="9" s="1"/>
  <c r="H27" i="10" s="1"/>
  <c r="H27" i="11" s="1"/>
  <c r="H27" i="12" s="1"/>
  <c r="H27" i="13" s="1"/>
  <c r="H27" i="14" s="1"/>
  <c r="H27" i="15" s="1"/>
  <c r="H27" i="16" s="1"/>
  <c r="H27" i="17" s="1"/>
  <c r="H27" i="18" s="1"/>
  <c r="H27" i="19" s="1"/>
  <c r="H27" i="20" s="1"/>
  <c r="H27" i="21" s="1"/>
  <c r="H27" i="22" s="1"/>
  <c r="H27" i="23" s="1"/>
  <c r="H27" i="24" s="1"/>
  <c r="H27" i="25" s="1"/>
  <c r="H27" i="40" s="1"/>
  <c r="H27" i="27" s="1"/>
  <c r="H27" i="28" s="1"/>
  <c r="H27" i="29" s="1"/>
  <c r="H27" i="30" s="1"/>
  <c r="H27" i="43" s="1"/>
  <c r="H27" i="31" s="1"/>
  <c r="J161" i="3"/>
  <c r="H158" i="4"/>
  <c r="H158" i="5" s="1"/>
  <c r="J150" i="3"/>
  <c r="J149" i="3"/>
  <c r="J120" i="3"/>
  <c r="J143" i="3"/>
  <c r="H97" i="3"/>
  <c r="H97" i="4" s="1"/>
  <c r="H97" i="5" s="1"/>
  <c r="H97" i="33" s="1"/>
  <c r="H97" i="7" s="1"/>
  <c r="H97" i="8" s="1"/>
  <c r="H97" i="9" s="1"/>
  <c r="H97" i="10" s="1"/>
  <c r="H97" i="11" s="1"/>
  <c r="H97" i="12" s="1"/>
  <c r="H97" i="13" s="1"/>
  <c r="H97" i="14" s="1"/>
  <c r="H97" i="15" s="1"/>
  <c r="H97" i="16" s="1"/>
  <c r="H97" i="17" s="1"/>
  <c r="H97" i="18" s="1"/>
  <c r="H97" i="19" s="1"/>
  <c r="H97" i="20" s="1"/>
  <c r="H97" i="21" s="1"/>
  <c r="H97" i="22" s="1"/>
  <c r="H97" i="23" s="1"/>
  <c r="H97" i="24" s="1"/>
  <c r="H97" i="25" s="1"/>
  <c r="H97" i="40" s="1"/>
  <c r="H97" i="27" s="1"/>
  <c r="H97" i="28" s="1"/>
  <c r="H97" i="29" s="1"/>
  <c r="H97" i="30" s="1"/>
  <c r="H97" i="43" s="1"/>
  <c r="J97" i="43" s="1"/>
  <c r="H80" i="4"/>
  <c r="H80" i="5" s="1"/>
  <c r="J139" i="3"/>
  <c r="J171" i="3"/>
  <c r="J156" i="12"/>
  <c r="H156" i="13"/>
  <c r="H155" i="13"/>
  <c r="J155" i="12"/>
  <c r="J146" i="3"/>
  <c r="J144" i="3"/>
  <c r="H131" i="4"/>
  <c r="J131" i="4" s="1"/>
  <c r="J123" i="3"/>
  <c r="J119" i="3"/>
  <c r="H79" i="40"/>
  <c r="H79" i="27" s="1"/>
  <c r="H79" i="28" s="1"/>
  <c r="H79" i="29" s="1"/>
  <c r="H79" i="30" s="1"/>
  <c r="H79" i="43" s="1"/>
  <c r="H79" i="31" s="1"/>
  <c r="J79" i="25"/>
  <c r="H116" i="4"/>
  <c r="J116" i="4" s="1"/>
  <c r="H140" i="4"/>
  <c r="H140" i="5" s="1"/>
  <c r="H181" i="4"/>
  <c r="H181" i="5" s="1"/>
  <c r="H142" i="4"/>
  <c r="H142" i="5" s="1"/>
  <c r="J147" i="3"/>
  <c r="J148" i="3"/>
  <c r="H105" i="3"/>
  <c r="H105" i="4" s="1"/>
  <c r="H105" i="5" s="1"/>
  <c r="H105" i="33" s="1"/>
  <c r="H105" i="7" s="1"/>
  <c r="H105" i="8" s="1"/>
  <c r="H105" i="9" s="1"/>
  <c r="H105" i="10" s="1"/>
  <c r="H105" i="11" s="1"/>
  <c r="H105" i="12" s="1"/>
  <c r="H105" i="13" s="1"/>
  <c r="H105" i="14" s="1"/>
  <c r="H105" i="15" s="1"/>
  <c r="H105" i="16" s="1"/>
  <c r="H105" i="17" s="1"/>
  <c r="H105" i="18" s="1"/>
  <c r="H105" i="19" s="1"/>
  <c r="H105" i="20" s="1"/>
  <c r="H105" i="21" s="1"/>
  <c r="H105" i="22" s="1"/>
  <c r="H105" i="23" s="1"/>
  <c r="H105" i="24" s="1"/>
  <c r="H105" i="25" s="1"/>
  <c r="H105" i="40" s="1"/>
  <c r="H105" i="27" s="1"/>
  <c r="H105" i="28" s="1"/>
  <c r="H105" i="29" s="1"/>
  <c r="H105" i="30" s="1"/>
  <c r="H105" i="43" s="1"/>
  <c r="H105" i="31" s="1"/>
  <c r="J105" i="31" s="1"/>
  <c r="H159" i="4"/>
  <c r="J159" i="4" s="1"/>
  <c r="H129" i="4"/>
  <c r="J129" i="4" s="1"/>
  <c r="J130" i="3"/>
  <c r="H141" i="4"/>
  <c r="J141" i="4" s="1"/>
  <c r="H162" i="4"/>
  <c r="J162" i="4" s="1"/>
  <c r="H128" i="4"/>
  <c r="J128" i="4" s="1"/>
  <c r="H134" i="9"/>
  <c r="J134" i="8"/>
  <c r="H103" i="33"/>
  <c r="H103" i="7" s="1"/>
  <c r="H103" i="8" s="1"/>
  <c r="H103" i="9" s="1"/>
  <c r="H103" i="10" s="1"/>
  <c r="H103" i="11" s="1"/>
  <c r="H103" i="12" s="1"/>
  <c r="H103" i="13" s="1"/>
  <c r="H103" i="14" s="1"/>
  <c r="H103" i="15" s="1"/>
  <c r="H103" i="16" s="1"/>
  <c r="H103" i="17" s="1"/>
  <c r="H103" i="18" s="1"/>
  <c r="H103" i="19" s="1"/>
  <c r="H103" i="20" s="1"/>
  <c r="H103" i="21" s="1"/>
  <c r="H103" i="22" s="1"/>
  <c r="H103" i="23" s="1"/>
  <c r="H103" i="24" s="1"/>
  <c r="H103" i="25" s="1"/>
  <c r="H103" i="40" s="1"/>
  <c r="H103" i="27" s="1"/>
  <c r="H103" i="28" s="1"/>
  <c r="H103" i="29" s="1"/>
  <c r="H103" i="30" s="1"/>
  <c r="H103" i="43" s="1"/>
  <c r="J103" i="43" s="1"/>
  <c r="H150" i="5"/>
  <c r="J150" i="4"/>
  <c r="H186" i="3"/>
  <c r="H186" i="4" s="1"/>
  <c r="J145" i="4"/>
  <c r="H145" i="5"/>
  <c r="H147" i="5"/>
  <c r="J147" i="4"/>
  <c r="J170" i="3"/>
  <c r="J176" i="3"/>
  <c r="J133" i="3"/>
  <c r="H149" i="5"/>
  <c r="J149" i="4"/>
  <c r="J146" i="4"/>
  <c r="H146" i="5"/>
  <c r="J144" i="4"/>
  <c r="H144" i="5"/>
  <c r="H143" i="5"/>
  <c r="J143" i="4"/>
  <c r="J152" i="8"/>
  <c r="H152" i="9"/>
  <c r="H148" i="5"/>
  <c r="J148" i="4"/>
  <c r="H183" i="3"/>
  <c r="H183" i="4" s="1"/>
  <c r="J183" i="2"/>
  <c r="H151" i="7"/>
  <c r="J151" i="33"/>
  <c r="H186" i="22"/>
  <c r="J186" i="21"/>
  <c r="H96" i="31"/>
  <c r="J96" i="31" s="1"/>
  <c r="J94" i="43"/>
  <c r="J104" i="43"/>
  <c r="H101" i="33"/>
  <c r="H101" i="7" s="1"/>
  <c r="H101" i="8" s="1"/>
  <c r="H101" i="9" s="1"/>
  <c r="H101" i="10" s="1"/>
  <c r="H101" i="11" s="1"/>
  <c r="H101" i="12" s="1"/>
  <c r="H101" i="13" s="1"/>
  <c r="H101" i="14" s="1"/>
  <c r="H101" i="15" s="1"/>
  <c r="H101" i="16" s="1"/>
  <c r="H101" i="17" s="1"/>
  <c r="H101" i="18" s="1"/>
  <c r="H101" i="19" s="1"/>
  <c r="H101" i="20" s="1"/>
  <c r="H101" i="21" s="1"/>
  <c r="H101" i="22" s="1"/>
  <c r="H101" i="23" s="1"/>
  <c r="H101" i="24" s="1"/>
  <c r="H101" i="25" s="1"/>
  <c r="H101" i="40" s="1"/>
  <c r="H101" i="27" s="1"/>
  <c r="H101" i="28" s="1"/>
  <c r="H101" i="29" s="1"/>
  <c r="H101" i="30" s="1"/>
  <c r="H101" i="43" s="1"/>
  <c r="J101" i="43" s="1"/>
  <c r="H102" i="31"/>
  <c r="J102" i="31" s="1"/>
  <c r="H177" i="4"/>
  <c r="H177" i="5" s="1"/>
  <c r="J165" i="12"/>
  <c r="H165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H60" i="40" s="1"/>
  <c r="H60" i="27" s="1"/>
  <c r="H60" i="28" s="1"/>
  <c r="H60" i="29" s="1"/>
  <c r="H60" i="30" s="1"/>
  <c r="H60" i="43" s="1"/>
  <c r="H60" i="31" s="1"/>
  <c r="J174" i="9"/>
  <c r="H174" i="10"/>
  <c r="J127" i="9"/>
  <c r="H127" i="10"/>
  <c r="H164" i="13"/>
  <c r="J164" i="12"/>
  <c r="H179" i="10"/>
  <c r="J179" i="9"/>
  <c r="H130" i="5"/>
  <c r="J130" i="4"/>
  <c r="H163" i="13"/>
  <c r="J163" i="12"/>
  <c r="J180" i="4"/>
  <c r="H180" i="5"/>
  <c r="J182" i="4"/>
  <c r="H182" i="5"/>
  <c r="H171" i="5"/>
  <c r="J171" i="4"/>
  <c r="H172" i="4"/>
  <c r="J172" i="3"/>
  <c r="J176" i="4"/>
  <c r="H176" i="5"/>
  <c r="H173" i="3"/>
  <c r="H170" i="5"/>
  <c r="J170" i="4"/>
  <c r="H175" i="5"/>
  <c r="J175" i="4"/>
  <c r="H178" i="4"/>
  <c r="J178" i="3"/>
  <c r="J158" i="4"/>
  <c r="H160" i="4"/>
  <c r="J160" i="3"/>
  <c r="H161" i="5"/>
  <c r="J161" i="4"/>
  <c r="H185" i="3"/>
  <c r="H184" i="3"/>
  <c r="J145" i="3"/>
  <c r="H138" i="5"/>
  <c r="J138" i="4"/>
  <c r="J140" i="4"/>
  <c r="J139" i="4"/>
  <c r="H139" i="5"/>
  <c r="H114" i="5"/>
  <c r="J114" i="4"/>
  <c r="H122" i="5"/>
  <c r="J122" i="4"/>
  <c r="H121" i="5"/>
  <c r="J121" i="4"/>
  <c r="H117" i="5"/>
  <c r="J117" i="4"/>
  <c r="H123" i="5"/>
  <c r="J123" i="4"/>
  <c r="H119" i="5"/>
  <c r="J119" i="4"/>
  <c r="H120" i="5"/>
  <c r="J120" i="4"/>
  <c r="J115" i="4"/>
  <c r="H113" i="4"/>
  <c r="J113" i="3"/>
  <c r="H112" i="5"/>
  <c r="J112" i="4"/>
  <c r="H71" i="31"/>
  <c r="J71" i="31" s="1"/>
  <c r="J71" i="43"/>
  <c r="J64" i="43"/>
  <c r="J100" i="43"/>
  <c r="H100" i="31"/>
  <c r="J100" i="31" s="1"/>
  <c r="H95" i="3"/>
  <c r="H95" i="4" s="1"/>
  <c r="H95" i="5" s="1"/>
  <c r="H95" i="33" s="1"/>
  <c r="H95" i="7" s="1"/>
  <c r="H95" i="8" s="1"/>
  <c r="H95" i="9" s="1"/>
  <c r="H95" i="10" s="1"/>
  <c r="H95" i="11" s="1"/>
  <c r="H95" i="12" s="1"/>
  <c r="H95" i="13" s="1"/>
  <c r="H95" i="14" s="1"/>
  <c r="H95" i="15" s="1"/>
  <c r="H95" i="16" s="1"/>
  <c r="H95" i="17" s="1"/>
  <c r="H95" i="18" s="1"/>
  <c r="H95" i="19" s="1"/>
  <c r="H95" i="20" s="1"/>
  <c r="H95" i="21" s="1"/>
  <c r="H95" i="22" s="1"/>
  <c r="H95" i="23" s="1"/>
  <c r="H95" i="24" s="1"/>
  <c r="H95" i="25" s="1"/>
  <c r="H95" i="40" s="1"/>
  <c r="H95" i="27" s="1"/>
  <c r="H95" i="28" s="1"/>
  <c r="H95" i="29" s="1"/>
  <c r="H95" i="30" s="1"/>
  <c r="H95" i="43" s="1"/>
  <c r="H95" i="31" s="1"/>
  <c r="J95" i="31" s="1"/>
  <c r="J98" i="43"/>
  <c r="H99" i="3"/>
  <c r="H99" i="4" s="1"/>
  <c r="H99" i="5" s="1"/>
  <c r="H99" i="33" s="1"/>
  <c r="H99" i="7" s="1"/>
  <c r="H99" i="8" s="1"/>
  <c r="H99" i="9" s="1"/>
  <c r="H99" i="10" s="1"/>
  <c r="H99" i="11" s="1"/>
  <c r="H99" i="12" s="1"/>
  <c r="H99" i="13" s="1"/>
  <c r="H99" i="14" s="1"/>
  <c r="H99" i="15" s="1"/>
  <c r="H99" i="16" s="1"/>
  <c r="H99" i="17" s="1"/>
  <c r="H99" i="18" s="1"/>
  <c r="H99" i="19" s="1"/>
  <c r="H99" i="20" s="1"/>
  <c r="H99" i="21" s="1"/>
  <c r="H99" i="22" s="1"/>
  <c r="H99" i="23" s="1"/>
  <c r="H99" i="24" s="1"/>
  <c r="H99" i="25" s="1"/>
  <c r="H99" i="40" s="1"/>
  <c r="H99" i="27" s="1"/>
  <c r="H99" i="28" s="1"/>
  <c r="H99" i="29" s="1"/>
  <c r="H99" i="30" s="1"/>
  <c r="H99" i="43" s="1"/>
  <c r="J83" i="31"/>
  <c r="J83" i="43"/>
  <c r="I59" i="8"/>
  <c r="I59" i="7"/>
  <c r="I59" i="33"/>
  <c r="I59" i="4"/>
  <c r="I59" i="3"/>
  <c r="I59" i="2"/>
  <c r="G80" i="50"/>
  <c r="G97" i="50"/>
  <c r="G181" i="50"/>
  <c r="H181" i="50" s="1"/>
  <c r="J181" i="50" s="1"/>
  <c r="H173" i="50"/>
  <c r="J173" i="50" s="1"/>
  <c r="G60" i="50"/>
  <c r="G32" i="50"/>
  <c r="B26" i="48"/>
  <c r="H118" i="5" l="1"/>
  <c r="H118" i="33" s="1"/>
  <c r="J181" i="4"/>
  <c r="H155" i="14"/>
  <c r="J155" i="13"/>
  <c r="H156" i="14"/>
  <c r="J156" i="13"/>
  <c r="H131" i="5"/>
  <c r="J131" i="5" s="1"/>
  <c r="J183" i="3"/>
  <c r="H116" i="5"/>
  <c r="J116" i="5" s="1"/>
  <c r="H129" i="5"/>
  <c r="J129" i="5" s="1"/>
  <c r="H162" i="5"/>
  <c r="H162" i="33" s="1"/>
  <c r="J142" i="4"/>
  <c r="H159" i="5"/>
  <c r="J159" i="5" s="1"/>
  <c r="H141" i="5"/>
  <c r="J141" i="5" s="1"/>
  <c r="H128" i="5"/>
  <c r="J128" i="5" s="1"/>
  <c r="J186" i="3"/>
  <c r="H97" i="31"/>
  <c r="J97" i="31" s="1"/>
  <c r="H152" i="10"/>
  <c r="J152" i="9"/>
  <c r="H145" i="33"/>
  <c r="J145" i="5"/>
  <c r="H149" i="33"/>
  <c r="J149" i="5"/>
  <c r="H151" i="8"/>
  <c r="J151" i="7"/>
  <c r="H143" i="33"/>
  <c r="J143" i="5"/>
  <c r="J150" i="5"/>
  <c r="H150" i="33"/>
  <c r="J144" i="5"/>
  <c r="H144" i="33"/>
  <c r="H146" i="33"/>
  <c r="J146" i="5"/>
  <c r="H148" i="33"/>
  <c r="J148" i="5"/>
  <c r="H147" i="33"/>
  <c r="J147" i="5"/>
  <c r="H134" i="10"/>
  <c r="J134" i="9"/>
  <c r="H186" i="23"/>
  <c r="J186" i="22"/>
  <c r="H103" i="31"/>
  <c r="J103" i="31" s="1"/>
  <c r="J105" i="43"/>
  <c r="H101" i="31"/>
  <c r="J101" i="31" s="1"/>
  <c r="J177" i="4"/>
  <c r="J95" i="43"/>
  <c r="H130" i="33"/>
  <c r="J130" i="5"/>
  <c r="J174" i="10"/>
  <c r="H174" i="11"/>
  <c r="J165" i="13"/>
  <c r="H165" i="14"/>
  <c r="J127" i="10"/>
  <c r="H127" i="11"/>
  <c r="H132" i="33"/>
  <c r="J132" i="5"/>
  <c r="J133" i="5"/>
  <c r="H133" i="33"/>
  <c r="H163" i="14"/>
  <c r="J163" i="13"/>
  <c r="J179" i="10"/>
  <c r="H179" i="11"/>
  <c r="H164" i="14"/>
  <c r="J164" i="13"/>
  <c r="H175" i="33"/>
  <c r="J175" i="5"/>
  <c r="H170" i="33"/>
  <c r="J170" i="5"/>
  <c r="H176" i="33"/>
  <c r="J176" i="5"/>
  <c r="H182" i="33"/>
  <c r="J182" i="5"/>
  <c r="H171" i="33"/>
  <c r="J171" i="5"/>
  <c r="H183" i="5"/>
  <c r="J183" i="4"/>
  <c r="J178" i="4"/>
  <c r="H178" i="5"/>
  <c r="H181" i="33"/>
  <c r="J181" i="5"/>
  <c r="H180" i="33"/>
  <c r="J180" i="5"/>
  <c r="H177" i="33"/>
  <c r="J177" i="5"/>
  <c r="H173" i="4"/>
  <c r="J173" i="3"/>
  <c r="H172" i="5"/>
  <c r="J172" i="4"/>
  <c r="J186" i="4"/>
  <c r="H186" i="5"/>
  <c r="H161" i="33"/>
  <c r="J161" i="5"/>
  <c r="H159" i="33"/>
  <c r="H158" i="33"/>
  <c r="J158" i="5"/>
  <c r="H185" i="4"/>
  <c r="J185" i="3"/>
  <c r="H160" i="5"/>
  <c r="J160" i="4"/>
  <c r="H184" i="4"/>
  <c r="J184" i="3"/>
  <c r="H139" i="33"/>
  <c r="J139" i="5"/>
  <c r="J142" i="5"/>
  <c r="H142" i="33"/>
  <c r="J140" i="5"/>
  <c r="H140" i="33"/>
  <c r="J138" i="5"/>
  <c r="H138" i="33"/>
  <c r="H113" i="5"/>
  <c r="J113" i="4"/>
  <c r="H120" i="33"/>
  <c r="J120" i="5"/>
  <c r="H123" i="33"/>
  <c r="J123" i="5"/>
  <c r="H121" i="33"/>
  <c r="J121" i="5"/>
  <c r="H114" i="33"/>
  <c r="J114" i="5"/>
  <c r="H112" i="33"/>
  <c r="J112" i="5"/>
  <c r="H115" i="33"/>
  <c r="J115" i="5"/>
  <c r="H119" i="33"/>
  <c r="J119" i="5"/>
  <c r="H117" i="33"/>
  <c r="J117" i="5"/>
  <c r="H122" i="33"/>
  <c r="J122" i="5"/>
  <c r="H99" i="31"/>
  <c r="J99" i="31" s="1"/>
  <c r="J99" i="43"/>
  <c r="I59" i="50"/>
  <c r="J118" i="5" l="1"/>
  <c r="J156" i="14"/>
  <c r="H156" i="15"/>
  <c r="H129" i="33"/>
  <c r="J129" i="33" s="1"/>
  <c r="H155" i="15"/>
  <c r="J155" i="14"/>
  <c r="H131" i="33"/>
  <c r="J131" i="33" s="1"/>
  <c r="J162" i="5"/>
  <c r="H116" i="33"/>
  <c r="H116" i="7" s="1"/>
  <c r="H141" i="33"/>
  <c r="H141" i="7" s="1"/>
  <c r="H128" i="33"/>
  <c r="J128" i="33" s="1"/>
  <c r="H151" i="9"/>
  <c r="J151" i="8"/>
  <c r="H144" i="7"/>
  <c r="J144" i="33"/>
  <c r="J134" i="10"/>
  <c r="H134" i="11"/>
  <c r="J149" i="33"/>
  <c r="H149" i="7"/>
  <c r="H150" i="7"/>
  <c r="J150" i="33"/>
  <c r="J146" i="33"/>
  <c r="H146" i="7"/>
  <c r="J147" i="33"/>
  <c r="H147" i="7"/>
  <c r="H145" i="7"/>
  <c r="J145" i="33"/>
  <c r="J148" i="33"/>
  <c r="H148" i="7"/>
  <c r="J143" i="33"/>
  <c r="H143" i="7"/>
  <c r="H152" i="11"/>
  <c r="J152" i="10"/>
  <c r="H186" i="24"/>
  <c r="J186" i="23"/>
  <c r="H132" i="7"/>
  <c r="J132" i="33"/>
  <c r="J179" i="11"/>
  <c r="H179" i="12"/>
  <c r="H129" i="7"/>
  <c r="J127" i="11"/>
  <c r="H127" i="12"/>
  <c r="H174" i="12"/>
  <c r="J174" i="11"/>
  <c r="H130" i="7"/>
  <c r="J130" i="33"/>
  <c r="H164" i="15"/>
  <c r="J164" i="14"/>
  <c r="J163" i="14"/>
  <c r="H163" i="15"/>
  <c r="H133" i="7"/>
  <c r="J133" i="33"/>
  <c r="H165" i="15"/>
  <c r="J165" i="14"/>
  <c r="H173" i="5"/>
  <c r="J173" i="4"/>
  <c r="H180" i="7"/>
  <c r="J180" i="33"/>
  <c r="J171" i="33"/>
  <c r="H171" i="7"/>
  <c r="H176" i="7"/>
  <c r="J176" i="33"/>
  <c r="J175" i="33"/>
  <c r="H175" i="7"/>
  <c r="H186" i="33"/>
  <c r="J186" i="5"/>
  <c r="H178" i="33"/>
  <c r="J178" i="5"/>
  <c r="H172" i="33"/>
  <c r="J172" i="5"/>
  <c r="J177" i="33"/>
  <c r="H177" i="7"/>
  <c r="J181" i="33"/>
  <c r="H181" i="7"/>
  <c r="H183" i="33"/>
  <c r="J183" i="5"/>
  <c r="J182" i="33"/>
  <c r="H182" i="7"/>
  <c r="J170" i="33"/>
  <c r="H170" i="7"/>
  <c r="H184" i="5"/>
  <c r="J184" i="4"/>
  <c r="H160" i="33"/>
  <c r="J160" i="5"/>
  <c r="J158" i="33"/>
  <c r="H158" i="7"/>
  <c r="H161" i="7"/>
  <c r="J161" i="33"/>
  <c r="J162" i="33"/>
  <c r="H162" i="7"/>
  <c r="H185" i="5"/>
  <c r="J185" i="4"/>
  <c r="J159" i="33"/>
  <c r="H159" i="7"/>
  <c r="J138" i="33"/>
  <c r="H138" i="7"/>
  <c r="J142" i="33"/>
  <c r="H142" i="7"/>
  <c r="H139" i="7"/>
  <c r="J139" i="33"/>
  <c r="H140" i="7"/>
  <c r="J140" i="33"/>
  <c r="H122" i="7"/>
  <c r="J122" i="33"/>
  <c r="J119" i="33"/>
  <c r="H119" i="7"/>
  <c r="J112" i="33"/>
  <c r="H112" i="7"/>
  <c r="H114" i="7"/>
  <c r="J114" i="33"/>
  <c r="J123" i="33"/>
  <c r="H123" i="7"/>
  <c r="H113" i="33"/>
  <c r="J113" i="5"/>
  <c r="H118" i="7"/>
  <c r="J118" i="33"/>
  <c r="J117" i="33"/>
  <c r="H117" i="7"/>
  <c r="J115" i="33"/>
  <c r="H115" i="7"/>
  <c r="J121" i="33"/>
  <c r="H121" i="7"/>
  <c r="J120" i="33"/>
  <c r="H120" i="7"/>
  <c r="B20" i="48"/>
  <c r="J141" i="33" l="1"/>
  <c r="J155" i="15"/>
  <c r="H155" i="16"/>
  <c r="H156" i="16"/>
  <c r="J156" i="15"/>
  <c r="H131" i="7"/>
  <c r="H131" i="8" s="1"/>
  <c r="J116" i="33"/>
  <c r="H128" i="7"/>
  <c r="J128" i="7" s="1"/>
  <c r="J149" i="7"/>
  <c r="H149" i="8"/>
  <c r="H145" i="8"/>
  <c r="J145" i="7"/>
  <c r="J147" i="7"/>
  <c r="H147" i="8"/>
  <c r="J134" i="11"/>
  <c r="H134" i="12"/>
  <c r="H152" i="12"/>
  <c r="J152" i="11"/>
  <c r="H143" i="8"/>
  <c r="J143" i="7"/>
  <c r="H146" i="8"/>
  <c r="J146" i="7"/>
  <c r="J144" i="7"/>
  <c r="H144" i="8"/>
  <c r="J148" i="7"/>
  <c r="H148" i="8"/>
  <c r="H150" i="8"/>
  <c r="J150" i="7"/>
  <c r="H151" i="10"/>
  <c r="J151" i="9"/>
  <c r="H186" i="25"/>
  <c r="J186" i="24"/>
  <c r="J163" i="15"/>
  <c r="H163" i="16"/>
  <c r="J127" i="12"/>
  <c r="H127" i="13"/>
  <c r="H179" i="13"/>
  <c r="J179" i="12"/>
  <c r="H130" i="8"/>
  <c r="J130" i="7"/>
  <c r="H132" i="8"/>
  <c r="J132" i="7"/>
  <c r="H133" i="8"/>
  <c r="J133" i="7"/>
  <c r="J164" i="15"/>
  <c r="H164" i="16"/>
  <c r="J174" i="12"/>
  <c r="H174" i="13"/>
  <c r="H129" i="8"/>
  <c r="J129" i="7"/>
  <c r="H165" i="16"/>
  <c r="J165" i="15"/>
  <c r="J182" i="7"/>
  <c r="H182" i="8"/>
  <c r="J181" i="7"/>
  <c r="H181" i="8"/>
  <c r="J183" i="33"/>
  <c r="H183" i="7"/>
  <c r="J178" i="33"/>
  <c r="H178" i="7"/>
  <c r="H173" i="33"/>
  <c r="J173" i="5"/>
  <c r="J170" i="7"/>
  <c r="H170" i="8"/>
  <c r="J177" i="7"/>
  <c r="H177" i="8"/>
  <c r="J175" i="7"/>
  <c r="H175" i="8"/>
  <c r="J171" i="7"/>
  <c r="H171" i="8"/>
  <c r="H172" i="7"/>
  <c r="J172" i="33"/>
  <c r="H186" i="7"/>
  <c r="J186" i="33"/>
  <c r="H176" i="8"/>
  <c r="J176" i="7"/>
  <c r="H180" i="8"/>
  <c r="J180" i="7"/>
  <c r="H184" i="33"/>
  <c r="J184" i="5"/>
  <c r="J158" i="7"/>
  <c r="H158" i="8"/>
  <c r="H159" i="8"/>
  <c r="J159" i="7"/>
  <c r="J162" i="7"/>
  <c r="H162" i="8"/>
  <c r="H185" i="33"/>
  <c r="J185" i="5"/>
  <c r="J161" i="7"/>
  <c r="H161" i="8"/>
  <c r="J160" i="33"/>
  <c r="H160" i="7"/>
  <c r="J141" i="7"/>
  <c r="H141" i="8"/>
  <c r="J142" i="7"/>
  <c r="H142" i="8"/>
  <c r="H140" i="8"/>
  <c r="J140" i="7"/>
  <c r="H139" i="8"/>
  <c r="J139" i="7"/>
  <c r="J138" i="7"/>
  <c r="H138" i="8"/>
  <c r="H118" i="8"/>
  <c r="J118" i="7"/>
  <c r="H122" i="8"/>
  <c r="J122" i="7"/>
  <c r="J121" i="7"/>
  <c r="H121" i="8"/>
  <c r="J115" i="7"/>
  <c r="H115" i="8"/>
  <c r="J112" i="7"/>
  <c r="H112" i="8"/>
  <c r="J123" i="7"/>
  <c r="H123" i="8"/>
  <c r="J113" i="33"/>
  <c r="H113" i="7"/>
  <c r="H114" i="8"/>
  <c r="J114" i="7"/>
  <c r="J120" i="7"/>
  <c r="H120" i="8"/>
  <c r="J116" i="7"/>
  <c r="H116" i="8"/>
  <c r="J117" i="7"/>
  <c r="H117" i="8"/>
  <c r="J119" i="7"/>
  <c r="H119" i="8"/>
  <c r="C33" i="48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0" i="48"/>
  <c r="B31" i="48"/>
  <c r="B32" i="48"/>
  <c r="B2" i="48"/>
  <c r="D4" i="45" s="1"/>
  <c r="K2" i="48"/>
  <c r="E2" i="48"/>
  <c r="H156" i="17" l="1"/>
  <c r="J156" i="16"/>
  <c r="J155" i="16"/>
  <c r="H155" i="17"/>
  <c r="J131" i="7"/>
  <c r="H128" i="8"/>
  <c r="J128" i="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 i="9"/>
  <c r="J145" i="8"/>
  <c r="H148" i="9"/>
  <c r="J148" i="8"/>
  <c r="J149" i="8"/>
  <c r="H149" i="9"/>
  <c r="H152" i="13"/>
  <c r="J152" i="12"/>
  <c r="H186" i="40"/>
  <c r="J186" i="25"/>
  <c r="H131" i="9"/>
  <c r="J131" i="8"/>
  <c r="H132" i="9"/>
  <c r="J132" i="8"/>
  <c r="H174" i="14"/>
  <c r="J174" i="13"/>
  <c r="H163" i="17"/>
  <c r="J163" i="16"/>
  <c r="H179" i="14"/>
  <c r="J179" i="13"/>
  <c r="H165" i="17"/>
  <c r="J165" i="16"/>
  <c r="H129" i="9"/>
  <c r="J129" i="8"/>
  <c r="H133" i="9"/>
  <c r="J133" i="8"/>
  <c r="H130" i="9"/>
  <c r="J130" i="8"/>
  <c r="J164" i="16"/>
  <c r="H164" i="17"/>
  <c r="J127" i="13"/>
  <c r="H127" i="14"/>
  <c r="J175" i="8"/>
  <c r="H175" i="9"/>
  <c r="H170" i="9"/>
  <c r="J170" i="8"/>
  <c r="J178" i="7"/>
  <c r="H178" i="8"/>
  <c r="H181" i="9"/>
  <c r="J181" i="8"/>
  <c r="H180" i="9"/>
  <c r="J180" i="8"/>
  <c r="H186" i="8"/>
  <c r="J186" i="7"/>
  <c r="J173" i="33"/>
  <c r="H173" i="7"/>
  <c r="J171" i="8"/>
  <c r="H171" i="9"/>
  <c r="H177" i="9"/>
  <c r="J177" i="8"/>
  <c r="J183" i="7"/>
  <c r="H183" i="8"/>
  <c r="H182" i="9"/>
  <c r="J182" i="8"/>
  <c r="H176" i="9"/>
  <c r="J176" i="8"/>
  <c r="H172" i="8"/>
  <c r="J172" i="7"/>
  <c r="H185" i="7"/>
  <c r="J185" i="33"/>
  <c r="J159" i="8"/>
  <c r="H159" i="9"/>
  <c r="H184" i="7"/>
  <c r="J184" i="33"/>
  <c r="J160" i="7"/>
  <c r="H160" i="8"/>
  <c r="H161" i="9"/>
  <c r="J161" i="8"/>
  <c r="H162" i="9"/>
  <c r="J162" i="8"/>
  <c r="H158" i="9"/>
  <c r="J158" i="8"/>
  <c r="J138" i="8"/>
  <c r="H138" i="9"/>
  <c r="J142" i="8"/>
  <c r="H142" i="9"/>
  <c r="J141" i="8"/>
  <c r="H141" i="9"/>
  <c r="H139" i="9"/>
  <c r="J139" i="8"/>
  <c r="H140" i="9"/>
  <c r="J140" i="8"/>
  <c r="J116" i="8"/>
  <c r="H116" i="9"/>
  <c r="J123" i="8"/>
  <c r="H123" i="9"/>
  <c r="H118" i="9"/>
  <c r="J118" i="8"/>
  <c r="J120" i="8"/>
  <c r="H120" i="9"/>
  <c r="J113" i="7"/>
  <c r="H113" i="8"/>
  <c r="J112" i="8"/>
  <c r="H112" i="9"/>
  <c r="J121" i="8"/>
  <c r="H121" i="9"/>
  <c r="J119" i="8"/>
  <c r="H119" i="9"/>
  <c r="J115" i="8"/>
  <c r="H115" i="9"/>
  <c r="J117" i="8"/>
  <c r="H117" i="9"/>
  <c r="H114" i="9"/>
  <c r="J114" i="8"/>
  <c r="H122" i="9"/>
  <c r="J122" i="8"/>
  <c r="B33" i="48"/>
  <c r="H155" i="18" l="1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6" i="27"/>
  <c r="J186" i="40"/>
  <c r="J130" i="9"/>
  <c r="H130" i="10"/>
  <c r="H129" i="10"/>
  <c r="J129" i="9"/>
  <c r="J131" i="9"/>
  <c r="H131" i="10"/>
  <c r="J127" i="14"/>
  <c r="H127" i="15"/>
  <c r="J179" i="14"/>
  <c r="H179" i="15"/>
  <c r="H133" i="10"/>
  <c r="J133" i="9"/>
  <c r="H165" i="18"/>
  <c r="J165" i="17"/>
  <c r="J174" i="14"/>
  <c r="H174" i="15"/>
  <c r="H132" i="10"/>
  <c r="J132" i="9"/>
  <c r="H163" i="18"/>
  <c r="J163" i="17"/>
  <c r="H164" i="18"/>
  <c r="J164" i="17"/>
  <c r="J183" i="8"/>
  <c r="H183" i="9"/>
  <c r="H171" i="10"/>
  <c r="J171" i="9"/>
  <c r="H172" i="9"/>
  <c r="J172" i="8"/>
  <c r="H182" i="10"/>
  <c r="J182" i="9"/>
  <c r="H177" i="10"/>
  <c r="J177" i="9"/>
  <c r="H180" i="10"/>
  <c r="J180" i="9"/>
  <c r="J173" i="7"/>
  <c r="H173" i="8"/>
  <c r="H178" i="9"/>
  <c r="J178" i="8"/>
  <c r="H175" i="10"/>
  <c r="J175" i="9"/>
  <c r="H176" i="10"/>
  <c r="J176" i="9"/>
  <c r="H186" i="9"/>
  <c r="J186" i="8"/>
  <c r="H181" i="10"/>
  <c r="J181" i="9"/>
  <c r="H170" i="10"/>
  <c r="J170" i="9"/>
  <c r="J160" i="8"/>
  <c r="H160" i="9"/>
  <c r="H159" i="10"/>
  <c r="J159" i="9"/>
  <c r="H158" i="10"/>
  <c r="J158" i="9"/>
  <c r="H161" i="10"/>
  <c r="AD13" i="44" s="1"/>
  <c r="J161" i="9"/>
  <c r="H184" i="8"/>
  <c r="J184" i="7"/>
  <c r="H185" i="8"/>
  <c r="J185" i="7"/>
  <c r="H162" i="10"/>
  <c r="J162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 i="9"/>
  <c r="H115" i="10"/>
  <c r="H121" i="10"/>
  <c r="J121" i="9"/>
  <c r="J113" i="8"/>
  <c r="H113" i="9"/>
  <c r="H122" i="10"/>
  <c r="J122" i="9"/>
  <c r="H117" i="10"/>
  <c r="J117" i="9"/>
  <c r="J119" i="9"/>
  <c r="H119" i="10"/>
  <c r="H112" i="10"/>
  <c r="J112" i="9"/>
  <c r="H120" i="10"/>
  <c r="J120" i="9"/>
  <c r="J123" i="9"/>
  <c r="H123" i="10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0" i="48"/>
  <c r="H31" i="48"/>
  <c r="H32" i="48"/>
  <c r="H2" i="48"/>
  <c r="J156" i="18" l="1"/>
  <c r="H156" i="19"/>
  <c r="H155" i="19"/>
  <c r="J155" i="18"/>
  <c r="J128" i="9"/>
  <c r="J134" i="14"/>
  <c r="H134" i="15"/>
  <c r="H147" i="11"/>
  <c r="J147" i="10"/>
  <c r="J144" i="10"/>
  <c r="H144" i="11"/>
  <c r="H150" i="11"/>
  <c r="J150" i="10"/>
  <c r="H152" i="15"/>
  <c r="J152" i="14"/>
  <c r="J151" i="12"/>
  <c r="H151" i="13"/>
  <c r="H148" i="11"/>
  <c r="J148" i="10"/>
  <c r="J149" i="10"/>
  <c r="H149" i="11"/>
  <c r="J145" i="10"/>
  <c r="H145" i="11"/>
  <c r="J146" i="10"/>
  <c r="H146" i="11"/>
  <c r="H143" i="11"/>
  <c r="J143" i="10"/>
  <c r="H186" i="28"/>
  <c r="J186" i="27"/>
  <c r="J179" i="15"/>
  <c r="H179" i="16"/>
  <c r="J131" i="10"/>
  <c r="H131" i="11"/>
  <c r="J130" i="10"/>
  <c r="H130" i="11"/>
  <c r="H164" i="19"/>
  <c r="J164" i="18"/>
  <c r="J128" i="10"/>
  <c r="H128" i="11"/>
  <c r="H163" i="19"/>
  <c r="J163" i="18"/>
  <c r="H165" i="19"/>
  <c r="J165" i="18"/>
  <c r="H129" i="11"/>
  <c r="J129" i="10"/>
  <c r="J132" i="10"/>
  <c r="H132" i="11"/>
  <c r="H133" i="11"/>
  <c r="J133" i="10"/>
  <c r="H174" i="16"/>
  <c r="J174" i="15"/>
  <c r="H127" i="16"/>
  <c r="J127" i="15"/>
  <c r="H170" i="11"/>
  <c r="J170" i="10"/>
  <c r="H186" i="10"/>
  <c r="J186" i="9"/>
  <c r="H175" i="11"/>
  <c r="J175" i="10"/>
  <c r="H177" i="11"/>
  <c r="J177" i="10"/>
  <c r="H172" i="10"/>
  <c r="J172" i="9"/>
  <c r="H183" i="10"/>
  <c r="J183" i="9"/>
  <c r="H173" i="9"/>
  <c r="J173" i="8"/>
  <c r="H181" i="11"/>
  <c r="J181" i="10"/>
  <c r="J176" i="10"/>
  <c r="H176" i="11"/>
  <c r="H178" i="10"/>
  <c r="J178" i="9"/>
  <c r="J180" i="10"/>
  <c r="H180" i="11"/>
  <c r="H182" i="11"/>
  <c r="J182" i="10"/>
  <c r="H171" i="11"/>
  <c r="J171" i="10"/>
  <c r="H162" i="11"/>
  <c r="J162" i="10"/>
  <c r="J184" i="8"/>
  <c r="H184" i="9"/>
  <c r="H158" i="11"/>
  <c r="J158" i="10"/>
  <c r="J160" i="9"/>
  <c r="H160" i="10"/>
  <c r="H185" i="9"/>
  <c r="J185" i="8"/>
  <c r="J161" i="10"/>
  <c r="H161" i="11"/>
  <c r="AD14" i="44" s="1"/>
  <c r="H159" i="11"/>
  <c r="J159" i="10"/>
  <c r="H138" i="11"/>
  <c r="J138" i="10"/>
  <c r="H141" i="11"/>
  <c r="J141" i="10"/>
  <c r="J139" i="10"/>
  <c r="H139" i="11"/>
  <c r="H140" i="11"/>
  <c r="J140" i="10"/>
  <c r="H142" i="11"/>
  <c r="J142" i="10"/>
  <c r="J123" i="10"/>
  <c r="H123" i="11"/>
  <c r="J122" i="10"/>
  <c r="H122" i="11"/>
  <c r="J121" i="10"/>
  <c r="H121" i="11"/>
  <c r="H116" i="11"/>
  <c r="J116" i="10"/>
  <c r="J114" i="10"/>
  <c r="H114" i="11"/>
  <c r="J119" i="10"/>
  <c r="H119" i="11"/>
  <c r="H120" i="11"/>
  <c r="J120" i="10"/>
  <c r="H112" i="11"/>
  <c r="J112" i="10"/>
  <c r="J117" i="10"/>
  <c r="H117" i="11"/>
  <c r="J118" i="10"/>
  <c r="H118" i="11"/>
  <c r="H113" i="10"/>
  <c r="J113" i="9"/>
  <c r="J115" i="10"/>
  <c r="H115" i="11"/>
  <c r="H33" i="48"/>
  <c r="J155" i="19" l="1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 i="11"/>
  <c r="H146" i="12"/>
  <c r="J151" i="13"/>
  <c r="H151" i="14"/>
  <c r="H147" i="12"/>
  <c r="J147" i="11"/>
  <c r="H145" i="12"/>
  <c r="J145" i="11"/>
  <c r="H134" i="16"/>
  <c r="J134" i="15"/>
  <c r="J152" i="15"/>
  <c r="H152" i="16"/>
  <c r="H186" i="29"/>
  <c r="J186" i="28"/>
  <c r="H133" i="12"/>
  <c r="J133" i="11"/>
  <c r="J128" i="11"/>
  <c r="H128" i="12"/>
  <c r="H130" i="12"/>
  <c r="J130" i="11"/>
  <c r="H179" i="17"/>
  <c r="J179" i="16"/>
  <c r="J127" i="16"/>
  <c r="H127" i="17"/>
  <c r="H129" i="12"/>
  <c r="J129" i="11"/>
  <c r="H165" i="20"/>
  <c r="J165" i="19"/>
  <c r="H174" i="17"/>
  <c r="J174" i="16"/>
  <c r="J163" i="19"/>
  <c r="H163" i="20"/>
  <c r="H164" i="20"/>
  <c r="J164" i="19"/>
  <c r="J132" i="11"/>
  <c r="H132" i="12"/>
  <c r="J131" i="11"/>
  <c r="H131" i="12"/>
  <c r="H171" i="12"/>
  <c r="J171" i="11"/>
  <c r="H173" i="10"/>
  <c r="J173" i="9"/>
  <c r="J172" i="10"/>
  <c r="H172" i="11"/>
  <c r="H175" i="12"/>
  <c r="J175" i="11"/>
  <c r="H170" i="12"/>
  <c r="J170" i="11"/>
  <c r="H180" i="12"/>
  <c r="J180" i="11"/>
  <c r="H176" i="12"/>
  <c r="J176" i="11"/>
  <c r="H182" i="12"/>
  <c r="J182" i="11"/>
  <c r="H178" i="11"/>
  <c r="J178" i="10"/>
  <c r="H181" i="12"/>
  <c r="J181" i="11"/>
  <c r="H183" i="11"/>
  <c r="J183" i="10"/>
  <c r="H177" i="12"/>
  <c r="J177" i="11"/>
  <c r="J186" i="10"/>
  <c r="H186" i="11"/>
  <c r="J160" i="10"/>
  <c r="H160" i="11"/>
  <c r="H159" i="12"/>
  <c r="J159" i="11"/>
  <c r="H185" i="10"/>
  <c r="J185" i="9"/>
  <c r="H158" i="12"/>
  <c r="J158" i="11"/>
  <c r="H162" i="12"/>
  <c r="J162" i="11"/>
  <c r="J161" i="11"/>
  <c r="H161" i="12"/>
  <c r="AD15" i="44" s="1"/>
  <c r="J184" i="9"/>
  <c r="H184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 i="11"/>
  <c r="H120" i="12"/>
  <c r="H123" i="12"/>
  <c r="J123" i="11"/>
  <c r="H117" i="12"/>
  <c r="J117" i="11"/>
  <c r="H114" i="12"/>
  <c r="J114" i="11"/>
  <c r="H121" i="12"/>
  <c r="J121" i="11"/>
  <c r="J112" i="11"/>
  <c r="H112" i="12"/>
  <c r="J116" i="11"/>
  <c r="H116" i="12"/>
  <c r="H118" i="12"/>
  <c r="J118" i="11"/>
  <c r="H119" i="12"/>
  <c r="J119" i="11"/>
  <c r="H122" i="12"/>
  <c r="J122" i="11"/>
  <c r="E34" i="1"/>
  <c r="F34" i="1"/>
  <c r="S34" i="1"/>
  <c r="U34" i="1" s="1"/>
  <c r="J156" i="20" l="1"/>
  <c r="H156" i="21"/>
  <c r="J155" i="20"/>
  <c r="H155" i="21"/>
  <c r="J147" i="12"/>
  <c r="H147" i="13"/>
  <c r="H143" i="1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 i="13"/>
  <c r="J149" i="12"/>
  <c r="H186" i="30"/>
  <c r="J186" i="29"/>
  <c r="H131" i="13"/>
  <c r="J131" i="12"/>
  <c r="H127" i="18"/>
  <c r="J127" i="17"/>
  <c r="J164" i="20"/>
  <c r="H164" i="21"/>
  <c r="J165" i="20"/>
  <c r="H165" i="21"/>
  <c r="H130" i="13"/>
  <c r="J130" i="12"/>
  <c r="H174" i="18"/>
  <c r="J174" i="17"/>
  <c r="H129" i="13"/>
  <c r="J129" i="12"/>
  <c r="J179" i="17"/>
  <c r="H179" i="18"/>
  <c r="H133" i="13"/>
  <c r="J133" i="12"/>
  <c r="H132" i="13"/>
  <c r="J132" i="12"/>
  <c r="H163" i="21"/>
  <c r="J163" i="20"/>
  <c r="H128" i="13"/>
  <c r="J128" i="12"/>
  <c r="H183" i="12"/>
  <c r="J183" i="11"/>
  <c r="H178" i="12"/>
  <c r="J178" i="11"/>
  <c r="H176" i="13"/>
  <c r="J176" i="12"/>
  <c r="H170" i="13"/>
  <c r="J170" i="12"/>
  <c r="H171" i="13"/>
  <c r="J171" i="12"/>
  <c r="H186" i="12"/>
  <c r="J186" i="11"/>
  <c r="H172" i="12"/>
  <c r="J172" i="11"/>
  <c r="H177" i="13"/>
  <c r="J177" i="12"/>
  <c r="H181" i="13"/>
  <c r="J181" i="12"/>
  <c r="H182" i="13"/>
  <c r="J182" i="12"/>
  <c r="H180" i="13"/>
  <c r="J180" i="12"/>
  <c r="H175" i="13"/>
  <c r="J175" i="12"/>
  <c r="H173" i="11"/>
  <c r="J173" i="10"/>
  <c r="H162" i="13"/>
  <c r="J162" i="12"/>
  <c r="J185" i="10"/>
  <c r="H185" i="11"/>
  <c r="H161" i="13"/>
  <c r="AD16" i="44" s="1"/>
  <c r="J161" i="12"/>
  <c r="J184" i="10"/>
  <c r="H184" i="11"/>
  <c r="H160" i="12"/>
  <c r="J160" i="11"/>
  <c r="H158" i="13"/>
  <c r="J158" i="12"/>
  <c r="H159" i="13"/>
  <c r="J159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 i="12"/>
  <c r="J113" i="11"/>
  <c r="E17" i="48"/>
  <c r="J155" i="21" l="1"/>
  <c r="H155" i="22"/>
  <c r="H156" i="22"/>
  <c r="J156" i="21"/>
  <c r="H151" i="16"/>
  <c r="J151" i="15"/>
  <c r="J152" i="17"/>
  <c r="H152" i="18"/>
  <c r="J149" i="13"/>
  <c r="H149" i="14"/>
  <c r="H144" i="14"/>
  <c r="J144" i="13"/>
  <c r="J148" i="13"/>
  <c r="H148" i="14"/>
  <c r="J134" i="17"/>
  <c r="H134" i="18"/>
  <c r="J143" i="13"/>
  <c r="H143" i="14"/>
  <c r="H150" i="14"/>
  <c r="J150" i="13"/>
  <c r="J145" i="13"/>
  <c r="H145" i="14"/>
  <c r="H147" i="14"/>
  <c r="J147" i="13"/>
  <c r="H146" i="14"/>
  <c r="J146" i="13"/>
  <c r="H186" i="43"/>
  <c r="J186" i="30"/>
  <c r="H130" i="14"/>
  <c r="J130" i="13"/>
  <c r="H164" i="22"/>
  <c r="J164" i="21"/>
  <c r="H128" i="14"/>
  <c r="J128" i="13"/>
  <c r="H132" i="14"/>
  <c r="J132" i="13"/>
  <c r="J163" i="21"/>
  <c r="H163" i="22"/>
  <c r="H133" i="14"/>
  <c r="J133" i="13"/>
  <c r="H174" i="19"/>
  <c r="J174" i="18"/>
  <c r="H127" i="19"/>
  <c r="J127" i="18"/>
  <c r="H129" i="14"/>
  <c r="J129" i="13"/>
  <c r="H131" i="14"/>
  <c r="J131" i="13"/>
  <c r="H179" i="19"/>
  <c r="J179" i="18"/>
  <c r="J165" i="21"/>
  <c r="H165" i="22"/>
  <c r="H173" i="12"/>
  <c r="J173" i="11"/>
  <c r="H180" i="14"/>
  <c r="J180" i="13"/>
  <c r="H181" i="14"/>
  <c r="J181" i="13"/>
  <c r="H172" i="13"/>
  <c r="J172" i="12"/>
  <c r="H171" i="14"/>
  <c r="J171" i="13"/>
  <c r="H176" i="14"/>
  <c r="J176" i="13"/>
  <c r="H183" i="13"/>
  <c r="J183" i="12"/>
  <c r="H175" i="14"/>
  <c r="J175" i="13"/>
  <c r="H182" i="14"/>
  <c r="J182" i="13"/>
  <c r="H177" i="14"/>
  <c r="J177" i="13"/>
  <c r="H186" i="13"/>
  <c r="J186" i="12"/>
  <c r="H170" i="14"/>
  <c r="J170" i="13"/>
  <c r="H178" i="13"/>
  <c r="J178" i="12"/>
  <c r="H184" i="12"/>
  <c r="J184" i="11"/>
  <c r="H159" i="14"/>
  <c r="J159" i="13"/>
  <c r="H160" i="13"/>
  <c r="J160" i="12"/>
  <c r="H161" i="14"/>
  <c r="AD17" i="44" s="1"/>
  <c r="J161" i="13"/>
  <c r="H162" i="14"/>
  <c r="J162" i="13"/>
  <c r="H158" i="14"/>
  <c r="J158" i="13"/>
  <c r="J185" i="11"/>
  <c r="H185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 i="13"/>
  <c r="J113" i="12"/>
  <c r="K32" i="47"/>
  <c r="L32" i="47"/>
  <c r="E31" i="48"/>
  <c r="G31" i="48"/>
  <c r="J156" i="22" l="1"/>
  <c r="H156" i="23"/>
  <c r="H155" i="23"/>
  <c r="J155" i="22"/>
  <c r="H150" i="15"/>
  <c r="J150" i="14"/>
  <c r="H144" i="15"/>
  <c r="J144" i="14"/>
  <c r="H143" i="15"/>
  <c r="J143" i="14"/>
  <c r="J149" i="14"/>
  <c r="H149" i="15"/>
  <c r="H146" i="15"/>
  <c r="J146" i="14"/>
  <c r="H134" i="19"/>
  <c r="J134" i="18"/>
  <c r="J152" i="18"/>
  <c r="H152" i="19"/>
  <c r="J147" i="14"/>
  <c r="H147" i="15"/>
  <c r="H145" i="15"/>
  <c r="J145" i="14"/>
  <c r="H148" i="15"/>
  <c r="J148" i="14"/>
  <c r="H151" i="17"/>
  <c r="J151" i="16"/>
  <c r="J186" i="43"/>
  <c r="H186" i="31"/>
  <c r="J186" i="31" s="1"/>
  <c r="H132" i="50"/>
  <c r="J132" i="50" s="1"/>
  <c r="H131" i="15"/>
  <c r="J131" i="14"/>
  <c r="J174" i="19"/>
  <c r="H174" i="20"/>
  <c r="H130" i="15"/>
  <c r="J130" i="14"/>
  <c r="H165" i="23"/>
  <c r="J165" i="22"/>
  <c r="J163" i="22"/>
  <c r="H163" i="23"/>
  <c r="H179" i="20"/>
  <c r="J179" i="19"/>
  <c r="H129" i="15"/>
  <c r="J129" i="14"/>
  <c r="H127" i="20"/>
  <c r="J127" i="19"/>
  <c r="H133" i="15"/>
  <c r="J133" i="14"/>
  <c r="H132" i="15"/>
  <c r="J132" i="14"/>
  <c r="J164" i="22"/>
  <c r="H164" i="23"/>
  <c r="H128" i="15"/>
  <c r="H135" i="15" s="1"/>
  <c r="J135" i="15" s="1"/>
  <c r="J128" i="14"/>
  <c r="H178" i="14"/>
  <c r="J178" i="13"/>
  <c r="H186" i="14"/>
  <c r="J186" i="13"/>
  <c r="H182" i="15"/>
  <c r="J182" i="14"/>
  <c r="H183" i="14"/>
  <c r="J183" i="13"/>
  <c r="H171" i="15"/>
  <c r="J171" i="14"/>
  <c r="H181" i="15"/>
  <c r="J181" i="14"/>
  <c r="H173" i="13"/>
  <c r="J173" i="12"/>
  <c r="H170" i="15"/>
  <c r="J170" i="14"/>
  <c r="H177" i="15"/>
  <c r="J177" i="14"/>
  <c r="H175" i="15"/>
  <c r="J175" i="14"/>
  <c r="H176" i="15"/>
  <c r="J176" i="14"/>
  <c r="H172" i="14"/>
  <c r="J172" i="13"/>
  <c r="H180" i="15"/>
  <c r="J180" i="14"/>
  <c r="H162" i="15"/>
  <c r="J162" i="14"/>
  <c r="H160" i="14"/>
  <c r="J160" i="13"/>
  <c r="H184" i="13"/>
  <c r="J184" i="12"/>
  <c r="H185" i="13"/>
  <c r="J185" i="12"/>
  <c r="H158" i="15"/>
  <c r="J158" i="14"/>
  <c r="H161" i="15"/>
  <c r="AD18" i="44" s="1"/>
  <c r="J161" i="14"/>
  <c r="H159" i="15"/>
  <c r="J159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 i="14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 i="1"/>
  <c r="D33" i="1"/>
  <c r="S33" i="1"/>
  <c r="U33" i="1" s="1"/>
  <c r="H155" i="24" l="1"/>
  <c r="J155" i="23"/>
  <c r="H156" i="24"/>
  <c r="J156" i="23"/>
  <c r="J147" i="15"/>
  <c r="H147" i="16"/>
  <c r="H149" i="16"/>
  <c r="J149" i="15"/>
  <c r="J152" i="19"/>
  <c r="H152" i="20"/>
  <c r="H151" i="18"/>
  <c r="J151" i="17"/>
  <c r="J143" i="15"/>
  <c r="H143" i="16"/>
  <c r="H148" i="16"/>
  <c r="J148" i="15"/>
  <c r="J134" i="19"/>
  <c r="H134" i="20"/>
  <c r="J144" i="15"/>
  <c r="H144" i="16"/>
  <c r="J145" i="15"/>
  <c r="H145" i="16"/>
  <c r="H146" i="16"/>
  <c r="J146" i="15"/>
  <c r="J150" i="15"/>
  <c r="H150" i="16"/>
  <c r="H128" i="16"/>
  <c r="J128" i="15"/>
  <c r="H127" i="21"/>
  <c r="J127" i="20"/>
  <c r="H131" i="16"/>
  <c r="J131" i="15"/>
  <c r="H133" i="16"/>
  <c r="J133" i="15"/>
  <c r="H129" i="16"/>
  <c r="J129" i="15"/>
  <c r="J165" i="23"/>
  <c r="H165" i="24"/>
  <c r="H132" i="16"/>
  <c r="J132" i="15"/>
  <c r="H179" i="21"/>
  <c r="J179" i="20"/>
  <c r="H130" i="16"/>
  <c r="J130" i="15"/>
  <c r="J164" i="23"/>
  <c r="H164" i="24"/>
  <c r="J163" i="23"/>
  <c r="H163" i="24"/>
  <c r="H174" i="21"/>
  <c r="J174" i="20"/>
  <c r="H180" i="16"/>
  <c r="J180" i="15"/>
  <c r="H176" i="16"/>
  <c r="J176" i="15"/>
  <c r="H177" i="16"/>
  <c r="J177" i="15"/>
  <c r="H173" i="14"/>
  <c r="J173" i="13"/>
  <c r="H171" i="16"/>
  <c r="J171" i="15"/>
  <c r="H182" i="16"/>
  <c r="J182" i="15"/>
  <c r="H178" i="15"/>
  <c r="J178" i="14"/>
  <c r="H172" i="15"/>
  <c r="J172" i="14"/>
  <c r="H175" i="16"/>
  <c r="J175" i="15"/>
  <c r="H170" i="16"/>
  <c r="J170" i="15"/>
  <c r="H181" i="16"/>
  <c r="J181" i="15"/>
  <c r="H183" i="15"/>
  <c r="J183" i="14"/>
  <c r="H186" i="15"/>
  <c r="J186" i="14"/>
  <c r="H159" i="16"/>
  <c r="J159" i="15"/>
  <c r="H158" i="16"/>
  <c r="J158" i="15"/>
  <c r="H184" i="14"/>
  <c r="J184" i="13"/>
  <c r="H162" i="16"/>
  <c r="J162" i="15"/>
  <c r="H161" i="16"/>
  <c r="AD19" i="44" s="1"/>
  <c r="J161" i="15"/>
  <c r="J185" i="13"/>
  <c r="H160" i="15"/>
  <c r="J160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 i="15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7" i="1"/>
  <c r="J7" i="1" s="1"/>
  <c r="G7" i="1"/>
  <c r="H6" i="1"/>
  <c r="J6" i="1" s="1"/>
  <c r="G6" i="1"/>
  <c r="H5" i="1"/>
  <c r="J5" i="1" s="1"/>
  <c r="G5" i="1"/>
  <c r="AN2" i="49"/>
  <c r="G4" i="1"/>
  <c r="J156" i="24" l="1"/>
  <c r="H156" i="25"/>
  <c r="J155" i="24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 i="16"/>
  <c r="H145" i="17"/>
  <c r="H143" i="17"/>
  <c r="J143" i="16"/>
  <c r="H147" i="17"/>
  <c r="J147" i="16"/>
  <c r="H174" i="22"/>
  <c r="J174" i="21"/>
  <c r="H131" i="17"/>
  <c r="J131" i="16"/>
  <c r="J164" i="24"/>
  <c r="H164" i="25"/>
  <c r="H165" i="25"/>
  <c r="J165" i="24"/>
  <c r="H133" i="17"/>
  <c r="J133" i="16"/>
  <c r="H130" i="17"/>
  <c r="J130" i="16"/>
  <c r="H132" i="17"/>
  <c r="J132" i="16"/>
  <c r="H129" i="17"/>
  <c r="J129" i="16"/>
  <c r="H127" i="22"/>
  <c r="J127" i="21"/>
  <c r="H179" i="22"/>
  <c r="J179" i="21"/>
  <c r="H128" i="17"/>
  <c r="J128" i="16"/>
  <c r="H163" i="25"/>
  <c r="J163" i="24"/>
  <c r="H186" i="16"/>
  <c r="J186" i="15"/>
  <c r="H181" i="17"/>
  <c r="J181" i="16"/>
  <c r="H175" i="17"/>
  <c r="J175" i="16"/>
  <c r="H178" i="16"/>
  <c r="J178" i="15"/>
  <c r="H171" i="17"/>
  <c r="J171" i="16"/>
  <c r="H177" i="17"/>
  <c r="J177" i="16"/>
  <c r="H180" i="17"/>
  <c r="J180" i="16"/>
  <c r="H183" i="16"/>
  <c r="J183" i="15"/>
  <c r="H170" i="17"/>
  <c r="J170" i="16"/>
  <c r="H172" i="16"/>
  <c r="J172" i="15"/>
  <c r="H182" i="17"/>
  <c r="J182" i="16"/>
  <c r="H173" i="15"/>
  <c r="J173" i="14"/>
  <c r="H176" i="17"/>
  <c r="J176" i="16"/>
  <c r="H160" i="16"/>
  <c r="J160" i="15"/>
  <c r="H161" i="17"/>
  <c r="AD20" i="44" s="1"/>
  <c r="J161" i="16"/>
  <c r="H184" i="15"/>
  <c r="J184" i="14"/>
  <c r="H159" i="17"/>
  <c r="J159" i="16"/>
  <c r="J185" i="14"/>
  <c r="H162" i="17"/>
  <c r="J162" i="16"/>
  <c r="H158" i="17"/>
  <c r="J158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 i="16"/>
  <c r="J113" i="15"/>
  <c r="H122" i="17"/>
  <c r="J122" i="16"/>
  <c r="H118" i="17"/>
  <c r="J118" i="16"/>
  <c r="H121" i="17"/>
  <c r="J121" i="16"/>
  <c r="H117" i="17"/>
  <c r="J117" i="16"/>
  <c r="J114" i="16"/>
  <c r="H112" i="17"/>
  <c r="J112" i="16"/>
  <c r="H123" i="17"/>
  <c r="J123" i="16"/>
  <c r="D5" i="44"/>
  <c r="H4" i="1"/>
  <c r="J4" i="1" s="1"/>
  <c r="B5" i="44"/>
  <c r="C5" i="44"/>
  <c r="J2" i="48" s="1"/>
  <c r="D6" i="44"/>
  <c r="D7" i="44"/>
  <c r="D8" i="44"/>
  <c r="B8" i="44"/>
  <c r="B6" i="44"/>
  <c r="B7" i="44"/>
  <c r="C6" i="44"/>
  <c r="C7" i="44"/>
  <c r="C8" i="44"/>
  <c r="AN4" i="49"/>
  <c r="AN3" i="49"/>
  <c r="H155" i="40" l="1"/>
  <c r="J155" i="25"/>
  <c r="H156" i="40"/>
  <c r="J156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 i="18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4" i="22"/>
  <c r="H174" i="23"/>
  <c r="H164" i="40"/>
  <c r="J164" i="25"/>
  <c r="J163" i="25"/>
  <c r="H163" i="40"/>
  <c r="J179" i="22"/>
  <c r="H179" i="23"/>
  <c r="H129" i="18"/>
  <c r="J129" i="17"/>
  <c r="H130" i="18"/>
  <c r="J130" i="17"/>
  <c r="J165" i="25"/>
  <c r="H165" i="40"/>
  <c r="H131" i="18"/>
  <c r="J131" i="17"/>
  <c r="H176" i="18"/>
  <c r="J176" i="17"/>
  <c r="H182" i="18"/>
  <c r="J182" i="17"/>
  <c r="H170" i="18"/>
  <c r="J170" i="17"/>
  <c r="H180" i="18"/>
  <c r="J180" i="17"/>
  <c r="H171" i="18"/>
  <c r="J171" i="17"/>
  <c r="H175" i="18"/>
  <c r="J175" i="17"/>
  <c r="H186" i="17"/>
  <c r="J186" i="16"/>
  <c r="H173" i="16"/>
  <c r="J173" i="15"/>
  <c r="H172" i="17"/>
  <c r="J172" i="16"/>
  <c r="J183" i="16"/>
  <c r="H183" i="17"/>
  <c r="H177" i="18"/>
  <c r="J177" i="17"/>
  <c r="H178" i="17"/>
  <c r="J178" i="16"/>
  <c r="H181" i="18"/>
  <c r="J181" i="17"/>
  <c r="H158" i="18"/>
  <c r="J158" i="17"/>
  <c r="H185" i="16"/>
  <c r="H184" i="16"/>
  <c r="J184" i="15"/>
  <c r="H160" i="17"/>
  <c r="J160" i="16"/>
  <c r="H162" i="18"/>
  <c r="J162" i="17"/>
  <c r="H159" i="18"/>
  <c r="J159" i="17"/>
  <c r="H161" i="18"/>
  <c r="AD21" i="44" s="1"/>
  <c r="J161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 i="17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 i="44"/>
  <c r="E6" i="44"/>
  <c r="E8" i="44"/>
  <c r="AN5" i="49"/>
  <c r="H156" i="27" l="1"/>
  <c r="J156" i="40"/>
  <c r="H155" i="27"/>
  <c r="J155" i="40"/>
  <c r="H148" i="19"/>
  <c r="J148" i="18"/>
  <c r="J149" i="18"/>
  <c r="H149" i="19"/>
  <c r="J143" i="18"/>
  <c r="H143" i="19"/>
  <c r="H147" i="19"/>
  <c r="J147" i="18"/>
  <c r="J144" i="18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79" i="24"/>
  <c r="J179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4" i="27"/>
  <c r="J164" i="40"/>
  <c r="H165" i="27"/>
  <c r="J165" i="40"/>
  <c r="H163" i="27"/>
  <c r="J163" i="40"/>
  <c r="H174" i="24"/>
  <c r="J174" i="23"/>
  <c r="J183" i="17"/>
  <c r="H183" i="18"/>
  <c r="H181" i="19"/>
  <c r="J181" i="18"/>
  <c r="H177" i="19"/>
  <c r="J177" i="18"/>
  <c r="H172" i="18"/>
  <c r="J172" i="17"/>
  <c r="H186" i="18"/>
  <c r="J186" i="17"/>
  <c r="H171" i="19"/>
  <c r="J171" i="18"/>
  <c r="H170" i="19"/>
  <c r="J170" i="18"/>
  <c r="H176" i="19"/>
  <c r="J176" i="18"/>
  <c r="H178" i="18"/>
  <c r="J178" i="17"/>
  <c r="H173" i="17"/>
  <c r="J173" i="16"/>
  <c r="H175" i="19"/>
  <c r="J175" i="18"/>
  <c r="H180" i="19"/>
  <c r="J180" i="18"/>
  <c r="H182" i="19"/>
  <c r="J182" i="18"/>
  <c r="H161" i="19"/>
  <c r="AD22" i="44" s="1"/>
  <c r="J161" i="18"/>
  <c r="H162" i="19"/>
  <c r="J162" i="18"/>
  <c r="H184" i="17"/>
  <c r="J184" i="16"/>
  <c r="H158" i="19"/>
  <c r="J158" i="18"/>
  <c r="H159" i="19"/>
  <c r="J159" i="18"/>
  <c r="H160" i="18"/>
  <c r="J160" i="17"/>
  <c r="H185" i="17"/>
  <c r="J185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 i="18"/>
  <c r="J113" i="17"/>
  <c r="H117" i="19"/>
  <c r="J117" i="18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H156" i="28" l="1"/>
  <c r="J156" i="27"/>
  <c r="J155" i="27"/>
  <c r="H155" i="28"/>
  <c r="H148" i="20"/>
  <c r="J148" i="19"/>
  <c r="H146" i="20"/>
  <c r="J146" i="19"/>
  <c r="J152" i="23"/>
  <c r="J147" i="19"/>
  <c r="H147" i="20"/>
  <c r="H150" i="20"/>
  <c r="J150" i="19"/>
  <c r="J134" i="23"/>
  <c r="H134" i="24"/>
  <c r="H143" i="20"/>
  <c r="J143" i="19"/>
  <c r="J145" i="19"/>
  <c r="H145" i="20"/>
  <c r="J149" i="19"/>
  <c r="H149" i="20"/>
  <c r="H151" i="22"/>
  <c r="J151" i="21"/>
  <c r="J144" i="19"/>
  <c r="H144" i="20"/>
  <c r="J174" i="24"/>
  <c r="H174" i="25"/>
  <c r="H164" i="28"/>
  <c r="J164" i="27"/>
  <c r="H133" i="20"/>
  <c r="J133" i="19"/>
  <c r="J179" i="24"/>
  <c r="H179" i="25"/>
  <c r="H163" i="28"/>
  <c r="J163" i="27"/>
  <c r="H130" i="20"/>
  <c r="J130" i="19"/>
  <c r="H128" i="20"/>
  <c r="J128" i="19"/>
  <c r="H129" i="20"/>
  <c r="J129" i="19"/>
  <c r="J127" i="24"/>
  <c r="H127" i="25"/>
  <c r="H165" i="28"/>
  <c r="J165" i="27"/>
  <c r="H131" i="20"/>
  <c r="J131" i="19"/>
  <c r="H132" i="20"/>
  <c r="J132" i="19"/>
  <c r="H182" i="20"/>
  <c r="J182" i="19"/>
  <c r="H175" i="20"/>
  <c r="J175" i="19"/>
  <c r="H178" i="19"/>
  <c r="J178" i="18"/>
  <c r="H170" i="20"/>
  <c r="J170" i="19"/>
  <c r="H186" i="19"/>
  <c r="J186" i="19" s="1"/>
  <c r="J186" i="18"/>
  <c r="H177" i="20"/>
  <c r="J177" i="19"/>
  <c r="H183" i="19"/>
  <c r="J183" i="18"/>
  <c r="H180" i="20"/>
  <c r="J180" i="19"/>
  <c r="H173" i="18"/>
  <c r="J173" i="17"/>
  <c r="H176" i="20"/>
  <c r="J176" i="19"/>
  <c r="H171" i="20"/>
  <c r="J171" i="19"/>
  <c r="H172" i="19"/>
  <c r="J172" i="18"/>
  <c r="H181" i="20"/>
  <c r="J181" i="19"/>
  <c r="H185" i="18"/>
  <c r="J185" i="17"/>
  <c r="H159" i="20"/>
  <c r="J159" i="19"/>
  <c r="H184" i="18"/>
  <c r="J184" i="17"/>
  <c r="H161" i="20"/>
  <c r="AD23" i="44" s="1"/>
  <c r="J161" i="19"/>
  <c r="H160" i="19"/>
  <c r="J160" i="18"/>
  <c r="H158" i="20"/>
  <c r="J158" i="19"/>
  <c r="H162" i="20"/>
  <c r="J162" i="19"/>
  <c r="H140" i="20"/>
  <c r="J140" i="19"/>
  <c r="H138" i="20"/>
  <c r="J138" i="19"/>
  <c r="H142" i="20"/>
  <c r="J142" i="19"/>
  <c r="H139" i="20"/>
  <c r="J139" i="19"/>
  <c r="H141" i="20"/>
  <c r="J141" i="19"/>
  <c r="H113" i="19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J155" i="28" l="1"/>
  <c r="H155" i="29"/>
  <c r="J156" i="28"/>
  <c r="H156" i="29"/>
  <c r="J145" i="20"/>
  <c r="H145" i="21"/>
  <c r="H147" i="21"/>
  <c r="J147" i="20"/>
  <c r="H144" i="21"/>
  <c r="J144" i="20"/>
  <c r="J143" i="20"/>
  <c r="H143" i="21"/>
  <c r="H152" i="25"/>
  <c r="J152" i="24"/>
  <c r="H134" i="25"/>
  <c r="J134" i="24"/>
  <c r="H151" i="23"/>
  <c r="J151" i="22"/>
  <c r="J146" i="20"/>
  <c r="H146" i="21"/>
  <c r="J149" i="20"/>
  <c r="H149" i="21"/>
  <c r="H150" i="21"/>
  <c r="J150" i="20"/>
  <c r="J148" i="20"/>
  <c r="H148" i="21"/>
  <c r="H132" i="21"/>
  <c r="J132" i="20"/>
  <c r="H129" i="21"/>
  <c r="J129" i="20"/>
  <c r="H174" i="40"/>
  <c r="J174" i="25"/>
  <c r="H133" i="21"/>
  <c r="J133" i="20"/>
  <c r="H131" i="21"/>
  <c r="J131" i="20"/>
  <c r="H128" i="21"/>
  <c r="J128" i="20"/>
  <c r="H164" i="29"/>
  <c r="J164" i="28"/>
  <c r="H165" i="29"/>
  <c r="J165" i="28"/>
  <c r="H130" i="21"/>
  <c r="J130" i="20"/>
  <c r="H163" i="29"/>
  <c r="J163" i="28"/>
  <c r="H127" i="40"/>
  <c r="J127" i="25"/>
  <c r="H179" i="40"/>
  <c r="J179" i="25"/>
  <c r="H181" i="21"/>
  <c r="J181" i="20"/>
  <c r="H171" i="21"/>
  <c r="J171" i="20"/>
  <c r="H173" i="19"/>
  <c r="J173" i="18"/>
  <c r="H183" i="20"/>
  <c r="J183" i="19"/>
  <c r="H178" i="20"/>
  <c r="J178" i="19"/>
  <c r="H182" i="21"/>
  <c r="J182" i="20"/>
  <c r="H172" i="20"/>
  <c r="J172" i="19"/>
  <c r="H176" i="21"/>
  <c r="J176" i="20"/>
  <c r="H180" i="21"/>
  <c r="J180" i="20"/>
  <c r="H177" i="21"/>
  <c r="J177" i="20"/>
  <c r="H170" i="21"/>
  <c r="J170" i="20"/>
  <c r="H175" i="21"/>
  <c r="J175" i="20"/>
  <c r="H162" i="21"/>
  <c r="J162" i="20"/>
  <c r="H160" i="20"/>
  <c r="J160" i="19"/>
  <c r="H184" i="19"/>
  <c r="J184" i="18"/>
  <c r="H185" i="19"/>
  <c r="J185" i="18"/>
  <c r="H158" i="21"/>
  <c r="J158" i="20"/>
  <c r="H161" i="21"/>
  <c r="AD24" i="44" s="1"/>
  <c r="J161" i="20"/>
  <c r="H159" i="21"/>
  <c r="J159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 i="20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 i="48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 i="48"/>
  <c r="E18" i="48"/>
  <c r="E16" i="48"/>
  <c r="K2" i="47"/>
  <c r="E5" i="48"/>
  <c r="E6" i="48"/>
  <c r="E7" i="48"/>
  <c r="E8" i="48"/>
  <c r="E9" i="48"/>
  <c r="E10" i="48"/>
  <c r="E11" i="48"/>
  <c r="E12" i="48"/>
  <c r="E13" i="48"/>
  <c r="E14" i="48"/>
  <c r="E15" i="48"/>
  <c r="E21" i="48"/>
  <c r="E22" i="48"/>
  <c r="E23" i="48"/>
  <c r="E24" i="48"/>
  <c r="E25" i="48"/>
  <c r="E26" i="48"/>
  <c r="E27" i="48"/>
  <c r="E28" i="48"/>
  <c r="E29" i="48"/>
  <c r="E30" i="48"/>
  <c r="E3" i="48"/>
  <c r="H4" i="45" s="1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J3" i="48" l="1"/>
  <c r="M4" i="45" s="1"/>
  <c r="J4" i="45"/>
  <c r="K5" i="47"/>
  <c r="J5" i="48"/>
  <c r="K4" i="47"/>
  <c r="J4" i="48"/>
  <c r="H156" i="30"/>
  <c r="J156" i="29"/>
  <c r="J155" i="29"/>
  <c r="H155" i="30"/>
  <c r="H146" i="22"/>
  <c r="J146" i="21"/>
  <c r="H143" i="22"/>
  <c r="J143" i="21"/>
  <c r="J152" i="25"/>
  <c r="H152" i="40"/>
  <c r="H151" i="24"/>
  <c r="J151" i="23"/>
  <c r="J144" i="21"/>
  <c r="H144" i="22"/>
  <c r="H150" i="22"/>
  <c r="J150" i="21"/>
  <c r="H134" i="40"/>
  <c r="J134" i="25"/>
  <c r="J147" i="21"/>
  <c r="H147" i="22"/>
  <c r="J148" i="21"/>
  <c r="H148" i="22"/>
  <c r="H149" i="22"/>
  <c r="J149" i="21"/>
  <c r="J145" i="21"/>
  <c r="H145" i="22"/>
  <c r="H179" i="27"/>
  <c r="J179" i="40"/>
  <c r="J163" i="29"/>
  <c r="H163" i="30"/>
  <c r="H131" i="22"/>
  <c r="J131" i="21"/>
  <c r="H132" i="22"/>
  <c r="J132" i="21"/>
  <c r="H127" i="27"/>
  <c r="J127" i="40"/>
  <c r="H130" i="22"/>
  <c r="J130" i="21"/>
  <c r="H164" i="30"/>
  <c r="J164" i="29"/>
  <c r="H128" i="22"/>
  <c r="J128" i="21"/>
  <c r="H133" i="22"/>
  <c r="J133" i="21"/>
  <c r="H129" i="22"/>
  <c r="J129" i="21"/>
  <c r="J165" i="29"/>
  <c r="H165" i="30"/>
  <c r="H174" i="27"/>
  <c r="J174" i="40"/>
  <c r="H170" i="22"/>
  <c r="J170" i="21"/>
  <c r="H180" i="22"/>
  <c r="J180" i="21"/>
  <c r="H172" i="21"/>
  <c r="J172" i="20"/>
  <c r="H178" i="21"/>
  <c r="J178" i="20"/>
  <c r="H173" i="20"/>
  <c r="J173" i="19"/>
  <c r="H181" i="22"/>
  <c r="J181" i="21"/>
  <c r="H175" i="22"/>
  <c r="J175" i="21"/>
  <c r="H177" i="22"/>
  <c r="J177" i="21"/>
  <c r="H176" i="22"/>
  <c r="J176" i="21"/>
  <c r="H182" i="22"/>
  <c r="J182" i="21"/>
  <c r="H183" i="21"/>
  <c r="J183" i="20"/>
  <c r="H171" i="22"/>
  <c r="J171" i="21"/>
  <c r="H159" i="22"/>
  <c r="J159" i="21"/>
  <c r="H158" i="22"/>
  <c r="J158" i="21"/>
  <c r="H184" i="20"/>
  <c r="J184" i="19"/>
  <c r="H162" i="22"/>
  <c r="J162" i="21"/>
  <c r="H161" i="22"/>
  <c r="AD25" i="44" s="1"/>
  <c r="J161" i="21"/>
  <c r="H185" i="20"/>
  <c r="J185" i="19"/>
  <c r="H160" i="21"/>
  <c r="J160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 i="21"/>
  <c r="J113" i="20"/>
  <c r="H123" i="22"/>
  <c r="J123" i="21"/>
  <c r="H122" i="22"/>
  <c r="J122" i="21"/>
  <c r="K3" i="47"/>
  <c r="G33" i="48"/>
  <c r="E4" i="48"/>
  <c r="E33" i="48" s="1"/>
  <c r="H156" i="43" l="1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 i="23"/>
  <c r="J150" i="22"/>
  <c r="H143" i="23"/>
  <c r="J143" i="22"/>
  <c r="H148" i="23"/>
  <c r="J148" i="22"/>
  <c r="J144" i="22"/>
  <c r="H144" i="23"/>
  <c r="J146" i="22"/>
  <c r="H146" i="23"/>
  <c r="H129" i="23"/>
  <c r="J129" i="22"/>
  <c r="H130" i="23"/>
  <c r="J130" i="22"/>
  <c r="H132" i="23"/>
  <c r="J132" i="22"/>
  <c r="H133" i="23"/>
  <c r="J133" i="22"/>
  <c r="J164" i="30"/>
  <c r="H164" i="43"/>
  <c r="J127" i="27"/>
  <c r="H127" i="28"/>
  <c r="H131" i="23"/>
  <c r="J131" i="22"/>
  <c r="J174" i="27"/>
  <c r="H174" i="28"/>
  <c r="H128" i="23"/>
  <c r="J128" i="22"/>
  <c r="H179" i="28"/>
  <c r="J179" i="27"/>
  <c r="H165" i="43"/>
  <c r="J165" i="30"/>
  <c r="J163" i="30"/>
  <c r="H163" i="43"/>
  <c r="H183" i="22"/>
  <c r="J183" i="21"/>
  <c r="H176" i="23"/>
  <c r="J176" i="22"/>
  <c r="H175" i="23"/>
  <c r="J175" i="22"/>
  <c r="H173" i="21"/>
  <c r="J173" i="20"/>
  <c r="H172" i="22"/>
  <c r="J172" i="21"/>
  <c r="H170" i="23"/>
  <c r="J170" i="22"/>
  <c r="H171" i="23"/>
  <c r="J171" i="22"/>
  <c r="H182" i="23"/>
  <c r="J182" i="22"/>
  <c r="H177" i="23"/>
  <c r="J177" i="22"/>
  <c r="H181" i="23"/>
  <c r="J181" i="22"/>
  <c r="H178" i="22"/>
  <c r="J178" i="21"/>
  <c r="H180" i="23"/>
  <c r="J180" i="22"/>
  <c r="H160" i="22"/>
  <c r="J160" i="21"/>
  <c r="H161" i="23"/>
  <c r="AD26" i="44" s="1"/>
  <c r="J161" i="22"/>
  <c r="H184" i="21"/>
  <c r="J184" i="20"/>
  <c r="H159" i="23"/>
  <c r="J159" i="22"/>
  <c r="H185" i="21"/>
  <c r="J185" i="20"/>
  <c r="H162" i="23"/>
  <c r="J162" i="22"/>
  <c r="H158" i="23"/>
  <c r="J158" i="22"/>
  <c r="H138" i="23"/>
  <c r="J138" i="22"/>
  <c r="H139" i="23"/>
  <c r="J139" i="22"/>
  <c r="H142" i="23"/>
  <c r="H142" i="24" s="1"/>
  <c r="J142" i="24" s="1"/>
  <c r="J142" i="22"/>
  <c r="H140" i="23"/>
  <c r="J140" i="22"/>
  <c r="H141" i="23"/>
  <c r="H141" i="24" s="1"/>
  <c r="J141" i="24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 i="22"/>
  <c r="J113" i="21"/>
  <c r="H119" i="23"/>
  <c r="J119" i="22"/>
  <c r="H120" i="23"/>
  <c r="J120" i="22"/>
  <c r="H115" i="23"/>
  <c r="J115" i="22"/>
  <c r="H116" i="23"/>
  <c r="J116" i="22"/>
  <c r="AP45" i="44"/>
  <c r="AP41" i="44"/>
  <c r="H155" i="31" l="1"/>
  <c r="J155" i="31" s="1"/>
  <c r="J155" i="43"/>
  <c r="H156" i="31"/>
  <c r="J156" i="31" s="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79" i="29"/>
  <c r="J179" i="28"/>
  <c r="H129" i="24"/>
  <c r="J129" i="23"/>
  <c r="H163" i="31"/>
  <c r="J163" i="31" s="1"/>
  <c r="J163" i="43"/>
  <c r="J174" i="28"/>
  <c r="H174" i="29"/>
  <c r="J127" i="28"/>
  <c r="H127" i="29"/>
  <c r="H132" i="24"/>
  <c r="J132" i="23"/>
  <c r="H165" i="31"/>
  <c r="J165" i="31" s="1"/>
  <c r="J165" i="43"/>
  <c r="H128" i="24"/>
  <c r="J128" i="23"/>
  <c r="H131" i="24"/>
  <c r="J131" i="23"/>
  <c r="H130" i="24"/>
  <c r="J130" i="23"/>
  <c r="H133" i="24"/>
  <c r="J133" i="23"/>
  <c r="H164" i="31"/>
  <c r="J164" i="31" s="1"/>
  <c r="J164" i="43"/>
  <c r="H178" i="23"/>
  <c r="J178" i="22"/>
  <c r="H177" i="24"/>
  <c r="J177" i="23"/>
  <c r="H171" i="24"/>
  <c r="J171" i="23"/>
  <c r="H172" i="23"/>
  <c r="J172" i="22"/>
  <c r="H175" i="24"/>
  <c r="J175" i="23"/>
  <c r="H183" i="23"/>
  <c r="J183" i="22"/>
  <c r="H180" i="24"/>
  <c r="J180" i="23"/>
  <c r="H181" i="24"/>
  <c r="J181" i="23"/>
  <c r="H182" i="24"/>
  <c r="J182" i="23"/>
  <c r="H170" i="24"/>
  <c r="J170" i="23"/>
  <c r="H173" i="22"/>
  <c r="J173" i="21"/>
  <c r="H176" i="24"/>
  <c r="J176" i="23"/>
  <c r="H158" i="24"/>
  <c r="J158" i="23"/>
  <c r="H185" i="22"/>
  <c r="J185" i="21"/>
  <c r="H184" i="22"/>
  <c r="J184" i="21"/>
  <c r="H160" i="23"/>
  <c r="J160" i="22"/>
  <c r="H162" i="24"/>
  <c r="J162" i="23"/>
  <c r="H159" i="24"/>
  <c r="J159" i="23"/>
  <c r="H161" i="24"/>
  <c r="AD27" i="44" s="1"/>
  <c r="J161" i="23"/>
  <c r="H138" i="24"/>
  <c r="J138" i="23"/>
  <c r="H140" i="24"/>
  <c r="J140" i="23"/>
  <c r="J141" i="23"/>
  <c r="J142" i="23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 i="23"/>
  <c r="J113" i="22"/>
  <c r="H118" i="24"/>
  <c r="J118" i="23"/>
  <c r="H117" i="24"/>
  <c r="J117" i="23"/>
  <c r="H112" i="24"/>
  <c r="J112" i="23"/>
  <c r="AC35" i="44"/>
  <c r="H144" i="25" l="1"/>
  <c r="J144" i="24"/>
  <c r="J147" i="24"/>
  <c r="H147" i="25"/>
  <c r="J150" i="24"/>
  <c r="H150" i="25"/>
  <c r="H143" i="25"/>
  <c r="J143" i="24"/>
  <c r="H145" i="25"/>
  <c r="J145" i="24"/>
  <c r="H152" i="29"/>
  <c r="J152" i="28"/>
  <c r="H151" i="27"/>
  <c r="J151" i="40"/>
  <c r="J148" i="24"/>
  <c r="H148" i="25"/>
  <c r="H149" i="25"/>
  <c r="J149" i="24"/>
  <c r="H146" i="25"/>
  <c r="J146" i="24"/>
  <c r="H134" i="29"/>
  <c r="J134" i="28"/>
  <c r="H127" i="30"/>
  <c r="J127" i="29"/>
  <c r="H130" i="25"/>
  <c r="J130" i="24"/>
  <c r="J179" i="29"/>
  <c r="H179" i="30"/>
  <c r="H133" i="25"/>
  <c r="J133" i="24"/>
  <c r="H128" i="25"/>
  <c r="J128" i="24"/>
  <c r="H132" i="25"/>
  <c r="J132" i="24"/>
  <c r="H129" i="25"/>
  <c r="J129" i="24"/>
  <c r="H131" i="25"/>
  <c r="J131" i="24"/>
  <c r="J174" i="29"/>
  <c r="H174" i="30"/>
  <c r="H173" i="23"/>
  <c r="J173" i="22"/>
  <c r="H182" i="25"/>
  <c r="J182" i="24"/>
  <c r="H180" i="25"/>
  <c r="J180" i="24"/>
  <c r="H175" i="25"/>
  <c r="J175" i="24"/>
  <c r="H171" i="25"/>
  <c r="J171" i="24"/>
  <c r="H178" i="24"/>
  <c r="J178" i="23"/>
  <c r="H176" i="25"/>
  <c r="J176" i="24"/>
  <c r="H170" i="25"/>
  <c r="J170" i="24"/>
  <c r="H181" i="25"/>
  <c r="J181" i="24"/>
  <c r="H183" i="24"/>
  <c r="J183" i="23"/>
  <c r="H172" i="24"/>
  <c r="J172" i="23"/>
  <c r="H177" i="25"/>
  <c r="J177" i="24"/>
  <c r="H161" i="25"/>
  <c r="AD28" i="44" s="1"/>
  <c r="J161" i="24"/>
  <c r="H162" i="25"/>
  <c r="J162" i="24"/>
  <c r="H184" i="23"/>
  <c r="J184" i="22"/>
  <c r="H158" i="25"/>
  <c r="J158" i="24"/>
  <c r="H159" i="25"/>
  <c r="J159" i="24"/>
  <c r="H160" i="24"/>
  <c r="J160" i="23"/>
  <c r="H185" i="23"/>
  <c r="J185" i="22"/>
  <c r="H139" i="25"/>
  <c r="J139" i="24"/>
  <c r="H142" i="25"/>
  <c r="H141" i="25"/>
  <c r="H140" i="25"/>
  <c r="J140" i="24"/>
  <c r="H138" i="25"/>
  <c r="J138" i="24"/>
  <c r="H117" i="25"/>
  <c r="J117" i="24"/>
  <c r="H113" i="24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J143" i="25" l="1"/>
  <c r="H143" i="40"/>
  <c r="J150" i="25"/>
  <c r="H150" i="40"/>
  <c r="H134" i="30"/>
  <c r="J134" i="29"/>
  <c r="H151" i="28"/>
  <c r="J151" i="27"/>
  <c r="J147" i="25"/>
  <c r="H147" i="40"/>
  <c r="H146" i="40"/>
  <c r="J146" i="25"/>
  <c r="H152" i="30"/>
  <c r="J152" i="29"/>
  <c r="J148" i="25"/>
  <c r="H148" i="40"/>
  <c r="H149" i="40"/>
  <c r="J149" i="25"/>
  <c r="J145" i="25"/>
  <c r="H145" i="40"/>
  <c r="J144" i="25"/>
  <c r="H144" i="40"/>
  <c r="H129" i="40"/>
  <c r="J129" i="25"/>
  <c r="J127" i="30"/>
  <c r="H127" i="43"/>
  <c r="J179" i="30"/>
  <c r="H179" i="43"/>
  <c r="H128" i="40"/>
  <c r="J128" i="25"/>
  <c r="H131" i="40"/>
  <c r="J131" i="25"/>
  <c r="H132" i="40"/>
  <c r="J132" i="25"/>
  <c r="H133" i="40"/>
  <c r="J133" i="25"/>
  <c r="H130" i="40"/>
  <c r="J130" i="25"/>
  <c r="H174" i="43"/>
  <c r="J174" i="30"/>
  <c r="H172" i="25"/>
  <c r="J172" i="24"/>
  <c r="H181" i="40"/>
  <c r="J181" i="25"/>
  <c r="H176" i="40"/>
  <c r="J176" i="25"/>
  <c r="H171" i="40"/>
  <c r="J171" i="25"/>
  <c r="H180" i="40"/>
  <c r="J180" i="25"/>
  <c r="H173" i="24"/>
  <c r="J173" i="23"/>
  <c r="H177" i="40"/>
  <c r="J177" i="25"/>
  <c r="H183" i="25"/>
  <c r="J183" i="24"/>
  <c r="H170" i="40"/>
  <c r="J170" i="25"/>
  <c r="H178" i="25"/>
  <c r="J178" i="24"/>
  <c r="H175" i="40"/>
  <c r="J175" i="25"/>
  <c r="H182" i="40"/>
  <c r="J182" i="25"/>
  <c r="H185" i="24"/>
  <c r="J185" i="23"/>
  <c r="H159" i="40"/>
  <c r="J159" i="25"/>
  <c r="H184" i="24"/>
  <c r="J184" i="23"/>
  <c r="H161" i="40"/>
  <c r="AD29" i="44" s="1"/>
  <c r="J161" i="25"/>
  <c r="H160" i="25"/>
  <c r="J160" i="24"/>
  <c r="H158" i="40"/>
  <c r="J158" i="25"/>
  <c r="H162" i="40"/>
  <c r="J162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 i="25"/>
  <c r="J113" i="24"/>
  <c r="H151" i="29" l="1"/>
  <c r="J151" i="28"/>
  <c r="H144" i="27"/>
  <c r="J144" i="40"/>
  <c r="H152" i="43"/>
  <c r="J152" i="30"/>
  <c r="H134" i="43"/>
  <c r="J134" i="30"/>
  <c r="J145" i="40"/>
  <c r="H145" i="27"/>
  <c r="H150" i="27"/>
  <c r="J150" i="40"/>
  <c r="H148" i="27"/>
  <c r="J148" i="40"/>
  <c r="H146" i="27"/>
  <c r="J146" i="40"/>
  <c r="H147" i="27"/>
  <c r="J147" i="40"/>
  <c r="H143" i="27"/>
  <c r="J143" i="40"/>
  <c r="J149" i="40"/>
  <c r="H149" i="27"/>
  <c r="H133" i="27"/>
  <c r="J133" i="40"/>
  <c r="H129" i="27"/>
  <c r="J129" i="40"/>
  <c r="J179" i="43"/>
  <c r="H179" i="31"/>
  <c r="J179" i="31" s="1"/>
  <c r="H131" i="27"/>
  <c r="J131" i="40"/>
  <c r="J174" i="43"/>
  <c r="H174" i="31"/>
  <c r="J174" i="31" s="1"/>
  <c r="H120" i="50"/>
  <c r="J120" i="50" s="1"/>
  <c r="H130" i="27"/>
  <c r="J130" i="40"/>
  <c r="H132" i="27"/>
  <c r="J132" i="40"/>
  <c r="H128" i="27"/>
  <c r="J128" i="40"/>
  <c r="H127" i="31"/>
  <c r="J127" i="31" s="1"/>
  <c r="J127" i="43"/>
  <c r="H175" i="27"/>
  <c r="J175" i="40"/>
  <c r="H170" i="27"/>
  <c r="J170" i="40"/>
  <c r="H177" i="27"/>
  <c r="J177" i="40"/>
  <c r="H180" i="27"/>
  <c r="J180" i="40"/>
  <c r="H176" i="27"/>
  <c r="J176" i="40"/>
  <c r="H172" i="40"/>
  <c r="J172" i="25"/>
  <c r="H182" i="27"/>
  <c r="J182" i="40"/>
  <c r="H178" i="40"/>
  <c r="J178" i="25"/>
  <c r="H183" i="40"/>
  <c r="J183" i="25"/>
  <c r="H173" i="25"/>
  <c r="J173" i="24"/>
  <c r="H171" i="27"/>
  <c r="J171" i="40"/>
  <c r="H181" i="27"/>
  <c r="J181" i="40"/>
  <c r="H162" i="27"/>
  <c r="J162" i="40"/>
  <c r="H160" i="40"/>
  <c r="J160" i="25"/>
  <c r="H184" i="25"/>
  <c r="J184" i="24"/>
  <c r="H185" i="25"/>
  <c r="J185" i="24"/>
  <c r="H158" i="27"/>
  <c r="J158" i="40"/>
  <c r="H161" i="27"/>
  <c r="AD30" i="44" s="1"/>
  <c r="J161" i="40"/>
  <c r="H159" i="27"/>
  <c r="J159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 i="40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 i="49"/>
  <c r="AC7" i="49"/>
  <c r="AC8" i="49"/>
  <c r="AC6" i="49"/>
  <c r="H146" i="28" l="1"/>
  <c r="J146" i="27"/>
  <c r="J134" i="43"/>
  <c r="H134" i="31"/>
  <c r="J134" i="31" s="1"/>
  <c r="J149" i="27"/>
  <c r="H149" i="28"/>
  <c r="H148" i="28"/>
  <c r="J148" i="27"/>
  <c r="H152" i="31"/>
  <c r="J152" i="31" s="1"/>
  <c r="J152" i="43"/>
  <c r="H143" i="28"/>
  <c r="J143" i="27"/>
  <c r="J150" i="27"/>
  <c r="H150" i="28"/>
  <c r="J144" i="27"/>
  <c r="H144" i="28"/>
  <c r="H145" i="28"/>
  <c r="J145" i="27"/>
  <c r="J147" i="2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1" i="28"/>
  <c r="J171" i="27"/>
  <c r="H183" i="27"/>
  <c r="J183" i="40"/>
  <c r="H182" i="28"/>
  <c r="J182" i="27"/>
  <c r="H176" i="28"/>
  <c r="J176" i="27"/>
  <c r="H177" i="28"/>
  <c r="J177" i="27"/>
  <c r="H175" i="28"/>
  <c r="J175" i="27"/>
  <c r="H181" i="28"/>
  <c r="J181" i="27"/>
  <c r="H173" i="40"/>
  <c r="J173" i="25"/>
  <c r="H178" i="27"/>
  <c r="J178" i="40"/>
  <c r="H172" i="27"/>
  <c r="J172" i="40"/>
  <c r="H180" i="28"/>
  <c r="J180" i="27"/>
  <c r="H170" i="28"/>
  <c r="J170" i="27"/>
  <c r="H159" i="28"/>
  <c r="J159" i="27"/>
  <c r="H158" i="28"/>
  <c r="J158" i="27"/>
  <c r="H184" i="40"/>
  <c r="J184" i="25"/>
  <c r="H162" i="28"/>
  <c r="J162" i="27"/>
  <c r="H161" i="28"/>
  <c r="AD31" i="44" s="1"/>
  <c r="J161" i="27"/>
  <c r="H185" i="40"/>
  <c r="J185" i="25"/>
  <c r="H160" i="27"/>
  <c r="J160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 i="27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 i="49"/>
  <c r="H144" i="29" l="1"/>
  <c r="J144" i="28"/>
  <c r="H148" i="29"/>
  <c r="J148" i="28"/>
  <c r="J146" i="28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 i="29"/>
  <c r="J131" i="28"/>
  <c r="H128" i="29"/>
  <c r="J128" i="28"/>
  <c r="H130" i="29"/>
  <c r="J130" i="28"/>
  <c r="H129" i="29"/>
  <c r="J129" i="28"/>
  <c r="H132" i="29"/>
  <c r="J132" i="28"/>
  <c r="H133" i="29"/>
  <c r="J133" i="28"/>
  <c r="H180" i="29"/>
  <c r="J180" i="28"/>
  <c r="H178" i="28"/>
  <c r="J178" i="27"/>
  <c r="H181" i="29"/>
  <c r="J181" i="28"/>
  <c r="H177" i="29"/>
  <c r="J177" i="28"/>
  <c r="H182" i="29"/>
  <c r="J182" i="28"/>
  <c r="H171" i="29"/>
  <c r="J171" i="28"/>
  <c r="H170" i="29"/>
  <c r="J170" i="28"/>
  <c r="H172" i="28"/>
  <c r="J172" i="27"/>
  <c r="H173" i="27"/>
  <c r="J173" i="40"/>
  <c r="H175" i="29"/>
  <c r="J175" i="28"/>
  <c r="H176" i="29"/>
  <c r="J176" i="28"/>
  <c r="H183" i="28"/>
  <c r="J183" i="27"/>
  <c r="H160" i="28"/>
  <c r="J160" i="27"/>
  <c r="H161" i="29"/>
  <c r="AD32" i="44" s="1"/>
  <c r="J161" i="28"/>
  <c r="H184" i="27"/>
  <c r="J184" i="40"/>
  <c r="H159" i="29"/>
  <c r="J159" i="28"/>
  <c r="H185" i="27"/>
  <c r="J185" i="40"/>
  <c r="H162" i="29"/>
  <c r="J162" i="28"/>
  <c r="H158" i="29"/>
  <c r="J158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 i="28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J144" i="29" l="1"/>
  <c r="H144" i="30"/>
  <c r="H143" i="30"/>
  <c r="J143" i="29"/>
  <c r="J151" i="43"/>
  <c r="H151" i="31"/>
  <c r="J151" i="31" s="1"/>
  <c r="H147" i="30"/>
  <c r="J147" i="29"/>
  <c r="H146" i="30"/>
  <c r="J146" i="29"/>
  <c r="J148" i="29"/>
  <c r="H148" i="30"/>
  <c r="H150" i="30"/>
  <c r="J150" i="29"/>
  <c r="J149" i="29"/>
  <c r="H149" i="30"/>
  <c r="H145" i="30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6" i="30"/>
  <c r="J176" i="29"/>
  <c r="H173" i="28"/>
  <c r="J173" i="27"/>
  <c r="H170" i="30"/>
  <c r="J170" i="29"/>
  <c r="H182" i="30"/>
  <c r="J182" i="29"/>
  <c r="H181" i="30"/>
  <c r="J181" i="29"/>
  <c r="H180" i="30"/>
  <c r="J180" i="29"/>
  <c r="H183" i="29"/>
  <c r="J183" i="28"/>
  <c r="H175" i="30"/>
  <c r="J175" i="29"/>
  <c r="H172" i="29"/>
  <c r="J172" i="28"/>
  <c r="H171" i="30"/>
  <c r="J171" i="29"/>
  <c r="H177" i="30"/>
  <c r="J177" i="29"/>
  <c r="H178" i="29"/>
  <c r="J178" i="28"/>
  <c r="H158" i="30"/>
  <c r="J158" i="29"/>
  <c r="H185" i="28"/>
  <c r="J185" i="27"/>
  <c r="H184" i="28"/>
  <c r="J184" i="27"/>
  <c r="H160" i="29"/>
  <c r="J160" i="28"/>
  <c r="H162" i="30"/>
  <c r="J162" i="29"/>
  <c r="H159" i="30"/>
  <c r="J159" i="29"/>
  <c r="H161" i="30"/>
  <c r="AD33" i="44" s="1"/>
  <c r="J161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 i="29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 i="49"/>
  <c r="AC28" i="44"/>
  <c r="AB25" i="49" s="1"/>
  <c r="Z25" i="49"/>
  <c r="AA35" i="44"/>
  <c r="AB7" i="49"/>
  <c r="AB9" i="49"/>
  <c r="Z30" i="49"/>
  <c r="H147" i="43" l="1"/>
  <c r="J147" i="30"/>
  <c r="J150" i="30"/>
  <c r="H150" i="43"/>
  <c r="H148" i="43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77" i="43"/>
  <c r="J177" i="30"/>
  <c r="H172" i="30"/>
  <c r="J172" i="29"/>
  <c r="H183" i="30"/>
  <c r="J183" i="29"/>
  <c r="H181" i="43"/>
  <c r="J181" i="30"/>
  <c r="H170" i="43"/>
  <c r="J170" i="30"/>
  <c r="H176" i="43"/>
  <c r="J176" i="30"/>
  <c r="H178" i="30"/>
  <c r="J178" i="29"/>
  <c r="H171" i="43"/>
  <c r="J171" i="30"/>
  <c r="H175" i="43"/>
  <c r="J175" i="30"/>
  <c r="H180" i="43"/>
  <c r="J180" i="30"/>
  <c r="H182" i="43"/>
  <c r="J182" i="30"/>
  <c r="H173" i="29"/>
  <c r="J173" i="28"/>
  <c r="H161" i="43"/>
  <c r="AD34" i="44" s="1"/>
  <c r="J161" i="30"/>
  <c r="H162" i="43"/>
  <c r="J162" i="30"/>
  <c r="H184" i="29"/>
  <c r="J184" i="28"/>
  <c r="H158" i="43"/>
  <c r="J158" i="30"/>
  <c r="H159" i="43"/>
  <c r="J159" i="30"/>
  <c r="H160" i="30"/>
  <c r="J160" i="29"/>
  <c r="H185" i="29"/>
  <c r="J185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 i="30"/>
  <c r="J113" i="29"/>
  <c r="H117" i="43"/>
  <c r="J117" i="30"/>
  <c r="AC27" i="44"/>
  <c r="AB24" i="49" s="1"/>
  <c r="Z24" i="49"/>
  <c r="AB8" i="49"/>
  <c r="AA32" i="49"/>
  <c r="AB10" i="49"/>
  <c r="AB5" i="49"/>
  <c r="AA24" i="49"/>
  <c r="AA25" i="49"/>
  <c r="Z11" i="49"/>
  <c r="Z10" i="49"/>
  <c r="Z9" i="49"/>
  <c r="Z8" i="49"/>
  <c r="Z7" i="49"/>
  <c r="AA6" i="49"/>
  <c r="AB6" i="49"/>
  <c r="Z6" i="49"/>
  <c r="AA5" i="49"/>
  <c r="Z5" i="49"/>
  <c r="Z4" i="49"/>
  <c r="AB4" i="49"/>
  <c r="AA4" i="49"/>
  <c r="Z31" i="49"/>
  <c r="Z29" i="49"/>
  <c r="Z27" i="49"/>
  <c r="Z26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AA7" i="49"/>
  <c r="AC25" i="44"/>
  <c r="AB22" i="49" s="1"/>
  <c r="AA13" i="49"/>
  <c r="AA23" i="49"/>
  <c r="AA12" i="49"/>
  <c r="AA22" i="49"/>
  <c r="AC21" i="44"/>
  <c r="AB18" i="49" s="1"/>
  <c r="AC17" i="44"/>
  <c r="AB14" i="49" s="1"/>
  <c r="AA31" i="49"/>
  <c r="AA11" i="49"/>
  <c r="AA20" i="49"/>
  <c r="AB11" i="49"/>
  <c r="AC20" i="44"/>
  <c r="AB17" i="49" s="1"/>
  <c r="AA26" i="49"/>
  <c r="AC31" i="44"/>
  <c r="AB28" i="49" s="1"/>
  <c r="AA29" i="49"/>
  <c r="Z32" i="49"/>
  <c r="AA18" i="49"/>
  <c r="AC15" i="44"/>
  <c r="AB12" i="49" s="1"/>
  <c r="AC16" i="44"/>
  <c r="AB13" i="49" s="1"/>
  <c r="AA16" i="49"/>
  <c r="AC22" i="44"/>
  <c r="AB19" i="49" s="1"/>
  <c r="AC24" i="44"/>
  <c r="AB21" i="49" s="1"/>
  <c r="AC32" i="44"/>
  <c r="AB29" i="49" s="1"/>
  <c r="AC34" i="44"/>
  <c r="AB31" i="49" s="1"/>
  <c r="AC29" i="44"/>
  <c r="AB26" i="49" s="1"/>
  <c r="AA14" i="49"/>
  <c r="AA10" i="49"/>
  <c r="AA27" i="49"/>
  <c r="AA15" i="49"/>
  <c r="AA30" i="49"/>
  <c r="AA21" i="49"/>
  <c r="AA17" i="49"/>
  <c r="AC19" i="44"/>
  <c r="AB16" i="49" s="1"/>
  <c r="AC18" i="44"/>
  <c r="AB15" i="49" s="1"/>
  <c r="AA19" i="49"/>
  <c r="AA8" i="49"/>
  <c r="AA9" i="49"/>
  <c r="AC30" i="44"/>
  <c r="AB27" i="49" s="1"/>
  <c r="AC26" i="44"/>
  <c r="AB23" i="49" s="1"/>
  <c r="AC23" i="44"/>
  <c r="AB20" i="49" s="1"/>
  <c r="AA28" i="49"/>
  <c r="J146" i="43" l="1"/>
  <c r="H146" i="31"/>
  <c r="J146" i="31" s="1"/>
  <c r="H149" i="31"/>
  <c r="J149" i="31" s="1"/>
  <c r="J149" i="43"/>
  <c r="J145" i="43"/>
  <c r="H145" i="31"/>
  <c r="J145" i="31" s="1"/>
  <c r="H148" i="31"/>
  <c r="J148" i="31" s="1"/>
  <c r="J148" i="43"/>
  <c r="J150" i="43"/>
  <c r="H150" i="31"/>
  <c r="J150" i="31" s="1"/>
  <c r="J144" i="43"/>
  <c r="H144" i="31"/>
  <c r="J144" i="31" s="1"/>
  <c r="J143" i="43"/>
  <c r="H143" i="31"/>
  <c r="J143" i="31" s="1"/>
  <c r="H147" i="31"/>
  <c r="J147" i="31" s="1"/>
  <c r="J147" i="43"/>
  <c r="H130" i="31"/>
  <c r="J130" i="31" s="1"/>
  <c r="J130" i="43"/>
  <c r="H132" i="31"/>
  <c r="J132" i="31" s="1"/>
  <c r="J132" i="43"/>
  <c r="H128" i="31"/>
  <c r="J128" i="31" s="1"/>
  <c r="J128" i="43"/>
  <c r="J129" i="43"/>
  <c r="H129" i="31"/>
  <c r="J129" i="31" s="1"/>
  <c r="H79" i="50"/>
  <c r="H131" i="31"/>
  <c r="J131" i="31" s="1"/>
  <c r="J131" i="43"/>
  <c r="H82" i="31"/>
  <c r="J82" i="31" s="1"/>
  <c r="H133" i="31"/>
  <c r="J133" i="31" s="1"/>
  <c r="J133" i="43"/>
  <c r="J182" i="43"/>
  <c r="H182" i="31"/>
  <c r="J182" i="31" s="1"/>
  <c r="H128" i="50"/>
  <c r="J128" i="50" s="1"/>
  <c r="H175" i="31"/>
  <c r="J175" i="31" s="1"/>
  <c r="J175" i="43"/>
  <c r="H121" i="50"/>
  <c r="J121" i="50" s="1"/>
  <c r="H178" i="43"/>
  <c r="J178" i="30"/>
  <c r="H170" i="31"/>
  <c r="J170" i="31" s="1"/>
  <c r="J170" i="43"/>
  <c r="H116" i="50"/>
  <c r="J116" i="50" s="1"/>
  <c r="H183" i="43"/>
  <c r="J183" i="30"/>
  <c r="J177" i="43"/>
  <c r="H177" i="31"/>
  <c r="J177" i="31" s="1"/>
  <c r="H123" i="50"/>
  <c r="J123" i="50" s="1"/>
  <c r="H173" i="30"/>
  <c r="J173" i="29"/>
  <c r="J180" i="43"/>
  <c r="H180" i="31"/>
  <c r="J180" i="31" s="1"/>
  <c r="J171" i="43"/>
  <c r="H171" i="31"/>
  <c r="J171" i="31" s="1"/>
  <c r="H117" i="50"/>
  <c r="J117" i="50" s="1"/>
  <c r="J176" i="43"/>
  <c r="H176" i="31"/>
  <c r="J176" i="31" s="1"/>
  <c r="H122" i="50"/>
  <c r="J122" i="50" s="1"/>
  <c r="J181" i="43"/>
  <c r="H181" i="31"/>
  <c r="J181" i="31" s="1"/>
  <c r="H127" i="50"/>
  <c r="J127" i="50" s="1"/>
  <c r="H172" i="43"/>
  <c r="J172" i="30"/>
  <c r="H185" i="30"/>
  <c r="J185" i="29"/>
  <c r="J159" i="43"/>
  <c r="H159" i="31"/>
  <c r="J159" i="31" s="1"/>
  <c r="H184" i="30"/>
  <c r="J184" i="29"/>
  <c r="J161" i="43"/>
  <c r="H161" i="31"/>
  <c r="H160" i="43"/>
  <c r="J160" i="30"/>
  <c r="H158" i="31"/>
  <c r="J158" i="31" s="1"/>
  <c r="J158" i="43"/>
  <c r="H162" i="31"/>
  <c r="J162" i="31" s="1"/>
  <c r="J162" i="43"/>
  <c r="J142" i="43"/>
  <c r="H142" i="31"/>
  <c r="J142" i="31" s="1"/>
  <c r="J140" i="43"/>
  <c r="H140" i="31"/>
  <c r="J140" i="31" s="1"/>
  <c r="H139" i="31"/>
  <c r="J139" i="31" s="1"/>
  <c r="J139" i="43"/>
  <c r="H141" i="31"/>
  <c r="J141" i="31" s="1"/>
  <c r="J141" i="43"/>
  <c r="H138" i="31"/>
  <c r="J138" i="31" s="1"/>
  <c r="J138" i="43"/>
  <c r="H113" i="43"/>
  <c r="J113" i="30"/>
  <c r="J114" i="43"/>
  <c r="H114" i="31"/>
  <c r="J114" i="31" s="1"/>
  <c r="H115" i="31"/>
  <c r="J115" i="31" s="1"/>
  <c r="J115" i="43"/>
  <c r="J118" i="43"/>
  <c r="H118" i="31"/>
  <c r="J118" i="31" s="1"/>
  <c r="H123" i="31"/>
  <c r="J123" i="31" s="1"/>
  <c r="J123" i="43"/>
  <c r="H119" i="31"/>
  <c r="J119" i="31" s="1"/>
  <c r="J119" i="43"/>
  <c r="H117" i="31"/>
  <c r="J117" i="31" s="1"/>
  <c r="J117" i="43"/>
  <c r="H116" i="31"/>
  <c r="J116" i="31" s="1"/>
  <c r="J116" i="43"/>
  <c r="H122" i="31"/>
  <c r="J122" i="31" s="1"/>
  <c r="J122" i="43"/>
  <c r="J112" i="43"/>
  <c r="H112" i="31"/>
  <c r="J112" i="31" s="1"/>
  <c r="J120" i="43"/>
  <c r="H120" i="31"/>
  <c r="J120" i="31" s="1"/>
  <c r="H121" i="31"/>
  <c r="J121" i="31" s="1"/>
  <c r="J121" i="43"/>
  <c r="Z3" i="49"/>
  <c r="AA37" i="44"/>
  <c r="AA36" i="44"/>
  <c r="AC36" i="44"/>
  <c r="AB3" i="49"/>
  <c r="AC37" i="44"/>
  <c r="AA3" i="49"/>
  <c r="AB37" i="44"/>
  <c r="AB36" i="44"/>
  <c r="Z2" i="49"/>
  <c r="AB2" i="49"/>
  <c r="AA2" i="49"/>
  <c r="J161" i="31" l="1"/>
  <c r="AD35" i="44"/>
  <c r="AC32" i="49" s="1"/>
  <c r="H173" i="43"/>
  <c r="J173" i="30"/>
  <c r="J172" i="43"/>
  <c r="H172" i="31"/>
  <c r="J172" i="31" s="1"/>
  <c r="H118" i="50"/>
  <c r="J118" i="50" s="1"/>
  <c r="H178" i="31"/>
  <c r="J178" i="31" s="1"/>
  <c r="J178" i="43"/>
  <c r="J183" i="43"/>
  <c r="H183" i="31"/>
  <c r="J183" i="31" s="1"/>
  <c r="H129" i="50"/>
  <c r="J129" i="50" s="1"/>
  <c r="H160" i="31"/>
  <c r="J160" i="31" s="1"/>
  <c r="J160" i="43"/>
  <c r="H184" i="43"/>
  <c r="J184" i="30"/>
  <c r="H185" i="43"/>
  <c r="J185" i="30"/>
  <c r="J113" i="43"/>
  <c r="H113" i="31"/>
  <c r="J113" i="31" s="1"/>
  <c r="AN10" i="49"/>
  <c r="AE10" i="49"/>
  <c r="Y13" i="44"/>
  <c r="X10" i="49" s="1"/>
  <c r="AD10" i="49"/>
  <c r="H173" i="31" l="1"/>
  <c r="J173" i="31" s="1"/>
  <c r="J173" i="43"/>
  <c r="H119" i="50"/>
  <c r="J119" i="50" s="1"/>
  <c r="H185" i="31"/>
  <c r="J185" i="31" s="1"/>
  <c r="J185" i="43"/>
  <c r="H131" i="50"/>
  <c r="J131" i="50" s="1"/>
  <c r="J184" i="43"/>
  <c r="H184" i="31"/>
  <c r="J184" i="31" s="1"/>
  <c r="H130" i="50"/>
  <c r="J130" i="5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AT10" i="49" l="1"/>
  <c r="BB10" i="49"/>
  <c r="AS10" i="49"/>
  <c r="BA10" i="49"/>
  <c r="C9" i="44" l="1"/>
  <c r="J6" i="48" s="1"/>
  <c r="H8" i="1"/>
  <c r="J8" i="1" s="1"/>
  <c r="C10" i="44"/>
  <c r="J7" i="48" s="1"/>
  <c r="H9" i="1"/>
  <c r="J9" i="1" s="1"/>
  <c r="AN32" i="49"/>
  <c r="BA34" i="1"/>
  <c r="BC34" i="1"/>
  <c r="BD34" i="1"/>
  <c r="BE34" i="1"/>
  <c r="BG34" i="1"/>
  <c r="Y35" i="44"/>
  <c r="AZ34" i="1"/>
  <c r="AR34" i="1"/>
  <c r="AU34" i="1"/>
  <c r="AV34" i="1"/>
  <c r="AW34" i="1"/>
  <c r="D35" i="44"/>
  <c r="BF34" i="1"/>
  <c r="AX34" i="1"/>
  <c r="AT34" i="1"/>
  <c r="AP34" i="1" l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 i="49"/>
  <c r="AE32" i="49"/>
  <c r="X32" i="49"/>
  <c r="N34" i="1" l="1"/>
  <c r="G32" i="47"/>
  <c r="AT35" i="44"/>
  <c r="AT32" i="49"/>
  <c r="BB32" i="49"/>
  <c r="AS32" i="49"/>
  <c r="BA32" i="49"/>
  <c r="AI25" i="45" l="1"/>
  <c r="AI27" i="45"/>
  <c r="AD20" i="49" l="1"/>
  <c r="L15" i="44" l="1"/>
  <c r="K12" i="49" s="1"/>
  <c r="Y15" i="44"/>
  <c r="X12" i="49" s="1"/>
  <c r="AX7" i="49" l="1"/>
  <c r="AW7" i="49"/>
  <c r="AV9" i="49"/>
  <c r="AZ10" i="49"/>
  <c r="AY10" i="49"/>
  <c r="AX10" i="49"/>
  <c r="AW10" i="49"/>
  <c r="AV10" i="49"/>
  <c r="AU10" i="49"/>
  <c r="AZ14" i="49"/>
  <c r="AY14" i="49"/>
  <c r="AX14" i="49"/>
  <c r="AW14" i="49"/>
  <c r="AV14" i="49"/>
  <c r="AU14" i="49"/>
  <c r="AZ15" i="49"/>
  <c r="AY15" i="49"/>
  <c r="AX15" i="49"/>
  <c r="AW15" i="49"/>
  <c r="AV15" i="49"/>
  <c r="AU15" i="49"/>
  <c r="AZ16" i="49"/>
  <c r="AY16" i="49"/>
  <c r="AX16" i="49"/>
  <c r="AW16" i="49"/>
  <c r="AV16" i="49"/>
  <c r="AU16" i="49"/>
  <c r="AZ18" i="49"/>
  <c r="AY18" i="49"/>
  <c r="AX18" i="49"/>
  <c r="AW18" i="49"/>
  <c r="AV18" i="49"/>
  <c r="AU18" i="49"/>
  <c r="AZ19" i="49"/>
  <c r="AY19" i="49"/>
  <c r="AX19" i="49"/>
  <c r="AW19" i="49"/>
  <c r="AV19" i="49"/>
  <c r="AU19" i="49"/>
  <c r="AZ24" i="49"/>
  <c r="AY24" i="49"/>
  <c r="AX24" i="49"/>
  <c r="AW24" i="49"/>
  <c r="AV24" i="49"/>
  <c r="AU24" i="49"/>
  <c r="AZ25" i="49"/>
  <c r="AY25" i="49"/>
  <c r="AX25" i="49"/>
  <c r="AW25" i="49"/>
  <c r="AV25" i="49"/>
  <c r="AU25" i="49"/>
  <c r="AZ26" i="49"/>
  <c r="AY26" i="49"/>
  <c r="AX26" i="49"/>
  <c r="AW26" i="49"/>
  <c r="AV26" i="49"/>
  <c r="AU26" i="49"/>
  <c r="AZ27" i="49"/>
  <c r="AY27" i="49"/>
  <c r="AX27" i="49"/>
  <c r="AW27" i="49"/>
  <c r="AV27" i="49"/>
  <c r="AU27" i="49"/>
  <c r="AZ28" i="49"/>
  <c r="AY28" i="49"/>
  <c r="AX28" i="49"/>
  <c r="AW28" i="49"/>
  <c r="AV28" i="49"/>
  <c r="AU28" i="49"/>
  <c r="AZ29" i="49"/>
  <c r="AY29" i="49"/>
  <c r="AX29" i="49"/>
  <c r="AW29" i="49"/>
  <c r="AV29" i="49"/>
  <c r="AU29" i="49"/>
  <c r="AZ32" i="49"/>
  <c r="AY32" i="49"/>
  <c r="AX32" i="49"/>
  <c r="AW32" i="49"/>
  <c r="AV32" i="49"/>
  <c r="AU32" i="49"/>
  <c r="AT26" i="49" l="1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U31" i="49"/>
  <c r="BB31" i="49"/>
  <c r="BA31" i="49"/>
  <c r="AZ31" i="49"/>
  <c r="AY31" i="49"/>
  <c r="AX31" i="49"/>
  <c r="AW31" i="49"/>
  <c r="AV31" i="49"/>
  <c r="AT29" i="49"/>
  <c r="BB29" i="49"/>
  <c r="AT27" i="49"/>
  <c r="BB27" i="49"/>
  <c r="AT28" i="49"/>
  <c r="BB28" i="49"/>
  <c r="AS27" i="49"/>
  <c r="BA27" i="49"/>
  <c r="AX21" i="49"/>
  <c r="AY22" i="49"/>
  <c r="AW21" i="49"/>
  <c r="AU20" i="49"/>
  <c r="AX22" i="49"/>
  <c r="AV21" i="49"/>
  <c r="AW22" i="49"/>
  <c r="AU21" i="49"/>
  <c r="AY21" i="49"/>
  <c r="AV22" i="49"/>
  <c r="AZ20" i="49"/>
  <c r="AW20" i="49"/>
  <c r="AV20" i="49"/>
  <c r="AU22" i="49"/>
  <c r="AY20" i="49"/>
  <c r="AZ22" i="49"/>
  <c r="AZ21" i="49"/>
  <c r="AX20" i="49"/>
  <c r="AT17" i="49"/>
  <c r="AY3" i="49"/>
  <c r="AW5" i="49"/>
  <c r="AU9" i="49"/>
  <c r="AY9" i="49"/>
  <c r="AW8" i="49"/>
  <c r="AU7" i="49"/>
  <c r="AZ7" i="49"/>
  <c r="AX6" i="49"/>
  <c r="AZ5" i="49"/>
  <c r="AU3" i="49"/>
  <c r="AY4" i="49"/>
  <c r="AZ9" i="49"/>
  <c r="AX8" i="49"/>
  <c r="AU6" i="49"/>
  <c r="AX3" i="49"/>
  <c r="AX4" i="49"/>
  <c r="AW3" i="49"/>
  <c r="AW4" i="49"/>
  <c r="AX9" i="49"/>
  <c r="AV8" i="49"/>
  <c r="AZ8" i="49"/>
  <c r="AW6" i="49"/>
  <c r="AU5" i="49"/>
  <c r="AY5" i="49"/>
  <c r="AU4" i="49"/>
  <c r="AY6" i="49"/>
  <c r="AV3" i="49"/>
  <c r="AZ3" i="49"/>
  <c r="AV4" i="49"/>
  <c r="AZ4" i="49"/>
  <c r="AU8" i="49"/>
  <c r="AY8" i="49"/>
  <c r="AV6" i="49"/>
  <c r="AZ6" i="49"/>
  <c r="AX5" i="49"/>
  <c r="AZ11" i="49"/>
  <c r="AY11" i="49"/>
  <c r="AW11" i="49"/>
  <c r="AV11" i="49"/>
  <c r="AZ23" i="49"/>
  <c r="AU23" i="49"/>
  <c r="AY23" i="49"/>
  <c r="AW23" i="49"/>
  <c r="AV23" i="49"/>
  <c r="AV2" i="49"/>
  <c r="AZ2" i="49"/>
  <c r="AU2" i="49"/>
  <c r="AW2" i="49"/>
  <c r="AX30" i="49"/>
  <c r="AW30" i="49"/>
  <c r="AV30" i="49"/>
  <c r="AZ30" i="49"/>
  <c r="AU30" i="49"/>
  <c r="AY30" i="49"/>
  <c r="AU13" i="49"/>
  <c r="AX13" i="49"/>
  <c r="AY13" i="49"/>
  <c r="AW13" i="49"/>
  <c r="AV13" i="49"/>
  <c r="AZ13" i="49"/>
  <c r="AX12" i="49"/>
  <c r="AW12" i="49"/>
  <c r="AV12" i="49"/>
  <c r="AZ12" i="49"/>
  <c r="AU12" i="49"/>
  <c r="AY12" i="49"/>
  <c r="AU11" i="49"/>
  <c r="AX11" i="49"/>
  <c r="AY7" i="49"/>
  <c r="AW9" i="49"/>
  <c r="AV7" i="49"/>
  <c r="AV5" i="49"/>
  <c r="AX23" i="49"/>
  <c r="AU17" i="49" l="1"/>
  <c r="AS17" i="49"/>
  <c r="BB17" i="49"/>
  <c r="AZ17" i="49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H11" i="1" l="1"/>
  <c r="J11" i="1" s="1"/>
  <c r="C11" i="44" l="1"/>
  <c r="J8" i="48" s="1"/>
  <c r="H10" i="1"/>
  <c r="J10" i="1" s="1"/>
  <c r="H12" i="1"/>
  <c r="J12" i="1" s="1"/>
  <c r="C12" i="44"/>
  <c r="J9" i="48" s="1"/>
  <c r="C13" i="44" l="1"/>
  <c r="BB13" i="44" l="1"/>
  <c r="J10" i="48"/>
  <c r="H14" i="1"/>
  <c r="J14" i="1" s="1"/>
  <c r="C15" i="44"/>
  <c r="J12" i="48" s="1"/>
  <c r="H13" i="1"/>
  <c r="J13" i="1" s="1"/>
  <c r="C14" i="44"/>
  <c r="J11" i="48" s="1"/>
  <c r="H15" i="1" l="1"/>
  <c r="J15" i="1" s="1"/>
  <c r="C16" i="44"/>
  <c r="J13" i="48" s="1"/>
  <c r="C17" i="44" l="1"/>
  <c r="J14" i="48" s="1"/>
  <c r="H16" i="1"/>
  <c r="J16" i="1" s="1"/>
  <c r="H17" i="1" l="1"/>
  <c r="J17" i="1" s="1"/>
  <c r="C18" i="44"/>
  <c r="J15" i="48" s="1"/>
  <c r="W5" i="45"/>
  <c r="H18" i="1" l="1"/>
  <c r="J18" i="1" s="1"/>
  <c r="C19" i="44"/>
  <c r="J16" i="48" s="1"/>
  <c r="H19" i="1" l="1"/>
  <c r="J19" i="1" s="1"/>
  <c r="C20" i="44"/>
  <c r="J17" i="48" s="1"/>
  <c r="H20" i="1" l="1"/>
  <c r="J20" i="1" s="1"/>
  <c r="C21" i="44"/>
  <c r="J18" i="48" s="1"/>
  <c r="H21" i="1" l="1"/>
  <c r="J21" i="1" s="1"/>
  <c r="C22" i="44"/>
  <c r="J19" i="48" s="1"/>
  <c r="H22" i="1" l="1"/>
  <c r="J22" i="1" s="1"/>
  <c r="C23" i="44"/>
  <c r="J20" i="48" s="1"/>
  <c r="H23" i="1" l="1"/>
  <c r="J23" i="1" s="1"/>
  <c r="C24" i="44"/>
  <c r="J21" i="48" s="1"/>
  <c r="C25" i="44" l="1"/>
  <c r="J22" i="48" s="1"/>
  <c r="H24" i="1"/>
  <c r="J24" i="1" s="1"/>
  <c r="Y25" i="49"/>
  <c r="H25" i="1" l="1"/>
  <c r="J25" i="1" s="1"/>
  <c r="C26" i="44"/>
  <c r="J23" i="48" s="1"/>
  <c r="L28" i="44"/>
  <c r="K25" i="49" s="1"/>
  <c r="C27" i="44" l="1"/>
  <c r="J24" i="48" s="1"/>
  <c r="H26" i="1"/>
  <c r="J26" i="1" s="1"/>
  <c r="BL25" i="49"/>
  <c r="BK25" i="49"/>
  <c r="BJ25" i="49"/>
  <c r="BI25" i="49"/>
  <c r="BH25" i="49"/>
  <c r="BC25" i="49"/>
  <c r="AQ25" i="49"/>
  <c r="AN25" i="49"/>
  <c r="AL25" i="49"/>
  <c r="W25" i="49"/>
  <c r="V25" i="49"/>
  <c r="U25" i="49"/>
  <c r="T25" i="49"/>
  <c r="S25" i="49"/>
  <c r="R25" i="49"/>
  <c r="Q25" i="49"/>
  <c r="P25" i="49"/>
  <c r="O25" i="49"/>
  <c r="N25" i="49"/>
  <c r="M25" i="49"/>
  <c r="AK25" i="49"/>
  <c r="AJ25" i="49"/>
  <c r="AI25" i="49"/>
  <c r="AH25" i="49"/>
  <c r="AG25" i="49"/>
  <c r="AF25" i="49"/>
  <c r="AE25" i="49"/>
  <c r="AD25" i="49"/>
  <c r="Y28" i="44"/>
  <c r="X25" i="49" s="1"/>
  <c r="H27" i="1" l="1"/>
  <c r="J27" i="1" s="1"/>
  <c r="C28" i="44"/>
  <c r="J25" i="48" s="1"/>
  <c r="AA27" i="45"/>
  <c r="BF25" i="49" s="1"/>
  <c r="AR25" i="49"/>
  <c r="AP25" i="49"/>
  <c r="AM25" i="49"/>
  <c r="AA29" i="45"/>
  <c r="AO25" i="49"/>
  <c r="M28" i="44"/>
  <c r="L25" i="49" s="1"/>
  <c r="K28" i="44"/>
  <c r="J25" i="49" s="1"/>
  <c r="I28" i="44"/>
  <c r="H25" i="49" s="1"/>
  <c r="J28" i="44"/>
  <c r="I25" i="49" s="1"/>
  <c r="G28" i="44"/>
  <c r="F25" i="49" s="1"/>
  <c r="F28" i="44"/>
  <c r="E25" i="49" s="1"/>
  <c r="H28" i="44"/>
  <c r="G25" i="49" s="1"/>
  <c r="AA30" i="45"/>
  <c r="AA5" i="45"/>
  <c r="AY28" i="44"/>
  <c r="AA25" i="45"/>
  <c r="BE25" i="49" s="1"/>
  <c r="BB28" i="44" l="1"/>
  <c r="C29" i="44"/>
  <c r="J26" i="48" s="1"/>
  <c r="H28" i="1"/>
  <c r="J28" i="1" s="1"/>
  <c r="AA31" i="45"/>
  <c r="C30" i="44" l="1"/>
  <c r="J27" i="48" s="1"/>
  <c r="H29" i="1"/>
  <c r="J29" i="1" s="1"/>
  <c r="C31" i="44" l="1"/>
  <c r="J28" i="48" s="1"/>
  <c r="H30" i="1"/>
  <c r="J30" i="1" s="1"/>
  <c r="H31" i="1" l="1"/>
  <c r="J31" i="1" s="1"/>
  <c r="C32" i="44"/>
  <c r="J29" i="48" s="1"/>
  <c r="AV9" i="1"/>
  <c r="BI32" i="49"/>
  <c r="BJ32" i="49"/>
  <c r="BK32" i="49"/>
  <c r="BL32" i="49"/>
  <c r="AQ32" i="49"/>
  <c r="BC32" i="49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BJ31" i="49"/>
  <c r="BK31" i="49"/>
  <c r="BL31" i="49"/>
  <c r="AN31" i="49"/>
  <c r="N31" i="49"/>
  <c r="O31" i="49"/>
  <c r="P31" i="49"/>
  <c r="Q31" i="49"/>
  <c r="R31" i="49"/>
  <c r="S31" i="49"/>
  <c r="T31" i="49"/>
  <c r="U31" i="49"/>
  <c r="V31" i="49"/>
  <c r="W31" i="49"/>
  <c r="Y31" i="49"/>
  <c r="M31" i="49"/>
  <c r="AL10" i="49"/>
  <c r="BB20" i="1"/>
  <c r="BD20" i="1"/>
  <c r="BG5" i="1"/>
  <c r="BF5" i="1"/>
  <c r="BE5" i="1"/>
  <c r="BD5" i="1"/>
  <c r="BC5" i="1"/>
  <c r="BA5" i="1"/>
  <c r="AZ5" i="1"/>
  <c r="AV13" i="1"/>
  <c r="BI10" i="49"/>
  <c r="BJ10" i="49"/>
  <c r="BK10" i="49"/>
  <c r="BL10" i="49"/>
  <c r="N10" i="49"/>
  <c r="O10" i="49"/>
  <c r="P10" i="49"/>
  <c r="Q10" i="49"/>
  <c r="R10" i="49"/>
  <c r="S10" i="49"/>
  <c r="T10" i="49"/>
  <c r="U10" i="49"/>
  <c r="V10" i="49"/>
  <c r="W10" i="49"/>
  <c r="Y10" i="49"/>
  <c r="AY27" i="1"/>
  <c r="AQ27" i="1"/>
  <c r="AR27" i="1"/>
  <c r="AV27" i="1"/>
  <c r="AX27" i="1"/>
  <c r="BL20" i="49"/>
  <c r="BK20" i="49"/>
  <c r="BJ20" i="49"/>
  <c r="BC20" i="49"/>
  <c r="BC14" i="1"/>
  <c r="BD14" i="1"/>
  <c r="BE14" i="1"/>
  <c r="BF14" i="1"/>
  <c r="BG14" i="1"/>
  <c r="BC11" i="49"/>
  <c r="AN11" i="49"/>
  <c r="N11" i="49"/>
  <c r="O11" i="49"/>
  <c r="P11" i="49"/>
  <c r="Q11" i="49"/>
  <c r="R11" i="49"/>
  <c r="S11" i="49"/>
  <c r="T11" i="49"/>
  <c r="U11" i="49"/>
  <c r="V11" i="49"/>
  <c r="W11" i="49"/>
  <c r="Y11" i="49"/>
  <c r="AL11" i="49"/>
  <c r="BB13" i="1"/>
  <c r="BC13" i="1"/>
  <c r="BD13" i="1"/>
  <c r="BE13" i="1"/>
  <c r="BF13" i="1"/>
  <c r="BG13" i="1"/>
  <c r="Y14" i="44"/>
  <c r="X11" i="49" s="1"/>
  <c r="AV10" i="1"/>
  <c r="AZ10" i="1"/>
  <c r="BA10" i="1"/>
  <c r="BB10" i="1"/>
  <c r="BC10" i="1"/>
  <c r="BD10" i="1"/>
  <c r="BE10" i="1"/>
  <c r="BG10" i="1"/>
  <c r="Y11" i="44"/>
  <c r="X8" i="49" s="1"/>
  <c r="AD8" i="49"/>
  <c r="AE8" i="49"/>
  <c r="AF8" i="49"/>
  <c r="AG8" i="49"/>
  <c r="AH8" i="49"/>
  <c r="AI8" i="49"/>
  <c r="AJ8" i="49"/>
  <c r="N8" i="49"/>
  <c r="O8" i="49"/>
  <c r="P8" i="49"/>
  <c r="Q8" i="49"/>
  <c r="R8" i="49"/>
  <c r="S8" i="49"/>
  <c r="T8" i="49"/>
  <c r="U8" i="49"/>
  <c r="V8" i="49"/>
  <c r="W8" i="49"/>
  <c r="Y8" i="49"/>
  <c r="AN8" i="49"/>
  <c r="BC8" i="49"/>
  <c r="BI8" i="49"/>
  <c r="BJ8" i="49"/>
  <c r="BK8" i="49"/>
  <c r="BL8" i="49"/>
  <c r="BC4" i="49"/>
  <c r="AT6" i="1"/>
  <c r="BA6" i="1"/>
  <c r="BC6" i="1"/>
  <c r="BG6" i="1"/>
  <c r="Y7" i="44"/>
  <c r="X4" i="49" s="1"/>
  <c r="AH4" i="49"/>
  <c r="M4" i="49"/>
  <c r="N4" i="49"/>
  <c r="O4" i="49"/>
  <c r="P4" i="49"/>
  <c r="Q4" i="49"/>
  <c r="R4" i="49"/>
  <c r="S4" i="49"/>
  <c r="T4" i="49"/>
  <c r="U4" i="49"/>
  <c r="V4" i="49"/>
  <c r="W4" i="49"/>
  <c r="Y4" i="49"/>
  <c r="AL4" i="49"/>
  <c r="BI4" i="49"/>
  <c r="BJ4" i="49"/>
  <c r="BK4" i="49"/>
  <c r="BL4" i="49"/>
  <c r="J16" i="35"/>
  <c r="AF9" i="49"/>
  <c r="N22" i="49"/>
  <c r="O22" i="49"/>
  <c r="P22" i="49"/>
  <c r="Q22" i="49"/>
  <c r="R22" i="49"/>
  <c r="S22" i="49"/>
  <c r="T22" i="49"/>
  <c r="U22" i="49"/>
  <c r="V22" i="49"/>
  <c r="W22" i="49"/>
  <c r="Y22" i="49"/>
  <c r="BA19" i="1"/>
  <c r="BD19" i="1"/>
  <c r="BE19" i="1"/>
  <c r="BF19" i="1"/>
  <c r="BG19" i="1"/>
  <c r="Y20" i="44"/>
  <c r="X17" i="49" s="1"/>
  <c r="AV19" i="1"/>
  <c r="AN13" i="49"/>
  <c r="Y14" i="49"/>
  <c r="W14" i="49"/>
  <c r="V14" i="49"/>
  <c r="U14" i="49"/>
  <c r="T14" i="49"/>
  <c r="S14" i="49"/>
  <c r="R14" i="49"/>
  <c r="Q14" i="49"/>
  <c r="P14" i="49"/>
  <c r="O14" i="49"/>
  <c r="N14" i="49"/>
  <c r="M10" i="49"/>
  <c r="Y9" i="49"/>
  <c r="W9" i="49"/>
  <c r="V9" i="49"/>
  <c r="U9" i="49"/>
  <c r="T9" i="49"/>
  <c r="S9" i="49"/>
  <c r="R9" i="49"/>
  <c r="Q9" i="49"/>
  <c r="P9" i="49"/>
  <c r="O9" i="49"/>
  <c r="N9" i="49"/>
  <c r="M9" i="49"/>
  <c r="Y7" i="49"/>
  <c r="W7" i="49"/>
  <c r="V7" i="49"/>
  <c r="U7" i="49"/>
  <c r="T7" i="49"/>
  <c r="S7" i="49"/>
  <c r="R7" i="49"/>
  <c r="Q7" i="49"/>
  <c r="P7" i="49"/>
  <c r="O7" i="49"/>
  <c r="N7" i="49"/>
  <c r="M7" i="49"/>
  <c r="Y6" i="49"/>
  <c r="W6" i="49"/>
  <c r="V6" i="49"/>
  <c r="U6" i="49"/>
  <c r="T6" i="49"/>
  <c r="S6" i="49"/>
  <c r="R6" i="49"/>
  <c r="Q6" i="49"/>
  <c r="P6" i="49"/>
  <c r="O6" i="49"/>
  <c r="N6" i="49"/>
  <c r="M6" i="49"/>
  <c r="AL5" i="49"/>
  <c r="Y5" i="49"/>
  <c r="W5" i="49"/>
  <c r="V5" i="49"/>
  <c r="U5" i="49"/>
  <c r="T5" i="49"/>
  <c r="S5" i="49"/>
  <c r="R5" i="49"/>
  <c r="Q5" i="49"/>
  <c r="N5" i="49"/>
  <c r="M5" i="49"/>
  <c r="BI11" i="49"/>
  <c r="BJ11" i="49"/>
  <c r="BK11" i="49"/>
  <c r="BL11" i="49"/>
  <c r="BI9" i="49"/>
  <c r="BJ9" i="49"/>
  <c r="BK9" i="49"/>
  <c r="BL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M33" i="44"/>
  <c r="L30" i="49" s="1"/>
  <c r="BL29" i="49"/>
  <c r="BK29" i="49"/>
  <c r="BJ29" i="49"/>
  <c r="BI29" i="49"/>
  <c r="BH29" i="49"/>
  <c r="BC29" i="49"/>
  <c r="AN29" i="49"/>
  <c r="AL29" i="49"/>
  <c r="Y29" i="49"/>
  <c r="W29" i="49"/>
  <c r="V29" i="49"/>
  <c r="U29" i="49"/>
  <c r="T29" i="49"/>
  <c r="S29" i="49"/>
  <c r="R29" i="49"/>
  <c r="Q29" i="49"/>
  <c r="P29" i="49"/>
  <c r="O29" i="49"/>
  <c r="N29" i="49"/>
  <c r="M29" i="49"/>
  <c r="AK29" i="49"/>
  <c r="AJ29" i="49"/>
  <c r="AI29" i="49"/>
  <c r="AH29" i="49"/>
  <c r="AG29" i="49"/>
  <c r="AF29" i="49"/>
  <c r="AE29" i="49"/>
  <c r="Y32" i="44"/>
  <c r="X29" i="49" s="1"/>
  <c r="BG31" i="1"/>
  <c r="BF31" i="1"/>
  <c r="BD31" i="1"/>
  <c r="BA31" i="1"/>
  <c r="AZ31" i="1"/>
  <c r="AV31" i="1"/>
  <c r="BL28" i="49"/>
  <c r="BK28" i="49"/>
  <c r="BJ28" i="49"/>
  <c r="BI28" i="49"/>
  <c r="BC28" i="49"/>
  <c r="AN28" i="49"/>
  <c r="Y28" i="49"/>
  <c r="W28" i="49"/>
  <c r="V28" i="49"/>
  <c r="U28" i="49"/>
  <c r="T28" i="49"/>
  <c r="S28" i="49"/>
  <c r="R28" i="49"/>
  <c r="Q28" i="49"/>
  <c r="P28" i="49"/>
  <c r="O28" i="49"/>
  <c r="N28" i="49"/>
  <c r="M28" i="49"/>
  <c r="BF30" i="1"/>
  <c r="BD30" i="1"/>
  <c r="AP30" i="1"/>
  <c r="BL27" i="49"/>
  <c r="BK27" i="49"/>
  <c r="BJ27" i="49"/>
  <c r="BI27" i="49"/>
  <c r="BC27" i="49"/>
  <c r="AN27" i="49"/>
  <c r="Y27" i="49"/>
  <c r="W27" i="49"/>
  <c r="V27" i="49"/>
  <c r="U27" i="49"/>
  <c r="T27" i="49"/>
  <c r="S27" i="49"/>
  <c r="R27" i="49"/>
  <c r="Q27" i="49"/>
  <c r="P27" i="49"/>
  <c r="O27" i="49"/>
  <c r="N27" i="49"/>
  <c r="M27" i="49"/>
  <c r="BF29" i="1"/>
  <c r="BD29" i="1"/>
  <c r="BC29" i="1"/>
  <c r="BA29" i="1"/>
  <c r="AZ29" i="1"/>
  <c r="BL26" i="49"/>
  <c r="BK26" i="49"/>
  <c r="BJ26" i="49"/>
  <c r="BI26" i="49"/>
  <c r="BC26" i="49"/>
  <c r="AN26" i="49"/>
  <c r="Y26" i="49"/>
  <c r="W26" i="49"/>
  <c r="V26" i="49"/>
  <c r="U26" i="49"/>
  <c r="T26" i="49"/>
  <c r="S26" i="49"/>
  <c r="R26" i="49"/>
  <c r="Q26" i="49"/>
  <c r="P26" i="49"/>
  <c r="O26" i="49"/>
  <c r="N26" i="49"/>
  <c r="M26" i="49"/>
  <c r="BG28" i="1"/>
  <c r="BF28" i="1"/>
  <c r="BE28" i="1"/>
  <c r="BC28" i="1"/>
  <c r="BB28" i="1"/>
  <c r="BA28" i="1"/>
  <c r="BG27" i="1"/>
  <c r="BF27" i="1"/>
  <c r="BE27" i="1"/>
  <c r="BC27" i="1"/>
  <c r="BA27" i="1"/>
  <c r="BH27" i="1"/>
  <c r="AZ27" i="1"/>
  <c r="AP27" i="1"/>
  <c r="BL24" i="49"/>
  <c r="BK24" i="49"/>
  <c r="BJ24" i="49"/>
  <c r="BI24" i="49"/>
  <c r="BC24" i="49"/>
  <c r="AN24" i="49"/>
  <c r="Y24" i="49"/>
  <c r="W24" i="49"/>
  <c r="V24" i="49"/>
  <c r="U24" i="49"/>
  <c r="T24" i="49"/>
  <c r="S24" i="49"/>
  <c r="R24" i="49"/>
  <c r="Q24" i="49"/>
  <c r="P24" i="49"/>
  <c r="O24" i="49"/>
  <c r="N24" i="49"/>
  <c r="Y27" i="44"/>
  <c r="X24" i="49" s="1"/>
  <c r="BG26" i="1"/>
  <c r="BF26" i="1"/>
  <c r="BE26" i="1"/>
  <c r="BD26" i="1"/>
  <c r="BC26" i="1"/>
  <c r="BB26" i="1"/>
  <c r="BA26" i="1"/>
  <c r="AZ26" i="1"/>
  <c r="AV26" i="1"/>
  <c r="AN23" i="49"/>
  <c r="BL22" i="49"/>
  <c r="BK22" i="49"/>
  <c r="BJ22" i="49"/>
  <c r="BI22" i="49"/>
  <c r="BC22" i="49"/>
  <c r="AN22" i="49"/>
  <c r="M22" i="49"/>
  <c r="BL21" i="49"/>
  <c r="BK21" i="49"/>
  <c r="BJ21" i="49"/>
  <c r="BI21" i="49"/>
  <c r="BC21" i="49"/>
  <c r="AN21" i="49"/>
  <c r="Y21" i="49"/>
  <c r="W21" i="49"/>
  <c r="V21" i="49"/>
  <c r="U21" i="49"/>
  <c r="T21" i="49"/>
  <c r="S21" i="49"/>
  <c r="R21" i="49"/>
  <c r="P21" i="49"/>
  <c r="O21" i="49"/>
  <c r="N21" i="49"/>
  <c r="M21" i="49"/>
  <c r="BI20" i="49"/>
  <c r="AN20" i="49"/>
  <c r="Y20" i="49"/>
  <c r="W20" i="49"/>
  <c r="V20" i="49"/>
  <c r="U20" i="49"/>
  <c r="T20" i="49"/>
  <c r="S20" i="49"/>
  <c r="R20" i="49"/>
  <c r="P20" i="49"/>
  <c r="O20" i="49"/>
  <c r="N20" i="49"/>
  <c r="M20" i="49"/>
  <c r="BG22" i="1"/>
  <c r="BF22" i="1"/>
  <c r="BE22" i="1"/>
  <c r="BD22" i="1"/>
  <c r="BC22" i="1"/>
  <c r="BA22" i="1"/>
  <c r="AZ22" i="1"/>
  <c r="BL19" i="49"/>
  <c r="BK19" i="49"/>
  <c r="BJ19" i="49"/>
  <c r="BI19" i="49"/>
  <c r="BC19" i="49"/>
  <c r="AN19" i="49"/>
  <c r="Y19" i="49"/>
  <c r="W19" i="49"/>
  <c r="V19" i="49"/>
  <c r="U19" i="49"/>
  <c r="T19" i="49"/>
  <c r="S19" i="49"/>
  <c r="R19" i="49"/>
  <c r="Q19" i="49"/>
  <c r="P19" i="49"/>
  <c r="O19" i="49"/>
  <c r="N19" i="49"/>
  <c r="BL18" i="49"/>
  <c r="BK18" i="49"/>
  <c r="BJ18" i="49"/>
  <c r="BI18" i="49"/>
  <c r="BC18" i="49"/>
  <c r="AO18" i="49"/>
  <c r="AN18" i="49"/>
  <c r="Y18" i="49"/>
  <c r="W18" i="49"/>
  <c r="V18" i="49"/>
  <c r="U18" i="49"/>
  <c r="T18" i="49"/>
  <c r="S18" i="49"/>
  <c r="R18" i="49"/>
  <c r="Q18" i="49"/>
  <c r="P18" i="49"/>
  <c r="O18" i="49"/>
  <c r="N18" i="49"/>
  <c r="Y21" i="44"/>
  <c r="X18" i="49" s="1"/>
  <c r="BE20" i="1"/>
  <c r="BC20" i="1"/>
  <c r="BA20" i="1"/>
  <c r="L21" i="44"/>
  <c r="K18" i="49" s="1"/>
  <c r="M21" i="44"/>
  <c r="L18" i="49" s="1"/>
  <c r="BL17" i="49"/>
  <c r="BK17" i="49"/>
  <c r="BJ17" i="49"/>
  <c r="BI17" i="49"/>
  <c r="AN17" i="49"/>
  <c r="Y17" i="49"/>
  <c r="W17" i="49"/>
  <c r="V17" i="49"/>
  <c r="U17" i="49"/>
  <c r="T17" i="49"/>
  <c r="S17" i="49"/>
  <c r="R17" i="49"/>
  <c r="Q17" i="49"/>
  <c r="P17" i="49"/>
  <c r="O17" i="49"/>
  <c r="N17" i="49"/>
  <c r="M17" i="49"/>
  <c r="AK17" i="49"/>
  <c r="AJ17" i="49"/>
  <c r="AI17" i="49"/>
  <c r="AH17" i="49"/>
  <c r="AG17" i="49"/>
  <c r="AE17" i="49"/>
  <c r="AD17" i="49"/>
  <c r="BL16" i="49"/>
  <c r="BK16" i="49"/>
  <c r="BJ16" i="49"/>
  <c r="BI16" i="49"/>
  <c r="BC16" i="49"/>
  <c r="AN16" i="49"/>
  <c r="Y16" i="49"/>
  <c r="W16" i="49"/>
  <c r="V16" i="49"/>
  <c r="U16" i="49"/>
  <c r="T16" i="49"/>
  <c r="S16" i="49"/>
  <c r="R16" i="49"/>
  <c r="Q16" i="49"/>
  <c r="P16" i="49"/>
  <c r="O16" i="49"/>
  <c r="M16" i="49"/>
  <c r="AJ16" i="49"/>
  <c r="AI16" i="49"/>
  <c r="AH16" i="49"/>
  <c r="AG16" i="49"/>
  <c r="AF16" i="49"/>
  <c r="AE16" i="49"/>
  <c r="AD16" i="49"/>
  <c r="Y19" i="44"/>
  <c r="X16" i="49" s="1"/>
  <c r="BG18" i="1"/>
  <c r="BF18" i="1"/>
  <c r="BE18" i="1"/>
  <c r="BD18" i="1"/>
  <c r="BC18" i="1"/>
  <c r="BA18" i="1"/>
  <c r="BL15" i="49"/>
  <c r="BK15" i="49"/>
  <c r="BJ15" i="49"/>
  <c r="BC15" i="49"/>
  <c r="AN15" i="49"/>
  <c r="BG17" i="1"/>
  <c r="BE17" i="1"/>
  <c r="BD17" i="1"/>
  <c r="BC17" i="1"/>
  <c r="BA17" i="1"/>
  <c r="BL14" i="49"/>
  <c r="BK14" i="49"/>
  <c r="BJ14" i="49"/>
  <c r="BI14" i="49"/>
  <c r="BC14" i="49"/>
  <c r="AQ14" i="49"/>
  <c r="AN14" i="49"/>
  <c r="BG16" i="1"/>
  <c r="BF16" i="1"/>
  <c r="BE16" i="1"/>
  <c r="BD16" i="1"/>
  <c r="BC16" i="1"/>
  <c r="BA16" i="1"/>
  <c r="AZ16" i="1"/>
  <c r="AZ14" i="1"/>
  <c r="BH11" i="49"/>
  <c r="AZ13" i="1"/>
  <c r="BC10" i="49"/>
  <c r="AJ10" i="49"/>
  <c r="AI10" i="49"/>
  <c r="AH10" i="49"/>
  <c r="AG10" i="49"/>
  <c r="AF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AD9" i="49"/>
  <c r="Y12" i="44"/>
  <c r="X9" i="49" s="1"/>
  <c r="BG11" i="1"/>
  <c r="BF11" i="1"/>
  <c r="BE11" i="1"/>
  <c r="BD11" i="1"/>
  <c r="BC11" i="1"/>
  <c r="BA11" i="1"/>
  <c r="AV11" i="1"/>
  <c r="BL7" i="49"/>
  <c r="BK7" i="49"/>
  <c r="BJ7" i="49"/>
  <c r="BI7" i="49"/>
  <c r="BC7" i="49"/>
  <c r="AN7" i="49"/>
  <c r="Y10" i="44"/>
  <c r="X7" i="49" s="1"/>
  <c r="BG9" i="1"/>
  <c r="BF9" i="1"/>
  <c r="BE9" i="1"/>
  <c r="BD9" i="1"/>
  <c r="BC9" i="1"/>
  <c r="BB9" i="1"/>
  <c r="AZ9" i="1"/>
  <c r="BI6" i="49"/>
  <c r="BJ6" i="49"/>
  <c r="BK6" i="49"/>
  <c r="BL6" i="49"/>
  <c r="BC6" i="49"/>
  <c r="AN6" i="49"/>
  <c r="BA8" i="1"/>
  <c r="BB8" i="1"/>
  <c r="BC8" i="1"/>
  <c r="BD8" i="1"/>
  <c r="BE8" i="1"/>
  <c r="BF8" i="1"/>
  <c r="BG8" i="1"/>
  <c r="Y9" i="44"/>
  <c r="X6" i="49" s="1"/>
  <c r="AZ8" i="1"/>
  <c r="AV8" i="1"/>
  <c r="BI5" i="49"/>
  <c r="BJ5" i="49"/>
  <c r="BK5" i="49"/>
  <c r="BL5" i="49"/>
  <c r="BC5" i="49"/>
  <c r="BB7" i="1"/>
  <c r="BD7" i="1"/>
  <c r="BE7" i="1"/>
  <c r="BG7" i="1"/>
  <c r="Y8" i="44"/>
  <c r="X5" i="49" s="1"/>
  <c r="AV7" i="1"/>
  <c r="AT2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S25" i="1"/>
  <c r="S22" i="1"/>
  <c r="S7" i="1"/>
  <c r="S9" i="1"/>
  <c r="S12" i="1"/>
  <c r="S13" i="1"/>
  <c r="S14" i="1"/>
  <c r="S21" i="1"/>
  <c r="S15" i="1"/>
  <c r="S16" i="1"/>
  <c r="S18" i="1"/>
  <c r="S20" i="1"/>
  <c r="S24" i="1"/>
  <c r="S31" i="1"/>
  <c r="S27" i="1"/>
  <c r="S19" i="1"/>
  <c r="S10" i="1"/>
  <c r="S8" i="1"/>
  <c r="S17" i="1"/>
  <c r="S26" i="1"/>
  <c r="S28" i="1"/>
  <c r="S29" i="1"/>
  <c r="S30" i="1"/>
  <c r="S32" i="1"/>
  <c r="S23" i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M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BK3" i="49" l="1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BC21" i="1"/>
  <c r="AZ17" i="1"/>
  <c r="AV21" i="1"/>
  <c r="BI15" i="49"/>
  <c r="AT21" i="1"/>
  <c r="BA21" i="1"/>
  <c r="Y22" i="44"/>
  <c r="X19" i="49" s="1"/>
  <c r="BG21" i="1"/>
  <c r="BF21" i="1"/>
  <c r="J33" i="44"/>
  <c r="I30" i="49" s="1"/>
  <c r="C33" i="44"/>
  <c r="J30" i="48" s="1"/>
  <c r="H32" i="1"/>
  <c r="J32" i="1" s="1"/>
  <c r="AD29" i="1"/>
  <c r="BE33" i="1"/>
  <c r="AN34" i="1"/>
  <c r="AX33" i="1"/>
  <c r="AJ34" i="1"/>
  <c r="AT33" i="1"/>
  <c r="BF33" i="1"/>
  <c r="BC31" i="49"/>
  <c r="BD33" i="1"/>
  <c r="AU33" i="1"/>
  <c r="BG33" i="1"/>
  <c r="BI31" i="49"/>
  <c r="AV33" i="1"/>
  <c r="AY35" i="44"/>
  <c r="AS33" i="1"/>
  <c r="I34" i="44"/>
  <c r="H31" i="49" s="1"/>
  <c r="I33" i="44"/>
  <c r="H30" i="49" s="1"/>
  <c r="AN9" i="49"/>
  <c r="AR33" i="1"/>
  <c r="H34" i="44"/>
  <c r="G31" i="49" s="1"/>
  <c r="AP33" i="1"/>
  <c r="F34" i="44"/>
  <c r="E31" i="49" s="1"/>
  <c r="L2" i="49"/>
  <c r="AQ33" i="1"/>
  <c r="G34" i="44"/>
  <c r="AW33" i="1"/>
  <c r="K34" i="44"/>
  <c r="J31" i="49" s="1"/>
  <c r="BA33" i="1"/>
  <c r="BB33" i="1"/>
  <c r="AL31" i="49"/>
  <c r="BC33" i="1"/>
  <c r="L34" i="44"/>
  <c r="K31" i="49" s="1"/>
  <c r="BH33" i="1"/>
  <c r="AZ33" i="1"/>
  <c r="M34" i="44"/>
  <c r="L31" i="49" s="1"/>
  <c r="AY33" i="1"/>
  <c r="AZ28" i="1"/>
  <c r="AN12" i="49"/>
  <c r="AN30" i="49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G33" i="44"/>
  <c r="F30" i="49" s="1"/>
  <c r="Q20" i="49"/>
  <c r="AA36" i="1"/>
  <c r="I8" i="44"/>
  <c r="H5" i="49" s="1"/>
  <c r="K10" i="44"/>
  <c r="J7" i="49" s="1"/>
  <c r="G25" i="44"/>
  <c r="F22" i="49" s="1"/>
  <c r="F8" i="44"/>
  <c r="H8" i="44"/>
  <c r="G5" i="49" s="1"/>
  <c r="BC7" i="1"/>
  <c r="K9" i="44"/>
  <c r="J6" i="49" s="1"/>
  <c r="L12" i="44"/>
  <c r="K9" i="49" s="1"/>
  <c r="F18" i="44"/>
  <c r="K18" i="44"/>
  <c r="J15" i="49" s="1"/>
  <c r="F19" i="44"/>
  <c r="M24" i="4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H7" i="49" s="1"/>
  <c r="L10" i="44"/>
  <c r="K7" i="49" s="1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F30" i="44"/>
  <c r="L9" i="44"/>
  <c r="K6" i="49" s="1"/>
  <c r="F16" i="44"/>
  <c r="F20" i="44"/>
  <c r="G9" i="44"/>
  <c r="F6" i="49" s="1"/>
  <c r="H10" i="44"/>
  <c r="G7" i="49" s="1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F7" i="49" s="1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I9" i="44"/>
  <c r="H6" i="49" s="1"/>
  <c r="M10" i="44"/>
  <c r="L7" i="49" s="1"/>
  <c r="M12" i="44"/>
  <c r="L9" i="49" s="1"/>
  <c r="F15" i="44"/>
  <c r="I18" i="44"/>
  <c r="H15" i="49" s="1"/>
  <c r="M23" i="44"/>
  <c r="L20" i="49" s="1"/>
  <c r="L24" i="44"/>
  <c r="K21" i="49" s="1"/>
  <c r="L29" i="44"/>
  <c r="K26" i="49" s="1"/>
  <c r="L30" i="44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F12" i="44"/>
  <c r="K12" i="44"/>
  <c r="J9" i="49" s="1"/>
  <c r="L16" i="44"/>
  <c r="K13" i="49" s="1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L26" i="49" s="1"/>
  <c r="J5" i="44"/>
  <c r="H19" i="44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 i="44"/>
  <c r="J13" i="49" s="1"/>
  <c r="K5" i="44"/>
  <c r="F14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G26" i="44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J22" i="44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H26" i="49" s="1"/>
  <c r="I5" i="44"/>
  <c r="L5" i="44"/>
  <c r="J10" i="44"/>
  <c r="I7" i="49" s="1"/>
  <c r="J12" i="44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G26" i="49" s="1"/>
  <c r="J34" i="44"/>
  <c r="I31" i="49" s="1"/>
  <c r="G32" i="44"/>
  <c r="F29" i="49" s="1"/>
  <c r="G17" i="44"/>
  <c r="F14" i="49" s="1"/>
  <c r="J14" i="44"/>
  <c r="I11" i="49" s="1"/>
  <c r="F6" i="44"/>
  <c r="K30" i="44"/>
  <c r="J27" i="49" s="1"/>
  <c r="G29" i="44"/>
  <c r="F26" i="49" s="1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D6" i="49"/>
  <c r="AH6" i="49"/>
  <c r="AF7" i="49"/>
  <c r="AJ7" i="49"/>
  <c r="AI4" i="49"/>
  <c r="AE4" i="49"/>
  <c r="AK5" i="49"/>
  <c r="AG5" i="49"/>
  <c r="AI6" i="49"/>
  <c r="AE6" i="49"/>
  <c r="AE7" i="49"/>
  <c r="AI7" i="49"/>
  <c r="AJ4" i="49"/>
  <c r="AF4" i="49"/>
  <c r="D35" i="1"/>
  <c r="F35" i="1"/>
  <c r="F38" i="1" s="1"/>
  <c r="AH30" i="45"/>
  <c r="M24" i="49"/>
  <c r="G8" i="1"/>
  <c r="Y30" i="44"/>
  <c r="X27" i="49" s="1"/>
  <c r="Y31" i="44"/>
  <c r="X28" i="49" s="1"/>
  <c r="AV30" i="1"/>
  <c r="Y29" i="44"/>
  <c r="X26" i="49" s="1"/>
  <c r="Y17" i="44"/>
  <c r="X14" i="49" s="1"/>
  <c r="Y18" i="44"/>
  <c r="X15" i="49" s="1"/>
  <c r="BB17" i="1"/>
  <c r="BB16" i="1"/>
  <c r="AV17" i="1"/>
  <c r="AV16" i="1"/>
  <c r="Y6" i="44"/>
  <c r="AV5" i="1"/>
  <c r="AE15" i="49"/>
  <c r="F21" i="44"/>
  <c r="AD18" i="49"/>
  <c r="T29" i="45"/>
  <c r="AF19" i="49"/>
  <c r="AV22" i="1"/>
  <c r="BA23" i="1"/>
  <c r="AD21" i="49"/>
  <c r="BF25" i="1"/>
  <c r="BK23" i="49"/>
  <c r="BA24" i="1"/>
  <c r="AE22" i="49"/>
  <c r="AE11" i="49"/>
  <c r="AD11" i="49"/>
  <c r="AV20" i="1"/>
  <c r="AD19" i="49"/>
  <c r="AI19" i="49"/>
  <c r="BD23" i="1"/>
  <c r="BA25" i="1"/>
  <c r="BE25" i="1"/>
  <c r="AD30" i="49"/>
  <c r="BF24" i="1"/>
  <c r="AD31" i="49"/>
  <c r="AH19" i="49"/>
  <c r="BG23" i="1"/>
  <c r="BD25" i="1"/>
  <c r="BI23" i="49"/>
  <c r="AE14" i="49"/>
  <c r="AE19" i="49"/>
  <c r="BG24" i="1"/>
  <c r="AV6" i="1"/>
  <c r="AE31" i="49"/>
  <c r="AD13" i="49"/>
  <c r="AD14" i="49"/>
  <c r="AE18" i="49"/>
  <c r="AG19" i="49"/>
  <c r="BF23" i="1"/>
  <c r="AE21" i="49"/>
  <c r="AD22" i="49"/>
  <c r="BG25" i="1"/>
  <c r="BL23" i="49"/>
  <c r="AE13" i="49"/>
  <c r="AZ19" i="1"/>
  <c r="BJ23" i="49"/>
  <c r="BC23" i="49"/>
  <c r="Y23" i="49"/>
  <c r="W23" i="49"/>
  <c r="V23" i="49"/>
  <c r="U23" i="49"/>
  <c r="T23" i="49"/>
  <c r="S23" i="49"/>
  <c r="R23" i="49"/>
  <c r="Q23" i="49"/>
  <c r="P23" i="49"/>
  <c r="O23" i="49"/>
  <c r="N23" i="49"/>
  <c r="M23" i="49"/>
  <c r="Y26" i="44"/>
  <c r="X23" i="49" s="1"/>
  <c r="BC25" i="1"/>
  <c r="BB25" i="1"/>
  <c r="AZ25" i="1"/>
  <c r="Y25" i="44"/>
  <c r="X22" i="49" s="1"/>
  <c r="BC24" i="1"/>
  <c r="BB24" i="1"/>
  <c r="AZ24" i="1"/>
  <c r="AV24" i="1"/>
  <c r="Y23" i="44"/>
  <c r="X20" i="49" s="1"/>
  <c r="Y24" i="44"/>
  <c r="X21" i="49" s="1"/>
  <c r="BB23" i="1"/>
  <c r="AZ23" i="1"/>
  <c r="AV23" i="1"/>
  <c r="AK19" i="49"/>
  <c r="Y16" i="44"/>
  <c r="X13" i="49" s="1"/>
  <c r="AK11" i="49"/>
  <c r="AJ11" i="49"/>
  <c r="AI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D28" i="49"/>
  <c r="AH28" i="49"/>
  <c r="AG28" i="49"/>
  <c r="AK28" i="49"/>
  <c r="AF28" i="49"/>
  <c r="AJ28" i="49"/>
  <c r="AE28" i="49"/>
  <c r="AI28" i="49"/>
  <c r="AE27" i="49"/>
  <c r="AI27" i="49"/>
  <c r="AD27" i="49"/>
  <c r="AH27" i="49"/>
  <c r="AG27" i="49"/>
  <c r="AK27" i="49"/>
  <c r="AF27" i="49"/>
  <c r="AJ27" i="49"/>
  <c r="AE26" i="49"/>
  <c r="AI26" i="49"/>
  <c r="AD26" i="49"/>
  <c r="AH26" i="49"/>
  <c r="AG26" i="49"/>
  <c r="AK26" i="49"/>
  <c r="AF26" i="49"/>
  <c r="AJ26" i="49"/>
  <c r="AG24" i="49"/>
  <c r="AK24" i="49"/>
  <c r="AF24" i="49"/>
  <c r="AJ24" i="49"/>
  <c r="AE24" i="49"/>
  <c r="AI24" i="49"/>
  <c r="AD24" i="49"/>
  <c r="AH24" i="49"/>
  <c r="AK22" i="49"/>
  <c r="AJ22" i="49"/>
  <c r="AI22" i="49"/>
  <c r="AH22" i="49"/>
  <c r="AG22" i="49"/>
  <c r="AF22" i="49"/>
  <c r="AK21" i="49"/>
  <c r="AJ21" i="49"/>
  <c r="AI21" i="49"/>
  <c r="AH21" i="49"/>
  <c r="AG21" i="49"/>
  <c r="AF21" i="49"/>
  <c r="AE20" i="49"/>
  <c r="AK20" i="49"/>
  <c r="AJ20" i="49"/>
  <c r="AI20" i="49"/>
  <c r="AH20" i="49"/>
  <c r="AG20" i="49"/>
  <c r="AF20" i="49"/>
  <c r="AJ19" i="49"/>
  <c r="AK18" i="49"/>
  <c r="AJ18" i="49"/>
  <c r="AI18" i="49"/>
  <c r="AH18" i="49"/>
  <c r="AG18" i="49"/>
  <c r="AF18" i="49"/>
  <c r="I17" i="35"/>
  <c r="AJ15" i="49"/>
  <c r="AI15" i="49"/>
  <c r="AH15" i="49"/>
  <c r="AG15" i="49"/>
  <c r="AF15" i="49"/>
  <c r="AD15" i="49"/>
  <c r="I16" i="35"/>
  <c r="AJ14" i="49"/>
  <c r="AI14" i="49"/>
  <c r="AH14" i="49"/>
  <c r="AG14" i="49"/>
  <c r="AF14" i="49"/>
  <c r="AJ13" i="49"/>
  <c r="AH13" i="49"/>
  <c r="AG13" i="49"/>
  <c r="AF13" i="49"/>
  <c r="BG32" i="1"/>
  <c r="AF30" i="49"/>
  <c r="AJ30" i="49"/>
  <c r="BC30" i="49"/>
  <c r="BI30" i="49"/>
  <c r="U30" i="49"/>
  <c r="Q30" i="49"/>
  <c r="AV32" i="1"/>
  <c r="BF32" i="1"/>
  <c r="AI30" i="49"/>
  <c r="AQ30" i="49"/>
  <c r="BL30" i="49"/>
  <c r="V30" i="49"/>
  <c r="R30" i="49"/>
  <c r="N30" i="49"/>
  <c r="D5" i="45"/>
  <c r="BA32" i="1"/>
  <c r="AH30" i="49"/>
  <c r="M30" i="49"/>
  <c r="BK30" i="49"/>
  <c r="W30" i="49"/>
  <c r="S30" i="49"/>
  <c r="O30" i="49"/>
  <c r="BG36" i="1"/>
  <c r="AG30" i="49"/>
  <c r="AK30" i="49"/>
  <c r="BJ30" i="49"/>
  <c r="Y30" i="49"/>
  <c r="T30" i="49"/>
  <c r="P30" i="49"/>
  <c r="U13" i="49"/>
  <c r="Q13" i="49"/>
  <c r="BJ13" i="49"/>
  <c r="AT24" i="1"/>
  <c r="AZ15" i="1"/>
  <c r="BC15" i="1"/>
  <c r="BG15" i="1"/>
  <c r="V13" i="49"/>
  <c r="R13" i="49"/>
  <c r="N13" i="49"/>
  <c r="BK13" i="49"/>
  <c r="BD15" i="1"/>
  <c r="BC13" i="49"/>
  <c r="W13" i="49"/>
  <c r="S13" i="49"/>
  <c r="O13" i="49"/>
  <c r="BL13" i="49"/>
  <c r="AV15" i="1"/>
  <c r="BI13" i="49"/>
  <c r="Y13" i="49"/>
  <c r="T13" i="49"/>
  <c r="P13" i="49"/>
  <c r="BE15" i="1"/>
  <c r="N12" i="49"/>
  <c r="V12" i="49"/>
  <c r="BC12" i="49"/>
  <c r="BI12" i="49"/>
  <c r="Q12" i="49"/>
  <c r="U12" i="49"/>
  <c r="BL12" i="49"/>
  <c r="P12" i="49"/>
  <c r="T12" i="49"/>
  <c r="Y12" i="49"/>
  <c r="AV14" i="1"/>
  <c r="BJ12" i="49"/>
  <c r="R12" i="49"/>
  <c r="BK12" i="49"/>
  <c r="O12" i="49"/>
  <c r="S12" i="49"/>
  <c r="W12" i="49"/>
  <c r="T5" i="45"/>
  <c r="AQ19" i="49"/>
  <c r="G5" i="45"/>
  <c r="M5" i="45"/>
  <c r="AD5" i="45"/>
  <c r="AQ6" i="49"/>
  <c r="BE21" i="1"/>
  <c r="L5" i="45"/>
  <c r="U5" i="45"/>
  <c r="X5" i="45"/>
  <c r="AC5" i="45"/>
  <c r="AY10" i="44"/>
  <c r="K25" i="45"/>
  <c r="AQ15" i="49"/>
  <c r="AY24" i="44"/>
  <c r="AQ13" i="49"/>
  <c r="AE12" i="49"/>
  <c r="P5" i="45"/>
  <c r="AD12" i="49"/>
  <c r="K5" i="45"/>
  <c r="O5" i="45"/>
  <c r="R5" i="45"/>
  <c r="S5" i="45"/>
  <c r="V5" i="45"/>
  <c r="AB5" i="45"/>
  <c r="AE5" i="45"/>
  <c r="AQ10" i="49"/>
  <c r="AQ12" i="49"/>
  <c r="AV18" i="1"/>
  <c r="AQ16" i="49"/>
  <c r="AQ18" i="49"/>
  <c r="BE24" i="1"/>
  <c r="AQ8" i="49"/>
  <c r="H5" i="45"/>
  <c r="I5" i="45"/>
  <c r="N5" i="45"/>
  <c r="Q5" i="45"/>
  <c r="BE6" i="1"/>
  <c r="J5" i="45"/>
  <c r="BF6" i="1"/>
  <c r="BF7" i="1"/>
  <c r="AY8" i="44"/>
  <c r="G6" i="45"/>
  <c r="AQ5" i="49"/>
  <c r="F6" i="45"/>
  <c r="AY7" i="44"/>
  <c r="AQ4" i="49"/>
  <c r="AH5" i="45"/>
  <c r="AG5" i="45"/>
  <c r="AH25" i="45"/>
  <c r="BE32" i="49" s="1"/>
  <c r="AF5" i="45"/>
  <c r="AQ31" i="49"/>
  <c r="AQ29" i="49"/>
  <c r="BE31" i="1"/>
  <c r="BE30" i="1"/>
  <c r="BE29" i="1"/>
  <c r="BB30" i="1"/>
  <c r="AQ27" i="49"/>
  <c r="AY29" i="44"/>
  <c r="AQ26" i="49"/>
  <c r="Y5" i="45"/>
  <c r="Z5" i="45"/>
  <c r="AQ24" i="49"/>
  <c r="AQ23" i="49"/>
  <c r="AQ22" i="49"/>
  <c r="AQ21" i="49"/>
  <c r="AQ20" i="49"/>
  <c r="AQ2" i="49"/>
  <c r="D6" i="45"/>
  <c r="AQ3" i="49"/>
  <c r="E5" i="45"/>
  <c r="E6" i="45"/>
  <c r="E11" i="35"/>
  <c r="G11" i="35" s="1"/>
  <c r="E17" i="35"/>
  <c r="G17" i="35" s="1"/>
  <c r="E15" i="35"/>
  <c r="G15" i="35" s="1"/>
  <c r="E16" i="35"/>
  <c r="G16" i="35" s="1"/>
  <c r="E12" i="35"/>
  <c r="G12" i="35" s="1"/>
  <c r="E10" i="35"/>
  <c r="G10" i="35" s="1"/>
  <c r="E13" i="35"/>
  <c r="G13" i="35" s="1"/>
  <c r="BH31" i="49"/>
  <c r="AD9" i="1"/>
  <c r="I4" i="35"/>
  <c r="AS18" i="1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7" i="1"/>
  <c r="AU18" i="1"/>
  <c r="AT20" i="1"/>
  <c r="AX20" i="1"/>
  <c r="BH20" i="1"/>
  <c r="AP22" i="1"/>
  <c r="AS22" i="1"/>
  <c r="AW22" i="1"/>
  <c r="AU23" i="1"/>
  <c r="AT25" i="1"/>
  <c r="AX25" i="1"/>
  <c r="BH25" i="1"/>
  <c r="AT26" i="1"/>
  <c r="AX26" i="1"/>
  <c r="BH26" i="1"/>
  <c r="AT30" i="1"/>
  <c r="AX30" i="1"/>
  <c r="BH30" i="1"/>
  <c r="AP31" i="1"/>
  <c r="AX32" i="1"/>
  <c r="AX16" i="1"/>
  <c r="AT16" i="1"/>
  <c r="AY16" i="1"/>
  <c r="AX19" i="1"/>
  <c r="AS19" i="1"/>
  <c r="BH19" i="1"/>
  <c r="AU24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R15" i="1"/>
  <c r="AW13" i="1"/>
  <c r="AR5" i="1"/>
  <c r="AQ29" i="1"/>
  <c r="AU28" i="1"/>
  <c r="BI28" i="1" s="1"/>
  <c r="AQ28" i="1"/>
  <c r="AX7" i="1"/>
  <c r="BH7" i="1"/>
  <c r="AX8" i="1"/>
  <c r="AT8" i="1"/>
  <c r="AY8" i="1"/>
  <c r="AR9" i="1"/>
  <c r="AW9" i="1"/>
  <c r="AP12" i="1"/>
  <c r="AS12" i="1"/>
  <c r="AY17" i="1"/>
  <c r="AT17" i="1"/>
  <c r="AX17" i="1"/>
  <c r="AT18" i="1"/>
  <c r="AX18" i="1"/>
  <c r="I18" i="35"/>
  <c r="AK16" i="49"/>
  <c r="AP20" i="1"/>
  <c r="AW20" i="1"/>
  <c r="AY21" i="1"/>
  <c r="AU21" i="1"/>
  <c r="AR22" i="1"/>
  <c r="AY23" i="1"/>
  <c r="AT23" i="1"/>
  <c r="AX23" i="1"/>
  <c r="BH23" i="1"/>
  <c r="AP24" i="1"/>
  <c r="AP25" i="1"/>
  <c r="AS25" i="1"/>
  <c r="AW25" i="1"/>
  <c r="AP26" i="1"/>
  <c r="AW26" i="1"/>
  <c r="AS30" i="1"/>
  <c r="AZ30" i="1"/>
  <c r="AR31" i="1"/>
  <c r="AP32" i="1"/>
  <c r="AS32" i="1"/>
  <c r="AU16" i="1"/>
  <c r="AQ16" i="1"/>
  <c r="AU19" i="1"/>
  <c r="BI19" i="1" s="1"/>
  <c r="AY19" i="1"/>
  <c r="AQ24" i="1"/>
  <c r="AQ6" i="1"/>
  <c r="AU10" i="1"/>
  <c r="AQ10" i="1"/>
  <c r="AU14" i="1"/>
  <c r="AQ14" i="1"/>
  <c r="AW15" i="1"/>
  <c r="AS15" i="1"/>
  <c r="AX13" i="1"/>
  <c r="AT13" i="1"/>
  <c r="BH5" i="1"/>
  <c r="AR29" i="1"/>
  <c r="I5" i="35"/>
  <c r="AT7" i="1"/>
  <c r="AU8" i="1"/>
  <c r="BI8" i="1" s="1"/>
  <c r="AQ9" i="1"/>
  <c r="AY11" i="1"/>
  <c r="AT11" i="1"/>
  <c r="AX11" i="1"/>
  <c r="BH11" i="1"/>
  <c r="AP17" i="1"/>
  <c r="AS17" i="1"/>
  <c r="AW17" i="1"/>
  <c r="AR18" i="1"/>
  <c r="AW18" i="1"/>
  <c r="AX21" i="1"/>
  <c r="BH21" i="1"/>
  <c r="BD21" i="1"/>
  <c r="AU22" i="1"/>
  <c r="BH22" i="1"/>
  <c r="AS23" i="1"/>
  <c r="AW23" i="1"/>
  <c r="AR25" i="1"/>
  <c r="BH28" i="1"/>
  <c r="AR30" i="1"/>
  <c r="AU31" i="1"/>
  <c r="AR32" i="1"/>
  <c r="AQ19" i="1"/>
  <c r="AW24" i="1"/>
  <c r="AR24" i="1"/>
  <c r="AQ7" i="1"/>
  <c r="AR6" i="1"/>
  <c r="AN7" i="44"/>
  <c r="BG4" i="49" s="1"/>
  <c r="AR10" i="1"/>
  <c r="AR14" i="1"/>
  <c r="AX15" i="1"/>
  <c r="AT15" i="1"/>
  <c r="AY15" i="1"/>
  <c r="AU13" i="1"/>
  <c r="BI13" i="1" s="1"/>
  <c r="AQ13" i="1"/>
  <c r="AP5" i="1"/>
  <c r="AT5" i="1"/>
  <c r="AX5" i="1"/>
  <c r="AW29" i="1"/>
  <c r="AT19" i="1"/>
  <c r="AW28" i="1"/>
  <c r="AS28" i="1"/>
  <c r="BG32" i="49"/>
  <c r="AR8" i="1"/>
  <c r="BH8" i="1"/>
  <c r="AT9" i="1"/>
  <c r="AS11" i="1"/>
  <c r="AW11" i="1"/>
  <c r="I11" i="35"/>
  <c r="AK9" i="49"/>
  <c r="AP13" i="1"/>
  <c r="AP15" i="1"/>
  <c r="AR17" i="1"/>
  <c r="AQ20" i="1"/>
  <c r="AU20" i="1"/>
  <c r="AR21" i="1"/>
  <c r="AW21" i="1"/>
  <c r="AT22" i="1"/>
  <c r="AX22" i="1"/>
  <c r="AQ25" i="1"/>
  <c r="AU25" i="1"/>
  <c r="AQ26" i="1"/>
  <c r="AU26" i="1"/>
  <c r="BI26" i="1" s="1"/>
  <c r="AP29" i="1"/>
  <c r="AQ30" i="1"/>
  <c r="AY31" i="1"/>
  <c r="AT31" i="1"/>
  <c r="AX31" i="1"/>
  <c r="BH31" i="1"/>
  <c r="AQ32" i="1"/>
  <c r="AW16" i="1"/>
  <c r="AS16" i="1"/>
  <c r="AW19" i="1"/>
  <c r="AR19" i="1"/>
  <c r="AX24" i="1"/>
  <c r="BD24" i="1"/>
  <c r="BH24" i="1"/>
  <c r="AW7" i="1"/>
  <c r="AP6" i="1"/>
  <c r="AW10" i="1"/>
  <c r="AP10" i="1"/>
  <c r="AW14" i="1"/>
  <c r="AS14" i="1"/>
  <c r="BH14" i="1"/>
  <c r="AU15" i="1"/>
  <c r="AQ15" i="1"/>
  <c r="AX29" i="1"/>
  <c r="AT29" i="1"/>
  <c r="AY29" i="1"/>
  <c r="AX28" i="1"/>
  <c r="AT28" i="1"/>
  <c r="AW30" i="1"/>
  <c r="AW31" i="1"/>
  <c r="AQ36" i="44"/>
  <c r="BH10" i="49"/>
  <c r="H18" i="35"/>
  <c r="AL17" i="49"/>
  <c r="M18" i="49"/>
  <c r="M19" i="49"/>
  <c r="AL19" i="49"/>
  <c r="AL23" i="49"/>
  <c r="AL24" i="49"/>
  <c r="M16" i="35"/>
  <c r="O16" i="35" s="1"/>
  <c r="M14" i="49"/>
  <c r="AL14" i="49"/>
  <c r="AL13" i="49"/>
  <c r="O15" i="49"/>
  <c r="AL30" i="49"/>
  <c r="O32" i="49"/>
  <c r="P32" i="49"/>
  <c r="BG20" i="1"/>
  <c r="BH18" i="49"/>
  <c r="AL21" i="49"/>
  <c r="BH22" i="49"/>
  <c r="BH26" i="49"/>
  <c r="AL27" i="49"/>
  <c r="BH28" i="49"/>
  <c r="AL9" i="49"/>
  <c r="M15" i="35"/>
  <c r="O15" i="35" s="1"/>
  <c r="M13" i="49"/>
  <c r="AL8" i="49"/>
  <c r="M10" i="35"/>
  <c r="O10" i="35" s="1"/>
  <c r="M8" i="49"/>
  <c r="P15" i="49"/>
  <c r="H11" i="35"/>
  <c r="BH14" i="49"/>
  <c r="BH17" i="49"/>
  <c r="BH19" i="49"/>
  <c r="AL20" i="49"/>
  <c r="BH20" i="49"/>
  <c r="BH23" i="49"/>
  <c r="BH24" i="49"/>
  <c r="AL26" i="49"/>
  <c r="BH30" i="49"/>
  <c r="AL7" i="49"/>
  <c r="M14" i="35"/>
  <c r="O14" i="35" s="1"/>
  <c r="M12" i="49"/>
  <c r="AL12" i="49"/>
  <c r="AL32" i="49"/>
  <c r="BH32" i="49"/>
  <c r="AN5" i="44"/>
  <c r="H12" i="35"/>
  <c r="BH12" i="49"/>
  <c r="AL18" i="49"/>
  <c r="BH21" i="49"/>
  <c r="BH27" i="49"/>
  <c r="AL28" i="49"/>
  <c r="BH9" i="49"/>
  <c r="O5" i="49"/>
  <c r="P5" i="49"/>
  <c r="AL6" i="49"/>
  <c r="M13" i="35"/>
  <c r="O13" i="35" s="1"/>
  <c r="M11" i="49"/>
  <c r="AL22" i="49"/>
  <c r="H7" i="35"/>
  <c r="H10" i="35"/>
  <c r="M15" i="49"/>
  <c r="BH15" i="49"/>
  <c r="BH16" i="49"/>
  <c r="AL16" i="49"/>
  <c r="AL15" i="49"/>
  <c r="Y15" i="49"/>
  <c r="W15" i="49"/>
  <c r="V15" i="49"/>
  <c r="U15" i="49"/>
  <c r="T15" i="49"/>
  <c r="S15" i="49"/>
  <c r="R15" i="49"/>
  <c r="Q15" i="49"/>
  <c r="M18" i="35"/>
  <c r="N16" i="49"/>
  <c r="M17" i="35"/>
  <c r="N15" i="49"/>
  <c r="L4" i="1"/>
  <c r="G2" i="47" s="1"/>
  <c r="H23" i="44"/>
  <c r="G20" i="49" s="1"/>
  <c r="G8" i="35"/>
  <c r="P36" i="1"/>
  <c r="U30" i="1"/>
  <c r="U21" i="1"/>
  <c r="U9" i="1"/>
  <c r="U8" i="1"/>
  <c r="AS4" i="1"/>
  <c r="BA36" i="1"/>
  <c r="BE36" i="1"/>
  <c r="U31" i="1"/>
  <c r="U28" i="1"/>
  <c r="U7" i="1"/>
  <c r="BB32" i="1"/>
  <c r="U6" i="1"/>
  <c r="AR23" i="1"/>
  <c r="E36" i="1"/>
  <c r="BC36" i="1"/>
  <c r="E18" i="35"/>
  <c r="G18" i="35" s="1"/>
  <c r="BB19" i="1"/>
  <c r="Z36" i="1"/>
  <c r="T36" i="1"/>
  <c r="AS27" i="1"/>
  <c r="BF17" i="1"/>
  <c r="AY26" i="1"/>
  <c r="BG30" i="1"/>
  <c r="AD13" i="1"/>
  <c r="BB27" i="1"/>
  <c r="U26" i="1"/>
  <c r="E9" i="35"/>
  <c r="G9" i="35" s="1"/>
  <c r="U25" i="1"/>
  <c r="U29" i="1"/>
  <c r="U18" i="1"/>
  <c r="U14" i="1"/>
  <c r="U32" i="1"/>
  <c r="BD36" i="1"/>
  <c r="D36" i="1"/>
  <c r="I36" i="1"/>
  <c r="AY28" i="1"/>
  <c r="BG29" i="1"/>
  <c r="AD16" i="1"/>
  <c r="BB15" i="1"/>
  <c r="U13" i="1"/>
  <c r="AN12" i="1"/>
  <c r="AU12" i="1"/>
  <c r="M11" i="35"/>
  <c r="O11" i="35" s="1"/>
  <c r="BB11" i="1"/>
  <c r="BF10" i="1"/>
  <c r="BA14" i="1"/>
  <c r="AY30" i="1"/>
  <c r="AQ5" i="1"/>
  <c r="AY13" i="1"/>
  <c r="L17" i="35"/>
  <c r="AP4" i="1"/>
  <c r="AD17" i="1"/>
  <c r="AY14" i="1"/>
  <c r="AR16" i="1"/>
  <c r="AD22" i="1"/>
  <c r="AQ18" i="1"/>
  <c r="AY20" i="1"/>
  <c r="BA13" i="1"/>
  <c r="AR13" i="1"/>
  <c r="AQ23" i="1"/>
  <c r="AR26" i="1"/>
  <c r="AP28" i="1"/>
  <c r="AU27" i="1"/>
  <c r="AQ31" i="1"/>
  <c r="AN27" i="1"/>
  <c r="BC4" i="1"/>
  <c r="U20" i="1"/>
  <c r="BA30" i="1"/>
  <c r="U12" i="1"/>
  <c r="AZ11" i="1"/>
  <c r="AW12" i="1"/>
  <c r="AP19" i="1"/>
  <c r="BH29" i="1"/>
  <c r="AD12" i="1"/>
  <c r="AS10" i="1"/>
  <c r="AU29" i="1"/>
  <c r="AU30" i="1"/>
  <c r="BF15" i="1"/>
  <c r="AP23" i="1"/>
  <c r="BE23" i="1"/>
  <c r="AS26" i="1"/>
  <c r="BC30" i="1"/>
  <c r="M12" i="35"/>
  <c r="O12" i="35" s="1"/>
  <c r="E5" i="47"/>
  <c r="AY10" i="1"/>
  <c r="AS29" i="1"/>
  <c r="AR4" i="1"/>
  <c r="BB18" i="1"/>
  <c r="AY22" i="1"/>
  <c r="U27" i="1"/>
  <c r="AD26" i="1"/>
  <c r="O8" i="35"/>
  <c r="U10" i="1"/>
  <c r="F36" i="1"/>
  <c r="U5" i="1"/>
  <c r="AD11" i="1"/>
  <c r="U24" i="1"/>
  <c r="U15" i="1"/>
  <c r="U22" i="1"/>
  <c r="AD19" i="1"/>
  <c r="M36" i="1"/>
  <c r="AC36" i="1"/>
  <c r="BA9" i="1"/>
  <c r="M9" i="35"/>
  <c r="O9" i="35" s="1"/>
  <c r="AP9" i="1"/>
  <c r="AD8" i="1"/>
  <c r="AS8" i="1"/>
  <c r="AR12" i="1"/>
  <c r="S36" i="1"/>
  <c r="U17" i="1"/>
  <c r="AP11" i="1"/>
  <c r="AQ17" i="1"/>
  <c r="E14" i="35"/>
  <c r="G14" i="35" s="1"/>
  <c r="BH15" i="1"/>
  <c r="AY25" i="1"/>
  <c r="BD28" i="1"/>
  <c r="BD27" i="1"/>
  <c r="Y27" i="1"/>
  <c r="BB29" i="1"/>
  <c r="AD30" i="1"/>
  <c r="BB14" i="1"/>
  <c r="AS24" i="1"/>
  <c r="AW27" i="1"/>
  <c r="AP18" i="1"/>
  <c r="L18" i="35"/>
  <c r="U19" i="1"/>
  <c r="AD27" i="1"/>
  <c r="AD28" i="1"/>
  <c r="AY9" i="1"/>
  <c r="BA15" i="1"/>
  <c r="K8" i="35"/>
  <c r="U16" i="1"/>
  <c r="H4" i="35"/>
  <c r="AQ11" i="1"/>
  <c r="AP21" i="1"/>
  <c r="BB21" i="1"/>
  <c r="AR28" i="1"/>
  <c r="AU11" i="1"/>
  <c r="BI11" i="1" s="1"/>
  <c r="AP14" i="1"/>
  <c r="AZ18" i="1"/>
  <c r="AV25" i="1"/>
  <c r="AQ8" i="1"/>
  <c r="BC12" i="1"/>
  <c r="AR20" i="1"/>
  <c r="AQ22" i="1"/>
  <c r="AS13" i="1"/>
  <c r="AD24" i="1"/>
  <c r="U23" i="1"/>
  <c r="AU9" i="1"/>
  <c r="BI9" i="1" s="1"/>
  <c r="AQ12" i="1"/>
  <c r="AP16" i="1"/>
  <c r="BH16" i="1"/>
  <c r="BH17" i="1"/>
  <c r="E12" i="47"/>
  <c r="E7" i="35"/>
  <c r="G7" i="35" s="1"/>
  <c r="M6" i="35"/>
  <c r="O6" i="35" s="1"/>
  <c r="BA7" i="1"/>
  <c r="AZ7" i="1"/>
  <c r="AU7" i="1"/>
  <c r="AS7" i="1"/>
  <c r="AY7" i="1"/>
  <c r="L7" i="1"/>
  <c r="G5" i="47" s="1"/>
  <c r="E6" i="35"/>
  <c r="G6" i="35" s="1"/>
  <c r="M7" i="35"/>
  <c r="O7" i="35" s="1"/>
  <c r="BB6" i="1"/>
  <c r="AZ6" i="1"/>
  <c r="AW6" i="1"/>
  <c r="AU6" i="1"/>
  <c r="AS6" i="1"/>
  <c r="AY6" i="1"/>
  <c r="L6" i="1"/>
  <c r="G4" i="47" s="1"/>
  <c r="E4" i="47"/>
  <c r="E5" i="35"/>
  <c r="G5" i="35" s="1"/>
  <c r="M5" i="35"/>
  <c r="O5" i="35" s="1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O4" i="35" s="1"/>
  <c r="BE4" i="1"/>
  <c r="BD4" i="1"/>
  <c r="BB4" i="1"/>
  <c r="AV4" i="1"/>
  <c r="AU4" i="1"/>
  <c r="E2" i="47"/>
  <c r="AD31" i="1"/>
  <c r="BE32" i="1"/>
  <c r="BD32" i="1"/>
  <c r="BC32" i="1"/>
  <c r="BB31" i="1"/>
  <c r="BH32" i="1"/>
  <c r="AZ32" i="1"/>
  <c r="AW32" i="1"/>
  <c r="AU32" i="1"/>
  <c r="AT32" i="1"/>
  <c r="AS31" i="1"/>
  <c r="AY32" i="1"/>
  <c r="BB33" i="44" l="1"/>
  <c r="BB32" i="44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 i="49"/>
  <c r="E17" i="49"/>
  <c r="BB20" i="44"/>
  <c r="E16" i="49"/>
  <c r="BB19" i="44"/>
  <c r="E15" i="49"/>
  <c r="BB18" i="44"/>
  <c r="E14" i="49"/>
  <c r="BB17" i="44"/>
  <c r="BH13" i="49"/>
  <c r="BA16" i="44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i="44" s="1"/>
  <c r="E4" i="49"/>
  <c r="BB6" i="44"/>
  <c r="BC6" i="44" s="1"/>
  <c r="AZ9" i="44"/>
  <c r="AR36" i="44"/>
  <c r="L36" i="44"/>
  <c r="AV37" i="44"/>
  <c r="AP36" i="44"/>
  <c r="P36" i="44"/>
  <c r="Q36" i="44"/>
  <c r="AW37" i="44"/>
  <c r="Y36" i="44"/>
  <c r="E3" i="49"/>
  <c r="R36" i="44"/>
  <c r="AM36" i="44"/>
  <c r="V37" i="44"/>
  <c r="AI3" i="49"/>
  <c r="AO36" i="44"/>
  <c r="AX36" i="44"/>
  <c r="W37" i="44"/>
  <c r="AP37" i="44"/>
  <c r="AR37" i="44"/>
  <c r="AK3" i="49"/>
  <c r="AY6" i="44"/>
  <c r="AX37" i="44"/>
  <c r="AH3" i="49"/>
  <c r="J2" i="49"/>
  <c r="G3" i="49"/>
  <c r="H37" i="44"/>
  <c r="J3" i="49"/>
  <c r="X36" i="44"/>
  <c r="AS36" i="44"/>
  <c r="AS37" i="44"/>
  <c r="AV36" i="44"/>
  <c r="P37" i="44"/>
  <c r="X3" i="49"/>
  <c r="Y37" i="44"/>
  <c r="AF3" i="49"/>
  <c r="H3" i="49"/>
  <c r="Z36" i="44"/>
  <c r="S36" i="44"/>
  <c r="R37" i="44"/>
  <c r="T37" i="44"/>
  <c r="AJ3" i="49"/>
  <c r="AE3" i="49"/>
  <c r="I3" i="49"/>
  <c r="L3" i="49"/>
  <c r="M37" i="44"/>
  <c r="K3" i="49"/>
  <c r="L37" i="44"/>
  <c r="T36" i="44"/>
  <c r="U36" i="44"/>
  <c r="N36" i="44"/>
  <c r="U37" i="44"/>
  <c r="X37" i="44"/>
  <c r="AL3" i="49"/>
  <c r="AM37" i="44"/>
  <c r="W36" i="44"/>
  <c r="V36" i="44"/>
  <c r="M36" i="44"/>
  <c r="Q37" i="44"/>
  <c r="AQ37" i="44"/>
  <c r="AG3" i="49"/>
  <c r="G2" i="49"/>
  <c r="H36" i="44"/>
  <c r="AO37" i="44"/>
  <c r="O36" i="44"/>
  <c r="N37" i="44"/>
  <c r="BH8" i="49"/>
  <c r="AZ11" i="44"/>
  <c r="BH7" i="49"/>
  <c r="AZ10" i="44"/>
  <c r="E2" i="49"/>
  <c r="F3" i="49"/>
  <c r="AW36" i="44"/>
  <c r="O37" i="44"/>
  <c r="Z37" i="44"/>
  <c r="S37" i="44"/>
  <c r="AZ36" i="1"/>
  <c r="AZ21" i="1"/>
  <c r="H33" i="1"/>
  <c r="J33" i="1" s="1"/>
  <c r="C34" i="44"/>
  <c r="AZ5" i="44"/>
  <c r="BH6" i="49"/>
  <c r="BH3" i="49"/>
  <c r="AZ6" i="44"/>
  <c r="BH5" i="49"/>
  <c r="AZ8" i="44"/>
  <c r="BH4" i="49"/>
  <c r="AZ7" i="44"/>
  <c r="E14" i="47"/>
  <c r="AG27" i="45"/>
  <c r="BF31" i="49" s="1"/>
  <c r="AN33" i="1"/>
  <c r="Y33" i="1"/>
  <c r="AR31" i="49"/>
  <c r="BI33" i="1"/>
  <c r="AH31" i="45"/>
  <c r="AE33" i="1"/>
  <c r="AD33" i="1"/>
  <c r="AD34" i="1"/>
  <c r="Y34" i="1"/>
  <c r="AJ33" i="1"/>
  <c r="BI34" i="1"/>
  <c r="AE34" i="1"/>
  <c r="BO34" i="1"/>
  <c r="AN18" i="1"/>
  <c r="AN23" i="1"/>
  <c r="BO33" i="1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AQ17" i="49"/>
  <c r="AH2" i="49"/>
  <c r="AI2" i="49"/>
  <c r="F31" i="49"/>
  <c r="BG2" i="49"/>
  <c r="BI2" i="49"/>
  <c r="BH2" i="49"/>
  <c r="AD2" i="49"/>
  <c r="AK36" i="1"/>
  <c r="D24" i="45"/>
  <c r="BD2" i="49" s="1"/>
  <c r="BC2" i="49"/>
  <c r="BC17" i="49"/>
  <c r="D25" i="45"/>
  <c r="AR28" i="49"/>
  <c r="AN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N24" i="1"/>
  <c r="D29" i="45"/>
  <c r="AO2" i="49"/>
  <c r="AM13" i="49"/>
  <c r="AP17" i="49"/>
  <c r="N29" i="45"/>
  <c r="AO12" i="49"/>
  <c r="N27" i="45"/>
  <c r="BF12" i="49" s="1"/>
  <c r="AR12" i="49"/>
  <c r="M29" i="45"/>
  <c r="AO11" i="49"/>
  <c r="AN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N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AZ20" i="1"/>
  <c r="AN11" i="1"/>
  <c r="AD23" i="1"/>
  <c r="AN9" i="1"/>
  <c r="AN19" i="1"/>
  <c r="G39" i="44"/>
  <c r="AN22" i="1"/>
  <c r="AN16" i="1"/>
  <c r="H9" i="35"/>
  <c r="BI5" i="1"/>
  <c r="I9" i="35"/>
  <c r="AL36" i="1"/>
  <c r="J39" i="44"/>
  <c r="I39" i="44"/>
  <c r="I22" i="44"/>
  <c r="H19" i="49" s="1"/>
  <c r="G22" i="44"/>
  <c r="F19" i="49" s="1"/>
  <c r="AN30" i="1"/>
  <c r="H39" i="44"/>
  <c r="I21" i="44"/>
  <c r="H18" i="49" s="1"/>
  <c r="F39" i="44"/>
  <c r="K39" i="44"/>
  <c r="AN29" i="1"/>
  <c r="F22" i="44"/>
  <c r="J23" i="44"/>
  <c r="I20" i="49" s="1"/>
  <c r="AN20" i="1"/>
  <c r="AN10" i="1"/>
  <c r="AN13" i="1"/>
  <c r="J7" i="44"/>
  <c r="I4" i="49" s="1"/>
  <c r="K21" i="44"/>
  <c r="J18" i="49" s="1"/>
  <c r="J21" i="44"/>
  <c r="I18" i="49" s="1"/>
  <c r="S11" i="1"/>
  <c r="U11" i="1" s="1"/>
  <c r="AJ21" i="1"/>
  <c r="T30" i="45"/>
  <c r="T31" i="45" s="1"/>
  <c r="BI14" i="1"/>
  <c r="E6" i="47"/>
  <c r="I6" i="35"/>
  <c r="H6" i="35"/>
  <c r="AN7" i="1"/>
  <c r="AG35" i="1"/>
  <c r="H5" i="35"/>
  <c r="K5" i="35" s="1"/>
  <c r="AJ23" i="1"/>
  <c r="H17" i="35"/>
  <c r="K17" i="35" s="1"/>
  <c r="L30" i="45"/>
  <c r="L31" i="45" s="1"/>
  <c r="BA35" i="1"/>
  <c r="F37" i="1"/>
  <c r="AN25" i="1"/>
  <c r="AN8" i="1"/>
  <c r="AU35" i="1"/>
  <c r="BE35" i="1"/>
  <c r="BD35" i="1"/>
  <c r="AT35" i="1"/>
  <c r="AR35" i="1"/>
  <c r="AC35" i="1"/>
  <c r="AN14" i="1"/>
  <c r="AW35" i="1"/>
  <c r="AV35" i="1"/>
  <c r="AB35" i="1"/>
  <c r="AH35" i="1"/>
  <c r="BC35" i="1"/>
  <c r="AP35" i="1"/>
  <c r="W35" i="1"/>
  <c r="V35" i="1"/>
  <c r="X35" i="1"/>
  <c r="BJ35" i="1"/>
  <c r="AO35" i="1"/>
  <c r="AX35" i="1"/>
  <c r="AY35" i="1"/>
  <c r="BH35" i="1"/>
  <c r="N4" i="1"/>
  <c r="U30" i="45"/>
  <c r="U31" i="45" s="1"/>
  <c r="N7" i="1"/>
  <c r="N6" i="1"/>
  <c r="N30" i="45"/>
  <c r="I25" i="45"/>
  <c r="BE7" i="49" s="1"/>
  <c r="AR36" i="1"/>
  <c r="BI16" i="1"/>
  <c r="H30" i="45"/>
  <c r="H31" i="45" s="1"/>
  <c r="I13" i="35"/>
  <c r="AN15" i="1"/>
  <c r="AD14" i="1"/>
  <c r="BI22" i="1"/>
  <c r="AV36" i="1"/>
  <c r="AI36" i="1"/>
  <c r="Q30" i="45"/>
  <c r="Q31" i="45" s="1"/>
  <c r="R30" i="45"/>
  <c r="R31" i="45" s="1"/>
  <c r="BB36" i="1"/>
  <c r="AK14" i="49"/>
  <c r="AK13" i="49"/>
  <c r="Y14" i="1"/>
  <c r="AN5" i="1"/>
  <c r="BK4" i="1"/>
  <c r="AD21" i="1"/>
  <c r="E25" i="45"/>
  <c r="BE3" i="49" s="1"/>
  <c r="E30" i="45"/>
  <c r="E31" i="45" s="1"/>
  <c r="W25" i="45"/>
  <c r="BE21" i="49" s="1"/>
  <c r="W30" i="45"/>
  <c r="W31" i="45" s="1"/>
  <c r="AD20" i="1"/>
  <c r="Z30" i="45"/>
  <c r="Z31" i="45" s="1"/>
  <c r="O30" i="45"/>
  <c r="P25" i="45"/>
  <c r="BE14" i="49" s="1"/>
  <c r="P30" i="45"/>
  <c r="P31" i="45" s="1"/>
  <c r="AD23" i="49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O4" i="1"/>
  <c r="BM4" i="1"/>
  <c r="D30" i="45"/>
  <c r="G30" i="45"/>
  <c r="G31" i="45" s="1"/>
  <c r="AE23" i="49"/>
  <c r="F30" i="45"/>
  <c r="F31" i="45" s="1"/>
  <c r="AG30" i="45"/>
  <c r="AE30" i="45"/>
  <c r="AE31" i="45" s="1"/>
  <c r="AF30" i="45"/>
  <c r="AD30" i="45"/>
  <c r="AD31" i="45" s="1"/>
  <c r="AC30" i="45"/>
  <c r="AC31" i="45" s="1"/>
  <c r="AB30" i="45"/>
  <c r="AB31" i="45" s="1"/>
  <c r="AN26" i="1"/>
  <c r="Y30" i="45"/>
  <c r="AD25" i="1"/>
  <c r="X30" i="45"/>
  <c r="X31" i="45" s="1"/>
  <c r="AK23" i="49"/>
  <c r="AJ23" i="49"/>
  <c r="AI23" i="49"/>
  <c r="AH23" i="49"/>
  <c r="AG23" i="49"/>
  <c r="AF23" i="49"/>
  <c r="BI24" i="1"/>
  <c r="AT5" i="44"/>
  <c r="Y21" i="1"/>
  <c r="X36" i="1"/>
  <c r="M25" i="45"/>
  <c r="BE11" i="49" s="1"/>
  <c r="I14" i="35"/>
  <c r="AK12" i="49"/>
  <c r="H13" i="35"/>
  <c r="AH36" i="1"/>
  <c r="AN4" i="1"/>
  <c r="Y7" i="1"/>
  <c r="BI29" i="1"/>
  <c r="AY32" i="44"/>
  <c r="U25" i="45"/>
  <c r="BE19" i="49" s="1"/>
  <c r="Y22" i="1"/>
  <c r="BI21" i="1"/>
  <c r="AY22" i="44"/>
  <c r="Y20" i="1"/>
  <c r="AJ17" i="1"/>
  <c r="Y18" i="1"/>
  <c r="AK15" i="49"/>
  <c r="O25" i="45"/>
  <c r="BE13" i="49" s="1"/>
  <c r="H16" i="35"/>
  <c r="K16" i="35" s="1"/>
  <c r="AD15" i="1"/>
  <c r="I15" i="35"/>
  <c r="H15" i="35"/>
  <c r="AI13" i="49"/>
  <c r="AY12" i="44"/>
  <c r="AJ8" i="1"/>
  <c r="AY26" i="44"/>
  <c r="AY21" i="44"/>
  <c r="R25" i="45"/>
  <c r="BE16" i="49" s="1"/>
  <c r="AG36" i="1"/>
  <c r="AJ26" i="1"/>
  <c r="AF25" i="45"/>
  <c r="BE30" i="49" s="1"/>
  <c r="AY33" i="44"/>
  <c r="L5" i="1"/>
  <c r="BI6" i="1"/>
  <c r="Y6" i="1"/>
  <c r="BI18" i="1"/>
  <c r="Y25" i="45"/>
  <c r="BE23" i="49" s="1"/>
  <c r="W36" i="1"/>
  <c r="AJ20" i="1"/>
  <c r="Q25" i="45"/>
  <c r="BE15" i="49" s="1"/>
  <c r="Y5" i="1"/>
  <c r="K11" i="35"/>
  <c r="AN6" i="44"/>
  <c r="AY5" i="44"/>
  <c r="AJ18" i="1"/>
  <c r="Y17" i="1"/>
  <c r="AY18" i="44"/>
  <c r="AY17" i="44"/>
  <c r="AJ11" i="1"/>
  <c r="AH12" i="49"/>
  <c r="AJ12" i="49"/>
  <c r="AI12" i="49"/>
  <c r="AG12" i="49"/>
  <c r="AF12" i="49"/>
  <c r="Z25" i="45"/>
  <c r="BE24" i="49" s="1"/>
  <c r="AJ15" i="1"/>
  <c r="AY16" i="44"/>
  <c r="N25" i="45"/>
  <c r="BE12" i="49" s="1"/>
  <c r="AJ14" i="1"/>
  <c r="AJ13" i="1"/>
  <c r="AJ12" i="1"/>
  <c r="Y12" i="1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 i="44"/>
  <c r="BM5" i="49" s="1"/>
  <c r="AY9" i="44"/>
  <c r="E13" i="47"/>
  <c r="H14" i="35"/>
  <c r="Y29" i="1"/>
  <c r="AJ29" i="1"/>
  <c r="AG25" i="45"/>
  <c r="BE31" i="49" s="1"/>
  <c r="AY25" i="44"/>
  <c r="AY23" i="44"/>
  <c r="AY19" i="44"/>
  <c r="Y9" i="1"/>
  <c r="Y15" i="1"/>
  <c r="Y10" i="1"/>
  <c r="AE25" i="45"/>
  <c r="BE29" i="49" s="1"/>
  <c r="AY20" i="44"/>
  <c r="AJ16" i="1"/>
  <c r="AJ24" i="1"/>
  <c r="AJ25" i="1"/>
  <c r="AJ10" i="1"/>
  <c r="Y8" i="1"/>
  <c r="AY13" i="44"/>
  <c r="AY27" i="44"/>
  <c r="AY15" i="44"/>
  <c r="AY14" i="44"/>
  <c r="AJ7" i="1"/>
  <c r="F25" i="45"/>
  <c r="BE4" i="49" s="1"/>
  <c r="G25" i="45"/>
  <c r="BE5" i="49" s="1"/>
  <c r="S4" i="1"/>
  <c r="Y4" i="1"/>
  <c r="AY34" i="44"/>
  <c r="AJ31" i="1"/>
  <c r="Y31" i="1"/>
  <c r="BO31" i="1"/>
  <c r="BP31" i="1" s="1"/>
  <c r="BI31" i="1"/>
  <c r="BI41" i="1" s="1"/>
  <c r="AJ30" i="1"/>
  <c r="AY31" i="44"/>
  <c r="AC25" i="45"/>
  <c r="BE27" i="49" s="1"/>
  <c r="AY30" i="44"/>
  <c r="AB25" i="45"/>
  <c r="BE26" i="49" s="1"/>
  <c r="Y28" i="1"/>
  <c r="Y26" i="1"/>
  <c r="AE25" i="1"/>
  <c r="Y25" i="1"/>
  <c r="AE24" i="1"/>
  <c r="AF24" i="1" s="1"/>
  <c r="Y24" i="1"/>
  <c r="Y23" i="1"/>
  <c r="AE18" i="1"/>
  <c r="AE21" i="1"/>
  <c r="BF20" i="1"/>
  <c r="Y19" i="1"/>
  <c r="AJ5" i="1"/>
  <c r="BO24" i="1"/>
  <c r="BP24" i="1" s="1"/>
  <c r="AU36" i="1"/>
  <c r="AE28" i="1"/>
  <c r="AF28" i="1" s="1"/>
  <c r="BO28" i="1"/>
  <c r="BP28" i="1" s="1"/>
  <c r="AW36" i="1"/>
  <c r="K18" i="35"/>
  <c r="BO21" i="1"/>
  <c r="BO23" i="1"/>
  <c r="AJ6" i="1"/>
  <c r="AE19" i="1"/>
  <c r="AF19" i="1" s="1"/>
  <c r="AE15" i="1"/>
  <c r="Y30" i="1"/>
  <c r="AT36" i="1"/>
  <c r="K12" i="35"/>
  <c r="AS36" i="1"/>
  <c r="O17" i="35"/>
  <c r="BO13" i="1"/>
  <c r="BP13" i="1" s="1"/>
  <c r="BO14" i="1"/>
  <c r="AT7" i="44"/>
  <c r="BM4" i="49" s="1"/>
  <c r="K7" i="35"/>
  <c r="AE16" i="1"/>
  <c r="AF16" i="1" s="1"/>
  <c r="BI32" i="1"/>
  <c r="BO26" i="1"/>
  <c r="BP26" i="1" s="1"/>
  <c r="AE14" i="1"/>
  <c r="AE31" i="1"/>
  <c r="AF31" i="1" s="1"/>
  <c r="BO16" i="1"/>
  <c r="BP16" i="1" s="1"/>
  <c r="BO22" i="1"/>
  <c r="BP22" i="1" s="1"/>
  <c r="AE26" i="1"/>
  <c r="AF26" i="1" s="1"/>
  <c r="AE22" i="1"/>
  <c r="AF22" i="1" s="1"/>
  <c r="BM32" i="49"/>
  <c r="AE13" i="1"/>
  <c r="AF13" i="1" s="1"/>
  <c r="K10" i="35"/>
  <c r="BO10" i="1"/>
  <c r="AE8" i="1"/>
  <c r="AF8" i="1" s="1"/>
  <c r="BO8" i="1"/>
  <c r="BP8" i="1" s="1"/>
  <c r="K4" i="35"/>
  <c r="BO18" i="1"/>
  <c r="BO17" i="1"/>
  <c r="BP17" i="1" s="1"/>
  <c r="BO19" i="1"/>
  <c r="BP19" i="1" s="1"/>
  <c r="BI4" i="1"/>
  <c r="AE7" i="1"/>
  <c r="BI7" i="1"/>
  <c r="AQ21" i="1"/>
  <c r="AQ35" i="1" s="1"/>
  <c r="BI25" i="1"/>
  <c r="BI10" i="1"/>
  <c r="AE27" i="1"/>
  <c r="AF27" i="1" s="1"/>
  <c r="BI27" i="1"/>
  <c r="AE12" i="1"/>
  <c r="AF12" i="1" s="1"/>
  <c r="BI12" i="1"/>
  <c r="AS21" i="1"/>
  <c r="BI23" i="1"/>
  <c r="BI17" i="1"/>
  <c r="AS20" i="1"/>
  <c r="BI15" i="1"/>
  <c r="AE30" i="1"/>
  <c r="AF30" i="1" s="1"/>
  <c r="BI30" i="1"/>
  <c r="O4" i="1"/>
  <c r="I2" i="47" s="1"/>
  <c r="O18" i="35"/>
  <c r="BB22" i="1"/>
  <c r="BM14" i="1"/>
  <c r="BM6" i="1"/>
  <c r="BM5" i="1"/>
  <c r="BL5" i="1"/>
  <c r="BK5" i="1"/>
  <c r="BL4" i="1"/>
  <c r="BK14" i="1"/>
  <c r="BL14" i="1"/>
  <c r="BK7" i="1"/>
  <c r="BL7" i="1"/>
  <c r="BK6" i="1"/>
  <c r="BL6" i="1"/>
  <c r="BM7" i="1"/>
  <c r="Y13" i="1"/>
  <c r="BO7" i="1"/>
  <c r="O6" i="1"/>
  <c r="I4" i="47" s="1"/>
  <c r="AJ4" i="1"/>
  <c r="BO27" i="1"/>
  <c r="BP27" i="1" s="1"/>
  <c r="Y16" i="1"/>
  <c r="BO30" i="1"/>
  <c r="BP30" i="1" s="1"/>
  <c r="Y11" i="1"/>
  <c r="AB36" i="1"/>
  <c r="AQ36" i="1"/>
  <c r="BF36" i="1"/>
  <c r="AJ28" i="1"/>
  <c r="U36" i="1"/>
  <c r="AE17" i="1"/>
  <c r="AF17" i="1" s="1"/>
  <c r="BO15" i="1"/>
  <c r="BO12" i="1"/>
  <c r="BP12" i="1" s="1"/>
  <c r="AD10" i="1"/>
  <c r="AE10" i="1"/>
  <c r="V36" i="1"/>
  <c r="AE29" i="1"/>
  <c r="AF29" i="1" s="1"/>
  <c r="BO29" i="1"/>
  <c r="BP29" i="1" s="1"/>
  <c r="AE23" i="1"/>
  <c r="AJ27" i="1"/>
  <c r="K7" i="1"/>
  <c r="AP36" i="1"/>
  <c r="AE11" i="1"/>
  <c r="AF11" i="1" s="1"/>
  <c r="BO11" i="1"/>
  <c r="BP11" i="1" s="1"/>
  <c r="K14" i="1"/>
  <c r="K16" i="1"/>
  <c r="O7" i="1"/>
  <c r="I5" i="47" s="1"/>
  <c r="O5" i="1"/>
  <c r="I3" i="47" s="1"/>
  <c r="AD18" i="1"/>
  <c r="AD36" i="1" s="1"/>
  <c r="AE9" i="1"/>
  <c r="AF9" i="1" s="1"/>
  <c r="BO9" i="1"/>
  <c r="BP9" i="1" s="1"/>
  <c r="BO25" i="1"/>
  <c r="AD7" i="1"/>
  <c r="AD6" i="1"/>
  <c r="BO6" i="1"/>
  <c r="AE6" i="1"/>
  <c r="K6" i="1"/>
  <c r="AD5" i="1"/>
  <c r="AE5" i="1"/>
  <c r="BO5" i="1"/>
  <c r="K5" i="1"/>
  <c r="AD4" i="1"/>
  <c r="AE4" i="1"/>
  <c r="K4" i="1"/>
  <c r="AN32" i="1"/>
  <c r="AD32" i="1"/>
  <c r="Y32" i="1"/>
  <c r="AJ32" i="1"/>
  <c r="AE32" i="1"/>
  <c r="BO32" i="1"/>
  <c r="BB34" i="44" l="1"/>
  <c r="J31" i="48"/>
  <c r="BB23" i="44"/>
  <c r="E19" i="49"/>
  <c r="BB22" i="44"/>
  <c r="BB21" i="44"/>
  <c r="BC9" i="44"/>
  <c r="BB7" i="44"/>
  <c r="BC7" i="44" s="1"/>
  <c r="AA35" i="1"/>
  <c r="AU37" i="44"/>
  <c r="F36" i="44"/>
  <c r="AK37" i="44"/>
  <c r="I37" i="44"/>
  <c r="AL37" i="44"/>
  <c r="BG3" i="49"/>
  <c r="AY37" i="44"/>
  <c r="AF36" i="44"/>
  <c r="F37" i="44"/>
  <c r="AY36" i="44"/>
  <c r="G37" i="44"/>
  <c r="AH37" i="44"/>
  <c r="AF37" i="44"/>
  <c r="K37" i="44"/>
  <c r="AG36" i="44"/>
  <c r="AL36" i="44"/>
  <c r="AH36" i="44"/>
  <c r="AU36" i="44"/>
  <c r="AK36" i="44"/>
  <c r="AI36" i="44"/>
  <c r="J37" i="44"/>
  <c r="AI37" i="44"/>
  <c r="AJ36" i="44"/>
  <c r="AE37" i="44"/>
  <c r="AG37" i="44"/>
  <c r="I36" i="44"/>
  <c r="K36" i="44"/>
  <c r="AJ37" i="44"/>
  <c r="AE36" i="44"/>
  <c r="J36" i="44"/>
  <c r="H6" i="45"/>
  <c r="H24" i="45" s="1"/>
  <c r="BD6" i="49" s="1"/>
  <c r="AZ35" i="1"/>
  <c r="BP4" i="1"/>
  <c r="H34" i="1"/>
  <c r="C35" i="44"/>
  <c r="G9" i="1"/>
  <c r="BM16" i="1"/>
  <c r="BL16" i="1"/>
  <c r="BK16" i="1"/>
  <c r="D9" i="44"/>
  <c r="AN9" i="44"/>
  <c r="L8" i="1"/>
  <c r="B10" i="44"/>
  <c r="BC10" i="44" s="1"/>
  <c r="BP33" i="1"/>
  <c r="AF33" i="1"/>
  <c r="Z35" i="1"/>
  <c r="AF34" i="1"/>
  <c r="BP34" i="1"/>
  <c r="O31" i="45"/>
  <c r="AN36" i="1"/>
  <c r="K8" i="1"/>
  <c r="Y31" i="45"/>
  <c r="BL8" i="1"/>
  <c r="BK8" i="1"/>
  <c r="N31" i="45"/>
  <c r="BM8" i="1"/>
  <c r="BP23" i="1"/>
  <c r="AG31" i="45"/>
  <c r="BM2" i="49"/>
  <c r="AF31" i="45"/>
  <c r="D31" i="45"/>
  <c r="BF17" i="49"/>
  <c r="BF2" i="49"/>
  <c r="BE17" i="49"/>
  <c r="BE2" i="49"/>
  <c r="M31" i="45"/>
  <c r="G3" i="47"/>
  <c r="K9" i="35"/>
  <c r="K13" i="35"/>
  <c r="AF23" i="1"/>
  <c r="AK35" i="1"/>
  <c r="AT6" i="44"/>
  <c r="AN21" i="1"/>
  <c r="AN35" i="1" s="1"/>
  <c r="AI35" i="1"/>
  <c r="K6" i="35"/>
  <c r="AJ19" i="1"/>
  <c r="AJ35" i="1" s="1"/>
  <c r="AF14" i="1"/>
  <c r="BP14" i="1"/>
  <c r="U4" i="1"/>
  <c r="U35" i="1" s="1"/>
  <c r="S35" i="1"/>
  <c r="AL35" i="1"/>
  <c r="BB35" i="1"/>
  <c r="BQ4" i="1"/>
  <c r="AD35" i="1"/>
  <c r="BF35" i="1"/>
  <c r="AS35" i="1"/>
  <c r="Y35" i="1"/>
  <c r="R7" i="1"/>
  <c r="M5" i="47"/>
  <c r="R6" i="1"/>
  <c r="M4" i="47"/>
  <c r="R5" i="1"/>
  <c r="R4" i="1"/>
  <c r="M2" i="47"/>
  <c r="N5" i="1"/>
  <c r="BK15" i="1"/>
  <c r="AF21" i="1"/>
  <c r="BP21" i="1"/>
  <c r="Y36" i="1"/>
  <c r="AJ36" i="1"/>
  <c r="K14" i="35"/>
  <c r="BP5" i="1"/>
  <c r="BP32" i="1"/>
  <c r="BP25" i="1"/>
  <c r="AF25" i="1"/>
  <c r="BP18" i="1"/>
  <c r="BP15" i="1"/>
  <c r="AF15" i="1"/>
  <c r="BP10" i="1"/>
  <c r="BP6" i="1"/>
  <c r="BP7" i="1"/>
  <c r="K15" i="1"/>
  <c r="K15" i="35"/>
  <c r="Q4" i="1"/>
  <c r="AE20" i="1"/>
  <c r="AF20" i="1" s="1"/>
  <c r="BL15" i="1"/>
  <c r="BM15" i="1"/>
  <c r="BO20" i="1"/>
  <c r="BP20" i="1" s="1"/>
  <c r="BI20" i="1"/>
  <c r="BI35" i="1" s="1"/>
  <c r="BO36" i="1"/>
  <c r="AF7" i="1"/>
  <c r="Q6" i="1"/>
  <c r="BN6" i="1" s="1"/>
  <c r="AE36" i="1"/>
  <c r="AF18" i="1"/>
  <c r="AF36" i="1" s="1"/>
  <c r="AF10" i="1"/>
  <c r="Q5" i="1"/>
  <c r="Q7" i="1"/>
  <c r="BN7" i="1" s="1"/>
  <c r="AF6" i="1"/>
  <c r="AF5" i="1"/>
  <c r="AF4" i="1"/>
  <c r="AF32" i="1"/>
  <c r="BB35" i="44" l="1"/>
  <c r="J32" i="48"/>
  <c r="BM3" i="49"/>
  <c r="C36" i="44"/>
  <c r="C37" i="44"/>
  <c r="BB37" i="44" s="1"/>
  <c r="I6" i="45"/>
  <c r="I24" i="45" s="1"/>
  <c r="BD7" i="49" s="1"/>
  <c r="E10" i="44"/>
  <c r="J6" i="45"/>
  <c r="J24" i="45" s="1"/>
  <c r="BD8" i="49" s="1"/>
  <c r="E9" i="44"/>
  <c r="O8" i="1"/>
  <c r="I6" i="47" s="1"/>
  <c r="J34" i="1"/>
  <c r="K34" i="1"/>
  <c r="E32" i="47"/>
  <c r="BM34" i="1"/>
  <c r="BK34" i="1"/>
  <c r="BL34" i="1"/>
  <c r="G10" i="1"/>
  <c r="B11" i="44"/>
  <c r="BC11" i="44" s="1"/>
  <c r="K10" i="1"/>
  <c r="G6" i="47"/>
  <c r="N8" i="1"/>
  <c r="BG6" i="49"/>
  <c r="AT9" i="44"/>
  <c r="BM6" i="49" s="1"/>
  <c r="E7" i="47"/>
  <c r="K9" i="1"/>
  <c r="BM9" i="1"/>
  <c r="BL9" i="1"/>
  <c r="BK9" i="1"/>
  <c r="D11" i="44"/>
  <c r="AN11" i="44"/>
  <c r="L10" i="1"/>
  <c r="D10" i="44"/>
  <c r="AN10" i="44"/>
  <c r="L9" i="1"/>
  <c r="BN5" i="1"/>
  <c r="AF35" i="1"/>
  <c r="AE35" i="1"/>
  <c r="BN4" i="1"/>
  <c r="M3" i="47"/>
  <c r="O9" i="1" l="1"/>
  <c r="M6" i="47"/>
  <c r="Q8" i="1"/>
  <c r="BN8" i="1" s="1"/>
  <c r="R8" i="1"/>
  <c r="E11" i="44"/>
  <c r="O10" i="1"/>
  <c r="I8" i="47" s="1"/>
  <c r="B12" i="44"/>
  <c r="BC12" i="44" s="1"/>
  <c r="G11" i="1"/>
  <c r="K17" i="1"/>
  <c r="BK10" i="1"/>
  <c r="BM10" i="1"/>
  <c r="BL10" i="1"/>
  <c r="E8" i="47"/>
  <c r="BG7" i="49"/>
  <c r="AT10" i="44"/>
  <c r="BG8" i="49"/>
  <c r="AT11" i="44"/>
  <c r="BM8" i="49" s="1"/>
  <c r="G7" i="47"/>
  <c r="N9" i="1"/>
  <c r="G8" i="47"/>
  <c r="N10" i="1"/>
  <c r="E9" i="47"/>
  <c r="K11" i="1"/>
  <c r="BK11" i="1"/>
  <c r="BM11" i="1"/>
  <c r="BL11" i="1"/>
  <c r="G12" i="1"/>
  <c r="Q9" i="1" l="1"/>
  <c r="BN9" i="1" s="1"/>
  <c r="I7" i="47"/>
  <c r="M7" i="47" s="1"/>
  <c r="R9" i="1"/>
  <c r="G13" i="1"/>
  <c r="M8" i="47"/>
  <c r="R10" i="1"/>
  <c r="Q10" i="1"/>
  <c r="BN10" i="1" s="1"/>
  <c r="K6" i="45"/>
  <c r="K24" i="45" s="1"/>
  <c r="BD9" i="49" s="1"/>
  <c r="L6" i="45"/>
  <c r="L24" i="45" s="1"/>
  <c r="BD10" i="49" s="1"/>
  <c r="B15" i="44"/>
  <c r="BC15" i="44" s="1"/>
  <c r="G14" i="1"/>
  <c r="J36" i="1"/>
  <c r="BK17" i="1"/>
  <c r="BL17" i="1"/>
  <c r="BM17" i="1"/>
  <c r="E15" i="47"/>
  <c r="AN13" i="44"/>
  <c r="L11" i="1"/>
  <c r="N11" i="1" s="1"/>
  <c r="AN12" i="44"/>
  <c r="D12" i="44"/>
  <c r="BM7" i="49"/>
  <c r="B13" i="44"/>
  <c r="BC13" i="44" s="1"/>
  <c r="AT12" i="44" l="1"/>
  <c r="B14" i="44"/>
  <c r="BC14" i="44" s="1"/>
  <c r="E12" i="44"/>
  <c r="O11" i="1"/>
  <c r="I9" i="47" s="1"/>
  <c r="E13" i="44"/>
  <c r="O12" i="1"/>
  <c r="I10" i="47" s="1"/>
  <c r="L12" i="1"/>
  <c r="N12" i="1" s="1"/>
  <c r="D13" i="44"/>
  <c r="G9" i="47"/>
  <c r="BG9" i="49"/>
  <c r="BG10" i="49"/>
  <c r="AT13" i="44"/>
  <c r="BM10" i="49" s="1"/>
  <c r="E11" i="47"/>
  <c r="BL13" i="1"/>
  <c r="K13" i="1"/>
  <c r="BM13" i="1"/>
  <c r="BK13" i="1"/>
  <c r="E16" i="47"/>
  <c r="BL18" i="1"/>
  <c r="BL36" i="1" s="1"/>
  <c r="BM18" i="1"/>
  <c r="K18" i="1"/>
  <c r="K36" i="1" s="1"/>
  <c r="BK18" i="1"/>
  <c r="BK36" i="1" s="1"/>
  <c r="H36" i="1"/>
  <c r="E10" i="47"/>
  <c r="BK12" i="1"/>
  <c r="K12" i="1"/>
  <c r="BL12" i="1"/>
  <c r="BM12" i="1"/>
  <c r="E17" i="47"/>
  <c r="BL19" i="1"/>
  <c r="BK19" i="1"/>
  <c r="K19" i="1"/>
  <c r="BM19" i="1"/>
  <c r="BM9" i="49" l="1"/>
  <c r="O13" i="1"/>
  <c r="I11" i="47" s="1"/>
  <c r="M6" i="45"/>
  <c r="M24" i="45" s="1"/>
  <c r="BD11" i="49" s="1"/>
  <c r="G16" i="1"/>
  <c r="M9" i="47"/>
  <c r="R11" i="1"/>
  <c r="Q11" i="1"/>
  <c r="R12" i="1"/>
  <c r="Q12" i="1"/>
  <c r="BN12" i="1" s="1"/>
  <c r="G15" i="1"/>
  <c r="B16" i="44"/>
  <c r="BC16" i="44" s="1"/>
  <c r="G10" i="47"/>
  <c r="D14" i="44"/>
  <c r="AN14" i="44"/>
  <c r="BG11" i="49" s="1"/>
  <c r="L13" i="1"/>
  <c r="N13" i="1" s="1"/>
  <c r="D15" i="44"/>
  <c r="E18" i="47"/>
  <c r="K20" i="1"/>
  <c r="BM20" i="1"/>
  <c r="BL20" i="1"/>
  <c r="BK20" i="1"/>
  <c r="N6" i="45" l="1"/>
  <c r="N24" i="45" s="1"/>
  <c r="BD12" i="49" s="1"/>
  <c r="E14" i="44"/>
  <c r="E15" i="44"/>
  <c r="B17" i="44"/>
  <c r="BC17" i="44" s="1"/>
  <c r="M10" i="47"/>
  <c r="Q13" i="1"/>
  <c r="BN13" i="1" s="1"/>
  <c r="R13" i="1"/>
  <c r="BN11" i="1"/>
  <c r="D16" i="44"/>
  <c r="B18" i="44"/>
  <c r="BC18" i="44" s="1"/>
  <c r="G17" i="1"/>
  <c r="AT14" i="44"/>
  <c r="BM11" i="49" s="1"/>
  <c r="G11" i="47"/>
  <c r="AN15" i="44"/>
  <c r="AT15" i="44" s="1"/>
  <c r="BM12" i="49" s="1"/>
  <c r="L14" i="1"/>
  <c r="G12" i="47" s="1"/>
  <c r="E19" i="47"/>
  <c r="BM21" i="1"/>
  <c r="K21" i="1"/>
  <c r="BL21" i="1"/>
  <c r="BK21" i="1"/>
  <c r="O14" i="1" l="1"/>
  <c r="M11" i="47"/>
  <c r="O6" i="45"/>
  <c r="O24" i="45" s="1"/>
  <c r="BD13" i="49" s="1"/>
  <c r="O15" i="1"/>
  <c r="I13" i="47" s="1"/>
  <c r="P6" i="45"/>
  <c r="P24" i="45" s="1"/>
  <c r="BD14" i="49" s="1"/>
  <c r="L15" i="1"/>
  <c r="AN16" i="44"/>
  <c r="G18" i="1"/>
  <c r="B19" i="44"/>
  <c r="BC19" i="44" s="1"/>
  <c r="D17" i="44"/>
  <c r="L16" i="1"/>
  <c r="AN17" i="44"/>
  <c r="N14" i="1"/>
  <c r="BG12" i="49"/>
  <c r="E20" i="47"/>
  <c r="K22" i="1"/>
  <c r="BL22" i="1"/>
  <c r="BK22" i="1"/>
  <c r="BM22" i="1"/>
  <c r="I12" i="47" l="1"/>
  <c r="M12" i="47" s="1"/>
  <c r="Q14" i="1"/>
  <c r="BN14" i="1" s="1"/>
  <c r="R14" i="1"/>
  <c r="E16" i="44"/>
  <c r="O16" i="1"/>
  <c r="I14" i="47" s="1"/>
  <c r="Q6" i="45"/>
  <c r="Q24" i="45" s="1"/>
  <c r="BD15" i="49" s="1"/>
  <c r="Q15" i="1"/>
  <c r="R15" i="1"/>
  <c r="N15" i="1"/>
  <c r="G13" i="47"/>
  <c r="BG13" i="49"/>
  <c r="AT16" i="44"/>
  <c r="BM13" i="49" s="1"/>
  <c r="G19" i="1"/>
  <c r="B20" i="44"/>
  <c r="BC20" i="44" s="1"/>
  <c r="G14" i="47"/>
  <c r="N16" i="1"/>
  <c r="BG14" i="49"/>
  <c r="AT17" i="44"/>
  <c r="AN18" i="44"/>
  <c r="L17" i="1"/>
  <c r="D18" i="44"/>
  <c r="BN15" i="1" l="1"/>
  <c r="E17" i="44"/>
  <c r="O17" i="1"/>
  <c r="I15" i="47" s="1"/>
  <c r="M13" i="47"/>
  <c r="M14" i="47"/>
  <c r="Q16" i="1"/>
  <c r="BN16" i="1" s="1"/>
  <c r="R16" i="1"/>
  <c r="BM14" i="49"/>
  <c r="BA17" i="44"/>
  <c r="AT18" i="44"/>
  <c r="BG15" i="49"/>
  <c r="N17" i="1"/>
  <c r="G15" i="47"/>
  <c r="E22" i="47"/>
  <c r="E21" i="47"/>
  <c r="BL23" i="1"/>
  <c r="K23" i="1"/>
  <c r="BK23" i="1"/>
  <c r="BM23" i="1"/>
  <c r="E18" i="44" l="1"/>
  <c r="G20" i="1"/>
  <c r="B21" i="44"/>
  <c r="BC21" i="44" s="1"/>
  <c r="M15" i="47"/>
  <c r="Q17" i="1"/>
  <c r="BN17" i="1" s="1"/>
  <c r="R17" i="1"/>
  <c r="R6" i="45"/>
  <c r="R24" i="45" s="1"/>
  <c r="BD16" i="49" s="1"/>
  <c r="D19" i="44"/>
  <c r="AN19" i="44"/>
  <c r="AT19" i="44" s="1"/>
  <c r="G21" i="1"/>
  <c r="B22" i="44"/>
  <c r="BC22" i="44" s="1"/>
  <c r="L18" i="1"/>
  <c r="G16" i="47" s="1"/>
  <c r="BM15" i="49"/>
  <c r="BA18" i="44"/>
  <c r="AN20" i="44"/>
  <c r="L19" i="1"/>
  <c r="D20" i="44"/>
  <c r="K24" i="1"/>
  <c r="BM24" i="1"/>
  <c r="BK24" i="1"/>
  <c r="BL24" i="1"/>
  <c r="E23" i="47"/>
  <c r="BM25" i="1"/>
  <c r="BK25" i="1"/>
  <c r="BL25" i="1"/>
  <c r="K25" i="1"/>
  <c r="BG16" i="49" l="1"/>
  <c r="S6" i="45"/>
  <c r="S24" i="45" s="1"/>
  <c r="BD17" i="49" s="1"/>
  <c r="O18" i="1"/>
  <c r="I16" i="47" s="1"/>
  <c r="E19" i="44"/>
  <c r="G22" i="1"/>
  <c r="B23" i="44"/>
  <c r="BC23" i="44" s="1"/>
  <c r="N18" i="1"/>
  <c r="L36" i="1"/>
  <c r="AT20" i="44"/>
  <c r="BG17" i="49"/>
  <c r="N19" i="1"/>
  <c r="G17" i="47"/>
  <c r="BA19" i="44"/>
  <c r="BM16" i="49"/>
  <c r="E24" i="47"/>
  <c r="K26" i="1"/>
  <c r="BM26" i="1"/>
  <c r="BL26" i="1"/>
  <c r="BK26" i="1"/>
  <c r="O20" i="1" l="1"/>
  <c r="I18" i="47" s="1"/>
  <c r="T6" i="45"/>
  <c r="T24" i="45" s="1"/>
  <c r="BD18" i="49" s="1"/>
  <c r="U6" i="45"/>
  <c r="U24" i="45" s="1"/>
  <c r="BD19" i="49" s="1"/>
  <c r="M16" i="47"/>
  <c r="R18" i="1"/>
  <c r="R36" i="1" s="1"/>
  <c r="O36" i="1"/>
  <c r="Q18" i="1"/>
  <c r="Q36" i="1" s="1"/>
  <c r="E20" i="44"/>
  <c r="O19" i="1"/>
  <c r="I17" i="47" s="1"/>
  <c r="N36" i="1"/>
  <c r="G23" i="1"/>
  <c r="B24" i="44"/>
  <c r="BC24" i="44" s="1"/>
  <c r="BA20" i="44"/>
  <c r="BM17" i="49"/>
  <c r="D21" i="44"/>
  <c r="AN21" i="44"/>
  <c r="L20" i="1"/>
  <c r="E25" i="47"/>
  <c r="E21" i="44" l="1"/>
  <c r="O21" i="1"/>
  <c r="I19" i="47" s="1"/>
  <c r="M17" i="47"/>
  <c r="R19" i="1"/>
  <c r="Q19" i="1"/>
  <c r="BN19" i="1" s="1"/>
  <c r="R20" i="1"/>
  <c r="Q20" i="1"/>
  <c r="BN18" i="1"/>
  <c r="BN36" i="1" s="1"/>
  <c r="G24" i="1"/>
  <c r="B25" i="44"/>
  <c r="BC25" i="44" s="1"/>
  <c r="D22" i="44"/>
  <c r="L21" i="1"/>
  <c r="AN22" i="44"/>
  <c r="BG18" i="49"/>
  <c r="AT21" i="44"/>
  <c r="N20" i="1"/>
  <c r="G18" i="47"/>
  <c r="BK27" i="1"/>
  <c r="BM27" i="1"/>
  <c r="K27" i="1"/>
  <c r="BL27" i="1"/>
  <c r="E26" i="47"/>
  <c r="BM28" i="1"/>
  <c r="BK28" i="1"/>
  <c r="BL28" i="1"/>
  <c r="K28" i="1"/>
  <c r="E22" i="44" l="1"/>
  <c r="Q21" i="1"/>
  <c r="R21" i="1"/>
  <c r="V6" i="45"/>
  <c r="V24" i="45" s="1"/>
  <c r="BD20" i="49" s="1"/>
  <c r="BN20" i="1"/>
  <c r="M18" i="47"/>
  <c r="G25" i="1"/>
  <c r="B26" i="44"/>
  <c r="BC26" i="44" s="1"/>
  <c r="L22" i="1"/>
  <c r="AN23" i="44"/>
  <c r="D23" i="44"/>
  <c r="BA21" i="44"/>
  <c r="BM18" i="49"/>
  <c r="N21" i="1"/>
  <c r="G19" i="47"/>
  <c r="BG19" i="49"/>
  <c r="AT22" i="44"/>
  <c r="E27" i="47"/>
  <c r="BK29" i="1"/>
  <c r="BL29" i="1"/>
  <c r="BM29" i="1"/>
  <c r="K29" i="1"/>
  <c r="O23" i="1" l="1"/>
  <c r="I21" i="47" s="1"/>
  <c r="BN21" i="1"/>
  <c r="M19" i="47"/>
  <c r="W6" i="45"/>
  <c r="W24" i="45" s="1"/>
  <c r="BD21" i="49" s="1"/>
  <c r="E23" i="44"/>
  <c r="O22" i="1"/>
  <c r="I20" i="47" s="1"/>
  <c r="G26" i="1"/>
  <c r="B27" i="44"/>
  <c r="BC27" i="44" s="1"/>
  <c r="N22" i="1"/>
  <c r="G20" i="47"/>
  <c r="AN24" i="44"/>
  <c r="D24" i="44"/>
  <c r="L23" i="1"/>
  <c r="AT23" i="44"/>
  <c r="BG20" i="49"/>
  <c r="BM19" i="49"/>
  <c r="BA22" i="44"/>
  <c r="E28" i="47"/>
  <c r="BL30" i="1"/>
  <c r="K30" i="1"/>
  <c r="BM30" i="1"/>
  <c r="BK30" i="1"/>
  <c r="E24" i="44" l="1"/>
  <c r="X6" i="45"/>
  <c r="X24" i="45" s="1"/>
  <c r="BD22" i="49" s="1"/>
  <c r="O24" i="1"/>
  <c r="I22" i="47" s="1"/>
  <c r="Q23" i="1"/>
  <c r="R23" i="1"/>
  <c r="M20" i="47"/>
  <c r="Q22" i="1"/>
  <c r="BN22" i="1" s="1"/>
  <c r="R22" i="1"/>
  <c r="B28" i="44"/>
  <c r="BC28" i="44" s="1"/>
  <c r="G27" i="1"/>
  <c r="AT24" i="44"/>
  <c r="BG21" i="49"/>
  <c r="BA23" i="44"/>
  <c r="BM20" i="49"/>
  <c r="N23" i="1"/>
  <c r="G21" i="47"/>
  <c r="L24" i="1"/>
  <c r="D25" i="44"/>
  <c r="AN25" i="44"/>
  <c r="BK31" i="1"/>
  <c r="E29" i="47"/>
  <c r="Y6" i="45" l="1"/>
  <c r="Y24" i="45" s="1"/>
  <c r="BD23" i="49" s="1"/>
  <c r="E25" i="44"/>
  <c r="BN23" i="1"/>
  <c r="Z6" i="45"/>
  <c r="Z24" i="45" s="1"/>
  <c r="BD24" i="49" s="1"/>
  <c r="Q24" i="1"/>
  <c r="R24" i="1"/>
  <c r="M21" i="47"/>
  <c r="E26" i="44"/>
  <c r="O25" i="1"/>
  <c r="I23" i="47" s="1"/>
  <c r="G28" i="1"/>
  <c r="B29" i="44"/>
  <c r="BC29" i="44" s="1"/>
  <c r="N24" i="1"/>
  <c r="G22" i="47"/>
  <c r="BA24" i="44"/>
  <c r="BM21" i="49"/>
  <c r="BG22" i="49"/>
  <c r="AT25" i="44"/>
  <c r="L25" i="1"/>
  <c r="D26" i="44"/>
  <c r="AN26" i="44"/>
  <c r="K31" i="1"/>
  <c r="BM31" i="1"/>
  <c r="BL31" i="1"/>
  <c r="E30" i="47"/>
  <c r="BL32" i="1"/>
  <c r="BK32" i="1"/>
  <c r="BM32" i="1"/>
  <c r="K32" i="1"/>
  <c r="BN24" i="1" l="1"/>
  <c r="AA6" i="45"/>
  <c r="AA24" i="45" s="1"/>
  <c r="BD25" i="49" s="1"/>
  <c r="E27" i="44"/>
  <c r="O26" i="1"/>
  <c r="I24" i="47" s="1"/>
  <c r="R25" i="1"/>
  <c r="Q25" i="1"/>
  <c r="M22" i="47"/>
  <c r="B30" i="44"/>
  <c r="BC30" i="44" s="1"/>
  <c r="G29" i="1"/>
  <c r="AN27" i="44"/>
  <c r="D27" i="44"/>
  <c r="L26" i="1"/>
  <c r="N25" i="1"/>
  <c r="G23" i="47"/>
  <c r="AT26" i="44"/>
  <c r="BG23" i="49"/>
  <c r="BA25" i="44"/>
  <c r="BM22" i="49"/>
  <c r="BN25" i="1" l="1"/>
  <c r="M23" i="47"/>
  <c r="E28" i="44"/>
  <c r="O27" i="1"/>
  <c r="I25" i="47" s="1"/>
  <c r="R26" i="1"/>
  <c r="Q26" i="1"/>
  <c r="B31" i="44"/>
  <c r="BC31" i="44" s="1"/>
  <c r="G30" i="1"/>
  <c r="BA26" i="44"/>
  <c r="BM23" i="49"/>
  <c r="BG24" i="49"/>
  <c r="AT27" i="44"/>
  <c r="N26" i="1"/>
  <c r="G24" i="47"/>
  <c r="L27" i="1"/>
  <c r="AN28" i="44"/>
  <c r="D28" i="44"/>
  <c r="O28" i="1" l="1"/>
  <c r="I26" i="47" s="1"/>
  <c r="AB6" i="45"/>
  <c r="AB24" i="45" s="1"/>
  <c r="BD26" i="49" s="1"/>
  <c r="BN26" i="1"/>
  <c r="M24" i="47"/>
  <c r="R27" i="1"/>
  <c r="Q27" i="1"/>
  <c r="B32" i="44"/>
  <c r="BC32" i="44" s="1"/>
  <c r="G31" i="1"/>
  <c r="AN29" i="44"/>
  <c r="L28" i="1"/>
  <c r="D29" i="44"/>
  <c r="N27" i="1"/>
  <c r="G25" i="47"/>
  <c r="BA27" i="44"/>
  <c r="BM24" i="49"/>
  <c r="BG25" i="49"/>
  <c r="AT28" i="44"/>
  <c r="AC6" i="45" l="1"/>
  <c r="AC24" i="45" s="1"/>
  <c r="BD27" i="49" s="1"/>
  <c r="M25" i="47"/>
  <c r="E29" i="44"/>
  <c r="Q28" i="1"/>
  <c r="R28" i="1"/>
  <c r="E30" i="44"/>
  <c r="O29" i="1"/>
  <c r="I27" i="47" s="1"/>
  <c r="G32" i="1"/>
  <c r="B33" i="44"/>
  <c r="BC33" i="44" s="1"/>
  <c r="AT29" i="44"/>
  <c r="BG26" i="49"/>
  <c r="G26" i="47"/>
  <c r="N28" i="1"/>
  <c r="BA28" i="44"/>
  <c r="BM25" i="49"/>
  <c r="BN27" i="1"/>
  <c r="AN30" i="44"/>
  <c r="L29" i="1"/>
  <c r="D30" i="44"/>
  <c r="E31" i="44" l="1"/>
  <c r="AD6" i="45"/>
  <c r="AD24" i="45" s="1"/>
  <c r="BD28" i="49" s="1"/>
  <c r="BN28" i="1"/>
  <c r="M26" i="47"/>
  <c r="R29" i="1"/>
  <c r="Q29" i="1"/>
  <c r="AN31" i="44"/>
  <c r="L30" i="1"/>
  <c r="D31" i="44"/>
  <c r="BG27" i="49"/>
  <c r="AT30" i="44"/>
  <c r="N29" i="1"/>
  <c r="G27" i="47"/>
  <c r="BA29" i="44"/>
  <c r="BM26" i="49"/>
  <c r="O30" i="1" l="1"/>
  <c r="M27" i="47"/>
  <c r="E32" i="44"/>
  <c r="AE6" i="45"/>
  <c r="AE24" i="45" s="1"/>
  <c r="BD29" i="49" s="1"/>
  <c r="AF6" i="45"/>
  <c r="AF24" i="45" s="1"/>
  <c r="BD30" i="49" s="1"/>
  <c r="G34" i="1"/>
  <c r="B35" i="44"/>
  <c r="BC35" i="44" s="1"/>
  <c r="BA30" i="44"/>
  <c r="BM27" i="49"/>
  <c r="AT31" i="44"/>
  <c r="BG28" i="49"/>
  <c r="BN29" i="1"/>
  <c r="N30" i="1"/>
  <c r="G28" i="47"/>
  <c r="D32" i="44"/>
  <c r="L31" i="1"/>
  <c r="AN32" i="44"/>
  <c r="R30" i="1" l="1"/>
  <c r="I28" i="47"/>
  <c r="M28" i="47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5" i="50"/>
  <c r="J85" i="50" s="1"/>
  <c r="Q30" i="1"/>
  <c r="BN30" i="1" s="1"/>
  <c r="O31" i="1"/>
  <c r="E33" i="44"/>
  <c r="O32" i="1"/>
  <c r="I30" i="47" s="1"/>
  <c r="AT32" i="44"/>
  <c r="BG29" i="49"/>
  <c r="L32" i="1"/>
  <c r="D33" i="44"/>
  <c r="AN33" i="44"/>
  <c r="BM28" i="49"/>
  <c r="BA31" i="44"/>
  <c r="N31" i="1"/>
  <c r="G29" i="47"/>
  <c r="R31" i="1" l="1"/>
  <c r="I29" i="47"/>
  <c r="M29" i="47" s="1"/>
  <c r="J85" i="22"/>
  <c r="J85" i="2"/>
  <c r="Q31" i="1"/>
  <c r="BN31" i="1" s="1"/>
  <c r="R32" i="1"/>
  <c r="Q32" i="1"/>
  <c r="AG6" i="45"/>
  <c r="AG24" i="45" s="1"/>
  <c r="BD31" i="49" s="1"/>
  <c r="BA32" i="44"/>
  <c r="BM29" i="49"/>
  <c r="D34" i="44"/>
  <c r="L33" i="1"/>
  <c r="AN34" i="44"/>
  <c r="N32" i="1"/>
  <c r="G30" i="47"/>
  <c r="BG30" i="49"/>
  <c r="AT33" i="44"/>
  <c r="J83" i="29" l="1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0" i="50"/>
  <c r="J90" i="50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2" i="50"/>
  <c r="J92" i="50" s="1"/>
  <c r="J92" i="2"/>
  <c r="H83" i="50"/>
  <c r="J83" i="50" s="1"/>
  <c r="AN36" i="44"/>
  <c r="AN37" i="44"/>
  <c r="D37" i="44"/>
  <c r="D36" i="44"/>
  <c r="BN32" i="1"/>
  <c r="M30" i="47"/>
  <c r="O33" i="1"/>
  <c r="I31" i="47" s="1"/>
  <c r="E34" i="44"/>
  <c r="N33" i="1"/>
  <c r="N35" i="1" s="1"/>
  <c r="G31" i="47"/>
  <c r="L35" i="1"/>
  <c r="BA33" i="44"/>
  <c r="BM30" i="49"/>
  <c r="AT34" i="44"/>
  <c r="BG31" i="49"/>
  <c r="BG35" i="1"/>
  <c r="BO35" i="1" s="1"/>
  <c r="BP35" i="1" s="1"/>
  <c r="AC29" i="49" l="1"/>
  <c r="J96" i="29"/>
  <c r="J96" i="30"/>
  <c r="J88" i="29"/>
  <c r="J102" i="29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 i="29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 i="28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 i="4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 i="25"/>
  <c r="J78" i="40"/>
  <c r="J84" i="25"/>
  <c r="J84" i="40"/>
  <c r="J96" i="23"/>
  <c r="J96" i="24"/>
  <c r="J94" i="23"/>
  <c r="J94" i="24"/>
  <c r="J102" i="23"/>
  <c r="J102" i="24"/>
  <c r="J75" i="23"/>
  <c r="J75" i="24"/>
  <c r="H87" i="50"/>
  <c r="J87" i="50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89" i="50"/>
  <c r="J89" i="5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 i="21"/>
  <c r="J96" i="21"/>
  <c r="J94" i="21"/>
  <c r="J88" i="21"/>
  <c r="J84" i="21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 i="20"/>
  <c r="J84" i="19"/>
  <c r="J84" i="20"/>
  <c r="J102" i="19"/>
  <c r="J102" i="20"/>
  <c r="J82" i="19"/>
  <c r="J82" i="20"/>
  <c r="J74" i="18"/>
  <c r="J74" i="19"/>
  <c r="J76" i="18"/>
  <c r="J76" i="19"/>
  <c r="J88" i="19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 i="10"/>
  <c r="J94" i="9"/>
  <c r="J94" i="10"/>
  <c r="J84" i="9"/>
  <c r="J84" i="10"/>
  <c r="J82" i="9"/>
  <c r="J82" i="10"/>
  <c r="J102" i="9"/>
  <c r="J102" i="10"/>
  <c r="J77" i="8"/>
  <c r="J77" i="9"/>
  <c r="J88" i="9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 i="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 i="3"/>
  <c r="J76" i="2"/>
  <c r="J76" i="3"/>
  <c r="H102" i="50"/>
  <c r="J102" i="50" s="1"/>
  <c r="H94" i="50"/>
  <c r="J94" i="50" s="1"/>
  <c r="J74" i="2"/>
  <c r="H88" i="50"/>
  <c r="J88" i="50" s="1"/>
  <c r="H84" i="50"/>
  <c r="J84" i="50" s="1"/>
  <c r="J83" i="2"/>
  <c r="H96" i="50"/>
  <c r="J96" i="50" s="1"/>
  <c r="H82" i="50"/>
  <c r="J82" i="50" s="1"/>
  <c r="H77" i="50"/>
  <c r="J77" i="50" s="1"/>
  <c r="H78" i="50"/>
  <c r="J78" i="50" s="1"/>
  <c r="H74" i="50"/>
  <c r="J74" i="50" s="1"/>
  <c r="H76" i="50"/>
  <c r="J76" i="50" s="1"/>
  <c r="H62" i="50"/>
  <c r="J62" i="50" s="1"/>
  <c r="H75" i="50"/>
  <c r="J75" i="50" s="1"/>
  <c r="AT36" i="44"/>
  <c r="AT37" i="44"/>
  <c r="AH6" i="45"/>
  <c r="AH24" i="45" s="1"/>
  <c r="BD32" i="49" s="1"/>
  <c r="R33" i="1"/>
  <c r="Q33" i="1"/>
  <c r="BA34" i="44"/>
  <c r="BM31" i="49"/>
  <c r="J86" i="29" l="1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 i="22"/>
  <c r="J96" i="22"/>
  <c r="J102" i="22"/>
  <c r="J74" i="22"/>
  <c r="J76" i="22"/>
  <c r="J75" i="22"/>
  <c r="J84" i="22"/>
  <c r="J94" i="22"/>
  <c r="J82" i="22"/>
  <c r="J78" i="22"/>
  <c r="J77" i="22"/>
  <c r="J104" i="22"/>
  <c r="J91" i="21"/>
  <c r="J98" i="21"/>
  <c r="J100" i="21"/>
  <c r="J104" i="20"/>
  <c r="J104" i="21"/>
  <c r="J91" i="19"/>
  <c r="J98" i="19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 i="5"/>
  <c r="J100" i="33"/>
  <c r="J62" i="5"/>
  <c r="J104" i="4"/>
  <c r="J104" i="5"/>
  <c r="J91" i="3"/>
  <c r="J100" i="3"/>
  <c r="J100" i="4"/>
  <c r="J98" i="3"/>
  <c r="J98" i="4"/>
  <c r="J104" i="2"/>
  <c r="J104" i="3"/>
  <c r="J82" i="2"/>
  <c r="J84" i="2"/>
  <c r="J88" i="2"/>
  <c r="J102" i="2"/>
  <c r="J96" i="2"/>
  <c r="H91" i="50"/>
  <c r="J91" i="50" s="1"/>
  <c r="H98" i="50"/>
  <c r="J98" i="50" s="1"/>
  <c r="H100" i="50"/>
  <c r="J100" i="50" s="1"/>
  <c r="J94" i="2"/>
  <c r="H104" i="50"/>
  <c r="J104" i="50" s="1"/>
  <c r="H86" i="50"/>
  <c r="J86" i="50" s="1"/>
  <c r="O34" i="1"/>
  <c r="I32" i="47" s="1"/>
  <c r="E35" i="44"/>
  <c r="AD36" i="44" l="1"/>
  <c r="AD37" i="44"/>
  <c r="J86" i="30"/>
  <c r="J91" i="30"/>
  <c r="J98" i="22"/>
  <c r="J100" i="22"/>
  <c r="J91" i="22"/>
  <c r="J91" i="20"/>
  <c r="J91" i="33"/>
  <c r="J91" i="4"/>
  <c r="J98" i="2"/>
  <c r="J91" i="2"/>
  <c r="J100" i="2"/>
  <c r="E36" i="44"/>
  <c r="E37" i="44"/>
  <c r="Q34" i="1"/>
  <c r="R34" i="1"/>
  <c r="R35" i="1" s="1"/>
  <c r="O35" i="1"/>
  <c r="Q35" i="1" l="1"/>
  <c r="BN34" i="1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 i="2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3" i="50"/>
  <c r="J63" i="50" s="1"/>
  <c r="J71" i="2"/>
  <c r="H71" i="50"/>
  <c r="J71" i="50" s="1"/>
  <c r="H65" i="50"/>
  <c r="J65" i="50" s="1"/>
  <c r="J67" i="29" l="1"/>
  <c r="J67" i="30"/>
  <c r="J69" i="29"/>
  <c r="J69" i="30"/>
  <c r="J67" i="27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 i="22"/>
  <c r="J67" i="21"/>
  <c r="J69" i="21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 i="2"/>
  <c r="H67" i="50"/>
  <c r="J67" i="50" s="1"/>
  <c r="H69" i="50"/>
  <c r="J69" i="50" s="1"/>
  <c r="G33" i="1"/>
  <c r="J67" i="22" l="1"/>
  <c r="J69" i="22"/>
  <c r="J69" i="2"/>
  <c r="J67" i="2"/>
  <c r="G35" i="1"/>
  <c r="K33" i="1"/>
  <c r="BK33" i="1"/>
  <c r="BM33" i="1"/>
  <c r="BL33" i="1"/>
  <c r="B34" i="44"/>
  <c r="E31" i="47"/>
  <c r="B36" i="44" l="1"/>
  <c r="BC34" i="44"/>
  <c r="J97" i="29"/>
  <c r="J97" i="30"/>
  <c r="J99" i="29"/>
  <c r="J99" i="30"/>
  <c r="J95" i="29"/>
  <c r="J95" i="30"/>
  <c r="J103" i="29"/>
  <c r="J103" i="30"/>
  <c r="J105" i="29"/>
  <c r="J101" i="29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 i="22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 i="18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1" i="50"/>
  <c r="J101" i="50" s="1"/>
  <c r="H95" i="50"/>
  <c r="J95" i="50" s="1"/>
  <c r="H105" i="50"/>
  <c r="J105" i="50" s="1"/>
  <c r="H97" i="50"/>
  <c r="J97" i="50" s="1"/>
  <c r="H103" i="50"/>
  <c r="J103" i="50" s="1"/>
  <c r="H99" i="50"/>
  <c r="J99" i="50" s="1"/>
  <c r="B37" i="44"/>
  <c r="BC37" i="44" s="1"/>
  <c r="J35" i="1"/>
  <c r="BN33" i="1"/>
  <c r="BN35" i="1" s="1"/>
  <c r="M31" i="47"/>
  <c r="H35" i="1"/>
  <c r="H37" i="1" s="1"/>
  <c r="K35" i="1"/>
  <c r="BM35" i="1"/>
  <c r="BL35" i="1"/>
  <c r="BK35" i="1"/>
  <c r="J105" i="30" l="1"/>
  <c r="J95" i="22"/>
  <c r="J101" i="22"/>
  <c r="J97" i="22"/>
  <c r="J99" i="22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70" i="40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 i="21"/>
  <c r="J68" i="21"/>
  <c r="J66" i="21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4" i="50"/>
  <c r="J64" i="50" s="1"/>
  <c r="J70" i="2"/>
  <c r="H70" i="50"/>
  <c r="J70" i="50" s="1"/>
  <c r="H68" i="50"/>
  <c r="J68" i="50" s="1"/>
  <c r="H66" i="50"/>
  <c r="J66" i="50" s="1"/>
  <c r="J68" i="22" l="1"/>
  <c r="J64" i="22"/>
  <c r="J66" i="22"/>
  <c r="J70" i="22"/>
  <c r="J66" i="2"/>
  <c r="J64" i="2"/>
  <c r="J68" i="2"/>
  <c r="I60" i="3"/>
  <c r="I60" i="2"/>
  <c r="I18" i="17"/>
  <c r="I7" i="30"/>
  <c r="I7" i="31"/>
  <c r="I15" i="29"/>
  <c r="I15" i="25"/>
  <c r="I18" i="15"/>
  <c r="I15" i="27"/>
  <c r="I18" i="24"/>
  <c r="I7" i="21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5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8" i="50"/>
  <c r="I15" i="7"/>
  <c r="I7" i="4"/>
  <c r="I7" i="50"/>
  <c r="I15" i="14"/>
  <c r="I7" i="7"/>
  <c r="I15" i="22"/>
  <c r="I18" i="22"/>
  <c r="I15" i="16"/>
  <c r="I7" i="5"/>
  <c r="I7" i="33"/>
  <c r="J27" i="2"/>
  <c r="J30" i="2"/>
  <c r="J31" i="2"/>
  <c r="J28" i="2"/>
  <c r="J29" i="2"/>
  <c r="J32" i="2"/>
  <c r="J38" i="2"/>
  <c r="J37" i="2"/>
  <c r="J42" i="2"/>
  <c r="J43" i="2"/>
  <c r="J45" i="2"/>
  <c r="J44" i="2"/>
  <c r="J39" i="2"/>
  <c r="J41" i="2"/>
  <c r="J40" i="2"/>
  <c r="J36" i="2"/>
  <c r="J47" i="2"/>
  <c r="J35" i="2"/>
  <c r="J46" i="2"/>
  <c r="J50" i="2"/>
  <c r="J58" i="2"/>
  <c r="J57" i="2"/>
  <c r="J56" i="2"/>
  <c r="J60" i="2"/>
  <c r="J59" i="2"/>
  <c r="J53" i="2"/>
  <c r="J51" i="2"/>
  <c r="J54" i="2"/>
  <c r="J52" i="2"/>
  <c r="G5" i="44"/>
  <c r="BB5" i="44" s="1"/>
  <c r="BC5" i="44" s="1"/>
  <c r="J55" i="2"/>
  <c r="J49" i="2"/>
  <c r="F2" i="49" l="1"/>
  <c r="G36" i="44"/>
  <c r="BB36" i="44" s="1"/>
  <c r="BC36" i="44" s="1"/>
  <c r="J29" i="3"/>
  <c r="J27" i="3"/>
  <c r="J28" i="3"/>
  <c r="J30" i="3"/>
  <c r="J32" i="3"/>
  <c r="J31" i="3"/>
  <c r="J46" i="3"/>
  <c r="J37" i="3"/>
  <c r="J45" i="3"/>
  <c r="J41" i="3"/>
  <c r="J38" i="3"/>
  <c r="J47" i="3"/>
  <c r="J39" i="3"/>
  <c r="J40" i="3"/>
  <c r="J36" i="3"/>
  <c r="J42" i="3"/>
  <c r="J35" i="3"/>
  <c r="J44" i="3"/>
  <c r="J43" i="3"/>
  <c r="J56" i="3"/>
  <c r="J49" i="3"/>
  <c r="J58" i="3"/>
  <c r="J51" i="3"/>
  <c r="J52" i="3"/>
  <c r="J57" i="3"/>
  <c r="J60" i="3"/>
  <c r="J59" i="3"/>
  <c r="J50" i="3"/>
  <c r="J53" i="3"/>
  <c r="J55" i="3"/>
  <c r="J54" i="3"/>
  <c r="G12" i="4"/>
  <c r="H12" i="4" s="1"/>
  <c r="G11" i="4"/>
  <c r="H11" i="4" s="1"/>
  <c r="G13" i="4" l="1"/>
  <c r="H13" i="4" s="1"/>
  <c r="I60" i="4" l="1"/>
  <c r="I13" i="4"/>
  <c r="J7" i="4"/>
  <c r="I9" i="4" s="1"/>
  <c r="J12" i="4"/>
  <c r="J10" i="4"/>
  <c r="J8" i="4"/>
  <c r="J11" i="4"/>
  <c r="J9" i="4"/>
  <c r="J13" i="4"/>
  <c r="J15" i="4"/>
  <c r="I16" i="4" s="1"/>
  <c r="J19" i="4"/>
  <c r="J18" i="4"/>
  <c r="J20" i="4"/>
  <c r="I20" i="4" s="1"/>
  <c r="J22" i="4"/>
  <c r="J24" i="4"/>
  <c r="J23" i="4"/>
  <c r="J28" i="4"/>
  <c r="J27" i="4"/>
  <c r="J32" i="4"/>
  <c r="J29" i="4"/>
  <c r="J30" i="4"/>
  <c r="J31" i="4"/>
  <c r="J43" i="4"/>
  <c r="J45" i="4"/>
  <c r="J47" i="4"/>
  <c r="J41" i="4"/>
  <c r="J39" i="4"/>
  <c r="J37" i="4"/>
  <c r="J35" i="4"/>
  <c r="J42" i="4"/>
  <c r="J44" i="4"/>
  <c r="J38" i="4"/>
  <c r="J36" i="4"/>
  <c r="J46" i="4"/>
  <c r="J40" i="4"/>
  <c r="J58" i="4"/>
  <c r="J56" i="4"/>
  <c r="J52" i="4"/>
  <c r="J60" i="4"/>
  <c r="J57" i="4"/>
  <c r="J49" i="4"/>
  <c r="J55" i="4"/>
  <c r="J54" i="4"/>
  <c r="J51" i="4"/>
  <c r="J59" i="4"/>
  <c r="J53" i="4"/>
  <c r="J50" i="4"/>
  <c r="G12" i="5"/>
  <c r="H12" i="5" s="1"/>
  <c r="G11" i="5"/>
  <c r="G13" i="5" l="1"/>
  <c r="H13" i="5" s="1"/>
  <c r="H11" i="5"/>
  <c r="J7" i="5"/>
  <c r="I9" i="5" s="1"/>
  <c r="J8" i="5"/>
  <c r="J12" i="5"/>
  <c r="J9" i="5"/>
  <c r="J10" i="5"/>
  <c r="J15" i="5"/>
  <c r="I16" i="5" s="1"/>
  <c r="J19" i="5"/>
  <c r="J20" i="5"/>
  <c r="I20" i="5" s="1"/>
  <c r="J18" i="5"/>
  <c r="J24" i="5"/>
  <c r="J23" i="5"/>
  <c r="J22" i="5"/>
  <c r="J27" i="5"/>
  <c r="J31" i="5"/>
  <c r="J32" i="5"/>
  <c r="J30" i="5"/>
  <c r="J28" i="5"/>
  <c r="J29" i="5"/>
  <c r="J36" i="5"/>
  <c r="J46" i="5"/>
  <c r="J44" i="5"/>
  <c r="J37" i="5"/>
  <c r="J43" i="5"/>
  <c r="J41" i="5"/>
  <c r="J47" i="5"/>
  <c r="J42" i="5"/>
  <c r="J39" i="5"/>
  <c r="J38" i="5"/>
  <c r="J35" i="5"/>
  <c r="J40" i="5"/>
  <c r="J45" i="5"/>
  <c r="J59" i="5"/>
  <c r="J55" i="5"/>
  <c r="J56" i="5"/>
  <c r="J50" i="5"/>
  <c r="J49" i="5"/>
  <c r="J54" i="5"/>
  <c r="J57" i="5"/>
  <c r="J52" i="5"/>
  <c r="J53" i="5"/>
  <c r="J60" i="5"/>
  <c r="J58" i="5"/>
  <c r="J51" i="5"/>
  <c r="G11" i="9"/>
  <c r="G11" i="21"/>
  <c r="G11" i="33"/>
  <c r="G11" i="27"/>
  <c r="G12" i="10"/>
  <c r="G12" i="16"/>
  <c r="G11" i="16"/>
  <c r="G12" i="31"/>
  <c r="E11" i="50"/>
  <c r="G11" i="50" s="1"/>
  <c r="G12" i="8"/>
  <c r="G11" i="40"/>
  <c r="G11" i="10"/>
  <c r="G11" i="18"/>
  <c r="G12" i="25"/>
  <c r="G11" i="28"/>
  <c r="G12" i="11"/>
  <c r="G11" i="13"/>
  <c r="G12" i="21"/>
  <c r="G12" i="23"/>
  <c r="G11" i="19"/>
  <c r="G12" i="22"/>
  <c r="G12" i="19"/>
  <c r="E12" i="50"/>
  <c r="G12" i="50" s="1"/>
  <c r="G12" i="17"/>
  <c r="G11" i="31"/>
  <c r="G11" i="29"/>
  <c r="G12" i="24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i="33" s="1"/>
  <c r="G11" i="20"/>
  <c r="G12" i="15"/>
  <c r="G11" i="22"/>
  <c r="G12" i="40"/>
  <c r="G11" i="7"/>
  <c r="G12" i="9"/>
  <c r="G12" i="14"/>
  <c r="G12" i="7"/>
  <c r="G13" i="22" l="1"/>
  <c r="I60" i="22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2" i="31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H11" i="19" s="1"/>
  <c r="H11" i="20" s="1"/>
  <c r="H11" i="21" s="1"/>
  <c r="H11" i="22" s="1"/>
  <c r="H11" i="23" s="1"/>
  <c r="H11" i="24" s="1"/>
  <c r="H11" i="25" s="1"/>
  <c r="H11" i="40" s="1"/>
  <c r="H11" i="27" s="1"/>
  <c r="H11" i="28" s="1"/>
  <c r="H11" i="29" s="1"/>
  <c r="H11" i="30" s="1"/>
  <c r="H11" i="43" s="1"/>
  <c r="H11" i="31" s="1"/>
  <c r="J13" i="5"/>
  <c r="J11" i="5"/>
  <c r="I13" i="5"/>
  <c r="I60" i="5"/>
  <c r="G13" i="31"/>
  <c r="G13" i="23"/>
  <c r="I60" i="23" s="1"/>
  <c r="G13" i="17"/>
  <c r="I60" i="17" s="1"/>
  <c r="G13" i="14"/>
  <c r="G13" i="11"/>
  <c r="G13" i="7"/>
  <c r="G13" i="8"/>
  <c r="G13" i="15"/>
  <c r="G13" i="24"/>
  <c r="G13" i="25"/>
  <c r="G13" i="20"/>
  <c r="G13" i="30"/>
  <c r="G13" i="12"/>
  <c r="G13" i="13"/>
  <c r="G13" i="40"/>
  <c r="G13" i="18"/>
  <c r="G13" i="50"/>
  <c r="G13" i="29"/>
  <c r="G13" i="43"/>
  <c r="G13" i="10"/>
  <c r="G13" i="16"/>
  <c r="G13" i="19"/>
  <c r="G13" i="28"/>
  <c r="G13" i="9"/>
  <c r="G13" i="21"/>
  <c r="G13" i="27"/>
  <c r="G13" i="33"/>
  <c r="H13" i="33" s="1"/>
  <c r="H13" i="7" l="1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 i="31"/>
  <c r="I13" i="17"/>
  <c r="I60" i="10"/>
  <c r="I13" i="10"/>
  <c r="I60" i="30"/>
  <c r="I13" i="30"/>
  <c r="I13" i="7"/>
  <c r="I60" i="7"/>
  <c r="I60" i="14"/>
  <c r="I13" i="14"/>
  <c r="I60" i="27"/>
  <c r="I13" i="27"/>
  <c r="I13" i="28"/>
  <c r="I60" i="28"/>
  <c r="I13" i="19"/>
  <c r="I60" i="19"/>
  <c r="I13" i="16"/>
  <c r="I60" i="16"/>
  <c r="I60" i="43"/>
  <c r="I13" i="43"/>
  <c r="I13" i="13"/>
  <c r="I60" i="13"/>
  <c r="I60" i="20"/>
  <c r="I13" i="20"/>
  <c r="I13" i="25"/>
  <c r="I60" i="25"/>
  <c r="I60" i="21"/>
  <c r="I13" i="21"/>
  <c r="I60" i="15"/>
  <c r="I13" i="15"/>
  <c r="I60" i="8"/>
  <c r="I13" i="8"/>
  <c r="I13" i="11"/>
  <c r="I60" i="11"/>
  <c r="I60" i="12"/>
  <c r="I13" i="12"/>
  <c r="I60" i="33"/>
  <c r="I13" i="33"/>
  <c r="I13" i="50"/>
  <c r="I60" i="50"/>
  <c r="I13" i="40"/>
  <c r="I60" i="40"/>
  <c r="I13" i="9"/>
  <c r="I60" i="9"/>
  <c r="I13" i="29"/>
  <c r="I60" i="29"/>
  <c r="I13" i="18"/>
  <c r="I60" i="18"/>
  <c r="I13" i="24"/>
  <c r="I60" i="24"/>
  <c r="J7" i="33"/>
  <c r="I9" i="33" s="1"/>
  <c r="J9" i="33"/>
  <c r="J8" i="33"/>
  <c r="J12" i="33"/>
  <c r="J13" i="33"/>
  <c r="J11" i="33"/>
  <c r="J10" i="33"/>
  <c r="J15" i="33"/>
  <c r="I16" i="33" s="1"/>
  <c r="J18" i="33"/>
  <c r="J19" i="33"/>
  <c r="J20" i="33"/>
  <c r="I20" i="33" s="1"/>
  <c r="J24" i="33"/>
  <c r="J22" i="33"/>
  <c r="J23" i="33"/>
  <c r="J29" i="33"/>
  <c r="J31" i="33"/>
  <c r="J30" i="33"/>
  <c r="J28" i="33"/>
  <c r="J27" i="33"/>
  <c r="J32" i="33"/>
  <c r="J43" i="33"/>
  <c r="J39" i="33"/>
  <c r="J42" i="33"/>
  <c r="J45" i="33"/>
  <c r="J46" i="33"/>
  <c r="J37" i="33"/>
  <c r="J36" i="33"/>
  <c r="J35" i="33"/>
  <c r="J40" i="33"/>
  <c r="J38" i="33"/>
  <c r="J47" i="33"/>
  <c r="J41" i="33"/>
  <c r="J44" i="33"/>
  <c r="J50" i="33"/>
  <c r="J57" i="33"/>
  <c r="J58" i="33"/>
  <c r="J54" i="33"/>
  <c r="J56" i="33"/>
  <c r="J55" i="33"/>
  <c r="J59" i="33"/>
  <c r="J53" i="33"/>
  <c r="J49" i="33"/>
  <c r="J51" i="33"/>
  <c r="J60" i="33"/>
  <c r="J52" i="33"/>
  <c r="J7" i="7"/>
  <c r="I9" i="7" s="1"/>
  <c r="J10" i="7"/>
  <c r="J9" i="7"/>
  <c r="J12" i="7"/>
  <c r="J8" i="7"/>
  <c r="J11" i="7"/>
  <c r="J15" i="7"/>
  <c r="I16" i="7" s="1"/>
  <c r="J18" i="7"/>
  <c r="J19" i="7"/>
  <c r="J20" i="7"/>
  <c r="I20" i="7" s="1"/>
  <c r="J24" i="7"/>
  <c r="J22" i="7"/>
  <c r="J23" i="7"/>
  <c r="J30" i="7"/>
  <c r="J32" i="7"/>
  <c r="J27" i="7"/>
  <c r="J28" i="7"/>
  <c r="J31" i="7"/>
  <c r="J29" i="7"/>
  <c r="J37" i="7"/>
  <c r="J46" i="7"/>
  <c r="J47" i="7"/>
  <c r="J38" i="7"/>
  <c r="J44" i="7"/>
  <c r="J42" i="7"/>
  <c r="J35" i="7"/>
  <c r="J45" i="7"/>
  <c r="J41" i="7"/>
  <c r="J40" i="7"/>
  <c r="J36" i="7"/>
  <c r="J39" i="7"/>
  <c r="J43" i="7"/>
  <c r="J52" i="7"/>
  <c r="J58" i="7"/>
  <c r="J60" i="7"/>
  <c r="J57" i="7"/>
  <c r="J53" i="7"/>
  <c r="J49" i="7"/>
  <c r="J55" i="7"/>
  <c r="J56" i="7"/>
  <c r="J59" i="7"/>
  <c r="J54" i="7"/>
  <c r="J50" i="7"/>
  <c r="J51" i="7"/>
  <c r="J7" i="8"/>
  <c r="I9" i="8" s="1"/>
  <c r="J12" i="8"/>
  <c r="J9" i="8"/>
  <c r="J11" i="8"/>
  <c r="J10" i="8"/>
  <c r="J8" i="8"/>
  <c r="J15" i="8"/>
  <c r="I16" i="8" s="1"/>
  <c r="J19" i="8"/>
  <c r="J18" i="8"/>
  <c r="J20" i="8"/>
  <c r="I20" i="8" s="1"/>
  <c r="J22" i="8"/>
  <c r="J24" i="8"/>
  <c r="J23" i="8"/>
  <c r="J27" i="8"/>
  <c r="J30" i="8"/>
  <c r="J32" i="8"/>
  <c r="J29" i="8"/>
  <c r="J28" i="8"/>
  <c r="J31" i="8"/>
  <c r="J38" i="8"/>
  <c r="J36" i="8"/>
  <c r="J41" i="8"/>
  <c r="J35" i="8"/>
  <c r="J42" i="8"/>
  <c r="J37" i="8"/>
  <c r="J44" i="8"/>
  <c r="J46" i="8"/>
  <c r="J39" i="8"/>
  <c r="J40" i="8"/>
  <c r="J47" i="8"/>
  <c r="J45" i="8"/>
  <c r="J43" i="8"/>
  <c r="J52" i="8"/>
  <c r="J57" i="8"/>
  <c r="J60" i="8"/>
  <c r="J50" i="8"/>
  <c r="J55" i="8"/>
  <c r="J58" i="8"/>
  <c r="J51" i="8"/>
  <c r="J59" i="8"/>
  <c r="J53" i="8"/>
  <c r="J49" i="8"/>
  <c r="J56" i="8"/>
  <c r="J54" i="8"/>
  <c r="J7" i="9"/>
  <c r="I9" i="9" s="1"/>
  <c r="J8" i="9"/>
  <c r="J10" i="9"/>
  <c r="J12" i="9"/>
  <c r="J9" i="9"/>
  <c r="J11" i="9"/>
  <c r="J15" i="9"/>
  <c r="I16" i="9" s="1"/>
  <c r="J18" i="9"/>
  <c r="J19" i="9"/>
  <c r="J20" i="9"/>
  <c r="I20" i="9" s="1"/>
  <c r="J22" i="9"/>
  <c r="J24" i="9"/>
  <c r="J23" i="9"/>
  <c r="J29" i="9"/>
  <c r="J31" i="9"/>
  <c r="J30" i="9"/>
  <c r="J28" i="9"/>
  <c r="J32" i="9"/>
  <c r="J27" i="9"/>
  <c r="J40" i="9"/>
  <c r="J39" i="9"/>
  <c r="J36" i="9"/>
  <c r="J37" i="9"/>
  <c r="J42" i="9"/>
  <c r="J44" i="9"/>
  <c r="J46" i="9"/>
  <c r="J41" i="9"/>
  <c r="J47" i="9"/>
  <c r="J43" i="9"/>
  <c r="J38" i="9"/>
  <c r="J35" i="9"/>
  <c r="J45" i="9"/>
  <c r="J54" i="9"/>
  <c r="J59" i="9"/>
  <c r="J49" i="9"/>
  <c r="J57" i="9"/>
  <c r="J50" i="9"/>
  <c r="J53" i="9"/>
  <c r="J51" i="9"/>
  <c r="J55" i="9"/>
  <c r="J58" i="9"/>
  <c r="J52" i="9"/>
  <c r="J60" i="9"/>
  <c r="J56" i="9"/>
  <c r="J7" i="10"/>
  <c r="I9" i="10" s="1"/>
  <c r="J12" i="10"/>
  <c r="J8" i="10"/>
  <c r="J9" i="10"/>
  <c r="J11" i="10"/>
  <c r="J10" i="10"/>
  <c r="J15" i="10"/>
  <c r="I16" i="10" s="1"/>
  <c r="J19" i="10"/>
  <c r="J18" i="10"/>
  <c r="J20" i="10"/>
  <c r="I20" i="10" s="1"/>
  <c r="J24" i="10"/>
  <c r="J22" i="10"/>
  <c r="J23" i="10"/>
  <c r="J27" i="10"/>
  <c r="J31" i="10"/>
  <c r="J29" i="10"/>
  <c r="J28" i="10"/>
  <c r="J30" i="10"/>
  <c r="J32" i="10"/>
  <c r="J45" i="10"/>
  <c r="J37" i="10"/>
  <c r="J42" i="10"/>
  <c r="J36" i="10"/>
  <c r="J43" i="10"/>
  <c r="J38" i="10"/>
  <c r="J40" i="10"/>
  <c r="J39" i="10"/>
  <c r="J35" i="10"/>
  <c r="J47" i="10"/>
  <c r="J41" i="10"/>
  <c r="J44" i="10"/>
  <c r="J46" i="10"/>
  <c r="J55" i="10"/>
  <c r="J60" i="10"/>
  <c r="J57" i="10"/>
  <c r="J56" i="10"/>
  <c r="J50" i="10"/>
  <c r="J52" i="10"/>
  <c r="J51" i="10"/>
  <c r="J53" i="10"/>
  <c r="J58" i="10"/>
  <c r="J59" i="10"/>
  <c r="J49" i="10"/>
  <c r="J54" i="10"/>
  <c r="J7" i="11"/>
  <c r="I9" i="11" s="1"/>
  <c r="J12" i="11"/>
  <c r="J9" i="11"/>
  <c r="J11" i="11"/>
  <c r="J10" i="11"/>
  <c r="J8" i="11"/>
  <c r="J15" i="11"/>
  <c r="I16" i="11" s="1"/>
  <c r="J19" i="11"/>
  <c r="J20" i="11"/>
  <c r="I20" i="11" s="1"/>
  <c r="J18" i="11"/>
  <c r="J23" i="11"/>
  <c r="J24" i="11"/>
  <c r="J22" i="11"/>
  <c r="J29" i="11"/>
  <c r="J27" i="11"/>
  <c r="J31" i="11"/>
  <c r="J32" i="11"/>
  <c r="J30" i="11"/>
  <c r="J28" i="11"/>
  <c r="J45" i="11"/>
  <c r="J38" i="11"/>
  <c r="J43" i="11"/>
  <c r="J37" i="11"/>
  <c r="J35" i="11"/>
  <c r="J39" i="11"/>
  <c r="J36" i="11"/>
  <c r="J40" i="11"/>
  <c r="J41" i="11"/>
  <c r="J46" i="11"/>
  <c r="J47" i="11"/>
  <c r="J44" i="11"/>
  <c r="J42" i="11"/>
  <c r="J60" i="11"/>
  <c r="J53" i="11"/>
  <c r="J56" i="11"/>
  <c r="J52" i="11"/>
  <c r="J59" i="11"/>
  <c r="J58" i="11"/>
  <c r="J50" i="11"/>
  <c r="J49" i="11"/>
  <c r="J55" i="11"/>
  <c r="J54" i="11"/>
  <c r="J57" i="11"/>
  <c r="J51" i="11"/>
  <c r="J7" i="12"/>
  <c r="I9" i="12" s="1"/>
  <c r="J10" i="12"/>
  <c r="J12" i="12"/>
  <c r="J11" i="12"/>
  <c r="J9" i="12"/>
  <c r="J15" i="12"/>
  <c r="I16" i="12" s="1"/>
  <c r="J19" i="12"/>
  <c r="J18" i="12"/>
  <c r="J20" i="12"/>
  <c r="I20" i="12" s="1"/>
  <c r="J22" i="12"/>
  <c r="J24" i="12"/>
  <c r="J23" i="12"/>
  <c r="J28" i="12"/>
  <c r="J30" i="12"/>
  <c r="J32" i="12"/>
  <c r="J29" i="12"/>
  <c r="J27" i="12"/>
  <c r="J31" i="12"/>
  <c r="J45" i="12"/>
  <c r="J38" i="12"/>
  <c r="J42" i="12"/>
  <c r="J44" i="12"/>
  <c r="J35" i="12"/>
  <c r="J43" i="12"/>
  <c r="J40" i="12"/>
  <c r="J41" i="12"/>
  <c r="J46" i="12"/>
  <c r="J36" i="12"/>
  <c r="J37" i="12"/>
  <c r="J47" i="12"/>
  <c r="J39" i="12"/>
  <c r="J56" i="12"/>
  <c r="J49" i="12"/>
  <c r="J59" i="12"/>
  <c r="J54" i="12"/>
  <c r="J50" i="12"/>
  <c r="J51" i="12"/>
  <c r="J55" i="12"/>
  <c r="J58" i="12"/>
  <c r="J53" i="12"/>
  <c r="J57" i="12"/>
  <c r="J60" i="12"/>
  <c r="J52" i="12"/>
  <c r="J7" i="13"/>
  <c r="I9" i="13" s="1"/>
  <c r="J12" i="13"/>
  <c r="J11" i="13"/>
  <c r="J9" i="13"/>
  <c r="J10" i="13"/>
  <c r="J15" i="13"/>
  <c r="I16" i="13" s="1"/>
  <c r="J20" i="13"/>
  <c r="I20" i="13" s="1"/>
  <c r="J19" i="13"/>
  <c r="J18" i="13"/>
  <c r="J23" i="13"/>
  <c r="J24" i="13"/>
  <c r="J22" i="13"/>
  <c r="J30" i="13"/>
  <c r="J29" i="13"/>
  <c r="J31" i="13"/>
  <c r="J32" i="13"/>
  <c r="J27" i="13"/>
  <c r="J28" i="13"/>
  <c r="J44" i="13"/>
  <c r="J38" i="13"/>
  <c r="J42" i="13"/>
  <c r="J37" i="13"/>
  <c r="J45" i="13"/>
  <c r="J46" i="13"/>
  <c r="J40" i="13"/>
  <c r="J43" i="13"/>
  <c r="J36" i="13"/>
  <c r="J41" i="13"/>
  <c r="J47" i="13"/>
  <c r="J39" i="13"/>
  <c r="J35" i="13"/>
  <c r="J60" i="13"/>
  <c r="J54" i="13"/>
  <c r="J53" i="13"/>
  <c r="J56" i="13"/>
  <c r="J50" i="13"/>
  <c r="J49" i="13"/>
  <c r="J55" i="13"/>
  <c r="J59" i="13"/>
  <c r="J52" i="13"/>
  <c r="J57" i="13"/>
  <c r="J51" i="13"/>
  <c r="J58" i="13"/>
  <c r="J7" i="14"/>
  <c r="I9" i="14" s="1"/>
  <c r="J10" i="14"/>
  <c r="J12" i="14"/>
  <c r="J11" i="14"/>
  <c r="J9" i="14"/>
  <c r="J15" i="14"/>
  <c r="I16" i="14" s="1"/>
  <c r="J19" i="14"/>
  <c r="J18" i="14"/>
  <c r="J20" i="14"/>
  <c r="I20" i="14" s="1"/>
  <c r="J24" i="14"/>
  <c r="J22" i="14"/>
  <c r="J23" i="14"/>
  <c r="J30" i="14"/>
  <c r="J27" i="14"/>
  <c r="J29" i="14"/>
  <c r="J32" i="14"/>
  <c r="J28" i="14"/>
  <c r="J31" i="14"/>
  <c r="J44" i="14"/>
  <c r="J36" i="14"/>
  <c r="J42" i="14"/>
  <c r="J39" i="14"/>
  <c r="J37" i="14"/>
  <c r="J43" i="14"/>
  <c r="J41" i="14"/>
  <c r="J35" i="14"/>
  <c r="J45" i="14"/>
  <c r="J40" i="14"/>
  <c r="J47" i="14"/>
  <c r="J38" i="14"/>
  <c r="J46" i="14"/>
  <c r="J54" i="14"/>
  <c r="J55" i="14"/>
  <c r="J60" i="14"/>
  <c r="J53" i="14"/>
  <c r="J51" i="14"/>
  <c r="J56" i="14"/>
  <c r="J57" i="14"/>
  <c r="J58" i="14"/>
  <c r="J49" i="14"/>
  <c r="J59" i="14"/>
  <c r="J52" i="14"/>
  <c r="J50" i="14"/>
  <c r="J7" i="15"/>
  <c r="I9" i="15" s="1"/>
  <c r="J12" i="15"/>
  <c r="J11" i="15"/>
  <c r="J9" i="15"/>
  <c r="J10" i="15"/>
  <c r="J15" i="15"/>
  <c r="I16" i="15" s="1"/>
  <c r="J19" i="15"/>
  <c r="J20" i="15"/>
  <c r="I20" i="15" s="1"/>
  <c r="J18" i="15"/>
  <c r="J22" i="15"/>
  <c r="J23" i="15"/>
  <c r="J24" i="15"/>
  <c r="J32" i="15"/>
  <c r="J29" i="15"/>
  <c r="J31" i="15"/>
  <c r="J27" i="15"/>
  <c r="J30" i="15"/>
  <c r="J28" i="15"/>
  <c r="J46" i="15"/>
  <c r="J47" i="15"/>
  <c r="J36" i="15"/>
  <c r="J35" i="15"/>
  <c r="J45" i="15"/>
  <c r="J41" i="15"/>
  <c r="J38" i="15"/>
  <c r="J44" i="15"/>
  <c r="J37" i="15"/>
  <c r="J39" i="15"/>
  <c r="J40" i="15"/>
  <c r="J43" i="15"/>
  <c r="J42" i="15"/>
  <c r="J55" i="15"/>
  <c r="J53" i="15"/>
  <c r="J58" i="15"/>
  <c r="J60" i="15"/>
  <c r="J59" i="15"/>
  <c r="J57" i="15"/>
  <c r="J54" i="15"/>
  <c r="J49" i="15"/>
  <c r="J50" i="15"/>
  <c r="J56" i="15"/>
  <c r="J51" i="15"/>
  <c r="J52" i="15"/>
  <c r="J7" i="16"/>
  <c r="I9" i="16" s="1"/>
  <c r="J12" i="16"/>
  <c r="J10" i="16"/>
  <c r="J9" i="16"/>
  <c r="J11" i="16"/>
  <c r="J15" i="16"/>
  <c r="I16" i="16" s="1"/>
  <c r="J18" i="16"/>
  <c r="J19" i="16"/>
  <c r="J20" i="16"/>
  <c r="I20" i="16" s="1"/>
  <c r="J23" i="16"/>
  <c r="J24" i="16"/>
  <c r="J22" i="16"/>
  <c r="J27" i="16"/>
  <c r="J31" i="16"/>
  <c r="J29" i="16"/>
  <c r="J30" i="16"/>
  <c r="J32" i="16"/>
  <c r="J28" i="16"/>
  <c r="J40" i="16"/>
  <c r="J46" i="16"/>
  <c r="J41" i="16"/>
  <c r="J44" i="16"/>
  <c r="J36" i="16"/>
  <c r="J42" i="16"/>
  <c r="J39" i="16"/>
  <c r="J35" i="16"/>
  <c r="J47" i="16"/>
  <c r="J45" i="16"/>
  <c r="J43" i="16"/>
  <c r="J37" i="16"/>
  <c r="J38" i="16"/>
  <c r="J58" i="16"/>
  <c r="J51" i="16"/>
  <c r="J59" i="16"/>
  <c r="J54" i="16"/>
  <c r="J57" i="16"/>
  <c r="J56" i="16"/>
  <c r="J50" i="16"/>
  <c r="J52" i="16"/>
  <c r="J49" i="16"/>
  <c r="J55" i="16"/>
  <c r="J60" i="16"/>
  <c r="J53" i="16"/>
  <c r="J7" i="17"/>
  <c r="I9" i="17" s="1"/>
  <c r="J10" i="17"/>
  <c r="J9" i="17"/>
  <c r="J11" i="17"/>
  <c r="J12" i="17"/>
  <c r="J15" i="17"/>
  <c r="I16" i="17" s="1"/>
  <c r="J18" i="17"/>
  <c r="J19" i="17"/>
  <c r="J20" i="17"/>
  <c r="I20" i="17" s="1"/>
  <c r="J24" i="17"/>
  <c r="J22" i="17"/>
  <c r="J23" i="17"/>
  <c r="J32" i="17"/>
  <c r="J30" i="17"/>
  <c r="J28" i="17"/>
  <c r="J27" i="17"/>
  <c r="J29" i="17"/>
  <c r="J31" i="17"/>
  <c r="J36" i="17"/>
  <c r="J43" i="17"/>
  <c r="J37" i="17"/>
  <c r="J41" i="17"/>
  <c r="J46" i="17"/>
  <c r="J38" i="17"/>
  <c r="J42" i="17"/>
  <c r="J40" i="17"/>
  <c r="J47" i="17"/>
  <c r="J45" i="17"/>
  <c r="J39" i="17"/>
  <c r="J35" i="17"/>
  <c r="J44" i="17"/>
  <c r="J52" i="17"/>
  <c r="J60" i="17"/>
  <c r="J56" i="17"/>
  <c r="J57" i="17"/>
  <c r="J55" i="17"/>
  <c r="J53" i="17"/>
  <c r="J54" i="17"/>
  <c r="J50" i="17"/>
  <c r="J58" i="17"/>
  <c r="J49" i="17"/>
  <c r="J59" i="17"/>
  <c r="J51" i="17"/>
  <c r="J7" i="18"/>
  <c r="I9" i="18" s="1"/>
  <c r="J9" i="18"/>
  <c r="J12" i="18"/>
  <c r="J11" i="18"/>
  <c r="J10" i="18"/>
  <c r="J15" i="18"/>
  <c r="I16" i="18" s="1"/>
  <c r="J20" i="18"/>
  <c r="I20" i="18" s="1"/>
  <c r="J19" i="18"/>
  <c r="J18" i="18"/>
  <c r="J24" i="18"/>
  <c r="J22" i="18"/>
  <c r="J23" i="18"/>
  <c r="J29" i="18"/>
  <c r="J27" i="18"/>
  <c r="J30" i="18"/>
  <c r="J32" i="18"/>
  <c r="J31" i="18"/>
  <c r="J28" i="18"/>
  <c r="J40" i="18"/>
  <c r="J38" i="18"/>
  <c r="J45" i="18"/>
  <c r="J47" i="18"/>
  <c r="J35" i="18"/>
  <c r="J46" i="18"/>
  <c r="J39" i="18"/>
  <c r="J44" i="18"/>
  <c r="J43" i="18"/>
  <c r="J36" i="18"/>
  <c r="J41" i="18"/>
  <c r="J37" i="18"/>
  <c r="J42" i="18"/>
  <c r="J57" i="18"/>
  <c r="J60" i="18"/>
  <c r="J54" i="18"/>
  <c r="J53" i="18"/>
  <c r="J55" i="18"/>
  <c r="J49" i="18"/>
  <c r="J58" i="18"/>
  <c r="J51" i="18"/>
  <c r="J52" i="18"/>
  <c r="J59" i="18"/>
  <c r="J50" i="18"/>
  <c r="J56" i="18"/>
  <c r="J7" i="19"/>
  <c r="I9" i="19" s="1"/>
  <c r="J10" i="19"/>
  <c r="J12" i="19"/>
  <c r="J9" i="19"/>
  <c r="J11" i="19"/>
  <c r="J15" i="19"/>
  <c r="I16" i="19" s="1"/>
  <c r="J19" i="19"/>
  <c r="J18" i="19"/>
  <c r="J20" i="19"/>
  <c r="I20" i="19" s="1"/>
  <c r="J24" i="19"/>
  <c r="J23" i="19"/>
  <c r="J22" i="19"/>
  <c r="J30" i="19"/>
  <c r="J27" i="19"/>
  <c r="J31" i="19"/>
  <c r="J29" i="19"/>
  <c r="J28" i="19"/>
  <c r="J32" i="19"/>
  <c r="J35" i="19"/>
  <c r="J40" i="19"/>
  <c r="J46" i="19"/>
  <c r="J38" i="19"/>
  <c r="J45" i="19"/>
  <c r="J43" i="19"/>
  <c r="J37" i="19"/>
  <c r="J36" i="19"/>
  <c r="J41" i="19"/>
  <c r="J39" i="19"/>
  <c r="J42" i="19"/>
  <c r="J44" i="19"/>
  <c r="J47" i="19"/>
  <c r="J52" i="19"/>
  <c r="J59" i="19"/>
  <c r="J53" i="19"/>
  <c r="J51" i="19"/>
  <c r="J49" i="19"/>
  <c r="J57" i="19"/>
  <c r="J56" i="19"/>
  <c r="J50" i="19"/>
  <c r="J60" i="19"/>
  <c r="J58" i="19"/>
  <c r="J55" i="19"/>
  <c r="J54" i="19"/>
  <c r="J7" i="20"/>
  <c r="I9" i="20" s="1"/>
  <c r="J11" i="20"/>
  <c r="J9" i="20"/>
  <c r="J10" i="20"/>
  <c r="J12" i="20"/>
  <c r="J15" i="20"/>
  <c r="I16" i="20" s="1"/>
  <c r="J18" i="20"/>
  <c r="J19" i="20"/>
  <c r="J20" i="20"/>
  <c r="I20" i="20" s="1"/>
  <c r="J22" i="20"/>
  <c r="J23" i="20"/>
  <c r="J24" i="20"/>
  <c r="J32" i="20"/>
  <c r="J27" i="20"/>
  <c r="J28" i="20"/>
  <c r="J29" i="20"/>
  <c r="J30" i="20"/>
  <c r="J31" i="20"/>
  <c r="J41" i="20"/>
  <c r="J39" i="20"/>
  <c r="J36" i="20"/>
  <c r="J42" i="20"/>
  <c r="J47" i="20"/>
  <c r="J43" i="20"/>
  <c r="J46" i="20"/>
  <c r="J35" i="20"/>
  <c r="J38" i="20"/>
  <c r="J37" i="20"/>
  <c r="J40" i="20"/>
  <c r="J44" i="20"/>
  <c r="J45" i="20"/>
  <c r="J57" i="20"/>
  <c r="J58" i="20"/>
  <c r="J54" i="20"/>
  <c r="J53" i="20"/>
  <c r="J49" i="20"/>
  <c r="J51" i="20"/>
  <c r="J60" i="20"/>
  <c r="J52" i="20"/>
  <c r="J55" i="20"/>
  <c r="J56" i="20"/>
  <c r="J59" i="20"/>
  <c r="J50" i="20"/>
  <c r="J7" i="21"/>
  <c r="I9" i="21" s="1"/>
  <c r="J12" i="21"/>
  <c r="J10" i="21"/>
  <c r="J11" i="21"/>
  <c r="J9" i="21"/>
  <c r="J15" i="21"/>
  <c r="I16" i="21" s="1"/>
  <c r="J19" i="21"/>
  <c r="J18" i="21"/>
  <c r="J20" i="21"/>
  <c r="I20" i="21" s="1"/>
  <c r="J23" i="21"/>
  <c r="J22" i="21"/>
  <c r="J24" i="21"/>
  <c r="J31" i="21"/>
  <c r="J28" i="21"/>
  <c r="J29" i="21"/>
  <c r="J27" i="21"/>
  <c r="J32" i="21"/>
  <c r="J30" i="21"/>
  <c r="J44" i="21"/>
  <c r="J45" i="21"/>
  <c r="J35" i="21"/>
  <c r="J37" i="21"/>
  <c r="J41" i="21"/>
  <c r="J47" i="21"/>
  <c r="J46" i="21"/>
  <c r="J42" i="21"/>
  <c r="J39" i="21"/>
  <c r="J38" i="21"/>
  <c r="J40" i="21"/>
  <c r="J43" i="21"/>
  <c r="J36" i="21"/>
  <c r="J58" i="21"/>
  <c r="J56" i="21"/>
  <c r="J53" i="21"/>
  <c r="J52" i="21"/>
  <c r="J54" i="21"/>
  <c r="J59" i="21"/>
  <c r="J49" i="21"/>
  <c r="J50" i="21"/>
  <c r="J51" i="21"/>
  <c r="J60" i="21"/>
  <c r="J57" i="21"/>
  <c r="J55" i="21"/>
  <c r="J7" i="22"/>
  <c r="I9" i="22" s="1"/>
  <c r="J10" i="22"/>
  <c r="J11" i="22"/>
  <c r="J12" i="22"/>
  <c r="J9" i="22"/>
  <c r="J15" i="22"/>
  <c r="I16" i="22" s="1"/>
  <c r="J18" i="22"/>
  <c r="J19" i="22"/>
  <c r="J20" i="22"/>
  <c r="I20" i="22" s="1"/>
  <c r="J24" i="22"/>
  <c r="J23" i="22"/>
  <c r="J22" i="22"/>
  <c r="J28" i="22"/>
  <c r="J30" i="22"/>
  <c r="J32" i="22"/>
  <c r="J29" i="22"/>
  <c r="J31" i="22"/>
  <c r="J27" i="22"/>
  <c r="J35" i="22"/>
  <c r="J36" i="22"/>
  <c r="J37" i="22"/>
  <c r="J47" i="22"/>
  <c r="J38" i="22"/>
  <c r="J45" i="22"/>
  <c r="J40" i="22"/>
  <c r="J39" i="22"/>
  <c r="J46" i="22"/>
  <c r="J41" i="22"/>
  <c r="J44" i="22"/>
  <c r="J42" i="22"/>
  <c r="J43" i="22"/>
  <c r="J50" i="22"/>
  <c r="J59" i="22"/>
  <c r="J49" i="22"/>
  <c r="J54" i="22"/>
  <c r="J52" i="22"/>
  <c r="J57" i="22"/>
  <c r="J55" i="22"/>
  <c r="J53" i="22"/>
  <c r="J58" i="22"/>
  <c r="J51" i="22"/>
  <c r="J56" i="22"/>
  <c r="J60" i="22"/>
  <c r="J7" i="23"/>
  <c r="I9" i="23" s="1"/>
  <c r="J9" i="23"/>
  <c r="J10" i="23"/>
  <c r="J12" i="23"/>
  <c r="J11" i="23"/>
  <c r="J15" i="23"/>
  <c r="I16" i="23" s="1"/>
  <c r="J19" i="23"/>
  <c r="J18" i="23"/>
  <c r="J20" i="23"/>
  <c r="I20" i="23" s="1"/>
  <c r="J24" i="23"/>
  <c r="J22" i="23"/>
  <c r="J23" i="23"/>
  <c r="J29" i="23"/>
  <c r="J31" i="23"/>
  <c r="J30" i="23"/>
  <c r="J28" i="23"/>
  <c r="J27" i="23"/>
  <c r="J32" i="23"/>
  <c r="J38" i="23"/>
  <c r="J46" i="23"/>
  <c r="J47" i="23"/>
  <c r="J35" i="23"/>
  <c r="J41" i="23"/>
  <c r="J39" i="23"/>
  <c r="J36" i="23"/>
  <c r="J40" i="23"/>
  <c r="J43" i="23"/>
  <c r="J37" i="23"/>
  <c r="J45" i="23"/>
  <c r="J42" i="23"/>
  <c r="J44" i="23"/>
  <c r="J57" i="23"/>
  <c r="J60" i="23"/>
  <c r="J49" i="23"/>
  <c r="J50" i="23"/>
  <c r="J54" i="23"/>
  <c r="J55" i="23"/>
  <c r="J58" i="23"/>
  <c r="J51" i="23"/>
  <c r="J56" i="23"/>
  <c r="J53" i="23"/>
  <c r="J59" i="23"/>
  <c r="J52" i="23"/>
  <c r="J7" i="24"/>
  <c r="I9" i="24" s="1"/>
  <c r="J9" i="24"/>
  <c r="J12" i="24"/>
  <c r="J11" i="24"/>
  <c r="J10" i="24"/>
  <c r="J15" i="24"/>
  <c r="I16" i="24" s="1"/>
  <c r="J19" i="24"/>
  <c r="J18" i="24"/>
  <c r="J20" i="24"/>
  <c r="I20" i="24" s="1"/>
  <c r="J23" i="24"/>
  <c r="J24" i="24"/>
  <c r="J22" i="24"/>
  <c r="J31" i="24"/>
  <c r="J30" i="24"/>
  <c r="J27" i="24"/>
  <c r="J28" i="24"/>
  <c r="J32" i="24"/>
  <c r="J29" i="24"/>
  <c r="J46" i="24"/>
  <c r="J43" i="24"/>
  <c r="J47" i="24"/>
  <c r="J44" i="24"/>
  <c r="J38" i="24"/>
  <c r="J40" i="24"/>
  <c r="J37" i="24"/>
  <c r="J42" i="24"/>
  <c r="J45" i="24"/>
  <c r="J36" i="24"/>
  <c r="J35" i="24"/>
  <c r="J39" i="24"/>
  <c r="J41" i="24"/>
  <c r="J52" i="24"/>
  <c r="J59" i="24"/>
  <c r="J50" i="24"/>
  <c r="J49" i="24"/>
  <c r="J55" i="24"/>
  <c r="J51" i="24"/>
  <c r="J54" i="24"/>
  <c r="J57" i="24"/>
  <c r="J56" i="24"/>
  <c r="J58" i="24"/>
  <c r="J53" i="24"/>
  <c r="J60" i="24"/>
  <c r="J7" i="25"/>
  <c r="I9" i="25" s="1"/>
  <c r="J11" i="25"/>
  <c r="J9" i="25"/>
  <c r="J12" i="25"/>
  <c r="J10" i="25"/>
  <c r="J15" i="25"/>
  <c r="I16" i="25" s="1"/>
  <c r="J19" i="25"/>
  <c r="J20" i="25"/>
  <c r="I20" i="25" s="1"/>
  <c r="J18" i="25"/>
  <c r="J22" i="25"/>
  <c r="J24" i="25"/>
  <c r="J23" i="25"/>
  <c r="J27" i="25"/>
  <c r="J29" i="25"/>
  <c r="J32" i="25"/>
  <c r="J28" i="25"/>
  <c r="J31" i="25"/>
  <c r="J30" i="25"/>
  <c r="J35" i="25"/>
  <c r="J45" i="25"/>
  <c r="J39" i="25"/>
  <c r="J46" i="25"/>
  <c r="J36" i="25"/>
  <c r="J43" i="25"/>
  <c r="J47" i="25"/>
  <c r="J40" i="25"/>
  <c r="J38" i="25"/>
  <c r="J42" i="25"/>
  <c r="J44" i="25"/>
  <c r="J37" i="25"/>
  <c r="J41" i="25"/>
  <c r="J56" i="25"/>
  <c r="J54" i="25"/>
  <c r="J58" i="25"/>
  <c r="J53" i="25"/>
  <c r="J60" i="25"/>
  <c r="J59" i="25"/>
  <c r="J50" i="25"/>
  <c r="J51" i="25"/>
  <c r="J49" i="25"/>
  <c r="J55" i="25"/>
  <c r="J52" i="25"/>
  <c r="J57" i="25"/>
  <c r="J7" i="40"/>
  <c r="I9" i="40" s="1"/>
  <c r="J10" i="40"/>
  <c r="J9" i="40"/>
  <c r="J12" i="40"/>
  <c r="J11" i="40"/>
  <c r="J15" i="40"/>
  <c r="I16" i="40" s="1"/>
  <c r="J19" i="40"/>
  <c r="J18" i="40"/>
  <c r="J20" i="40"/>
  <c r="I20" i="40" s="1"/>
  <c r="J24" i="40"/>
  <c r="J23" i="40"/>
  <c r="J22" i="40"/>
  <c r="J38" i="40"/>
  <c r="J47" i="40"/>
  <c r="J35" i="40"/>
  <c r="J37" i="40"/>
  <c r="J44" i="40"/>
  <c r="J41" i="40"/>
  <c r="J42" i="40"/>
  <c r="J46" i="40"/>
  <c r="J40" i="40"/>
  <c r="J43" i="40"/>
  <c r="J45" i="40"/>
  <c r="J36" i="40"/>
  <c r="J39" i="40"/>
  <c r="J32" i="40"/>
  <c r="J27" i="40"/>
  <c r="J29" i="40"/>
  <c r="J28" i="40"/>
  <c r="J31" i="40"/>
  <c r="J30" i="40"/>
  <c r="J49" i="40"/>
  <c r="J55" i="40"/>
  <c r="J54" i="40"/>
  <c r="J59" i="40"/>
  <c r="J57" i="40"/>
  <c r="J60" i="40"/>
  <c r="J53" i="40"/>
  <c r="J50" i="40"/>
  <c r="J51" i="40"/>
  <c r="J52" i="40"/>
  <c r="J56" i="40"/>
  <c r="J58" i="40"/>
  <c r="J7" i="27"/>
  <c r="I9" i="27" s="1"/>
  <c r="J9" i="27"/>
  <c r="J12" i="27"/>
  <c r="J10" i="27"/>
  <c r="J11" i="27"/>
  <c r="J15" i="27"/>
  <c r="I16" i="27" s="1"/>
  <c r="J20" i="27"/>
  <c r="I20" i="27" s="1"/>
  <c r="J18" i="27"/>
  <c r="J19" i="27"/>
  <c r="J23" i="27"/>
  <c r="J22" i="27"/>
  <c r="J24" i="27"/>
  <c r="J30" i="27"/>
  <c r="J28" i="27"/>
  <c r="J31" i="27"/>
  <c r="J29" i="27"/>
  <c r="J27" i="27"/>
  <c r="J32" i="27"/>
  <c r="J37" i="27"/>
  <c r="J35" i="27"/>
  <c r="J41" i="27"/>
  <c r="J45" i="27"/>
  <c r="J47" i="27"/>
  <c r="J40" i="27"/>
  <c r="J36" i="27"/>
  <c r="J43" i="27"/>
  <c r="J46" i="27"/>
  <c r="J38" i="27"/>
  <c r="J42" i="27"/>
  <c r="J39" i="27"/>
  <c r="J44" i="27"/>
  <c r="J56" i="27"/>
  <c r="J57" i="27"/>
  <c r="J51" i="27"/>
  <c r="J49" i="27"/>
  <c r="J55" i="27"/>
  <c r="J59" i="27"/>
  <c r="J53" i="27"/>
  <c r="J52" i="27"/>
  <c r="J54" i="27"/>
  <c r="J50" i="27"/>
  <c r="J58" i="27"/>
  <c r="J60" i="27"/>
  <c r="J7" i="28"/>
  <c r="I9" i="28" s="1"/>
  <c r="J11" i="28"/>
  <c r="J12" i="28"/>
  <c r="J9" i="28"/>
  <c r="J10" i="28"/>
  <c r="J15" i="28"/>
  <c r="I16" i="28" s="1"/>
  <c r="J18" i="28"/>
  <c r="J19" i="28"/>
  <c r="J20" i="28"/>
  <c r="I20" i="28" s="1"/>
  <c r="J22" i="28"/>
  <c r="J24" i="28"/>
  <c r="J23" i="28"/>
  <c r="J32" i="28"/>
  <c r="J30" i="28"/>
  <c r="J28" i="28"/>
  <c r="J29" i="28"/>
  <c r="J27" i="28"/>
  <c r="J31" i="28"/>
  <c r="J37" i="28"/>
  <c r="J40" i="28"/>
  <c r="J46" i="28"/>
  <c r="J47" i="28"/>
  <c r="J44" i="28"/>
  <c r="J36" i="28"/>
  <c r="J41" i="28"/>
  <c r="J39" i="28"/>
  <c r="J38" i="28"/>
  <c r="J42" i="28"/>
  <c r="J35" i="28"/>
  <c r="J43" i="28"/>
  <c r="J45" i="28"/>
  <c r="J59" i="28"/>
  <c r="J54" i="28"/>
  <c r="J57" i="28"/>
  <c r="J53" i="28"/>
  <c r="J60" i="28"/>
  <c r="J56" i="28"/>
  <c r="J52" i="28"/>
  <c r="J51" i="28"/>
  <c r="J55" i="28"/>
  <c r="J58" i="28"/>
  <c r="J50" i="28"/>
  <c r="J49" i="28"/>
  <c r="J7" i="29"/>
  <c r="I9" i="29" s="1"/>
  <c r="J11" i="29"/>
  <c r="J12" i="29"/>
  <c r="J10" i="29"/>
  <c r="J9" i="29"/>
  <c r="J15" i="29"/>
  <c r="I16" i="29" s="1"/>
  <c r="J19" i="29"/>
  <c r="J20" i="29"/>
  <c r="I20" i="29" s="1"/>
  <c r="J18" i="29"/>
  <c r="J24" i="29"/>
  <c r="J22" i="29"/>
  <c r="J23" i="29"/>
  <c r="J31" i="29"/>
  <c r="J28" i="29"/>
  <c r="J30" i="29"/>
  <c r="J27" i="29"/>
  <c r="J29" i="29"/>
  <c r="J32" i="29"/>
  <c r="J44" i="29"/>
  <c r="J46" i="29"/>
  <c r="J36" i="29"/>
  <c r="J38" i="29"/>
  <c r="J47" i="29"/>
  <c r="J35" i="29"/>
  <c r="J39" i="29"/>
  <c r="J42" i="29"/>
  <c r="J41" i="29"/>
  <c r="J37" i="29"/>
  <c r="J43" i="29"/>
  <c r="J45" i="29"/>
  <c r="J40" i="29"/>
  <c r="J60" i="29"/>
  <c r="J49" i="29"/>
  <c r="J58" i="29"/>
  <c r="J50" i="29"/>
  <c r="J52" i="29"/>
  <c r="J53" i="29"/>
  <c r="J55" i="29"/>
  <c r="J59" i="29"/>
  <c r="J56" i="29"/>
  <c r="J54" i="29"/>
  <c r="J57" i="29"/>
  <c r="J51" i="29"/>
  <c r="J7" i="30"/>
  <c r="I9" i="30" s="1"/>
  <c r="J12" i="30"/>
  <c r="J10" i="30"/>
  <c r="J9" i="30"/>
  <c r="J11" i="30"/>
  <c r="J15" i="30"/>
  <c r="I16" i="30" s="1"/>
  <c r="J20" i="30"/>
  <c r="I20" i="30" s="1"/>
  <c r="J19" i="30"/>
  <c r="J18" i="30"/>
  <c r="J24" i="30"/>
  <c r="J23" i="30"/>
  <c r="J22" i="30"/>
  <c r="J31" i="30"/>
  <c r="J29" i="30"/>
  <c r="J28" i="30"/>
  <c r="J27" i="30"/>
  <c r="J30" i="30"/>
  <c r="J32" i="30"/>
  <c r="J44" i="30"/>
  <c r="J39" i="30"/>
  <c r="J43" i="30"/>
  <c r="J36" i="30"/>
  <c r="J41" i="30"/>
  <c r="J47" i="30"/>
  <c r="J40" i="30"/>
  <c r="J38" i="30"/>
  <c r="J35" i="30"/>
  <c r="J42" i="30"/>
  <c r="J45" i="30"/>
  <c r="J37" i="30"/>
  <c r="J46" i="30"/>
  <c r="J49" i="30"/>
  <c r="J54" i="30"/>
  <c r="J56" i="30"/>
  <c r="J59" i="30"/>
  <c r="J50" i="30"/>
  <c r="J53" i="30"/>
  <c r="J60" i="30"/>
  <c r="J58" i="30"/>
  <c r="J57" i="30"/>
  <c r="J52" i="30"/>
  <c r="J55" i="30"/>
  <c r="J51" i="30"/>
  <c r="J7" i="43"/>
  <c r="I9" i="43" s="1"/>
  <c r="H7" i="31"/>
  <c r="J7" i="31" s="1"/>
  <c r="I9" i="31" s="1"/>
  <c r="H7" i="50"/>
  <c r="J7" i="50" s="1"/>
  <c r="I9" i="50" s="1"/>
  <c r="J12" i="43"/>
  <c r="J9" i="43"/>
  <c r="J11" i="43"/>
  <c r="J11" i="31"/>
  <c r="H10" i="50"/>
  <c r="J10" i="50" s="1"/>
  <c r="J10" i="43"/>
  <c r="J9" i="31"/>
  <c r="H9" i="50"/>
  <c r="J9" i="50" s="1"/>
  <c r="H11" i="50"/>
  <c r="J11" i="50" s="1"/>
  <c r="H12" i="50"/>
  <c r="J12" i="50" s="1"/>
  <c r="J10" i="31"/>
  <c r="J12" i="31"/>
  <c r="J15" i="43"/>
  <c r="I16" i="43" s="1"/>
  <c r="J15" i="31"/>
  <c r="I16" i="31" s="1"/>
  <c r="H15" i="50"/>
  <c r="J15" i="50" s="1"/>
  <c r="I16" i="50" s="1"/>
  <c r="J18" i="31"/>
  <c r="J18" i="43"/>
  <c r="J20" i="43"/>
  <c r="I20" i="43" s="1"/>
  <c r="H18" i="50"/>
  <c r="J18" i="50" s="1"/>
  <c r="J19" i="43"/>
  <c r="H19" i="50"/>
  <c r="J19" i="50" s="1"/>
  <c r="J19" i="31"/>
  <c r="H20" i="50"/>
  <c r="J20" i="50" s="1"/>
  <c r="I20" i="50" s="1"/>
  <c r="J20" i="31"/>
  <c r="I20" i="31" s="1"/>
  <c r="J22" i="43"/>
  <c r="J24" i="43"/>
  <c r="H23" i="50"/>
  <c r="J23" i="50" s="1"/>
  <c r="J23" i="43"/>
  <c r="J24" i="31"/>
  <c r="H22" i="50"/>
  <c r="J22" i="50" s="1"/>
  <c r="J22" i="31"/>
  <c r="J23" i="31"/>
  <c r="H24" i="50"/>
  <c r="J24" i="50" s="1"/>
  <c r="J27" i="43"/>
  <c r="J28" i="43"/>
  <c r="H28" i="50"/>
  <c r="J28" i="50" s="1"/>
  <c r="J32" i="31"/>
  <c r="J32" i="43"/>
  <c r="J31" i="43"/>
  <c r="J30" i="43"/>
  <c r="J30" i="31"/>
  <c r="J31" i="31"/>
  <c r="H30" i="50"/>
  <c r="J30" i="50" s="1"/>
  <c r="J29" i="43"/>
  <c r="J29" i="31"/>
  <c r="H29" i="50"/>
  <c r="J29" i="50" s="1"/>
  <c r="H27" i="50"/>
  <c r="J27" i="50" s="1"/>
  <c r="J27" i="31"/>
  <c r="H32" i="50"/>
  <c r="J32" i="50" s="1"/>
  <c r="H31" i="50"/>
  <c r="J31" i="50" s="1"/>
  <c r="J28" i="31"/>
  <c r="J42" i="43"/>
  <c r="J41" i="43"/>
  <c r="J35" i="43"/>
  <c r="J40" i="43"/>
  <c r="J43" i="43"/>
  <c r="J41" i="31"/>
  <c r="J44" i="43"/>
  <c r="H40" i="50"/>
  <c r="J40" i="50" s="1"/>
  <c r="J45" i="43"/>
  <c r="J39" i="43"/>
  <c r="J36" i="43"/>
  <c r="J38" i="43"/>
  <c r="J47" i="31"/>
  <c r="J47" i="43"/>
  <c r="H36" i="50"/>
  <c r="J36" i="50" s="1"/>
  <c r="J42" i="31"/>
  <c r="J45" i="31"/>
  <c r="H35" i="50"/>
  <c r="J35" i="50" s="1"/>
  <c r="H45" i="50"/>
  <c r="J45" i="50" s="1"/>
  <c r="J46" i="31"/>
  <c r="J46" i="43"/>
  <c r="H38" i="50"/>
  <c r="J38" i="50" s="1"/>
  <c r="H37" i="50"/>
  <c r="J37" i="50" s="1"/>
  <c r="J37" i="43"/>
  <c r="J37" i="31"/>
  <c r="H46" i="50"/>
  <c r="J46" i="50" s="1"/>
  <c r="J40" i="31"/>
  <c r="J39" i="31"/>
  <c r="H47" i="50"/>
  <c r="J47" i="50" s="1"/>
  <c r="H43" i="50"/>
  <c r="J43" i="50" s="1"/>
  <c r="J35" i="31"/>
  <c r="J44" i="31"/>
  <c r="H41" i="50"/>
  <c r="J41" i="50" s="1"/>
  <c r="J43" i="31"/>
  <c r="H39" i="50"/>
  <c r="J39" i="50" s="1"/>
  <c r="J38" i="31"/>
  <c r="H42" i="50"/>
  <c r="J42" i="50" s="1"/>
  <c r="H44" i="50"/>
  <c r="J44" i="50" s="1"/>
  <c r="J36" i="31"/>
  <c r="J58" i="43"/>
  <c r="J59" i="43"/>
  <c r="H59" i="50"/>
  <c r="J59" i="50" s="1"/>
  <c r="J49" i="43"/>
  <c r="J54" i="43"/>
  <c r="H49" i="50"/>
  <c r="J49" i="50" s="1"/>
  <c r="H58" i="50"/>
  <c r="J58" i="50" s="1"/>
  <c r="J50" i="43"/>
  <c r="J49" i="31"/>
  <c r="H56" i="50"/>
  <c r="J56" i="50" s="1"/>
  <c r="J56" i="43"/>
  <c r="J60" i="43"/>
  <c r="H50" i="50"/>
  <c r="J50" i="50" s="1"/>
  <c r="J53" i="43"/>
  <c r="H53" i="50"/>
  <c r="J53" i="50" s="1"/>
  <c r="J55" i="43"/>
  <c r="J57" i="43"/>
  <c r="H54" i="50"/>
  <c r="J54" i="50" s="1"/>
  <c r="J56" i="31"/>
  <c r="J54" i="31"/>
  <c r="J52" i="43"/>
  <c r="J53" i="31"/>
  <c r="H55" i="50"/>
  <c r="J55" i="50" s="1"/>
  <c r="J51" i="31"/>
  <c r="J51" i="43"/>
  <c r="H52" i="50"/>
  <c r="J52" i="50" s="1"/>
  <c r="J50" i="31"/>
  <c r="J52" i="31"/>
  <c r="H60" i="50"/>
  <c r="J60" i="50" s="1"/>
  <c r="H57" i="50"/>
  <c r="J57" i="50" s="1"/>
  <c r="J57" i="31"/>
  <c r="H51" i="50"/>
  <c r="J51" i="50" s="1"/>
  <c r="J58" i="31"/>
  <c r="J55" i="31"/>
  <c r="J60" i="31"/>
  <c r="J59" i="31"/>
  <c r="J8" i="12"/>
  <c r="H8" i="13"/>
  <c r="H8" i="14" s="1"/>
  <c r="H13" i="28" l="1"/>
  <c r="H13" i="29" s="1"/>
  <c r="H13" i="30" s="1"/>
  <c r="H13" i="43" s="1"/>
  <c r="J13" i="4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3" i="31" l="1"/>
  <c r="J13" i="31" s="1"/>
  <c r="H13" i="50"/>
  <c r="J13" i="50" s="1"/>
  <c r="J13" i="29"/>
  <c r="J13" i="28"/>
  <c r="J13" i="30"/>
  <c r="H8" i="16"/>
  <c r="J8" i="15"/>
  <c r="J8" i="16" l="1"/>
  <c r="H8" i="17"/>
  <c r="J8" i="17" l="1"/>
  <c r="H8" i="18"/>
  <c r="H8" i="19" l="1"/>
  <c r="J8" i="18"/>
  <c r="J8" i="19" l="1"/>
  <c r="H8" i="20"/>
  <c r="H8" i="21" l="1"/>
  <c r="J8" i="20"/>
  <c r="H8" i="22" l="1"/>
  <c r="J8" i="21"/>
  <c r="H8" i="23" l="1"/>
  <c r="J8" i="22"/>
  <c r="J8" i="23" l="1"/>
  <c r="H8" i="24"/>
  <c r="J8" i="24" l="1"/>
  <c r="H8" i="25"/>
  <c r="J8" i="25" l="1"/>
  <c r="H8" i="40"/>
  <c r="H8" i="27" l="1"/>
  <c r="J8" i="40"/>
  <c r="H8" i="28" l="1"/>
  <c r="J8" i="27"/>
  <c r="J8" i="28" l="1"/>
  <c r="H8" i="29"/>
  <c r="J8" i="29" l="1"/>
  <c r="H8" i="30"/>
  <c r="J8" i="30" l="1"/>
  <c r="H8" i="43"/>
  <c r="J8" i="43" l="1"/>
  <c r="H8" i="50"/>
  <c r="J8" i="50" s="1"/>
  <c r="H8" i="31"/>
  <c r="J8" i="3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Ramesh.Kadam</author>
  </authors>
  <commentList>
    <comment ref="F114" authorId="0" shapeId="0" xr:uid="{00000000-0006-0000-1500-000001000000}">
      <text>
        <r>
          <rPr>
            <b/>
            <sz val="9"/>
            <color indexed="81"/>
            <rFont val="Tahoma"/>
            <charset val="1"/>
          </rPr>
          <t>Ramesh.Kadam:</t>
        </r>
        <r>
          <rPr>
            <sz val="9"/>
            <color indexed="81"/>
            <rFont val="Tahoma"/>
            <charset val="1"/>
          </rPr>
          <t xml:space="preserve">
meter rest</t>
        </r>
      </text>
    </comment>
  </commentList>
</comments>
</file>

<file path=xl/sharedStrings.xml><?xml version="1.0" encoding="utf-8"?>
<sst xmlns="http://schemas.openxmlformats.org/spreadsheetml/2006/main" count="10568" uniqueCount="360">
  <si>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</si>
  <si>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</si>
  <si>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</si>
  <si>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</si>
  <si>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</si>
  <si>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</si>
  <si>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</si>
  <si>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</si>
  <si>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</si>
  <si>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</si>
  <si>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</si>
  <si>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</si>
  <si>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</si>
  <si>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</si>
  <si>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</si>
  <si>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</si>
  <si>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</si>
  <si>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</si>
  <si>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</si>
  <si>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</si>
  <si>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</si>
  <si>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</si>
  <si>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</si>
  <si>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</si>
  <si>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</si>
  <si>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</si>
  <si>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</si>
  <si>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</si>
  <si>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</si>
  <si>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</si>
  <si>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</si>
  <si>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</si>
  <si>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</si>
  <si>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</si>
  <si>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</si>
  <si>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</si>
  <si>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</si>
  <si>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</si>
  <si>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</si>
  <si>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</si>
  <si>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</si>
  <si>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</si>
  <si>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</si>
  <si>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</si>
  <si>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</si>
  <si>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</si>
  <si>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</si>
  <si>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</si>
  <si>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</si>
  <si>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</si>
  <si>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</si>
  <si>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</si>
  <si>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</si>
  <si>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</si>
  <si>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</si>
  <si>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</si>
  <si>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</si>
  <si>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</si>
  <si>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</si>
  <si>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</si>
  <si>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</si>
  <si>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</si>
  <si>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</si>
  <si>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</si>
  <si>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</si>
  <si>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</si>
  <si>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</si>
  <si>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</si>
  <si>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</si>
  <si>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</si>
  <si>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</si>
  <si>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</si>
  <si>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</si>
  <si>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</si>
  <si>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</si>
  <si>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</si>
  <si>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</si>
  <si>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</si>
  <si>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</si>
  <si>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</si>
  <si>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</si>
  <si>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</si>
  <si>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</si>
  <si>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</si>
  <si>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</si>
  <si>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</si>
  <si>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</si>
  <si>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</si>
  <si>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</si>
  <si>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</si>
  <si>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</si>
  <si>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</si>
  <si>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</si>
  <si>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</si>
  <si>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</si>
  <si>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</si>
  <si>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</si>
  <si>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</si>
  <si>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</si>
  <si>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</si>
  <si>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</si>
  <si>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</si>
  <si>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</si>
  <si>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</si>
  <si>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</si>
  <si>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</si>
  <si>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</si>
  <si>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</si>
  <si>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</si>
  <si>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</si>
  <si>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</si>
  <si>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</si>
  <si>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</si>
  <si>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</si>
  <si>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</si>
  <si>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</si>
  <si>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</si>
  <si>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</si>
  <si>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</si>
  <si>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</si>
  <si>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</si>
  <si>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</si>
  <si>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</si>
  <si>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</si>
  <si>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</si>
  <si>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</si>
  <si>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</si>
  <si>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</si>
  <si>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</si>
  <si>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</si>
  <si>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</si>
  <si>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</si>
  <si>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</si>
  <si>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</si>
  <si>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</si>
  <si>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</si>
  <si>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</si>
  <si>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</si>
  <si>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</si>
  <si>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</si>
  <si>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</si>
  <si>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</si>
  <si>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</si>
  <si>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</si>
  <si>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</si>
  <si>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</si>
  <si>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</si>
  <si>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</si>
  <si>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</si>
  <si>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</si>
  <si>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</si>
  <si>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</si>
  <si>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</si>
  <si>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</si>
  <si>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</si>
  <si>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</si>
  <si>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</si>
  <si>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</si>
  <si>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</si>
  <si>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</si>
  <si>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</si>
  <si>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</si>
  <si>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</si>
  <si>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</si>
  <si>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</si>
  <si>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</si>
  <si>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</si>
  <si>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</si>
  <si>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</si>
  <si>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</si>
  <si>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</si>
  <si>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</si>
  <si>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</si>
  <si>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</si>
  <si>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</si>
  <si>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</si>
  <si>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</si>
  <si>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</si>
  <si>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</si>
  <si>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</si>
  <si>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</si>
  <si>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</si>
  <si>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</si>
  <si>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</si>
  <si>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</si>
  <si>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</si>
  <si>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</si>
  <si>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</si>
  <si>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</si>
  <si>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</si>
  <si>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</si>
  <si>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</si>
  <si>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</si>
  <si>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</si>
  <si>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</si>
  <si>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</si>
  <si>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</si>
  <si>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</si>
  <si>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</si>
  <si>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</si>
  <si>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</si>
  <si>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</si>
  <si>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</si>
  <si>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</si>
  <si>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</si>
  <si>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</si>
  <si>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</si>
  <si>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</si>
  <si>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</si>
  <si>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</si>
  <si>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</si>
  <si>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</si>
  <si>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</si>
  <si>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</si>
  <si>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</si>
  <si>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</si>
  <si>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</si>
  <si>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</si>
  <si>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</si>
  <si>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</si>
  <si>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</si>
  <si>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</si>
  <si>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</si>
  <si>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</si>
  <si>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</si>
  <si>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</si>
  <si>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</si>
  <si>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</si>
  <si>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</si>
  <si>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</si>
  <si>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</si>
  <si>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</si>
  <si>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</si>
  <si>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</si>
  <si>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</si>
  <si>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</si>
  <si>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</si>
  <si>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</si>
  <si>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</si>
  <si>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</si>
  <si>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</si>
  <si>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</si>
  <si>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</si>
  <si>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</si>
  <si>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</si>
  <si>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</si>
  <si>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</si>
  <si>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</si>
  <si>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</si>
  <si>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</si>
  <si>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</si>
  <si>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</si>
  <si>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</si>
  <si>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</si>
  <si>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</si>
  <si>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</si>
  <si>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</si>
  <si>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</si>
  <si>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</si>
  <si>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</si>
  <si>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</si>
  <si>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</si>
  <si>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</si>
  <si>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</si>
  <si>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</si>
  <si>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</si>
  <si>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</si>
  <si>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</si>
  <si>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</si>
  <si>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</si>
  <si>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</si>
  <si>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</si>
  <si>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</si>
  <si>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</si>
  <si>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</si>
  <si>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</si>
  <si>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</si>
  <si>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</si>
  <si>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</si>
  <si>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</si>
  <si>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</si>
  <si>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</si>
  <si>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</si>
  <si>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</si>
  <si>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</si>
  <si>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</si>
  <si>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</si>
  <si>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</si>
  <si>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</si>
  <si>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</si>
  <si>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</si>
  <si>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</si>
  <si>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</si>
  <si>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</si>
  <si>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</si>
  <si>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</si>
  <si>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</si>
  <si>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</si>
  <si>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</si>
  <si>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</si>
  <si>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</si>
  <si>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</si>
  <si>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</si>
  <si>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</si>
  <si>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</si>
  <si>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</si>
  <si>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</si>
  <si>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</si>
  <si>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</si>
  <si>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</si>
  <si>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</si>
  <si>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</si>
  <si>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</si>
  <si>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</si>
  <si>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</si>
  <si>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</si>
  <si>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</si>
  <si>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</si>
  <si>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</si>
  <si>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</si>
  <si>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</si>
  <si>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</si>
  <si>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</si>
  <si>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</si>
  <si>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</si>
  <si>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</si>
  <si>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</si>
  <si>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</si>
  <si>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</si>
  <si>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</si>
  <si>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</si>
  <si>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</si>
  <si>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</si>
  <si>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</si>
  <si>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</si>
  <si>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</si>
  <si>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</si>
  <si>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</si>
  <si>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</si>
  <si>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</si>
  <si>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</si>
  <si>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</si>
  <si>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</si>
  <si>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</si>
  <si>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</si>
  <si>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</si>
  <si>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</si>
  <si>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</si>
  <si>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</si>
  <si>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Emergency Power Panel ( capacitor bank area) not yet fix</t>
  </si>
  <si>
    <t>Prepaired by--- Ramesh</t>
  </si>
  <si>
    <t>kvah</t>
  </si>
  <si>
    <t>10th floor</t>
  </si>
  <si>
    <t>25th floor</t>
  </si>
  <si>
    <t>10th floo</t>
  </si>
  <si>
    <t>KWH/Room</t>
  </si>
  <si>
    <t>Prepaired by--- Prakash</t>
  </si>
  <si>
    <t xml:space="preserve">Prepaired by--- Nilesh 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</si>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</sst>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</numFmts>
  <fonts count="92" x14ac:knownFonts="1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sz val="16"/>
      <color theme="1"/>
      <name val="Cambria"/>
      <family val="1"/>
      <scheme val="major"/>
    </font>
    <font>
      <sz val="16"/>
      <color rgb="FFFF0000"/>
      <name val="Arial Black"/>
      <family val="2"/>
    </font>
    <font>
      <sz val="16"/>
      <color theme="1"/>
      <name val="Cambria"/>
      <family val="2"/>
      <scheme val="major"/>
    </font>
    <font>
      <sz val="16"/>
      <name val="Arial Unicode MS"/>
      <family val="2"/>
    </font>
    <font>
      <sz val="16"/>
      <name val="Arial"/>
      <family val="2"/>
    </font>
    <font>
      <i/>
      <sz val="16"/>
      <color theme="0"/>
      <name val="Arial"/>
      <family val="2"/>
    </font>
    <font>
      <i/>
      <sz val="16"/>
      <name val="Arial"/>
      <family val="2"/>
    </font>
    <font>
      <sz val="16"/>
      <color rgb="FF7030A0"/>
      <name val="Arial Unicode MS"/>
      <family val="2"/>
    </font>
    <font>
      <sz val="16"/>
      <color indexed="8"/>
      <name val="Arial Unicode MS"/>
      <family val="2"/>
    </font>
    <font>
      <sz val="16"/>
      <color rgb="FFFF0000"/>
      <name val="Arial Unicode MS"/>
      <family val="2"/>
    </font>
    <font>
      <sz val="16"/>
      <color rgb="FF00B050"/>
      <name val="Arial Unicode MS"/>
      <family val="2"/>
    </font>
    <font>
      <sz val="16"/>
      <color theme="1"/>
      <name val="Arial"/>
      <family val="2"/>
    </font>
    <font>
      <sz val="16"/>
      <color indexed="10"/>
      <name val="Arial Unicode MS"/>
      <family val="2"/>
    </font>
    <font>
      <i/>
      <sz val="16"/>
      <color rgb="FF7030A0"/>
      <name val="Arial"/>
      <family val="2"/>
    </font>
    <font>
      <sz val="16"/>
      <color rgb="FFFF0000"/>
      <name val="Cambria"/>
      <family val="2"/>
      <scheme val="major"/>
    </font>
    <font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9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</cellStyleXfs>
  <cellXfs count="836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4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4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4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4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4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4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4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4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4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68" fontId="43" fillId="8" borderId="1" xfId="5" applyNumberFormat="1" applyFont="1" applyFill="1" applyBorder="1" applyAlignment="1" applyProtection="1">
      <alignment horizontal="center" vertical="center"/>
    </xf>
    <xf numFmtId="164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69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43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5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4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6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7" fontId="32" fillId="8" borderId="16" xfId="3" applyNumberFormat="1" applyFont="1" applyFill="1" applyBorder="1" applyAlignment="1">
      <alignment vertical="center"/>
    </xf>
    <xf numFmtId="167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4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1" fontId="53" fillId="0" borderId="1" xfId="0" applyNumberFormat="1" applyFont="1" applyFill="1" applyBorder="1" applyAlignment="1">
      <alignment horizontal="center" wrapText="1"/>
    </xf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3" fillId="0" borderId="1" xfId="0" applyNumberFormat="1" applyFont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1" fontId="53" fillId="2" borderId="1" xfId="0" applyNumberFormat="1" applyFont="1" applyFill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" fontId="56" fillId="0" borderId="1" xfId="0" applyNumberFormat="1" applyFont="1" applyFill="1" applyBorder="1" applyAlignment="1">
      <alignment horizontal="center" wrapText="1"/>
    </xf>
    <xf numFmtId="16" fontId="16" fillId="0" borderId="0" xfId="0" applyNumberFormat="1" applyFont="1" applyBorder="1" applyAlignment="1">
      <alignment horizontal="center" wrapText="1"/>
    </xf>
    <xf numFmtId="170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7" fillId="0" borderId="25" xfId="16" applyFont="1" applyBorder="1" applyAlignment="1">
      <alignment horizontal="center"/>
    </xf>
    <xf numFmtId="0" fontId="58" fillId="0" borderId="25" xfId="16" applyFont="1" applyBorder="1" applyAlignment="1">
      <alignment horizontal="center"/>
    </xf>
    <xf numFmtId="1" fontId="58" fillId="0" borderId="25" xfId="16" applyNumberFormat="1" applyFont="1" applyBorder="1" applyAlignment="1">
      <alignment horizontal="center"/>
    </xf>
    <xf numFmtId="1" fontId="57" fillId="0" borderId="25" xfId="16" applyNumberFormat="1" applyFont="1" applyBorder="1" applyAlignment="1">
      <alignment horizontal="center" wrapText="1"/>
    </xf>
    <xf numFmtId="0" fontId="57" fillId="0" borderId="25" xfId="16" applyFont="1" applyBorder="1" applyAlignment="1">
      <alignment horizontal="center" wrapText="1"/>
    </xf>
    <xf numFmtId="0" fontId="57" fillId="0" borderId="0" xfId="16" applyFont="1" applyAlignment="1">
      <alignment wrapText="1"/>
    </xf>
    <xf numFmtId="0" fontId="57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7" fillId="0" borderId="1" xfId="16" applyNumberFormat="1" applyFont="1" applyBorder="1" applyAlignment="1">
      <alignment horizontal="center" wrapText="1"/>
    </xf>
    <xf numFmtId="1" fontId="59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7" fillId="0" borderId="5" xfId="17" applyFont="1" applyBorder="1"/>
    <xf numFmtId="0" fontId="58" fillId="0" borderId="5" xfId="17" applyFont="1" applyBorder="1" applyAlignment="1">
      <alignment horizontal="center"/>
    </xf>
    <xf numFmtId="0" fontId="57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0" fontId="66" fillId="0" borderId="16" xfId="1" applyFont="1" applyFill="1" applyBorder="1" applyAlignment="1">
      <alignment vertical="top" wrapText="1"/>
    </xf>
    <xf numFmtId="0" fontId="66" fillId="0" borderId="1" xfId="1" applyFont="1" applyFill="1" applyBorder="1" applyAlignment="1">
      <alignment horizontal="center" vertical="top" wrapText="1"/>
    </xf>
    <xf numFmtId="0" fontId="66" fillId="0" borderId="12" xfId="1" applyFont="1" applyFill="1" applyBorder="1" applyAlignment="1">
      <alignment horizontal="center" vertical="top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5" xfId="17" applyNumberFormat="1" applyFont="1" applyFill="1" applyBorder="1" applyAlignment="1">
      <alignment horizontal="center" wrapText="1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65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1" fillId="10" borderId="5" xfId="17" applyNumberFormat="1" applyFont="1" applyFill="1" applyBorder="1" applyAlignment="1">
      <alignment horizontal="center" wrapText="1"/>
    </xf>
    <xf numFmtId="1" fontId="64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1" fontId="67" fillId="2" borderId="16" xfId="1" applyNumberFormat="1" applyFont="1" applyFill="1" applyBorder="1" applyAlignment="1">
      <alignment vertical="center" wrapText="1"/>
    </xf>
    <xf numFmtId="1" fontId="68" fillId="0" borderId="1" xfId="0" applyNumberFormat="1" applyFont="1" applyBorder="1" applyAlignment="1">
      <alignment horizontal="center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28" fillId="2" borderId="16" xfId="1" applyNumberFormat="1" applyFont="1" applyFill="1" applyBorder="1" applyAlignment="1">
      <alignment vertical="center" wrapText="1"/>
    </xf>
    <xf numFmtId="1" fontId="57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4" borderId="5" xfId="0" applyFont="1" applyFill="1" applyBorder="1" applyAlignment="1">
      <alignment horizontal="center"/>
    </xf>
    <xf numFmtId="0" fontId="13" fillId="0" borderId="20" xfId="1" applyFont="1" applyFill="1" applyBorder="1" applyAlignment="1">
      <alignment horizontal="center" vertical="center" wrapText="1"/>
    </xf>
    <xf numFmtId="0" fontId="13" fillId="0" borderId="5" xfId="1" applyFont="1" applyFill="1" applyBorder="1" applyAlignment="1">
      <alignment horizontal="center" vertical="center" wrapText="1"/>
    </xf>
    <xf numFmtId="0" fontId="13" fillId="0" borderId="26" xfId="1" applyFont="1" applyFill="1" applyBorder="1" applyAlignment="1">
      <alignment horizontal="center" vertical="center" wrapText="1"/>
    </xf>
    <xf numFmtId="0" fontId="11" fillId="15" borderId="5" xfId="0" applyFont="1" applyFill="1" applyBorder="1" applyAlignment="1">
      <alignment horizontal="center"/>
    </xf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1" fontId="11" fillId="0" borderId="0" xfId="0" applyNumberFormat="1" applyFont="1" applyFill="1"/>
    <xf numFmtId="0" fontId="11" fillId="12" borderId="0" xfId="0" applyFont="1" applyFill="1"/>
    <xf numFmtId="1" fontId="11" fillId="12" borderId="0" xfId="0" applyNumberFormat="1" applyFont="1" applyFill="1"/>
    <xf numFmtId="0" fontId="11" fillId="0" borderId="0" xfId="0" applyNumberFormat="1" applyFont="1"/>
    <xf numFmtId="1" fontId="13" fillId="0" borderId="0" xfId="1" applyNumberFormat="1" applyFont="1"/>
    <xf numFmtId="0" fontId="69" fillId="0" borderId="1" xfId="0" applyFont="1" applyBorder="1"/>
    <xf numFmtId="0" fontId="11" fillId="0" borderId="1" xfId="0" applyFont="1" applyBorder="1"/>
    <xf numFmtId="0" fontId="29" fillId="0" borderId="0" xfId="0" applyFont="1"/>
    <xf numFmtId="0" fontId="11" fillId="16" borderId="1" xfId="0" applyFont="1" applyFill="1" applyBorder="1"/>
    <xf numFmtId="0" fontId="28" fillId="0" borderId="1" xfId="0" applyFont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4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1" fontId="38" fillId="8" borderId="0" xfId="5" applyNumberFormat="1" applyFont="1" applyFill="1" applyBorder="1" applyAlignment="1">
      <alignment horizontal="center" vertic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6" fillId="0" borderId="5" xfId="4" applyFont="1" applyBorder="1" applyAlignment="1">
      <alignment horizontal="left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>
      <alignment horizontal="center" vertic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0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1" fontId="74" fillId="0" borderId="0" xfId="0" applyNumberFormat="1" applyFont="1" applyFill="1" applyAlignment="1">
      <alignment horizontal="center"/>
    </xf>
    <xf numFmtId="0" fontId="48" fillId="2" borderId="1" xfId="0" applyFont="1" applyFill="1" applyBorder="1" applyAlignment="1">
      <alignment horizontal="left"/>
    </xf>
    <xf numFmtId="0" fontId="76" fillId="0" borderId="0" xfId="0" applyFont="1"/>
    <xf numFmtId="166" fontId="77" fillId="9" borderId="16" xfId="3" applyNumberFormat="1" applyFont="1" applyFill="1" applyBorder="1" applyAlignment="1">
      <alignment horizontal="left"/>
    </xf>
    <xf numFmtId="170" fontId="78" fillId="9" borderId="1" xfId="3" applyNumberFormat="1" applyFont="1" applyFill="1" applyBorder="1" applyAlignment="1">
      <alignment horizontal="center"/>
    </xf>
    <xf numFmtId="0" fontId="77" fillId="9" borderId="1" xfId="3" applyFont="1" applyFill="1" applyBorder="1" applyAlignment="1">
      <alignment horizontal="center"/>
    </xf>
    <xf numFmtId="9" fontId="77" fillId="9" borderId="1" xfId="4" applyNumberFormat="1" applyFont="1" applyFill="1" applyBorder="1"/>
    <xf numFmtId="0" fontId="77" fillId="9" borderId="1" xfId="3" applyFont="1" applyFill="1" applyBorder="1" applyAlignment="1">
      <alignment horizontal="center" vertical="center"/>
    </xf>
    <xf numFmtId="1" fontId="77" fillId="9" borderId="12" xfId="3" applyNumberFormat="1" applyFont="1" applyFill="1" applyBorder="1" applyAlignment="1">
      <alignment horizontal="center" vertical="center"/>
    </xf>
    <xf numFmtId="9" fontId="77" fillId="9" borderId="16" xfId="3" applyNumberFormat="1" applyFont="1" applyFill="1" applyBorder="1" applyAlignment="1">
      <alignment horizontal="left"/>
    </xf>
    <xf numFmtId="0" fontId="77" fillId="9" borderId="1" xfId="3" applyFont="1" applyFill="1" applyBorder="1" applyAlignment="1">
      <alignment horizontal="left"/>
    </xf>
    <xf numFmtId="0" fontId="77" fillId="9" borderId="1" xfId="3" applyFont="1" applyFill="1" applyBorder="1" applyAlignment="1"/>
    <xf numFmtId="10" fontId="77" fillId="9" borderId="1" xfId="3" applyNumberFormat="1" applyFont="1" applyFill="1" applyBorder="1" applyAlignment="1">
      <alignment horizontal="center"/>
    </xf>
    <xf numFmtId="1" fontId="77" fillId="9" borderId="1" xfId="3" applyNumberFormat="1" applyFont="1" applyFill="1" applyBorder="1" applyAlignment="1">
      <alignment horizontal="center"/>
    </xf>
    <xf numFmtId="1" fontId="77" fillId="9" borderId="12" xfId="3" applyNumberFormat="1" applyFont="1" applyFill="1" applyBorder="1" applyAlignment="1">
      <alignment horizontal="center"/>
    </xf>
    <xf numFmtId="0" fontId="79" fillId="2" borderId="0" xfId="3" applyFont="1" applyFill="1" applyBorder="1" applyAlignment="1">
      <alignment horizontal="center" vertical="center"/>
    </xf>
    <xf numFmtId="0" fontId="76" fillId="0" borderId="0" xfId="0" applyFont="1" applyBorder="1"/>
    <xf numFmtId="0" fontId="77" fillId="9" borderId="16" xfId="3" applyFont="1" applyFill="1" applyBorder="1"/>
    <xf numFmtId="9" fontId="77" fillId="9" borderId="1" xfId="3" applyNumberFormat="1" applyFont="1" applyFill="1" applyBorder="1" applyAlignment="1">
      <alignment horizontal="left"/>
    </xf>
    <xf numFmtId="2" fontId="77" fillId="9" borderId="1" xfId="3" applyNumberFormat="1" applyFont="1" applyFill="1" applyBorder="1" applyAlignment="1">
      <alignment horizontal="center"/>
    </xf>
    <xf numFmtId="9" fontId="77" fillId="9" borderId="1" xfId="3" applyNumberFormat="1" applyFont="1" applyFill="1" applyBorder="1" applyAlignment="1">
      <alignment horizontal="center"/>
    </xf>
    <xf numFmtId="164" fontId="79" fillId="2" borderId="0" xfId="3" applyNumberFormat="1" applyFont="1" applyFill="1" applyBorder="1" applyAlignment="1">
      <alignment horizontal="center"/>
    </xf>
    <xf numFmtId="0" fontId="77" fillId="8" borderId="16" xfId="3" applyFont="1" applyFill="1" applyBorder="1" applyAlignment="1">
      <alignment horizontal="center" vertical="center"/>
    </xf>
    <xf numFmtId="0" fontId="77" fillId="8" borderId="1" xfId="3" applyFont="1" applyFill="1" applyBorder="1" applyAlignment="1">
      <alignment horizontal="center" vertical="center"/>
    </xf>
    <xf numFmtId="2" fontId="77" fillId="2" borderId="1" xfId="3" applyNumberFormat="1" applyFont="1" applyFill="1" applyBorder="1" applyAlignment="1">
      <alignment horizontal="center" vertical="center"/>
    </xf>
    <xf numFmtId="164" fontId="77" fillId="8" borderId="1" xfId="3" applyNumberFormat="1" applyFont="1" applyFill="1" applyBorder="1" applyAlignment="1">
      <alignment horizontal="center" wrapText="1" shrinkToFit="1"/>
    </xf>
    <xf numFmtId="2" fontId="77" fillId="8" borderId="1" xfId="3" applyNumberFormat="1" applyFont="1" applyFill="1" applyBorder="1" applyAlignment="1">
      <alignment horizontal="center" vertical="center"/>
    </xf>
    <xf numFmtId="1" fontId="77" fillId="8" borderId="1" xfId="3" applyNumberFormat="1" applyFont="1" applyFill="1" applyBorder="1" applyAlignment="1">
      <alignment horizontal="center" vertical="center"/>
    </xf>
    <xf numFmtId="164" fontId="77" fillId="8" borderId="12" xfId="3" applyNumberFormat="1" applyFont="1" applyFill="1" applyBorder="1" applyAlignment="1">
      <alignment horizontal="center" wrapText="1" shrinkToFit="1"/>
    </xf>
    <xf numFmtId="164" fontId="80" fillId="2" borderId="0" xfId="3" applyNumberFormat="1" applyFont="1" applyFill="1" applyBorder="1" applyAlignment="1">
      <alignment horizontal="center" vertical="center" wrapText="1" shrinkToFit="1"/>
    </xf>
    <xf numFmtId="0" fontId="77" fillId="12" borderId="1" xfId="3" applyFont="1" applyFill="1" applyBorder="1" applyAlignment="1">
      <alignment horizontal="center" vertical="center"/>
    </xf>
    <xf numFmtId="0" fontId="77" fillId="12" borderId="1" xfId="3" applyFont="1" applyFill="1" applyBorder="1" applyAlignment="1">
      <alignment horizontal="center"/>
    </xf>
    <xf numFmtId="0" fontId="77" fillId="12" borderId="12" xfId="3" applyFont="1" applyFill="1" applyBorder="1" applyAlignment="1">
      <alignment horizontal="center"/>
    </xf>
    <xf numFmtId="0" fontId="80" fillId="2" borderId="0" xfId="3" applyFont="1" applyFill="1" applyBorder="1" applyAlignment="1">
      <alignment horizontal="center" vertical="center"/>
    </xf>
    <xf numFmtId="0" fontId="77" fillId="8" borderId="16" xfId="3" applyFont="1" applyFill="1" applyBorder="1" applyAlignment="1">
      <alignment horizontal="left" vertical="center"/>
    </xf>
    <xf numFmtId="0" fontId="77" fillId="8" borderId="1" xfId="3" applyFont="1" applyFill="1" applyBorder="1" applyAlignment="1">
      <alignment horizontal="left" vertical="center"/>
    </xf>
    <xf numFmtId="0" fontId="77" fillId="8" borderId="1" xfId="3" applyFont="1" applyFill="1" applyBorder="1" applyAlignment="1">
      <alignment horizontal="center"/>
    </xf>
    <xf numFmtId="2" fontId="77" fillId="8" borderId="1" xfId="3" applyNumberFormat="1" applyFont="1" applyFill="1" applyBorder="1" applyAlignment="1">
      <alignment horizontal="center"/>
    </xf>
    <xf numFmtId="1" fontId="77" fillId="2" borderId="1" xfId="5" applyNumberFormat="1" applyFont="1" applyFill="1" applyBorder="1" applyAlignment="1">
      <alignment horizontal="center" vertical="center"/>
    </xf>
    <xf numFmtId="1" fontId="77" fillId="8" borderId="1" xfId="3" applyNumberFormat="1" applyFont="1" applyFill="1" applyBorder="1" applyAlignment="1">
      <alignment horizontal="center"/>
    </xf>
    <xf numFmtId="0" fontId="77" fillId="2" borderId="1" xfId="3" applyNumberFormat="1" applyFont="1" applyFill="1" applyBorder="1" applyAlignment="1">
      <alignment horizontal="center"/>
    </xf>
    <xf numFmtId="1" fontId="77" fillId="8" borderId="12" xfId="5" applyNumberFormat="1" applyFont="1" applyFill="1" applyBorder="1" applyAlignment="1" applyProtection="1">
      <alignment horizontal="center"/>
    </xf>
    <xf numFmtId="2" fontId="78" fillId="8" borderId="9" xfId="3" applyNumberFormat="1" applyFont="1" applyFill="1" applyBorder="1" applyAlignment="1">
      <alignment horizontal="center"/>
    </xf>
    <xf numFmtId="2" fontId="76" fillId="0" borderId="0" xfId="0" applyNumberFormat="1" applyFont="1"/>
    <xf numFmtId="1" fontId="76" fillId="0" borderId="0" xfId="0" applyNumberFormat="1" applyFont="1"/>
    <xf numFmtId="0" fontId="77" fillId="8" borderId="20" xfId="3" applyFont="1" applyFill="1" applyBorder="1" applyAlignment="1">
      <alignment horizontal="left" vertical="center"/>
    </xf>
    <xf numFmtId="0" fontId="77" fillId="8" borderId="5" xfId="3" applyFont="1" applyFill="1" applyBorder="1" applyAlignment="1">
      <alignment horizontal="left" vertical="center"/>
    </xf>
    <xf numFmtId="0" fontId="77" fillId="8" borderId="10" xfId="3" applyFont="1" applyFill="1" applyBorder="1" applyAlignment="1">
      <alignment horizontal="left" vertical="center"/>
    </xf>
    <xf numFmtId="0" fontId="77" fillId="8" borderId="7" xfId="3" applyFont="1" applyFill="1" applyBorder="1" applyAlignment="1">
      <alignment horizontal="center"/>
    </xf>
    <xf numFmtId="2" fontId="77" fillId="8" borderId="7" xfId="3" applyNumberFormat="1" applyFont="1" applyFill="1" applyBorder="1" applyAlignment="1">
      <alignment horizontal="center"/>
    </xf>
    <xf numFmtId="1" fontId="77" fillId="2" borderId="6" xfId="5" applyNumberFormat="1" applyFont="1" applyFill="1" applyBorder="1" applyAlignment="1">
      <alignment horizontal="center" vertical="center"/>
    </xf>
    <xf numFmtId="1" fontId="77" fillId="2" borderId="7" xfId="3" applyNumberFormat="1" applyFont="1" applyFill="1" applyBorder="1" applyAlignment="1">
      <alignment horizontal="center"/>
    </xf>
    <xf numFmtId="2" fontId="78" fillId="8" borderId="1" xfId="3" applyNumberFormat="1" applyFont="1" applyFill="1" applyBorder="1" applyAlignment="1">
      <alignment horizontal="center"/>
    </xf>
    <xf numFmtId="167" fontId="77" fillId="8" borderId="16" xfId="3" applyNumberFormat="1" applyFont="1" applyFill="1" applyBorder="1" applyAlignment="1">
      <alignment vertical="center"/>
    </xf>
    <xf numFmtId="167" fontId="77" fillId="8" borderId="1" xfId="3" applyNumberFormat="1" applyFont="1" applyFill="1" applyBorder="1" applyAlignment="1">
      <alignment vertical="center"/>
    </xf>
    <xf numFmtId="0" fontId="77" fillId="0" borderId="1" xfId="4" applyFont="1" applyBorder="1" applyAlignment="1">
      <alignment horizontal="center"/>
    </xf>
    <xf numFmtId="1" fontId="77" fillId="2" borderId="1" xfId="3" applyNumberFormat="1" applyFont="1" applyFill="1" applyBorder="1" applyAlignment="1">
      <alignment horizontal="center"/>
    </xf>
    <xf numFmtId="1" fontId="80" fillId="2" borderId="0" xfId="5" applyNumberFormat="1" applyFont="1" applyFill="1" applyBorder="1" applyAlignment="1" applyProtection="1">
      <alignment horizontal="center"/>
    </xf>
    <xf numFmtId="2" fontId="77" fillId="8" borderId="1" xfId="3" applyNumberFormat="1" applyFont="1" applyFill="1" applyBorder="1" applyAlignment="1">
      <alignment horizontal="right"/>
    </xf>
    <xf numFmtId="0" fontId="77" fillId="13" borderId="16" xfId="3" applyFont="1" applyFill="1" applyBorder="1" applyAlignment="1">
      <alignment horizontal="center"/>
    </xf>
    <xf numFmtId="0" fontId="77" fillId="13" borderId="1" xfId="3" applyFont="1" applyFill="1" applyBorder="1" applyAlignment="1">
      <alignment horizontal="center"/>
    </xf>
    <xf numFmtId="2" fontId="77" fillId="2" borderId="1" xfId="3" applyNumberFormat="1" applyFont="1" applyFill="1" applyBorder="1" applyAlignment="1">
      <alignment horizontal="center"/>
    </xf>
    <xf numFmtId="0" fontId="48" fillId="12" borderId="1" xfId="3" applyFont="1" applyFill="1" applyBorder="1" applyAlignment="1">
      <alignment horizontal="center"/>
    </xf>
    <xf numFmtId="0" fontId="80" fillId="2" borderId="0" xfId="3" applyFont="1" applyFill="1" applyBorder="1" applyAlignment="1">
      <alignment horizontal="center"/>
    </xf>
    <xf numFmtId="0" fontId="77" fillId="8" borderId="16" xfId="3" applyFont="1" applyFill="1" applyBorder="1" applyAlignment="1">
      <alignment horizontal="left"/>
    </xf>
    <xf numFmtId="0" fontId="77" fillId="8" borderId="1" xfId="3" applyFont="1" applyFill="1" applyBorder="1" applyAlignment="1">
      <alignment horizontal="left"/>
    </xf>
    <xf numFmtId="0" fontId="77" fillId="2" borderId="1" xfId="4" applyFont="1" applyFill="1" applyBorder="1" applyAlignment="1">
      <alignment horizontal="center"/>
    </xf>
    <xf numFmtId="0" fontId="82" fillId="2" borderId="1" xfId="4" applyFont="1" applyFill="1" applyBorder="1" applyAlignment="1">
      <alignment horizontal="center"/>
    </xf>
    <xf numFmtId="1" fontId="83" fillId="2" borderId="1" xfId="5" applyNumberFormat="1" applyFont="1" applyFill="1" applyBorder="1" applyAlignment="1">
      <alignment horizontal="center" vertical="center"/>
    </xf>
    <xf numFmtId="0" fontId="77" fillId="2" borderId="16" xfId="3" applyFont="1" applyFill="1" applyBorder="1" applyAlignment="1">
      <alignment horizontal="left" vertical="center"/>
    </xf>
    <xf numFmtId="0" fontId="77" fillId="2" borderId="1" xfId="3" applyFont="1" applyFill="1" applyBorder="1" applyAlignment="1">
      <alignment horizontal="left" vertical="center"/>
    </xf>
    <xf numFmtId="0" fontId="77" fillId="2" borderId="1" xfId="3" applyFont="1" applyFill="1" applyBorder="1" applyAlignment="1">
      <alignment horizontal="center"/>
    </xf>
    <xf numFmtId="1" fontId="77" fillId="2" borderId="12" xfId="5" applyNumberFormat="1" applyFont="1" applyFill="1" applyBorder="1" applyAlignment="1" applyProtection="1">
      <alignment horizontal="center"/>
    </xf>
    <xf numFmtId="1" fontId="48" fillId="12" borderId="1" xfId="3" applyNumberFormat="1" applyFont="1" applyFill="1" applyBorder="1" applyAlignment="1">
      <alignment horizontal="center"/>
    </xf>
    <xf numFmtId="0" fontId="82" fillId="0" borderId="1" xfId="4" applyFont="1" applyBorder="1" applyAlignment="1">
      <alignment horizontal="center"/>
    </xf>
    <xf numFmtId="1" fontId="77" fillId="8" borderId="1" xfId="5" applyNumberFormat="1" applyFont="1" applyFill="1" applyBorder="1" applyAlignment="1">
      <alignment horizontal="center" vertical="center"/>
    </xf>
    <xf numFmtId="0" fontId="77" fillId="0" borderId="1" xfId="4" applyFont="1" applyBorder="1"/>
    <xf numFmtId="0" fontId="84" fillId="8" borderId="1" xfId="3" applyFont="1" applyFill="1" applyBorder="1" applyAlignment="1">
      <alignment horizontal="center"/>
    </xf>
    <xf numFmtId="164" fontId="84" fillId="8" borderId="1" xfId="5" applyNumberFormat="1" applyFont="1" applyFill="1" applyBorder="1" applyAlignment="1">
      <alignment horizontal="center" vertical="center"/>
    </xf>
    <xf numFmtId="1" fontId="77" fillId="2" borderId="1" xfId="5" applyNumberFormat="1" applyFont="1" applyFill="1" applyBorder="1" applyAlignment="1" applyProtection="1">
      <alignment horizontal="center"/>
    </xf>
    <xf numFmtId="0" fontId="77" fillId="13" borderId="16" xfId="3" applyFont="1" applyFill="1" applyBorder="1" applyAlignment="1">
      <alignment horizontal="center" vertical="center"/>
    </xf>
    <xf numFmtId="0" fontId="77" fillId="13" borderId="1" xfId="3" applyFont="1" applyFill="1" applyBorder="1" applyAlignment="1">
      <alignment horizontal="center" vertical="center"/>
    </xf>
    <xf numFmtId="0" fontId="84" fillId="2" borderId="1" xfId="4" applyFont="1" applyFill="1" applyBorder="1" applyAlignment="1">
      <alignment horizontal="center"/>
    </xf>
    <xf numFmtId="0" fontId="48" fillId="12" borderId="1" xfId="3" applyFont="1" applyFill="1" applyBorder="1" applyAlignment="1">
      <alignment horizontal="center" vertical="center"/>
    </xf>
    <xf numFmtId="1" fontId="77" fillId="12" borderId="1" xfId="3" applyNumberFormat="1" applyFont="1" applyFill="1" applyBorder="1" applyAlignment="1">
      <alignment horizontal="center" vertical="center"/>
    </xf>
    <xf numFmtId="0" fontId="83" fillId="12" borderId="1" xfId="3" applyFont="1" applyFill="1" applyBorder="1" applyAlignment="1">
      <alignment horizontal="center" vertical="center"/>
    </xf>
    <xf numFmtId="1" fontId="77" fillId="12" borderId="12" xfId="3" applyNumberFormat="1" applyFont="1" applyFill="1" applyBorder="1" applyAlignment="1">
      <alignment horizontal="center" vertical="center"/>
    </xf>
    <xf numFmtId="0" fontId="85" fillId="0" borderId="0" xfId="0" applyFont="1" applyBorder="1"/>
    <xf numFmtId="0" fontId="85" fillId="0" borderId="0" xfId="0" applyFont="1"/>
    <xf numFmtId="0" fontId="86" fillId="2" borderId="13" xfId="3" applyFont="1" applyFill="1" applyBorder="1" applyAlignment="1">
      <alignment horizontal="center"/>
    </xf>
    <xf numFmtId="0" fontId="86" fillId="2" borderId="3" xfId="3" applyFont="1" applyFill="1" applyBorder="1" applyAlignment="1">
      <alignment horizontal="center"/>
    </xf>
    <xf numFmtId="0" fontId="86" fillId="2" borderId="4" xfId="3" applyFont="1" applyFill="1" applyBorder="1" applyAlignment="1">
      <alignment horizontal="center"/>
    </xf>
    <xf numFmtId="44" fontId="86" fillId="8" borderId="1" xfId="8" applyFont="1" applyFill="1" applyBorder="1" applyAlignment="1">
      <alignment horizontal="center"/>
    </xf>
    <xf numFmtId="2" fontId="86" fillId="8" borderId="1" xfId="3" applyNumberFormat="1" applyFont="1" applyFill="1" applyBorder="1" applyAlignment="1">
      <alignment horizontal="center"/>
    </xf>
    <xf numFmtId="164" fontId="48" fillId="8" borderId="1" xfId="3" applyNumberFormat="1" applyFont="1" applyFill="1" applyBorder="1" applyAlignment="1">
      <alignment horizontal="center"/>
    </xf>
    <xf numFmtId="1" fontId="83" fillId="8" borderId="1" xfId="3" applyNumberFormat="1" applyFont="1" applyFill="1" applyBorder="1" applyAlignment="1">
      <alignment horizontal="center"/>
    </xf>
    <xf numFmtId="0" fontId="86" fillId="8" borderId="1" xfId="3" applyFont="1" applyFill="1" applyBorder="1" applyAlignment="1">
      <alignment horizontal="center"/>
    </xf>
    <xf numFmtId="1" fontId="86" fillId="8" borderId="1" xfId="5" applyNumberFormat="1" applyFont="1" applyFill="1" applyBorder="1" applyAlignment="1">
      <alignment horizontal="center" vertical="center"/>
    </xf>
    <xf numFmtId="2" fontId="77" fillId="8" borderId="1" xfId="9" applyNumberFormat="1" applyFont="1" applyFill="1" applyBorder="1" applyAlignment="1">
      <alignment horizontal="center"/>
    </xf>
    <xf numFmtId="168" fontId="48" fillId="8" borderId="1" xfId="5" applyNumberFormat="1" applyFont="1" applyFill="1" applyBorder="1" applyAlignment="1" applyProtection="1">
      <alignment horizontal="center" vertical="center"/>
    </xf>
    <xf numFmtId="164" fontId="83" fillId="8" borderId="1" xfId="5" applyNumberFormat="1" applyFont="1" applyFill="1" applyBorder="1" applyAlignment="1" applyProtection="1">
      <alignment horizontal="center"/>
    </xf>
    <xf numFmtId="1" fontId="86" fillId="0" borderId="1" xfId="4" applyNumberFormat="1" applyFont="1" applyBorder="1" applyAlignment="1">
      <alignment horizontal="center"/>
    </xf>
    <xf numFmtId="2" fontId="83" fillId="8" borderId="1" xfId="3" applyNumberFormat="1" applyFont="1" applyFill="1" applyBorder="1" applyAlignment="1">
      <alignment horizontal="right"/>
    </xf>
    <xf numFmtId="1" fontId="86" fillId="8" borderId="1" xfId="3" applyNumberFormat="1" applyFont="1" applyFill="1" applyBorder="1" applyAlignment="1">
      <alignment horizontal="center" vertical="center"/>
    </xf>
    <xf numFmtId="0" fontId="86" fillId="13" borderId="13" xfId="3" applyFont="1" applyFill="1" applyBorder="1" applyAlignment="1">
      <alignment horizontal="center"/>
    </xf>
    <xf numFmtId="0" fontId="86" fillId="13" borderId="3" xfId="3" applyFont="1" applyFill="1" applyBorder="1" applyAlignment="1">
      <alignment horizontal="center"/>
    </xf>
    <xf numFmtId="0" fontId="86" fillId="13" borderId="4" xfId="3" applyFont="1" applyFill="1" applyBorder="1" applyAlignment="1">
      <alignment horizontal="center"/>
    </xf>
    <xf numFmtId="0" fontId="84" fillId="2" borderId="1" xfId="3" applyFont="1" applyFill="1" applyBorder="1" applyAlignment="1">
      <alignment horizontal="center"/>
    </xf>
    <xf numFmtId="169" fontId="84" fillId="8" borderId="1" xfId="5" applyNumberFormat="1" applyFont="1" applyFill="1" applyBorder="1" applyAlignment="1" applyProtection="1">
      <alignment horizontal="center" vertical="center"/>
    </xf>
    <xf numFmtId="1" fontId="84" fillId="2" borderId="1" xfId="3" applyNumberFormat="1" applyFont="1" applyFill="1" applyBorder="1" applyAlignment="1">
      <alignment horizontal="center" vertical="top"/>
    </xf>
    <xf numFmtId="0" fontId="80" fillId="17" borderId="3" xfId="3" applyFont="1" applyFill="1" applyBorder="1" applyAlignment="1">
      <alignment vertical="justify"/>
    </xf>
    <xf numFmtId="0" fontId="80" fillId="17" borderId="21" xfId="3" applyFont="1" applyFill="1" applyBorder="1" applyAlignment="1">
      <alignment vertical="justify"/>
    </xf>
    <xf numFmtId="0" fontId="77" fillId="12" borderId="16" xfId="3" applyFont="1" applyFill="1" applyBorder="1" applyAlignment="1">
      <alignment horizontal="left"/>
    </xf>
    <xf numFmtId="0" fontId="77" fillId="12" borderId="1" xfId="3" applyFont="1" applyFill="1" applyBorder="1" applyAlignment="1">
      <alignment horizontal="left"/>
    </xf>
    <xf numFmtId="0" fontId="77" fillId="0" borderId="1" xfId="4" applyFont="1" applyBorder="1" applyAlignment="1">
      <alignment horizontal="center" vertical="center"/>
    </xf>
    <xf numFmtId="1" fontId="88" fillId="2" borderId="0" xfId="0" applyNumberFormat="1" applyFont="1" applyFill="1"/>
    <xf numFmtId="1" fontId="88" fillId="0" borderId="0" xfId="0" applyNumberFormat="1" applyFont="1"/>
    <xf numFmtId="2" fontId="77" fillId="8" borderId="16" xfId="3" applyNumberFormat="1" applyFont="1" applyFill="1" applyBorder="1" applyAlignment="1">
      <alignment horizontal="left" vertical="center"/>
    </xf>
    <xf numFmtId="2" fontId="77" fillId="8" borderId="1" xfId="3" applyNumberFormat="1" applyFont="1" applyFill="1" applyBorder="1" applyAlignment="1">
      <alignment horizontal="left" vertical="center"/>
    </xf>
    <xf numFmtId="0" fontId="77" fillId="8" borderId="1" xfId="3" applyFont="1" applyFill="1" applyBorder="1" applyAlignment="1">
      <alignment horizontal="left" vertical="justify"/>
    </xf>
    <xf numFmtId="0" fontId="77" fillId="17" borderId="1" xfId="3" applyFont="1" applyFill="1" applyBorder="1" applyAlignment="1">
      <alignment horizontal="center"/>
    </xf>
    <xf numFmtId="1" fontId="48" fillId="17" borderId="1" xfId="3" applyNumberFormat="1" applyFont="1" applyFill="1" applyBorder="1" applyAlignment="1">
      <alignment horizontal="center"/>
    </xf>
    <xf numFmtId="0" fontId="77" fillId="17" borderId="12" xfId="3" applyFont="1" applyFill="1" applyBorder="1" applyAlignment="1">
      <alignment horizontal="center"/>
    </xf>
    <xf numFmtId="164" fontId="80" fillId="2" borderId="0" xfId="5" applyNumberFormat="1" applyFont="1" applyFill="1" applyBorder="1" applyAlignment="1" applyProtection="1">
      <alignment horizontal="center"/>
    </xf>
    <xf numFmtId="0" fontId="78" fillId="0" borderId="0" xfId="0" applyFont="1" applyBorder="1"/>
    <xf numFmtId="0" fontId="78" fillId="0" borderId="0" xfId="0" applyFont="1"/>
    <xf numFmtId="164" fontId="80" fillId="2" borderId="0" xfId="3" applyNumberFormat="1" applyFont="1" applyFill="1" applyBorder="1" applyAlignment="1">
      <alignment horizontal="center"/>
    </xf>
    <xf numFmtId="1" fontId="48" fillId="2" borderId="1" xfId="3" applyNumberFormat="1" applyFont="1" applyFill="1" applyBorder="1" applyAlignment="1">
      <alignment horizontal="center"/>
    </xf>
    <xf numFmtId="43" fontId="77" fillId="8" borderId="1" xfId="7" applyFont="1" applyFill="1" applyBorder="1" applyAlignment="1">
      <alignment horizontal="right" wrapText="1"/>
    </xf>
    <xf numFmtId="0" fontId="48" fillId="0" borderId="1" xfId="0" applyFont="1" applyBorder="1" applyAlignment="1">
      <alignment horizontal="left"/>
    </xf>
    <xf numFmtId="0" fontId="48" fillId="0" borderId="0" xfId="0" applyFont="1" applyBorder="1"/>
    <xf numFmtId="1" fontId="48" fillId="0" borderId="0" xfId="0" applyNumberFormat="1" applyFont="1" applyBorder="1" applyAlignment="1">
      <alignment horizontal="center"/>
    </xf>
    <xf numFmtId="1" fontId="48" fillId="0" borderId="24" xfId="0" applyNumberFormat="1" applyFont="1" applyBorder="1"/>
    <xf numFmtId="0" fontId="48" fillId="17" borderId="1" xfId="3" applyFont="1" applyFill="1" applyBorder="1" applyAlignment="1">
      <alignment horizontal="center"/>
    </xf>
    <xf numFmtId="0" fontId="48" fillId="17" borderId="12" xfId="3" applyFont="1" applyFill="1" applyBorder="1" applyAlignment="1">
      <alignment horizontal="center"/>
    </xf>
    <xf numFmtId="1" fontId="77" fillId="12" borderId="1" xfId="5" applyNumberFormat="1" applyFont="1" applyFill="1" applyBorder="1" applyAlignment="1">
      <alignment horizontal="center"/>
    </xf>
    <xf numFmtId="1" fontId="77" fillId="12" borderId="12" xfId="5" applyNumberFormat="1" applyFont="1" applyFill="1" applyBorder="1" applyAlignment="1">
      <alignment horizontal="center"/>
    </xf>
    <xf numFmtId="0" fontId="82" fillId="0" borderId="1" xfId="4" applyFont="1" applyFill="1" applyBorder="1" applyAlignment="1">
      <alignment horizontal="center"/>
    </xf>
    <xf numFmtId="0" fontId="48" fillId="0" borderId="1" xfId="0" applyFont="1" applyBorder="1"/>
    <xf numFmtId="0" fontId="48" fillId="12" borderId="12" xfId="3" applyFont="1" applyFill="1" applyBorder="1" applyAlignment="1">
      <alignment horizontal="center"/>
    </xf>
    <xf numFmtId="9" fontId="77" fillId="8" borderId="1" xfId="6" applyNumberFormat="1" applyFont="1" applyFill="1" applyBorder="1" applyAlignment="1">
      <alignment horizontal="center"/>
    </xf>
    <xf numFmtId="165" fontId="77" fillId="0" borderId="1" xfId="6" applyNumberFormat="1" applyFont="1" applyFill="1" applyBorder="1" applyAlignment="1"/>
    <xf numFmtId="1" fontId="77" fillId="8" borderId="1" xfId="5" applyNumberFormat="1" applyFont="1" applyFill="1" applyBorder="1" applyAlignment="1">
      <alignment horizontal="right"/>
    </xf>
    <xf numFmtId="0" fontId="89" fillId="0" borderId="0" xfId="4" applyFont="1"/>
    <xf numFmtId="0" fontId="77" fillId="8" borderId="6" xfId="3" applyFont="1" applyFill="1" applyBorder="1" applyAlignment="1">
      <alignment horizontal="center"/>
    </xf>
    <xf numFmtId="2" fontId="77" fillId="8" borderId="6" xfId="3" applyNumberFormat="1" applyFont="1" applyFill="1" applyBorder="1" applyAlignment="1">
      <alignment horizontal="center"/>
    </xf>
    <xf numFmtId="9" fontId="77" fillId="8" borderId="6" xfId="6" applyNumberFormat="1" applyFont="1" applyFill="1" applyBorder="1" applyAlignment="1">
      <alignment horizontal="center"/>
    </xf>
    <xf numFmtId="2" fontId="77" fillId="8" borderId="6" xfId="3" applyNumberFormat="1" applyFont="1" applyFill="1" applyBorder="1" applyAlignment="1">
      <alignment horizontal="right"/>
    </xf>
    <xf numFmtId="1" fontId="77" fillId="8" borderId="17" xfId="5" applyNumberFormat="1" applyFont="1" applyFill="1" applyBorder="1" applyAlignment="1" applyProtection="1">
      <alignment horizontal="center"/>
    </xf>
    <xf numFmtId="1" fontId="48" fillId="0" borderId="1" xfId="0" applyNumberFormat="1" applyFont="1" applyBorder="1" applyAlignment="1">
      <alignment horizontal="center"/>
    </xf>
    <xf numFmtId="1" fontId="48" fillId="0" borderId="1" xfId="0" applyNumberFormat="1" applyFont="1" applyBorder="1"/>
    <xf numFmtId="0" fontId="77" fillId="0" borderId="1" xfId="0" applyFont="1" applyBorder="1" applyAlignment="1">
      <alignment horizontal="center"/>
    </xf>
    <xf numFmtId="1" fontId="77" fillId="8" borderId="1" xfId="5" applyNumberFormat="1" applyFont="1" applyFill="1" applyBorder="1" applyAlignment="1" applyProtection="1">
      <alignment horizontal="center"/>
    </xf>
    <xf numFmtId="1" fontId="77" fillId="2" borderId="1" xfId="3" applyNumberFormat="1" applyFont="1" applyFill="1" applyBorder="1" applyAlignment="1">
      <alignment horizontal="center" vertical="center"/>
    </xf>
    <xf numFmtId="0" fontId="48" fillId="0" borderId="1" xfId="0" applyFont="1" applyBorder="1" applyAlignment="1">
      <alignment horizontal="center"/>
    </xf>
    <xf numFmtId="0" fontId="48" fillId="0" borderId="2" xfId="0" applyFont="1" applyBorder="1" applyAlignment="1"/>
    <xf numFmtId="0" fontId="48" fillId="0" borderId="3" xfId="0" applyFont="1" applyBorder="1" applyAlignment="1"/>
    <xf numFmtId="0" fontId="48" fillId="0" borderId="4" xfId="0" applyFont="1" applyBorder="1" applyAlignment="1"/>
    <xf numFmtId="0" fontId="76" fillId="0" borderId="0" xfId="0" applyFont="1" applyAlignment="1">
      <alignment horizontal="center"/>
    </xf>
    <xf numFmtId="0" fontId="82" fillId="2" borderId="1" xfId="4" applyFont="1" applyFill="1" applyBorder="1" applyAlignment="1">
      <alignment horizontal="center" wrapText="1"/>
    </xf>
    <xf numFmtId="0" fontId="82" fillId="0" borderId="1" xfId="4" applyFont="1" applyFill="1" applyBorder="1" applyAlignment="1">
      <alignment horizontal="center" wrapText="1"/>
    </xf>
    <xf numFmtId="0" fontId="82" fillId="0" borderId="1" xfId="4" applyFont="1" applyBorder="1" applyAlignment="1">
      <alignment horizontal="center" wrapText="1"/>
    </xf>
    <xf numFmtId="0" fontId="77" fillId="2" borderId="1" xfId="3" applyFont="1" applyFill="1" applyBorder="1" applyAlignment="1">
      <alignment horizontal="center" vertical="center"/>
    </xf>
    <xf numFmtId="0" fontId="77" fillId="0" borderId="1" xfId="3" applyFont="1" applyFill="1" applyBorder="1" applyAlignment="1">
      <alignment horizontal="center"/>
    </xf>
    <xf numFmtId="0" fontId="77" fillId="0" borderId="0" xfId="4" applyFont="1" applyBorder="1" applyAlignment="1">
      <alignment horizontal="center"/>
    </xf>
    <xf numFmtId="0" fontId="82" fillId="0" borderId="2" xfId="4" applyFont="1" applyBorder="1" applyAlignment="1">
      <alignment horizontal="left"/>
    </xf>
    <xf numFmtId="0" fontId="82" fillId="0" borderId="3" xfId="4" applyFont="1" applyBorder="1" applyAlignment="1">
      <alignment horizontal="left"/>
    </xf>
    <xf numFmtId="0" fontId="82" fillId="0" borderId="4" xfId="4" applyFont="1" applyBorder="1" applyAlignment="1">
      <alignment horizontal="left"/>
    </xf>
    <xf numFmtId="2" fontId="77" fillId="8" borderId="0" xfId="3" applyNumberFormat="1" applyFont="1" applyFill="1" applyBorder="1" applyAlignment="1">
      <alignment horizontal="center"/>
    </xf>
    <xf numFmtId="0" fontId="77" fillId="0" borderId="0" xfId="3" applyFont="1" applyFill="1" applyBorder="1" applyAlignment="1">
      <alignment horizontal="center"/>
    </xf>
    <xf numFmtId="1" fontId="77" fillId="2" borderId="0" xfId="5" applyNumberFormat="1" applyFont="1" applyFill="1" applyBorder="1" applyAlignment="1">
      <alignment horizontal="center" vertical="center"/>
    </xf>
    <xf numFmtId="1" fontId="77" fillId="8" borderId="0" xfId="3" applyNumberFormat="1" applyFont="1" applyFill="1" applyBorder="1" applyAlignment="1">
      <alignment horizontal="center"/>
    </xf>
    <xf numFmtId="1" fontId="77" fillId="8" borderId="0" xfId="5" applyNumberFormat="1" applyFont="1" applyFill="1" applyBorder="1" applyAlignment="1">
      <alignment horizontal="center" vertical="center"/>
    </xf>
    <xf numFmtId="1" fontId="77" fillId="8" borderId="2" xfId="5" applyNumberFormat="1" applyFont="1" applyFill="1" applyBorder="1" applyAlignment="1" applyProtection="1">
      <alignment horizontal="center"/>
    </xf>
    <xf numFmtId="0" fontId="48" fillId="2" borderId="1" xfId="0" applyFont="1" applyFill="1" applyBorder="1" applyAlignment="1">
      <alignment horizontal="center"/>
    </xf>
    <xf numFmtId="0" fontId="83" fillId="0" borderId="16" xfId="4" applyFont="1" applyFill="1" applyBorder="1"/>
    <xf numFmtId="0" fontId="83" fillId="0" borderId="1" xfId="0" applyFont="1" applyFill="1" applyBorder="1"/>
    <xf numFmtId="0" fontId="77" fillId="0" borderId="1" xfId="4" applyFont="1" applyFill="1" applyBorder="1"/>
    <xf numFmtId="0" fontId="48" fillId="0" borderId="1" xfId="3" applyFont="1" applyFill="1" applyBorder="1" applyAlignment="1">
      <alignment horizontal="center"/>
    </xf>
    <xf numFmtId="1" fontId="77" fillId="0" borderId="1" xfId="3" applyNumberFormat="1" applyFont="1" applyFill="1" applyBorder="1" applyAlignment="1">
      <alignment horizontal="center"/>
    </xf>
    <xf numFmtId="1" fontId="77" fillId="0" borderId="1" xfId="5" applyNumberFormat="1" applyFont="1" applyFill="1" applyBorder="1" applyAlignment="1">
      <alignment horizontal="center" vertical="center"/>
    </xf>
    <xf numFmtId="1" fontId="77" fillId="0" borderId="12" xfId="5" applyNumberFormat="1" applyFont="1" applyFill="1" applyBorder="1" applyAlignment="1" applyProtection="1">
      <alignment horizontal="center"/>
    </xf>
    <xf numFmtId="0" fontId="48" fillId="2" borderId="0" xfId="0" applyFont="1" applyFill="1" applyBorder="1"/>
    <xf numFmtId="0" fontId="48" fillId="0" borderId="4" xfId="0" applyFont="1" applyBorder="1" applyAlignment="1">
      <alignment horizontal="center"/>
    </xf>
    <xf numFmtId="1" fontId="48" fillId="0" borderId="12" xfId="0" applyNumberFormat="1" applyFont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1" fontId="48" fillId="0" borderId="12" xfId="0" applyNumberFormat="1" applyFont="1" applyFill="1" applyBorder="1" applyAlignment="1">
      <alignment horizontal="center"/>
    </xf>
    <xf numFmtId="0" fontId="48" fillId="0" borderId="4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7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4" fontId="0" fillId="0" borderId="0" xfId="0" applyNumberFormat="1"/>
    <xf numFmtId="0" fontId="44" fillId="10" borderId="1" xfId="4" applyFont="1" applyFill="1" applyBorder="1" applyAlignment="1">
      <alignment horizontal="center"/>
    </xf>
    <xf numFmtId="0" fontId="55" fillId="10" borderId="1" xfId="0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41" fillId="2" borderId="1" xfId="0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9" fillId="2" borderId="1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13" fillId="0" borderId="14" xfId="1" applyFont="1" applyFill="1" applyBorder="1" applyAlignment="1">
      <alignment horizontal="center" vertical="center" wrapText="1"/>
    </xf>
    <xf numFmtId="0" fontId="13" fillId="0" borderId="11" xfId="1" applyFont="1" applyFill="1" applyBorder="1" applyAlignment="1">
      <alignment horizontal="center" vertical="center" wrapText="1"/>
    </xf>
    <xf numFmtId="0" fontId="13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48" fillId="11" borderId="13" xfId="0" applyFont="1" applyFill="1" applyBorder="1" applyAlignment="1">
      <alignment horizontal="left"/>
    </xf>
    <xf numFmtId="0" fontId="48" fillId="11" borderId="4" xfId="0" applyFont="1" applyFill="1" applyBorder="1" applyAlignment="1">
      <alignment horizontal="left"/>
    </xf>
    <xf numFmtId="0" fontId="48" fillId="2" borderId="13" xfId="0" applyFont="1" applyFill="1" applyBorder="1" applyAlignment="1">
      <alignment horizontal="left"/>
    </xf>
    <xf numFmtId="0" fontId="48" fillId="2" borderId="4" xfId="0" applyFont="1" applyFill="1" applyBorder="1" applyAlignment="1">
      <alignment horizontal="left"/>
    </xf>
    <xf numFmtId="0" fontId="48" fillId="12" borderId="29" xfId="0" applyFont="1" applyFill="1" applyBorder="1" applyAlignment="1">
      <alignment horizontal="center"/>
    </xf>
    <xf numFmtId="0" fontId="48" fillId="12" borderId="30" xfId="0" applyFont="1" applyFill="1" applyBorder="1" applyAlignment="1">
      <alignment horizontal="center"/>
    </xf>
    <xf numFmtId="0" fontId="77" fillId="2" borderId="20" xfId="0" applyFont="1" applyFill="1" applyBorder="1" applyAlignment="1">
      <alignment horizontal="center"/>
    </xf>
    <xf numFmtId="0" fontId="77" fillId="2" borderId="5" xfId="0" applyFont="1" applyFill="1" applyBorder="1" applyAlignment="1">
      <alignment horizontal="center"/>
    </xf>
    <xf numFmtId="0" fontId="48" fillId="12" borderId="1" xfId="0" applyFont="1" applyFill="1" applyBorder="1" applyAlignment="1">
      <alignment horizontal="center"/>
    </xf>
    <xf numFmtId="0" fontId="48" fillId="0" borderId="1" xfId="0" applyFont="1" applyBorder="1" applyAlignment="1">
      <alignment horizontal="left"/>
    </xf>
    <xf numFmtId="0" fontId="77" fillId="12" borderId="23" xfId="3" applyFont="1" applyFill="1" applyBorder="1" applyAlignment="1">
      <alignment horizontal="center" vertical="center"/>
    </xf>
    <xf numFmtId="0" fontId="77" fillId="12" borderId="0" xfId="3" applyFont="1" applyFill="1" applyBorder="1" applyAlignment="1">
      <alignment horizontal="center" vertical="center"/>
    </xf>
    <xf numFmtId="0" fontId="77" fillId="12" borderId="24" xfId="3" applyFont="1" applyFill="1" applyBorder="1" applyAlignment="1">
      <alignment horizontal="center" vertical="center"/>
    </xf>
    <xf numFmtId="0" fontId="48" fillId="2" borderId="3" xfId="0" applyFont="1" applyFill="1" applyBorder="1" applyAlignment="1">
      <alignment horizontal="left"/>
    </xf>
    <xf numFmtId="0" fontId="77" fillId="0" borderId="1" xfId="4" applyFont="1" applyBorder="1" applyAlignment="1">
      <alignment horizontal="left"/>
    </xf>
    <xf numFmtId="0" fontId="48" fillId="0" borderId="2" xfId="0" applyFont="1" applyBorder="1" applyAlignment="1">
      <alignment horizontal="left"/>
    </xf>
    <xf numFmtId="0" fontId="48" fillId="0" borderId="4" xfId="0" applyFont="1" applyBorder="1" applyAlignment="1">
      <alignment horizontal="left"/>
    </xf>
    <xf numFmtId="0" fontId="82" fillId="0" borderId="1" xfId="4" applyFont="1" applyBorder="1" applyAlignment="1">
      <alignment horizontal="left"/>
    </xf>
    <xf numFmtId="0" fontId="48" fillId="0" borderId="3" xfId="0" applyFont="1" applyBorder="1" applyAlignment="1">
      <alignment horizontal="left"/>
    </xf>
    <xf numFmtId="0" fontId="48" fillId="10" borderId="2" xfId="0" applyFont="1" applyFill="1" applyBorder="1" applyAlignment="1">
      <alignment horizontal="left"/>
    </xf>
    <xf numFmtId="0" fontId="48" fillId="10" borderId="3" xfId="0" applyFont="1" applyFill="1" applyBorder="1" applyAlignment="1">
      <alignment horizontal="left"/>
    </xf>
    <xf numFmtId="0" fontId="48" fillId="10" borderId="4" xfId="0" applyFont="1" applyFill="1" applyBorder="1" applyAlignment="1">
      <alignment horizontal="left"/>
    </xf>
    <xf numFmtId="0" fontId="48" fillId="0" borderId="2" xfId="0" applyFont="1" applyBorder="1" applyAlignment="1">
      <alignment horizontal="center"/>
    </xf>
    <xf numFmtId="0" fontId="48" fillId="0" borderId="3" xfId="0" applyFont="1" applyBorder="1" applyAlignment="1">
      <alignment horizontal="center"/>
    </xf>
    <xf numFmtId="0" fontId="48" fillId="0" borderId="4" xfId="0" applyFont="1" applyBorder="1" applyAlignment="1">
      <alignment horizontal="center"/>
    </xf>
    <xf numFmtId="0" fontId="77" fillId="8" borderId="13" xfId="3" applyFont="1" applyFill="1" applyBorder="1" applyAlignment="1">
      <alignment horizontal="left"/>
    </xf>
    <xf numFmtId="0" fontId="77" fillId="8" borderId="3" xfId="3" applyFont="1" applyFill="1" applyBorder="1" applyAlignment="1">
      <alignment horizontal="left"/>
    </xf>
    <xf numFmtId="0" fontId="77" fillId="8" borderId="4" xfId="3" applyFont="1" applyFill="1" applyBorder="1" applyAlignment="1">
      <alignment horizontal="left"/>
    </xf>
    <xf numFmtId="0" fontId="77" fillId="8" borderId="0" xfId="3" applyFont="1" applyFill="1" applyBorder="1" applyAlignment="1">
      <alignment vertical="center"/>
    </xf>
    <xf numFmtId="0" fontId="77" fillId="0" borderId="2" xfId="4" applyFont="1" applyBorder="1" applyAlignment="1">
      <alignment horizontal="left" vertical="center"/>
    </xf>
    <xf numFmtId="0" fontId="77" fillId="0" borderId="3" xfId="4" applyFont="1" applyBorder="1" applyAlignment="1">
      <alignment horizontal="left" vertical="center"/>
    </xf>
    <xf numFmtId="0" fontId="77" fillId="0" borderId="4" xfId="4" applyFont="1" applyBorder="1" applyAlignment="1">
      <alignment horizontal="left" vertical="center"/>
    </xf>
    <xf numFmtId="0" fontId="77" fillId="8" borderId="19" xfId="3" applyFont="1" applyFill="1" applyBorder="1" applyAlignment="1">
      <alignment horizontal="left"/>
    </xf>
    <xf numFmtId="0" fontId="77" fillId="8" borderId="8" xfId="3" applyFont="1" applyFill="1" applyBorder="1" applyAlignment="1">
      <alignment horizontal="left"/>
    </xf>
    <xf numFmtId="0" fontId="77" fillId="8" borderId="9" xfId="3" applyFont="1" applyFill="1" applyBorder="1" applyAlignment="1">
      <alignment horizontal="left"/>
    </xf>
    <xf numFmtId="0" fontId="48" fillId="12" borderId="0" xfId="0" applyFont="1" applyFill="1" applyAlignment="1">
      <alignment horizontal="center"/>
    </xf>
    <xf numFmtId="0" fontId="48" fillId="12" borderId="2" xfId="0" applyFont="1" applyFill="1" applyBorder="1" applyAlignment="1">
      <alignment horizontal="center"/>
    </xf>
    <xf numFmtId="0" fontId="48" fillId="12" borderId="3" xfId="0" applyFont="1" applyFill="1" applyBorder="1" applyAlignment="1">
      <alignment horizontal="center"/>
    </xf>
    <xf numFmtId="0" fontId="48" fillId="12" borderId="4" xfId="0" applyFont="1" applyFill="1" applyBorder="1" applyAlignment="1">
      <alignment horizontal="center"/>
    </xf>
    <xf numFmtId="0" fontId="77" fillId="12" borderId="13" xfId="3" applyFont="1" applyFill="1" applyBorder="1" applyAlignment="1">
      <alignment horizontal="center" vertical="center"/>
    </xf>
    <xf numFmtId="0" fontId="77" fillId="12" borderId="3" xfId="3" applyFont="1" applyFill="1" applyBorder="1" applyAlignment="1">
      <alignment horizontal="center" vertical="center"/>
    </xf>
    <xf numFmtId="0" fontId="77" fillId="12" borderId="4" xfId="3" applyFont="1" applyFill="1" applyBorder="1" applyAlignment="1">
      <alignment horizontal="center" vertical="center"/>
    </xf>
    <xf numFmtId="0" fontId="77" fillId="12" borderId="13" xfId="3" applyFont="1" applyFill="1" applyBorder="1" applyAlignment="1">
      <alignment horizontal="center"/>
    </xf>
    <xf numFmtId="0" fontId="77" fillId="12" borderId="3" xfId="3" applyFont="1" applyFill="1" applyBorder="1" applyAlignment="1">
      <alignment horizontal="center"/>
    </xf>
    <xf numFmtId="0" fontId="77" fillId="12" borderId="4" xfId="3" applyFont="1" applyFill="1" applyBorder="1" applyAlignment="1">
      <alignment horizontal="center"/>
    </xf>
    <xf numFmtId="0" fontId="81" fillId="17" borderId="13" xfId="3" applyFont="1" applyFill="1" applyBorder="1" applyAlignment="1">
      <alignment horizontal="center"/>
    </xf>
    <xf numFmtId="0" fontId="81" fillId="17" borderId="3" xfId="3" applyFont="1" applyFill="1" applyBorder="1" applyAlignment="1">
      <alignment horizontal="center"/>
    </xf>
    <xf numFmtId="0" fontId="81" fillId="17" borderId="4" xfId="3" applyFont="1" applyFill="1" applyBorder="1" applyAlignment="1">
      <alignment horizontal="center"/>
    </xf>
    <xf numFmtId="0" fontId="77" fillId="0" borderId="13" xfId="4" applyFont="1" applyBorder="1" applyAlignment="1">
      <alignment horizontal="left"/>
    </xf>
    <xf numFmtId="0" fontId="77" fillId="0" borderId="3" xfId="4" applyFont="1" applyBorder="1" applyAlignment="1">
      <alignment horizontal="left"/>
    </xf>
    <xf numFmtId="0" fontId="77" fillId="0" borderId="4" xfId="4" applyFont="1" applyBorder="1" applyAlignment="1">
      <alignment horizontal="left"/>
    </xf>
    <xf numFmtId="0" fontId="75" fillId="8" borderId="14" xfId="3" applyFont="1" applyFill="1" applyBorder="1" applyAlignment="1">
      <alignment horizontal="center"/>
    </xf>
    <xf numFmtId="0" fontId="75" fillId="8" borderId="11" xfId="3" applyFont="1" applyFill="1" applyBorder="1" applyAlignment="1">
      <alignment horizontal="center"/>
    </xf>
    <xf numFmtId="0" fontId="75" fillId="8" borderId="15" xfId="3" applyFont="1" applyFill="1" applyBorder="1" applyAlignment="1">
      <alignment horizontal="center"/>
    </xf>
    <xf numFmtId="0" fontId="81" fillId="12" borderId="13" xfId="3" applyFont="1" applyFill="1" applyBorder="1" applyAlignment="1">
      <alignment horizontal="center" vertical="center"/>
    </xf>
    <xf numFmtId="0" fontId="81" fillId="12" borderId="3" xfId="3" applyFont="1" applyFill="1" applyBorder="1" applyAlignment="1">
      <alignment horizontal="center" vertical="center"/>
    </xf>
    <xf numFmtId="0" fontId="81" fillId="12" borderId="4" xfId="3" applyFont="1" applyFill="1" applyBorder="1" applyAlignment="1">
      <alignment horizontal="center" vertical="center"/>
    </xf>
    <xf numFmtId="0" fontId="81" fillId="12" borderId="13" xfId="3" applyFont="1" applyFill="1" applyBorder="1" applyAlignment="1">
      <alignment horizontal="center"/>
    </xf>
    <xf numFmtId="0" fontId="81" fillId="12" borderId="3" xfId="3" applyFont="1" applyFill="1" applyBorder="1" applyAlignment="1">
      <alignment horizontal="center"/>
    </xf>
    <xf numFmtId="0" fontId="81" fillId="12" borderId="4" xfId="3" applyFont="1" applyFill="1" applyBorder="1" applyAlignment="1">
      <alignment horizontal="center"/>
    </xf>
    <xf numFmtId="0" fontId="77" fillId="13" borderId="13" xfId="3" applyFont="1" applyFill="1" applyBorder="1" applyAlignment="1">
      <alignment horizontal="left"/>
    </xf>
    <xf numFmtId="0" fontId="77" fillId="13" borderId="3" xfId="3" applyFont="1" applyFill="1" applyBorder="1" applyAlignment="1">
      <alignment horizontal="left"/>
    </xf>
    <xf numFmtId="0" fontId="77" fillId="13" borderId="4" xfId="3" applyFont="1" applyFill="1" applyBorder="1" applyAlignment="1">
      <alignment horizontal="left"/>
    </xf>
    <xf numFmtId="0" fontId="77" fillId="9" borderId="2" xfId="3" applyFont="1" applyFill="1" applyBorder="1" applyAlignment="1">
      <alignment horizontal="center"/>
    </xf>
    <xf numFmtId="0" fontId="77" fillId="9" borderId="4" xfId="3" applyFont="1" applyFill="1" applyBorder="1" applyAlignment="1">
      <alignment horizontal="center"/>
    </xf>
    <xf numFmtId="0" fontId="87" fillId="17" borderId="13" xfId="3" applyFont="1" applyFill="1" applyBorder="1" applyAlignment="1">
      <alignment horizontal="center" vertical="center"/>
    </xf>
    <xf numFmtId="0" fontId="87" fillId="17" borderId="3" xfId="3" applyFont="1" applyFill="1" applyBorder="1" applyAlignment="1">
      <alignment horizontal="center" vertical="center"/>
    </xf>
    <xf numFmtId="0" fontId="48" fillId="0" borderId="13" xfId="0" applyFont="1" applyBorder="1" applyAlignment="1">
      <alignment horizontal="left"/>
    </xf>
    <xf numFmtId="0" fontId="82" fillId="0" borderId="2" xfId="4" applyFont="1" applyBorder="1" applyAlignment="1">
      <alignment horizontal="left"/>
    </xf>
    <xf numFmtId="0" fontId="82" fillId="0" borderId="3" xfId="4" applyFont="1" applyBorder="1" applyAlignment="1">
      <alignment horizontal="left"/>
    </xf>
    <xf numFmtId="0" fontId="82" fillId="0" borderId="4" xfId="4" applyFont="1" applyBorder="1" applyAlignment="1">
      <alignment horizontal="left"/>
    </xf>
    <xf numFmtId="0" fontId="82" fillId="10" borderId="2" xfId="4" applyFont="1" applyFill="1" applyBorder="1" applyAlignment="1">
      <alignment horizontal="left"/>
    </xf>
    <xf numFmtId="0" fontId="82" fillId="10" borderId="3" xfId="4" applyFont="1" applyFill="1" applyBorder="1" applyAlignment="1">
      <alignment horizontal="left"/>
    </xf>
    <xf numFmtId="0" fontId="82" fillId="10" borderId="4" xfId="4" applyFont="1" applyFill="1" applyBorder="1" applyAlignment="1">
      <alignment horizontal="left"/>
    </xf>
    <xf numFmtId="0" fontId="82" fillId="10" borderId="1" xfId="4" applyFont="1" applyFill="1" applyBorder="1" applyAlignment="1">
      <alignment horizontal="left"/>
    </xf>
    <xf numFmtId="0" fontId="77" fillId="0" borderId="2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70" fillId="12" borderId="23" xfId="3" applyFont="1" applyFill="1" applyBorder="1" applyAlignment="1">
      <alignment horizontal="center" vertical="center"/>
    </xf>
    <xf numFmtId="0" fontId="70" fillId="12" borderId="0" xfId="3" applyFont="1" applyFill="1" applyBorder="1" applyAlignment="1">
      <alignment horizontal="center" vertical="center"/>
    </xf>
    <xf numFmtId="0" fontId="70" fillId="12" borderId="24" xfId="3" applyFont="1" applyFill="1" applyBorder="1" applyAlignment="1">
      <alignment horizontal="center" vertical="center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2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7" fillId="12" borderId="1" xfId="0" applyFont="1" applyFill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71" fillId="17" borderId="13" xfId="3" applyFont="1" applyFill="1" applyBorder="1" applyAlignment="1">
      <alignment horizontal="center"/>
    </xf>
    <xf numFmtId="0" fontId="71" fillId="17" borderId="3" xfId="3" applyFont="1" applyFill="1" applyBorder="1" applyAlignment="1">
      <alignment horizontal="center"/>
    </xf>
    <xf numFmtId="0" fontId="71" fillId="17" borderId="4" xfId="3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71" fillId="12" borderId="13" xfId="3" applyFont="1" applyFill="1" applyBorder="1" applyAlignment="1">
      <alignment horizontal="center" vertical="center"/>
    </xf>
    <xf numFmtId="0" fontId="71" fillId="12" borderId="3" xfId="3" applyFont="1" applyFill="1" applyBorder="1" applyAlignment="1">
      <alignment horizontal="center" vertical="center"/>
    </xf>
    <xf numFmtId="0" fontId="71" fillId="12" borderId="4" xfId="3" applyFont="1" applyFill="1" applyBorder="1" applyAlignment="1">
      <alignment horizontal="center" vertical="center"/>
    </xf>
    <xf numFmtId="0" fontId="71" fillId="12" borderId="13" xfId="3" applyFont="1" applyFill="1" applyBorder="1" applyAlignment="1">
      <alignment horizontal="center"/>
    </xf>
    <xf numFmtId="0" fontId="71" fillId="12" borderId="3" xfId="3" applyFont="1" applyFill="1" applyBorder="1" applyAlignment="1">
      <alignment horizontal="center"/>
    </xf>
    <xf numFmtId="0" fontId="71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72" fillId="12" borderId="13" xfId="3" applyFont="1" applyFill="1" applyBorder="1" applyAlignment="1">
      <alignment horizontal="center" vertical="center"/>
    </xf>
    <xf numFmtId="0" fontId="72" fillId="12" borderId="3" xfId="3" applyFont="1" applyFill="1" applyBorder="1" applyAlignment="1">
      <alignment horizontal="center" vertical="center"/>
    </xf>
    <xf numFmtId="0" fontId="72" fillId="12" borderId="4" xfId="3" applyFont="1" applyFill="1" applyBorder="1" applyAlignment="1">
      <alignment horizontal="center" vertical="center"/>
    </xf>
    <xf numFmtId="0" fontId="73" fillId="17" borderId="13" xfId="3" applyFont="1" applyFill="1" applyBorder="1" applyAlignment="1">
      <alignment horizontal="center" vertical="center"/>
    </xf>
    <xf numFmtId="0" fontId="73" fillId="17" borderId="3" xfId="3" applyFont="1" applyFill="1" applyBorder="1" applyAlignment="1">
      <alignment horizontal="center" vertical="center"/>
    </xf>
    <xf numFmtId="0" fontId="72" fillId="17" borderId="13" xfId="3" applyFont="1" applyFill="1" applyBorder="1" applyAlignment="1">
      <alignment horizontal="center"/>
    </xf>
    <xf numFmtId="0" fontId="72" fillId="17" borderId="3" xfId="3" applyFont="1" applyFill="1" applyBorder="1" applyAlignment="1">
      <alignment horizontal="center"/>
    </xf>
    <xf numFmtId="0" fontId="72" fillId="17" borderId="4" xfId="3" applyFont="1" applyFill="1" applyBorder="1" applyAlignment="1">
      <alignment horizontal="center"/>
    </xf>
    <xf numFmtId="0" fontId="36" fillId="10" borderId="2" xfId="4" applyFont="1" applyFill="1" applyBorder="1" applyAlignment="1">
      <alignment horizontal="left"/>
    </xf>
    <xf numFmtId="0" fontId="36" fillId="10" borderId="3" xfId="4" applyFont="1" applyFill="1" applyBorder="1" applyAlignment="1">
      <alignment horizontal="left"/>
    </xf>
    <xf numFmtId="0" fontId="36" fillId="10" borderId="4" xfId="4" applyFont="1" applyFill="1" applyBorder="1" applyAlignment="1">
      <alignment horizontal="left"/>
    </xf>
    <xf numFmtId="0" fontId="36" fillId="10" borderId="1" xfId="4" applyFont="1" applyFill="1" applyBorder="1" applyAlignment="1">
      <alignment horizontal="left"/>
    </xf>
    <xf numFmtId="0" fontId="37" fillId="10" borderId="2" xfId="0" applyFont="1" applyFill="1" applyBorder="1" applyAlignment="1">
      <alignment horizontal="left"/>
    </xf>
    <xf numFmtId="0" fontId="37" fillId="10" borderId="3" xfId="0" applyFont="1" applyFill="1" applyBorder="1" applyAlignment="1">
      <alignment horizontal="left"/>
    </xf>
    <xf numFmtId="0" fontId="37" fillId="10" borderId="4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40" fillId="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40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7" fontId="32" fillId="8" borderId="13" xfId="3" applyNumberFormat="1" applyFont="1" applyFill="1" applyBorder="1" applyAlignment="1">
      <alignment horizontal="left" vertical="center"/>
    </xf>
    <xf numFmtId="167" fontId="32" fillId="8" borderId="3" xfId="3" applyNumberFormat="1" applyFont="1" applyFill="1" applyBorder="1" applyAlignment="1">
      <alignment horizontal="left" vertical="center"/>
    </xf>
    <xf numFmtId="167" fontId="32" fillId="8" borderId="4" xfId="3" applyNumberFormat="1" applyFont="1" applyFill="1" applyBorder="1" applyAlignment="1">
      <alignment horizontal="left" vertical="center"/>
    </xf>
  </cellXfs>
  <cellStyles count="19">
    <cellStyle name="Comma 2 2" xfId="10" xr:uid="{00000000-0005-0000-0000-000000000000}"/>
    <cellStyle name="Comma 2 3" xfId="5" xr:uid="{00000000-0005-0000-0000-000001000000}"/>
    <cellStyle name="Comma 3" xfId="7" xr:uid="{00000000-0005-0000-0000-000002000000}"/>
    <cellStyle name="Comma 3 2" xfId="11" xr:uid="{00000000-0005-0000-0000-000003000000}"/>
    <cellStyle name="Currency 2" xfId="8" xr:uid="{00000000-0005-0000-0000-000004000000}"/>
    <cellStyle name="Hyperlink" xfId="2" builtinId="8"/>
    <cellStyle name="Normal" xfId="0" builtinId="0"/>
    <cellStyle name="Normal 2" xfId="1" xr:uid="{00000000-0005-0000-0000-000007000000}"/>
    <cellStyle name="Normal 2 2" xfId="9" xr:uid="{00000000-0005-0000-0000-000008000000}"/>
    <cellStyle name="Normal 2 2 2" xfId="12" xr:uid="{00000000-0005-0000-0000-000009000000}"/>
    <cellStyle name="Normal 2 2 2 2" xfId="13" xr:uid="{00000000-0005-0000-0000-00000A000000}"/>
    <cellStyle name="Normal 2 2 3" xfId="14" xr:uid="{00000000-0005-0000-0000-00000B000000}"/>
    <cellStyle name="Normal 2 3" xfId="3" xr:uid="{00000000-0005-0000-0000-00000C000000}"/>
    <cellStyle name="Normal 2 4" xfId="15" xr:uid="{00000000-0005-0000-0000-00000D000000}"/>
    <cellStyle name="Normal 3" xfId="4" xr:uid="{00000000-0005-0000-0000-00000E000000}"/>
    <cellStyle name="Normal 4" xfId="16" xr:uid="{00000000-0005-0000-0000-00000F000000}"/>
    <cellStyle name="Normal 4 2" xfId="18" xr:uid="{00000000-0005-0000-0000-000010000000}"/>
    <cellStyle name="Normal 5" xfId="17" xr:uid="{00000000-0005-0000-0000-000011000000}"/>
    <cellStyle name="Percent 2" xfId="6" xr:uid="{00000000-0005-0000-0000-000012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29.779999999996107</c:v>
                </c:pt>
                <c:pt idx="1">
                  <c:v>33.15000000000714</c:v>
                </c:pt>
                <c:pt idx="2">
                  <c:v>31.679999999994607</c:v>
                </c:pt>
                <c:pt idx="3">
                  <c:v>33</c:v>
                </c:pt>
                <c:pt idx="4">
                  <c:v>30.360000000003311</c:v>
                </c:pt>
                <c:pt idx="5">
                  <c:v>34</c:v>
                </c:pt>
                <c:pt idx="6">
                  <c:v>35.119999999998527</c:v>
                </c:pt>
                <c:pt idx="7">
                  <c:v>34.530000000003156</c:v>
                </c:pt>
                <c:pt idx="8">
                  <c:v>34.279999999998608</c:v>
                </c:pt>
                <c:pt idx="9">
                  <c:v>36.569999999999709</c:v>
                </c:pt>
                <c:pt idx="10">
                  <c:v>33</c:v>
                </c:pt>
                <c:pt idx="11">
                  <c:v>34</c:v>
                </c:pt>
                <c:pt idx="12">
                  <c:v>32</c:v>
                </c:pt>
                <c:pt idx="13">
                  <c:v>34</c:v>
                </c:pt>
                <c:pt idx="14">
                  <c:v>32</c:v>
                </c:pt>
                <c:pt idx="15">
                  <c:v>30.089999999999918</c:v>
                </c:pt>
                <c:pt idx="16">
                  <c:v>31.780000000005657</c:v>
                </c:pt>
                <c:pt idx="17">
                  <c:v>-1512.3400000000067</c:v>
                </c:pt>
                <c:pt idx="18">
                  <c:v>-1512.3400000000067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-2465.3400000000065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47524992"/>
        <c:axId val="147543168"/>
      </c:lineChart>
      <c:catAx>
        <c:axId val="14752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543168"/>
        <c:crosses val="autoZero"/>
        <c:auto val="1"/>
        <c:lblAlgn val="ctr"/>
        <c:lblOffset val="100"/>
        <c:noMultiLvlLbl val="0"/>
      </c:catAx>
      <c:valAx>
        <c:axId val="147543168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47524992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11.319999999999709</c:v>
                </c:pt>
                <c:pt idx="1">
                  <c:v>10.090000000000146</c:v>
                </c:pt>
                <c:pt idx="2">
                  <c:v>13.31000000000131</c:v>
                </c:pt>
                <c:pt idx="3">
                  <c:v>14.419999999998254</c:v>
                </c:pt>
                <c:pt idx="4">
                  <c:v>13.830000000001746</c:v>
                </c:pt>
                <c:pt idx="5">
                  <c:v>15.040000000011787</c:v>
                </c:pt>
                <c:pt idx="6">
                  <c:v>13.249999999992724</c:v>
                </c:pt>
                <c:pt idx="7">
                  <c:v>12.499999999992724</c:v>
                </c:pt>
                <c:pt idx="8">
                  <c:v>12.700000000004366</c:v>
                </c:pt>
                <c:pt idx="9">
                  <c:v>11.220000000001164</c:v>
                </c:pt>
                <c:pt idx="10">
                  <c:v>16</c:v>
                </c:pt>
                <c:pt idx="11">
                  <c:v>14.419999999998254</c:v>
                </c:pt>
                <c:pt idx="12">
                  <c:v>13.460000000002765</c:v>
                </c:pt>
                <c:pt idx="13">
                  <c:v>15.370000000002619</c:v>
                </c:pt>
                <c:pt idx="14">
                  <c:v>10.259999999991123</c:v>
                </c:pt>
                <c:pt idx="15">
                  <c:v>12.159999999999854</c:v>
                </c:pt>
                <c:pt idx="16">
                  <c:v>11.913000000000466</c:v>
                </c:pt>
                <c:pt idx="17">
                  <c:v>-518.64299999999275</c:v>
                </c:pt>
                <c:pt idx="18">
                  <c:v>-518.64299999999275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-816.0229999999865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47576320"/>
        <c:axId val="147577856"/>
      </c:lineChart>
      <c:catAx>
        <c:axId val="147576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577856"/>
        <c:crosses val="autoZero"/>
        <c:auto val="1"/>
        <c:lblAlgn val="ctr"/>
        <c:lblOffset val="100"/>
        <c:noMultiLvlLbl val="0"/>
      </c:catAx>
      <c:valAx>
        <c:axId val="147577856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576320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7849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199</c:v>
                </c:pt>
                <c:pt idx="1">
                  <c:v>259</c:v>
                </c:pt>
                <c:pt idx="2">
                  <c:v>259</c:v>
                </c:pt>
                <c:pt idx="3">
                  <c:v>250</c:v>
                </c:pt>
                <c:pt idx="4">
                  <c:v>281</c:v>
                </c:pt>
                <c:pt idx="5">
                  <c:v>240</c:v>
                </c:pt>
                <c:pt idx="6">
                  <c:v>258</c:v>
                </c:pt>
                <c:pt idx="7">
                  <c:v>231</c:v>
                </c:pt>
                <c:pt idx="8">
                  <c:v>274</c:v>
                </c:pt>
                <c:pt idx="9">
                  <c:v>258</c:v>
                </c:pt>
                <c:pt idx="10">
                  <c:v>276</c:v>
                </c:pt>
                <c:pt idx="11">
                  <c:v>248</c:v>
                </c:pt>
                <c:pt idx="12">
                  <c:v>219</c:v>
                </c:pt>
                <c:pt idx="13">
                  <c:v>241</c:v>
                </c:pt>
                <c:pt idx="14">
                  <c:v>269</c:v>
                </c:pt>
                <c:pt idx="15">
                  <c:v>280</c:v>
                </c:pt>
                <c:pt idx="16">
                  <c:v>271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7113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148926464"/>
        <c:axId val="148928000"/>
      </c:lineChart>
      <c:catAx>
        <c:axId val="148926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928000"/>
        <c:crosses val="autoZero"/>
        <c:auto val="1"/>
        <c:lblAlgn val="ctr"/>
        <c:lblOffset val="100"/>
        <c:noMultiLvlLbl val="0"/>
      </c:catAx>
      <c:valAx>
        <c:axId val="148928000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926464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8238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981</c:v>
                </c:pt>
                <c:pt idx="1">
                  <c:v>1027</c:v>
                </c:pt>
                <c:pt idx="2">
                  <c:v>1056.8870000001043</c:v>
                </c:pt>
                <c:pt idx="3">
                  <c:v>1064.1129999998957</c:v>
                </c:pt>
                <c:pt idx="4">
                  <c:v>1023</c:v>
                </c:pt>
                <c:pt idx="5">
                  <c:v>974</c:v>
                </c:pt>
                <c:pt idx="6">
                  <c:v>998.83000000007451</c:v>
                </c:pt>
                <c:pt idx="7">
                  <c:v>1022.5499999998137</c:v>
                </c:pt>
                <c:pt idx="8">
                  <c:v>996.62000000011176</c:v>
                </c:pt>
                <c:pt idx="9">
                  <c:v>948</c:v>
                </c:pt>
                <c:pt idx="10">
                  <c:v>1045</c:v>
                </c:pt>
                <c:pt idx="11">
                  <c:v>959</c:v>
                </c:pt>
                <c:pt idx="12">
                  <c:v>952</c:v>
                </c:pt>
                <c:pt idx="13">
                  <c:v>1032</c:v>
                </c:pt>
                <c:pt idx="14">
                  <c:v>976</c:v>
                </c:pt>
                <c:pt idx="15">
                  <c:v>978.88299999991432</c:v>
                </c:pt>
                <c:pt idx="16">
                  <c:v>875</c:v>
                </c:pt>
                <c:pt idx="17">
                  <c:v>875</c:v>
                </c:pt>
                <c:pt idx="18">
                  <c:v>875</c:v>
                </c:pt>
                <c:pt idx="19">
                  <c:v>875</c:v>
                </c:pt>
                <c:pt idx="20">
                  <c:v>875</c:v>
                </c:pt>
                <c:pt idx="21">
                  <c:v>875</c:v>
                </c:pt>
                <c:pt idx="22">
                  <c:v>875</c:v>
                </c:pt>
                <c:pt idx="23">
                  <c:v>875</c:v>
                </c:pt>
                <c:pt idx="24">
                  <c:v>875</c:v>
                </c:pt>
                <c:pt idx="25">
                  <c:v>875</c:v>
                </c:pt>
                <c:pt idx="26">
                  <c:v>875</c:v>
                </c:pt>
                <c:pt idx="27">
                  <c:v>875</c:v>
                </c:pt>
                <c:pt idx="28">
                  <c:v>875</c:v>
                </c:pt>
                <c:pt idx="29">
                  <c:v>875</c:v>
                </c:pt>
                <c:pt idx="30">
                  <c:v>875</c:v>
                </c:pt>
                <c:pt idx="31">
                  <c:v>29159.882999999914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981248"/>
        <c:axId val="148982784"/>
      </c:lineChart>
      <c:catAx>
        <c:axId val="148981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982784"/>
        <c:crosses val="autoZero"/>
        <c:auto val="1"/>
        <c:lblAlgn val="ctr"/>
        <c:lblOffset val="100"/>
        <c:noMultiLvlLbl val="0"/>
      </c:catAx>
      <c:valAx>
        <c:axId val="148982784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981248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3773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4013.7799999999988</c:v>
                </c:pt>
                <c:pt idx="1">
                  <c:v>4103.2200000000012</c:v>
                </c:pt>
                <c:pt idx="2">
                  <c:v>4180.140000000014</c:v>
                </c:pt>
                <c:pt idx="3">
                  <c:v>4257.7299999999814</c:v>
                </c:pt>
                <c:pt idx="4">
                  <c:v>4350.1300000000047</c:v>
                </c:pt>
                <c:pt idx="5">
                  <c:v>4190</c:v>
                </c:pt>
                <c:pt idx="6">
                  <c:v>4090.2600000000093</c:v>
                </c:pt>
                <c:pt idx="7">
                  <c:v>4276.4100000000035</c:v>
                </c:pt>
                <c:pt idx="8">
                  <c:v>4274.3299999999872</c:v>
                </c:pt>
                <c:pt idx="9">
                  <c:v>4216</c:v>
                </c:pt>
                <c:pt idx="10">
                  <c:v>4356</c:v>
                </c:pt>
                <c:pt idx="11">
                  <c:v>4376</c:v>
                </c:pt>
                <c:pt idx="12">
                  <c:v>4354</c:v>
                </c:pt>
                <c:pt idx="13">
                  <c:v>4269</c:v>
                </c:pt>
                <c:pt idx="14">
                  <c:v>4212</c:v>
                </c:pt>
                <c:pt idx="15">
                  <c:v>4126.1300000000047</c:v>
                </c:pt>
                <c:pt idx="16">
                  <c:v>4167.8999999999942</c:v>
                </c:pt>
                <c:pt idx="17">
                  <c:v>443210.97</c:v>
                </c:pt>
                <c:pt idx="18">
                  <c:v>443210.97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958234.97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434232</c:v>
                </c:pt>
                <c:pt idx="18">
                  <c:v>434232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49033344"/>
        <c:axId val="149034880"/>
      </c:lineChart>
      <c:catAx>
        <c:axId val="149033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034880"/>
        <c:crosses val="autoZero"/>
        <c:auto val="1"/>
        <c:lblAlgn val="ctr"/>
        <c:lblOffset val="100"/>
        <c:noMultiLvlLbl val="0"/>
      </c:catAx>
      <c:valAx>
        <c:axId val="149034880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033344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2667.38</c:v>
                </c:pt>
                <c:pt idx="16">
                  <c:v>2841.0199999999995</c:v>
                </c:pt>
                <c:pt idx="17">
                  <c:v>1053088.6000000001</c:v>
                </c:pt>
                <c:pt idx="18">
                  <c:v>1053088.6000000001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2111685.6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080320"/>
        <c:axId val="149090304"/>
      </c:lineChart>
      <c:catAx>
        <c:axId val="149080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090304"/>
        <c:crosses val="autoZero"/>
        <c:auto val="1"/>
        <c:lblAlgn val="ctr"/>
        <c:lblOffset val="100"/>
        <c:noMultiLvlLbl val="0"/>
      </c:catAx>
      <c:valAx>
        <c:axId val="149090304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08032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0.51</c:v>
                </c:pt>
                <c:pt idx="1">
                  <c:v>0.51</c:v>
                </c:pt>
                <c:pt idx="2">
                  <c:v>0.51</c:v>
                </c:pt>
                <c:pt idx="3">
                  <c:v>0.68</c:v>
                </c:pt>
                <c:pt idx="4">
                  <c:v>0.75</c:v>
                </c:pt>
                <c:pt idx="5">
                  <c:v>0.6</c:v>
                </c:pt>
                <c:pt idx="6">
                  <c:v>0.98</c:v>
                </c:pt>
                <c:pt idx="7">
                  <c:v>0.9294</c:v>
                </c:pt>
                <c:pt idx="8">
                  <c:v>1</c:v>
                </c:pt>
                <c:pt idx="9">
                  <c:v>0.78</c:v>
                </c:pt>
                <c:pt idx="10">
                  <c:v>0.87</c:v>
                </c:pt>
                <c:pt idx="11">
                  <c:v>0.6</c:v>
                </c:pt>
                <c:pt idx="12">
                  <c:v>0.6</c:v>
                </c:pt>
                <c:pt idx="13">
                  <c:v>0.59</c:v>
                </c:pt>
                <c:pt idx="14">
                  <c:v>0.7</c:v>
                </c:pt>
                <c:pt idx="15">
                  <c:v>0.51</c:v>
                </c:pt>
                <c:pt idx="16">
                  <c:v>0.51</c:v>
                </c:pt>
                <c:pt idx="17">
                  <c:v>0.51</c:v>
                </c:pt>
                <c:pt idx="18">
                  <c:v>0.51</c:v>
                </c:pt>
                <c:pt idx="19">
                  <c:v>0.51</c:v>
                </c:pt>
                <c:pt idx="20">
                  <c:v>0.51</c:v>
                </c:pt>
                <c:pt idx="21">
                  <c:v>0.51</c:v>
                </c:pt>
                <c:pt idx="22">
                  <c:v>0.51</c:v>
                </c:pt>
                <c:pt idx="23">
                  <c:v>0.51</c:v>
                </c:pt>
                <c:pt idx="24">
                  <c:v>0.51</c:v>
                </c:pt>
                <c:pt idx="25">
                  <c:v>0.51</c:v>
                </c:pt>
                <c:pt idx="26">
                  <c:v>0.51</c:v>
                </c:pt>
                <c:pt idx="27">
                  <c:v>0.51</c:v>
                </c:pt>
                <c:pt idx="28">
                  <c:v>0.51</c:v>
                </c:pt>
                <c:pt idx="29">
                  <c:v>0.51</c:v>
                </c:pt>
                <c:pt idx="30">
                  <c:v>28</c:v>
                </c:pt>
                <c:pt idx="31">
                  <c:v>1.4922387096774192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615744"/>
        <c:axId val="147617280"/>
      </c:lineChart>
      <c:catAx>
        <c:axId val="147615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617280"/>
        <c:crosses val="autoZero"/>
        <c:auto val="1"/>
        <c:lblAlgn val="ctr"/>
        <c:lblOffset val="100"/>
        <c:noMultiLvlLbl val="0"/>
      </c:catAx>
      <c:valAx>
        <c:axId val="14761728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4761574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22430.199999999953</c:v>
                </c:pt>
                <c:pt idx="1">
                  <c:v>22758</c:v>
                </c:pt>
                <c:pt idx="2">
                  <c:v>23433.3</c:v>
                </c:pt>
                <c:pt idx="3">
                  <c:v>23852.740000000005</c:v>
                </c:pt>
                <c:pt idx="4">
                  <c:v>25691.759999999995</c:v>
                </c:pt>
                <c:pt idx="5">
                  <c:v>24192</c:v>
                </c:pt>
                <c:pt idx="6">
                  <c:v>22240.320000000007</c:v>
                </c:pt>
                <c:pt idx="7">
                  <c:v>23705.190000000002</c:v>
                </c:pt>
                <c:pt idx="8">
                  <c:v>24465.489999999991</c:v>
                </c:pt>
                <c:pt idx="9">
                  <c:v>24337</c:v>
                </c:pt>
                <c:pt idx="10">
                  <c:v>24048</c:v>
                </c:pt>
                <c:pt idx="11">
                  <c:v>24516</c:v>
                </c:pt>
                <c:pt idx="12">
                  <c:v>23605</c:v>
                </c:pt>
                <c:pt idx="13">
                  <c:v>24667</c:v>
                </c:pt>
                <c:pt idx="14">
                  <c:v>23193</c:v>
                </c:pt>
                <c:pt idx="15">
                  <c:v>21644.710000000021</c:v>
                </c:pt>
                <c:pt idx="16">
                  <c:v>23033.039999999979</c:v>
                </c:pt>
                <c:pt idx="17">
                  <c:v>23050</c:v>
                </c:pt>
                <c:pt idx="18">
                  <c:v>23050</c:v>
                </c:pt>
                <c:pt idx="19">
                  <c:v>23050</c:v>
                </c:pt>
                <c:pt idx="20">
                  <c:v>23050</c:v>
                </c:pt>
                <c:pt idx="21">
                  <c:v>23050</c:v>
                </c:pt>
                <c:pt idx="22">
                  <c:v>23050</c:v>
                </c:pt>
                <c:pt idx="23">
                  <c:v>23050</c:v>
                </c:pt>
                <c:pt idx="24">
                  <c:v>23050</c:v>
                </c:pt>
                <c:pt idx="25">
                  <c:v>23050</c:v>
                </c:pt>
                <c:pt idx="26">
                  <c:v>23050</c:v>
                </c:pt>
                <c:pt idx="27">
                  <c:v>23050</c:v>
                </c:pt>
                <c:pt idx="28">
                  <c:v>23050</c:v>
                </c:pt>
                <c:pt idx="29">
                  <c:v>23050</c:v>
                </c:pt>
                <c:pt idx="30">
                  <c:v>23050</c:v>
                </c:pt>
                <c:pt idx="31">
                  <c:v>724512.75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49178240"/>
        <c:axId val="149179776"/>
      </c:lineChart>
      <c:catAx>
        <c:axId val="149178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79776"/>
        <c:crosses val="autoZero"/>
        <c:auto val="1"/>
        <c:lblAlgn val="ctr"/>
        <c:lblOffset val="100"/>
        <c:noMultiLvlLbl val="0"/>
      </c:catAx>
      <c:valAx>
        <c:axId val="149179776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78240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10.539999999999964</c:v>
                </c:pt>
                <c:pt idx="1">
                  <c:v>11.760000000000218</c:v>
                </c:pt>
                <c:pt idx="2">
                  <c:v>11.539999999999964</c:v>
                </c:pt>
                <c:pt idx="3">
                  <c:v>10.600000000000364</c:v>
                </c:pt>
                <c:pt idx="4">
                  <c:v>10.920000000000073</c:v>
                </c:pt>
                <c:pt idx="5">
                  <c:v>10.269999999999982</c:v>
                </c:pt>
                <c:pt idx="6">
                  <c:v>11.110000000000127</c:v>
                </c:pt>
                <c:pt idx="7">
                  <c:v>10.559999999999945</c:v>
                </c:pt>
                <c:pt idx="8">
                  <c:v>10.339999999999691</c:v>
                </c:pt>
                <c:pt idx="9">
                  <c:v>11.090000000000146</c:v>
                </c:pt>
                <c:pt idx="10">
                  <c:v>11</c:v>
                </c:pt>
                <c:pt idx="11">
                  <c:v>10.2199999999998</c:v>
                </c:pt>
                <c:pt idx="12">
                  <c:v>10.990000000000236</c:v>
                </c:pt>
                <c:pt idx="13">
                  <c:v>10.7199999999998</c:v>
                </c:pt>
                <c:pt idx="14">
                  <c:v>10.660000000000309</c:v>
                </c:pt>
                <c:pt idx="15">
                  <c:v>10.529999999999745</c:v>
                </c:pt>
                <c:pt idx="16">
                  <c:v>11.209999999999582</c:v>
                </c:pt>
                <c:pt idx="17">
                  <c:v>-485.94999999999982</c:v>
                </c:pt>
                <c:pt idx="18">
                  <c:v>-485.94999999999982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224448"/>
        <c:axId val="149103360"/>
      </c:lineChart>
      <c:catAx>
        <c:axId val="149224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03360"/>
        <c:crosses val="autoZero"/>
        <c:auto val="1"/>
        <c:lblAlgn val="ctr"/>
        <c:lblOffset val="100"/>
        <c:noMultiLvlLbl val="0"/>
      </c:catAx>
      <c:valAx>
        <c:axId val="149103360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22444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46198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291.64699999999721</c:v>
                </c:pt>
                <c:pt idx="1">
                  <c:v>297.76300000003539</c:v>
                </c:pt>
                <c:pt idx="2">
                  <c:v>281</c:v>
                </c:pt>
                <c:pt idx="3">
                  <c:v>298.03000000002794</c:v>
                </c:pt>
                <c:pt idx="4">
                  <c:v>287.3399999999674</c:v>
                </c:pt>
                <c:pt idx="5">
                  <c:v>275.63000000000466</c:v>
                </c:pt>
                <c:pt idx="6">
                  <c:v>293</c:v>
                </c:pt>
                <c:pt idx="7">
                  <c:v>293</c:v>
                </c:pt>
                <c:pt idx="8">
                  <c:v>279</c:v>
                </c:pt>
                <c:pt idx="9">
                  <c:v>296</c:v>
                </c:pt>
                <c:pt idx="10">
                  <c:v>290</c:v>
                </c:pt>
                <c:pt idx="11">
                  <c:v>288</c:v>
                </c:pt>
                <c:pt idx="12">
                  <c:v>290.60999999998603</c:v>
                </c:pt>
                <c:pt idx="13">
                  <c:v>303.26000000000931</c:v>
                </c:pt>
                <c:pt idx="14">
                  <c:v>-13121.869999999995</c:v>
                </c:pt>
                <c:pt idx="15">
                  <c:v>-13121.869999999995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603.40599999989536</c:v>
                </c:pt>
                <c:pt idx="1">
                  <c:v>549.63699999996788</c:v>
                </c:pt>
                <c:pt idx="2">
                  <c:v>545</c:v>
                </c:pt>
                <c:pt idx="3">
                  <c:v>566.92000000006192</c:v>
                </c:pt>
                <c:pt idx="4">
                  <c:v>561.90999999981796</c:v>
                </c:pt>
                <c:pt idx="5">
                  <c:v>559.17000000012013</c:v>
                </c:pt>
                <c:pt idx="6">
                  <c:v>483</c:v>
                </c:pt>
                <c:pt idx="7">
                  <c:v>613</c:v>
                </c:pt>
                <c:pt idx="8">
                  <c:v>550</c:v>
                </c:pt>
                <c:pt idx="9">
                  <c:v>525</c:v>
                </c:pt>
                <c:pt idx="10">
                  <c:v>589</c:v>
                </c:pt>
                <c:pt idx="11">
                  <c:v>551</c:v>
                </c:pt>
                <c:pt idx="12">
                  <c:v>514.34499999991203</c:v>
                </c:pt>
                <c:pt idx="13">
                  <c:v>429.34799999999086</c:v>
                </c:pt>
                <c:pt idx="14">
                  <c:v>20834.19000000001</c:v>
                </c:pt>
                <c:pt idx="15">
                  <c:v>20834.19000000001</c:v>
                </c:pt>
                <c:pt idx="16">
                  <c:v>875</c:v>
                </c:pt>
                <c:pt idx="17">
                  <c:v>875</c:v>
                </c:pt>
                <c:pt idx="18">
                  <c:v>875</c:v>
                </c:pt>
                <c:pt idx="19">
                  <c:v>875</c:v>
                </c:pt>
                <c:pt idx="20">
                  <c:v>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117.66000000000349</c:v>
                </c:pt>
                <c:pt idx="1">
                  <c:v>124.89999999999418</c:v>
                </c:pt>
                <c:pt idx="2">
                  <c:v>95</c:v>
                </c:pt>
                <c:pt idx="3">
                  <c:v>87.079999999987194</c:v>
                </c:pt>
                <c:pt idx="4">
                  <c:v>121.90000000002328</c:v>
                </c:pt>
                <c:pt idx="5">
                  <c:v>111.01999999998952</c:v>
                </c:pt>
                <c:pt idx="6">
                  <c:v>116</c:v>
                </c:pt>
                <c:pt idx="7">
                  <c:v>90</c:v>
                </c:pt>
                <c:pt idx="8">
                  <c:v>78</c:v>
                </c:pt>
                <c:pt idx="9">
                  <c:v>86</c:v>
                </c:pt>
                <c:pt idx="10">
                  <c:v>105</c:v>
                </c:pt>
                <c:pt idx="11">
                  <c:v>82</c:v>
                </c:pt>
                <c:pt idx="12">
                  <c:v>119.17800000001444</c:v>
                </c:pt>
                <c:pt idx="13">
                  <c:v>93.74199999999837</c:v>
                </c:pt>
                <c:pt idx="14">
                  <c:v>-4502.9200000000128</c:v>
                </c:pt>
                <c:pt idx="15">
                  <c:v>-4502.9200000000128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809408"/>
        <c:axId val="149356544"/>
      </c:lineChart>
      <c:catAx>
        <c:axId val="14980940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49356544"/>
        <c:crosses val="autoZero"/>
        <c:auto val="1"/>
        <c:lblAlgn val="ctr"/>
        <c:lblOffset val="100"/>
        <c:noMultiLvlLbl val="0"/>
      </c:catAx>
      <c:valAx>
        <c:axId val="14935654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498094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382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0.29959069675695132</c:v>
                </c:pt>
                <c:pt idx="1">
                  <c:v>6979.960000000021</c:v>
                </c:pt>
                <c:pt idx="2">
                  <c:v>7169.1700000000419</c:v>
                </c:pt>
                <c:pt idx="3">
                  <c:v>7669.820000000007</c:v>
                </c:pt>
                <c:pt idx="4">
                  <c:v>0</c:v>
                </c:pt>
                <c:pt idx="5">
                  <c:v>7522</c:v>
                </c:pt>
                <c:pt idx="6">
                  <c:v>6425.1100000000151</c:v>
                </c:pt>
                <c:pt idx="7">
                  <c:v>7312.7399999999325</c:v>
                </c:pt>
                <c:pt idx="8">
                  <c:v>7809.1500000000524</c:v>
                </c:pt>
                <c:pt idx="9">
                  <c:v>7582</c:v>
                </c:pt>
                <c:pt idx="10">
                  <c:v>7289</c:v>
                </c:pt>
                <c:pt idx="11">
                  <c:v>7367</c:v>
                </c:pt>
                <c:pt idx="12">
                  <c:v>7041</c:v>
                </c:pt>
                <c:pt idx="13">
                  <c:v>7906</c:v>
                </c:pt>
                <c:pt idx="14">
                  <c:v>6623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76908416"/>
        <c:axId val="76909952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1004249.2</c:v>
                </c:pt>
                <c:pt idx="1">
                  <c:v>1027007.2</c:v>
                </c:pt>
                <c:pt idx="2">
                  <c:v>74191.240000000005</c:v>
                </c:pt>
                <c:pt idx="3">
                  <c:v>50338.5</c:v>
                </c:pt>
                <c:pt idx="4">
                  <c:v>0</c:v>
                </c:pt>
                <c:pt idx="5">
                  <c:v>124075</c:v>
                </c:pt>
                <c:pt idx="6">
                  <c:v>146315.32</c:v>
                </c:pt>
                <c:pt idx="7">
                  <c:v>170020.51</c:v>
                </c:pt>
                <c:pt idx="8">
                  <c:v>194486</c:v>
                </c:pt>
                <c:pt idx="9">
                  <c:v>218823</c:v>
                </c:pt>
                <c:pt idx="10">
                  <c:v>242871</c:v>
                </c:pt>
                <c:pt idx="11">
                  <c:v>267387</c:v>
                </c:pt>
                <c:pt idx="12">
                  <c:v>290992</c:v>
                </c:pt>
                <c:pt idx="13">
                  <c:v>315659</c:v>
                </c:pt>
                <c:pt idx="14">
                  <c:v>338852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919936"/>
        <c:axId val="76921472"/>
      </c:lineChart>
      <c:catAx>
        <c:axId val="76908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909952"/>
        <c:crosses val="autoZero"/>
        <c:auto val="1"/>
        <c:lblAlgn val="ctr"/>
        <c:lblOffset val="100"/>
        <c:noMultiLvlLbl val="0"/>
      </c:catAx>
      <c:valAx>
        <c:axId val="76909952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908416"/>
        <c:crosses val="autoZero"/>
        <c:crossBetween val="between"/>
        <c:minorUnit val="50"/>
      </c:valAx>
      <c:catAx>
        <c:axId val="76919936"/>
        <c:scaling>
          <c:orientation val="minMax"/>
        </c:scaling>
        <c:delete val="1"/>
        <c:axPos val="b"/>
        <c:majorTickMark val="out"/>
        <c:minorTickMark val="none"/>
        <c:tickLblPos val="none"/>
        <c:crossAx val="76921472"/>
        <c:crosses val="autoZero"/>
        <c:auto val="1"/>
        <c:lblAlgn val="ctr"/>
        <c:lblOffset val="100"/>
        <c:noMultiLvlLbl val="0"/>
      </c:catAx>
      <c:valAx>
        <c:axId val="7692147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919936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490816"/>
        <c:axId val="77504896"/>
      </c:lineChart>
      <c:catAx>
        <c:axId val="77490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504896"/>
        <c:crosses val="autoZero"/>
        <c:auto val="1"/>
        <c:lblAlgn val="ctr"/>
        <c:lblOffset val="100"/>
        <c:noMultiLvlLbl val="0"/>
      </c:catAx>
      <c:valAx>
        <c:axId val="77504896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49081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1004249.2</c:v>
                </c:pt>
                <c:pt idx="1">
                  <c:v>1027007.2</c:v>
                </c:pt>
                <c:pt idx="2">
                  <c:v>74191.240000000005</c:v>
                </c:pt>
                <c:pt idx="3">
                  <c:v>50338.5</c:v>
                </c:pt>
                <c:pt idx="4">
                  <c:v>0</c:v>
                </c:pt>
                <c:pt idx="5">
                  <c:v>124075</c:v>
                </c:pt>
                <c:pt idx="6">
                  <c:v>146315.32</c:v>
                </c:pt>
                <c:pt idx="7">
                  <c:v>170020.51</c:v>
                </c:pt>
                <c:pt idx="8">
                  <c:v>194486</c:v>
                </c:pt>
                <c:pt idx="9">
                  <c:v>218823</c:v>
                </c:pt>
                <c:pt idx="10">
                  <c:v>242871</c:v>
                </c:pt>
                <c:pt idx="11">
                  <c:v>267387</c:v>
                </c:pt>
                <c:pt idx="12">
                  <c:v>290992</c:v>
                </c:pt>
                <c:pt idx="13">
                  <c:v>315659</c:v>
                </c:pt>
                <c:pt idx="14">
                  <c:v>338852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77525760"/>
        <c:axId val="77527296"/>
      </c:lineChart>
      <c:catAx>
        <c:axId val="77525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527296"/>
        <c:crosses val="autoZero"/>
        <c:auto val="1"/>
        <c:lblAlgn val="ctr"/>
        <c:lblOffset val="100"/>
        <c:noMultiLvlLbl val="0"/>
      </c:catAx>
      <c:valAx>
        <c:axId val="77527296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52576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7707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179</c:v>
                </c:pt>
                <c:pt idx="1">
                  <c:v>229</c:v>
                </c:pt>
                <c:pt idx="2">
                  <c:v>208</c:v>
                </c:pt>
                <c:pt idx="3">
                  <c:v>217</c:v>
                </c:pt>
                <c:pt idx="4">
                  <c:v>0</c:v>
                </c:pt>
                <c:pt idx="5">
                  <c:v>217</c:v>
                </c:pt>
                <c:pt idx="6">
                  <c:v>203</c:v>
                </c:pt>
                <c:pt idx="7">
                  <c:v>219</c:v>
                </c:pt>
                <c:pt idx="8">
                  <c:v>211</c:v>
                </c:pt>
                <c:pt idx="9">
                  <c:v>213</c:v>
                </c:pt>
                <c:pt idx="10">
                  <c:v>225</c:v>
                </c:pt>
                <c:pt idx="11">
                  <c:v>178</c:v>
                </c:pt>
                <c:pt idx="12">
                  <c:v>193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291520"/>
        <c:axId val="77293056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1004249.2</c:v>
                </c:pt>
                <c:pt idx="1">
                  <c:v>1027007.2</c:v>
                </c:pt>
                <c:pt idx="2">
                  <c:v>74191.240000000005</c:v>
                </c:pt>
                <c:pt idx="3">
                  <c:v>50338.5</c:v>
                </c:pt>
                <c:pt idx="4">
                  <c:v>0</c:v>
                </c:pt>
                <c:pt idx="5">
                  <c:v>124075</c:v>
                </c:pt>
                <c:pt idx="6">
                  <c:v>146315.32</c:v>
                </c:pt>
                <c:pt idx="7">
                  <c:v>170020.51</c:v>
                </c:pt>
                <c:pt idx="8">
                  <c:v>194486</c:v>
                </c:pt>
                <c:pt idx="9">
                  <c:v>218823</c:v>
                </c:pt>
                <c:pt idx="10">
                  <c:v>242871</c:v>
                </c:pt>
                <c:pt idx="11">
                  <c:v>267387</c:v>
                </c:pt>
                <c:pt idx="12">
                  <c:v>290992</c:v>
                </c:pt>
                <c:pt idx="13">
                  <c:v>315659</c:v>
                </c:pt>
                <c:pt idx="14">
                  <c:v>338852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294592"/>
        <c:axId val="77300480"/>
      </c:lineChart>
      <c:catAx>
        <c:axId val="77291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293056"/>
        <c:crosses val="autoZero"/>
        <c:auto val="1"/>
        <c:lblAlgn val="ctr"/>
        <c:lblOffset val="100"/>
        <c:noMultiLvlLbl val="0"/>
      </c:catAx>
      <c:valAx>
        <c:axId val="77293056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291520"/>
        <c:crosses val="autoZero"/>
        <c:crossBetween val="between"/>
      </c:valAx>
      <c:catAx>
        <c:axId val="77294592"/>
        <c:scaling>
          <c:orientation val="minMax"/>
        </c:scaling>
        <c:delete val="1"/>
        <c:axPos val="b"/>
        <c:majorTickMark val="out"/>
        <c:minorTickMark val="none"/>
        <c:tickLblPos val="none"/>
        <c:crossAx val="77300480"/>
        <c:crosses val="autoZero"/>
        <c:auto val="1"/>
        <c:lblAlgn val="ctr"/>
        <c:lblOffset val="100"/>
        <c:noMultiLvlLbl val="0"/>
      </c:catAx>
      <c:valAx>
        <c:axId val="7730048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2945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40</c:v>
                </c:pt>
                <c:pt idx="1">
                  <c:v>63</c:v>
                </c:pt>
                <c:pt idx="2">
                  <c:v>71</c:v>
                </c:pt>
                <c:pt idx="3">
                  <c:v>65</c:v>
                </c:pt>
                <c:pt idx="4">
                  <c:v>0</c:v>
                </c:pt>
                <c:pt idx="5">
                  <c:v>55</c:v>
                </c:pt>
                <c:pt idx="6">
                  <c:v>52</c:v>
                </c:pt>
                <c:pt idx="7">
                  <c:v>64</c:v>
                </c:pt>
                <c:pt idx="8">
                  <c:v>57</c:v>
                </c:pt>
                <c:pt idx="9">
                  <c:v>55</c:v>
                </c:pt>
                <c:pt idx="10">
                  <c:v>55</c:v>
                </c:pt>
                <c:pt idx="11">
                  <c:v>49</c:v>
                </c:pt>
                <c:pt idx="12">
                  <c:v>48</c:v>
                </c:pt>
                <c:pt idx="13">
                  <c:v>68</c:v>
                </c:pt>
                <c:pt idx="1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10</c:v>
                </c:pt>
                <c:pt idx="1">
                  <c:v>10</c:v>
                </c:pt>
                <c:pt idx="2">
                  <c:v>8</c:v>
                </c:pt>
                <c:pt idx="3">
                  <c:v>10</c:v>
                </c:pt>
                <c:pt idx="4">
                  <c:v>0</c:v>
                </c:pt>
                <c:pt idx="5">
                  <c:v>15</c:v>
                </c:pt>
                <c:pt idx="6">
                  <c:v>9</c:v>
                </c:pt>
                <c:pt idx="7">
                  <c:v>11</c:v>
                </c:pt>
                <c:pt idx="8">
                  <c:v>11</c:v>
                </c:pt>
                <c:pt idx="9">
                  <c:v>14</c:v>
                </c:pt>
                <c:pt idx="10">
                  <c:v>22</c:v>
                </c:pt>
                <c:pt idx="11">
                  <c:v>7</c:v>
                </c:pt>
                <c:pt idx="12">
                  <c:v>12</c:v>
                </c:pt>
                <c:pt idx="13">
                  <c:v>203</c:v>
                </c:pt>
                <c:pt idx="14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556736"/>
        <c:axId val="77562624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1004249.2</c:v>
                </c:pt>
                <c:pt idx="1">
                  <c:v>1027007.2</c:v>
                </c:pt>
                <c:pt idx="2">
                  <c:v>74191.240000000005</c:v>
                </c:pt>
                <c:pt idx="3">
                  <c:v>50338.5</c:v>
                </c:pt>
                <c:pt idx="4">
                  <c:v>0</c:v>
                </c:pt>
                <c:pt idx="5">
                  <c:v>124075</c:v>
                </c:pt>
                <c:pt idx="6">
                  <c:v>146315.32</c:v>
                </c:pt>
                <c:pt idx="7">
                  <c:v>170020.51</c:v>
                </c:pt>
                <c:pt idx="8">
                  <c:v>194486</c:v>
                </c:pt>
                <c:pt idx="9">
                  <c:v>218823</c:v>
                </c:pt>
                <c:pt idx="10">
                  <c:v>242871</c:v>
                </c:pt>
                <c:pt idx="11">
                  <c:v>267387</c:v>
                </c:pt>
                <c:pt idx="12">
                  <c:v>290992</c:v>
                </c:pt>
                <c:pt idx="13">
                  <c:v>315659</c:v>
                </c:pt>
                <c:pt idx="14">
                  <c:v>338852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564160"/>
        <c:axId val="77574144"/>
      </c:lineChart>
      <c:catAx>
        <c:axId val="77556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562624"/>
        <c:crosses val="autoZero"/>
        <c:auto val="1"/>
        <c:lblAlgn val="ctr"/>
        <c:lblOffset val="100"/>
        <c:noMultiLvlLbl val="0"/>
      </c:catAx>
      <c:valAx>
        <c:axId val="77562624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556736"/>
        <c:crosses val="autoZero"/>
        <c:crossBetween val="between"/>
        <c:majorUnit val="2"/>
      </c:valAx>
      <c:catAx>
        <c:axId val="77564160"/>
        <c:scaling>
          <c:orientation val="minMax"/>
        </c:scaling>
        <c:delete val="1"/>
        <c:axPos val="b"/>
        <c:majorTickMark val="out"/>
        <c:minorTickMark val="none"/>
        <c:tickLblPos val="none"/>
        <c:crossAx val="77574144"/>
        <c:crosses val="autoZero"/>
        <c:auto val="1"/>
        <c:lblAlgn val="ctr"/>
        <c:lblOffset val="100"/>
        <c:noMultiLvlLbl val="0"/>
      </c:catAx>
      <c:valAx>
        <c:axId val="7757414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564160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workbookViewId="0">
      <selection activeCell="J2" sqref="J2:J32"/>
    </sheetView>
  </sheetViews>
  <sheetFormatPr defaultColWidth="9" defaultRowHeight="15" x14ac:dyDescent="0.25"/>
  <cols>
    <col min="1" max="1" width="9.6640625" style="283" customWidth="1"/>
    <col min="2" max="3" width="9" style="277"/>
    <col min="4" max="4" width="10.44140625" style="278" customWidth="1"/>
    <col min="5" max="5" width="9.77734375" style="279" customWidth="1"/>
    <col min="6" max="6" width="9.77734375" style="283" customWidth="1"/>
    <col min="7" max="10" width="9" style="283"/>
    <col min="11" max="12" width="9" style="279"/>
    <col min="13" max="13" width="0" style="282" hidden="1" customWidth="1"/>
    <col min="14" max="256" width="9" style="282"/>
    <col min="257" max="257" width="9.6640625" style="282" customWidth="1"/>
    <col min="258" max="259" width="9" style="282"/>
    <col min="260" max="260" width="10.44140625" style="282" customWidth="1"/>
    <col min="261" max="262" width="9.77734375" style="282" customWidth="1"/>
    <col min="263" max="268" width="9" style="282"/>
    <col min="269" max="269" width="0" style="282" hidden="1" customWidth="1"/>
    <col min="270" max="512" width="9" style="282"/>
    <col min="513" max="513" width="9.6640625" style="282" customWidth="1"/>
    <col min="514" max="515" width="9" style="282"/>
    <col min="516" max="516" width="10.44140625" style="282" customWidth="1"/>
    <col min="517" max="518" width="9.77734375" style="282" customWidth="1"/>
    <col min="519" max="524" width="9" style="282"/>
    <col min="525" max="525" width="0" style="282" hidden="1" customWidth="1"/>
    <col min="526" max="768" width="9" style="282"/>
    <col min="769" max="769" width="9.6640625" style="282" customWidth="1"/>
    <col min="770" max="771" width="9" style="282"/>
    <col min="772" max="772" width="10.44140625" style="282" customWidth="1"/>
    <col min="773" max="774" width="9.77734375" style="282" customWidth="1"/>
    <col min="775" max="780" width="9" style="282"/>
    <col min="781" max="781" width="0" style="282" hidden="1" customWidth="1"/>
    <col min="782" max="1024" width="9" style="282"/>
    <col min="1025" max="1025" width="9.6640625" style="282" customWidth="1"/>
    <col min="1026" max="1027" width="9" style="282"/>
    <col min="1028" max="1028" width="10.44140625" style="282" customWidth="1"/>
    <col min="1029" max="1030" width="9.77734375" style="282" customWidth="1"/>
    <col min="1031" max="1036" width="9" style="282"/>
    <col min="1037" max="1037" width="0" style="282" hidden="1" customWidth="1"/>
    <col min="1038" max="1280" width="9" style="282"/>
    <col min="1281" max="1281" width="9.6640625" style="282" customWidth="1"/>
    <col min="1282" max="1283" width="9" style="282"/>
    <col min="1284" max="1284" width="10.44140625" style="282" customWidth="1"/>
    <col min="1285" max="1286" width="9.77734375" style="282" customWidth="1"/>
    <col min="1287" max="1292" width="9" style="282"/>
    <col min="1293" max="1293" width="0" style="282" hidden="1" customWidth="1"/>
    <col min="1294" max="1536" width="9" style="282"/>
    <col min="1537" max="1537" width="9.6640625" style="282" customWidth="1"/>
    <col min="1538" max="1539" width="9" style="282"/>
    <col min="1540" max="1540" width="10.44140625" style="282" customWidth="1"/>
    <col min="1541" max="1542" width="9.77734375" style="282" customWidth="1"/>
    <col min="1543" max="1548" width="9" style="282"/>
    <col min="1549" max="1549" width="0" style="282" hidden="1" customWidth="1"/>
    <col min="1550" max="1792" width="9" style="282"/>
    <col min="1793" max="1793" width="9.6640625" style="282" customWidth="1"/>
    <col min="1794" max="1795" width="9" style="282"/>
    <col min="1796" max="1796" width="10.44140625" style="282" customWidth="1"/>
    <col min="1797" max="1798" width="9.77734375" style="282" customWidth="1"/>
    <col min="1799" max="1804" width="9" style="282"/>
    <col min="1805" max="1805" width="0" style="282" hidden="1" customWidth="1"/>
    <col min="1806" max="2048" width="9" style="282"/>
    <col min="2049" max="2049" width="9.6640625" style="282" customWidth="1"/>
    <col min="2050" max="2051" width="9" style="282"/>
    <col min="2052" max="2052" width="10.44140625" style="282" customWidth="1"/>
    <col min="2053" max="2054" width="9.77734375" style="282" customWidth="1"/>
    <col min="2055" max="2060" width="9" style="282"/>
    <col min="2061" max="2061" width="0" style="282" hidden="1" customWidth="1"/>
    <col min="2062" max="2304" width="9" style="282"/>
    <col min="2305" max="2305" width="9.6640625" style="282" customWidth="1"/>
    <col min="2306" max="2307" width="9" style="282"/>
    <col min="2308" max="2308" width="10.44140625" style="282" customWidth="1"/>
    <col min="2309" max="2310" width="9.77734375" style="282" customWidth="1"/>
    <col min="2311" max="2316" width="9" style="282"/>
    <col min="2317" max="2317" width="0" style="282" hidden="1" customWidth="1"/>
    <col min="2318" max="2560" width="9" style="282"/>
    <col min="2561" max="2561" width="9.6640625" style="282" customWidth="1"/>
    <col min="2562" max="2563" width="9" style="282"/>
    <col min="2564" max="2564" width="10.44140625" style="282" customWidth="1"/>
    <col min="2565" max="2566" width="9.77734375" style="282" customWidth="1"/>
    <col min="2567" max="2572" width="9" style="282"/>
    <col min="2573" max="2573" width="0" style="282" hidden="1" customWidth="1"/>
    <col min="2574" max="2816" width="9" style="282"/>
    <col min="2817" max="2817" width="9.6640625" style="282" customWidth="1"/>
    <col min="2818" max="2819" width="9" style="282"/>
    <col min="2820" max="2820" width="10.44140625" style="282" customWidth="1"/>
    <col min="2821" max="2822" width="9.77734375" style="282" customWidth="1"/>
    <col min="2823" max="2828" width="9" style="282"/>
    <col min="2829" max="2829" width="0" style="282" hidden="1" customWidth="1"/>
    <col min="2830" max="3072" width="9" style="282"/>
    <col min="3073" max="3073" width="9.6640625" style="282" customWidth="1"/>
    <col min="3074" max="3075" width="9" style="282"/>
    <col min="3076" max="3076" width="10.44140625" style="282" customWidth="1"/>
    <col min="3077" max="3078" width="9.77734375" style="282" customWidth="1"/>
    <col min="3079" max="3084" width="9" style="282"/>
    <col min="3085" max="3085" width="0" style="282" hidden="1" customWidth="1"/>
    <col min="3086" max="3328" width="9" style="282"/>
    <col min="3329" max="3329" width="9.6640625" style="282" customWidth="1"/>
    <col min="3330" max="3331" width="9" style="282"/>
    <col min="3332" max="3332" width="10.44140625" style="282" customWidth="1"/>
    <col min="3333" max="3334" width="9.77734375" style="282" customWidth="1"/>
    <col min="3335" max="3340" width="9" style="282"/>
    <col min="3341" max="3341" width="0" style="282" hidden="1" customWidth="1"/>
    <col min="3342" max="3584" width="9" style="282"/>
    <col min="3585" max="3585" width="9.6640625" style="282" customWidth="1"/>
    <col min="3586" max="3587" width="9" style="282"/>
    <col min="3588" max="3588" width="10.44140625" style="282" customWidth="1"/>
    <col min="3589" max="3590" width="9.77734375" style="282" customWidth="1"/>
    <col min="3591" max="3596" width="9" style="282"/>
    <col min="3597" max="3597" width="0" style="282" hidden="1" customWidth="1"/>
    <col min="3598" max="3840" width="9" style="282"/>
    <col min="3841" max="3841" width="9.6640625" style="282" customWidth="1"/>
    <col min="3842" max="3843" width="9" style="282"/>
    <col min="3844" max="3844" width="10.44140625" style="282" customWidth="1"/>
    <col min="3845" max="3846" width="9.77734375" style="282" customWidth="1"/>
    <col min="3847" max="3852" width="9" style="282"/>
    <col min="3853" max="3853" width="0" style="282" hidden="1" customWidth="1"/>
    <col min="3854" max="4096" width="9" style="282"/>
    <col min="4097" max="4097" width="9.6640625" style="282" customWidth="1"/>
    <col min="4098" max="4099" width="9" style="282"/>
    <col min="4100" max="4100" width="10.44140625" style="282" customWidth="1"/>
    <col min="4101" max="4102" width="9.77734375" style="282" customWidth="1"/>
    <col min="4103" max="4108" width="9" style="282"/>
    <col min="4109" max="4109" width="0" style="282" hidden="1" customWidth="1"/>
    <col min="4110" max="4352" width="9" style="282"/>
    <col min="4353" max="4353" width="9.6640625" style="282" customWidth="1"/>
    <col min="4354" max="4355" width="9" style="282"/>
    <col min="4356" max="4356" width="10.44140625" style="282" customWidth="1"/>
    <col min="4357" max="4358" width="9.77734375" style="282" customWidth="1"/>
    <col min="4359" max="4364" width="9" style="282"/>
    <col min="4365" max="4365" width="0" style="282" hidden="1" customWidth="1"/>
    <col min="4366" max="4608" width="9" style="282"/>
    <col min="4609" max="4609" width="9.6640625" style="282" customWidth="1"/>
    <col min="4610" max="4611" width="9" style="282"/>
    <col min="4612" max="4612" width="10.44140625" style="282" customWidth="1"/>
    <col min="4613" max="4614" width="9.77734375" style="282" customWidth="1"/>
    <col min="4615" max="4620" width="9" style="282"/>
    <col min="4621" max="4621" width="0" style="282" hidden="1" customWidth="1"/>
    <col min="4622" max="4864" width="9" style="282"/>
    <col min="4865" max="4865" width="9.6640625" style="282" customWidth="1"/>
    <col min="4866" max="4867" width="9" style="282"/>
    <col min="4868" max="4868" width="10.44140625" style="282" customWidth="1"/>
    <col min="4869" max="4870" width="9.77734375" style="282" customWidth="1"/>
    <col min="4871" max="4876" width="9" style="282"/>
    <col min="4877" max="4877" width="0" style="282" hidden="1" customWidth="1"/>
    <col min="4878" max="5120" width="9" style="282"/>
    <col min="5121" max="5121" width="9.6640625" style="282" customWidth="1"/>
    <col min="5122" max="5123" width="9" style="282"/>
    <col min="5124" max="5124" width="10.44140625" style="282" customWidth="1"/>
    <col min="5125" max="5126" width="9.77734375" style="282" customWidth="1"/>
    <col min="5127" max="5132" width="9" style="282"/>
    <col min="5133" max="5133" width="0" style="282" hidden="1" customWidth="1"/>
    <col min="5134" max="5376" width="9" style="282"/>
    <col min="5377" max="5377" width="9.6640625" style="282" customWidth="1"/>
    <col min="5378" max="5379" width="9" style="282"/>
    <col min="5380" max="5380" width="10.44140625" style="282" customWidth="1"/>
    <col min="5381" max="5382" width="9.77734375" style="282" customWidth="1"/>
    <col min="5383" max="5388" width="9" style="282"/>
    <col min="5389" max="5389" width="0" style="282" hidden="1" customWidth="1"/>
    <col min="5390" max="5632" width="9" style="282"/>
    <col min="5633" max="5633" width="9.6640625" style="282" customWidth="1"/>
    <col min="5634" max="5635" width="9" style="282"/>
    <col min="5636" max="5636" width="10.44140625" style="282" customWidth="1"/>
    <col min="5637" max="5638" width="9.77734375" style="282" customWidth="1"/>
    <col min="5639" max="5644" width="9" style="282"/>
    <col min="5645" max="5645" width="0" style="282" hidden="1" customWidth="1"/>
    <col min="5646" max="5888" width="9" style="282"/>
    <col min="5889" max="5889" width="9.6640625" style="282" customWidth="1"/>
    <col min="5890" max="5891" width="9" style="282"/>
    <col min="5892" max="5892" width="10.44140625" style="282" customWidth="1"/>
    <col min="5893" max="5894" width="9.77734375" style="282" customWidth="1"/>
    <col min="5895" max="5900" width="9" style="282"/>
    <col min="5901" max="5901" width="0" style="282" hidden="1" customWidth="1"/>
    <col min="5902" max="6144" width="9" style="282"/>
    <col min="6145" max="6145" width="9.6640625" style="282" customWidth="1"/>
    <col min="6146" max="6147" width="9" style="282"/>
    <col min="6148" max="6148" width="10.44140625" style="282" customWidth="1"/>
    <col min="6149" max="6150" width="9.77734375" style="282" customWidth="1"/>
    <col min="6151" max="6156" width="9" style="282"/>
    <col min="6157" max="6157" width="0" style="282" hidden="1" customWidth="1"/>
    <col min="6158" max="6400" width="9" style="282"/>
    <col min="6401" max="6401" width="9.6640625" style="282" customWidth="1"/>
    <col min="6402" max="6403" width="9" style="282"/>
    <col min="6404" max="6404" width="10.44140625" style="282" customWidth="1"/>
    <col min="6405" max="6406" width="9.77734375" style="282" customWidth="1"/>
    <col min="6407" max="6412" width="9" style="282"/>
    <col min="6413" max="6413" width="0" style="282" hidden="1" customWidth="1"/>
    <col min="6414" max="6656" width="9" style="282"/>
    <col min="6657" max="6657" width="9.6640625" style="282" customWidth="1"/>
    <col min="6658" max="6659" width="9" style="282"/>
    <col min="6660" max="6660" width="10.44140625" style="282" customWidth="1"/>
    <col min="6661" max="6662" width="9.77734375" style="282" customWidth="1"/>
    <col min="6663" max="6668" width="9" style="282"/>
    <col min="6669" max="6669" width="0" style="282" hidden="1" customWidth="1"/>
    <col min="6670" max="6912" width="9" style="282"/>
    <col min="6913" max="6913" width="9.6640625" style="282" customWidth="1"/>
    <col min="6914" max="6915" width="9" style="282"/>
    <col min="6916" max="6916" width="10.44140625" style="282" customWidth="1"/>
    <col min="6917" max="6918" width="9.77734375" style="282" customWidth="1"/>
    <col min="6919" max="6924" width="9" style="282"/>
    <col min="6925" max="6925" width="0" style="282" hidden="1" customWidth="1"/>
    <col min="6926" max="7168" width="9" style="282"/>
    <col min="7169" max="7169" width="9.6640625" style="282" customWidth="1"/>
    <col min="7170" max="7171" width="9" style="282"/>
    <col min="7172" max="7172" width="10.44140625" style="282" customWidth="1"/>
    <col min="7173" max="7174" width="9.77734375" style="282" customWidth="1"/>
    <col min="7175" max="7180" width="9" style="282"/>
    <col min="7181" max="7181" width="0" style="282" hidden="1" customWidth="1"/>
    <col min="7182" max="7424" width="9" style="282"/>
    <col min="7425" max="7425" width="9.6640625" style="282" customWidth="1"/>
    <col min="7426" max="7427" width="9" style="282"/>
    <col min="7428" max="7428" width="10.44140625" style="282" customWidth="1"/>
    <col min="7429" max="7430" width="9.77734375" style="282" customWidth="1"/>
    <col min="7431" max="7436" width="9" style="282"/>
    <col min="7437" max="7437" width="0" style="282" hidden="1" customWidth="1"/>
    <col min="7438" max="7680" width="9" style="282"/>
    <col min="7681" max="7681" width="9.6640625" style="282" customWidth="1"/>
    <col min="7682" max="7683" width="9" style="282"/>
    <col min="7684" max="7684" width="10.44140625" style="282" customWidth="1"/>
    <col min="7685" max="7686" width="9.77734375" style="282" customWidth="1"/>
    <col min="7687" max="7692" width="9" style="282"/>
    <col min="7693" max="7693" width="0" style="282" hidden="1" customWidth="1"/>
    <col min="7694" max="7936" width="9" style="282"/>
    <col min="7937" max="7937" width="9.6640625" style="282" customWidth="1"/>
    <col min="7938" max="7939" width="9" style="282"/>
    <col min="7940" max="7940" width="10.44140625" style="282" customWidth="1"/>
    <col min="7941" max="7942" width="9.77734375" style="282" customWidth="1"/>
    <col min="7943" max="7948" width="9" style="282"/>
    <col min="7949" max="7949" width="0" style="282" hidden="1" customWidth="1"/>
    <col min="7950" max="8192" width="9" style="282"/>
    <col min="8193" max="8193" width="9.6640625" style="282" customWidth="1"/>
    <col min="8194" max="8195" width="9" style="282"/>
    <col min="8196" max="8196" width="10.44140625" style="282" customWidth="1"/>
    <col min="8197" max="8198" width="9.77734375" style="282" customWidth="1"/>
    <col min="8199" max="8204" width="9" style="282"/>
    <col min="8205" max="8205" width="0" style="282" hidden="1" customWidth="1"/>
    <col min="8206" max="8448" width="9" style="282"/>
    <col min="8449" max="8449" width="9.6640625" style="282" customWidth="1"/>
    <col min="8450" max="8451" width="9" style="282"/>
    <col min="8452" max="8452" width="10.44140625" style="282" customWidth="1"/>
    <col min="8453" max="8454" width="9.77734375" style="282" customWidth="1"/>
    <col min="8455" max="8460" width="9" style="282"/>
    <col min="8461" max="8461" width="0" style="282" hidden="1" customWidth="1"/>
    <col min="8462" max="8704" width="9" style="282"/>
    <col min="8705" max="8705" width="9.6640625" style="282" customWidth="1"/>
    <col min="8706" max="8707" width="9" style="282"/>
    <col min="8708" max="8708" width="10.44140625" style="282" customWidth="1"/>
    <col min="8709" max="8710" width="9.77734375" style="282" customWidth="1"/>
    <col min="8711" max="8716" width="9" style="282"/>
    <col min="8717" max="8717" width="0" style="282" hidden="1" customWidth="1"/>
    <col min="8718" max="8960" width="9" style="282"/>
    <col min="8961" max="8961" width="9.6640625" style="282" customWidth="1"/>
    <col min="8962" max="8963" width="9" style="282"/>
    <col min="8964" max="8964" width="10.44140625" style="282" customWidth="1"/>
    <col min="8965" max="8966" width="9.77734375" style="282" customWidth="1"/>
    <col min="8967" max="8972" width="9" style="282"/>
    <col min="8973" max="8973" width="0" style="282" hidden="1" customWidth="1"/>
    <col min="8974" max="9216" width="9" style="282"/>
    <col min="9217" max="9217" width="9.6640625" style="282" customWidth="1"/>
    <col min="9218" max="9219" width="9" style="282"/>
    <col min="9220" max="9220" width="10.44140625" style="282" customWidth="1"/>
    <col min="9221" max="9222" width="9.77734375" style="282" customWidth="1"/>
    <col min="9223" max="9228" width="9" style="282"/>
    <col min="9229" max="9229" width="0" style="282" hidden="1" customWidth="1"/>
    <col min="9230" max="9472" width="9" style="282"/>
    <col min="9473" max="9473" width="9.6640625" style="282" customWidth="1"/>
    <col min="9474" max="9475" width="9" style="282"/>
    <col min="9476" max="9476" width="10.44140625" style="282" customWidth="1"/>
    <col min="9477" max="9478" width="9.77734375" style="282" customWidth="1"/>
    <col min="9479" max="9484" width="9" style="282"/>
    <col min="9485" max="9485" width="0" style="282" hidden="1" customWidth="1"/>
    <col min="9486" max="9728" width="9" style="282"/>
    <col min="9729" max="9729" width="9.6640625" style="282" customWidth="1"/>
    <col min="9730" max="9731" width="9" style="282"/>
    <col min="9732" max="9732" width="10.44140625" style="282" customWidth="1"/>
    <col min="9733" max="9734" width="9.77734375" style="282" customWidth="1"/>
    <col min="9735" max="9740" width="9" style="282"/>
    <col min="9741" max="9741" width="0" style="282" hidden="1" customWidth="1"/>
    <col min="9742" max="9984" width="9" style="282"/>
    <col min="9985" max="9985" width="9.6640625" style="282" customWidth="1"/>
    <col min="9986" max="9987" width="9" style="282"/>
    <col min="9988" max="9988" width="10.44140625" style="282" customWidth="1"/>
    <col min="9989" max="9990" width="9.77734375" style="282" customWidth="1"/>
    <col min="9991" max="9996" width="9" style="282"/>
    <col min="9997" max="9997" width="0" style="282" hidden="1" customWidth="1"/>
    <col min="9998" max="10240" width="9" style="282"/>
    <col min="10241" max="10241" width="9.6640625" style="282" customWidth="1"/>
    <col min="10242" max="10243" width="9" style="282"/>
    <col min="10244" max="10244" width="10.44140625" style="282" customWidth="1"/>
    <col min="10245" max="10246" width="9.77734375" style="282" customWidth="1"/>
    <col min="10247" max="10252" width="9" style="282"/>
    <col min="10253" max="10253" width="0" style="282" hidden="1" customWidth="1"/>
    <col min="10254" max="10496" width="9" style="282"/>
    <col min="10497" max="10497" width="9.6640625" style="282" customWidth="1"/>
    <col min="10498" max="10499" width="9" style="282"/>
    <col min="10500" max="10500" width="10.44140625" style="282" customWidth="1"/>
    <col min="10501" max="10502" width="9.77734375" style="282" customWidth="1"/>
    <col min="10503" max="10508" width="9" style="282"/>
    <col min="10509" max="10509" width="0" style="282" hidden="1" customWidth="1"/>
    <col min="10510" max="10752" width="9" style="282"/>
    <col min="10753" max="10753" width="9.6640625" style="282" customWidth="1"/>
    <col min="10754" max="10755" width="9" style="282"/>
    <col min="10756" max="10756" width="10.44140625" style="282" customWidth="1"/>
    <col min="10757" max="10758" width="9.77734375" style="282" customWidth="1"/>
    <col min="10759" max="10764" width="9" style="282"/>
    <col min="10765" max="10765" width="0" style="282" hidden="1" customWidth="1"/>
    <col min="10766" max="11008" width="9" style="282"/>
    <col min="11009" max="11009" width="9.6640625" style="282" customWidth="1"/>
    <col min="11010" max="11011" width="9" style="282"/>
    <col min="11012" max="11012" width="10.44140625" style="282" customWidth="1"/>
    <col min="11013" max="11014" width="9.77734375" style="282" customWidth="1"/>
    <col min="11015" max="11020" width="9" style="282"/>
    <col min="11021" max="11021" width="0" style="282" hidden="1" customWidth="1"/>
    <col min="11022" max="11264" width="9" style="282"/>
    <col min="11265" max="11265" width="9.6640625" style="282" customWidth="1"/>
    <col min="11266" max="11267" width="9" style="282"/>
    <col min="11268" max="11268" width="10.44140625" style="282" customWidth="1"/>
    <col min="11269" max="11270" width="9.77734375" style="282" customWidth="1"/>
    <col min="11271" max="11276" width="9" style="282"/>
    <col min="11277" max="11277" width="0" style="282" hidden="1" customWidth="1"/>
    <col min="11278" max="11520" width="9" style="282"/>
    <col min="11521" max="11521" width="9.6640625" style="282" customWidth="1"/>
    <col min="11522" max="11523" width="9" style="282"/>
    <col min="11524" max="11524" width="10.44140625" style="282" customWidth="1"/>
    <col min="11525" max="11526" width="9.77734375" style="282" customWidth="1"/>
    <col min="11527" max="11532" width="9" style="282"/>
    <col min="11533" max="11533" width="0" style="282" hidden="1" customWidth="1"/>
    <col min="11534" max="11776" width="9" style="282"/>
    <col min="11777" max="11777" width="9.6640625" style="282" customWidth="1"/>
    <col min="11778" max="11779" width="9" style="282"/>
    <col min="11780" max="11780" width="10.44140625" style="282" customWidth="1"/>
    <col min="11781" max="11782" width="9.77734375" style="282" customWidth="1"/>
    <col min="11783" max="11788" width="9" style="282"/>
    <col min="11789" max="11789" width="0" style="282" hidden="1" customWidth="1"/>
    <col min="11790" max="12032" width="9" style="282"/>
    <col min="12033" max="12033" width="9.6640625" style="282" customWidth="1"/>
    <col min="12034" max="12035" width="9" style="282"/>
    <col min="12036" max="12036" width="10.44140625" style="282" customWidth="1"/>
    <col min="12037" max="12038" width="9.77734375" style="282" customWidth="1"/>
    <col min="12039" max="12044" width="9" style="282"/>
    <col min="12045" max="12045" width="0" style="282" hidden="1" customWidth="1"/>
    <col min="12046" max="12288" width="9" style="282"/>
    <col min="12289" max="12289" width="9.6640625" style="282" customWidth="1"/>
    <col min="12290" max="12291" width="9" style="282"/>
    <col min="12292" max="12292" width="10.44140625" style="282" customWidth="1"/>
    <col min="12293" max="12294" width="9.77734375" style="282" customWidth="1"/>
    <col min="12295" max="12300" width="9" style="282"/>
    <col min="12301" max="12301" width="0" style="282" hidden="1" customWidth="1"/>
    <col min="12302" max="12544" width="9" style="282"/>
    <col min="12545" max="12545" width="9.6640625" style="282" customWidth="1"/>
    <col min="12546" max="12547" width="9" style="282"/>
    <col min="12548" max="12548" width="10.44140625" style="282" customWidth="1"/>
    <col min="12549" max="12550" width="9.77734375" style="282" customWidth="1"/>
    <col min="12551" max="12556" width="9" style="282"/>
    <col min="12557" max="12557" width="0" style="282" hidden="1" customWidth="1"/>
    <col min="12558" max="12800" width="9" style="282"/>
    <col min="12801" max="12801" width="9.6640625" style="282" customWidth="1"/>
    <col min="12802" max="12803" width="9" style="282"/>
    <col min="12804" max="12804" width="10.44140625" style="282" customWidth="1"/>
    <col min="12805" max="12806" width="9.77734375" style="282" customWidth="1"/>
    <col min="12807" max="12812" width="9" style="282"/>
    <col min="12813" max="12813" width="0" style="282" hidden="1" customWidth="1"/>
    <col min="12814" max="13056" width="9" style="282"/>
    <col min="13057" max="13057" width="9.6640625" style="282" customWidth="1"/>
    <col min="13058" max="13059" width="9" style="282"/>
    <col min="13060" max="13060" width="10.44140625" style="282" customWidth="1"/>
    <col min="13061" max="13062" width="9.77734375" style="282" customWidth="1"/>
    <col min="13063" max="13068" width="9" style="282"/>
    <col min="13069" max="13069" width="0" style="282" hidden="1" customWidth="1"/>
    <col min="13070" max="13312" width="9" style="282"/>
    <col min="13313" max="13313" width="9.6640625" style="282" customWidth="1"/>
    <col min="13314" max="13315" width="9" style="282"/>
    <col min="13316" max="13316" width="10.44140625" style="282" customWidth="1"/>
    <col min="13317" max="13318" width="9.77734375" style="282" customWidth="1"/>
    <col min="13319" max="13324" width="9" style="282"/>
    <col min="13325" max="13325" width="0" style="282" hidden="1" customWidth="1"/>
    <col min="13326" max="13568" width="9" style="282"/>
    <col min="13569" max="13569" width="9.6640625" style="282" customWidth="1"/>
    <col min="13570" max="13571" width="9" style="282"/>
    <col min="13572" max="13572" width="10.44140625" style="282" customWidth="1"/>
    <col min="13573" max="13574" width="9.77734375" style="282" customWidth="1"/>
    <col min="13575" max="13580" width="9" style="282"/>
    <col min="13581" max="13581" width="0" style="282" hidden="1" customWidth="1"/>
    <col min="13582" max="13824" width="9" style="282"/>
    <col min="13825" max="13825" width="9.6640625" style="282" customWidth="1"/>
    <col min="13826" max="13827" width="9" style="282"/>
    <col min="13828" max="13828" width="10.44140625" style="282" customWidth="1"/>
    <col min="13829" max="13830" width="9.77734375" style="282" customWidth="1"/>
    <col min="13831" max="13836" width="9" style="282"/>
    <col min="13837" max="13837" width="0" style="282" hidden="1" customWidth="1"/>
    <col min="13838" max="14080" width="9" style="282"/>
    <col min="14081" max="14081" width="9.6640625" style="282" customWidth="1"/>
    <col min="14082" max="14083" width="9" style="282"/>
    <col min="14084" max="14084" width="10.44140625" style="282" customWidth="1"/>
    <col min="14085" max="14086" width="9.77734375" style="282" customWidth="1"/>
    <col min="14087" max="14092" width="9" style="282"/>
    <col min="14093" max="14093" width="0" style="282" hidden="1" customWidth="1"/>
    <col min="14094" max="14336" width="9" style="282"/>
    <col min="14337" max="14337" width="9.6640625" style="282" customWidth="1"/>
    <col min="14338" max="14339" width="9" style="282"/>
    <col min="14340" max="14340" width="10.44140625" style="282" customWidth="1"/>
    <col min="14341" max="14342" width="9.77734375" style="282" customWidth="1"/>
    <col min="14343" max="14348" width="9" style="282"/>
    <col min="14349" max="14349" width="0" style="282" hidden="1" customWidth="1"/>
    <col min="14350" max="14592" width="9" style="282"/>
    <col min="14593" max="14593" width="9.6640625" style="282" customWidth="1"/>
    <col min="14594" max="14595" width="9" style="282"/>
    <col min="14596" max="14596" width="10.44140625" style="282" customWidth="1"/>
    <col min="14597" max="14598" width="9.77734375" style="282" customWidth="1"/>
    <col min="14599" max="14604" width="9" style="282"/>
    <col min="14605" max="14605" width="0" style="282" hidden="1" customWidth="1"/>
    <col min="14606" max="14848" width="9" style="282"/>
    <col min="14849" max="14849" width="9.6640625" style="282" customWidth="1"/>
    <col min="14850" max="14851" width="9" style="282"/>
    <col min="14852" max="14852" width="10.44140625" style="282" customWidth="1"/>
    <col min="14853" max="14854" width="9.77734375" style="282" customWidth="1"/>
    <col min="14855" max="14860" width="9" style="282"/>
    <col min="14861" max="14861" width="0" style="282" hidden="1" customWidth="1"/>
    <col min="14862" max="15104" width="9" style="282"/>
    <col min="15105" max="15105" width="9.6640625" style="282" customWidth="1"/>
    <col min="15106" max="15107" width="9" style="282"/>
    <col min="15108" max="15108" width="10.44140625" style="282" customWidth="1"/>
    <col min="15109" max="15110" width="9.77734375" style="282" customWidth="1"/>
    <col min="15111" max="15116" width="9" style="282"/>
    <col min="15117" max="15117" width="0" style="282" hidden="1" customWidth="1"/>
    <col min="15118" max="15360" width="9" style="282"/>
    <col min="15361" max="15361" width="9.6640625" style="282" customWidth="1"/>
    <col min="15362" max="15363" width="9" style="282"/>
    <col min="15364" max="15364" width="10.44140625" style="282" customWidth="1"/>
    <col min="15365" max="15366" width="9.77734375" style="282" customWidth="1"/>
    <col min="15367" max="15372" width="9" style="282"/>
    <col min="15373" max="15373" width="0" style="282" hidden="1" customWidth="1"/>
    <col min="15374" max="15616" width="9" style="282"/>
    <col min="15617" max="15617" width="9.6640625" style="282" customWidth="1"/>
    <col min="15618" max="15619" width="9" style="282"/>
    <col min="15620" max="15620" width="10.44140625" style="282" customWidth="1"/>
    <col min="15621" max="15622" width="9.77734375" style="282" customWidth="1"/>
    <col min="15623" max="15628" width="9" style="282"/>
    <col min="15629" max="15629" width="0" style="282" hidden="1" customWidth="1"/>
    <col min="15630" max="15872" width="9" style="282"/>
    <col min="15873" max="15873" width="9.6640625" style="282" customWidth="1"/>
    <col min="15874" max="15875" width="9" style="282"/>
    <col min="15876" max="15876" width="10.44140625" style="282" customWidth="1"/>
    <col min="15877" max="15878" width="9.77734375" style="282" customWidth="1"/>
    <col min="15879" max="15884" width="9" style="282"/>
    <col min="15885" max="15885" width="0" style="282" hidden="1" customWidth="1"/>
    <col min="15886" max="16128" width="9" style="282"/>
    <col min="16129" max="16129" width="9.6640625" style="282" customWidth="1"/>
    <col min="16130" max="16131" width="9" style="282"/>
    <col min="16132" max="16132" width="10.44140625" style="282" customWidth="1"/>
    <col min="16133" max="16134" width="9.77734375" style="282" customWidth="1"/>
    <col min="16135" max="16140" width="9" style="282"/>
    <col min="16141" max="16141" width="0" style="282" hidden="1" customWidth="1"/>
    <col min="16142" max="16384" width="9" style="282"/>
  </cols>
  <sheetData>
    <row r="1" spans="1:13" s="275" customFormat="1" ht="60.75" thickBot="1" x14ac:dyDescent="0.3">
      <c r="A1" s="269" t="s">
        <v>257</v>
      </c>
      <c r="B1" s="270" t="s">
        <v>258</v>
      </c>
      <c r="C1" s="270" t="s">
        <v>259</v>
      </c>
      <c r="D1" s="271" t="s">
        <v>260</v>
      </c>
      <c r="E1" s="272" t="s">
        <v>261</v>
      </c>
      <c r="F1" s="273" t="s">
        <v>262</v>
      </c>
      <c r="G1" s="272" t="s">
        <v>269</v>
      </c>
      <c r="H1" s="273" t="s">
        <v>270</v>
      </c>
      <c r="I1" s="273" t="s">
        <v>263</v>
      </c>
      <c r="J1" s="273" t="s">
        <v>264</v>
      </c>
      <c r="K1" s="272" t="s">
        <v>265</v>
      </c>
      <c r="L1" s="272" t="s">
        <v>266</v>
      </c>
      <c r="M1" s="274" t="s">
        <v>267</v>
      </c>
    </row>
    <row r="2" spans="1:13" x14ac:dyDescent="0.25">
      <c r="A2" s="276" t="s">
        <v>268</v>
      </c>
      <c r="B2" s="277">
        <v>1</v>
      </c>
      <c r="C2" s="277">
        <v>10</v>
      </c>
      <c r="D2" s="278">
        <v>2021</v>
      </c>
      <c r="E2" s="279">
        <f>(IF('Daily HLP'!H4&gt;0,'Daily HLP'!H4,0))</f>
        <v>22430.199999999953</v>
      </c>
      <c r="F2" s="280">
        <v>9</v>
      </c>
      <c r="G2" s="280">
        <f>(IF('Daily HLP'!L4&gt;0,'Daily HLP'!L4,0))</f>
        <v>981</v>
      </c>
      <c r="H2" s="280">
        <v>54.6</v>
      </c>
      <c r="I2" s="280">
        <f>(IF('Daily HLP'!O4&gt;0,'Daily HLP'!O4,0))</f>
        <v>199</v>
      </c>
      <c r="J2" s="280">
        <v>99</v>
      </c>
      <c r="K2" s="285">
        <f>Occupancy!G2</f>
        <v>171</v>
      </c>
      <c r="L2" s="279">
        <f>Occupancy!F2</f>
        <v>687</v>
      </c>
      <c r="M2" s="281" t="e">
        <f>E2*F2+G2*H2+#REF!*#REF!+I2*J2</f>
        <v>#REF!</v>
      </c>
    </row>
    <row r="3" spans="1:13" x14ac:dyDescent="0.25">
      <c r="A3" s="276" t="s">
        <v>268</v>
      </c>
      <c r="B3" s="277">
        <f>B2+1</f>
        <v>2</v>
      </c>
      <c r="C3" s="277">
        <v>10</v>
      </c>
      <c r="D3" s="278">
        <v>2021</v>
      </c>
      <c r="E3" s="279">
        <f>(IF('Daily HLP'!H5&gt;0,'Daily HLP'!H5,0))</f>
        <v>22758</v>
      </c>
      <c r="F3" s="280">
        <v>9</v>
      </c>
      <c r="G3" s="280">
        <f>(IF('Daily HLP'!L5&gt;0,'Daily HLP'!L5,0))</f>
        <v>1027</v>
      </c>
      <c r="H3" s="280">
        <v>54.6</v>
      </c>
      <c r="I3" s="280">
        <f>(IF('Daily HLP'!O5&gt;0,'Daily HLP'!O5,0))</f>
        <v>259</v>
      </c>
      <c r="J3" s="280">
        <v>99</v>
      </c>
      <c r="K3" s="285">
        <f>Occupancy!G3</f>
        <v>176</v>
      </c>
      <c r="L3" s="279">
        <f>Occupancy!F3</f>
        <v>739</v>
      </c>
      <c r="M3" s="281" t="e">
        <f>E3*F3+G3*H3+#REF!*#REF!+I3*J3</f>
        <v>#REF!</v>
      </c>
    </row>
    <row r="4" spans="1:13" x14ac:dyDescent="0.25">
      <c r="A4" s="276" t="s">
        <v>268</v>
      </c>
      <c r="B4" s="277">
        <f t="shared" ref="B4:B32" si="0">B3+1</f>
        <v>3</v>
      </c>
      <c r="C4" s="277">
        <v>10</v>
      </c>
      <c r="D4" s="278">
        <v>2021</v>
      </c>
      <c r="E4" s="279">
        <f>(IF('Daily HLP'!H6&gt;0,'Daily HLP'!H6,0))</f>
        <v>23433.3</v>
      </c>
      <c r="F4" s="280">
        <v>9</v>
      </c>
      <c r="G4" s="280">
        <f>(IF('Daily HLP'!L6&gt;0,'Daily HLP'!L6,0))</f>
        <v>1056.8870000001043</v>
      </c>
      <c r="H4" s="280">
        <v>54.6</v>
      </c>
      <c r="I4" s="280">
        <f>(IF('Daily HLP'!O6&gt;0,'Daily HLP'!O6,0))</f>
        <v>259</v>
      </c>
      <c r="J4" s="280">
        <v>99</v>
      </c>
      <c r="K4" s="285">
        <f>Occupancy!G4</f>
        <v>127</v>
      </c>
      <c r="L4" s="279">
        <f>Occupancy!F4</f>
        <v>601</v>
      </c>
      <c r="M4" s="281" t="e">
        <f>E4*F4+G4*H4+#REF!*#REF!+I4*J4</f>
        <v>#REF!</v>
      </c>
    </row>
    <row r="5" spans="1:13" x14ac:dyDescent="0.25">
      <c r="A5" s="276" t="s">
        <v>268</v>
      </c>
      <c r="B5" s="277">
        <f t="shared" si="0"/>
        <v>4</v>
      </c>
      <c r="C5" s="277">
        <v>10</v>
      </c>
      <c r="D5" s="278">
        <v>2021</v>
      </c>
      <c r="E5" s="279">
        <f>(IF('Daily HLP'!H7&gt;0,'Daily HLP'!H7,0))</f>
        <v>23852.740000000005</v>
      </c>
      <c r="F5" s="280">
        <v>9</v>
      </c>
      <c r="G5" s="280">
        <f>(IF('Daily HLP'!L7&gt;0,'Daily HLP'!L7,0))</f>
        <v>1064.1129999998957</v>
      </c>
      <c r="H5" s="280">
        <v>54.6</v>
      </c>
      <c r="I5" s="280">
        <f>(IF('Daily HLP'!O7&gt;0,'Daily HLP'!O7,0))</f>
        <v>250</v>
      </c>
      <c r="J5" s="280">
        <v>99</v>
      </c>
      <c r="K5" s="285">
        <f>Occupancy!G5</f>
        <v>153</v>
      </c>
      <c r="L5" s="279">
        <f>Occupancy!F5</f>
        <v>576</v>
      </c>
      <c r="M5" s="281" t="e">
        <f>E5*F5+G5*H5+#REF!*#REF!+I5*J5</f>
        <v>#REF!</v>
      </c>
    </row>
    <row r="6" spans="1:13" x14ac:dyDescent="0.25">
      <c r="A6" s="276" t="s">
        <v>268</v>
      </c>
      <c r="B6" s="277">
        <f t="shared" si="0"/>
        <v>5</v>
      </c>
      <c r="C6" s="277">
        <v>10</v>
      </c>
      <c r="D6" s="278">
        <v>2021</v>
      </c>
      <c r="E6" s="279">
        <f>(IF('Daily HLP'!H8&gt;0,'Daily HLP'!H8,0))</f>
        <v>25691.759999999995</v>
      </c>
      <c r="F6" s="280">
        <v>9</v>
      </c>
      <c r="G6" s="280">
        <f>(IF('Daily HLP'!L8&gt;0,'Daily HLP'!L8,0))</f>
        <v>1023</v>
      </c>
      <c r="H6" s="280">
        <v>54.6</v>
      </c>
      <c r="I6" s="280">
        <f>(IF('Daily HLP'!O8&gt;0,'Daily HLP'!O8,0))</f>
        <v>281</v>
      </c>
      <c r="J6" s="280">
        <v>99</v>
      </c>
      <c r="K6" s="285">
        <f>Occupancy!G6</f>
        <v>163</v>
      </c>
      <c r="L6" s="279">
        <f>Occupancy!F6</f>
        <v>466</v>
      </c>
      <c r="M6" s="281" t="e">
        <f>E6*F6+G6*H6+#REF!*#REF!+I6*J6</f>
        <v>#REF!</v>
      </c>
    </row>
    <row r="7" spans="1:13" x14ac:dyDescent="0.25">
      <c r="A7" s="276" t="s">
        <v>268</v>
      </c>
      <c r="B7" s="277">
        <f t="shared" si="0"/>
        <v>6</v>
      </c>
      <c r="C7" s="277">
        <v>10</v>
      </c>
      <c r="D7" s="278">
        <v>2021</v>
      </c>
      <c r="E7" s="279">
        <f>(IF('Daily HLP'!H9&gt;0,'Daily HLP'!H9,0))</f>
        <v>24192</v>
      </c>
      <c r="F7" s="280">
        <v>9</v>
      </c>
      <c r="G7" s="280">
        <f>(IF('Daily HLP'!L9&gt;0,'Daily HLP'!L9,0))</f>
        <v>974</v>
      </c>
      <c r="H7" s="280">
        <v>54.6</v>
      </c>
      <c r="I7" s="280">
        <f>(IF('Daily HLP'!O9&gt;0,'Daily HLP'!O9,0))</f>
        <v>240</v>
      </c>
      <c r="J7" s="280">
        <v>99</v>
      </c>
      <c r="K7" s="285">
        <f>Occupancy!G7</f>
        <v>158</v>
      </c>
      <c r="L7" s="279">
        <f>Occupancy!F7</f>
        <v>556</v>
      </c>
      <c r="M7" s="281" t="e">
        <f>E7*F7+G7*H7+#REF!*#REF!+I7*J7</f>
        <v>#REF!</v>
      </c>
    </row>
    <row r="8" spans="1:13" x14ac:dyDescent="0.25">
      <c r="A8" s="276" t="s">
        <v>268</v>
      </c>
      <c r="B8" s="277">
        <f t="shared" si="0"/>
        <v>7</v>
      </c>
      <c r="C8" s="277">
        <v>10</v>
      </c>
      <c r="D8" s="278">
        <v>2021</v>
      </c>
      <c r="E8" s="279">
        <f>(IF('Daily HLP'!H10&gt;0,'Daily HLP'!H10,0))</f>
        <v>22240.320000000007</v>
      </c>
      <c r="F8" s="280">
        <v>9</v>
      </c>
      <c r="G8" s="280">
        <f>(IF('Daily HLP'!L10&gt;0,'Daily HLP'!L10,0))</f>
        <v>998.83000000007451</v>
      </c>
      <c r="H8" s="280">
        <v>54.6</v>
      </c>
      <c r="I8" s="280">
        <f>(IF('Daily HLP'!O10&gt;0,'Daily HLP'!O10,0))</f>
        <v>258</v>
      </c>
      <c r="J8" s="280">
        <v>99</v>
      </c>
      <c r="K8" s="285">
        <f>Occupancy!G8</f>
        <v>164</v>
      </c>
      <c r="L8" s="279">
        <f>Occupancy!F8</f>
        <v>953</v>
      </c>
      <c r="M8" s="281" t="e">
        <f>E8*F8+G8*H8+#REF!*#REF!+I8*J8</f>
        <v>#REF!</v>
      </c>
    </row>
    <row r="9" spans="1:13" x14ac:dyDescent="0.25">
      <c r="A9" s="276" t="s">
        <v>268</v>
      </c>
      <c r="B9" s="277">
        <f t="shared" si="0"/>
        <v>8</v>
      </c>
      <c r="C9" s="277">
        <v>10</v>
      </c>
      <c r="D9" s="278">
        <v>2021</v>
      </c>
      <c r="E9" s="279">
        <f>(IF('Daily HLP'!H11&gt;0,'Daily HLP'!H11,0))</f>
        <v>23705.190000000002</v>
      </c>
      <c r="F9" s="280">
        <v>9</v>
      </c>
      <c r="G9" s="280">
        <f>(IF('Daily HLP'!L11&gt;0,'Daily HLP'!L11,0))</f>
        <v>1022.5499999998137</v>
      </c>
      <c r="H9" s="280">
        <v>54.6</v>
      </c>
      <c r="I9" s="280">
        <f>(IF('Daily HLP'!O11&gt;0,'Daily HLP'!O11,0))</f>
        <v>231</v>
      </c>
      <c r="J9" s="280">
        <v>99</v>
      </c>
      <c r="K9" s="285">
        <f>Occupancy!G9</f>
        <v>148</v>
      </c>
      <c r="L9" s="279">
        <f>Occupancy!F9</f>
        <v>602</v>
      </c>
      <c r="M9" s="281" t="e">
        <f>E9*F9+G9*H9+#REF!*#REF!+I9*J9</f>
        <v>#REF!</v>
      </c>
    </row>
    <row r="10" spans="1:13" x14ac:dyDescent="0.25">
      <c r="A10" s="276" t="s">
        <v>268</v>
      </c>
      <c r="B10" s="277">
        <f t="shared" si="0"/>
        <v>9</v>
      </c>
      <c r="C10" s="277">
        <v>10</v>
      </c>
      <c r="D10" s="278">
        <v>2021</v>
      </c>
      <c r="E10" s="279">
        <f>(IF('Daily HLP'!H12&gt;0,'Daily HLP'!H12,0))</f>
        <v>24465.489999999991</v>
      </c>
      <c r="F10" s="280">
        <v>9</v>
      </c>
      <c r="G10" s="280">
        <f>(IF('Daily HLP'!L12&gt;0,'Daily HLP'!L12,0))</f>
        <v>996.62000000011176</v>
      </c>
      <c r="H10" s="280">
        <v>54.6</v>
      </c>
      <c r="I10" s="280">
        <f>(IF('Daily HLP'!O12&gt;0,'Daily HLP'!O12,0))</f>
        <v>274</v>
      </c>
      <c r="J10" s="280">
        <v>99</v>
      </c>
      <c r="K10" s="285">
        <f>Occupancy!G10</f>
        <v>173</v>
      </c>
      <c r="L10" s="279">
        <f>Occupancy!F10</f>
        <v>749</v>
      </c>
      <c r="M10" s="281" t="e">
        <f>E10*F10+G10*H10+#REF!*#REF!+I10*J10</f>
        <v>#REF!</v>
      </c>
    </row>
    <row r="11" spans="1:13" x14ac:dyDescent="0.25">
      <c r="A11" s="276" t="s">
        <v>268</v>
      </c>
      <c r="B11" s="277">
        <f t="shared" si="0"/>
        <v>10</v>
      </c>
      <c r="C11" s="277">
        <v>10</v>
      </c>
      <c r="D11" s="278">
        <v>2021</v>
      </c>
      <c r="E11" s="279">
        <f>(IF('Daily HLP'!H13&gt;0,'Daily HLP'!H13,0))</f>
        <v>24337</v>
      </c>
      <c r="F11" s="280">
        <v>9</v>
      </c>
      <c r="G11" s="280">
        <f>(IF('Daily HLP'!L13&gt;0,'Daily HLP'!L13,0))</f>
        <v>948</v>
      </c>
      <c r="H11" s="280">
        <v>54.6</v>
      </c>
      <c r="I11" s="280">
        <f>(IF('Daily HLP'!O13&gt;0,'Daily HLP'!O13,0))</f>
        <v>258</v>
      </c>
      <c r="J11" s="280">
        <v>99</v>
      </c>
      <c r="K11" s="285">
        <f>Occupancy!G11</f>
        <v>139</v>
      </c>
      <c r="L11" s="279">
        <f>Occupancy!F11</f>
        <v>524</v>
      </c>
      <c r="M11" s="281" t="e">
        <f>E11*F11+G11*H11+#REF!*#REF!+I11*J11</f>
        <v>#REF!</v>
      </c>
    </row>
    <row r="12" spans="1:13" x14ac:dyDescent="0.25">
      <c r="A12" s="276" t="s">
        <v>268</v>
      </c>
      <c r="B12" s="277">
        <f t="shared" si="0"/>
        <v>11</v>
      </c>
      <c r="C12" s="277">
        <v>10</v>
      </c>
      <c r="D12" s="278">
        <v>2021</v>
      </c>
      <c r="E12" s="279">
        <f>(IF('Daily HLP'!H14&gt;0,'Daily HLP'!H14,0))</f>
        <v>24048</v>
      </c>
      <c r="F12" s="280">
        <v>9</v>
      </c>
      <c r="G12" s="280">
        <f>(IF('Daily HLP'!L14&gt;0,'Daily HLP'!L14,0))</f>
        <v>1045</v>
      </c>
      <c r="H12" s="280">
        <v>54.6</v>
      </c>
      <c r="I12" s="280">
        <f>(IF('Daily HLP'!O14&gt;0,'Daily HLP'!O14,0))</f>
        <v>276</v>
      </c>
      <c r="J12" s="280">
        <v>99</v>
      </c>
      <c r="K12" s="285">
        <f>Occupancy!G12</f>
        <v>146</v>
      </c>
      <c r="L12" s="279">
        <f>Occupancy!F12</f>
        <v>52</v>
      </c>
      <c r="M12" s="281" t="e">
        <f>E12*F12+G12*H12+#REF!*#REF!+I12*J12</f>
        <v>#REF!</v>
      </c>
    </row>
    <row r="13" spans="1:13" x14ac:dyDescent="0.25">
      <c r="A13" s="276" t="s">
        <v>268</v>
      </c>
      <c r="B13" s="277">
        <f t="shared" si="0"/>
        <v>12</v>
      </c>
      <c r="C13" s="277">
        <v>10</v>
      </c>
      <c r="D13" s="278">
        <v>2021</v>
      </c>
      <c r="E13" s="279">
        <f>(IF('Daily HLP'!H15&gt;0,'Daily HLP'!H15,0))</f>
        <v>24516</v>
      </c>
      <c r="F13" s="280">
        <v>9</v>
      </c>
      <c r="G13" s="280">
        <f>(IF('Daily HLP'!L15&gt;0,'Daily HLP'!L15,0))</f>
        <v>959</v>
      </c>
      <c r="H13" s="280">
        <v>54.6</v>
      </c>
      <c r="I13" s="280">
        <f>(IF('Daily HLP'!O15&gt;0,'Daily HLP'!O15,0))</f>
        <v>248</v>
      </c>
      <c r="J13" s="280">
        <v>99</v>
      </c>
      <c r="K13" s="285">
        <f>Occupancy!G13</f>
        <v>134</v>
      </c>
      <c r="L13" s="279">
        <f>Occupancy!F13</f>
        <v>436</v>
      </c>
      <c r="M13" s="281" t="e">
        <f>E13*F13+G13*H13+#REF!*#REF!+I13*J13</f>
        <v>#REF!</v>
      </c>
    </row>
    <row r="14" spans="1:13" x14ac:dyDescent="0.25">
      <c r="A14" s="276" t="s">
        <v>268</v>
      </c>
      <c r="B14" s="277">
        <f t="shared" si="0"/>
        <v>13</v>
      </c>
      <c r="C14" s="277">
        <v>10</v>
      </c>
      <c r="D14" s="278">
        <v>2021</v>
      </c>
      <c r="E14" s="279">
        <f>(IF('Daily HLP'!H16&gt;0,'Daily HLP'!H16,0))</f>
        <v>23605</v>
      </c>
      <c r="F14" s="280">
        <v>9</v>
      </c>
      <c r="G14" s="280">
        <f>(IF('Daily HLP'!L16&gt;0,'Daily HLP'!L16,0))</f>
        <v>952</v>
      </c>
      <c r="H14" s="280">
        <v>54.6</v>
      </c>
      <c r="I14" s="280">
        <f>(IF('Daily HLP'!O16&gt;0,'Daily HLP'!O16,0))</f>
        <v>219</v>
      </c>
      <c r="J14" s="280">
        <v>99</v>
      </c>
      <c r="K14" s="285">
        <f>Occupancy!G14</f>
        <v>129</v>
      </c>
      <c r="L14" s="279">
        <f>Occupancy!F14</f>
        <v>455</v>
      </c>
      <c r="M14" s="281" t="e">
        <f>E14*F14+G14*H14+#REF!*#REF!+I14*J14</f>
        <v>#REF!</v>
      </c>
    </row>
    <row r="15" spans="1:13" x14ac:dyDescent="0.25">
      <c r="A15" s="276" t="s">
        <v>268</v>
      </c>
      <c r="B15" s="277">
        <f t="shared" si="0"/>
        <v>14</v>
      </c>
      <c r="C15" s="277">
        <v>10</v>
      </c>
      <c r="D15" s="278">
        <v>2021</v>
      </c>
      <c r="E15" s="279">
        <f>(IF('Daily HLP'!H17&gt;0,'Daily HLP'!H17,0))</f>
        <v>24667</v>
      </c>
      <c r="F15" s="280">
        <v>9</v>
      </c>
      <c r="G15" s="280">
        <f>(IF('Daily HLP'!L17&gt;0,'Daily HLP'!L17,0))</f>
        <v>1032</v>
      </c>
      <c r="H15" s="280">
        <v>54.6</v>
      </c>
      <c r="I15" s="280">
        <f>(IF('Daily HLP'!O17&gt;0,'Daily HLP'!O17,0))</f>
        <v>241</v>
      </c>
      <c r="J15" s="280">
        <v>99</v>
      </c>
      <c r="K15" s="285">
        <f>Occupancy!G15</f>
        <v>130</v>
      </c>
      <c r="L15" s="279">
        <f>Occupancy!F15</f>
        <v>476</v>
      </c>
      <c r="M15" s="281" t="e">
        <f>E15*F15+G15*H15+#REF!*#REF!+I15*J15</f>
        <v>#REF!</v>
      </c>
    </row>
    <row r="16" spans="1:13" x14ac:dyDescent="0.25">
      <c r="A16" s="276" t="s">
        <v>268</v>
      </c>
      <c r="B16" s="277">
        <f t="shared" si="0"/>
        <v>15</v>
      </c>
      <c r="C16" s="277">
        <v>10</v>
      </c>
      <c r="D16" s="278">
        <v>2021</v>
      </c>
      <c r="E16" s="279">
        <f>(IF('Daily HLP'!H18&gt;0,'Daily HLP'!H18,0))</f>
        <v>23193</v>
      </c>
      <c r="F16" s="280">
        <v>9</v>
      </c>
      <c r="G16" s="280">
        <f>(IF('Daily HLP'!L18&gt;0,'Daily HLP'!L18,0))</f>
        <v>976</v>
      </c>
      <c r="H16" s="280">
        <v>54.6</v>
      </c>
      <c r="I16" s="280">
        <f>(IF('Daily HLP'!O18&gt;0,'Daily HLP'!O18,0))</f>
        <v>269</v>
      </c>
      <c r="J16" s="280">
        <v>99</v>
      </c>
      <c r="K16" s="285">
        <f>Occupancy!G16</f>
        <v>158</v>
      </c>
      <c r="L16" s="279">
        <f>Occupancy!F16</f>
        <v>768</v>
      </c>
      <c r="M16" s="281" t="e">
        <f>E16*F16+G16*H16+#REF!*#REF!+I16*J16</f>
        <v>#REF!</v>
      </c>
    </row>
    <row r="17" spans="1:13" x14ac:dyDescent="0.25">
      <c r="A17" s="276" t="s">
        <v>268</v>
      </c>
      <c r="B17" s="277">
        <f t="shared" si="0"/>
        <v>16</v>
      </c>
      <c r="C17" s="277">
        <v>10</v>
      </c>
      <c r="D17" s="278">
        <v>2021</v>
      </c>
      <c r="E17" s="279">
        <f>(IF('Daily HLP'!H19&gt;0,'Daily HLP'!H19,0))</f>
        <v>21644.710000000021</v>
      </c>
      <c r="F17" s="280">
        <v>9</v>
      </c>
      <c r="G17" s="280">
        <f>(IF('Daily HLP'!L19&gt;0,'Daily HLP'!L19,0))</f>
        <v>978.88299999991432</v>
      </c>
      <c r="H17" s="280">
        <v>54.6</v>
      </c>
      <c r="I17" s="280">
        <f>(IF('Daily HLP'!O19&gt;0,'Daily HLP'!O19,0))</f>
        <v>280</v>
      </c>
      <c r="J17" s="280">
        <v>99</v>
      </c>
      <c r="K17" s="285">
        <f>Occupancy!G17</f>
        <v>170</v>
      </c>
      <c r="L17" s="279">
        <f>Occupancy!F17</f>
        <v>558</v>
      </c>
      <c r="M17" s="281" t="e">
        <f>E17*F17+G17*H17+#REF!*#REF!+I17*J17</f>
        <v>#REF!</v>
      </c>
    </row>
    <row r="18" spans="1:13" x14ac:dyDescent="0.25">
      <c r="A18" s="276" t="s">
        <v>268</v>
      </c>
      <c r="B18" s="277">
        <f t="shared" si="0"/>
        <v>17</v>
      </c>
      <c r="C18" s="277">
        <v>10</v>
      </c>
      <c r="D18" s="278">
        <v>2021</v>
      </c>
      <c r="E18" s="279">
        <f>(IF('Daily HLP'!H20&gt;0,'Daily HLP'!H20,0))</f>
        <v>23033.039999999979</v>
      </c>
      <c r="F18" s="280">
        <v>9</v>
      </c>
      <c r="G18" s="280">
        <f>(IF('Daily HLP'!L20&gt;0,'Daily HLP'!L20,0))</f>
        <v>875</v>
      </c>
      <c r="H18" s="280">
        <v>54.6</v>
      </c>
      <c r="I18" s="280">
        <f>(IF('Daily HLP'!O20&gt;0,'Daily HLP'!O20,0))</f>
        <v>271</v>
      </c>
      <c r="J18" s="280">
        <v>99</v>
      </c>
      <c r="K18" s="285">
        <f>Occupancy!G18</f>
        <v>147</v>
      </c>
      <c r="L18" s="279">
        <f>Occupancy!F18</f>
        <v>619</v>
      </c>
      <c r="M18" s="281" t="e">
        <f>E18*F18+G18*H18+#REF!*#REF!+I18*J18</f>
        <v>#REF!</v>
      </c>
    </row>
    <row r="19" spans="1:13" x14ac:dyDescent="0.25">
      <c r="A19" s="276" t="s">
        <v>268</v>
      </c>
      <c r="B19" s="277">
        <f t="shared" si="0"/>
        <v>18</v>
      </c>
      <c r="C19" s="277">
        <v>10</v>
      </c>
      <c r="D19" s="278">
        <v>2021</v>
      </c>
      <c r="E19" s="279">
        <f>(IF('Daily HLP'!H21&gt;0,'Daily HLP'!H21,0))</f>
        <v>23050</v>
      </c>
      <c r="F19" s="280">
        <v>9</v>
      </c>
      <c r="G19" s="280">
        <f>(IF('Daily HLP'!L21&gt;0,'Daily HLP'!L21,0))</f>
        <v>875</v>
      </c>
      <c r="H19" s="280">
        <v>54.6</v>
      </c>
      <c r="I19" s="280">
        <f>(IF('Daily HLP'!O21&gt;0,'Daily HLP'!O21,0))</f>
        <v>200</v>
      </c>
      <c r="J19" s="280">
        <v>99</v>
      </c>
      <c r="K19" s="285">
        <f>Occupancy!G19</f>
        <v>0</v>
      </c>
      <c r="L19" s="279">
        <f>Occupancy!F19</f>
        <v>0</v>
      </c>
      <c r="M19" s="281" t="e">
        <f>E19*F19+G19*H19+#REF!*#REF!+I19*J19</f>
        <v>#REF!</v>
      </c>
    </row>
    <row r="20" spans="1:13" x14ac:dyDescent="0.25">
      <c r="A20" s="276" t="s">
        <v>268</v>
      </c>
      <c r="B20" s="277">
        <f t="shared" si="0"/>
        <v>19</v>
      </c>
      <c r="C20" s="277">
        <v>10</v>
      </c>
      <c r="D20" s="278">
        <v>2021</v>
      </c>
      <c r="E20" s="279">
        <f>(IF('Daily HLP'!H22&gt;0,'Daily HLP'!H22,0))</f>
        <v>23050</v>
      </c>
      <c r="F20" s="280">
        <v>9</v>
      </c>
      <c r="G20" s="280">
        <f>(IF('Daily HLP'!L22&gt;0,'Daily HLP'!L22,0))</f>
        <v>875</v>
      </c>
      <c r="H20" s="280">
        <v>54.6</v>
      </c>
      <c r="I20" s="280">
        <f>(IF('Daily HLP'!O22&gt;0,'Daily HLP'!O22,0))</f>
        <v>200</v>
      </c>
      <c r="J20" s="280">
        <v>99</v>
      </c>
      <c r="K20" s="285">
        <f>Occupancy!G20</f>
        <v>0</v>
      </c>
      <c r="L20" s="279">
        <f>Occupancy!F20</f>
        <v>0</v>
      </c>
      <c r="M20" s="281" t="e">
        <f>E20*F20+G20*H20+#REF!*#REF!+I20*J20</f>
        <v>#REF!</v>
      </c>
    </row>
    <row r="21" spans="1:13" x14ac:dyDescent="0.25">
      <c r="A21" s="276" t="s">
        <v>268</v>
      </c>
      <c r="B21" s="277">
        <f t="shared" si="0"/>
        <v>20</v>
      </c>
      <c r="C21" s="277">
        <v>10</v>
      </c>
      <c r="D21" s="278">
        <v>2021</v>
      </c>
      <c r="E21" s="279">
        <f>(IF('Daily HLP'!H23&gt;0,'Daily HLP'!H23,0))</f>
        <v>23050</v>
      </c>
      <c r="F21" s="280">
        <v>9</v>
      </c>
      <c r="G21" s="280">
        <f>(IF('Daily HLP'!L23&gt;0,'Daily HLP'!L23,0))</f>
        <v>875</v>
      </c>
      <c r="H21" s="280">
        <v>54.6</v>
      </c>
      <c r="I21" s="280">
        <f>(IF('Daily HLP'!O23&gt;0,'Daily HLP'!O23,0))</f>
        <v>200</v>
      </c>
      <c r="J21" s="280">
        <v>99</v>
      </c>
      <c r="K21" s="285">
        <f>Occupancy!G21</f>
        <v>0</v>
      </c>
      <c r="L21" s="279">
        <f>Occupancy!F21</f>
        <v>0</v>
      </c>
      <c r="M21" s="281" t="e">
        <f>E21*F21+G21*H21+#REF!*#REF!+I21*J21</f>
        <v>#REF!</v>
      </c>
    </row>
    <row r="22" spans="1:13" x14ac:dyDescent="0.25">
      <c r="A22" s="276" t="s">
        <v>268</v>
      </c>
      <c r="B22" s="277">
        <f t="shared" si="0"/>
        <v>21</v>
      </c>
      <c r="C22" s="277">
        <v>10</v>
      </c>
      <c r="D22" s="278">
        <v>2021</v>
      </c>
      <c r="E22" s="279">
        <f>(IF('Daily HLP'!H24&gt;0,'Daily HLP'!H24,0))</f>
        <v>23050</v>
      </c>
      <c r="F22" s="280">
        <v>9</v>
      </c>
      <c r="G22" s="280">
        <f>(IF('Daily HLP'!L24&gt;0,'Daily HLP'!L24,0))</f>
        <v>875</v>
      </c>
      <c r="H22" s="280">
        <v>54.6</v>
      </c>
      <c r="I22" s="280">
        <f>(IF('Daily HLP'!O24&gt;0,'Daily HLP'!O24,0))</f>
        <v>200</v>
      </c>
      <c r="J22" s="280">
        <v>99</v>
      </c>
      <c r="K22" s="285">
        <f>Occupancy!G22</f>
        <v>0</v>
      </c>
      <c r="L22" s="279">
        <f>Occupancy!F22</f>
        <v>0</v>
      </c>
      <c r="M22" s="281" t="e">
        <f>E22*F22+G22*H22+#REF!*#REF!+I22*J22</f>
        <v>#REF!</v>
      </c>
    </row>
    <row r="23" spans="1:13" x14ac:dyDescent="0.25">
      <c r="A23" s="276" t="s">
        <v>268</v>
      </c>
      <c r="B23" s="277">
        <f t="shared" si="0"/>
        <v>22</v>
      </c>
      <c r="C23" s="277">
        <v>10</v>
      </c>
      <c r="D23" s="278">
        <v>2021</v>
      </c>
      <c r="E23" s="279">
        <f>(IF('Daily HLP'!H25&gt;0,'Daily HLP'!H25,0))</f>
        <v>23050</v>
      </c>
      <c r="F23" s="280">
        <v>9</v>
      </c>
      <c r="G23" s="280">
        <f>(IF('Daily HLP'!L25&gt;0,'Daily HLP'!L25,0))</f>
        <v>875</v>
      </c>
      <c r="H23" s="280">
        <v>54.6</v>
      </c>
      <c r="I23" s="280">
        <f>(IF('Daily HLP'!O25&gt;0,'Daily HLP'!O25,0))</f>
        <v>200</v>
      </c>
      <c r="J23" s="280">
        <v>99</v>
      </c>
      <c r="K23" s="285">
        <f>Occupancy!G23</f>
        <v>0</v>
      </c>
      <c r="L23" s="279">
        <f>Occupancy!F23</f>
        <v>0</v>
      </c>
      <c r="M23" s="281" t="e">
        <f>E23*F23+G23*H23+#REF!*#REF!+I23*J23</f>
        <v>#REF!</v>
      </c>
    </row>
    <row r="24" spans="1:13" x14ac:dyDescent="0.25">
      <c r="A24" s="276" t="s">
        <v>268</v>
      </c>
      <c r="B24" s="277">
        <f t="shared" si="0"/>
        <v>23</v>
      </c>
      <c r="C24" s="277">
        <v>10</v>
      </c>
      <c r="D24" s="278">
        <v>2021</v>
      </c>
      <c r="E24" s="279">
        <f>(IF('Daily HLP'!H26&gt;0,'Daily HLP'!H26,0))</f>
        <v>23050</v>
      </c>
      <c r="F24" s="280">
        <v>9</v>
      </c>
      <c r="G24" s="280">
        <f>(IF('Daily HLP'!L26&gt;0,'Daily HLP'!L26,0))</f>
        <v>875</v>
      </c>
      <c r="H24" s="280">
        <v>54.6</v>
      </c>
      <c r="I24" s="280">
        <f>(IF('Daily HLP'!O26&gt;0,'Daily HLP'!O26,0))</f>
        <v>200</v>
      </c>
      <c r="J24" s="280">
        <v>99</v>
      </c>
      <c r="K24" s="285">
        <f>Occupancy!G24</f>
        <v>0</v>
      </c>
      <c r="L24" s="279">
        <f>Occupancy!F24</f>
        <v>0</v>
      </c>
      <c r="M24" s="281" t="e">
        <f>E24*F24+G24*H24+#REF!*#REF!+I24*J24</f>
        <v>#REF!</v>
      </c>
    </row>
    <row r="25" spans="1:13" x14ac:dyDescent="0.25">
      <c r="A25" s="276" t="s">
        <v>268</v>
      </c>
      <c r="B25" s="277">
        <f t="shared" si="0"/>
        <v>24</v>
      </c>
      <c r="C25" s="277">
        <v>10</v>
      </c>
      <c r="D25" s="278">
        <v>2021</v>
      </c>
      <c r="E25" s="279">
        <f>(IF('Daily HLP'!H27&gt;0,'Daily HLP'!H27,0))</f>
        <v>23050</v>
      </c>
      <c r="F25" s="280">
        <v>9</v>
      </c>
      <c r="G25" s="280">
        <f>(IF('Daily HLP'!L27&gt;0,'Daily HLP'!L27,0))</f>
        <v>875</v>
      </c>
      <c r="H25" s="280">
        <v>54.6</v>
      </c>
      <c r="I25" s="280">
        <f>(IF('Daily HLP'!O27&gt;0,'Daily HLP'!O27,0))</f>
        <v>200</v>
      </c>
      <c r="J25" s="280">
        <v>99</v>
      </c>
      <c r="K25" s="285">
        <f>Occupancy!G25</f>
        <v>0</v>
      </c>
      <c r="L25" s="279">
        <f>Occupancy!F25</f>
        <v>0</v>
      </c>
      <c r="M25" s="281" t="e">
        <f>E25*F25+G25*H25+#REF!*#REF!+I25*J25</f>
        <v>#REF!</v>
      </c>
    </row>
    <row r="26" spans="1:13" x14ac:dyDescent="0.25">
      <c r="A26" s="276" t="s">
        <v>268</v>
      </c>
      <c r="B26" s="277">
        <f>B25+1</f>
        <v>25</v>
      </c>
      <c r="C26" s="277">
        <v>10</v>
      </c>
      <c r="D26" s="278">
        <v>2021</v>
      </c>
      <c r="E26" s="279">
        <f>(IF('Daily HLP'!H28&gt;0,'Daily HLP'!H28,0))</f>
        <v>23050</v>
      </c>
      <c r="F26" s="280">
        <v>9</v>
      </c>
      <c r="G26" s="280">
        <f>(IF('Daily HLP'!L28&gt;0,'Daily HLP'!L28,0))</f>
        <v>875</v>
      </c>
      <c r="H26" s="280">
        <v>54.6</v>
      </c>
      <c r="I26" s="280">
        <f>(IF('Daily HLP'!O28&gt;0,'Daily HLP'!O28,0))</f>
        <v>200</v>
      </c>
      <c r="J26" s="280">
        <v>99</v>
      </c>
      <c r="K26" s="285">
        <f>Occupancy!G26</f>
        <v>0</v>
      </c>
      <c r="L26" s="279">
        <f>Occupancy!F26</f>
        <v>0</v>
      </c>
      <c r="M26" s="281" t="e">
        <f>E26*F26+G26*H26+#REF!*#REF!+I26*J26</f>
        <v>#REF!</v>
      </c>
    </row>
    <row r="27" spans="1:13" x14ac:dyDescent="0.25">
      <c r="A27" s="276" t="s">
        <v>268</v>
      </c>
      <c r="B27" s="277">
        <f t="shared" si="0"/>
        <v>26</v>
      </c>
      <c r="C27" s="277">
        <v>10</v>
      </c>
      <c r="D27" s="278">
        <v>2021</v>
      </c>
      <c r="E27" s="279">
        <f>(IF('Daily HLP'!H29&gt;0,'Daily HLP'!H29,0))</f>
        <v>23050</v>
      </c>
      <c r="F27" s="280">
        <v>9</v>
      </c>
      <c r="G27" s="280">
        <f>(IF('Daily HLP'!L29&gt;0,'Daily HLP'!L29,0))</f>
        <v>875</v>
      </c>
      <c r="H27" s="280">
        <v>54.6</v>
      </c>
      <c r="I27" s="280">
        <f>(IF('Daily HLP'!O29&gt;0,'Daily HLP'!O29,0))</f>
        <v>200</v>
      </c>
      <c r="J27" s="280">
        <v>99</v>
      </c>
      <c r="K27" s="285">
        <f>Occupancy!G27</f>
        <v>0</v>
      </c>
      <c r="L27" s="279">
        <f>Occupancy!F27</f>
        <v>0</v>
      </c>
      <c r="M27" s="281" t="e">
        <f>E27*F27+G27*H27+#REF!*#REF!+I27*J27</f>
        <v>#REF!</v>
      </c>
    </row>
    <row r="28" spans="1:13" x14ac:dyDescent="0.25">
      <c r="A28" s="276" t="s">
        <v>268</v>
      </c>
      <c r="B28" s="277">
        <f t="shared" si="0"/>
        <v>27</v>
      </c>
      <c r="C28" s="277">
        <v>10</v>
      </c>
      <c r="D28" s="278">
        <v>2021</v>
      </c>
      <c r="E28" s="279">
        <f>(IF('Daily HLP'!H30&gt;0,'Daily HLP'!H30,0))</f>
        <v>23050</v>
      </c>
      <c r="F28" s="280">
        <v>9</v>
      </c>
      <c r="G28" s="280">
        <f>(IF('Daily HLP'!L30&gt;0,'Daily HLP'!L30,0))</f>
        <v>875</v>
      </c>
      <c r="H28" s="280">
        <v>54.6</v>
      </c>
      <c r="I28" s="280">
        <f>(IF('Daily HLP'!O30&gt;0,'Daily HLP'!O30,0))</f>
        <v>200</v>
      </c>
      <c r="J28" s="280">
        <v>99</v>
      </c>
      <c r="K28" s="285">
        <f>Occupancy!G28</f>
        <v>0</v>
      </c>
      <c r="L28" s="279">
        <f>Occupancy!F28</f>
        <v>0</v>
      </c>
      <c r="M28" s="281" t="e">
        <f>E28*F28+G28*H28+#REF!*#REF!+I28*J28</f>
        <v>#REF!</v>
      </c>
    </row>
    <row r="29" spans="1:13" x14ac:dyDescent="0.25">
      <c r="A29" s="276" t="s">
        <v>268</v>
      </c>
      <c r="B29" s="277">
        <f t="shared" si="0"/>
        <v>28</v>
      </c>
      <c r="C29" s="277">
        <v>10</v>
      </c>
      <c r="D29" s="278">
        <v>2021</v>
      </c>
      <c r="E29" s="279">
        <f>(IF('Daily HLP'!H31&gt;0,'Daily HLP'!H31,0))</f>
        <v>23050</v>
      </c>
      <c r="F29" s="280">
        <v>9</v>
      </c>
      <c r="G29" s="280">
        <f>(IF('Daily HLP'!L31&gt;0,'Daily HLP'!L31,0))</f>
        <v>875</v>
      </c>
      <c r="H29" s="280">
        <v>54.6</v>
      </c>
      <c r="I29" s="280">
        <f>(IF('Daily HLP'!O31&gt;0,'Daily HLP'!O31,0))</f>
        <v>200</v>
      </c>
      <c r="J29" s="280">
        <v>99</v>
      </c>
      <c r="K29" s="285">
        <f>Occupancy!G29</f>
        <v>0</v>
      </c>
      <c r="L29" s="279">
        <f>Occupancy!F29</f>
        <v>0</v>
      </c>
      <c r="M29" s="281" t="e">
        <f>E29*F29+G29*H29+#REF!*#REF!+I29*J29</f>
        <v>#REF!</v>
      </c>
    </row>
    <row r="30" spans="1:13" x14ac:dyDescent="0.25">
      <c r="A30" s="276" t="s">
        <v>268</v>
      </c>
      <c r="B30" s="277">
        <f t="shared" si="0"/>
        <v>29</v>
      </c>
      <c r="C30" s="277">
        <v>10</v>
      </c>
      <c r="D30" s="278">
        <v>2021</v>
      </c>
      <c r="E30" s="279">
        <f>(IF('Daily HLP'!H32&gt;0,'Daily HLP'!H32,0))</f>
        <v>23050</v>
      </c>
      <c r="F30" s="280">
        <v>9</v>
      </c>
      <c r="G30" s="280">
        <f>(IF('Daily HLP'!L32&gt;0,'Daily HLP'!L32,0))</f>
        <v>875</v>
      </c>
      <c r="H30" s="280">
        <v>54.6</v>
      </c>
      <c r="I30" s="280">
        <f>(IF('Daily HLP'!O32&gt;0,'Daily HLP'!O32,0))</f>
        <v>200</v>
      </c>
      <c r="J30" s="280">
        <v>99</v>
      </c>
      <c r="K30" s="285">
        <f>Occupancy!G30</f>
        <v>0</v>
      </c>
      <c r="L30" s="279">
        <f>Occupancy!F30</f>
        <v>0</v>
      </c>
      <c r="M30" s="281" t="e">
        <f>E30*F30+G30*H30+#REF!*#REF!+I30*J30</f>
        <v>#REF!</v>
      </c>
    </row>
    <row r="31" spans="1:13" x14ac:dyDescent="0.25">
      <c r="A31" s="276" t="s">
        <v>268</v>
      </c>
      <c r="B31" s="277">
        <f t="shared" si="0"/>
        <v>30</v>
      </c>
      <c r="C31" s="277">
        <v>10</v>
      </c>
      <c r="D31" s="278">
        <v>2021</v>
      </c>
      <c r="E31" s="279">
        <f>(IF('Daily HLP'!H33&gt;0,'Daily HLP'!H33,0))</f>
        <v>23050</v>
      </c>
      <c r="F31" s="280">
        <v>9</v>
      </c>
      <c r="G31" s="280">
        <f>(IF('Daily HLP'!L33&gt;0,'Daily HLP'!L33,0))</f>
        <v>875</v>
      </c>
      <c r="H31" s="280">
        <v>54.6</v>
      </c>
      <c r="I31" s="280">
        <f>(IF('Daily HLP'!O33&gt;0,'Daily HLP'!O33,0))</f>
        <v>200</v>
      </c>
      <c r="J31" s="280">
        <v>99</v>
      </c>
      <c r="K31" s="285">
        <f>Occupancy!G31</f>
        <v>0</v>
      </c>
      <c r="L31" s="279">
        <f>Occupancy!F31</f>
        <v>0</v>
      </c>
      <c r="M31" s="281" t="e">
        <f>E31*F31+G31*H31+#REF!*#REF!+I31*J31</f>
        <v>#REF!</v>
      </c>
    </row>
    <row r="32" spans="1:13" s="279" customFormat="1" x14ac:dyDescent="0.25">
      <c r="A32" s="276" t="s">
        <v>268</v>
      </c>
      <c r="B32" s="277">
        <f t="shared" si="0"/>
        <v>31</v>
      </c>
      <c r="C32" s="277">
        <v>10</v>
      </c>
      <c r="D32" s="278">
        <v>2021</v>
      </c>
      <c r="E32" s="279">
        <f>(IF('Daily HLP'!H34&gt;0,'Daily HLP'!H34,0))</f>
        <v>23050</v>
      </c>
      <c r="F32" s="280">
        <v>9</v>
      </c>
      <c r="G32" s="280">
        <f>(IF('Daily HLP'!L34&gt;0,'Daily HLP'!L34,0))</f>
        <v>875</v>
      </c>
      <c r="H32" s="280">
        <v>54.6</v>
      </c>
      <c r="I32" s="280">
        <f>(IF('Daily HLP'!O34&gt;0,'Daily HLP'!O34,0))</f>
        <v>200</v>
      </c>
      <c r="J32" s="280">
        <v>99</v>
      </c>
      <c r="K32" s="285">
        <f>Occupancy!G32</f>
        <v>0</v>
      </c>
      <c r="L32" s="279">
        <f>Occupancy!F32</f>
        <v>0</v>
      </c>
      <c r="M32" s="282"/>
    </row>
    <row r="33" spans="1:13" s="279" customFormat="1" x14ac:dyDescent="0.25">
      <c r="A33" s="283"/>
      <c r="B33" s="277"/>
      <c r="C33" s="277"/>
      <c r="D33" s="278"/>
      <c r="F33" s="280"/>
      <c r="G33" s="280"/>
      <c r="H33" s="280"/>
      <c r="I33" s="280"/>
      <c r="J33" s="280"/>
      <c r="M33" s="282"/>
    </row>
    <row r="34" spans="1:13" s="279" customFormat="1" x14ac:dyDescent="0.25">
      <c r="A34" s="283"/>
      <c r="B34" s="277"/>
      <c r="C34" s="277"/>
      <c r="D34" s="278"/>
      <c r="F34" s="280"/>
      <c r="G34" s="280"/>
      <c r="H34" s="280"/>
      <c r="I34" s="280"/>
      <c r="J34" s="280"/>
      <c r="M34" s="282"/>
    </row>
    <row r="35" spans="1:13" s="279" customFormat="1" x14ac:dyDescent="0.25">
      <c r="A35" s="283"/>
      <c r="B35" s="277"/>
      <c r="C35" s="277"/>
      <c r="D35" s="278"/>
      <c r="F35" s="280"/>
      <c r="G35" s="280"/>
      <c r="H35" s="280"/>
      <c r="I35" s="280"/>
      <c r="J35" s="280"/>
      <c r="M35" s="282"/>
    </row>
    <row r="36" spans="1:13" s="279" customFormat="1" x14ac:dyDescent="0.25">
      <c r="A36" s="283"/>
      <c r="B36" s="277"/>
      <c r="C36" s="277"/>
      <c r="D36" s="278"/>
      <c r="F36" s="280"/>
      <c r="G36" s="280"/>
      <c r="H36" s="280"/>
      <c r="I36" s="280"/>
      <c r="J36" s="280"/>
      <c r="M36" s="282"/>
    </row>
    <row r="37" spans="1:13" s="279" customFormat="1" x14ac:dyDescent="0.25">
      <c r="A37" s="283"/>
      <c r="B37" s="277"/>
      <c r="C37" s="277"/>
      <c r="D37" s="278"/>
      <c r="F37" s="280"/>
      <c r="G37" s="280"/>
      <c r="H37" s="280"/>
      <c r="I37" s="280"/>
      <c r="J37" s="280"/>
      <c r="M37" s="282"/>
    </row>
    <row r="38" spans="1:13" s="279" customFormat="1" x14ac:dyDescent="0.25">
      <c r="A38" s="283"/>
      <c r="B38" s="277"/>
      <c r="C38" s="277"/>
      <c r="D38" s="278"/>
      <c r="F38" s="280"/>
      <c r="G38" s="280"/>
      <c r="H38" s="280"/>
      <c r="I38" s="280"/>
      <c r="J38" s="280"/>
      <c r="M38" s="282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11" sqref="I11"/>
    </sheetView>
  </sheetViews>
  <sheetFormatPr defaultColWidth="9" defaultRowHeight="15" x14ac:dyDescent="0.25"/>
  <cols>
    <col min="1" max="1" width="17.109375" style="290" customWidth="1"/>
    <col min="2" max="3" width="9" style="294" customWidth="1"/>
    <col min="4" max="4" width="10.44140625" style="294" customWidth="1"/>
    <col min="5" max="29" width="9.77734375" style="304" customWidth="1"/>
    <col min="30" max="30" width="9" style="304"/>
    <col min="31" max="31" width="9" style="305"/>
    <col min="32" max="32" width="9" style="304"/>
    <col min="33" max="39" width="9" style="306"/>
    <col min="40" max="40" width="9" style="309"/>
    <col min="41" max="49" width="9" style="306"/>
    <col min="50" max="58" width="9" style="309"/>
    <col min="59" max="65" width="9" style="306"/>
    <col min="66" max="16384" width="9" style="293"/>
  </cols>
  <sheetData>
    <row r="1" spans="1:65" s="290" customFormat="1" ht="60" customHeight="1" x14ac:dyDescent="0.25">
      <c r="A1" s="288" t="s">
        <v>257</v>
      </c>
      <c r="B1" s="289" t="s">
        <v>258</v>
      </c>
      <c r="C1" s="289" t="s">
        <v>259</v>
      </c>
      <c r="D1" s="289" t="s">
        <v>260</v>
      </c>
      <c r="E1" s="298" t="str">
        <f>'Section Load'!F4</f>
        <v>HVAC</v>
      </c>
      <c r="F1" s="298" t="str">
        <f>'Section Load'!G4</f>
        <v>Fire &amp; Emergency PP</v>
      </c>
      <c r="G1" s="298" t="str">
        <f>'Section Load'!H4</f>
        <v>Main PP</v>
      </c>
      <c r="H1" s="298" t="str">
        <f>'Section Load'!I4</f>
        <v>Lighting PP</v>
      </c>
      <c r="I1" s="298" t="str">
        <f>'Section Load'!J4</f>
        <v>CH-1+ CH2+CH3+CH4</v>
      </c>
      <c r="J1" s="298" t="str">
        <f>'Section Load'!K4</f>
        <v>Chilled water Pump</v>
      </c>
      <c r="K1" s="298" t="str">
        <f>'Section Load'!L4</f>
        <v>Ball Room-1</v>
      </c>
      <c r="L1" s="298" t="str">
        <f>'Section Load'!M4</f>
        <v>Ball Room-2</v>
      </c>
      <c r="M1" s="298" t="str">
        <f>'Section Load'!N4</f>
        <v>MK-1</v>
      </c>
      <c r="N1" s="298" t="str">
        <f>'Section Load'!O4</f>
        <v>MK-2</v>
      </c>
      <c r="O1" s="298" t="str">
        <f>'Section Load'!P4</f>
        <v>Prato</v>
      </c>
      <c r="P1" s="298" t="str">
        <f>'Section Load'!Q4</f>
        <v>San- Qi Indian</v>
      </c>
      <c r="Q1" s="298" t="str">
        <f>'Section Load'!R4</f>
        <v>San- Qi Japanese</v>
      </c>
      <c r="R1" s="298" t="str">
        <f>'Section Load'!S4</f>
        <v>The club</v>
      </c>
      <c r="S1" s="298" t="str">
        <f>'Section Load'!T4</f>
        <v>AER</v>
      </c>
      <c r="T1" s="298" t="str">
        <f>'Section Load'!U4</f>
        <v>COLD ROOM'S</v>
      </c>
      <c r="U1" s="298" t="str">
        <f>'Section Load'!V4</f>
        <v>Ball Room 1</v>
      </c>
      <c r="V1" s="298" t="str">
        <f>'Section Load'!W4</f>
        <v>Ball Room 2</v>
      </c>
      <c r="W1" s="298" t="str">
        <f>'Section Load'!X4</f>
        <v>B1 Laundry</v>
      </c>
      <c r="X1" s="298" t="str">
        <f>'Section Load'!Y4</f>
        <v>B2 Laundry</v>
      </c>
      <c r="Y1" s="298" t="str">
        <f>'Section Load'!Z4</f>
        <v>STP</v>
      </c>
      <c r="Z1" s="298" t="str">
        <f>'Section Load'!AA4</f>
        <v>MOCK Up Room</v>
      </c>
      <c r="AA1" s="298" t="str">
        <f>'Section Load'!AB4</f>
        <v>27th Floor</v>
      </c>
      <c r="AB1" s="298" t="str">
        <f>'Section Load'!AC4</f>
        <v>Physic57</v>
      </c>
      <c r="AC1" s="298" t="str">
        <f>'Section Load'!AD4</f>
        <v>Pinoor Legal- Power+lighting</v>
      </c>
      <c r="AD1" s="298" t="str">
        <f>'Section Load'!AE4</f>
        <v>2nd floor plant room</v>
      </c>
      <c r="AE1" s="298" t="str">
        <f>'Section Load'!AF4</f>
        <v>5th Floor SPA</v>
      </c>
      <c r="AF1" s="298" t="str">
        <f>'Section Load'!AG4</f>
        <v>5th Floor</v>
      </c>
      <c r="AG1" s="298" t="str">
        <f>'Section Load'!AH4</f>
        <v>12th Floor</v>
      </c>
      <c r="AH1" s="298" t="str">
        <f>'Section Load'!AI4</f>
        <v>20th Floor</v>
      </c>
      <c r="AI1" s="298" t="str">
        <f>'Section Load'!AJ4</f>
        <v>27th Floor</v>
      </c>
      <c r="AJ1" s="298" t="str">
        <f>'Section Load'!AK4</f>
        <v>34th Floor</v>
      </c>
      <c r="AK1" s="298" t="str">
        <f>'Section Load'!AL4</f>
        <v>Sanqi</v>
      </c>
      <c r="AL1" s="298" t="str">
        <f>'Section Load'!AM4</f>
        <v>Cooling Tower</v>
      </c>
      <c r="AM1" s="299" t="s">
        <v>279</v>
      </c>
      <c r="AN1" s="307" t="s">
        <v>199</v>
      </c>
      <c r="AO1" s="299" t="s">
        <v>201</v>
      </c>
      <c r="AP1" s="299" t="s">
        <v>202</v>
      </c>
      <c r="AQ1" s="299" t="s">
        <v>203</v>
      </c>
      <c r="AR1" s="299" t="s">
        <v>204</v>
      </c>
      <c r="AS1" s="299" t="s">
        <v>205</v>
      </c>
      <c r="AT1" s="299" t="s">
        <v>206</v>
      </c>
      <c r="AU1" s="299" t="s">
        <v>209</v>
      </c>
      <c r="AV1" s="299" t="s">
        <v>75</v>
      </c>
      <c r="AW1" s="299" t="s">
        <v>76</v>
      </c>
      <c r="AX1" s="307" t="s">
        <v>210</v>
      </c>
      <c r="AY1" s="307" t="s">
        <v>211</v>
      </c>
      <c r="AZ1" s="307" t="s">
        <v>212</v>
      </c>
      <c r="BA1" s="307" t="s">
        <v>214</v>
      </c>
      <c r="BB1" s="307" t="s">
        <v>215</v>
      </c>
      <c r="BC1" s="307" t="s">
        <v>302</v>
      </c>
      <c r="BD1" s="307" t="s">
        <v>300</v>
      </c>
      <c r="BE1" s="307" t="s">
        <v>280</v>
      </c>
      <c r="BF1" s="307" t="s">
        <v>281</v>
      </c>
      <c r="BG1" s="300" t="str">
        <f>'Section Load'!AN4</f>
        <v>MGL</v>
      </c>
      <c r="BH1" s="300" t="str">
        <f>'Section Load'!AO4</f>
        <v>HWG</v>
      </c>
      <c r="BI1" s="300" t="str">
        <f>'Section Load'!AP4</f>
        <v>Prato</v>
      </c>
      <c r="BJ1" s="300" t="str">
        <f>'Section Load'!AQ4</f>
        <v>BR-1</v>
      </c>
      <c r="BK1" s="300" t="str">
        <f>'Section Load'!AR4</f>
        <v>SanQi IND</v>
      </c>
      <c r="BL1" s="300" t="str">
        <f>'Section Load'!AS4</f>
        <v>SanQi JPN</v>
      </c>
      <c r="BM1" s="300" t="str">
        <f>'Section Load'!AT4</f>
        <v>Boiler</v>
      </c>
    </row>
    <row r="2" spans="1:65" ht="15" customHeight="1" x14ac:dyDescent="0.25">
      <c r="A2" s="291" t="s">
        <v>268</v>
      </c>
      <c r="B2" s="292">
        <v>1</v>
      </c>
      <c r="C2" s="292">
        <v>10</v>
      </c>
      <c r="D2" s="292">
        <v>2021</v>
      </c>
      <c r="E2" s="301">
        <f>(IF('Section Load'!F5&gt;0,'Section Load'!F5,0))</f>
        <v>4296.3099999999977</v>
      </c>
      <c r="F2" s="301">
        <f>(IF('Section Load'!G5&gt;0,'Section Load'!G5,0))</f>
        <v>1758.3099999999977</v>
      </c>
      <c r="G2" s="301">
        <f>(IF('Section Load'!H5&gt;0,'Section Load'!H5,0))</f>
        <v>1899.2200000000012</v>
      </c>
      <c r="H2" s="301">
        <f>(IF('Section Load'!I5&gt;0,'Section Load'!I5,0))</f>
        <v>4013.7799999999988</v>
      </c>
      <c r="I2" s="301">
        <f>(IF('Section Load'!J5&gt;0,'Section Load'!J5,0))</f>
        <v>6682.7299999998941</v>
      </c>
      <c r="J2" s="301">
        <f>(IF('Section Load'!K5&gt;0,'Section Load'!K5,0))</f>
        <v>2266</v>
      </c>
      <c r="K2" s="301">
        <f>(IF('Section Load'!L5&gt;0,'Section Load'!L5,0))</f>
        <v>1076.1500000000233</v>
      </c>
      <c r="L2" s="301">
        <f>(IF('Section Load'!M5&gt;0,'Section Load'!M5,0))</f>
        <v>944.90000000000146</v>
      </c>
      <c r="M2" s="301">
        <f>(IF('Section Load'!N5&gt;0,'Section Load'!N5,0))</f>
        <v>92</v>
      </c>
      <c r="N2" s="301">
        <f>(IF('Section Load'!O5&gt;0,'Section Load'!O5,0))</f>
        <v>2</v>
      </c>
      <c r="O2" s="301">
        <f>(IF('Section Load'!P5&gt;0,'Section Load'!P5,0))</f>
        <v>0</v>
      </c>
      <c r="P2" s="301">
        <f>(IF('Section Load'!Q5&gt;0,'Section Load'!Q5,0))</f>
        <v>180.66999999999825</v>
      </c>
      <c r="Q2" s="301">
        <f>(IF('Section Load'!R5&gt;0,'Section Load'!R5,0))</f>
        <v>72.299999999999272</v>
      </c>
      <c r="R2" s="301">
        <f>(IF('Section Load'!S5&gt;0,'Section Load'!S5,0))</f>
        <v>20.67999999999995</v>
      </c>
      <c r="S2" s="301">
        <f>(IF('Section Load'!T5&gt;0,'Section Load'!T5,0))</f>
        <v>162</v>
      </c>
      <c r="T2" s="301">
        <f>(IF('Section Load'!U5&gt;0,'Section Load'!U5,0))</f>
        <v>172</v>
      </c>
      <c r="U2" s="301">
        <f>(IF('Section Load'!V5&gt;0,'Section Load'!V5,0))</f>
        <v>485.47999999998137</v>
      </c>
      <c r="V2" s="301">
        <f>(IF('Section Load'!W5&gt;0,'Section Load'!W5,0))</f>
        <v>156.05000000004657</v>
      </c>
      <c r="W2" s="301">
        <f>(IF('Section Load'!X5&gt;0,'Section Load'!X5,0))</f>
        <v>25.659999999999968</v>
      </c>
      <c r="X2" s="301">
        <f>(IF('Section Load'!Y5&gt;0,'Section Load'!Y5,0))</f>
        <v>212</v>
      </c>
      <c r="Y2" s="301">
        <f>(IF('Section Load'!Z5&gt;0,'Section Load'!Z5,0))</f>
        <v>332</v>
      </c>
      <c r="Z2" s="301">
        <f>(IF('Section Load'!AA5&gt;0,'Section Load'!AA5,0))</f>
        <v>29.200000000011642</v>
      </c>
      <c r="AA2" s="301">
        <f>(IF('Section Load'!AB5&gt;0,'Section Load'!AB5,0))</f>
        <v>31.80000000000291</v>
      </c>
      <c r="AB2" s="301">
        <f>(IF('Section Load'!AC5&gt;0,'Section Load'!AC5,0))</f>
        <v>0</v>
      </c>
      <c r="AC2" s="301">
        <f>(IF('Section Load'!AD5&gt;0,'Section Load'!AD5,0))</f>
        <v>94.600000000003092</v>
      </c>
      <c r="AD2" s="301">
        <f>(IF('Section Load'!AE5&gt;0,'Section Load'!AE5,0))</f>
        <v>0</v>
      </c>
      <c r="AE2" s="301">
        <f>(IF('Section Load'!AF5&gt;0,'Section Load'!AF5,0))</f>
        <v>19</v>
      </c>
      <c r="AF2" s="301">
        <f>(IF('Section Load'!AG5&gt;0,'Section Load'!AG5,0))</f>
        <v>428.32999999998719</v>
      </c>
      <c r="AG2" s="301">
        <f>(IF('Section Load'!AH5&gt;0,'Section Load'!AH5,0))</f>
        <v>378.64999999999418</v>
      </c>
      <c r="AH2" s="301">
        <f>(IF('Section Load'!AI5&gt;0,'Section Load'!AI5,0))</f>
        <v>401.10000000000036</v>
      </c>
      <c r="AI2" s="301">
        <f>(IF('Section Load'!AJ5&gt;0,'Section Load'!AJ5,0))</f>
        <v>523.72999999998137</v>
      </c>
      <c r="AJ2" s="301">
        <f>(IF('Section Load'!AK5&gt;0,'Section Load'!AK5,0))</f>
        <v>306.69999999999709</v>
      </c>
      <c r="AK2" s="301">
        <f>(IF('Section Load'!AL5&gt;0,'Section Load'!AL5,0))</f>
        <v>325.33000000000175</v>
      </c>
      <c r="AL2" s="301">
        <f>(IF('Section Load'!AM5&gt;0,'Section Load'!AM5,0))</f>
        <v>707.36999999999898</v>
      </c>
      <c r="AM2" s="302">
        <f>(IF('Water Report'!$D$7&gt;0,'Water Report'!$D$7,0))</f>
        <v>98</v>
      </c>
      <c r="AN2" s="302">
        <f>(IF('Water Report'!$D$8&gt;0,'Water Report'!$D$8,0))</f>
        <v>165</v>
      </c>
      <c r="AO2" s="302">
        <f>(IF('Water Report'!$D$9&gt;0,'Water Report'!$D$9,0))</f>
        <v>76</v>
      </c>
      <c r="AP2" s="302">
        <f>(IF('Water Report'!$D$10&gt;0,'Water Report'!$D$10,0))</f>
        <v>24</v>
      </c>
      <c r="AQ2" s="302">
        <f>(IF('Water Report'!$D$11&gt;0,'Water Report'!$D$11,0))</f>
        <v>29</v>
      </c>
      <c r="AR2" s="302">
        <f>(IF('Water Report'!$D$13&gt;0,'Water Report'!$D$13,0))</f>
        <v>31</v>
      </c>
      <c r="AS2" s="302">
        <f>(IF('Water Report'!$D$14&gt;0,'Water Report'!$D$14,0))</f>
        <v>9</v>
      </c>
      <c r="AT2" s="302">
        <f>(IF('Water Report'!$D$15&gt;0,'Water Report'!$D$15,0))</f>
        <v>10</v>
      </c>
      <c r="AU2" s="302">
        <f>(IF('Water Report'!$D$17&gt;0,'Water Report'!$D$17,0))</f>
        <v>0</v>
      </c>
      <c r="AV2" s="302">
        <f>(IF('Water Report'!$D$18&gt;0,'Water Report'!$D$18,0))</f>
        <v>10</v>
      </c>
      <c r="AW2" s="302">
        <f>(IF('Water Report'!$D$19&gt;0,'Water Report'!$D$19,0))</f>
        <v>9</v>
      </c>
      <c r="AX2" s="308">
        <f>(IF('Water Report'!$D$21&gt;0,'Water Report'!$D$21,0))</f>
        <v>83</v>
      </c>
      <c r="AY2" s="308">
        <f>(IF('Water Report'!$D$22&gt;0,'Water Report'!$D$22,0))</f>
        <v>0</v>
      </c>
      <c r="AZ2" s="308">
        <f>(IF('Water Report'!$D$23&gt;0,'Water Report'!$D$23,0))</f>
        <v>0</v>
      </c>
      <c r="BA2" s="308">
        <f>(IF('Water Report'!$D$14&gt;0,'Water Report'!$D$14,0))</f>
        <v>9</v>
      </c>
      <c r="BB2" s="308">
        <f>(IF('Water Report'!$D$15&gt;0,'Water Report'!$D$15,0))</f>
        <v>10</v>
      </c>
      <c r="BC2" s="308">
        <f>(IF('Water Report'!$D$13&gt;0,'Water Report'!$D$13,0))</f>
        <v>31</v>
      </c>
      <c r="BD2" s="308">
        <f>(IF('Water Report'!$D$24&gt;0,'Water Report'!$D$24,0))</f>
        <v>199</v>
      </c>
      <c r="BE2" s="308">
        <f>(IF('Water Report'!$D$25&gt;0,'Water Report'!$D$25,0))</f>
        <v>148</v>
      </c>
      <c r="BF2" s="308">
        <f>(IF('Water Report'!$D$27&gt;0,'Water Report'!$D$27,0))</f>
        <v>114</v>
      </c>
      <c r="BG2" s="303">
        <f>(IF('Section Load'!AN5&gt;0,'Section Load'!AN5,0))</f>
        <v>981</v>
      </c>
      <c r="BH2" s="303">
        <f>(IF('Section Load'!AO5&gt;0,'Section Load'!AO5,0))</f>
        <v>286.60999999998603</v>
      </c>
      <c r="BI2" s="303">
        <f>(IF('Section Load'!AP5&gt;0,'Section Load'!AP5,0))</f>
        <v>0</v>
      </c>
      <c r="BJ2" s="303">
        <f>(IF('Section Load'!AQ5&gt;0,'Section Load'!AQ5,0))</f>
        <v>125.32000000000698</v>
      </c>
      <c r="BK2" s="303">
        <f>(IF('Section Load'!AR5&gt;0,'Section Load'!AR5,0))</f>
        <v>54.80000000000291</v>
      </c>
      <c r="BL2" s="303">
        <f>(IF('Section Load'!AS5&gt;0,'Section Load'!AS5,0))</f>
        <v>1.7000000000007276</v>
      </c>
      <c r="BM2" s="303">
        <f>(IF('Section Load'!AT5&gt;0,'Section Load'!AT5,0))</f>
        <v>512.57000000000335</v>
      </c>
    </row>
    <row r="3" spans="1:65" x14ac:dyDescent="0.25">
      <c r="A3" s="291" t="s">
        <v>268</v>
      </c>
      <c r="B3" s="292">
        <f>B2+1</f>
        <v>2</v>
      </c>
      <c r="C3" s="292">
        <v>10</v>
      </c>
      <c r="D3" s="292">
        <v>2021</v>
      </c>
      <c r="E3" s="301">
        <f>(IF('Section Load'!F6&gt;0,'Section Load'!F6,0))</f>
        <v>4605.6000000000058</v>
      </c>
      <c r="F3" s="301">
        <f>(IF('Section Load'!G6&gt;0,'Section Load'!G6,0))</f>
        <v>1726.8800000000047</v>
      </c>
      <c r="G3" s="301">
        <f>(IF('Section Load'!H6&gt;0,'Section Load'!H6,0))</f>
        <v>1966.9499999999971</v>
      </c>
      <c r="H3" s="301">
        <f>(IF('Section Load'!I6&gt;0,'Section Load'!I6,0))</f>
        <v>4103.2200000000012</v>
      </c>
      <c r="I3" s="301">
        <f>(IF('Section Load'!J6&gt;0,'Section Load'!J6,0))</f>
        <v>6979.960000000021</v>
      </c>
      <c r="J3" s="301">
        <f>(IF('Section Load'!K6&gt;0,'Section Load'!K6,0))</f>
        <v>2274.6999999999534</v>
      </c>
      <c r="K3" s="301">
        <f>(IF('Section Load'!L6&gt;0,'Section Load'!L6,0))</f>
        <v>1107.6799999999348</v>
      </c>
      <c r="L3" s="301">
        <f>(IF('Section Load'!M6&gt;0,'Section Load'!M6,0))</f>
        <v>857.80999999999767</v>
      </c>
      <c r="M3" s="301">
        <f>(IF('Section Load'!N6&gt;0,'Section Load'!N6,0))</f>
        <v>90</v>
      </c>
      <c r="N3" s="301">
        <f>(IF('Section Load'!O6&gt;0,'Section Load'!O6,0))</f>
        <v>0</v>
      </c>
      <c r="O3" s="301">
        <f>(IF('Section Load'!P6&gt;0,'Section Load'!P6,0))</f>
        <v>0</v>
      </c>
      <c r="P3" s="301">
        <f>(IF('Section Load'!Q6&gt;0,'Section Load'!Q6,0))</f>
        <v>188.10000000000218</v>
      </c>
      <c r="Q3" s="301">
        <f>(IF('Section Load'!R6&gt;0,'Section Load'!R6,0))</f>
        <v>70.300000000001091</v>
      </c>
      <c r="R3" s="301">
        <f>(IF('Section Load'!S6&gt;0,'Section Load'!S6,0))</f>
        <v>46.800000000000068</v>
      </c>
      <c r="S3" s="301">
        <f>(IF('Section Load'!T6&gt;0,'Section Load'!T6,0))</f>
        <v>212</v>
      </c>
      <c r="T3" s="301">
        <f>(IF('Section Load'!U6&gt;0,'Section Load'!U6,0))</f>
        <v>173</v>
      </c>
      <c r="U3" s="301">
        <f>(IF('Section Load'!V6&gt;0,'Section Load'!V6,0))</f>
        <v>365.04000000003725</v>
      </c>
      <c r="V3" s="301">
        <f>(IF('Section Load'!W6&gt;0,'Section Load'!W6,0))</f>
        <v>213.5899999999674</v>
      </c>
      <c r="W3" s="301">
        <f>(IF('Section Load'!X6&gt;0,'Section Load'!X6,0))</f>
        <v>30.780000000000086</v>
      </c>
      <c r="X3" s="301">
        <f>(IF('Section Load'!Y6&gt;0,'Section Load'!Y6,0))</f>
        <v>219.2100000000064</v>
      </c>
      <c r="Y3" s="301">
        <f>(IF('Section Load'!Z6&gt;0,'Section Load'!Z6,0))</f>
        <v>294</v>
      </c>
      <c r="Z3" s="301">
        <f>(IF('Section Load'!AA6&gt;0,'Section Load'!AA6,0))</f>
        <v>39.239999999990687</v>
      </c>
      <c r="AA3" s="301">
        <f>(IF('Section Load'!AB6&gt;0,'Section Load'!AB6,0))</f>
        <v>23.69999999999709</v>
      </c>
      <c r="AB3" s="301">
        <f>(IF('Section Load'!AC6&gt;0,'Section Load'!AC6,0))</f>
        <v>0</v>
      </c>
      <c r="AC3" s="301">
        <f>(IF('Section Load'!AD6&gt;0,'Section Load'!AD6,0))</f>
        <v>58.500000000002728</v>
      </c>
      <c r="AD3" s="301">
        <f>(IF('Section Load'!AE6&gt;0,'Section Load'!AE6,0))</f>
        <v>0</v>
      </c>
      <c r="AE3" s="301">
        <f>(IF('Section Load'!AF6&gt;0,'Section Load'!AF6,0))</f>
        <v>18.170000000000016</v>
      </c>
      <c r="AF3" s="301">
        <f>(IF('Section Load'!AG6&gt;0,'Section Load'!AG6,0))</f>
        <v>384.18000000002212</v>
      </c>
      <c r="AG3" s="301">
        <f>(IF('Section Load'!AH6&gt;0,'Section Load'!AH6,0))</f>
        <v>396.39999999999418</v>
      </c>
      <c r="AH3" s="301">
        <f>(IF('Section Load'!AI6&gt;0,'Section Load'!AI6,0))</f>
        <v>411.14999999999964</v>
      </c>
      <c r="AI3" s="301">
        <f>(IF('Section Load'!AJ6&gt;0,'Section Load'!AJ6,0))</f>
        <v>521.27000000001863</v>
      </c>
      <c r="AJ3" s="301">
        <f>(IF('Section Load'!AK6&gt;0,'Section Load'!AK6,0))</f>
        <v>304.47000000000116</v>
      </c>
      <c r="AK3" s="301">
        <f>(IF('Section Load'!AL6&gt;0,'Section Load'!AL6,0))</f>
        <v>333.41999999999825</v>
      </c>
      <c r="AL3" s="301">
        <f>(IF('Section Load'!AM6&gt;0,'Section Load'!AM6,0))</f>
        <v>777.62000000000262</v>
      </c>
      <c r="AM3" s="302">
        <f>(IF('Water Report'!$E$7&gt;0,'Water Report'!$E$7,0))</f>
        <v>119</v>
      </c>
      <c r="AN3" s="302">
        <f>(IF('Water Report'!$E$8&gt;0,'Water Report'!$E$8,0))</f>
        <v>164</v>
      </c>
      <c r="AO3" s="302">
        <f>(IF('Water Report'!$E$9&gt;0,'Water Report'!$E$9,0))</f>
        <v>94</v>
      </c>
      <c r="AP3" s="302">
        <f>(IF('Water Report'!$E$10&gt;0,'Water Report'!$E$10,0))</f>
        <v>22</v>
      </c>
      <c r="AQ3" s="302">
        <f>(IF('Water Report'!$E$11&gt;0,'Water Report'!$E$11,0))</f>
        <v>40</v>
      </c>
      <c r="AR3" s="302">
        <f>(IF('Water Report'!$E$13&gt;0,'Water Report'!$E$13,0))</f>
        <v>42</v>
      </c>
      <c r="AS3" s="302">
        <f>(IF('Water Report'!$E$14&gt;0,'Water Report'!$E$14,0))</f>
        <v>21</v>
      </c>
      <c r="AT3" s="302">
        <f>(IF('Water Report'!$E$15&gt;0,'Water Report'!$E$15,0))</f>
        <v>10</v>
      </c>
      <c r="AU3" s="302">
        <f>(IF('Water Report'!$E$17&gt;0,'Water Report'!$E$17,0))</f>
        <v>0</v>
      </c>
      <c r="AV3" s="302">
        <f>(IF('Water Report'!$E$18&gt;0,'Water Report'!$E$18,0))</f>
        <v>12</v>
      </c>
      <c r="AW3" s="302">
        <f>(IF('Water Report'!$E$19&gt;0,'Water Report'!$E$19,0))</f>
        <v>9</v>
      </c>
      <c r="AX3" s="308">
        <f>(IF('Water Report'!$E$21&gt;0,'Water Report'!$E$21,0))</f>
        <v>84</v>
      </c>
      <c r="AY3" s="308">
        <f>(IF('Water Report'!$E$22&gt;0,'Water Report'!$E$22,0))</f>
        <v>0</v>
      </c>
      <c r="AZ3" s="308">
        <f>(IF('Water Report'!$E$23&gt;0,'Water Report'!$E$23,0))</f>
        <v>0</v>
      </c>
      <c r="BA3" s="308">
        <f>(IF('Water Report'!$E$14&gt;0,'Water Report'!$E$14,0))</f>
        <v>21</v>
      </c>
      <c r="BB3" s="308">
        <f>(IF('Water Report'!$E$15&gt;0,'Water Report'!$E$15,0))</f>
        <v>10</v>
      </c>
      <c r="BC3" s="308">
        <f>(IF('Water Report'!$E$13&gt;0,'Water Report'!$E$13,0))</f>
        <v>42</v>
      </c>
      <c r="BD3" s="308">
        <f>(IF('Water Report'!$E$24&gt;0,'Water Report'!$E$24,0))</f>
        <v>259</v>
      </c>
      <c r="BE3" s="308">
        <f>(IF('Water Report'!$E$25&gt;0,'Water Report'!$E$25,0))</f>
        <v>187</v>
      </c>
      <c r="BF3" s="308">
        <f>(IF('Water Report'!$E$27&gt;0,'Water Report'!$E$27,0))</f>
        <v>126</v>
      </c>
      <c r="BG3" s="303">
        <f>(IF('Section Load'!AN6&gt;0,'Section Load'!AN6,0))</f>
        <v>1027</v>
      </c>
      <c r="BH3" s="303">
        <f>(IF('Section Load'!AO6&gt;0,'Section Load'!AO6,0))</f>
        <v>306.45000000006985</v>
      </c>
      <c r="BI3" s="303">
        <f>(IF('Section Load'!AP6&gt;0,'Section Load'!AP6,0))</f>
        <v>0</v>
      </c>
      <c r="BJ3" s="303">
        <f>(IF('Section Load'!AQ6&gt;0,'Section Load'!AQ6,0))</f>
        <v>103.45999999999185</v>
      </c>
      <c r="BK3" s="303">
        <f>(IF('Section Load'!AR6&gt;0,'Section Load'!AR6,0))</f>
        <v>63.19999999999709</v>
      </c>
      <c r="BL3" s="303">
        <f>(IF('Section Load'!AS6&gt;0,'Section Load'!AS6,0))</f>
        <v>4.5</v>
      </c>
      <c r="BM3" s="303">
        <f>(IF('Section Load'!AT6&gt;0,'Section Load'!AT6,0))</f>
        <v>549.38999999994121</v>
      </c>
    </row>
    <row r="4" spans="1:65" x14ac:dyDescent="0.25">
      <c r="A4" s="291" t="s">
        <v>268</v>
      </c>
      <c r="B4" s="292">
        <f t="shared" ref="B4:B32" si="0">B3+1</f>
        <v>3</v>
      </c>
      <c r="C4" s="292">
        <v>10</v>
      </c>
      <c r="D4" s="292">
        <v>2021</v>
      </c>
      <c r="E4" s="301">
        <f>(IF('Section Load'!F7&gt;0,'Section Load'!F7,0))</f>
        <v>4727.070000000007</v>
      </c>
      <c r="F4" s="301">
        <f>(IF('Section Load'!G7&gt;0,'Section Load'!G7,0))</f>
        <v>1707.2299999999959</v>
      </c>
      <c r="G4" s="301">
        <f>(IF('Section Load'!H7&gt;0,'Section Load'!H7,0))</f>
        <v>1951.8100000000049</v>
      </c>
      <c r="H4" s="301">
        <f>(IF('Section Load'!I7&gt;0,'Section Load'!I7,0))</f>
        <v>4180.140000000014</v>
      </c>
      <c r="I4" s="301">
        <f>(IF('Section Load'!J7&gt;0,'Section Load'!J7,0))</f>
        <v>7169.1700000000419</v>
      </c>
      <c r="J4" s="301">
        <f>(IF('Section Load'!K7&gt;0,'Section Load'!K7,0))</f>
        <v>2284.9000000001397</v>
      </c>
      <c r="K4" s="301">
        <f>(IF('Section Load'!L7&gt;0,'Section Load'!L7,0))</f>
        <v>1216.7200000000885</v>
      </c>
      <c r="L4" s="301">
        <f>(IF('Section Load'!M7&gt;0,'Section Load'!M7,0))</f>
        <v>887.09000000000015</v>
      </c>
      <c r="M4" s="301">
        <f>(IF('Section Load'!N7&gt;0,'Section Load'!N7,0))</f>
        <v>88</v>
      </c>
      <c r="N4" s="301">
        <f>(IF('Section Load'!O7&gt;0,'Section Load'!O7,0))</f>
        <v>0</v>
      </c>
      <c r="O4" s="301">
        <f>(IF('Section Load'!P7&gt;0,'Section Load'!P7,0))</f>
        <v>0</v>
      </c>
      <c r="P4" s="301">
        <f>(IF('Section Load'!Q7&gt;0,'Section Load'!Q7,0))</f>
        <v>184.18999999999869</v>
      </c>
      <c r="Q4" s="301">
        <f>(IF('Section Load'!R7&gt;0,'Section Load'!R7,0))</f>
        <v>72.549999999999272</v>
      </c>
      <c r="R4" s="301">
        <f>(IF('Section Load'!S7&gt;0,'Section Load'!S7,0))</f>
        <v>50.470000000000027</v>
      </c>
      <c r="S4" s="301">
        <f>(IF('Section Load'!T7&gt;0,'Section Load'!T7,0))</f>
        <v>431</v>
      </c>
      <c r="T4" s="301">
        <f>(IF('Section Load'!U7&gt;0,'Section Load'!U7,0))</f>
        <v>173</v>
      </c>
      <c r="U4" s="301">
        <f>(IF('Section Load'!V7&gt;0,'Section Load'!V7,0))</f>
        <v>429.91999999992549</v>
      </c>
      <c r="V4" s="301">
        <f>(IF('Section Load'!W7&gt;0,'Section Load'!W7,0))</f>
        <v>204.88000000000466</v>
      </c>
      <c r="W4" s="301">
        <f>(IF('Section Load'!X7&gt;0,'Section Load'!X7,0))</f>
        <v>25.269999999999982</v>
      </c>
      <c r="X4" s="301">
        <f>(IF('Section Load'!Y7&gt;0,'Section Load'!Y7,0))</f>
        <v>242.61999999999534</v>
      </c>
      <c r="Y4" s="301">
        <f>(IF('Section Load'!Z7&gt;0,'Section Load'!Z7,0))</f>
        <v>320</v>
      </c>
      <c r="Z4" s="301">
        <f>(IF('Section Load'!AA7&gt;0,'Section Load'!AA7,0))</f>
        <v>66.840000000025611</v>
      </c>
      <c r="AA4" s="301">
        <f>(IF('Section Load'!AB7&gt;0,'Section Load'!AB7,0))</f>
        <v>25.399999999994179</v>
      </c>
      <c r="AB4" s="301">
        <f>(IF('Section Load'!AC7&gt;0,'Section Load'!AC7,0))</f>
        <v>0</v>
      </c>
      <c r="AC4" s="301">
        <f>(IF('Section Load'!AD7&gt;0,'Section Load'!AD7,0))</f>
        <v>51.099999999997181</v>
      </c>
      <c r="AD4" s="301">
        <f>(IF('Section Load'!AE7&gt;0,'Section Load'!AE7,0))</f>
        <v>0</v>
      </c>
      <c r="AE4" s="301">
        <f>(IF('Section Load'!AF7&gt;0,'Section Load'!AF7,0))</f>
        <v>19.479999999999961</v>
      </c>
      <c r="AF4" s="301">
        <f>(IF('Section Load'!AG7&gt;0,'Section Load'!AG7,0))</f>
        <v>360.45999999999185</v>
      </c>
      <c r="AG4" s="301">
        <f>(IF('Section Load'!AH7&gt;0,'Section Load'!AH7,0))</f>
        <v>390.82000000000698</v>
      </c>
      <c r="AH4" s="301">
        <f>(IF('Section Load'!AI7&gt;0,'Section Load'!AI7,0))</f>
        <v>411.76000000000022</v>
      </c>
      <c r="AI4" s="301">
        <f>(IF('Section Load'!AJ7&gt;0,'Section Load'!AJ7,0))</f>
        <v>769.30999999999767</v>
      </c>
      <c r="AJ4" s="301">
        <f>(IF('Section Load'!AK7&gt;0,'Section Load'!AK7,0))</f>
        <v>309.52999999999884</v>
      </c>
      <c r="AK4" s="301">
        <f>(IF('Section Load'!AL7&gt;0,'Section Load'!AL7,0))</f>
        <v>335</v>
      </c>
      <c r="AL4" s="301">
        <f>(IF('Section Load'!AM7&gt;0,'Section Load'!AM7,0))</f>
        <v>796.59000000000015</v>
      </c>
      <c r="AM4" s="302">
        <f>(IF('Water Report'!$F$7&gt;0,'Water Report'!$F$7,0))</f>
        <v>125</v>
      </c>
      <c r="AN4" s="302">
        <f>(IF('Water Report'!$F$8&gt;0,'Water Report'!$F$8,0))</f>
        <v>160</v>
      </c>
      <c r="AO4" s="302">
        <f>(IF('Water Report'!$F$9&gt;0,'Water Report'!$G$9,0))</f>
        <v>85</v>
      </c>
      <c r="AP4" s="302">
        <f>(IF('Water Report'!$F$10&gt;0,'Water Report'!$F$10,0))</f>
        <v>26</v>
      </c>
      <c r="AQ4" s="302">
        <f>(IF('Water Report'!$F$11&gt;0,'Water Report'!$F$11,0))</f>
        <v>36</v>
      </c>
      <c r="AR4" s="302">
        <f>(IF('Water Report'!$F$13&gt;0,'Water Report'!$F$13,0))</f>
        <v>53</v>
      </c>
      <c r="AS4" s="302">
        <f>(IF('Water Report'!$F$14&gt;0,'Water Report'!$F$14,0))</f>
        <v>12</v>
      </c>
      <c r="AT4" s="302">
        <f>(IF('Water Report'!$F$15&gt;0,'Water Report'!$F$15,0))</f>
        <v>10</v>
      </c>
      <c r="AU4" s="302">
        <f>(IF('Water Report'!$F$17&gt;0,'Water Report'!$F$17,0))</f>
        <v>0</v>
      </c>
      <c r="AV4" s="302">
        <f>(IF('Water Report'!$F$18&gt;0,'Water Report'!$F$18,0))</f>
        <v>12</v>
      </c>
      <c r="AW4" s="302">
        <f>(IF('Water Report'!$F$19&gt;0,'Water Report'!$F$19,0))</f>
        <v>9</v>
      </c>
      <c r="AX4" s="308">
        <f>(IF('Water Report'!$F$21&gt;0,'Water Report'!$F$21,0))</f>
        <v>73</v>
      </c>
      <c r="AY4" s="308">
        <f>(IF('Water Report'!$F$22&gt;0,'Water Report'!$F$22,0))</f>
        <v>0</v>
      </c>
      <c r="AZ4" s="308">
        <f>(IF('Water Report'!$F$23&gt;0,'Water Report'!$F$23,0))</f>
        <v>8</v>
      </c>
      <c r="BA4" s="308">
        <f>(IF('Water Report'!$F$14&gt;0,'Water Report'!$F$14,0))</f>
        <v>12</v>
      </c>
      <c r="BB4" s="308">
        <f>(IF('Water Report'!$F$15&gt;0,'Water Report'!$F$15,0))</f>
        <v>10</v>
      </c>
      <c r="BC4" s="308">
        <f>(IF('Water Report'!$F$13&gt;0,'Water Report'!$F$13,0))</f>
        <v>53</v>
      </c>
      <c r="BD4" s="308">
        <f>(IF('Water Report'!$F$24&gt;0,'Water Report'!$F$24,0))</f>
        <v>259</v>
      </c>
      <c r="BE4" s="308">
        <f>(IF('Water Report'!$F$25&gt;0,'Water Report'!$F$25,0))</f>
        <v>164</v>
      </c>
      <c r="BF4" s="308">
        <f>(IF('Water Report'!$F$27&gt;0,'Water Report'!$F$27,0))</f>
        <v>134</v>
      </c>
      <c r="BG4" s="303">
        <f>(IF('Section Load'!AN7&gt;0,'Section Load'!AN7,0))</f>
        <v>1056.8870000001043</v>
      </c>
      <c r="BH4" s="303">
        <f>(IF('Section Load'!AO7&gt;0,'Section Load'!AO7,0))</f>
        <v>308.52999999991152</v>
      </c>
      <c r="BI4" s="303">
        <f>(IF('Section Load'!AP7&gt;0,'Section Load'!AP7,0))</f>
        <v>0</v>
      </c>
      <c r="BJ4" s="303">
        <f>(IF('Section Load'!AQ7&gt;0,'Section Load'!AQ7,0))</f>
        <v>111.66000000000349</v>
      </c>
      <c r="BK4" s="303">
        <f>(IF('Section Load'!AR7&gt;0,'Section Load'!AR7,0))</f>
        <v>53.099999999998545</v>
      </c>
      <c r="BL4" s="303">
        <f>(IF('Section Load'!AS7&gt;0,'Section Load'!AS7,0))</f>
        <v>1.5999999999985448</v>
      </c>
      <c r="BM4" s="303">
        <f>(IF('Section Load'!AT7&gt;0,'Section Load'!AT7,0))</f>
        <v>581.9970000001922</v>
      </c>
    </row>
    <row r="5" spans="1:65" x14ac:dyDescent="0.25">
      <c r="A5" s="291" t="s">
        <v>268</v>
      </c>
      <c r="B5" s="292">
        <f t="shared" si="0"/>
        <v>4</v>
      </c>
      <c r="C5" s="292">
        <v>10</v>
      </c>
      <c r="D5" s="292">
        <v>2021</v>
      </c>
      <c r="E5" s="301">
        <f>(IF('Section Load'!F8&gt;0,'Section Load'!F8,0))</f>
        <v>5101.6399999999849</v>
      </c>
      <c r="F5" s="301">
        <f>(IF('Section Load'!G8&gt;0,'Section Load'!G8,0))</f>
        <v>1697.3100000000049</v>
      </c>
      <c r="G5" s="301">
        <f>(IF('Section Load'!H8&gt;0,'Section Load'!H8,0))</f>
        <v>1873.3899999999994</v>
      </c>
      <c r="H5" s="301">
        <f>(IF('Section Load'!I8&gt;0,'Section Load'!I8,0))</f>
        <v>4257.7299999999814</v>
      </c>
      <c r="I5" s="301">
        <f>(IF('Section Load'!J8&gt;0,'Section Load'!J8,0))</f>
        <v>7669.820000000007</v>
      </c>
      <c r="J5" s="301">
        <f>(IF('Section Load'!K8&gt;0,'Section Load'!K8,0))</f>
        <v>2392.5</v>
      </c>
      <c r="K5" s="301">
        <f>(IF('Section Load'!L8&gt;0,'Section Load'!L8,0))</f>
        <v>1031.7999999999302</v>
      </c>
      <c r="L5" s="301">
        <f>(IF('Section Load'!M8&gt;0,'Section Load'!M8,0))</f>
        <v>995.67000000000189</v>
      </c>
      <c r="M5" s="301">
        <f>(IF('Section Load'!N8&gt;0,'Section Load'!N8,0))</f>
        <v>88</v>
      </c>
      <c r="N5" s="301">
        <f>(IF('Section Load'!O8&gt;0,'Section Load'!O8,0))</f>
        <v>0</v>
      </c>
      <c r="O5" s="301">
        <f>(IF('Section Load'!P8&gt;0,'Section Load'!P8,0))</f>
        <v>0</v>
      </c>
      <c r="P5" s="301">
        <f>(IF('Section Load'!Q8&gt;0,'Section Load'!Q8,0))</f>
        <v>182.88999999999942</v>
      </c>
      <c r="Q5" s="301">
        <f>(IF('Section Load'!R8&gt;0,'Section Load'!R8,0))</f>
        <v>72.600000000000364</v>
      </c>
      <c r="R5" s="301">
        <f>(IF('Section Load'!S8&gt;0,'Section Load'!S8,0))</f>
        <v>44.430000000000064</v>
      </c>
      <c r="S5" s="301">
        <f>(IF('Section Load'!T8&gt;0,'Section Load'!T8,0))</f>
        <v>356</v>
      </c>
      <c r="T5" s="301">
        <f>(IF('Section Load'!U8&gt;0,'Section Load'!U8,0))</f>
        <v>170</v>
      </c>
      <c r="U5" s="301">
        <f>(IF('Section Load'!V8&gt;0,'Section Load'!V8,0))</f>
        <v>397.84000000008382</v>
      </c>
      <c r="V5" s="301">
        <f>(IF('Section Load'!W8&gt;0,'Section Load'!W8,0))</f>
        <v>203.59999999997672</v>
      </c>
      <c r="W5" s="301">
        <f>(IF('Section Load'!X8&gt;0,'Section Load'!X8,0))</f>
        <v>23.076999999999998</v>
      </c>
      <c r="X5" s="301">
        <f>(IF('Section Load'!Y8&gt;0,'Section Load'!Y8,0))</f>
        <v>264</v>
      </c>
      <c r="Y5" s="301">
        <f>(IF('Section Load'!Z8&gt;0,'Section Load'!Z8,0))</f>
        <v>330</v>
      </c>
      <c r="Z5" s="301">
        <f>(IF('Section Load'!AA8&gt;0,'Section Load'!AA8,0))</f>
        <v>26.559999999997672</v>
      </c>
      <c r="AA5" s="301">
        <f>(IF('Section Load'!AB8&gt;0,'Section Load'!AB8,0))</f>
        <v>41.200000000011642</v>
      </c>
      <c r="AB5" s="301">
        <f>(IF('Section Load'!AC8&gt;0,'Section Load'!AC8,0))</f>
        <v>0</v>
      </c>
      <c r="AC5" s="301">
        <f>(IF('Section Load'!AD8&gt;0,'Section Load'!AD8,0))</f>
        <v>72.200000000003001</v>
      </c>
      <c r="AD5" s="301">
        <f>(IF('Section Load'!AE8&gt;0,'Section Load'!AE8,0))</f>
        <v>0</v>
      </c>
      <c r="AE5" s="301">
        <f>(IF('Section Load'!AF8&gt;0,'Section Load'!AF8,0))</f>
        <v>18.939999999999998</v>
      </c>
      <c r="AF5" s="301">
        <f>(IF('Section Load'!AG8&gt;0,'Section Load'!AG8,0))</f>
        <v>429.11999999999534</v>
      </c>
      <c r="AG5" s="301">
        <f>(IF('Section Load'!AH8&gt;0,'Section Load'!AH8,0))</f>
        <v>385.42000000001281</v>
      </c>
      <c r="AH5" s="301">
        <f>(IF('Section Load'!AI8&gt;0,'Section Load'!AI8,0))</f>
        <v>416.34999999999945</v>
      </c>
      <c r="AI5" s="301">
        <f>(IF('Section Load'!AJ8&gt;0,'Section Load'!AJ8,0))</f>
        <v>1671.960000000021</v>
      </c>
      <c r="AJ5" s="301">
        <f>(IF('Section Load'!AK8&gt;0,'Section Load'!AK8,0))</f>
        <v>291.27999999999884</v>
      </c>
      <c r="AK5" s="301">
        <f>(IF('Section Load'!AL8&gt;0,'Section Load'!AL8,0))</f>
        <v>331.36999999999534</v>
      </c>
      <c r="AL5" s="301">
        <f>(IF('Section Load'!AM8&gt;0,'Section Load'!AM8,0))</f>
        <v>776.64999999999782</v>
      </c>
      <c r="AM5" s="302">
        <f>(IF('Water Report'!$G$7&gt;0,'Water Report'!$F$7,0))</f>
        <v>125</v>
      </c>
      <c r="AN5" s="302">
        <f>(IF('Water Report'!$G$8&gt;0,'Water Report'!$F$8,0))</f>
        <v>160</v>
      </c>
      <c r="AO5" s="302">
        <f>(IF('Water Report'!$G$9&gt;0,'Water Report'!$H$9,0))</f>
        <v>102</v>
      </c>
      <c r="AP5" s="302">
        <f>(IF('Water Report'!$G$10&gt;0,'Water Report'!$G$10,0))</f>
        <v>21</v>
      </c>
      <c r="AQ5" s="302">
        <f>(IF('Water Report'!$G$11&gt;0,'Water Report'!$G$11,0))</f>
        <v>23</v>
      </c>
      <c r="AR5" s="302">
        <f>(IF('Water Report'!$G$13&gt;0,'Water Report'!$G$13,0))</f>
        <v>49</v>
      </c>
      <c r="AS5" s="302">
        <f>(IF('Water Report'!$G$14&gt;0,'Water Report'!$G$14,0))</f>
        <v>22</v>
      </c>
      <c r="AT5" s="302">
        <f>(IF('Water Report'!$G$15&gt;0,'Water Report'!$G$15,0))</f>
        <v>8</v>
      </c>
      <c r="AU5" s="302">
        <f>(IF('Water Report'!$G$17&gt;0,'Water Report'!$G$17,0))</f>
        <v>0</v>
      </c>
      <c r="AV5" s="302">
        <f>(IF('Water Report'!$G$18&gt;0,'Water Report'!$G$18,0))</f>
        <v>13</v>
      </c>
      <c r="AW5" s="302">
        <f>(IF('Water Report'!$G$19&gt;0,'Water Report'!$G$19,0))</f>
        <v>12</v>
      </c>
      <c r="AX5" s="308">
        <f>(IF('Water Report'!$G$21&gt;0,'Water Report'!$G$21,0))</f>
        <v>84</v>
      </c>
      <c r="AY5" s="308">
        <f>(IF('Water Report'!$G$22&gt;0,'Water Report'!$G$22,0))</f>
        <v>0</v>
      </c>
      <c r="AZ5" s="308">
        <f>(IF('Water Report'!$G$23&gt;0,'Water Report'!$G$23,0))</f>
        <v>8</v>
      </c>
      <c r="BA5" s="308">
        <f>(IF('Water Report'!$G$14&gt;0,'Water Report'!$G$14,0))</f>
        <v>22</v>
      </c>
      <c r="BB5" s="308">
        <f>(IF('Water Report'!$G$15&gt;0,'Water Report'!$G$15,0))</f>
        <v>8</v>
      </c>
      <c r="BC5" s="308">
        <f>(IF('Water Report'!$G$13&gt;0,'Water Report'!$G$13,0))</f>
        <v>49</v>
      </c>
      <c r="BD5" s="308">
        <f>(IF('Water Report'!$G$24&gt;0,'Water Report'!$G$24,0))</f>
        <v>250</v>
      </c>
      <c r="BE5" s="308">
        <f>(IF('Water Report'!$G$25&gt;0,'Water Report'!$G$25,0))</f>
        <v>159</v>
      </c>
      <c r="BF5" s="308">
        <f>(IF('Water Report'!$G$27&gt;0,'Water Report'!$G$27,0))</f>
        <v>141</v>
      </c>
      <c r="BG5" s="303">
        <f>(IF('Section Load'!AN8&gt;0,'Section Load'!AN8,0))</f>
        <v>1064.1129999998957</v>
      </c>
      <c r="BH5" s="303">
        <f>(IF('Section Load'!AO8&gt;0,'Section Load'!AO8,0))</f>
        <v>291.64699999999721</v>
      </c>
      <c r="BI5" s="303">
        <f>(IF('Section Load'!AP8&gt;0,'Section Load'!AP8,0))</f>
        <v>0</v>
      </c>
      <c r="BJ5" s="303">
        <f>(IF('Section Load'!AQ8&gt;0,'Section Load'!AQ8,0))</f>
        <v>117.66000000000349</v>
      </c>
      <c r="BK5" s="303">
        <f>(IF('Section Load'!AR8&gt;0,'Section Load'!AR8,0))</f>
        <v>48.099999999998545</v>
      </c>
      <c r="BL5" s="303">
        <f>(IF('Section Load'!AS8&gt;0,'Section Load'!AS8,0))</f>
        <v>3.3000000000010914</v>
      </c>
      <c r="BM5" s="303">
        <f>(IF('Section Load'!AT8&gt;0,'Section Load'!AT8,0))</f>
        <v>603.40599999989536</v>
      </c>
    </row>
    <row r="6" spans="1:65" x14ac:dyDescent="0.25">
      <c r="A6" s="291" t="s">
        <v>268</v>
      </c>
      <c r="B6" s="292">
        <f t="shared" si="0"/>
        <v>5</v>
      </c>
      <c r="C6" s="292">
        <v>10</v>
      </c>
      <c r="D6" s="292">
        <v>2021</v>
      </c>
      <c r="E6" s="301">
        <f>(IF('Section Load'!F9&gt;0,'Section Load'!F9,0))</f>
        <v>3634</v>
      </c>
      <c r="F6" s="301">
        <f>(IF('Section Load'!G9&gt;0,'Section Load'!G9,0))</f>
        <v>1743.2699999999968</v>
      </c>
      <c r="G6" s="301">
        <f>(IF('Section Load'!H9&gt;0,'Section Load'!H9,0))</f>
        <v>1982.6299999999974</v>
      </c>
      <c r="H6" s="301">
        <f>(IF('Section Load'!I9&gt;0,'Section Load'!I9,0))</f>
        <v>4350.1300000000047</v>
      </c>
      <c r="I6" s="301">
        <f>(IF('Section Load'!J9&gt;0,'Section Load'!J9,0))</f>
        <v>8338.7300000000105</v>
      </c>
      <c r="J6" s="301">
        <f>(IF('Section Load'!K9&gt;0,'Section Load'!K9,0))</f>
        <v>2485.8999999999069</v>
      </c>
      <c r="K6" s="301">
        <f>(IF('Section Load'!L9&gt;0,'Section Load'!L9,0))</f>
        <v>1769.6500000000233</v>
      </c>
      <c r="L6" s="301">
        <f>(IF('Section Load'!M9&gt;0,'Section Load'!M9,0))</f>
        <v>1103.5299999999988</v>
      </c>
      <c r="M6" s="301">
        <f>(IF('Section Load'!N9&gt;0,'Section Load'!N9,0))</f>
        <v>68</v>
      </c>
      <c r="N6" s="301">
        <f>(IF('Section Load'!O9&gt;0,'Section Load'!O9,0))</f>
        <v>1</v>
      </c>
      <c r="O6" s="301">
        <f>(IF('Section Load'!P9&gt;0,'Section Load'!P9,0))</f>
        <v>0</v>
      </c>
      <c r="P6" s="301">
        <f>(IF('Section Load'!Q9&gt;0,'Section Load'!Q9,0))</f>
        <v>200.15000000000146</v>
      </c>
      <c r="Q6" s="301">
        <f>(IF('Section Load'!R9&gt;0,'Section Load'!R9,0))</f>
        <v>75.25</v>
      </c>
      <c r="R6" s="301">
        <f>(IF('Section Load'!S9&gt;0,'Section Load'!S9,0))</f>
        <v>45.619999999999891</v>
      </c>
      <c r="S6" s="301">
        <f>(IF('Section Load'!T9&gt;0,'Section Load'!T9,0))</f>
        <v>379</v>
      </c>
      <c r="T6" s="301">
        <f>(IF('Section Load'!U9&gt;0,'Section Load'!U9,0))</f>
        <v>171</v>
      </c>
      <c r="U6" s="301">
        <f>(IF('Section Load'!V9&gt;0,'Section Load'!V9,0))</f>
        <v>461.71999999997206</v>
      </c>
      <c r="V6" s="301">
        <f>(IF('Section Load'!W9&gt;0,'Section Load'!W9,0))</f>
        <v>199.88000000000466</v>
      </c>
      <c r="W6" s="301">
        <f>(IF('Section Load'!X9&gt;0,'Section Load'!X9,0))</f>
        <v>27.212999999999965</v>
      </c>
      <c r="X6" s="301">
        <f>(IF('Section Load'!Y9&gt;0,'Section Load'!Y9,0))</f>
        <v>227.16999999999825</v>
      </c>
      <c r="Y6" s="301">
        <f>(IF('Section Load'!Z9&gt;0,'Section Load'!Z9,0))</f>
        <v>341</v>
      </c>
      <c r="Z6" s="301">
        <f>(IF('Section Load'!AA9&gt;0,'Section Load'!AA9,0))</f>
        <v>91.159999999974389</v>
      </c>
      <c r="AA6" s="301">
        <f>(IF('Section Load'!AB9&gt;0,'Section Load'!AB9,0))</f>
        <v>43.899999999994179</v>
      </c>
      <c r="AB6" s="301">
        <f>(IF('Section Load'!AC9&gt;0,'Section Load'!AC9,0))</f>
        <v>0</v>
      </c>
      <c r="AC6" s="301">
        <f>(IF('Section Load'!AD9&gt;0,'Section Load'!AD9,0))</f>
        <v>90.599999999993997</v>
      </c>
      <c r="AD6" s="301">
        <f>(IF('Section Load'!AE9&gt;0,'Section Load'!AE9,0))</f>
        <v>0</v>
      </c>
      <c r="AE6" s="301">
        <f>(IF('Section Load'!AF9&gt;0,'Section Load'!AF9,0))</f>
        <v>18.410000000000025</v>
      </c>
      <c r="AF6" s="301">
        <f>(IF('Section Load'!AG9&gt;0,'Section Load'!AG9,0))</f>
        <v>439.91000000000349</v>
      </c>
      <c r="AG6" s="301">
        <f>(IF('Section Load'!AH9&gt;0,'Section Load'!AH9,0))</f>
        <v>373.70999999999185</v>
      </c>
      <c r="AH6" s="301">
        <f>(IF('Section Load'!AI9&gt;0,'Section Load'!AI9,0))</f>
        <v>411.64000000000033</v>
      </c>
      <c r="AI6" s="301">
        <f>(IF('Section Load'!AJ9&gt;0,'Section Load'!AJ9,0))</f>
        <v>520</v>
      </c>
      <c r="AJ6" s="301">
        <f>(IF('Section Load'!AK9&gt;0,'Section Load'!AK9,0))</f>
        <v>316.02000000000407</v>
      </c>
      <c r="AK6" s="301">
        <f>(IF('Section Load'!AL9&gt;0,'Section Load'!AL9,0))</f>
        <v>333.88000000000466</v>
      </c>
      <c r="AL6" s="301">
        <f>(IF('Section Load'!AM9&gt;0,'Section Load'!AM9,0))</f>
        <v>794.77000000000044</v>
      </c>
      <c r="AM6" s="302">
        <f>(IF('Water Report'!$H$7&gt;0,'Water Report'!$H$7,0))</f>
        <v>109</v>
      </c>
      <c r="AN6" s="302">
        <f>(IF('Water Report'!$H$8&gt;0,'Water Report'!$H$8,0))</f>
        <v>0</v>
      </c>
      <c r="AO6" s="302">
        <f>(IF('Water Report'!$H$9&gt;0,'Water Report'!$H$9,0))</f>
        <v>102</v>
      </c>
      <c r="AP6" s="302">
        <f>(IF('Water Report'!$H$10&gt;0,'Water Report'!$H$10,0))</f>
        <v>16</v>
      </c>
      <c r="AQ6" s="302">
        <f>(IF('Water Report'!$H$11&gt;0,'Water Report'!$H$11,0))</f>
        <v>24</v>
      </c>
      <c r="AR6" s="302">
        <f>(IF('Water Report'!$H$13&gt;0,'Water Report'!$H$13,0))</f>
        <v>52</v>
      </c>
      <c r="AS6" s="302">
        <f>(IF('Water Report'!$H$14&gt;0,'Water Report'!$H$14,0))</f>
        <v>8</v>
      </c>
      <c r="AT6" s="302">
        <f>(IF('Water Report'!$H$15&gt;0,'Water Report'!$H$15,0))</f>
        <v>10</v>
      </c>
      <c r="AU6" s="302">
        <f>(IF('Water Report'!$H$17&gt;0,'Water Report'!$H$17,0))</f>
        <v>0</v>
      </c>
      <c r="AV6" s="302">
        <f>(IF('Water Report'!$H$18&gt;0,'Water Report'!$H$18,0))</f>
        <v>10</v>
      </c>
      <c r="AW6" s="302">
        <f>(IF('Water Report'!$H$19&gt;0,'Water Report'!$H$19,0))</f>
        <v>11</v>
      </c>
      <c r="AX6" s="308">
        <f>(IF('Water Report'!$H$21&gt;0,'Water Report'!$H$21,0))</f>
        <v>82</v>
      </c>
      <c r="AY6" s="308">
        <f>(IF('Water Report'!$H$22&gt;0,'Water Report'!$H$22,0))</f>
        <v>0</v>
      </c>
      <c r="AZ6" s="308">
        <f>(IF('Water Report'!$H$23&gt;0,'Water Report'!$H$23,0))</f>
        <v>0</v>
      </c>
      <c r="BA6" s="308">
        <f>(IF('Water Report'!$H$14&gt;0,'Water Report'!$H$14,0))</f>
        <v>8</v>
      </c>
      <c r="BB6" s="308">
        <f>(IF('Water Report'!$H$15&gt;0,'Water Report'!$H$15,0))</f>
        <v>10</v>
      </c>
      <c r="BC6" s="308">
        <f>(IF('Water Report'!$H$13&gt;0,'Water Report'!$H$13,0))</f>
        <v>52</v>
      </c>
      <c r="BD6" s="308">
        <f>(IF('Water Report'!$H$24&gt;0,'Water Report'!$H$24,0))</f>
        <v>281</v>
      </c>
      <c r="BE6" s="308">
        <f>(IF('Water Report'!$H$25&gt;0,'Water Report'!$H$25,0))</f>
        <v>160</v>
      </c>
      <c r="BF6" s="308">
        <f>(IF('Water Report'!$H$27&gt;0,'Water Report'!$H$27,0))</f>
        <v>134</v>
      </c>
      <c r="BG6" s="303">
        <f>(IF('Section Load'!AN9&gt;0,'Section Load'!AN9,0))</f>
        <v>1023</v>
      </c>
      <c r="BH6" s="303">
        <f>(IF('Section Load'!AO9&gt;0,'Section Load'!AO9,0))</f>
        <v>297.76300000003539</v>
      </c>
      <c r="BI6" s="303">
        <f>(IF('Section Load'!AP9&gt;0,'Section Load'!AP9,0))</f>
        <v>0</v>
      </c>
      <c r="BJ6" s="303">
        <f>(IF('Section Load'!AQ9&gt;0,'Section Load'!AQ9,0))</f>
        <v>124.89999999999418</v>
      </c>
      <c r="BK6" s="303">
        <f>(IF('Section Load'!AR9&gt;0,'Section Load'!AR9,0))</f>
        <v>46.80000000000291</v>
      </c>
      <c r="BL6" s="303">
        <f>(IF('Section Load'!AS9&gt;0,'Section Load'!AS9,0))</f>
        <v>3.8999999999996362</v>
      </c>
      <c r="BM6" s="303">
        <f>(IF('Section Load'!AT9&gt;0,'Section Load'!AT9,0))</f>
        <v>549.63699999996788</v>
      </c>
    </row>
    <row r="7" spans="1:65" x14ac:dyDescent="0.25">
      <c r="A7" s="291" t="s">
        <v>268</v>
      </c>
      <c r="B7" s="292">
        <f t="shared" si="0"/>
        <v>6</v>
      </c>
      <c r="C7" s="292">
        <v>10</v>
      </c>
      <c r="D7" s="292">
        <v>2021</v>
      </c>
      <c r="E7" s="301">
        <f>(IF('Section Load'!F10&gt;0,'Section Load'!F10,0))</f>
        <v>3639</v>
      </c>
      <c r="F7" s="301">
        <f>(IF('Section Load'!G10&gt;0,'Section Load'!G10,0))</f>
        <v>1728</v>
      </c>
      <c r="G7" s="301">
        <f>(IF('Section Load'!H10&gt;0,'Section Load'!H10,0))</f>
        <v>1867</v>
      </c>
      <c r="H7" s="301">
        <f>(IF('Section Load'!I10&gt;0,'Section Load'!I10,0))</f>
        <v>4190</v>
      </c>
      <c r="I7" s="301">
        <f>(IF('Section Load'!J10&gt;0,'Section Load'!J10,0))</f>
        <v>7522</v>
      </c>
      <c r="J7" s="301">
        <f>(IF('Section Load'!K10&gt;0,'Section Load'!K10,0))</f>
        <v>2319</v>
      </c>
      <c r="K7" s="301">
        <f>(IF('Section Load'!L10&gt;0,'Section Load'!L10,0))</f>
        <v>1832</v>
      </c>
      <c r="L7" s="301">
        <f>(IF('Section Load'!M10&gt;0,'Section Load'!M10,0))</f>
        <v>825</v>
      </c>
      <c r="M7" s="301">
        <f>(IF('Section Load'!N10&gt;0,'Section Load'!N10,0))</f>
        <v>59</v>
      </c>
      <c r="N7" s="301">
        <f>(IF('Section Load'!O10&gt;0,'Section Load'!O10,0))</f>
        <v>1</v>
      </c>
      <c r="O7" s="301">
        <f>(IF('Section Load'!P10&gt;0,'Section Load'!P10,0))</f>
        <v>0</v>
      </c>
      <c r="P7" s="301">
        <f>(IF('Section Load'!Q10&gt;0,'Section Load'!Q10,0))</f>
        <v>173</v>
      </c>
      <c r="Q7" s="301">
        <f>(IF('Section Load'!R10&gt;0,'Section Load'!R10,0))</f>
        <v>66</v>
      </c>
      <c r="R7" s="301">
        <f>(IF('Section Load'!S10&gt;0,'Section Load'!S10,0))</f>
        <v>45</v>
      </c>
      <c r="S7" s="301">
        <f>(IF('Section Load'!T10&gt;0,'Section Load'!T10,0))</f>
        <v>244</v>
      </c>
      <c r="T7" s="301">
        <f>(IF('Section Load'!U10&gt;0,'Section Load'!U10,0))</f>
        <v>162</v>
      </c>
      <c r="U7" s="301">
        <f>(IF('Section Load'!V10&gt;0,'Section Load'!V10,0))</f>
        <v>413</v>
      </c>
      <c r="V7" s="301">
        <f>(IF('Section Load'!W10&gt;0,'Section Load'!W10,0))</f>
        <v>178</v>
      </c>
      <c r="W7" s="301">
        <f>(IF('Section Load'!X10&gt;0,'Section Load'!X10,0))</f>
        <v>25</v>
      </c>
      <c r="X7" s="301">
        <f>(IF('Section Load'!Y10&gt;0,'Section Load'!Y10,0))</f>
        <v>214</v>
      </c>
      <c r="Y7" s="301">
        <f>(IF('Section Load'!Z10&gt;0,'Section Load'!Z10,0))</f>
        <v>325</v>
      </c>
      <c r="Z7" s="301">
        <f>(IF('Section Load'!AA10&gt;0,'Section Load'!AA10,0))</f>
        <v>298</v>
      </c>
      <c r="AA7" s="301">
        <f>(IF('Section Load'!AB10&gt;0,'Section Load'!AB10,0))</f>
        <v>41</v>
      </c>
      <c r="AB7" s="301">
        <f>(IF('Section Load'!AC10&gt;0,'Section Load'!AC10,0))</f>
        <v>0</v>
      </c>
      <c r="AC7" s="301">
        <f>(IF('Section Load'!AD10&gt;0,'Section Load'!AD10,0))</f>
        <v>112</v>
      </c>
      <c r="AD7" s="301">
        <f>(IF('Section Load'!AE10&gt;0,'Section Load'!AE10,0))</f>
        <v>0</v>
      </c>
      <c r="AE7" s="301">
        <f>(IF('Section Load'!AF10&gt;0,'Section Load'!AF10,0))</f>
        <v>21</v>
      </c>
      <c r="AF7" s="301">
        <f>(IF('Section Load'!AG10&gt;0,'Section Load'!AG10,0))</f>
        <v>455</v>
      </c>
      <c r="AG7" s="301">
        <f>(IF('Section Load'!AH10&gt;0,'Section Load'!AH10,0))</f>
        <v>378</v>
      </c>
      <c r="AH7" s="301">
        <f>(IF('Section Load'!AI10&gt;0,'Section Load'!AI10,0))</f>
        <v>406</v>
      </c>
      <c r="AI7" s="301">
        <f>(IF('Section Load'!AJ10&gt;0,'Section Load'!AJ10,0))</f>
        <v>604</v>
      </c>
      <c r="AJ7" s="301">
        <f>(IF('Section Load'!AK10&gt;0,'Section Load'!AK10,0))</f>
        <v>322</v>
      </c>
      <c r="AK7" s="301">
        <f>(IF('Section Load'!AL10&gt;0,'Section Load'!AL10,0))</f>
        <v>334</v>
      </c>
      <c r="AL7" s="301">
        <f>(IF('Section Load'!AM10&gt;0,'Section Load'!AM10,0))</f>
        <v>755</v>
      </c>
      <c r="AM7" s="302">
        <f>(IF('Water Report'!$I$7&gt;0,'Water Report'!$I$7,0))</f>
        <v>110</v>
      </c>
      <c r="AN7" s="302">
        <f>(IF('Water Report'!$I$8&gt;0,'Water Report'!$I$8,0))</f>
        <v>150</v>
      </c>
      <c r="AO7" s="302">
        <f>(IF('Water Report'!$I$9&gt;0,'Water Report'!$I$9,0))</f>
        <v>97</v>
      </c>
      <c r="AP7" s="302">
        <f>(IF('Water Report'!$I$10&gt;0,'Water Report'!$I$10,0))</f>
        <v>27</v>
      </c>
      <c r="AQ7" s="302">
        <f>(IF('Water Report'!$I$11&gt;0,'Water Report'!$I$11,0))</f>
        <v>23</v>
      </c>
      <c r="AR7" s="302">
        <f>(IF('Water Report'!$I$13&gt;0,'Water Report'!$I$13,0))</f>
        <v>45</v>
      </c>
      <c r="AS7" s="302">
        <f>(IF('Water Report'!$I$14&gt;0,'Water Report'!$I$14,0))</f>
        <v>10</v>
      </c>
      <c r="AT7" s="302">
        <f>(IF('Water Report'!$I$15&gt;0,'Water Report'!$I$15,0))</f>
        <v>15</v>
      </c>
      <c r="AU7" s="302">
        <f>(IF('Water Report'!$I$17&gt;0,'Water Report'!$I$17,0))</f>
        <v>0</v>
      </c>
      <c r="AV7" s="302">
        <f>(IF('Water Report'!$I$18&gt;0,'Water Report'!$I$18,0))</f>
        <v>11</v>
      </c>
      <c r="AW7" s="302">
        <f>(IF('Water Report'!$I$19&gt;0,'Water Report'!$I$19,0))</f>
        <v>11</v>
      </c>
      <c r="AX7" s="308">
        <f>(IF('Water Report'!$I$21&gt;0,'Water Report'!$I$21,0))</f>
        <v>86</v>
      </c>
      <c r="AY7" s="308">
        <f>(IF('Water Report'!$I$22&gt;0,'Water Report'!$I$22,0))</f>
        <v>0</v>
      </c>
      <c r="AZ7" s="308">
        <f>(IF('Water Report'!$I$23&gt;0,'Water Report'!$I$23,0))</f>
        <v>4</v>
      </c>
      <c r="BA7" s="308">
        <f>(IF('Water Report'!$I$14&gt;0,'Water Report'!$I$14,0))</f>
        <v>10</v>
      </c>
      <c r="BB7" s="308">
        <f>(IF('Water Report'!$I$15&gt;0,'Water Report'!$I$15,0))</f>
        <v>15</v>
      </c>
      <c r="BC7" s="308">
        <f>(IF('Water Report'!$I$13&gt;0,'Water Report'!$I$13,0))</f>
        <v>45</v>
      </c>
      <c r="BD7" s="308">
        <f>(IF('Water Report'!$I$24&gt;0,'Water Report'!$I$24,0))</f>
        <v>240</v>
      </c>
      <c r="BE7" s="308">
        <f>(IF('Water Report'!$I$25&gt;0,'Water Report'!$I$25,0))</f>
        <v>172</v>
      </c>
      <c r="BF7" s="308">
        <f>(IF('Water Report'!$I$27&gt;0,'Water Report'!$I$27,0))</f>
        <v>135</v>
      </c>
      <c r="BG7" s="303">
        <f>(IF('Section Load'!AN10&gt;0,'Section Load'!AN10,0))</f>
        <v>974</v>
      </c>
      <c r="BH7" s="303">
        <f>(IF('Section Load'!AO10&gt;0,'Section Load'!AO10,0))</f>
        <v>281</v>
      </c>
      <c r="BI7" s="303">
        <f>(IF('Section Load'!AP10&gt;0,'Section Load'!AP10,0))</f>
        <v>0</v>
      </c>
      <c r="BJ7" s="303">
        <f>(IF('Section Load'!AQ10&gt;0,'Section Load'!AQ10,0))</f>
        <v>95</v>
      </c>
      <c r="BK7" s="303">
        <f>(IF('Section Load'!AR10&gt;0,'Section Load'!AR10,0))</f>
        <v>52</v>
      </c>
      <c r="BL7" s="303">
        <f>(IF('Section Load'!AS10&gt;0,'Section Load'!AS10,0))</f>
        <v>1</v>
      </c>
      <c r="BM7" s="303">
        <f>(IF('Section Load'!AT10&gt;0,'Section Load'!AT10,0))</f>
        <v>545</v>
      </c>
    </row>
    <row r="8" spans="1:65" x14ac:dyDescent="0.25">
      <c r="A8" s="291" t="s">
        <v>268</v>
      </c>
      <c r="B8" s="292">
        <f t="shared" si="0"/>
        <v>7</v>
      </c>
      <c r="C8" s="292">
        <v>10</v>
      </c>
      <c r="D8" s="292">
        <v>2021</v>
      </c>
      <c r="E8" s="301">
        <f>(IF('Section Load'!F11&gt;0,'Section Load'!F11,0))</f>
        <v>3425.4799999999959</v>
      </c>
      <c r="F8" s="301">
        <f>(IF('Section Load'!G11&gt;0,'Section Load'!G11,0))</f>
        <v>1722.0500000000029</v>
      </c>
      <c r="G8" s="301">
        <f>(IF('Section Load'!H11&gt;0,'Section Load'!H11,0))</f>
        <v>1785.0599999999977</v>
      </c>
      <c r="H8" s="301">
        <f>(IF('Section Load'!I11&gt;0,'Section Load'!I11,0))</f>
        <v>4090.2600000000093</v>
      </c>
      <c r="I8" s="301">
        <f>(IF('Section Load'!J11&gt;0,'Section Load'!J11,0))</f>
        <v>6425.1100000000151</v>
      </c>
      <c r="J8" s="301">
        <f>(IF('Section Load'!K11&gt;0,'Section Load'!K11,0))</f>
        <v>2327</v>
      </c>
      <c r="K8" s="301">
        <f>(IF('Section Load'!L11&gt;0,'Section Load'!L11,0))</f>
        <v>1497.390000000014</v>
      </c>
      <c r="L8" s="301">
        <f>(IF('Section Load'!M11&gt;0,'Section Load'!M11,0))</f>
        <v>655.29000000000087</v>
      </c>
      <c r="M8" s="301">
        <f>(IF('Section Load'!N11&gt;0,'Section Load'!N11,0))</f>
        <v>115</v>
      </c>
      <c r="N8" s="301">
        <f>(IF('Section Load'!O11&gt;0,'Section Load'!O11,0))</f>
        <v>1</v>
      </c>
      <c r="O8" s="301">
        <f>(IF('Section Load'!P11&gt;0,'Section Load'!P11,0))</f>
        <v>0</v>
      </c>
      <c r="P8" s="301">
        <f>(IF('Section Load'!Q11&gt;0,'Section Load'!Q11,0))</f>
        <v>182.12999999999738</v>
      </c>
      <c r="Q8" s="301">
        <f>(IF('Section Load'!R11&gt;0,'Section Load'!R11,0))</f>
        <v>68.850000000000364</v>
      </c>
      <c r="R8" s="301">
        <f>(IF('Section Load'!S11&gt;0,'Section Load'!S11,0))</f>
        <v>45</v>
      </c>
      <c r="S8" s="301">
        <f>(IF('Section Load'!T11&gt;0,'Section Load'!T11,0))</f>
        <v>254</v>
      </c>
      <c r="T8" s="301">
        <f>(IF('Section Load'!U11&gt;0,'Section Load'!U11,0))</f>
        <v>173</v>
      </c>
      <c r="U8" s="301">
        <f>(IF('Section Load'!V11&gt;0,'Section Load'!V11,0))</f>
        <v>395</v>
      </c>
      <c r="V8" s="301">
        <f>(IF('Section Load'!W11&gt;0,'Section Load'!W11,0))</f>
        <v>183</v>
      </c>
      <c r="W8" s="301">
        <f>(IF('Section Load'!X11&gt;0,'Section Load'!X11,0))</f>
        <v>24.419999999999959</v>
      </c>
      <c r="X8" s="301">
        <f>(IF('Section Load'!Y11&gt;0,'Section Load'!Y11,0))</f>
        <v>213.19000000000233</v>
      </c>
      <c r="Y8" s="301">
        <f>(IF('Section Load'!Z11&gt;0,'Section Load'!Z11,0))</f>
        <v>279</v>
      </c>
      <c r="Z8" s="301">
        <f>(IF('Section Load'!AA11&gt;0,'Section Load'!AA11,0))</f>
        <v>270</v>
      </c>
      <c r="AA8" s="301">
        <f>(IF('Section Load'!AB11&gt;0,'Section Load'!AB11,0))</f>
        <v>46</v>
      </c>
      <c r="AB8" s="301">
        <f>(IF('Section Load'!AC11&gt;0,'Section Load'!AC11,0))</f>
        <v>0</v>
      </c>
      <c r="AC8" s="301">
        <f>(IF('Section Load'!AD11&gt;0,'Section Load'!AD11,0))</f>
        <v>78.400000000002819</v>
      </c>
      <c r="AD8" s="301">
        <f>(IF('Section Load'!AE11&gt;0,'Section Load'!AE11,0))</f>
        <v>0</v>
      </c>
      <c r="AE8" s="301">
        <f>(IF('Section Load'!AF11&gt;0,'Section Load'!AF11,0))</f>
        <v>23.090000000000032</v>
      </c>
      <c r="AF8" s="301">
        <f>(IF('Section Load'!AG11&gt;0,'Section Load'!AG11,0))</f>
        <v>415.36999999999534</v>
      </c>
      <c r="AG8" s="301">
        <f>(IF('Section Load'!AH11&gt;0,'Section Load'!AH11,0))</f>
        <v>372.30999999999767</v>
      </c>
      <c r="AH8" s="301">
        <f>(IF('Section Load'!AI11&gt;0,'Section Load'!AI11,0))</f>
        <v>407.64999999999964</v>
      </c>
      <c r="AI8" s="301">
        <f>(IF('Section Load'!AJ11&gt;0,'Section Load'!AJ11,0))</f>
        <v>605.98999999999069</v>
      </c>
      <c r="AJ8" s="301">
        <f>(IF('Section Load'!AK11&gt;0,'Section Load'!AK11,0))</f>
        <v>303.00999999999476</v>
      </c>
      <c r="AK8" s="301">
        <f>(IF('Section Load'!AL11&gt;0,'Section Load'!AL11,0))</f>
        <v>342.16000000000349</v>
      </c>
      <c r="AL8" s="301">
        <f>(IF('Section Load'!AM11&gt;0,'Section Load'!AM11,0))</f>
        <v>814.22999999999956</v>
      </c>
      <c r="AM8" s="302">
        <f>(IF('Water Report'!$J$7&gt;0,'Water Report'!$J$7,0))</f>
        <v>105</v>
      </c>
      <c r="AN8" s="302">
        <f>(IF('Water Report'!$J$8&gt;0,'Water Report'!$J$8,0))</f>
        <v>35</v>
      </c>
      <c r="AO8" s="302">
        <f>(IF('Water Report'!$J$9&gt;0,'Water Report'!$J$9,0))</f>
        <v>99</v>
      </c>
      <c r="AP8" s="302">
        <f>(IF('Water Report'!$J$10&gt;0,'Water Report'!$J$10,0))</f>
        <v>17</v>
      </c>
      <c r="AQ8" s="302">
        <f>(IF('Water Report'!$J$11&gt;0,'Water Report'!$J$11,0))</f>
        <v>26</v>
      </c>
      <c r="AR8" s="302">
        <f>(IF('Water Report'!$J$13&gt;0,'Water Report'!$J$13,0))</f>
        <v>41</v>
      </c>
      <c r="AS8" s="302">
        <f>(IF('Water Report'!$J$14&gt;0,'Water Report'!$J$14,0))</f>
        <v>11</v>
      </c>
      <c r="AT8" s="302">
        <f>(IF('Water Report'!$J$15&gt;0,'Water Report'!$J$15,0))</f>
        <v>9</v>
      </c>
      <c r="AU8" s="302">
        <f>(IF('Water Report'!$J$17&gt;0,'Water Report'!$J$17,0))</f>
        <v>0</v>
      </c>
      <c r="AV8" s="302">
        <f>(IF('Water Report'!$J$18&gt;0,'Water Report'!$J$18,0))</f>
        <v>13</v>
      </c>
      <c r="AW8" s="302">
        <f>(IF('Water Report'!$J$19&gt;0,'Water Report'!$J$19,0))</f>
        <v>11</v>
      </c>
      <c r="AX8" s="308">
        <f>(IF('Water Report'!$J$21&gt;0,'Water Report'!$J$21,0))</f>
        <v>42</v>
      </c>
      <c r="AY8" s="308">
        <f>(IF('Water Report'!$J$22&gt;0,'Water Report'!$J$22,0))</f>
        <v>0</v>
      </c>
      <c r="AZ8" s="308">
        <f>(IF('Water Report'!$J$23&gt;0,'Water Report'!$J$23,0))</f>
        <v>0</v>
      </c>
      <c r="BA8" s="308">
        <f>(IF('Water Report'!$J$14&gt;0,'Water Report'!$J$14,0))</f>
        <v>11</v>
      </c>
      <c r="BB8" s="308">
        <f>(IF('Water Report'!$J$15&gt;0,'Water Report'!$J$15,0))</f>
        <v>9</v>
      </c>
      <c r="BC8" s="308">
        <f>(IF('Water Report'!$J$13&gt;0,'Water Report'!$J$13,0))</f>
        <v>41</v>
      </c>
      <c r="BD8" s="308">
        <f>(IF('Water Report'!$J$24&gt;0,'Water Report'!$J$24,0))</f>
        <v>258</v>
      </c>
      <c r="BE8" s="308">
        <f>(IF('Water Report'!$J$25&gt;0,'Water Report'!$J$25,0))</f>
        <v>162</v>
      </c>
      <c r="BF8" s="308">
        <f>(IF('Water Report'!$J$27&gt;0,'Water Report'!$J$27,0))</f>
        <v>83</v>
      </c>
      <c r="BG8" s="303">
        <f>(IF('Section Load'!AN11&gt;0,'Section Load'!AN11,0))</f>
        <v>998.83000000007451</v>
      </c>
      <c r="BH8" s="303">
        <f>(IF('Section Load'!AO11&gt;0,'Section Load'!AO11,0))</f>
        <v>298.03000000002794</v>
      </c>
      <c r="BI8" s="303">
        <f>(IF('Section Load'!AP11&gt;0,'Section Load'!AP11,0))</f>
        <v>0</v>
      </c>
      <c r="BJ8" s="303">
        <f>(IF('Section Load'!AQ11&gt;0,'Section Load'!AQ11,0))</f>
        <v>87.079999999987194</v>
      </c>
      <c r="BK8" s="303">
        <f>(IF('Section Load'!AR11&gt;0,'Section Load'!AR11,0))</f>
        <v>42.69999999999709</v>
      </c>
      <c r="BL8" s="303">
        <f>(IF('Section Load'!AS11&gt;0,'Section Load'!AS11,0))</f>
        <v>4.1000000000003638</v>
      </c>
      <c r="BM8" s="303">
        <f>(IF('Section Load'!AT11&gt;0,'Section Load'!AT11,0))</f>
        <v>566.92000000006192</v>
      </c>
    </row>
    <row r="9" spans="1:65" x14ac:dyDescent="0.25">
      <c r="A9" s="291" t="s">
        <v>268</v>
      </c>
      <c r="B9" s="292">
        <f t="shared" si="0"/>
        <v>8</v>
      </c>
      <c r="C9" s="292">
        <v>10</v>
      </c>
      <c r="D9" s="292">
        <v>2021</v>
      </c>
      <c r="E9" s="301">
        <f>(IF('Section Load'!F12&gt;0,'Section Load'!F12,0))</f>
        <v>3417.8600000000006</v>
      </c>
      <c r="F9" s="301">
        <f>(IF('Section Load'!G12&gt;0,'Section Load'!G12,0))</f>
        <v>1737.8999999999942</v>
      </c>
      <c r="G9" s="301">
        <f>(IF('Section Load'!H12&gt;0,'Section Load'!H12,0))</f>
        <v>1901.9700000000012</v>
      </c>
      <c r="H9" s="301">
        <f>(IF('Section Load'!I12&gt;0,'Section Load'!I12,0))</f>
        <v>4276.4100000000035</v>
      </c>
      <c r="I9" s="301">
        <f>(IF('Section Load'!J12&gt;0,'Section Load'!J12,0))</f>
        <v>7312.7399999999325</v>
      </c>
      <c r="J9" s="301">
        <f>(IF('Section Load'!K12&gt;0,'Section Load'!K12,0))</f>
        <v>2709.6000000000931</v>
      </c>
      <c r="K9" s="301">
        <f>(IF('Section Load'!L12&gt;0,'Section Load'!L12,0))</f>
        <v>1110.2399999999907</v>
      </c>
      <c r="L9" s="301">
        <f>(IF('Section Load'!M12&gt;0,'Section Load'!M12,0))</f>
        <v>708.77999999999884</v>
      </c>
      <c r="M9" s="301">
        <f>(IF('Section Load'!N12&gt;0,'Section Load'!N12,0))</f>
        <v>73</v>
      </c>
      <c r="N9" s="301">
        <f>(IF('Section Load'!O12&gt;0,'Section Load'!O12,0))</f>
        <v>0</v>
      </c>
      <c r="O9" s="301">
        <f>(IF('Section Load'!P12&gt;0,'Section Load'!P12,0))</f>
        <v>0.19999999999708962</v>
      </c>
      <c r="P9" s="301">
        <f>(IF('Section Load'!Q12&gt;0,'Section Load'!Q12,0))</f>
        <v>189.20999999999913</v>
      </c>
      <c r="Q9" s="301">
        <f>(IF('Section Load'!R12&gt;0,'Section Load'!R12,0))</f>
        <v>70.979999999999563</v>
      </c>
      <c r="R9" s="301">
        <f>(IF('Section Load'!S12&gt;0,'Section Load'!S12,0))</f>
        <v>45.579999999999927</v>
      </c>
      <c r="S9" s="301">
        <f>(IF('Section Load'!T12&gt;0,'Section Load'!T12,0))</f>
        <v>372</v>
      </c>
      <c r="T9" s="301">
        <f>(IF('Section Load'!U12&gt;0,'Section Load'!U12,0))</f>
        <v>168</v>
      </c>
      <c r="U9" s="301">
        <f>(IF('Section Load'!V12&gt;0,'Section Load'!V12,0))</f>
        <v>360.11999999999534</v>
      </c>
      <c r="V9" s="301">
        <f>(IF('Section Load'!W12&gt;0,'Section Load'!W12,0))</f>
        <v>177</v>
      </c>
      <c r="W9" s="301">
        <f>(IF('Section Load'!X12&gt;0,'Section Load'!X12,0))</f>
        <v>23.889999999999986</v>
      </c>
      <c r="X9" s="301">
        <f>(IF('Section Load'!Y12&gt;0,'Section Load'!Y12,0))</f>
        <v>216.56999999999243</v>
      </c>
      <c r="Y9" s="301">
        <f>(IF('Section Load'!Z12&gt;0,'Section Load'!Z12,0))</f>
        <v>340</v>
      </c>
      <c r="Z9" s="301">
        <f>(IF('Section Load'!AA12&gt;0,'Section Load'!AA12,0))</f>
        <v>274</v>
      </c>
      <c r="AA9" s="301">
        <f>(IF('Section Load'!AB12&gt;0,'Section Load'!AB12,0))</f>
        <v>38.399999999994179</v>
      </c>
      <c r="AB9" s="301">
        <f>(IF('Section Load'!AC12&gt;0,'Section Load'!AC12,0))</f>
        <v>0</v>
      </c>
      <c r="AC9" s="301">
        <f>(IF('Section Load'!AD12&gt;0,'Section Load'!AD12,0))</f>
        <v>81.79999999999427</v>
      </c>
      <c r="AD9" s="301">
        <f>(IF('Section Load'!AE12&gt;0,'Section Load'!AE12,0))</f>
        <v>0</v>
      </c>
      <c r="AE9" s="301">
        <f>(IF('Section Load'!AF12&gt;0,'Section Load'!AF12,0))</f>
        <v>24.949999999999932</v>
      </c>
      <c r="AF9" s="301">
        <f>(IF('Section Load'!AG12&gt;0,'Section Load'!AG12,0))</f>
        <v>431.05999999999767</v>
      </c>
      <c r="AG9" s="301">
        <f>(IF('Section Load'!AH12&gt;0,'Section Load'!AH12,0))</f>
        <v>382.92000000001281</v>
      </c>
      <c r="AH9" s="301">
        <f>(IF('Section Load'!AI12&gt;0,'Section Load'!AI12,0))</f>
        <v>407.71000000000095</v>
      </c>
      <c r="AI9" s="301">
        <f>(IF('Section Load'!AJ12&gt;0,'Section Load'!AJ12,0))</f>
        <v>689.76000000000931</v>
      </c>
      <c r="AJ9" s="301">
        <f>(IF('Section Load'!AK12&gt;0,'Section Load'!AK12,0))</f>
        <v>321.20000000001164</v>
      </c>
      <c r="AK9" s="301">
        <f>(IF('Section Load'!AL12&gt;0,'Section Load'!AL12,0))</f>
        <v>329.64999999999418</v>
      </c>
      <c r="AL9" s="301">
        <f>(IF('Section Load'!AM12&gt;0,'Section Load'!AM12,0))</f>
        <v>738.63999999999942</v>
      </c>
      <c r="AM9" s="302">
        <f>(IF('Water Report'!$K$7&gt;0,'Water Report'!$K$7,0))</f>
        <v>113</v>
      </c>
      <c r="AN9" s="302">
        <f>(IF('Water Report'!$K$8&gt;0,'Water Report'!$K$8,0))</f>
        <v>135</v>
      </c>
      <c r="AO9" s="302">
        <f>(IF('Water Report'!$K$9&gt;0,'Water Report'!$K$9,0))</f>
        <v>90</v>
      </c>
      <c r="AP9" s="302">
        <f>(IF('Water Report'!$K$10&gt;0,'Water Report'!$K$10,0))</f>
        <v>26</v>
      </c>
      <c r="AQ9" s="302">
        <f>(IF('Water Report'!$K$11&gt;0,'Water Report'!$K$11,0))</f>
        <v>28</v>
      </c>
      <c r="AR9" s="302">
        <f>(IF('Water Report'!$K$13&gt;0,'Water Report'!$K$13,0))</f>
        <v>48</v>
      </c>
      <c r="AS9" s="302">
        <f>(IF('Water Report'!$K$14&gt;0,'Water Report'!$K$14,0))</f>
        <v>16</v>
      </c>
      <c r="AT9" s="302">
        <f>(IF('Water Report'!$K$15&gt;0,'Water Report'!$K$15,0))</f>
        <v>11</v>
      </c>
      <c r="AU9" s="302">
        <f>(IF('Water Report'!$K$17&gt;0,'Water Report'!$K$17,0))</f>
        <v>0</v>
      </c>
      <c r="AV9" s="302">
        <f>(IF('Water Report'!$K$18&gt;0,'Water Report'!$K$18,0))</f>
        <v>11</v>
      </c>
      <c r="AW9" s="302">
        <f>(IF('Water Report'!$K$19&gt;0,'Water Report'!$K$19,0))</f>
        <v>12</v>
      </c>
      <c r="AX9" s="308">
        <f>(IF('Water Report'!$K$21&gt;0,'Water Report'!$K$21,0))</f>
        <v>96</v>
      </c>
      <c r="AY9" s="308">
        <f>(IF('Water Report'!$K$22&gt;0,'Water Report'!$K$22,0))</f>
        <v>0</v>
      </c>
      <c r="AZ9" s="308">
        <f>(IF('Water Report'!$K$23&gt;0,'Water Report'!$K$23,0))</f>
        <v>4</v>
      </c>
      <c r="BA9" s="308">
        <f>(IF('Water Report'!$K$14&gt;0,'Water Report'!$K$14,0))</f>
        <v>16</v>
      </c>
      <c r="BB9" s="308">
        <f>(IF('Water Report'!$K$15&gt;0,'Water Report'!$K$15,0))</f>
        <v>11</v>
      </c>
      <c r="BC9" s="308">
        <f>(IF('Water Report'!$K$13&gt;0,'Water Report'!$K$13,0))</f>
        <v>48</v>
      </c>
      <c r="BD9" s="308">
        <f>(IF('Water Report'!$K$24&gt;0,'Water Report'!$K$24,0))</f>
        <v>231</v>
      </c>
      <c r="BE9" s="308">
        <f>(IF('Water Report'!$K$25&gt;0,'Water Report'!$K$25,0))</f>
        <v>171</v>
      </c>
      <c r="BF9" s="308">
        <f>(IF('Water Report'!$K$27&gt;0,'Water Report'!$K$27,0))</f>
        <v>148</v>
      </c>
      <c r="BG9" s="303">
        <f>(IF('Section Load'!AN12&gt;0,'Section Load'!AN12,0))</f>
        <v>1022.5499999998137</v>
      </c>
      <c r="BH9" s="303">
        <f>(IF('Section Load'!AO12&gt;0,'Section Load'!AO12,0))</f>
        <v>287.3399999999674</v>
      </c>
      <c r="BI9" s="303">
        <f>(IF('Section Load'!AP12&gt;0,'Section Load'!AP12,0))</f>
        <v>0</v>
      </c>
      <c r="BJ9" s="303">
        <f>(IF('Section Load'!AQ12&gt;0,'Section Load'!AQ12,0))</f>
        <v>121.90000000002328</v>
      </c>
      <c r="BK9" s="303">
        <f>(IF('Section Load'!AR12&gt;0,'Section Load'!AR12,0))</f>
        <v>49.600000000005821</v>
      </c>
      <c r="BL9" s="303">
        <f>(IF('Section Load'!AS12&gt;0,'Section Load'!AS12,0))</f>
        <v>1.7999999999992724</v>
      </c>
      <c r="BM9" s="303">
        <f>(IF('Section Load'!AT12&gt;0,'Section Load'!AT12,0))</f>
        <v>561.90999999981796</v>
      </c>
    </row>
    <row r="10" spans="1:65" x14ac:dyDescent="0.25">
      <c r="A10" s="291" t="s">
        <v>268</v>
      </c>
      <c r="B10" s="292">
        <f t="shared" si="0"/>
        <v>9</v>
      </c>
      <c r="C10" s="292">
        <v>10</v>
      </c>
      <c r="D10" s="292">
        <v>2021</v>
      </c>
      <c r="E10" s="301">
        <f>(IF('Section Load'!F13&gt;0,'Section Load'!F13,0))</f>
        <v>3709.6600000000035</v>
      </c>
      <c r="F10" s="301">
        <f>(IF('Section Load'!G13&gt;0,'Section Load'!G13,0))</f>
        <v>1733.0500000000029</v>
      </c>
      <c r="G10" s="301">
        <f>(IF('Section Load'!H13&gt;0,'Section Load'!H13,0))</f>
        <v>1963.9700000000012</v>
      </c>
      <c r="H10" s="301">
        <f>(IF('Section Load'!I13&gt;0,'Section Load'!I13,0))</f>
        <v>4274.3299999999872</v>
      </c>
      <c r="I10" s="301">
        <f>(IF('Section Load'!J13&gt;0,'Section Load'!J13,0))</f>
        <v>7809.1500000000524</v>
      </c>
      <c r="J10" s="301">
        <f>(IF('Section Load'!K13&gt;0,'Section Load'!K13,0))</f>
        <v>2700.3999999999069</v>
      </c>
      <c r="K10" s="301">
        <f>(IF('Section Load'!L13&gt;0,'Section Load'!L13,0))</f>
        <v>1033.3699999999953</v>
      </c>
      <c r="L10" s="301">
        <f>(IF('Section Load'!M13&gt;0,'Section Load'!M13,0))</f>
        <v>875.93000000000029</v>
      </c>
      <c r="M10" s="301">
        <f>(IF('Section Load'!N13&gt;0,'Section Load'!N13,0))</f>
        <v>82</v>
      </c>
      <c r="N10" s="301">
        <f>(IF('Section Load'!O13&gt;0,'Section Load'!O13,0))</f>
        <v>0</v>
      </c>
      <c r="O10" s="301">
        <f>(IF('Section Load'!P13&gt;0,'Section Load'!P13,0))</f>
        <v>0</v>
      </c>
      <c r="P10" s="301">
        <f>(IF('Section Load'!Q13&gt;0,'Section Load'!Q13,0))</f>
        <v>194.66000000000349</v>
      </c>
      <c r="Q10" s="301">
        <f>(IF('Section Load'!R13&gt;0,'Section Load'!R13,0))</f>
        <v>66.170000000000073</v>
      </c>
      <c r="R10" s="301">
        <f>(IF('Section Load'!S13&gt;0,'Section Load'!S13,0))</f>
        <v>51.420000000000073</v>
      </c>
      <c r="S10" s="301">
        <f>(IF('Section Load'!T13&gt;0,'Section Load'!T13,0))</f>
        <v>456</v>
      </c>
      <c r="T10" s="301">
        <f>(IF('Section Load'!U13&gt;0,'Section Load'!U13,0))</f>
        <v>154</v>
      </c>
      <c r="U10" s="301">
        <f>(IF('Section Load'!V13&gt;0,'Section Load'!V13,0))</f>
        <v>415.88000000000466</v>
      </c>
      <c r="V10" s="301">
        <f>(IF('Section Load'!W13&gt;0,'Section Load'!W13,0))</f>
        <v>176</v>
      </c>
      <c r="W10" s="301">
        <f>(IF('Section Load'!X13&gt;0,'Section Load'!X13,0))</f>
        <v>32.690000000000055</v>
      </c>
      <c r="X10" s="301">
        <f>(IF('Section Load'!Y13&gt;0,'Section Load'!Y13,0))</f>
        <v>186.24000000000524</v>
      </c>
      <c r="Y10" s="301">
        <f>(IF('Section Load'!Z13&gt;0,'Section Load'!Z13,0))</f>
        <v>354</v>
      </c>
      <c r="Z10" s="301">
        <f>(IF('Section Load'!AA13&gt;0,'Section Load'!AA13,0))</f>
        <v>202</v>
      </c>
      <c r="AA10" s="301">
        <f>(IF('Section Load'!AB13&gt;0,'Section Load'!AB13,0))</f>
        <v>16.600000000005821</v>
      </c>
      <c r="AB10" s="301">
        <f>(IF('Section Load'!AC13&gt;0,'Section Load'!AC13,0))</f>
        <v>0</v>
      </c>
      <c r="AC10" s="301">
        <f>(IF('Section Load'!AD13&gt;0,'Section Load'!AD13,0))</f>
        <v>106.30000000000291</v>
      </c>
      <c r="AD10" s="301">
        <f>(IF('Section Load'!AE13&gt;0,'Section Load'!AE13,0))</f>
        <v>0</v>
      </c>
      <c r="AE10" s="301">
        <f>(IF('Section Load'!AF13&gt;0,'Section Load'!AF13,0))</f>
        <v>22.960000000000036</v>
      </c>
      <c r="AF10" s="301">
        <f>(IF('Section Load'!AG13&gt;0,'Section Load'!AG13,0))</f>
        <v>378.57000000000698</v>
      </c>
      <c r="AG10" s="301">
        <f>(IF('Section Load'!AH13&gt;0,'Section Load'!AH13,0))</f>
        <v>405.76999999998952</v>
      </c>
      <c r="AH10" s="301">
        <f>(IF('Section Load'!AI13&gt;0,'Section Load'!AI13,0))</f>
        <v>401.63999999999942</v>
      </c>
      <c r="AI10" s="301">
        <f>(IF('Section Load'!AJ13&gt;0,'Section Load'!AJ13,0))</f>
        <v>709.25</v>
      </c>
      <c r="AJ10" s="301">
        <f>(IF('Section Load'!AK13&gt;0,'Section Load'!AK13,0))</f>
        <v>302.7899999999936</v>
      </c>
      <c r="AK10" s="301">
        <f>(IF('Section Load'!AL13&gt;0,'Section Load'!AL13,0))</f>
        <v>321.19000000000233</v>
      </c>
      <c r="AL10" s="301">
        <f>(IF('Section Load'!AM13&gt;0,'Section Load'!AM13,0))</f>
        <v>871.13000000000102</v>
      </c>
      <c r="AM10" s="302">
        <f>(IF('Water Report'!$L$7&gt;0,'Water Report'!$L$7,0))</f>
        <v>118</v>
      </c>
      <c r="AN10" s="302">
        <f>(IF('Water Report'!$L$8&gt;0,'Water Report'!$L$8,0))</f>
        <v>159</v>
      </c>
      <c r="AO10" s="302">
        <f>(IF('Water Report'!$L$9&gt;0,'Water Report'!$L$9,0))</f>
        <v>83</v>
      </c>
      <c r="AP10" s="302">
        <f>(IF('Water Report'!$L$10&gt;0,'Water Report'!$L$10,0))</f>
        <v>26</v>
      </c>
      <c r="AQ10" s="302">
        <f>(IF('Water Report'!$L$11&gt;0,'Water Report'!$L$11,0))</f>
        <v>34</v>
      </c>
      <c r="AR10" s="302">
        <f>(IF('Water Report'!$L$13&gt;0,'Water Report'!$L$13,0))</f>
        <v>41</v>
      </c>
      <c r="AS10" s="302">
        <f>(IF('Water Report'!$L$14&gt;0,'Water Report'!$L$14,0))</f>
        <v>16</v>
      </c>
      <c r="AT10" s="302">
        <f>(IF('Water Report'!$L$15&gt;0,'Water Report'!$L$15,0))</f>
        <v>11</v>
      </c>
      <c r="AU10" s="302">
        <f>(IF('Water Report'!$L$17&gt;0,'Water Report'!$L$17,0))</f>
        <v>0</v>
      </c>
      <c r="AV10" s="302">
        <f>(IF('Water Report'!$L$18&gt;0,'Water Report'!$L$18,0))</f>
        <v>10</v>
      </c>
      <c r="AW10" s="302">
        <f>(IF('Water Report'!$L$19&gt;0,'Water Report'!$L$19,0))</f>
        <v>9</v>
      </c>
      <c r="AX10" s="308">
        <f>(IF('Water Report'!$L$21&gt;0,'Water Report'!$L$21,0))</f>
        <v>119</v>
      </c>
      <c r="AY10" s="308">
        <f>(IF('Water Report'!$L$22&gt;0,'Water Report'!$L$22,0))</f>
        <v>0</v>
      </c>
      <c r="AZ10" s="308">
        <f>(IF('Water Report'!$L$23&gt;0,'Water Report'!$L$23,0))</f>
        <v>26</v>
      </c>
      <c r="BA10" s="308">
        <f>(IF('Water Report'!$L$14&gt;0,'Water Report'!$L$14,0))</f>
        <v>16</v>
      </c>
      <c r="BB10" s="308">
        <f>(IF('Water Report'!$L$15&gt;0,'Water Report'!$L$15,0))</f>
        <v>11</v>
      </c>
      <c r="BC10" s="308">
        <f>(IF('Water Report'!$L$13&gt;0,'Water Report'!$L$13,0))</f>
        <v>41</v>
      </c>
      <c r="BD10" s="308">
        <f>(IF('Water Report'!$L$24&gt;0,'Water Report'!$L$24,0))</f>
        <v>274</v>
      </c>
      <c r="BE10" s="308">
        <f>(IF('Water Report'!$L$25&gt;0,'Water Report'!$L$25,0))</f>
        <v>170</v>
      </c>
      <c r="BF10" s="308">
        <f>(IF('Water Report'!$L$27&gt;0,'Water Report'!$L$27,0))</f>
        <v>186</v>
      </c>
      <c r="BG10" s="303">
        <f>(IF('Section Load'!AN13&gt;0,'Section Load'!AN13,0))</f>
        <v>996.62000000011176</v>
      </c>
      <c r="BH10" s="303">
        <f>(IF('Section Load'!AO13&gt;0,'Section Load'!AO13,0))</f>
        <v>275.63000000000466</v>
      </c>
      <c r="BI10" s="303">
        <f>(IF('Section Load'!AP13&gt;0,'Section Load'!AP13,0))</f>
        <v>0</v>
      </c>
      <c r="BJ10" s="303">
        <f>(IF('Section Load'!AQ13&gt;0,'Section Load'!AQ13,0))</f>
        <v>111.01999999998952</v>
      </c>
      <c r="BK10" s="303">
        <f>(IF('Section Load'!AR13&gt;0,'Section Load'!AR13,0))</f>
        <v>48.69999999999709</v>
      </c>
      <c r="BL10" s="303">
        <f>(IF('Section Load'!AS13&gt;0,'Section Load'!AS13,0))</f>
        <v>2.1000000000003638</v>
      </c>
      <c r="BM10" s="303">
        <f>(IF('Section Load'!AT13&gt;0,'Section Load'!AT13,0))</f>
        <v>559.17000000012013</v>
      </c>
    </row>
    <row r="11" spans="1:65" x14ac:dyDescent="0.25">
      <c r="A11" s="291" t="s">
        <v>268</v>
      </c>
      <c r="B11" s="292">
        <f t="shared" si="0"/>
        <v>10</v>
      </c>
      <c r="C11" s="292">
        <v>10</v>
      </c>
      <c r="D11" s="292">
        <v>2021</v>
      </c>
      <c r="E11" s="301">
        <f>(IF('Section Load'!F14&gt;0,'Section Load'!F14,0))</f>
        <v>3829</v>
      </c>
      <c r="F11" s="301">
        <f>(IF('Section Load'!G14&gt;0,'Section Load'!G14,0))</f>
        <v>1684</v>
      </c>
      <c r="G11" s="301">
        <f>(IF('Section Load'!H14&gt;0,'Section Load'!H14,0))</f>
        <v>1960</v>
      </c>
      <c r="H11" s="301">
        <f>(IF('Section Load'!I14&gt;0,'Section Load'!I14,0))</f>
        <v>4216</v>
      </c>
      <c r="I11" s="301">
        <f>(IF('Section Load'!J14&gt;0,'Section Load'!J14,0))</f>
        <v>7582</v>
      </c>
      <c r="J11" s="301">
        <f>(IF('Section Load'!K14&gt;0,'Section Load'!K14,0))</f>
        <v>2787</v>
      </c>
      <c r="K11" s="301">
        <f>(IF('Section Load'!L14&gt;0,'Section Load'!L14,0))</f>
        <v>1128</v>
      </c>
      <c r="L11" s="301">
        <f>(IF('Section Load'!M14&gt;0,'Section Load'!M14,0))</f>
        <v>799</v>
      </c>
      <c r="M11" s="301">
        <f>(IF('Section Load'!N14&gt;0,'Section Load'!N14,0))</f>
        <v>89</v>
      </c>
      <c r="N11" s="301">
        <f>(IF('Section Load'!O14&gt;0,'Section Load'!O14,0))</f>
        <v>1</v>
      </c>
      <c r="O11" s="301">
        <f>(IF('Section Load'!P14&gt;0,'Section Load'!P14,0))</f>
        <v>0</v>
      </c>
      <c r="P11" s="301">
        <f>(IF('Section Load'!Q14&gt;0,'Section Load'!Q14,0))</f>
        <v>184</v>
      </c>
      <c r="Q11" s="301">
        <f>(IF('Section Load'!R14&gt;0,'Section Load'!R14,0))</f>
        <v>74</v>
      </c>
      <c r="R11" s="301">
        <f>(IF('Section Load'!S14&gt;0,'Section Load'!S14,0))</f>
        <v>42</v>
      </c>
      <c r="S11" s="301">
        <f>(IF('Section Load'!T14&gt;0,'Section Load'!T14,0))</f>
        <v>361</v>
      </c>
      <c r="T11" s="301">
        <f>(IF('Section Load'!U14&gt;0,'Section Load'!U14,0))</f>
        <v>150</v>
      </c>
      <c r="U11" s="301">
        <f>(IF('Section Load'!V14&gt;0,'Section Load'!V14,0))</f>
        <v>410</v>
      </c>
      <c r="V11" s="301">
        <f>(IF('Section Load'!W14&gt;0,'Section Load'!W14,0))</f>
        <v>190</v>
      </c>
      <c r="W11" s="301">
        <f>(IF('Section Load'!X14&gt;0,'Section Load'!X14,0))</f>
        <v>30</v>
      </c>
      <c r="X11" s="301">
        <f>(IF('Section Load'!Y14&gt;0,'Section Load'!Y14,0))</f>
        <v>197</v>
      </c>
      <c r="Y11" s="301">
        <f>(IF('Section Load'!Z14&gt;0,'Section Load'!Z14,0))</f>
        <v>291</v>
      </c>
      <c r="Z11" s="301">
        <f>(IF('Section Load'!AA14&gt;0,'Section Load'!AA14,0))</f>
        <v>3</v>
      </c>
      <c r="AA11" s="301">
        <f>(IF('Section Load'!AB14&gt;0,'Section Load'!AB14,0))</f>
        <v>18</v>
      </c>
      <c r="AB11" s="301">
        <f>(IF('Section Load'!AC14&gt;0,'Section Load'!AC14,0))</f>
        <v>0</v>
      </c>
      <c r="AC11" s="301">
        <f>(IF('Section Load'!AD14&gt;0,'Section Load'!AD14,0))</f>
        <v>107</v>
      </c>
      <c r="AD11" s="301">
        <f>(IF('Section Load'!AE14&gt;0,'Section Load'!AE14,0))</f>
        <v>0</v>
      </c>
      <c r="AE11" s="301">
        <f>(IF('Section Load'!AF14&gt;0,'Section Load'!AF14,0))</f>
        <v>31</v>
      </c>
      <c r="AF11" s="301">
        <f>(IF('Section Load'!AG14&gt;0,'Section Load'!AG14,0))</f>
        <v>378</v>
      </c>
      <c r="AG11" s="301">
        <f>(IF('Section Load'!AH14&gt;0,'Section Load'!AH14,0))</f>
        <v>405</v>
      </c>
      <c r="AH11" s="301">
        <f>(IF('Section Load'!AI14&gt;0,'Section Load'!AI14,0))</f>
        <v>404</v>
      </c>
      <c r="AI11" s="301">
        <f>(IF('Section Load'!AJ14&gt;0,'Section Load'!AJ14,0))</f>
        <v>688</v>
      </c>
      <c r="AJ11" s="301">
        <f>(IF('Section Load'!AK14&gt;0,'Section Load'!AK14,0))</f>
        <v>299</v>
      </c>
      <c r="AK11" s="301">
        <f>(IF('Section Load'!AL14&gt;0,'Section Load'!AL14,0))</f>
        <v>329</v>
      </c>
      <c r="AL11" s="301">
        <f>(IF('Section Load'!AM14&gt;0,'Section Load'!AM14,0))</f>
        <v>858</v>
      </c>
      <c r="AM11" s="302">
        <f>(IF('Water Report'!$M$7&gt;0,'Water Report'!$M$7,0))</f>
        <v>114</v>
      </c>
      <c r="AN11" s="302">
        <f>(IF('Water Report'!$M$8&gt;0,'Water Report'!$M$8,0))</f>
        <v>157</v>
      </c>
      <c r="AO11" s="302">
        <f>(IF('Water Report'!$M$9&gt;0,'Water Report'!$M$9,0))</f>
        <v>89</v>
      </c>
      <c r="AP11" s="302">
        <f>(IF('Water Report'!$M$10&gt;0,'Water Report'!$M$10,0))</f>
        <v>25</v>
      </c>
      <c r="AQ11" s="302">
        <f>(IF('Water Report'!$M$11&gt;0,'Water Report'!$M$11,0))</f>
        <v>30</v>
      </c>
      <c r="AR11" s="302">
        <f>(IF('Water Report'!$M$13&gt;0,'Water Report'!$M$13,0))</f>
        <v>41</v>
      </c>
      <c r="AS11" s="302">
        <f>(IF('Water Report'!$M$14&gt;0,'Water Report'!$M$14,0))</f>
        <v>14</v>
      </c>
      <c r="AT11" s="302">
        <f>(IF('Water Report'!$M$15&gt;0,'Water Report'!$M$15,0))</f>
        <v>14</v>
      </c>
      <c r="AU11" s="302">
        <f>(IF('Water Report'!$M$17&gt;0,'Water Report'!$M$17,0))</f>
        <v>3</v>
      </c>
      <c r="AV11" s="302">
        <f>(IF('Water Report'!$M$18&gt;0,'Water Report'!$M$18,0))</f>
        <v>9</v>
      </c>
      <c r="AW11" s="302">
        <f>(IF('Water Report'!$M$19&gt;0,'Water Report'!$M$19,0))</f>
        <v>9</v>
      </c>
      <c r="AX11" s="308">
        <f>(IF('Water Report'!$M$21&gt;0,'Water Report'!$M$21,0))</f>
        <v>112</v>
      </c>
      <c r="AY11" s="308">
        <f>(IF('Water Report'!$M$22&gt;0,'Water Report'!$M$22,0))</f>
        <v>0</v>
      </c>
      <c r="AZ11" s="308">
        <f>(IF('Water Report'!$M$23&gt;0,'Water Report'!$M$23,0))</f>
        <v>1</v>
      </c>
      <c r="BA11" s="308">
        <f>(IF('Water Report'!$M$14&gt;0,'Water Report'!$M$14,0))</f>
        <v>14</v>
      </c>
      <c r="BB11" s="308">
        <f>(IF('Water Report'!$M$15&gt;0,'Water Report'!$M$15,0))</f>
        <v>14</v>
      </c>
      <c r="BC11" s="308">
        <f>(IF('Water Report'!$M$13&gt;0,'Water Report'!$M$13,0))</f>
        <v>41</v>
      </c>
      <c r="BD11" s="308">
        <f>(IF('Water Report'!$M$24&gt;0,'Water Report'!$M$24,0))</f>
        <v>258</v>
      </c>
      <c r="BE11" s="308">
        <f>(IF('Water Report'!$M$25&gt;0,'Water Report'!$M$25,0))</f>
        <v>172</v>
      </c>
      <c r="BF11" s="308">
        <f>(IF('Water Report'!$M$27&gt;0,'Water Report'!$M$27,0))</f>
        <v>154</v>
      </c>
      <c r="BG11" s="303">
        <f>(IF('Section Load'!AN14&gt;0,'Section Load'!AN14,0))</f>
        <v>948</v>
      </c>
      <c r="BH11" s="303">
        <f>(IF('Section Load'!AO14&gt;0,'Section Load'!AO14,0))</f>
        <v>293</v>
      </c>
      <c r="BI11" s="303">
        <f>(IF('Section Load'!AP14&gt;0,'Section Load'!AP14,0))</f>
        <v>0</v>
      </c>
      <c r="BJ11" s="303">
        <f>(IF('Section Load'!AQ14&gt;0,'Section Load'!AQ14,0))</f>
        <v>116</v>
      </c>
      <c r="BK11" s="303">
        <f>(IF('Section Load'!AR14&gt;0,'Section Load'!AR14,0))</f>
        <v>54</v>
      </c>
      <c r="BL11" s="303">
        <f>(IF('Section Load'!AS14&gt;0,'Section Load'!AS14,0))</f>
        <v>2</v>
      </c>
      <c r="BM11" s="303">
        <f>(IF('Section Load'!AT14&gt;0,'Section Load'!AT14,0))</f>
        <v>483</v>
      </c>
    </row>
    <row r="12" spans="1:65" x14ac:dyDescent="0.25">
      <c r="A12" s="291" t="s">
        <v>268</v>
      </c>
      <c r="B12" s="292">
        <f t="shared" si="0"/>
        <v>11</v>
      </c>
      <c r="C12" s="292">
        <v>10</v>
      </c>
      <c r="D12" s="292">
        <v>2021</v>
      </c>
      <c r="E12" s="301">
        <f>(IF('Section Load'!F15&gt;0,'Section Load'!F15,0))</f>
        <v>3321</v>
      </c>
      <c r="F12" s="301">
        <f>(IF('Section Load'!G15&gt;0,'Section Load'!G15,0))</f>
        <v>1692</v>
      </c>
      <c r="G12" s="301">
        <f>(IF('Section Load'!H15&gt;0,'Section Load'!H15,0))</f>
        <v>1926</v>
      </c>
      <c r="H12" s="301">
        <f>(IF('Section Load'!I15&gt;0,'Section Load'!I15,0))</f>
        <v>4356</v>
      </c>
      <c r="I12" s="301">
        <f>(IF('Section Load'!J15&gt;0,'Section Load'!J15,0))</f>
        <v>7289</v>
      </c>
      <c r="J12" s="301">
        <f>(IF('Section Load'!K15&gt;0,'Section Load'!K15,0))</f>
        <v>2717</v>
      </c>
      <c r="K12" s="301">
        <f>(IF('Section Load'!L15&gt;0,'Section Load'!L15,0))</f>
        <v>1149</v>
      </c>
      <c r="L12" s="301">
        <f>(IF('Section Load'!M15&gt;0,'Section Load'!M15,0))</f>
        <v>779</v>
      </c>
      <c r="M12" s="301">
        <f>(IF('Section Load'!N15&gt;0,'Section Load'!N15,0))</f>
        <v>96</v>
      </c>
      <c r="N12" s="301">
        <f>(IF('Section Load'!O15&gt;0,'Section Load'!O15,0))</f>
        <v>1</v>
      </c>
      <c r="O12" s="301">
        <f>(IF('Section Load'!P15&gt;0,'Section Load'!P15,0))</f>
        <v>0</v>
      </c>
      <c r="P12" s="301">
        <f>(IF('Section Load'!Q15&gt;0,'Section Load'!Q15,0))</f>
        <v>160</v>
      </c>
      <c r="Q12" s="301">
        <f>(IF('Section Load'!R15&gt;0,'Section Load'!R15,0))</f>
        <v>67</v>
      </c>
      <c r="R12" s="301">
        <f>(IF('Section Load'!S15&gt;0,'Section Load'!S15,0))</f>
        <v>43</v>
      </c>
      <c r="S12" s="301">
        <f>(IF('Section Load'!T15&gt;0,'Section Load'!T15,0))</f>
        <v>415</v>
      </c>
      <c r="T12" s="301">
        <f>(IF('Section Load'!U15&gt;0,'Section Load'!U15,0))</f>
        <v>167</v>
      </c>
      <c r="U12" s="301">
        <f>(IF('Section Load'!V15&gt;0,'Section Load'!V15,0))</f>
        <v>412</v>
      </c>
      <c r="V12" s="301">
        <f>(IF('Section Load'!W15&gt;0,'Section Load'!W15,0))</f>
        <v>173</v>
      </c>
      <c r="W12" s="301">
        <f>(IF('Section Load'!X15&gt;0,'Section Load'!X15,0))</f>
        <v>31</v>
      </c>
      <c r="X12" s="301">
        <f>(IF('Section Load'!Y15&gt;0,'Section Load'!Y15,0))</f>
        <v>232</v>
      </c>
      <c r="Y12" s="301">
        <f>(IF('Section Load'!Z15&gt;0,'Section Load'!Z15,0))</f>
        <v>346</v>
      </c>
      <c r="Z12" s="301">
        <f>(IF('Section Load'!AA15&gt;0,'Section Load'!AA15,0))</f>
        <v>175</v>
      </c>
      <c r="AA12" s="301">
        <f>(IF('Section Load'!AB15&gt;0,'Section Load'!AB15,0))</f>
        <v>35</v>
      </c>
      <c r="AB12" s="301">
        <f>(IF('Section Load'!AC15&gt;0,'Section Load'!AC15,0))</f>
        <v>9</v>
      </c>
      <c r="AC12" s="301">
        <f>(IF('Section Load'!AD15&gt;0,'Section Load'!AD15,0))</f>
        <v>116</v>
      </c>
      <c r="AD12" s="301">
        <f>(IF('Section Load'!AE15&gt;0,'Section Load'!AE15,0))</f>
        <v>0</v>
      </c>
      <c r="AE12" s="301">
        <f>(IF('Section Load'!AF15&gt;0,'Section Load'!AF15,0))</f>
        <v>32</v>
      </c>
      <c r="AF12" s="301">
        <f>(IF('Section Load'!AG15&gt;0,'Section Load'!AG15,0))</f>
        <v>382</v>
      </c>
      <c r="AG12" s="301">
        <f>(IF('Section Load'!AH15&gt;0,'Section Load'!AH15,0))</f>
        <v>408</v>
      </c>
      <c r="AH12" s="301">
        <f>(IF('Section Load'!AI15&gt;0,'Section Load'!AI15,0))</f>
        <v>404</v>
      </c>
      <c r="AI12" s="301">
        <f>(IF('Section Load'!AJ15&gt;0,'Section Load'!AJ15,0))</f>
        <v>722</v>
      </c>
      <c r="AJ12" s="301">
        <f>(IF('Section Load'!AK15&gt;0,'Section Load'!AK15,0))</f>
        <v>338</v>
      </c>
      <c r="AK12" s="301">
        <f>(IF('Section Load'!AL15&gt;0,'Section Load'!AL15,0))</f>
        <v>337</v>
      </c>
      <c r="AL12" s="301">
        <f>(IF('Section Load'!AM15&gt;0,'Section Load'!AM15,0))</f>
        <v>801</v>
      </c>
      <c r="AM12" s="302">
        <f>(IF('Water Report'!$N$7&gt;0,'Water Report'!$N$7,0))</f>
        <v>125</v>
      </c>
      <c r="AN12" s="302">
        <f>(IF('Water Report'!$N$8&gt;0,'Water Report'!$N$8,0))</f>
        <v>185</v>
      </c>
      <c r="AO12" s="302">
        <f>(IF('Water Report'!$N$9&gt;0,'Water Report'!$N$9,0))</f>
        <v>98</v>
      </c>
      <c r="AP12" s="302">
        <f>(IF('Water Report'!$N$10&gt;0,'Water Report'!$N$10,0))</f>
        <v>26</v>
      </c>
      <c r="AQ12" s="302">
        <f>(IF('Water Report'!$N$11&gt;0,'Water Report'!$N$11,0))</f>
        <v>24</v>
      </c>
      <c r="AR12" s="302">
        <f>(IF('Water Report'!$N$13&gt;0,'Water Report'!$N$13,0))</f>
        <v>43</v>
      </c>
      <c r="AS12" s="302">
        <f>(IF('Water Report'!$N$14&gt;0,'Water Report'!$N$14,0))</f>
        <v>12</v>
      </c>
      <c r="AT12" s="302">
        <f>(IF('Water Report'!$N$15&gt;0,'Water Report'!$N$15,0))</f>
        <v>22</v>
      </c>
      <c r="AU12" s="302">
        <f>(IF('Water Report'!$N$17&gt;0,'Water Report'!$N$17,0))</f>
        <v>0</v>
      </c>
      <c r="AV12" s="302">
        <f>(IF('Water Report'!$N$18&gt;0,'Water Report'!$N$18,0))</f>
        <v>373</v>
      </c>
      <c r="AW12" s="302">
        <f>(IF('Water Report'!$N$19&gt;0,'Water Report'!$N$19,0))</f>
        <v>12</v>
      </c>
      <c r="AX12" s="308">
        <f>(IF('Water Report'!$N$21&gt;0,'Water Report'!$N$21,0))</f>
        <v>72</v>
      </c>
      <c r="AY12" s="308">
        <f>(IF('Water Report'!$N$22&gt;0,'Water Report'!$N$22,0))</f>
        <v>0</v>
      </c>
      <c r="AZ12" s="308">
        <f>(IF('Water Report'!$N$23&gt;0,'Water Report'!$N$23,0))</f>
        <v>7</v>
      </c>
      <c r="BA12" s="308">
        <f>(IF('Water Report'!$N$14&gt;0,'Water Report'!$N$14,0))</f>
        <v>12</v>
      </c>
      <c r="BB12" s="308">
        <f>(IF('Water Report'!$N$15&gt;0,'Water Report'!$N$15,0))</f>
        <v>22</v>
      </c>
      <c r="BC12" s="308">
        <f>(IF('Water Report'!$N$13&gt;0,'Water Report'!$N$13,0))</f>
        <v>43</v>
      </c>
      <c r="BD12" s="308">
        <f>(IF('Water Report'!$N$24&gt;0,'Water Report'!$N$24,0))</f>
        <v>276</v>
      </c>
      <c r="BE12" s="308">
        <f>(IF('Water Report'!$N$25&gt;0,'Water Report'!$N$25,0))</f>
        <v>182</v>
      </c>
      <c r="BF12" s="308">
        <f>(IF('Water Report'!$N$27&gt;0,'Water Report'!$N$27,0))</f>
        <v>122</v>
      </c>
      <c r="BG12" s="303">
        <f>(IF('Section Load'!AN15&gt;0,'Section Load'!AN15,0))</f>
        <v>1045</v>
      </c>
      <c r="BH12" s="303">
        <f>(IF('Section Load'!AO15&gt;0,'Section Load'!AO15,0))</f>
        <v>293</v>
      </c>
      <c r="BI12" s="303">
        <f>(IF('Section Load'!AP15&gt;0,'Section Load'!AP15,0))</f>
        <v>0</v>
      </c>
      <c r="BJ12" s="303">
        <f>(IF('Section Load'!AQ15&gt;0,'Section Load'!AQ15,0))</f>
        <v>90</v>
      </c>
      <c r="BK12" s="303">
        <f>(IF('Section Load'!AR15&gt;0,'Section Load'!AR15,0))</f>
        <v>44</v>
      </c>
      <c r="BL12" s="303">
        <f>(IF('Section Load'!AS15&gt;0,'Section Load'!AS15,0))</f>
        <v>5</v>
      </c>
      <c r="BM12" s="303">
        <f>(IF('Section Load'!AT15&gt;0,'Section Load'!AT15,0))</f>
        <v>613</v>
      </c>
    </row>
    <row r="13" spans="1:65" x14ac:dyDescent="0.25">
      <c r="A13" s="291" t="s">
        <v>268</v>
      </c>
      <c r="B13" s="292">
        <f t="shared" si="0"/>
        <v>12</v>
      </c>
      <c r="C13" s="292">
        <v>10</v>
      </c>
      <c r="D13" s="292">
        <v>2021</v>
      </c>
      <c r="E13" s="301">
        <f>(IF('Section Load'!F16&gt;0,'Section Load'!F16,0))</f>
        <v>3314</v>
      </c>
      <c r="F13" s="301">
        <f>(IF('Section Load'!G16&gt;0,'Section Load'!G16,0))</f>
        <v>1772</v>
      </c>
      <c r="G13" s="301">
        <f>(IF('Section Load'!H16&gt;0,'Section Load'!H16,0))</f>
        <v>1853</v>
      </c>
      <c r="H13" s="301">
        <f>(IF('Section Load'!I16&gt;0,'Section Load'!I16,0))</f>
        <v>4376</v>
      </c>
      <c r="I13" s="301">
        <f>(IF('Section Load'!J16&gt;0,'Section Load'!J16,0))</f>
        <v>7367</v>
      </c>
      <c r="J13" s="301">
        <f>(IF('Section Load'!K16&gt;0,'Section Load'!K16,0))</f>
        <v>2735</v>
      </c>
      <c r="K13" s="301">
        <f>(IF('Section Load'!L16&gt;0,'Section Load'!L16,0))</f>
        <v>1186</v>
      </c>
      <c r="L13" s="301">
        <f>(IF('Section Load'!M16&gt;0,'Section Load'!M16,0))</f>
        <v>721</v>
      </c>
      <c r="M13" s="301">
        <f>(IF('Section Load'!N16&gt;0,'Section Load'!N16,0))</f>
        <v>73</v>
      </c>
      <c r="N13" s="301">
        <f>(IF('Section Load'!O16&gt;0,'Section Load'!O16,0))</f>
        <v>0</v>
      </c>
      <c r="O13" s="301">
        <f>(IF('Section Load'!P16&gt;0,'Section Load'!P16,0))</f>
        <v>0</v>
      </c>
      <c r="P13" s="301">
        <f>(IF('Section Load'!Q16&gt;0,'Section Load'!Q16,0))</f>
        <v>172</v>
      </c>
      <c r="Q13" s="301">
        <f>(IF('Section Load'!R16&gt;0,'Section Load'!R16,0))</f>
        <v>70</v>
      </c>
      <c r="R13" s="301">
        <f>(IF('Section Load'!S16&gt;0,'Section Load'!S16,0))</f>
        <v>40</v>
      </c>
      <c r="S13" s="301">
        <f>(IF('Section Load'!T16&gt;0,'Section Load'!T16,0))</f>
        <v>405</v>
      </c>
      <c r="T13" s="301">
        <f>(IF('Section Load'!U16&gt;0,'Section Load'!U16,0))</f>
        <v>174</v>
      </c>
      <c r="U13" s="301">
        <f>(IF('Section Load'!V16&gt;0,'Section Load'!V16,0))</f>
        <v>406</v>
      </c>
      <c r="V13" s="301">
        <f>(IF('Section Load'!W16&gt;0,'Section Load'!W16,0))</f>
        <v>168</v>
      </c>
      <c r="W13" s="301">
        <f>(IF('Section Load'!X16&gt;0,'Section Load'!X16,0))</f>
        <v>31</v>
      </c>
      <c r="X13" s="301">
        <f>(IF('Section Load'!Y16&gt;0,'Section Load'!Y16,0))</f>
        <v>216</v>
      </c>
      <c r="Y13" s="301">
        <f>(IF('Section Load'!Z16&gt;0,'Section Load'!Z16,0))</f>
        <v>364</v>
      </c>
      <c r="Z13" s="301">
        <f>(IF('Section Load'!AA16&gt;0,'Section Load'!AA16,0))</f>
        <v>145</v>
      </c>
      <c r="AA13" s="301">
        <f>(IF('Section Load'!AB16&gt;0,'Section Load'!AB16,0))</f>
        <v>32</v>
      </c>
      <c r="AB13" s="301">
        <f>(IF('Section Load'!AC16&gt;0,'Section Load'!AC16,0))</f>
        <v>8.7999999999992724</v>
      </c>
      <c r="AC13" s="301">
        <f>(IF('Section Load'!AD16&gt;0,'Section Load'!AD16,0))</f>
        <v>163</v>
      </c>
      <c r="AD13" s="301">
        <f>(IF('Section Load'!AE16&gt;0,'Section Load'!AE16,0))</f>
        <v>0</v>
      </c>
      <c r="AE13" s="301">
        <f>(IF('Section Load'!AF16&gt;0,'Section Load'!AF16,0))</f>
        <v>21</v>
      </c>
      <c r="AF13" s="301">
        <f>(IF('Section Load'!AG16&gt;0,'Section Load'!AG16,0))</f>
        <v>446</v>
      </c>
      <c r="AG13" s="301">
        <f>(IF('Section Load'!AH16&gt;0,'Section Load'!AH16,0))</f>
        <v>388</v>
      </c>
      <c r="AH13" s="301">
        <f>(IF('Section Load'!AI16&gt;0,'Section Load'!AI16,0))</f>
        <v>412</v>
      </c>
      <c r="AI13" s="301">
        <f>(IF('Section Load'!AJ16&gt;0,'Section Load'!AJ16,0))</f>
        <v>723</v>
      </c>
      <c r="AJ13" s="301">
        <f>(IF('Section Load'!AK16&gt;0,'Section Load'!AK16,0))</f>
        <v>353</v>
      </c>
      <c r="AK13" s="301">
        <f>(IF('Section Load'!AL16&gt;0,'Section Load'!AL16,0))</f>
        <v>345</v>
      </c>
      <c r="AL13" s="301">
        <f>(IF('Section Load'!AM16&gt;0,'Section Load'!AM16,0))</f>
        <v>792</v>
      </c>
      <c r="AM13" s="302">
        <f>(IF('Water Report'!$O$7&gt;0,'Water Report'!$O$7,0))</f>
        <v>76</v>
      </c>
      <c r="AN13" s="302">
        <f>(IF('Water Report'!$O$8&gt;0,'Water Report'!$O$8,0))</f>
        <v>121</v>
      </c>
      <c r="AO13" s="302">
        <f>(IF('Water Report'!$O$9&gt;0,'Water Report'!$O$9,0))</f>
        <v>81</v>
      </c>
      <c r="AP13" s="302">
        <f>(IF('Water Report'!$O$10&gt;0,'Water Report'!$O$10,0))</f>
        <v>17</v>
      </c>
      <c r="AQ13" s="302">
        <f>(IF('Water Report'!$O$11&gt;0,'Water Report'!$O$11,0))</f>
        <v>24</v>
      </c>
      <c r="AR13" s="302">
        <f>(IF('Water Report'!$O$13&gt;0,'Water Report'!$O$13,0))</f>
        <v>41</v>
      </c>
      <c r="AS13" s="302">
        <f>(IF('Water Report'!$O$14&gt;0,'Water Report'!$O$14,0))</f>
        <v>8</v>
      </c>
      <c r="AT13" s="302">
        <f>(IF('Water Report'!$O$15&gt;0,'Water Report'!$O$15,0))</f>
        <v>7</v>
      </c>
      <c r="AU13" s="302">
        <f>(IF('Water Report'!$O$17&gt;0,'Water Report'!$O$17,0))</f>
        <v>0</v>
      </c>
      <c r="AV13" s="302">
        <f>(IF('Water Report'!$O$18&gt;0,'Water Report'!$O$18,0))</f>
        <v>12</v>
      </c>
      <c r="AW13" s="302">
        <f>(IF('Water Report'!$O$19&gt;0,'Water Report'!$O$19,0))</f>
        <v>12</v>
      </c>
      <c r="AX13" s="308">
        <f>(IF('Water Report'!$O$21&gt;0,'Water Report'!$O$21,0))</f>
        <v>27</v>
      </c>
      <c r="AY13" s="308">
        <f>(IF('Water Report'!$O$22&gt;0,'Water Report'!$O$22,0))</f>
        <v>0</v>
      </c>
      <c r="AZ13" s="308">
        <f>(IF('Water Report'!$O$23&gt;0,'Water Report'!$O$23,0))</f>
        <v>8</v>
      </c>
      <c r="BA13" s="308">
        <f>(IF('Water Report'!$O$14&gt;0,'Water Report'!$O$14,0))</f>
        <v>8</v>
      </c>
      <c r="BB13" s="308">
        <f>(IF('Water Report'!$O$15&gt;0,'Water Report'!$O$15,0))</f>
        <v>7</v>
      </c>
      <c r="BC13" s="308">
        <f>(IF('Water Report'!$O$13&gt;0,'Water Report'!$O$13,0))</f>
        <v>41</v>
      </c>
      <c r="BD13" s="308">
        <f>(IF('Water Report'!$O$24&gt;0,'Water Report'!$O$24,0))</f>
        <v>248</v>
      </c>
      <c r="BE13" s="308">
        <f>(IF('Water Report'!$O$25&gt;0,'Water Report'!$O$25,0))</f>
        <v>137</v>
      </c>
      <c r="BF13" s="308">
        <f>(IF('Water Report'!$O$27&gt;0,'Water Report'!$O$27,0))</f>
        <v>76</v>
      </c>
      <c r="BG13" s="303">
        <f>(IF('Section Load'!AN16&gt;0,'Section Load'!AN16,0))</f>
        <v>959</v>
      </c>
      <c r="BH13" s="303">
        <f>(IF('Section Load'!AO16&gt;0,'Section Load'!AO16,0))</f>
        <v>279</v>
      </c>
      <c r="BI13" s="303">
        <f>(IF('Section Load'!AP16&gt;0,'Section Load'!AP16,0))</f>
        <v>0</v>
      </c>
      <c r="BJ13" s="303">
        <f>(IF('Section Load'!AQ16&gt;0,'Section Load'!AQ16,0))</f>
        <v>78</v>
      </c>
      <c r="BK13" s="303">
        <f>(IF('Section Load'!AR16&gt;0,'Section Load'!AR16,0))</f>
        <v>50</v>
      </c>
      <c r="BL13" s="303">
        <f>(IF('Section Load'!AS16&gt;0,'Section Load'!AS16,0))</f>
        <v>2</v>
      </c>
      <c r="BM13" s="303">
        <f>(IF('Section Load'!AT16&gt;0,'Section Load'!AT16,0))</f>
        <v>550</v>
      </c>
    </row>
    <row r="14" spans="1:65" x14ac:dyDescent="0.25">
      <c r="A14" s="291" t="s">
        <v>268</v>
      </c>
      <c r="B14" s="292">
        <f t="shared" si="0"/>
        <v>13</v>
      </c>
      <c r="C14" s="292">
        <v>10</v>
      </c>
      <c r="D14" s="292">
        <v>2021</v>
      </c>
      <c r="E14" s="301">
        <f>(IF('Section Load'!F17&gt;0,'Section Load'!F17,0))</f>
        <v>3602</v>
      </c>
      <c r="F14" s="301">
        <f>(IF('Section Load'!G17&gt;0,'Section Load'!G17,0))</f>
        <v>1663</v>
      </c>
      <c r="G14" s="301">
        <f>(IF('Section Load'!H17&gt;0,'Section Load'!H17,0))</f>
        <v>1845</v>
      </c>
      <c r="H14" s="301">
        <f>(IF('Section Load'!I17&gt;0,'Section Load'!I17,0))</f>
        <v>4354</v>
      </c>
      <c r="I14" s="301">
        <f>(IF('Section Load'!J17&gt;0,'Section Load'!J17,0))</f>
        <v>7041</v>
      </c>
      <c r="J14" s="301">
        <f>(IF('Section Load'!K17&gt;0,'Section Load'!K17,0))</f>
        <v>2578</v>
      </c>
      <c r="K14" s="301">
        <f>(IF('Section Load'!L17&gt;0,'Section Load'!L17,0))</f>
        <v>1068</v>
      </c>
      <c r="L14" s="301">
        <f>(IF('Section Load'!M17&gt;0,'Section Load'!M17,0))</f>
        <v>639</v>
      </c>
      <c r="M14" s="301">
        <f>(IF('Section Load'!N17&gt;0,'Section Load'!N17,0))</f>
        <v>68</v>
      </c>
      <c r="N14" s="301">
        <f>(IF('Section Load'!O17&gt;0,'Section Load'!O17,0))</f>
        <v>2</v>
      </c>
      <c r="O14" s="301">
        <f>(IF('Section Load'!P17&gt;0,'Section Load'!P17,0))</f>
        <v>0</v>
      </c>
      <c r="P14" s="301">
        <f>(IF('Section Load'!Q17&gt;0,'Section Load'!Q17,0))</f>
        <v>182</v>
      </c>
      <c r="Q14" s="301">
        <f>(IF('Section Load'!R17&gt;0,'Section Load'!R17,0))</f>
        <v>73</v>
      </c>
      <c r="R14" s="301">
        <f>(IF('Section Load'!S17&gt;0,'Section Load'!S17,0))</f>
        <v>35</v>
      </c>
      <c r="S14" s="301">
        <f>(IF('Section Load'!T17&gt;0,'Section Load'!T17,0))</f>
        <v>369</v>
      </c>
      <c r="T14" s="301">
        <f>(IF('Section Load'!U17&gt;0,'Section Load'!U17,0))</f>
        <v>169</v>
      </c>
      <c r="U14" s="301">
        <f>(IF('Section Load'!V17&gt;0,'Section Load'!V17,0))</f>
        <v>392</v>
      </c>
      <c r="V14" s="301">
        <f>(IF('Section Load'!W17&gt;0,'Section Load'!W17,0))</f>
        <v>156</v>
      </c>
      <c r="W14" s="301">
        <f>(IF('Section Load'!X17&gt;0,'Section Load'!X17,0))</f>
        <v>31</v>
      </c>
      <c r="X14" s="301">
        <f>(IF('Section Load'!Y17&gt;0,'Section Load'!Y17,0))</f>
        <v>181</v>
      </c>
      <c r="Y14" s="301">
        <f>(IF('Section Load'!Z17&gt;0,'Section Load'!Z17,0))</f>
        <v>363</v>
      </c>
      <c r="Z14" s="301">
        <f>(IF('Section Load'!AA17&gt;0,'Section Load'!AA17,0))</f>
        <v>50</v>
      </c>
      <c r="AA14" s="301">
        <f>(IF('Section Load'!AB17&gt;0,'Section Load'!AB17,0))</f>
        <v>37</v>
      </c>
      <c r="AB14" s="301">
        <f>(IF('Section Load'!AC17&gt;0,'Section Load'!AC17,0))</f>
        <v>8.2700000000004366</v>
      </c>
      <c r="AC14" s="301">
        <f>(IF('Section Load'!AD17&gt;0,'Section Load'!AD17,0))</f>
        <v>199</v>
      </c>
      <c r="AD14" s="301">
        <f>(IF('Section Load'!AE17&gt;0,'Section Load'!AE17,0))</f>
        <v>0</v>
      </c>
      <c r="AE14" s="301">
        <f>(IF('Section Load'!AF17&gt;0,'Section Load'!AF17,0))</f>
        <v>21</v>
      </c>
      <c r="AF14" s="301">
        <f>(IF('Section Load'!AG17&gt;0,'Section Load'!AG17,0))</f>
        <v>452</v>
      </c>
      <c r="AG14" s="301">
        <f>(IF('Section Load'!AH17&gt;0,'Section Load'!AH17,0))</f>
        <v>397</v>
      </c>
      <c r="AH14" s="301">
        <f>(IF('Section Load'!AI17&gt;0,'Section Load'!AI17,0))</f>
        <v>402</v>
      </c>
      <c r="AI14" s="301">
        <f>(IF('Section Load'!AJ17&gt;0,'Section Load'!AJ17,0))</f>
        <v>707</v>
      </c>
      <c r="AJ14" s="301">
        <f>(IF('Section Load'!AK17&gt;0,'Section Load'!AK17,0))</f>
        <v>340</v>
      </c>
      <c r="AK14" s="301">
        <f>(IF('Section Load'!AL17&gt;0,'Section Load'!AL17,0))</f>
        <v>341</v>
      </c>
      <c r="AL14" s="301">
        <f>(IF('Section Load'!AM17&gt;0,'Section Load'!AM17,0))</f>
        <v>724</v>
      </c>
      <c r="AM14" s="302">
        <f>(IF('Water Report'!$P$7&gt;0,'Water Report'!$P$7,0))</f>
        <v>87</v>
      </c>
      <c r="AN14" s="302">
        <f>(IF('Water Report'!$P$8&gt;0,'Water Report'!$P$8,0))</f>
        <v>96</v>
      </c>
      <c r="AO14" s="302">
        <f>(IF('Water Report'!$P$9&gt;0,'Water Report'!$P$9,0))</f>
        <v>90</v>
      </c>
      <c r="AP14" s="302">
        <f>(IF('Water Report'!$P$10&gt;0,'Water Report'!$P$10,0))</f>
        <v>21</v>
      </c>
      <c r="AQ14" s="302">
        <f>(IF('Water Report'!$P$11&gt;0,'Water Report'!$P$11,0))</f>
        <v>22</v>
      </c>
      <c r="AR14" s="302">
        <f>(IF('Water Report'!$P$13&gt;0,'Water Report'!$P$13,0))</f>
        <v>38</v>
      </c>
      <c r="AS14" s="302">
        <f>(IF('Water Report'!$P$14&gt;0,'Water Report'!$P$14,0))</f>
        <v>10</v>
      </c>
      <c r="AT14" s="302">
        <f>(IF('Water Report'!$P$15&gt;0,'Water Report'!$P$15,0))</f>
        <v>12</v>
      </c>
      <c r="AU14" s="302">
        <f>(IF('Water Report'!$P$17&gt;0,'Water Report'!$P$17,0))</f>
        <v>0</v>
      </c>
      <c r="AV14" s="302">
        <f>(IF('Water Report'!$P$18&gt;0,'Water Report'!$P$18,0))</f>
        <v>22</v>
      </c>
      <c r="AW14" s="302">
        <f>(IF('Water Report'!$P$19&gt;0,'Water Report'!$P$19,0))</f>
        <v>10</v>
      </c>
      <c r="AX14" s="308">
        <f>(IF('Water Report'!$P$21&gt;0,'Water Report'!$P$21,0))</f>
        <v>88</v>
      </c>
      <c r="AY14" s="308">
        <f>(IF('Water Report'!$P$22&gt;0,'Water Report'!$P$22,0))</f>
        <v>0</v>
      </c>
      <c r="AZ14" s="308">
        <f>(IF('Water Report'!$P$23&gt;0,'Water Report'!$P$23,0))</f>
        <v>4</v>
      </c>
      <c r="BA14" s="308">
        <f>(IF('Water Report'!$P$14&gt;0,'Water Report'!$P$14,0))</f>
        <v>10</v>
      </c>
      <c r="BB14" s="308">
        <f>(IF('Water Report'!$P$15&gt;0,'Water Report'!$P$15,0))</f>
        <v>12</v>
      </c>
      <c r="BC14" s="308">
        <f>(IF('Water Report'!$P$13&gt;0,'Water Report'!$P$13,0))</f>
        <v>38</v>
      </c>
      <c r="BD14" s="308">
        <f>(IF('Water Report'!$P$24&gt;0,'Water Report'!$P$24,0))</f>
        <v>219</v>
      </c>
      <c r="BE14" s="308">
        <f>(IF('Water Report'!$P$25&gt;0,'Water Report'!$P$25,0))</f>
        <v>155</v>
      </c>
      <c r="BF14" s="308">
        <f>(IF('Water Report'!$P$27&gt;0,'Water Report'!$P$27,0))</f>
        <v>130</v>
      </c>
      <c r="BG14" s="303">
        <f>(IF('Section Load'!AN17&gt;0,'Section Load'!AN17,0))</f>
        <v>952</v>
      </c>
      <c r="BH14" s="303">
        <f>(IF('Section Load'!AO17&gt;0,'Section Load'!AO17,0))</f>
        <v>296</v>
      </c>
      <c r="BI14" s="303">
        <f>(IF('Section Load'!AP17&gt;0,'Section Load'!AP17,0))</f>
        <v>0</v>
      </c>
      <c r="BJ14" s="303">
        <f>(IF('Section Load'!AQ17&gt;0,'Section Load'!AQ17,0))</f>
        <v>86</v>
      </c>
      <c r="BK14" s="303">
        <f>(IF('Section Load'!AR17&gt;0,'Section Load'!AR17,0))</f>
        <v>43</v>
      </c>
      <c r="BL14" s="303">
        <f>(IF('Section Load'!AS17&gt;0,'Section Load'!AS17,0))</f>
        <v>2</v>
      </c>
      <c r="BM14" s="303">
        <f>(IF('Section Load'!AT17&gt;0,'Section Load'!AT17,0))</f>
        <v>525</v>
      </c>
    </row>
    <row r="15" spans="1:65" x14ac:dyDescent="0.25">
      <c r="A15" s="291" t="s">
        <v>268</v>
      </c>
      <c r="B15" s="292">
        <f t="shared" si="0"/>
        <v>14</v>
      </c>
      <c r="C15" s="292">
        <v>10</v>
      </c>
      <c r="D15" s="292">
        <v>2021</v>
      </c>
      <c r="E15" s="301">
        <f>(IF('Section Load'!F18&gt;0,'Section Load'!F18,0))</f>
        <v>3657</v>
      </c>
      <c r="F15" s="301">
        <f>(IF('Section Load'!G18&gt;0,'Section Load'!G18,0))</f>
        <v>1696</v>
      </c>
      <c r="G15" s="301">
        <f>(IF('Section Load'!H18&gt;0,'Section Load'!H18,0))</f>
        <v>1962</v>
      </c>
      <c r="H15" s="301">
        <f>(IF('Section Load'!I18&gt;0,'Section Load'!I18,0))</f>
        <v>4269</v>
      </c>
      <c r="I15" s="301">
        <f>(IF('Section Load'!J18&gt;0,'Section Load'!J18,0))</f>
        <v>7906</v>
      </c>
      <c r="J15" s="301">
        <f>(IF('Section Load'!K18&gt;0,'Section Load'!K18,0))</f>
        <v>2705</v>
      </c>
      <c r="K15" s="301">
        <f>(IF('Section Load'!L18&gt;0,'Section Load'!L18,0))</f>
        <v>1042</v>
      </c>
      <c r="L15" s="301">
        <f>(IF('Section Load'!M18&gt;0,'Section Load'!M18,0))</f>
        <v>590</v>
      </c>
      <c r="M15" s="301">
        <f>(IF('Section Load'!N18&gt;0,'Section Load'!N18,0))</f>
        <v>78</v>
      </c>
      <c r="N15" s="301">
        <f>(IF('Section Load'!O18&gt;0,'Section Load'!O18,0))</f>
        <v>1</v>
      </c>
      <c r="O15" s="301">
        <f>(IF('Section Load'!P18&gt;0,'Section Load'!P18,0))</f>
        <v>0</v>
      </c>
      <c r="P15" s="301">
        <f>(IF('Section Load'!Q18&gt;0,'Section Load'!Q18,0))</f>
        <v>182</v>
      </c>
      <c r="Q15" s="301">
        <f>(IF('Section Load'!R18&gt;0,'Section Load'!R18,0))</f>
        <v>74</v>
      </c>
      <c r="R15" s="301">
        <f>(IF('Section Load'!S18&gt;0,'Section Load'!S18,0))</f>
        <v>40</v>
      </c>
      <c r="S15" s="301">
        <f>(IF('Section Load'!T18&gt;0,'Section Load'!T18,0))</f>
        <v>383</v>
      </c>
      <c r="T15" s="301">
        <f>(IF('Section Load'!U18&gt;0,'Section Load'!U18,0))</f>
        <v>178</v>
      </c>
      <c r="U15" s="301">
        <f>(IF('Section Load'!V18&gt;0,'Section Load'!V18,0))</f>
        <v>413</v>
      </c>
      <c r="V15" s="301">
        <f>(IF('Section Load'!W18&gt;0,'Section Load'!W18,0))</f>
        <v>150</v>
      </c>
      <c r="W15" s="301">
        <f>(IF('Section Load'!X18&gt;0,'Section Load'!X18,0))</f>
        <v>28</v>
      </c>
      <c r="X15" s="301">
        <f>(IF('Section Load'!Y18&gt;0,'Section Load'!Y18,0))</f>
        <v>255</v>
      </c>
      <c r="Y15" s="301">
        <f>(IF('Section Load'!Z18&gt;0,'Section Load'!Z18,0))</f>
        <v>327</v>
      </c>
      <c r="Z15" s="301">
        <f>(IF('Section Load'!AA18&gt;0,'Section Load'!AA18,0))</f>
        <v>49</v>
      </c>
      <c r="AA15" s="301">
        <f>(IF('Section Load'!AB18&gt;0,'Section Load'!AB18,0))</f>
        <v>39</v>
      </c>
      <c r="AB15" s="301">
        <f>(IF('Section Load'!AC18&gt;0,'Section Load'!AC18,0))</f>
        <v>9.4000000000014552</v>
      </c>
      <c r="AC15" s="301">
        <f>(IF('Section Load'!AD18&gt;0,'Section Load'!AD18,0))</f>
        <v>163</v>
      </c>
      <c r="AD15" s="301">
        <f>(IF('Section Load'!AE18&gt;0,'Section Load'!AE18,0))</f>
        <v>0</v>
      </c>
      <c r="AE15" s="301">
        <f>(IF('Section Load'!AF18&gt;0,'Section Load'!AF18,0))</f>
        <v>20</v>
      </c>
      <c r="AF15" s="301">
        <f>(IF('Section Load'!AG18&gt;0,'Section Load'!AG18,0))</f>
        <v>409</v>
      </c>
      <c r="AG15" s="301">
        <f>(IF('Section Load'!AH18&gt;0,'Section Load'!AH18,0))</f>
        <v>403</v>
      </c>
      <c r="AH15" s="301">
        <f>(IF('Section Load'!AI18&gt;0,'Section Load'!AI18,0))</f>
        <v>394</v>
      </c>
      <c r="AI15" s="301">
        <f>(IF('Section Load'!AJ18&gt;0,'Section Load'!AJ18,0))</f>
        <v>680</v>
      </c>
      <c r="AJ15" s="301">
        <f>(IF('Section Load'!AK18&gt;0,'Section Load'!AK18,0))</f>
        <v>326</v>
      </c>
      <c r="AK15" s="301">
        <f>(IF('Section Load'!AL18&gt;0,'Section Load'!AL18,0))</f>
        <v>331</v>
      </c>
      <c r="AL15" s="301">
        <f>(IF('Section Load'!AM18&gt;0,'Section Load'!AM18,0))</f>
        <v>751</v>
      </c>
      <c r="AM15" s="302">
        <f>(IF('Water Report'!$Q$7&gt;0,'Water Report'!$Q$7,0))</f>
        <v>92</v>
      </c>
      <c r="AN15" s="302">
        <f>(IF('Water Report'!$Q$8&gt;0,'Water Report'!$Q$8,0))</f>
        <v>127</v>
      </c>
      <c r="AO15" s="302">
        <f>(IF('Water Report'!$Q$9&gt;0,'Water Report'!$Q$9,0))</f>
        <v>89</v>
      </c>
      <c r="AP15" s="302">
        <f>(IF('Water Report'!$Q$10&gt;0,'Water Report'!$Q$10,0))</f>
        <v>18</v>
      </c>
      <c r="AQ15" s="302">
        <f>(IF('Water Report'!$Q$11&gt;0,'Water Report'!$Q$11,0))</f>
        <v>19</v>
      </c>
      <c r="AR15" s="302">
        <f>(IF('Water Report'!$Q$13&gt;0,'Water Report'!$Q$13,0))</f>
        <v>59</v>
      </c>
      <c r="AS15" s="302">
        <f>(IF('Water Report'!$Q$14&gt;0,'Water Report'!$Q$14,0))</f>
        <v>9</v>
      </c>
      <c r="AT15" s="302">
        <f>(IF('Water Report'!$Q$15&gt;0,'Water Report'!$Q$15,0))</f>
        <v>9</v>
      </c>
      <c r="AU15" s="302">
        <f>(IF('Water Report'!$Q$17&gt;0,'Water Report'!$Q$17,0))</f>
        <v>0</v>
      </c>
      <c r="AV15" s="302">
        <f>(IF('Water Report'!$Q$18&gt;0,'Water Report'!$Q$18,0))</f>
        <v>22</v>
      </c>
      <c r="AW15" s="302">
        <f>(IF('Water Report'!$Q$19&gt;0,'Water Report'!$Q$19,0))</f>
        <v>14</v>
      </c>
      <c r="AX15" s="308">
        <f>(IF('Water Report'!$Q$21&gt;0,'Water Report'!$Q$21,0))</f>
        <v>112</v>
      </c>
      <c r="AY15" s="308">
        <f>(IF('Water Report'!$Q$22&gt;0,'Water Report'!$Q$22,0))</f>
        <v>0</v>
      </c>
      <c r="AZ15" s="308">
        <f>(IF('Water Report'!$Q$23&gt;0,'Water Report'!$Q$23,0))</f>
        <v>9</v>
      </c>
      <c r="BA15" s="308">
        <f>(IF('Water Report'!$Q$14&gt;0,'Water Report'!$Q$14,0))</f>
        <v>9</v>
      </c>
      <c r="BB15" s="308">
        <f>(IF('Water Report'!$Q$15&gt;0,'Water Report'!$Q$15,0))</f>
        <v>9</v>
      </c>
      <c r="BC15" s="308">
        <f>(IF('Water Report'!$Q$13&gt;0,'Water Report'!$Q$13,0))</f>
        <v>59</v>
      </c>
      <c r="BD15" s="308">
        <f>(IF('Water Report'!$Q$24&gt;0,'Water Report'!$Q$24,0))</f>
        <v>241</v>
      </c>
      <c r="BE15" s="308">
        <f>(IF('Water Report'!$Q$25&gt;0,'Water Report'!$Q$25,0))</f>
        <v>144</v>
      </c>
      <c r="BF15" s="308">
        <f>(IF('Water Report'!$Q$27&gt;0,'Water Report'!$Q$27,0))</f>
        <v>180</v>
      </c>
      <c r="BG15" s="303">
        <f>(IF('Section Load'!AN18&gt;0,'Section Load'!AN18,0))</f>
        <v>1032</v>
      </c>
      <c r="BH15" s="303">
        <f>(IF('Section Load'!AO18&gt;0,'Section Load'!AO18,0))</f>
        <v>290</v>
      </c>
      <c r="BI15" s="303">
        <f>(IF('Section Load'!AP18&gt;0,'Section Load'!AP18,0))</f>
        <v>0</v>
      </c>
      <c r="BJ15" s="303">
        <f>(IF('Section Load'!AQ18&gt;0,'Section Load'!AQ18,0))</f>
        <v>105</v>
      </c>
      <c r="BK15" s="303">
        <f>(IF('Section Load'!AR18&gt;0,'Section Load'!AR18,0))</f>
        <v>46</v>
      </c>
      <c r="BL15" s="303">
        <f>(IF('Section Load'!AS18&gt;0,'Section Load'!AS18,0))</f>
        <v>2</v>
      </c>
      <c r="BM15" s="303">
        <f>(IF('Section Load'!AT18&gt;0,'Section Load'!AT18,0))</f>
        <v>589</v>
      </c>
    </row>
    <row r="16" spans="1:65" x14ac:dyDescent="0.25">
      <c r="A16" s="291" t="s">
        <v>268</v>
      </c>
      <c r="B16" s="292">
        <f t="shared" si="0"/>
        <v>15</v>
      </c>
      <c r="C16" s="292">
        <v>10</v>
      </c>
      <c r="D16" s="292">
        <v>2021</v>
      </c>
      <c r="E16" s="301">
        <f>(IF('Section Load'!F19&gt;0,'Section Load'!F19,0))</f>
        <v>3380</v>
      </c>
      <c r="F16" s="301">
        <f>(IF('Section Load'!G19&gt;0,'Section Load'!G19,0))</f>
        <v>1687</v>
      </c>
      <c r="G16" s="301">
        <f>(IF('Section Load'!H19&gt;0,'Section Load'!H19,0))</f>
        <v>1953</v>
      </c>
      <c r="H16" s="301">
        <f>(IF('Section Load'!I19&gt;0,'Section Load'!I19,0))</f>
        <v>4212</v>
      </c>
      <c r="I16" s="301">
        <f>(IF('Section Load'!J19&gt;0,'Section Load'!J19,0))</f>
        <v>6623</v>
      </c>
      <c r="J16" s="301">
        <f>(IF('Section Load'!K19&gt;0,'Section Load'!K19,0))</f>
        <v>2560</v>
      </c>
      <c r="K16" s="301">
        <f>(IF('Section Load'!L19&gt;0,'Section Load'!L19,0))</f>
        <v>1047</v>
      </c>
      <c r="L16" s="301">
        <f>(IF('Section Load'!M19&gt;0,'Section Load'!M19,0))</f>
        <v>935</v>
      </c>
      <c r="M16" s="301">
        <f>(IF('Section Load'!N19&gt;0,'Section Load'!N19,0))</f>
        <v>69</v>
      </c>
      <c r="N16" s="301">
        <f>(IF('Section Load'!O19&gt;0,'Section Load'!O19,0))</f>
        <v>1</v>
      </c>
      <c r="O16" s="301">
        <f>(IF('Section Load'!P19&gt;0,'Section Load'!P19,0))</f>
        <v>0</v>
      </c>
      <c r="P16" s="301">
        <f>(IF('Section Load'!Q19&gt;0,'Section Load'!Q19,0))</f>
        <v>196</v>
      </c>
      <c r="Q16" s="301">
        <f>(IF('Section Load'!R19&gt;0,'Section Load'!R19,0))</f>
        <v>81</v>
      </c>
      <c r="R16" s="301">
        <f>(IF('Section Load'!S19&gt;0,'Section Load'!S19,0))</f>
        <v>42</v>
      </c>
      <c r="S16" s="301">
        <f>(IF('Section Load'!T19&gt;0,'Section Load'!T19,0))</f>
        <v>380</v>
      </c>
      <c r="T16" s="301">
        <f>(IF('Section Load'!U19&gt;0,'Section Load'!U19,0))</f>
        <v>177</v>
      </c>
      <c r="U16" s="301">
        <f>(IF('Section Load'!V19&gt;0,'Section Load'!V19,0))</f>
        <v>396</v>
      </c>
      <c r="V16" s="301">
        <f>(IF('Section Load'!W19&gt;0,'Section Load'!W19,0))</f>
        <v>156</v>
      </c>
      <c r="W16" s="301">
        <f>(IF('Section Load'!X19&gt;0,'Section Load'!X19,0))</f>
        <v>27</v>
      </c>
      <c r="X16" s="301">
        <f>(IF('Section Load'!Y19&gt;0,'Section Load'!Y19,0))</f>
        <v>247</v>
      </c>
      <c r="Y16" s="301">
        <f>(IF('Section Load'!Z19&gt;0,'Section Load'!Z19,0))</f>
        <v>350</v>
      </c>
      <c r="Z16" s="301">
        <f>(IF('Section Load'!AA19&gt;0,'Section Load'!AA19,0))</f>
        <v>40</v>
      </c>
      <c r="AA16" s="301">
        <f>(IF('Section Load'!AB19&gt;0,'Section Load'!AB19,0))</f>
        <v>18</v>
      </c>
      <c r="AB16" s="301">
        <f>(IF('Section Load'!AC19&gt;0,'Section Load'!AC19,0))</f>
        <v>9.7199999999975262</v>
      </c>
      <c r="AC16" s="301">
        <f>(IF('Section Load'!AD19&gt;0,'Section Load'!AD19,0))</f>
        <v>131</v>
      </c>
      <c r="AD16" s="301">
        <f>(IF('Section Load'!AE19&gt;0,'Section Load'!AE19,0))</f>
        <v>0</v>
      </c>
      <c r="AE16" s="301">
        <f>(IF('Section Load'!AF19&gt;0,'Section Load'!AF19,0))</f>
        <v>26</v>
      </c>
      <c r="AF16" s="301">
        <f>(IF('Section Load'!AG19&gt;0,'Section Load'!AG19,0))</f>
        <v>349</v>
      </c>
      <c r="AG16" s="301">
        <f>(IF('Section Load'!AH19&gt;0,'Section Load'!AH19,0))</f>
        <v>431</v>
      </c>
      <c r="AH16" s="301">
        <f>(IF('Section Load'!AI19&gt;0,'Section Load'!AI19,0))</f>
        <v>400</v>
      </c>
      <c r="AI16" s="301">
        <f>(IF('Section Load'!AJ19&gt;0,'Section Load'!AJ19,0))</f>
        <v>664</v>
      </c>
      <c r="AJ16" s="301">
        <f>(IF('Section Load'!AK19&gt;0,'Section Load'!AK19,0))</f>
        <v>327</v>
      </c>
      <c r="AK16" s="301">
        <f>(IF('Section Load'!AL19&gt;0,'Section Load'!AL19,0))</f>
        <v>345</v>
      </c>
      <c r="AL16" s="301">
        <f>(IF('Section Load'!AM19&gt;0,'Section Load'!AM19,0))</f>
        <v>716</v>
      </c>
      <c r="AM16" s="302">
        <f>(IF('Water Report'!$R$7&gt;0,'Water Report'!$R$7,0))</f>
        <v>133</v>
      </c>
      <c r="AN16" s="302">
        <f>(IF('Water Report'!$R$8&gt;0,'Water Report'!$R$8,0))</f>
        <v>150</v>
      </c>
      <c r="AO16" s="302">
        <f>(IF('Water Report'!$R$9&gt;0,'Water Report'!$R$9,0))</f>
        <v>120</v>
      </c>
      <c r="AP16" s="302">
        <f>(IF('Water Report'!$R$10&gt;0,'Water Report'!$R$10,0))</f>
        <v>17</v>
      </c>
      <c r="AQ16" s="302">
        <f>(IF('Water Report'!$R$11&gt;0,'Water Report'!$R$11,0))</f>
        <v>29</v>
      </c>
      <c r="AR16" s="302">
        <f>(IF('Water Report'!$R$13&gt;0,'Water Report'!$R$13,0))</f>
        <v>34</v>
      </c>
      <c r="AS16" s="302">
        <f>(IF('Water Report'!$R$14&gt;0,'Water Report'!$R$14,0))</f>
        <v>9</v>
      </c>
      <c r="AT16" s="302">
        <f>(IF('Water Report'!$R$15&gt;0,'Water Report'!$R$15,0))</f>
        <v>7</v>
      </c>
      <c r="AU16" s="302">
        <f>(IF('Water Report'!$R$17&gt;0,'Water Report'!$R$17,0))</f>
        <v>0</v>
      </c>
      <c r="AV16" s="302">
        <f>(IF('Water Report'!$R$18&gt;0,'Water Report'!$R$18,0))</f>
        <v>20</v>
      </c>
      <c r="AW16" s="302">
        <f>(IF('Water Report'!$R$19&gt;0,'Water Report'!$R$19,0))</f>
        <v>9</v>
      </c>
      <c r="AX16" s="308">
        <f>(IF('Water Report'!$R$21&gt;0,'Water Report'!$R$21,0))</f>
        <v>110</v>
      </c>
      <c r="AY16" s="308">
        <f>(IF('Water Report'!$R$22&gt;0,'Water Report'!$R$22,0))</f>
        <v>0</v>
      </c>
      <c r="AZ16" s="308">
        <f>(IF('Water Report'!$R$23&gt;0,'Water Report'!$R$23,0))</f>
        <v>11</v>
      </c>
      <c r="BA16" s="308">
        <f>(IF('Water Report'!$R$14&gt;0,'Water Report'!$R$14,0))</f>
        <v>9</v>
      </c>
      <c r="BB16" s="308">
        <f>(IF('Water Report'!$R$15&gt;0,'Water Report'!$R$15,0))</f>
        <v>7</v>
      </c>
      <c r="BC16" s="308">
        <f>(IF('Water Report'!$R$13&gt;0,'Water Report'!$R$13,0))</f>
        <v>34</v>
      </c>
      <c r="BD16" s="308">
        <f>(IF('Water Report'!$R$24&gt;0,'Water Report'!$R$24,0))</f>
        <v>269</v>
      </c>
      <c r="BE16" s="308">
        <f>(IF('Water Report'!$R$25&gt;0,'Water Report'!$R$25,0))</f>
        <v>182</v>
      </c>
      <c r="BF16" s="308">
        <f>(IF('Water Report'!$R$27&gt;0,'Water Report'!$R$27,0))</f>
        <v>155</v>
      </c>
      <c r="BG16" s="303">
        <f>(IF('Section Load'!AN19&gt;0,'Section Load'!AN19,0))</f>
        <v>976</v>
      </c>
      <c r="BH16" s="303">
        <f>(IF('Section Load'!AO19&gt;0,'Section Load'!AO19,0))</f>
        <v>288</v>
      </c>
      <c r="BI16" s="303">
        <f>(IF('Section Load'!AP19&gt;0,'Section Load'!AP19,0))</f>
        <v>0</v>
      </c>
      <c r="BJ16" s="303">
        <f>(IF('Section Load'!AQ19&gt;0,'Section Load'!AQ19,0))</f>
        <v>82</v>
      </c>
      <c r="BK16" s="303">
        <f>(IF('Section Load'!AR19&gt;0,'Section Load'!AR19,0))</f>
        <v>53</v>
      </c>
      <c r="BL16" s="303">
        <f>(IF('Section Load'!AS19&gt;0,'Section Load'!AS19,0))</f>
        <v>2</v>
      </c>
      <c r="BM16" s="303">
        <f>(IF('Section Load'!AT19&gt;0,'Section Load'!AT19,0))</f>
        <v>551</v>
      </c>
    </row>
    <row r="17" spans="1:65" x14ac:dyDescent="0.25">
      <c r="A17" s="291" t="s">
        <v>268</v>
      </c>
      <c r="B17" s="292">
        <f t="shared" si="0"/>
        <v>16</v>
      </c>
      <c r="C17" s="292">
        <v>10</v>
      </c>
      <c r="D17" s="292">
        <v>2021</v>
      </c>
      <c r="E17" s="301">
        <f>(IF('Section Load'!F20&gt;0,'Section Load'!F20,0))</f>
        <v>4287.1400000000094</v>
      </c>
      <c r="F17" s="301">
        <f>(IF('Section Load'!G20&gt;0,'Section Load'!G20,0))</f>
        <v>1707.6699999999983</v>
      </c>
      <c r="G17" s="301">
        <f>(IF('Section Load'!H20&gt;0,'Section Load'!H20,0))</f>
        <v>1899.8800000000047</v>
      </c>
      <c r="H17" s="301">
        <f>(IF('Section Load'!I20&gt;0,'Section Load'!I20,0))</f>
        <v>4126.1300000000047</v>
      </c>
      <c r="I17" s="301">
        <f>(IF('Section Load'!J20&gt;0,'Section Load'!J20,0))</f>
        <v>5849.5199999999022</v>
      </c>
      <c r="J17" s="301">
        <f>(IF('Section Load'!K20&gt;0,'Section Load'!K20,0))</f>
        <v>2418.5</v>
      </c>
      <c r="K17" s="301">
        <f>(IF('Section Load'!L20&gt;0,'Section Load'!L20,0))</f>
        <v>1115.2299999999814</v>
      </c>
      <c r="L17" s="301">
        <f>(IF('Section Load'!M20&gt;0,'Section Load'!M20,0))</f>
        <v>766.80000000000291</v>
      </c>
      <c r="M17" s="301">
        <f>(IF('Section Load'!N20&gt;0,'Section Load'!N20,0))</f>
        <v>82</v>
      </c>
      <c r="N17" s="301">
        <f>(IF('Section Load'!O20&gt;0,'Section Load'!O20,0))</f>
        <v>1</v>
      </c>
      <c r="O17" s="301">
        <f>(IF('Section Load'!P20&gt;0,'Section Load'!P20,0))</f>
        <v>0.39999999999417923</v>
      </c>
      <c r="P17" s="301">
        <f>(IF('Section Load'!Q20&gt;0,'Section Load'!Q20,0))</f>
        <v>187.80000000000291</v>
      </c>
      <c r="Q17" s="301">
        <f>(IF('Section Load'!R20&gt;0,'Section Load'!R20,0))</f>
        <v>73.490000000001601</v>
      </c>
      <c r="R17" s="301">
        <f>(IF('Section Load'!S20&gt;0,'Section Load'!S20,0))</f>
        <v>43</v>
      </c>
      <c r="S17" s="301">
        <f>(IF('Section Load'!T20&gt;0,'Section Load'!T20,0))</f>
        <v>342</v>
      </c>
      <c r="T17" s="301">
        <f>(IF('Section Load'!U20&gt;0,'Section Load'!U20,0))</f>
        <v>177</v>
      </c>
      <c r="U17" s="301">
        <f>(IF('Section Load'!V20&gt;0,'Section Load'!V20,0))</f>
        <v>418.04000000003725</v>
      </c>
      <c r="V17" s="301">
        <f>(IF('Section Load'!W20&gt;0,'Section Load'!W20,0))</f>
        <v>221.11999999999534</v>
      </c>
      <c r="W17" s="301">
        <f>(IF('Section Load'!X20&gt;0,'Section Load'!X20,0))</f>
        <v>30.580000000000041</v>
      </c>
      <c r="X17" s="301">
        <f>(IF('Section Load'!Y20&gt;0,'Section Load'!Y20,0))</f>
        <v>216.25999999999476</v>
      </c>
      <c r="Y17" s="301">
        <f>(IF('Section Load'!Z20&gt;0,'Section Load'!Z20,0))</f>
        <v>348</v>
      </c>
      <c r="Z17" s="301">
        <f>(IF('Section Load'!AA20&gt;0,'Section Load'!AA20,0))</f>
        <v>72.440000000002328</v>
      </c>
      <c r="AA17" s="301">
        <f>(IF('Section Load'!AB20&gt;0,'Section Load'!AB20,0))</f>
        <v>25.100000000005821</v>
      </c>
      <c r="AB17" s="301">
        <f>(IF('Section Load'!AC20&gt;0,'Section Load'!AC20,0))</f>
        <v>9.6599999999998545</v>
      </c>
      <c r="AC17" s="301">
        <f>(IF('Section Load'!AD20&gt;0,'Section Load'!AD20,0))</f>
        <v>134.10000000000309</v>
      </c>
      <c r="AD17" s="301">
        <f>(IF('Section Load'!AE20&gt;0,'Section Load'!AE20,0))</f>
        <v>0</v>
      </c>
      <c r="AE17" s="301">
        <f>(IF('Section Load'!AF20&gt;0,'Section Load'!AF20,0))</f>
        <v>41.100000000000023</v>
      </c>
      <c r="AF17" s="301">
        <f>(IF('Section Load'!AG20&gt;0,'Section Load'!AG20,0))</f>
        <v>352.57000000000698</v>
      </c>
      <c r="AG17" s="301">
        <f>(IF('Section Load'!AH20&gt;0,'Section Load'!AH20,0))</f>
        <v>409.5</v>
      </c>
      <c r="AH17" s="301">
        <f>(IF('Section Load'!AI20&gt;0,'Section Load'!AI20,0))</f>
        <v>409.97999999999956</v>
      </c>
      <c r="AI17" s="301">
        <f>(IF('Section Load'!AJ20&gt;0,'Section Load'!AJ20,0))</f>
        <v>637.84999999997672</v>
      </c>
      <c r="AJ17" s="301">
        <f>(IF('Section Load'!AK20&gt;0,'Section Load'!AK20,0))</f>
        <v>294.35099999999511</v>
      </c>
      <c r="AK17" s="301">
        <f>(IF('Section Load'!AL20&gt;0,'Section Load'!AL20,0))</f>
        <v>338.97000000000116</v>
      </c>
      <c r="AL17" s="301">
        <f>(IF('Section Load'!AM20&gt;0,'Section Load'!AM20,0))</f>
        <v>719.40000000000146</v>
      </c>
      <c r="AM17" s="302">
        <f>(IF('Water Report'!$S$7&gt;0,'Water Report'!$S$7,0))</f>
        <v>116</v>
      </c>
      <c r="AN17" s="302">
        <f>(IF('Water Report'!$S$8&gt;0,'Water Report'!$S$8,0))</f>
        <v>134</v>
      </c>
      <c r="AO17" s="302">
        <f>(IF('Water Report'!$S$9&gt;0,'Water Report'!$S$9,0))</f>
        <v>89</v>
      </c>
      <c r="AP17" s="302">
        <f>(IF('Water Report'!$S$10&gt;0,'Water Report'!$D$10,0))</f>
        <v>24</v>
      </c>
      <c r="AQ17" s="302">
        <f>(IF('Water Report'!$S$11&gt;0,'Water Report'!$D$11,0))</f>
        <v>29</v>
      </c>
      <c r="AR17" s="302">
        <f>(IF('Water Report'!$S$13&gt;0,'Water Report'!$D$13,0))</f>
        <v>31</v>
      </c>
      <c r="AS17" s="302">
        <f>(IF('Water Report'!$S$14&gt;0,'Water Report'!$D$14,0))</f>
        <v>9</v>
      </c>
      <c r="AT17" s="302">
        <f>(IF('Water Report'!$S$15&gt;0,'Water Report'!$D$15,0))</f>
        <v>10</v>
      </c>
      <c r="AU17" s="302">
        <f>(IF('Water Report'!$S$17&gt;0,'Water Report'!$D$17,0))</f>
        <v>0</v>
      </c>
      <c r="AV17" s="302">
        <f>(IF('Water Report'!$S$18&gt;0,'Water Report'!$D$18,0))</f>
        <v>10</v>
      </c>
      <c r="AW17" s="302">
        <f>(IF('Water Report'!$S$19&gt;0,'Water Report'!$D$19,0))</f>
        <v>9</v>
      </c>
      <c r="AX17" s="308">
        <f>(IF('Water Report'!$S$21&gt;0,'Water Report'!$D$21,0))</f>
        <v>83</v>
      </c>
      <c r="AY17" s="308">
        <f>(IF('Water Report'!$S$22&gt;0,'Water Report'!$D$22,0))</f>
        <v>0</v>
      </c>
      <c r="AZ17" s="308">
        <f>(IF('Water Report'!$S$23&gt;0,'Water Report'!$D$23,0))</f>
        <v>0</v>
      </c>
      <c r="BA17" s="308">
        <f>(IF('Water Report'!$S$14&gt;0,'Water Report'!$D$14,0))</f>
        <v>9</v>
      </c>
      <c r="BB17" s="308">
        <f>(IF('Water Report'!$S$15&gt;0,'Water Report'!$D$15,0))</f>
        <v>10</v>
      </c>
      <c r="BC17" s="308">
        <f>(IF('Water Report'!$S$13&gt;0,'Water Report'!$D$13,0))</f>
        <v>31</v>
      </c>
      <c r="BD17" s="308">
        <f>(IF('Water Report'!$S$24&gt;0,'Water Report'!$D$24,0))</f>
        <v>199</v>
      </c>
      <c r="BE17" s="308">
        <f>(IF('Water Report'!$S$25&gt;0,'Water Report'!$D$25,0))</f>
        <v>148</v>
      </c>
      <c r="BF17" s="308">
        <f>(IF('Water Report'!$S$27&gt;0,'Water Report'!$D$27,0))</f>
        <v>114</v>
      </c>
      <c r="BG17" s="303">
        <f>(IF('Section Load'!AN20&gt;0,'Section Load'!AN20,0))</f>
        <v>978.88299999991432</v>
      </c>
      <c r="BH17" s="303">
        <f>(IF('Section Load'!AO20&gt;0,'Section Load'!AO20,0))</f>
        <v>290.60999999998603</v>
      </c>
      <c r="BI17" s="303">
        <f>(IF('Section Load'!AP20&gt;0,'Section Load'!AP20,0))</f>
        <v>0</v>
      </c>
      <c r="BJ17" s="303">
        <f>(IF('Section Load'!AQ20&gt;0,'Section Load'!AQ20,0))</f>
        <v>119.17800000001444</v>
      </c>
      <c r="BK17" s="303">
        <f>(IF('Section Load'!AR20&gt;0,'Section Load'!AR20,0))</f>
        <v>51.150000000001455</v>
      </c>
      <c r="BL17" s="303">
        <f>(IF('Section Load'!AS20&gt;0,'Section Load'!AS20,0))</f>
        <v>3.6000000000003638</v>
      </c>
      <c r="BM17" s="303">
        <f>(IF('Section Load'!AT20&gt;0,'Section Load'!AT20,0))</f>
        <v>514.34499999991203</v>
      </c>
    </row>
    <row r="18" spans="1:65" x14ac:dyDescent="0.25">
      <c r="A18" s="291" t="s">
        <v>268</v>
      </c>
      <c r="B18" s="292">
        <f t="shared" si="0"/>
        <v>17</v>
      </c>
      <c r="C18" s="292">
        <v>10</v>
      </c>
      <c r="D18" s="292">
        <v>2021</v>
      </c>
      <c r="E18" s="301">
        <f>(IF('Section Load'!F21&gt;0,'Section Load'!F21,0))</f>
        <v>4163.3199999999879</v>
      </c>
      <c r="F18" s="301">
        <f>(IF('Section Load'!G21&gt;0,'Section Load'!G21,0))</f>
        <v>1635.1999999999971</v>
      </c>
      <c r="G18" s="301">
        <f>(IF('Section Load'!H21&gt;0,'Section Load'!H21,0))</f>
        <v>1880.7200000000012</v>
      </c>
      <c r="H18" s="301">
        <f>(IF('Section Load'!I21&gt;0,'Section Load'!I21,0))</f>
        <v>4167.8999999999942</v>
      </c>
      <c r="I18" s="301">
        <f>(IF('Section Load'!J21&gt;0,'Section Load'!J21,0))</f>
        <v>6803.660000000149</v>
      </c>
      <c r="J18" s="301">
        <f>(IF('Section Load'!K21&gt;0,'Section Load'!K21,0))</f>
        <v>2564.6999999999534</v>
      </c>
      <c r="K18" s="301">
        <f>(IF('Section Load'!L21&gt;0,'Section Load'!L21,0))</f>
        <v>1251.7199999999721</v>
      </c>
      <c r="L18" s="301">
        <f>(IF('Section Load'!M21&gt;0,'Section Load'!M21,0))</f>
        <v>742.29999999999563</v>
      </c>
      <c r="M18" s="301">
        <f>(IF('Section Load'!N21&gt;0,'Section Load'!N21,0))</f>
        <v>0</v>
      </c>
      <c r="N18" s="301">
        <f>(IF('Section Load'!O21&gt;0,'Section Load'!O21,0))</f>
        <v>0</v>
      </c>
      <c r="O18" s="301">
        <f>(IF('Section Load'!P21&gt;0,'Section Load'!P21,0))</f>
        <v>3.7000000000116415</v>
      </c>
      <c r="P18" s="301">
        <f>(IF('Section Load'!Q21&gt;0,'Section Load'!Q21,0))</f>
        <v>178.69999999999709</v>
      </c>
      <c r="Q18" s="301">
        <f>(IF('Section Load'!R21&gt;0,'Section Load'!R21,0))</f>
        <v>68.809999999997672</v>
      </c>
      <c r="R18" s="301">
        <f>(IF('Section Load'!S21&gt;0,'Section Load'!S21,0))</f>
        <v>30.400000000000091</v>
      </c>
      <c r="S18" s="301">
        <f>(IF('Section Load'!T21&gt;0,'Section Load'!T21,0))</f>
        <v>346</v>
      </c>
      <c r="T18" s="301">
        <f>(IF('Section Load'!U21&gt;0,'Section Load'!U21,0))</f>
        <v>165</v>
      </c>
      <c r="U18" s="301">
        <f>(IF('Section Load'!V21&gt;0,'Section Load'!V21,0))</f>
        <v>434.67999999993481</v>
      </c>
      <c r="V18" s="301">
        <f>(IF('Section Load'!W21&gt;0,'Section Load'!W21,0))</f>
        <v>244.42000000004191</v>
      </c>
      <c r="W18" s="301">
        <f>(IF('Section Load'!X21&gt;0,'Section Load'!X21,0))</f>
        <v>26.769999999999982</v>
      </c>
      <c r="X18" s="301">
        <f>(IF('Section Load'!Y21&gt;0,'Section Load'!Y21,0))</f>
        <v>239.54000000000815</v>
      </c>
      <c r="Y18" s="301">
        <f>(IF('Section Load'!Z21&gt;0,'Section Load'!Z21,0))</f>
        <v>357</v>
      </c>
      <c r="Z18" s="301">
        <f>(IF('Section Load'!AA21&gt;0,'Section Load'!AA21,0))</f>
        <v>40.960000000020955</v>
      </c>
      <c r="AA18" s="301">
        <f>(IF('Section Load'!AB21&gt;0,'Section Load'!AB21,0))</f>
        <v>17.299999999988358</v>
      </c>
      <c r="AB18" s="301">
        <f>(IF('Section Load'!AC21&gt;0,'Section Load'!AC21,0))</f>
        <v>9.3800000000010186</v>
      </c>
      <c r="AC18" s="301">
        <f>(IF('Section Load'!AD21&gt;0,'Section Load'!AD21,0))</f>
        <v>225.69999999999436</v>
      </c>
      <c r="AD18" s="301">
        <f>(IF('Section Load'!AE21&gt;0,'Section Load'!AE21,0))</f>
        <v>0</v>
      </c>
      <c r="AE18" s="301">
        <f>(IF('Section Load'!AF21&gt;0,'Section Load'!AF21,0))</f>
        <v>29.919999999999959</v>
      </c>
      <c r="AF18" s="301">
        <f>(IF('Section Load'!AG21&gt;0,'Section Load'!AG21,0))</f>
        <v>344.82000000000698</v>
      </c>
      <c r="AG18" s="301">
        <f>(IF('Section Load'!AH21&gt;0,'Section Load'!AH21,0))</f>
        <v>415.54999999998836</v>
      </c>
      <c r="AH18" s="301">
        <f>(IF('Section Load'!AI21&gt;0,'Section Load'!AI21,0))</f>
        <v>407.51000000000022</v>
      </c>
      <c r="AI18" s="301">
        <f>(IF('Section Load'!AJ21&gt;0,'Section Load'!AJ21,0))</f>
        <v>646.05000000004657</v>
      </c>
      <c r="AJ18" s="301">
        <f>(IF('Section Load'!AK21&gt;0,'Section Load'!AK21,0))</f>
        <v>313.28900000000431</v>
      </c>
      <c r="AK18" s="301">
        <f>(IF('Section Load'!AL21&gt;0,'Section Load'!AL21,0))</f>
        <v>344.36999999999534</v>
      </c>
      <c r="AL18" s="301">
        <f>(IF('Section Load'!AM21&gt;0,'Section Load'!AM21,0))</f>
        <v>772.09999999999854</v>
      </c>
      <c r="AM18" s="302">
        <f>(IF('Water Report'!$T$7&gt;0,'Water Report'!$T$7,0))</f>
        <v>121</v>
      </c>
      <c r="AN18" s="302">
        <f>(IF('Water Report'!$T$8&gt;0,'Water Report'!$T$8,0))</f>
        <v>92</v>
      </c>
      <c r="AO18" s="302">
        <f>(IF('Water Report'!$T$9&gt;0,'Water Report'!$T$9,0))</f>
        <v>98</v>
      </c>
      <c r="AP18" s="302">
        <f>(IF('Water Report'!$T$10&gt;0,'Water Report'!$T$10,0))</f>
        <v>27</v>
      </c>
      <c r="AQ18" s="302">
        <f>(IF('Water Report'!$T$11&gt;0,'Water Report'!$T$11,0))</f>
        <v>33</v>
      </c>
      <c r="AR18" s="302">
        <f>(IF('Water Report'!$T$13&gt;0,'Water Report'!$T$13,0))</f>
        <v>50</v>
      </c>
      <c r="AS18" s="302">
        <f>(IF('Water Report'!$T$14&gt;0,'Water Report'!$T$14,0))</f>
        <v>13</v>
      </c>
      <c r="AT18" s="302">
        <f>(IF('Water Report'!$T$15&gt;0,'Water Report'!$T$15,0))</f>
        <v>16</v>
      </c>
      <c r="AU18" s="302">
        <f>(IF('Water Report'!$T$17&gt;0,'Water Report'!$T$17,0))</f>
        <v>0</v>
      </c>
      <c r="AV18" s="302">
        <f>(IF('Water Report'!$T$18&gt;0,'Water Report'!$T$18,0))</f>
        <v>11</v>
      </c>
      <c r="AW18" s="302">
        <f>(IF('Water Report'!$T$19&gt;0,'Water Report'!$T$19,0))</f>
        <v>9</v>
      </c>
      <c r="AX18" s="308">
        <f>(IF('Water Report'!$T$21&gt;0,'Water Report'!$T$21,0))</f>
        <v>106</v>
      </c>
      <c r="AY18" s="308">
        <f>(IF('Water Report'!$T$22&gt;0,'Water Report'!$T$22,0))</f>
        <v>0</v>
      </c>
      <c r="AZ18" s="308">
        <f>(IF('Water Report'!$T$23&gt;0,'Water Report'!$T$23,0))</f>
        <v>0</v>
      </c>
      <c r="BA18" s="308">
        <f>(IF('Water Report'!$T$14&gt;0,'Water Report'!$T$14,0))</f>
        <v>13</v>
      </c>
      <c r="BB18" s="308">
        <f>(IF('Water Report'!$T$15&gt;0,'Water Report'!$T$15,0))</f>
        <v>16</v>
      </c>
      <c r="BC18" s="308">
        <f>(IF('Water Report'!$T$13&gt;0,'Water Report'!$T$13,0))</f>
        <v>50</v>
      </c>
      <c r="BD18" s="308">
        <f>(IF('Water Report'!$T$24&gt;0,'Water Report'!$T$24,0))</f>
        <v>271</v>
      </c>
      <c r="BE18" s="308">
        <f>(IF('Water Report'!$T$25&gt;0,'Water Report'!$T$25,0))</f>
        <v>187</v>
      </c>
      <c r="BF18" s="308">
        <f>(IF('Water Report'!$T$27&gt;0,'Water Report'!$T$27,0))</f>
        <v>156</v>
      </c>
      <c r="BG18" s="303">
        <f>(IF('Section Load'!AN21&gt;0,'Section Load'!AN21,0))</f>
        <v>875</v>
      </c>
      <c r="BH18" s="303">
        <f>(IF('Section Load'!AO21&gt;0,'Section Load'!AO21,0))</f>
        <v>303.26000000000931</v>
      </c>
      <c r="BI18" s="303">
        <f>(IF('Section Load'!AP21&gt;0,'Section Load'!AP21,0))</f>
        <v>0</v>
      </c>
      <c r="BJ18" s="303">
        <f>(IF('Section Load'!AQ21&gt;0,'Section Load'!AQ21,0))</f>
        <v>93.74199999999837</v>
      </c>
      <c r="BK18" s="303">
        <f>(IF('Section Load'!AR21&gt;0,'Section Load'!AR21,0))</f>
        <v>46.650000000001455</v>
      </c>
      <c r="BL18" s="303">
        <f>(IF('Section Load'!AS21&gt;0,'Section Load'!AS21,0))</f>
        <v>2</v>
      </c>
      <c r="BM18" s="303">
        <f>(IF('Section Load'!AT21&gt;0,'Section Load'!AT21,0))</f>
        <v>429.34799999999086</v>
      </c>
    </row>
    <row r="19" spans="1:65" x14ac:dyDescent="0.25">
      <c r="A19" s="291" t="s">
        <v>268</v>
      </c>
      <c r="B19" s="292">
        <f t="shared" si="0"/>
        <v>18</v>
      </c>
      <c r="C19" s="292">
        <v>10</v>
      </c>
      <c r="D19" s="292">
        <v>2021</v>
      </c>
      <c r="E19" s="301">
        <f>(IF('Section Load'!F22&gt;0,'Section Load'!F22,0))</f>
        <v>1321112.54</v>
      </c>
      <c r="F19" s="301">
        <f>(IF('Section Load'!G22&gt;0,'Section Load'!G22,0))</f>
        <v>64161.130000000005</v>
      </c>
      <c r="G19" s="301">
        <f>(IF('Section Load'!H22&gt;0,'Section Load'!H22,0))</f>
        <v>454831.4</v>
      </c>
      <c r="H19" s="301">
        <f>(IF('Section Load'!I22&gt;0,'Section Load'!I22,0))</f>
        <v>877442.97</v>
      </c>
      <c r="I19" s="301">
        <f>(IF('Section Load'!J22&gt;0,'Section Load'!J22,0))</f>
        <v>0</v>
      </c>
      <c r="J19" s="301">
        <f>(IF('Section Load'!K22&gt;0,'Section Load'!K22,0))</f>
        <v>0</v>
      </c>
      <c r="K19" s="301">
        <f>(IF('Section Load'!L22&gt;0,'Section Load'!L22,0))</f>
        <v>0</v>
      </c>
      <c r="L19" s="301">
        <f>(IF('Section Load'!M22&gt;0,'Section Load'!M22,0))</f>
        <v>0</v>
      </c>
      <c r="M19" s="301">
        <f>(IF('Section Load'!N22&gt;0,'Section Load'!N22,0))</f>
        <v>0</v>
      </c>
      <c r="N19" s="301">
        <f>(IF('Section Load'!O22&gt;0,'Section Load'!O22,0))</f>
        <v>0</v>
      </c>
      <c r="O19" s="301">
        <f>(IF('Section Load'!P22&gt;0,'Section Load'!P22,0))</f>
        <v>0</v>
      </c>
      <c r="P19" s="301">
        <f>(IF('Section Load'!Q22&gt;0,'Section Load'!Q22,0))</f>
        <v>0</v>
      </c>
      <c r="Q19" s="301">
        <f>(IF('Section Load'!R22&gt;0,'Section Load'!R22,0))</f>
        <v>0</v>
      </c>
      <c r="R19" s="301">
        <f>(IF('Section Load'!S22&gt;0,'Section Load'!S22,0))</f>
        <v>0</v>
      </c>
      <c r="S19" s="301">
        <f>(IF('Section Load'!T22&gt;0,'Section Load'!T22,0))</f>
        <v>0</v>
      </c>
      <c r="T19" s="301">
        <f>(IF('Section Load'!U22&gt;0,'Section Load'!U22,0))</f>
        <v>0</v>
      </c>
      <c r="U19" s="301">
        <f>(IF('Section Load'!V22&gt;0,'Section Load'!V22,0))</f>
        <v>0</v>
      </c>
      <c r="V19" s="301">
        <f>(IF('Section Load'!W22&gt;0,'Section Load'!W22,0))</f>
        <v>0</v>
      </c>
      <c r="W19" s="301">
        <f>(IF('Section Load'!X22&gt;0,'Section Load'!X22,0))</f>
        <v>0</v>
      </c>
      <c r="X19" s="301">
        <f>(IF('Section Load'!Y22&gt;0,'Section Load'!Y22,0))</f>
        <v>0</v>
      </c>
      <c r="Y19" s="301">
        <f>(IF('Section Load'!Z22&gt;0,'Section Load'!Z22,0))</f>
        <v>0</v>
      </c>
      <c r="Z19" s="301">
        <f>(IF('Section Load'!AA22&gt;0,'Section Load'!AA22,0))</f>
        <v>0</v>
      </c>
      <c r="AA19" s="301">
        <f>(IF('Section Load'!AB22&gt;0,'Section Load'!AB22,0))</f>
        <v>0</v>
      </c>
      <c r="AB19" s="301">
        <f>(IF('Section Load'!AC22&gt;0,'Section Load'!AC22,0))</f>
        <v>0</v>
      </c>
      <c r="AC19" s="301">
        <f>(IF('Section Load'!AD22&gt;0,'Section Load'!AD22,0))</f>
        <v>0</v>
      </c>
      <c r="AD19" s="301">
        <f>(IF('Section Load'!AE22&gt;0,'Section Load'!AE22,0))</f>
        <v>44933</v>
      </c>
      <c r="AE19" s="301">
        <f>(IF('Section Load'!AF22&gt;0,'Section Load'!AF22,0))</f>
        <v>44108.98</v>
      </c>
      <c r="AF19" s="301">
        <f>(IF('Section Load'!AG22&gt;0,'Section Load'!AG22,0))</f>
        <v>0</v>
      </c>
      <c r="AG19" s="301">
        <f>(IF('Section Load'!AH22&gt;0,'Section Load'!AH22,0))</f>
        <v>0</v>
      </c>
      <c r="AH19" s="301">
        <f>(IF('Section Load'!AI22&gt;0,'Section Load'!AI22,0))</f>
        <v>32509.510000000002</v>
      </c>
      <c r="AI19" s="301">
        <f>(IF('Section Load'!AJ22&gt;0,'Section Load'!AJ22,0))</f>
        <v>0</v>
      </c>
      <c r="AJ19" s="301">
        <f>(IF('Section Load'!AK22&gt;0,'Section Load'!AK22,0))</f>
        <v>0</v>
      </c>
      <c r="AK19" s="301">
        <f>(IF('Section Load'!AL22&gt;0,'Section Load'!AL22,0))</f>
        <v>0</v>
      </c>
      <c r="AL19" s="301">
        <f>(IF('Section Load'!AM22&gt;0,'Section Load'!AM22,0))</f>
        <v>0</v>
      </c>
      <c r="AM19" s="302">
        <f>(IF('Water Report'!$U$7&gt;0,'Water Report'!$U$7,0))</f>
        <v>0</v>
      </c>
      <c r="AN19" s="302">
        <f>(IF('Water Report'!$U$8&gt;0,'Water Report'!$U$8,0))</f>
        <v>0</v>
      </c>
      <c r="AO19" s="302">
        <f>(IF('Water Report'!$U$9&gt;0,'Water Report'!$U$9,0))</f>
        <v>0</v>
      </c>
      <c r="AP19" s="302">
        <f>(IF('Water Report'!$U$10&gt;0,'Water Report'!$U$10,0))</f>
        <v>0</v>
      </c>
      <c r="AQ19" s="302">
        <f>(IF('Water Report'!$U$11&gt;0,'Water Report'!$U$11,0))</f>
        <v>0</v>
      </c>
      <c r="AR19" s="302">
        <f>(IF('Water Report'!$U$13&gt;0,'Water Report'!$U$13,0))</f>
        <v>0</v>
      </c>
      <c r="AS19" s="302">
        <f>(IF('Water Report'!$U$14&gt;0,'Water Report'!$U$14,0))</f>
        <v>0</v>
      </c>
      <c r="AT19" s="302">
        <f>(IF('Water Report'!$U$15&gt;0,'Water Report'!$U$15,0))</f>
        <v>0</v>
      </c>
      <c r="AU19" s="302">
        <f>(IF('Water Report'!$U$17&gt;0,'Water Report'!$U$17,0))</f>
        <v>63</v>
      </c>
      <c r="AV19" s="302">
        <f>(IF('Water Report'!$U$18&gt;0,'Water Report'!$U$18,0))</f>
        <v>0</v>
      </c>
      <c r="AW19" s="302">
        <f>(IF('Water Report'!$U$19&gt;0,'Water Report'!$U$19,0))</f>
        <v>0</v>
      </c>
      <c r="AX19" s="308">
        <f>(IF('Water Report'!$U$21&gt;0,'Water Report'!$U$21,0))</f>
        <v>0</v>
      </c>
      <c r="AY19" s="308">
        <f>(IF('Water Report'!$U$22&gt;0,'Water Report'!$U$22,0))</f>
        <v>0</v>
      </c>
      <c r="AZ19" s="308">
        <f>(IF('Water Report'!$U$23&gt;0,'Water Report'!$U$23,0))</f>
        <v>0</v>
      </c>
      <c r="BA19" s="308">
        <f>(IF('Water Report'!$U$14&gt;0,'Water Report'!$U$14,0))</f>
        <v>0</v>
      </c>
      <c r="BB19" s="308">
        <f>(IF('Water Report'!$U$15&gt;0,'Water Report'!$U$15,0))</f>
        <v>0</v>
      </c>
      <c r="BC19" s="308">
        <f>(IF('Water Report'!$U$13&gt;0,'Water Report'!$U$13,0))</f>
        <v>0</v>
      </c>
      <c r="BD19" s="308">
        <f>(IF('Water Report'!$U$24&gt;0,'Water Report'!$U$24,0))</f>
        <v>200</v>
      </c>
      <c r="BE19" s="308">
        <f>(IF('Water Report'!$U$25&gt;0,'Water Report'!$U$25,0))</f>
        <v>0</v>
      </c>
      <c r="BF19" s="308">
        <f>(IF('Water Report'!$U$27&gt;0,'Water Report'!$U$27,0))</f>
        <v>0</v>
      </c>
      <c r="BG19" s="303">
        <f>(IF('Section Load'!AN22&gt;0,'Section Load'!AN22,0))</f>
        <v>875</v>
      </c>
      <c r="BH19" s="303">
        <f>(IF('Section Load'!AO22&gt;0,'Section Load'!AO22,0))</f>
        <v>0</v>
      </c>
      <c r="BI19" s="303">
        <f>(IF('Section Load'!AP22&gt;0,'Section Load'!AP22,0))</f>
        <v>0</v>
      </c>
      <c r="BJ19" s="303">
        <f>(IF('Section Load'!AQ22&gt;0,'Section Load'!AQ22,0))</f>
        <v>0</v>
      </c>
      <c r="BK19" s="303">
        <f>(IF('Section Load'!AR22&gt;0,'Section Load'!AR22,0))</f>
        <v>0</v>
      </c>
      <c r="BL19" s="303">
        <f>(IF('Section Load'!AS22&gt;0,'Section Load'!AS22,0))</f>
        <v>0</v>
      </c>
      <c r="BM19" s="303">
        <f>(IF('Section Load'!AT22&gt;0,'Section Load'!AT22,0))</f>
        <v>20834.19000000001</v>
      </c>
    </row>
    <row r="20" spans="1:65" x14ac:dyDescent="0.25">
      <c r="A20" s="291" t="s">
        <v>268</v>
      </c>
      <c r="B20" s="292">
        <f t="shared" si="0"/>
        <v>19</v>
      </c>
      <c r="C20" s="292">
        <v>10</v>
      </c>
      <c r="D20" s="292">
        <v>2021</v>
      </c>
      <c r="E20" s="301">
        <f>(IF('Section Load'!F23&gt;0,'Section Load'!F23,0))</f>
        <v>1321112.54</v>
      </c>
      <c r="F20" s="301">
        <f>(IF('Section Load'!G23&gt;0,'Section Load'!G23,0))</f>
        <v>64161.130000000005</v>
      </c>
      <c r="G20" s="301">
        <f>(IF('Section Load'!H23&gt;0,'Section Load'!H23,0))</f>
        <v>454831.4</v>
      </c>
      <c r="H20" s="301">
        <f>(IF('Section Load'!I23&gt;0,'Section Load'!I23,0))</f>
        <v>877442.97</v>
      </c>
      <c r="I20" s="301">
        <f>(IF('Section Load'!J23&gt;0,'Section Load'!J23,0))</f>
        <v>0</v>
      </c>
      <c r="J20" s="301">
        <f>(IF('Section Load'!K23&gt;0,'Section Load'!K23,0))</f>
        <v>0</v>
      </c>
      <c r="K20" s="301">
        <f>(IF('Section Load'!L23&gt;0,'Section Load'!L23,0))</f>
        <v>0</v>
      </c>
      <c r="L20" s="301">
        <f>(IF('Section Load'!M23&gt;0,'Section Load'!M23,0))</f>
        <v>0</v>
      </c>
      <c r="M20" s="301">
        <f>(IF('Section Load'!N23&gt;0,'Section Load'!N23,0))</f>
        <v>0</v>
      </c>
      <c r="N20" s="301">
        <f>(IF('Section Load'!O23&gt;0,'Section Load'!O23,0))</f>
        <v>0</v>
      </c>
      <c r="O20" s="301">
        <f>(IF('Section Load'!P23&gt;0,'Section Load'!P23,0))</f>
        <v>0</v>
      </c>
      <c r="P20" s="301">
        <f>(IF('Section Load'!Q23&gt;0,'Section Load'!Q23,0))</f>
        <v>0</v>
      </c>
      <c r="Q20" s="301">
        <f>(IF('Section Load'!R23&gt;0,'Section Load'!R23,0))</f>
        <v>0</v>
      </c>
      <c r="R20" s="301">
        <f>(IF('Section Load'!S23&gt;0,'Section Load'!S23,0))</f>
        <v>0</v>
      </c>
      <c r="S20" s="301">
        <f>(IF('Section Load'!T23&gt;0,'Section Load'!T23,0))</f>
        <v>0</v>
      </c>
      <c r="T20" s="301">
        <f>(IF('Section Load'!U23&gt;0,'Section Load'!U23,0))</f>
        <v>0</v>
      </c>
      <c r="U20" s="301">
        <f>(IF('Section Load'!V23&gt;0,'Section Load'!V23,0))</f>
        <v>0</v>
      </c>
      <c r="V20" s="301">
        <f>(IF('Section Load'!W23&gt;0,'Section Load'!W23,0))</f>
        <v>0</v>
      </c>
      <c r="W20" s="301">
        <f>(IF('Section Load'!X23&gt;0,'Section Load'!X23,0))</f>
        <v>0</v>
      </c>
      <c r="X20" s="301">
        <f>(IF('Section Load'!Y23&gt;0,'Section Load'!Y23,0))</f>
        <v>0</v>
      </c>
      <c r="Y20" s="301">
        <f>(IF('Section Load'!Z23&gt;0,'Section Load'!Z23,0))</f>
        <v>0</v>
      </c>
      <c r="Z20" s="301">
        <f>(IF('Section Load'!AA23&gt;0,'Section Load'!AA23,0))</f>
        <v>0</v>
      </c>
      <c r="AA20" s="301">
        <f>(IF('Section Load'!AB23&gt;0,'Section Load'!AB23,0))</f>
        <v>0</v>
      </c>
      <c r="AB20" s="301">
        <f>(IF('Section Load'!AC23&gt;0,'Section Load'!AC23,0))</f>
        <v>0</v>
      </c>
      <c r="AC20" s="301">
        <f>(IF('Section Load'!AD23&gt;0,'Section Load'!AD23,0))</f>
        <v>0</v>
      </c>
      <c r="AD20" s="301">
        <f>(IF('Section Load'!AE23&gt;0,'Section Load'!AE23,0))</f>
        <v>44933</v>
      </c>
      <c r="AE20" s="301">
        <f>(IF('Section Load'!AF23&gt;0,'Section Load'!AF23,0))</f>
        <v>44108.98</v>
      </c>
      <c r="AF20" s="301">
        <f>(IF('Section Load'!AG23&gt;0,'Section Load'!AG23,0))</f>
        <v>0</v>
      </c>
      <c r="AG20" s="301">
        <f>(IF('Section Load'!AH23&gt;0,'Section Load'!AH23,0))</f>
        <v>0</v>
      </c>
      <c r="AH20" s="301">
        <f>(IF('Section Load'!AI23&gt;0,'Section Load'!AI23,0))</f>
        <v>32509.510000000002</v>
      </c>
      <c r="AI20" s="301">
        <f>(IF('Section Load'!AJ23&gt;0,'Section Load'!AJ23,0))</f>
        <v>0</v>
      </c>
      <c r="AJ20" s="301">
        <f>(IF('Section Load'!AK23&gt;0,'Section Load'!AK23,0))</f>
        <v>0</v>
      </c>
      <c r="AK20" s="301">
        <f>(IF('Section Load'!AL23&gt;0,'Section Load'!AL23,0))</f>
        <v>0</v>
      </c>
      <c r="AL20" s="301">
        <f>(IF('Section Load'!AM23&gt;0,'Section Load'!AM23,0))</f>
        <v>0</v>
      </c>
      <c r="AM20" s="302">
        <f>(IF('Water Report'!$V$7&gt;0,'Water Report'!$V$7,0))</f>
        <v>0</v>
      </c>
      <c r="AN20" s="302">
        <f>(IF('Water Report'!$V$8&gt;0,'Water Report'!$V$8,0))</f>
        <v>0</v>
      </c>
      <c r="AO20" s="302">
        <f>(IF('Water Report'!$V$9&gt;0,'Water Report'!$V$9,0))</f>
        <v>0</v>
      </c>
      <c r="AP20" s="302">
        <f>(IF('Water Report'!$V$10&gt;0,'Water Report'!$V$10,0))</f>
        <v>0</v>
      </c>
      <c r="AQ20" s="302">
        <f>(IF('Water Report'!$V$11&gt;0,'Water Report'!$V$11,0))</f>
        <v>0</v>
      </c>
      <c r="AR20" s="302">
        <f>(IF('Water Report'!$V$13&gt;0,'Water Report'!$V$13,0))</f>
        <v>0</v>
      </c>
      <c r="AS20" s="302">
        <f>(IF('Water Report'!$V$14&gt;0,'Water Report'!$V$14,0))</f>
        <v>0</v>
      </c>
      <c r="AT20" s="302">
        <f>(IF('Water Report'!$V$15&gt;0,'Water Report'!$V$15,0))</f>
        <v>0</v>
      </c>
      <c r="AU20" s="302">
        <f>(IF('Water Report'!$V$17&gt;0,'Water Report'!$V$17,0))</f>
        <v>63</v>
      </c>
      <c r="AV20" s="302">
        <f>(IF('Water Report'!$V$18&gt;0,'Water Report'!$V$18,0))</f>
        <v>0</v>
      </c>
      <c r="AW20" s="302">
        <f>(IF('Water Report'!$V$19&gt;0,'Water Report'!$V$19,0))</f>
        <v>0</v>
      </c>
      <c r="AX20" s="308">
        <f>(IF('Water Report'!$V$21&gt;0,'Water Report'!$V$21,0))</f>
        <v>0</v>
      </c>
      <c r="AY20" s="308">
        <f>(IF('Water Report'!$V$22&gt;0,'Water Report'!$V$22,0))</f>
        <v>0</v>
      </c>
      <c r="AZ20" s="308">
        <f>(IF('Water Report'!$V$23&gt;0,'Water Report'!$V$23,0))</f>
        <v>0</v>
      </c>
      <c r="BA20" s="308">
        <f>(IF('Water Report'!$V$14&gt;0,'Water Report'!$V$14,0))</f>
        <v>0</v>
      </c>
      <c r="BB20" s="308">
        <f>(IF('Water Report'!$V$15&gt;0,'Water Report'!$V$15,0))</f>
        <v>0</v>
      </c>
      <c r="BC20" s="308">
        <f>(IF('Water Report'!$V$13&gt;0,'Water Report'!$V$13,0))</f>
        <v>0</v>
      </c>
      <c r="BD20" s="308">
        <f>(IF('Water Report'!$V$24&gt;0,'Water Report'!$V$24,0))</f>
        <v>200</v>
      </c>
      <c r="BE20" s="308">
        <f>(IF('Water Report'!$V$25&gt;0,'Water Report'!$V$25,0))</f>
        <v>0</v>
      </c>
      <c r="BF20" s="308">
        <f>(IF('Water Report'!$V$27&gt;0,'Water Report'!$V$27,0))</f>
        <v>0</v>
      </c>
      <c r="BG20" s="303">
        <f>(IF('Section Load'!AN23&gt;0,'Section Load'!AN23,0))</f>
        <v>875</v>
      </c>
      <c r="BH20" s="303">
        <f>(IF('Section Load'!AO23&gt;0,'Section Load'!AO23,0))</f>
        <v>0</v>
      </c>
      <c r="BI20" s="303">
        <f>(IF('Section Load'!AP23&gt;0,'Section Load'!AP23,0))</f>
        <v>0</v>
      </c>
      <c r="BJ20" s="303">
        <f>(IF('Section Load'!AQ23&gt;0,'Section Load'!AQ23,0))</f>
        <v>0</v>
      </c>
      <c r="BK20" s="303">
        <f>(IF('Section Load'!AR23&gt;0,'Section Load'!AR23,0))</f>
        <v>0</v>
      </c>
      <c r="BL20" s="303">
        <f>(IF('Section Load'!AS23&gt;0,'Section Load'!AS23,0))</f>
        <v>0</v>
      </c>
      <c r="BM20" s="303">
        <f>(IF('Section Load'!AT23&gt;0,'Section Load'!AT23,0))</f>
        <v>20834.19000000001</v>
      </c>
    </row>
    <row r="21" spans="1:65" x14ac:dyDescent="0.25">
      <c r="A21" s="291" t="s">
        <v>268</v>
      </c>
      <c r="B21" s="292">
        <f t="shared" si="0"/>
        <v>20</v>
      </c>
      <c r="C21" s="292">
        <v>10</v>
      </c>
      <c r="D21" s="292">
        <v>2021</v>
      </c>
      <c r="E21" s="301">
        <f>(IF('Section Load'!F24&gt;0,'Section Load'!F24,0))</f>
        <v>0</v>
      </c>
      <c r="F21" s="301">
        <f>(IF('Section Load'!G24&gt;0,'Section Load'!G24,0))</f>
        <v>0</v>
      </c>
      <c r="G21" s="301">
        <f>(IF('Section Load'!H24&gt;0,'Section Load'!H24,0))</f>
        <v>0</v>
      </c>
      <c r="H21" s="301">
        <f>(IF('Section Load'!I24&gt;0,'Section Load'!I24,0))</f>
        <v>0</v>
      </c>
      <c r="I21" s="301">
        <f>(IF('Section Load'!J24&gt;0,'Section Load'!J24,0))</f>
        <v>0</v>
      </c>
      <c r="J21" s="301">
        <f>(IF('Section Load'!K24&gt;0,'Section Load'!K24,0))</f>
        <v>0</v>
      </c>
      <c r="K21" s="301">
        <f>(IF('Section Load'!L24&gt;0,'Section Load'!L24,0))</f>
        <v>0</v>
      </c>
      <c r="L21" s="301">
        <f>(IF('Section Load'!M24&gt;0,'Section Load'!M24,0))</f>
        <v>0</v>
      </c>
      <c r="M21" s="301">
        <f>(IF('Section Load'!N24&gt;0,'Section Load'!N24,0))</f>
        <v>0</v>
      </c>
      <c r="N21" s="301">
        <f>(IF('Section Load'!O24&gt;0,'Section Load'!O24,0))</f>
        <v>0</v>
      </c>
      <c r="O21" s="301">
        <f>(IF('Section Load'!P24&gt;0,'Section Load'!P24,0))</f>
        <v>0</v>
      </c>
      <c r="P21" s="301">
        <f>(IF('Section Load'!Q24&gt;0,'Section Load'!Q24,0))</f>
        <v>0</v>
      </c>
      <c r="Q21" s="301">
        <f>(IF('Section Load'!R24&gt;0,'Section Load'!R24,0))</f>
        <v>0</v>
      </c>
      <c r="R21" s="301">
        <f>(IF('Section Load'!S24&gt;0,'Section Load'!S24,0))</f>
        <v>0</v>
      </c>
      <c r="S21" s="301">
        <f>(IF('Section Load'!T24&gt;0,'Section Load'!T24,0))</f>
        <v>0</v>
      </c>
      <c r="T21" s="301">
        <f>(IF('Section Load'!U24&gt;0,'Section Load'!U24,0))</f>
        <v>0</v>
      </c>
      <c r="U21" s="301">
        <f>(IF('Section Load'!V24&gt;0,'Section Load'!V24,0))</f>
        <v>0</v>
      </c>
      <c r="V21" s="301">
        <f>(IF('Section Load'!W24&gt;0,'Section Load'!W24,0))</f>
        <v>0</v>
      </c>
      <c r="W21" s="301">
        <f>(IF('Section Load'!X24&gt;0,'Section Load'!X24,0))</f>
        <v>0</v>
      </c>
      <c r="X21" s="301">
        <f>(IF('Section Load'!Y24&gt;0,'Section Load'!Y24,0))</f>
        <v>0</v>
      </c>
      <c r="Y21" s="301">
        <f>(IF('Section Load'!Z24&gt;0,'Section Load'!Z24,0))</f>
        <v>0</v>
      </c>
      <c r="Z21" s="301">
        <f>(IF('Section Load'!AA24&gt;0,'Section Load'!AA24,0))</f>
        <v>0</v>
      </c>
      <c r="AA21" s="301">
        <f>(IF('Section Load'!AB24&gt;0,'Section Load'!AB24,0))</f>
        <v>0</v>
      </c>
      <c r="AB21" s="301">
        <f>(IF('Section Load'!AC24&gt;0,'Section Load'!AC24,0))</f>
        <v>0</v>
      </c>
      <c r="AC21" s="301">
        <f>(IF('Section Load'!AD24&gt;0,'Section Load'!AD24,0))</f>
        <v>0</v>
      </c>
      <c r="AD21" s="301">
        <f>(IF('Section Load'!AE24&gt;0,'Section Load'!AE24,0))</f>
        <v>0</v>
      </c>
      <c r="AE21" s="301">
        <f>(IF('Section Load'!AF24&gt;0,'Section Load'!AF24,0))</f>
        <v>0</v>
      </c>
      <c r="AF21" s="301">
        <f>(IF('Section Load'!AG24&gt;0,'Section Load'!AG24,0))</f>
        <v>0</v>
      </c>
      <c r="AG21" s="301">
        <f>(IF('Section Load'!AH24&gt;0,'Section Load'!AH24,0))</f>
        <v>0</v>
      </c>
      <c r="AH21" s="301">
        <f>(IF('Section Load'!AI24&gt;0,'Section Load'!AI24,0))</f>
        <v>0</v>
      </c>
      <c r="AI21" s="301">
        <f>(IF('Section Load'!AJ24&gt;0,'Section Load'!AJ24,0))</f>
        <v>0</v>
      </c>
      <c r="AJ21" s="301">
        <f>(IF('Section Load'!AK24&gt;0,'Section Load'!AK24,0))</f>
        <v>0</v>
      </c>
      <c r="AK21" s="301">
        <f>(IF('Section Load'!AL24&gt;0,'Section Load'!AL24,0))</f>
        <v>0</v>
      </c>
      <c r="AL21" s="301">
        <f>(IF('Section Load'!AM24&gt;0,'Section Load'!AM24,0))</f>
        <v>0</v>
      </c>
      <c r="AM21" s="302">
        <f>(IF('Water Report'!$W$7&gt;0,'Water Report'!$W$7,0))</f>
        <v>0</v>
      </c>
      <c r="AN21" s="302">
        <f>(IF('Water Report'!$W$8&gt;0,'Water Report'!$W$8,0))</f>
        <v>0</v>
      </c>
      <c r="AO21" s="302">
        <f>(IF('Water Report'!$W$9&gt;0,'Water Report'!$W$9,0))</f>
        <v>0</v>
      </c>
      <c r="AP21" s="302">
        <f>(IF('Water Report'!$W$10&gt;0,'Water Report'!$W$10,0))</f>
        <v>0</v>
      </c>
      <c r="AQ21" s="302">
        <f>(IF('Water Report'!$W$11&gt;0,'Water Report'!$W$11,0))</f>
        <v>0</v>
      </c>
      <c r="AR21" s="302">
        <f>(IF('Water Report'!$W$13&gt;0,'Water Report'!$W$13,0))</f>
        <v>0</v>
      </c>
      <c r="AS21" s="302">
        <f>(IF('Water Report'!$W$14&gt;0,'Water Report'!$W$14,0))</f>
        <v>0</v>
      </c>
      <c r="AT21" s="302">
        <f>(IF('Water Report'!$W$15&gt;0,'Water Report'!$W$15,0))</f>
        <v>0</v>
      </c>
      <c r="AU21" s="302">
        <f>(IF('Water Report'!$W$17&gt;0,'Water Report'!$W$17,0))</f>
        <v>0</v>
      </c>
      <c r="AV21" s="302">
        <f>(IF('Water Report'!$W$18&gt;0,'Water Report'!$W$18,0))</f>
        <v>0</v>
      </c>
      <c r="AW21" s="302">
        <f>(IF('Water Report'!$W$19&gt;0,'Water Report'!$W$19,0))</f>
        <v>0</v>
      </c>
      <c r="AX21" s="308">
        <f>(IF('Water Report'!$W$21&gt;0,'Water Report'!$W$21,0))</f>
        <v>0</v>
      </c>
      <c r="AY21" s="308">
        <f>(IF('Water Report'!$W$22&gt;0,'Water Report'!$W$22,0))</f>
        <v>0</v>
      </c>
      <c r="AZ21" s="308">
        <f>(IF('Water Report'!$W$23&gt;0,'Water Report'!$W$23,0))</f>
        <v>0</v>
      </c>
      <c r="BA21" s="308">
        <f>(IF('Water Report'!$W$14&gt;0,'Water Report'!$W$14,0))</f>
        <v>0</v>
      </c>
      <c r="BB21" s="308">
        <f>(IF('Water Report'!$W$15&gt;0,'Water Report'!$W$15,0))</f>
        <v>0</v>
      </c>
      <c r="BC21" s="308">
        <f>(IF('Water Report'!$W$13&gt;0,'Water Report'!$W$13,0))</f>
        <v>0</v>
      </c>
      <c r="BD21" s="308">
        <f>(IF('Water Report'!$W$24&gt;0,'Water Report'!$W$24,0))</f>
        <v>200</v>
      </c>
      <c r="BE21" s="308">
        <f>(IF('Water Report'!$W$25&gt;0,'Water Report'!$W$25,0))</f>
        <v>0</v>
      </c>
      <c r="BF21" s="308">
        <f>(IF('Water Report'!$W$27&gt;0,'Water Report'!$W$27,0))</f>
        <v>0</v>
      </c>
      <c r="BG21" s="303">
        <f>(IF('Section Load'!AN24&gt;0,'Section Load'!AN24,0))</f>
        <v>875</v>
      </c>
      <c r="BH21" s="303">
        <f>(IF('Section Load'!AO24&gt;0,'Section Load'!AO24,0))</f>
        <v>0</v>
      </c>
      <c r="BI21" s="303">
        <f>(IF('Section Load'!AP24&gt;0,'Section Load'!AP24,0))</f>
        <v>0</v>
      </c>
      <c r="BJ21" s="303">
        <f>(IF('Section Load'!AQ24&gt;0,'Section Load'!AQ24,0))</f>
        <v>0</v>
      </c>
      <c r="BK21" s="303">
        <f>(IF('Section Load'!AR24&gt;0,'Section Load'!AR24,0))</f>
        <v>0</v>
      </c>
      <c r="BL21" s="303">
        <f>(IF('Section Load'!AS24&gt;0,'Section Load'!AS24,0))</f>
        <v>0</v>
      </c>
      <c r="BM21" s="303">
        <f>(IF('Section Load'!AT24&gt;0,'Section Load'!AT24,0))</f>
        <v>875</v>
      </c>
    </row>
    <row r="22" spans="1:65" x14ac:dyDescent="0.25">
      <c r="A22" s="291" t="s">
        <v>268</v>
      </c>
      <c r="B22" s="292">
        <f t="shared" si="0"/>
        <v>21</v>
      </c>
      <c r="C22" s="292">
        <v>10</v>
      </c>
      <c r="D22" s="292">
        <v>2021</v>
      </c>
      <c r="E22" s="301">
        <f>(IF('Section Load'!F25&gt;0,'Section Load'!F25,0))</f>
        <v>0</v>
      </c>
      <c r="F22" s="301">
        <f>(IF('Section Load'!G25&gt;0,'Section Load'!G25,0))</f>
        <v>0</v>
      </c>
      <c r="G22" s="301">
        <f>(IF('Section Load'!H25&gt;0,'Section Load'!H25,0))</f>
        <v>0</v>
      </c>
      <c r="H22" s="301">
        <f>(IF('Section Load'!I25&gt;0,'Section Load'!I25,0))</f>
        <v>0</v>
      </c>
      <c r="I22" s="301">
        <f>(IF('Section Load'!J25&gt;0,'Section Load'!J25,0))</f>
        <v>0</v>
      </c>
      <c r="J22" s="301">
        <f>(IF('Section Load'!K25&gt;0,'Section Load'!K25,0))</f>
        <v>0</v>
      </c>
      <c r="K22" s="301">
        <f>(IF('Section Load'!L25&gt;0,'Section Load'!L25,0))</f>
        <v>0</v>
      </c>
      <c r="L22" s="301">
        <f>(IF('Section Load'!M25&gt;0,'Section Load'!M25,0))</f>
        <v>0</v>
      </c>
      <c r="M22" s="301">
        <f>(IF('Section Load'!N25&gt;0,'Section Load'!N25,0))</f>
        <v>0</v>
      </c>
      <c r="N22" s="301">
        <f>(IF('Section Load'!O25&gt;0,'Section Load'!O25,0))</f>
        <v>0</v>
      </c>
      <c r="O22" s="301">
        <f>(IF('Section Load'!P25&gt;0,'Section Load'!P25,0))</f>
        <v>0</v>
      </c>
      <c r="P22" s="301">
        <f>(IF('Section Load'!Q25&gt;0,'Section Load'!Q25,0))</f>
        <v>0</v>
      </c>
      <c r="Q22" s="301">
        <f>(IF('Section Load'!R25&gt;0,'Section Load'!R25,0))</f>
        <v>0</v>
      </c>
      <c r="R22" s="301">
        <f>(IF('Section Load'!S25&gt;0,'Section Load'!S25,0))</f>
        <v>0</v>
      </c>
      <c r="S22" s="301">
        <f>(IF('Section Load'!T25&gt;0,'Section Load'!T25,0))</f>
        <v>0</v>
      </c>
      <c r="T22" s="301">
        <f>(IF('Section Load'!U25&gt;0,'Section Load'!U25,0))</f>
        <v>0</v>
      </c>
      <c r="U22" s="301">
        <f>(IF('Section Load'!V25&gt;0,'Section Load'!V25,0))</f>
        <v>0</v>
      </c>
      <c r="V22" s="301">
        <f>(IF('Section Load'!W25&gt;0,'Section Load'!W25,0))</f>
        <v>0</v>
      </c>
      <c r="W22" s="301">
        <f>(IF('Section Load'!X25&gt;0,'Section Load'!X25,0))</f>
        <v>0</v>
      </c>
      <c r="X22" s="301">
        <f>(IF('Section Load'!Y25&gt;0,'Section Load'!Y25,0))</f>
        <v>0</v>
      </c>
      <c r="Y22" s="301">
        <f>(IF('Section Load'!Z25&gt;0,'Section Load'!Z25,0))</f>
        <v>0</v>
      </c>
      <c r="Z22" s="301">
        <f>(IF('Section Load'!AA25&gt;0,'Section Load'!AA25,0))</f>
        <v>0</v>
      </c>
      <c r="AA22" s="301">
        <f>(IF('Section Load'!AB25&gt;0,'Section Load'!AB25,0))</f>
        <v>0</v>
      </c>
      <c r="AB22" s="301">
        <f>(IF('Section Load'!AC25&gt;0,'Section Load'!AC25,0))</f>
        <v>0</v>
      </c>
      <c r="AC22" s="301">
        <f>(IF('Section Load'!AD25&gt;0,'Section Load'!AD25,0))</f>
        <v>0</v>
      </c>
      <c r="AD22" s="301">
        <f>(IF('Section Load'!AE25&gt;0,'Section Load'!AE25,0))</f>
        <v>0</v>
      </c>
      <c r="AE22" s="301">
        <f>(IF('Section Load'!AF25&gt;0,'Section Load'!AF25,0))</f>
        <v>0</v>
      </c>
      <c r="AF22" s="301">
        <f>(IF('Section Load'!AG25&gt;0,'Section Load'!AG25,0))</f>
        <v>0</v>
      </c>
      <c r="AG22" s="301">
        <f>(IF('Section Load'!AH25&gt;0,'Section Load'!AH25,0))</f>
        <v>0</v>
      </c>
      <c r="AH22" s="301">
        <f>(IF('Section Load'!AI25&gt;0,'Section Load'!AI25,0))</f>
        <v>0</v>
      </c>
      <c r="AI22" s="301">
        <f>(IF('Section Load'!AJ25&gt;0,'Section Load'!AJ25,0))</f>
        <v>0</v>
      </c>
      <c r="AJ22" s="301">
        <f>(IF('Section Load'!AK25&gt;0,'Section Load'!AK25,0))</f>
        <v>0</v>
      </c>
      <c r="AK22" s="301">
        <f>(IF('Section Load'!AL25&gt;0,'Section Load'!AL25,0))</f>
        <v>0</v>
      </c>
      <c r="AL22" s="301">
        <f>(IF('Section Load'!AM25&gt;0,'Section Load'!AM25,0))</f>
        <v>0</v>
      </c>
      <c r="AM22" s="302">
        <f>(IF('Water Report'!$X$7&gt;0,'Water Report'!$X$7,0))</f>
        <v>0</v>
      </c>
      <c r="AN22" s="302">
        <f>(IF('Water Report'!$X$8&gt;0,'Water Report'!$X$8,0))</f>
        <v>0</v>
      </c>
      <c r="AO22" s="302">
        <f>(IF('Water Report'!$X$9&gt;0,'Water Report'!$X$9,0))</f>
        <v>0</v>
      </c>
      <c r="AP22" s="302">
        <f>(IF('Water Report'!$X$10&gt;0,'Water Report'!$X$10,0))</f>
        <v>0</v>
      </c>
      <c r="AQ22" s="302">
        <f>(IF('Water Report'!$X$11&gt;0,'Water Report'!$X$11,0))</f>
        <v>0</v>
      </c>
      <c r="AR22" s="302">
        <f>(IF('Water Report'!$X$13&gt;0,'Water Report'!$X$13,0))</f>
        <v>0</v>
      </c>
      <c r="AS22" s="302">
        <f>(IF('Water Report'!$X$14&gt;0,'Water Report'!$X$14,0))</f>
        <v>0</v>
      </c>
      <c r="AT22" s="302">
        <f>(IF('Water Report'!$X$15&gt;0,'Water Report'!$X$15,0))</f>
        <v>0</v>
      </c>
      <c r="AU22" s="302">
        <f>(IF('Water Report'!$X$17&gt;0,'Water Report'!$X$17,0))</f>
        <v>0</v>
      </c>
      <c r="AV22" s="302">
        <f>(IF('Water Report'!$X$18&gt;0,'Water Report'!$X$18,0))</f>
        <v>0</v>
      </c>
      <c r="AW22" s="302">
        <f>(IF('Water Report'!$X$19&gt;0,'Water Report'!$X$19,0))</f>
        <v>0</v>
      </c>
      <c r="AX22" s="308">
        <f>(IF('Water Report'!$X$21&gt;0,'Water Report'!$X$21,0))</f>
        <v>0</v>
      </c>
      <c r="AY22" s="308">
        <f>(IF('Water Report'!$X$22&gt;0,'Water Report'!$X$22,0))</f>
        <v>0</v>
      </c>
      <c r="AZ22" s="308">
        <f>(IF('Water Report'!$X$23&gt;0,'Water Report'!$X$23,0))</f>
        <v>0</v>
      </c>
      <c r="BA22" s="308">
        <f>(IF('Water Report'!$X$14&gt;0,'Water Report'!$X$14,0))</f>
        <v>0</v>
      </c>
      <c r="BB22" s="308">
        <f>(IF('Water Report'!$X$15&gt;0,'Water Report'!$X$15,0))</f>
        <v>0</v>
      </c>
      <c r="BC22" s="308">
        <f>(IF('Water Report'!$X$13&gt;0,'Water Report'!$X$13,0))</f>
        <v>0</v>
      </c>
      <c r="BD22" s="308">
        <f>(IF('Water Report'!$X$24&gt;0,'Water Report'!$X$24,0))</f>
        <v>200</v>
      </c>
      <c r="BE22" s="308">
        <f>(IF('Water Report'!$X$25&gt;0,'Water Report'!$X$25,0))</f>
        <v>0</v>
      </c>
      <c r="BF22" s="308">
        <f>(IF('Water Report'!$X$27&gt;0,'Water Report'!$X$27,0))</f>
        <v>0</v>
      </c>
      <c r="BG22" s="303">
        <f>(IF('Section Load'!AN25&gt;0,'Section Load'!AN25,0))</f>
        <v>875</v>
      </c>
      <c r="BH22" s="303">
        <f>(IF('Section Load'!AO25&gt;0,'Section Load'!AO25,0))</f>
        <v>0</v>
      </c>
      <c r="BI22" s="303">
        <f>(IF('Section Load'!AP25&gt;0,'Section Load'!AP25,0))</f>
        <v>0</v>
      </c>
      <c r="BJ22" s="303">
        <f>(IF('Section Load'!AQ25&gt;0,'Section Load'!AQ25,0))</f>
        <v>0</v>
      </c>
      <c r="BK22" s="303">
        <f>(IF('Section Load'!AR25&gt;0,'Section Load'!AR25,0))</f>
        <v>0</v>
      </c>
      <c r="BL22" s="303">
        <f>(IF('Section Load'!AS25&gt;0,'Section Load'!AS25,0))</f>
        <v>0</v>
      </c>
      <c r="BM22" s="303">
        <f>(IF('Section Load'!AT25&gt;0,'Section Load'!AT25,0))</f>
        <v>875</v>
      </c>
    </row>
    <row r="23" spans="1:65" x14ac:dyDescent="0.25">
      <c r="A23" s="291" t="s">
        <v>268</v>
      </c>
      <c r="B23" s="292">
        <f t="shared" si="0"/>
        <v>22</v>
      </c>
      <c r="C23" s="292">
        <v>10</v>
      </c>
      <c r="D23" s="292">
        <v>2021</v>
      </c>
      <c r="E23" s="301">
        <f>(IF('Section Load'!F26&gt;0,'Section Load'!F26,0))</f>
        <v>0</v>
      </c>
      <c r="F23" s="301">
        <f>(IF('Section Load'!G26&gt;0,'Section Load'!G26,0))</f>
        <v>0</v>
      </c>
      <c r="G23" s="301">
        <f>(IF('Section Load'!H26&gt;0,'Section Load'!H26,0))</f>
        <v>0</v>
      </c>
      <c r="H23" s="301">
        <f>(IF('Section Load'!I26&gt;0,'Section Load'!I26,0))</f>
        <v>0</v>
      </c>
      <c r="I23" s="301">
        <f>(IF('Section Load'!J26&gt;0,'Section Load'!J26,0))</f>
        <v>0</v>
      </c>
      <c r="J23" s="301">
        <f>(IF('Section Load'!K26&gt;0,'Section Load'!K26,0))</f>
        <v>0</v>
      </c>
      <c r="K23" s="301">
        <f>(IF('Section Load'!L26&gt;0,'Section Load'!L26,0))</f>
        <v>0</v>
      </c>
      <c r="L23" s="301">
        <f>(IF('Section Load'!M26&gt;0,'Section Load'!M26,0))</f>
        <v>0</v>
      </c>
      <c r="M23" s="301">
        <f>(IF('Section Load'!N26&gt;0,'Section Load'!N26,0))</f>
        <v>0</v>
      </c>
      <c r="N23" s="301">
        <f>(IF('Section Load'!O26&gt;0,'Section Load'!O26,0))</f>
        <v>0</v>
      </c>
      <c r="O23" s="301">
        <f>(IF('Section Load'!P26&gt;0,'Section Load'!P26,0))</f>
        <v>0</v>
      </c>
      <c r="P23" s="301">
        <f>(IF('Section Load'!Q26&gt;0,'Section Load'!Q26,0))</f>
        <v>0</v>
      </c>
      <c r="Q23" s="301">
        <f>(IF('Section Load'!R26&gt;0,'Section Load'!R26,0))</f>
        <v>0</v>
      </c>
      <c r="R23" s="301">
        <f>(IF('Section Load'!S26&gt;0,'Section Load'!S26,0))</f>
        <v>0</v>
      </c>
      <c r="S23" s="301">
        <f>(IF('Section Load'!T26&gt;0,'Section Load'!T26,0))</f>
        <v>0</v>
      </c>
      <c r="T23" s="301">
        <f>(IF('Section Load'!U26&gt;0,'Section Load'!U26,0))</f>
        <v>0</v>
      </c>
      <c r="U23" s="301">
        <f>(IF('Section Load'!V26&gt;0,'Section Load'!V26,0))</f>
        <v>0</v>
      </c>
      <c r="V23" s="301">
        <f>(IF('Section Load'!W26&gt;0,'Section Load'!W26,0))</f>
        <v>0</v>
      </c>
      <c r="W23" s="301">
        <f>(IF('Section Load'!X26&gt;0,'Section Load'!X26,0))</f>
        <v>0</v>
      </c>
      <c r="X23" s="301">
        <f>(IF('Section Load'!Y26&gt;0,'Section Load'!Y26,0))</f>
        <v>0</v>
      </c>
      <c r="Y23" s="301">
        <f>(IF('Section Load'!Z26&gt;0,'Section Load'!Z26,0))</f>
        <v>0</v>
      </c>
      <c r="Z23" s="301">
        <f>(IF('Section Load'!AA26&gt;0,'Section Load'!AA26,0))</f>
        <v>0</v>
      </c>
      <c r="AA23" s="301">
        <f>(IF('Section Load'!AB26&gt;0,'Section Load'!AB26,0))</f>
        <v>0</v>
      </c>
      <c r="AB23" s="301">
        <f>(IF('Section Load'!AC26&gt;0,'Section Load'!AC26,0))</f>
        <v>0</v>
      </c>
      <c r="AC23" s="301">
        <f>(IF('Section Load'!AD26&gt;0,'Section Load'!AD26,0))</f>
        <v>0</v>
      </c>
      <c r="AD23" s="301">
        <f>(IF('Section Load'!AE26&gt;0,'Section Load'!AE26,0))</f>
        <v>0</v>
      </c>
      <c r="AE23" s="301">
        <f>(IF('Section Load'!AF26&gt;0,'Section Load'!AF26,0))</f>
        <v>0</v>
      </c>
      <c r="AF23" s="301">
        <f>(IF('Section Load'!AG26&gt;0,'Section Load'!AG26,0))</f>
        <v>0</v>
      </c>
      <c r="AG23" s="301">
        <f>(IF('Section Load'!AH26&gt;0,'Section Load'!AH26,0))</f>
        <v>0</v>
      </c>
      <c r="AH23" s="301">
        <f>(IF('Section Load'!AI26&gt;0,'Section Load'!AI26,0))</f>
        <v>0</v>
      </c>
      <c r="AI23" s="301">
        <f>(IF('Section Load'!AJ26&gt;0,'Section Load'!AJ26,0))</f>
        <v>0</v>
      </c>
      <c r="AJ23" s="301">
        <f>(IF('Section Load'!AK26&gt;0,'Section Load'!AK26,0))</f>
        <v>0</v>
      </c>
      <c r="AK23" s="301">
        <f>(IF('Section Load'!AL26&gt;0,'Section Load'!AL26,0))</f>
        <v>0</v>
      </c>
      <c r="AL23" s="301">
        <f>(IF('Section Load'!AM26&gt;0,'Section Load'!AM26,0))</f>
        <v>0</v>
      </c>
      <c r="AM23" s="302">
        <f>(IF('Water Report'!$Y$7&gt;0,'Water Report'!$Y$7,0))</f>
        <v>0</v>
      </c>
      <c r="AN23" s="302">
        <f>(IF('Water Report'!$Y$8&gt;0,'Water Report'!$Y$8,0))</f>
        <v>0</v>
      </c>
      <c r="AO23" s="302">
        <f>(IF('Water Report'!$Y$9&gt;0,'Water Report'!$Y$9,0))</f>
        <v>0</v>
      </c>
      <c r="AP23" s="302">
        <f>(IF('Water Report'!$Y$10&gt;0,'Water Report'!$Y$10,0))</f>
        <v>0</v>
      </c>
      <c r="AQ23" s="302">
        <f>(IF('Water Report'!$Y$11&gt;0,'Water Report'!$Y$11,0))</f>
        <v>0</v>
      </c>
      <c r="AR23" s="302">
        <f>(IF('Water Report'!$Y$13&gt;0,'Water Report'!$Y$13,0))</f>
        <v>0</v>
      </c>
      <c r="AS23" s="302">
        <f>(IF('Water Report'!$Y$14&gt;0,'Water Report'!$Y$14,0))</f>
        <v>0</v>
      </c>
      <c r="AT23" s="302">
        <f>(IF('Water Report'!$Y$15&gt;0,'Water Report'!$Y$15,0))</f>
        <v>0</v>
      </c>
      <c r="AU23" s="302">
        <f>(IF('Water Report'!$Y$17&gt;0,'Water Report'!$Y$17,0))</f>
        <v>0</v>
      </c>
      <c r="AV23" s="302">
        <f>(IF('Water Report'!$Y$18&gt;0,'Water Report'!$Y$18,0))</f>
        <v>0</v>
      </c>
      <c r="AW23" s="302">
        <f>(IF('Water Report'!$Y$19&gt;0,'Water Report'!$Y$19,0))</f>
        <v>0</v>
      </c>
      <c r="AX23" s="308">
        <f>(IF('Water Report'!$Y$21&gt;0,'Water Report'!$Y$21,0))</f>
        <v>0</v>
      </c>
      <c r="AY23" s="308">
        <f>(IF('Water Report'!$Y$22&gt;0,'Water Report'!$Y$22,0))</f>
        <v>0</v>
      </c>
      <c r="AZ23" s="308">
        <f>(IF('Water Report'!$Y$23&gt;0,'Water Report'!$Y$23,0))</f>
        <v>0</v>
      </c>
      <c r="BA23" s="308">
        <f>(IF('Water Report'!$Y$14&gt;0,'Water Report'!$Y$14,0))</f>
        <v>0</v>
      </c>
      <c r="BB23" s="308">
        <f>(IF('Water Report'!$Y$15&gt;0,'Water Report'!$Y$15,0))</f>
        <v>0</v>
      </c>
      <c r="BC23" s="308">
        <f>(IF('Water Report'!$Y$13&gt;0,'Water Report'!$Y$13,0))</f>
        <v>0</v>
      </c>
      <c r="BD23" s="308">
        <f>(IF('Water Report'!$Y$24&gt;0,'Water Report'!$Y$24,0))</f>
        <v>200</v>
      </c>
      <c r="BE23" s="308">
        <f>(IF('Water Report'!$Y$25&gt;0,'Water Report'!$Y$25,0))</f>
        <v>0</v>
      </c>
      <c r="BF23" s="308">
        <f>(IF('Water Report'!$Y$27&gt;0,'Water Report'!$Y$27,0))</f>
        <v>0</v>
      </c>
      <c r="BG23" s="303">
        <f>(IF('Section Load'!AN26&gt;0,'Section Load'!AN26,0))</f>
        <v>875</v>
      </c>
      <c r="BH23" s="303">
        <f>(IF('Section Load'!AO26&gt;0,'Section Load'!AO26,0))</f>
        <v>0</v>
      </c>
      <c r="BI23" s="303">
        <f>(IF('Section Load'!AP26&gt;0,'Section Load'!AP26,0))</f>
        <v>0</v>
      </c>
      <c r="BJ23" s="303">
        <f>(IF('Section Load'!AQ26&gt;0,'Section Load'!AQ26,0))</f>
        <v>0</v>
      </c>
      <c r="BK23" s="303">
        <f>(IF('Section Load'!AR26&gt;0,'Section Load'!AR26,0))</f>
        <v>0</v>
      </c>
      <c r="BL23" s="303">
        <f>(IF('Section Load'!AS26&gt;0,'Section Load'!AS26,0))</f>
        <v>0</v>
      </c>
      <c r="BM23" s="303">
        <f>(IF('Section Load'!AT26&gt;0,'Section Load'!AT26,0))</f>
        <v>875</v>
      </c>
    </row>
    <row r="24" spans="1:65" x14ac:dyDescent="0.25">
      <c r="A24" s="291" t="s">
        <v>268</v>
      </c>
      <c r="B24" s="292">
        <f t="shared" si="0"/>
        <v>23</v>
      </c>
      <c r="C24" s="292">
        <v>10</v>
      </c>
      <c r="D24" s="292">
        <v>2021</v>
      </c>
      <c r="E24" s="301">
        <f>(IF('Section Load'!F27&gt;0,'Section Load'!F27,0))</f>
        <v>0</v>
      </c>
      <c r="F24" s="301">
        <f>(IF('Section Load'!G27&gt;0,'Section Load'!G27,0))</f>
        <v>0</v>
      </c>
      <c r="G24" s="301">
        <f>(IF('Section Load'!H27&gt;0,'Section Load'!H27,0))</f>
        <v>0</v>
      </c>
      <c r="H24" s="301">
        <f>(IF('Section Load'!I27&gt;0,'Section Load'!I27,0))</f>
        <v>0</v>
      </c>
      <c r="I24" s="301">
        <f>(IF('Section Load'!J27&gt;0,'Section Load'!J27,0))</f>
        <v>0</v>
      </c>
      <c r="J24" s="301">
        <f>(IF('Section Load'!K27&gt;0,'Section Load'!K27,0))</f>
        <v>0</v>
      </c>
      <c r="K24" s="301">
        <f>(IF('Section Load'!L27&gt;0,'Section Load'!L27,0))</f>
        <v>0</v>
      </c>
      <c r="L24" s="301">
        <f>(IF('Section Load'!M27&gt;0,'Section Load'!M27,0))</f>
        <v>0</v>
      </c>
      <c r="M24" s="301">
        <f>(IF('Section Load'!N27&gt;0,'Section Load'!N27,0))</f>
        <v>0</v>
      </c>
      <c r="N24" s="301">
        <f>(IF('Section Load'!O27&gt;0,'Section Load'!O27,0))</f>
        <v>0</v>
      </c>
      <c r="O24" s="301">
        <f>(IF('Section Load'!P27&gt;0,'Section Load'!P27,0))</f>
        <v>0</v>
      </c>
      <c r="P24" s="301">
        <f>(IF('Section Load'!Q27&gt;0,'Section Load'!Q27,0))</f>
        <v>0</v>
      </c>
      <c r="Q24" s="301">
        <f>(IF('Section Load'!R27&gt;0,'Section Load'!R27,0))</f>
        <v>0</v>
      </c>
      <c r="R24" s="301">
        <f>(IF('Section Load'!S27&gt;0,'Section Load'!S27,0))</f>
        <v>0</v>
      </c>
      <c r="S24" s="301">
        <f>(IF('Section Load'!T27&gt;0,'Section Load'!T27,0))</f>
        <v>0</v>
      </c>
      <c r="T24" s="301">
        <f>(IF('Section Load'!U27&gt;0,'Section Load'!U27,0))</f>
        <v>0</v>
      </c>
      <c r="U24" s="301">
        <f>(IF('Section Load'!V27&gt;0,'Section Load'!V27,0))</f>
        <v>0</v>
      </c>
      <c r="V24" s="301">
        <f>(IF('Section Load'!W27&gt;0,'Section Load'!W27,0))</f>
        <v>0</v>
      </c>
      <c r="W24" s="301">
        <f>(IF('Section Load'!X27&gt;0,'Section Load'!X27,0))</f>
        <v>0</v>
      </c>
      <c r="X24" s="301">
        <f>(IF('Section Load'!Y27&gt;0,'Section Load'!Y27,0))</f>
        <v>0</v>
      </c>
      <c r="Y24" s="301">
        <f>(IF('Section Load'!Z27&gt;0,'Section Load'!Z27,0))</f>
        <v>0</v>
      </c>
      <c r="Z24" s="301">
        <f>(IF('Section Load'!AA27&gt;0,'Section Load'!AA27,0))</f>
        <v>0</v>
      </c>
      <c r="AA24" s="301">
        <f>(IF('Section Load'!AB27&gt;0,'Section Load'!AB27,0))</f>
        <v>0</v>
      </c>
      <c r="AB24" s="301">
        <f>(IF('Section Load'!AC27&gt;0,'Section Load'!AC27,0))</f>
        <v>0</v>
      </c>
      <c r="AC24" s="301">
        <f>(IF('Section Load'!AD27&gt;0,'Section Load'!AD27,0))</f>
        <v>0</v>
      </c>
      <c r="AD24" s="301">
        <f>(IF('Section Load'!AE27&gt;0,'Section Load'!AE27,0))</f>
        <v>0</v>
      </c>
      <c r="AE24" s="301">
        <f>(IF('Section Load'!AF27&gt;0,'Section Load'!AF27,0))</f>
        <v>0</v>
      </c>
      <c r="AF24" s="301">
        <f>(IF('Section Load'!AG27&gt;0,'Section Load'!AG27,0))</f>
        <v>0</v>
      </c>
      <c r="AG24" s="301">
        <f>(IF('Section Load'!AH27&gt;0,'Section Load'!AH27,0))</f>
        <v>0</v>
      </c>
      <c r="AH24" s="301">
        <f>(IF('Section Load'!AI27&gt;0,'Section Load'!AI27,0))</f>
        <v>0</v>
      </c>
      <c r="AI24" s="301">
        <f>(IF('Section Load'!AJ27&gt;0,'Section Load'!AJ27,0))</f>
        <v>0</v>
      </c>
      <c r="AJ24" s="301">
        <f>(IF('Section Load'!AK27&gt;0,'Section Load'!AK27,0))</f>
        <v>0</v>
      </c>
      <c r="AK24" s="301">
        <f>(IF('Section Load'!AL27&gt;0,'Section Load'!AL27,0))</f>
        <v>0</v>
      </c>
      <c r="AL24" s="301">
        <f>(IF('Section Load'!AM27&gt;0,'Section Load'!AM27,0))</f>
        <v>0</v>
      </c>
      <c r="AM24" s="302">
        <f>(IF('Water Report'!$Z$7&gt;0,'Water Report'!$Z$7,0))</f>
        <v>0</v>
      </c>
      <c r="AN24" s="302">
        <f>(IF('Water Report'!$Z$8&gt;0,'Water Report'!$Z$8,0))</f>
        <v>0</v>
      </c>
      <c r="AO24" s="302">
        <f>(IF('Water Report'!$Z$9&gt;0,'Water Report'!$Z$9,0))</f>
        <v>0</v>
      </c>
      <c r="AP24" s="302">
        <f>(IF('Water Report'!$Z$10&gt;0,'Water Report'!$Z$10,0))</f>
        <v>0</v>
      </c>
      <c r="AQ24" s="302">
        <f>(IF('Water Report'!$Z$11&gt;0,'Water Report'!$Z$11,0))</f>
        <v>0</v>
      </c>
      <c r="AR24" s="302">
        <f>(IF('Water Report'!$Z$13&gt;0,'Water Report'!$Z$13,0))</f>
        <v>0</v>
      </c>
      <c r="AS24" s="302">
        <f>(IF('Water Report'!$Z$14&gt;0,'Water Report'!$Z$14,0))</f>
        <v>0</v>
      </c>
      <c r="AT24" s="302">
        <f>(IF('Water Report'!$Z$15&gt;0,'Water Report'!$Z$15,0))</f>
        <v>0</v>
      </c>
      <c r="AU24" s="302">
        <f>(IF('Water Report'!$Z$17&gt;0,'Water Report'!$Z$17,0))</f>
        <v>0</v>
      </c>
      <c r="AV24" s="302">
        <f>(IF('Water Report'!$Z$18&gt;0,'Water Report'!$Z$18,0))</f>
        <v>0</v>
      </c>
      <c r="AW24" s="302">
        <f>(IF('Water Report'!$Z$19&gt;0,'Water Report'!$Z$19,0))</f>
        <v>0</v>
      </c>
      <c r="AX24" s="308">
        <f>(IF('Water Report'!$Z$21&gt;0,'Water Report'!$Z$21,0))</f>
        <v>0</v>
      </c>
      <c r="AY24" s="308">
        <f>(IF('Water Report'!$Z$22&gt;0,'Water Report'!$Z$22,0))</f>
        <v>0</v>
      </c>
      <c r="AZ24" s="308">
        <f>(IF('Water Report'!$Z$23&gt;0,'Water Report'!$Z$23,0))</f>
        <v>0</v>
      </c>
      <c r="BA24" s="308">
        <f>(IF('Water Report'!$Z$14&gt;0,'Water Report'!$Z$14,0))</f>
        <v>0</v>
      </c>
      <c r="BB24" s="308">
        <f>(IF('Water Report'!$Z$15&gt;0,'Water Report'!$Z$15,0))</f>
        <v>0</v>
      </c>
      <c r="BC24" s="308">
        <f>(IF('Water Report'!$Z$13&gt;0,'Water Report'!$Z$13,0))</f>
        <v>0</v>
      </c>
      <c r="BD24" s="308">
        <f>(IF('Water Report'!$Z$24&gt;0,'Water Report'!$Z$24,0))</f>
        <v>200</v>
      </c>
      <c r="BE24" s="308">
        <f>(IF('Water Report'!$Z$25&gt;0,'Water Report'!$Z$25,0))</f>
        <v>0</v>
      </c>
      <c r="BF24" s="308">
        <f>(IF('Water Report'!$Z$27&gt;0,'Water Report'!$Z$27,0))</f>
        <v>0</v>
      </c>
      <c r="BG24" s="303">
        <f>(IF('Section Load'!AN27&gt;0,'Section Load'!AN27,0))</f>
        <v>875</v>
      </c>
      <c r="BH24" s="303">
        <f>(IF('Section Load'!AO27&gt;0,'Section Load'!AO27,0))</f>
        <v>0</v>
      </c>
      <c r="BI24" s="303">
        <f>(IF('Section Load'!AP27&gt;0,'Section Load'!AP27,0))</f>
        <v>0</v>
      </c>
      <c r="BJ24" s="303">
        <f>(IF('Section Load'!AQ27&gt;0,'Section Load'!AQ27,0))</f>
        <v>0</v>
      </c>
      <c r="BK24" s="303">
        <f>(IF('Section Load'!AR27&gt;0,'Section Load'!AR27,0))</f>
        <v>0</v>
      </c>
      <c r="BL24" s="303">
        <f>(IF('Section Load'!AS27&gt;0,'Section Load'!AS27,0))</f>
        <v>0</v>
      </c>
      <c r="BM24" s="303">
        <f>(IF('Section Load'!AT27&gt;0,'Section Load'!AT27,0))</f>
        <v>875</v>
      </c>
    </row>
    <row r="25" spans="1:65" x14ac:dyDescent="0.25">
      <c r="A25" s="291" t="s">
        <v>268</v>
      </c>
      <c r="B25" s="292">
        <f t="shared" si="0"/>
        <v>24</v>
      </c>
      <c r="C25" s="292">
        <v>10</v>
      </c>
      <c r="D25" s="292">
        <v>2021</v>
      </c>
      <c r="E25" s="301">
        <f>(IF('Section Load'!F28&gt;0,'Section Load'!F28,0))</f>
        <v>0</v>
      </c>
      <c r="F25" s="301">
        <f>(IF('Section Load'!G28&gt;0,'Section Load'!G28,0))</f>
        <v>0</v>
      </c>
      <c r="G25" s="301">
        <f>(IF('Section Load'!H28&gt;0,'Section Load'!H28,0))</f>
        <v>0</v>
      </c>
      <c r="H25" s="301">
        <f>(IF('Section Load'!I28&gt;0,'Section Load'!I28,0))</f>
        <v>0</v>
      </c>
      <c r="I25" s="301">
        <f>(IF('Section Load'!J28&gt;0,'Section Load'!J28,0))</f>
        <v>0</v>
      </c>
      <c r="J25" s="301">
        <f>(IF('Section Load'!K28&gt;0,'Section Load'!K28,0))</f>
        <v>0</v>
      </c>
      <c r="K25" s="301">
        <f>(IF('Section Load'!L28&gt;0,'Section Load'!L28,0))</f>
        <v>0</v>
      </c>
      <c r="L25" s="301">
        <f>(IF('Section Load'!M28&gt;0,'Section Load'!M28,0))</f>
        <v>0</v>
      </c>
      <c r="M25" s="301">
        <f>(IF('Section Load'!N28&gt;0,'Section Load'!N28,0))</f>
        <v>0</v>
      </c>
      <c r="N25" s="301">
        <f>(IF('Section Load'!O28&gt;0,'Section Load'!O28,0))</f>
        <v>0</v>
      </c>
      <c r="O25" s="301">
        <f>(IF('Section Load'!P28&gt;0,'Section Load'!P28,0))</f>
        <v>0</v>
      </c>
      <c r="P25" s="301">
        <f>(IF('Section Load'!Q28&gt;0,'Section Load'!Q28,0))</f>
        <v>0</v>
      </c>
      <c r="Q25" s="301">
        <f>(IF('Section Load'!R28&gt;0,'Section Load'!R28,0))</f>
        <v>0</v>
      </c>
      <c r="R25" s="301">
        <f>(IF('Section Load'!S28&gt;0,'Section Load'!S28,0))</f>
        <v>0</v>
      </c>
      <c r="S25" s="301">
        <f>(IF('Section Load'!T28&gt;0,'Section Load'!T28,0))</f>
        <v>0</v>
      </c>
      <c r="T25" s="301">
        <f>(IF('Section Load'!U28&gt;0,'Section Load'!U28,0))</f>
        <v>0</v>
      </c>
      <c r="U25" s="301">
        <f>(IF('Section Load'!V28&gt;0,'Section Load'!V28,0))</f>
        <v>0</v>
      </c>
      <c r="V25" s="301">
        <f>(IF('Section Load'!W28&gt;0,'Section Load'!W28,0))</f>
        <v>0</v>
      </c>
      <c r="W25" s="301">
        <f>(IF('Section Load'!X28&gt;0,'Section Load'!X28,0))</f>
        <v>0</v>
      </c>
      <c r="X25" s="301">
        <f>(IF('Section Load'!Y28&gt;0,'Section Load'!Y28,0))</f>
        <v>0</v>
      </c>
      <c r="Y25" s="301">
        <f>(IF('Section Load'!Z28&gt;0,'Section Load'!Z28,0))</f>
        <v>0</v>
      </c>
      <c r="Z25" s="301">
        <f>(IF('Section Load'!AA28&gt;0,'Section Load'!AA28,0))</f>
        <v>0</v>
      </c>
      <c r="AA25" s="301">
        <f>(IF('Section Load'!AB28&gt;0,'Section Load'!AB28,0))</f>
        <v>0</v>
      </c>
      <c r="AB25" s="301">
        <f>(IF('Section Load'!AC28&gt;0,'Section Load'!AC28,0))</f>
        <v>0</v>
      </c>
      <c r="AC25" s="301">
        <f>(IF('Section Load'!AD28&gt;0,'Section Load'!AD28,0))</f>
        <v>0</v>
      </c>
      <c r="AD25" s="301">
        <f>(IF('Section Load'!AE28&gt;0,'Section Load'!AE28,0))</f>
        <v>0</v>
      </c>
      <c r="AE25" s="301">
        <f>(IF('Section Load'!AF28&gt;0,'Section Load'!AF28,0))</f>
        <v>0</v>
      </c>
      <c r="AF25" s="301">
        <f>(IF('Section Load'!AG28&gt;0,'Section Load'!AG28,0))</f>
        <v>0</v>
      </c>
      <c r="AG25" s="301">
        <f>(IF('Section Load'!AH28&gt;0,'Section Load'!AH28,0))</f>
        <v>0</v>
      </c>
      <c r="AH25" s="301">
        <f>(IF('Section Load'!AI28&gt;0,'Section Load'!AI28,0))</f>
        <v>0</v>
      </c>
      <c r="AI25" s="301">
        <f>(IF('Section Load'!AJ28&gt;0,'Section Load'!AJ28,0))</f>
        <v>0</v>
      </c>
      <c r="AJ25" s="301">
        <f>(IF('Section Load'!AK28&gt;0,'Section Load'!AK28,0))</f>
        <v>0</v>
      </c>
      <c r="AK25" s="301">
        <f>(IF('Section Load'!AL28&gt;0,'Section Load'!AL28,0))</f>
        <v>0</v>
      </c>
      <c r="AL25" s="301">
        <f>(IF('Section Load'!AM28&gt;0,'Section Load'!AM28,0))</f>
        <v>0</v>
      </c>
      <c r="AM25" s="302">
        <f>(IF('Water Report'!$AA$7&gt;0,'Water Report'!$AA$7,0))</f>
        <v>0</v>
      </c>
      <c r="AN25" s="302">
        <f>(IF('Water Report'!$AA$8&gt;0,'Water Report'!$AA$8,0))</f>
        <v>0</v>
      </c>
      <c r="AO25" s="302">
        <f>(IF('Water Report'!$AA$9&gt;0,'Water Report'!$AA$9,0))</f>
        <v>0</v>
      </c>
      <c r="AP25" s="302">
        <f>(IF('Water Report'!$AA$10&gt;0,'Water Report'!$AA$10,0))</f>
        <v>0</v>
      </c>
      <c r="AQ25" s="302">
        <f>(IF('Water Report'!$AA$11&gt;0,'Water Report'!$AA$11,0))</f>
        <v>0</v>
      </c>
      <c r="AR25" s="302">
        <f>(IF('Water Report'!$AA$13&gt;0,'Water Report'!$AA$13,0))</f>
        <v>0</v>
      </c>
      <c r="AS25" s="302">
        <f>(IF('Water Report'!$AA$14&gt;0,'Water Report'!$AA$14,0))</f>
        <v>0</v>
      </c>
      <c r="AT25" s="302">
        <f>(IF('Water Report'!$AA$15&gt;0,'Water Report'!$AA$15,0))</f>
        <v>0</v>
      </c>
      <c r="AU25" s="302">
        <f>(IF('Water Report'!$AA$17&gt;0,'Water Report'!$AA$17,0))</f>
        <v>0</v>
      </c>
      <c r="AV25" s="302">
        <f>(IF('Water Report'!$AA$18&gt;0,'Water Report'!$AA$18,0))</f>
        <v>0</v>
      </c>
      <c r="AW25" s="302">
        <f>(IF('Water Report'!$AA$19&gt;0,'Water Report'!$AA$19,0))</f>
        <v>0</v>
      </c>
      <c r="AX25" s="308">
        <f>(IF('Water Report'!$AA$21&gt;0,'Water Report'!$AA$21,0))</f>
        <v>0</v>
      </c>
      <c r="AY25" s="308">
        <f>(IF('Water Report'!$AA$22&gt;0,'Water Report'!$AA$22,0))</f>
        <v>0</v>
      </c>
      <c r="AZ25" s="308">
        <f>(IF('Water Report'!$AA$23&gt;0,'Water Report'!$AA$23,0))</f>
        <v>0</v>
      </c>
      <c r="BA25" s="308">
        <f>(IF('Water Report'!$AA$14&gt;0,'Water Report'!$AA$14,0))</f>
        <v>0</v>
      </c>
      <c r="BB25" s="308">
        <f>(IF('Water Report'!$AA$15&gt;0,'Water Report'!$AA$15,0))</f>
        <v>0</v>
      </c>
      <c r="BC25" s="308">
        <f>(IF('Water Report'!$AA$13&gt;0,'Water Report'!$AA$13,0))</f>
        <v>0</v>
      </c>
      <c r="BD25" s="308">
        <f>(IF('Water Report'!$AA$24&gt;0,'Water Report'!$AA$24,0))</f>
        <v>200</v>
      </c>
      <c r="BE25" s="308">
        <f>(IF('Water Report'!$AA$25&gt;0,'Water Report'!$AA$25,0))</f>
        <v>0</v>
      </c>
      <c r="BF25" s="308">
        <f>(IF('Water Report'!$AA$27&gt;0,'Water Report'!$AA$27,0))</f>
        <v>0</v>
      </c>
      <c r="BG25" s="303">
        <f>(IF('Section Load'!AN28&gt;0,'Section Load'!AN28,0))</f>
        <v>875</v>
      </c>
      <c r="BH25" s="303">
        <f>(IF('Section Load'!AO28&gt;0,'Section Load'!AO28,0))</f>
        <v>0</v>
      </c>
      <c r="BI25" s="303">
        <f>(IF('Section Load'!AP28&gt;0,'Section Load'!AP28,0))</f>
        <v>0</v>
      </c>
      <c r="BJ25" s="303">
        <f>(IF('Section Load'!AQ28&gt;0,'Section Load'!AQ28,0))</f>
        <v>0</v>
      </c>
      <c r="BK25" s="303">
        <f>(IF('Section Load'!AR28&gt;0,'Section Load'!AR28,0))</f>
        <v>0</v>
      </c>
      <c r="BL25" s="303">
        <f>(IF('Section Load'!AS28&gt;0,'Section Load'!AS28,0))</f>
        <v>0</v>
      </c>
      <c r="BM25" s="303">
        <f>(IF('Section Load'!AT28&gt;0,'Section Load'!AT28,0))</f>
        <v>875</v>
      </c>
    </row>
    <row r="26" spans="1:65" x14ac:dyDescent="0.25">
      <c r="A26" s="291" t="s">
        <v>268</v>
      </c>
      <c r="B26" s="292">
        <f>B25+1</f>
        <v>25</v>
      </c>
      <c r="C26" s="292">
        <v>10</v>
      </c>
      <c r="D26" s="292">
        <v>2021</v>
      </c>
      <c r="E26" s="301">
        <f>(IF('Section Load'!F29&gt;0,'Section Load'!F29,0))</f>
        <v>0</v>
      </c>
      <c r="F26" s="301">
        <f>(IF('Section Load'!G29&gt;0,'Section Load'!G29,0))</f>
        <v>0</v>
      </c>
      <c r="G26" s="301">
        <f>(IF('Section Load'!H29&gt;0,'Section Load'!H29,0))</f>
        <v>0</v>
      </c>
      <c r="H26" s="301">
        <f>(IF('Section Load'!I29&gt;0,'Section Load'!I29,0))</f>
        <v>0</v>
      </c>
      <c r="I26" s="301">
        <f>(IF('Section Load'!J29&gt;0,'Section Load'!J29,0))</f>
        <v>0</v>
      </c>
      <c r="J26" s="301">
        <f>(IF('Section Load'!K29&gt;0,'Section Load'!K29,0))</f>
        <v>0</v>
      </c>
      <c r="K26" s="301">
        <f>(IF('Section Load'!L29&gt;0,'Section Load'!L29,0))</f>
        <v>0</v>
      </c>
      <c r="L26" s="301">
        <f>(IF('Section Load'!M29&gt;0,'Section Load'!M29,0))</f>
        <v>0</v>
      </c>
      <c r="M26" s="301">
        <f>(IF('Section Load'!N29&gt;0,'Section Load'!N29,0))</f>
        <v>0</v>
      </c>
      <c r="N26" s="301">
        <f>(IF('Section Load'!O29&gt;0,'Section Load'!O29,0))</f>
        <v>0</v>
      </c>
      <c r="O26" s="301">
        <f>(IF('Section Load'!P29&gt;0,'Section Load'!P29,0))</f>
        <v>0</v>
      </c>
      <c r="P26" s="301">
        <f>(IF('Section Load'!Q29&gt;0,'Section Load'!Q29,0))</f>
        <v>0</v>
      </c>
      <c r="Q26" s="301">
        <f>(IF('Section Load'!R29&gt;0,'Section Load'!R29,0))</f>
        <v>0</v>
      </c>
      <c r="R26" s="301">
        <f>(IF('Section Load'!S29&gt;0,'Section Load'!S29,0))</f>
        <v>0</v>
      </c>
      <c r="S26" s="301">
        <f>(IF('Section Load'!T29&gt;0,'Section Load'!T29,0))</f>
        <v>0</v>
      </c>
      <c r="T26" s="301">
        <f>(IF('Section Load'!U29&gt;0,'Section Load'!U29,0))</f>
        <v>0</v>
      </c>
      <c r="U26" s="301">
        <f>(IF('Section Load'!V29&gt;0,'Section Load'!V29,0))</f>
        <v>0</v>
      </c>
      <c r="V26" s="301">
        <f>(IF('Section Load'!W29&gt;0,'Section Load'!W29,0))</f>
        <v>0</v>
      </c>
      <c r="W26" s="301">
        <f>(IF('Section Load'!X29&gt;0,'Section Load'!X29,0))</f>
        <v>0</v>
      </c>
      <c r="X26" s="301">
        <f>(IF('Section Load'!Y29&gt;0,'Section Load'!Y29,0))</f>
        <v>0</v>
      </c>
      <c r="Y26" s="301">
        <f>(IF('Section Load'!Z29&gt;0,'Section Load'!Z29,0))</f>
        <v>0</v>
      </c>
      <c r="Z26" s="301">
        <f>(IF('Section Load'!AA29&gt;0,'Section Load'!AA29,0))</f>
        <v>0</v>
      </c>
      <c r="AA26" s="301">
        <f>(IF('Section Load'!AB29&gt;0,'Section Load'!AB29,0))</f>
        <v>0</v>
      </c>
      <c r="AB26" s="301">
        <f>(IF('Section Load'!AC29&gt;0,'Section Load'!AC29,0))</f>
        <v>0</v>
      </c>
      <c r="AC26" s="301">
        <f>(IF('Section Load'!AD29&gt;0,'Section Load'!AD29,0))</f>
        <v>0</v>
      </c>
      <c r="AD26" s="301">
        <f>(IF('Section Load'!AE29&gt;0,'Section Load'!AE29,0))</f>
        <v>0</v>
      </c>
      <c r="AE26" s="301">
        <f>(IF('Section Load'!AF29&gt;0,'Section Load'!AF29,0))</f>
        <v>0</v>
      </c>
      <c r="AF26" s="301">
        <f>(IF('Section Load'!AG29&gt;0,'Section Load'!AG29,0))</f>
        <v>0</v>
      </c>
      <c r="AG26" s="301">
        <f>(IF('Section Load'!AH29&gt;0,'Section Load'!AH29,0))</f>
        <v>0</v>
      </c>
      <c r="AH26" s="301">
        <f>(IF('Section Load'!AI29&gt;0,'Section Load'!AI29,0))</f>
        <v>0</v>
      </c>
      <c r="AI26" s="301">
        <f>(IF('Section Load'!AJ29&gt;0,'Section Load'!AJ29,0))</f>
        <v>0</v>
      </c>
      <c r="AJ26" s="301">
        <f>(IF('Section Load'!AK29&gt;0,'Section Load'!AK29,0))</f>
        <v>0</v>
      </c>
      <c r="AK26" s="301">
        <f>(IF('Section Load'!AL29&gt;0,'Section Load'!AL29,0))</f>
        <v>0</v>
      </c>
      <c r="AL26" s="301">
        <f>(IF('Section Load'!AM29&gt;0,'Section Load'!AM29,0))</f>
        <v>0</v>
      </c>
      <c r="AM26" s="302">
        <f>(IF('Water Report'!$AB$7&gt;0,'Water Report'!$AB$7,0))</f>
        <v>0</v>
      </c>
      <c r="AN26" s="302">
        <f>(IF('Water Report'!$AB$8&gt;0,'Water Report'!$AB$8,0))</f>
        <v>0</v>
      </c>
      <c r="AO26" s="302">
        <f>(IF('Water Report'!$AB$9&gt;0,'Water Report'!$AB$9,0))</f>
        <v>0</v>
      </c>
      <c r="AP26" s="302">
        <f>(IF('Water Report'!$AB$10&gt;0,'Water Report'!$AB$10,0))</f>
        <v>0</v>
      </c>
      <c r="AQ26" s="302">
        <f>(IF('Water Report'!$AB$11&gt;0,'Water Report'!$AB$11,0))</f>
        <v>0</v>
      </c>
      <c r="AR26" s="302">
        <f>(IF('Water Report'!$AB$13&gt;0,'Water Report'!$AB$13,0))</f>
        <v>0</v>
      </c>
      <c r="AS26" s="302">
        <f>(IF('Water Report'!$AB$14&gt;0,'Water Report'!$AB$14,0))</f>
        <v>0</v>
      </c>
      <c r="AT26" s="302">
        <f>(IF('Water Report'!$AB$15&gt;0,'Water Report'!$AB$15,0))</f>
        <v>0</v>
      </c>
      <c r="AU26" s="302">
        <f>(IF('Water Report'!$AB$17&gt;0,'Water Report'!$AB$17,0))</f>
        <v>0</v>
      </c>
      <c r="AV26" s="302">
        <f>(IF('Water Report'!$AB$18&gt;0,'Water Report'!$AB$18,0))</f>
        <v>0</v>
      </c>
      <c r="AW26" s="302">
        <f>(IF('Water Report'!$AB$19&gt;0,'Water Report'!$AB$19,0))</f>
        <v>0</v>
      </c>
      <c r="AX26" s="308">
        <f>(IF('Water Report'!$AB$21&gt;0,'Water Report'!$AB$21,0))</f>
        <v>0</v>
      </c>
      <c r="AY26" s="308">
        <f>(IF('Water Report'!$AB$22&gt;0,'Water Report'!$AB$22,0))</f>
        <v>0</v>
      </c>
      <c r="AZ26" s="308">
        <f>(IF('Water Report'!$AB$23&gt;0,'Water Report'!$AB$23,0))</f>
        <v>0</v>
      </c>
      <c r="BA26" s="308">
        <f>(IF('Water Report'!$AB$14&gt;0,'Water Report'!$AB$14,0))</f>
        <v>0</v>
      </c>
      <c r="BB26" s="308">
        <f>(IF('Water Report'!$AB$15&gt;0,'Water Report'!$AB$15,0))</f>
        <v>0</v>
      </c>
      <c r="BC26" s="308">
        <f>(IF('Water Report'!$AB$13&gt;0,'Water Report'!$AB$13,0))</f>
        <v>0</v>
      </c>
      <c r="BD26" s="308">
        <f>(IF('Water Report'!$AB$24&gt;0,'Water Report'!$AB$24,0))</f>
        <v>200</v>
      </c>
      <c r="BE26" s="308">
        <f>(IF('Water Report'!$AB$25&gt;0,'Water Report'!$AB$25,0))</f>
        <v>0</v>
      </c>
      <c r="BF26" s="308">
        <f>(IF('Water Report'!$AB$27&gt;0,'Water Report'!$AB$27,0))</f>
        <v>0</v>
      </c>
      <c r="BG26" s="303">
        <f>(IF('Section Load'!AN29&gt;0,'Section Load'!AN29,0))</f>
        <v>875</v>
      </c>
      <c r="BH26" s="303">
        <f>(IF('Section Load'!AO29&gt;0,'Section Load'!AO29,0))</f>
        <v>0</v>
      </c>
      <c r="BI26" s="303">
        <f>(IF('Section Load'!AP29&gt;0,'Section Load'!AP29,0))</f>
        <v>0</v>
      </c>
      <c r="BJ26" s="303">
        <f>(IF('Section Load'!AQ29&gt;0,'Section Load'!AQ29,0))</f>
        <v>0</v>
      </c>
      <c r="BK26" s="303">
        <f>(IF('Section Load'!AR29&gt;0,'Section Load'!AR29,0))</f>
        <v>0</v>
      </c>
      <c r="BL26" s="303">
        <f>(IF('Section Load'!AS29&gt;0,'Section Load'!AS29,0))</f>
        <v>0</v>
      </c>
      <c r="BM26" s="303">
        <f>(IF('Section Load'!AT29&gt;0,'Section Load'!AT29,0))</f>
        <v>875</v>
      </c>
    </row>
    <row r="27" spans="1:65" x14ac:dyDescent="0.25">
      <c r="A27" s="291" t="s">
        <v>268</v>
      </c>
      <c r="B27" s="292">
        <f t="shared" si="0"/>
        <v>26</v>
      </c>
      <c r="C27" s="292">
        <v>10</v>
      </c>
      <c r="D27" s="292">
        <v>2021</v>
      </c>
      <c r="E27" s="301">
        <f>(IF('Section Load'!F30&gt;0,'Section Load'!F30,0))</f>
        <v>0</v>
      </c>
      <c r="F27" s="301">
        <f>(IF('Section Load'!G30&gt;0,'Section Load'!G30,0))</f>
        <v>0</v>
      </c>
      <c r="G27" s="301">
        <f>(IF('Section Load'!H30&gt;0,'Section Load'!H30,0))</f>
        <v>0</v>
      </c>
      <c r="H27" s="301">
        <f>(IF('Section Load'!I30&gt;0,'Section Load'!I30,0))</f>
        <v>0</v>
      </c>
      <c r="I27" s="301">
        <f>(IF('Section Load'!J30&gt;0,'Section Load'!J30,0))</f>
        <v>0</v>
      </c>
      <c r="J27" s="301">
        <f>(IF('Section Load'!K30&gt;0,'Section Load'!K30,0))</f>
        <v>0</v>
      </c>
      <c r="K27" s="301">
        <f>(IF('Section Load'!L30&gt;0,'Section Load'!L30,0))</f>
        <v>0</v>
      </c>
      <c r="L27" s="301">
        <f>(IF('Section Load'!M30&gt;0,'Section Load'!M30,0))</f>
        <v>0</v>
      </c>
      <c r="M27" s="301">
        <f>(IF('Section Load'!N30&gt;0,'Section Load'!N30,0))</f>
        <v>0</v>
      </c>
      <c r="N27" s="301">
        <f>(IF('Section Load'!O30&gt;0,'Section Load'!O30,0))</f>
        <v>0</v>
      </c>
      <c r="O27" s="301">
        <f>(IF('Section Load'!P30&gt;0,'Section Load'!P30,0))</f>
        <v>0</v>
      </c>
      <c r="P27" s="301">
        <f>(IF('Section Load'!Q30&gt;0,'Section Load'!Q30,0))</f>
        <v>0</v>
      </c>
      <c r="Q27" s="301">
        <f>(IF('Section Load'!R30&gt;0,'Section Load'!R30,0))</f>
        <v>0</v>
      </c>
      <c r="R27" s="301">
        <f>(IF('Section Load'!S30&gt;0,'Section Load'!S30,0))</f>
        <v>0</v>
      </c>
      <c r="S27" s="301">
        <f>(IF('Section Load'!T30&gt;0,'Section Load'!T30,0))</f>
        <v>0</v>
      </c>
      <c r="T27" s="301">
        <f>(IF('Section Load'!U30&gt;0,'Section Load'!U30,0))</f>
        <v>0</v>
      </c>
      <c r="U27" s="301">
        <f>(IF('Section Load'!V30&gt;0,'Section Load'!V30,0))</f>
        <v>0</v>
      </c>
      <c r="V27" s="301">
        <f>(IF('Section Load'!W30&gt;0,'Section Load'!W30,0))</f>
        <v>0</v>
      </c>
      <c r="W27" s="301">
        <f>(IF('Section Load'!X30&gt;0,'Section Load'!X30,0))</f>
        <v>0</v>
      </c>
      <c r="X27" s="301">
        <f>(IF('Section Load'!Y30&gt;0,'Section Load'!Y30,0))</f>
        <v>0</v>
      </c>
      <c r="Y27" s="301">
        <f>(IF('Section Load'!Z30&gt;0,'Section Load'!Z30,0))</f>
        <v>0</v>
      </c>
      <c r="Z27" s="301">
        <f>(IF('Section Load'!AA30&gt;0,'Section Load'!AA30,0))</f>
        <v>0</v>
      </c>
      <c r="AA27" s="301">
        <f>(IF('Section Load'!AB30&gt;0,'Section Load'!AB30,0))</f>
        <v>0</v>
      </c>
      <c r="AB27" s="301">
        <f>(IF('Section Load'!AC30&gt;0,'Section Load'!AC30,0))</f>
        <v>0</v>
      </c>
      <c r="AC27" s="301">
        <f>(IF('Section Load'!AD30&gt;0,'Section Load'!AD30,0))</f>
        <v>0</v>
      </c>
      <c r="AD27" s="301">
        <f>(IF('Section Load'!AE30&gt;0,'Section Load'!AE30,0))</f>
        <v>0</v>
      </c>
      <c r="AE27" s="301">
        <f>(IF('Section Load'!AF30&gt;0,'Section Load'!AF30,0))</f>
        <v>0</v>
      </c>
      <c r="AF27" s="301">
        <f>(IF('Section Load'!AG30&gt;0,'Section Load'!AG30,0))</f>
        <v>0</v>
      </c>
      <c r="AG27" s="301">
        <f>(IF('Section Load'!AH30&gt;0,'Section Load'!AH30,0))</f>
        <v>0</v>
      </c>
      <c r="AH27" s="301">
        <f>(IF('Section Load'!AI30&gt;0,'Section Load'!AI30,0))</f>
        <v>0</v>
      </c>
      <c r="AI27" s="301">
        <f>(IF('Section Load'!AJ30&gt;0,'Section Load'!AJ30,0))</f>
        <v>0</v>
      </c>
      <c r="AJ27" s="301">
        <f>(IF('Section Load'!AK30&gt;0,'Section Load'!AK30,0))</f>
        <v>0</v>
      </c>
      <c r="AK27" s="301">
        <f>(IF('Section Load'!AL30&gt;0,'Section Load'!AL30,0))</f>
        <v>0</v>
      </c>
      <c r="AL27" s="301">
        <f>(IF('Section Load'!AM30&gt;0,'Section Load'!AM30,0))</f>
        <v>0</v>
      </c>
      <c r="AM27" s="302">
        <f>(IF('Water Report'!$AC$7&gt;0,'Water Report'!$AC$7,0))</f>
        <v>0</v>
      </c>
      <c r="AN27" s="302">
        <f>(IF('Water Report'!$AC$8&gt;0,'Water Report'!$AC$8,0))</f>
        <v>0</v>
      </c>
      <c r="AO27" s="302">
        <f>(IF('Water Report'!$AC$9&gt;0,'Water Report'!$AC$9,0))</f>
        <v>0</v>
      </c>
      <c r="AP27" s="302">
        <f>(IF('Water Report'!$AC$10&gt;0,'Water Report'!$AC$10,0))</f>
        <v>0</v>
      </c>
      <c r="AQ27" s="302">
        <f>(IF('Water Report'!$AC$11&gt;0,'Water Report'!$AC$11,0))</f>
        <v>0</v>
      </c>
      <c r="AR27" s="302">
        <f>(IF('Water Report'!$AC$13&gt;0,'Water Report'!$AC$13,0))</f>
        <v>0</v>
      </c>
      <c r="AS27" s="302">
        <f>(IF('Water Report'!$AC$14&gt;0,'Water Report'!$AC$14,0))</f>
        <v>0</v>
      </c>
      <c r="AT27" s="302">
        <f>(IF('Water Report'!$AC$15&gt;0,'Water Report'!$AC$15,0))</f>
        <v>0</v>
      </c>
      <c r="AU27" s="302">
        <f>(IF('Water Report'!$AC$17&gt;0,'Water Report'!$AC$17,0))</f>
        <v>0</v>
      </c>
      <c r="AV27" s="302">
        <f>(IF('Water Report'!$AC$18&gt;0,'Water Report'!$AC$18,0))</f>
        <v>0</v>
      </c>
      <c r="AW27" s="302">
        <f>(IF('Water Report'!$AC$19&gt;0,'Water Report'!$AC$19,0))</f>
        <v>0</v>
      </c>
      <c r="AX27" s="308">
        <f>(IF('Water Report'!$AC$21&gt;0,'Water Report'!$AC$21,0))</f>
        <v>0</v>
      </c>
      <c r="AY27" s="308">
        <f>(IF('Water Report'!$AC$22&gt;0,'Water Report'!$AC$22,0))</f>
        <v>0</v>
      </c>
      <c r="AZ27" s="308">
        <f>(IF('Water Report'!$AC$23&gt;0,'Water Report'!$AC$23,0))</f>
        <v>0</v>
      </c>
      <c r="BA27" s="308">
        <f>(IF('Water Report'!$AC$14&gt;0,'Water Report'!$AC$14,0))</f>
        <v>0</v>
      </c>
      <c r="BB27" s="308">
        <f>(IF('Water Report'!$AC$15&gt;0,'Water Report'!$AC$15,0))</f>
        <v>0</v>
      </c>
      <c r="BC27" s="308">
        <f>(IF('Water Report'!$AC$13&gt;0,'Water Report'!$AC$13,0))</f>
        <v>0</v>
      </c>
      <c r="BD27" s="308">
        <f>(IF('Water Report'!$AC$24&gt;0,'Water Report'!$AC$24,0))</f>
        <v>200</v>
      </c>
      <c r="BE27" s="308">
        <f>(IF('Water Report'!$AC$25&gt;0,'Water Report'!$AC$25,0))</f>
        <v>0</v>
      </c>
      <c r="BF27" s="308">
        <f>(IF('Water Report'!$AC$27&gt;0,'Water Report'!$AC$27,0))</f>
        <v>0</v>
      </c>
      <c r="BG27" s="303">
        <f>(IF('Section Load'!AN30&gt;0,'Section Load'!AN30,0))</f>
        <v>875</v>
      </c>
      <c r="BH27" s="303">
        <f>(IF('Section Load'!AO30&gt;0,'Section Load'!AO30,0))</f>
        <v>0</v>
      </c>
      <c r="BI27" s="303">
        <f>(IF('Section Load'!AP30&gt;0,'Section Load'!AP30,0))</f>
        <v>0</v>
      </c>
      <c r="BJ27" s="303">
        <f>(IF('Section Load'!AQ30&gt;0,'Section Load'!AQ30,0))</f>
        <v>0</v>
      </c>
      <c r="BK27" s="303">
        <f>(IF('Section Load'!AR30&gt;0,'Section Load'!AR30,0))</f>
        <v>0</v>
      </c>
      <c r="BL27" s="303">
        <f>(IF('Section Load'!AS30&gt;0,'Section Load'!AS30,0))</f>
        <v>0</v>
      </c>
      <c r="BM27" s="303">
        <f>(IF('Section Load'!AT30&gt;0,'Section Load'!AT30,0))</f>
        <v>875</v>
      </c>
    </row>
    <row r="28" spans="1:65" x14ac:dyDescent="0.25">
      <c r="A28" s="291" t="s">
        <v>268</v>
      </c>
      <c r="B28" s="292">
        <f t="shared" si="0"/>
        <v>27</v>
      </c>
      <c r="C28" s="292">
        <v>10</v>
      </c>
      <c r="D28" s="292">
        <v>2021</v>
      </c>
      <c r="E28" s="301">
        <f>(IF('Section Load'!F31&gt;0,'Section Load'!F31,0))</f>
        <v>0</v>
      </c>
      <c r="F28" s="301">
        <f>(IF('Section Load'!G31&gt;0,'Section Load'!G31,0))</f>
        <v>0</v>
      </c>
      <c r="G28" s="301">
        <f>(IF('Section Load'!H31&gt;0,'Section Load'!H31,0))</f>
        <v>0</v>
      </c>
      <c r="H28" s="301">
        <f>(IF('Section Load'!I31&gt;0,'Section Load'!I31,0))</f>
        <v>0</v>
      </c>
      <c r="I28" s="301">
        <f>(IF('Section Load'!J31&gt;0,'Section Load'!J31,0))</f>
        <v>0</v>
      </c>
      <c r="J28" s="301">
        <f>(IF('Section Load'!K31&gt;0,'Section Load'!K31,0))</f>
        <v>0</v>
      </c>
      <c r="K28" s="301">
        <f>(IF('Section Load'!L31&gt;0,'Section Load'!L31,0))</f>
        <v>0</v>
      </c>
      <c r="L28" s="301">
        <f>(IF('Section Load'!M31&gt;0,'Section Load'!M31,0))</f>
        <v>0</v>
      </c>
      <c r="M28" s="301">
        <f>(IF('Section Load'!N31&gt;0,'Section Load'!N31,0))</f>
        <v>0</v>
      </c>
      <c r="N28" s="301">
        <f>(IF('Section Load'!O31&gt;0,'Section Load'!O31,0))</f>
        <v>0</v>
      </c>
      <c r="O28" s="301">
        <f>(IF('Section Load'!P31&gt;0,'Section Load'!P31,0))</f>
        <v>0</v>
      </c>
      <c r="P28" s="301">
        <f>(IF('Section Load'!Q31&gt;0,'Section Load'!Q31,0))</f>
        <v>0</v>
      </c>
      <c r="Q28" s="301">
        <f>(IF('Section Load'!R31&gt;0,'Section Load'!R31,0))</f>
        <v>0</v>
      </c>
      <c r="R28" s="301">
        <f>(IF('Section Load'!S31&gt;0,'Section Load'!S31,0))</f>
        <v>0</v>
      </c>
      <c r="S28" s="301">
        <f>(IF('Section Load'!T31&gt;0,'Section Load'!T31,0))</f>
        <v>0</v>
      </c>
      <c r="T28" s="301">
        <f>(IF('Section Load'!U31&gt;0,'Section Load'!U31,0))</f>
        <v>0</v>
      </c>
      <c r="U28" s="301">
        <f>(IF('Section Load'!V31&gt;0,'Section Load'!V31,0))</f>
        <v>0</v>
      </c>
      <c r="V28" s="301">
        <f>(IF('Section Load'!W31&gt;0,'Section Load'!W31,0))</f>
        <v>0</v>
      </c>
      <c r="W28" s="301">
        <f>(IF('Section Load'!X31&gt;0,'Section Load'!X31,0))</f>
        <v>0</v>
      </c>
      <c r="X28" s="301">
        <f>(IF('Section Load'!Y31&gt;0,'Section Load'!Y31,0))</f>
        <v>0</v>
      </c>
      <c r="Y28" s="301">
        <f>(IF('Section Load'!Z31&gt;0,'Section Load'!Z31,0))</f>
        <v>0</v>
      </c>
      <c r="Z28" s="301">
        <f>(IF('Section Load'!AA31&gt;0,'Section Load'!AA31,0))</f>
        <v>0</v>
      </c>
      <c r="AA28" s="301">
        <f>(IF('Section Load'!AB31&gt;0,'Section Load'!AB31,0))</f>
        <v>0</v>
      </c>
      <c r="AB28" s="301">
        <f>(IF('Section Load'!AC31&gt;0,'Section Load'!AC31,0))</f>
        <v>0</v>
      </c>
      <c r="AC28" s="301">
        <f>(IF('Section Load'!AD31&gt;0,'Section Load'!AD31,0))</f>
        <v>0</v>
      </c>
      <c r="AD28" s="301">
        <f>(IF('Section Load'!AE31&gt;0,'Section Load'!AE31,0))</f>
        <v>0</v>
      </c>
      <c r="AE28" s="301">
        <f>(IF('Section Load'!AF31&gt;0,'Section Load'!AF31,0))</f>
        <v>0</v>
      </c>
      <c r="AF28" s="301">
        <f>(IF('Section Load'!AG31&gt;0,'Section Load'!AG31,0))</f>
        <v>0</v>
      </c>
      <c r="AG28" s="301">
        <f>(IF('Section Load'!AH31&gt;0,'Section Load'!AH31,0))</f>
        <v>0</v>
      </c>
      <c r="AH28" s="301">
        <f>(IF('Section Load'!AI31&gt;0,'Section Load'!AI31,0))</f>
        <v>0</v>
      </c>
      <c r="AI28" s="301">
        <f>(IF('Section Load'!AJ31&gt;0,'Section Load'!AJ31,0))</f>
        <v>0</v>
      </c>
      <c r="AJ28" s="301">
        <f>(IF('Section Load'!AK31&gt;0,'Section Load'!AK31,0))</f>
        <v>0</v>
      </c>
      <c r="AK28" s="301">
        <f>(IF('Section Load'!AL31&gt;0,'Section Load'!AL31,0))</f>
        <v>0</v>
      </c>
      <c r="AL28" s="301">
        <f>(IF('Section Load'!AM31&gt;0,'Section Load'!AM31,0))</f>
        <v>0</v>
      </c>
      <c r="AM28" s="302">
        <f>(IF('Water Report'!$AD$7&gt;0,'Water Report'!$AD$7,0))</f>
        <v>0</v>
      </c>
      <c r="AN28" s="302">
        <f>(IF('Water Report'!$AD$8&gt;0,'Water Report'!$AD$8,0))</f>
        <v>0</v>
      </c>
      <c r="AO28" s="302">
        <f>(IF('Water Report'!$AD$9&gt;0,'Water Report'!$AD$9,0))</f>
        <v>0</v>
      </c>
      <c r="AP28" s="302">
        <f>(IF('Water Report'!$AD$10&gt;0,'Water Report'!AD$10,0))</f>
        <v>0</v>
      </c>
      <c r="AQ28" s="302">
        <f>(IF('Water Report'!$AD$11&gt;0,'Water Report'!AE$11,0))</f>
        <v>0</v>
      </c>
      <c r="AR28" s="302">
        <f>(IF('Water Report'!$AD$13&gt;0,'Water Report'!AF$13,0))</f>
        <v>0</v>
      </c>
      <c r="AS28" s="302">
        <f>(IF('Water Report'!$AD$14&gt;0,'Water Report'!AG$14,0))</f>
        <v>0</v>
      </c>
      <c r="AT28" s="302">
        <f>(IF('Water Report'!$AD$15&gt;0,'Water Report'!AH$15,0))</f>
        <v>0</v>
      </c>
      <c r="AU28" s="302">
        <f>(IF('Water Report'!$AD$17&gt;0,'Water Report'!AI$17,0))</f>
        <v>0</v>
      </c>
      <c r="AV28" s="302">
        <f>(IF('Water Report'!$AD$18&gt;0,'Water Report'!AJ$18,0))</f>
        <v>0</v>
      </c>
      <c r="AW28" s="302">
        <f>(IF('Water Report'!$AD$19&gt;0,'Water Report'!AK$19,0))</f>
        <v>0</v>
      </c>
      <c r="AX28" s="308">
        <f>(IF('Water Report'!$AD$21&gt;0,'Water Report'!AL$21,0))</f>
        <v>0</v>
      </c>
      <c r="AY28" s="308">
        <f>(IF('Water Report'!$AD$22&gt;0,'Water Report'!AM$22,0))</f>
        <v>0</v>
      </c>
      <c r="AZ28" s="308">
        <f>(IF('Water Report'!$AD$23&gt;0,'Water Report'!AN$23,0))</f>
        <v>0</v>
      </c>
      <c r="BA28" s="308">
        <f>(IF('Water Report'!$AD$14&gt;0,'Water Report'!AO$14,0))</f>
        <v>0</v>
      </c>
      <c r="BB28" s="308">
        <f>(IF('Water Report'!$AD$15&gt;0,'Water Report'!AP$15,0))</f>
        <v>0</v>
      </c>
      <c r="BC28" s="308">
        <f>(IF('Water Report'!$AD$13&gt;0,'Water Report'!AQ$13,0))</f>
        <v>0</v>
      </c>
      <c r="BD28" s="308">
        <f>(IF('Water Report'!$AD$24&gt;0,'Water Report'!AR$24,0))</f>
        <v>0</v>
      </c>
      <c r="BE28" s="308">
        <f>(IF('Water Report'!$AD$25&gt;0,'Water Report'!AS$25,0))</f>
        <v>0</v>
      </c>
      <c r="BF28" s="308">
        <f>(IF('Water Report'!$AD$27&gt;0,'Water Report'!AT$27,0))</f>
        <v>0</v>
      </c>
      <c r="BG28" s="303">
        <f>(IF('Section Load'!AN31&gt;0,'Section Load'!AN31,0))</f>
        <v>875</v>
      </c>
      <c r="BH28" s="303">
        <f>(IF('Section Load'!AO31&gt;0,'Section Load'!AO31,0))</f>
        <v>0</v>
      </c>
      <c r="BI28" s="303">
        <f>(IF('Section Load'!AP31&gt;0,'Section Load'!AP31,0))</f>
        <v>0</v>
      </c>
      <c r="BJ28" s="303">
        <f>(IF('Section Load'!AQ31&gt;0,'Section Load'!AQ31,0))</f>
        <v>0</v>
      </c>
      <c r="BK28" s="303">
        <f>(IF('Section Load'!AR31&gt;0,'Section Load'!AR31,0))</f>
        <v>0</v>
      </c>
      <c r="BL28" s="303">
        <f>(IF('Section Load'!AS31&gt;0,'Section Load'!AS31,0))</f>
        <v>0</v>
      </c>
      <c r="BM28" s="303">
        <f>(IF('Section Load'!AT31&gt;0,'Section Load'!AT31,0))</f>
        <v>875</v>
      </c>
    </row>
    <row r="29" spans="1:65" x14ac:dyDescent="0.25">
      <c r="A29" s="291" t="s">
        <v>268</v>
      </c>
      <c r="B29" s="292">
        <f t="shared" si="0"/>
        <v>28</v>
      </c>
      <c r="C29" s="292">
        <v>10</v>
      </c>
      <c r="D29" s="292">
        <v>2021</v>
      </c>
      <c r="E29" s="301">
        <f>(IF('Section Load'!F32&gt;0,'Section Load'!F32,0))</f>
        <v>0</v>
      </c>
      <c r="F29" s="301">
        <f>(IF('Section Load'!G32&gt;0,'Section Load'!G32,0))</f>
        <v>0</v>
      </c>
      <c r="G29" s="301">
        <f>(IF('Section Load'!H32&gt;0,'Section Load'!H32,0))</f>
        <v>0</v>
      </c>
      <c r="H29" s="301">
        <f>(IF('Section Load'!I32&gt;0,'Section Load'!I32,0))</f>
        <v>0</v>
      </c>
      <c r="I29" s="301">
        <f>(IF('Section Load'!J32&gt;0,'Section Load'!J32,0))</f>
        <v>0</v>
      </c>
      <c r="J29" s="301">
        <f>(IF('Section Load'!K32&gt;0,'Section Load'!K32,0))</f>
        <v>0</v>
      </c>
      <c r="K29" s="301">
        <f>(IF('Section Load'!L32&gt;0,'Section Load'!L32,0))</f>
        <v>0</v>
      </c>
      <c r="L29" s="301">
        <f>(IF('Section Load'!M32&gt;0,'Section Load'!M32,0))</f>
        <v>0</v>
      </c>
      <c r="M29" s="301">
        <f>(IF('Section Load'!N32&gt;0,'Section Load'!N32,0))</f>
        <v>0</v>
      </c>
      <c r="N29" s="301">
        <f>(IF('Section Load'!O32&gt;0,'Section Load'!O32,0))</f>
        <v>0</v>
      </c>
      <c r="O29" s="301">
        <f>(IF('Section Load'!P32&gt;0,'Section Load'!P32,0))</f>
        <v>0</v>
      </c>
      <c r="P29" s="301">
        <f>(IF('Section Load'!Q32&gt;0,'Section Load'!Q32,0))</f>
        <v>0</v>
      </c>
      <c r="Q29" s="301">
        <f>(IF('Section Load'!R32&gt;0,'Section Load'!R32,0))</f>
        <v>0</v>
      </c>
      <c r="R29" s="301">
        <f>(IF('Section Load'!S32&gt;0,'Section Load'!S32,0))</f>
        <v>0</v>
      </c>
      <c r="S29" s="301">
        <f>(IF('Section Load'!T32&gt;0,'Section Load'!T32,0))</f>
        <v>0</v>
      </c>
      <c r="T29" s="301">
        <f>(IF('Section Load'!U32&gt;0,'Section Load'!U32,0))</f>
        <v>0</v>
      </c>
      <c r="U29" s="301">
        <f>(IF('Section Load'!V32&gt;0,'Section Load'!V32,0))</f>
        <v>0</v>
      </c>
      <c r="V29" s="301">
        <f>(IF('Section Load'!W32&gt;0,'Section Load'!W32,0))</f>
        <v>0</v>
      </c>
      <c r="W29" s="301">
        <f>(IF('Section Load'!X32&gt;0,'Section Load'!X32,0))</f>
        <v>0</v>
      </c>
      <c r="X29" s="301">
        <f>(IF('Section Load'!Y32&gt;0,'Section Load'!Y32,0))</f>
        <v>0</v>
      </c>
      <c r="Y29" s="301">
        <f>(IF('Section Load'!Z32&gt;0,'Section Load'!Z32,0))</f>
        <v>0</v>
      </c>
      <c r="Z29" s="301">
        <f>(IF('Section Load'!AA32&gt;0,'Section Load'!AA32,0))</f>
        <v>0</v>
      </c>
      <c r="AA29" s="301">
        <f>(IF('Section Load'!AB32&gt;0,'Section Load'!AB32,0))</f>
        <v>0</v>
      </c>
      <c r="AB29" s="301">
        <f>(IF('Section Load'!AC32&gt;0,'Section Load'!AC32,0))</f>
        <v>0</v>
      </c>
      <c r="AC29" s="301">
        <f>(IF('Section Load'!AD32&gt;0,'Section Load'!AD32,0))</f>
        <v>0</v>
      </c>
      <c r="AD29" s="301">
        <f>(IF('Section Load'!AE32&gt;0,'Section Load'!AE32,0))</f>
        <v>0</v>
      </c>
      <c r="AE29" s="301">
        <f>(IF('Section Load'!AF32&gt;0,'Section Load'!AF32,0))</f>
        <v>0</v>
      </c>
      <c r="AF29" s="301">
        <f>(IF('Section Load'!AG32&gt;0,'Section Load'!AG32,0))</f>
        <v>0</v>
      </c>
      <c r="AG29" s="301">
        <f>(IF('Section Load'!AH32&gt;0,'Section Load'!AH32,0))</f>
        <v>0</v>
      </c>
      <c r="AH29" s="301">
        <f>(IF('Section Load'!AI32&gt;0,'Section Load'!AI32,0))</f>
        <v>0</v>
      </c>
      <c r="AI29" s="301">
        <f>(IF('Section Load'!AJ32&gt;0,'Section Load'!AJ32,0))</f>
        <v>0</v>
      </c>
      <c r="AJ29" s="301">
        <f>(IF('Section Load'!AK32&gt;0,'Section Load'!AK32,0))</f>
        <v>0</v>
      </c>
      <c r="AK29" s="301">
        <f>(IF('Section Load'!AL32&gt;0,'Section Load'!AL32,0))</f>
        <v>0</v>
      </c>
      <c r="AL29" s="301">
        <f>(IF('Section Load'!AM32&gt;0,'Section Load'!AM32,0))</f>
        <v>0</v>
      </c>
      <c r="AM29" s="302">
        <f>(IF('Water Report'!$AE$7&gt;0,'Water Report'!$AE$7,0))</f>
        <v>0</v>
      </c>
      <c r="AN29" s="302">
        <f>(IF('Water Report'!$AE$8&gt;0,'Water Report'!$AE$8,0))</f>
        <v>0</v>
      </c>
      <c r="AO29" s="302">
        <f>(IF('Water Report'!$AE$9&gt;0,'Water Report'!$AE$9,0))</f>
        <v>0</v>
      </c>
      <c r="AP29" s="302">
        <f>(IF('Water Report'!$AE$10&gt;0,'Water Report'!$AE$10,0))</f>
        <v>0</v>
      </c>
      <c r="AQ29" s="302">
        <f>(IF('Water Report'!$AE$11&gt;0,'Water Report'!$AE$11,0))</f>
        <v>0</v>
      </c>
      <c r="AR29" s="302">
        <f>(IF('Water Report'!$AE$13&gt;0,'Water Report'!$AE$13,0))</f>
        <v>0</v>
      </c>
      <c r="AS29" s="302">
        <f>(IF('Water Report'!$AE$14&gt;0,'Water Report'!$AE$14,0))</f>
        <v>0</v>
      </c>
      <c r="AT29" s="302">
        <f>(IF('Water Report'!$AE$15&gt;0,'Water Report'!$AE$15,0))</f>
        <v>0</v>
      </c>
      <c r="AU29" s="302">
        <f>(IF('Water Report'!$AE$17&gt;0,'Water Report'!$AE$17,0))</f>
        <v>0</v>
      </c>
      <c r="AV29" s="302">
        <f>(IF('Water Report'!$AE$18&gt;0,'Water Report'!$AE$18,0))</f>
        <v>0</v>
      </c>
      <c r="AW29" s="302">
        <f>(IF('Water Report'!$AE$19&gt;0,'Water Report'!$AE$19,0))</f>
        <v>0</v>
      </c>
      <c r="AX29" s="308">
        <f>(IF('Water Report'!$AE$21&gt;0,'Water Report'!$AE$21,0))</f>
        <v>0</v>
      </c>
      <c r="AY29" s="308">
        <f>(IF('Water Report'!$AE$22&gt;0,'Water Report'!$AE$22,0))</f>
        <v>0</v>
      </c>
      <c r="AZ29" s="308">
        <f>(IF('Water Report'!$AE$23&gt;0,'Water Report'!$AE$23,0))</f>
        <v>0</v>
      </c>
      <c r="BA29" s="308">
        <f>(IF('Water Report'!$AE$14&gt;0,'Water Report'!$AE$14,0))</f>
        <v>0</v>
      </c>
      <c r="BB29" s="308">
        <f>(IF('Water Report'!$AE$15&gt;0,'Water Report'!$AE$15,0))</f>
        <v>0</v>
      </c>
      <c r="BC29" s="308">
        <f>(IF('Water Report'!$AE$13&gt;0,'Water Report'!$AE$13,0))</f>
        <v>0</v>
      </c>
      <c r="BD29" s="308">
        <f>(IF('Water Report'!$AE$24&gt;0,'Water Report'!$AE$24,0))</f>
        <v>200</v>
      </c>
      <c r="BE29" s="308">
        <f>(IF('Water Report'!$AE$25&gt;0,'Water Report'!$AE$25,0))</f>
        <v>0</v>
      </c>
      <c r="BF29" s="308">
        <f>(IF('Water Report'!$AE$27&gt;0,'Water Report'!$AE$27,0))</f>
        <v>0</v>
      </c>
      <c r="BG29" s="303">
        <f>(IF('Section Load'!AN32&gt;0,'Section Load'!AN32,0))</f>
        <v>875</v>
      </c>
      <c r="BH29" s="303">
        <f>(IF('Section Load'!AO32&gt;0,'Section Load'!AO32,0))</f>
        <v>0</v>
      </c>
      <c r="BI29" s="303">
        <f>(IF('Section Load'!AP32&gt;0,'Section Load'!AP32,0))</f>
        <v>0</v>
      </c>
      <c r="BJ29" s="303">
        <f>(IF('Section Load'!AQ32&gt;0,'Section Load'!AQ32,0))</f>
        <v>0</v>
      </c>
      <c r="BK29" s="303">
        <f>(IF('Section Load'!AR32&gt;0,'Section Load'!AR32,0))</f>
        <v>0</v>
      </c>
      <c r="BL29" s="303">
        <f>(IF('Section Load'!AS32&gt;0,'Section Load'!AS32,0))</f>
        <v>0</v>
      </c>
      <c r="BM29" s="303">
        <f>(IF('Section Load'!AT32&gt;0,'Section Load'!AT32,0))</f>
        <v>875</v>
      </c>
    </row>
    <row r="30" spans="1:65" x14ac:dyDescent="0.25">
      <c r="A30" s="291" t="s">
        <v>268</v>
      </c>
      <c r="B30" s="292">
        <f t="shared" si="0"/>
        <v>29</v>
      </c>
      <c r="C30" s="292">
        <v>10</v>
      </c>
      <c r="D30" s="292">
        <v>2021</v>
      </c>
      <c r="E30" s="301">
        <f>(IF('Section Load'!F33&gt;0,'Section Load'!F33,0))</f>
        <v>0</v>
      </c>
      <c r="F30" s="301">
        <f>(IF('Section Load'!G33&gt;0,'Section Load'!G33,0))</f>
        <v>0</v>
      </c>
      <c r="G30" s="301">
        <f>(IF('Section Load'!H33&gt;0,'Section Load'!H33,0))</f>
        <v>0</v>
      </c>
      <c r="H30" s="301">
        <f>(IF('Section Load'!I33&gt;0,'Section Load'!I33,0))</f>
        <v>0</v>
      </c>
      <c r="I30" s="301">
        <f>(IF('Section Load'!J33&gt;0,'Section Load'!J33,0))</f>
        <v>0</v>
      </c>
      <c r="J30" s="301">
        <f>(IF('Section Load'!K33&gt;0,'Section Load'!K33,0))</f>
        <v>0</v>
      </c>
      <c r="K30" s="301">
        <f>(IF('Section Load'!L33&gt;0,'Section Load'!L33,0))</f>
        <v>0</v>
      </c>
      <c r="L30" s="301">
        <f>(IF('Section Load'!M33&gt;0,'Section Load'!M33,0))</f>
        <v>0</v>
      </c>
      <c r="M30" s="301">
        <f>(IF('Section Load'!N33&gt;0,'Section Load'!N33,0))</f>
        <v>0</v>
      </c>
      <c r="N30" s="301">
        <f>(IF('Section Load'!O33&gt;0,'Section Load'!O33,0))</f>
        <v>0</v>
      </c>
      <c r="O30" s="301">
        <f>(IF('Section Load'!P33&gt;0,'Section Load'!P33,0))</f>
        <v>0</v>
      </c>
      <c r="P30" s="301">
        <f>(IF('Section Load'!Q33&gt;0,'Section Load'!Q33,0))</f>
        <v>0</v>
      </c>
      <c r="Q30" s="301">
        <f>(IF('Section Load'!R33&gt;0,'Section Load'!R33,0))</f>
        <v>0</v>
      </c>
      <c r="R30" s="301">
        <f>(IF('Section Load'!S33&gt;0,'Section Load'!S33,0))</f>
        <v>0</v>
      </c>
      <c r="S30" s="301">
        <f>(IF('Section Load'!T33&gt;0,'Section Load'!T33,0))</f>
        <v>0</v>
      </c>
      <c r="T30" s="301">
        <f>(IF('Section Load'!U33&gt;0,'Section Load'!U33,0))</f>
        <v>0</v>
      </c>
      <c r="U30" s="301">
        <f>(IF('Section Load'!V33&gt;0,'Section Load'!V33,0))</f>
        <v>0</v>
      </c>
      <c r="V30" s="301">
        <f>(IF('Section Load'!W33&gt;0,'Section Load'!W33,0))</f>
        <v>0</v>
      </c>
      <c r="W30" s="301">
        <f>(IF('Section Load'!X33&gt;0,'Section Load'!X33,0))</f>
        <v>0</v>
      </c>
      <c r="X30" s="301">
        <f>(IF('Section Load'!Y33&gt;0,'Section Load'!Y33,0))</f>
        <v>0</v>
      </c>
      <c r="Y30" s="301">
        <f>(IF('Section Load'!Z33&gt;0,'Section Load'!Z33,0))</f>
        <v>0</v>
      </c>
      <c r="Z30" s="301">
        <f>(IF('Section Load'!AA33&gt;0,'Section Load'!AA33,0))</f>
        <v>0</v>
      </c>
      <c r="AA30" s="301">
        <f>(IF('Section Load'!AB33&gt;0,'Section Load'!AB33,0))</f>
        <v>0</v>
      </c>
      <c r="AB30" s="301">
        <f>(IF('Section Load'!AC33&gt;0,'Section Load'!AC33,0))</f>
        <v>0</v>
      </c>
      <c r="AC30" s="301">
        <f>(IF('Section Load'!AD33&gt;0,'Section Load'!AD33,0))</f>
        <v>0</v>
      </c>
      <c r="AD30" s="301">
        <f>(IF('Section Load'!AE33&gt;0,'Section Load'!AE33,0))</f>
        <v>0</v>
      </c>
      <c r="AE30" s="301">
        <f>(IF('Section Load'!AF33&gt;0,'Section Load'!AF33,0))</f>
        <v>0</v>
      </c>
      <c r="AF30" s="301">
        <f>(IF('Section Load'!AG33&gt;0,'Section Load'!AG33,0))</f>
        <v>0</v>
      </c>
      <c r="AG30" s="301">
        <f>(IF('Section Load'!AH33&gt;0,'Section Load'!AH33,0))</f>
        <v>0</v>
      </c>
      <c r="AH30" s="301">
        <f>(IF('Section Load'!AI33&gt;0,'Section Load'!AI33,0))</f>
        <v>0</v>
      </c>
      <c r="AI30" s="301">
        <f>(IF('Section Load'!AJ33&gt;0,'Section Load'!AJ33,0))</f>
        <v>0</v>
      </c>
      <c r="AJ30" s="301">
        <f>(IF('Section Load'!AK33&gt;0,'Section Load'!AK33,0))</f>
        <v>0</v>
      </c>
      <c r="AK30" s="301">
        <f>(IF('Section Load'!AL33&gt;0,'Section Load'!AL33,0))</f>
        <v>0</v>
      </c>
      <c r="AL30" s="301">
        <f>(IF('Section Load'!AM33&gt;0,'Section Load'!AM33,0))</f>
        <v>0</v>
      </c>
      <c r="AM30" s="302">
        <f>(IF('Water Report'!$AF$7&gt;0,'Water Report'!$AF$7,0))</f>
        <v>0</v>
      </c>
      <c r="AN30" s="302">
        <f>(IF('Water Report'!$AF$8&gt;0,'Water Report'!$AF$8,0))</f>
        <v>0</v>
      </c>
      <c r="AO30" s="302">
        <f>(IF('Water Report'!$AF$9&gt;0,'Water Report'!$AF$9,0))</f>
        <v>0</v>
      </c>
      <c r="AP30" s="302">
        <f>(IF('Water Report'!$AF$10&gt;0,'Water Report'!$AF$10,0))</f>
        <v>0</v>
      </c>
      <c r="AQ30" s="302">
        <f>(IF('Water Report'!$AF$11&gt;0,'Water Report'!$AF$11,0))</f>
        <v>0</v>
      </c>
      <c r="AR30" s="302">
        <f>(IF('Water Report'!$AF$13&gt;0,'Water Report'!$AF$13,0))</f>
        <v>0</v>
      </c>
      <c r="AS30" s="302">
        <f>(IF('Water Report'!$AF$14&gt;0,'Water Report'!$AF$14,0))</f>
        <v>0</v>
      </c>
      <c r="AT30" s="302">
        <f>(IF('Water Report'!$AF$15&gt;0,'Water Report'!$AF$15,0))</f>
        <v>0</v>
      </c>
      <c r="AU30" s="302">
        <f>(IF('Water Report'!$AF$17&gt;0,'Water Report'!$AF$17,0))</f>
        <v>0</v>
      </c>
      <c r="AV30" s="302">
        <f>(IF('Water Report'!$AF$18&gt;0,'Water Report'!$AF$18,0))</f>
        <v>0</v>
      </c>
      <c r="AW30" s="302">
        <f>(IF('Water Report'!$AF$19&gt;0,'Water Report'!$AF$19,0))</f>
        <v>0</v>
      </c>
      <c r="AX30" s="308">
        <f>(IF('Water Report'!$AF$21&gt;0,'Water Report'!$AF$21,0))</f>
        <v>0</v>
      </c>
      <c r="AY30" s="308">
        <f>(IF('Water Report'!$AF$22&gt;0,'Water Report'!$AF$22,0))</f>
        <v>0</v>
      </c>
      <c r="AZ30" s="308">
        <f>(IF('Water Report'!$AF$23&gt;0,'Water Report'!$AF$23,0))</f>
        <v>0</v>
      </c>
      <c r="BA30" s="308">
        <f>(IF('Water Report'!$AF$14&gt;0,'Water Report'!$AF$14,0))</f>
        <v>0</v>
      </c>
      <c r="BB30" s="308">
        <f>(IF('Water Report'!$AF$15&gt;0,'Water Report'!$AF$15,0))</f>
        <v>0</v>
      </c>
      <c r="BC30" s="308">
        <f>(IF('Water Report'!$AF$13&gt;0,'Water Report'!$AF$13,0))</f>
        <v>0</v>
      </c>
      <c r="BD30" s="308">
        <f>(IF('Water Report'!$AF$24&gt;0,'Water Report'!$AF$24,0))</f>
        <v>200</v>
      </c>
      <c r="BE30" s="308">
        <f>(IF('Water Report'!$AF$25&gt;0,'Water Report'!$AF$25,0))</f>
        <v>0</v>
      </c>
      <c r="BF30" s="308">
        <f>(IF('Water Report'!$AF$27&gt;0,'Water Report'!$AF$27,0))</f>
        <v>0</v>
      </c>
      <c r="BG30" s="303">
        <f>(IF('Section Load'!AN33&gt;0,'Section Load'!AN33,0))</f>
        <v>875</v>
      </c>
      <c r="BH30" s="303">
        <f>(IF('Section Load'!AO33&gt;0,'Section Load'!AO33,0))</f>
        <v>0</v>
      </c>
      <c r="BI30" s="303">
        <f>(IF('Section Load'!AP33&gt;0,'Section Load'!AP33,0))</f>
        <v>0</v>
      </c>
      <c r="BJ30" s="303">
        <f>(IF('Section Load'!AQ33&gt;0,'Section Load'!AQ33,0))</f>
        <v>0</v>
      </c>
      <c r="BK30" s="303">
        <f>(IF('Section Load'!AR33&gt;0,'Section Load'!AR33,0))</f>
        <v>0</v>
      </c>
      <c r="BL30" s="303">
        <f>(IF('Section Load'!AS33&gt;0,'Section Load'!AS33,0))</f>
        <v>0</v>
      </c>
      <c r="BM30" s="303">
        <f>(IF('Section Load'!AT33&gt;0,'Section Load'!AT33,0))</f>
        <v>875</v>
      </c>
    </row>
    <row r="31" spans="1:65" x14ac:dyDescent="0.25">
      <c r="A31" s="291" t="s">
        <v>268</v>
      </c>
      <c r="B31" s="292">
        <f t="shared" si="0"/>
        <v>30</v>
      </c>
      <c r="C31" s="292">
        <v>10</v>
      </c>
      <c r="D31" s="292">
        <v>2021</v>
      </c>
      <c r="E31" s="301">
        <f>(IF('Section Load'!F34&gt;0,'Section Load'!F34,0))</f>
        <v>0</v>
      </c>
      <c r="F31" s="301">
        <f>(IF('Section Load'!G34&gt;0,'Section Load'!G34,0))</f>
        <v>0</v>
      </c>
      <c r="G31" s="301">
        <f>(IF('Section Load'!H34&gt;0,'Section Load'!H34,0))</f>
        <v>0</v>
      </c>
      <c r="H31" s="301">
        <f>(IF('Section Load'!I34&gt;0,'Section Load'!I34,0))</f>
        <v>0</v>
      </c>
      <c r="I31" s="301">
        <f>(IF('Section Load'!J34&gt;0,'Section Load'!J34,0))</f>
        <v>0</v>
      </c>
      <c r="J31" s="301">
        <f>(IF('Section Load'!K34&gt;0,'Section Load'!K34,0))</f>
        <v>0</v>
      </c>
      <c r="K31" s="301">
        <f>(IF('Section Load'!L34&gt;0,'Section Load'!L34,0))</f>
        <v>0</v>
      </c>
      <c r="L31" s="301">
        <f>(IF('Section Load'!M34&gt;0,'Section Load'!M34,0))</f>
        <v>0</v>
      </c>
      <c r="M31" s="301">
        <f>(IF('Section Load'!N34&gt;0,'Section Load'!N34,0))</f>
        <v>0</v>
      </c>
      <c r="N31" s="301">
        <f>(IF('Section Load'!O34&gt;0,'Section Load'!O34,0))</f>
        <v>0</v>
      </c>
      <c r="O31" s="301">
        <f>(IF('Section Load'!P34&gt;0,'Section Load'!P34,0))</f>
        <v>0</v>
      </c>
      <c r="P31" s="301">
        <f>(IF('Section Load'!Q34&gt;0,'Section Load'!Q34,0))</f>
        <v>0</v>
      </c>
      <c r="Q31" s="301">
        <f>(IF('Section Load'!R34&gt;0,'Section Load'!R34,0))</f>
        <v>0</v>
      </c>
      <c r="R31" s="301">
        <f>(IF('Section Load'!S34&gt;0,'Section Load'!S34,0))</f>
        <v>0</v>
      </c>
      <c r="S31" s="301">
        <f>(IF('Section Load'!T34&gt;0,'Section Load'!T34,0))</f>
        <v>0</v>
      </c>
      <c r="T31" s="301">
        <f>(IF('Section Load'!U34&gt;0,'Section Load'!U34,0))</f>
        <v>0</v>
      </c>
      <c r="U31" s="301">
        <f>(IF('Section Load'!V34&gt;0,'Section Load'!V34,0))</f>
        <v>0</v>
      </c>
      <c r="V31" s="301">
        <f>(IF('Section Load'!W34&gt;0,'Section Load'!W34,0))</f>
        <v>0</v>
      </c>
      <c r="W31" s="301">
        <f>(IF('Section Load'!X34&gt;0,'Section Load'!X34,0))</f>
        <v>0</v>
      </c>
      <c r="X31" s="301">
        <f>(IF('Section Load'!Y34&gt;0,'Section Load'!Y34,0))</f>
        <v>0</v>
      </c>
      <c r="Y31" s="301">
        <f>(IF('Section Load'!Z34&gt;0,'Section Load'!Z34,0))</f>
        <v>0</v>
      </c>
      <c r="Z31" s="301">
        <f>(IF('Section Load'!AA34&gt;0,'Section Load'!AA34,0))</f>
        <v>0</v>
      </c>
      <c r="AA31" s="301">
        <f>(IF('Section Load'!AB34&gt;0,'Section Load'!AB34,0))</f>
        <v>0</v>
      </c>
      <c r="AB31" s="301">
        <f>(IF('Section Load'!AC34&gt;0,'Section Load'!AC34,0))</f>
        <v>0</v>
      </c>
      <c r="AC31" s="301">
        <f>(IF('Section Load'!AD34&gt;0,'Section Load'!AD34,0))</f>
        <v>0</v>
      </c>
      <c r="AD31" s="301">
        <f>(IF('Section Load'!AE34&gt;0,'Section Load'!AE34,0))</f>
        <v>0</v>
      </c>
      <c r="AE31" s="301">
        <f>(IF('Section Load'!AF34&gt;0,'Section Load'!AF34,0))</f>
        <v>0</v>
      </c>
      <c r="AF31" s="301">
        <f>(IF('Section Load'!AG34&gt;0,'Section Load'!AG34,0))</f>
        <v>0</v>
      </c>
      <c r="AG31" s="301">
        <f>(IF('Section Load'!AH34&gt;0,'Section Load'!AH34,0))</f>
        <v>0</v>
      </c>
      <c r="AH31" s="301">
        <f>(IF('Section Load'!AI34&gt;0,'Section Load'!AI34,0))</f>
        <v>0</v>
      </c>
      <c r="AI31" s="301">
        <f>(IF('Section Load'!AJ34&gt;0,'Section Load'!AJ34,0))</f>
        <v>0</v>
      </c>
      <c r="AJ31" s="301">
        <f>(IF('Section Load'!AK34&gt;0,'Section Load'!AK34,0))</f>
        <v>0</v>
      </c>
      <c r="AK31" s="301">
        <f>(IF('Section Load'!AL34&gt;0,'Section Load'!AL34,0))</f>
        <v>0</v>
      </c>
      <c r="AL31" s="301">
        <f>(IF('Section Load'!AM34&gt;0,'Section Load'!AM34,0))</f>
        <v>0</v>
      </c>
      <c r="AM31" s="302">
        <f>(IF('Water Report'!$AG$7&gt;0,'Water Report'!$AG$7,0))</f>
        <v>0</v>
      </c>
      <c r="AN31" s="302">
        <f>(IF('Water Report'!$AG$8&gt;0,'Water Report'!$AG$8,0))</f>
        <v>0</v>
      </c>
      <c r="AO31" s="302">
        <f>(IF('Water Report'!$AG$9&gt;0,'Water Report'!$AG$9,0))</f>
        <v>0</v>
      </c>
      <c r="AP31" s="302">
        <f>(IF('Water Report'!$AG$10&gt;0,'Water Report'!$DAG$10,0))</f>
        <v>0</v>
      </c>
      <c r="AQ31" s="302">
        <f>(IF('Water Report'!$AG$11&gt;0,'Water Report'!$DAG$11,0))</f>
        <v>0</v>
      </c>
      <c r="AR31" s="302">
        <f>(IF('Water Report'!$AG$13&gt;0,'Water Report'!$DAG$13,0))</f>
        <v>0</v>
      </c>
      <c r="AS31" s="302">
        <f>(IF('Water Report'!$AG$14&gt;0,'Water Report'!$DAG$14,0))</f>
        <v>0</v>
      </c>
      <c r="AT31" s="302">
        <f>(IF('Water Report'!$AG$15&gt;0,'Water Report'!$DAG$15,0))</f>
        <v>0</v>
      </c>
      <c r="AU31" s="302">
        <f>(IF('Water Report'!$AG$17&gt;0,'Water Report'!$DAG$17,0))</f>
        <v>0</v>
      </c>
      <c r="AV31" s="302">
        <f>(IF('Water Report'!$AG$18&gt;0,'Water Report'!$DAG$18,0))</f>
        <v>0</v>
      </c>
      <c r="AW31" s="302">
        <f>(IF('Water Report'!$AG$19&gt;0,'Water Report'!$DAG$19,0))</f>
        <v>0</v>
      </c>
      <c r="AX31" s="308">
        <f>(IF('Water Report'!$AG$21&gt;0,'Water Report'!$DAG$21,0))</f>
        <v>0</v>
      </c>
      <c r="AY31" s="308">
        <f>(IF('Water Report'!$AG$22&gt;0,'Water Report'!$DAG$22,0))</f>
        <v>0</v>
      </c>
      <c r="AZ31" s="308">
        <f>(IF('Water Report'!$AG$23&gt;0,'Water Report'!$DAG$23,0))</f>
        <v>0</v>
      </c>
      <c r="BA31" s="308">
        <f>(IF('Water Report'!$AG$14&gt;0,'Water Report'!$DAG$14,0))</f>
        <v>0</v>
      </c>
      <c r="BB31" s="308">
        <f>(IF('Water Report'!$AG$15&gt;0,'Water Report'!$DAG$15,0))</f>
        <v>0</v>
      </c>
      <c r="BC31" s="308">
        <f>(IF('Water Report'!$AG$13&gt;0,'Water Report'!$DAG$13,0))</f>
        <v>0</v>
      </c>
      <c r="BD31" s="308">
        <f>(IF('Water Report'!$AG$24&gt;0,'Water Report'!$DAG$24,0))</f>
        <v>0</v>
      </c>
      <c r="BE31" s="308">
        <f>(IF('Water Report'!$AG$25&gt;0,'Water Report'!$DAG$25,0))</f>
        <v>0</v>
      </c>
      <c r="BF31" s="308">
        <f>(IF('Water Report'!$AG$27&gt;0,'Water Report'!$DAG$27,0))</f>
        <v>0</v>
      </c>
      <c r="BG31" s="303">
        <f>(IF('Section Load'!AN34&gt;0,'Section Load'!AN34,0))</f>
        <v>875</v>
      </c>
      <c r="BH31" s="303">
        <f>(IF('Section Load'!AO34&gt;0,'Section Load'!AO34,0))</f>
        <v>0</v>
      </c>
      <c r="BI31" s="303">
        <f>(IF('Section Load'!AP34&gt;0,'Section Load'!AP34,0))</f>
        <v>0</v>
      </c>
      <c r="BJ31" s="303">
        <f>(IF('Section Load'!AQ34&gt;0,'Section Load'!AQ34,0))</f>
        <v>0</v>
      </c>
      <c r="BK31" s="303">
        <f>(IF('Section Load'!AR34&gt;0,'Section Load'!AR34,0))</f>
        <v>0</v>
      </c>
      <c r="BL31" s="303">
        <f>(IF('Section Load'!AS34&gt;0,'Section Load'!AS34,0))</f>
        <v>0</v>
      </c>
      <c r="BM31" s="303">
        <f>(IF('Section Load'!AT34&gt;0,'Section Load'!AT34,0))</f>
        <v>875</v>
      </c>
    </row>
    <row r="32" spans="1:65" x14ac:dyDescent="0.25">
      <c r="A32" s="291" t="s">
        <v>268</v>
      </c>
      <c r="B32" s="292">
        <f t="shared" si="0"/>
        <v>31</v>
      </c>
      <c r="C32" s="292">
        <v>10</v>
      </c>
      <c r="D32" s="292">
        <v>2021</v>
      </c>
      <c r="E32" s="301">
        <f>(IF('Section Load'!F35&gt;0,'Section Load'!F35,0))</f>
        <v>0</v>
      </c>
      <c r="F32" s="301">
        <f>(IF('Section Load'!G35&gt;0,'Section Load'!G35,0))</f>
        <v>0</v>
      </c>
      <c r="G32" s="301">
        <f>(IF('Section Load'!H35&gt;0,'Section Load'!H35,0))</f>
        <v>0</v>
      </c>
      <c r="H32" s="301">
        <f>(IF('Section Load'!I35&gt;0,'Section Load'!I35,0))</f>
        <v>0</v>
      </c>
      <c r="I32" s="301">
        <f>(IF('Section Load'!J35&gt;0,'Section Load'!J35,0))</f>
        <v>0</v>
      </c>
      <c r="J32" s="301">
        <f>(IF('Section Load'!K35&gt;0,'Section Load'!K35,0))</f>
        <v>0</v>
      </c>
      <c r="K32" s="301">
        <f>(IF('Section Load'!L35&gt;0,'Section Load'!L35,0))</f>
        <v>0</v>
      </c>
      <c r="L32" s="301">
        <f>(IF('Section Load'!M35&gt;0,'Section Load'!M35,0))</f>
        <v>0</v>
      </c>
      <c r="M32" s="301">
        <f>(IF('Section Load'!N35&gt;0,'Section Load'!N35,0))</f>
        <v>0</v>
      </c>
      <c r="N32" s="301">
        <f>(IF('Section Load'!O35&gt;0,'Section Load'!O35,0))</f>
        <v>0</v>
      </c>
      <c r="O32" s="301">
        <f>(IF('Section Load'!P35&gt;0,'Section Load'!P35,0))</f>
        <v>0</v>
      </c>
      <c r="P32" s="301">
        <f>(IF('Section Load'!Q35&gt;0,'Section Load'!Q35,0))</f>
        <v>0</v>
      </c>
      <c r="Q32" s="301">
        <f>(IF('Section Load'!R35&gt;0,'Section Load'!R35,0))</f>
        <v>0</v>
      </c>
      <c r="R32" s="301">
        <f>(IF('Section Load'!S35&gt;0,'Section Load'!S35,0))</f>
        <v>0</v>
      </c>
      <c r="S32" s="301">
        <f>(IF('Section Load'!T35&gt;0,'Section Load'!T35,0))</f>
        <v>0</v>
      </c>
      <c r="T32" s="301">
        <f>(IF('Section Load'!U35&gt;0,'Section Load'!U35,0))</f>
        <v>0</v>
      </c>
      <c r="U32" s="301">
        <f>(IF('Section Load'!V35&gt;0,'Section Load'!V35,0))</f>
        <v>0</v>
      </c>
      <c r="V32" s="301">
        <f>(IF('Section Load'!W35&gt;0,'Section Load'!W35,0))</f>
        <v>0</v>
      </c>
      <c r="W32" s="301">
        <f>(IF('Section Load'!X35&gt;0,'Section Load'!X35,0))</f>
        <v>0</v>
      </c>
      <c r="X32" s="301">
        <f>(IF('Section Load'!Y35&gt;0,'Section Load'!Y35,0))</f>
        <v>0</v>
      </c>
      <c r="Y32" s="301">
        <f>(IF('Section Load'!Z35&gt;0,'Section Load'!Z35,0))</f>
        <v>0</v>
      </c>
      <c r="Z32" s="301">
        <f>(IF('Section Load'!AA35&gt;0,'Section Load'!AA35,0))</f>
        <v>0</v>
      </c>
      <c r="AA32" s="301">
        <f>(IF('Section Load'!AB35&gt;0,'Section Load'!AB35,0))</f>
        <v>0</v>
      </c>
      <c r="AB32" s="301">
        <f>(IF('Section Load'!AC35&gt;0,'Section Load'!AC35,0))</f>
        <v>0</v>
      </c>
      <c r="AC32" s="301">
        <f>(IF('Section Load'!AD35&gt;0,'Section Load'!AD35,0))</f>
        <v>0</v>
      </c>
      <c r="AD32" s="301">
        <f>(IF('Section Load'!AE35&gt;0,'Section Load'!AE35,0))</f>
        <v>0</v>
      </c>
      <c r="AE32" s="301">
        <f>(IF('Section Load'!AF35&gt;0,'Section Load'!AF35,0))</f>
        <v>0</v>
      </c>
      <c r="AF32" s="301">
        <f>(IF('Section Load'!AG35&gt;0,'Section Load'!AG35,0))</f>
        <v>0</v>
      </c>
      <c r="AG32" s="301">
        <f>(IF('Section Load'!AH35&gt;0,'Section Load'!AH35,0))</f>
        <v>0</v>
      </c>
      <c r="AH32" s="301">
        <f>(IF('Section Load'!AI35&gt;0,'Section Load'!AI35,0))</f>
        <v>0</v>
      </c>
      <c r="AI32" s="301">
        <f>(IF('Section Load'!AJ35&gt;0,'Section Load'!AJ35,0))</f>
        <v>0</v>
      </c>
      <c r="AJ32" s="301">
        <f>(IF('Section Load'!AK35&gt;0,'Section Load'!AK35,0))</f>
        <v>0</v>
      </c>
      <c r="AK32" s="301">
        <f>(IF('Section Load'!AL35&gt;0,'Section Load'!AL35,0))</f>
        <v>0</v>
      </c>
      <c r="AL32" s="301">
        <f>(IF('Section Load'!AM35&gt;0,'Section Load'!AM35,0))</f>
        <v>0</v>
      </c>
      <c r="AM32" s="302">
        <f>(IF('Water Report'!$AH$7&gt;0,'Water Report'!$AH$7,0))</f>
        <v>0</v>
      </c>
      <c r="AN32" s="302">
        <f>(IF('Water Report'!$AH$8&gt;0,'Water Report'!$AH$8,0))</f>
        <v>0</v>
      </c>
      <c r="AO32" s="302">
        <f>(IF('Water Report'!$AH$9&gt;0,'Water Report'!$AH$9,0))</f>
        <v>0</v>
      </c>
      <c r="AP32" s="302">
        <f>(IF('Water Report'!$AH$10&gt;0,'Water Report'!$DAH$10,0))</f>
        <v>0</v>
      </c>
      <c r="AQ32" s="302">
        <f>(IF('Water Report'!$AH$11&gt;0,'Water Report'!$DAH$11,0))</f>
        <v>0</v>
      </c>
      <c r="AR32" s="302">
        <f>(IF('Water Report'!$AH$13&gt;0,'Water Report'!$DAH$13,0))</f>
        <v>0</v>
      </c>
      <c r="AS32" s="302">
        <f>(IF('Water Report'!$AH$14&gt;0,'Water Report'!$DAH$14,0))</f>
        <v>0</v>
      </c>
      <c r="AT32" s="302">
        <f>(IF('Water Report'!$AH$15&gt;0,'Water Report'!$DAH$15,0))</f>
        <v>0</v>
      </c>
      <c r="AU32" s="302">
        <f>(IF('Water Report'!$AH$17&gt;0,'Water Report'!$DAH$17,0))</f>
        <v>0</v>
      </c>
      <c r="AV32" s="302">
        <f>(IF('Water Report'!$AH$18&gt;0,'Water Report'!$DAH$18,0))</f>
        <v>0</v>
      </c>
      <c r="AW32" s="302">
        <f>(IF('Water Report'!$AH$19&gt;0,'Water Report'!$DAH$19,0))</f>
        <v>0</v>
      </c>
      <c r="AX32" s="308">
        <f>(IF('Water Report'!$AH$21&gt;0,'Water Report'!$DAH$21,0))</f>
        <v>0</v>
      </c>
      <c r="AY32" s="308">
        <f>(IF('Water Report'!$AH$22&gt;0,'Water Report'!$DAH$22,0))</f>
        <v>0</v>
      </c>
      <c r="AZ32" s="308">
        <f>(IF('Water Report'!$AH$23&gt;0,'Water Report'!$DAH$23,0))</f>
        <v>0</v>
      </c>
      <c r="BA32" s="308">
        <f>(IF('Water Report'!$AH$14&gt;0,'Water Report'!$DAH$14,0))</f>
        <v>0</v>
      </c>
      <c r="BB32" s="308">
        <f>(IF('Water Report'!$AH$15&gt;0,'Water Report'!$DAH$15,0))</f>
        <v>0</v>
      </c>
      <c r="BC32" s="308">
        <f>(IF('Water Report'!$AH$13&gt;0,'Water Report'!$DAH$13,0))</f>
        <v>0</v>
      </c>
      <c r="BD32" s="308">
        <f>(IF('Water Report'!$AH$24&gt;0,'Water Report'!$DAH$24,0))</f>
        <v>0</v>
      </c>
      <c r="BE32" s="308">
        <f>(IF('Water Report'!$AH$25&gt;0,'Water Report'!$DAH$25,0))</f>
        <v>0</v>
      </c>
      <c r="BF32" s="308">
        <f>(IF('Water Report'!$AH$27&gt;0,'Water Report'!$DAH$27,0))</f>
        <v>0</v>
      </c>
      <c r="BG32" s="303">
        <f>(IF('Section Load'!AN35&gt;0,'Section Load'!AN35,0))</f>
        <v>875</v>
      </c>
      <c r="BH32" s="303">
        <f>(IF('Section Load'!AO35&gt;0,'Section Load'!AO35,0))</f>
        <v>0</v>
      </c>
      <c r="BI32" s="303">
        <f>(IF('Section Load'!AP35&gt;0,'Section Load'!AP35,0))</f>
        <v>0</v>
      </c>
      <c r="BJ32" s="303">
        <f>(IF('Section Load'!AQ35&gt;0,'Section Load'!AQ35,0))</f>
        <v>0</v>
      </c>
      <c r="BK32" s="303">
        <f>(IF('Section Load'!AR35&gt;0,'Section Load'!AR35,0))</f>
        <v>0</v>
      </c>
      <c r="BL32" s="303">
        <f>(IF('Section Load'!AS35&gt;0,'Section Load'!AS35,0))</f>
        <v>0</v>
      </c>
      <c r="BM32" s="303">
        <f>(IF('Section Load'!AT35&gt;0,'Section Load'!AT35,0))</f>
        <v>875</v>
      </c>
    </row>
    <row r="35" spans="45:45" x14ac:dyDescent="0.25">
      <c r="AS35" s="3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F7" sqref="F7"/>
    </sheetView>
  </sheetViews>
  <sheetFormatPr defaultRowHeight="15.75" x14ac:dyDescent="0.2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 x14ac:dyDescent="0.3">
      <c r="A1" s="631"/>
      <c r="B1" s="631"/>
      <c r="C1" s="631"/>
      <c r="D1" s="631"/>
      <c r="E1" s="631"/>
      <c r="F1" s="631"/>
      <c r="G1" s="631"/>
      <c r="H1" s="631"/>
      <c r="I1" s="631"/>
      <c r="J1" s="631"/>
      <c r="K1" s="631"/>
      <c r="L1" s="631"/>
      <c r="M1" s="631"/>
      <c r="N1" s="631"/>
      <c r="O1" s="631"/>
      <c r="P1" s="631"/>
      <c r="Q1" s="631"/>
      <c r="R1" s="631"/>
      <c r="S1" s="631"/>
      <c r="T1" s="631"/>
      <c r="U1" s="631"/>
      <c r="V1" s="631"/>
      <c r="W1" s="631"/>
      <c r="X1" s="631"/>
      <c r="Y1" s="631"/>
      <c r="Z1" s="631"/>
      <c r="AA1" s="631"/>
      <c r="AB1" s="631"/>
      <c r="AC1" s="631"/>
      <c r="AD1" s="631"/>
      <c r="AE1" s="631"/>
      <c r="AF1" s="631"/>
      <c r="AG1" s="631"/>
      <c r="AH1" s="631"/>
      <c r="AI1" s="631"/>
      <c r="AJ1" s="631"/>
      <c r="AK1" s="631"/>
      <c r="AL1" s="631"/>
      <c r="AM1" s="631"/>
      <c r="AN1" s="631"/>
      <c r="AO1" s="631"/>
      <c r="AP1" s="631"/>
      <c r="AQ1" s="631"/>
      <c r="AR1" s="631"/>
      <c r="AS1" s="631"/>
      <c r="AT1" s="631"/>
      <c r="AU1" s="631"/>
      <c r="AV1" s="631"/>
      <c r="AW1" s="631"/>
      <c r="AX1" s="631"/>
      <c r="AY1" s="631"/>
      <c r="AZ1" s="631"/>
      <c r="BA1" s="631"/>
      <c r="BB1" s="631"/>
      <c r="BC1" s="631"/>
      <c r="BD1" s="631"/>
      <c r="BE1" s="631"/>
      <c r="BF1" s="631"/>
      <c r="BG1" s="631"/>
      <c r="BH1" s="631"/>
      <c r="BI1" s="631"/>
      <c r="BJ1" s="631"/>
      <c r="BK1" s="631"/>
      <c r="BL1" s="631"/>
      <c r="BM1" s="631"/>
      <c r="BN1" s="631"/>
    </row>
    <row r="2" spans="1:69" ht="28.5" customHeight="1" x14ac:dyDescent="0.25">
      <c r="A2" s="1" t="s">
        <v>0</v>
      </c>
      <c r="B2" s="1" t="s">
        <v>0</v>
      </c>
      <c r="C2" s="268" t="s">
        <v>1</v>
      </c>
      <c r="D2" s="2" t="s">
        <v>2</v>
      </c>
      <c r="E2" s="3" t="s">
        <v>3</v>
      </c>
      <c r="F2" s="84" t="s">
        <v>4</v>
      </c>
      <c r="G2" s="84"/>
      <c r="H2" s="632" t="s">
        <v>5</v>
      </c>
      <c r="I2" s="632"/>
      <c r="J2" s="632"/>
      <c r="K2" s="44"/>
      <c r="L2" s="633" t="s">
        <v>6</v>
      </c>
      <c r="M2" s="633"/>
      <c r="N2" s="633"/>
      <c r="O2" s="634" t="s">
        <v>7</v>
      </c>
      <c r="P2" s="634"/>
      <c r="Q2" s="634"/>
      <c r="R2" s="44" t="s">
        <v>8</v>
      </c>
      <c r="S2" s="635" t="s">
        <v>9</v>
      </c>
      <c r="T2" s="635"/>
      <c r="U2" s="635"/>
      <c r="V2" s="636" t="s">
        <v>10</v>
      </c>
      <c r="W2" s="637"/>
      <c r="X2" s="638"/>
      <c r="Y2" s="267"/>
      <c r="Z2" s="639" t="s">
        <v>11</v>
      </c>
      <c r="AA2" s="639"/>
      <c r="AB2" s="639"/>
      <c r="AC2" s="639"/>
      <c r="AD2" s="268"/>
      <c r="AE2" s="268" t="s">
        <v>12</v>
      </c>
      <c r="AF2" s="268" t="s">
        <v>13</v>
      </c>
      <c r="AG2" s="639" t="s">
        <v>14</v>
      </c>
      <c r="AH2" s="639"/>
      <c r="AI2" s="639"/>
      <c r="AJ2" s="268" t="s">
        <v>15</v>
      </c>
      <c r="AK2" s="639" t="s">
        <v>16</v>
      </c>
      <c r="AL2" s="639"/>
      <c r="AM2" s="639"/>
      <c r="AN2" s="268" t="s">
        <v>17</v>
      </c>
      <c r="AO2" s="5" t="s">
        <v>18</v>
      </c>
      <c r="AP2" s="640" t="s">
        <v>19</v>
      </c>
      <c r="AQ2" s="641"/>
      <c r="AR2" s="641"/>
      <c r="AS2" s="641"/>
      <c r="AT2" s="641"/>
      <c r="AU2" s="641"/>
      <c r="AV2" s="641"/>
      <c r="AW2" s="641"/>
      <c r="AX2" s="641"/>
      <c r="AY2" s="642"/>
      <c r="AZ2" s="640" t="s">
        <v>20</v>
      </c>
      <c r="BA2" s="641"/>
      <c r="BB2" s="641"/>
      <c r="BC2" s="641"/>
      <c r="BD2" s="641"/>
      <c r="BE2" s="641"/>
      <c r="BF2" s="641"/>
      <c r="BG2" s="641"/>
      <c r="BH2" s="641"/>
      <c r="BI2" s="85"/>
      <c r="BJ2" s="75"/>
      <c r="BK2" s="39"/>
      <c r="BL2" s="39"/>
      <c r="BM2" s="39"/>
      <c r="BN2" s="268" t="s">
        <v>21</v>
      </c>
      <c r="BP2" t="s">
        <v>22</v>
      </c>
    </row>
    <row r="3" spans="1:69" s="15" customFormat="1" ht="33.75" x14ac:dyDescent="0.2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 x14ac:dyDescent="0.25">
      <c r="A4" s="16">
        <v>1</v>
      </c>
      <c r="B4" s="17">
        <v>1</v>
      </c>
      <c r="C4" s="18"/>
      <c r="D4" s="19">
        <f>'1'!D3</f>
        <v>28</v>
      </c>
      <c r="E4" s="50">
        <f>'1'!D4</f>
        <v>0.9</v>
      </c>
      <c r="F4" s="50">
        <f>'1'!D2</f>
        <v>0.51</v>
      </c>
      <c r="G4" s="19">
        <f>'1'!G7</f>
        <v>22306.199999999953</v>
      </c>
      <c r="H4" s="19">
        <f>'1'!G8</f>
        <v>22430.199999999953</v>
      </c>
      <c r="I4" s="19">
        <v>9</v>
      </c>
      <c r="J4" s="49">
        <f>H4*I4</f>
        <v>201871.79999999958</v>
      </c>
      <c r="K4" s="45">
        <f>H4/202</f>
        <v>111.04059405940571</v>
      </c>
      <c r="L4" s="19">
        <f>'1'!G15</f>
        <v>981</v>
      </c>
      <c r="M4" s="19">
        <v>56.2</v>
      </c>
      <c r="N4" s="45">
        <f>L4*M4</f>
        <v>55132.200000000004</v>
      </c>
      <c r="O4" s="19">
        <f>'1'!G20</f>
        <v>199</v>
      </c>
      <c r="P4" s="19">
        <v>108</v>
      </c>
      <c r="Q4" s="46">
        <f t="shared" ref="Q4:Q33" si="0">O4*P4</f>
        <v>21492</v>
      </c>
      <c r="R4" s="47">
        <f t="shared" ref="R4:R34" si="1">O4/(F4*202/100)</f>
        <v>193.16637546107552</v>
      </c>
      <c r="S4" s="19">
        <f>'1'!G24</f>
        <v>0</v>
      </c>
      <c r="T4" s="19">
        <v>69</v>
      </c>
      <c r="U4" s="48">
        <f>S4*T4</f>
        <v>0</v>
      </c>
      <c r="V4" s="22">
        <f>'1'!G65</f>
        <v>76</v>
      </c>
      <c r="W4" s="22">
        <f>'1'!G66</f>
        <v>24</v>
      </c>
      <c r="X4" s="22">
        <f>'1'!G67</f>
        <v>29</v>
      </c>
      <c r="Y4" s="22">
        <f>V4+W4+X4</f>
        <v>129</v>
      </c>
      <c r="Z4" s="19">
        <f>'1'!G84</f>
        <v>11.419999999998254</v>
      </c>
      <c r="AA4" s="19">
        <f>'1'!G85</f>
        <v>8.3699999999998909</v>
      </c>
      <c r="AB4" s="19">
        <f>'1'!G86</f>
        <v>0.47000000000116415</v>
      </c>
      <c r="AC4" s="19">
        <f>'1'!G87</f>
        <v>9.5199999999967986</v>
      </c>
      <c r="AD4" s="19">
        <f>Z4+AA4+AB4+AC4</f>
        <v>29.779999999996107</v>
      </c>
      <c r="AE4" s="23">
        <f t="shared" ref="AE4:AE33" si="2">AU4+AV4+BE4+BF4</f>
        <v>6682.7299999998941</v>
      </c>
      <c r="AF4" s="23">
        <f>AE4/AD4</f>
        <v>224.40329079921986</v>
      </c>
      <c r="AG4" s="19">
        <f>'1'!G88</f>
        <v>0</v>
      </c>
      <c r="AH4" s="19">
        <f>'1'!G89</f>
        <v>11.319999999999709</v>
      </c>
      <c r="AI4" s="19">
        <f>'1'!G90</f>
        <v>0</v>
      </c>
      <c r="AJ4" s="19">
        <f>AG4+AH4+AI4</f>
        <v>11.319999999999709</v>
      </c>
      <c r="AK4" s="19">
        <f>'1'!G91</f>
        <v>10.539999999999964</v>
      </c>
      <c r="AL4" s="19">
        <f>'1'!G92</f>
        <v>0</v>
      </c>
      <c r="AM4" s="19"/>
      <c r="AN4" s="19">
        <f>AK4+AL4</f>
        <v>10.539999999999964</v>
      </c>
      <c r="AO4" s="52">
        <f>'1'!G74</f>
        <v>286.60999999998603</v>
      </c>
      <c r="AP4" s="55">
        <f>'1'!G35</f>
        <v>0</v>
      </c>
      <c r="AQ4" s="19">
        <f>'1'!G37</f>
        <v>1758.3099999999977</v>
      </c>
      <c r="AR4" s="19">
        <f>'1'!G38</f>
        <v>1899.2200000000012</v>
      </c>
      <c r="AS4" s="19">
        <f>'1'!G39</f>
        <v>4013.7799999999988</v>
      </c>
      <c r="AT4" s="19">
        <f>'1'!G40</f>
        <v>0</v>
      </c>
      <c r="AU4" s="19">
        <f>'1'!G41</f>
        <v>2756.1999999999534</v>
      </c>
      <c r="AV4" s="19">
        <f>'1'!G42</f>
        <v>1955.8299999999872</v>
      </c>
      <c r="AW4" s="19">
        <f>'1'!G43</f>
        <v>2266</v>
      </c>
      <c r="AX4" s="19">
        <f>'1'!G44</f>
        <v>0</v>
      </c>
      <c r="AY4" s="56">
        <f>'1'!G36</f>
        <v>944.90000000000146</v>
      </c>
      <c r="AZ4" s="55">
        <f>'1'!G49</f>
        <v>4296.3099999999977</v>
      </c>
      <c r="BA4" s="19">
        <f>'1'!G51</f>
        <v>0</v>
      </c>
      <c r="BB4" s="19">
        <f>'1'!G52</f>
        <v>0</v>
      </c>
      <c r="BC4" s="19">
        <f>'1'!G53</f>
        <v>0</v>
      </c>
      <c r="BD4" s="19">
        <f>'1'!G54</f>
        <v>4.0500000000001819</v>
      </c>
      <c r="BE4" s="19">
        <f>'1'!G55</f>
        <v>0.46999999997206032</v>
      </c>
      <c r="BF4" s="19">
        <f>'1'!G56</f>
        <v>1970.2299999999814</v>
      </c>
      <c r="BG4" s="19">
        <f>'1'!G57</f>
        <v>0</v>
      </c>
      <c r="BH4" s="56">
        <f>'1'!G50</f>
        <v>1076.1500000000233</v>
      </c>
      <c r="BI4" s="60">
        <f>SUM(AU4,AV4,BE4,BF4)</f>
        <v>6682.7299999998941</v>
      </c>
      <c r="BJ4" s="60">
        <f>'1'!G133</f>
        <v>707.36999999999898</v>
      </c>
      <c r="BK4" s="23">
        <f>SUM(AP4,AU4,AV4,AW4,AZ4,BE4,BF4,BG4)/H4%</f>
        <v>59.050030762097165</v>
      </c>
      <c r="BL4" s="23">
        <f>SUM(AS4,BC4)/H4%</f>
        <v>17.89453504649984</v>
      </c>
      <c r="BM4" s="24">
        <f>(AR4+BB4)/H4</f>
        <v>8.4672450535439051E-2</v>
      </c>
      <c r="BN4" s="25">
        <f>J4+N4+Q4+U4</f>
        <v>278495.99999999959</v>
      </c>
      <c r="BO4" s="38">
        <f>SUM(AU4,AV4,AW4,BE4,BF4,BG4,BJ4)</f>
        <v>9656.099999999893</v>
      </c>
      <c r="BP4">
        <f>BO4/(AD4*280)</f>
        <v>1.1580279190253713</v>
      </c>
      <c r="BQ4" s="38">
        <f>SUM(AU4,AV4,BE4,BF4)/(AD4*400)</f>
        <v>0.56100822699804964</v>
      </c>
    </row>
    <row r="5" spans="1:69" x14ac:dyDescent="0.25">
      <c r="A5" s="16">
        <v>2</v>
      </c>
      <c r="B5" s="26">
        <v>2</v>
      </c>
      <c r="C5" s="26"/>
      <c r="D5" s="19">
        <f>'2'!D3</f>
        <v>28</v>
      </c>
      <c r="E5" s="50">
        <f>'2'!D4</f>
        <v>0.9</v>
      </c>
      <c r="F5" s="50">
        <f>'2'!D2</f>
        <v>0.51</v>
      </c>
      <c r="G5" s="19">
        <f>'2'!G7</f>
        <v>22634</v>
      </c>
      <c r="H5" s="19">
        <f>'2'!G8</f>
        <v>22758</v>
      </c>
      <c r="I5" s="19">
        <v>9</v>
      </c>
      <c r="J5" s="49">
        <f t="shared" ref="J5:J34" si="3">H5*I5</f>
        <v>204822</v>
      </c>
      <c r="K5" s="45">
        <f t="shared" ref="K5:K33" si="4">H5/202</f>
        <v>112.66336633663366</v>
      </c>
      <c r="L5" s="19">
        <f>'2'!G15</f>
        <v>1027</v>
      </c>
      <c r="M5" s="19">
        <v>56.2</v>
      </c>
      <c r="N5" s="45">
        <f t="shared" ref="N5:N33" si="5">L5*M5</f>
        <v>57717.4</v>
      </c>
      <c r="O5" s="19">
        <f>'2'!G20</f>
        <v>259</v>
      </c>
      <c r="P5" s="19">
        <v>108</v>
      </c>
      <c r="Q5" s="46">
        <f t="shared" si="0"/>
        <v>27972</v>
      </c>
      <c r="R5" s="47">
        <f t="shared" si="1"/>
        <v>251.40749369054552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423459</v>
      </c>
      <c r="W5" s="22">
        <f>'2'!G66</f>
        <v>22</v>
      </c>
      <c r="X5" s="22">
        <f>'2'!G67</f>
        <v>40</v>
      </c>
      <c r="Y5" s="22">
        <f t="shared" ref="Y5:Y33" si="7">V5+W5+X5</f>
        <v>423521</v>
      </c>
      <c r="Z5" s="19">
        <f>'2'!G84</f>
        <v>23.930000000000291</v>
      </c>
      <c r="AA5" s="19">
        <f>'2'!G85</f>
        <v>0.33000000000015461</v>
      </c>
      <c r="AB5" s="19">
        <f>'2'!G86</f>
        <v>0</v>
      </c>
      <c r="AC5" s="19">
        <f>'2'!G87</f>
        <v>8.8900000000066939</v>
      </c>
      <c r="AD5" s="19">
        <f t="shared" ref="AD5:AD33" si="8">Z5+AA5+AB5+AC5</f>
        <v>33.15000000000714</v>
      </c>
      <c r="AE5" s="23">
        <f t="shared" si="2"/>
        <v>6979.960000000021</v>
      </c>
      <c r="AF5" s="23">
        <f t="shared" ref="AF5:AF33" si="9">AE5/AD5</f>
        <v>210.55686274505334</v>
      </c>
      <c r="AG5" s="19">
        <f>'2'!G88</f>
        <v>10.169999999998254</v>
      </c>
      <c r="AH5" s="19">
        <f>'2'!G89</f>
        <v>-7.9999999998108251E-2</v>
      </c>
      <c r="AI5" s="19">
        <f>'2'!G90</f>
        <v>0</v>
      </c>
      <c r="AJ5" s="19">
        <f t="shared" ref="AJ5:AJ33" si="10">AG5+AH5+AI5</f>
        <v>10.090000000000146</v>
      </c>
      <c r="AK5" s="19">
        <f>'2'!G91</f>
        <v>11.300000000000182</v>
      </c>
      <c r="AL5" s="19">
        <f>'2'!G92</f>
        <v>0.46000000000003638</v>
      </c>
      <c r="AM5" s="19"/>
      <c r="AN5" s="19">
        <f t="shared" ref="AN5:AN33" si="11">AK5+AL5</f>
        <v>11.760000000000218</v>
      </c>
      <c r="AO5" s="52">
        <f>'2'!G74</f>
        <v>306.45000000006985</v>
      </c>
      <c r="AP5" s="55">
        <f>'2'!G35</f>
        <v>0</v>
      </c>
      <c r="AQ5" s="19">
        <f>'2'!G37</f>
        <v>1726.8800000000047</v>
      </c>
      <c r="AR5" s="19">
        <f>'2'!G38</f>
        <v>1966.9499999999971</v>
      </c>
      <c r="AS5" s="19">
        <f>'2'!G39</f>
        <v>4103.2200000000012</v>
      </c>
      <c r="AT5" s="19">
        <f>'2'!G40</f>
        <v>0</v>
      </c>
      <c r="AU5" s="19">
        <f>'2'!G41</f>
        <v>5207.320000000007</v>
      </c>
      <c r="AV5" s="19">
        <f>'2'!G42</f>
        <v>0</v>
      </c>
      <c r="AW5" s="19">
        <f>'2'!G43</f>
        <v>2274.6999999999534</v>
      </c>
      <c r="AX5" s="19">
        <f>'2'!G44</f>
        <v>0</v>
      </c>
      <c r="AY5" s="56">
        <f>'2'!G36</f>
        <v>857.80999999999767</v>
      </c>
      <c r="AZ5" s="55">
        <f>'2'!G49</f>
        <v>4605.6000000000058</v>
      </c>
      <c r="BA5" s="19">
        <f>'2'!G51</f>
        <v>0</v>
      </c>
      <c r="BB5" s="19">
        <f>'2'!G52</f>
        <v>0</v>
      </c>
      <c r="BC5" s="19">
        <f>'2'!G53</f>
        <v>0</v>
      </c>
      <c r="BD5" s="19">
        <f>'2'!G54</f>
        <v>3.7799999999997453</v>
      </c>
      <c r="BE5" s="19">
        <f>'2'!G55</f>
        <v>0</v>
      </c>
      <c r="BF5" s="19">
        <f>'2'!G56</f>
        <v>1772.640000000014</v>
      </c>
      <c r="BG5" s="19">
        <f>'2'!G57</f>
        <v>0</v>
      </c>
      <c r="BH5" s="56">
        <f>'2'!G50</f>
        <v>1107.6799999999348</v>
      </c>
      <c r="BI5" s="60">
        <f t="shared" ref="BI5:BI32" si="12">SUM(AU5,AV5,BE5,BF5)</f>
        <v>6979.960000000021</v>
      </c>
      <c r="BJ5" s="60">
        <f>'2'!G133</f>
        <v>777.62000000000262</v>
      </c>
      <c r="BK5" s="23">
        <f t="shared" ref="BK5:BK33" si="13">SUM(AP5,AU5,AV5,AW5,AZ5,BE5,BF5,BG5)/H5%</f>
        <v>60.902803409789875</v>
      </c>
      <c r="BL5" s="23">
        <f t="shared" ref="BL5:BL33" si="14">SUM(AS5,BC5)/H5%</f>
        <v>18.02979172159241</v>
      </c>
      <c r="BM5" s="24">
        <f t="shared" ref="BM5:BM33" si="15">(AR5+BB5)/H5</f>
        <v>8.6428948062219749E-2</v>
      </c>
      <c r="BN5" s="25">
        <f t="shared" ref="BN5:BN33" si="16">J5+N5+Q5+U5</f>
        <v>290511.40000000002</v>
      </c>
      <c r="BO5" s="38">
        <f t="shared" ref="BO5:BO35" si="17">SUM(AU5,AV5,AW5,BE5,BF5,BG5,BJ5)</f>
        <v>10032.279999999977</v>
      </c>
      <c r="BP5">
        <f t="shared" ref="BP5:BP35" si="18">BO5/(AD5*280)</f>
        <v>1.0808317173020703</v>
      </c>
    </row>
    <row r="6" spans="1:69" x14ac:dyDescent="0.25">
      <c r="A6" s="16">
        <v>3</v>
      </c>
      <c r="B6" s="26">
        <v>3</v>
      </c>
      <c r="C6" s="26"/>
      <c r="D6" s="19">
        <f>'3'!D3</f>
        <v>28</v>
      </c>
      <c r="E6" s="50">
        <f>'3'!D4</f>
        <v>0.9</v>
      </c>
      <c r="F6" s="50">
        <f>'3'!D2</f>
        <v>0.51</v>
      </c>
      <c r="G6" s="19">
        <f>'3'!G7</f>
        <v>23276.1</v>
      </c>
      <c r="H6" s="19">
        <f>'3'!G8</f>
        <v>23433.3</v>
      </c>
      <c r="I6" s="19">
        <v>9</v>
      </c>
      <c r="J6" s="49">
        <f t="shared" si="3"/>
        <v>210899.69999999998</v>
      </c>
      <c r="K6" s="45">
        <f t="shared" si="4"/>
        <v>116.00643564356436</v>
      </c>
      <c r="L6" s="19">
        <f>'3'!G15</f>
        <v>1056.8870000001043</v>
      </c>
      <c r="M6" s="19">
        <v>56.2</v>
      </c>
      <c r="N6" s="45">
        <f t="shared" si="5"/>
        <v>59397.049400005868</v>
      </c>
      <c r="O6" s="19">
        <f>'3'!G20</f>
        <v>259</v>
      </c>
      <c r="P6" s="19">
        <v>108</v>
      </c>
      <c r="Q6" s="46">
        <f t="shared" si="0"/>
        <v>27972</v>
      </c>
      <c r="R6" s="47">
        <f t="shared" si="1"/>
        <v>251.40749369054552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80</v>
      </c>
      <c r="W6" s="22">
        <f>'3'!G66</f>
        <v>26</v>
      </c>
      <c r="X6" s="22">
        <f>'3'!G67</f>
        <v>36</v>
      </c>
      <c r="Y6" s="22">
        <f>V6+W6+X6</f>
        <v>142</v>
      </c>
      <c r="Z6" s="19">
        <f>'3'!G84</f>
        <v>23.919999999998254</v>
      </c>
      <c r="AA6" s="19">
        <f>'3'!G85</f>
        <v>-0.33000000000015461</v>
      </c>
      <c r="AB6" s="19">
        <f>'3'!G86</f>
        <v>0</v>
      </c>
      <c r="AC6" s="19">
        <f>'3'!G87</f>
        <v>8.0899999999965075</v>
      </c>
      <c r="AD6" s="19">
        <f t="shared" si="8"/>
        <v>31.679999999994607</v>
      </c>
      <c r="AE6" s="23">
        <f t="shared" si="2"/>
        <v>7169.1700000000419</v>
      </c>
      <c r="AF6" s="23">
        <f t="shared" si="9"/>
        <v>226.29955808084793</v>
      </c>
      <c r="AG6" s="19">
        <f>'3'!G88</f>
        <v>9.4000000000014552</v>
      </c>
      <c r="AH6" s="19">
        <f>'3'!G89</f>
        <v>7.9999999998108251E-2</v>
      </c>
      <c r="AI6" s="19">
        <f>'3'!G90</f>
        <v>3.8300000000017462</v>
      </c>
      <c r="AJ6" s="19">
        <f t="shared" si="10"/>
        <v>13.31000000000131</v>
      </c>
      <c r="AK6" s="19">
        <f>'3'!G91</f>
        <v>11.340000000000146</v>
      </c>
      <c r="AL6" s="19">
        <f>'3'!G92</f>
        <v>0.1999999999998181</v>
      </c>
      <c r="AM6" s="19"/>
      <c r="AN6" s="19">
        <f t="shared" si="11"/>
        <v>11.539999999999964</v>
      </c>
      <c r="AO6" s="52">
        <f>'3'!G74</f>
        <v>308.52999999991152</v>
      </c>
      <c r="AP6" s="55">
        <f>'3'!G35</f>
        <v>0</v>
      </c>
      <c r="AQ6" s="19">
        <f>'3'!G37</f>
        <v>1707.2299999999959</v>
      </c>
      <c r="AR6" s="19">
        <f>'3'!G38</f>
        <v>1951.8100000000049</v>
      </c>
      <c r="AS6" s="19">
        <f>'3'!G39</f>
        <v>4180.140000000014</v>
      </c>
      <c r="AT6" s="19">
        <f>'3'!G40</f>
        <v>0</v>
      </c>
      <c r="AU6" s="19">
        <f>'3'!G41</f>
        <v>5458.0400000000373</v>
      </c>
      <c r="AV6" s="19">
        <f>'3'!G42</f>
        <v>0</v>
      </c>
      <c r="AW6" s="19">
        <f>'3'!G43</f>
        <v>2284.9000000001397</v>
      </c>
      <c r="AX6" s="19">
        <f>'3'!G44</f>
        <v>0</v>
      </c>
      <c r="AY6" s="56">
        <f>'3'!G36</f>
        <v>887.09000000000015</v>
      </c>
      <c r="AZ6" s="55">
        <f>'3'!G49</f>
        <v>4727.070000000007</v>
      </c>
      <c r="BA6" s="19">
        <f>'3'!G51</f>
        <v>0</v>
      </c>
      <c r="BB6" s="19">
        <f>'3'!G52</f>
        <v>0</v>
      </c>
      <c r="BC6" s="19">
        <f>'3'!G53</f>
        <v>0</v>
      </c>
      <c r="BD6" s="19">
        <f>'3'!G54</f>
        <v>3.8899999999998727</v>
      </c>
      <c r="BE6" s="19">
        <f>'3'!G55</f>
        <v>0</v>
      </c>
      <c r="BF6" s="19">
        <f>'3'!G56</f>
        <v>1711.1300000000047</v>
      </c>
      <c r="BG6" s="19">
        <f>'3'!G57</f>
        <v>0</v>
      </c>
      <c r="BH6" s="56">
        <f>'3'!G50</f>
        <v>1216.7200000000885</v>
      </c>
      <c r="BI6" s="60">
        <f t="shared" si="12"/>
        <v>7169.1700000000419</v>
      </c>
      <c r="BJ6" s="60">
        <f>'3'!G133</f>
        <v>796.59000000000015</v>
      </c>
      <c r="BK6" s="23">
        <f t="shared" si="13"/>
        <v>60.517041987258253</v>
      </c>
      <c r="BL6" s="23">
        <f t="shared" si="14"/>
        <v>17.838460652148925</v>
      </c>
      <c r="BM6" s="24">
        <f t="shared" si="15"/>
        <v>8.3292152620416463E-2</v>
      </c>
      <c r="BN6" s="25">
        <f t="shared" si="16"/>
        <v>298268.74940000585</v>
      </c>
      <c r="BO6" s="38">
        <f t="shared" si="17"/>
        <v>10250.660000000182</v>
      </c>
      <c r="BP6">
        <f t="shared" si="18"/>
        <v>1.1556029040406213</v>
      </c>
    </row>
    <row r="7" spans="1:69" x14ac:dyDescent="0.25">
      <c r="A7" s="16">
        <v>4</v>
      </c>
      <c r="B7" s="27">
        <v>4</v>
      </c>
      <c r="C7" s="27"/>
      <c r="D7" s="19">
        <f>'4'!D3</f>
        <v>28</v>
      </c>
      <c r="E7" s="50">
        <f>'4'!D4</f>
        <v>0.9</v>
      </c>
      <c r="F7" s="50">
        <f>'4'!D2</f>
        <v>0.68</v>
      </c>
      <c r="G7" s="19">
        <f>'4'!G7</f>
        <v>23675.9</v>
      </c>
      <c r="H7" s="19">
        <f>'4'!G8</f>
        <v>23852.740000000005</v>
      </c>
      <c r="I7" s="19">
        <v>9</v>
      </c>
      <c r="J7" s="49">
        <f t="shared" si="3"/>
        <v>214674.66000000003</v>
      </c>
      <c r="K7" s="45">
        <f t="shared" si="4"/>
        <v>118.08287128712874</v>
      </c>
      <c r="L7" s="19">
        <f>'4'!G15</f>
        <v>1064.1129999998957</v>
      </c>
      <c r="M7" s="19">
        <v>56.2</v>
      </c>
      <c r="N7" s="45">
        <f t="shared" si="5"/>
        <v>59803.150599994144</v>
      </c>
      <c r="O7" s="19">
        <f>'4'!G20</f>
        <v>250</v>
      </c>
      <c r="P7" s="19">
        <v>108</v>
      </c>
      <c r="Q7" s="46">
        <f t="shared" si="0"/>
        <v>27000</v>
      </c>
      <c r="R7" s="47">
        <f t="shared" si="1"/>
        <v>182.00349446709376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85</v>
      </c>
      <c r="W7" s="22">
        <f>'4'!G66</f>
        <v>21</v>
      </c>
      <c r="X7" s="22">
        <f>'4'!G67</f>
        <v>23</v>
      </c>
      <c r="Y7" s="22">
        <f t="shared" si="7"/>
        <v>129</v>
      </c>
      <c r="Z7" s="19">
        <f>'4'!G84</f>
        <v>24</v>
      </c>
      <c r="AA7" s="19">
        <f>'4'!G85</f>
        <v>0</v>
      </c>
      <c r="AB7" s="19">
        <f>'4'!G86</f>
        <v>0</v>
      </c>
      <c r="AC7" s="19">
        <f>'4'!G87</f>
        <v>9</v>
      </c>
      <c r="AD7" s="19">
        <f t="shared" si="8"/>
        <v>33</v>
      </c>
      <c r="AE7" s="23">
        <f t="shared" si="2"/>
        <v>7669.820000000007</v>
      </c>
      <c r="AF7" s="23">
        <f t="shared" si="9"/>
        <v>232.41878787878809</v>
      </c>
      <c r="AG7" s="19">
        <f>'4'!G88</f>
        <v>0</v>
      </c>
      <c r="AH7" s="19">
        <f>'4'!G89</f>
        <v>11.75</v>
      </c>
      <c r="AI7" s="19">
        <f>'4'!G90</f>
        <v>2.6699999999982538</v>
      </c>
      <c r="AJ7" s="19">
        <f t="shared" si="10"/>
        <v>14.419999999998254</v>
      </c>
      <c r="AK7" s="19">
        <f>'4'!G91</f>
        <v>10.659999999999854</v>
      </c>
      <c r="AL7" s="19">
        <f>'4'!G92</f>
        <v>-5.9999999999490683E-2</v>
      </c>
      <c r="AM7" s="19"/>
      <c r="AN7" s="19">
        <f t="shared" si="11"/>
        <v>10.600000000000364</v>
      </c>
      <c r="AO7" s="52">
        <f>'4'!G74</f>
        <v>291.64699999999721</v>
      </c>
      <c r="AP7" s="55">
        <f>'4'!G35</f>
        <v>0</v>
      </c>
      <c r="AQ7" s="19">
        <f>'4'!G37</f>
        <v>1697.3100000000049</v>
      </c>
      <c r="AR7" s="19">
        <f>'4'!G38</f>
        <v>1873.3899999999994</v>
      </c>
      <c r="AS7" s="19">
        <f>'4'!G39</f>
        <v>4257.7299999999814</v>
      </c>
      <c r="AT7" s="19">
        <f>'4'!G40</f>
        <v>0</v>
      </c>
      <c r="AU7" s="19">
        <f>'4'!G41</f>
        <v>5694.359999999986</v>
      </c>
      <c r="AV7" s="19">
        <f>'4'!G42</f>
        <v>0</v>
      </c>
      <c r="AW7" s="19">
        <f>'4'!G43</f>
        <v>2392.5</v>
      </c>
      <c r="AX7" s="19">
        <f>'4'!G44</f>
        <v>0</v>
      </c>
      <c r="AY7" s="56">
        <f>'4'!G36</f>
        <v>995.67000000000189</v>
      </c>
      <c r="AZ7" s="55">
        <f>'4'!G49</f>
        <v>5101.6399999999849</v>
      </c>
      <c r="BA7" s="19">
        <f>'4'!G51</f>
        <v>0</v>
      </c>
      <c r="BB7" s="19">
        <f>'4'!G52</f>
        <v>0</v>
      </c>
      <c r="BC7" s="19">
        <f>'4'!G53</f>
        <v>0</v>
      </c>
      <c r="BD7" s="19">
        <f>'4'!G54</f>
        <v>3.8700000000003456</v>
      </c>
      <c r="BE7" s="19">
        <f>'4'!G55</f>
        <v>-4.9999999988358468E-2</v>
      </c>
      <c r="BF7" s="19">
        <f>'4'!G56</f>
        <v>1975.5100000000093</v>
      </c>
      <c r="BG7" s="19">
        <f>'4'!G57</f>
        <v>0</v>
      </c>
      <c r="BH7" s="56">
        <f>'4'!G50</f>
        <v>1031.7999999999302</v>
      </c>
      <c r="BI7" s="60">
        <f t="shared" si="12"/>
        <v>7669.820000000007</v>
      </c>
      <c r="BJ7" s="60">
        <f>'3'!G133</f>
        <v>796.59000000000015</v>
      </c>
      <c r="BK7" s="23">
        <f t="shared" si="13"/>
        <v>63.573241480852886</v>
      </c>
      <c r="BL7" s="23">
        <f t="shared" si="14"/>
        <v>17.850066700932388</v>
      </c>
      <c r="BM7" s="24">
        <f t="shared" si="15"/>
        <v>7.8539823936369532E-2</v>
      </c>
      <c r="BN7" s="25">
        <f t="shared" si="16"/>
        <v>301477.81059999415</v>
      </c>
      <c r="BO7" s="38">
        <f t="shared" si="17"/>
        <v>10858.910000000007</v>
      </c>
      <c r="BP7">
        <f t="shared" si="18"/>
        <v>1.1752067099567107</v>
      </c>
    </row>
    <row r="8" spans="1:69" x14ac:dyDescent="0.25">
      <c r="A8" s="16">
        <v>5</v>
      </c>
      <c r="B8" s="27">
        <v>5</v>
      </c>
      <c r="C8" s="27"/>
      <c r="D8" s="19">
        <f>'5'!D3</f>
        <v>31</v>
      </c>
      <c r="E8" s="50">
        <f>'5'!D4</f>
        <v>0.7</v>
      </c>
      <c r="F8" s="50">
        <f>'5'!D2</f>
        <v>0.75</v>
      </c>
      <c r="G8" s="19">
        <f>'5'!G7</f>
        <v>25457.4</v>
      </c>
      <c r="H8" s="19">
        <f>'5'!G8</f>
        <v>25691.759999999995</v>
      </c>
      <c r="I8" s="19">
        <v>9</v>
      </c>
      <c r="J8" s="49">
        <f t="shared" si="3"/>
        <v>231225.83999999997</v>
      </c>
      <c r="K8" s="45">
        <f t="shared" si="4"/>
        <v>127.18693069306929</v>
      </c>
      <c r="L8" s="19">
        <f>'5'!G15</f>
        <v>1023</v>
      </c>
      <c r="M8" s="19">
        <v>56.2</v>
      </c>
      <c r="N8" s="45">
        <f t="shared" si="5"/>
        <v>57492.600000000006</v>
      </c>
      <c r="O8" s="19">
        <f>'5'!G20</f>
        <v>281</v>
      </c>
      <c r="P8" s="19">
        <v>108</v>
      </c>
      <c r="Q8" s="46">
        <f t="shared" si="0"/>
        <v>30348</v>
      </c>
      <c r="R8" s="47">
        <f t="shared" si="1"/>
        <v>185.47854785478549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102</v>
      </c>
      <c r="W8" s="22">
        <f>'5'!G66</f>
        <v>16</v>
      </c>
      <c r="X8" s="22">
        <f>'5'!G67</f>
        <v>24</v>
      </c>
      <c r="Y8" s="22">
        <f t="shared" si="7"/>
        <v>142</v>
      </c>
      <c r="Z8" s="19">
        <f>'5'!G84</f>
        <v>23.730000000003201</v>
      </c>
      <c r="AA8" s="19">
        <f>'5'!G85</f>
        <v>6.6300000000001091</v>
      </c>
      <c r="AB8" s="19">
        <f>'5'!G86</f>
        <v>0</v>
      </c>
      <c r="AC8" s="19">
        <f>'5'!G87</f>
        <v>0</v>
      </c>
      <c r="AD8" s="19">
        <f t="shared" si="8"/>
        <v>30.360000000003311</v>
      </c>
      <c r="AE8" s="23">
        <f t="shared" si="2"/>
        <v>8338.7300000000105</v>
      </c>
      <c r="AF8" s="23">
        <f t="shared" si="9"/>
        <v>274.66172595517463</v>
      </c>
      <c r="AG8" s="19">
        <f>'5'!G88</f>
        <v>0</v>
      </c>
      <c r="AH8" s="19">
        <f>'5'!G89</f>
        <v>10.330000000001746</v>
      </c>
      <c r="AI8" s="19">
        <f>'5'!G90</f>
        <v>3.5</v>
      </c>
      <c r="AJ8" s="19">
        <f t="shared" si="10"/>
        <v>13.830000000001746</v>
      </c>
      <c r="AK8" s="19">
        <f>'5'!G91</f>
        <v>10.920000000000073</v>
      </c>
      <c r="AL8" s="19">
        <f>'5'!G92</f>
        <v>0</v>
      </c>
      <c r="AM8" s="19"/>
      <c r="AN8" s="19">
        <f t="shared" si="11"/>
        <v>10.920000000000073</v>
      </c>
      <c r="AO8" s="52">
        <f>'5'!G74</f>
        <v>297.76300000003539</v>
      </c>
      <c r="AP8" s="55">
        <f>'5'!G35</f>
        <v>0</v>
      </c>
      <c r="AQ8" s="19">
        <f>'5'!G37</f>
        <v>1743.2699999999968</v>
      </c>
      <c r="AR8" s="19">
        <f>'5'!G38</f>
        <v>1982.6299999999974</v>
      </c>
      <c r="AS8" s="19">
        <f>'5'!G39</f>
        <v>4350.1300000000047</v>
      </c>
      <c r="AT8" s="19">
        <f>'5'!G40</f>
        <v>0</v>
      </c>
      <c r="AU8" s="19">
        <f>'5'!G41</f>
        <v>5613.4899999999907</v>
      </c>
      <c r="AV8" s="19">
        <f>'5'!G42</f>
        <v>1613.1700000000128</v>
      </c>
      <c r="AW8" s="19">
        <f>'5'!G43</f>
        <v>2485.8999999999069</v>
      </c>
      <c r="AX8" s="19">
        <f>'5'!G44</f>
        <v>0</v>
      </c>
      <c r="AY8" s="56">
        <f>'5'!G36</f>
        <v>1103.5299999999988</v>
      </c>
      <c r="AZ8" s="55">
        <f>'5'!G49</f>
        <v>3634</v>
      </c>
      <c r="BA8" s="19">
        <f>'5'!G51</f>
        <v>0</v>
      </c>
      <c r="BB8" s="19">
        <f>'5'!G52</f>
        <v>0</v>
      </c>
      <c r="BC8" s="19">
        <f>'5'!G53</f>
        <v>0</v>
      </c>
      <c r="BD8" s="19">
        <f>'5'!G54</f>
        <v>5.4099999999998545</v>
      </c>
      <c r="BE8" s="19">
        <f>'5'!G55</f>
        <v>-0.41999999998370185</v>
      </c>
      <c r="BF8" s="19">
        <f>'5'!G56</f>
        <v>1112.4899999999907</v>
      </c>
      <c r="BG8" s="19">
        <f>'5'!G57</f>
        <v>0</v>
      </c>
      <c r="BH8" s="56">
        <f>'5'!G50</f>
        <v>1769.6500000000233</v>
      </c>
      <c r="BI8" s="60">
        <f t="shared" si="12"/>
        <v>8338.7300000000105</v>
      </c>
      <c r="BJ8" s="60">
        <f>'5'!G133</f>
        <v>794.77000000000044</v>
      </c>
      <c r="BK8" s="23">
        <f t="shared" si="13"/>
        <v>56.277304474274715</v>
      </c>
      <c r="BL8" s="23">
        <f t="shared" si="14"/>
        <v>16.932004658302919</v>
      </c>
      <c r="BM8" s="24">
        <f t="shared" si="15"/>
        <v>7.7169878591423782E-2</v>
      </c>
      <c r="BN8" s="25">
        <f t="shared" si="16"/>
        <v>319066.43999999994</v>
      </c>
      <c r="BO8" s="38">
        <f t="shared" si="17"/>
        <v>11619.399999999918</v>
      </c>
      <c r="BP8">
        <f t="shared" si="18"/>
        <v>1.366859589685518</v>
      </c>
    </row>
    <row r="9" spans="1:69" x14ac:dyDescent="0.25">
      <c r="A9" s="16">
        <v>6</v>
      </c>
      <c r="B9" s="17">
        <v>6</v>
      </c>
      <c r="C9" s="26"/>
      <c r="D9" s="19">
        <f>'6'!D3</f>
        <v>28</v>
      </c>
      <c r="E9" s="50">
        <f>'6'!D4</f>
        <v>0.79</v>
      </c>
      <c r="F9" s="50">
        <f>'6'!D2</f>
        <v>0.6</v>
      </c>
      <c r="G9" s="19">
        <f>'6'!G7</f>
        <v>24023</v>
      </c>
      <c r="H9" s="19">
        <f>'6'!G8</f>
        <v>24192</v>
      </c>
      <c r="I9" s="19">
        <v>9</v>
      </c>
      <c r="J9" s="49">
        <f t="shared" si="3"/>
        <v>217728</v>
      </c>
      <c r="K9" s="45">
        <f t="shared" si="4"/>
        <v>119.76237623762377</v>
      </c>
      <c r="L9" s="19">
        <f>'6'!G15</f>
        <v>974</v>
      </c>
      <c r="M9" s="19">
        <v>56.2</v>
      </c>
      <c r="N9" s="45">
        <f t="shared" si="5"/>
        <v>54738.8</v>
      </c>
      <c r="O9" s="19">
        <f>'6'!G20</f>
        <v>240</v>
      </c>
      <c r="P9" s="19">
        <v>108</v>
      </c>
      <c r="Q9" s="46">
        <f t="shared" si="0"/>
        <v>25920</v>
      </c>
      <c r="R9" s="47">
        <f t="shared" si="1"/>
        <v>198.01980198019803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97</v>
      </c>
      <c r="W9" s="22">
        <f>'6'!G66</f>
        <v>27</v>
      </c>
      <c r="X9" s="22">
        <f>'6'!G67</f>
        <v>23</v>
      </c>
      <c r="Y9" s="22">
        <f t="shared" si="7"/>
        <v>147</v>
      </c>
      <c r="Z9" s="19">
        <f>'6'!G84</f>
        <v>14</v>
      </c>
      <c r="AA9" s="19">
        <f>'6'!G85</f>
        <v>20</v>
      </c>
      <c r="AB9" s="19">
        <f>'6'!G86</f>
        <v>0</v>
      </c>
      <c r="AC9" s="19">
        <f>'6'!G87</f>
        <v>0</v>
      </c>
      <c r="AD9" s="19">
        <f t="shared" si="8"/>
        <v>34</v>
      </c>
      <c r="AE9" s="23">
        <f t="shared" si="2"/>
        <v>7522</v>
      </c>
      <c r="AF9" s="23">
        <f t="shared" si="9"/>
        <v>221.23529411764707</v>
      </c>
      <c r="AG9" s="19">
        <f>'6'!G88</f>
        <v>0</v>
      </c>
      <c r="AH9" s="19">
        <f>'6'!G89</f>
        <v>10.56000000000131</v>
      </c>
      <c r="AI9" s="19">
        <f>'6'!G90</f>
        <v>4.4800000000104774</v>
      </c>
      <c r="AJ9" s="19">
        <f t="shared" si="10"/>
        <v>15.040000000011787</v>
      </c>
      <c r="AK9" s="19">
        <f>'6'!G91</f>
        <v>10.269999999999982</v>
      </c>
      <c r="AL9" s="19">
        <f>'6'!G92</f>
        <v>0</v>
      </c>
      <c r="AM9" s="19"/>
      <c r="AN9" s="19">
        <f t="shared" si="11"/>
        <v>10.269999999999982</v>
      </c>
      <c r="AO9" s="52">
        <f>'6'!G74</f>
        <v>281</v>
      </c>
      <c r="AP9" s="55">
        <f>'6'!G35</f>
        <v>0</v>
      </c>
      <c r="AQ9" s="19">
        <f>'6'!G37</f>
        <v>1728</v>
      </c>
      <c r="AR9" s="19">
        <f>'6'!G38</f>
        <v>1867</v>
      </c>
      <c r="AS9" s="19">
        <f>'6'!G39</f>
        <v>4190</v>
      </c>
      <c r="AT9" s="19">
        <f>'6'!G40</f>
        <v>0</v>
      </c>
      <c r="AU9" s="19">
        <f>'6'!G41</f>
        <v>3260</v>
      </c>
      <c r="AV9" s="19">
        <f>'6'!G42</f>
        <v>4250</v>
      </c>
      <c r="AW9" s="19">
        <f>'6'!G43</f>
        <v>2319</v>
      </c>
      <c r="AX9" s="19">
        <f>'6'!G44</f>
        <v>0</v>
      </c>
      <c r="AY9" s="56">
        <f>'6'!G36</f>
        <v>825</v>
      </c>
      <c r="AZ9" s="55">
        <f>'6'!G49</f>
        <v>3639</v>
      </c>
      <c r="BA9" s="19">
        <f>'6'!G51</f>
        <v>0</v>
      </c>
      <c r="BB9" s="19">
        <f>'6'!G52</f>
        <v>0</v>
      </c>
      <c r="BC9" s="19">
        <f>'6'!G53</f>
        <v>0</v>
      </c>
      <c r="BD9" s="19">
        <f>'6'!G54</f>
        <v>2</v>
      </c>
      <c r="BE9" s="19">
        <f>'6'!G55</f>
        <v>0</v>
      </c>
      <c r="BF9" s="19">
        <f>'6'!G56</f>
        <v>12</v>
      </c>
      <c r="BG9" s="19">
        <f>'6'!G57</f>
        <v>0</v>
      </c>
      <c r="BH9" s="56">
        <f>'6'!G50</f>
        <v>1832</v>
      </c>
      <c r="BI9" s="60">
        <f t="shared" si="12"/>
        <v>7522</v>
      </c>
      <c r="BJ9" s="60">
        <f>'6'!G133</f>
        <v>755</v>
      </c>
      <c r="BK9" s="23">
        <f t="shared" si="13"/>
        <v>55.720899470899475</v>
      </c>
      <c r="BL9" s="23">
        <f t="shared" si="14"/>
        <v>17.319775132275133</v>
      </c>
      <c r="BM9" s="24">
        <f t="shared" si="15"/>
        <v>7.7174272486772486E-2</v>
      </c>
      <c r="BN9" s="25">
        <f t="shared" si="16"/>
        <v>298386.8</v>
      </c>
      <c r="BO9" s="38">
        <f t="shared" si="17"/>
        <v>10596</v>
      </c>
      <c r="BP9">
        <f t="shared" si="18"/>
        <v>1.1130252100840337</v>
      </c>
    </row>
    <row r="10" spans="1:69" x14ac:dyDescent="0.25">
      <c r="A10" s="16">
        <v>7</v>
      </c>
      <c r="B10" s="26">
        <v>7</v>
      </c>
      <c r="C10" s="27"/>
      <c r="D10" s="19">
        <f>'7'!D3</f>
        <v>28</v>
      </c>
      <c r="E10" s="50">
        <f>'7'!D4</f>
        <v>0.9</v>
      </c>
      <c r="F10" s="50">
        <f>'7'!D2</f>
        <v>0.98</v>
      </c>
      <c r="G10" s="19">
        <f>'7'!G7</f>
        <v>22049.020000000004</v>
      </c>
      <c r="H10" s="19">
        <f>'7'!G8</f>
        <v>22240.320000000007</v>
      </c>
      <c r="I10" s="19">
        <v>9</v>
      </c>
      <c r="J10" s="49">
        <f t="shared" si="3"/>
        <v>200162.88000000006</v>
      </c>
      <c r="K10" s="45">
        <f t="shared" si="4"/>
        <v>110.10059405940598</v>
      </c>
      <c r="L10" s="19">
        <f>'7'!G15</f>
        <v>998.83000000007451</v>
      </c>
      <c r="M10" s="19">
        <v>56.2</v>
      </c>
      <c r="N10" s="45">
        <f t="shared" si="5"/>
        <v>56134.24600000419</v>
      </c>
      <c r="O10" s="19">
        <f>'7'!G20</f>
        <v>258</v>
      </c>
      <c r="P10" s="19">
        <v>108</v>
      </c>
      <c r="Q10" s="46">
        <f t="shared" si="0"/>
        <v>27864</v>
      </c>
      <c r="R10" s="47">
        <f t="shared" si="1"/>
        <v>130.32935946655891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99</v>
      </c>
      <c r="W10" s="22">
        <f>'7'!G66</f>
        <v>17</v>
      </c>
      <c r="X10" s="22">
        <f>'7'!G67</f>
        <v>26</v>
      </c>
      <c r="Y10" s="22">
        <f t="shared" si="7"/>
        <v>142</v>
      </c>
      <c r="Z10" s="19">
        <f>'7'!G84</f>
        <v>25.169999999998254</v>
      </c>
      <c r="AA10" s="19">
        <f>'7'!G85</f>
        <v>6.0199999999999818</v>
      </c>
      <c r="AB10" s="19">
        <f>'7'!G86</f>
        <v>0</v>
      </c>
      <c r="AC10" s="19">
        <f>'7'!G87</f>
        <v>3.930000000000291</v>
      </c>
      <c r="AD10" s="19">
        <f t="shared" si="8"/>
        <v>35.119999999998527</v>
      </c>
      <c r="AE10" s="23">
        <f t="shared" si="2"/>
        <v>6425.1100000000151</v>
      </c>
      <c r="AF10" s="23">
        <f t="shared" si="9"/>
        <v>182.94732346242267</v>
      </c>
      <c r="AG10" s="19">
        <f>'7'!G88</f>
        <v>-2.0000000000436557E-2</v>
      </c>
      <c r="AH10" s="19">
        <f>'7'!G89</f>
        <v>10.789999999997235</v>
      </c>
      <c r="AI10" s="19">
        <f>'7'!G90</f>
        <v>2.4799999999959255</v>
      </c>
      <c r="AJ10" s="19">
        <f t="shared" si="10"/>
        <v>13.249999999992724</v>
      </c>
      <c r="AK10" s="19">
        <f>'7'!G91</f>
        <v>11.110000000000127</v>
      </c>
      <c r="AL10" s="19">
        <f>'7'!G92</f>
        <v>0</v>
      </c>
      <c r="AM10" s="19"/>
      <c r="AN10" s="19">
        <f t="shared" si="11"/>
        <v>11.110000000000127</v>
      </c>
      <c r="AO10" s="52">
        <f>'7'!G74</f>
        <v>298.03000000002794</v>
      </c>
      <c r="AP10" s="55">
        <f>'7'!G35</f>
        <v>0</v>
      </c>
      <c r="AQ10" s="19">
        <f>'7'!G37</f>
        <v>1722.0500000000029</v>
      </c>
      <c r="AR10" s="19">
        <f>'7'!G38</f>
        <v>1785.0599999999977</v>
      </c>
      <c r="AS10" s="19">
        <f>'7'!G39</f>
        <v>4090.2600000000093</v>
      </c>
      <c r="AT10" s="19">
        <f>'7'!G40</f>
        <v>0</v>
      </c>
      <c r="AU10" s="19">
        <f>'7'!G41</f>
        <v>5211.710000000021</v>
      </c>
      <c r="AV10" s="19">
        <f>'7'!G42</f>
        <v>1199.6499999999942</v>
      </c>
      <c r="AW10" s="19">
        <f>'7'!G43</f>
        <v>2327</v>
      </c>
      <c r="AX10" s="19">
        <f>'7'!G44</f>
        <v>0</v>
      </c>
      <c r="AY10" s="56">
        <f>'7'!G36</f>
        <v>655.29000000000087</v>
      </c>
      <c r="AZ10" s="55">
        <f>'7'!G49</f>
        <v>3425.4799999999959</v>
      </c>
      <c r="BA10" s="19">
        <f>'7'!G51</f>
        <v>0</v>
      </c>
      <c r="BB10" s="19">
        <f>'7'!G52</f>
        <v>0</v>
      </c>
      <c r="BC10" s="19">
        <f>'7'!G53</f>
        <v>0</v>
      </c>
      <c r="BD10" s="19">
        <f>'7'!G54</f>
        <v>4.7399999999997817</v>
      </c>
      <c r="BE10" s="19">
        <f>'7'!G55</f>
        <v>0</v>
      </c>
      <c r="BF10" s="19">
        <f>'7'!G56</f>
        <v>13.75</v>
      </c>
      <c r="BG10" s="19">
        <f>'7'!G57</f>
        <v>0</v>
      </c>
      <c r="BH10" s="56">
        <f>'7'!G50</f>
        <v>1497.390000000014</v>
      </c>
      <c r="BI10" s="60">
        <f t="shared" si="12"/>
        <v>6425.1100000000151</v>
      </c>
      <c r="BJ10" s="60">
        <f>'7'!G133</f>
        <v>814.22999999999956</v>
      </c>
      <c r="BK10" s="23">
        <f t="shared" si="13"/>
        <v>54.754562883987312</v>
      </c>
      <c r="BL10" s="23">
        <f t="shared" si="14"/>
        <v>18.391192213061718</v>
      </c>
      <c r="BM10" s="24">
        <f t="shared" si="15"/>
        <v>8.0262334354901238E-2</v>
      </c>
      <c r="BN10" s="25">
        <f t="shared" si="16"/>
        <v>284161.12600000424</v>
      </c>
      <c r="BO10" s="38">
        <f t="shared" si="17"/>
        <v>9566.3400000000147</v>
      </c>
      <c r="BP10">
        <f t="shared" si="18"/>
        <v>0.97282175398637483</v>
      </c>
    </row>
    <row r="11" spans="1:69" x14ac:dyDescent="0.25">
      <c r="A11" s="16">
        <v>8</v>
      </c>
      <c r="B11" s="26">
        <v>8</v>
      </c>
      <c r="C11" s="18"/>
      <c r="D11" s="19">
        <f>'8'!D3</f>
        <v>28</v>
      </c>
      <c r="E11" s="50">
        <f>'8'!D4</f>
        <v>0.9</v>
      </c>
      <c r="F11" s="50">
        <f>'8'!D2</f>
        <v>0.9294</v>
      </c>
      <c r="G11" s="19">
        <f>'8'!G7</f>
        <v>23228.180000000008</v>
      </c>
      <c r="H11" s="19">
        <f>'8'!G8</f>
        <v>23705.190000000002</v>
      </c>
      <c r="I11" s="19">
        <v>9</v>
      </c>
      <c r="J11" s="49">
        <f t="shared" si="3"/>
        <v>213346.71000000002</v>
      </c>
      <c r="K11" s="45">
        <f t="shared" si="4"/>
        <v>117.35242574257427</v>
      </c>
      <c r="L11" s="19">
        <f>'8'!G15</f>
        <v>1022.5499999998137</v>
      </c>
      <c r="M11" s="19">
        <v>56.2</v>
      </c>
      <c r="N11" s="45">
        <f t="shared" si="5"/>
        <v>57467.309999989535</v>
      </c>
      <c r="O11" s="19">
        <f>'8'!G20</f>
        <v>231</v>
      </c>
      <c r="P11" s="19">
        <v>108</v>
      </c>
      <c r="Q11" s="46">
        <f t="shared" si="0"/>
        <v>24948</v>
      </c>
      <c r="R11" s="47">
        <f t="shared" si="1"/>
        <v>123.04329206322826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90</v>
      </c>
      <c r="W11" s="22">
        <f>'8'!G66</f>
        <v>26</v>
      </c>
      <c r="X11" s="22">
        <f>'8'!G67</f>
        <v>28</v>
      </c>
      <c r="Y11" s="22">
        <f t="shared" si="7"/>
        <v>144</v>
      </c>
      <c r="Z11" s="19">
        <f>'8'!G84</f>
        <v>23.980000000003201</v>
      </c>
      <c r="AA11" s="19">
        <f>'8'!G85</f>
        <v>10.549999999999955</v>
      </c>
      <c r="AB11" s="19">
        <f>'8'!G86</f>
        <v>0</v>
      </c>
      <c r="AC11" s="19">
        <f>'8'!G87</f>
        <v>0</v>
      </c>
      <c r="AD11" s="19">
        <f t="shared" si="8"/>
        <v>34.530000000003156</v>
      </c>
      <c r="AE11" s="23">
        <f t="shared" si="2"/>
        <v>7312.7399999999325</v>
      </c>
      <c r="AF11" s="23">
        <f t="shared" si="9"/>
        <v>211.77932232838876</v>
      </c>
      <c r="AG11" s="19">
        <f>'8'!G88</f>
        <v>9.680000000000291</v>
      </c>
      <c r="AH11" s="19">
        <f>'8'!G89</f>
        <v>0</v>
      </c>
      <c r="AI11" s="19">
        <f>'8'!G90</f>
        <v>2.819999999992433</v>
      </c>
      <c r="AJ11" s="19">
        <f t="shared" si="10"/>
        <v>12.499999999992724</v>
      </c>
      <c r="AK11" s="19">
        <f>'8'!G91</f>
        <v>10.559999999999945</v>
      </c>
      <c r="AL11" s="19">
        <f>'8'!G92</f>
        <v>0</v>
      </c>
      <c r="AM11" s="19"/>
      <c r="AN11" s="19">
        <f t="shared" si="11"/>
        <v>10.559999999999945</v>
      </c>
      <c r="AO11" s="52">
        <f>'8'!G74</f>
        <v>287.3399999999674</v>
      </c>
      <c r="AP11" s="55">
        <f>'8'!G35</f>
        <v>0</v>
      </c>
      <c r="AQ11" s="19">
        <f>'8'!G37</f>
        <v>1737.8999999999942</v>
      </c>
      <c r="AR11" s="19">
        <f>'8'!G38</f>
        <v>1901.9700000000012</v>
      </c>
      <c r="AS11" s="19">
        <f>'8'!G39</f>
        <v>4276.4100000000035</v>
      </c>
      <c r="AT11" s="19">
        <f>'8'!G40</f>
        <v>1.3</v>
      </c>
      <c r="AU11" s="19">
        <f>'8'!G41</f>
        <v>5132.3599999999278</v>
      </c>
      <c r="AV11" s="19">
        <f>'8'!G42</f>
        <v>2165.2600000000093</v>
      </c>
      <c r="AW11" s="19">
        <f>'8'!G43</f>
        <v>2709.6000000000931</v>
      </c>
      <c r="AX11" s="23">
        <f>'8'!G44</f>
        <v>0</v>
      </c>
      <c r="AY11" s="56">
        <f>'8'!G36</f>
        <v>708.77999999999884</v>
      </c>
      <c r="AZ11" s="55">
        <f>'8'!G49</f>
        <v>3417.8600000000006</v>
      </c>
      <c r="BA11" s="19">
        <f>'8'!G51</f>
        <v>0</v>
      </c>
      <c r="BB11" s="19">
        <f>'8'!G52</f>
        <v>0</v>
      </c>
      <c r="BC11" s="19">
        <f>'8'!G53</f>
        <v>0</v>
      </c>
      <c r="BD11" s="19">
        <f>'8'!G54</f>
        <v>4.1400000000003274</v>
      </c>
      <c r="BE11" s="19">
        <f>'8'!G55</f>
        <v>0</v>
      </c>
      <c r="BF11" s="19">
        <f>'8'!G56</f>
        <v>15.119999999995343</v>
      </c>
      <c r="BG11" s="19">
        <f>'8'!G57</f>
        <v>0</v>
      </c>
      <c r="BH11" s="56">
        <f>'8'!G50</f>
        <v>1110.2399999999907</v>
      </c>
      <c r="BI11" s="60">
        <f t="shared" si="12"/>
        <v>7312.7399999999325</v>
      </c>
      <c r="BJ11" s="60">
        <f>'8'!G133</f>
        <v>738.63999999999942</v>
      </c>
      <c r="BK11" s="23">
        <f t="shared" si="13"/>
        <v>56.69728865282255</v>
      </c>
      <c r="BL11" s="23">
        <f t="shared" si="14"/>
        <v>18.039973524785093</v>
      </c>
      <c r="BM11" s="24">
        <f t="shared" si="15"/>
        <v>8.0234328431875085E-2</v>
      </c>
      <c r="BN11" s="25">
        <f t="shared" si="16"/>
        <v>295762.01999998954</v>
      </c>
      <c r="BO11" s="38">
        <f t="shared" si="17"/>
        <v>10760.980000000025</v>
      </c>
      <c r="BP11">
        <f t="shared" si="18"/>
        <v>1.1130052542301767</v>
      </c>
    </row>
    <row r="12" spans="1:69" x14ac:dyDescent="0.25">
      <c r="A12" s="16">
        <v>9</v>
      </c>
      <c r="B12" s="27">
        <v>9</v>
      </c>
      <c r="C12" s="26"/>
      <c r="D12" s="19">
        <f>'9'!D3</f>
        <v>27</v>
      </c>
      <c r="E12" s="50">
        <f>'9'!D4</f>
        <v>0.8</v>
      </c>
      <c r="F12" s="50">
        <f>'9'!D2</f>
        <v>1</v>
      </c>
      <c r="G12" s="19">
        <f>'9'!G7</f>
        <v>24085.799999999988</v>
      </c>
      <c r="H12" s="19">
        <f>'9'!G8</f>
        <v>24465.489999999991</v>
      </c>
      <c r="I12" s="19">
        <v>9</v>
      </c>
      <c r="J12" s="49">
        <f t="shared" si="3"/>
        <v>220189.40999999992</v>
      </c>
      <c r="K12" s="45">
        <f t="shared" si="4"/>
        <v>121.11628712871283</v>
      </c>
      <c r="L12" s="19">
        <f>'9'!G15</f>
        <v>996.62000000011176</v>
      </c>
      <c r="M12" s="19">
        <v>56.2</v>
      </c>
      <c r="N12" s="45">
        <f t="shared" si="5"/>
        <v>56010.044000006281</v>
      </c>
      <c r="O12" s="19">
        <f>'9'!G20</f>
        <v>274</v>
      </c>
      <c r="P12" s="19">
        <v>108</v>
      </c>
      <c r="Q12" s="46">
        <f t="shared" si="0"/>
        <v>29592</v>
      </c>
      <c r="R12" s="47">
        <f t="shared" si="1"/>
        <v>135.64356435643563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83</v>
      </c>
      <c r="W12" s="22">
        <f>'9'!G66</f>
        <v>26</v>
      </c>
      <c r="X12" s="22">
        <f>'9'!G67</f>
        <v>34</v>
      </c>
      <c r="Y12" s="22">
        <f t="shared" si="7"/>
        <v>143</v>
      </c>
      <c r="Z12" s="19">
        <f>'9'!G84</f>
        <v>23.849999999998545</v>
      </c>
      <c r="AA12" s="19">
        <f>'9'!G85</f>
        <v>10.430000000000064</v>
      </c>
      <c r="AB12" s="19">
        <f>'9'!G86</f>
        <v>0</v>
      </c>
      <c r="AC12" s="19">
        <f>'9'!G87</f>
        <v>0</v>
      </c>
      <c r="AD12" s="19">
        <f t="shared" si="8"/>
        <v>34.279999999998608</v>
      </c>
      <c r="AE12" s="23">
        <f t="shared" si="2"/>
        <v>7809.1500000000524</v>
      </c>
      <c r="AF12" s="23">
        <f t="shared" si="9"/>
        <v>227.80484247375639</v>
      </c>
      <c r="AG12" s="19">
        <f>'9'!G88</f>
        <v>8.5799999999981083</v>
      </c>
      <c r="AH12" s="19">
        <f>'9'!G89</f>
        <v>-0.11999999999898137</v>
      </c>
      <c r="AI12" s="19">
        <f>'9'!G90</f>
        <v>4.2400000000052387</v>
      </c>
      <c r="AJ12" s="19">
        <f t="shared" si="10"/>
        <v>12.700000000004366</v>
      </c>
      <c r="AK12" s="19">
        <f>'9'!G91</f>
        <v>10.339999999999691</v>
      </c>
      <c r="AL12" s="19">
        <f>'9'!G92</f>
        <v>0</v>
      </c>
      <c r="AM12" s="19"/>
      <c r="AN12" s="19">
        <f t="shared" si="11"/>
        <v>10.339999999999691</v>
      </c>
      <c r="AO12" s="52">
        <f>'9'!G74</f>
        <v>275.63000000000466</v>
      </c>
      <c r="AP12" s="55">
        <f>'9'!G35</f>
        <v>0</v>
      </c>
      <c r="AQ12" s="19">
        <f>'9'!G37</f>
        <v>1733.0500000000029</v>
      </c>
      <c r="AR12" s="19">
        <f>'9'!G38</f>
        <v>1963.9700000000012</v>
      </c>
      <c r="AS12" s="19">
        <f>'9'!G39</f>
        <v>4274.3299999999872</v>
      </c>
      <c r="AT12" s="19">
        <f>'9'!G40</f>
        <v>0</v>
      </c>
      <c r="AU12" s="19">
        <f>'9'!G41</f>
        <v>5563.9300000000512</v>
      </c>
      <c r="AV12" s="19">
        <f>'9'!G42</f>
        <v>2231.0899999999965</v>
      </c>
      <c r="AW12" s="19">
        <f>'9'!G43</f>
        <v>2700.3999999999069</v>
      </c>
      <c r="AX12" s="23">
        <f>'9'!G44</f>
        <v>0</v>
      </c>
      <c r="AY12" s="56">
        <f>'9'!G36</f>
        <v>875.93000000000029</v>
      </c>
      <c r="AZ12" s="55">
        <f>'9'!G49</f>
        <v>3709.6600000000035</v>
      </c>
      <c r="BA12" s="19">
        <f>'9'!G51</f>
        <v>0</v>
      </c>
      <c r="BB12" s="19">
        <f>'9'!G52</f>
        <v>0</v>
      </c>
      <c r="BC12" s="19">
        <f>'9'!G53</f>
        <v>0</v>
      </c>
      <c r="BD12" s="19">
        <f>'9'!G54</f>
        <v>4.1199999999998909</v>
      </c>
      <c r="BE12" s="19">
        <f>'9'!G55</f>
        <v>0</v>
      </c>
      <c r="BF12" s="19">
        <f>'9'!G56</f>
        <v>14.130000000004657</v>
      </c>
      <c r="BG12" s="19">
        <f>'9'!G57</f>
        <v>0</v>
      </c>
      <c r="BH12" s="56">
        <f>'9'!G50</f>
        <v>1033.3699999999953</v>
      </c>
      <c r="BI12" s="60">
        <f t="shared" si="12"/>
        <v>7809.1500000000524</v>
      </c>
      <c r="BJ12" s="60">
        <f>'8'!G133</f>
        <v>738.63999999999942</v>
      </c>
      <c r="BK12" s="23">
        <f t="shared" si="13"/>
        <v>58.11945724365205</v>
      </c>
      <c r="BL12" s="23">
        <f t="shared" si="14"/>
        <v>17.470853843515862</v>
      </c>
      <c r="BM12" s="24">
        <f t="shared" si="15"/>
        <v>8.02751140484005E-2</v>
      </c>
      <c r="BN12" s="25">
        <f t="shared" si="16"/>
        <v>305791.4540000062</v>
      </c>
      <c r="BO12" s="38">
        <f t="shared" si="17"/>
        <v>11248.189999999959</v>
      </c>
      <c r="BP12">
        <f t="shared" si="18"/>
        <v>1.1718817719620369</v>
      </c>
    </row>
    <row r="13" spans="1:69" x14ac:dyDescent="0.25">
      <c r="A13" s="16">
        <v>10</v>
      </c>
      <c r="B13" s="27">
        <v>10</v>
      </c>
      <c r="C13" s="26"/>
      <c r="D13" s="19">
        <f>'10'!D3</f>
        <v>27</v>
      </c>
      <c r="E13" s="50">
        <f>'10'!D4</f>
        <v>0.8</v>
      </c>
      <c r="F13" s="50">
        <f>'10'!D2</f>
        <v>0.78</v>
      </c>
      <c r="G13" s="19">
        <f>'10'!G7</f>
        <v>23937</v>
      </c>
      <c r="H13" s="19">
        <f>'10'!G8</f>
        <v>24337</v>
      </c>
      <c r="I13" s="19">
        <v>9</v>
      </c>
      <c r="J13" s="49">
        <f t="shared" si="3"/>
        <v>219033</v>
      </c>
      <c r="K13" s="45">
        <f t="shared" si="4"/>
        <v>120.48019801980197</v>
      </c>
      <c r="L13" s="19">
        <f>'10'!G15</f>
        <v>948</v>
      </c>
      <c r="M13" s="19">
        <v>56.2</v>
      </c>
      <c r="N13" s="45">
        <f t="shared" si="5"/>
        <v>53277.600000000006</v>
      </c>
      <c r="O13" s="19">
        <f>'10'!G20</f>
        <v>258</v>
      </c>
      <c r="P13" s="19">
        <v>108</v>
      </c>
      <c r="Q13" s="46">
        <f t="shared" si="0"/>
        <v>27864</v>
      </c>
      <c r="R13" s="47">
        <f t="shared" si="1"/>
        <v>163.74714394516374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89</v>
      </c>
      <c r="W13" s="22">
        <f>'10'!G66</f>
        <v>25</v>
      </c>
      <c r="X13" s="22">
        <f>'10'!G67</f>
        <v>30</v>
      </c>
      <c r="Y13" s="22">
        <f t="shared" si="7"/>
        <v>144</v>
      </c>
      <c r="Z13" s="19">
        <f>'10'!G84</f>
        <v>24</v>
      </c>
      <c r="AA13" s="19">
        <f>'10'!G85</f>
        <v>13</v>
      </c>
      <c r="AB13" s="19">
        <f>'10'!G86</f>
        <v>0</v>
      </c>
      <c r="AC13" s="19">
        <f>'10'!G87</f>
        <v>-0.43000000000029104</v>
      </c>
      <c r="AD13" s="19">
        <f t="shared" si="8"/>
        <v>36.569999999999709</v>
      </c>
      <c r="AE13" s="23">
        <f t="shared" si="2"/>
        <v>7582</v>
      </c>
      <c r="AF13" s="23">
        <f t="shared" si="9"/>
        <v>207.32841126606672</v>
      </c>
      <c r="AG13" s="19">
        <f>'10'!G88</f>
        <v>9.2200000000011642</v>
      </c>
      <c r="AH13" s="19">
        <f>'10'!G89</f>
        <v>0</v>
      </c>
      <c r="AI13" s="19">
        <f>'10'!G90</f>
        <v>2</v>
      </c>
      <c r="AJ13" s="19">
        <f t="shared" si="10"/>
        <v>11.220000000001164</v>
      </c>
      <c r="AK13" s="19">
        <f>'10'!G91</f>
        <v>11.090000000000146</v>
      </c>
      <c r="AL13" s="19">
        <f>'10'!G92</f>
        <v>0</v>
      </c>
      <c r="AM13" s="19"/>
      <c r="AN13" s="19">
        <f t="shared" si="11"/>
        <v>11.090000000000146</v>
      </c>
      <c r="AO13" s="52">
        <f>'10'!G74</f>
        <v>293</v>
      </c>
      <c r="AP13" s="55">
        <f>'10'!G35</f>
        <v>0</v>
      </c>
      <c r="AQ13" s="19">
        <f>'10'!G37</f>
        <v>1684</v>
      </c>
      <c r="AR13" s="19">
        <f>'10'!G38</f>
        <v>1960</v>
      </c>
      <c r="AS13" s="19">
        <f>'10'!G39</f>
        <v>4216</v>
      </c>
      <c r="AT13" s="19">
        <f>'10'!G40</f>
        <v>0</v>
      </c>
      <c r="AU13" s="19">
        <f>'10'!G41</f>
        <v>5055</v>
      </c>
      <c r="AV13" s="19">
        <f>'10'!G42</f>
        <v>2510</v>
      </c>
      <c r="AW13" s="19">
        <f>'10'!G43</f>
        <v>2787</v>
      </c>
      <c r="AX13" s="23">
        <f>'10'!G44</f>
        <v>0</v>
      </c>
      <c r="AY13" s="56">
        <f>'10'!G36</f>
        <v>799</v>
      </c>
      <c r="AZ13" s="55">
        <f>'10'!G49</f>
        <v>3829</v>
      </c>
      <c r="BA13" s="19">
        <f>'10'!G51</f>
        <v>0</v>
      </c>
      <c r="BB13" s="19">
        <f>'10'!G52</f>
        <v>0</v>
      </c>
      <c r="BC13" s="19">
        <f>'10'!G53</f>
        <v>0</v>
      </c>
      <c r="BD13" s="19">
        <f>'10'!G54</f>
        <v>4</v>
      </c>
      <c r="BE13" s="19">
        <f>'10'!G55</f>
        <v>0</v>
      </c>
      <c r="BF13" s="19">
        <f>'10'!G56</f>
        <v>17</v>
      </c>
      <c r="BG13" s="19">
        <f>'10'!G57</f>
        <v>0</v>
      </c>
      <c r="BH13" s="56">
        <f>'10'!G50</f>
        <v>1128</v>
      </c>
      <c r="BI13" s="60">
        <f t="shared" si="12"/>
        <v>7582</v>
      </c>
      <c r="BJ13" s="60">
        <f>'8'!G133</f>
        <v>738.63999999999942</v>
      </c>
      <c r="BK13" s="23">
        <f t="shared" si="13"/>
        <v>58.33915437399844</v>
      </c>
      <c r="BL13" s="23">
        <f t="shared" si="14"/>
        <v>17.323417019353247</v>
      </c>
      <c r="BM13" s="24">
        <f t="shared" si="15"/>
        <v>8.0535809672515099E-2</v>
      </c>
      <c r="BN13" s="25">
        <f t="shared" si="16"/>
        <v>300174.59999999998</v>
      </c>
      <c r="BO13" s="38">
        <f t="shared" si="17"/>
        <v>11107.64</v>
      </c>
      <c r="BP13">
        <f t="shared" si="18"/>
        <v>1.0847728426891761</v>
      </c>
    </row>
    <row r="14" spans="1:69" x14ac:dyDescent="0.25">
      <c r="A14" s="16">
        <v>11</v>
      </c>
      <c r="B14" s="17">
        <v>11</v>
      </c>
      <c r="C14" s="27"/>
      <c r="D14" s="19">
        <f>'11'!D3</f>
        <v>28</v>
      </c>
      <c r="E14" s="50">
        <f>'11'!D4</f>
        <v>0.78</v>
      </c>
      <c r="F14" s="50">
        <f>'11'!D2</f>
        <v>0.87</v>
      </c>
      <c r="G14" s="19">
        <f>'11'!G7</f>
        <v>23563</v>
      </c>
      <c r="H14" s="19">
        <f>'11'!G8</f>
        <v>24048</v>
      </c>
      <c r="I14" s="19">
        <v>9</v>
      </c>
      <c r="J14" s="49">
        <f t="shared" si="3"/>
        <v>216432</v>
      </c>
      <c r="K14" s="45">
        <f t="shared" si="4"/>
        <v>119.04950495049505</v>
      </c>
      <c r="L14" s="19">
        <f>'11'!G15</f>
        <v>1045</v>
      </c>
      <c r="M14" s="19">
        <v>56.2</v>
      </c>
      <c r="N14" s="45">
        <f t="shared" si="5"/>
        <v>58729</v>
      </c>
      <c r="O14" s="19">
        <f>'11'!G20</f>
        <v>276</v>
      </c>
      <c r="P14" s="19">
        <v>108</v>
      </c>
      <c r="Q14" s="46">
        <f t="shared" si="0"/>
        <v>29808</v>
      </c>
      <c r="R14" s="47">
        <f t="shared" si="1"/>
        <v>157.05018777739843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98</v>
      </c>
      <c r="W14" s="22">
        <f>'11'!G66</f>
        <v>26</v>
      </c>
      <c r="X14" s="22">
        <f>'11'!G67</f>
        <v>24</v>
      </c>
      <c r="Y14" s="22">
        <f t="shared" si="7"/>
        <v>148</v>
      </c>
      <c r="Z14" s="19">
        <f>'11'!G84</f>
        <v>19</v>
      </c>
      <c r="AA14" s="19">
        <f>'11'!G85</f>
        <v>3</v>
      </c>
      <c r="AB14" s="19">
        <f>'11'!G86</f>
        <v>0</v>
      </c>
      <c r="AC14" s="19">
        <f>'11'!G87</f>
        <v>11</v>
      </c>
      <c r="AD14" s="19">
        <f t="shared" si="8"/>
        <v>33</v>
      </c>
      <c r="AE14" s="23">
        <f t="shared" si="2"/>
        <v>7289</v>
      </c>
      <c r="AF14" s="23">
        <f t="shared" si="9"/>
        <v>220.87878787878788</v>
      </c>
      <c r="AG14" s="19">
        <f>'11'!G88</f>
        <v>9</v>
      </c>
      <c r="AH14" s="19">
        <f>'11'!G89</f>
        <v>0</v>
      </c>
      <c r="AI14" s="19">
        <f>'11'!G90</f>
        <v>7</v>
      </c>
      <c r="AJ14" s="19">
        <f t="shared" si="10"/>
        <v>16</v>
      </c>
      <c r="AK14" s="19">
        <f>'11'!G91</f>
        <v>11</v>
      </c>
      <c r="AL14" s="19">
        <f>'11'!G92</f>
        <v>0</v>
      </c>
      <c r="AM14" s="19"/>
      <c r="AN14" s="19">
        <f t="shared" si="11"/>
        <v>11</v>
      </c>
      <c r="AO14" s="52">
        <f>'11'!G74</f>
        <v>293</v>
      </c>
      <c r="AP14" s="55">
        <f>'11'!G35</f>
        <v>0</v>
      </c>
      <c r="AQ14" s="19">
        <f>'11'!G37</f>
        <v>1692</v>
      </c>
      <c r="AR14" s="19">
        <f>'11'!G38</f>
        <v>1926</v>
      </c>
      <c r="AS14" s="19">
        <f>'11'!G39</f>
        <v>4356</v>
      </c>
      <c r="AT14" s="19">
        <f>'11'!G40</f>
        <v>0</v>
      </c>
      <c r="AU14" s="19">
        <f>'11'!G41</f>
        <v>4259</v>
      </c>
      <c r="AV14" s="19">
        <f>'11'!G42</f>
        <v>688</v>
      </c>
      <c r="AW14" s="19">
        <f>'11'!G43</f>
        <v>2717</v>
      </c>
      <c r="AX14" s="23">
        <f>'11'!G44</f>
        <v>0</v>
      </c>
      <c r="AY14" s="56">
        <f>'11'!G36</f>
        <v>779</v>
      </c>
      <c r="AZ14" s="55">
        <f>'11'!G49</f>
        <v>3321</v>
      </c>
      <c r="BA14" s="19">
        <f>'11'!G51</f>
        <v>0</v>
      </c>
      <c r="BB14" s="19">
        <f>'11'!G52</f>
        <v>0</v>
      </c>
      <c r="BC14" s="19">
        <f>'11'!G53</f>
        <v>0</v>
      </c>
      <c r="BD14" s="19">
        <f>'11'!G54</f>
        <v>4</v>
      </c>
      <c r="BE14" s="19">
        <f>'11'!G55</f>
        <v>0</v>
      </c>
      <c r="BF14" s="19">
        <f>'11'!G56</f>
        <v>2342</v>
      </c>
      <c r="BG14" s="19">
        <f>'11'!G57</f>
        <v>0</v>
      </c>
      <c r="BH14" s="56">
        <f>'11'!G50</f>
        <v>1149</v>
      </c>
      <c r="BI14" s="60">
        <f t="shared" si="12"/>
        <v>7289</v>
      </c>
      <c r="BJ14" s="60">
        <f>'11'!G133</f>
        <v>801</v>
      </c>
      <c r="BK14" s="23">
        <f t="shared" si="13"/>
        <v>55.418330006653363</v>
      </c>
      <c r="BL14" s="23">
        <f t="shared" si="14"/>
        <v>18.113772455089823</v>
      </c>
      <c r="BM14" s="24">
        <f t="shared" si="15"/>
        <v>8.0089820359281444E-2</v>
      </c>
      <c r="BN14" s="25">
        <f t="shared" si="16"/>
        <v>304969</v>
      </c>
      <c r="BO14" s="38">
        <f t="shared" si="17"/>
        <v>10807</v>
      </c>
      <c r="BP14">
        <f t="shared" si="18"/>
        <v>1.1695887445887445</v>
      </c>
    </row>
    <row r="15" spans="1:69" x14ac:dyDescent="0.25">
      <c r="A15" s="16">
        <v>12</v>
      </c>
      <c r="B15" s="26">
        <v>12</v>
      </c>
      <c r="C15" s="27"/>
      <c r="D15" s="19">
        <f>'12'!D3</f>
        <v>28</v>
      </c>
      <c r="E15" s="50">
        <f>'12'!D4</f>
        <v>0.79</v>
      </c>
      <c r="F15" s="50">
        <f>'12'!D2</f>
        <v>0.6</v>
      </c>
      <c r="G15" s="19">
        <f>'12'!G7</f>
        <v>23869</v>
      </c>
      <c r="H15" s="19">
        <f>'12'!G8</f>
        <v>24516</v>
      </c>
      <c r="I15" s="19">
        <v>9</v>
      </c>
      <c r="J15" s="49">
        <f t="shared" si="3"/>
        <v>220644</v>
      </c>
      <c r="K15" s="45">
        <f t="shared" si="4"/>
        <v>121.36633663366337</v>
      </c>
      <c r="L15" s="19">
        <f>'12'!G15</f>
        <v>959</v>
      </c>
      <c r="M15" s="19">
        <v>56.2</v>
      </c>
      <c r="N15" s="41">
        <f t="shared" si="5"/>
        <v>53895.8</v>
      </c>
      <c r="O15" s="19">
        <f>'12'!G20</f>
        <v>248</v>
      </c>
      <c r="P15" s="19">
        <v>108</v>
      </c>
      <c r="Q15" s="46">
        <f t="shared" si="0"/>
        <v>26784</v>
      </c>
      <c r="R15" s="47">
        <f t="shared" si="1"/>
        <v>204.62046204620464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81</v>
      </c>
      <c r="W15" s="22">
        <f>'12'!G66</f>
        <v>17</v>
      </c>
      <c r="X15" s="22">
        <f>'12'!G67</f>
        <v>24</v>
      </c>
      <c r="Y15" s="22">
        <f t="shared" si="7"/>
        <v>122</v>
      </c>
      <c r="Z15" s="19">
        <f>'12'!G84</f>
        <v>0</v>
      </c>
      <c r="AA15" s="19">
        <f>'12'!G85</f>
        <v>10</v>
      </c>
      <c r="AB15" s="19">
        <f>'12'!G86</f>
        <v>0</v>
      </c>
      <c r="AC15" s="19">
        <f>'12'!G87</f>
        <v>24</v>
      </c>
      <c r="AD15" s="19">
        <f t="shared" si="8"/>
        <v>34</v>
      </c>
      <c r="AE15" s="23">
        <f t="shared" si="2"/>
        <v>7367</v>
      </c>
      <c r="AF15" s="23">
        <f t="shared" si="9"/>
        <v>216.6764705882353</v>
      </c>
      <c r="AG15" s="19">
        <f>'12'!G88</f>
        <v>8.7999999999992724</v>
      </c>
      <c r="AH15" s="19">
        <f>'12'!G89</f>
        <v>0.11999999999898137</v>
      </c>
      <c r="AI15" s="19">
        <f>'12'!G90</f>
        <v>5.5</v>
      </c>
      <c r="AJ15" s="19">
        <f t="shared" si="10"/>
        <v>14.419999999998254</v>
      </c>
      <c r="AK15" s="19">
        <f>'12'!G91</f>
        <v>10.2199999999998</v>
      </c>
      <c r="AL15" s="19">
        <f>'12'!G92</f>
        <v>0</v>
      </c>
      <c r="AM15" s="19"/>
      <c r="AN15" s="19">
        <f t="shared" si="11"/>
        <v>10.2199999999998</v>
      </c>
      <c r="AO15" s="52">
        <f>'12'!G74</f>
        <v>279</v>
      </c>
      <c r="AP15" s="55">
        <f>'12'!G35</f>
        <v>0</v>
      </c>
      <c r="AQ15" s="19">
        <f>'12'!G37</f>
        <v>1772</v>
      </c>
      <c r="AR15" s="19">
        <f>'12'!G38</f>
        <v>1853</v>
      </c>
      <c r="AS15" s="19">
        <f>'12'!G39</f>
        <v>4376</v>
      </c>
      <c r="AT15" s="19">
        <f>'12'!G40</f>
        <v>0</v>
      </c>
      <c r="AU15" s="19">
        <f>'12'!G41</f>
        <v>0</v>
      </c>
      <c r="AV15" s="19">
        <f>'12'!G42</f>
        <v>2139</v>
      </c>
      <c r="AW15" s="19">
        <f>'12'!G43</f>
        <v>2735</v>
      </c>
      <c r="AX15" s="23">
        <f>'12'!G44</f>
        <v>0</v>
      </c>
      <c r="AY15" s="56">
        <f>'12'!G36</f>
        <v>721</v>
      </c>
      <c r="AZ15" s="55">
        <f>'12'!G49</f>
        <v>3314</v>
      </c>
      <c r="BA15" s="19">
        <f>'12'!G51</f>
        <v>0</v>
      </c>
      <c r="BB15" s="19">
        <f>'12'!G52</f>
        <v>0</v>
      </c>
      <c r="BC15" s="19">
        <f>'12'!G53</f>
        <v>0</v>
      </c>
      <c r="BD15" s="19">
        <f>'12'!G54</f>
        <v>4</v>
      </c>
      <c r="BE15" s="19">
        <f>'12'!G55</f>
        <v>0</v>
      </c>
      <c r="BF15" s="19">
        <f>'12'!G56</f>
        <v>5228</v>
      </c>
      <c r="BG15" s="19">
        <f>'12'!G57</f>
        <v>0</v>
      </c>
      <c r="BH15" s="56">
        <f>'12'!G50</f>
        <v>1186</v>
      </c>
      <c r="BI15" s="60">
        <f t="shared" si="12"/>
        <v>7367</v>
      </c>
      <c r="BJ15" s="60">
        <f>'12'!G133</f>
        <v>792</v>
      </c>
      <c r="BK15" s="23">
        <f t="shared" si="13"/>
        <v>54.723445912873224</v>
      </c>
      <c r="BL15" s="23">
        <f t="shared" si="14"/>
        <v>17.849567629303312</v>
      </c>
      <c r="BM15" s="24">
        <f t="shared" si="15"/>
        <v>7.5583292543644973E-2</v>
      </c>
      <c r="BN15" s="25">
        <f t="shared" si="16"/>
        <v>301323.8</v>
      </c>
      <c r="BO15" s="38">
        <f t="shared" si="17"/>
        <v>10894</v>
      </c>
      <c r="BP15">
        <f t="shared" si="18"/>
        <v>1.1443277310924369</v>
      </c>
    </row>
    <row r="16" spans="1:69" x14ac:dyDescent="0.25">
      <c r="A16" s="16">
        <v>13</v>
      </c>
      <c r="B16" s="26">
        <v>13</v>
      </c>
      <c r="C16" s="26"/>
      <c r="D16" s="19">
        <f>'13'!D3</f>
        <v>28</v>
      </c>
      <c r="E16" s="50">
        <f>'13'!D4</f>
        <v>0.78</v>
      </c>
      <c r="F16" s="50">
        <f>'13'!D2</f>
        <v>0.6</v>
      </c>
      <c r="G16" s="19">
        <f>'13'!G7</f>
        <v>22951</v>
      </c>
      <c r="H16" s="19">
        <f>'13'!G8</f>
        <v>23605</v>
      </c>
      <c r="I16" s="19">
        <v>9</v>
      </c>
      <c r="J16" s="49">
        <f t="shared" si="3"/>
        <v>212445</v>
      </c>
      <c r="K16" s="45">
        <f t="shared" si="4"/>
        <v>116.85643564356435</v>
      </c>
      <c r="L16" s="19">
        <f>'13'!G15</f>
        <v>952</v>
      </c>
      <c r="M16" s="19">
        <v>56.2</v>
      </c>
      <c r="N16" s="41">
        <f t="shared" si="5"/>
        <v>53502.400000000001</v>
      </c>
      <c r="O16" s="19">
        <f>'13'!G20</f>
        <v>219</v>
      </c>
      <c r="P16" s="19">
        <v>108</v>
      </c>
      <c r="Q16" s="46">
        <f t="shared" si="0"/>
        <v>23652</v>
      </c>
      <c r="R16" s="47">
        <f t="shared" si="1"/>
        <v>180.69306930693071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90</v>
      </c>
      <c r="W16" s="22">
        <f>'13'!G66</f>
        <v>21</v>
      </c>
      <c r="X16" s="22">
        <f>'13'!G67</f>
        <v>22</v>
      </c>
      <c r="Y16" s="22">
        <f t="shared" si="7"/>
        <v>133</v>
      </c>
      <c r="Z16" s="19">
        <f>'13'!G84</f>
        <v>0</v>
      </c>
      <c r="AA16" s="19">
        <f>'13'!G85</f>
        <v>8</v>
      </c>
      <c r="AB16" s="19">
        <f>'13'!G86</f>
        <v>0</v>
      </c>
      <c r="AC16" s="19">
        <f>'13'!G87</f>
        <v>24</v>
      </c>
      <c r="AD16" s="19">
        <f t="shared" si="8"/>
        <v>32</v>
      </c>
      <c r="AE16" s="23">
        <f t="shared" si="2"/>
        <v>7041</v>
      </c>
      <c r="AF16" s="23">
        <f t="shared" si="9"/>
        <v>220.03125</v>
      </c>
      <c r="AG16" s="19">
        <f>'13'!G88</f>
        <v>8.2700000000004366</v>
      </c>
      <c r="AH16" s="19">
        <f>'13'!G89</f>
        <v>0</v>
      </c>
      <c r="AI16" s="19">
        <f>'13'!G90</f>
        <v>5.1900000000023283</v>
      </c>
      <c r="AJ16" s="19">
        <f t="shared" si="10"/>
        <v>13.460000000002765</v>
      </c>
      <c r="AK16" s="19">
        <f>'13'!G91</f>
        <v>10.990000000000236</v>
      </c>
      <c r="AL16" s="19">
        <f>'13'!G92</f>
        <v>0</v>
      </c>
      <c r="AM16" s="19"/>
      <c r="AN16" s="19">
        <f t="shared" si="11"/>
        <v>10.990000000000236</v>
      </c>
      <c r="AO16" s="52">
        <f>'13'!G74</f>
        <v>296</v>
      </c>
      <c r="AP16" s="55">
        <f>'13'!G35</f>
        <v>0</v>
      </c>
      <c r="AQ16" s="19">
        <f>'13'!G37</f>
        <v>1663</v>
      </c>
      <c r="AR16" s="19">
        <f>'13'!G38</f>
        <v>1845</v>
      </c>
      <c r="AS16" s="19">
        <f>'13'!G39</f>
        <v>4354</v>
      </c>
      <c r="AT16" s="19">
        <f>'13'!G40</f>
        <v>0</v>
      </c>
      <c r="AU16" s="19">
        <f>'13'!G41</f>
        <v>0</v>
      </c>
      <c r="AV16" s="19">
        <f>'13'!G42</f>
        <v>1676</v>
      </c>
      <c r="AW16" s="19">
        <f>'13'!G43</f>
        <v>2578</v>
      </c>
      <c r="AX16" s="23">
        <f>'13'!G44</f>
        <v>0</v>
      </c>
      <c r="AY16" s="56">
        <f>'13'!G36</f>
        <v>639</v>
      </c>
      <c r="AZ16" s="55">
        <f>'13'!G49</f>
        <v>3602</v>
      </c>
      <c r="BA16" s="19">
        <f>'13'!G51</f>
        <v>0</v>
      </c>
      <c r="BB16" s="19">
        <f>'13'!G52</f>
        <v>0</v>
      </c>
      <c r="BC16" s="19">
        <f>'13'!G53</f>
        <v>0</v>
      </c>
      <c r="BD16" s="19">
        <f>'13'!G54</f>
        <v>5</v>
      </c>
      <c r="BE16" s="19">
        <f>'13'!G55</f>
        <v>0</v>
      </c>
      <c r="BF16" s="19">
        <f>'13'!G56</f>
        <v>5365</v>
      </c>
      <c r="BG16" s="19">
        <f>'13'!G57</f>
        <v>0</v>
      </c>
      <c r="BH16" s="56">
        <f>'13'!G50</f>
        <v>1068</v>
      </c>
      <c r="BI16" s="60">
        <f t="shared" si="12"/>
        <v>7041</v>
      </c>
      <c r="BJ16" s="60">
        <f>'13'!G133</f>
        <v>724</v>
      </c>
      <c r="BK16" s="23">
        <f t="shared" si="13"/>
        <v>56.009320059309466</v>
      </c>
      <c r="BL16" s="23">
        <f t="shared" si="14"/>
        <v>18.445244651556873</v>
      </c>
      <c r="BM16" s="24">
        <f t="shared" si="15"/>
        <v>7.8161406481677617E-2</v>
      </c>
      <c r="BN16" s="25">
        <f t="shared" si="16"/>
        <v>289599.40000000002</v>
      </c>
      <c r="BO16" s="38">
        <f t="shared" si="17"/>
        <v>10343</v>
      </c>
      <c r="BP16">
        <f t="shared" si="18"/>
        <v>1.1543526785714286</v>
      </c>
    </row>
    <row r="17" spans="1:68" x14ac:dyDescent="0.25">
      <c r="A17" s="16">
        <v>14</v>
      </c>
      <c r="B17" s="17">
        <v>14</v>
      </c>
      <c r="C17" s="27"/>
      <c r="D17" s="19">
        <f>'14'!D3</f>
        <v>29</v>
      </c>
      <c r="E17" s="50">
        <f>'14'!D4</f>
        <v>0.85</v>
      </c>
      <c r="F17" s="50">
        <f>'14'!D2</f>
        <v>0.59</v>
      </c>
      <c r="G17" s="19">
        <f>'14'!G7</f>
        <v>24059</v>
      </c>
      <c r="H17" s="19">
        <f>'14'!G8</f>
        <v>24667</v>
      </c>
      <c r="I17" s="19">
        <v>9</v>
      </c>
      <c r="J17" s="49">
        <f t="shared" si="3"/>
        <v>222003</v>
      </c>
      <c r="K17" s="45">
        <f t="shared" si="4"/>
        <v>122.11386138613861</v>
      </c>
      <c r="L17" s="19">
        <f>'14'!G15</f>
        <v>1032</v>
      </c>
      <c r="M17" s="19">
        <v>56.2</v>
      </c>
      <c r="N17" s="41">
        <f t="shared" si="5"/>
        <v>57998.400000000001</v>
      </c>
      <c r="O17" s="19">
        <f>'14'!G20</f>
        <v>241</v>
      </c>
      <c r="P17" s="19">
        <v>108</v>
      </c>
      <c r="Q17" s="46">
        <f t="shared" si="0"/>
        <v>26028</v>
      </c>
      <c r="R17" s="47">
        <f t="shared" si="1"/>
        <v>202.21513676791409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89</v>
      </c>
      <c r="W17" s="22">
        <f>'14'!G66</f>
        <v>18</v>
      </c>
      <c r="X17" s="22">
        <f>'14'!G67</f>
        <v>19</v>
      </c>
      <c r="Y17" s="22">
        <f>V17+W17+X17</f>
        <v>126</v>
      </c>
      <c r="Z17" s="19">
        <f>'14'!G84</f>
        <v>0</v>
      </c>
      <c r="AA17" s="19">
        <f>'14'!G85</f>
        <v>10</v>
      </c>
      <c r="AB17" s="19">
        <f>'14'!G86</f>
        <v>0</v>
      </c>
      <c r="AC17" s="19">
        <f>'14'!G87</f>
        <v>24</v>
      </c>
      <c r="AD17" s="19">
        <f t="shared" si="8"/>
        <v>34</v>
      </c>
      <c r="AE17" s="23">
        <f t="shared" si="2"/>
        <v>7906</v>
      </c>
      <c r="AF17" s="23">
        <f t="shared" si="9"/>
        <v>232.52941176470588</v>
      </c>
      <c r="AG17" s="19">
        <f>'14'!G88</f>
        <v>9.4000000000014552</v>
      </c>
      <c r="AH17" s="19">
        <f>'14'!G89</f>
        <v>0</v>
      </c>
      <c r="AI17" s="19">
        <f>'14'!G90</f>
        <v>5.9700000000011642</v>
      </c>
      <c r="AJ17" s="19">
        <f t="shared" si="10"/>
        <v>15.370000000002619</v>
      </c>
      <c r="AK17" s="19">
        <f>'14'!G91</f>
        <v>10.7199999999998</v>
      </c>
      <c r="AL17" s="19">
        <f>'14'!G92</f>
        <v>0</v>
      </c>
      <c r="AM17" s="19"/>
      <c r="AN17" s="19">
        <f t="shared" si="11"/>
        <v>10.7199999999998</v>
      </c>
      <c r="AO17" s="52">
        <f>'14'!G44</f>
        <v>0</v>
      </c>
      <c r="AP17" s="55">
        <f>'14'!G35</f>
        <v>0</v>
      </c>
      <c r="AQ17" s="19">
        <f>'14'!G37</f>
        <v>1696</v>
      </c>
      <c r="AR17" s="19">
        <f>'14'!G38</f>
        <v>1962</v>
      </c>
      <c r="AS17" s="19">
        <f>'14'!G39</f>
        <v>4269</v>
      </c>
      <c r="AT17" s="19">
        <f>'14'!G40</f>
        <v>0</v>
      </c>
      <c r="AU17" s="19">
        <f>'14'!G41</f>
        <v>0</v>
      </c>
      <c r="AV17" s="19">
        <f>'14'!G42</f>
        <v>2349</v>
      </c>
      <c r="AW17" s="19">
        <f>'14'!G43</f>
        <v>2705</v>
      </c>
      <c r="AX17" s="23">
        <f>'14'!G44</f>
        <v>0</v>
      </c>
      <c r="AY17" s="56">
        <f>'14'!G36</f>
        <v>590</v>
      </c>
      <c r="AZ17" s="55">
        <f>'14'!G49</f>
        <v>3657</v>
      </c>
      <c r="BA17" s="19">
        <f>'14'!G51</f>
        <v>0</v>
      </c>
      <c r="BB17" s="19">
        <f>'14'!G52</f>
        <v>0</v>
      </c>
      <c r="BC17" s="19">
        <f>'14'!G53</f>
        <v>0</v>
      </c>
      <c r="BD17" s="19">
        <f>'14'!G54</f>
        <v>4</v>
      </c>
      <c r="BE17" s="19">
        <f>'14'!G55</f>
        <v>0</v>
      </c>
      <c r="BF17" s="19">
        <f>'14'!G56</f>
        <v>5557</v>
      </c>
      <c r="BG17" s="19">
        <f>'14'!G57</f>
        <v>0</v>
      </c>
      <c r="BH17" s="56">
        <f>'14'!G50</f>
        <v>1042</v>
      </c>
      <c r="BI17" s="60">
        <f t="shared" si="12"/>
        <v>7906</v>
      </c>
      <c r="BJ17" s="60">
        <f>'14'!G133</f>
        <v>751</v>
      </c>
      <c r="BK17" s="23">
        <f t="shared" si="13"/>
        <v>57.842461588356919</v>
      </c>
      <c r="BL17" s="23">
        <f t="shared" si="14"/>
        <v>17.306522884825881</v>
      </c>
      <c r="BM17" s="24">
        <f t="shared" si="15"/>
        <v>7.9539465682896174E-2</v>
      </c>
      <c r="BN17" s="25">
        <f t="shared" si="16"/>
        <v>306029.40000000002</v>
      </c>
      <c r="BO17" s="38">
        <f t="shared" si="17"/>
        <v>11362</v>
      </c>
      <c r="BP17">
        <f t="shared" si="18"/>
        <v>1.1934873949579832</v>
      </c>
    </row>
    <row r="18" spans="1:68" x14ac:dyDescent="0.25">
      <c r="A18" s="16">
        <v>15</v>
      </c>
      <c r="B18" s="26">
        <v>15</v>
      </c>
      <c r="C18" s="18"/>
      <c r="D18" s="19">
        <f>'15'!D3</f>
        <v>29</v>
      </c>
      <c r="E18" s="50">
        <f>'15'!D4</f>
        <v>0.84</v>
      </c>
      <c r="F18" s="50">
        <f>'15'!D2</f>
        <v>0.7</v>
      </c>
      <c r="G18" s="19">
        <f>'15'!G7</f>
        <v>22613</v>
      </c>
      <c r="H18" s="19">
        <f>'15'!G8</f>
        <v>23193</v>
      </c>
      <c r="I18" s="19">
        <v>9</v>
      </c>
      <c r="J18" s="49">
        <f t="shared" si="3"/>
        <v>208737</v>
      </c>
      <c r="K18" s="45">
        <f t="shared" si="4"/>
        <v>114.81683168316832</v>
      </c>
      <c r="L18" s="19">
        <f>'15'!G15</f>
        <v>976</v>
      </c>
      <c r="M18" s="19">
        <v>56.2</v>
      </c>
      <c r="N18" s="41">
        <f t="shared" si="5"/>
        <v>54851.200000000004</v>
      </c>
      <c r="O18" s="19">
        <f>'15'!G20</f>
        <v>269</v>
      </c>
      <c r="P18" s="19">
        <v>108</v>
      </c>
      <c r="Q18" s="46">
        <f t="shared" si="0"/>
        <v>29052</v>
      </c>
      <c r="R18" s="47">
        <f t="shared" si="1"/>
        <v>190.24045261669028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120</v>
      </c>
      <c r="W18" s="22">
        <f>'15'!G66</f>
        <v>17</v>
      </c>
      <c r="X18" s="22">
        <f>'15'!G67</f>
        <v>29</v>
      </c>
      <c r="Y18" s="22">
        <f t="shared" si="7"/>
        <v>166</v>
      </c>
      <c r="Z18" s="19">
        <f>'15'!G84</f>
        <v>9</v>
      </c>
      <c r="AA18" s="19">
        <f>'15'!G85</f>
        <v>1</v>
      </c>
      <c r="AB18" s="19">
        <f>'15'!G86</f>
        <v>0</v>
      </c>
      <c r="AC18" s="19">
        <f>'15'!G87</f>
        <v>22</v>
      </c>
      <c r="AD18" s="19">
        <f t="shared" si="8"/>
        <v>32</v>
      </c>
      <c r="AE18" s="23">
        <f t="shared" si="2"/>
        <v>6623</v>
      </c>
      <c r="AF18" s="23">
        <f t="shared" si="9"/>
        <v>206.96875</v>
      </c>
      <c r="AG18" s="19">
        <f>'15'!G88</f>
        <v>9.7199999999975262</v>
      </c>
      <c r="AH18" s="19">
        <f>'15'!G89</f>
        <v>0</v>
      </c>
      <c r="AI18" s="19">
        <f>'15'!G90</f>
        <v>0.53999999999359716</v>
      </c>
      <c r="AJ18" s="19">
        <f t="shared" si="10"/>
        <v>10.259999999991123</v>
      </c>
      <c r="AK18" s="19">
        <f>'15'!G91</f>
        <v>10.660000000000309</v>
      </c>
      <c r="AL18" s="19">
        <f>'15'!G92</f>
        <v>0</v>
      </c>
      <c r="AM18" s="19"/>
      <c r="AN18" s="19">
        <f t="shared" si="11"/>
        <v>10.660000000000309</v>
      </c>
      <c r="AO18" s="52">
        <f>'15'!G74</f>
        <v>288</v>
      </c>
      <c r="AP18" s="55">
        <f>'15'!G35</f>
        <v>0</v>
      </c>
      <c r="AQ18" s="19">
        <f>'15'!G37</f>
        <v>1687</v>
      </c>
      <c r="AR18" s="19">
        <f>'15'!G38</f>
        <v>1953</v>
      </c>
      <c r="AS18" s="19">
        <f>'15'!G39</f>
        <v>4212</v>
      </c>
      <c r="AT18" s="19">
        <f>'15'!G40</f>
        <v>7</v>
      </c>
      <c r="AU18" s="19">
        <f>'15'!G41</f>
        <v>1850</v>
      </c>
      <c r="AV18" s="19">
        <f>'15'!G42</f>
        <v>204</v>
      </c>
      <c r="AW18" s="19">
        <f>'15'!G43</f>
        <v>2560</v>
      </c>
      <c r="AX18" s="23">
        <f>'15'!G44</f>
        <v>0</v>
      </c>
      <c r="AY18" s="56">
        <f>'15'!G36</f>
        <v>935</v>
      </c>
      <c r="AZ18" s="55">
        <f>'15'!G49</f>
        <v>3380</v>
      </c>
      <c r="BA18" s="19">
        <f>'15'!G51</f>
        <v>0</v>
      </c>
      <c r="BB18" s="19">
        <f>'15'!G52</f>
        <v>0</v>
      </c>
      <c r="BC18" s="19">
        <f>'15'!G53</f>
        <v>0</v>
      </c>
      <c r="BD18" s="19">
        <f>'15'!G54</f>
        <v>4</v>
      </c>
      <c r="BE18" s="19">
        <f>'15'!G55</f>
        <v>0</v>
      </c>
      <c r="BF18" s="19">
        <f>'15'!G56</f>
        <v>4569</v>
      </c>
      <c r="BG18" s="19">
        <f>'15'!G57</f>
        <v>0</v>
      </c>
      <c r="BH18" s="56">
        <f>'15'!G50</f>
        <v>1047</v>
      </c>
      <c r="BI18" s="60">
        <f t="shared" si="12"/>
        <v>6623</v>
      </c>
      <c r="BJ18" s="60">
        <f>'15'!G133</f>
        <v>716</v>
      </c>
      <c r="BK18" s="23">
        <f t="shared" si="13"/>
        <v>54.167205622386064</v>
      </c>
      <c r="BL18" s="23">
        <f t="shared" si="14"/>
        <v>18.160651920838184</v>
      </c>
      <c r="BM18" s="24">
        <f t="shared" si="15"/>
        <v>8.4206441598758244E-2</v>
      </c>
      <c r="BN18" s="25">
        <f t="shared" si="16"/>
        <v>292640.2</v>
      </c>
      <c r="BO18" s="38">
        <f t="shared" si="17"/>
        <v>9899</v>
      </c>
      <c r="BP18">
        <f t="shared" si="18"/>
        <v>1.1047991071428571</v>
      </c>
    </row>
    <row r="19" spans="1:68" x14ac:dyDescent="0.25">
      <c r="A19" s="16">
        <v>16</v>
      </c>
      <c r="B19" s="26">
        <v>16</v>
      </c>
      <c r="C19" s="26"/>
      <c r="D19" s="19">
        <f>'16'!D3</f>
        <v>28</v>
      </c>
      <c r="E19" s="50">
        <f>'16'!D4</f>
        <v>0.9</v>
      </c>
      <c r="F19" s="50">
        <f>'16'!D2</f>
        <v>0.51</v>
      </c>
      <c r="G19" s="19">
        <f>'16'!G7</f>
        <v>21373.710000000021</v>
      </c>
      <c r="H19" s="19">
        <f>'16'!G8</f>
        <v>21644.710000000021</v>
      </c>
      <c r="I19" s="19">
        <v>9</v>
      </c>
      <c r="J19" s="49">
        <f t="shared" si="3"/>
        <v>194802.39000000019</v>
      </c>
      <c r="K19" s="45">
        <f t="shared" si="4"/>
        <v>107.1520297029704</v>
      </c>
      <c r="L19" s="19">
        <f>'16'!G15</f>
        <v>978.88299999991432</v>
      </c>
      <c r="M19" s="19">
        <v>56.2</v>
      </c>
      <c r="N19" s="41">
        <f t="shared" si="5"/>
        <v>55013.224599995185</v>
      </c>
      <c r="O19" s="19">
        <f>'16'!G20</f>
        <v>280</v>
      </c>
      <c r="P19" s="19">
        <v>108</v>
      </c>
      <c r="Q19" s="46">
        <f t="shared" si="0"/>
        <v>30240</v>
      </c>
      <c r="R19" s="47">
        <f t="shared" si="1"/>
        <v>271.79188507086002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89</v>
      </c>
      <c r="W19" s="22">
        <f>'16'!G66</f>
        <v>20</v>
      </c>
      <c r="X19" s="22">
        <f>'16'!G67</f>
        <v>36</v>
      </c>
      <c r="Y19" s="22">
        <f t="shared" si="7"/>
        <v>145</v>
      </c>
      <c r="Z19" s="19">
        <f>'16'!G84</f>
        <v>24.269999999996799</v>
      </c>
      <c r="AA19" s="19">
        <f>'16'!G85</f>
        <v>0.58999999999991815</v>
      </c>
      <c r="AB19" s="19">
        <f>'16'!G86</f>
        <v>0</v>
      </c>
      <c r="AC19" s="19">
        <f>'16'!G87</f>
        <v>5.2300000000032014</v>
      </c>
      <c r="AD19" s="19">
        <f t="shared" si="8"/>
        <v>30.089999999999918</v>
      </c>
      <c r="AE19" s="23">
        <f t="shared" si="2"/>
        <v>5849.5199999999022</v>
      </c>
      <c r="AF19" s="23">
        <f t="shared" si="9"/>
        <v>194.40079760717575</v>
      </c>
      <c r="AG19" s="19">
        <f>'16'!G88</f>
        <v>9.6599999999998545</v>
      </c>
      <c r="AH19" s="19">
        <f>'16'!G89</f>
        <v>0</v>
      </c>
      <c r="AI19" s="19">
        <f>'16'!G90</f>
        <v>2.5</v>
      </c>
      <c r="AJ19" s="19">
        <f t="shared" si="10"/>
        <v>12.159999999999854</v>
      </c>
      <c r="AK19" s="19">
        <f>'16'!G91</f>
        <v>10.670000000000073</v>
      </c>
      <c r="AL19" s="19">
        <f>'16'!G92</f>
        <v>-0.14000000000032742</v>
      </c>
      <c r="AM19" s="19"/>
      <c r="AN19" s="19">
        <f t="shared" si="11"/>
        <v>10.529999999999745</v>
      </c>
      <c r="AO19" s="52">
        <f>'16'!G74</f>
        <v>290.60999999998603</v>
      </c>
      <c r="AP19" s="55">
        <f>'16'!G35</f>
        <v>2667.38</v>
      </c>
      <c r="AQ19" s="19">
        <f>'16'!G37</f>
        <v>1707.6699999999983</v>
      </c>
      <c r="AR19" s="19">
        <f>'16'!G38</f>
        <v>1899.8800000000047</v>
      </c>
      <c r="AS19" s="19">
        <f>'16'!G39</f>
        <v>4126.1300000000047</v>
      </c>
      <c r="AT19" s="19">
        <f>'16'!G40</f>
        <v>0.53000000000000025</v>
      </c>
      <c r="AU19" s="19">
        <f>'16'!G41</f>
        <v>5014.1899999999441</v>
      </c>
      <c r="AV19" s="19">
        <f>'16'!G42</f>
        <v>-0.48999999999068677</v>
      </c>
      <c r="AW19" s="19">
        <f>'16'!G43</f>
        <v>2418.5</v>
      </c>
      <c r="AX19" s="23">
        <f>'16'!G44</f>
        <v>0</v>
      </c>
      <c r="AY19" s="56">
        <f>'16'!G36</f>
        <v>766.80000000000291</v>
      </c>
      <c r="AZ19" s="55">
        <f>'16'!G49</f>
        <v>1619.7600000000093</v>
      </c>
      <c r="BA19" s="19">
        <f>'16'!G51</f>
        <v>0</v>
      </c>
      <c r="BB19" s="19">
        <f>'16'!G52</f>
        <v>0</v>
      </c>
      <c r="BC19" s="19">
        <f>'16'!G53</f>
        <v>0</v>
      </c>
      <c r="BD19" s="19">
        <f>'16'!G54</f>
        <v>5</v>
      </c>
      <c r="BE19" s="19">
        <f>'16'!G55</f>
        <v>-0.53000000002793968</v>
      </c>
      <c r="BF19" s="19">
        <f>'16'!G56</f>
        <v>836.34999999997672</v>
      </c>
      <c r="BG19" s="19">
        <f>'16'!G57</f>
        <v>0</v>
      </c>
      <c r="BH19" s="56">
        <f>'16'!G50</f>
        <v>1115.2299999999814</v>
      </c>
      <c r="BI19" s="60">
        <f t="shared" si="12"/>
        <v>5849.5199999999022</v>
      </c>
      <c r="BJ19" s="60">
        <f>'16'!G133</f>
        <v>719.40000000000146</v>
      </c>
      <c r="BK19" s="23">
        <f t="shared" si="13"/>
        <v>58.005674365699058</v>
      </c>
      <c r="BL19" s="23">
        <f t="shared" si="14"/>
        <v>19.062995069003009</v>
      </c>
      <c r="BM19" s="24">
        <f t="shared" si="15"/>
        <v>8.7775719794813731E-2</v>
      </c>
      <c r="BN19" s="25">
        <f t="shared" si="16"/>
        <v>280055.61459999537</v>
      </c>
      <c r="BO19" s="38">
        <f t="shared" si="17"/>
        <v>8987.4199999999037</v>
      </c>
      <c r="BP19">
        <f t="shared" si="18"/>
        <v>1.0667307601006419</v>
      </c>
    </row>
    <row r="20" spans="1:68" x14ac:dyDescent="0.25">
      <c r="A20" s="16">
        <v>17</v>
      </c>
      <c r="B20" s="27">
        <v>17</v>
      </c>
      <c r="C20" s="26"/>
      <c r="D20" s="19">
        <f>'17'!D3</f>
        <v>28</v>
      </c>
      <c r="E20" s="50">
        <f>'17'!D4</f>
        <v>0.9</v>
      </c>
      <c r="F20" s="50">
        <f>'17'!D2</f>
        <v>0.51</v>
      </c>
      <c r="G20" s="19">
        <f>'17'!G7</f>
        <v>22835.759999999951</v>
      </c>
      <c r="H20" s="19">
        <f>'17'!G8</f>
        <v>23033.039999999979</v>
      </c>
      <c r="I20" s="19">
        <v>9</v>
      </c>
      <c r="J20" s="49">
        <f t="shared" si="3"/>
        <v>207297.35999999981</v>
      </c>
      <c r="K20" s="45">
        <f t="shared" si="4"/>
        <v>114.0249504950494</v>
      </c>
      <c r="L20" s="19">
        <f>'17'!G15</f>
        <v>875</v>
      </c>
      <c r="M20" s="19">
        <v>56.2</v>
      </c>
      <c r="N20" s="41">
        <f t="shared" si="5"/>
        <v>49175</v>
      </c>
      <c r="O20" s="19">
        <f>'17'!G20</f>
        <v>271</v>
      </c>
      <c r="P20" s="19">
        <v>108</v>
      </c>
      <c r="Q20" s="46">
        <f t="shared" si="0"/>
        <v>29268</v>
      </c>
      <c r="R20" s="47">
        <f t="shared" si="1"/>
        <v>263.0557173364395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98</v>
      </c>
      <c r="W20" s="22">
        <f>'17'!G66</f>
        <v>27</v>
      </c>
      <c r="X20" s="22">
        <f>'17'!G67</f>
        <v>33</v>
      </c>
      <c r="Y20" s="22">
        <f t="shared" si="7"/>
        <v>158</v>
      </c>
      <c r="Z20" s="19">
        <f>'17'!G84</f>
        <v>23.92000000000553</v>
      </c>
      <c r="AA20" s="19">
        <f>'17'!G85</f>
        <v>7.8600000000001273</v>
      </c>
      <c r="AB20" s="19">
        <f>'17'!G86</f>
        <v>0</v>
      </c>
      <c r="AC20" s="19">
        <f>'17'!G87</f>
        <v>0</v>
      </c>
      <c r="AD20" s="19">
        <f t="shared" si="8"/>
        <v>31.780000000005657</v>
      </c>
      <c r="AE20" s="23">
        <f t="shared" si="2"/>
        <v>6803.660000000149</v>
      </c>
      <c r="AF20" s="23">
        <f t="shared" si="9"/>
        <v>214.08621774697727</v>
      </c>
      <c r="AG20" s="19">
        <f>'17'!G88</f>
        <v>9.3800000000010186</v>
      </c>
      <c r="AH20" s="19">
        <f>'17'!G89</f>
        <v>3.0000000006111804E-3</v>
      </c>
      <c r="AI20" s="19">
        <f>'17'!G90</f>
        <v>2.5299999999988358</v>
      </c>
      <c r="AJ20" s="19">
        <f t="shared" si="10"/>
        <v>11.913000000000466</v>
      </c>
      <c r="AK20" s="19">
        <f>'17'!G91</f>
        <v>11.209999999999582</v>
      </c>
      <c r="AL20" s="19">
        <f>'17'!G92</f>
        <v>0</v>
      </c>
      <c r="AM20" s="19"/>
      <c r="AN20" s="19">
        <f t="shared" si="11"/>
        <v>11.209999999999582</v>
      </c>
      <c r="AO20" s="52">
        <f>'17'!G74</f>
        <v>303.26000000000931</v>
      </c>
      <c r="AP20" s="55">
        <f>'17'!G35</f>
        <v>2841.0199999999995</v>
      </c>
      <c r="AQ20" s="19">
        <f>'17'!G37</f>
        <v>1635.1999999999971</v>
      </c>
      <c r="AR20" s="19">
        <f>'17'!G38</f>
        <v>1880.7200000000012</v>
      </c>
      <c r="AS20" s="19">
        <f>'17'!G39</f>
        <v>4167.8999999999942</v>
      </c>
      <c r="AT20" s="19">
        <f>'17'!G40</f>
        <v>0</v>
      </c>
      <c r="AU20" s="19">
        <f>'17'!G41</f>
        <v>5283.4800000000978</v>
      </c>
      <c r="AV20" s="19">
        <f>'17'!G42</f>
        <v>1500.9799999999814</v>
      </c>
      <c r="AW20" s="19">
        <f>'17'!G43</f>
        <v>2564.6999999999534</v>
      </c>
      <c r="AX20" s="23">
        <f>'17'!G44</f>
        <v>0</v>
      </c>
      <c r="AY20" s="56">
        <f>'17'!G36</f>
        <v>742.29999999999563</v>
      </c>
      <c r="AZ20" s="55">
        <f>'17'!G49</f>
        <v>1322.2999999999884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4.2300000000000182</v>
      </c>
      <c r="BE20" s="19">
        <f>'17'!G55</f>
        <v>0</v>
      </c>
      <c r="BF20" s="19">
        <f>'17'!G56</f>
        <v>19.200000000069849</v>
      </c>
      <c r="BG20" s="19">
        <f>'17'!G57</f>
        <v>0</v>
      </c>
      <c r="BH20" s="56">
        <f>'17'!G50</f>
        <v>1251.7199999999721</v>
      </c>
      <c r="BI20" s="60">
        <f t="shared" si="12"/>
        <v>6803.660000000149</v>
      </c>
      <c r="BJ20" s="60">
        <f>'17'!G133</f>
        <v>772.09999999999854</v>
      </c>
      <c r="BK20" s="23">
        <f t="shared" si="13"/>
        <v>58.748997092872251</v>
      </c>
      <c r="BL20" s="23">
        <f t="shared" si="14"/>
        <v>18.095310041575051</v>
      </c>
      <c r="BM20" s="24">
        <f t="shared" si="15"/>
        <v>8.1653138274409412E-2</v>
      </c>
      <c r="BN20" s="25">
        <f t="shared" si="16"/>
        <v>285740.35999999981</v>
      </c>
      <c r="BO20" s="38">
        <f t="shared" si="17"/>
        <v>10140.460000000101</v>
      </c>
      <c r="BP20">
        <f t="shared" si="18"/>
        <v>1.1395823968351946</v>
      </c>
    </row>
    <row r="21" spans="1:68" x14ac:dyDescent="0.25">
      <c r="A21" s="16">
        <v>18</v>
      </c>
      <c r="B21" s="27">
        <v>18</v>
      </c>
      <c r="C21" s="27"/>
      <c r="D21" s="19">
        <f>'18 '!D3</f>
        <v>28</v>
      </c>
      <c r="E21" s="50">
        <f>'18 '!D4</f>
        <v>0.9</v>
      </c>
      <c r="F21" s="50">
        <f>'18 '!D2</f>
        <v>0.51</v>
      </c>
      <c r="G21" s="19">
        <f>'18 '!G7</f>
        <v>23000</v>
      </c>
      <c r="H21" s="19">
        <f>'18 '!G8</f>
        <v>23050</v>
      </c>
      <c r="I21" s="19">
        <v>9</v>
      </c>
      <c r="J21" s="49">
        <f t="shared" si="3"/>
        <v>207450</v>
      </c>
      <c r="K21" s="45">
        <f t="shared" si="4"/>
        <v>114.10891089108911</v>
      </c>
      <c r="L21" s="19">
        <f>'18 '!G15</f>
        <v>875</v>
      </c>
      <c r="M21" s="19">
        <v>56.2</v>
      </c>
      <c r="N21" s="41">
        <f t="shared" si="5"/>
        <v>49175</v>
      </c>
      <c r="O21" s="19">
        <f>'18 '!G20</f>
        <v>200</v>
      </c>
      <c r="P21" s="19">
        <v>108</v>
      </c>
      <c r="Q21" s="46">
        <f t="shared" si="0"/>
        <v>21600</v>
      </c>
      <c r="R21" s="47">
        <f t="shared" si="1"/>
        <v>194.13706076490001</v>
      </c>
      <c r="S21" s="19">
        <f>'18 '!G24</f>
        <v>0</v>
      </c>
      <c r="T21" s="19">
        <v>69</v>
      </c>
      <c r="U21" s="48">
        <f t="shared" si="6"/>
        <v>0</v>
      </c>
      <c r="V21" s="22">
        <f>'18 '!G65</f>
        <v>-3830</v>
      </c>
      <c r="W21" s="22">
        <f>'18 '!G66</f>
        <v>-1054</v>
      </c>
      <c r="X21" s="22">
        <f>'18 '!G67</f>
        <v>-1394</v>
      </c>
      <c r="Y21" s="22">
        <f t="shared" si="7"/>
        <v>-6278</v>
      </c>
      <c r="Z21" s="19">
        <f>'18 '!G84</f>
        <v>-534.19000000000233</v>
      </c>
      <c r="AA21" s="19">
        <f>'18 '!G85</f>
        <v>-438.45000000000005</v>
      </c>
      <c r="AB21" s="19">
        <f>'18 '!G86</f>
        <v>-4.4700000000011642</v>
      </c>
      <c r="AC21" s="19">
        <f>'18 '!G87</f>
        <v>-535.2300000000032</v>
      </c>
      <c r="AD21" s="19">
        <f t="shared" si="8"/>
        <v>-1512.3400000000067</v>
      </c>
      <c r="AE21" s="23">
        <f t="shared" si="2"/>
        <v>-329160.40000000008</v>
      </c>
      <c r="AF21" s="23">
        <f t="shared" si="9"/>
        <v>217.64973484798301</v>
      </c>
      <c r="AG21" s="19">
        <f>'18 '!G88</f>
        <v>-345.79999999999927</v>
      </c>
      <c r="AH21" s="19">
        <f>'18 '!G89</f>
        <v>-109.16300000000047</v>
      </c>
      <c r="AI21" s="19">
        <f>'18 '!G90</f>
        <v>-63.679999999993015</v>
      </c>
      <c r="AJ21" s="19">
        <f t="shared" si="10"/>
        <v>-518.64299999999275</v>
      </c>
      <c r="AK21" s="19">
        <f>'18 '!G91</f>
        <v>-481.48999999999978</v>
      </c>
      <c r="AL21" s="19">
        <f>'18 '!G92</f>
        <v>-4.4600000000000364</v>
      </c>
      <c r="AM21" s="19"/>
      <c r="AN21" s="19">
        <f t="shared" si="11"/>
        <v>-485.94999999999982</v>
      </c>
      <c r="AO21" s="52">
        <f>'18 '!G74</f>
        <v>-13121.869999999995</v>
      </c>
      <c r="AP21" s="55">
        <f>'18 '!G35</f>
        <v>1053088.6000000001</v>
      </c>
      <c r="AQ21" s="19">
        <f>'18 '!G37</f>
        <v>-80478.87</v>
      </c>
      <c r="AR21" s="19">
        <f>'18 '!G38</f>
        <v>-84774.6</v>
      </c>
      <c r="AS21" s="19">
        <f>'18 '!G39</f>
        <v>443210.97</v>
      </c>
      <c r="AT21" s="19">
        <f>'18 '!G40</f>
        <v>34591.47</v>
      </c>
      <c r="AU21" s="19">
        <f>'18 '!G41</f>
        <v>-121296.88000000006</v>
      </c>
      <c r="AV21" s="19">
        <f>'18 '!G42</f>
        <v>-93552.489999999991</v>
      </c>
      <c r="AW21" s="19">
        <f>'18 '!G43</f>
        <v>-117038.19999999995</v>
      </c>
      <c r="AX21" s="23">
        <f>'18 '!G44</f>
        <v>0</v>
      </c>
      <c r="AY21" s="56">
        <f>'18 '!G36</f>
        <v>-35870.1</v>
      </c>
      <c r="AZ21" s="55">
        <f>'18 '!G49</f>
        <v>268023.94</v>
      </c>
      <c r="BA21" s="19">
        <f>'18 '!G51</f>
        <v>144640</v>
      </c>
      <c r="BB21" s="19">
        <f>'18 '!G52</f>
        <v>539606</v>
      </c>
      <c r="BC21" s="19">
        <f>'18 '!G53</f>
        <v>434232</v>
      </c>
      <c r="BD21" s="19">
        <f>'18 '!G54</f>
        <v>12164.77</v>
      </c>
      <c r="BE21" s="19">
        <f>'18 '!G55</f>
        <v>-1029.4799999999814</v>
      </c>
      <c r="BF21" s="19">
        <f>'18 '!G56</f>
        <v>-113281.55000000005</v>
      </c>
      <c r="BG21" s="19">
        <f>'18 '!G57</f>
        <v>7711</v>
      </c>
      <c r="BH21" s="56">
        <f>'18 '!G50</f>
        <v>-56853.949999999953</v>
      </c>
      <c r="BI21" s="60">
        <f t="shared" si="12"/>
        <v>-329160.40000000008</v>
      </c>
      <c r="BJ21" s="60">
        <f>'18 '!G133</f>
        <v>-29556.5</v>
      </c>
      <c r="BK21" s="23">
        <f t="shared" si="13"/>
        <v>3829.1754446854661</v>
      </c>
      <c r="BL21" s="23">
        <f t="shared" si="14"/>
        <v>3806.6940130151843</v>
      </c>
      <c r="BM21" s="24">
        <f t="shared" si="15"/>
        <v>19.732381778741868</v>
      </c>
      <c r="BN21" s="25">
        <f t="shared" si="16"/>
        <v>278225</v>
      </c>
      <c r="BO21" s="38">
        <f t="shared" si="17"/>
        <v>-468044.10000000003</v>
      </c>
      <c r="BP21">
        <f t="shared" si="18"/>
        <v>1.1052977977363319</v>
      </c>
    </row>
    <row r="22" spans="1:68" x14ac:dyDescent="0.25">
      <c r="A22" s="16">
        <v>19</v>
      </c>
      <c r="B22" s="17">
        <v>19</v>
      </c>
      <c r="C22" s="27"/>
      <c r="D22" s="19">
        <f>'19'!D3</f>
        <v>28</v>
      </c>
      <c r="E22" s="50">
        <f>'19'!D4</f>
        <v>0.9</v>
      </c>
      <c r="F22" s="50">
        <f>'19'!D2</f>
        <v>0.51</v>
      </c>
      <c r="G22" s="19">
        <f>'19'!G7</f>
        <v>23000</v>
      </c>
      <c r="H22" s="19">
        <f>'19'!G8</f>
        <v>23050</v>
      </c>
      <c r="I22" s="19">
        <v>9</v>
      </c>
      <c r="J22" s="49">
        <f t="shared" si="3"/>
        <v>207450</v>
      </c>
      <c r="K22" s="45">
        <f t="shared" si="4"/>
        <v>114.10891089108911</v>
      </c>
      <c r="L22" s="19">
        <f>'19'!G15</f>
        <v>875</v>
      </c>
      <c r="M22" s="19">
        <v>56.2</v>
      </c>
      <c r="N22" s="41">
        <f t="shared" si="5"/>
        <v>49175</v>
      </c>
      <c r="O22" s="19">
        <f>'19'!G20</f>
        <v>200</v>
      </c>
      <c r="P22" s="19">
        <v>108</v>
      </c>
      <c r="Q22" s="46">
        <f t="shared" si="0"/>
        <v>21600</v>
      </c>
      <c r="R22" s="47">
        <f t="shared" si="1"/>
        <v>194.13706076490001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-3830</v>
      </c>
      <c r="W22" s="22">
        <f>'19'!G66</f>
        <v>-1054</v>
      </c>
      <c r="X22" s="22">
        <f>'19'!G67</f>
        <v>-1394</v>
      </c>
      <c r="Y22" s="22">
        <f t="shared" si="7"/>
        <v>-6278</v>
      </c>
      <c r="Z22" s="19">
        <f>'19'!G84</f>
        <v>-534.19000000000233</v>
      </c>
      <c r="AA22" s="19">
        <f>'19'!G85</f>
        <v>-438.45000000000005</v>
      </c>
      <c r="AB22" s="19">
        <f>'19'!G86</f>
        <v>-4.4700000000011642</v>
      </c>
      <c r="AC22" s="19">
        <f>'19'!G87</f>
        <v>-535.2300000000032</v>
      </c>
      <c r="AD22" s="19">
        <f t="shared" si="8"/>
        <v>-1512.3400000000067</v>
      </c>
      <c r="AE22" s="23">
        <f t="shared" si="2"/>
        <v>-329160.40000000008</v>
      </c>
      <c r="AF22" s="23">
        <f t="shared" si="9"/>
        <v>217.64973484798301</v>
      </c>
      <c r="AG22" s="19">
        <f>'19'!G88</f>
        <v>-345.79999999999927</v>
      </c>
      <c r="AH22" s="19">
        <f>'19'!G89</f>
        <v>-109.16300000000047</v>
      </c>
      <c r="AI22" s="19">
        <f>'19'!G90</f>
        <v>-63.679999999993015</v>
      </c>
      <c r="AJ22" s="19">
        <f t="shared" si="10"/>
        <v>-518.64299999999275</v>
      </c>
      <c r="AK22" s="19">
        <f>'19'!G91</f>
        <v>-481.48999999999978</v>
      </c>
      <c r="AL22" s="19">
        <f>'19'!G92</f>
        <v>-4.4600000000000364</v>
      </c>
      <c r="AM22" s="19"/>
      <c r="AN22" s="19">
        <f t="shared" si="11"/>
        <v>-485.94999999999982</v>
      </c>
      <c r="AO22" s="52">
        <f>'19'!G74</f>
        <v>-13121.869999999995</v>
      </c>
      <c r="AP22" s="55">
        <f>'19'!G35</f>
        <v>1053088.6000000001</v>
      </c>
      <c r="AQ22" s="19">
        <f>'19'!G37</f>
        <v>-80478.87</v>
      </c>
      <c r="AR22" s="19">
        <f>'19'!G38</f>
        <v>-84774.6</v>
      </c>
      <c r="AS22" s="19">
        <f>'19'!G39</f>
        <v>443210.97</v>
      </c>
      <c r="AT22" s="19">
        <f>'19'!G40</f>
        <v>34591.47</v>
      </c>
      <c r="AU22" s="19">
        <f>'19'!G41</f>
        <v>-121296.88000000006</v>
      </c>
      <c r="AV22" s="19">
        <f>'19'!G42</f>
        <v>-93552.489999999991</v>
      </c>
      <c r="AW22" s="19">
        <f>'19'!G43</f>
        <v>-117038.19999999995</v>
      </c>
      <c r="AX22" s="23">
        <f>'19'!G44</f>
        <v>0</v>
      </c>
      <c r="AY22" s="56">
        <f>'19'!G36</f>
        <v>-35870.1</v>
      </c>
      <c r="AZ22" s="55">
        <f>'19'!G49</f>
        <v>268023.94</v>
      </c>
      <c r="BA22" s="19">
        <f>'19'!G51</f>
        <v>144640</v>
      </c>
      <c r="BB22" s="19">
        <f>'19'!G52</f>
        <v>539606</v>
      </c>
      <c r="BC22" s="19">
        <f>'19'!G53</f>
        <v>434232</v>
      </c>
      <c r="BD22" s="19">
        <f>'19'!G54</f>
        <v>12164.77</v>
      </c>
      <c r="BE22" s="19">
        <f>'19'!G55</f>
        <v>-1029.4799999999814</v>
      </c>
      <c r="BF22" s="19">
        <f>'19'!G56</f>
        <v>-113281.55000000005</v>
      </c>
      <c r="BG22" s="19">
        <f>'19'!G57</f>
        <v>7711</v>
      </c>
      <c r="BH22" s="56">
        <f>'19'!G50</f>
        <v>-56853.949999999953</v>
      </c>
      <c r="BI22" s="60">
        <f t="shared" si="12"/>
        <v>-329160.40000000008</v>
      </c>
      <c r="BJ22" s="60">
        <f>'19'!G133</f>
        <v>-29556.5</v>
      </c>
      <c r="BK22" s="23">
        <f t="shared" si="13"/>
        <v>3829.1754446854661</v>
      </c>
      <c r="BL22" s="23">
        <f t="shared" si="14"/>
        <v>3806.6940130151843</v>
      </c>
      <c r="BM22" s="24">
        <f t="shared" si="15"/>
        <v>19.732381778741868</v>
      </c>
      <c r="BN22" s="25">
        <f t="shared" si="16"/>
        <v>278225</v>
      </c>
      <c r="BO22" s="38">
        <f t="shared" si="17"/>
        <v>-468044.10000000003</v>
      </c>
      <c r="BP22">
        <f t="shared" si="18"/>
        <v>1.1052977977363319</v>
      </c>
    </row>
    <row r="23" spans="1:68" x14ac:dyDescent="0.25">
      <c r="A23" s="16">
        <v>20</v>
      </c>
      <c r="B23" s="26">
        <v>20</v>
      </c>
      <c r="C23" s="26"/>
      <c r="D23" s="19">
        <f>'20'!D3</f>
        <v>28</v>
      </c>
      <c r="E23" s="50">
        <f>'20'!D4</f>
        <v>0.9</v>
      </c>
      <c r="F23" s="50">
        <f>'20'!D2</f>
        <v>0.51</v>
      </c>
      <c r="G23" s="19">
        <f>'20'!G7</f>
        <v>23000</v>
      </c>
      <c r="H23" s="19">
        <f>'20'!G8</f>
        <v>23050</v>
      </c>
      <c r="I23" s="19">
        <v>9</v>
      </c>
      <c r="J23" s="49">
        <f t="shared" si="3"/>
        <v>207450</v>
      </c>
      <c r="K23" s="45">
        <f t="shared" si="4"/>
        <v>114.10891089108911</v>
      </c>
      <c r="L23" s="19">
        <f>'20'!G15</f>
        <v>875</v>
      </c>
      <c r="M23" s="19">
        <v>56.2</v>
      </c>
      <c r="N23" s="41">
        <f t="shared" si="5"/>
        <v>49175</v>
      </c>
      <c r="O23" s="19">
        <f>'20'!G20</f>
        <v>200</v>
      </c>
      <c r="P23" s="19">
        <v>108</v>
      </c>
      <c r="Q23" s="46">
        <f t="shared" si="0"/>
        <v>21600</v>
      </c>
      <c r="R23" s="47">
        <f t="shared" si="1"/>
        <v>194.13706076490001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0</v>
      </c>
      <c r="W23" s="22">
        <f>'20'!G66</f>
        <v>0</v>
      </c>
      <c r="X23" s="22">
        <f>'20'!G67</f>
        <v>0</v>
      </c>
      <c r="Y23" s="22">
        <f t="shared" si="7"/>
        <v>0</v>
      </c>
      <c r="Z23" s="19">
        <f>'20'!G84</f>
        <v>0</v>
      </c>
      <c r="AA23" s="19">
        <f>'20'!G85</f>
        <v>0</v>
      </c>
      <c r="AB23" s="19">
        <f>'20'!G86</f>
        <v>0</v>
      </c>
      <c r="AC23" s="19">
        <f>'20'!G87</f>
        <v>0</v>
      </c>
      <c r="AD23" s="19">
        <f t="shared" si="8"/>
        <v>0</v>
      </c>
      <c r="AE23" s="23">
        <f t="shared" si="2"/>
        <v>0</v>
      </c>
      <c r="AF23" s="23" t="e">
        <f t="shared" si="9"/>
        <v>#DIV/0!</v>
      </c>
      <c r="AG23" s="19">
        <f>'20'!G88</f>
        <v>0</v>
      </c>
      <c r="AH23" s="19">
        <f>'20'!G89</f>
        <v>0</v>
      </c>
      <c r="AI23" s="19">
        <f>'20'!G90</f>
        <v>0</v>
      </c>
      <c r="AJ23" s="19">
        <f t="shared" si="10"/>
        <v>0</v>
      </c>
      <c r="AK23" s="19">
        <f>'20'!G91</f>
        <v>0</v>
      </c>
      <c r="AL23" s="19">
        <f>'20'!G92</f>
        <v>0</v>
      </c>
      <c r="AM23" s="19"/>
      <c r="AN23" s="19">
        <f t="shared" si="11"/>
        <v>0</v>
      </c>
      <c r="AO23" s="52">
        <f>'20'!G74</f>
        <v>0</v>
      </c>
      <c r="AP23" s="55">
        <f>'20'!G35</f>
        <v>0</v>
      </c>
      <c r="AQ23" s="19">
        <f>'20'!G37</f>
        <v>0</v>
      </c>
      <c r="AR23" s="19">
        <f>'20'!G38</f>
        <v>0</v>
      </c>
      <c r="AS23" s="19">
        <f>'20'!G39</f>
        <v>0</v>
      </c>
      <c r="AT23" s="19">
        <f>'20'!G40</f>
        <v>0</v>
      </c>
      <c r="AU23" s="19">
        <f>'20'!G41</f>
        <v>0</v>
      </c>
      <c r="AV23" s="19">
        <f>'20'!G42</f>
        <v>0</v>
      </c>
      <c r="AW23" s="19">
        <f>'20'!G43</f>
        <v>0</v>
      </c>
      <c r="AX23" s="23">
        <f>'20'!G44</f>
        <v>0</v>
      </c>
      <c r="AY23" s="56">
        <f>'20'!G36</f>
        <v>0</v>
      </c>
      <c r="AZ23" s="55">
        <f>'20'!G49</f>
        <v>0</v>
      </c>
      <c r="BA23" s="19">
        <f>'20'!G51</f>
        <v>0</v>
      </c>
      <c r="BB23" s="19">
        <f>'20'!G52</f>
        <v>0</v>
      </c>
      <c r="BC23" s="19">
        <f>'20'!G585</f>
        <v>0</v>
      </c>
      <c r="BD23" s="19">
        <f>'20'!G54</f>
        <v>0</v>
      </c>
      <c r="BE23" s="19">
        <f>'20'!G55</f>
        <v>0</v>
      </c>
      <c r="BF23" s="19">
        <f>'20'!G56</f>
        <v>0</v>
      </c>
      <c r="BG23" s="19">
        <f>'20'!G57</f>
        <v>0</v>
      </c>
      <c r="BH23" s="56">
        <f>'20'!G50</f>
        <v>0</v>
      </c>
      <c r="BI23" s="60">
        <f t="shared" si="12"/>
        <v>0</v>
      </c>
      <c r="BJ23" s="60">
        <f>'20'!G133</f>
        <v>0</v>
      </c>
      <c r="BK23" s="23">
        <f t="shared" si="13"/>
        <v>0</v>
      </c>
      <c r="BL23" s="23">
        <f t="shared" si="14"/>
        <v>0</v>
      </c>
      <c r="BM23" s="24">
        <f t="shared" si="15"/>
        <v>0</v>
      </c>
      <c r="BN23" s="25">
        <f t="shared" si="16"/>
        <v>278225</v>
      </c>
      <c r="BO23" s="38">
        <f t="shared" si="17"/>
        <v>0</v>
      </c>
      <c r="BP23" t="e">
        <f t="shared" si="18"/>
        <v>#DIV/0!</v>
      </c>
    </row>
    <row r="24" spans="1:68" x14ac:dyDescent="0.25">
      <c r="A24" s="16">
        <v>21</v>
      </c>
      <c r="B24" s="26">
        <v>21</v>
      </c>
      <c r="C24" s="28"/>
      <c r="D24" s="19">
        <v>21</v>
      </c>
      <c r="E24" s="50">
        <f>'21'!D4</f>
        <v>0.9</v>
      </c>
      <c r="F24" s="50">
        <f>'21'!D2</f>
        <v>0.51</v>
      </c>
      <c r="G24" s="19">
        <f>'21'!G7</f>
        <v>23000</v>
      </c>
      <c r="H24" s="19">
        <f>'21'!G8</f>
        <v>23050</v>
      </c>
      <c r="I24" s="19">
        <v>9</v>
      </c>
      <c r="J24" s="49">
        <f t="shared" si="3"/>
        <v>207450</v>
      </c>
      <c r="K24" s="45">
        <f t="shared" si="4"/>
        <v>114.10891089108911</v>
      </c>
      <c r="L24" s="19">
        <f>'21'!G15</f>
        <v>875</v>
      </c>
      <c r="M24" s="19">
        <v>56.2</v>
      </c>
      <c r="N24" s="41">
        <f t="shared" si="5"/>
        <v>49175</v>
      </c>
      <c r="O24" s="19">
        <f>'21'!G20</f>
        <v>200</v>
      </c>
      <c r="P24" s="19">
        <v>108</v>
      </c>
      <c r="Q24" s="46">
        <f t="shared" si="0"/>
        <v>21600</v>
      </c>
      <c r="R24" s="47">
        <f t="shared" si="1"/>
        <v>194.13706076490001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0</v>
      </c>
      <c r="W24" s="22">
        <f>'21'!G66</f>
        <v>0</v>
      </c>
      <c r="X24" s="22">
        <f>'21'!G67</f>
        <v>0</v>
      </c>
      <c r="Y24" s="22">
        <f t="shared" si="7"/>
        <v>0</v>
      </c>
      <c r="Z24" s="19">
        <f>'21'!G84</f>
        <v>0</v>
      </c>
      <c r="AA24" s="19">
        <f>'21'!G85</f>
        <v>0</v>
      </c>
      <c r="AB24" s="19">
        <f>'21'!G86</f>
        <v>0</v>
      </c>
      <c r="AC24" s="19">
        <f>'21'!G87</f>
        <v>0</v>
      </c>
      <c r="AD24" s="19">
        <f t="shared" si="8"/>
        <v>0</v>
      </c>
      <c r="AE24" s="23">
        <f t="shared" si="2"/>
        <v>0</v>
      </c>
      <c r="AF24" s="23" t="e">
        <f t="shared" si="9"/>
        <v>#DIV/0!</v>
      </c>
      <c r="AG24" s="19">
        <f>'21'!G88</f>
        <v>0</v>
      </c>
      <c r="AH24" s="19">
        <f>'21'!G89</f>
        <v>0</v>
      </c>
      <c r="AI24" s="19">
        <f>'21'!G90</f>
        <v>0</v>
      </c>
      <c r="AJ24" s="19">
        <f t="shared" si="10"/>
        <v>0</v>
      </c>
      <c r="AK24" s="19">
        <f>'21'!G91</f>
        <v>0</v>
      </c>
      <c r="AL24" s="19">
        <f>'21'!G92</f>
        <v>0</v>
      </c>
      <c r="AM24" s="19"/>
      <c r="AN24" s="19">
        <f t="shared" si="11"/>
        <v>0</v>
      </c>
      <c r="AO24" s="52">
        <f>'21'!G74</f>
        <v>0</v>
      </c>
      <c r="AP24" s="55">
        <f>'21'!G35</f>
        <v>0</v>
      </c>
      <c r="AQ24" s="19">
        <f>'21'!G37</f>
        <v>0</v>
      </c>
      <c r="AR24" s="19">
        <f>'21'!G38</f>
        <v>0</v>
      </c>
      <c r="AS24" s="19">
        <f>'21'!G39</f>
        <v>0</v>
      </c>
      <c r="AT24" s="19">
        <f>'21'!G40</f>
        <v>0</v>
      </c>
      <c r="AU24" s="19">
        <f>'21'!G41</f>
        <v>0</v>
      </c>
      <c r="AV24" s="19">
        <f>'21'!G42</f>
        <v>0</v>
      </c>
      <c r="AW24" s="19">
        <f>'21'!G43</f>
        <v>0</v>
      </c>
      <c r="AX24" s="23">
        <f>'21'!G44</f>
        <v>0</v>
      </c>
      <c r="AY24" s="56">
        <f>'21'!G36</f>
        <v>0</v>
      </c>
      <c r="AZ24" s="55">
        <f>'21'!G49</f>
        <v>0</v>
      </c>
      <c r="BA24" s="19">
        <f>'21'!G51</f>
        <v>0</v>
      </c>
      <c r="BB24" s="19">
        <f>'21'!G52</f>
        <v>0</v>
      </c>
      <c r="BC24" s="19">
        <f>'21'!G53</f>
        <v>0</v>
      </c>
      <c r="BD24" s="19">
        <f>'21'!G54</f>
        <v>0</v>
      </c>
      <c r="BE24" s="19">
        <f>'21'!G55</f>
        <v>0</v>
      </c>
      <c r="BF24" s="19">
        <f>'21'!G56</f>
        <v>0</v>
      </c>
      <c r="BG24" s="19">
        <f>'21'!G57</f>
        <v>0</v>
      </c>
      <c r="BH24" s="56">
        <f>'21'!G50</f>
        <v>0</v>
      </c>
      <c r="BI24" s="60">
        <f t="shared" si="12"/>
        <v>0</v>
      </c>
      <c r="BJ24" s="60">
        <f>'21'!G133</f>
        <v>0</v>
      </c>
      <c r="BK24" s="23">
        <f t="shared" si="13"/>
        <v>0</v>
      </c>
      <c r="BL24" s="23">
        <f t="shared" si="14"/>
        <v>0</v>
      </c>
      <c r="BM24" s="24">
        <f t="shared" si="15"/>
        <v>0</v>
      </c>
      <c r="BN24" s="25">
        <f t="shared" si="16"/>
        <v>278225</v>
      </c>
      <c r="BO24" s="38">
        <f t="shared" si="17"/>
        <v>0</v>
      </c>
      <c r="BP24" t="e">
        <f t="shared" si="18"/>
        <v>#DIV/0!</v>
      </c>
    </row>
    <row r="25" spans="1:68" x14ac:dyDescent="0.25">
      <c r="A25" s="16">
        <v>22</v>
      </c>
      <c r="B25" s="27">
        <v>22</v>
      </c>
      <c r="C25" s="28"/>
      <c r="D25" s="19">
        <f>'22'!D3</f>
        <v>28</v>
      </c>
      <c r="E25" s="50">
        <f>'22'!D4</f>
        <v>0.9</v>
      </c>
      <c r="F25" s="50">
        <f>'22'!D2</f>
        <v>0.51</v>
      </c>
      <c r="G25" s="19">
        <f>'22'!G7</f>
        <v>23000</v>
      </c>
      <c r="H25" s="19">
        <f>'22'!G8</f>
        <v>23050</v>
      </c>
      <c r="I25" s="19">
        <v>9</v>
      </c>
      <c r="J25" s="49">
        <f t="shared" si="3"/>
        <v>207450</v>
      </c>
      <c r="K25" s="45">
        <f t="shared" si="4"/>
        <v>114.10891089108911</v>
      </c>
      <c r="L25" s="19">
        <f>'22'!G15</f>
        <v>875</v>
      </c>
      <c r="M25" s="19">
        <v>56.2</v>
      </c>
      <c r="N25" s="41">
        <f t="shared" si="5"/>
        <v>49175</v>
      </c>
      <c r="O25" s="19">
        <f>'22'!G20</f>
        <v>200</v>
      </c>
      <c r="P25" s="19">
        <v>108</v>
      </c>
      <c r="Q25" s="46">
        <f t="shared" si="0"/>
        <v>21600</v>
      </c>
      <c r="R25" s="47">
        <f t="shared" si="1"/>
        <v>194.13706076490001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0</v>
      </c>
      <c r="W25" s="22">
        <f>'22'!G66</f>
        <v>0</v>
      </c>
      <c r="X25" s="22">
        <f>'22'!G67</f>
        <v>0</v>
      </c>
      <c r="Y25" s="22">
        <f t="shared" si="7"/>
        <v>0</v>
      </c>
      <c r="Z25" s="19">
        <f>'22'!G84</f>
        <v>0</v>
      </c>
      <c r="AA25" s="19">
        <f>'22'!G85</f>
        <v>0</v>
      </c>
      <c r="AB25" s="19">
        <f>'22'!G86</f>
        <v>0</v>
      </c>
      <c r="AC25" s="19">
        <f>'22'!G87</f>
        <v>0</v>
      </c>
      <c r="AD25" s="19">
        <f t="shared" si="8"/>
        <v>0</v>
      </c>
      <c r="AE25" s="23">
        <f t="shared" si="2"/>
        <v>0</v>
      </c>
      <c r="AF25" s="23" t="e">
        <f t="shared" si="9"/>
        <v>#DIV/0!</v>
      </c>
      <c r="AG25" s="19">
        <f>'22'!G88</f>
        <v>0</v>
      </c>
      <c r="AH25" s="19">
        <f>'22'!G89</f>
        <v>0</v>
      </c>
      <c r="AI25" s="19">
        <f>'22'!G90</f>
        <v>0</v>
      </c>
      <c r="AJ25" s="19">
        <f t="shared" si="10"/>
        <v>0</v>
      </c>
      <c r="AK25" s="19">
        <f>'22'!G91</f>
        <v>0</v>
      </c>
      <c r="AL25" s="19">
        <f>'22'!G92</f>
        <v>0</v>
      </c>
      <c r="AM25" s="19"/>
      <c r="AN25" s="19">
        <f t="shared" si="11"/>
        <v>0</v>
      </c>
      <c r="AO25" s="52">
        <f>'22'!G74</f>
        <v>0</v>
      </c>
      <c r="AP25" s="55">
        <f>'22'!G35</f>
        <v>0</v>
      </c>
      <c r="AQ25" s="19">
        <f>'22'!G37</f>
        <v>0</v>
      </c>
      <c r="AR25" s="19">
        <f>'22'!G38</f>
        <v>0</v>
      </c>
      <c r="AS25" s="19">
        <f>'22'!G39</f>
        <v>0</v>
      </c>
      <c r="AT25" s="19">
        <f>'22'!G40</f>
        <v>0</v>
      </c>
      <c r="AU25" s="19">
        <f>'22'!G41</f>
        <v>0</v>
      </c>
      <c r="AV25" s="19">
        <f>'22'!G42</f>
        <v>0</v>
      </c>
      <c r="AW25" s="19">
        <f>'22'!G43</f>
        <v>0</v>
      </c>
      <c r="AX25" s="23">
        <f>'22'!G44</f>
        <v>0</v>
      </c>
      <c r="AY25" s="56">
        <f>'22'!G36</f>
        <v>0</v>
      </c>
      <c r="AZ25" s="55">
        <f>'22'!G49</f>
        <v>0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0</v>
      </c>
      <c r="BE25" s="19">
        <f>'22'!G55</f>
        <v>0</v>
      </c>
      <c r="BF25" s="19">
        <f>'22'!G56</f>
        <v>0</v>
      </c>
      <c r="BG25" s="19">
        <f>'22'!G57</f>
        <v>0</v>
      </c>
      <c r="BH25" s="56">
        <f>'22'!G50</f>
        <v>0</v>
      </c>
      <c r="BI25" s="60">
        <f t="shared" si="12"/>
        <v>0</v>
      </c>
      <c r="BJ25" s="60">
        <f>'22'!G133</f>
        <v>0</v>
      </c>
      <c r="BK25" s="23">
        <f t="shared" si="13"/>
        <v>0</v>
      </c>
      <c r="BL25" s="23">
        <f t="shared" si="14"/>
        <v>0</v>
      </c>
      <c r="BM25" s="24">
        <f t="shared" si="15"/>
        <v>0</v>
      </c>
      <c r="BN25" s="25">
        <f t="shared" si="16"/>
        <v>278225</v>
      </c>
      <c r="BO25" s="38">
        <f t="shared" si="17"/>
        <v>0</v>
      </c>
      <c r="BP25" t="e">
        <f t="shared" si="18"/>
        <v>#DIV/0!</v>
      </c>
    </row>
    <row r="26" spans="1:68" x14ac:dyDescent="0.25">
      <c r="A26" s="16">
        <v>23</v>
      </c>
      <c r="B26" s="27">
        <v>23</v>
      </c>
      <c r="C26" s="28"/>
      <c r="D26" s="19">
        <f>'23'!D3</f>
        <v>28</v>
      </c>
      <c r="E26" s="50">
        <f>'23'!D4</f>
        <v>0.9</v>
      </c>
      <c r="F26" s="50">
        <f>'23'!D2</f>
        <v>0.51</v>
      </c>
      <c r="G26" s="19">
        <f>'23'!G7</f>
        <v>23000</v>
      </c>
      <c r="H26" s="19">
        <f>'23'!G8</f>
        <v>23050</v>
      </c>
      <c r="I26" s="19">
        <v>9</v>
      </c>
      <c r="J26" s="49">
        <f t="shared" si="3"/>
        <v>207450</v>
      </c>
      <c r="K26" s="45">
        <f t="shared" si="4"/>
        <v>114.10891089108911</v>
      </c>
      <c r="L26" s="19">
        <f>'23'!G15</f>
        <v>875</v>
      </c>
      <c r="M26" s="19">
        <v>56.2</v>
      </c>
      <c r="N26" s="41">
        <f t="shared" si="5"/>
        <v>49175</v>
      </c>
      <c r="O26" s="19">
        <f>'23'!G20</f>
        <v>200</v>
      </c>
      <c r="P26" s="19">
        <v>108</v>
      </c>
      <c r="Q26" s="46">
        <f t="shared" si="0"/>
        <v>21600</v>
      </c>
      <c r="R26" s="47">
        <f t="shared" si="1"/>
        <v>194.13706076490001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0</v>
      </c>
      <c r="W26" s="22">
        <f>'23'!G66</f>
        <v>0</v>
      </c>
      <c r="X26" s="22">
        <f>'23'!G67</f>
        <v>0</v>
      </c>
      <c r="Y26" s="22">
        <f t="shared" si="7"/>
        <v>0</v>
      </c>
      <c r="Z26" s="19">
        <f>'23'!G84</f>
        <v>0</v>
      </c>
      <c r="AA26" s="19">
        <f>'23'!G85</f>
        <v>0</v>
      </c>
      <c r="AB26" s="19">
        <f>'23'!G86</f>
        <v>0</v>
      </c>
      <c r="AC26" s="19">
        <f>'23'!G87</f>
        <v>0</v>
      </c>
      <c r="AD26" s="19">
        <f t="shared" si="8"/>
        <v>0</v>
      </c>
      <c r="AE26" s="23">
        <f t="shared" si="2"/>
        <v>0</v>
      </c>
      <c r="AF26" s="23" t="e">
        <f t="shared" si="9"/>
        <v>#DIV/0!</v>
      </c>
      <c r="AG26" s="19">
        <f>'23'!G88</f>
        <v>0</v>
      </c>
      <c r="AH26" s="19">
        <f>'23'!G89</f>
        <v>0</v>
      </c>
      <c r="AI26" s="19">
        <f>'23'!G90</f>
        <v>0</v>
      </c>
      <c r="AJ26" s="19">
        <f t="shared" si="10"/>
        <v>0</v>
      </c>
      <c r="AK26" s="19">
        <f>'23'!G91</f>
        <v>0</v>
      </c>
      <c r="AL26" s="19">
        <f>'23'!G92</f>
        <v>0</v>
      </c>
      <c r="AM26" s="19"/>
      <c r="AN26" s="19">
        <f t="shared" si="11"/>
        <v>0</v>
      </c>
      <c r="AO26" s="52">
        <f>'23'!G74</f>
        <v>0</v>
      </c>
      <c r="AP26" s="55">
        <f>'23'!G35</f>
        <v>0</v>
      </c>
      <c r="AQ26" s="19">
        <f>'23'!G37</f>
        <v>0</v>
      </c>
      <c r="AR26" s="19">
        <f>'23'!G38</f>
        <v>0</v>
      </c>
      <c r="AS26" s="19">
        <f>'23'!G39</f>
        <v>0</v>
      </c>
      <c r="AT26" s="19">
        <f>'23'!G40</f>
        <v>0</v>
      </c>
      <c r="AU26" s="19">
        <f>'23'!G41</f>
        <v>0</v>
      </c>
      <c r="AV26" s="19">
        <f>'23'!G42</f>
        <v>0</v>
      </c>
      <c r="AW26" s="19">
        <f>'23'!G43</f>
        <v>0</v>
      </c>
      <c r="AX26" s="23">
        <f>'23'!G44</f>
        <v>0</v>
      </c>
      <c r="AY26" s="56">
        <f>'23'!G36</f>
        <v>0</v>
      </c>
      <c r="AZ26" s="55">
        <f>'23'!G49</f>
        <v>0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0</v>
      </c>
      <c r="BE26" s="19">
        <f>'23'!G55</f>
        <v>0</v>
      </c>
      <c r="BF26" s="19">
        <f>'23'!G56</f>
        <v>0</v>
      </c>
      <c r="BG26" s="19">
        <f>'23'!G57</f>
        <v>0</v>
      </c>
      <c r="BH26" s="56">
        <f>'23'!G50</f>
        <v>0</v>
      </c>
      <c r="BI26" s="60">
        <f t="shared" si="12"/>
        <v>0</v>
      </c>
      <c r="BJ26" s="60">
        <f>'23'!G133</f>
        <v>0</v>
      </c>
      <c r="BK26" s="23">
        <f t="shared" si="13"/>
        <v>0</v>
      </c>
      <c r="BL26" s="23">
        <f t="shared" si="14"/>
        <v>0</v>
      </c>
      <c r="BM26" s="24">
        <f t="shared" si="15"/>
        <v>0</v>
      </c>
      <c r="BN26" s="25">
        <f t="shared" si="16"/>
        <v>278225</v>
      </c>
      <c r="BO26" s="38">
        <f t="shared" si="17"/>
        <v>0</v>
      </c>
      <c r="BP26" t="e">
        <f t="shared" si="18"/>
        <v>#DIV/0!</v>
      </c>
    </row>
    <row r="27" spans="1:68" x14ac:dyDescent="0.25">
      <c r="A27" s="16">
        <v>24</v>
      </c>
      <c r="B27" s="17">
        <v>24</v>
      </c>
      <c r="C27" s="28"/>
      <c r="D27" s="19">
        <f>'24'!D3</f>
        <v>28</v>
      </c>
      <c r="E27" s="50">
        <f>'24'!D4</f>
        <v>0.9</v>
      </c>
      <c r="F27" s="50">
        <f>'24'!D2</f>
        <v>0.51</v>
      </c>
      <c r="G27" s="19">
        <f>'24'!G7</f>
        <v>23000</v>
      </c>
      <c r="H27" s="19">
        <f>'24'!G8</f>
        <v>23050</v>
      </c>
      <c r="I27" s="19">
        <v>9</v>
      </c>
      <c r="J27" s="49">
        <f t="shared" si="3"/>
        <v>207450</v>
      </c>
      <c r="K27" s="45">
        <f t="shared" si="4"/>
        <v>114.10891089108911</v>
      </c>
      <c r="L27" s="19">
        <f>'24'!G15</f>
        <v>875</v>
      </c>
      <c r="M27" s="19">
        <v>56.2</v>
      </c>
      <c r="N27" s="41">
        <f t="shared" si="5"/>
        <v>49175</v>
      </c>
      <c r="O27" s="19">
        <f>'24'!G20</f>
        <v>200</v>
      </c>
      <c r="P27" s="19">
        <v>108</v>
      </c>
      <c r="Q27" s="46">
        <f t="shared" si="0"/>
        <v>21600</v>
      </c>
      <c r="R27" s="47">
        <f t="shared" si="1"/>
        <v>194.13706076490001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0</v>
      </c>
      <c r="W27" s="22">
        <f>'24'!G66</f>
        <v>0</v>
      </c>
      <c r="X27" s="22">
        <f>'24'!G67</f>
        <v>0</v>
      </c>
      <c r="Y27" s="22">
        <f t="shared" si="7"/>
        <v>0</v>
      </c>
      <c r="Z27" s="19">
        <f>'24'!G84</f>
        <v>0</v>
      </c>
      <c r="AA27" s="19">
        <f>'24'!G85</f>
        <v>0</v>
      </c>
      <c r="AB27" s="19">
        <f>'24'!G86</f>
        <v>0</v>
      </c>
      <c r="AC27" s="19">
        <f>'24'!G87</f>
        <v>0</v>
      </c>
      <c r="AD27" s="19">
        <f t="shared" si="8"/>
        <v>0</v>
      </c>
      <c r="AE27" s="23">
        <f t="shared" si="2"/>
        <v>0</v>
      </c>
      <c r="AF27" s="23" t="e">
        <f t="shared" si="9"/>
        <v>#DIV/0!</v>
      </c>
      <c r="AG27" s="19">
        <f>'24'!G88</f>
        <v>0</v>
      </c>
      <c r="AH27" s="19">
        <f>'24'!G89</f>
        <v>0</v>
      </c>
      <c r="AI27" s="19">
        <f>'24'!G90</f>
        <v>0</v>
      </c>
      <c r="AJ27" s="19">
        <f t="shared" si="10"/>
        <v>0</v>
      </c>
      <c r="AK27" s="19">
        <f>'24'!G91</f>
        <v>0</v>
      </c>
      <c r="AL27" s="19">
        <f>'24'!G92</f>
        <v>0</v>
      </c>
      <c r="AM27" s="19"/>
      <c r="AN27" s="19">
        <f t="shared" si="11"/>
        <v>0</v>
      </c>
      <c r="AO27" s="52">
        <f>'24'!G74</f>
        <v>0</v>
      </c>
      <c r="AP27" s="55">
        <f>'24'!G35</f>
        <v>0</v>
      </c>
      <c r="AQ27" s="19">
        <f>'24'!G37</f>
        <v>0</v>
      </c>
      <c r="AR27" s="19">
        <f>'24'!G38</f>
        <v>0</v>
      </c>
      <c r="AS27" s="19">
        <f>'24'!G39</f>
        <v>0</v>
      </c>
      <c r="AT27" s="19">
        <f>'24'!G40</f>
        <v>0</v>
      </c>
      <c r="AU27" s="19">
        <f>'24'!G41</f>
        <v>0</v>
      </c>
      <c r="AV27" s="19">
        <f>'24'!G42</f>
        <v>0</v>
      </c>
      <c r="AW27" s="19">
        <f>'24'!G43</f>
        <v>0</v>
      </c>
      <c r="AX27" s="23">
        <f>'24'!G44</f>
        <v>0</v>
      </c>
      <c r="AY27" s="56">
        <f>'24'!G36</f>
        <v>0</v>
      </c>
      <c r="AZ27" s="55">
        <f>'24'!G49</f>
        <v>0</v>
      </c>
      <c r="BA27" s="19">
        <f>'24'!G51</f>
        <v>0</v>
      </c>
      <c r="BB27" s="19">
        <f>'24'!G52</f>
        <v>0</v>
      </c>
      <c r="BC27" s="19">
        <f>'24'!G53</f>
        <v>0</v>
      </c>
      <c r="BD27" s="19">
        <f>'24'!G54</f>
        <v>0</v>
      </c>
      <c r="BE27" s="19">
        <f>'24'!G55</f>
        <v>0</v>
      </c>
      <c r="BF27" s="19">
        <f>'24'!G56</f>
        <v>0</v>
      </c>
      <c r="BG27" s="19">
        <f>'24'!G57</f>
        <v>0</v>
      </c>
      <c r="BH27" s="56">
        <f>'24'!G50</f>
        <v>0</v>
      </c>
      <c r="BI27" s="60">
        <f t="shared" si="12"/>
        <v>0</v>
      </c>
      <c r="BJ27" s="60">
        <f>'24'!G133</f>
        <v>0</v>
      </c>
      <c r="BK27" s="23">
        <f t="shared" si="13"/>
        <v>0</v>
      </c>
      <c r="BL27" s="23">
        <f t="shared" si="14"/>
        <v>0</v>
      </c>
      <c r="BM27" s="24">
        <f t="shared" si="15"/>
        <v>0</v>
      </c>
      <c r="BN27" s="25">
        <f t="shared" si="16"/>
        <v>278225</v>
      </c>
      <c r="BO27" s="38">
        <f t="shared" si="17"/>
        <v>0</v>
      </c>
      <c r="BP27" t="e">
        <f t="shared" si="18"/>
        <v>#DIV/0!</v>
      </c>
    </row>
    <row r="28" spans="1:68" x14ac:dyDescent="0.25">
      <c r="A28" s="16">
        <v>25</v>
      </c>
      <c r="B28" s="26">
        <v>25</v>
      </c>
      <c r="C28" s="28"/>
      <c r="D28" s="19">
        <f>'25'!D3</f>
        <v>28</v>
      </c>
      <c r="E28" s="50">
        <f>'25'!D4</f>
        <v>0.9</v>
      </c>
      <c r="F28" s="50">
        <f>'25'!D2</f>
        <v>0.51</v>
      </c>
      <c r="G28" s="19">
        <f>'25'!G7</f>
        <v>23000</v>
      </c>
      <c r="H28" s="19">
        <f>'25'!G8</f>
        <v>23050</v>
      </c>
      <c r="I28" s="19">
        <v>9</v>
      </c>
      <c r="J28" s="49">
        <f t="shared" si="3"/>
        <v>207450</v>
      </c>
      <c r="K28" s="45">
        <f t="shared" si="4"/>
        <v>114.10891089108911</v>
      </c>
      <c r="L28" s="19">
        <f>'25'!G15</f>
        <v>875</v>
      </c>
      <c r="M28" s="19">
        <v>56.2</v>
      </c>
      <c r="N28" s="41">
        <f t="shared" si="5"/>
        <v>49175</v>
      </c>
      <c r="O28" s="19">
        <f>'25'!G20</f>
        <v>200</v>
      </c>
      <c r="P28" s="19">
        <v>108</v>
      </c>
      <c r="Q28" s="46">
        <f t="shared" si="0"/>
        <v>21600</v>
      </c>
      <c r="R28" s="47">
        <f t="shared" si="1"/>
        <v>194.13706076490001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0</v>
      </c>
      <c r="W28" s="22">
        <f>'25'!G66</f>
        <v>0</v>
      </c>
      <c r="X28" s="22">
        <f>'25'!G67</f>
        <v>0</v>
      </c>
      <c r="Y28" s="22">
        <f t="shared" si="7"/>
        <v>0</v>
      </c>
      <c r="Z28" s="19">
        <f>'25'!G84</f>
        <v>0</v>
      </c>
      <c r="AA28" s="19">
        <f>'25'!G85</f>
        <v>0</v>
      </c>
      <c r="AB28" s="19">
        <f>'25'!G86</f>
        <v>0</v>
      </c>
      <c r="AC28" s="19">
        <f>'25'!G87</f>
        <v>0</v>
      </c>
      <c r="AD28" s="19">
        <f t="shared" si="8"/>
        <v>0</v>
      </c>
      <c r="AE28" s="23">
        <f t="shared" si="2"/>
        <v>0</v>
      </c>
      <c r="AF28" s="23" t="e">
        <f t="shared" si="9"/>
        <v>#DIV/0!</v>
      </c>
      <c r="AG28" s="19">
        <f>'25'!G88</f>
        <v>0</v>
      </c>
      <c r="AH28" s="19">
        <f>'25'!G89</f>
        <v>0</v>
      </c>
      <c r="AI28" s="19">
        <f>'25'!G90</f>
        <v>0</v>
      </c>
      <c r="AJ28" s="19">
        <f t="shared" si="10"/>
        <v>0</v>
      </c>
      <c r="AK28" s="19">
        <f>'25'!G91</f>
        <v>0</v>
      </c>
      <c r="AL28" s="19">
        <f>'25'!G92</f>
        <v>0</v>
      </c>
      <c r="AM28" s="19"/>
      <c r="AN28" s="19">
        <f t="shared" si="11"/>
        <v>0</v>
      </c>
      <c r="AO28" s="52">
        <f>'25'!G74</f>
        <v>0</v>
      </c>
      <c r="AP28" s="55">
        <f>'25'!G35</f>
        <v>0</v>
      </c>
      <c r="AQ28" s="19">
        <f>'25'!G37</f>
        <v>0</v>
      </c>
      <c r="AR28" s="19">
        <f>'25'!G38</f>
        <v>0</v>
      </c>
      <c r="AS28" s="19">
        <f>'25'!G39</f>
        <v>0</v>
      </c>
      <c r="AT28" s="19">
        <f>'25'!G40</f>
        <v>0</v>
      </c>
      <c r="AU28" s="19">
        <f>'25'!G41</f>
        <v>0</v>
      </c>
      <c r="AV28" s="19"/>
      <c r="AW28" s="19">
        <f>'25'!G43</f>
        <v>0</v>
      </c>
      <c r="AX28" s="23">
        <f>'25'!G44</f>
        <v>0</v>
      </c>
      <c r="AY28" s="56">
        <f>'25'!G36</f>
        <v>0</v>
      </c>
      <c r="AZ28" s="55">
        <f>'25'!G49</f>
        <v>0</v>
      </c>
      <c r="BA28" s="19">
        <f>'25'!G51</f>
        <v>0</v>
      </c>
      <c r="BB28" s="19">
        <f>'25'!G52</f>
        <v>0</v>
      </c>
      <c r="BC28" s="19">
        <f>'25'!G53</f>
        <v>0</v>
      </c>
      <c r="BD28" s="19">
        <f>'24'!G54</f>
        <v>0</v>
      </c>
      <c r="BE28" s="19">
        <f>'25'!G55</f>
        <v>0</v>
      </c>
      <c r="BF28" s="19">
        <f>'25'!G56</f>
        <v>0</v>
      </c>
      <c r="BG28" s="19">
        <f>'25'!G57</f>
        <v>0</v>
      </c>
      <c r="BH28" s="56">
        <f>'25'!G50</f>
        <v>0</v>
      </c>
      <c r="BI28" s="60">
        <f t="shared" si="12"/>
        <v>0</v>
      </c>
      <c r="BJ28" s="60">
        <f>'25'!G133</f>
        <v>0</v>
      </c>
      <c r="BK28" s="23">
        <f t="shared" si="13"/>
        <v>0</v>
      </c>
      <c r="BL28" s="23">
        <f t="shared" si="14"/>
        <v>0</v>
      </c>
      <c r="BM28" s="24">
        <f t="shared" si="15"/>
        <v>0</v>
      </c>
      <c r="BN28" s="25">
        <f t="shared" si="16"/>
        <v>278225</v>
      </c>
      <c r="BO28" s="38">
        <f t="shared" si="17"/>
        <v>0</v>
      </c>
      <c r="BP28" t="e">
        <f t="shared" si="18"/>
        <v>#DIV/0!</v>
      </c>
    </row>
    <row r="29" spans="1:68" x14ac:dyDescent="0.25">
      <c r="A29" s="16">
        <v>26</v>
      </c>
      <c r="B29" s="26">
        <v>26</v>
      </c>
      <c r="C29" s="29"/>
      <c r="D29" s="19">
        <f>'26'!D3</f>
        <v>28</v>
      </c>
      <c r="E29" s="50">
        <f>'26'!D4</f>
        <v>0.9</v>
      </c>
      <c r="F29" s="50">
        <f>'26'!D2</f>
        <v>0.51</v>
      </c>
      <c r="G29" s="19">
        <f>'26'!G7</f>
        <v>23000</v>
      </c>
      <c r="H29" s="19">
        <f>'26'!G8</f>
        <v>23050</v>
      </c>
      <c r="I29" s="19">
        <v>9</v>
      </c>
      <c r="J29" s="49">
        <f t="shared" si="3"/>
        <v>207450</v>
      </c>
      <c r="K29" s="45">
        <f t="shared" si="4"/>
        <v>114.10891089108911</v>
      </c>
      <c r="L29" s="19">
        <f>'26'!G15</f>
        <v>875</v>
      </c>
      <c r="M29" s="19">
        <v>56.2</v>
      </c>
      <c r="N29" s="41">
        <f t="shared" si="5"/>
        <v>49175</v>
      </c>
      <c r="O29" s="19">
        <f>'26'!G20</f>
        <v>200</v>
      </c>
      <c r="P29" s="19">
        <v>108</v>
      </c>
      <c r="Q29" s="46">
        <f t="shared" si="0"/>
        <v>21600</v>
      </c>
      <c r="R29" s="47">
        <f t="shared" si="1"/>
        <v>194.13706076490001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0</v>
      </c>
      <c r="W29" s="22">
        <f>'26'!G66</f>
        <v>0</v>
      </c>
      <c r="X29" s="22">
        <f>'26'!G67</f>
        <v>0</v>
      </c>
      <c r="Y29" s="22">
        <f t="shared" si="7"/>
        <v>0</v>
      </c>
      <c r="Z29" s="19">
        <f>'26'!G84</f>
        <v>0</v>
      </c>
      <c r="AA29" s="19">
        <f>'26'!G85</f>
        <v>0</v>
      </c>
      <c r="AB29" s="19">
        <f>'26'!G86</f>
        <v>0</v>
      </c>
      <c r="AC29" s="19">
        <f>'26'!G87</f>
        <v>0</v>
      </c>
      <c r="AD29" s="19">
        <f t="shared" si="8"/>
        <v>0</v>
      </c>
      <c r="AE29" s="23">
        <f t="shared" si="2"/>
        <v>0</v>
      </c>
      <c r="AF29" s="23" t="e">
        <f t="shared" si="9"/>
        <v>#DIV/0!</v>
      </c>
      <c r="AG29" s="19">
        <f>'26'!G88</f>
        <v>0</v>
      </c>
      <c r="AH29" s="19">
        <f>'26'!G89</f>
        <v>0</v>
      </c>
      <c r="AI29" s="19">
        <f>'26'!G90</f>
        <v>0</v>
      </c>
      <c r="AJ29" s="19">
        <f t="shared" si="10"/>
        <v>0</v>
      </c>
      <c r="AK29" s="19">
        <f>'26'!G91</f>
        <v>0</v>
      </c>
      <c r="AL29" s="19">
        <f>'26'!G92</f>
        <v>0</v>
      </c>
      <c r="AM29" s="19"/>
      <c r="AN29" s="19">
        <f t="shared" si="11"/>
        <v>0</v>
      </c>
      <c r="AO29" s="52">
        <f>'26'!G74</f>
        <v>0</v>
      </c>
      <c r="AP29" s="55">
        <f>'26'!G35</f>
        <v>0</v>
      </c>
      <c r="AQ29" s="19">
        <f>'26'!G37</f>
        <v>0</v>
      </c>
      <c r="AR29" s="19">
        <f>'26'!G38</f>
        <v>0</v>
      </c>
      <c r="AS29" s="19">
        <f>'26'!G39</f>
        <v>0</v>
      </c>
      <c r="AT29" s="19">
        <f>'26'!G40</f>
        <v>0</v>
      </c>
      <c r="AU29" s="19">
        <f>'26'!G41</f>
        <v>0</v>
      </c>
      <c r="AV29" s="19">
        <f>'26'!G42</f>
        <v>0</v>
      </c>
      <c r="AW29" s="19">
        <f>'26'!G43</f>
        <v>0</v>
      </c>
      <c r="AX29" s="23">
        <f>'26'!G44</f>
        <v>0</v>
      </c>
      <c r="AY29" s="56">
        <f>'26'!G36</f>
        <v>0</v>
      </c>
      <c r="AZ29" s="55">
        <f>'26'!G49</f>
        <v>0</v>
      </c>
      <c r="BA29" s="19">
        <f>'26'!G51</f>
        <v>0</v>
      </c>
      <c r="BB29" s="19">
        <f>'26'!G52</f>
        <v>0</v>
      </c>
      <c r="BC29" s="19">
        <f>'26'!G53</f>
        <v>0</v>
      </c>
      <c r="BD29" s="19">
        <f>'26'!G54</f>
        <v>0</v>
      </c>
      <c r="BE29" s="19">
        <f>'26'!G55</f>
        <v>0</v>
      </c>
      <c r="BF29" s="19">
        <f>'26'!G56</f>
        <v>0</v>
      </c>
      <c r="BG29" s="19">
        <f>'26'!G57</f>
        <v>0</v>
      </c>
      <c r="BH29" s="56">
        <f>'26'!G50</f>
        <v>0</v>
      </c>
      <c r="BI29" s="60">
        <f t="shared" si="12"/>
        <v>0</v>
      </c>
      <c r="BJ29" s="60">
        <f>'26'!G133</f>
        <v>0</v>
      </c>
      <c r="BK29" s="23">
        <f t="shared" si="13"/>
        <v>0</v>
      </c>
      <c r="BL29" s="23">
        <f t="shared" si="14"/>
        <v>0</v>
      </c>
      <c r="BM29" s="24">
        <f t="shared" si="15"/>
        <v>0</v>
      </c>
      <c r="BN29" s="25">
        <f t="shared" si="16"/>
        <v>278225</v>
      </c>
      <c r="BO29" s="38">
        <f t="shared" si="17"/>
        <v>0</v>
      </c>
      <c r="BP29" t="e">
        <f t="shared" si="18"/>
        <v>#DIV/0!</v>
      </c>
    </row>
    <row r="30" spans="1:68" x14ac:dyDescent="0.25">
      <c r="A30" s="16">
        <v>27</v>
      </c>
      <c r="B30" s="17">
        <v>27</v>
      </c>
      <c r="C30" s="28"/>
      <c r="D30" s="19">
        <f>'27'!D3</f>
        <v>28</v>
      </c>
      <c r="E30" s="50">
        <f>'27'!D4</f>
        <v>0.9</v>
      </c>
      <c r="F30" s="50">
        <f>'27'!D2</f>
        <v>0.51</v>
      </c>
      <c r="G30" s="19">
        <f>'27'!G7</f>
        <v>23000</v>
      </c>
      <c r="H30" s="19">
        <f>'27'!G8</f>
        <v>23050</v>
      </c>
      <c r="I30" s="19">
        <v>9</v>
      </c>
      <c r="J30" s="49">
        <f t="shared" si="3"/>
        <v>207450</v>
      </c>
      <c r="K30" s="45">
        <f t="shared" si="4"/>
        <v>114.10891089108911</v>
      </c>
      <c r="L30" s="19">
        <f>'27'!G15</f>
        <v>875</v>
      </c>
      <c r="M30" s="19">
        <v>56.2</v>
      </c>
      <c r="N30" s="41">
        <f t="shared" si="5"/>
        <v>49175</v>
      </c>
      <c r="O30" s="19">
        <f>'27'!G20</f>
        <v>200</v>
      </c>
      <c r="P30" s="19">
        <v>108</v>
      </c>
      <c r="Q30" s="46">
        <f t="shared" si="0"/>
        <v>21600</v>
      </c>
      <c r="R30" s="47">
        <f t="shared" si="1"/>
        <v>194.13706076490001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0</v>
      </c>
      <c r="W30" s="22">
        <f>'27'!G66</f>
        <v>0</v>
      </c>
      <c r="X30" s="22">
        <f>'27'!G67</f>
        <v>0</v>
      </c>
      <c r="Y30" s="22">
        <f t="shared" si="7"/>
        <v>0</v>
      </c>
      <c r="Z30" s="19">
        <f>'27'!G84</f>
        <v>0</v>
      </c>
      <c r="AA30" s="19">
        <f>'27'!G85</f>
        <v>0</v>
      </c>
      <c r="AB30" s="19">
        <f>'27'!G86</f>
        <v>0</v>
      </c>
      <c r="AC30" s="19">
        <f>'27'!G87</f>
        <v>0</v>
      </c>
      <c r="AD30" s="19">
        <f t="shared" si="8"/>
        <v>0</v>
      </c>
      <c r="AE30" s="23">
        <f t="shared" si="2"/>
        <v>0</v>
      </c>
      <c r="AF30" s="23" t="e">
        <f t="shared" si="9"/>
        <v>#DIV/0!</v>
      </c>
      <c r="AG30" s="19">
        <f>'27'!G88</f>
        <v>0</v>
      </c>
      <c r="AH30" s="19">
        <f>'27'!G89</f>
        <v>0</v>
      </c>
      <c r="AI30" s="19">
        <f>'27'!G90</f>
        <v>0</v>
      </c>
      <c r="AJ30" s="19">
        <f t="shared" si="10"/>
        <v>0</v>
      </c>
      <c r="AK30" s="19">
        <f>'27'!G91</f>
        <v>0</v>
      </c>
      <c r="AL30" s="19">
        <f>'27'!G92</f>
        <v>0</v>
      </c>
      <c r="AM30" s="19"/>
      <c r="AN30" s="19">
        <f t="shared" si="11"/>
        <v>0</v>
      </c>
      <c r="AO30" s="52">
        <f>'27'!G74</f>
        <v>0</v>
      </c>
      <c r="AP30" s="55">
        <f>'27'!G35</f>
        <v>0</v>
      </c>
      <c r="AQ30" s="19">
        <f>'27'!G37</f>
        <v>0</v>
      </c>
      <c r="AR30" s="19">
        <f>'27'!G38</f>
        <v>0</v>
      </c>
      <c r="AS30" s="19">
        <f>'27'!G39</f>
        <v>0</v>
      </c>
      <c r="AT30" s="19">
        <f>'27'!G40</f>
        <v>0</v>
      </c>
      <c r="AU30" s="19">
        <f>'27'!G41</f>
        <v>0</v>
      </c>
      <c r="AV30" s="19">
        <f>'27'!G42</f>
        <v>0</v>
      </c>
      <c r="AW30" s="19">
        <f>'27'!G43</f>
        <v>0</v>
      </c>
      <c r="AX30" s="23">
        <f>'27'!G44</f>
        <v>0</v>
      </c>
      <c r="AY30" s="56">
        <f>'27'!G36</f>
        <v>0</v>
      </c>
      <c r="AZ30" s="55">
        <f>'27'!G49</f>
        <v>0</v>
      </c>
      <c r="BA30" s="19">
        <f>'27'!G51</f>
        <v>0</v>
      </c>
      <c r="BB30" s="19">
        <f>'27'!G52</f>
        <v>0</v>
      </c>
      <c r="BC30" s="19">
        <f>'27'!G53</f>
        <v>0</v>
      </c>
      <c r="BD30" s="19">
        <f>'27'!G54</f>
        <v>0</v>
      </c>
      <c r="BE30" s="19">
        <f>'27'!G55</f>
        <v>0</v>
      </c>
      <c r="BF30" s="19">
        <f>'27'!G56</f>
        <v>0</v>
      </c>
      <c r="BG30" s="19">
        <f>'27'!G57</f>
        <v>0</v>
      </c>
      <c r="BH30" s="56">
        <f>'27'!G50</f>
        <v>0</v>
      </c>
      <c r="BI30" s="60">
        <f t="shared" si="12"/>
        <v>0</v>
      </c>
      <c r="BJ30" s="60">
        <f>'27'!G133</f>
        <v>0</v>
      </c>
      <c r="BK30" s="23">
        <f t="shared" si="13"/>
        <v>0</v>
      </c>
      <c r="BL30" s="23">
        <f t="shared" si="14"/>
        <v>0</v>
      </c>
      <c r="BM30" s="24">
        <f t="shared" si="15"/>
        <v>0</v>
      </c>
      <c r="BN30" s="25">
        <f t="shared" si="16"/>
        <v>278225</v>
      </c>
      <c r="BO30" s="38">
        <f t="shared" si="17"/>
        <v>0</v>
      </c>
      <c r="BP30" t="e">
        <f t="shared" si="18"/>
        <v>#DIV/0!</v>
      </c>
    </row>
    <row r="31" spans="1:68" x14ac:dyDescent="0.25">
      <c r="A31" s="16">
        <v>28</v>
      </c>
      <c r="B31" s="26">
        <v>28</v>
      </c>
      <c r="C31" s="28"/>
      <c r="D31" s="19">
        <f>'28'!D3</f>
        <v>28</v>
      </c>
      <c r="E31" s="50">
        <f>'28'!D4</f>
        <v>0.9</v>
      </c>
      <c r="F31" s="50">
        <f>'28'!D2</f>
        <v>0.51</v>
      </c>
      <c r="G31" s="19">
        <f>'28'!G7</f>
        <v>23000</v>
      </c>
      <c r="H31" s="19">
        <f>'28'!G8</f>
        <v>23050</v>
      </c>
      <c r="I31" s="19">
        <v>9</v>
      </c>
      <c r="J31" s="49">
        <f t="shared" si="3"/>
        <v>207450</v>
      </c>
      <c r="K31" s="45">
        <f t="shared" si="4"/>
        <v>114.10891089108911</v>
      </c>
      <c r="L31" s="19">
        <f>'28'!G15</f>
        <v>875</v>
      </c>
      <c r="M31" s="19">
        <v>56.2</v>
      </c>
      <c r="N31" s="41">
        <f t="shared" si="5"/>
        <v>49175</v>
      </c>
      <c r="O31" s="19">
        <f>'28'!G20</f>
        <v>200</v>
      </c>
      <c r="P31" s="19">
        <v>108</v>
      </c>
      <c r="Q31" s="46">
        <f t="shared" si="0"/>
        <v>21600</v>
      </c>
      <c r="R31" s="47">
        <f t="shared" si="1"/>
        <v>194.13706076490001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0</v>
      </c>
      <c r="W31" s="22">
        <f>'28'!G66</f>
        <v>0</v>
      </c>
      <c r="X31" s="22">
        <f>'28'!G67</f>
        <v>0</v>
      </c>
      <c r="Y31" s="22">
        <f t="shared" si="7"/>
        <v>0</v>
      </c>
      <c r="Z31" s="19">
        <f>'28'!G84</f>
        <v>0</v>
      </c>
      <c r="AA31" s="19">
        <f>'28'!G85</f>
        <v>0</v>
      </c>
      <c r="AB31" s="19">
        <f>'28'!G86</f>
        <v>0</v>
      </c>
      <c r="AC31" s="19">
        <f>'28'!G87</f>
        <v>0</v>
      </c>
      <c r="AD31" s="19">
        <f t="shared" si="8"/>
        <v>0</v>
      </c>
      <c r="AE31" s="23">
        <f t="shared" si="2"/>
        <v>0</v>
      </c>
      <c r="AF31" s="23" t="e">
        <f t="shared" si="9"/>
        <v>#DIV/0!</v>
      </c>
      <c r="AG31" s="19">
        <f>'28'!G88</f>
        <v>0</v>
      </c>
      <c r="AH31" s="19">
        <f>'28'!G89</f>
        <v>0</v>
      </c>
      <c r="AI31" s="19">
        <f>'28'!G90</f>
        <v>0</v>
      </c>
      <c r="AJ31" s="19">
        <f t="shared" si="10"/>
        <v>0</v>
      </c>
      <c r="AK31" s="19">
        <f>'28'!G91</f>
        <v>0</v>
      </c>
      <c r="AL31" s="19">
        <f>'28'!G92</f>
        <v>0</v>
      </c>
      <c r="AM31" s="19"/>
      <c r="AN31" s="19">
        <f t="shared" si="11"/>
        <v>0</v>
      </c>
      <c r="AO31" s="52">
        <f>'28'!G74</f>
        <v>0</v>
      </c>
      <c r="AP31" s="55">
        <f>'28'!G35</f>
        <v>0</v>
      </c>
      <c r="AQ31" s="19">
        <f>'28'!G37</f>
        <v>0</v>
      </c>
      <c r="AR31" s="19">
        <f>'28'!G38</f>
        <v>0</v>
      </c>
      <c r="AS31" s="19">
        <f>'28'!G39</f>
        <v>0</v>
      </c>
      <c r="AT31" s="19">
        <f>'28'!G40</f>
        <v>0</v>
      </c>
      <c r="AU31" s="19">
        <f>'28'!G41</f>
        <v>0</v>
      </c>
      <c r="AV31" s="19">
        <f>'28'!G42</f>
        <v>0</v>
      </c>
      <c r="AW31" s="86">
        <f>'28'!G43</f>
        <v>0</v>
      </c>
      <c r="AX31" s="23">
        <f>'28'!G44</f>
        <v>0</v>
      </c>
      <c r="AY31" s="56">
        <f>'28'!G36</f>
        <v>0</v>
      </c>
      <c r="AZ31" s="55">
        <f>'28'!G49</f>
        <v>0</v>
      </c>
      <c r="BA31" s="19">
        <f>'28'!G51</f>
        <v>0</v>
      </c>
      <c r="BB31" s="19">
        <f>'28'!G52</f>
        <v>0</v>
      </c>
      <c r="BC31" s="19">
        <f>'28'!G53</f>
        <v>0</v>
      </c>
      <c r="BD31" s="19">
        <f>'28'!G54</f>
        <v>0</v>
      </c>
      <c r="BE31" s="19">
        <f>'28'!G55</f>
        <v>0</v>
      </c>
      <c r="BF31" s="19">
        <f>'28'!G56</f>
        <v>0</v>
      </c>
      <c r="BG31" s="19">
        <f>'28'!G57</f>
        <v>0</v>
      </c>
      <c r="BH31" s="56">
        <f>'28'!G50</f>
        <v>0</v>
      </c>
      <c r="BI31" s="60">
        <f t="shared" si="12"/>
        <v>0</v>
      </c>
      <c r="BJ31" s="60">
        <f>'28'!G133</f>
        <v>0</v>
      </c>
      <c r="BK31" s="23">
        <f>SUM(AP31,AU31,AV31,AW31,AZ31,BE31,BF31,BG31)/H31%</f>
        <v>0</v>
      </c>
      <c r="BL31" s="23">
        <f t="shared" si="14"/>
        <v>0</v>
      </c>
      <c r="BM31" s="24">
        <f t="shared" si="15"/>
        <v>0</v>
      </c>
      <c r="BN31" s="25">
        <f t="shared" si="16"/>
        <v>278225</v>
      </c>
      <c r="BO31" s="38">
        <f t="shared" si="17"/>
        <v>0</v>
      </c>
      <c r="BP31" t="e">
        <f t="shared" si="18"/>
        <v>#DIV/0!</v>
      </c>
    </row>
    <row r="32" spans="1:68" x14ac:dyDescent="0.25">
      <c r="A32" s="16">
        <v>29</v>
      </c>
      <c r="B32" s="26">
        <v>29</v>
      </c>
      <c r="C32" s="28"/>
      <c r="D32" s="19">
        <f>'29'!D3</f>
        <v>28</v>
      </c>
      <c r="E32" s="50">
        <f>'29'!D4</f>
        <v>0.9</v>
      </c>
      <c r="F32" s="50">
        <f>'29'!D2</f>
        <v>0.51</v>
      </c>
      <c r="G32" s="19">
        <f>'29'!G7</f>
        <v>23000</v>
      </c>
      <c r="H32" s="19">
        <f>'29'!G8</f>
        <v>23050</v>
      </c>
      <c r="I32" s="19">
        <v>9</v>
      </c>
      <c r="J32" s="49">
        <f t="shared" si="3"/>
        <v>207450</v>
      </c>
      <c r="K32" s="45">
        <f t="shared" si="4"/>
        <v>114.10891089108911</v>
      </c>
      <c r="L32" s="19">
        <f>'29'!G15</f>
        <v>875</v>
      </c>
      <c r="M32" s="19">
        <v>56.2</v>
      </c>
      <c r="N32" s="41">
        <f t="shared" si="5"/>
        <v>49175</v>
      </c>
      <c r="O32" s="19">
        <f>'29'!G20</f>
        <v>200</v>
      </c>
      <c r="P32" s="19">
        <v>108</v>
      </c>
      <c r="Q32" s="46">
        <f t="shared" si="0"/>
        <v>21600</v>
      </c>
      <c r="R32" s="47">
        <f t="shared" si="1"/>
        <v>194.13706076490001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0</v>
      </c>
      <c r="W32" s="22">
        <f>'29'!G66</f>
        <v>0</v>
      </c>
      <c r="X32" s="22">
        <f>'29'!G67</f>
        <v>0</v>
      </c>
      <c r="Y32" s="22">
        <f t="shared" si="7"/>
        <v>0</v>
      </c>
      <c r="Z32" s="19">
        <f>'29'!G84</f>
        <v>0</v>
      </c>
      <c r="AA32" s="19">
        <f>'29'!G85</f>
        <v>0</v>
      </c>
      <c r="AB32" s="19">
        <f>'29'!G86</f>
        <v>0</v>
      </c>
      <c r="AC32" s="19">
        <f>'29'!G87</f>
        <v>0</v>
      </c>
      <c r="AD32" s="19">
        <f t="shared" si="8"/>
        <v>0</v>
      </c>
      <c r="AE32" s="23">
        <f t="shared" si="2"/>
        <v>0</v>
      </c>
      <c r="AF32" s="23" t="e">
        <f t="shared" si="9"/>
        <v>#DIV/0!</v>
      </c>
      <c r="AG32" s="19">
        <f>'29'!G88</f>
        <v>0</v>
      </c>
      <c r="AH32" s="19">
        <f>'29'!G89</f>
        <v>0</v>
      </c>
      <c r="AI32" s="19">
        <f>'29'!G90</f>
        <v>0</v>
      </c>
      <c r="AJ32" s="19">
        <f t="shared" si="10"/>
        <v>0</v>
      </c>
      <c r="AK32" s="19">
        <f>'29'!G91</f>
        <v>0</v>
      </c>
      <c r="AL32" s="19">
        <f>'29'!G92</f>
        <v>0</v>
      </c>
      <c r="AM32" s="19"/>
      <c r="AN32" s="19">
        <f t="shared" si="11"/>
        <v>0</v>
      </c>
      <c r="AO32" s="52">
        <f>'29'!G74</f>
        <v>0</v>
      </c>
      <c r="AP32" s="55">
        <f>'29'!G35</f>
        <v>0</v>
      </c>
      <c r="AQ32" s="19">
        <f>'29'!G37</f>
        <v>0</v>
      </c>
      <c r="AR32" s="19">
        <f>'29'!G38</f>
        <v>0</v>
      </c>
      <c r="AS32" s="19">
        <f>'29'!G39</f>
        <v>0</v>
      </c>
      <c r="AT32" s="19">
        <f>'29'!G40</f>
        <v>0</v>
      </c>
      <c r="AU32" s="19">
        <f>'29'!G41</f>
        <v>0</v>
      </c>
      <c r="AV32" s="19">
        <f>'29'!G42</f>
        <v>0</v>
      </c>
      <c r="AW32" s="19">
        <f>'29'!G43</f>
        <v>0</v>
      </c>
      <c r="AX32" s="23">
        <f>'29'!G44</f>
        <v>0</v>
      </c>
      <c r="AY32" s="56">
        <f>'29'!G36</f>
        <v>0</v>
      </c>
      <c r="AZ32" s="55">
        <f>'29'!G49</f>
        <v>0</v>
      </c>
      <c r="BA32" s="19">
        <f>'29'!G51</f>
        <v>0</v>
      </c>
      <c r="BB32" s="19">
        <f>'29'!G52</f>
        <v>0</v>
      </c>
      <c r="BC32" s="19">
        <f>'29'!G53</f>
        <v>0</v>
      </c>
      <c r="BD32" s="19">
        <f>'29'!G54</f>
        <v>0</v>
      </c>
      <c r="BE32" s="19">
        <f>'29'!G55</f>
        <v>0</v>
      </c>
      <c r="BF32" s="19">
        <f>'29'!G56</f>
        <v>0</v>
      </c>
      <c r="BG32" s="19">
        <f>'29'!G57</f>
        <v>0</v>
      </c>
      <c r="BH32" s="56">
        <f>'29'!G50</f>
        <v>0</v>
      </c>
      <c r="BI32" s="60">
        <f t="shared" si="12"/>
        <v>0</v>
      </c>
      <c r="BJ32" s="60">
        <f>'29'!G133</f>
        <v>0</v>
      </c>
      <c r="BK32" s="23">
        <f t="shared" si="13"/>
        <v>0</v>
      </c>
      <c r="BL32" s="23">
        <f t="shared" si="14"/>
        <v>0</v>
      </c>
      <c r="BM32" s="24">
        <f t="shared" si="15"/>
        <v>0</v>
      </c>
      <c r="BN32" s="25">
        <f t="shared" si="16"/>
        <v>278225</v>
      </c>
      <c r="BO32" s="38">
        <f t="shared" si="17"/>
        <v>0</v>
      </c>
      <c r="BP32" t="e">
        <f t="shared" si="18"/>
        <v>#DIV/0!</v>
      </c>
    </row>
    <row r="33" spans="1:68" x14ac:dyDescent="0.25">
      <c r="A33" s="16">
        <v>30</v>
      </c>
      <c r="B33" s="27">
        <v>30</v>
      </c>
      <c r="C33" s="28"/>
      <c r="D33" s="19">
        <f>'30'!D3</f>
        <v>28</v>
      </c>
      <c r="E33" s="50">
        <f>'30'!D4</f>
        <v>0.9</v>
      </c>
      <c r="F33" s="50">
        <f>'30'!D2</f>
        <v>0.51</v>
      </c>
      <c r="G33" s="19">
        <f>'30'!G7</f>
        <v>23000</v>
      </c>
      <c r="H33" s="19">
        <f>'30'!G8</f>
        <v>23050</v>
      </c>
      <c r="I33" s="19">
        <v>9</v>
      </c>
      <c r="J33" s="49">
        <f t="shared" si="3"/>
        <v>207450</v>
      </c>
      <c r="K33" s="45">
        <f t="shared" si="4"/>
        <v>114.10891089108911</v>
      </c>
      <c r="L33" s="19">
        <f>'30'!G15</f>
        <v>875</v>
      </c>
      <c r="M33" s="19">
        <v>56.2</v>
      </c>
      <c r="N33" s="41">
        <f t="shared" si="5"/>
        <v>49175</v>
      </c>
      <c r="O33" s="19">
        <f>'30'!G20</f>
        <v>200</v>
      </c>
      <c r="P33" s="19">
        <v>108</v>
      </c>
      <c r="Q33" s="46">
        <f t="shared" si="0"/>
        <v>21600</v>
      </c>
      <c r="R33" s="47">
        <f t="shared" si="1"/>
        <v>194.13706076490001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0</v>
      </c>
      <c r="W33" s="22">
        <f>'30'!G66</f>
        <v>0</v>
      </c>
      <c r="X33" s="22">
        <f>'30'!G67</f>
        <v>0</v>
      </c>
      <c r="Y33" s="22">
        <f t="shared" si="7"/>
        <v>0</v>
      </c>
      <c r="Z33" s="19">
        <f>'30'!G84</f>
        <v>0</v>
      </c>
      <c r="AA33" s="19">
        <f>'30'!G85</f>
        <v>0</v>
      </c>
      <c r="AB33" s="19">
        <f>'30'!G86</f>
        <v>0</v>
      </c>
      <c r="AC33" s="19">
        <f>'30'!G87</f>
        <v>0</v>
      </c>
      <c r="AD33" s="19">
        <f t="shared" si="8"/>
        <v>0</v>
      </c>
      <c r="AE33" s="23">
        <f t="shared" si="2"/>
        <v>0</v>
      </c>
      <c r="AF33" s="23" t="e">
        <f t="shared" si="9"/>
        <v>#DIV/0!</v>
      </c>
      <c r="AG33" s="19">
        <f>'30'!G88</f>
        <v>0</v>
      </c>
      <c r="AH33" s="19">
        <f>'30'!G89</f>
        <v>0</v>
      </c>
      <c r="AI33" s="19">
        <f>'30'!G90</f>
        <v>0</v>
      </c>
      <c r="AJ33" s="19">
        <f t="shared" si="10"/>
        <v>0</v>
      </c>
      <c r="AK33" s="19">
        <f>'30'!G91</f>
        <v>0</v>
      </c>
      <c r="AL33" s="19">
        <f>'30'!G92</f>
        <v>0</v>
      </c>
      <c r="AM33" s="19"/>
      <c r="AN33" s="19">
        <f t="shared" si="11"/>
        <v>0</v>
      </c>
      <c r="AO33" s="52">
        <f>'30'!G74</f>
        <v>0</v>
      </c>
      <c r="AP33" s="55">
        <f>'30'!G35</f>
        <v>0</v>
      </c>
      <c r="AQ33" s="19">
        <f>'30'!G37</f>
        <v>0</v>
      </c>
      <c r="AR33" s="19">
        <f>'30'!G38</f>
        <v>0</v>
      </c>
      <c r="AS33" s="19">
        <f>'30'!G39</f>
        <v>0</v>
      </c>
      <c r="AT33" s="19">
        <f>'30'!G40</f>
        <v>0</v>
      </c>
      <c r="AU33" s="19">
        <f>'30'!G41</f>
        <v>0</v>
      </c>
      <c r="AV33" s="19">
        <f>'30'!G42</f>
        <v>0</v>
      </c>
      <c r="AW33" s="19">
        <f>'30'!G43</f>
        <v>0</v>
      </c>
      <c r="AX33" s="23">
        <f>'30'!G44</f>
        <v>0</v>
      </c>
      <c r="AY33" s="56">
        <f>'30'!G36</f>
        <v>0</v>
      </c>
      <c r="AZ33" s="55">
        <f>'30'!G49</f>
        <v>0</v>
      </c>
      <c r="BA33" s="19">
        <f>'30'!G51</f>
        <v>0</v>
      </c>
      <c r="BB33" s="19">
        <f>'30'!G52</f>
        <v>0</v>
      </c>
      <c r="BC33" s="19">
        <f>'30'!G53</f>
        <v>0</v>
      </c>
      <c r="BD33" s="19">
        <f>'30'!G54</f>
        <v>0</v>
      </c>
      <c r="BE33" s="19">
        <f>'30'!G55</f>
        <v>0</v>
      </c>
      <c r="BF33" s="19">
        <f>'30'!G56</f>
        <v>0</v>
      </c>
      <c r="BG33" s="19">
        <f>'30'!G57</f>
        <v>0</v>
      </c>
      <c r="BH33" s="56">
        <f>'30'!G50</f>
        <v>0</v>
      </c>
      <c r="BI33" s="60">
        <f t="shared" ref="BI33" si="19">SUM(AU33,AV33,BE33,BF33)</f>
        <v>0</v>
      </c>
      <c r="BJ33" s="60">
        <f>'30'!G133</f>
        <v>0</v>
      </c>
      <c r="BK33" s="23">
        <f t="shared" si="13"/>
        <v>0</v>
      </c>
      <c r="BL33" s="23">
        <f t="shared" si="14"/>
        <v>0</v>
      </c>
      <c r="BM33" s="24">
        <f t="shared" si="15"/>
        <v>0</v>
      </c>
      <c r="BN33" s="25">
        <f t="shared" si="16"/>
        <v>278225</v>
      </c>
      <c r="BO33" s="38">
        <f t="shared" si="17"/>
        <v>0</v>
      </c>
      <c r="BP33" t="e">
        <f t="shared" si="18"/>
        <v>#DIV/0!</v>
      </c>
    </row>
    <row r="34" spans="1:68" x14ac:dyDescent="0.25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28</v>
      </c>
      <c r="G34" s="19">
        <f>'31'!G7</f>
        <v>23000</v>
      </c>
      <c r="H34" s="19">
        <f>'31'!G8</f>
        <v>23050</v>
      </c>
      <c r="I34" s="19">
        <v>9</v>
      </c>
      <c r="J34" s="49">
        <f t="shared" si="3"/>
        <v>207450</v>
      </c>
      <c r="K34" s="45">
        <f t="shared" ref="K34" si="20">H34/202</f>
        <v>114.10891089108911</v>
      </c>
      <c r="L34" s="19">
        <f>'31'!G15</f>
        <v>875</v>
      </c>
      <c r="M34" s="19">
        <v>56.2</v>
      </c>
      <c r="N34" s="41">
        <f t="shared" ref="N34" si="21">L34*M34</f>
        <v>49175</v>
      </c>
      <c r="O34" s="19">
        <f>'31'!G20</f>
        <v>200</v>
      </c>
      <c r="P34" s="19">
        <v>108</v>
      </c>
      <c r="Q34" s="46">
        <f t="shared" ref="Q34" si="22">O34*P34</f>
        <v>21600</v>
      </c>
      <c r="R34" s="47">
        <f t="shared" si="1"/>
        <v>3.536067892503536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0</v>
      </c>
      <c r="W34" s="22">
        <f>'31'!G66</f>
        <v>0</v>
      </c>
      <c r="X34" s="22">
        <f>'31'!G67</f>
        <v>0</v>
      </c>
      <c r="Y34" s="22">
        <f t="shared" ref="Y34" si="24">V34+W34+X34</f>
        <v>0</v>
      </c>
      <c r="Z34" s="19">
        <f>'31'!G84</f>
        <v>0</v>
      </c>
      <c r="AA34" s="19">
        <f>'31'!G85</f>
        <v>0</v>
      </c>
      <c r="AB34" s="19">
        <f>'31'!G86</f>
        <v>0</v>
      </c>
      <c r="AC34" s="19">
        <f>'31'!G87</f>
        <v>0</v>
      </c>
      <c r="AD34" s="19">
        <f t="shared" ref="AD34" si="25">Z34+AA34+AB34+AC34</f>
        <v>0</v>
      </c>
      <c r="AE34" s="23">
        <f t="shared" ref="AE34" si="26">AU34+AV34+BE34+BF34</f>
        <v>0</v>
      </c>
      <c r="AF34" s="23" t="e">
        <f t="shared" ref="AF34" si="27">AE34/AD34</f>
        <v>#DIV/0!</v>
      </c>
      <c r="AG34" s="19">
        <f>'31'!G88</f>
        <v>0</v>
      </c>
      <c r="AH34" s="19">
        <f>'31'!G89</f>
        <v>0</v>
      </c>
      <c r="AI34" s="19">
        <f>'31'!G90</f>
        <v>0</v>
      </c>
      <c r="AJ34" s="19">
        <f t="shared" ref="AJ34" si="28">AG34+AH34+AI34</f>
        <v>0</v>
      </c>
      <c r="AK34" s="19">
        <f>'31'!G91</f>
        <v>0</v>
      </c>
      <c r="AL34" s="19">
        <f>'31'!G92</f>
        <v>0</v>
      </c>
      <c r="AM34" s="19"/>
      <c r="AN34" s="19">
        <f t="shared" ref="AN34" si="29">AK34+AL34</f>
        <v>0</v>
      </c>
      <c r="AO34" s="52">
        <f>'31'!G74</f>
        <v>0</v>
      </c>
      <c r="AP34" s="55">
        <f>'31'!G35</f>
        <v>0</v>
      </c>
      <c r="AQ34" s="19">
        <f>'31'!G37</f>
        <v>0</v>
      </c>
      <c r="AR34" s="19">
        <f>'31'!G38</f>
        <v>0</v>
      </c>
      <c r="AS34" s="19">
        <f>'31'!G39</f>
        <v>0</v>
      </c>
      <c r="AT34" s="19">
        <f>'31'!G40</f>
        <v>0</v>
      </c>
      <c r="AU34" s="19">
        <f>'31'!G41</f>
        <v>0</v>
      </c>
      <c r="AV34" s="19">
        <f>'31'!G42</f>
        <v>0</v>
      </c>
      <c r="AW34" s="19">
        <f>'31'!G43</f>
        <v>0</v>
      </c>
      <c r="AX34" s="23">
        <f>'31'!G44</f>
        <v>0</v>
      </c>
      <c r="AY34" s="56">
        <f>'31'!G36</f>
        <v>0</v>
      </c>
      <c r="AZ34" s="55">
        <f>'31'!G49</f>
        <v>0</v>
      </c>
      <c r="BA34" s="19">
        <f>'31'!G51</f>
        <v>0</v>
      </c>
      <c r="BB34" s="19">
        <f>'31'!G52</f>
        <v>0</v>
      </c>
      <c r="BC34" s="19">
        <f>'31'!G53</f>
        <v>0</v>
      </c>
      <c r="BD34" s="19">
        <f>'31'!G54</f>
        <v>0</v>
      </c>
      <c r="BE34" s="19">
        <f>'31'!G55</f>
        <v>0</v>
      </c>
      <c r="BF34" s="19">
        <f>'31'!G56</f>
        <v>0</v>
      </c>
      <c r="BG34" s="19">
        <f>'31'!G57</f>
        <v>0</v>
      </c>
      <c r="BH34" s="56">
        <f>'31'!G50</f>
        <v>0</v>
      </c>
      <c r="BI34" s="60">
        <f t="shared" ref="BI34" si="30">SUM(AU34,AV34,BE34,BF34)</f>
        <v>0</v>
      </c>
      <c r="BJ34" s="60">
        <f>'31'!G133</f>
        <v>0</v>
      </c>
      <c r="BK34" s="23">
        <f t="shared" ref="BK34" si="31">SUM(AP34,AU34,AV34,AW34,AZ34,BE34,BF34,BG34)/H34%</f>
        <v>0</v>
      </c>
      <c r="BL34" s="23">
        <f t="shared" ref="BL34" si="32">SUM(AS34,BC34)/H34%</f>
        <v>0</v>
      </c>
      <c r="BM34" s="24">
        <f t="shared" ref="BM34" si="33">(AR34+BB34)/H34</f>
        <v>0</v>
      </c>
      <c r="BN34" s="25">
        <f t="shared" ref="BN34" si="34">J34+N34+Q34+U34</f>
        <v>278225</v>
      </c>
      <c r="BO34" s="38">
        <f t="shared" ref="BO34" si="35">SUM(AU34,AV34,AW34,BE34,BF34,BG34,BJ34)</f>
        <v>0</v>
      </c>
      <c r="BP34" t="e">
        <f t="shared" ref="BP34" si="36">BO34/(AD34*280)</f>
        <v>#DIV/0!</v>
      </c>
    </row>
    <row r="35" spans="1:68" x14ac:dyDescent="0.25">
      <c r="A35" s="16" t="s">
        <v>196</v>
      </c>
      <c r="B35" s="30"/>
      <c r="C35" s="31"/>
      <c r="D35" s="32">
        <f>AVERAGE(D4:D34)</f>
        <v>27.93548387096774</v>
      </c>
      <c r="E35" s="33"/>
      <c r="F35" s="73">
        <f>AVERAGE(F4:F34)</f>
        <v>1.4922387096774192</v>
      </c>
      <c r="G35" s="34">
        <f>SUM(G4:G34)</f>
        <v>717937.06999999983</v>
      </c>
      <c r="H35" s="34">
        <f t="shared" ref="H35:BN35" si="37">SUM(H4:H34)</f>
        <v>724512.75</v>
      </c>
      <c r="I35" s="19">
        <v>9</v>
      </c>
      <c r="J35" s="34">
        <f t="shared" si="37"/>
        <v>6520614.75</v>
      </c>
      <c r="K35" s="34">
        <f t="shared" si="37"/>
        <v>3586.6967821782182</v>
      </c>
      <c r="L35" s="34">
        <f t="shared" si="37"/>
        <v>29159.882999999914</v>
      </c>
      <c r="M35" s="34">
        <f t="shared" si="37"/>
        <v>1742.200000000001</v>
      </c>
      <c r="N35" s="34">
        <f t="shared" si="37"/>
        <v>1638785.4245999954</v>
      </c>
      <c r="O35" s="34">
        <f t="shared" si="37"/>
        <v>7113</v>
      </c>
      <c r="P35" s="34">
        <f t="shared" si="37"/>
        <v>3348</v>
      </c>
      <c r="Q35" s="34">
        <f t="shared" si="37"/>
        <v>768204</v>
      </c>
      <c r="R35" s="34">
        <f t="shared" si="37"/>
        <v>5811.2313357342682</v>
      </c>
      <c r="S35" s="34">
        <f t="shared" si="37"/>
        <v>0</v>
      </c>
      <c r="T35" s="34">
        <f t="shared" si="37"/>
        <v>2140</v>
      </c>
      <c r="U35" s="34">
        <f t="shared" si="37"/>
        <v>0</v>
      </c>
      <c r="V35" s="34">
        <f t="shared" si="37"/>
        <v>417265</v>
      </c>
      <c r="W35" s="34">
        <f t="shared" si="37"/>
        <v>-1732</v>
      </c>
      <c r="X35" s="34">
        <f t="shared" si="37"/>
        <v>-2308</v>
      </c>
      <c r="Y35" s="34">
        <f t="shared" si="37"/>
        <v>413225</v>
      </c>
      <c r="Z35" s="34">
        <f t="shared" si="37"/>
        <v>-774.19000000000233</v>
      </c>
      <c r="AA35" s="34">
        <f t="shared" si="37"/>
        <v>-761.45</v>
      </c>
      <c r="AB35" s="34">
        <f t="shared" si="37"/>
        <v>-8.4700000000011642</v>
      </c>
      <c r="AC35" s="34">
        <f t="shared" si="37"/>
        <v>-921.2300000000032</v>
      </c>
      <c r="AD35" s="34">
        <f t="shared" si="37"/>
        <v>-2465.3400000000065</v>
      </c>
      <c r="AE35" s="34">
        <f t="shared" si="37"/>
        <v>-535950.2100000002</v>
      </c>
      <c r="AF35" s="34" t="e">
        <f t="shared" si="37"/>
        <v>#DIV/0!</v>
      </c>
      <c r="AG35" s="34">
        <f t="shared" si="37"/>
        <v>-580.34000000000015</v>
      </c>
      <c r="AH35" s="34">
        <f t="shared" si="37"/>
        <v>-163.57300000000032</v>
      </c>
      <c r="AI35" s="34">
        <f t="shared" si="37"/>
        <v>-72.10999999998603</v>
      </c>
      <c r="AJ35" s="34">
        <f t="shared" si="37"/>
        <v>-816.0229999999865</v>
      </c>
      <c r="AK35" s="34">
        <f t="shared" si="37"/>
        <v>-779.37999999999965</v>
      </c>
      <c r="AL35" s="34">
        <f t="shared" si="37"/>
        <v>-8.4600000000000364</v>
      </c>
      <c r="AM35" s="34">
        <f t="shared" si="37"/>
        <v>0</v>
      </c>
      <c r="AN35" s="34">
        <f t="shared" si="37"/>
        <v>-787.83999999999969</v>
      </c>
      <c r="AO35" s="34">
        <f t="shared" si="37"/>
        <v>-21567.869999999995</v>
      </c>
      <c r="AP35" s="34">
        <f t="shared" si="37"/>
        <v>2111685.6</v>
      </c>
      <c r="AQ35" s="34">
        <f t="shared" si="37"/>
        <v>-131866.87</v>
      </c>
      <c r="AR35" s="34">
        <f t="shared" si="37"/>
        <v>-137077.6</v>
      </c>
      <c r="AS35" s="34">
        <f t="shared" si="37"/>
        <v>958234.97</v>
      </c>
      <c r="AT35" s="34">
        <f t="shared" si="37"/>
        <v>69191.77</v>
      </c>
      <c r="AU35" s="34">
        <f t="shared" si="37"/>
        <v>-177234.68000000011</v>
      </c>
      <c r="AV35" s="34">
        <f t="shared" si="37"/>
        <v>-162623.49</v>
      </c>
      <c r="AW35" s="34">
        <f t="shared" si="37"/>
        <v>-191251.19999999995</v>
      </c>
      <c r="AX35" s="34">
        <f t="shared" si="37"/>
        <v>0</v>
      </c>
      <c r="AY35" s="34">
        <f t="shared" si="37"/>
        <v>-57914.1</v>
      </c>
      <c r="AZ35" s="34">
        <f t="shared" si="37"/>
        <v>596649.56000000006</v>
      </c>
      <c r="BA35" s="34">
        <f t="shared" si="37"/>
        <v>289280</v>
      </c>
      <c r="BB35" s="34">
        <f t="shared" si="37"/>
        <v>1079212</v>
      </c>
      <c r="BC35" s="34">
        <f t="shared" si="37"/>
        <v>868464</v>
      </c>
      <c r="BD35" s="34">
        <f t="shared" si="37"/>
        <v>24399.77</v>
      </c>
      <c r="BE35" s="34">
        <f t="shared" si="37"/>
        <v>-2059.4899999999907</v>
      </c>
      <c r="BF35" s="34">
        <f t="shared" si="37"/>
        <v>-194032.55000000005</v>
      </c>
      <c r="BG35" s="34">
        <f t="shared" si="37"/>
        <v>15422</v>
      </c>
      <c r="BH35" s="34">
        <f t="shared" si="37"/>
        <v>-93045.949999999953</v>
      </c>
      <c r="BI35" s="34">
        <f t="shared" si="37"/>
        <v>-535950.2100000002</v>
      </c>
      <c r="BJ35" s="34">
        <f t="shared" si="37"/>
        <v>-46179.41</v>
      </c>
      <c r="BK35" s="34">
        <f t="shared" si="37"/>
        <v>8637.218108758716</v>
      </c>
      <c r="BL35" s="34">
        <f t="shared" si="37"/>
        <v>7917.5121611950281</v>
      </c>
      <c r="BM35" s="34">
        <f t="shared" si="37"/>
        <v>40.840357954959551</v>
      </c>
      <c r="BN35" s="34">
        <f t="shared" si="37"/>
        <v>8927604.174599994</v>
      </c>
      <c r="BO35" s="38">
        <f t="shared" si="17"/>
        <v>-757958.82000000018</v>
      </c>
      <c r="BP35">
        <f t="shared" si="18"/>
        <v>1.0980212813300718</v>
      </c>
    </row>
    <row r="36" spans="1:68" x14ac:dyDescent="0.25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0</v>
      </c>
      <c r="E36" s="35">
        <f t="shared" si="38"/>
        <v>-1.0000000000000009E-2</v>
      </c>
      <c r="F36" s="35">
        <f t="shared" si="38"/>
        <v>0.10999999999999999</v>
      </c>
      <c r="G36" s="35"/>
      <c r="H36" s="35">
        <f t="shared" ref="H36:AN36" si="39">H18-H17</f>
        <v>-1474</v>
      </c>
      <c r="I36" s="35">
        <f t="shared" si="39"/>
        <v>0</v>
      </c>
      <c r="J36" s="42">
        <f t="shared" si="39"/>
        <v>-13266</v>
      </c>
      <c r="K36" s="42">
        <f t="shared" si="39"/>
        <v>-7.297029702970292</v>
      </c>
      <c r="L36" s="35">
        <f t="shared" si="39"/>
        <v>-56</v>
      </c>
      <c r="M36" s="35">
        <f t="shared" si="39"/>
        <v>0</v>
      </c>
      <c r="N36" s="42">
        <f t="shared" si="39"/>
        <v>-3147.1999999999971</v>
      </c>
      <c r="O36" s="35">
        <f t="shared" si="39"/>
        <v>28</v>
      </c>
      <c r="P36" s="35">
        <f t="shared" si="39"/>
        <v>0</v>
      </c>
      <c r="Q36" s="42">
        <f t="shared" si="39"/>
        <v>3024</v>
      </c>
      <c r="R36" s="42">
        <f t="shared" si="39"/>
        <v>-11.974684151223812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31</v>
      </c>
      <c r="W36" s="35">
        <f t="shared" si="39"/>
        <v>-1</v>
      </c>
      <c r="X36" s="35">
        <f t="shared" si="39"/>
        <v>10</v>
      </c>
      <c r="Y36" s="35">
        <f t="shared" si="39"/>
        <v>40</v>
      </c>
      <c r="Z36" s="35">
        <f t="shared" si="39"/>
        <v>9</v>
      </c>
      <c r="AA36" s="35">
        <f t="shared" si="39"/>
        <v>-9</v>
      </c>
      <c r="AB36" s="35">
        <f t="shared" si="39"/>
        <v>0</v>
      </c>
      <c r="AC36" s="35">
        <f t="shared" si="39"/>
        <v>-2</v>
      </c>
      <c r="AD36" s="35">
        <f t="shared" si="39"/>
        <v>-2</v>
      </c>
      <c r="AE36" s="35">
        <f t="shared" si="39"/>
        <v>-1283</v>
      </c>
      <c r="AF36" s="35">
        <f t="shared" si="39"/>
        <v>-25.560661764705884</v>
      </c>
      <c r="AG36" s="35">
        <f t="shared" si="39"/>
        <v>0.31999999999607098</v>
      </c>
      <c r="AH36" s="35">
        <f t="shared" si="39"/>
        <v>0</v>
      </c>
      <c r="AI36" s="35">
        <f t="shared" si="39"/>
        <v>-5.430000000007567</v>
      </c>
      <c r="AJ36" s="35">
        <f t="shared" si="39"/>
        <v>-5.110000000011496</v>
      </c>
      <c r="AK36" s="35">
        <f t="shared" si="39"/>
        <v>-5.9999999999490683E-2</v>
      </c>
      <c r="AL36" s="35">
        <f t="shared" si="39"/>
        <v>0</v>
      </c>
      <c r="AM36" s="35">
        <f t="shared" si="39"/>
        <v>0</v>
      </c>
      <c r="AN36" s="35">
        <f t="shared" si="39"/>
        <v>-5.9999999999490683E-2</v>
      </c>
      <c r="AO36" s="35"/>
      <c r="AP36" s="35">
        <f t="shared" ref="AP36:AW36" si="40">AP18-AP17</f>
        <v>0</v>
      </c>
      <c r="AQ36" s="35">
        <f t="shared" si="40"/>
        <v>-9</v>
      </c>
      <c r="AR36" s="35">
        <f t="shared" si="40"/>
        <v>-9</v>
      </c>
      <c r="AS36" s="35">
        <f t="shared" si="40"/>
        <v>-57</v>
      </c>
      <c r="AT36" s="35">
        <f t="shared" si="40"/>
        <v>7</v>
      </c>
      <c r="AU36" s="35">
        <f t="shared" si="40"/>
        <v>1850</v>
      </c>
      <c r="AV36" s="35">
        <f t="shared" si="40"/>
        <v>-2145</v>
      </c>
      <c r="AW36" s="35">
        <f t="shared" si="40"/>
        <v>-145</v>
      </c>
      <c r="AX36" s="35"/>
      <c r="AY36" s="35"/>
      <c r="AZ36" s="35">
        <f t="shared" ref="AZ36:BG36" si="41">AZ18-AZ17</f>
        <v>-277</v>
      </c>
      <c r="BA36" s="35">
        <f t="shared" si="41"/>
        <v>0</v>
      </c>
      <c r="BB36" s="35">
        <f t="shared" si="41"/>
        <v>0</v>
      </c>
      <c r="BC36" s="35">
        <f t="shared" si="41"/>
        <v>0</v>
      </c>
      <c r="BD36" s="35">
        <f t="shared" si="41"/>
        <v>0</v>
      </c>
      <c r="BE36" s="35">
        <f t="shared" si="41"/>
        <v>0</v>
      </c>
      <c r="BF36" s="35">
        <f t="shared" si="41"/>
        <v>-988</v>
      </c>
      <c r="BG36" s="35">
        <f t="shared" si="41"/>
        <v>0</v>
      </c>
      <c r="BH36" s="35"/>
      <c r="BI36" s="35"/>
      <c r="BJ36" s="35"/>
      <c r="BK36" s="35">
        <f>BK18-BK17</f>
        <v>-3.6752559659708552</v>
      </c>
      <c r="BL36" s="35">
        <f>BL18-BL17</f>
        <v>0.85412903601230283</v>
      </c>
      <c r="BM36" s="35"/>
      <c r="BN36" s="35">
        <f>BN18-BN17</f>
        <v>-13389.200000000012</v>
      </c>
      <c r="BO36" s="35">
        <f>BO18-BO17</f>
        <v>-1463</v>
      </c>
    </row>
    <row r="37" spans="1:68" x14ac:dyDescent="0.25">
      <c r="F37" s="38">
        <f>AVERAGE(F4:F35)</f>
        <v>1.4922387096774192</v>
      </c>
      <c r="G37" s="38"/>
      <c r="H37" s="38">
        <f>AVERAGE(H4:H35)</f>
        <v>45282.046875</v>
      </c>
    </row>
    <row r="38" spans="1:68" x14ac:dyDescent="0.25">
      <c r="B38" s="36" t="s">
        <v>66</v>
      </c>
      <c r="F38" s="72">
        <f>AVERAGE(F4:F35)</f>
        <v>1.4922387096774192</v>
      </c>
      <c r="G38" s="72"/>
    </row>
    <row r="41" spans="1:68" x14ac:dyDescent="0.25">
      <c r="BI41">
        <f>(BI31+BJ31)/400</f>
        <v>0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topLeftCell="A2" workbookViewId="0">
      <selection activeCell="F19" sqref="F19"/>
    </sheetView>
  </sheetViews>
  <sheetFormatPr defaultRowHeight="15.75" x14ac:dyDescent="0.25"/>
  <cols>
    <col min="2" max="2" width="8.5546875" style="279" customWidth="1"/>
    <col min="3" max="3" width="7.44140625" style="279" customWidth="1"/>
    <col min="4" max="4" width="7.5546875" style="279" customWidth="1"/>
    <col min="5" max="5" width="7.88671875" style="279" customWidth="1"/>
    <col min="6" max="6" width="8.6640625" style="279" customWidth="1"/>
    <col min="8" max="8" width="7.5546875" customWidth="1"/>
  </cols>
  <sheetData>
    <row r="1" spans="1:17" ht="47.25" x14ac:dyDescent="0.25">
      <c r="A1" s="249"/>
      <c r="B1" s="284" t="s">
        <v>313</v>
      </c>
      <c r="C1" s="284" t="s">
        <v>271</v>
      </c>
      <c r="D1" s="284" t="s">
        <v>272</v>
      </c>
      <c r="E1" s="284" t="s">
        <v>274</v>
      </c>
      <c r="F1" s="284" t="s">
        <v>273</v>
      </c>
      <c r="G1" s="287" t="s">
        <v>275</v>
      </c>
      <c r="H1" s="316" t="s">
        <v>310</v>
      </c>
      <c r="J1" s="590" t="s">
        <v>355</v>
      </c>
    </row>
    <row r="2" spans="1:17" x14ac:dyDescent="0.25">
      <c r="A2" s="249">
        <v>1</v>
      </c>
      <c r="B2" s="591">
        <f>C2/202%</f>
        <v>76.732673267326732</v>
      </c>
      <c r="C2" s="591">
        <v>155</v>
      </c>
      <c r="D2" s="591">
        <v>16</v>
      </c>
      <c r="E2" s="591">
        <f>SUM(C2:D2)/202%</f>
        <v>84.653465346534659</v>
      </c>
      <c r="F2" s="592">
        <v>687</v>
      </c>
      <c r="G2" s="592">
        <f>C2+D2</f>
        <v>171</v>
      </c>
      <c r="H2" s="593">
        <f>C2/202%</f>
        <v>76.732673267326732</v>
      </c>
      <c r="I2" s="594"/>
      <c r="J2" s="593">
        <f>'Section Load'!C5/G2</f>
        <v>131.17076023391786</v>
      </c>
      <c r="K2">
        <f>10/202</f>
        <v>4.9504950495049507E-2</v>
      </c>
    </row>
    <row r="3" spans="1:17" x14ac:dyDescent="0.25">
      <c r="A3" s="249">
        <v>2</v>
      </c>
      <c r="B3" s="591">
        <f t="shared" ref="B3:B32" si="0">C3/202%</f>
        <v>79.207920792079207</v>
      </c>
      <c r="C3" s="591">
        <v>160</v>
      </c>
      <c r="D3" s="591">
        <v>16</v>
      </c>
      <c r="E3" s="591">
        <f t="shared" ref="E3:E5" si="1">SUM(C3:D3)/202%</f>
        <v>87.128712871287135</v>
      </c>
      <c r="F3" s="592">
        <v>739</v>
      </c>
      <c r="G3" s="592">
        <f t="shared" ref="G3:G31" si="2">C3+D3</f>
        <v>176</v>
      </c>
      <c r="H3" s="593">
        <f t="shared" ref="H3:H32" si="3">C3/202%</f>
        <v>79.207920792079207</v>
      </c>
      <c r="I3" s="594"/>
      <c r="J3" s="593">
        <f>'Section Load'!C6/G3</f>
        <v>129.30681818181819</v>
      </c>
    </row>
    <row r="4" spans="1:17" x14ac:dyDescent="0.25">
      <c r="A4" s="249">
        <v>3</v>
      </c>
      <c r="B4" s="591">
        <f t="shared" si="0"/>
        <v>54.950495049504951</v>
      </c>
      <c r="C4" s="591">
        <v>111</v>
      </c>
      <c r="D4" s="591">
        <v>16</v>
      </c>
      <c r="E4" s="591">
        <f t="shared" si="1"/>
        <v>62.871287128712872</v>
      </c>
      <c r="F4" s="592">
        <v>601</v>
      </c>
      <c r="G4" s="592">
        <f t="shared" si="2"/>
        <v>127</v>
      </c>
      <c r="H4" s="593">
        <f t="shared" si="3"/>
        <v>54.950495049504951</v>
      </c>
      <c r="I4" s="594"/>
      <c r="J4" s="593">
        <f>'Section Load'!C7/G4</f>
        <v>184.51417322834646</v>
      </c>
      <c r="Q4" s="613">
        <f>C2/202</f>
        <v>0.76732673267326734</v>
      </c>
    </row>
    <row r="5" spans="1:17" x14ac:dyDescent="0.25">
      <c r="A5" s="249">
        <v>4</v>
      </c>
      <c r="B5" s="591">
        <f t="shared" si="0"/>
        <v>68.811881188118818</v>
      </c>
      <c r="C5" s="591">
        <v>139</v>
      </c>
      <c r="D5" s="591">
        <v>14</v>
      </c>
      <c r="E5" s="591">
        <f t="shared" si="1"/>
        <v>75.742574257425744</v>
      </c>
      <c r="F5" s="592">
        <v>576</v>
      </c>
      <c r="G5" s="592">
        <f t="shared" si="2"/>
        <v>153</v>
      </c>
      <c r="H5" s="593">
        <f t="shared" si="3"/>
        <v>68.811881188118818</v>
      </c>
      <c r="I5" s="594"/>
      <c r="J5" s="593">
        <f>'Section Load'!C8/G5</f>
        <v>155.90026143790854</v>
      </c>
    </row>
    <row r="6" spans="1:17" x14ac:dyDescent="0.25">
      <c r="A6" s="249">
        <v>5</v>
      </c>
      <c r="B6" s="591">
        <f t="shared" si="0"/>
        <v>74.752475247524757</v>
      </c>
      <c r="C6" s="591">
        <v>151</v>
      </c>
      <c r="D6" s="591">
        <v>12</v>
      </c>
      <c r="E6" s="591">
        <f t="shared" ref="E6:E31" si="4">SUM(C6:D6)/202%</f>
        <v>80.693069306930695</v>
      </c>
      <c r="F6" s="592">
        <v>466</v>
      </c>
      <c r="G6" s="592">
        <f t="shared" si="2"/>
        <v>163</v>
      </c>
      <c r="H6" s="593">
        <f t="shared" si="3"/>
        <v>74.752475247524757</v>
      </c>
      <c r="I6" s="594"/>
      <c r="J6" s="593">
        <f>'Section Load'!C9/G6</f>
        <v>157.61815950920243</v>
      </c>
    </row>
    <row r="7" spans="1:17" x14ac:dyDescent="0.25">
      <c r="A7" s="249">
        <v>6</v>
      </c>
      <c r="B7" s="591">
        <f t="shared" si="0"/>
        <v>72.277227722772281</v>
      </c>
      <c r="C7" s="591">
        <v>146</v>
      </c>
      <c r="D7" s="591">
        <v>12</v>
      </c>
      <c r="E7" s="591">
        <f t="shared" si="4"/>
        <v>78.21782178217822</v>
      </c>
      <c r="F7" s="592">
        <v>556</v>
      </c>
      <c r="G7" s="592">
        <f t="shared" si="2"/>
        <v>158</v>
      </c>
      <c r="H7" s="593">
        <f t="shared" si="3"/>
        <v>72.277227722772281</v>
      </c>
      <c r="I7" s="594"/>
      <c r="J7" s="593">
        <f>'Section Load'!C10/G7</f>
        <v>153.1139240506329</v>
      </c>
    </row>
    <row r="8" spans="1:17" x14ac:dyDescent="0.25">
      <c r="A8" s="249">
        <v>7</v>
      </c>
      <c r="B8" s="591">
        <f t="shared" si="0"/>
        <v>75.247524752475243</v>
      </c>
      <c r="C8" s="591">
        <v>152</v>
      </c>
      <c r="D8" s="591">
        <v>12</v>
      </c>
      <c r="E8" s="591">
        <f t="shared" si="4"/>
        <v>81.188118811881182</v>
      </c>
      <c r="F8" s="592">
        <v>953</v>
      </c>
      <c r="G8" s="592">
        <f t="shared" si="2"/>
        <v>164</v>
      </c>
      <c r="H8" s="593">
        <f t="shared" si="3"/>
        <v>75.247524752475243</v>
      </c>
      <c r="I8" s="594"/>
      <c r="J8" s="593">
        <f>'Section Load'!C11/G8</f>
        <v>135.61170731707321</v>
      </c>
    </row>
    <row r="9" spans="1:17" x14ac:dyDescent="0.25">
      <c r="A9" s="249">
        <v>8</v>
      </c>
      <c r="B9" s="591">
        <f t="shared" si="0"/>
        <v>67.821782178217816</v>
      </c>
      <c r="C9" s="591">
        <v>137</v>
      </c>
      <c r="D9" s="591">
        <v>11</v>
      </c>
      <c r="E9" s="591">
        <f t="shared" si="4"/>
        <v>73.267326732673268</v>
      </c>
      <c r="F9" s="592">
        <v>602</v>
      </c>
      <c r="G9" s="592">
        <f t="shared" si="2"/>
        <v>148</v>
      </c>
      <c r="H9" s="593">
        <f t="shared" si="3"/>
        <v>67.821782178217816</v>
      </c>
      <c r="I9" s="594"/>
      <c r="J9" s="593">
        <f>'Section Load'!C12/G9</f>
        <v>160.17020270270271</v>
      </c>
    </row>
    <row r="10" spans="1:17" x14ac:dyDescent="0.25">
      <c r="A10" s="249">
        <v>9</v>
      </c>
      <c r="B10" s="591">
        <f t="shared" si="0"/>
        <v>80.198019801980195</v>
      </c>
      <c r="C10" s="591">
        <v>162</v>
      </c>
      <c r="D10" s="591">
        <v>11</v>
      </c>
      <c r="E10" s="591">
        <f t="shared" si="4"/>
        <v>85.643564356435647</v>
      </c>
      <c r="F10" s="592">
        <v>749</v>
      </c>
      <c r="G10" s="592">
        <f t="shared" si="2"/>
        <v>173</v>
      </c>
      <c r="H10" s="593">
        <f t="shared" si="3"/>
        <v>80.198019801980195</v>
      </c>
      <c r="I10" s="594"/>
      <c r="J10" s="593">
        <f>'Section Load'!C13/G10</f>
        <v>141.41901734104042</v>
      </c>
    </row>
    <row r="11" spans="1:17" x14ac:dyDescent="0.25">
      <c r="A11" s="249">
        <v>10</v>
      </c>
      <c r="B11" s="591">
        <f t="shared" si="0"/>
        <v>63.366336633663366</v>
      </c>
      <c r="C11" s="591">
        <v>128</v>
      </c>
      <c r="D11" s="591">
        <v>11</v>
      </c>
      <c r="E11" s="591">
        <f t="shared" si="4"/>
        <v>68.811881188118818</v>
      </c>
      <c r="F11" s="592">
        <v>524</v>
      </c>
      <c r="G11" s="592">
        <f t="shared" si="2"/>
        <v>139</v>
      </c>
      <c r="H11" s="593">
        <f t="shared" si="3"/>
        <v>63.366336633663366</v>
      </c>
      <c r="I11" s="594"/>
      <c r="J11" s="593">
        <f>'Section Load'!C14/G11</f>
        <v>175.08633093525179</v>
      </c>
    </row>
    <row r="12" spans="1:17" x14ac:dyDescent="0.25">
      <c r="A12" s="249">
        <v>11</v>
      </c>
      <c r="B12" s="591">
        <f t="shared" si="0"/>
        <v>67.32673267326733</v>
      </c>
      <c r="C12" s="591">
        <v>136</v>
      </c>
      <c r="D12" s="591">
        <v>10</v>
      </c>
      <c r="E12" s="591">
        <f t="shared" si="4"/>
        <v>72.277227722772281</v>
      </c>
      <c r="F12" s="592">
        <v>52</v>
      </c>
      <c r="G12" s="592">
        <f t="shared" si="2"/>
        <v>146</v>
      </c>
      <c r="H12" s="593">
        <f t="shared" si="3"/>
        <v>67.32673267326733</v>
      </c>
      <c r="I12" s="594"/>
      <c r="J12" s="593">
        <f>'Section Load'!C15/G12</f>
        <v>164.7123287671233</v>
      </c>
    </row>
    <row r="13" spans="1:17" x14ac:dyDescent="0.25">
      <c r="A13" s="249">
        <v>12</v>
      </c>
      <c r="B13" s="591">
        <f t="shared" si="0"/>
        <v>61.386138613861384</v>
      </c>
      <c r="C13" s="591">
        <v>124</v>
      </c>
      <c r="D13" s="591">
        <v>10</v>
      </c>
      <c r="E13" s="591">
        <f t="shared" si="4"/>
        <v>66.336633663366342</v>
      </c>
      <c r="F13" s="591">
        <v>436</v>
      </c>
      <c r="G13" s="592">
        <f t="shared" si="2"/>
        <v>134</v>
      </c>
      <c r="H13" s="593">
        <f t="shared" si="3"/>
        <v>61.386138613861384</v>
      </c>
      <c r="I13" s="594"/>
      <c r="J13" s="593">
        <f>'Section Load'!C16/G13</f>
        <v>182.955223880597</v>
      </c>
    </row>
    <row r="14" spans="1:17" x14ac:dyDescent="0.25">
      <c r="A14" s="249">
        <v>13</v>
      </c>
      <c r="B14" s="591">
        <f t="shared" si="0"/>
        <v>58.910891089108908</v>
      </c>
      <c r="C14" s="591">
        <v>119</v>
      </c>
      <c r="D14" s="591">
        <v>10</v>
      </c>
      <c r="E14" s="591">
        <f t="shared" si="4"/>
        <v>63.861386138613859</v>
      </c>
      <c r="F14" s="591">
        <v>455</v>
      </c>
      <c r="G14" s="592">
        <f t="shared" si="2"/>
        <v>129</v>
      </c>
      <c r="H14" s="593">
        <f t="shared" si="3"/>
        <v>58.910891089108908</v>
      </c>
      <c r="I14" s="594"/>
      <c r="J14" s="593">
        <f>'Section Load'!C17/G14</f>
        <v>182.98449612403101</v>
      </c>
    </row>
    <row r="15" spans="1:17" x14ac:dyDescent="0.25">
      <c r="A15" s="249">
        <v>14</v>
      </c>
      <c r="B15" s="591">
        <f t="shared" si="0"/>
        <v>59.405940594059409</v>
      </c>
      <c r="C15" s="591">
        <v>120</v>
      </c>
      <c r="D15" s="591">
        <v>10</v>
      </c>
      <c r="E15" s="591">
        <f t="shared" si="4"/>
        <v>64.356435643564353</v>
      </c>
      <c r="F15" s="591">
        <v>476</v>
      </c>
      <c r="G15" s="592">
        <f t="shared" si="2"/>
        <v>130</v>
      </c>
      <c r="H15" s="593">
        <f t="shared" si="3"/>
        <v>59.405940594059409</v>
      </c>
      <c r="I15" s="594"/>
      <c r="J15" s="593">
        <f>'Section Load'!C18/G15</f>
        <v>189.74615384615385</v>
      </c>
    </row>
    <row r="16" spans="1:17" x14ac:dyDescent="0.25">
      <c r="A16" s="249">
        <v>15</v>
      </c>
      <c r="B16" s="591">
        <f t="shared" si="0"/>
        <v>73.267326732673268</v>
      </c>
      <c r="C16" s="591">
        <v>148</v>
      </c>
      <c r="D16" s="591">
        <v>10</v>
      </c>
      <c r="E16" s="591">
        <f t="shared" si="4"/>
        <v>78.21782178217822</v>
      </c>
      <c r="F16" s="591">
        <v>768</v>
      </c>
      <c r="G16" s="592">
        <f t="shared" si="2"/>
        <v>158</v>
      </c>
      <c r="H16" s="593">
        <f t="shared" si="3"/>
        <v>73.267326732673268</v>
      </c>
      <c r="I16" s="594"/>
      <c r="J16" s="593">
        <f>'Section Load'!C19/G16</f>
        <v>146.79113924050634</v>
      </c>
    </row>
    <row r="17" spans="1:10" x14ac:dyDescent="0.25">
      <c r="A17" s="249">
        <v>16</v>
      </c>
      <c r="B17" s="591">
        <f t="shared" si="0"/>
        <v>78.712871287128706</v>
      </c>
      <c r="C17" s="591">
        <v>159</v>
      </c>
      <c r="D17" s="591">
        <v>11</v>
      </c>
      <c r="E17" s="591">
        <f>SUM(C17:D17)/202%</f>
        <v>84.158415841584159</v>
      </c>
      <c r="F17" s="591">
        <v>558</v>
      </c>
      <c r="G17" s="592">
        <f t="shared" si="2"/>
        <v>170</v>
      </c>
      <c r="H17" s="593">
        <f t="shared" si="3"/>
        <v>78.712871287128706</v>
      </c>
      <c r="I17" s="594"/>
      <c r="J17" s="593">
        <f>'Section Load'!C20/G17</f>
        <v>127.32182352941189</v>
      </c>
    </row>
    <row r="18" spans="1:10" x14ac:dyDescent="0.25">
      <c r="A18" s="249">
        <v>17</v>
      </c>
      <c r="B18" s="591">
        <f t="shared" si="0"/>
        <v>67.821782178217816</v>
      </c>
      <c r="C18" s="591">
        <v>137</v>
      </c>
      <c r="D18" s="591">
        <v>10</v>
      </c>
      <c r="E18" s="591">
        <f t="shared" si="4"/>
        <v>72.772277227722768</v>
      </c>
      <c r="F18" s="591">
        <v>619</v>
      </c>
      <c r="G18" s="592">
        <f t="shared" si="2"/>
        <v>147</v>
      </c>
      <c r="H18" s="593">
        <f t="shared" si="3"/>
        <v>67.821782178217816</v>
      </c>
      <c r="I18" s="594"/>
      <c r="J18" s="593">
        <f>'Section Load'!C21/G18</f>
        <v>156.68734693877536</v>
      </c>
    </row>
    <row r="19" spans="1:10" x14ac:dyDescent="0.25">
      <c r="A19" s="249">
        <v>18</v>
      </c>
      <c r="B19" s="591">
        <f t="shared" si="0"/>
        <v>0</v>
      </c>
      <c r="C19" s="595"/>
      <c r="D19" s="595"/>
      <c r="E19" s="591">
        <f t="shared" si="4"/>
        <v>0</v>
      </c>
      <c r="F19" s="595"/>
      <c r="G19" s="592">
        <f t="shared" si="2"/>
        <v>0</v>
      </c>
      <c r="H19" s="593">
        <f t="shared" si="3"/>
        <v>0</v>
      </c>
      <c r="I19" s="594"/>
      <c r="J19" s="593" t="e">
        <f>'Section Load'!C22/G19</f>
        <v>#DIV/0!</v>
      </c>
    </row>
    <row r="20" spans="1:10" x14ac:dyDescent="0.25">
      <c r="A20" s="249">
        <v>19</v>
      </c>
      <c r="B20" s="591">
        <f t="shared" si="0"/>
        <v>0</v>
      </c>
      <c r="C20" s="591"/>
      <c r="D20" s="591"/>
      <c r="E20" s="591">
        <f t="shared" si="4"/>
        <v>0</v>
      </c>
      <c r="F20" s="591"/>
      <c r="G20" s="592">
        <f t="shared" si="2"/>
        <v>0</v>
      </c>
      <c r="H20" s="593">
        <f t="shared" si="3"/>
        <v>0</v>
      </c>
      <c r="I20" s="594"/>
      <c r="J20" s="593" t="e">
        <f>'Section Load'!C23/G20</f>
        <v>#DIV/0!</v>
      </c>
    </row>
    <row r="21" spans="1:10" x14ac:dyDescent="0.25">
      <c r="A21" s="249">
        <v>20</v>
      </c>
      <c r="B21" s="591">
        <f t="shared" si="0"/>
        <v>0</v>
      </c>
      <c r="C21" s="591"/>
      <c r="D21" s="591"/>
      <c r="E21" s="591">
        <f t="shared" si="4"/>
        <v>0</v>
      </c>
      <c r="F21" s="591"/>
      <c r="G21" s="592">
        <f t="shared" si="2"/>
        <v>0</v>
      </c>
      <c r="H21" s="593">
        <f t="shared" si="3"/>
        <v>0</v>
      </c>
      <c r="I21" s="594"/>
      <c r="J21" s="593" t="e">
        <f>'Section Load'!C24/G21</f>
        <v>#DIV/0!</v>
      </c>
    </row>
    <row r="22" spans="1:10" x14ac:dyDescent="0.25">
      <c r="A22" s="249">
        <v>21</v>
      </c>
      <c r="B22" s="591">
        <v>150</v>
      </c>
      <c r="C22" s="591"/>
      <c r="D22" s="591"/>
      <c r="E22" s="591">
        <f t="shared" si="4"/>
        <v>0</v>
      </c>
      <c r="F22" s="591"/>
      <c r="G22" s="592">
        <f t="shared" si="2"/>
        <v>0</v>
      </c>
      <c r="H22" s="593">
        <f t="shared" si="3"/>
        <v>0</v>
      </c>
      <c r="I22" s="594"/>
      <c r="J22" s="593" t="e">
        <f>'Section Load'!C25/G22</f>
        <v>#DIV/0!</v>
      </c>
    </row>
    <row r="23" spans="1:10" x14ac:dyDescent="0.25">
      <c r="A23" s="249">
        <v>22</v>
      </c>
      <c r="B23" s="591">
        <v>83</v>
      </c>
      <c r="C23" s="591"/>
      <c r="D23" s="591"/>
      <c r="E23" s="591">
        <f t="shared" si="4"/>
        <v>0</v>
      </c>
      <c r="F23" s="591"/>
      <c r="G23" s="592">
        <f t="shared" si="2"/>
        <v>0</v>
      </c>
      <c r="H23" s="593">
        <f t="shared" si="3"/>
        <v>0</v>
      </c>
      <c r="I23" s="594"/>
      <c r="J23" s="593" t="e">
        <f>'Section Load'!C26/G23</f>
        <v>#DIV/0!</v>
      </c>
    </row>
    <row r="24" spans="1:10" x14ac:dyDescent="0.25">
      <c r="A24" s="249">
        <v>23</v>
      </c>
      <c r="B24" s="591">
        <v>98</v>
      </c>
      <c r="C24" s="591"/>
      <c r="D24" s="591"/>
      <c r="E24" s="591">
        <f t="shared" si="4"/>
        <v>0</v>
      </c>
      <c r="F24" s="591"/>
      <c r="G24" s="592">
        <f t="shared" si="2"/>
        <v>0</v>
      </c>
      <c r="H24" s="593">
        <f t="shared" si="3"/>
        <v>0</v>
      </c>
      <c r="I24" s="594"/>
      <c r="J24" s="593" t="e">
        <f>'Section Load'!C27/G24</f>
        <v>#DIV/0!</v>
      </c>
    </row>
    <row r="25" spans="1:10" x14ac:dyDescent="0.25">
      <c r="A25" s="249">
        <v>24</v>
      </c>
      <c r="B25" s="591">
        <f t="shared" si="0"/>
        <v>0</v>
      </c>
      <c r="C25" s="591"/>
      <c r="D25" s="591"/>
      <c r="E25" s="591">
        <f t="shared" si="4"/>
        <v>0</v>
      </c>
      <c r="F25" s="591"/>
      <c r="G25" s="592">
        <f t="shared" si="2"/>
        <v>0</v>
      </c>
      <c r="H25" s="593">
        <f t="shared" si="3"/>
        <v>0</v>
      </c>
      <c r="I25" s="594"/>
      <c r="J25" s="593" t="e">
        <f>'Section Load'!C28/G25</f>
        <v>#DIV/0!</v>
      </c>
    </row>
    <row r="26" spans="1:10" x14ac:dyDescent="0.25">
      <c r="A26" s="249">
        <v>25</v>
      </c>
      <c r="B26" s="591">
        <f t="shared" si="0"/>
        <v>0</v>
      </c>
      <c r="C26" s="591"/>
      <c r="D26" s="591"/>
      <c r="E26" s="591">
        <f t="shared" si="4"/>
        <v>0</v>
      </c>
      <c r="F26" s="591"/>
      <c r="G26" s="592">
        <f t="shared" si="2"/>
        <v>0</v>
      </c>
      <c r="H26" s="593">
        <f t="shared" si="3"/>
        <v>0</v>
      </c>
      <c r="I26" s="594"/>
      <c r="J26" s="593" t="e">
        <f>'Section Load'!C29/G26</f>
        <v>#DIV/0!</v>
      </c>
    </row>
    <row r="27" spans="1:10" x14ac:dyDescent="0.25">
      <c r="A27" s="249">
        <v>26</v>
      </c>
      <c r="B27" s="591">
        <f t="shared" si="0"/>
        <v>0</v>
      </c>
      <c r="C27" s="591"/>
      <c r="D27" s="591"/>
      <c r="E27" s="591">
        <f t="shared" si="4"/>
        <v>0</v>
      </c>
      <c r="F27" s="591"/>
      <c r="G27" s="592">
        <f t="shared" si="2"/>
        <v>0</v>
      </c>
      <c r="H27" s="593">
        <f t="shared" si="3"/>
        <v>0</v>
      </c>
      <c r="I27" s="594"/>
      <c r="J27" s="593" t="e">
        <f>'Section Load'!C30/G27</f>
        <v>#DIV/0!</v>
      </c>
    </row>
    <row r="28" spans="1:10" x14ac:dyDescent="0.25">
      <c r="A28" s="249">
        <v>27</v>
      </c>
      <c r="B28" s="591">
        <f t="shared" si="0"/>
        <v>0</v>
      </c>
      <c r="C28" s="591"/>
      <c r="D28" s="591"/>
      <c r="E28" s="591">
        <f t="shared" si="4"/>
        <v>0</v>
      </c>
      <c r="F28" s="591"/>
      <c r="G28" s="592">
        <f t="shared" si="2"/>
        <v>0</v>
      </c>
      <c r="H28" s="593">
        <f t="shared" si="3"/>
        <v>0</v>
      </c>
      <c r="I28" s="594"/>
      <c r="J28" s="593" t="e">
        <f>'Section Load'!C31/G28</f>
        <v>#DIV/0!</v>
      </c>
    </row>
    <row r="29" spans="1:10" x14ac:dyDescent="0.25">
      <c r="A29" s="249">
        <v>28</v>
      </c>
      <c r="B29" s="591">
        <f t="shared" si="0"/>
        <v>0</v>
      </c>
      <c r="C29" s="591"/>
      <c r="D29" s="591"/>
      <c r="E29" s="591">
        <f t="shared" si="4"/>
        <v>0</v>
      </c>
      <c r="F29" s="591"/>
      <c r="G29" s="592">
        <f t="shared" si="2"/>
        <v>0</v>
      </c>
      <c r="H29" s="593">
        <f t="shared" si="3"/>
        <v>0</v>
      </c>
      <c r="I29" s="594"/>
      <c r="J29" s="593" t="e">
        <f>'Section Load'!C32/G29</f>
        <v>#DIV/0!</v>
      </c>
    </row>
    <row r="30" spans="1:10" x14ac:dyDescent="0.25">
      <c r="A30" s="249">
        <v>29</v>
      </c>
      <c r="B30" s="591">
        <f t="shared" si="0"/>
        <v>0</v>
      </c>
      <c r="C30" s="591"/>
      <c r="D30" s="591"/>
      <c r="E30" s="591">
        <f t="shared" si="4"/>
        <v>0</v>
      </c>
      <c r="F30" s="591"/>
      <c r="G30" s="592">
        <f t="shared" si="2"/>
        <v>0</v>
      </c>
      <c r="H30" s="593">
        <f t="shared" si="3"/>
        <v>0</v>
      </c>
      <c r="I30" s="594"/>
      <c r="J30" s="593" t="e">
        <f>'Section Load'!C33/G30</f>
        <v>#DIV/0!</v>
      </c>
    </row>
    <row r="31" spans="1:10" x14ac:dyDescent="0.25">
      <c r="A31" s="249">
        <v>30</v>
      </c>
      <c r="B31" s="591">
        <f t="shared" si="0"/>
        <v>0</v>
      </c>
      <c r="C31" s="591"/>
      <c r="D31" s="591"/>
      <c r="E31" s="591">
        <f t="shared" si="4"/>
        <v>0</v>
      </c>
      <c r="F31" s="591"/>
      <c r="G31" s="596">
        <f t="shared" si="2"/>
        <v>0</v>
      </c>
      <c r="H31" s="593">
        <f t="shared" si="3"/>
        <v>0</v>
      </c>
      <c r="I31" s="594"/>
      <c r="J31" s="593" t="e">
        <f>'Section Load'!C34/G31</f>
        <v>#DIV/0!</v>
      </c>
    </row>
    <row r="32" spans="1:10" x14ac:dyDescent="0.25">
      <c r="A32" s="249">
        <v>31</v>
      </c>
      <c r="B32" s="591">
        <f t="shared" si="0"/>
        <v>0</v>
      </c>
      <c r="C32" s="591"/>
      <c r="D32" s="591"/>
      <c r="E32" s="591"/>
      <c r="F32" s="591"/>
      <c r="G32" s="596"/>
      <c r="H32" s="593">
        <f t="shared" si="3"/>
        <v>0</v>
      </c>
      <c r="I32" s="594"/>
      <c r="J32" s="593" t="e">
        <f>'Section Load'!C35/G32</f>
        <v>#DIV/0!</v>
      </c>
    </row>
    <row r="33" spans="1:8" x14ac:dyDescent="0.25">
      <c r="A33" t="s">
        <v>316</v>
      </c>
      <c r="B33" s="279">
        <f>AVERAGE(B2:B31)</f>
        <v>50.37326732673268</v>
      </c>
      <c r="C33" s="279">
        <f t="shared" ref="C33:H33" si="5">AVERAGE(C2:C31)</f>
        <v>140.23529411764707</v>
      </c>
      <c r="D33" s="279">
        <f t="shared" si="5"/>
        <v>11.882352941176471</v>
      </c>
      <c r="E33" s="279">
        <f t="shared" si="5"/>
        <v>42.67326732673267</v>
      </c>
      <c r="F33" s="279">
        <f t="shared" si="5"/>
        <v>577.47058823529414</v>
      </c>
      <c r="G33" s="279">
        <f t="shared" si="5"/>
        <v>86.2</v>
      </c>
      <c r="H33" s="279">
        <f t="shared" si="5"/>
        <v>39.339933993399342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zoomScale="90" zoomScaleNormal="90" workbookViewId="0">
      <selection activeCell="E4" sqref="E4"/>
    </sheetView>
  </sheetViews>
  <sheetFormatPr defaultRowHeight="15.75" x14ac:dyDescent="0.2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11" width="3.77734375" customWidth="1"/>
    <col min="12" max="12" width="4.21875" customWidth="1"/>
    <col min="13" max="35" width="3.77734375" customWidth="1"/>
  </cols>
  <sheetData>
    <row r="3" spans="2:35" s="37" customFormat="1" x14ac:dyDescent="0.25">
      <c r="B3" s="262"/>
      <c r="C3" s="263" t="s">
        <v>0</v>
      </c>
      <c r="D3" s="251">
        <v>1</v>
      </c>
      <c r="E3" s="251">
        <v>2</v>
      </c>
      <c r="F3" s="251">
        <v>3</v>
      </c>
      <c r="G3" s="251">
        <v>4</v>
      </c>
      <c r="H3" s="251">
        <v>5</v>
      </c>
      <c r="I3" s="251">
        <v>6</v>
      </c>
      <c r="J3" s="251">
        <v>7</v>
      </c>
      <c r="K3" s="251">
        <v>8</v>
      </c>
      <c r="L3" s="251">
        <v>9</v>
      </c>
      <c r="M3" s="251">
        <v>10</v>
      </c>
      <c r="N3" s="251">
        <v>11</v>
      </c>
      <c r="O3" s="251">
        <v>12</v>
      </c>
      <c r="P3" s="251">
        <v>13</v>
      </c>
      <c r="Q3" s="251">
        <v>14</v>
      </c>
      <c r="R3" s="263">
        <v>15</v>
      </c>
      <c r="S3" s="263">
        <v>16</v>
      </c>
      <c r="T3" s="263">
        <v>17</v>
      </c>
      <c r="U3" s="263">
        <v>18</v>
      </c>
      <c r="V3" s="263">
        <v>19</v>
      </c>
      <c r="W3" s="263">
        <v>20</v>
      </c>
      <c r="X3" s="263">
        <v>21</v>
      </c>
      <c r="Y3" s="263">
        <v>22</v>
      </c>
      <c r="Z3" s="263">
        <v>23</v>
      </c>
      <c r="AA3" s="263">
        <v>24</v>
      </c>
      <c r="AB3" s="263">
        <v>25</v>
      </c>
      <c r="AC3" s="263">
        <v>26</v>
      </c>
      <c r="AD3" s="263">
        <v>27</v>
      </c>
      <c r="AE3" s="263">
        <v>28</v>
      </c>
      <c r="AF3" s="263">
        <v>29</v>
      </c>
      <c r="AG3" s="263">
        <v>30</v>
      </c>
      <c r="AH3" s="263">
        <v>31</v>
      </c>
      <c r="AI3" s="263"/>
    </row>
    <row r="4" spans="2:35" x14ac:dyDescent="0.25">
      <c r="B4" s="93"/>
      <c r="C4" s="90" t="s">
        <v>67</v>
      </c>
      <c r="D4" s="91">
        <f>Occupancy!B2</f>
        <v>76.732673267326732</v>
      </c>
      <c r="E4" s="91">
        <f>Occupancy!B3</f>
        <v>79.207920792079207</v>
      </c>
      <c r="F4" s="91">
        <f>Occupancy!C3</f>
        <v>160</v>
      </c>
      <c r="G4" s="91">
        <f>Occupancy!D3</f>
        <v>16</v>
      </c>
      <c r="H4" s="91">
        <f>Occupancy!E3</f>
        <v>87.128712871287135</v>
      </c>
      <c r="I4" s="91">
        <f>Occupancy!F3</f>
        <v>739</v>
      </c>
      <c r="J4" s="91">
        <f>Occupancy!G3</f>
        <v>176</v>
      </c>
      <c r="K4" s="91">
        <f>Occupancy!H3</f>
        <v>79.207920792079207</v>
      </c>
      <c r="L4" s="91">
        <f>Occupancy!I3</f>
        <v>0</v>
      </c>
      <c r="M4" s="91">
        <f>Occupancy!J3</f>
        <v>129.30681818181819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 x14ac:dyDescent="0.25">
      <c r="B5" s="93"/>
      <c r="C5" s="90" t="s">
        <v>68</v>
      </c>
      <c r="D5" s="91">
        <f>'1'!G18</f>
        <v>140</v>
      </c>
      <c r="E5" s="91">
        <f>'2'!G18</f>
        <v>200</v>
      </c>
      <c r="F5" s="91">
        <f>'3'!G18</f>
        <v>200</v>
      </c>
      <c r="G5" s="91">
        <f>'4'!G18</f>
        <v>190</v>
      </c>
      <c r="H5" s="91">
        <f>'5'!G18</f>
        <v>220</v>
      </c>
      <c r="I5" s="91">
        <f>'6'!G18</f>
        <v>180</v>
      </c>
      <c r="J5" s="91">
        <f>'7'!G18</f>
        <v>200</v>
      </c>
      <c r="K5" s="91">
        <f>'8'!G18</f>
        <v>180</v>
      </c>
      <c r="L5" s="91">
        <f>'9'!G18</f>
        <v>220</v>
      </c>
      <c r="M5" s="91">
        <f>'10'!G18</f>
        <v>200</v>
      </c>
      <c r="N5" s="91">
        <f>'11'!G18</f>
        <v>220</v>
      </c>
      <c r="O5" s="91">
        <f>'12'!G18</f>
        <v>180</v>
      </c>
      <c r="P5" s="91">
        <f>'13'!G18</f>
        <v>160</v>
      </c>
      <c r="Q5" s="91">
        <f>'14'!G18</f>
        <v>180</v>
      </c>
      <c r="R5" s="91">
        <f>'15'!G18</f>
        <v>220</v>
      </c>
      <c r="S5" s="91">
        <f>'16'!G18</f>
        <v>220</v>
      </c>
      <c r="T5" s="91">
        <f>'17'!G18</f>
        <v>210</v>
      </c>
      <c r="U5" s="91">
        <f>'18 '!G18</f>
        <v>140</v>
      </c>
      <c r="V5" s="91">
        <f>'19'!G18</f>
        <v>140</v>
      </c>
      <c r="W5" s="91">
        <f>'20'!G18</f>
        <v>140</v>
      </c>
      <c r="X5" s="91">
        <f>'21'!G18</f>
        <v>140</v>
      </c>
      <c r="Y5" s="91">
        <f>'22'!G18</f>
        <v>140</v>
      </c>
      <c r="Z5" s="91">
        <f>'23'!G18</f>
        <v>140</v>
      </c>
      <c r="AA5" s="91">
        <f>'24'!G18</f>
        <v>140</v>
      </c>
      <c r="AB5" s="91">
        <f>'25'!G18</f>
        <v>140</v>
      </c>
      <c r="AC5" s="91">
        <f>'26'!G18</f>
        <v>140</v>
      </c>
      <c r="AD5" s="91">
        <f>'27'!G18</f>
        <v>140</v>
      </c>
      <c r="AE5" s="91">
        <f>'28'!G18</f>
        <v>140</v>
      </c>
      <c r="AF5" s="91">
        <f>'29'!G18</f>
        <v>140</v>
      </c>
      <c r="AG5" s="91">
        <f>'30'!G18</f>
        <v>140</v>
      </c>
      <c r="AH5" s="91">
        <f>'31'!G18</f>
        <v>140</v>
      </c>
      <c r="AI5" s="90"/>
    </row>
    <row r="6" spans="2:35" x14ac:dyDescent="0.25">
      <c r="B6" s="93"/>
      <c r="C6" s="90" t="s">
        <v>69</v>
      </c>
      <c r="D6" s="91">
        <f>'1'!G19</f>
        <v>59</v>
      </c>
      <c r="E6" s="91">
        <f>'2'!G19</f>
        <v>59</v>
      </c>
      <c r="F6" s="91">
        <f>'3'!G19</f>
        <v>59</v>
      </c>
      <c r="G6" s="91">
        <f>'4'!G19</f>
        <v>60</v>
      </c>
      <c r="H6" s="91">
        <f>'5'!G19</f>
        <v>61</v>
      </c>
      <c r="I6" s="91">
        <f>'6'!G19</f>
        <v>60</v>
      </c>
      <c r="J6" s="91">
        <f>'7'!G19</f>
        <v>58</v>
      </c>
      <c r="K6" s="91">
        <f>'8'!G19</f>
        <v>51</v>
      </c>
      <c r="L6" s="91">
        <f>'9'!G19</f>
        <v>54</v>
      </c>
      <c r="M6" s="91">
        <f>'10'!G19</f>
        <v>58</v>
      </c>
      <c r="N6" s="91">
        <f>'11'!G19</f>
        <v>56</v>
      </c>
      <c r="O6" s="91">
        <f>'12'!G19</f>
        <v>68</v>
      </c>
      <c r="P6" s="91">
        <f>'13'!G19</f>
        <v>59</v>
      </c>
      <c r="Q6" s="91">
        <f>'14'!G19</f>
        <v>61</v>
      </c>
      <c r="R6" s="91">
        <f>'15'!G19</f>
        <v>49</v>
      </c>
      <c r="S6" s="91">
        <f>'16'!G19</f>
        <v>60</v>
      </c>
      <c r="T6" s="91">
        <f>'17'!G19</f>
        <v>61</v>
      </c>
      <c r="U6" s="91">
        <f>'18 '!G19</f>
        <v>60</v>
      </c>
      <c r="V6" s="91">
        <f>'19'!G19</f>
        <v>60</v>
      </c>
      <c r="W6" s="91">
        <f>'20'!G19</f>
        <v>60</v>
      </c>
      <c r="X6" s="91">
        <f>'21'!G19</f>
        <v>60</v>
      </c>
      <c r="Y6" s="91">
        <f>'22'!G19</f>
        <v>60</v>
      </c>
      <c r="Z6" s="91">
        <f>'23'!G19</f>
        <v>60</v>
      </c>
      <c r="AA6" s="91">
        <f>'24'!G19</f>
        <v>60</v>
      </c>
      <c r="AB6" s="91">
        <f>'25'!G19</f>
        <v>60</v>
      </c>
      <c r="AC6" s="91">
        <f>'26'!G19</f>
        <v>60</v>
      </c>
      <c r="AD6" s="91">
        <f>'27'!G19</f>
        <v>60</v>
      </c>
      <c r="AE6" s="91">
        <f>'28'!G19</f>
        <v>60</v>
      </c>
      <c r="AF6" s="91">
        <f>'29'!G19</f>
        <v>60</v>
      </c>
      <c r="AG6" s="91">
        <f>'30'!G19</f>
        <v>60</v>
      </c>
      <c r="AH6" s="91">
        <f>'31'!G19</f>
        <v>60</v>
      </c>
      <c r="AI6" s="90"/>
    </row>
    <row r="7" spans="2:35" x14ac:dyDescent="0.25">
      <c r="B7" s="93"/>
      <c r="C7" s="90" t="s">
        <v>70</v>
      </c>
      <c r="D7" s="91">
        <f>'1'!G62</f>
        <v>98</v>
      </c>
      <c r="E7" s="91">
        <f>'2'!G62</f>
        <v>119</v>
      </c>
      <c r="F7" s="91">
        <f>'3'!G62</f>
        <v>125</v>
      </c>
      <c r="G7" s="91">
        <f>'4'!G62</f>
        <v>92</v>
      </c>
      <c r="H7" s="91">
        <f>'5'!G62</f>
        <v>109</v>
      </c>
      <c r="I7" s="91">
        <f>'6'!G62</f>
        <v>110</v>
      </c>
      <c r="J7" s="91">
        <f>'7'!G62</f>
        <v>105</v>
      </c>
      <c r="K7" s="91">
        <f>'8'!G62</f>
        <v>113</v>
      </c>
      <c r="L7" s="91">
        <f>'9'!G62</f>
        <v>118</v>
      </c>
      <c r="M7" s="91">
        <f>'10'!G62</f>
        <v>114</v>
      </c>
      <c r="N7" s="91">
        <f>'11'!G62</f>
        <v>125</v>
      </c>
      <c r="O7" s="91">
        <f>'12'!G62</f>
        <v>76</v>
      </c>
      <c r="P7" s="91">
        <f>'13'!G62</f>
        <v>87</v>
      </c>
      <c r="Q7" s="91">
        <f>'14'!G62</f>
        <v>92</v>
      </c>
      <c r="R7" s="91">
        <f>'15'!G62</f>
        <v>133</v>
      </c>
      <c r="S7" s="91">
        <f>'16'!G62</f>
        <v>116</v>
      </c>
      <c r="T7" s="91">
        <f>'17'!G62</f>
        <v>121</v>
      </c>
      <c r="U7" s="91">
        <f>'18 '!G62</f>
        <v>-4754</v>
      </c>
      <c r="V7" s="91">
        <f>'19'!G62</f>
        <v>-4754</v>
      </c>
      <c r="W7" s="91">
        <f>'20'!G62</f>
        <v>0</v>
      </c>
      <c r="X7" s="91">
        <f>'21'!G62</f>
        <v>0</v>
      </c>
      <c r="Y7" s="91">
        <f>'22'!G62</f>
        <v>0</v>
      </c>
      <c r="Z7" s="91">
        <f>'23'!G62</f>
        <v>0</v>
      </c>
      <c r="AA7" s="91">
        <f>'24'!G62</f>
        <v>0</v>
      </c>
      <c r="AB7" s="91">
        <f>'25'!G62</f>
        <v>0</v>
      </c>
      <c r="AC7" s="91">
        <f>'26'!G62</f>
        <v>0</v>
      </c>
      <c r="AD7" s="91">
        <f>'27'!G62</f>
        <v>0</v>
      </c>
      <c r="AE7" s="91">
        <f>'28'!G62</f>
        <v>0</v>
      </c>
      <c r="AF7" s="91">
        <f>'29'!G62</f>
        <v>0</v>
      </c>
      <c r="AG7" s="91">
        <f>'30'!G62</f>
        <v>0</v>
      </c>
      <c r="AH7" s="91">
        <f>'31'!G62</f>
        <v>0</v>
      </c>
      <c r="AI7" s="90"/>
    </row>
    <row r="8" spans="2:35" x14ac:dyDescent="0.25">
      <c r="B8" s="93"/>
      <c r="C8" s="90" t="s">
        <v>299</v>
      </c>
      <c r="D8" s="91">
        <f>'1'!G63</f>
        <v>165</v>
      </c>
      <c r="E8" s="91">
        <f>'2'!G63</f>
        <v>164</v>
      </c>
      <c r="F8" s="91">
        <f>'3'!G63</f>
        <v>160</v>
      </c>
      <c r="G8" s="91">
        <f>'4'!G63</f>
        <v>1148</v>
      </c>
      <c r="H8" s="91">
        <f>'5'!G63</f>
        <v>-942</v>
      </c>
      <c r="I8" s="91">
        <f>'6'!G63</f>
        <v>150</v>
      </c>
      <c r="J8" s="91">
        <f>'7'!G63</f>
        <v>35</v>
      </c>
      <c r="K8" s="91">
        <f>'8'!G63</f>
        <v>135</v>
      </c>
      <c r="L8" s="91">
        <f>'9'!G63</f>
        <v>159</v>
      </c>
      <c r="M8" s="91">
        <f>'10'!G63</f>
        <v>157</v>
      </c>
      <c r="N8" s="91">
        <f>'11'!G63</f>
        <v>185</v>
      </c>
      <c r="O8" s="91">
        <f>'12'!G63</f>
        <v>121</v>
      </c>
      <c r="P8" s="91">
        <f>'13'!G63</f>
        <v>96</v>
      </c>
      <c r="Q8" s="91">
        <f>'14'!G63</f>
        <v>127</v>
      </c>
      <c r="R8" s="91">
        <f>'15'!G63</f>
        <v>150</v>
      </c>
      <c r="S8" s="91">
        <f>'16'!G63</f>
        <v>134</v>
      </c>
      <c r="T8" s="91">
        <f>'17'!G63</f>
        <v>92</v>
      </c>
      <c r="U8" s="91">
        <f>'18 '!G63</f>
        <v>-7103</v>
      </c>
      <c r="V8" s="91">
        <f>'19'!G63</f>
        <v>-7103</v>
      </c>
      <c r="W8" s="91">
        <f>'20'!G63</f>
        <v>0</v>
      </c>
      <c r="X8" s="91">
        <f>'21'!G63</f>
        <v>0</v>
      </c>
      <c r="Y8" s="91">
        <f>'22'!G63</f>
        <v>0</v>
      </c>
      <c r="Z8" s="91">
        <f>'23'!G63</f>
        <v>0</v>
      </c>
      <c r="AA8" s="91">
        <f>'24'!G63</f>
        <v>0</v>
      </c>
      <c r="AB8" s="91">
        <f>'25'!G63</f>
        <v>0</v>
      </c>
      <c r="AC8" s="91">
        <f>'26'!G63</f>
        <v>0</v>
      </c>
      <c r="AD8" s="91">
        <f>'27'!G63</f>
        <v>0</v>
      </c>
      <c r="AE8" s="91">
        <f>'28'!G63</f>
        <v>0</v>
      </c>
      <c r="AF8" s="91">
        <f>'29'!G63</f>
        <v>0</v>
      </c>
      <c r="AG8" s="91">
        <f>'30'!G63</f>
        <v>0</v>
      </c>
      <c r="AH8" s="91">
        <f>'31'!G63</f>
        <v>0</v>
      </c>
      <c r="AI8" s="90"/>
    </row>
    <row r="9" spans="2:35" x14ac:dyDescent="0.25">
      <c r="B9" s="643" t="s">
        <v>71</v>
      </c>
      <c r="C9" s="90" t="s">
        <v>31</v>
      </c>
      <c r="D9" s="91">
        <f>'1'!G65</f>
        <v>76</v>
      </c>
      <c r="E9" s="91">
        <f>'2'!G65</f>
        <v>94</v>
      </c>
      <c r="F9" s="91">
        <f>'3'!G65</f>
        <v>80</v>
      </c>
      <c r="G9" s="91">
        <f>'4'!G65</f>
        <v>85</v>
      </c>
      <c r="H9" s="91">
        <f>'5'!G65</f>
        <v>102</v>
      </c>
      <c r="I9" s="91">
        <f>'6'!G65</f>
        <v>97</v>
      </c>
      <c r="J9" s="91">
        <f>'7'!G65</f>
        <v>99</v>
      </c>
      <c r="K9" s="91">
        <f>'8'!G65</f>
        <v>90</v>
      </c>
      <c r="L9" s="91">
        <f>'9'!G65</f>
        <v>83</v>
      </c>
      <c r="M9" s="91">
        <f>'10'!G65</f>
        <v>89</v>
      </c>
      <c r="N9" s="91">
        <f>'11'!G65</f>
        <v>98</v>
      </c>
      <c r="O9" s="91">
        <f>'12'!G65</f>
        <v>81</v>
      </c>
      <c r="P9" s="91">
        <f>'13'!G65</f>
        <v>90</v>
      </c>
      <c r="Q9" s="91">
        <f>'14'!G65</f>
        <v>89</v>
      </c>
      <c r="R9" s="91">
        <f>'15'!G65</f>
        <v>120</v>
      </c>
      <c r="S9" s="91">
        <f>'16'!G65</f>
        <v>89</v>
      </c>
      <c r="T9" s="91">
        <f>'17'!G65</f>
        <v>98</v>
      </c>
      <c r="U9" s="91">
        <f>'18 '!G65</f>
        <v>-3830</v>
      </c>
      <c r="V9" s="91">
        <f>'19'!G65</f>
        <v>-3830</v>
      </c>
      <c r="W9" s="91">
        <f>'20'!G65</f>
        <v>0</v>
      </c>
      <c r="X9" s="91">
        <f>'21'!G65</f>
        <v>0</v>
      </c>
      <c r="Y9" s="91">
        <f>'22'!G65</f>
        <v>0</v>
      </c>
      <c r="Z9" s="91">
        <f>'23'!G65</f>
        <v>0</v>
      </c>
      <c r="AA9" s="91">
        <f>'24'!G65</f>
        <v>0</v>
      </c>
      <c r="AB9" s="91">
        <f>'25'!G65</f>
        <v>0</v>
      </c>
      <c r="AC9" s="91">
        <f>'26'!G65</f>
        <v>0</v>
      </c>
      <c r="AD9" s="91">
        <f>'27'!G65</f>
        <v>0</v>
      </c>
      <c r="AE9" s="91">
        <f>'28'!G65</f>
        <v>0</v>
      </c>
      <c r="AF9" s="91">
        <f>'29'!G65</f>
        <v>0</v>
      </c>
      <c r="AG9" s="91">
        <f>'30'!G65</f>
        <v>0</v>
      </c>
      <c r="AH9" s="91">
        <f>'31'!G65</f>
        <v>0</v>
      </c>
      <c r="AI9" s="90"/>
    </row>
    <row r="10" spans="2:35" x14ac:dyDescent="0.25">
      <c r="B10" s="643"/>
      <c r="C10" s="90" t="s">
        <v>32</v>
      </c>
      <c r="D10" s="91">
        <f>'1'!G66</f>
        <v>24</v>
      </c>
      <c r="E10" s="91">
        <f>'2'!G66</f>
        <v>22</v>
      </c>
      <c r="F10" s="91">
        <f>'3'!G66</f>
        <v>26</v>
      </c>
      <c r="G10" s="91">
        <f>'4'!G66</f>
        <v>21</v>
      </c>
      <c r="H10" s="91">
        <f>'5'!G66</f>
        <v>16</v>
      </c>
      <c r="I10" s="91">
        <f>'6'!G66</f>
        <v>27</v>
      </c>
      <c r="J10" s="91">
        <f>'7'!G66</f>
        <v>17</v>
      </c>
      <c r="K10" s="91">
        <f>'8'!G66</f>
        <v>26</v>
      </c>
      <c r="L10" s="91">
        <f>'9'!G66</f>
        <v>26</v>
      </c>
      <c r="M10" s="91">
        <f>'10'!G66</f>
        <v>25</v>
      </c>
      <c r="N10" s="91">
        <f>'11'!G66</f>
        <v>26</v>
      </c>
      <c r="O10" s="91">
        <f>'12'!G66</f>
        <v>17</v>
      </c>
      <c r="P10" s="91">
        <f>'13'!G66</f>
        <v>21</v>
      </c>
      <c r="Q10" s="91">
        <f>'14'!G66</f>
        <v>18</v>
      </c>
      <c r="R10" s="91">
        <f>'15'!G66</f>
        <v>17</v>
      </c>
      <c r="S10" s="91">
        <f>'16'!G66</f>
        <v>20</v>
      </c>
      <c r="T10" s="91">
        <f>'17'!G66</f>
        <v>27</v>
      </c>
      <c r="U10" s="91">
        <f>'18 '!G66</f>
        <v>-1054</v>
      </c>
      <c r="V10" s="91">
        <f>'19'!G66</f>
        <v>-1054</v>
      </c>
      <c r="W10" s="91">
        <f>'20'!G66</f>
        <v>0</v>
      </c>
      <c r="X10" s="91">
        <f>'21'!G66</f>
        <v>0</v>
      </c>
      <c r="Y10" s="91">
        <f>'22'!G66</f>
        <v>0</v>
      </c>
      <c r="Z10" s="91">
        <f>'23'!G66</f>
        <v>0</v>
      </c>
      <c r="AA10" s="91">
        <f>'24'!G66</f>
        <v>0</v>
      </c>
      <c r="AB10" s="91">
        <f>'25'!G66</f>
        <v>0</v>
      </c>
      <c r="AC10" s="91">
        <f>'26'!G66</f>
        <v>0</v>
      </c>
      <c r="AD10" s="91">
        <f>'27'!G66</f>
        <v>0</v>
      </c>
      <c r="AE10" s="91">
        <f>'28'!G66</f>
        <v>0</v>
      </c>
      <c r="AF10" s="91">
        <f>'29'!G66</f>
        <v>0</v>
      </c>
      <c r="AG10" s="91">
        <f>'30'!G66</f>
        <v>0</v>
      </c>
      <c r="AH10" s="91">
        <f>'31'!G66</f>
        <v>0</v>
      </c>
      <c r="AI10" s="90"/>
    </row>
    <row r="11" spans="2:35" x14ac:dyDescent="0.25">
      <c r="B11" s="643"/>
      <c r="C11" s="90" t="s">
        <v>33</v>
      </c>
      <c r="D11" s="91">
        <f>'1'!G67</f>
        <v>29</v>
      </c>
      <c r="E11" s="91">
        <f>'2'!G67</f>
        <v>40</v>
      </c>
      <c r="F11" s="91">
        <f>'3'!G67</f>
        <v>36</v>
      </c>
      <c r="G11" s="91">
        <f>'4'!G67</f>
        <v>23</v>
      </c>
      <c r="H11" s="91">
        <f>'5'!G67</f>
        <v>24</v>
      </c>
      <c r="I11" s="91">
        <f>'6'!G67</f>
        <v>23</v>
      </c>
      <c r="J11" s="91">
        <f>'7'!G67</f>
        <v>26</v>
      </c>
      <c r="K11" s="91">
        <f>'8'!G67</f>
        <v>28</v>
      </c>
      <c r="L11" s="91">
        <f>'9'!G67</f>
        <v>34</v>
      </c>
      <c r="M11" s="91">
        <f>'10'!G67</f>
        <v>30</v>
      </c>
      <c r="N11" s="91">
        <f>'11'!G67</f>
        <v>24</v>
      </c>
      <c r="O11" s="91">
        <f>'12'!G67</f>
        <v>24</v>
      </c>
      <c r="P11" s="91">
        <f>'13'!G67</f>
        <v>22</v>
      </c>
      <c r="Q11" s="91">
        <f>'14'!G67</f>
        <v>19</v>
      </c>
      <c r="R11" s="91">
        <f>'15'!G67</f>
        <v>29</v>
      </c>
      <c r="S11" s="91">
        <f>'16'!G67</f>
        <v>36</v>
      </c>
      <c r="T11" s="91">
        <f>'17'!G67</f>
        <v>33</v>
      </c>
      <c r="U11" s="91">
        <f>'18 '!G67</f>
        <v>-1394</v>
      </c>
      <c r="V11" s="91">
        <f>'19'!G67</f>
        <v>-1394</v>
      </c>
      <c r="W11" s="91">
        <f>'20'!G67</f>
        <v>0</v>
      </c>
      <c r="X11" s="91">
        <f>'21'!G67</f>
        <v>0</v>
      </c>
      <c r="Y11" s="91">
        <f>'22'!G67</f>
        <v>0</v>
      </c>
      <c r="Z11" s="91">
        <f>'23'!G67</f>
        <v>0</v>
      </c>
      <c r="AA11" s="91">
        <f>'24'!G67</f>
        <v>0</v>
      </c>
      <c r="AB11" s="91">
        <f>'25'!G67</f>
        <v>0</v>
      </c>
      <c r="AC11" s="91">
        <f>'26'!G67</f>
        <v>0</v>
      </c>
      <c r="AD11" s="91">
        <f>'27'!G67</f>
        <v>0</v>
      </c>
      <c r="AE11" s="91">
        <f>'28'!G67</f>
        <v>0</v>
      </c>
      <c r="AF11" s="91">
        <f>'29'!G67</f>
        <v>0</v>
      </c>
      <c r="AG11" s="91">
        <f>'30'!G67</f>
        <v>0</v>
      </c>
      <c r="AH11" s="91">
        <f>'31'!G67</f>
        <v>0</v>
      </c>
      <c r="AI11" s="90"/>
    </row>
    <row r="12" spans="2:35" x14ac:dyDescent="0.2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 x14ac:dyDescent="0.25">
      <c r="B13" s="643" t="s">
        <v>72</v>
      </c>
      <c r="C13" s="90" t="s">
        <v>31</v>
      </c>
      <c r="D13" s="91">
        <f>'1'!G68</f>
        <v>31</v>
      </c>
      <c r="E13" s="91">
        <f>'2'!G68</f>
        <v>42</v>
      </c>
      <c r="F13" s="91">
        <f>'3'!G68</f>
        <v>53</v>
      </c>
      <c r="G13" s="91">
        <f>'4'!G68</f>
        <v>49</v>
      </c>
      <c r="H13" s="91">
        <f>'5'!G68</f>
        <v>52</v>
      </c>
      <c r="I13" s="91">
        <f>'6'!G68</f>
        <v>45</v>
      </c>
      <c r="J13" s="91">
        <f>'7'!G68</f>
        <v>41</v>
      </c>
      <c r="K13" s="91">
        <f>'8'!G68</f>
        <v>48</v>
      </c>
      <c r="L13" s="91">
        <f>'9'!G68</f>
        <v>41</v>
      </c>
      <c r="M13" s="91">
        <f>'10'!G68</f>
        <v>41</v>
      </c>
      <c r="N13" s="91">
        <f>'11'!G68</f>
        <v>43</v>
      </c>
      <c r="O13" s="91">
        <f>'12'!G68</f>
        <v>41</v>
      </c>
      <c r="P13" s="91">
        <f>'13'!G68</f>
        <v>38</v>
      </c>
      <c r="Q13" s="91">
        <f>'14'!G68</f>
        <v>59</v>
      </c>
      <c r="R13" s="91">
        <f>'15'!G68</f>
        <v>34</v>
      </c>
      <c r="S13" s="91">
        <f>'16'!G68</f>
        <v>51</v>
      </c>
      <c r="T13" s="91">
        <f>'17'!G68</f>
        <v>50</v>
      </c>
      <c r="U13" s="91">
        <f>'18 '!G68</f>
        <v>-1737</v>
      </c>
      <c r="V13" s="91">
        <f>'19'!G68</f>
        <v>-1737</v>
      </c>
      <c r="W13" s="91">
        <f>'20'!G68</f>
        <v>0</v>
      </c>
      <c r="X13" s="91">
        <f>'21'!G68</f>
        <v>0</v>
      </c>
      <c r="Y13" s="91">
        <f>'22'!G68</f>
        <v>0</v>
      </c>
      <c r="Z13" s="91">
        <f>'23'!G68</f>
        <v>0</v>
      </c>
      <c r="AA13" s="91">
        <f>'24'!G68</f>
        <v>0</v>
      </c>
      <c r="AB13" s="91">
        <f>'25'!G68</f>
        <v>0</v>
      </c>
      <c r="AC13" s="91">
        <f>'26'!G68</f>
        <v>0</v>
      </c>
      <c r="AD13" s="91">
        <f>'27'!G68</f>
        <v>0</v>
      </c>
      <c r="AE13" s="91">
        <f>'28'!G68</f>
        <v>0</v>
      </c>
      <c r="AF13" s="91">
        <f>'29'!G68</f>
        <v>0</v>
      </c>
      <c r="AG13" s="91">
        <f>'30'!G68</f>
        <v>0</v>
      </c>
      <c r="AH13" s="91">
        <f>'31'!G68</f>
        <v>0</v>
      </c>
      <c r="AI13" s="90"/>
    </row>
    <row r="14" spans="2:35" x14ac:dyDescent="0.25">
      <c r="B14" s="643"/>
      <c r="C14" s="90" t="s">
        <v>32</v>
      </c>
      <c r="D14" s="91">
        <f>'1'!G69</f>
        <v>9</v>
      </c>
      <c r="E14" s="91">
        <f>'2'!G69</f>
        <v>21</v>
      </c>
      <c r="F14" s="91">
        <f>'3'!G69</f>
        <v>12</v>
      </c>
      <c r="G14" s="91">
        <f>'4'!G69</f>
        <v>22</v>
      </c>
      <c r="H14" s="91">
        <f>'5'!G69</f>
        <v>8</v>
      </c>
      <c r="I14" s="91">
        <f>'6'!G69</f>
        <v>10</v>
      </c>
      <c r="J14" s="91">
        <f>'7'!G69</f>
        <v>11</v>
      </c>
      <c r="K14" s="91">
        <f>'8'!G69</f>
        <v>16</v>
      </c>
      <c r="L14" s="91">
        <f>'9'!G69</f>
        <v>16</v>
      </c>
      <c r="M14" s="91">
        <f>'10'!G69</f>
        <v>14</v>
      </c>
      <c r="N14" s="91">
        <f>'11'!G69</f>
        <v>12</v>
      </c>
      <c r="O14" s="91">
        <f>'12'!G69</f>
        <v>8</v>
      </c>
      <c r="P14" s="91">
        <f>'13'!G69</f>
        <v>10</v>
      </c>
      <c r="Q14" s="91">
        <f>'14'!G69</f>
        <v>9</v>
      </c>
      <c r="R14" s="91">
        <f>'15'!G69</f>
        <v>9</v>
      </c>
      <c r="S14" s="91">
        <f>'16'!G69</f>
        <v>8</v>
      </c>
      <c r="T14" s="91">
        <f>'17'!G69</f>
        <v>13</v>
      </c>
      <c r="U14" s="91">
        <f>'18 '!G69</f>
        <v>-620</v>
      </c>
      <c r="V14" s="91">
        <f>'19'!G69</f>
        <v>-620</v>
      </c>
      <c r="W14" s="91">
        <f>'20'!G69</f>
        <v>0</v>
      </c>
      <c r="X14" s="91">
        <f>'21'!G69</f>
        <v>0</v>
      </c>
      <c r="Y14" s="91">
        <f>'22'!G69</f>
        <v>0</v>
      </c>
      <c r="Z14" s="91">
        <f>'23'!G69</f>
        <v>0</v>
      </c>
      <c r="AA14" s="91">
        <f>'24'!G69</f>
        <v>0</v>
      </c>
      <c r="AB14" s="91">
        <f>'25'!G69</f>
        <v>0</v>
      </c>
      <c r="AC14" s="91">
        <f>'26'!G69</f>
        <v>0</v>
      </c>
      <c r="AD14" s="91">
        <f>'27'!G69</f>
        <v>0</v>
      </c>
      <c r="AE14" s="91">
        <f>'28'!G69</f>
        <v>0</v>
      </c>
      <c r="AF14" s="91">
        <f>'29'!G69</f>
        <v>0</v>
      </c>
      <c r="AG14" s="91">
        <f>'30'!G69</f>
        <v>0</v>
      </c>
      <c r="AH14" s="91">
        <f>'31'!G69</f>
        <v>0</v>
      </c>
      <c r="AI14" s="90"/>
    </row>
    <row r="15" spans="2:35" x14ac:dyDescent="0.25">
      <c r="B15" s="643"/>
      <c r="C15" s="90" t="s">
        <v>33</v>
      </c>
      <c r="D15" s="91">
        <f>'1'!G70</f>
        <v>10</v>
      </c>
      <c r="E15" s="91">
        <f>'2'!G70</f>
        <v>10</v>
      </c>
      <c r="F15" s="91">
        <f>'3'!G70</f>
        <v>10</v>
      </c>
      <c r="G15" s="91">
        <f>'4'!G70</f>
        <v>8</v>
      </c>
      <c r="H15" s="91">
        <f>'5'!G70</f>
        <v>10</v>
      </c>
      <c r="I15" s="91">
        <f>'6'!G70</f>
        <v>15</v>
      </c>
      <c r="J15" s="91">
        <f>'7'!G70</f>
        <v>9</v>
      </c>
      <c r="K15" s="91">
        <f>'8'!G70</f>
        <v>11</v>
      </c>
      <c r="L15" s="91">
        <f>'9'!G70</f>
        <v>11</v>
      </c>
      <c r="M15" s="91">
        <f>'10'!G70</f>
        <v>14</v>
      </c>
      <c r="N15" s="91">
        <f>'11'!G70</f>
        <v>22</v>
      </c>
      <c r="O15" s="91">
        <f>'12'!G70</f>
        <v>7</v>
      </c>
      <c r="P15" s="91">
        <f>'13'!G70</f>
        <v>12</v>
      </c>
      <c r="Q15" s="91">
        <f>'14'!G70</f>
        <v>9</v>
      </c>
      <c r="R15" s="91">
        <f>'15'!G70</f>
        <v>7</v>
      </c>
      <c r="S15" s="91">
        <f>'16'!G70</f>
        <v>16</v>
      </c>
      <c r="T15" s="91">
        <f>'17'!G70</f>
        <v>16</v>
      </c>
      <c r="U15" s="91">
        <f>'18 '!G70</f>
        <v>-628</v>
      </c>
      <c r="V15" s="91">
        <f>'19'!G70</f>
        <v>-628</v>
      </c>
      <c r="W15" s="91">
        <f>'20'!G70</f>
        <v>0</v>
      </c>
      <c r="X15" s="91">
        <f>'21'!G70</f>
        <v>0</v>
      </c>
      <c r="Y15" s="91">
        <f>'22'!G70</f>
        <v>0</v>
      </c>
      <c r="Z15" s="91">
        <f>'23'!G70</f>
        <v>0</v>
      </c>
      <c r="AA15" s="91">
        <f>'24'!G70</f>
        <v>0</v>
      </c>
      <c r="AB15" s="91">
        <f>'25'!G70</f>
        <v>0</v>
      </c>
      <c r="AC15" s="91">
        <f>'26'!G70</f>
        <v>0</v>
      </c>
      <c r="AD15" s="91">
        <f>'27'!G70</f>
        <v>0</v>
      </c>
      <c r="AE15" s="91">
        <f>'28'!G70</f>
        <v>0</v>
      </c>
      <c r="AF15" s="91">
        <f>'29'!G70</f>
        <v>0</v>
      </c>
      <c r="AG15" s="91">
        <f>'30'!G70</f>
        <v>0</v>
      </c>
      <c r="AH15" s="91">
        <f>'31'!G70</f>
        <v>0</v>
      </c>
      <c r="AI15" s="90"/>
    </row>
    <row r="16" spans="2:35" x14ac:dyDescent="0.2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 x14ac:dyDescent="0.25">
      <c r="B17" s="643" t="s">
        <v>73</v>
      </c>
      <c r="C17" s="90" t="s">
        <v>74</v>
      </c>
      <c r="D17" s="90">
        <f>'1'!G170</f>
        <v>0</v>
      </c>
      <c r="E17" s="91">
        <f>'2'!G170</f>
        <v>0</v>
      </c>
      <c r="F17" s="91">
        <f>'3'!G170</f>
        <v>0</v>
      </c>
      <c r="G17" s="91">
        <f>'4'!G170</f>
        <v>0</v>
      </c>
      <c r="H17" s="91">
        <f>'5'!G170</f>
        <v>0</v>
      </c>
      <c r="I17" s="91">
        <f>'6'!G170</f>
        <v>0</v>
      </c>
      <c r="J17" s="91">
        <f>'7'!G170</f>
        <v>0</v>
      </c>
      <c r="K17" s="91">
        <f>'8'!G170</f>
        <v>0</v>
      </c>
      <c r="L17" s="91">
        <f>'9'!G170</f>
        <v>0</v>
      </c>
      <c r="M17" s="91">
        <f>'10'!G170</f>
        <v>3</v>
      </c>
      <c r="N17" s="91">
        <f>'11'!G170</f>
        <v>0</v>
      </c>
      <c r="O17" s="91">
        <f>'12'!G170</f>
        <v>0</v>
      </c>
      <c r="P17" s="91">
        <f>'13'!G170</f>
        <v>0</v>
      </c>
      <c r="Q17" s="91">
        <f>'14'!G170</f>
        <v>0</v>
      </c>
      <c r="R17" s="91">
        <f>'15'!G170</f>
        <v>0</v>
      </c>
      <c r="S17" s="91">
        <f>'16'!G170</f>
        <v>0</v>
      </c>
      <c r="T17" s="91">
        <f>'17'!G170</f>
        <v>0</v>
      </c>
      <c r="U17" s="91">
        <f>'18 '!G170</f>
        <v>63</v>
      </c>
      <c r="V17" s="91">
        <f>'19'!G170</f>
        <v>63</v>
      </c>
      <c r="W17" s="91">
        <f>'20'!G170</f>
        <v>0</v>
      </c>
      <c r="X17" s="91">
        <f>'21'!G170</f>
        <v>0</v>
      </c>
      <c r="Y17" s="91">
        <f>'22'!G170</f>
        <v>0</v>
      </c>
      <c r="Z17" s="91">
        <f>'23'!G170</f>
        <v>0</v>
      </c>
      <c r="AA17" s="91">
        <f>'24'!G170</f>
        <v>0</v>
      </c>
      <c r="AB17" s="91">
        <f>'25'!G170</f>
        <v>0</v>
      </c>
      <c r="AC17" s="91">
        <f>'26'!G170</f>
        <v>0</v>
      </c>
      <c r="AD17" s="91">
        <f>'27'!G170</f>
        <v>0</v>
      </c>
      <c r="AE17" s="91">
        <f>'28'!G170</f>
        <v>0</v>
      </c>
      <c r="AF17" s="91">
        <f>'29'!G170</f>
        <v>0</v>
      </c>
      <c r="AG17" s="91">
        <f>'30'!G170</f>
        <v>0</v>
      </c>
      <c r="AH17" s="91">
        <f>'31'!G170</f>
        <v>0</v>
      </c>
      <c r="AI17" s="90"/>
    </row>
    <row r="18" spans="2:35" x14ac:dyDescent="0.25">
      <c r="B18" s="643"/>
      <c r="C18" s="90" t="s">
        <v>75</v>
      </c>
      <c r="D18" s="90">
        <f>'1'!G171</f>
        <v>10</v>
      </c>
      <c r="E18" s="91">
        <f>'2'!G171</f>
        <v>12</v>
      </c>
      <c r="F18" s="91">
        <f>'3'!G171</f>
        <v>12</v>
      </c>
      <c r="G18" s="91">
        <f>'4'!G171</f>
        <v>13</v>
      </c>
      <c r="H18" s="91">
        <f>'5'!G171</f>
        <v>10</v>
      </c>
      <c r="I18" s="91">
        <f>'6'!G171</f>
        <v>11</v>
      </c>
      <c r="J18" s="91">
        <f>'7'!G171</f>
        <v>13</v>
      </c>
      <c r="K18" s="91">
        <f>'8'!G171</f>
        <v>11</v>
      </c>
      <c r="L18" s="91">
        <f>'9'!G171</f>
        <v>10</v>
      </c>
      <c r="M18" s="91">
        <f>'10'!G171</f>
        <v>9</v>
      </c>
      <c r="N18" s="91">
        <f>'11'!G171</f>
        <v>373</v>
      </c>
      <c r="O18" s="91">
        <f>'12'!G171</f>
        <v>12</v>
      </c>
      <c r="P18" s="91">
        <f>'13'!G171</f>
        <v>22</v>
      </c>
      <c r="Q18" s="91">
        <f>'14'!G171</f>
        <v>22</v>
      </c>
      <c r="R18" s="91">
        <f>'15'!G171</f>
        <v>20</v>
      </c>
      <c r="S18" s="91">
        <f>'16'!G171</f>
        <v>11</v>
      </c>
      <c r="T18" s="91">
        <f>'17'!G171</f>
        <v>11</v>
      </c>
      <c r="U18" s="91">
        <f>'18 '!G171</f>
        <v>-457</v>
      </c>
      <c r="V18" s="91">
        <f>'19'!G171</f>
        <v>-457</v>
      </c>
      <c r="W18" s="91">
        <f>'20'!G171</f>
        <v>0</v>
      </c>
      <c r="X18" s="91">
        <f>'21'!G171</f>
        <v>0</v>
      </c>
      <c r="Y18" s="91">
        <f>'22'!G171</f>
        <v>0</v>
      </c>
      <c r="Z18" s="91">
        <f>'23'!G171</f>
        <v>0</v>
      </c>
      <c r="AA18" s="91">
        <f>'24'!G171</f>
        <v>0</v>
      </c>
      <c r="AB18" s="91">
        <f>'25'!G171</f>
        <v>0</v>
      </c>
      <c r="AC18" s="91">
        <f>'26'!G171</f>
        <v>0</v>
      </c>
      <c r="AD18" s="91">
        <f>'27'!G171</f>
        <v>0</v>
      </c>
      <c r="AE18" s="91">
        <f>'28'!G171</f>
        <v>0</v>
      </c>
      <c r="AF18" s="91">
        <f>'29'!G171</f>
        <v>0</v>
      </c>
      <c r="AG18" s="91">
        <f>'30'!G171</f>
        <v>0</v>
      </c>
      <c r="AH18" s="91">
        <f>'31'!G171</f>
        <v>0</v>
      </c>
      <c r="AI18" s="90"/>
    </row>
    <row r="19" spans="2:35" x14ac:dyDescent="0.25">
      <c r="B19" s="643"/>
      <c r="C19" s="90" t="s">
        <v>76</v>
      </c>
      <c r="D19" s="90">
        <f>'1'!G172</f>
        <v>9</v>
      </c>
      <c r="E19" s="91">
        <f>'2'!G172</f>
        <v>9</v>
      </c>
      <c r="F19" s="91">
        <f>'3'!G172</f>
        <v>9</v>
      </c>
      <c r="G19" s="91">
        <f>'4'!G172</f>
        <v>12</v>
      </c>
      <c r="H19" s="91">
        <f>'5'!G172</f>
        <v>11</v>
      </c>
      <c r="I19" s="91">
        <f>'6'!G172</f>
        <v>11</v>
      </c>
      <c r="J19" s="91">
        <f>'7'!G172</f>
        <v>11</v>
      </c>
      <c r="K19" s="91">
        <f>'8'!G172</f>
        <v>12</v>
      </c>
      <c r="L19" s="91">
        <f>'9'!G172</f>
        <v>9</v>
      </c>
      <c r="M19" s="91">
        <f>'10'!G172</f>
        <v>9</v>
      </c>
      <c r="N19" s="91">
        <f>'11'!G172</f>
        <v>12</v>
      </c>
      <c r="O19" s="91">
        <f>'12'!G172</f>
        <v>12</v>
      </c>
      <c r="P19" s="91">
        <f>'13'!G172</f>
        <v>10</v>
      </c>
      <c r="Q19" s="91">
        <f>'14'!G172</f>
        <v>14</v>
      </c>
      <c r="R19" s="91">
        <f>'15'!G172</f>
        <v>9</v>
      </c>
      <c r="S19" s="91">
        <f>'16'!G172</f>
        <v>9</v>
      </c>
      <c r="T19" s="91">
        <f>'17'!G172</f>
        <v>9</v>
      </c>
      <c r="U19" s="91">
        <f>'18 '!G172</f>
        <v>-432</v>
      </c>
      <c r="V19" s="91">
        <f>'19'!G172</f>
        <v>-432</v>
      </c>
      <c r="W19" s="91">
        <f>'20'!G172</f>
        <v>0</v>
      </c>
      <c r="X19" s="91">
        <f>'21'!G172</f>
        <v>0</v>
      </c>
      <c r="Y19" s="91">
        <f>'22'!G172</f>
        <v>0</v>
      </c>
      <c r="Z19" s="91">
        <f>'23'!G172</f>
        <v>0</v>
      </c>
      <c r="AA19" s="91">
        <f>'24'!G172</f>
        <v>0</v>
      </c>
      <c r="AB19" s="91">
        <f>'25'!G172</f>
        <v>0</v>
      </c>
      <c r="AC19" s="91">
        <f>'26'!G172</f>
        <v>0</v>
      </c>
      <c r="AD19" s="91">
        <f>'27'!G172</f>
        <v>0</v>
      </c>
      <c r="AE19" s="91">
        <f>'28'!G172</f>
        <v>0</v>
      </c>
      <c r="AF19" s="91">
        <f>'29'!G172</f>
        <v>0</v>
      </c>
      <c r="AG19" s="91">
        <f>'30'!G172</f>
        <v>0</v>
      </c>
      <c r="AH19" s="91">
        <f>'31'!G172</f>
        <v>0</v>
      </c>
      <c r="AI19" s="90"/>
    </row>
    <row r="20" spans="2:35" x14ac:dyDescent="0.2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 x14ac:dyDescent="0.25">
      <c r="B21" s="643" t="s">
        <v>77</v>
      </c>
      <c r="C21" s="90" t="s">
        <v>78</v>
      </c>
      <c r="D21" s="90">
        <f>'1'!G175</f>
        <v>83</v>
      </c>
      <c r="E21" s="91">
        <f>'2'!G175</f>
        <v>84</v>
      </c>
      <c r="F21" s="91">
        <f>'3'!G175</f>
        <v>73</v>
      </c>
      <c r="G21" s="91">
        <f>'4'!G175</f>
        <v>84</v>
      </c>
      <c r="H21" s="91">
        <f>'5'!G175</f>
        <v>82</v>
      </c>
      <c r="I21" s="91">
        <f>'6'!G175</f>
        <v>86</v>
      </c>
      <c r="J21" s="91">
        <f>'7'!G175</f>
        <v>42</v>
      </c>
      <c r="K21" s="91">
        <f>'8'!G175</f>
        <v>96</v>
      </c>
      <c r="L21" s="91">
        <f>'9'!G175</f>
        <v>119</v>
      </c>
      <c r="M21" s="91">
        <f>'10'!G175</f>
        <v>112</v>
      </c>
      <c r="N21" s="91">
        <f>'11'!G175</f>
        <v>72</v>
      </c>
      <c r="O21" s="91">
        <f>'12'!G175</f>
        <v>27</v>
      </c>
      <c r="P21" s="91">
        <f>'13'!G175</f>
        <v>88</v>
      </c>
      <c r="Q21" s="91">
        <f>'14'!G175</f>
        <v>112</v>
      </c>
      <c r="R21" s="91">
        <f>'15'!G175</f>
        <v>110</v>
      </c>
      <c r="S21" s="91">
        <f>'16'!G175</f>
        <v>107</v>
      </c>
      <c r="T21" s="91">
        <f>'17'!G175</f>
        <v>106</v>
      </c>
      <c r="U21" s="91">
        <f>'18 '!G175</f>
        <v>-3893</v>
      </c>
      <c r="V21" s="91">
        <f>'19'!G175</f>
        <v>-3893</v>
      </c>
      <c r="W21" s="91">
        <f>'20'!G175</f>
        <v>0</v>
      </c>
      <c r="X21" s="91">
        <f>'21'!G175</f>
        <v>0</v>
      </c>
      <c r="Y21" s="91">
        <f>'22'!G175</f>
        <v>0</v>
      </c>
      <c r="Z21" s="91">
        <f>'23'!G175</f>
        <v>0</v>
      </c>
      <c r="AA21" s="91">
        <f>'24'!G175</f>
        <v>0</v>
      </c>
      <c r="AB21" s="91">
        <f>'25'!G175</f>
        <v>0</v>
      </c>
      <c r="AC21" s="91">
        <f>'26'!G175</f>
        <v>0</v>
      </c>
      <c r="AD21" s="91">
        <f>'27'!G175</f>
        <v>0</v>
      </c>
      <c r="AE21" s="91">
        <f>'28'!G175</f>
        <v>0</v>
      </c>
      <c r="AF21" s="91">
        <f>'29'!G175</f>
        <v>0</v>
      </c>
      <c r="AG21" s="91">
        <f>'30'!G175</f>
        <v>0</v>
      </c>
      <c r="AH21" s="91">
        <f>'31'!G175</f>
        <v>0</v>
      </c>
      <c r="AI21" s="90"/>
    </row>
    <row r="22" spans="2:35" x14ac:dyDescent="0.25">
      <c r="B22" s="643"/>
      <c r="C22" s="90" t="s">
        <v>79</v>
      </c>
      <c r="D22" s="90">
        <f>'1'!G176</f>
        <v>0</v>
      </c>
      <c r="E22" s="91">
        <f>'2'!G176</f>
        <v>0</v>
      </c>
      <c r="F22" s="91">
        <f>'3'!G176</f>
        <v>0</v>
      </c>
      <c r="G22" s="91">
        <f>'4'!G176</f>
        <v>0</v>
      </c>
      <c r="H22" s="91">
        <f>'5'!G176</f>
        <v>0</v>
      </c>
      <c r="I22" s="91">
        <f>'6'!G176</f>
        <v>0</v>
      </c>
      <c r="J22" s="91">
        <f>'7'!G176</f>
        <v>0</v>
      </c>
      <c r="K22" s="91">
        <f>'8'!G176</f>
        <v>0</v>
      </c>
      <c r="L22" s="91">
        <f>'9'!G176</f>
        <v>0</v>
      </c>
      <c r="M22" s="91">
        <f>'10'!G176</f>
        <v>0</v>
      </c>
      <c r="N22" s="91">
        <f>'11'!G176</f>
        <v>0</v>
      </c>
      <c r="O22" s="91">
        <f>'12'!G176</f>
        <v>0</v>
      </c>
      <c r="P22" s="91">
        <f>'13'!G176</f>
        <v>0</v>
      </c>
      <c r="Q22" s="91">
        <f>'14'!G176</f>
        <v>0</v>
      </c>
      <c r="R22" s="91">
        <f>'15'!G176</f>
        <v>0</v>
      </c>
      <c r="S22" s="91">
        <f>'16'!G176</f>
        <v>0</v>
      </c>
      <c r="T22" s="91">
        <f>'17'!G176</f>
        <v>0</v>
      </c>
      <c r="U22" s="91">
        <f>'18 '!G176</f>
        <v>0</v>
      </c>
      <c r="V22" s="91">
        <f>'19'!G176</f>
        <v>0</v>
      </c>
      <c r="W22" s="91">
        <f>'20'!G176</f>
        <v>0</v>
      </c>
      <c r="X22" s="91">
        <f>'21'!G176</f>
        <v>0</v>
      </c>
      <c r="Y22" s="91">
        <f>'22'!G176</f>
        <v>0</v>
      </c>
      <c r="Z22" s="91">
        <f>'23'!G176</f>
        <v>0</v>
      </c>
      <c r="AA22" s="91">
        <f>'24'!G176</f>
        <v>0</v>
      </c>
      <c r="AB22" s="91">
        <f>'25'!G176</f>
        <v>0</v>
      </c>
      <c r="AC22" s="91">
        <f>'26'!G176</f>
        <v>0</v>
      </c>
      <c r="AD22" s="91">
        <f>'27'!G176</f>
        <v>0</v>
      </c>
      <c r="AE22" s="91">
        <f>'28'!G176</f>
        <v>0</v>
      </c>
      <c r="AF22" s="91">
        <f>'29'!G176</f>
        <v>0</v>
      </c>
      <c r="AG22" s="91">
        <f>'30'!G176</f>
        <v>0</v>
      </c>
      <c r="AH22" s="91">
        <f>'31'!G176</f>
        <v>0</v>
      </c>
      <c r="AI22" s="90"/>
    </row>
    <row r="23" spans="2:35" x14ac:dyDescent="0.25">
      <c r="B23" s="643"/>
      <c r="C23" s="90" t="s">
        <v>80</v>
      </c>
      <c r="D23" s="90">
        <f>'1'!G177</f>
        <v>0</v>
      </c>
      <c r="E23" s="91">
        <f>'2'!G177</f>
        <v>0</v>
      </c>
      <c r="F23" s="91">
        <f>'3'!G177</f>
        <v>8</v>
      </c>
      <c r="G23" s="91">
        <f>'4'!G177</f>
        <v>8</v>
      </c>
      <c r="H23" s="91">
        <f>'5'!G177</f>
        <v>0</v>
      </c>
      <c r="I23" s="91">
        <f>'6'!G177</f>
        <v>4</v>
      </c>
      <c r="J23" s="91">
        <f>'7'!G177</f>
        <v>0</v>
      </c>
      <c r="K23" s="91">
        <f>'8'!G177</f>
        <v>4</v>
      </c>
      <c r="L23" s="91">
        <f>'9'!G177</f>
        <v>26</v>
      </c>
      <c r="M23" s="91">
        <f>'10'!G177</f>
        <v>1</v>
      </c>
      <c r="N23" s="91">
        <f>'11'!G177</f>
        <v>7</v>
      </c>
      <c r="O23" s="91">
        <f>'12'!G177</f>
        <v>8</v>
      </c>
      <c r="P23" s="91">
        <f>'13'!G177</f>
        <v>4</v>
      </c>
      <c r="Q23" s="91">
        <f>'14'!G177</f>
        <v>9</v>
      </c>
      <c r="R23" s="91">
        <f>'15'!G177</f>
        <v>11</v>
      </c>
      <c r="S23" s="91">
        <f>'16'!G177</f>
        <v>3014</v>
      </c>
      <c r="T23" s="91">
        <f>'17'!G177</f>
        <v>0</v>
      </c>
      <c r="U23" s="91">
        <f>'18 '!G177</f>
        <v>-3147</v>
      </c>
      <c r="V23" s="91">
        <f>'19'!G177</f>
        <v>-3147</v>
      </c>
      <c r="W23" s="91">
        <f>'20'!G177</f>
        <v>0</v>
      </c>
      <c r="X23" s="91">
        <f>'21'!G177</f>
        <v>0</v>
      </c>
      <c r="Y23" s="91">
        <f>'22'!G177</f>
        <v>0</v>
      </c>
      <c r="Z23" s="91">
        <f>'23'!G177</f>
        <v>0</v>
      </c>
      <c r="AA23" s="91">
        <f>'24'!G177</f>
        <v>0</v>
      </c>
      <c r="AB23" s="91">
        <f>'25'!G177</f>
        <v>0</v>
      </c>
      <c r="AC23" s="91">
        <f>'26'!G177</f>
        <v>0</v>
      </c>
      <c r="AD23" s="91">
        <f>'27'!G177</f>
        <v>0</v>
      </c>
      <c r="AE23" s="91">
        <f>'28'!G177</f>
        <v>0</v>
      </c>
      <c r="AF23" s="91">
        <f>'29'!G177</f>
        <v>0</v>
      </c>
      <c r="AG23" s="91">
        <f>'30'!G177</f>
        <v>0</v>
      </c>
      <c r="AH23" s="91">
        <f>'31'!G177</f>
        <v>0</v>
      </c>
      <c r="AI23" s="90"/>
    </row>
    <row r="24" spans="2:35" ht="30" x14ac:dyDescent="0.25">
      <c r="B24" s="93" t="s">
        <v>301</v>
      </c>
      <c r="C24" s="90"/>
      <c r="D24" s="91">
        <f>SUM(D5:D6)</f>
        <v>199</v>
      </c>
      <c r="E24" s="91">
        <f t="shared" ref="E24:AH24" si="0">SUM(E5:E6)</f>
        <v>259</v>
      </c>
      <c r="F24" s="91">
        <f t="shared" si="0"/>
        <v>259</v>
      </c>
      <c r="G24" s="91">
        <f t="shared" si="0"/>
        <v>250</v>
      </c>
      <c r="H24" s="91">
        <f t="shared" si="0"/>
        <v>281</v>
      </c>
      <c r="I24" s="91">
        <f t="shared" si="0"/>
        <v>240</v>
      </c>
      <c r="J24" s="91">
        <f t="shared" si="0"/>
        <v>258</v>
      </c>
      <c r="K24" s="91">
        <f t="shared" si="0"/>
        <v>231</v>
      </c>
      <c r="L24" s="91">
        <f t="shared" si="0"/>
        <v>274</v>
      </c>
      <c r="M24" s="91">
        <f t="shared" si="0"/>
        <v>258</v>
      </c>
      <c r="N24" s="91">
        <f t="shared" si="0"/>
        <v>276</v>
      </c>
      <c r="O24" s="91">
        <f t="shared" si="0"/>
        <v>248</v>
      </c>
      <c r="P24" s="91">
        <f t="shared" si="0"/>
        <v>219</v>
      </c>
      <c r="Q24" s="91">
        <f t="shared" si="0"/>
        <v>241</v>
      </c>
      <c r="R24" s="91">
        <f t="shared" si="0"/>
        <v>269</v>
      </c>
      <c r="S24" s="91">
        <f t="shared" si="0"/>
        <v>280</v>
      </c>
      <c r="T24" s="91">
        <f t="shared" si="0"/>
        <v>271</v>
      </c>
      <c r="U24" s="91">
        <f t="shared" si="0"/>
        <v>200</v>
      </c>
      <c r="V24" s="91">
        <f t="shared" si="0"/>
        <v>200</v>
      </c>
      <c r="W24" s="91">
        <f t="shared" si="0"/>
        <v>200</v>
      </c>
      <c r="X24" s="91">
        <f t="shared" si="0"/>
        <v>200</v>
      </c>
      <c r="Y24" s="91">
        <f t="shared" si="0"/>
        <v>200</v>
      </c>
      <c r="Z24" s="91">
        <f t="shared" si="0"/>
        <v>200</v>
      </c>
      <c r="AA24" s="91">
        <f t="shared" si="0"/>
        <v>200</v>
      </c>
      <c r="AB24" s="91">
        <f t="shared" si="0"/>
        <v>200</v>
      </c>
      <c r="AC24" s="91">
        <f t="shared" si="0"/>
        <v>200</v>
      </c>
      <c r="AD24" s="91">
        <f t="shared" si="0"/>
        <v>200</v>
      </c>
      <c r="AE24" s="91">
        <f t="shared" si="0"/>
        <v>200</v>
      </c>
      <c r="AF24" s="91">
        <f t="shared" si="0"/>
        <v>200</v>
      </c>
      <c r="AG24" s="91">
        <f t="shared" si="0"/>
        <v>200</v>
      </c>
      <c r="AH24" s="91">
        <f t="shared" si="0"/>
        <v>200</v>
      </c>
      <c r="AI24" s="90"/>
    </row>
    <row r="25" spans="2:35" ht="30" x14ac:dyDescent="0.25">
      <c r="B25" s="93" t="s">
        <v>81</v>
      </c>
      <c r="C25" s="90"/>
      <c r="D25" s="91">
        <f>SUM(D9:D11,D14:D15,)</f>
        <v>148</v>
      </c>
      <c r="E25" s="91">
        <f t="shared" ref="E25:AI25" si="1">SUM(E9:E11,E14:E15,)</f>
        <v>187</v>
      </c>
      <c r="F25" s="91">
        <f t="shared" si="1"/>
        <v>164</v>
      </c>
      <c r="G25" s="91">
        <f t="shared" si="1"/>
        <v>159</v>
      </c>
      <c r="H25" s="91">
        <f t="shared" si="1"/>
        <v>160</v>
      </c>
      <c r="I25" s="91">
        <f t="shared" si="1"/>
        <v>172</v>
      </c>
      <c r="J25" s="91">
        <f t="shared" si="1"/>
        <v>162</v>
      </c>
      <c r="K25" s="91">
        <f>SUM(K9:K11,K14:K15,)</f>
        <v>171</v>
      </c>
      <c r="L25" s="91">
        <f t="shared" si="1"/>
        <v>170</v>
      </c>
      <c r="M25" s="91">
        <f t="shared" si="1"/>
        <v>172</v>
      </c>
      <c r="N25" s="91">
        <f t="shared" si="1"/>
        <v>182</v>
      </c>
      <c r="O25" s="91">
        <f t="shared" si="1"/>
        <v>137</v>
      </c>
      <c r="P25" s="91">
        <f t="shared" si="1"/>
        <v>155</v>
      </c>
      <c r="Q25" s="91">
        <f t="shared" si="1"/>
        <v>144</v>
      </c>
      <c r="R25" s="91">
        <f t="shared" si="1"/>
        <v>182</v>
      </c>
      <c r="S25" s="91">
        <f t="shared" si="1"/>
        <v>169</v>
      </c>
      <c r="T25" s="91">
        <f>SUM(T9:T11,T14:T15,)</f>
        <v>187</v>
      </c>
      <c r="U25" s="91">
        <f t="shared" si="1"/>
        <v>-7526</v>
      </c>
      <c r="V25" s="91">
        <f t="shared" si="1"/>
        <v>-7526</v>
      </c>
      <c r="W25" s="91">
        <f t="shared" si="1"/>
        <v>0</v>
      </c>
      <c r="X25" s="91">
        <f t="shared" si="1"/>
        <v>0</v>
      </c>
      <c r="Y25" s="91">
        <f t="shared" si="1"/>
        <v>0</v>
      </c>
      <c r="Z25" s="91">
        <f t="shared" si="1"/>
        <v>0</v>
      </c>
      <c r="AA25" s="91">
        <f t="shared" si="1"/>
        <v>0</v>
      </c>
      <c r="AB25" s="91">
        <f t="shared" si="1"/>
        <v>0</v>
      </c>
      <c r="AC25" s="91">
        <f t="shared" si="1"/>
        <v>0</v>
      </c>
      <c r="AD25" s="91">
        <f t="shared" si="1"/>
        <v>0</v>
      </c>
      <c r="AE25" s="91">
        <f t="shared" si="1"/>
        <v>0</v>
      </c>
      <c r="AF25" s="91">
        <f t="shared" si="1"/>
        <v>0</v>
      </c>
      <c r="AG25" s="91">
        <f t="shared" si="1"/>
        <v>0</v>
      </c>
      <c r="AH25" s="91">
        <f t="shared" si="1"/>
        <v>0</v>
      </c>
      <c r="AI25" s="91">
        <f t="shared" si="1"/>
        <v>0</v>
      </c>
    </row>
    <row r="26" spans="2:35" x14ac:dyDescent="0.2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 x14ac:dyDescent="0.25">
      <c r="B27" s="93" t="s">
        <v>82</v>
      </c>
      <c r="C27" s="90"/>
      <c r="D27" s="91">
        <f>SUM(D13,D21,D23)</f>
        <v>114</v>
      </c>
      <c r="E27" s="91">
        <f t="shared" ref="E27:AH27" si="2">SUM(E13,E21,E23)</f>
        <v>126</v>
      </c>
      <c r="F27" s="91">
        <f>SUM(F13,F21,F23)</f>
        <v>134</v>
      </c>
      <c r="G27" s="91">
        <f t="shared" si="2"/>
        <v>141</v>
      </c>
      <c r="H27" s="91">
        <f t="shared" si="2"/>
        <v>134</v>
      </c>
      <c r="I27" s="91">
        <f t="shared" si="2"/>
        <v>135</v>
      </c>
      <c r="J27" s="91">
        <f t="shared" si="2"/>
        <v>83</v>
      </c>
      <c r="K27" s="91">
        <f t="shared" si="2"/>
        <v>148</v>
      </c>
      <c r="L27" s="91">
        <f t="shared" si="2"/>
        <v>186</v>
      </c>
      <c r="M27" s="91">
        <f t="shared" si="2"/>
        <v>154</v>
      </c>
      <c r="N27" s="91">
        <f t="shared" si="2"/>
        <v>122</v>
      </c>
      <c r="O27" s="91">
        <f t="shared" si="2"/>
        <v>76</v>
      </c>
      <c r="P27" s="91">
        <f t="shared" si="2"/>
        <v>130</v>
      </c>
      <c r="Q27" s="91">
        <f t="shared" si="2"/>
        <v>180</v>
      </c>
      <c r="R27" s="91">
        <f t="shared" si="2"/>
        <v>155</v>
      </c>
      <c r="S27" s="91">
        <f t="shared" si="2"/>
        <v>3172</v>
      </c>
      <c r="T27" s="91">
        <f t="shared" si="2"/>
        <v>156</v>
      </c>
      <c r="U27" s="91">
        <f t="shared" si="2"/>
        <v>-8777</v>
      </c>
      <c r="V27" s="91">
        <f t="shared" si="2"/>
        <v>-8777</v>
      </c>
      <c r="W27" s="91">
        <f t="shared" si="2"/>
        <v>0</v>
      </c>
      <c r="X27" s="91">
        <f t="shared" si="2"/>
        <v>0</v>
      </c>
      <c r="Y27" s="91">
        <f t="shared" si="2"/>
        <v>0</v>
      </c>
      <c r="Z27" s="91">
        <f t="shared" si="2"/>
        <v>0</v>
      </c>
      <c r="AA27" s="91">
        <f t="shared" si="2"/>
        <v>0</v>
      </c>
      <c r="AB27" s="91">
        <f t="shared" si="2"/>
        <v>0</v>
      </c>
      <c r="AC27" s="91">
        <f t="shared" si="2"/>
        <v>0</v>
      </c>
      <c r="AD27" s="91">
        <f t="shared" si="2"/>
        <v>0</v>
      </c>
      <c r="AE27" s="91">
        <f t="shared" si="2"/>
        <v>0</v>
      </c>
      <c r="AF27" s="91">
        <f t="shared" si="2"/>
        <v>0</v>
      </c>
      <c r="AG27" s="91">
        <f t="shared" si="2"/>
        <v>0</v>
      </c>
      <c r="AH27" s="91">
        <f t="shared" si="2"/>
        <v>0</v>
      </c>
      <c r="AI27" s="91">
        <f t="shared" ref="AI27" si="3">SUM(AI13)</f>
        <v>0</v>
      </c>
    </row>
    <row r="28" spans="2:35" x14ac:dyDescent="0.25">
      <c r="B28" s="248"/>
      <c r="C28" s="249"/>
      <c r="D28" s="249"/>
      <c r="E28" s="249"/>
      <c r="F28" s="249"/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249"/>
      <c r="R28" s="249"/>
      <c r="S28" s="249"/>
      <c r="T28" s="249"/>
      <c r="U28" s="249"/>
      <c r="V28" s="249"/>
      <c r="W28" s="249"/>
      <c r="X28" s="249"/>
      <c r="Y28" s="249"/>
      <c r="Z28" s="249"/>
      <c r="AA28" s="249"/>
      <c r="AB28" s="249"/>
      <c r="AC28" s="249"/>
      <c r="AD28" s="249"/>
      <c r="AE28" s="249"/>
      <c r="AF28" s="249"/>
      <c r="AG28" s="249"/>
      <c r="AH28" s="249"/>
      <c r="AI28" s="249"/>
    </row>
    <row r="29" spans="2:35" x14ac:dyDescent="0.25">
      <c r="B29" s="248" t="s">
        <v>83</v>
      </c>
      <c r="C29" s="249"/>
      <c r="D29" s="250">
        <f>D9</f>
        <v>76</v>
      </c>
      <c r="E29" s="250">
        <f t="shared" ref="E29:AH29" si="4">E9</f>
        <v>94</v>
      </c>
      <c r="F29" s="250">
        <f t="shared" si="4"/>
        <v>80</v>
      </c>
      <c r="G29" s="250">
        <f t="shared" si="4"/>
        <v>85</v>
      </c>
      <c r="H29" s="250">
        <f t="shared" si="4"/>
        <v>102</v>
      </c>
      <c r="I29" s="250">
        <f t="shared" si="4"/>
        <v>97</v>
      </c>
      <c r="J29" s="250">
        <f t="shared" si="4"/>
        <v>99</v>
      </c>
      <c r="K29" s="250">
        <f t="shared" si="4"/>
        <v>90</v>
      </c>
      <c r="L29" s="250">
        <f t="shared" si="4"/>
        <v>83</v>
      </c>
      <c r="M29" s="250">
        <f t="shared" si="4"/>
        <v>89</v>
      </c>
      <c r="N29" s="250">
        <f t="shared" si="4"/>
        <v>98</v>
      </c>
      <c r="O29" s="250">
        <f t="shared" si="4"/>
        <v>81</v>
      </c>
      <c r="P29" s="250">
        <f t="shared" si="4"/>
        <v>90</v>
      </c>
      <c r="Q29" s="250">
        <f t="shared" si="4"/>
        <v>89</v>
      </c>
      <c r="R29" s="250">
        <f t="shared" si="4"/>
        <v>120</v>
      </c>
      <c r="S29" s="250">
        <f t="shared" si="4"/>
        <v>89</v>
      </c>
      <c r="T29" s="250">
        <f t="shared" si="4"/>
        <v>98</v>
      </c>
      <c r="U29" s="250">
        <f t="shared" si="4"/>
        <v>-3830</v>
      </c>
      <c r="V29" s="250">
        <f t="shared" si="4"/>
        <v>-3830</v>
      </c>
      <c r="W29" s="250">
        <f t="shared" si="4"/>
        <v>0</v>
      </c>
      <c r="X29" s="250">
        <f t="shared" si="4"/>
        <v>0</v>
      </c>
      <c r="Y29" s="250">
        <f t="shared" si="4"/>
        <v>0</v>
      </c>
      <c r="Z29" s="250">
        <f t="shared" si="4"/>
        <v>0</v>
      </c>
      <c r="AA29" s="250">
        <f t="shared" si="4"/>
        <v>0</v>
      </c>
      <c r="AB29" s="250">
        <f t="shared" si="4"/>
        <v>0</v>
      </c>
      <c r="AC29" s="250">
        <f t="shared" si="4"/>
        <v>0</v>
      </c>
      <c r="AD29" s="250">
        <f t="shared" si="4"/>
        <v>0</v>
      </c>
      <c r="AE29" s="250">
        <f t="shared" si="4"/>
        <v>0</v>
      </c>
      <c r="AF29" s="250">
        <f t="shared" si="4"/>
        <v>0</v>
      </c>
      <c r="AG29" s="250">
        <f t="shared" si="4"/>
        <v>0</v>
      </c>
      <c r="AH29" s="250">
        <f t="shared" si="4"/>
        <v>0</v>
      </c>
      <c r="AI29" s="249"/>
    </row>
    <row r="30" spans="2:35" x14ac:dyDescent="0.25">
      <c r="B30" s="248" t="s">
        <v>84</v>
      </c>
      <c r="C30" s="249"/>
      <c r="D30" s="250">
        <f>SUM(D10:D11,D14:D15)</f>
        <v>72</v>
      </c>
      <c r="E30" s="250">
        <f t="shared" ref="E30:AH30" si="5">SUM(E10:E11,E14:E15)</f>
        <v>93</v>
      </c>
      <c r="F30" s="250">
        <f t="shared" si="5"/>
        <v>84</v>
      </c>
      <c r="G30" s="250">
        <f t="shared" si="5"/>
        <v>74</v>
      </c>
      <c r="H30" s="250">
        <f t="shared" si="5"/>
        <v>58</v>
      </c>
      <c r="I30" s="250">
        <f t="shared" si="5"/>
        <v>75</v>
      </c>
      <c r="J30" s="250">
        <f t="shared" si="5"/>
        <v>63</v>
      </c>
      <c r="K30" s="250">
        <f t="shared" si="5"/>
        <v>81</v>
      </c>
      <c r="L30" s="250">
        <f t="shared" si="5"/>
        <v>87</v>
      </c>
      <c r="M30" s="250">
        <f t="shared" si="5"/>
        <v>83</v>
      </c>
      <c r="N30" s="250">
        <f t="shared" si="5"/>
        <v>84</v>
      </c>
      <c r="O30" s="250">
        <f t="shared" si="5"/>
        <v>56</v>
      </c>
      <c r="P30" s="250">
        <f t="shared" si="5"/>
        <v>65</v>
      </c>
      <c r="Q30" s="250">
        <f t="shared" si="5"/>
        <v>55</v>
      </c>
      <c r="R30" s="250">
        <f t="shared" si="5"/>
        <v>62</v>
      </c>
      <c r="S30" s="250">
        <f t="shared" si="5"/>
        <v>80</v>
      </c>
      <c r="T30" s="250">
        <f t="shared" si="5"/>
        <v>89</v>
      </c>
      <c r="U30" s="250">
        <f t="shared" si="5"/>
        <v>-3696</v>
      </c>
      <c r="V30" s="250">
        <f t="shared" si="5"/>
        <v>-3696</v>
      </c>
      <c r="W30" s="250">
        <f t="shared" si="5"/>
        <v>0</v>
      </c>
      <c r="X30" s="250">
        <f t="shared" si="5"/>
        <v>0</v>
      </c>
      <c r="Y30" s="250">
        <f t="shared" si="5"/>
        <v>0</v>
      </c>
      <c r="Z30" s="250">
        <f t="shared" si="5"/>
        <v>0</v>
      </c>
      <c r="AA30" s="250">
        <f t="shared" si="5"/>
        <v>0</v>
      </c>
      <c r="AB30" s="250">
        <f t="shared" si="5"/>
        <v>0</v>
      </c>
      <c r="AC30" s="250">
        <f t="shared" si="5"/>
        <v>0</v>
      </c>
      <c r="AD30" s="250">
        <f t="shared" si="5"/>
        <v>0</v>
      </c>
      <c r="AE30" s="250">
        <f t="shared" si="5"/>
        <v>0</v>
      </c>
      <c r="AF30" s="250">
        <f t="shared" si="5"/>
        <v>0</v>
      </c>
      <c r="AG30" s="250">
        <f t="shared" si="5"/>
        <v>0</v>
      </c>
      <c r="AH30" s="250">
        <f t="shared" si="5"/>
        <v>0</v>
      </c>
      <c r="AI30" s="249"/>
    </row>
    <row r="31" spans="2:35" x14ac:dyDescent="0.25">
      <c r="B31" s="248" t="s">
        <v>85</v>
      </c>
      <c r="C31" s="249"/>
      <c r="D31" s="249">
        <f>D30/SUM(D29:D30)%</f>
        <v>48.648648648648653</v>
      </c>
      <c r="E31" s="249">
        <f t="shared" ref="E31:AH31" si="6">E30/SUM(E29:E30)%</f>
        <v>49.732620320855609</v>
      </c>
      <c r="F31" s="249">
        <f t="shared" si="6"/>
        <v>51.219512195121958</v>
      </c>
      <c r="G31" s="249">
        <f t="shared" si="6"/>
        <v>46.540880503144649</v>
      </c>
      <c r="H31" s="249">
        <f t="shared" si="6"/>
        <v>36.25</v>
      </c>
      <c r="I31" s="249">
        <f t="shared" si="6"/>
        <v>43.604651162790695</v>
      </c>
      <c r="J31" s="249">
        <f t="shared" si="6"/>
        <v>38.888888888888886</v>
      </c>
      <c r="K31" s="249">
        <f t="shared" si="6"/>
        <v>47.368421052631582</v>
      </c>
      <c r="L31" s="249">
        <f t="shared" si="6"/>
        <v>51.176470588235297</v>
      </c>
      <c r="M31" s="249">
        <f t="shared" si="6"/>
        <v>48.255813953488371</v>
      </c>
      <c r="N31" s="249">
        <f t="shared" si="6"/>
        <v>46.153846153846153</v>
      </c>
      <c r="O31" s="249">
        <f t="shared" si="6"/>
        <v>40.87591240875912</v>
      </c>
      <c r="P31" s="249">
        <f t="shared" si="6"/>
        <v>41.935483870967744</v>
      </c>
      <c r="Q31" s="249">
        <f t="shared" si="6"/>
        <v>38.194444444444443</v>
      </c>
      <c r="R31" s="249">
        <f t="shared" si="6"/>
        <v>34.065934065934066</v>
      </c>
      <c r="S31" s="249">
        <f t="shared" si="6"/>
        <v>47.337278106508876</v>
      </c>
      <c r="T31" s="249">
        <f t="shared" si="6"/>
        <v>47.593582887700535</v>
      </c>
      <c r="U31" s="249">
        <f t="shared" si="6"/>
        <v>49.109752856763215</v>
      </c>
      <c r="V31" s="249">
        <f t="shared" si="6"/>
        <v>49.109752856763215</v>
      </c>
      <c r="W31" s="249" t="e">
        <f t="shared" si="6"/>
        <v>#DIV/0!</v>
      </c>
      <c r="X31" s="249" t="e">
        <f t="shared" si="6"/>
        <v>#DIV/0!</v>
      </c>
      <c r="Y31" s="249" t="e">
        <f t="shared" si="6"/>
        <v>#DIV/0!</v>
      </c>
      <c r="Z31" s="249" t="e">
        <f t="shared" si="6"/>
        <v>#DIV/0!</v>
      </c>
      <c r="AA31" s="249" t="e">
        <f t="shared" si="6"/>
        <v>#DIV/0!</v>
      </c>
      <c r="AB31" s="249" t="e">
        <f t="shared" si="6"/>
        <v>#DIV/0!</v>
      </c>
      <c r="AC31" s="249" t="e">
        <f t="shared" si="6"/>
        <v>#DIV/0!</v>
      </c>
      <c r="AD31" s="249" t="e">
        <f t="shared" si="6"/>
        <v>#DIV/0!</v>
      </c>
      <c r="AE31" s="249" t="e">
        <f t="shared" si="6"/>
        <v>#DIV/0!</v>
      </c>
      <c r="AF31" s="249" t="e">
        <f t="shared" si="6"/>
        <v>#DIV/0!</v>
      </c>
      <c r="AG31" s="249" t="e">
        <f t="shared" si="6"/>
        <v>#DIV/0!</v>
      </c>
      <c r="AH31" s="249" t="e">
        <f t="shared" si="6"/>
        <v>#DIV/0!</v>
      </c>
      <c r="AI31" s="249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tabSelected="1" zoomScale="70" zoomScaleNormal="70" workbookViewId="0">
      <pane xSplit="1" topLeftCell="B1" activePane="topRight" state="frozen"/>
      <selection activeCell="A4" sqref="A4"/>
      <selection pane="topRight" activeCell="C5" sqref="C5:C21"/>
    </sheetView>
  </sheetViews>
  <sheetFormatPr defaultRowHeight="15" x14ac:dyDescent="0.2"/>
  <cols>
    <col min="1" max="5" width="8.88671875" style="321"/>
    <col min="6" max="6" width="8.109375" style="337" bestFit="1" customWidth="1"/>
    <col min="7" max="7" width="6.44140625" style="337" customWidth="1"/>
    <col min="8" max="8" width="7.5546875" style="337" bestFit="1" customWidth="1"/>
    <col min="9" max="9" width="7.77734375" style="337" bestFit="1" customWidth="1"/>
    <col min="10" max="10" width="8.109375" style="337" bestFit="1" customWidth="1"/>
    <col min="11" max="11" width="8.21875" style="337" bestFit="1" customWidth="1"/>
    <col min="12" max="13" width="7.109375" style="337" customWidth="1"/>
    <col min="14" max="32" width="7.33203125" style="321" customWidth="1"/>
    <col min="33" max="51" width="7" style="321" customWidth="1"/>
    <col min="52" max="53" width="8.88671875" style="321"/>
    <col min="54" max="54" width="11.21875" style="321" bestFit="1" customWidth="1"/>
    <col min="55" max="55" width="9.109375" style="321" bestFit="1" customWidth="1"/>
    <col min="56" max="16384" width="8.88671875" style="321"/>
  </cols>
  <sheetData>
    <row r="1" spans="1:55" ht="15.75" thickBot="1" x14ac:dyDescent="0.25">
      <c r="F1" s="321"/>
      <c r="G1" s="321"/>
      <c r="H1" s="321"/>
      <c r="I1" s="321"/>
      <c r="J1" s="321"/>
      <c r="K1" s="321"/>
      <c r="L1" s="321"/>
      <c r="M1" s="321"/>
    </row>
    <row r="2" spans="1:55" x14ac:dyDescent="0.2">
      <c r="F2" s="647" t="s">
        <v>308</v>
      </c>
      <c r="G2" s="648"/>
      <c r="H2" s="648"/>
      <c r="I2" s="648"/>
      <c r="J2" s="648"/>
      <c r="K2" s="648"/>
      <c r="L2" s="648"/>
      <c r="M2" s="649"/>
      <c r="N2" s="646" t="s">
        <v>86</v>
      </c>
      <c r="O2" s="646"/>
      <c r="P2" s="646"/>
      <c r="Q2" s="646"/>
      <c r="R2" s="646"/>
      <c r="S2" s="646"/>
      <c r="T2" s="646"/>
      <c r="U2" s="646"/>
      <c r="V2" s="646"/>
      <c r="W2" s="646"/>
      <c r="X2" s="646"/>
      <c r="Y2" s="646"/>
      <c r="Z2" s="646"/>
      <c r="AA2" s="646"/>
      <c r="AB2" s="646"/>
      <c r="AC2" s="646"/>
      <c r="AD2" s="646"/>
      <c r="AE2" s="646"/>
      <c r="AF2" s="646"/>
      <c r="AG2" s="646"/>
      <c r="AH2" s="646"/>
      <c r="AI2" s="646"/>
      <c r="AJ2" s="646"/>
      <c r="AK2" s="646"/>
      <c r="AL2" s="646"/>
      <c r="AM2" s="646"/>
      <c r="AN2" s="645"/>
      <c r="AO2" s="645"/>
      <c r="AP2" s="645"/>
      <c r="AQ2" s="645"/>
      <c r="AR2" s="645"/>
      <c r="AS2" s="645"/>
      <c r="AT2" s="645"/>
      <c r="AU2" s="322"/>
      <c r="AV2" s="644" t="s">
        <v>87</v>
      </c>
      <c r="AW2" s="644"/>
      <c r="AX2" s="644"/>
      <c r="AY2" s="644"/>
      <c r="BB2" s="336" t="s">
        <v>334</v>
      </c>
      <c r="BC2" s="336" t="s">
        <v>335</v>
      </c>
    </row>
    <row r="3" spans="1:55" x14ac:dyDescent="0.2">
      <c r="F3" s="323"/>
      <c r="G3" s="324"/>
      <c r="H3" s="324"/>
      <c r="I3" s="324"/>
      <c r="J3" s="324"/>
      <c r="K3" s="324"/>
      <c r="L3" s="324"/>
      <c r="M3" s="325"/>
      <c r="N3" s="326"/>
      <c r="O3" s="326"/>
      <c r="P3" s="326"/>
      <c r="Q3" s="326"/>
      <c r="R3" s="326"/>
      <c r="S3" s="326"/>
      <c r="T3" s="326"/>
      <c r="U3" s="326"/>
      <c r="V3" s="326"/>
      <c r="W3" s="326"/>
      <c r="X3" s="326"/>
      <c r="Y3" s="326"/>
      <c r="Z3" s="326"/>
      <c r="AA3" s="327"/>
      <c r="AB3" s="327"/>
      <c r="AC3" s="327"/>
      <c r="AD3" s="327"/>
      <c r="AE3" s="327"/>
      <c r="AF3" s="327"/>
      <c r="AG3" s="327"/>
      <c r="AH3" s="327"/>
      <c r="AI3" s="327"/>
      <c r="AJ3" s="327"/>
      <c r="AK3" s="327"/>
      <c r="AL3" s="327"/>
      <c r="AM3" s="326"/>
      <c r="AN3" s="650" t="s">
        <v>138</v>
      </c>
      <c r="AO3" s="650"/>
      <c r="AP3" s="650"/>
      <c r="AQ3" s="650"/>
      <c r="AR3" s="650"/>
      <c r="AS3" s="650"/>
      <c r="AT3" s="650"/>
      <c r="AU3" s="651" t="s">
        <v>283</v>
      </c>
      <c r="AV3" s="651"/>
      <c r="AW3" s="651"/>
      <c r="AX3" s="651"/>
      <c r="AY3" s="651"/>
      <c r="BB3" s="336"/>
      <c r="BC3" s="336"/>
    </row>
    <row r="4" spans="1:55" ht="39.75" customHeight="1" x14ac:dyDescent="0.2">
      <c r="A4" s="253" t="s">
        <v>0</v>
      </c>
      <c r="B4" s="310" t="s">
        <v>304</v>
      </c>
      <c r="C4" s="310" t="s">
        <v>305</v>
      </c>
      <c r="D4" s="310" t="s">
        <v>307</v>
      </c>
      <c r="E4" s="310" t="s">
        <v>306</v>
      </c>
      <c r="F4" s="295" t="s">
        <v>284</v>
      </c>
      <c r="G4" s="296" t="s">
        <v>285</v>
      </c>
      <c r="H4" s="296" t="s">
        <v>286</v>
      </c>
      <c r="I4" s="296" t="s">
        <v>287</v>
      </c>
      <c r="J4" s="296" t="s">
        <v>282</v>
      </c>
      <c r="K4" s="296" t="s">
        <v>51</v>
      </c>
      <c r="L4" s="297" t="s">
        <v>60</v>
      </c>
      <c r="M4" s="297" t="s">
        <v>53</v>
      </c>
      <c r="N4" s="253" t="s">
        <v>88</v>
      </c>
      <c r="O4" s="253" t="s">
        <v>89</v>
      </c>
      <c r="P4" s="253" t="s">
        <v>104</v>
      </c>
      <c r="Q4" s="253" t="s">
        <v>288</v>
      </c>
      <c r="R4" s="253" t="s">
        <v>289</v>
      </c>
      <c r="S4" s="253" t="s">
        <v>290</v>
      </c>
      <c r="T4" s="253" t="s">
        <v>291</v>
      </c>
      <c r="U4" s="253" t="s">
        <v>90</v>
      </c>
      <c r="V4" s="253" t="s">
        <v>292</v>
      </c>
      <c r="W4" s="253" t="s">
        <v>293</v>
      </c>
      <c r="X4" s="253" t="s">
        <v>278</v>
      </c>
      <c r="Y4" s="253" t="s">
        <v>75</v>
      </c>
      <c r="Z4" s="253" t="s">
        <v>294</v>
      </c>
      <c r="AA4" s="254" t="s">
        <v>295</v>
      </c>
      <c r="AB4" s="254" t="s">
        <v>100</v>
      </c>
      <c r="AC4" s="254" t="s">
        <v>94</v>
      </c>
      <c r="AD4" s="254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3" t="s">
        <v>195</v>
      </c>
      <c r="AN4" s="253" t="s">
        <v>297</v>
      </c>
      <c r="AO4" s="253" t="s">
        <v>103</v>
      </c>
      <c r="AP4" s="253" t="s">
        <v>104</v>
      </c>
      <c r="AQ4" s="253" t="s">
        <v>105</v>
      </c>
      <c r="AR4" s="253" t="s">
        <v>106</v>
      </c>
      <c r="AS4" s="253" t="s">
        <v>107</v>
      </c>
      <c r="AT4" s="253" t="s">
        <v>298</v>
      </c>
      <c r="AU4" s="253" t="s">
        <v>103</v>
      </c>
      <c r="AV4" s="253" t="s">
        <v>39</v>
      </c>
      <c r="AW4" s="253" t="s">
        <v>40</v>
      </c>
      <c r="AX4" s="253" t="s">
        <v>276</v>
      </c>
      <c r="AY4" s="253" t="s">
        <v>108</v>
      </c>
      <c r="BB4" s="336"/>
      <c r="BC4" s="336"/>
    </row>
    <row r="5" spans="1:55" x14ac:dyDescent="0.2">
      <c r="A5" s="379">
        <v>1</v>
      </c>
      <c r="B5" s="55">
        <f>'1'!G7</f>
        <v>22306.199999999953</v>
      </c>
      <c r="C5" s="55">
        <f>'1'!G8</f>
        <v>22430.199999999953</v>
      </c>
      <c r="D5" s="55">
        <f>'1'!G15</f>
        <v>981</v>
      </c>
      <c r="E5" s="55">
        <f>'1'!G20</f>
        <v>199</v>
      </c>
      <c r="F5" s="55">
        <f>SUM('1'!G35,'1'!G49)</f>
        <v>4296.3099999999977</v>
      </c>
      <c r="G5" s="55">
        <f>SUM('1'!H37,'1'!H51)</f>
        <v>1758.3099999999977</v>
      </c>
      <c r="H5" s="55">
        <f>SUM('1'!G38,'1'!G52)</f>
        <v>1899.2200000000012</v>
      </c>
      <c r="I5" s="55">
        <f>SUM('1'!G39,'1'!G53)</f>
        <v>4013.7799999999988</v>
      </c>
      <c r="J5" s="55">
        <f>SUM('1'!G41,'1'!G42,'1'!G55,'1'!G56)</f>
        <v>6682.7299999998941</v>
      </c>
      <c r="K5" s="55">
        <f>SUM('1'!G43,'1'!G57)</f>
        <v>2266</v>
      </c>
      <c r="L5" s="255">
        <f>'1'!G50</f>
        <v>1076.1500000000233</v>
      </c>
      <c r="M5" s="255">
        <f>'1'!G36</f>
        <v>944.90000000000146</v>
      </c>
      <c r="N5" s="255">
        <f>'1'!G138</f>
        <v>92</v>
      </c>
      <c r="O5" s="255">
        <f>'1'!G139</f>
        <v>2</v>
      </c>
      <c r="P5" s="255">
        <f>'1'!G140</f>
        <v>-0.80000000000291038</v>
      </c>
      <c r="Q5" s="255">
        <f>'1'!G141</f>
        <v>180.66999999999825</v>
      </c>
      <c r="R5" s="255">
        <f>'1'!G142</f>
        <v>72.299999999999272</v>
      </c>
      <c r="S5" s="255">
        <f>'1'!$G$145</f>
        <v>20.67999999999995</v>
      </c>
      <c r="T5" s="255">
        <f>'1'!$G$146</f>
        <v>162</v>
      </c>
      <c r="U5" s="255">
        <f>'1'!$G$144</f>
        <v>172</v>
      </c>
      <c r="V5" s="255">
        <f>'1'!$G$147</f>
        <v>485.47999999998137</v>
      </c>
      <c r="W5" s="255">
        <f>'1'!$G$148</f>
        <v>156.05000000004657</v>
      </c>
      <c r="X5" s="255">
        <f>'1'!$G$143</f>
        <v>25.659999999999968</v>
      </c>
      <c r="Y5" s="255">
        <f>'1'!$G$58</f>
        <v>212</v>
      </c>
      <c r="Z5" s="255">
        <f>'1'!$G$151</f>
        <v>332</v>
      </c>
      <c r="AA5" s="255">
        <f>'1'!G158</f>
        <v>29.200000000011642</v>
      </c>
      <c r="AB5" s="255">
        <f>'1'!G159</f>
        <v>31.80000000000291</v>
      </c>
      <c r="AC5" s="255"/>
      <c r="AD5" s="255">
        <f>'1'!G160+'1'!G161</f>
        <v>94.600000000003092</v>
      </c>
      <c r="AE5" s="255">
        <f>'1'!$G$116</f>
        <v>0</v>
      </c>
      <c r="AF5" s="255">
        <f>'1'!$G$117</f>
        <v>19</v>
      </c>
      <c r="AG5" s="255">
        <f>'1'!$G$118</f>
        <v>428.32999999998719</v>
      </c>
      <c r="AH5" s="255">
        <f>'1'!$G$119</f>
        <v>378.64999999999418</v>
      </c>
      <c r="AI5" s="255">
        <f>'1'!$G$120</f>
        <v>401.10000000000036</v>
      </c>
      <c r="AJ5" s="255">
        <f>'1'!$G$121</f>
        <v>523.72999999998137</v>
      </c>
      <c r="AK5" s="255">
        <f>'1'!$G$122</f>
        <v>306.69999999999709</v>
      </c>
      <c r="AL5" s="255">
        <f>'1'!$G$123</f>
        <v>325.33000000000175</v>
      </c>
      <c r="AM5" s="255">
        <f>'1'!$G$133</f>
        <v>707.36999999999898</v>
      </c>
      <c r="AN5" s="255">
        <f>'1'!$G$15</f>
        <v>981</v>
      </c>
      <c r="AO5" s="255">
        <f>'1'!$G$74</f>
        <v>286.60999999998603</v>
      </c>
      <c r="AP5" s="255">
        <f>'1'!$G$75</f>
        <v>0</v>
      </c>
      <c r="AQ5" s="255">
        <f>'1'!$G$76</f>
        <v>125.32000000000698</v>
      </c>
      <c r="AR5" s="255">
        <f>'1'!$G$77</f>
        <v>54.80000000000291</v>
      </c>
      <c r="AS5" s="255">
        <f>'1'!$G$78</f>
        <v>1.7000000000007276</v>
      </c>
      <c r="AT5" s="255">
        <f>AN5-SUM(AO5:AS5)</f>
        <v>512.57000000000335</v>
      </c>
      <c r="AU5" s="255">
        <f>SUM('1'!G91:G92)</f>
        <v>10.539999999999964</v>
      </c>
      <c r="AV5" s="255">
        <f>'1'!$G$88</f>
        <v>0</v>
      </c>
      <c r="AW5" s="255">
        <f>'1'!$G$89</f>
        <v>11.319999999999709</v>
      </c>
      <c r="AX5" s="255">
        <f>'1'!$G$90</f>
        <v>0</v>
      </c>
      <c r="AY5" s="253">
        <f>SUM(AV5:AX5)</f>
        <v>11.319999999999709</v>
      </c>
      <c r="AZ5" s="321">
        <f>AO5/AU5</f>
        <v>27.192599620492128</v>
      </c>
      <c r="BB5" s="371">
        <f>C5-SUM(F5:K5,Y5)</f>
        <v>1301.850000000064</v>
      </c>
      <c r="BC5" s="371">
        <f>BB5/B5%</f>
        <v>5.8362697366654421</v>
      </c>
    </row>
    <row r="6" spans="1:55" x14ac:dyDescent="0.2">
      <c r="A6" s="379">
        <v>2</v>
      </c>
      <c r="B6" s="55">
        <f>'2'!G7</f>
        <v>22634</v>
      </c>
      <c r="C6" s="55">
        <f>'2'!G8</f>
        <v>22758</v>
      </c>
      <c r="D6" s="55">
        <f>'2'!G15</f>
        <v>1027</v>
      </c>
      <c r="E6" s="55">
        <f>'2'!G20</f>
        <v>259</v>
      </c>
      <c r="F6" s="55">
        <f>SUM('2'!G35,'2'!G49)</f>
        <v>4605.6000000000058</v>
      </c>
      <c r="G6" s="55">
        <f>SUM('2'!G37,'2'!G51)</f>
        <v>1726.8800000000047</v>
      </c>
      <c r="H6" s="55">
        <f>SUM('2'!G38,'2'!G52)</f>
        <v>1966.9499999999971</v>
      </c>
      <c r="I6" s="55">
        <f>SUM('2'!G39,'2'!G53)</f>
        <v>4103.2200000000012</v>
      </c>
      <c r="J6" s="55">
        <f>SUM('2'!G41,'2'!G42,'2'!G55,'2'!G56)</f>
        <v>6979.960000000021</v>
      </c>
      <c r="K6" s="55">
        <f>SUM('2'!G43,'2'!G57)</f>
        <v>2274.6999999999534</v>
      </c>
      <c r="L6" s="255">
        <f>'2'!G50</f>
        <v>1107.6799999999348</v>
      </c>
      <c r="M6" s="255">
        <f>'2'!G36</f>
        <v>857.80999999999767</v>
      </c>
      <c r="N6" s="255">
        <f>'2'!G138</f>
        <v>90</v>
      </c>
      <c r="O6" s="255">
        <f>'2'!$G$139</f>
        <v>0</v>
      </c>
      <c r="P6" s="255">
        <f>'2'!$G$140</f>
        <v>0</v>
      </c>
      <c r="Q6" s="255">
        <f>'2'!$G$141</f>
        <v>188.10000000000218</v>
      </c>
      <c r="R6" s="255">
        <f>'2'!$G$142</f>
        <v>70.300000000001091</v>
      </c>
      <c r="S6" s="255">
        <f>'2'!$G$145</f>
        <v>46.800000000000068</v>
      </c>
      <c r="T6" s="255">
        <f>'2'!$G$146</f>
        <v>212</v>
      </c>
      <c r="U6" s="255">
        <f>'2'!$G$144</f>
        <v>173</v>
      </c>
      <c r="V6" s="255">
        <f>'2'!$G$147</f>
        <v>365.04000000003725</v>
      </c>
      <c r="W6" s="252">
        <f>'2'!$G$148</f>
        <v>213.5899999999674</v>
      </c>
      <c r="X6" s="252">
        <f>'2'!$G$143</f>
        <v>30.780000000000086</v>
      </c>
      <c r="Y6" s="252">
        <f>'2'!$G$58</f>
        <v>219.2100000000064</v>
      </c>
      <c r="Z6" s="252">
        <f>'2'!$G$151</f>
        <v>294</v>
      </c>
      <c r="AA6" s="252">
        <f>'2'!G158</f>
        <v>39.239999999990687</v>
      </c>
      <c r="AB6" s="255">
        <f>'2'!G159</f>
        <v>23.69999999999709</v>
      </c>
      <c r="AC6" s="255"/>
      <c r="AD6" s="255">
        <f>'2'!G160+'2'!G161</f>
        <v>58.500000000002728</v>
      </c>
      <c r="AE6" s="255">
        <f>'2'!$G$116</f>
        <v>0</v>
      </c>
      <c r="AF6" s="255">
        <f>'2'!$G$117</f>
        <v>18.170000000000016</v>
      </c>
      <c r="AG6" s="255">
        <f>'2'!$G$118</f>
        <v>384.18000000002212</v>
      </c>
      <c r="AH6" s="255">
        <f>'2'!$G$119</f>
        <v>396.39999999999418</v>
      </c>
      <c r="AI6" s="255">
        <f>'2'!$G$120</f>
        <v>411.14999999999964</v>
      </c>
      <c r="AJ6" s="255">
        <f>'2'!$G$121</f>
        <v>521.27000000001863</v>
      </c>
      <c r="AK6" s="255">
        <f>'2'!$G$122</f>
        <v>304.47000000000116</v>
      </c>
      <c r="AL6" s="255">
        <f>'2'!$G$123</f>
        <v>333.41999999999825</v>
      </c>
      <c r="AM6" s="255">
        <f>'2'!$G$133</f>
        <v>777.62000000000262</v>
      </c>
      <c r="AN6" s="255">
        <f>'2'!$G$15</f>
        <v>1027</v>
      </c>
      <c r="AO6" s="255">
        <f>'2'!$G$74</f>
        <v>306.45000000006985</v>
      </c>
      <c r="AP6" s="255">
        <f>'2'!$G$75</f>
        <v>0</v>
      </c>
      <c r="AQ6" s="255">
        <f>'2'!$G$76</f>
        <v>103.45999999999185</v>
      </c>
      <c r="AR6" s="255">
        <f>'2'!$G$77</f>
        <v>63.19999999999709</v>
      </c>
      <c r="AS6" s="255">
        <f>'2'!$G$78</f>
        <v>4.5</v>
      </c>
      <c r="AT6" s="255">
        <f t="shared" ref="AT6:AT34" si="0">AN6-SUM(AO6:AS6)</f>
        <v>549.38999999994121</v>
      </c>
      <c r="AU6" s="255">
        <f>SUM('2'!G91:G92)</f>
        <v>11.760000000000218</v>
      </c>
      <c r="AV6" s="255">
        <f>'2'!$G$88</f>
        <v>10.169999999998254</v>
      </c>
      <c r="AW6" s="255">
        <f>'2'!$G$89</f>
        <v>-7.9999999998108251E-2</v>
      </c>
      <c r="AX6" s="255">
        <f>'2'!$G$90</f>
        <v>0</v>
      </c>
      <c r="AY6" s="253">
        <f t="shared" ref="AY6:AY34" si="1">SUM(AV6:AX6)</f>
        <v>10.090000000000146</v>
      </c>
      <c r="AZ6" s="321">
        <f t="shared" ref="AZ6:AZ8" si="2">AO6/AU6</f>
        <v>26.058673469393209</v>
      </c>
      <c r="BB6" s="371">
        <f t="shared" ref="BB6:BB37" si="3">C6-SUM(F6:K6,Y6)</f>
        <v>881.48000000001048</v>
      </c>
      <c r="BC6" s="371">
        <f t="shared" ref="BC6:BC37" si="4">BB6/B6%</f>
        <v>3.8944950075108706</v>
      </c>
    </row>
    <row r="7" spans="1:55" s="328" customFormat="1" x14ac:dyDescent="0.2">
      <c r="A7" s="379">
        <v>3</v>
      </c>
      <c r="B7" s="55">
        <f>'3'!G7</f>
        <v>23276.1</v>
      </c>
      <c r="C7" s="55">
        <f>'3'!G8</f>
        <v>23433.3</v>
      </c>
      <c r="D7" s="55">
        <f>'3'!G15</f>
        <v>1056.8870000001043</v>
      </c>
      <c r="E7" s="55">
        <f>'3'!G20</f>
        <v>259</v>
      </c>
      <c r="F7" s="55">
        <f>SUM('3'!G35,'3'!G49)</f>
        <v>4727.070000000007</v>
      </c>
      <c r="G7" s="55">
        <f>SUM('3'!G37,'3'!G51)</f>
        <v>1707.2299999999959</v>
      </c>
      <c r="H7" s="55">
        <f>SUM('3'!G38,'3'!G52)</f>
        <v>1951.8100000000049</v>
      </c>
      <c r="I7" s="55">
        <f>SUM('3'!G39,'3'!G53)</f>
        <v>4180.140000000014</v>
      </c>
      <c r="J7" s="55">
        <f>SUM('3'!G41,'3'!G42,'3'!G55,'3'!G56)</f>
        <v>7169.1700000000419</v>
      </c>
      <c r="K7" s="55">
        <f>SUM('3'!G43,'3'!G57)</f>
        <v>2284.9000000001397</v>
      </c>
      <c r="L7" s="252">
        <f>'3'!G50</f>
        <v>1216.7200000000885</v>
      </c>
      <c r="M7" s="252">
        <f>'3'!G36</f>
        <v>887.09000000000015</v>
      </c>
      <c r="N7" s="252">
        <f>'3'!G138</f>
        <v>88</v>
      </c>
      <c r="O7" s="252">
        <f>'3'!$G$139</f>
        <v>0</v>
      </c>
      <c r="P7" s="252">
        <f>'3'!$G$140</f>
        <v>0</v>
      </c>
      <c r="Q7" s="252">
        <f>'3'!$G$141</f>
        <v>184.18999999999869</v>
      </c>
      <c r="R7" s="252">
        <f>'3'!$G$142</f>
        <v>72.549999999999272</v>
      </c>
      <c r="S7" s="252">
        <f>'3'!$G$145</f>
        <v>50.470000000000027</v>
      </c>
      <c r="T7" s="252">
        <f>'3'!$G$146</f>
        <v>431</v>
      </c>
      <c r="U7" s="252">
        <f>'3'!$G$144</f>
        <v>173</v>
      </c>
      <c r="V7" s="252">
        <f>'3'!$G$147</f>
        <v>429.91999999992549</v>
      </c>
      <c r="W7" s="252">
        <f>'3'!$G$148</f>
        <v>204.88000000000466</v>
      </c>
      <c r="X7" s="252">
        <f>'3'!$G$143</f>
        <v>25.269999999999982</v>
      </c>
      <c r="Y7" s="252">
        <f>'3'!$G$58</f>
        <v>242.61999999999534</v>
      </c>
      <c r="Z7" s="252">
        <f>'3'!$G$151</f>
        <v>320</v>
      </c>
      <c r="AA7" s="255">
        <f>'3'!G158</f>
        <v>66.840000000025611</v>
      </c>
      <c r="AB7" s="255">
        <f>'3'!G159</f>
        <v>25.399999999994179</v>
      </c>
      <c r="AC7" s="255"/>
      <c r="AD7" s="255">
        <f>'3'!G160+'3'!G161</f>
        <v>51.099999999997181</v>
      </c>
      <c r="AE7" s="252">
        <f>'3'!$G$116</f>
        <v>0</v>
      </c>
      <c r="AF7" s="252">
        <f>'3'!$G$117</f>
        <v>19.479999999999961</v>
      </c>
      <c r="AG7" s="252">
        <f>'3'!$G$118</f>
        <v>360.45999999999185</v>
      </c>
      <c r="AH7" s="252">
        <f>'3'!$G$119</f>
        <v>390.82000000000698</v>
      </c>
      <c r="AI7" s="252">
        <f>'3'!$G$120</f>
        <v>411.76000000000022</v>
      </c>
      <c r="AJ7" s="245">
        <f>'3'!$G$121</f>
        <v>769.30999999999767</v>
      </c>
      <c r="AK7" s="245">
        <f>'3'!$G$122</f>
        <v>309.52999999999884</v>
      </c>
      <c r="AL7" s="252">
        <f>'3'!$G$123</f>
        <v>335</v>
      </c>
      <c r="AM7" s="252">
        <f>'3'!$G$133</f>
        <v>796.59000000000015</v>
      </c>
      <c r="AN7" s="252">
        <f>'3'!$G$15</f>
        <v>1056.8870000001043</v>
      </c>
      <c r="AO7" s="252">
        <f>'3'!$G$74</f>
        <v>308.52999999991152</v>
      </c>
      <c r="AP7" s="252">
        <f>'3'!$G$75</f>
        <v>0</v>
      </c>
      <c r="AQ7" s="252">
        <f>'3'!$G$76</f>
        <v>111.66000000000349</v>
      </c>
      <c r="AR7" s="252">
        <f>'3'!$G$77</f>
        <v>53.099999999998545</v>
      </c>
      <c r="AS7" s="252">
        <f>'3'!$G$78</f>
        <v>1.5999999999985448</v>
      </c>
      <c r="AT7" s="252">
        <f t="shared" si="0"/>
        <v>581.9970000001922</v>
      </c>
      <c r="AU7" s="255">
        <f>SUM('3'!G91:G92)</f>
        <v>11.539999999999964</v>
      </c>
      <c r="AV7" s="252">
        <f>'3'!$G$88</f>
        <v>9.4000000000014552</v>
      </c>
      <c r="AW7" s="252">
        <f>'3'!$G$89</f>
        <v>7.9999999998108251E-2</v>
      </c>
      <c r="AX7" s="252">
        <f>'3'!$G$90</f>
        <v>3.8300000000017462</v>
      </c>
      <c r="AY7" s="256">
        <f t="shared" si="1"/>
        <v>13.31000000000131</v>
      </c>
      <c r="AZ7" s="321">
        <f t="shared" si="2"/>
        <v>26.735701906404895</v>
      </c>
      <c r="BB7" s="371">
        <f t="shared" si="3"/>
        <v>1170.3599999998005</v>
      </c>
      <c r="BC7" s="371">
        <f t="shared" si="4"/>
        <v>5.0281619343438138</v>
      </c>
    </row>
    <row r="8" spans="1:55" x14ac:dyDescent="0.2">
      <c r="A8" s="379">
        <v>4</v>
      </c>
      <c r="B8" s="55">
        <f>'4'!G7</f>
        <v>23675.9</v>
      </c>
      <c r="C8" s="55">
        <f>'4'!G8</f>
        <v>23852.740000000005</v>
      </c>
      <c r="D8" s="55">
        <f>'4'!G15</f>
        <v>1064.1129999998957</v>
      </c>
      <c r="E8" s="55">
        <f>'4'!G20</f>
        <v>250</v>
      </c>
      <c r="F8" s="55">
        <f>SUM('4'!G35,'4'!G49)</f>
        <v>5101.6399999999849</v>
      </c>
      <c r="G8" s="55">
        <f>SUM('4'!G37,'4'!G51)</f>
        <v>1697.3100000000049</v>
      </c>
      <c r="H8" s="55">
        <f>SUM('4'!G38,'4'!G52)</f>
        <v>1873.3899999999994</v>
      </c>
      <c r="I8" s="55">
        <f>SUM('4'!G39,'4'!G53)</f>
        <v>4257.7299999999814</v>
      </c>
      <c r="J8" s="55">
        <f>SUM('4'!G41,'4'!G42,'4'!G55,'4'!G56)</f>
        <v>7669.820000000007</v>
      </c>
      <c r="K8" s="55">
        <f>SUM('4'!G43,'4'!G57)</f>
        <v>2392.5</v>
      </c>
      <c r="L8" s="255">
        <f>'4'!G50</f>
        <v>1031.7999999999302</v>
      </c>
      <c r="M8" s="255">
        <f>'4'!G36</f>
        <v>995.67000000000189</v>
      </c>
      <c r="N8" s="255">
        <f>'4'!G138</f>
        <v>88</v>
      </c>
      <c r="O8" s="255">
        <f>'4'!$G$139</f>
        <v>0</v>
      </c>
      <c r="P8" s="255">
        <f>'4'!$G$140</f>
        <v>0</v>
      </c>
      <c r="Q8" s="255">
        <f>'4'!$G$141</f>
        <v>182.88999999999942</v>
      </c>
      <c r="R8" s="255">
        <f>'4'!$G$142</f>
        <v>72.600000000000364</v>
      </c>
      <c r="S8" s="255">
        <f>'4'!$G$145</f>
        <v>44.430000000000064</v>
      </c>
      <c r="T8" s="255">
        <f>'4'!$G$146</f>
        <v>356</v>
      </c>
      <c r="U8" s="255">
        <f>'4'!$G$144</f>
        <v>170</v>
      </c>
      <c r="V8" s="252">
        <f>'4'!$G$147</f>
        <v>397.84000000008382</v>
      </c>
      <c r="W8" s="252">
        <f>'4'!$G$148</f>
        <v>203.59999999997672</v>
      </c>
      <c r="X8" s="255">
        <f>'4'!$G$143</f>
        <v>23.076999999999998</v>
      </c>
      <c r="Y8" s="255">
        <f>'4'!$G$58</f>
        <v>264</v>
      </c>
      <c r="Z8" s="255">
        <f>'4'!$G$151</f>
        <v>330</v>
      </c>
      <c r="AA8" s="255">
        <f>'4'!G158</f>
        <v>26.559999999997672</v>
      </c>
      <c r="AB8" s="255">
        <f>'4'!G159</f>
        <v>41.200000000011642</v>
      </c>
      <c r="AC8" s="255"/>
      <c r="AD8" s="255">
        <f>'4'!G160+'4'!G161</f>
        <v>72.200000000003001</v>
      </c>
      <c r="AE8" s="255">
        <f>'4'!$G$116</f>
        <v>0</v>
      </c>
      <c r="AF8" s="255">
        <f>'4'!$G$117</f>
        <v>18.939999999999998</v>
      </c>
      <c r="AG8" s="255">
        <f>'4'!$G$118</f>
        <v>429.11999999999534</v>
      </c>
      <c r="AH8" s="255">
        <f>'4'!$G$119</f>
        <v>385.42000000001281</v>
      </c>
      <c r="AI8" s="255">
        <f>'4'!$G$120</f>
        <v>416.34999999999945</v>
      </c>
      <c r="AJ8" s="255">
        <f>'4'!$G$121</f>
        <v>1671.960000000021</v>
      </c>
      <c r="AK8" s="255">
        <f>'4'!$G$122</f>
        <v>291.27999999999884</v>
      </c>
      <c r="AL8" s="255">
        <f>'4'!$G$123</f>
        <v>331.36999999999534</v>
      </c>
      <c r="AM8" s="255">
        <f>'4'!$G$133</f>
        <v>776.64999999999782</v>
      </c>
      <c r="AN8" s="255">
        <f>'4'!$G$15</f>
        <v>1064.1129999998957</v>
      </c>
      <c r="AO8" s="255">
        <f>'4'!$G$74</f>
        <v>291.64699999999721</v>
      </c>
      <c r="AP8" s="255">
        <f>'4'!$G$75</f>
        <v>0</v>
      </c>
      <c r="AQ8" s="255">
        <f>'4'!$G$76</f>
        <v>117.66000000000349</v>
      </c>
      <c r="AR8" s="255">
        <f>'4'!$G$77</f>
        <v>48.099999999998545</v>
      </c>
      <c r="AS8" s="255">
        <f>'4'!$G$78</f>
        <v>3.3000000000010914</v>
      </c>
      <c r="AT8" s="255">
        <f t="shared" si="0"/>
        <v>603.40599999989536</v>
      </c>
      <c r="AU8" s="255">
        <f>SUM('4'!G91:G92)</f>
        <v>10.600000000000364</v>
      </c>
      <c r="AV8" s="255">
        <f>'4'!$G$88</f>
        <v>0</v>
      </c>
      <c r="AW8" s="255">
        <f>'4'!$G$89</f>
        <v>11.75</v>
      </c>
      <c r="AX8" s="255">
        <f>'4'!$G$90</f>
        <v>2.6699999999982538</v>
      </c>
      <c r="AY8" s="253">
        <f t="shared" si="1"/>
        <v>14.419999999998254</v>
      </c>
      <c r="AZ8" s="321">
        <f t="shared" si="2"/>
        <v>27.513867924527094</v>
      </c>
      <c r="BB8" s="371">
        <f t="shared" si="3"/>
        <v>596.35000000002765</v>
      </c>
      <c r="BC8" s="371">
        <f t="shared" si="4"/>
        <v>2.5188060432761907</v>
      </c>
    </row>
    <row r="9" spans="1:55" x14ac:dyDescent="0.2">
      <c r="A9" s="379">
        <v>5</v>
      </c>
      <c r="B9" s="55">
        <f>'5'!G7</f>
        <v>25457.4</v>
      </c>
      <c r="C9" s="55">
        <f>'5'!G8</f>
        <v>25691.759999999995</v>
      </c>
      <c r="D9" s="55">
        <f>'5'!G15</f>
        <v>1023</v>
      </c>
      <c r="E9" s="55">
        <f>'5'!G20</f>
        <v>281</v>
      </c>
      <c r="F9" s="55">
        <f>SUM('5'!G35,'5'!G49)</f>
        <v>3634</v>
      </c>
      <c r="G9" s="55">
        <f>SUM('5'!G37,'5'!G51)</f>
        <v>1743.2699999999968</v>
      </c>
      <c r="H9" s="55">
        <f>SUM('5'!G38,'5'!G52)</f>
        <v>1982.6299999999974</v>
      </c>
      <c r="I9" s="55">
        <f>SUM('5'!G39,'5'!G53)</f>
        <v>4350.1300000000047</v>
      </c>
      <c r="J9" s="55">
        <f>SUM('5'!G41,'5'!G42,'5'!G55,'5'!G56)</f>
        <v>8338.7300000000105</v>
      </c>
      <c r="K9" s="55">
        <f>SUM('5'!G43,'5'!G57)</f>
        <v>2485.8999999999069</v>
      </c>
      <c r="L9" s="255">
        <f>'5'!G50</f>
        <v>1769.6500000000233</v>
      </c>
      <c r="M9" s="255">
        <f>'5'!G36</f>
        <v>1103.5299999999988</v>
      </c>
      <c r="N9" s="255">
        <f>'5'!G138</f>
        <v>68</v>
      </c>
      <c r="O9" s="255">
        <f>'5'!$G$139</f>
        <v>1</v>
      </c>
      <c r="P9" s="255">
        <f>'5'!$G$140</f>
        <v>-0.19999999999708962</v>
      </c>
      <c r="Q9" s="260">
        <f>'5'!$G$141</f>
        <v>200.15000000000146</v>
      </c>
      <c r="R9" s="255">
        <f>'5'!$G$142</f>
        <v>75.25</v>
      </c>
      <c r="S9" s="252">
        <f>'5'!$G$145</f>
        <v>45.619999999999891</v>
      </c>
      <c r="T9" s="259">
        <f>'5'!$G$146</f>
        <v>379</v>
      </c>
      <c r="U9" s="259">
        <f>'5'!$G$144</f>
        <v>171</v>
      </c>
      <c r="V9" s="257">
        <f>'5'!$G$147</f>
        <v>461.71999999997206</v>
      </c>
      <c r="W9" s="259">
        <f>'5'!$G$148</f>
        <v>199.88000000000466</v>
      </c>
      <c r="X9" s="255">
        <f>'5'!$G$143</f>
        <v>27.212999999999965</v>
      </c>
      <c r="Y9" s="255">
        <f>'5'!$G$58</f>
        <v>227.16999999999825</v>
      </c>
      <c r="Z9" s="255">
        <f>'5'!$G$151</f>
        <v>341</v>
      </c>
      <c r="AA9" s="259">
        <f>'5'!G158</f>
        <v>91.159999999974389</v>
      </c>
      <c r="AB9" s="255">
        <f>'5'!G159</f>
        <v>43.899999999994179</v>
      </c>
      <c r="AC9" s="255"/>
      <c r="AD9" s="255">
        <f>'5'!G160+'5'!G161</f>
        <v>90.599999999993997</v>
      </c>
      <c r="AE9" s="255">
        <f>'5'!$G$116</f>
        <v>0</v>
      </c>
      <c r="AF9" s="255">
        <f>'5'!$G$117</f>
        <v>18.410000000000025</v>
      </c>
      <c r="AG9" s="255">
        <f>'5'!$G$118</f>
        <v>439.91000000000349</v>
      </c>
      <c r="AH9" s="255">
        <f>'5'!$G$119</f>
        <v>373.70999999999185</v>
      </c>
      <c r="AI9" s="255">
        <f>'5'!$G$120</f>
        <v>411.64000000000033</v>
      </c>
      <c r="AJ9" s="255">
        <f>'5'!$G$121</f>
        <v>520</v>
      </c>
      <c r="AK9" s="255">
        <f>'5'!$G$122</f>
        <v>316.02000000000407</v>
      </c>
      <c r="AL9" s="255">
        <f>'5'!$G$123</f>
        <v>333.88000000000466</v>
      </c>
      <c r="AM9" s="255">
        <f>'5'!$G$133</f>
        <v>794.77000000000044</v>
      </c>
      <c r="AN9" s="259">
        <f>'5'!$G$15</f>
        <v>1023</v>
      </c>
      <c r="AO9" s="257">
        <f>'5'!$G$74</f>
        <v>297.76300000003539</v>
      </c>
      <c r="AP9" s="257">
        <f>'5'!$G$75</f>
        <v>0</v>
      </c>
      <c r="AQ9" s="257">
        <f>'5'!$G$76</f>
        <v>124.89999999999418</v>
      </c>
      <c r="AR9" s="257">
        <f>'5'!$G$77</f>
        <v>46.80000000000291</v>
      </c>
      <c r="AS9" s="257">
        <f>'5'!$G$78</f>
        <v>3.8999999999996362</v>
      </c>
      <c r="AT9" s="257">
        <f t="shared" si="0"/>
        <v>549.63699999996788</v>
      </c>
      <c r="AU9" s="255">
        <f>SUM('5'!G91:G92)</f>
        <v>10.920000000000073</v>
      </c>
      <c r="AV9" s="255">
        <f>'5'!$G$88</f>
        <v>0</v>
      </c>
      <c r="AW9" s="255">
        <f>'5'!$G$89</f>
        <v>10.330000000001746</v>
      </c>
      <c r="AX9" s="255">
        <f>'5'!$G$90</f>
        <v>3.5</v>
      </c>
      <c r="AY9" s="253">
        <f t="shared" si="1"/>
        <v>13.830000000001746</v>
      </c>
      <c r="AZ9" s="321">
        <f>AO9/AU9</f>
        <v>27.26767399267705</v>
      </c>
      <c r="BB9" s="371">
        <f t="shared" si="3"/>
        <v>2929.9300000000803</v>
      </c>
      <c r="BC9" s="371">
        <f t="shared" si="4"/>
        <v>11.509148616905419</v>
      </c>
    </row>
    <row r="10" spans="1:55" x14ac:dyDescent="0.2">
      <c r="A10" s="379">
        <v>6</v>
      </c>
      <c r="B10" s="55">
        <f>'6'!G7</f>
        <v>24023</v>
      </c>
      <c r="C10" s="55">
        <f>'6'!G8</f>
        <v>24192</v>
      </c>
      <c r="D10" s="55">
        <f>'6'!G15</f>
        <v>974</v>
      </c>
      <c r="E10" s="55">
        <f>'6'!G20</f>
        <v>240</v>
      </c>
      <c r="F10" s="55">
        <f>SUM('6'!G35,'6'!G49)</f>
        <v>3639</v>
      </c>
      <c r="G10" s="55">
        <f>SUM('6'!G37,'6'!G51)</f>
        <v>1728</v>
      </c>
      <c r="H10" s="55">
        <f>SUM('6'!G38,'6'!G52)</f>
        <v>1867</v>
      </c>
      <c r="I10" s="55">
        <f>SUM('6'!G39,'6'!G53)</f>
        <v>4190</v>
      </c>
      <c r="J10" s="55">
        <f>SUM('6'!G41,'6'!G42,'6'!G55,'6'!G56)</f>
        <v>7522</v>
      </c>
      <c r="K10" s="55">
        <f>SUM('6'!G43,'6'!G57)</f>
        <v>2319</v>
      </c>
      <c r="L10" s="255">
        <f>'6'!G50</f>
        <v>1832</v>
      </c>
      <c r="M10" s="255">
        <f>'6'!G36</f>
        <v>825</v>
      </c>
      <c r="N10" s="255">
        <f>'6'!G138</f>
        <v>59</v>
      </c>
      <c r="O10" s="255">
        <f>'6'!$G$139</f>
        <v>1</v>
      </c>
      <c r="P10" s="255">
        <f>'6'!$G$140</f>
        <v>0</v>
      </c>
      <c r="Q10" s="255">
        <f>'6'!$G$141</f>
        <v>173</v>
      </c>
      <c r="R10" s="255">
        <f>'6'!$G$142</f>
        <v>66</v>
      </c>
      <c r="S10" s="255">
        <f>'6'!$G$145</f>
        <v>45</v>
      </c>
      <c r="T10" s="252">
        <f>'6'!$G$146</f>
        <v>244</v>
      </c>
      <c r="U10" s="252">
        <f>'6'!$G$144</f>
        <v>162</v>
      </c>
      <c r="V10" s="252">
        <f>'6'!$G$147</f>
        <v>413</v>
      </c>
      <c r="W10" s="252">
        <f>'6'!$G$148</f>
        <v>178</v>
      </c>
      <c r="X10" s="252">
        <f>'6'!$G$143</f>
        <v>25</v>
      </c>
      <c r="Y10" s="252">
        <f>'6'!$G$58</f>
        <v>214</v>
      </c>
      <c r="Z10" s="252">
        <f>'6'!$G$151</f>
        <v>325</v>
      </c>
      <c r="AA10" s="252">
        <f>'6'!G158</f>
        <v>298</v>
      </c>
      <c r="AB10" s="252">
        <f>'6'!G159</f>
        <v>41</v>
      </c>
      <c r="AC10" s="252"/>
      <c r="AD10" s="252">
        <f>'6'!G160+'6'!G161</f>
        <v>112</v>
      </c>
      <c r="AE10" s="255">
        <f>'6'!$G$116</f>
        <v>0</v>
      </c>
      <c r="AF10" s="255">
        <f>'6'!$G$117</f>
        <v>21</v>
      </c>
      <c r="AG10" s="255">
        <f>'6'!$G$118</f>
        <v>455</v>
      </c>
      <c r="AH10" s="255">
        <f>'6'!$G$119</f>
        <v>378</v>
      </c>
      <c r="AI10" s="255">
        <f>'6'!$G$120</f>
        <v>406</v>
      </c>
      <c r="AJ10" s="255">
        <f>'6'!$G$121</f>
        <v>604</v>
      </c>
      <c r="AK10" s="255">
        <f>'6'!$G$122</f>
        <v>322</v>
      </c>
      <c r="AL10" s="255">
        <f>'6'!$G$123</f>
        <v>334</v>
      </c>
      <c r="AM10" s="255">
        <f>'6'!$G$133</f>
        <v>755</v>
      </c>
      <c r="AN10" s="255">
        <f>'6'!$G$15</f>
        <v>974</v>
      </c>
      <c r="AO10" s="257">
        <f>'6'!$G$74</f>
        <v>281</v>
      </c>
      <c r="AP10" s="257">
        <f>'6'!$G$75</f>
        <v>0</v>
      </c>
      <c r="AQ10" s="257">
        <f>'6'!$G$76</f>
        <v>95</v>
      </c>
      <c r="AR10" s="257">
        <f>'6'!$G$77</f>
        <v>52</v>
      </c>
      <c r="AS10" s="257">
        <f>'6'!$G$78</f>
        <v>1</v>
      </c>
      <c r="AT10" s="257">
        <f t="shared" si="0"/>
        <v>545</v>
      </c>
      <c r="AU10" s="255">
        <f>SUM('6'!G91:G92)</f>
        <v>10.269999999999982</v>
      </c>
      <c r="AV10" s="255">
        <f>'6'!$G$88</f>
        <v>0</v>
      </c>
      <c r="AW10" s="255">
        <f>'6'!$G$89</f>
        <v>10.56000000000131</v>
      </c>
      <c r="AX10" s="255">
        <f>'6'!$G$90</f>
        <v>4.4800000000104774</v>
      </c>
      <c r="AY10" s="253">
        <f t="shared" si="1"/>
        <v>15.040000000011787</v>
      </c>
      <c r="AZ10" s="321">
        <f t="shared" ref="AZ10:AZ11" si="5">AO10/AU10</f>
        <v>27.361246348588168</v>
      </c>
      <c r="BB10" s="371">
        <f t="shared" si="3"/>
        <v>2713</v>
      </c>
      <c r="BC10" s="371">
        <f t="shared" si="4"/>
        <v>11.293343878782833</v>
      </c>
    </row>
    <row r="11" spans="1:55" x14ac:dyDescent="0.2">
      <c r="A11" s="379">
        <v>7</v>
      </c>
      <c r="B11" s="55">
        <f>'7'!G7</f>
        <v>22049.020000000004</v>
      </c>
      <c r="C11" s="55">
        <f>'7'!G8</f>
        <v>22240.320000000007</v>
      </c>
      <c r="D11" s="55">
        <f>'7'!G15</f>
        <v>998.83000000007451</v>
      </c>
      <c r="E11" s="55">
        <f>'7'!G20</f>
        <v>258</v>
      </c>
      <c r="F11" s="55">
        <f>SUM('7'!G35,'7'!G49)</f>
        <v>3425.4799999999959</v>
      </c>
      <c r="G11" s="55">
        <f>SUM('7'!G37,'7'!G51)</f>
        <v>1722.0500000000029</v>
      </c>
      <c r="H11" s="55">
        <f>SUM('7'!G38,'7'!G52)</f>
        <v>1785.0599999999977</v>
      </c>
      <c r="I11" s="55">
        <f>SUM('7'!G39,'7'!G53)</f>
        <v>4090.2600000000093</v>
      </c>
      <c r="J11" s="55">
        <f>SUM('7'!G41,'7'!G42,'7'!G55,'7'!G56)</f>
        <v>6425.1100000000151</v>
      </c>
      <c r="K11" s="55">
        <f>SUM('7'!G43,'7'!G57)</f>
        <v>2327</v>
      </c>
      <c r="L11" s="255">
        <f>'7'!G50</f>
        <v>1497.390000000014</v>
      </c>
      <c r="M11" s="255">
        <f>'7'!G36</f>
        <v>655.29000000000087</v>
      </c>
      <c r="N11" s="255">
        <f>'7'!G138</f>
        <v>115</v>
      </c>
      <c r="O11" s="255">
        <f>'7'!$G$139</f>
        <v>1</v>
      </c>
      <c r="P11" s="255">
        <f>'7'!$G$140</f>
        <v>0</v>
      </c>
      <c r="Q11" s="255">
        <f>'7'!$G$141</f>
        <v>182.12999999999738</v>
      </c>
      <c r="R11" s="255">
        <f>'7'!$G$142</f>
        <v>68.850000000000364</v>
      </c>
      <c r="S11" s="255">
        <f>'7'!$G$145</f>
        <v>45</v>
      </c>
      <c r="T11" s="252">
        <f>'7'!$G$146</f>
        <v>254</v>
      </c>
      <c r="U11" s="252">
        <f>'7'!$G$144</f>
        <v>173</v>
      </c>
      <c r="V11" s="252">
        <f>'7'!$G$147</f>
        <v>395</v>
      </c>
      <c r="W11" s="252">
        <f>'7'!$G$148</f>
        <v>183</v>
      </c>
      <c r="X11" s="252">
        <f>'7'!$G$143</f>
        <v>24.419999999999959</v>
      </c>
      <c r="Y11" s="252">
        <f>'7'!$G$58</f>
        <v>213.19000000000233</v>
      </c>
      <c r="Z11" s="257">
        <f>'7'!$G$151</f>
        <v>279</v>
      </c>
      <c r="AA11" s="261">
        <f>'7'!G158</f>
        <v>270</v>
      </c>
      <c r="AB11" s="252">
        <f>'7'!G159</f>
        <v>46</v>
      </c>
      <c r="AC11" s="252"/>
      <c r="AD11" s="252">
        <f>'7'!G160+'7'!G161</f>
        <v>78.400000000002819</v>
      </c>
      <c r="AE11" s="255">
        <f>'7'!$G$116</f>
        <v>0</v>
      </c>
      <c r="AF11" s="255">
        <f>'7'!$G$117</f>
        <v>23.090000000000032</v>
      </c>
      <c r="AG11" s="255">
        <f>'7'!$G$118</f>
        <v>415.36999999999534</v>
      </c>
      <c r="AH11" s="255">
        <f>'7'!$G$119</f>
        <v>372.30999999999767</v>
      </c>
      <c r="AI11" s="255">
        <f>'7'!$G$120</f>
        <v>407.64999999999964</v>
      </c>
      <c r="AJ11" s="255">
        <f>'7'!$G$121</f>
        <v>605.98999999999069</v>
      </c>
      <c r="AK11" s="257">
        <f>'7'!$G$122</f>
        <v>303.00999999999476</v>
      </c>
      <c r="AL11" s="255">
        <f>'7'!$G$123</f>
        <v>342.16000000000349</v>
      </c>
      <c r="AM11" s="255">
        <f>'7'!$G$133</f>
        <v>814.22999999999956</v>
      </c>
      <c r="AN11" s="255">
        <f>'7'!$G$15</f>
        <v>998.83000000007451</v>
      </c>
      <c r="AO11" s="257">
        <f>'7'!$G$74</f>
        <v>298.03000000002794</v>
      </c>
      <c r="AP11" s="257">
        <f>'7'!$G$75</f>
        <v>0</v>
      </c>
      <c r="AQ11" s="257">
        <f>'7'!$G$76</f>
        <v>87.079999999987194</v>
      </c>
      <c r="AR11" s="257">
        <f>'7'!$G$77</f>
        <v>42.69999999999709</v>
      </c>
      <c r="AS11" s="257">
        <f>'7'!$G$78</f>
        <v>4.1000000000003638</v>
      </c>
      <c r="AT11" s="257">
        <f t="shared" si="0"/>
        <v>566.92000000006192</v>
      </c>
      <c r="AU11" s="255">
        <f>SUM('7'!G91:G92)</f>
        <v>11.110000000000127</v>
      </c>
      <c r="AV11" s="255">
        <f>'7'!$G$88</f>
        <v>-2.0000000000436557E-2</v>
      </c>
      <c r="AW11" s="255">
        <f>'7'!$G$89</f>
        <v>10.789999999997235</v>
      </c>
      <c r="AX11" s="255">
        <f>'7'!$G$90</f>
        <v>2.4799999999959255</v>
      </c>
      <c r="AY11" s="253">
        <f t="shared" si="1"/>
        <v>13.249999999992724</v>
      </c>
      <c r="AZ11" s="321">
        <f t="shared" si="5"/>
        <v>26.825382538256033</v>
      </c>
      <c r="BB11" s="371">
        <f t="shared" si="3"/>
        <v>2252.1699999999837</v>
      </c>
      <c r="BC11" s="371">
        <f t="shared" si="4"/>
        <v>10.214376874799802</v>
      </c>
    </row>
    <row r="12" spans="1:55" x14ac:dyDescent="0.2">
      <c r="A12" s="379">
        <v>8</v>
      </c>
      <c r="B12" s="55">
        <f>'8'!G7</f>
        <v>23228.180000000008</v>
      </c>
      <c r="C12" s="55">
        <f>'8'!G8</f>
        <v>23705.190000000002</v>
      </c>
      <c r="D12" s="55">
        <f>'8'!G15</f>
        <v>1022.5499999998137</v>
      </c>
      <c r="E12" s="55">
        <f>'8'!G20</f>
        <v>231</v>
      </c>
      <c r="F12" s="55">
        <f>SUM('8'!G35,'8'!G49)</f>
        <v>3417.8600000000006</v>
      </c>
      <c r="G12" s="55">
        <f>SUM('8'!G37,'8'!G51)</f>
        <v>1737.8999999999942</v>
      </c>
      <c r="H12" s="55">
        <f>SUM('8'!G38,'8'!G52)</f>
        <v>1901.9700000000012</v>
      </c>
      <c r="I12" s="55">
        <f>SUM('8'!G39,'8'!G53)</f>
        <v>4276.4100000000035</v>
      </c>
      <c r="J12" s="55">
        <f>SUM('8'!G41,'8'!G42,'8'!G55,'8'!G56)</f>
        <v>7312.7399999999325</v>
      </c>
      <c r="K12" s="55">
        <f>SUM('8'!G43,'8'!G57)</f>
        <v>2709.6000000000931</v>
      </c>
      <c r="L12" s="255">
        <f>'8'!G50</f>
        <v>1110.2399999999907</v>
      </c>
      <c r="M12" s="255">
        <f>'8'!G36</f>
        <v>708.77999999999884</v>
      </c>
      <c r="N12" s="255">
        <f>'8'!G138</f>
        <v>73</v>
      </c>
      <c r="O12" s="255">
        <f>'8'!$G$139</f>
        <v>0</v>
      </c>
      <c r="P12" s="255">
        <f>'8'!$G$140</f>
        <v>0.19999999999708962</v>
      </c>
      <c r="Q12" s="255">
        <f>'8'!$G$141</f>
        <v>189.20999999999913</v>
      </c>
      <c r="R12" s="255">
        <f>'8'!$G$142</f>
        <v>70.979999999999563</v>
      </c>
      <c r="S12" s="255">
        <f>'8'!$G$145</f>
        <v>45.579999999999927</v>
      </c>
      <c r="T12" s="252">
        <f>'8'!$G$146</f>
        <v>372</v>
      </c>
      <c r="U12" s="252">
        <f>'8'!$G$144</f>
        <v>168</v>
      </c>
      <c r="V12" s="252">
        <f>'8'!$G$147</f>
        <v>360.11999999999534</v>
      </c>
      <c r="W12" s="252">
        <f>'8'!$G$148</f>
        <v>177</v>
      </c>
      <c r="X12" s="252">
        <f>'8'!$G$143</f>
        <v>23.889999999999986</v>
      </c>
      <c r="Y12" s="252">
        <f>'8'!$G$58</f>
        <v>216.56999999999243</v>
      </c>
      <c r="Z12" s="252">
        <f>'8'!$G$151</f>
        <v>340</v>
      </c>
      <c r="AA12" s="252">
        <f>'8'!G158</f>
        <v>274</v>
      </c>
      <c r="AB12" s="252">
        <f>'8'!G159</f>
        <v>38.399999999994179</v>
      </c>
      <c r="AC12" s="252"/>
      <c r="AD12" s="252">
        <f>'8'!G160+'8'!G161</f>
        <v>81.79999999999427</v>
      </c>
      <c r="AE12" s="255">
        <f>'8'!$G$116</f>
        <v>0</v>
      </c>
      <c r="AF12" s="255">
        <f>'8'!$G$117</f>
        <v>24.949999999999932</v>
      </c>
      <c r="AG12" s="255">
        <f>'8'!$G$118</f>
        <v>431.05999999999767</v>
      </c>
      <c r="AH12" s="255">
        <f>'8'!$G$119</f>
        <v>382.92000000001281</v>
      </c>
      <c r="AI12" s="255">
        <f>'8'!$G$120</f>
        <v>407.71000000000095</v>
      </c>
      <c r="AJ12" s="255">
        <f>'8'!$G$121</f>
        <v>689.76000000000931</v>
      </c>
      <c r="AK12" s="255">
        <f>'8'!$G$122</f>
        <v>321.20000000001164</v>
      </c>
      <c r="AL12" s="255">
        <f>'8'!$G$123</f>
        <v>329.64999999999418</v>
      </c>
      <c r="AM12" s="255">
        <f>'8'!$G$133</f>
        <v>738.63999999999942</v>
      </c>
      <c r="AN12" s="255">
        <f>'8'!$G$15</f>
        <v>1022.5499999998137</v>
      </c>
      <c r="AO12" s="257">
        <f>'8'!$G$74</f>
        <v>287.3399999999674</v>
      </c>
      <c r="AP12" s="257">
        <f>'8'!$G$75</f>
        <v>0</v>
      </c>
      <c r="AQ12" s="257">
        <f>'8'!$G$76</f>
        <v>121.90000000002328</v>
      </c>
      <c r="AR12" s="257">
        <f>'8'!$G$77</f>
        <v>49.600000000005821</v>
      </c>
      <c r="AS12" s="257">
        <f>'8'!$G$78</f>
        <v>1.7999999999992724</v>
      </c>
      <c r="AT12" s="257">
        <f t="shared" si="0"/>
        <v>561.90999999981796</v>
      </c>
      <c r="AU12" s="255">
        <f>SUM('8'!G91:G92)</f>
        <v>10.559999999999945</v>
      </c>
      <c r="AV12" s="255">
        <f>'8'!$G$88</f>
        <v>9.680000000000291</v>
      </c>
      <c r="AW12" s="255">
        <f>'8'!$G$89</f>
        <v>0</v>
      </c>
      <c r="AX12" s="255">
        <f>'8'!$G$90</f>
        <v>2.819999999992433</v>
      </c>
      <c r="AY12" s="253">
        <f t="shared" si="1"/>
        <v>12.499999999992724</v>
      </c>
      <c r="BB12" s="371">
        <f t="shared" si="3"/>
        <v>2132.1399999999849</v>
      </c>
      <c r="BC12" s="371">
        <f t="shared" si="4"/>
        <v>9.179109168260208</v>
      </c>
    </row>
    <row r="13" spans="1:55" x14ac:dyDescent="0.2">
      <c r="A13" s="379">
        <v>9</v>
      </c>
      <c r="B13" s="55">
        <f>'9'!G7</f>
        <v>24085.799999999988</v>
      </c>
      <c r="C13" s="55">
        <f>'9'!G8</f>
        <v>24465.489999999991</v>
      </c>
      <c r="D13" s="55">
        <f>'9'!G15</f>
        <v>996.62000000011176</v>
      </c>
      <c r="E13" s="55">
        <f>'9'!G20</f>
        <v>274</v>
      </c>
      <c r="F13" s="55">
        <f>SUM('9'!G35,'9'!G49)</f>
        <v>3709.6600000000035</v>
      </c>
      <c r="G13" s="55">
        <f>SUM('9'!G37,'9'!G51)</f>
        <v>1733.0500000000029</v>
      </c>
      <c r="H13" s="55">
        <f>SUM('9'!G38,'9'!G52)</f>
        <v>1963.9700000000012</v>
      </c>
      <c r="I13" s="55">
        <f>SUM('9'!G39,'9'!G53)</f>
        <v>4274.3299999999872</v>
      </c>
      <c r="J13" s="55">
        <f>SUM('9'!G41,'9'!G42,'9'!G55,'9'!G56)</f>
        <v>7809.1500000000524</v>
      </c>
      <c r="K13" s="55">
        <f>SUM('9'!G43,'9'!G57)</f>
        <v>2700.3999999999069</v>
      </c>
      <c r="L13" s="255">
        <f>'9'!G50</f>
        <v>1033.3699999999953</v>
      </c>
      <c r="M13" s="255">
        <f>'9'!G36</f>
        <v>875.93000000000029</v>
      </c>
      <c r="N13" s="255">
        <f>'9'!G138</f>
        <v>82</v>
      </c>
      <c r="O13" s="255">
        <f>'9'!$G$139</f>
        <v>0</v>
      </c>
      <c r="P13" s="255">
        <f>'9'!$G$140</f>
        <v>-0.19999999999708962</v>
      </c>
      <c r="Q13" s="255">
        <f>'9'!$G$141</f>
        <v>194.66000000000349</v>
      </c>
      <c r="R13" s="255">
        <f>'9'!$G$142</f>
        <v>66.170000000000073</v>
      </c>
      <c r="S13" s="255">
        <f>'9'!$G$145</f>
        <v>51.420000000000073</v>
      </c>
      <c r="T13" s="252">
        <f>'9'!$G$146</f>
        <v>456</v>
      </c>
      <c r="U13" s="252">
        <f>'9'!$G$144</f>
        <v>154</v>
      </c>
      <c r="V13" s="252">
        <f>'9'!$G$147</f>
        <v>415.88000000000466</v>
      </c>
      <c r="W13" s="252">
        <f>'9'!$G$148</f>
        <v>176</v>
      </c>
      <c r="X13" s="252">
        <f>'9'!$G$143</f>
        <v>32.690000000000055</v>
      </c>
      <c r="Y13" s="252">
        <f>'9'!$G$58</f>
        <v>186.24000000000524</v>
      </c>
      <c r="Z13" s="252">
        <f>'9'!$G$151</f>
        <v>354</v>
      </c>
      <c r="AA13" s="252">
        <f>'9'!G158</f>
        <v>202</v>
      </c>
      <c r="AB13" s="252">
        <f>'9'!G159</f>
        <v>16.600000000005821</v>
      </c>
      <c r="AC13" s="252"/>
      <c r="AD13" s="252">
        <f>'9'!G160+'9'!H161</f>
        <v>106.30000000000291</v>
      </c>
      <c r="AE13" s="255">
        <f>'9'!$G$116</f>
        <v>0</v>
      </c>
      <c r="AF13" s="255">
        <f>'9'!$G$117</f>
        <v>22.960000000000036</v>
      </c>
      <c r="AG13" s="255">
        <f>'9'!$G$118</f>
        <v>378.57000000000698</v>
      </c>
      <c r="AH13" s="259">
        <f>'9'!$G$119</f>
        <v>405.76999999998952</v>
      </c>
      <c r="AI13" s="259">
        <f>'9'!$G$120</f>
        <v>401.63999999999942</v>
      </c>
      <c r="AJ13" s="255">
        <f>'9'!$G$121</f>
        <v>709.25</v>
      </c>
      <c r="AK13" s="255">
        <f>'9'!$G$122</f>
        <v>302.7899999999936</v>
      </c>
      <c r="AL13" s="255">
        <f>'9'!$G$123</f>
        <v>321.19000000000233</v>
      </c>
      <c r="AM13" s="255">
        <f>'9'!$G$133</f>
        <v>871.13000000000102</v>
      </c>
      <c r="AN13" s="255">
        <f>'9'!$G$15</f>
        <v>996.62000000011176</v>
      </c>
      <c r="AO13" s="257">
        <f>'9'!$G$74</f>
        <v>275.63000000000466</v>
      </c>
      <c r="AP13" s="257">
        <f>'9'!$G$75</f>
        <v>0</v>
      </c>
      <c r="AQ13" s="257">
        <f>'9'!$G$76</f>
        <v>111.01999999998952</v>
      </c>
      <c r="AR13" s="257">
        <f>'9'!$G$77</f>
        <v>48.69999999999709</v>
      </c>
      <c r="AS13" s="257">
        <f>'9'!$G$78</f>
        <v>2.1000000000003638</v>
      </c>
      <c r="AT13" s="257">
        <f t="shared" si="0"/>
        <v>559.17000000012013</v>
      </c>
      <c r="AU13" s="255">
        <f>SUM('9'!G91:G92)</f>
        <v>10.339999999999691</v>
      </c>
      <c r="AV13" s="255">
        <f>'9'!$G$88</f>
        <v>8.5799999999981083</v>
      </c>
      <c r="AW13" s="255">
        <f>'9'!$G$89</f>
        <v>-0.11999999999898137</v>
      </c>
      <c r="AX13" s="255">
        <f>'9'!$G$90</f>
        <v>4.2400000000052387</v>
      </c>
      <c r="AY13" s="253">
        <f t="shared" si="1"/>
        <v>12.700000000004366</v>
      </c>
      <c r="BB13" s="371">
        <f t="shared" si="3"/>
        <v>2088.6900000000314</v>
      </c>
      <c r="BC13" s="371">
        <f t="shared" si="4"/>
        <v>8.6718730538326838</v>
      </c>
    </row>
    <row r="14" spans="1:55" x14ac:dyDescent="0.2">
      <c r="A14" s="379">
        <v>10</v>
      </c>
      <c r="B14" s="55">
        <f>'10'!G7</f>
        <v>23937</v>
      </c>
      <c r="C14" s="55">
        <f>'10'!G8</f>
        <v>24337</v>
      </c>
      <c r="D14" s="55">
        <f>'10'!G15</f>
        <v>948</v>
      </c>
      <c r="E14" s="55">
        <f>'10'!G20</f>
        <v>258</v>
      </c>
      <c r="F14" s="55">
        <f>SUM('10'!G35,'10'!G49)</f>
        <v>3829</v>
      </c>
      <c r="G14" s="55">
        <f>SUM('10'!G37,'10'!G51)</f>
        <v>1684</v>
      </c>
      <c r="H14" s="55">
        <f>SUM('10'!G38,'10'!G52)</f>
        <v>1960</v>
      </c>
      <c r="I14" s="55">
        <f>SUM('10'!G39,'10'!G53)</f>
        <v>4216</v>
      </c>
      <c r="J14" s="55">
        <f>SUM('10'!G41,'10'!G42,'10'!G55,'10'!G56)</f>
        <v>7582</v>
      </c>
      <c r="K14" s="55">
        <f>SUM('10'!G43,'10'!G57)</f>
        <v>2787</v>
      </c>
      <c r="L14" s="255">
        <f>'10'!G50</f>
        <v>1128</v>
      </c>
      <c r="M14" s="255">
        <f>'10'!G36</f>
        <v>799</v>
      </c>
      <c r="N14" s="255">
        <f>'10'!G138</f>
        <v>89</v>
      </c>
      <c r="O14" s="255">
        <f>'10'!$G$139</f>
        <v>1</v>
      </c>
      <c r="P14" s="255">
        <f>'10'!$G$140</f>
        <v>0</v>
      </c>
      <c r="Q14" s="255">
        <f>'10'!$G$141</f>
        <v>184</v>
      </c>
      <c r="R14" s="255">
        <f>'10'!$G$142</f>
        <v>74</v>
      </c>
      <c r="S14" s="255">
        <f>'10'!$G$145</f>
        <v>42</v>
      </c>
      <c r="T14" s="252">
        <f>'10'!$G$146</f>
        <v>361</v>
      </c>
      <c r="U14" s="252">
        <f>'10'!$G$144</f>
        <v>150</v>
      </c>
      <c r="V14" s="258">
        <f>'10'!$G$147</f>
        <v>410</v>
      </c>
      <c r="W14" s="258">
        <f>'10'!$G$148</f>
        <v>190</v>
      </c>
      <c r="X14" s="252">
        <f>'10'!$G$143</f>
        <v>30</v>
      </c>
      <c r="Y14" s="252">
        <f>'10'!$G$58</f>
        <v>197</v>
      </c>
      <c r="Z14" s="252">
        <f>'10'!$G$151</f>
        <v>291</v>
      </c>
      <c r="AA14" s="252">
        <f>'10'!G158</f>
        <v>3</v>
      </c>
      <c r="AB14" s="252">
        <f>'10'!G159</f>
        <v>18</v>
      </c>
      <c r="AC14" s="252"/>
      <c r="AD14" s="252">
        <f>'10'!G160+'10'!H161</f>
        <v>107</v>
      </c>
      <c r="AE14" s="255">
        <f>'10'!$G$116</f>
        <v>0</v>
      </c>
      <c r="AF14" s="255">
        <f>'10'!$G$117</f>
        <v>31</v>
      </c>
      <c r="AG14" s="255">
        <f>'10'!$G$118</f>
        <v>378</v>
      </c>
      <c r="AH14" s="255">
        <f>'10'!$G$119</f>
        <v>405</v>
      </c>
      <c r="AI14" s="255">
        <f>'10'!$G$120</f>
        <v>404</v>
      </c>
      <c r="AJ14" s="255">
        <f>'10'!$G$121</f>
        <v>688</v>
      </c>
      <c r="AK14" s="255">
        <f>'10'!$G$122</f>
        <v>299</v>
      </c>
      <c r="AL14" s="255">
        <f>'10'!$G$123</f>
        <v>329</v>
      </c>
      <c r="AM14" s="255">
        <f>'10'!$G$133</f>
        <v>858</v>
      </c>
      <c r="AN14" s="255">
        <f>'10'!$G$15</f>
        <v>948</v>
      </c>
      <c r="AO14" s="257">
        <f>'10'!$G$74</f>
        <v>293</v>
      </c>
      <c r="AP14" s="257">
        <f>'10'!$G$75</f>
        <v>0</v>
      </c>
      <c r="AQ14" s="257">
        <f>'10'!$G$76</f>
        <v>116</v>
      </c>
      <c r="AR14" s="257">
        <f>'10'!$G$77</f>
        <v>54</v>
      </c>
      <c r="AS14" s="257">
        <f>'10'!$G$78</f>
        <v>2</v>
      </c>
      <c r="AT14" s="257">
        <f t="shared" si="0"/>
        <v>483</v>
      </c>
      <c r="AU14" s="255">
        <f>SUM('10'!G91:G92)</f>
        <v>11.090000000000146</v>
      </c>
      <c r="AV14" s="255">
        <f>'10'!$G$88</f>
        <v>9.2200000000011642</v>
      </c>
      <c r="AW14" s="255">
        <f>'10'!$G$89</f>
        <v>0</v>
      </c>
      <c r="AX14" s="255">
        <f>'10'!$G$90</f>
        <v>2</v>
      </c>
      <c r="AY14" s="253">
        <f t="shared" si="1"/>
        <v>11.220000000001164</v>
      </c>
      <c r="BB14" s="371">
        <f t="shared" si="3"/>
        <v>2082</v>
      </c>
      <c r="BC14" s="371">
        <f t="shared" si="4"/>
        <v>8.6978318084973054</v>
      </c>
    </row>
    <row r="15" spans="1:55" x14ac:dyDescent="0.2">
      <c r="A15" s="379">
        <v>11</v>
      </c>
      <c r="B15" s="55">
        <f>'11'!G7</f>
        <v>23563</v>
      </c>
      <c r="C15" s="55">
        <f>'11'!G8</f>
        <v>24048</v>
      </c>
      <c r="D15" s="55">
        <f>'11'!G15</f>
        <v>1045</v>
      </c>
      <c r="E15" s="55">
        <f>'11'!G20</f>
        <v>276</v>
      </c>
      <c r="F15" s="55">
        <f>SUM('11'!G35,'11'!G49)</f>
        <v>3321</v>
      </c>
      <c r="G15" s="55">
        <f>SUM('11'!G37,'11'!G51)</f>
        <v>1692</v>
      </c>
      <c r="H15" s="55">
        <f>SUM('11'!G38,'11'!G52)</f>
        <v>1926</v>
      </c>
      <c r="I15" s="55">
        <f>SUM('11'!G39,'11'!G53)</f>
        <v>4356</v>
      </c>
      <c r="J15" s="55">
        <f>SUM('11'!G41,'11'!G42,'11'!G55,'11'!G56)</f>
        <v>7289</v>
      </c>
      <c r="K15" s="55">
        <f>SUM('11'!G43,'11'!G57)</f>
        <v>2717</v>
      </c>
      <c r="L15" s="255">
        <f>'11'!G50</f>
        <v>1149</v>
      </c>
      <c r="M15" s="255">
        <f>'11'!G36</f>
        <v>779</v>
      </c>
      <c r="N15" s="255">
        <f>'11'!G138</f>
        <v>96</v>
      </c>
      <c r="O15" s="255">
        <f>'11'!$G$139</f>
        <v>1</v>
      </c>
      <c r="P15" s="255">
        <f>'11'!$G$140</f>
        <v>0</v>
      </c>
      <c r="Q15" s="255">
        <f>'11'!$G$141</f>
        <v>160</v>
      </c>
      <c r="R15" s="255">
        <f>'11'!$G$142</f>
        <v>67</v>
      </c>
      <c r="S15" s="255">
        <f>'11'!$G$145</f>
        <v>43</v>
      </c>
      <c r="T15" s="252">
        <f>'11'!$G$146</f>
        <v>415</v>
      </c>
      <c r="U15" s="252">
        <f>'11'!$G$144</f>
        <v>167</v>
      </c>
      <c r="V15" s="252">
        <f>'11'!$G$147</f>
        <v>412</v>
      </c>
      <c r="W15" s="252">
        <f>'11'!$G$148</f>
        <v>173</v>
      </c>
      <c r="X15" s="252">
        <f>'11'!$G$143</f>
        <v>31</v>
      </c>
      <c r="Y15" s="252">
        <f>'11'!$G$58</f>
        <v>232</v>
      </c>
      <c r="Z15" s="252">
        <f>'11'!$G$151</f>
        <v>346</v>
      </c>
      <c r="AA15" s="252">
        <f>'11'!G158</f>
        <v>175</v>
      </c>
      <c r="AB15" s="252">
        <f>'11'!G159</f>
        <v>35</v>
      </c>
      <c r="AC15" s="252">
        <f>'11'!G88</f>
        <v>9</v>
      </c>
      <c r="AD15" s="252">
        <f>'11'!G160+'11'!H161</f>
        <v>116</v>
      </c>
      <c r="AE15" s="255">
        <f>'11'!$G$116</f>
        <v>0</v>
      </c>
      <c r="AF15" s="255">
        <f>'11'!$G$117</f>
        <v>32</v>
      </c>
      <c r="AG15" s="255">
        <f>'11'!$G$118</f>
        <v>382</v>
      </c>
      <c r="AH15" s="255">
        <f>'11'!$G$119</f>
        <v>408</v>
      </c>
      <c r="AI15" s="255">
        <f>'11'!$G$120</f>
        <v>404</v>
      </c>
      <c r="AJ15" s="255">
        <f>'11'!$G$121</f>
        <v>722</v>
      </c>
      <c r="AK15" s="255">
        <f>'11'!$G$122</f>
        <v>338</v>
      </c>
      <c r="AL15" s="255">
        <f>'11'!$G$123</f>
        <v>337</v>
      </c>
      <c r="AM15" s="255">
        <f>'11'!$G$133</f>
        <v>801</v>
      </c>
      <c r="AN15" s="255">
        <f>'11'!$G$15</f>
        <v>1045</v>
      </c>
      <c r="AO15" s="257">
        <f>'11'!$G$74</f>
        <v>293</v>
      </c>
      <c r="AP15" s="257">
        <f>'11'!$G$75</f>
        <v>0</v>
      </c>
      <c r="AQ15" s="257">
        <f>'11'!$G$76</f>
        <v>90</v>
      </c>
      <c r="AR15" s="257">
        <f>'11'!$G$77</f>
        <v>44</v>
      </c>
      <c r="AS15" s="257">
        <f>'11'!$G$78</f>
        <v>5</v>
      </c>
      <c r="AT15" s="257">
        <f t="shared" si="0"/>
        <v>613</v>
      </c>
      <c r="AU15" s="255">
        <f>SUM('11'!G91:G92)</f>
        <v>11</v>
      </c>
      <c r="AV15" s="255">
        <f>'11'!$G$88</f>
        <v>9</v>
      </c>
      <c r="AW15" s="255">
        <f>'11'!$G$89</f>
        <v>0</v>
      </c>
      <c r="AX15" s="255">
        <f>'11'!$G$90</f>
        <v>7</v>
      </c>
      <c r="AY15" s="253">
        <f t="shared" si="1"/>
        <v>16</v>
      </c>
      <c r="BB15" s="371">
        <f t="shared" si="3"/>
        <v>2515</v>
      </c>
      <c r="BC15" s="371">
        <f t="shared" si="4"/>
        <v>10.673513559393966</v>
      </c>
    </row>
    <row r="16" spans="1:55" x14ac:dyDescent="0.2">
      <c r="A16" s="379">
        <v>12</v>
      </c>
      <c r="B16" s="55">
        <f>'12'!G7</f>
        <v>23869</v>
      </c>
      <c r="C16" s="55">
        <f>'12'!G8</f>
        <v>24516</v>
      </c>
      <c r="D16" s="55">
        <f>'12'!G15</f>
        <v>959</v>
      </c>
      <c r="E16" s="55">
        <f>'12'!G20</f>
        <v>248</v>
      </c>
      <c r="F16" s="55">
        <f>SUM('12'!G35,'12'!G49)</f>
        <v>3314</v>
      </c>
      <c r="G16" s="55">
        <f>SUM('12'!G37,'12'!G51)</f>
        <v>1772</v>
      </c>
      <c r="H16" s="55">
        <f>SUM('12'!G38,'12'!G52)</f>
        <v>1853</v>
      </c>
      <c r="I16" s="55">
        <f>SUM('12'!G39,'12'!G53)</f>
        <v>4376</v>
      </c>
      <c r="J16" s="55">
        <f>SUM('12'!G41,'12'!G42,'12'!G55,'12'!G56)</f>
        <v>7367</v>
      </c>
      <c r="K16" s="55">
        <f>SUM('12'!G43,'12'!G57)</f>
        <v>2735</v>
      </c>
      <c r="L16" s="255">
        <f>'12'!G50</f>
        <v>1186</v>
      </c>
      <c r="M16" s="255">
        <f>'12'!G36</f>
        <v>721</v>
      </c>
      <c r="N16" s="255">
        <f>'12'!G138</f>
        <v>73</v>
      </c>
      <c r="O16" s="255">
        <f>'12'!$G$139</f>
        <v>0</v>
      </c>
      <c r="P16" s="255">
        <f>'12'!$G$140</f>
        <v>0</v>
      </c>
      <c r="Q16" s="255">
        <f>'12'!$G$141</f>
        <v>172</v>
      </c>
      <c r="R16" s="255">
        <f>'12'!$G$142</f>
        <v>70</v>
      </c>
      <c r="S16" s="255">
        <f>'12'!$G$145</f>
        <v>40</v>
      </c>
      <c r="T16" s="252">
        <f>'12'!$G$146</f>
        <v>405</v>
      </c>
      <c r="U16" s="252">
        <f>'12'!$G$144</f>
        <v>174</v>
      </c>
      <c r="V16" s="252">
        <f>'12'!$G$147</f>
        <v>406</v>
      </c>
      <c r="W16" s="252">
        <f>'12'!$G$148</f>
        <v>168</v>
      </c>
      <c r="X16" s="252">
        <f>'12'!$G$143</f>
        <v>31</v>
      </c>
      <c r="Y16" s="252">
        <f>'12'!$G$58</f>
        <v>216</v>
      </c>
      <c r="Z16" s="252">
        <f>'12'!$G$151</f>
        <v>364</v>
      </c>
      <c r="AA16" s="252">
        <f>'12'!G158</f>
        <v>145</v>
      </c>
      <c r="AB16" s="252">
        <f>'12'!G159</f>
        <v>32</v>
      </c>
      <c r="AC16" s="252">
        <f>'12'!G88</f>
        <v>8.7999999999992724</v>
      </c>
      <c r="AD16" s="252">
        <f>'12'!G160+'12'!H161</f>
        <v>163</v>
      </c>
      <c r="AE16" s="255">
        <f>'12'!$G$116</f>
        <v>0</v>
      </c>
      <c r="AF16" s="255">
        <f>'12'!$G$117</f>
        <v>21</v>
      </c>
      <c r="AG16" s="255">
        <f>'12'!$G$118</f>
        <v>446</v>
      </c>
      <c r="AH16" s="255">
        <f>'12'!$G$119</f>
        <v>388</v>
      </c>
      <c r="AI16" s="255">
        <f>'12'!$G$120</f>
        <v>412</v>
      </c>
      <c r="AJ16" s="255">
        <f>'12'!$G$121</f>
        <v>723</v>
      </c>
      <c r="AK16" s="255">
        <f>'12'!$G$122</f>
        <v>353</v>
      </c>
      <c r="AL16" s="255">
        <f>'12'!$G$123</f>
        <v>345</v>
      </c>
      <c r="AM16" s="255">
        <f>'12'!$G$133</f>
        <v>792</v>
      </c>
      <c r="AN16" s="255">
        <f>'12'!$G$15</f>
        <v>959</v>
      </c>
      <c r="AO16" s="257">
        <f>'12'!$G$74</f>
        <v>279</v>
      </c>
      <c r="AP16" s="257">
        <f>'12'!$G$75</f>
        <v>0</v>
      </c>
      <c r="AQ16" s="261">
        <f>'12'!$G$76</f>
        <v>78</v>
      </c>
      <c r="AR16" s="257">
        <f>'12'!$G$77</f>
        <v>50</v>
      </c>
      <c r="AS16" s="257">
        <f>'12'!$G$78</f>
        <v>2</v>
      </c>
      <c r="AT16" s="257">
        <f t="shared" si="0"/>
        <v>550</v>
      </c>
      <c r="AU16" s="255">
        <f>SUM('12'!G91:G92)</f>
        <v>10.2199999999998</v>
      </c>
      <c r="AV16" s="255">
        <f>'12'!$G$88</f>
        <v>8.7999999999992724</v>
      </c>
      <c r="AW16" s="255">
        <f>'12'!$G$89</f>
        <v>0.11999999999898137</v>
      </c>
      <c r="AX16" s="255">
        <f>'12'!$G$90</f>
        <v>5.5</v>
      </c>
      <c r="AY16" s="253">
        <f t="shared" si="1"/>
        <v>14.419999999998254</v>
      </c>
      <c r="BA16" s="329">
        <f>AO16-AQ16</f>
        <v>201</v>
      </c>
      <c r="BB16" s="371">
        <f t="shared" si="3"/>
        <v>2883</v>
      </c>
      <c r="BC16" s="371">
        <f t="shared" si="4"/>
        <v>12.078428086639574</v>
      </c>
    </row>
    <row r="17" spans="1:55" x14ac:dyDescent="0.2">
      <c r="A17" s="379">
        <v>13</v>
      </c>
      <c r="B17" s="55">
        <f>'13'!G7</f>
        <v>22951</v>
      </c>
      <c r="C17" s="55">
        <f>'13'!G8</f>
        <v>23605</v>
      </c>
      <c r="D17" s="55">
        <f>'13'!G15</f>
        <v>952</v>
      </c>
      <c r="E17" s="55">
        <f>'13'!G20</f>
        <v>219</v>
      </c>
      <c r="F17" s="55">
        <f>SUM('13'!G35,'13'!G49)</f>
        <v>3602</v>
      </c>
      <c r="G17" s="55">
        <f>SUM('13'!G37,'13'!G51)</f>
        <v>1663</v>
      </c>
      <c r="H17" s="55">
        <f>SUM('13'!G38,'13'!G52)</f>
        <v>1845</v>
      </c>
      <c r="I17" s="55">
        <f>SUM('13'!G39,'13'!G53)</f>
        <v>4354</v>
      </c>
      <c r="J17" s="55">
        <f>SUM('13'!G41,'13'!G42,'13'!G55,'13'!G56)</f>
        <v>7041</v>
      </c>
      <c r="K17" s="55">
        <f>SUM('13'!G43,'13'!G57)</f>
        <v>2578</v>
      </c>
      <c r="L17" s="255">
        <f>'13'!G50</f>
        <v>1068</v>
      </c>
      <c r="M17" s="255">
        <f>'13'!G36</f>
        <v>639</v>
      </c>
      <c r="N17" s="255">
        <f>'13'!G138</f>
        <v>68</v>
      </c>
      <c r="O17" s="255">
        <f>'13'!$G$139</f>
        <v>2</v>
      </c>
      <c r="P17" s="255">
        <f>'13'!$G$140</f>
        <v>0</v>
      </c>
      <c r="Q17" s="255">
        <f>'13'!$G$141</f>
        <v>182</v>
      </c>
      <c r="R17" s="255">
        <f>'13'!$G$142</f>
        <v>73</v>
      </c>
      <c r="S17" s="255">
        <f>'13'!$G$145</f>
        <v>35</v>
      </c>
      <c r="T17" s="252">
        <f>'13'!$G$146</f>
        <v>369</v>
      </c>
      <c r="U17" s="252">
        <f>'13'!$G$144</f>
        <v>169</v>
      </c>
      <c r="V17" s="252">
        <f>'13'!$G$147</f>
        <v>392</v>
      </c>
      <c r="W17" s="252">
        <f>'13'!$G$148</f>
        <v>156</v>
      </c>
      <c r="X17" s="252">
        <f>'13'!$G$143</f>
        <v>31</v>
      </c>
      <c r="Y17" s="252">
        <f>'13'!$G$58</f>
        <v>181</v>
      </c>
      <c r="Z17" s="252">
        <f>'13'!$G$151</f>
        <v>363</v>
      </c>
      <c r="AA17" s="252">
        <f>'13'!G158</f>
        <v>50</v>
      </c>
      <c r="AB17" s="252">
        <f>'13'!G159</f>
        <v>37</v>
      </c>
      <c r="AC17" s="252">
        <f>'13'!G88</f>
        <v>8.2700000000004366</v>
      </c>
      <c r="AD17" s="252">
        <f>'13'!G160+'13'!H161</f>
        <v>199</v>
      </c>
      <c r="AE17" s="255">
        <f>'13'!$G$116</f>
        <v>0</v>
      </c>
      <c r="AF17" s="255">
        <f>'13'!$G$117</f>
        <v>21</v>
      </c>
      <c r="AG17" s="255">
        <f>'13'!$G$118</f>
        <v>452</v>
      </c>
      <c r="AH17" s="255">
        <f>'13'!$G$119</f>
        <v>397</v>
      </c>
      <c r="AI17" s="255">
        <f>'13'!$G$120</f>
        <v>402</v>
      </c>
      <c r="AJ17" s="255">
        <f>'13'!$G$121</f>
        <v>707</v>
      </c>
      <c r="AK17" s="255">
        <f>'13'!$G$122</f>
        <v>340</v>
      </c>
      <c r="AL17" s="255">
        <f>'13'!$G$123</f>
        <v>341</v>
      </c>
      <c r="AM17" s="255">
        <f>'13'!$G$133</f>
        <v>724</v>
      </c>
      <c r="AN17" s="255">
        <f>'13'!$G$15</f>
        <v>952</v>
      </c>
      <c r="AO17" s="257">
        <f>'13'!$G$74</f>
        <v>296</v>
      </c>
      <c r="AP17" s="257">
        <f>'13'!$G$75</f>
        <v>0</v>
      </c>
      <c r="AQ17" s="257">
        <f>'13'!$G$76</f>
        <v>86</v>
      </c>
      <c r="AR17" s="257">
        <f>'13'!$G$77</f>
        <v>43</v>
      </c>
      <c r="AS17" s="257">
        <f>'13'!$G$78</f>
        <v>2</v>
      </c>
      <c r="AT17" s="257">
        <f t="shared" si="0"/>
        <v>525</v>
      </c>
      <c r="AU17" s="255">
        <f>SUM('13'!G91:G92)</f>
        <v>10.990000000000236</v>
      </c>
      <c r="AV17" s="255">
        <f>'13'!$G$88</f>
        <v>8.2700000000004366</v>
      </c>
      <c r="AW17" s="255">
        <f>'13'!$G$89</f>
        <v>0</v>
      </c>
      <c r="AX17" s="255">
        <f>'13'!$G$90</f>
        <v>5.1900000000023283</v>
      </c>
      <c r="AY17" s="253">
        <f t="shared" si="1"/>
        <v>13.460000000002765</v>
      </c>
      <c r="BA17" s="329">
        <f t="shared" ref="BA17:BA34" si="6">AO17-AT17</f>
        <v>-229</v>
      </c>
      <c r="BB17" s="371">
        <f t="shared" si="3"/>
        <v>2341</v>
      </c>
      <c r="BC17" s="371">
        <f t="shared" si="4"/>
        <v>10.199991285782755</v>
      </c>
    </row>
    <row r="18" spans="1:55" x14ac:dyDescent="0.2">
      <c r="A18" s="379">
        <v>14</v>
      </c>
      <c r="B18" s="55">
        <f>'14'!G7</f>
        <v>24059</v>
      </c>
      <c r="C18" s="55">
        <f>'14'!G8</f>
        <v>24667</v>
      </c>
      <c r="D18" s="55">
        <f>'14'!G15</f>
        <v>1032</v>
      </c>
      <c r="E18" s="55">
        <f>'14'!G20</f>
        <v>241</v>
      </c>
      <c r="F18" s="55">
        <f>SUM('14'!G35,'14'!G49)</f>
        <v>3657</v>
      </c>
      <c r="G18" s="55">
        <f>SUM('14'!G37,'14'!G51)</f>
        <v>1696</v>
      </c>
      <c r="H18" s="55">
        <f>SUM('14'!G38,'14'!G52)</f>
        <v>1962</v>
      </c>
      <c r="I18" s="55">
        <f>SUM('14'!G39,'14'!G53)</f>
        <v>4269</v>
      </c>
      <c r="J18" s="55">
        <f>SUM('14'!G41,'14'!G42,'14'!G55,'14'!G56)</f>
        <v>7906</v>
      </c>
      <c r="K18" s="55">
        <f>SUM('14'!G43,'14'!G57)</f>
        <v>2705</v>
      </c>
      <c r="L18" s="255">
        <f>'14'!G50</f>
        <v>1042</v>
      </c>
      <c r="M18" s="255">
        <f>'14'!G36</f>
        <v>590</v>
      </c>
      <c r="N18" s="255">
        <f>'14'!G138</f>
        <v>78</v>
      </c>
      <c r="O18" s="255">
        <f>'14'!$G$139</f>
        <v>1</v>
      </c>
      <c r="P18" s="255">
        <f>'14'!$G$140</f>
        <v>0</v>
      </c>
      <c r="Q18" s="255">
        <f>'14'!$G$141</f>
        <v>182</v>
      </c>
      <c r="R18" s="255">
        <f>'14'!$G$142</f>
        <v>74</v>
      </c>
      <c r="S18" s="255">
        <f>'14'!$G$145</f>
        <v>40</v>
      </c>
      <c r="T18" s="252">
        <f>'14'!$G$146</f>
        <v>383</v>
      </c>
      <c r="U18" s="252">
        <f>'14'!$G$144</f>
        <v>178</v>
      </c>
      <c r="V18" s="252">
        <f>'14'!$G$147</f>
        <v>413</v>
      </c>
      <c r="W18" s="252">
        <f>'14'!$G$148</f>
        <v>150</v>
      </c>
      <c r="X18" s="252">
        <f>'14'!$G$143</f>
        <v>28</v>
      </c>
      <c r="Y18" s="252">
        <f>'14'!$G$58</f>
        <v>255</v>
      </c>
      <c r="Z18" s="252">
        <f>'14'!$G$151</f>
        <v>327</v>
      </c>
      <c r="AA18" s="252">
        <f>'14'!G158</f>
        <v>49</v>
      </c>
      <c r="AB18" s="252">
        <f>'14'!G159</f>
        <v>39</v>
      </c>
      <c r="AC18" s="252">
        <f>'14'!G88</f>
        <v>9.4000000000014552</v>
      </c>
      <c r="AD18" s="252">
        <f>'14'!G160+'14'!H161</f>
        <v>163</v>
      </c>
      <c r="AE18" s="255">
        <f>'14'!$G$116</f>
        <v>0</v>
      </c>
      <c r="AF18" s="255">
        <f>'14'!$G$117</f>
        <v>20</v>
      </c>
      <c r="AG18" s="255">
        <f>'14'!$G$118</f>
        <v>409</v>
      </c>
      <c r="AH18" s="255">
        <f>'14'!$G$119</f>
        <v>403</v>
      </c>
      <c r="AI18" s="255">
        <f>'14'!$G$120</f>
        <v>394</v>
      </c>
      <c r="AJ18" s="255">
        <f>'14'!$G$121</f>
        <v>680</v>
      </c>
      <c r="AK18" s="255">
        <f>'14'!$G$122</f>
        <v>326</v>
      </c>
      <c r="AL18" s="255">
        <f>'14'!$G$123</f>
        <v>331</v>
      </c>
      <c r="AM18" s="255">
        <f>'14'!$G$133</f>
        <v>751</v>
      </c>
      <c r="AN18" s="255">
        <f>'14'!$G$15</f>
        <v>1032</v>
      </c>
      <c r="AO18" s="257">
        <f>'14'!$G$74</f>
        <v>290</v>
      </c>
      <c r="AP18" s="257">
        <f>'14'!$G$75</f>
        <v>0</v>
      </c>
      <c r="AQ18" s="257">
        <f>'14'!$G$76</f>
        <v>105</v>
      </c>
      <c r="AR18" s="257">
        <f>'14'!$G$77</f>
        <v>46</v>
      </c>
      <c r="AS18" s="257">
        <f>'14'!$G$78</f>
        <v>2</v>
      </c>
      <c r="AT18" s="257">
        <f t="shared" si="0"/>
        <v>589</v>
      </c>
      <c r="AU18" s="255">
        <f>SUM('14'!G91:G92)</f>
        <v>10.7199999999998</v>
      </c>
      <c r="AV18" s="255">
        <f>'14'!$G$88</f>
        <v>9.4000000000014552</v>
      </c>
      <c r="AW18" s="255">
        <f>'14'!$G$89</f>
        <v>0</v>
      </c>
      <c r="AX18" s="255">
        <f>'14'!$G$90</f>
        <v>5.9700000000011642</v>
      </c>
      <c r="AY18" s="253">
        <f t="shared" si="1"/>
        <v>15.370000000002619</v>
      </c>
      <c r="BA18" s="329">
        <f>AO18-AT18</f>
        <v>-299</v>
      </c>
      <c r="BB18" s="371">
        <f t="shared" si="3"/>
        <v>2217</v>
      </c>
      <c r="BC18" s="371">
        <f t="shared" si="4"/>
        <v>9.2148468348642911</v>
      </c>
    </row>
    <row r="19" spans="1:55" x14ac:dyDescent="0.2">
      <c r="A19" s="379">
        <v>15</v>
      </c>
      <c r="B19" s="55">
        <f>'15'!G7</f>
        <v>22613</v>
      </c>
      <c r="C19" s="55">
        <f>'15'!G8</f>
        <v>23193</v>
      </c>
      <c r="D19" s="311">
        <f>'15'!G15</f>
        <v>976</v>
      </c>
      <c r="E19" s="55">
        <f>'15'!G20</f>
        <v>269</v>
      </c>
      <c r="F19" s="311">
        <f>SUM('15'!G35,'15'!G49)</f>
        <v>3380</v>
      </c>
      <c r="G19" s="311">
        <f>SUM('15'!G37,'15'!G51)</f>
        <v>1687</v>
      </c>
      <c r="H19" s="311">
        <f>SUM('15'!G38,'15'!G52)</f>
        <v>1953</v>
      </c>
      <c r="I19" s="311">
        <f>SUM('15'!G39,'15'!G53)</f>
        <v>4212</v>
      </c>
      <c r="J19" s="311">
        <f>SUM('15'!G41,'15'!G42,'15'!G55,'15'!G56)</f>
        <v>6623</v>
      </c>
      <c r="K19" s="55">
        <f>SUM('15'!G43,'15'!G57)</f>
        <v>2560</v>
      </c>
      <c r="L19" s="312">
        <f>'15'!G50</f>
        <v>1047</v>
      </c>
      <c r="M19" s="255">
        <f>'15'!G36</f>
        <v>935</v>
      </c>
      <c r="N19" s="255">
        <f>'15'!G138</f>
        <v>69</v>
      </c>
      <c r="O19" s="255">
        <f>'15'!$G$139</f>
        <v>1</v>
      </c>
      <c r="P19" s="255">
        <f>'15'!$G$140</f>
        <v>0</v>
      </c>
      <c r="Q19" s="255">
        <f>'15'!$G$141</f>
        <v>196</v>
      </c>
      <c r="R19" s="255">
        <f>'15'!$G$142</f>
        <v>81</v>
      </c>
      <c r="S19" s="255">
        <f>'15'!$G$145</f>
        <v>42</v>
      </c>
      <c r="T19" s="252">
        <f>'15'!$G$146</f>
        <v>380</v>
      </c>
      <c r="U19" s="252">
        <f>'15'!$G$144</f>
        <v>177</v>
      </c>
      <c r="V19" s="252">
        <f>'15'!$G$147</f>
        <v>396</v>
      </c>
      <c r="W19" s="252">
        <f>'15'!$G$148</f>
        <v>156</v>
      </c>
      <c r="X19" s="252">
        <f>'15'!$G$143</f>
        <v>27</v>
      </c>
      <c r="Y19" s="252">
        <f>'15'!$G$58</f>
        <v>247</v>
      </c>
      <c r="Z19" s="252">
        <f>'15'!$G$151</f>
        <v>350</v>
      </c>
      <c r="AA19" s="252">
        <f>'15'!G158</f>
        <v>40</v>
      </c>
      <c r="AB19" s="252">
        <f>'15'!G159</f>
        <v>18</v>
      </c>
      <c r="AC19" s="252">
        <f>'15'!G88</f>
        <v>9.7199999999975262</v>
      </c>
      <c r="AD19" s="252">
        <f>'15'!G160+'15'!H161</f>
        <v>131</v>
      </c>
      <c r="AE19" s="255">
        <f>'15'!$G$116</f>
        <v>0</v>
      </c>
      <c r="AF19" s="255">
        <f>'15'!$G$117</f>
        <v>26</v>
      </c>
      <c r="AG19" s="255">
        <f>'15'!$G$118</f>
        <v>349</v>
      </c>
      <c r="AH19" s="255">
        <f>'15'!$G$119</f>
        <v>431</v>
      </c>
      <c r="AI19" s="255">
        <f>'15'!$G$120</f>
        <v>400</v>
      </c>
      <c r="AJ19" s="255">
        <f>'15'!$G$121</f>
        <v>664</v>
      </c>
      <c r="AK19" s="255">
        <f>'15'!$G$122</f>
        <v>327</v>
      </c>
      <c r="AL19" s="255">
        <f>'15'!$G$123</f>
        <v>345</v>
      </c>
      <c r="AM19" s="255">
        <f>'15'!$G$133</f>
        <v>716</v>
      </c>
      <c r="AN19" s="255">
        <f>'15'!$G$15</f>
        <v>976</v>
      </c>
      <c r="AO19" s="257">
        <f>'15'!$G$74</f>
        <v>288</v>
      </c>
      <c r="AP19" s="257">
        <f>'15'!$G$75</f>
        <v>0</v>
      </c>
      <c r="AQ19" s="257">
        <f>'15'!$G$76</f>
        <v>82</v>
      </c>
      <c r="AR19" s="257">
        <f>'15'!$G$77</f>
        <v>53</v>
      </c>
      <c r="AS19" s="257">
        <f>'15'!$G$78</f>
        <v>2</v>
      </c>
      <c r="AT19" s="257">
        <f t="shared" si="0"/>
        <v>551</v>
      </c>
      <c r="AU19" s="255">
        <f>SUM('15'!G91:G92)</f>
        <v>10.660000000000309</v>
      </c>
      <c r="AV19" s="255">
        <f>'15'!$G$88</f>
        <v>9.7199999999975262</v>
      </c>
      <c r="AW19" s="255">
        <f>'15'!$G$89</f>
        <v>0</v>
      </c>
      <c r="AX19" s="255">
        <f>'15'!$G$90</f>
        <v>0.53999999999359716</v>
      </c>
      <c r="AY19" s="253">
        <f t="shared" si="1"/>
        <v>10.259999999991123</v>
      </c>
      <c r="BA19" s="329">
        <f t="shared" si="6"/>
        <v>-263</v>
      </c>
      <c r="BB19" s="371">
        <f t="shared" si="3"/>
        <v>2531</v>
      </c>
      <c r="BC19" s="371">
        <f t="shared" si="4"/>
        <v>11.192676778844028</v>
      </c>
    </row>
    <row r="20" spans="1:55" x14ac:dyDescent="0.2">
      <c r="A20" s="379">
        <v>16</v>
      </c>
      <c r="B20" s="55">
        <f>'16'!G7</f>
        <v>21373.710000000021</v>
      </c>
      <c r="C20" s="55">
        <f>'16'!G8</f>
        <v>21644.710000000021</v>
      </c>
      <c r="D20" s="55">
        <f>'16'!G15</f>
        <v>978.88299999991432</v>
      </c>
      <c r="E20" s="55">
        <f>'16'!G20</f>
        <v>280</v>
      </c>
      <c r="F20" s="55">
        <f>SUM('16'!G35,'16'!G49)</f>
        <v>4287.1400000000094</v>
      </c>
      <c r="G20" s="55">
        <f>SUM('16'!G37,'16'!G51)</f>
        <v>1707.6699999999983</v>
      </c>
      <c r="H20" s="55">
        <f>SUM('16'!G38,'16'!G52)</f>
        <v>1899.8800000000047</v>
      </c>
      <c r="I20" s="55">
        <f>SUM('16'!G39,'16'!G53)</f>
        <v>4126.1300000000047</v>
      </c>
      <c r="J20" s="55">
        <f>SUM('16'!G41,'16'!G42,'16'!G55,'16'!G56)</f>
        <v>5849.5199999999022</v>
      </c>
      <c r="K20" s="55">
        <f>SUM('16'!G43,'16'!G57)</f>
        <v>2418.5</v>
      </c>
      <c r="L20" s="255">
        <f>'16'!G50</f>
        <v>1115.2299999999814</v>
      </c>
      <c r="M20" s="255">
        <f>'16'!G36</f>
        <v>766.80000000000291</v>
      </c>
      <c r="N20" s="255">
        <f>'16'!G138</f>
        <v>82</v>
      </c>
      <c r="O20" s="255">
        <f>'16'!$G$139</f>
        <v>1</v>
      </c>
      <c r="P20" s="255">
        <f>'16'!$G$140</f>
        <v>0.39999999999417923</v>
      </c>
      <c r="Q20" s="255">
        <f>'16'!$G$141</f>
        <v>187.80000000000291</v>
      </c>
      <c r="R20" s="255">
        <f>'16'!$G$142</f>
        <v>73.490000000001601</v>
      </c>
      <c r="S20" s="255">
        <f>'16'!$G$145</f>
        <v>43</v>
      </c>
      <c r="T20" s="252">
        <f>'16'!$G$146</f>
        <v>342</v>
      </c>
      <c r="U20" s="252">
        <f>'16'!$G$144</f>
        <v>177</v>
      </c>
      <c r="V20" s="252">
        <f>'16'!$G$147</f>
        <v>418.04000000003725</v>
      </c>
      <c r="W20" s="252">
        <f>'16'!$G$148</f>
        <v>221.11999999999534</v>
      </c>
      <c r="X20" s="252">
        <f>'16'!$G$143</f>
        <v>30.580000000000041</v>
      </c>
      <c r="Y20" s="252">
        <f>'16'!$G$58</f>
        <v>216.25999999999476</v>
      </c>
      <c r="Z20" s="252">
        <f>'16'!$G$151</f>
        <v>348</v>
      </c>
      <c r="AA20" s="252">
        <f>'16'!G158</f>
        <v>72.440000000002328</v>
      </c>
      <c r="AB20" s="252">
        <f>'16'!G159</f>
        <v>25.100000000005821</v>
      </c>
      <c r="AC20" s="252">
        <f>'16'!G88</f>
        <v>9.6599999999998545</v>
      </c>
      <c r="AD20" s="252">
        <f>'16'!G160+'16'!H161</f>
        <v>134.10000000000309</v>
      </c>
      <c r="AE20" s="255">
        <f>'16'!$G$116</f>
        <v>0</v>
      </c>
      <c r="AF20" s="255">
        <f>'16'!$G$117</f>
        <v>41.100000000000023</v>
      </c>
      <c r="AG20" s="255">
        <f>'16'!$G$118</f>
        <v>352.57000000000698</v>
      </c>
      <c r="AH20" s="255">
        <f>'16'!$G$119</f>
        <v>409.5</v>
      </c>
      <c r="AI20" s="255">
        <f>'16'!$G$120</f>
        <v>409.97999999999956</v>
      </c>
      <c r="AJ20" s="255">
        <f>'16'!$G$121</f>
        <v>637.84999999997672</v>
      </c>
      <c r="AK20" s="255">
        <f>'16'!$G$122</f>
        <v>294.35099999999511</v>
      </c>
      <c r="AL20" s="255">
        <f>'16'!$G$123</f>
        <v>338.97000000000116</v>
      </c>
      <c r="AM20" s="255">
        <f>'16'!$G$133</f>
        <v>719.40000000000146</v>
      </c>
      <c r="AN20" s="255">
        <f>'16'!$G$15</f>
        <v>978.88299999991432</v>
      </c>
      <c r="AO20" s="257">
        <f>'16'!$G$74</f>
        <v>290.60999999998603</v>
      </c>
      <c r="AP20" s="257">
        <f>'16'!$G$75</f>
        <v>0</v>
      </c>
      <c r="AQ20" s="257">
        <f>'16'!$G$76</f>
        <v>119.17800000001444</v>
      </c>
      <c r="AR20" s="257">
        <f>'16'!$G$77</f>
        <v>51.150000000001455</v>
      </c>
      <c r="AS20" s="257">
        <f>'16'!$G$78</f>
        <v>3.6000000000003638</v>
      </c>
      <c r="AT20" s="257">
        <f t="shared" si="0"/>
        <v>514.34499999991203</v>
      </c>
      <c r="AU20" s="255">
        <f>SUM('16'!G91:G92)</f>
        <v>10.529999999999745</v>
      </c>
      <c r="AV20" s="255">
        <f>'16'!$G$88</f>
        <v>9.6599999999998545</v>
      </c>
      <c r="AW20" s="255">
        <f>'16'!$G$89</f>
        <v>0</v>
      </c>
      <c r="AX20" s="255">
        <f>'16'!$G$90</f>
        <v>2.5</v>
      </c>
      <c r="AY20" s="253">
        <f t="shared" si="1"/>
        <v>12.159999999999854</v>
      </c>
      <c r="BA20" s="329">
        <f t="shared" si="6"/>
        <v>-223.734999999926</v>
      </c>
      <c r="BB20" s="371">
        <f t="shared" si="3"/>
        <v>1139.6100000001061</v>
      </c>
      <c r="BC20" s="371">
        <f t="shared" si="4"/>
        <v>5.3318305525812084</v>
      </c>
    </row>
    <row r="21" spans="1:55" x14ac:dyDescent="0.2">
      <c r="A21" s="379">
        <v>17</v>
      </c>
      <c r="B21" s="55">
        <f>'17'!G7</f>
        <v>22835.759999999951</v>
      </c>
      <c r="C21" s="55">
        <f>'17'!G8</f>
        <v>23033.039999999979</v>
      </c>
      <c r="D21" s="55">
        <f>'17'!G15</f>
        <v>875</v>
      </c>
      <c r="E21" s="55">
        <f>'17'!G20</f>
        <v>271</v>
      </c>
      <c r="F21" s="55">
        <f>SUM('17'!G35,'17'!G49)</f>
        <v>4163.3199999999879</v>
      </c>
      <c r="G21" s="55">
        <f>SUM('17'!G37,'17'!G51)</f>
        <v>1635.1999999999971</v>
      </c>
      <c r="H21" s="55">
        <f>SUM('17'!G38,'17'!G52)</f>
        <v>1880.7200000000012</v>
      </c>
      <c r="I21" s="55">
        <f>SUM('17'!G39,'17'!G53)</f>
        <v>4167.8999999999942</v>
      </c>
      <c r="J21" s="55">
        <f>SUM('17'!G41,'17'!G42,'17'!G55,'17'!G56)</f>
        <v>6803.660000000149</v>
      </c>
      <c r="K21" s="55">
        <f>SUM('17'!G43,'17'!G57)</f>
        <v>2564.6999999999534</v>
      </c>
      <c r="L21" s="255">
        <f>'17'!G50</f>
        <v>1251.7199999999721</v>
      </c>
      <c r="M21" s="255">
        <f>'17'!G36</f>
        <v>742.29999999999563</v>
      </c>
      <c r="N21" s="255">
        <f>'18 '!G138</f>
        <v>-1715</v>
      </c>
      <c r="O21" s="255">
        <f>'17'!$G$139</f>
        <v>-1</v>
      </c>
      <c r="P21" s="255">
        <f>'17'!$G$140</f>
        <v>3.7000000000116415</v>
      </c>
      <c r="Q21" s="255">
        <f>'17'!$G$141</f>
        <v>178.69999999999709</v>
      </c>
      <c r="R21" s="255">
        <f>'17'!$G$142</f>
        <v>68.809999999997672</v>
      </c>
      <c r="S21" s="255">
        <f>'17'!$G$145</f>
        <v>30.400000000000091</v>
      </c>
      <c r="T21" s="252">
        <f>'17'!$G$146</f>
        <v>346</v>
      </c>
      <c r="U21" s="252">
        <f>'17'!$G$144</f>
        <v>165</v>
      </c>
      <c r="V21" s="252">
        <f>'17'!$G$147</f>
        <v>434.67999999993481</v>
      </c>
      <c r="W21" s="252">
        <f>'17'!$G$148</f>
        <v>244.42000000004191</v>
      </c>
      <c r="X21" s="252">
        <f>'17'!$G$143</f>
        <v>26.769999999999982</v>
      </c>
      <c r="Y21" s="252">
        <f>'17'!$G$58</f>
        <v>239.54000000000815</v>
      </c>
      <c r="Z21" s="252">
        <f>'17'!$G$151</f>
        <v>357</v>
      </c>
      <c r="AA21" s="252">
        <f>'17'!G158</f>
        <v>40.960000000020955</v>
      </c>
      <c r="AB21" s="252">
        <f>'17'!G159</f>
        <v>17.299999999988358</v>
      </c>
      <c r="AC21" s="252">
        <f>'17'!G88</f>
        <v>9.3800000000010186</v>
      </c>
      <c r="AD21" s="252">
        <f>'17'!G160+'17'!H161</f>
        <v>225.69999999999436</v>
      </c>
      <c r="AE21" s="255">
        <f>'17'!$G$116</f>
        <v>0</v>
      </c>
      <c r="AF21" s="255">
        <f>'17'!$G$117</f>
        <v>29.919999999999959</v>
      </c>
      <c r="AG21" s="255">
        <f>'17'!$G$118</f>
        <v>344.82000000000698</v>
      </c>
      <c r="AH21" s="255">
        <f>'17'!$G$119</f>
        <v>415.54999999998836</v>
      </c>
      <c r="AI21" s="255">
        <f>'17'!$G$120</f>
        <v>407.51000000000022</v>
      </c>
      <c r="AJ21" s="255">
        <f>'17'!$G$121</f>
        <v>646.05000000004657</v>
      </c>
      <c r="AK21" s="255">
        <f>'17'!$G$122</f>
        <v>313.28900000000431</v>
      </c>
      <c r="AL21" s="255">
        <f>'17'!$G$123</f>
        <v>344.36999999999534</v>
      </c>
      <c r="AM21" s="255">
        <f>'17'!$G$133</f>
        <v>772.09999999999854</v>
      </c>
      <c r="AN21" s="255">
        <f>'17'!$G$15</f>
        <v>875</v>
      </c>
      <c r="AO21" s="257">
        <f>'17'!$G$74</f>
        <v>303.26000000000931</v>
      </c>
      <c r="AP21" s="257">
        <f>'17'!$G$75</f>
        <v>0</v>
      </c>
      <c r="AQ21" s="257">
        <f>'17'!$G$76</f>
        <v>93.74199999999837</v>
      </c>
      <c r="AR21" s="257">
        <f>'17'!$G$77</f>
        <v>46.650000000001455</v>
      </c>
      <c r="AS21" s="257">
        <f>'17'!$G$78</f>
        <v>2</v>
      </c>
      <c r="AT21" s="257">
        <f t="shared" si="0"/>
        <v>429.34799999999086</v>
      </c>
      <c r="AU21" s="255">
        <f>SUM('17'!G91:G92)</f>
        <v>11.209999999999582</v>
      </c>
      <c r="AV21" s="255">
        <f>'17'!$G$88</f>
        <v>9.3800000000010186</v>
      </c>
      <c r="AW21" s="255">
        <f>'17'!$G$89</f>
        <v>3.0000000006111804E-3</v>
      </c>
      <c r="AX21" s="255">
        <f>'17'!$G$90</f>
        <v>2.5299999999988358</v>
      </c>
      <c r="AY21" s="253">
        <f t="shared" si="1"/>
        <v>11.913000000000466</v>
      </c>
      <c r="BA21" s="329">
        <f t="shared" si="6"/>
        <v>-126.08799999998155</v>
      </c>
      <c r="BB21" s="371">
        <f t="shared" si="3"/>
        <v>1577.9999999998872</v>
      </c>
      <c r="BC21" s="371">
        <f t="shared" si="4"/>
        <v>6.9102145056695754</v>
      </c>
    </row>
    <row r="22" spans="1:55" x14ac:dyDescent="0.2">
      <c r="A22" s="379">
        <v>18</v>
      </c>
      <c r="B22" s="55">
        <f>'18 '!G7</f>
        <v>23000</v>
      </c>
      <c r="C22" s="55">
        <f>'18 '!G8</f>
        <v>23050</v>
      </c>
      <c r="D22" s="55">
        <f>'18 '!G15</f>
        <v>875</v>
      </c>
      <c r="E22" s="55">
        <f>'18 '!G20</f>
        <v>200</v>
      </c>
      <c r="F22" s="55">
        <f>SUM('18 '!G35,'18 '!G49)</f>
        <v>1321112.54</v>
      </c>
      <c r="G22" s="55">
        <f>SUM('18 '!G37,'18 '!G51)</f>
        <v>64161.130000000005</v>
      </c>
      <c r="H22" s="55">
        <f>SUM('18 '!G38,'18 '!G52)</f>
        <v>454831.4</v>
      </c>
      <c r="I22" s="55">
        <f>SUM('18 '!G39,'18 '!G53)</f>
        <v>877442.97</v>
      </c>
      <c r="J22" s="55">
        <f>SUM('18 '!G41,'18 '!G42,'18 '!G55,'18 '!G56)</f>
        <v>-329160.40000000008</v>
      </c>
      <c r="K22" s="55">
        <f>SUM('18 '!G43,'18 '!G57)</f>
        <v>-109327.19999999995</v>
      </c>
      <c r="L22" s="255">
        <f>'18 '!G50</f>
        <v>-56853.949999999953</v>
      </c>
      <c r="M22" s="255">
        <f>'18 '!G36</f>
        <v>-35870.1</v>
      </c>
      <c r="N22" s="255">
        <f>'18 '!G138</f>
        <v>-1715</v>
      </c>
      <c r="O22" s="255">
        <f>'18 '!$G$139</f>
        <v>-22</v>
      </c>
      <c r="P22" s="255">
        <f>'18 '!$G$140</f>
        <v>-25.100000000005821</v>
      </c>
      <c r="Q22" s="255">
        <f>'18 '!$G$141</f>
        <v>-8345.5</v>
      </c>
      <c r="R22" s="255">
        <f>'18 '!$G$142</f>
        <v>-3261.2999999999993</v>
      </c>
      <c r="S22" s="255">
        <f>'18 '!$G$145</f>
        <v>-1664.4</v>
      </c>
      <c r="T22" s="252">
        <f>'18 '!$G$146</f>
        <v>-693059</v>
      </c>
      <c r="U22" s="252">
        <f>'18 '!$G$144</f>
        <v>-852910</v>
      </c>
      <c r="V22" s="257">
        <f>'18 '!$G$147</f>
        <v>-583077.72</v>
      </c>
      <c r="W22" s="257">
        <f>'18 '!$G$148</f>
        <v>-661750.54</v>
      </c>
      <c r="X22" s="257">
        <f>'18 '!$G$143</f>
        <v>-1002.35</v>
      </c>
      <c r="Y22" s="257">
        <f>'18 '!$G$58</f>
        <v>-9919.8000000000029</v>
      </c>
      <c r="Z22" s="257">
        <f>'18 '!$G$151</f>
        <v>-59040</v>
      </c>
      <c r="AA22" s="257">
        <f>'18 '!G158</f>
        <v>-3818.4000000000233</v>
      </c>
      <c r="AB22" s="252">
        <f>'18 '!G159</f>
        <v>-1440.3999999999942</v>
      </c>
      <c r="AC22" s="252">
        <f>'18 '!G88</f>
        <v>-345.79999999999927</v>
      </c>
      <c r="AD22" s="252">
        <f>'18 '!G160+'18 '!H161</f>
        <v>-3198.1999999999971</v>
      </c>
      <c r="AE22" s="255">
        <f>'18 '!$G$116</f>
        <v>44933</v>
      </c>
      <c r="AF22" s="255">
        <f>'18 '!$G$117</f>
        <v>44108.98</v>
      </c>
      <c r="AG22" s="255">
        <f>'18 '!$G$118</f>
        <v>-168434.39</v>
      </c>
      <c r="AH22" s="255">
        <f>'18 '!$G$119</f>
        <v>-168018.05</v>
      </c>
      <c r="AI22" s="255">
        <f>'18 '!$G$120</f>
        <v>32509.510000000002</v>
      </c>
      <c r="AJ22" s="255">
        <f>'18 '!$G$121</f>
        <v>-276594.90000000002</v>
      </c>
      <c r="AK22" s="255">
        <f>'18 '!$G$122</f>
        <v>-52056.639999999999</v>
      </c>
      <c r="AL22" s="255">
        <f>'18 '!$G$123</f>
        <v>-76307.34</v>
      </c>
      <c r="AM22" s="255">
        <f>'18 '!$G$133</f>
        <v>-29556.5</v>
      </c>
      <c r="AN22" s="255">
        <f>'18 '!$G$15</f>
        <v>875</v>
      </c>
      <c r="AO22" s="257">
        <f>'18 '!$G$74</f>
        <v>-13121.869999999995</v>
      </c>
      <c r="AP22" s="257">
        <f>'18 '!$G$75</f>
        <v>0</v>
      </c>
      <c r="AQ22" s="257">
        <f>'18 '!$G$76</f>
        <v>-4502.9200000000128</v>
      </c>
      <c r="AR22" s="257">
        <f>'18 '!$G$77</f>
        <v>-2221.8000000000029</v>
      </c>
      <c r="AS22" s="257">
        <f>'18 '!$G$78</f>
        <v>-112.60000000000036</v>
      </c>
      <c r="AT22" s="257">
        <f t="shared" si="0"/>
        <v>20834.19000000001</v>
      </c>
      <c r="AU22" s="255">
        <f>SUM('18 '!G91:G92)</f>
        <v>-485.94999999999982</v>
      </c>
      <c r="AV22" s="255">
        <f>'18 '!$G$88</f>
        <v>-345.79999999999927</v>
      </c>
      <c r="AW22" s="255">
        <f>'18 '!$G$89</f>
        <v>-109.16300000000047</v>
      </c>
      <c r="AX22" s="255">
        <f>'18 '!$G$90</f>
        <v>-63.679999999993015</v>
      </c>
      <c r="AY22" s="253">
        <f t="shared" si="1"/>
        <v>-518.64299999999275</v>
      </c>
      <c r="BA22" s="329">
        <f t="shared" si="6"/>
        <v>-33956.060000000005</v>
      </c>
      <c r="BB22" s="371">
        <f t="shared" si="3"/>
        <v>-2246090.6400000006</v>
      </c>
      <c r="BC22" s="371">
        <f t="shared" si="4"/>
        <v>-9765.6114782608729</v>
      </c>
    </row>
    <row r="23" spans="1:55" s="328" customFormat="1" x14ac:dyDescent="0.2">
      <c r="A23" s="379">
        <v>19</v>
      </c>
      <c r="B23" s="55">
        <f>'19'!G7</f>
        <v>23000</v>
      </c>
      <c r="C23" s="55">
        <f>'19'!G8</f>
        <v>23050</v>
      </c>
      <c r="D23" s="55">
        <f>'19'!G15</f>
        <v>875</v>
      </c>
      <c r="E23" s="55">
        <f>'19'!G20</f>
        <v>200</v>
      </c>
      <c r="F23" s="55">
        <f>SUM('19'!G35,'19'!G49)</f>
        <v>1321112.54</v>
      </c>
      <c r="G23" s="55">
        <f>SUM('19'!G37,'19'!G51)</f>
        <v>64161.130000000005</v>
      </c>
      <c r="H23" s="55">
        <f>SUM('19'!G38,'19'!G52)</f>
        <v>454831.4</v>
      </c>
      <c r="I23" s="55">
        <f>SUM('19'!G39,'19'!G53)</f>
        <v>877442.97</v>
      </c>
      <c r="J23" s="55">
        <f>SUM('19'!G41,'19'!G42,'19'!G55,'19'!G56)</f>
        <v>-329160.40000000008</v>
      </c>
      <c r="K23" s="55">
        <f>SUM('19'!G43,'19'!G57)</f>
        <v>-109327.19999999995</v>
      </c>
      <c r="L23" s="252">
        <f>'19'!G50</f>
        <v>-56853.949999999953</v>
      </c>
      <c r="M23" s="252">
        <f>'19'!G36</f>
        <v>-35870.1</v>
      </c>
      <c r="N23" s="252">
        <f>'19'!G138</f>
        <v>-1715</v>
      </c>
      <c r="O23" s="252">
        <f>'19'!$G$139</f>
        <v>-22</v>
      </c>
      <c r="P23" s="252">
        <f>'19'!$G$140</f>
        <v>-25.100000000005821</v>
      </c>
      <c r="Q23" s="252">
        <f>'19'!$G$141</f>
        <v>-8345.5</v>
      </c>
      <c r="R23" s="255">
        <f>'19'!G142</f>
        <v>-3261.2999999999993</v>
      </c>
      <c r="S23" s="252">
        <f>'19'!$G$145</f>
        <v>-1664.4</v>
      </c>
      <c r="T23" s="252">
        <f>'19'!$G$146</f>
        <v>-693059</v>
      </c>
      <c r="U23" s="252">
        <f>'19'!$G$144</f>
        <v>-852910</v>
      </c>
      <c r="V23" s="252">
        <f>'19'!$G$147</f>
        <v>-583077.72</v>
      </c>
      <c r="W23" s="252">
        <f>'19'!$G$148</f>
        <v>-661750.54</v>
      </c>
      <c r="X23" s="252">
        <f>'19'!$G$143</f>
        <v>-1002.35</v>
      </c>
      <c r="Y23" s="252">
        <f>'19'!$G$58</f>
        <v>-9919.8000000000029</v>
      </c>
      <c r="Z23" s="252">
        <f>'19'!$G$151</f>
        <v>-59040</v>
      </c>
      <c r="AA23" s="252">
        <f>'19'!G158</f>
        <v>-3818.4000000000233</v>
      </c>
      <c r="AB23" s="252">
        <f>'19'!G159</f>
        <v>-1440.3999999999942</v>
      </c>
      <c r="AC23" s="252">
        <f>'19'!G88</f>
        <v>-345.79999999999927</v>
      </c>
      <c r="AD23" s="252">
        <f>'19'!G160+'19'!H161</f>
        <v>-3567.4999999999973</v>
      </c>
      <c r="AE23" s="252">
        <f>'19'!$G$116</f>
        <v>44933</v>
      </c>
      <c r="AF23" s="252">
        <f>'19'!$G$117</f>
        <v>44108.98</v>
      </c>
      <c r="AG23" s="252">
        <f>'19'!$G$118</f>
        <v>-168434.39</v>
      </c>
      <c r="AH23" s="252">
        <f>'19'!$G$119</f>
        <v>-168018.05</v>
      </c>
      <c r="AI23" s="252">
        <f>'19'!$G$120</f>
        <v>32509.510000000002</v>
      </c>
      <c r="AJ23" s="252">
        <f>'19'!$G$121</f>
        <v>-276594.90000000002</v>
      </c>
      <c r="AK23" s="252">
        <f>'19'!$G$122</f>
        <v>-52056.639999999999</v>
      </c>
      <c r="AL23" s="252">
        <f>'19'!$G$123</f>
        <v>-76307.34</v>
      </c>
      <c r="AM23" s="252">
        <f>'19'!$G$133</f>
        <v>-29556.5</v>
      </c>
      <c r="AN23" s="252">
        <f>'19'!$G$15</f>
        <v>875</v>
      </c>
      <c r="AO23" s="257">
        <f>'19'!$G$74</f>
        <v>-13121.869999999995</v>
      </c>
      <c r="AP23" s="257">
        <f>'19'!$G$75</f>
        <v>0</v>
      </c>
      <c r="AQ23" s="257">
        <f>'19'!$G$76</f>
        <v>-4502.9200000000128</v>
      </c>
      <c r="AR23" s="257">
        <f>'19'!$G$77</f>
        <v>-2221.8000000000029</v>
      </c>
      <c r="AS23" s="257">
        <f>'19'!$G$78</f>
        <v>-112.60000000000036</v>
      </c>
      <c r="AT23" s="257">
        <f t="shared" si="0"/>
        <v>20834.19000000001</v>
      </c>
      <c r="AU23" s="252">
        <f>SUM('19'!G91:G92)</f>
        <v>-485.94999999999982</v>
      </c>
      <c r="AV23" s="252">
        <f>'19'!$G$88</f>
        <v>-345.79999999999927</v>
      </c>
      <c r="AW23" s="252">
        <f>'19'!$G$89</f>
        <v>-109.16300000000047</v>
      </c>
      <c r="AX23" s="252">
        <f>'19'!$G$90</f>
        <v>-63.679999999993015</v>
      </c>
      <c r="AY23" s="256">
        <f t="shared" si="1"/>
        <v>-518.64299999999275</v>
      </c>
      <c r="BA23" s="330">
        <f t="shared" si="6"/>
        <v>-33956.060000000005</v>
      </c>
      <c r="BB23" s="371">
        <f t="shared" si="3"/>
        <v>-2246090.6400000006</v>
      </c>
      <c r="BC23" s="371">
        <f t="shared" si="4"/>
        <v>-9765.6114782608729</v>
      </c>
    </row>
    <row r="24" spans="1:55" x14ac:dyDescent="0.2">
      <c r="A24" s="379">
        <v>20</v>
      </c>
      <c r="B24" s="55">
        <f>'20'!G7</f>
        <v>23000</v>
      </c>
      <c r="C24" s="55">
        <f>'20'!G8</f>
        <v>23050</v>
      </c>
      <c r="D24" s="55">
        <f>'20'!G15</f>
        <v>875</v>
      </c>
      <c r="E24" s="55">
        <f>'20'!G20</f>
        <v>200</v>
      </c>
      <c r="F24" s="55">
        <f>SUM('20'!G35,'20'!G49)</f>
        <v>0</v>
      </c>
      <c r="G24" s="55">
        <f>SUM('20'!G37,'20'!G51)</f>
        <v>0</v>
      </c>
      <c r="H24" s="55">
        <f>SUM('20'!G38,'20'!G52)</f>
        <v>0</v>
      </c>
      <c r="I24" s="55">
        <f>SUM('20'!G39,'20'!G53)</f>
        <v>0</v>
      </c>
      <c r="J24" s="55">
        <f>SUM('20'!G41,'20'!G42,'20'!G55,'20'!G56)</f>
        <v>0</v>
      </c>
      <c r="K24" s="55">
        <f>SUM('20'!G43,'20'!G57)</f>
        <v>0</v>
      </c>
      <c r="L24" s="255">
        <f>'20'!G50</f>
        <v>0</v>
      </c>
      <c r="M24" s="255">
        <f>'20'!G36</f>
        <v>0</v>
      </c>
      <c r="N24" s="255">
        <f>'20'!G138</f>
        <v>0</v>
      </c>
      <c r="O24" s="255">
        <f>'20'!$G$139</f>
        <v>0</v>
      </c>
      <c r="P24" s="255">
        <f>'20'!$G$140</f>
        <v>0</v>
      </c>
      <c r="Q24" s="255">
        <f>'20'!$G$141</f>
        <v>0</v>
      </c>
      <c r="R24" s="255">
        <f>'20'!$G$142</f>
        <v>0</v>
      </c>
      <c r="S24" s="255">
        <f>'20'!$G$145</f>
        <v>0</v>
      </c>
      <c r="T24" s="252">
        <f>'20'!$G$146</f>
        <v>0</v>
      </c>
      <c r="U24" s="252">
        <f>'20'!$G$144</f>
        <v>0</v>
      </c>
      <c r="V24" s="252">
        <f>'20'!$G$147</f>
        <v>0</v>
      </c>
      <c r="W24" s="252">
        <f>'20'!$G$148</f>
        <v>0</v>
      </c>
      <c r="X24" s="252">
        <f>'20'!$G$143</f>
        <v>0</v>
      </c>
      <c r="Y24" s="252">
        <f>'20'!$G$58</f>
        <v>0</v>
      </c>
      <c r="Z24" s="252">
        <f>'20'!$G$151</f>
        <v>0</v>
      </c>
      <c r="AA24" s="252">
        <f>'20'!G158</f>
        <v>0</v>
      </c>
      <c r="AB24" s="252">
        <f>'20'!G159</f>
        <v>0</v>
      </c>
      <c r="AC24" s="252">
        <f>'20'!G88</f>
        <v>0</v>
      </c>
      <c r="AD24" s="252">
        <f>'20'!G160+'20'!H161</f>
        <v>-555.30000000000018</v>
      </c>
      <c r="AE24" s="255">
        <f>'20'!$G$116</f>
        <v>0</v>
      </c>
      <c r="AF24" s="255">
        <f>'20'!$G$117</f>
        <v>0</v>
      </c>
      <c r="AG24" s="255">
        <f>'20'!$G$118</f>
        <v>0</v>
      </c>
      <c r="AH24" s="255">
        <f>'20'!$G$119</f>
        <v>0</v>
      </c>
      <c r="AI24" s="255">
        <f>'20'!$G$120</f>
        <v>0</v>
      </c>
      <c r="AJ24" s="255">
        <f>'20'!$G$121</f>
        <v>0</v>
      </c>
      <c r="AK24" s="255">
        <f>'20'!$G$122</f>
        <v>0</v>
      </c>
      <c r="AL24" s="255">
        <f>'20'!$G$123</f>
        <v>0</v>
      </c>
      <c r="AM24" s="255">
        <f>'20'!$G$133</f>
        <v>0</v>
      </c>
      <c r="AN24" s="255">
        <f>'20'!$G$15</f>
        <v>875</v>
      </c>
      <c r="AO24" s="257">
        <f>'20'!$G$74</f>
        <v>0</v>
      </c>
      <c r="AP24" s="257">
        <f>'20'!$G$75</f>
        <v>0</v>
      </c>
      <c r="AQ24" s="257">
        <f>'20'!$G$76</f>
        <v>0</v>
      </c>
      <c r="AR24" s="257">
        <f>'20'!$G$77</f>
        <v>0</v>
      </c>
      <c r="AS24" s="257">
        <f>'20'!$G$78</f>
        <v>0</v>
      </c>
      <c r="AT24" s="257">
        <f t="shared" si="0"/>
        <v>875</v>
      </c>
      <c r="AU24" s="255">
        <f>SUM('20'!G91:G92)</f>
        <v>0</v>
      </c>
      <c r="AV24" s="255">
        <f>'20'!$G$88</f>
        <v>0</v>
      </c>
      <c r="AW24" s="255">
        <f>'20'!$G$89</f>
        <v>0</v>
      </c>
      <c r="AX24" s="255">
        <f>'20'!$G$90</f>
        <v>0</v>
      </c>
      <c r="AY24" s="253">
        <f t="shared" si="1"/>
        <v>0</v>
      </c>
      <c r="BA24" s="329">
        <f t="shared" si="6"/>
        <v>-875</v>
      </c>
      <c r="BB24" s="371">
        <f t="shared" si="3"/>
        <v>23050</v>
      </c>
      <c r="BC24" s="371">
        <f t="shared" si="4"/>
        <v>100.21739130434783</v>
      </c>
    </row>
    <row r="25" spans="1:55" x14ac:dyDescent="0.2">
      <c r="A25" s="379">
        <v>21</v>
      </c>
      <c r="B25" s="55">
        <f>'21'!G7</f>
        <v>23000</v>
      </c>
      <c r="C25" s="55">
        <f>'21'!G8</f>
        <v>23050</v>
      </c>
      <c r="D25" s="55">
        <f>'21'!G15</f>
        <v>875</v>
      </c>
      <c r="E25" s="55">
        <f>'21'!G20</f>
        <v>200</v>
      </c>
      <c r="F25" s="55">
        <f>SUM('21'!G35,'21'!G49)</f>
        <v>0</v>
      </c>
      <c r="G25" s="55">
        <f>SUM('21'!G37,'21'!G51)</f>
        <v>0</v>
      </c>
      <c r="H25" s="55">
        <f>SUM('21'!G38,'21'!G52)</f>
        <v>0</v>
      </c>
      <c r="I25" s="55">
        <f>SUM('21'!G39,'21'!G53)</f>
        <v>0</v>
      </c>
      <c r="J25" s="55">
        <f>SUM('21'!G41,'21'!G42,'21'!G55,'21'!G56)</f>
        <v>0</v>
      </c>
      <c r="K25" s="55">
        <f>SUM('21'!G43,'21'!G57)</f>
        <v>0</v>
      </c>
      <c r="L25" s="255">
        <f>'21'!G50</f>
        <v>0</v>
      </c>
      <c r="M25" s="255">
        <f>'21'!G36</f>
        <v>0</v>
      </c>
      <c r="N25" s="255">
        <f>'21'!G138</f>
        <v>0</v>
      </c>
      <c r="O25" s="255">
        <f>'21'!$G$139</f>
        <v>0</v>
      </c>
      <c r="P25" s="255">
        <f>'21'!$G$140</f>
        <v>0</v>
      </c>
      <c r="Q25" s="255">
        <f>'21'!$G$141</f>
        <v>0</v>
      </c>
      <c r="R25" s="255">
        <f>'21'!$G$142</f>
        <v>0</v>
      </c>
      <c r="S25" s="255">
        <f>'21'!$G$145</f>
        <v>0</v>
      </c>
      <c r="T25" s="252">
        <f>'21'!$G$146</f>
        <v>0</v>
      </c>
      <c r="U25" s="252">
        <f>'21'!$G$144</f>
        <v>0</v>
      </c>
      <c r="V25" s="252">
        <f>'21'!$G$147</f>
        <v>0</v>
      </c>
      <c r="W25" s="252">
        <f>'21'!$G$148</f>
        <v>0</v>
      </c>
      <c r="X25" s="252">
        <f>'21'!$G$143</f>
        <v>0</v>
      </c>
      <c r="Y25" s="252">
        <f>'21'!$G$58</f>
        <v>0</v>
      </c>
      <c r="Z25" s="252">
        <f>'21'!$G$151</f>
        <v>0</v>
      </c>
      <c r="AA25" s="252">
        <f>'21'!G158</f>
        <v>0</v>
      </c>
      <c r="AB25" s="252">
        <f>'21'!G159</f>
        <v>0</v>
      </c>
      <c r="AC25" s="252">
        <f>'21'!G88</f>
        <v>0</v>
      </c>
      <c r="AD25" s="252">
        <f>'21'!G160+'21'!H161</f>
        <v>-555.30000000000018</v>
      </c>
      <c r="AE25" s="255">
        <f>'21'!$G$116</f>
        <v>0</v>
      </c>
      <c r="AF25" s="255">
        <f>'21'!$G$117</f>
        <v>0</v>
      </c>
      <c r="AG25" s="255">
        <f>'21'!$G$118</f>
        <v>0</v>
      </c>
      <c r="AH25" s="255">
        <f>'21'!$G$119</f>
        <v>0</v>
      </c>
      <c r="AI25" s="255">
        <f>'21'!$G$120</f>
        <v>0</v>
      </c>
      <c r="AJ25" s="255">
        <f>'21'!$G$121</f>
        <v>0</v>
      </c>
      <c r="AK25" s="255">
        <f>'21'!$G$122</f>
        <v>0</v>
      </c>
      <c r="AL25" s="255">
        <f>'21'!$G$123</f>
        <v>0</v>
      </c>
      <c r="AM25" s="255">
        <f>'21'!$G$133</f>
        <v>0</v>
      </c>
      <c r="AN25" s="255">
        <f>'21'!$G$15</f>
        <v>875</v>
      </c>
      <c r="AO25" s="257">
        <f>'21'!$G$74</f>
        <v>0</v>
      </c>
      <c r="AP25" s="257">
        <f>'21'!$G$75</f>
        <v>0</v>
      </c>
      <c r="AQ25" s="257">
        <f>'21'!$G$76</f>
        <v>0</v>
      </c>
      <c r="AR25" s="257">
        <f>'21'!$G$77</f>
        <v>0</v>
      </c>
      <c r="AS25" s="257">
        <f>'21'!$G$78</f>
        <v>0</v>
      </c>
      <c r="AT25" s="257">
        <f t="shared" si="0"/>
        <v>875</v>
      </c>
      <c r="AU25" s="255">
        <f>SUM('21'!G91:G92)</f>
        <v>0</v>
      </c>
      <c r="AV25" s="255">
        <f>'21'!$G$88</f>
        <v>0</v>
      </c>
      <c r="AW25" s="255">
        <f>'21'!$G$89</f>
        <v>0</v>
      </c>
      <c r="AX25" s="255">
        <f>'21'!$G$90</f>
        <v>0</v>
      </c>
      <c r="AY25" s="253">
        <f t="shared" si="1"/>
        <v>0</v>
      </c>
      <c r="BA25" s="329">
        <f t="shared" si="6"/>
        <v>-875</v>
      </c>
      <c r="BB25" s="371">
        <f t="shared" si="3"/>
        <v>23050</v>
      </c>
      <c r="BC25" s="371">
        <f t="shared" si="4"/>
        <v>100.21739130434783</v>
      </c>
    </row>
    <row r="26" spans="1:55" x14ac:dyDescent="0.2">
      <c r="A26" s="379">
        <v>22</v>
      </c>
      <c r="B26" s="55">
        <f>'22'!G7</f>
        <v>23000</v>
      </c>
      <c r="C26" s="55">
        <f>'22'!G8</f>
        <v>23050</v>
      </c>
      <c r="D26" s="55">
        <f>'22'!G15</f>
        <v>875</v>
      </c>
      <c r="E26" s="55">
        <f>'22'!G20</f>
        <v>200</v>
      </c>
      <c r="F26" s="55">
        <f>SUM('22'!G35,'22'!G49)</f>
        <v>0</v>
      </c>
      <c r="G26" s="55">
        <f>SUM('22'!G37,'22'!G51)</f>
        <v>0</v>
      </c>
      <c r="H26" s="55">
        <f>SUM('22'!G38,'22'!G52)</f>
        <v>0</v>
      </c>
      <c r="I26" s="55">
        <f>SUM('22'!G39,'22'!G53)</f>
        <v>0</v>
      </c>
      <c r="J26" s="55">
        <f>SUM('22'!G41,'22'!G42,'22'!G55,'22'!G56)</f>
        <v>0</v>
      </c>
      <c r="K26" s="55">
        <f>SUM('22'!G43,'22'!G57)</f>
        <v>0</v>
      </c>
      <c r="L26" s="255">
        <f>'22'!G50</f>
        <v>0</v>
      </c>
      <c r="M26" s="255">
        <f>'22'!G36</f>
        <v>0</v>
      </c>
      <c r="N26" s="255">
        <f>'22'!G138</f>
        <v>0</v>
      </c>
      <c r="O26" s="255">
        <f>'22'!$G$139</f>
        <v>0</v>
      </c>
      <c r="P26" s="255">
        <f>'22'!$G$140</f>
        <v>0</v>
      </c>
      <c r="Q26" s="255">
        <f>'22'!$G$141</f>
        <v>0</v>
      </c>
      <c r="R26" s="255">
        <f>'22'!$G$142</f>
        <v>0</v>
      </c>
      <c r="S26" s="255">
        <f>'22'!$G$145</f>
        <v>0</v>
      </c>
      <c r="T26" s="252">
        <f>'22'!$G$146</f>
        <v>0</v>
      </c>
      <c r="U26" s="252">
        <f>'22'!$G$144</f>
        <v>0</v>
      </c>
      <c r="V26" s="252">
        <f>'22'!$G$147</f>
        <v>0</v>
      </c>
      <c r="W26" s="252">
        <f>'22'!$G$148</f>
        <v>0</v>
      </c>
      <c r="X26" s="252">
        <f>'22'!$G$143</f>
        <v>0</v>
      </c>
      <c r="Y26" s="252">
        <f>'22'!$G$58</f>
        <v>0</v>
      </c>
      <c r="Z26" s="252">
        <f>'22'!$G$151</f>
        <v>0</v>
      </c>
      <c r="AA26" s="252">
        <f>'22'!G158</f>
        <v>0</v>
      </c>
      <c r="AB26" s="252">
        <f>'22'!G159</f>
        <v>0</v>
      </c>
      <c r="AC26" s="252">
        <f>'22'!G88</f>
        <v>0</v>
      </c>
      <c r="AD26" s="252">
        <f>'22'!G160+'22'!H161</f>
        <v>-555.30000000000018</v>
      </c>
      <c r="AE26" s="255">
        <f>'22'!$G$116</f>
        <v>0</v>
      </c>
      <c r="AF26" s="255">
        <f>'22'!$G$117</f>
        <v>0</v>
      </c>
      <c r="AG26" s="255">
        <f>'22'!$G$118</f>
        <v>0</v>
      </c>
      <c r="AH26" s="255">
        <f>'22'!$G$119</f>
        <v>0</v>
      </c>
      <c r="AI26" s="255">
        <f>'22'!$G$120</f>
        <v>0</v>
      </c>
      <c r="AJ26" s="255">
        <f>'22'!$G$121</f>
        <v>0</v>
      </c>
      <c r="AK26" s="255">
        <f>'22'!$G$122</f>
        <v>0</v>
      </c>
      <c r="AL26" s="255">
        <f>'22'!$G$123</f>
        <v>0</v>
      </c>
      <c r="AM26" s="255">
        <f>'22'!$G$133</f>
        <v>0</v>
      </c>
      <c r="AN26" s="255">
        <f>'22'!$G$15</f>
        <v>875</v>
      </c>
      <c r="AO26" s="257">
        <f>'22'!$G$74</f>
        <v>0</v>
      </c>
      <c r="AP26" s="257">
        <f>'22'!$G$75</f>
        <v>0</v>
      </c>
      <c r="AQ26" s="257">
        <f>'22'!$G$76</f>
        <v>0</v>
      </c>
      <c r="AR26" s="257">
        <f>'22'!$G$77</f>
        <v>0</v>
      </c>
      <c r="AS26" s="257">
        <f>'22'!$G$78</f>
        <v>0</v>
      </c>
      <c r="AT26" s="257">
        <f t="shared" si="0"/>
        <v>875</v>
      </c>
      <c r="AU26" s="255">
        <f>SUM('22'!G91:G92)</f>
        <v>0</v>
      </c>
      <c r="AV26" s="255">
        <f>'22'!$G$88</f>
        <v>0</v>
      </c>
      <c r="AW26" s="255">
        <f>'22'!$G$89</f>
        <v>0</v>
      </c>
      <c r="AX26" s="255">
        <f>'22'!$G$90</f>
        <v>0</v>
      </c>
      <c r="AY26" s="253">
        <f t="shared" si="1"/>
        <v>0</v>
      </c>
      <c r="BA26" s="329">
        <f t="shared" si="6"/>
        <v>-875</v>
      </c>
      <c r="BB26" s="371">
        <f t="shared" si="3"/>
        <v>23050</v>
      </c>
      <c r="BC26" s="371">
        <f t="shared" si="4"/>
        <v>100.21739130434783</v>
      </c>
    </row>
    <row r="27" spans="1:55" x14ac:dyDescent="0.2">
      <c r="A27" s="379">
        <v>23</v>
      </c>
      <c r="B27" s="55">
        <f>'23'!G7</f>
        <v>23000</v>
      </c>
      <c r="C27" s="55">
        <f>'23'!G8</f>
        <v>23050</v>
      </c>
      <c r="D27" s="55">
        <f>'23'!G15</f>
        <v>875</v>
      </c>
      <c r="E27" s="55">
        <f>'23'!G20</f>
        <v>200</v>
      </c>
      <c r="F27" s="55">
        <f>SUM('23'!G35,'23'!G49)</f>
        <v>0</v>
      </c>
      <c r="G27" s="55">
        <f>SUM('23'!G37,'23'!G51)</f>
        <v>0</v>
      </c>
      <c r="H27" s="55">
        <f>SUM('23'!G38,'23'!G52)</f>
        <v>0</v>
      </c>
      <c r="I27" s="55">
        <f>SUM('23'!G39,'23'!G53)</f>
        <v>0</v>
      </c>
      <c r="J27" s="55">
        <f>SUM('23'!G41,'23'!G42,'23'!G55,'23'!G56)</f>
        <v>0</v>
      </c>
      <c r="K27" s="55">
        <f>SUM('23'!G43,'23'!G57)</f>
        <v>0</v>
      </c>
      <c r="L27" s="255">
        <f>'23'!G50</f>
        <v>0</v>
      </c>
      <c r="M27" s="255">
        <f>'23'!G36</f>
        <v>0</v>
      </c>
      <c r="N27" s="255">
        <f>'23'!G138</f>
        <v>0</v>
      </c>
      <c r="O27" s="255">
        <f>'23'!G139</f>
        <v>0</v>
      </c>
      <c r="P27" s="255">
        <f>'23'!$G$140</f>
        <v>0</v>
      </c>
      <c r="Q27" s="255">
        <f>'23'!$G$141</f>
        <v>0</v>
      </c>
      <c r="R27" s="255">
        <f>'23'!$G$142</f>
        <v>0</v>
      </c>
      <c r="S27" s="255">
        <f>'23'!$G$145</f>
        <v>0</v>
      </c>
      <c r="T27" s="252">
        <f>'23'!$G$146</f>
        <v>0</v>
      </c>
      <c r="U27" s="252">
        <f>'23'!$G$144</f>
        <v>0</v>
      </c>
      <c r="V27" s="252">
        <f>'23'!$G$147</f>
        <v>0</v>
      </c>
      <c r="W27" s="252">
        <f>'23'!$G$148</f>
        <v>0</v>
      </c>
      <c r="X27" s="252">
        <f>'23'!$G$143</f>
        <v>0</v>
      </c>
      <c r="Y27" s="252">
        <f>'23'!$G$58</f>
        <v>0</v>
      </c>
      <c r="Z27" s="264">
        <f>'23'!$G$151</f>
        <v>0</v>
      </c>
      <c r="AA27" s="252">
        <f>'23'!$G$158</f>
        <v>0</v>
      </c>
      <c r="AB27" s="252">
        <f>'23'!G159</f>
        <v>0</v>
      </c>
      <c r="AC27" s="252">
        <f>'23'!G88</f>
        <v>0</v>
      </c>
      <c r="AD27" s="252">
        <f>'23'!G160+'23'!H161</f>
        <v>-555.30000000000018</v>
      </c>
      <c r="AE27" s="255">
        <f>'23'!$G$116</f>
        <v>0</v>
      </c>
      <c r="AF27" s="255">
        <f>'23'!$G$117</f>
        <v>0</v>
      </c>
      <c r="AG27" s="255">
        <f>'23'!$G$118</f>
        <v>0</v>
      </c>
      <c r="AH27" s="255">
        <f>'23'!$G$119</f>
        <v>0</v>
      </c>
      <c r="AI27" s="255">
        <f>'23'!$G$120</f>
        <v>0</v>
      </c>
      <c r="AJ27" s="255">
        <f>'23'!$G$121</f>
        <v>0</v>
      </c>
      <c r="AK27" s="255">
        <f>'23'!$G$122</f>
        <v>0</v>
      </c>
      <c r="AL27" s="255">
        <f>'23'!$G$123</f>
        <v>0</v>
      </c>
      <c r="AM27" s="255">
        <f>'23'!$G$133</f>
        <v>0</v>
      </c>
      <c r="AN27" s="255">
        <f>'23'!$G$15</f>
        <v>875</v>
      </c>
      <c r="AO27" s="257">
        <f>'23'!$G$74</f>
        <v>0</v>
      </c>
      <c r="AP27" s="257">
        <f>'23'!$G$75</f>
        <v>0</v>
      </c>
      <c r="AQ27" s="257">
        <f>'23'!$G$76</f>
        <v>0</v>
      </c>
      <c r="AR27" s="257">
        <f>'23'!$G$77</f>
        <v>0</v>
      </c>
      <c r="AS27" s="257">
        <f>'23'!$G$78</f>
        <v>0</v>
      </c>
      <c r="AT27" s="257">
        <f t="shared" si="0"/>
        <v>875</v>
      </c>
      <c r="AU27" s="255">
        <f>SUM('23'!G91:G92)</f>
        <v>0</v>
      </c>
      <c r="AV27" s="255">
        <f>'23'!$G$88</f>
        <v>0</v>
      </c>
      <c r="AW27" s="255">
        <f>'23'!$G$89</f>
        <v>0</v>
      </c>
      <c r="AX27" s="255">
        <f>'23'!$G$90</f>
        <v>0</v>
      </c>
      <c r="AY27" s="253">
        <f t="shared" si="1"/>
        <v>0</v>
      </c>
      <c r="BA27" s="329">
        <f t="shared" si="6"/>
        <v>-875</v>
      </c>
      <c r="BB27" s="371">
        <f t="shared" si="3"/>
        <v>23050</v>
      </c>
      <c r="BC27" s="371">
        <f t="shared" si="4"/>
        <v>100.21739130434783</v>
      </c>
    </row>
    <row r="28" spans="1:55" s="331" customFormat="1" x14ac:dyDescent="0.2">
      <c r="A28" s="379">
        <v>24</v>
      </c>
      <c r="B28" s="55">
        <f>'24'!G7</f>
        <v>23000</v>
      </c>
      <c r="C28" s="55">
        <f>'24'!G8</f>
        <v>23050</v>
      </c>
      <c r="D28" s="55">
        <f>'24'!G15</f>
        <v>875</v>
      </c>
      <c r="E28" s="55">
        <f>'24'!G20</f>
        <v>200</v>
      </c>
      <c r="F28" s="55">
        <f>SUM('24'!G35,'24'!G49)</f>
        <v>0</v>
      </c>
      <c r="G28" s="55">
        <f>SUM('24'!G37,'24'!G51)</f>
        <v>0</v>
      </c>
      <c r="H28" s="55">
        <f>SUM('24'!G38,'24'!G52)</f>
        <v>0</v>
      </c>
      <c r="I28" s="55">
        <f>SUM('24'!G39,'24'!G53)</f>
        <v>0</v>
      </c>
      <c r="J28" s="55">
        <f>SUM('24'!G41,'24'!G42,'24'!G55,'24'!G56)</f>
        <v>0</v>
      </c>
      <c r="K28" s="55">
        <f>SUM('24'!G43,'24'!G57)</f>
        <v>0</v>
      </c>
      <c r="L28" s="255">
        <f>'24'!G50</f>
        <v>0</v>
      </c>
      <c r="M28" s="252">
        <f>'24'!G36</f>
        <v>0</v>
      </c>
      <c r="N28" s="252">
        <f>'24'!G138</f>
        <v>0</v>
      </c>
      <c r="O28" s="252">
        <f>'24'!G139</f>
        <v>0</v>
      </c>
      <c r="P28" s="252">
        <f>'24'!$G$140</f>
        <v>0</v>
      </c>
      <c r="Q28" s="252">
        <f>'24'!$G$141</f>
        <v>0</v>
      </c>
      <c r="R28" s="252">
        <f>'24'!$G$142</f>
        <v>0</v>
      </c>
      <c r="S28" s="252">
        <f>'24'!$G$145</f>
        <v>0</v>
      </c>
      <c r="T28" s="252">
        <f>'24'!$G$146</f>
        <v>0</v>
      </c>
      <c r="U28" s="252">
        <f>'24'!$G$144</f>
        <v>0</v>
      </c>
      <c r="V28" s="252">
        <f>'24'!$G$147</f>
        <v>0</v>
      </c>
      <c r="W28" s="252">
        <f>'24'!$G$148</f>
        <v>0</v>
      </c>
      <c r="X28" s="252">
        <f>'24'!$G$143</f>
        <v>0</v>
      </c>
      <c r="Y28" s="252">
        <f>'24'!$G$58</f>
        <v>0</v>
      </c>
      <c r="Z28" s="252">
        <f>'24'!$G$151</f>
        <v>0</v>
      </c>
      <c r="AA28" s="252">
        <f>'24'!G158</f>
        <v>0</v>
      </c>
      <c r="AB28" s="252">
        <f>'24'!G159</f>
        <v>0</v>
      </c>
      <c r="AC28" s="252">
        <f>'24'!G88</f>
        <v>0</v>
      </c>
      <c r="AD28" s="252">
        <f>'24'!G160+'24'!H161</f>
        <v>-555.30000000000018</v>
      </c>
      <c r="AE28" s="252">
        <f>'24'!$G$116</f>
        <v>0</v>
      </c>
      <c r="AF28" s="252">
        <f>'24'!$G$117</f>
        <v>0</v>
      </c>
      <c r="AG28" s="252">
        <f>'24'!$G$118</f>
        <v>0</v>
      </c>
      <c r="AH28" s="252">
        <f>'24'!$G$119</f>
        <v>0</v>
      </c>
      <c r="AI28" s="252">
        <f>'24'!$G$120</f>
        <v>0</v>
      </c>
      <c r="AJ28" s="252">
        <f>'24'!$G$121</f>
        <v>0</v>
      </c>
      <c r="AK28" s="252">
        <f>'24'!$G$122</f>
        <v>0</v>
      </c>
      <c r="AL28" s="252">
        <f>'24'!$G$123</f>
        <v>0</v>
      </c>
      <c r="AM28" s="252">
        <f>'24'!$G$133</f>
        <v>0</v>
      </c>
      <c r="AN28" s="252">
        <f>'24'!$G$15</f>
        <v>875</v>
      </c>
      <c r="AO28" s="257">
        <f>'24'!$G$74</f>
        <v>0</v>
      </c>
      <c r="AP28" s="257">
        <f>'24'!$G$75</f>
        <v>0</v>
      </c>
      <c r="AQ28" s="257">
        <f>'24'!$G$76</f>
        <v>0</v>
      </c>
      <c r="AR28" s="257">
        <f>'24'!$G$77</f>
        <v>0</v>
      </c>
      <c r="AS28" s="257">
        <f>'24'!$G$78</f>
        <v>0</v>
      </c>
      <c r="AT28" s="257">
        <f>AN28-SUM(AO28:AS28)</f>
        <v>875</v>
      </c>
      <c r="AU28" s="252">
        <f>SUM('24'!G91:G92)</f>
        <v>0</v>
      </c>
      <c r="AV28" s="252">
        <f>'24'!$G$88</f>
        <v>0</v>
      </c>
      <c r="AW28" s="252">
        <f>'24'!$G$89</f>
        <v>0</v>
      </c>
      <c r="AX28" s="252">
        <f>'24'!$G$90</f>
        <v>0</v>
      </c>
      <c r="AY28" s="256">
        <f t="shared" si="1"/>
        <v>0</v>
      </c>
      <c r="BA28" s="332">
        <f t="shared" si="6"/>
        <v>-875</v>
      </c>
      <c r="BB28" s="371">
        <f t="shared" si="3"/>
        <v>23050</v>
      </c>
      <c r="BC28" s="371">
        <f t="shared" si="4"/>
        <v>100.21739130434783</v>
      </c>
    </row>
    <row r="29" spans="1:55" x14ac:dyDescent="0.2">
      <c r="A29" s="379">
        <v>25</v>
      </c>
      <c r="B29" s="55">
        <f>'25'!G7</f>
        <v>23000</v>
      </c>
      <c r="C29" s="55">
        <f>'25'!G8</f>
        <v>23050</v>
      </c>
      <c r="D29" s="55">
        <f>'25'!G15</f>
        <v>875</v>
      </c>
      <c r="E29" s="55">
        <f>'25'!G20</f>
        <v>200</v>
      </c>
      <c r="F29" s="55">
        <f>SUM('25'!G35,'25'!G49)</f>
        <v>0</v>
      </c>
      <c r="G29" s="55">
        <f>SUM('25'!G37,'25'!G51)</f>
        <v>0</v>
      </c>
      <c r="H29" s="55">
        <f>SUM('25'!G38,'25'!G52)</f>
        <v>0</v>
      </c>
      <c r="I29" s="55">
        <f>SUM('25'!G39,'25'!G53)</f>
        <v>0</v>
      </c>
      <c r="J29" s="55">
        <f>SUM('25'!G41,'25'!G42,'25'!G55,'25'!G56)</f>
        <v>0</v>
      </c>
      <c r="K29" s="55">
        <f>SUM('25'!G43,'25'!G57)</f>
        <v>0</v>
      </c>
      <c r="L29" s="255">
        <f>'25'!G50</f>
        <v>0</v>
      </c>
      <c r="M29" s="255">
        <f>'25'!G36</f>
        <v>0</v>
      </c>
      <c r="N29" s="255">
        <f>'25'!G138</f>
        <v>0</v>
      </c>
      <c r="O29" s="255">
        <f>'25'!$G$139</f>
        <v>0</v>
      </c>
      <c r="P29" s="255">
        <f>'25'!$G$140</f>
        <v>0</v>
      </c>
      <c r="Q29" s="255">
        <f>'25'!$G$141</f>
        <v>0</v>
      </c>
      <c r="R29" s="255">
        <f>'25'!$G$142</f>
        <v>0</v>
      </c>
      <c r="S29" s="255">
        <f>'25'!$G$145</f>
        <v>0</v>
      </c>
      <c r="T29" s="252">
        <f>'25'!$G$146</f>
        <v>0</v>
      </c>
      <c r="U29" s="252">
        <f>'25'!$G$144</f>
        <v>0</v>
      </c>
      <c r="V29" s="252">
        <f>'25'!$G$147</f>
        <v>0</v>
      </c>
      <c r="W29" s="252">
        <f>'25'!$G$148</f>
        <v>0</v>
      </c>
      <c r="X29" s="252">
        <f>'25'!$G$143</f>
        <v>0</v>
      </c>
      <c r="Y29" s="252">
        <f>'25'!$G$58</f>
        <v>0</v>
      </c>
      <c r="Z29" s="252">
        <f>'25'!$G$151</f>
        <v>0</v>
      </c>
      <c r="AA29" s="252">
        <f>'25'!G158</f>
        <v>0</v>
      </c>
      <c r="AB29" s="252">
        <f>'25'!G159</f>
        <v>0</v>
      </c>
      <c r="AC29" s="252">
        <f>'25'!G88</f>
        <v>0</v>
      </c>
      <c r="AD29" s="252">
        <f>'25'!G160+'25'!H161</f>
        <v>-555.30000000000018</v>
      </c>
      <c r="AE29" s="255">
        <f>'25'!$G$116</f>
        <v>0</v>
      </c>
      <c r="AF29" s="255">
        <f>'25'!$G$117</f>
        <v>0</v>
      </c>
      <c r="AG29" s="255">
        <f>'25'!$G$118</f>
        <v>0</v>
      </c>
      <c r="AH29" s="255">
        <f>'25'!$G$119</f>
        <v>0</v>
      </c>
      <c r="AI29" s="255">
        <f>'25'!$G$120</f>
        <v>0</v>
      </c>
      <c r="AJ29" s="255">
        <f>'25'!$G$121</f>
        <v>0</v>
      </c>
      <c r="AK29" s="255">
        <f>'25'!$G$122</f>
        <v>0</v>
      </c>
      <c r="AL29" s="255">
        <f>'25'!$G$123</f>
        <v>0</v>
      </c>
      <c r="AM29" s="255">
        <f>'25'!$G$133</f>
        <v>0</v>
      </c>
      <c r="AN29" s="255">
        <f>'25'!$G$15</f>
        <v>875</v>
      </c>
      <c r="AO29" s="257">
        <f>'25'!$G$74</f>
        <v>0</v>
      </c>
      <c r="AP29" s="257">
        <f>'25'!$G$75</f>
        <v>0</v>
      </c>
      <c r="AQ29" s="257">
        <f>'25'!$G$76</f>
        <v>0</v>
      </c>
      <c r="AR29" s="257">
        <f>'25'!$G$77</f>
        <v>0</v>
      </c>
      <c r="AS29" s="257">
        <f>'25'!$G$78</f>
        <v>0</v>
      </c>
      <c r="AT29" s="257">
        <f t="shared" si="0"/>
        <v>875</v>
      </c>
      <c r="AU29" s="255">
        <f>SUM('25'!G91:G92)</f>
        <v>0</v>
      </c>
      <c r="AV29" s="255">
        <f>'25'!$G$88</f>
        <v>0</v>
      </c>
      <c r="AW29" s="255">
        <f>'25'!$G$89</f>
        <v>0</v>
      </c>
      <c r="AX29" s="255">
        <f>'25'!$G$90</f>
        <v>0</v>
      </c>
      <c r="AY29" s="253">
        <f t="shared" si="1"/>
        <v>0</v>
      </c>
      <c r="BA29" s="329">
        <f t="shared" si="6"/>
        <v>-875</v>
      </c>
      <c r="BB29" s="371">
        <f t="shared" si="3"/>
        <v>23050</v>
      </c>
      <c r="BC29" s="371">
        <f t="shared" si="4"/>
        <v>100.21739130434783</v>
      </c>
    </row>
    <row r="30" spans="1:55" x14ac:dyDescent="0.2">
      <c r="A30" s="379">
        <v>26</v>
      </c>
      <c r="B30" s="55">
        <f>'26'!G7</f>
        <v>23000</v>
      </c>
      <c r="C30" s="55">
        <f>'26'!G8</f>
        <v>23050</v>
      </c>
      <c r="D30" s="55">
        <f>'26'!G15</f>
        <v>875</v>
      </c>
      <c r="E30" s="55">
        <f>'26'!G20</f>
        <v>200</v>
      </c>
      <c r="F30" s="55">
        <f>SUM('26'!G35,'26'!G49)</f>
        <v>0</v>
      </c>
      <c r="G30" s="55">
        <f>SUM('26'!G37,'26'!G51)</f>
        <v>0</v>
      </c>
      <c r="H30" s="55">
        <f>SUM('26'!G38,'26'!G52)</f>
        <v>0</v>
      </c>
      <c r="I30" s="55">
        <f>SUM('26'!G39,'26'!G53)</f>
        <v>0</v>
      </c>
      <c r="J30" s="55">
        <f>SUM('26'!G41,'26'!G42,'26'!G55,'26'!G56)</f>
        <v>0</v>
      </c>
      <c r="K30" s="55">
        <f>SUM('26'!G43,'26'!G57)</f>
        <v>0</v>
      </c>
      <c r="L30" s="255">
        <f>'26'!G50</f>
        <v>0</v>
      </c>
      <c r="M30" s="255">
        <f>'26'!G36</f>
        <v>0</v>
      </c>
      <c r="N30" s="255">
        <f>'26'!G138</f>
        <v>0</v>
      </c>
      <c r="O30" s="255">
        <f>'26'!$G$139</f>
        <v>0</v>
      </c>
      <c r="P30" s="255">
        <f>'26'!$G$140</f>
        <v>0</v>
      </c>
      <c r="Q30" s="255">
        <f>'26'!$G$141</f>
        <v>0</v>
      </c>
      <c r="R30" s="255">
        <f>'26'!$G$142</f>
        <v>0</v>
      </c>
      <c r="S30" s="255">
        <f>'26'!$G$145</f>
        <v>0</v>
      </c>
      <c r="T30" s="252">
        <f>'26'!$G$146</f>
        <v>0</v>
      </c>
      <c r="U30" s="252">
        <f>'26'!$G$144</f>
        <v>0</v>
      </c>
      <c r="V30" s="252">
        <f>'26'!$G$147</f>
        <v>0</v>
      </c>
      <c r="W30" s="252">
        <f>'26'!$G$148</f>
        <v>0</v>
      </c>
      <c r="X30" s="252">
        <f>'26'!$G$143</f>
        <v>0</v>
      </c>
      <c r="Y30" s="252">
        <f>'26'!$G$58</f>
        <v>0</v>
      </c>
      <c r="Z30" s="252">
        <f>'26'!$G$151</f>
        <v>0</v>
      </c>
      <c r="AA30" s="252">
        <f>'26'!G158</f>
        <v>0</v>
      </c>
      <c r="AB30" s="252">
        <f>'26'!G159</f>
        <v>0</v>
      </c>
      <c r="AC30" s="252">
        <f>'26'!G88</f>
        <v>0</v>
      </c>
      <c r="AD30" s="252">
        <f>'26'!G160+'26'!H161</f>
        <v>-555.30000000000018</v>
      </c>
      <c r="AE30" s="255">
        <f>'26'!$G$116</f>
        <v>0</v>
      </c>
      <c r="AF30" s="255">
        <f>'26'!$G$117</f>
        <v>0</v>
      </c>
      <c r="AG30" s="255">
        <f>'26'!$G$118</f>
        <v>0</v>
      </c>
      <c r="AH30" s="255">
        <f>'26'!$G$119</f>
        <v>0</v>
      </c>
      <c r="AI30" s="255">
        <f>'26'!$G$120</f>
        <v>0</v>
      </c>
      <c r="AJ30" s="255">
        <f>'26'!$G$121</f>
        <v>0</v>
      </c>
      <c r="AK30" s="255">
        <f>'26'!$G$122</f>
        <v>0</v>
      </c>
      <c r="AL30" s="255">
        <f>'26'!$G$123</f>
        <v>0</v>
      </c>
      <c r="AM30" s="255">
        <f>'26'!$G$133</f>
        <v>0</v>
      </c>
      <c r="AN30" s="255">
        <f>'26'!$G$15</f>
        <v>875</v>
      </c>
      <c r="AO30" s="257">
        <f>'26'!$G$74</f>
        <v>0</v>
      </c>
      <c r="AP30" s="257">
        <f>'26'!$G$75</f>
        <v>0</v>
      </c>
      <c r="AQ30" s="257">
        <f>'26'!$G$76</f>
        <v>0</v>
      </c>
      <c r="AR30" s="257">
        <f>'26'!$G$77</f>
        <v>0</v>
      </c>
      <c r="AS30" s="257">
        <f>'26'!$G$78</f>
        <v>0</v>
      </c>
      <c r="AT30" s="257">
        <f t="shared" si="0"/>
        <v>875</v>
      </c>
      <c r="AU30" s="255">
        <f>SUM('26'!G91:G92)</f>
        <v>0</v>
      </c>
      <c r="AV30" s="255">
        <f>'26'!$G$88</f>
        <v>0</v>
      </c>
      <c r="AW30" s="255">
        <f>'26'!$G$89</f>
        <v>0</v>
      </c>
      <c r="AX30" s="255">
        <f>'26'!$G$90</f>
        <v>0</v>
      </c>
      <c r="AY30" s="253">
        <f t="shared" si="1"/>
        <v>0</v>
      </c>
      <c r="BA30" s="329">
        <f t="shared" si="6"/>
        <v>-875</v>
      </c>
      <c r="BB30" s="371">
        <f t="shared" si="3"/>
        <v>23050</v>
      </c>
      <c r="BC30" s="371">
        <f t="shared" si="4"/>
        <v>100.21739130434783</v>
      </c>
    </row>
    <row r="31" spans="1:55" x14ac:dyDescent="0.2">
      <c r="A31" s="379">
        <v>27</v>
      </c>
      <c r="B31" s="55">
        <f>'27'!G7</f>
        <v>23000</v>
      </c>
      <c r="C31" s="55">
        <f>'27'!G8</f>
        <v>23050</v>
      </c>
      <c r="D31" s="55">
        <f>'27'!G15</f>
        <v>875</v>
      </c>
      <c r="E31" s="55">
        <f>'27'!G20</f>
        <v>200</v>
      </c>
      <c r="F31" s="55">
        <f>SUM('27'!G35,'27'!G49)</f>
        <v>0</v>
      </c>
      <c r="G31" s="55">
        <f>SUM('27'!G37,'27'!G51)</f>
        <v>0</v>
      </c>
      <c r="H31" s="55">
        <f>SUM('27'!G38,'27'!G52)</f>
        <v>0</v>
      </c>
      <c r="I31" s="55">
        <f>SUM('27'!G39,'27'!G53)</f>
        <v>0</v>
      </c>
      <c r="J31" s="55">
        <f>SUM('27'!G41,'27'!G42,'27'!G55,'27'!G56)</f>
        <v>0</v>
      </c>
      <c r="K31" s="55">
        <f>SUM('27'!G43,'27'!G57)</f>
        <v>0</v>
      </c>
      <c r="L31" s="255">
        <f>'27'!G50</f>
        <v>0</v>
      </c>
      <c r="M31" s="255">
        <f>'27'!G36</f>
        <v>0</v>
      </c>
      <c r="N31" s="255">
        <f>'27'!G138</f>
        <v>0</v>
      </c>
      <c r="O31" s="255">
        <f>'27'!$G$139</f>
        <v>0</v>
      </c>
      <c r="P31" s="255">
        <f>'27'!$G$140</f>
        <v>0</v>
      </c>
      <c r="Q31" s="255">
        <f>'27'!$G$141</f>
        <v>0</v>
      </c>
      <c r="R31" s="255">
        <f>'27'!$G$142</f>
        <v>0</v>
      </c>
      <c r="S31" s="255">
        <f>'27'!$G$145</f>
        <v>0</v>
      </c>
      <c r="T31" s="252">
        <f>'27'!$G$146</f>
        <v>0</v>
      </c>
      <c r="U31" s="252">
        <f>'27'!$G$144</f>
        <v>0</v>
      </c>
      <c r="V31" s="252">
        <f>'27'!$G$147</f>
        <v>0</v>
      </c>
      <c r="W31" s="252">
        <f>'27'!$G$148</f>
        <v>0</v>
      </c>
      <c r="X31" s="252">
        <f>'27'!$G$143</f>
        <v>0</v>
      </c>
      <c r="Y31" s="252">
        <f>'27'!$G$58</f>
        <v>0</v>
      </c>
      <c r="Z31" s="252">
        <f>'27'!$G$151</f>
        <v>0</v>
      </c>
      <c r="AA31" s="252">
        <f>'27'!G158</f>
        <v>0</v>
      </c>
      <c r="AB31" s="252">
        <f>'27'!G159</f>
        <v>0</v>
      </c>
      <c r="AC31" s="252">
        <f>'27'!G88</f>
        <v>0</v>
      </c>
      <c r="AD31" s="252">
        <f>'27'!G160+'27'!H161</f>
        <v>-555.30000000000018</v>
      </c>
      <c r="AE31" s="255">
        <f>'27'!$G$116</f>
        <v>0</v>
      </c>
      <c r="AF31" s="255">
        <f>'27'!$G$117</f>
        <v>0</v>
      </c>
      <c r="AG31" s="255">
        <f>'27'!$G$118</f>
        <v>0</v>
      </c>
      <c r="AH31" s="255">
        <f>'27'!$G$119</f>
        <v>0</v>
      </c>
      <c r="AI31" s="255">
        <f>'27'!$G$120</f>
        <v>0</v>
      </c>
      <c r="AJ31" s="255">
        <f>'27'!$G$121</f>
        <v>0</v>
      </c>
      <c r="AK31" s="255">
        <f>'27'!$G$122</f>
        <v>0</v>
      </c>
      <c r="AL31" s="255">
        <f>'27'!$G$123</f>
        <v>0</v>
      </c>
      <c r="AM31" s="255">
        <f>'27'!$G$133</f>
        <v>0</v>
      </c>
      <c r="AN31" s="255">
        <f>'27'!$G$15</f>
        <v>875</v>
      </c>
      <c r="AO31" s="255">
        <f>'27'!$G$74</f>
        <v>0</v>
      </c>
      <c r="AP31" s="255">
        <f>'27'!$G$75</f>
        <v>0</v>
      </c>
      <c r="AQ31" s="255">
        <f>'27'!$G$76</f>
        <v>0</v>
      </c>
      <c r="AR31" s="255">
        <f>'27'!$G$77</f>
        <v>0</v>
      </c>
      <c r="AS31" s="255">
        <f>'27'!$G$78</f>
        <v>0</v>
      </c>
      <c r="AT31" s="255">
        <f t="shared" si="0"/>
        <v>875</v>
      </c>
      <c r="AU31" s="255">
        <f>SUM('27'!G91:G92)</f>
        <v>0</v>
      </c>
      <c r="AV31" s="255">
        <f>'27'!$G$88</f>
        <v>0</v>
      </c>
      <c r="AW31" s="255">
        <f>'27'!$G$89</f>
        <v>0</v>
      </c>
      <c r="AX31" s="255">
        <f>'27'!$G$90</f>
        <v>0</v>
      </c>
      <c r="AY31" s="253">
        <f t="shared" si="1"/>
        <v>0</v>
      </c>
      <c r="BA31" s="329">
        <f t="shared" si="6"/>
        <v>-875</v>
      </c>
      <c r="BB31" s="371">
        <f t="shared" si="3"/>
        <v>23050</v>
      </c>
      <c r="BC31" s="371">
        <f t="shared" si="4"/>
        <v>100.21739130434783</v>
      </c>
    </row>
    <row r="32" spans="1:55" x14ac:dyDescent="0.2">
      <c r="A32" s="379">
        <v>28</v>
      </c>
      <c r="B32" s="55">
        <f>'28'!G7</f>
        <v>23000</v>
      </c>
      <c r="C32" s="55">
        <f>'28'!G8</f>
        <v>23050</v>
      </c>
      <c r="D32" s="55">
        <f>'28'!G15</f>
        <v>875</v>
      </c>
      <c r="E32" s="55">
        <f>'28'!G20</f>
        <v>200</v>
      </c>
      <c r="F32" s="55">
        <f>SUM('28'!G35,'28'!G49)</f>
        <v>0</v>
      </c>
      <c r="G32" s="55">
        <f>SUM('28'!G37,'28'!G51)</f>
        <v>0</v>
      </c>
      <c r="H32" s="55">
        <f>SUM('28'!G38,'28'!G52)</f>
        <v>0</v>
      </c>
      <c r="I32" s="55">
        <f>SUM('28'!G39,'28'!G53)</f>
        <v>0</v>
      </c>
      <c r="J32" s="55">
        <f>SUM('28'!G41,'28'!G42,'28'!G55,'28'!G56)</f>
        <v>0</v>
      </c>
      <c r="K32" s="55">
        <f>SUM('28'!G43,'28'!G57)</f>
        <v>0</v>
      </c>
      <c r="L32" s="255">
        <f>'28'!G50</f>
        <v>0</v>
      </c>
      <c r="M32" s="255">
        <f>'28'!G36</f>
        <v>0</v>
      </c>
      <c r="N32" s="255">
        <f>'28'!G138</f>
        <v>0</v>
      </c>
      <c r="O32" s="255">
        <f>'28'!$G$139</f>
        <v>0</v>
      </c>
      <c r="P32" s="255">
        <f>'28'!$G$140</f>
        <v>0</v>
      </c>
      <c r="Q32" s="255">
        <f>'28'!$G$141</f>
        <v>0</v>
      </c>
      <c r="R32" s="255">
        <f>'28'!$G$142</f>
        <v>0</v>
      </c>
      <c r="S32" s="255">
        <f>'28'!$G$145</f>
        <v>0</v>
      </c>
      <c r="T32" s="252">
        <f>'28'!$G$146</f>
        <v>0</v>
      </c>
      <c r="U32" s="252">
        <f>'28'!$G$144</f>
        <v>0</v>
      </c>
      <c r="V32" s="252">
        <f>'28'!$G$147</f>
        <v>0</v>
      </c>
      <c r="W32" s="252">
        <f>'28'!$G$148</f>
        <v>0</v>
      </c>
      <c r="X32" s="252">
        <f>'28'!$G$143</f>
        <v>0</v>
      </c>
      <c r="Y32" s="252">
        <f>'28'!$G$58</f>
        <v>0</v>
      </c>
      <c r="Z32" s="252">
        <f>'28'!$G$151</f>
        <v>0</v>
      </c>
      <c r="AA32" s="252">
        <f>'28'!G158</f>
        <v>0</v>
      </c>
      <c r="AB32" s="252">
        <f>'28'!G159</f>
        <v>0</v>
      </c>
      <c r="AC32" s="252">
        <f>'28'!G88</f>
        <v>0</v>
      </c>
      <c r="AD32" s="252">
        <f>'28'!G160+'28'!H161</f>
        <v>-555.30000000000018</v>
      </c>
      <c r="AE32" s="255">
        <f>'28'!$G$116</f>
        <v>0</v>
      </c>
      <c r="AF32" s="255">
        <f>'28'!$G$117</f>
        <v>0</v>
      </c>
      <c r="AG32" s="255">
        <f>'28'!$G$118</f>
        <v>0</v>
      </c>
      <c r="AH32" s="255">
        <f>'28'!$G$119</f>
        <v>0</v>
      </c>
      <c r="AI32" s="255">
        <f>'28'!$G$120</f>
        <v>0</v>
      </c>
      <c r="AJ32" s="255">
        <f>'28'!$G$121</f>
        <v>0</v>
      </c>
      <c r="AK32" s="255">
        <f>'28'!$G$122</f>
        <v>0</v>
      </c>
      <c r="AL32" s="255">
        <f>'28'!$G$123</f>
        <v>0</v>
      </c>
      <c r="AM32" s="255">
        <f>'28'!$G$133</f>
        <v>0</v>
      </c>
      <c r="AN32" s="255">
        <f>'28'!$G$15</f>
        <v>875</v>
      </c>
      <c r="AO32" s="255">
        <f>'28'!$G$74</f>
        <v>0</v>
      </c>
      <c r="AP32" s="255">
        <f>'28'!$G$75</f>
        <v>0</v>
      </c>
      <c r="AQ32" s="255">
        <f>'28'!$G$76</f>
        <v>0</v>
      </c>
      <c r="AR32" s="255">
        <f>'28'!$G$77</f>
        <v>0</v>
      </c>
      <c r="AS32" s="255">
        <f>'28'!$G$78</f>
        <v>0</v>
      </c>
      <c r="AT32" s="255">
        <f t="shared" si="0"/>
        <v>875</v>
      </c>
      <c r="AU32" s="255">
        <f>SUM('28'!G91:G92)</f>
        <v>0</v>
      </c>
      <c r="AV32" s="255">
        <f>'28'!$G$88</f>
        <v>0</v>
      </c>
      <c r="AW32" s="255">
        <f>'28'!$G$89</f>
        <v>0</v>
      </c>
      <c r="AX32" s="255">
        <f>'28'!$G$90</f>
        <v>0</v>
      </c>
      <c r="AY32" s="253">
        <f t="shared" si="1"/>
        <v>0</v>
      </c>
      <c r="BA32" s="329">
        <f t="shared" si="6"/>
        <v>-875</v>
      </c>
      <c r="BB32" s="371">
        <f t="shared" si="3"/>
        <v>23050</v>
      </c>
      <c r="BC32" s="371">
        <f t="shared" si="4"/>
        <v>100.21739130434783</v>
      </c>
    </row>
    <row r="33" spans="1:55" x14ac:dyDescent="0.2">
      <c r="A33" s="379">
        <v>29</v>
      </c>
      <c r="B33" s="55">
        <f>'29'!G7</f>
        <v>23000</v>
      </c>
      <c r="C33" s="55">
        <f>'29'!G8</f>
        <v>23050</v>
      </c>
      <c r="D33" s="55">
        <f>'29'!G15</f>
        <v>875</v>
      </c>
      <c r="E33" s="55">
        <f>'29'!G20</f>
        <v>200</v>
      </c>
      <c r="F33" s="55">
        <f>SUM('29'!G35,'29'!G49)</f>
        <v>0</v>
      </c>
      <c r="G33" s="55">
        <f>SUM('29'!G37,'29'!G51)</f>
        <v>0</v>
      </c>
      <c r="H33" s="55">
        <f>SUM('29'!G38,'29'!G52)</f>
        <v>0</v>
      </c>
      <c r="I33" s="55">
        <f>SUM('29'!G39,'29'!G53)</f>
        <v>0</v>
      </c>
      <c r="J33" s="55">
        <f>SUM('29'!G41,'29'!G42,'29'!G55,'29'!G56)</f>
        <v>0</v>
      </c>
      <c r="K33" s="55">
        <f>SUM('29'!G43,'29'!G57)</f>
        <v>0</v>
      </c>
      <c r="L33" s="255">
        <f>'29'!G50</f>
        <v>0</v>
      </c>
      <c r="M33" s="255">
        <f>'29'!G36</f>
        <v>0</v>
      </c>
      <c r="N33" s="255">
        <f>'29'!G138</f>
        <v>0</v>
      </c>
      <c r="O33" s="255">
        <f>'29'!$G$139</f>
        <v>0</v>
      </c>
      <c r="P33" s="255">
        <f>'29'!$G$140</f>
        <v>0</v>
      </c>
      <c r="Q33" s="255">
        <f>'29'!$G$141</f>
        <v>0</v>
      </c>
      <c r="R33" s="255">
        <f>'29'!$G$142</f>
        <v>0</v>
      </c>
      <c r="S33" s="255">
        <f>'29'!$G$145</f>
        <v>0</v>
      </c>
      <c r="T33" s="255">
        <f>'29'!$G$146</f>
        <v>0</v>
      </c>
      <c r="U33" s="255">
        <f>'29'!$G$144</f>
        <v>0</v>
      </c>
      <c r="V33" s="255">
        <f>'29'!$G$147</f>
        <v>0</v>
      </c>
      <c r="W33" s="255">
        <f>'29'!$G$148</f>
        <v>0</v>
      </c>
      <c r="X33" s="255">
        <f>'29'!$G$143</f>
        <v>0</v>
      </c>
      <c r="Y33" s="255">
        <f>'29'!$G$58</f>
        <v>0</v>
      </c>
      <c r="Z33" s="255">
        <f>'29'!$G$151</f>
        <v>0</v>
      </c>
      <c r="AA33" s="255">
        <f>'29'!G158</f>
        <v>0</v>
      </c>
      <c r="AB33" s="255">
        <f>'29'!G159</f>
        <v>0</v>
      </c>
      <c r="AC33" s="255">
        <f>'29'!G88</f>
        <v>0</v>
      </c>
      <c r="AD33" s="255">
        <f>'29'!G160+'29'!H161</f>
        <v>-555.30000000000018</v>
      </c>
      <c r="AE33" s="255">
        <f>'29'!$G$116</f>
        <v>0</v>
      </c>
      <c r="AF33" s="255">
        <f>'29'!$G$117</f>
        <v>0</v>
      </c>
      <c r="AG33" s="255">
        <f>'29'!$G$118</f>
        <v>0</v>
      </c>
      <c r="AH33" s="255">
        <f>'29'!$G$119</f>
        <v>0</v>
      </c>
      <c r="AI33" s="255">
        <f>'29'!$G$120</f>
        <v>0</v>
      </c>
      <c r="AJ33" s="255">
        <f>'29'!$G$121</f>
        <v>0</v>
      </c>
      <c r="AK33" s="255">
        <f>'29'!$G$122</f>
        <v>0</v>
      </c>
      <c r="AL33" s="255">
        <f>'29'!$G$123</f>
        <v>0</v>
      </c>
      <c r="AM33" s="255">
        <f>'29'!$G$133</f>
        <v>0</v>
      </c>
      <c r="AN33" s="255">
        <f>'29'!$G$15</f>
        <v>875</v>
      </c>
      <c r="AO33" s="255">
        <f>'29'!$G$74</f>
        <v>0</v>
      </c>
      <c r="AP33" s="255">
        <f>'29'!$G$75</f>
        <v>0</v>
      </c>
      <c r="AQ33" s="255">
        <f>'29'!$G$76</f>
        <v>0</v>
      </c>
      <c r="AR33" s="255">
        <f>'29'!$G$77</f>
        <v>0</v>
      </c>
      <c r="AS33" s="255">
        <f>'29'!$G$78</f>
        <v>0</v>
      </c>
      <c r="AT33" s="255">
        <f t="shared" si="0"/>
        <v>875</v>
      </c>
      <c r="AU33" s="255">
        <f>SUM('29'!G91:G92)</f>
        <v>0</v>
      </c>
      <c r="AV33" s="255">
        <f>'29'!$G$88</f>
        <v>0</v>
      </c>
      <c r="AW33" s="255">
        <f>'29'!$G$89</f>
        <v>0</v>
      </c>
      <c r="AX33" s="255">
        <f>'29'!$G$90</f>
        <v>0</v>
      </c>
      <c r="AY33" s="253">
        <f t="shared" si="1"/>
        <v>0</v>
      </c>
      <c r="BA33" s="329">
        <f t="shared" si="6"/>
        <v>-875</v>
      </c>
      <c r="BB33" s="371">
        <f t="shared" si="3"/>
        <v>23050</v>
      </c>
      <c r="BC33" s="371">
        <f t="shared" si="4"/>
        <v>100.21739130434783</v>
      </c>
    </row>
    <row r="34" spans="1:55" s="328" customFormat="1" x14ac:dyDescent="0.2">
      <c r="A34" s="379">
        <v>30</v>
      </c>
      <c r="B34" s="55">
        <f>'30'!G7</f>
        <v>23000</v>
      </c>
      <c r="C34" s="55">
        <f>'30'!G8</f>
        <v>23050</v>
      </c>
      <c r="D34" s="55">
        <f>'30'!G15</f>
        <v>875</v>
      </c>
      <c r="E34" s="55">
        <f>'30'!G20</f>
        <v>200</v>
      </c>
      <c r="F34" s="315">
        <f>SUM('30'!G35,'30'!G49)</f>
        <v>0</v>
      </c>
      <c r="G34" s="315">
        <f>SUM('30'!G37,'30'!G51)</f>
        <v>0</v>
      </c>
      <c r="H34" s="315">
        <f>SUM('30'!G38,'30'!G52)</f>
        <v>0</v>
      </c>
      <c r="I34" s="55">
        <f>SUM('30'!G39,'30'!G53)</f>
        <v>0</v>
      </c>
      <c r="J34" s="315">
        <f>SUM('30'!G41,'30'!G42,'30'!G55,'30'!G56)</f>
        <v>0</v>
      </c>
      <c r="K34" s="315">
        <f>SUM('30'!G43,'30'!G57)</f>
        <v>0</v>
      </c>
      <c r="L34" s="245">
        <f>'30'!G50</f>
        <v>0</v>
      </c>
      <c r="M34" s="245">
        <f>'30'!G36</f>
        <v>0</v>
      </c>
      <c r="N34" s="252">
        <f>'30'!G138</f>
        <v>0</v>
      </c>
      <c r="O34" s="252">
        <f>'30'!$G$139</f>
        <v>0</v>
      </c>
      <c r="P34" s="252">
        <f>'30'!$G$140</f>
        <v>0</v>
      </c>
      <c r="Q34" s="252">
        <f>'30'!$G$141</f>
        <v>0</v>
      </c>
      <c r="R34" s="252">
        <f>'30'!$G$142</f>
        <v>0</v>
      </c>
      <c r="S34" s="252">
        <f>'30'!$G$145</f>
        <v>0</v>
      </c>
      <c r="T34" s="252">
        <f>'30'!$G$146</f>
        <v>0</v>
      </c>
      <c r="U34" s="252">
        <f>'30'!$G$144</f>
        <v>0</v>
      </c>
      <c r="V34" s="252">
        <f>'30'!$G$147</f>
        <v>0</v>
      </c>
      <c r="W34" s="252">
        <f>'30'!$G$148</f>
        <v>0</v>
      </c>
      <c r="X34" s="252">
        <f>'30'!$G$143</f>
        <v>0</v>
      </c>
      <c r="Y34" s="252">
        <f>'30'!$G$58</f>
        <v>0</v>
      </c>
      <c r="Z34" s="252">
        <f>'30'!$G$151</f>
        <v>0</v>
      </c>
      <c r="AA34" s="252">
        <f>'30'!G158</f>
        <v>0</v>
      </c>
      <c r="AB34" s="252">
        <f>'30'!G159</f>
        <v>0</v>
      </c>
      <c r="AC34" s="252">
        <f>'30'!G88</f>
        <v>0</v>
      </c>
      <c r="AD34" s="252">
        <f>'30'!G160+'30'!H161</f>
        <v>-555.30000000000018</v>
      </c>
      <c r="AE34" s="252">
        <f>'30'!$G$116</f>
        <v>0</v>
      </c>
      <c r="AF34" s="252">
        <f>'30'!$G$117</f>
        <v>0</v>
      </c>
      <c r="AG34" s="252">
        <f>'30'!$G$118</f>
        <v>0</v>
      </c>
      <c r="AH34" s="252">
        <f>'30'!$G$119</f>
        <v>0</v>
      </c>
      <c r="AI34" s="252">
        <f>'30'!$G$120</f>
        <v>0</v>
      </c>
      <c r="AJ34" s="252">
        <f>'30'!$G$121</f>
        <v>0</v>
      </c>
      <c r="AK34" s="252">
        <f>'30'!$G$122</f>
        <v>0</v>
      </c>
      <c r="AL34" s="252">
        <f>'30'!$G$123</f>
        <v>0</v>
      </c>
      <c r="AM34" s="252">
        <f>'30'!$G$133</f>
        <v>0</v>
      </c>
      <c r="AN34" s="252">
        <f>'30'!$G$15</f>
        <v>875</v>
      </c>
      <c r="AO34" s="252">
        <f>'30'!$G$74</f>
        <v>0</v>
      </c>
      <c r="AP34" s="252">
        <f>'30'!$G$75</f>
        <v>0</v>
      </c>
      <c r="AQ34" s="252">
        <f>'30'!$G$76</f>
        <v>0</v>
      </c>
      <c r="AR34" s="252">
        <f>'30'!$G$77</f>
        <v>0</v>
      </c>
      <c r="AS34" s="252">
        <f>'30'!$G$78</f>
        <v>0</v>
      </c>
      <c r="AT34" s="252">
        <f t="shared" si="0"/>
        <v>875</v>
      </c>
      <c r="AU34" s="252">
        <f>SUM('30'!G91:G92)</f>
        <v>0</v>
      </c>
      <c r="AV34" s="252">
        <f>'30'!$G$88</f>
        <v>0</v>
      </c>
      <c r="AW34" s="252">
        <f>'30'!$G$89</f>
        <v>0</v>
      </c>
      <c r="AX34" s="252">
        <f>'30'!$G$90</f>
        <v>0</v>
      </c>
      <c r="AY34" s="256">
        <f t="shared" si="1"/>
        <v>0</v>
      </c>
      <c r="BA34" s="330">
        <f t="shared" si="6"/>
        <v>-875</v>
      </c>
      <c r="BB34" s="371">
        <f t="shared" si="3"/>
        <v>23050</v>
      </c>
      <c r="BC34" s="371">
        <f t="shared" si="4"/>
        <v>100.21739130434783</v>
      </c>
    </row>
    <row r="35" spans="1:55" x14ac:dyDescent="0.2">
      <c r="A35" s="379">
        <v>31</v>
      </c>
      <c r="B35" s="55">
        <f>'31'!G7</f>
        <v>23000</v>
      </c>
      <c r="C35" s="55">
        <f>'31'!G8</f>
        <v>23050</v>
      </c>
      <c r="D35" s="55">
        <f>'31'!G15</f>
        <v>875</v>
      </c>
      <c r="E35" s="55">
        <f>'31'!G20</f>
        <v>200</v>
      </c>
      <c r="F35" s="315">
        <f>SUM('31'!G35,'31'!G49)</f>
        <v>0</v>
      </c>
      <c r="G35" s="315">
        <f>SUM('31'!G37,'31'!G51)</f>
        <v>0</v>
      </c>
      <c r="H35" s="315">
        <f>SUM('31'!G38,'31'!G52)</f>
        <v>0</v>
      </c>
      <c r="I35" s="55">
        <f>SUM('31'!G39,'31'!G53)</f>
        <v>0</v>
      </c>
      <c r="J35" s="315">
        <f>SUM('31'!G41,'31'!G42,'31'!G55,'31'!G56)</f>
        <v>0</v>
      </c>
      <c r="K35" s="315">
        <f>SUM('31'!G43,'31'!G57)</f>
        <v>0</v>
      </c>
      <c r="L35" s="245">
        <f>'31'!G50</f>
        <v>0</v>
      </c>
      <c r="M35" s="245">
        <f>'31'!G36</f>
        <v>0</v>
      </c>
      <c r="N35" s="252">
        <f>'31'!G138</f>
        <v>0</v>
      </c>
      <c r="O35" s="252">
        <f>'31'!$G$139</f>
        <v>0</v>
      </c>
      <c r="P35" s="252">
        <f>'31'!$G$140</f>
        <v>0</v>
      </c>
      <c r="Q35" s="252">
        <f>'31'!$G$141</f>
        <v>0</v>
      </c>
      <c r="R35" s="252">
        <f>'31'!$G$142</f>
        <v>0</v>
      </c>
      <c r="S35" s="252">
        <f>'31'!$G$145</f>
        <v>0</v>
      </c>
      <c r="T35" s="252">
        <f>'31'!$G$146</f>
        <v>0</v>
      </c>
      <c r="U35" s="252">
        <f>'31'!$G$144</f>
        <v>0</v>
      </c>
      <c r="V35" s="252">
        <f>'31'!$G$147</f>
        <v>0</v>
      </c>
      <c r="W35" s="252">
        <f>'31'!$G$148</f>
        <v>0</v>
      </c>
      <c r="X35" s="252">
        <f>'31'!$G$143</f>
        <v>0</v>
      </c>
      <c r="Y35" s="252">
        <f>'31'!$G$58</f>
        <v>0</v>
      </c>
      <c r="Z35" s="252">
        <f>'31'!$G$151</f>
        <v>0</v>
      </c>
      <c r="AA35" s="252">
        <f>'31'!G87</f>
        <v>0</v>
      </c>
      <c r="AB35" s="252">
        <f>'31'!G159</f>
        <v>0</v>
      </c>
      <c r="AC35" s="252">
        <f>'31'!G89</f>
        <v>0</v>
      </c>
      <c r="AD35" s="252">
        <f>'31'!G160+'31'!H161</f>
        <v>-555.30000000000018</v>
      </c>
      <c r="AE35" s="252">
        <f>'31'!$G$116</f>
        <v>0</v>
      </c>
      <c r="AF35" s="252">
        <f>'31'!$G$117</f>
        <v>0</v>
      </c>
      <c r="AG35" s="252">
        <f>'31'!$G$118</f>
        <v>0</v>
      </c>
      <c r="AH35" s="252">
        <f>'31'!$G$119</f>
        <v>0</v>
      </c>
      <c r="AI35" s="252">
        <f>'31'!$G$120</f>
        <v>0</v>
      </c>
      <c r="AJ35" s="252">
        <f>'31'!$G$121</f>
        <v>0</v>
      </c>
      <c r="AK35" s="252">
        <f>'31'!$G$122</f>
        <v>0</v>
      </c>
      <c r="AL35" s="252">
        <f>'31'!$G$123</f>
        <v>0</v>
      </c>
      <c r="AM35" s="252">
        <f>'31'!$G$133</f>
        <v>0</v>
      </c>
      <c r="AN35" s="252">
        <f>'31'!$G$15</f>
        <v>875</v>
      </c>
      <c r="AO35" s="252">
        <f>'31'!$G$74</f>
        <v>0</v>
      </c>
      <c r="AP35" s="252">
        <f>'31'!$G$75</f>
        <v>0</v>
      </c>
      <c r="AQ35" s="252">
        <f>'31'!$G$76</f>
        <v>0</v>
      </c>
      <c r="AR35" s="252">
        <f>'31'!$G$77</f>
        <v>0</v>
      </c>
      <c r="AS35" s="252">
        <f>'31'!$G$78</f>
        <v>0</v>
      </c>
      <c r="AT35" s="252">
        <f t="shared" ref="AT35" si="7">AN35-SUM(AO35:AS35)</f>
        <v>875</v>
      </c>
      <c r="AU35" s="252">
        <f>SUM('31'!G92:G142)</f>
        <v>0</v>
      </c>
      <c r="AV35" s="252">
        <f>'31'!$G$88</f>
        <v>0</v>
      </c>
      <c r="AW35" s="252">
        <f>'31'!$G$89</f>
        <v>0</v>
      </c>
      <c r="AX35" s="252">
        <f>'30'!$G$90</f>
        <v>0</v>
      </c>
      <c r="AY35" s="256">
        <f t="shared" ref="AY35" si="8">SUM(AV35:AX35)</f>
        <v>0</v>
      </c>
      <c r="BA35" s="329"/>
      <c r="BB35" s="371">
        <f t="shared" si="3"/>
        <v>23050</v>
      </c>
      <c r="BC35" s="371">
        <f t="shared" si="4"/>
        <v>100.21739130434783</v>
      </c>
    </row>
    <row r="36" spans="1:55" s="333" customFormat="1" x14ac:dyDescent="0.2">
      <c r="A36" s="313"/>
      <c r="B36" s="314">
        <f>AVERAGE(B5:B35)</f>
        <v>23159.260322580642</v>
      </c>
      <c r="C36" s="313">
        <f t="shared" ref="C36:AY36" si="9">AVERAGE(C5:C35)</f>
        <v>23371.379032258064</v>
      </c>
      <c r="D36" s="313">
        <f t="shared" si="9"/>
        <v>940.64138709677138</v>
      </c>
      <c r="E36" s="313">
        <f t="shared" si="9"/>
        <v>229.45161290322579</v>
      </c>
      <c r="F36" s="313">
        <f t="shared" si="9"/>
        <v>87365.650322580652</v>
      </c>
      <c r="G36" s="313">
        <f t="shared" si="9"/>
        <v>5077.8429032258064</v>
      </c>
      <c r="H36" s="313">
        <f t="shared" si="9"/>
        <v>30391.432258064517</v>
      </c>
      <c r="I36" s="313">
        <f t="shared" si="9"/>
        <v>58925.77322580645</v>
      </c>
      <c r="J36" s="313">
        <f t="shared" si="9"/>
        <v>-17288.716451612909</v>
      </c>
      <c r="K36" s="313">
        <f t="shared" si="9"/>
        <v>-5671.9096774193531</v>
      </c>
      <c r="L36" s="313">
        <f t="shared" si="9"/>
        <v>-3001.4822580645146</v>
      </c>
      <c r="M36" s="313">
        <f t="shared" si="9"/>
        <v>-1868.1967741935484</v>
      </c>
      <c r="N36" s="313">
        <f t="shared" si="9"/>
        <v>-123.70967741935483</v>
      </c>
      <c r="O36" s="313">
        <f t="shared" si="9"/>
        <v>-1.064516129032258</v>
      </c>
      <c r="P36" s="313">
        <f t="shared" si="9"/>
        <v>-1.5193548387098652</v>
      </c>
      <c r="Q36" s="313">
        <f t="shared" si="9"/>
        <v>-437.85483870967744</v>
      </c>
      <c r="R36" s="313">
        <f t="shared" si="9"/>
        <v>-171.17096774193547</v>
      </c>
      <c r="S36" s="313">
        <f t="shared" si="9"/>
        <v>-84.464516129032262</v>
      </c>
      <c r="T36" s="313">
        <f t="shared" si="9"/>
        <v>-44524.225806451614</v>
      </c>
      <c r="U36" s="313">
        <f t="shared" si="9"/>
        <v>-54933.774193548386</v>
      </c>
      <c r="V36" s="313">
        <f t="shared" si="9"/>
        <v>-37391.926451612904</v>
      </c>
      <c r="W36" s="313">
        <f t="shared" si="9"/>
        <v>-42591.952903225807</v>
      </c>
      <c r="X36" s="313">
        <f t="shared" si="9"/>
        <v>-49.398387096774194</v>
      </c>
      <c r="Y36" s="313">
        <f t="shared" si="9"/>
        <v>-518.09032258064531</v>
      </c>
      <c r="Z36" s="313">
        <f t="shared" si="9"/>
        <v>-3626.4193548387098</v>
      </c>
      <c r="AA36" s="313">
        <f t="shared" si="9"/>
        <v>-185.94838709677495</v>
      </c>
      <c r="AB36" s="313">
        <f t="shared" si="9"/>
        <v>-75.851612903225615</v>
      </c>
      <c r="AC36" s="313">
        <f t="shared" si="9"/>
        <v>-29.874761904761858</v>
      </c>
      <c r="AD36" s="313">
        <f t="shared" si="9"/>
        <v>-369.19354838709666</v>
      </c>
      <c r="AE36" s="313">
        <f t="shared" si="9"/>
        <v>2898.9032258064517</v>
      </c>
      <c r="AF36" s="313">
        <f t="shared" si="9"/>
        <v>2858.9025806451618</v>
      </c>
      <c r="AG36" s="313">
        <f t="shared" si="9"/>
        <v>-10646.238387096775</v>
      </c>
      <c r="AH36" s="313">
        <f t="shared" si="9"/>
        <v>-10623.066129032257</v>
      </c>
      <c r="AI36" s="313">
        <f t="shared" si="9"/>
        <v>2320.2422580645166</v>
      </c>
      <c r="AJ36" s="313">
        <f t="shared" si="9"/>
        <v>-17455.052580645162</v>
      </c>
      <c r="AK36" s="313">
        <f t="shared" si="9"/>
        <v>-3185.3432258064518</v>
      </c>
      <c r="AL36" s="313">
        <f t="shared" si="9"/>
        <v>-4739.2690322580647</v>
      </c>
      <c r="AM36" s="313">
        <f t="shared" si="9"/>
        <v>-1482.1774193548388</v>
      </c>
      <c r="AN36" s="313">
        <f t="shared" si="9"/>
        <v>940.64138709677138</v>
      </c>
      <c r="AO36" s="313">
        <f t="shared" si="9"/>
        <v>-686.38290322580633</v>
      </c>
      <c r="AP36" s="313">
        <f t="shared" si="9"/>
        <v>0</v>
      </c>
      <c r="AQ36" s="313">
        <f t="shared" si="9"/>
        <v>-233.48129032258106</v>
      </c>
      <c r="AR36" s="313">
        <f t="shared" si="9"/>
        <v>-116.02580645161299</v>
      </c>
      <c r="AS36" s="313">
        <f t="shared" si="9"/>
        <v>-5.8258064516129151</v>
      </c>
      <c r="AT36" s="313">
        <f t="shared" si="9"/>
        <v>1982.3571935483847</v>
      </c>
      <c r="AU36" s="313">
        <f t="shared" si="9"/>
        <v>-25.414193548387086</v>
      </c>
      <c r="AV36" s="313">
        <f t="shared" si="9"/>
        <v>-18.720645161290328</v>
      </c>
      <c r="AW36" s="313">
        <f t="shared" si="9"/>
        <v>-5.2765483870967849</v>
      </c>
      <c r="AX36" s="313">
        <f t="shared" si="9"/>
        <v>-2.3261290322576138</v>
      </c>
      <c r="AY36" s="313">
        <f t="shared" si="9"/>
        <v>-26.323322580644724</v>
      </c>
      <c r="BB36" s="371">
        <f t="shared" si="3"/>
        <v>-134910.60322580644</v>
      </c>
      <c r="BC36" s="371">
        <f t="shared" si="4"/>
        <v>-582.53416277836163</v>
      </c>
    </row>
    <row r="37" spans="1:55" x14ac:dyDescent="0.2">
      <c r="A37" s="265" t="s">
        <v>196</v>
      </c>
      <c r="B37" s="314">
        <f>SUM(B6:B35)</f>
        <v>695630.86999999988</v>
      </c>
      <c r="C37" s="314">
        <f t="shared" ref="C37:AY37" si="10">SUM(C6:C35)</f>
        <v>702082.55</v>
      </c>
      <c r="D37" s="314">
        <f t="shared" si="10"/>
        <v>28178.882999999914</v>
      </c>
      <c r="E37" s="314">
        <f t="shared" si="10"/>
        <v>6914</v>
      </c>
      <c r="F37" s="314">
        <f t="shared" si="10"/>
        <v>2704038.85</v>
      </c>
      <c r="G37" s="314">
        <f t="shared" si="10"/>
        <v>155654.82</v>
      </c>
      <c r="H37" s="314">
        <f t="shared" si="10"/>
        <v>940235.18</v>
      </c>
      <c r="I37" s="314">
        <f t="shared" si="10"/>
        <v>1822685.19</v>
      </c>
      <c r="J37" s="314">
        <f t="shared" si="10"/>
        <v>-542632.94000000006</v>
      </c>
      <c r="K37" s="314">
        <f t="shared" si="10"/>
        <v>-178095.19999999995</v>
      </c>
      <c r="L37" s="314">
        <f t="shared" si="10"/>
        <v>-94122.099999999977</v>
      </c>
      <c r="M37" s="314">
        <f t="shared" si="10"/>
        <v>-58859</v>
      </c>
      <c r="N37" s="314">
        <f t="shared" si="10"/>
        <v>-3927</v>
      </c>
      <c r="O37" s="314">
        <f t="shared" si="10"/>
        <v>-35</v>
      </c>
      <c r="P37" s="314">
        <f t="shared" si="10"/>
        <v>-46.30000000000291</v>
      </c>
      <c r="Q37" s="314">
        <f t="shared" si="10"/>
        <v>-13754.169999999998</v>
      </c>
      <c r="R37" s="314">
        <f t="shared" si="10"/>
        <v>-5378.5999999999985</v>
      </c>
      <c r="S37" s="314">
        <f t="shared" si="10"/>
        <v>-2639.08</v>
      </c>
      <c r="T37" s="314">
        <f t="shared" si="10"/>
        <v>-1380413</v>
      </c>
      <c r="U37" s="314">
        <f t="shared" si="10"/>
        <v>-1703119</v>
      </c>
      <c r="V37" s="314">
        <f t="shared" si="10"/>
        <v>-1159635.2</v>
      </c>
      <c r="W37" s="314">
        <f t="shared" si="10"/>
        <v>-1320506.5900000001</v>
      </c>
      <c r="X37" s="314">
        <f t="shared" si="10"/>
        <v>-1557.01</v>
      </c>
      <c r="Y37" s="314">
        <f t="shared" si="10"/>
        <v>-16272.800000000003</v>
      </c>
      <c r="Z37" s="314">
        <f t="shared" si="10"/>
        <v>-112751</v>
      </c>
      <c r="AA37" s="314">
        <f t="shared" si="10"/>
        <v>-5793.6000000000349</v>
      </c>
      <c r="AB37" s="314">
        <f t="shared" si="10"/>
        <v>-2383.1999999999971</v>
      </c>
      <c r="AC37" s="314">
        <f t="shared" si="10"/>
        <v>-627.36999999999898</v>
      </c>
      <c r="AD37" s="314">
        <f t="shared" si="10"/>
        <v>-11539.599999999999</v>
      </c>
      <c r="AE37" s="314">
        <f t="shared" si="10"/>
        <v>89866</v>
      </c>
      <c r="AF37" s="314">
        <f t="shared" si="10"/>
        <v>88606.98000000001</v>
      </c>
      <c r="AG37" s="314">
        <f t="shared" si="10"/>
        <v>-330461.71999999997</v>
      </c>
      <c r="AH37" s="314">
        <f t="shared" si="10"/>
        <v>-329693.69999999995</v>
      </c>
      <c r="AI37" s="314">
        <f t="shared" si="10"/>
        <v>71526.41</v>
      </c>
      <c r="AJ37" s="314">
        <f t="shared" si="10"/>
        <v>-541630.36</v>
      </c>
      <c r="AK37" s="314">
        <f t="shared" si="10"/>
        <v>-99052.34</v>
      </c>
      <c r="AL37" s="314">
        <f t="shared" si="10"/>
        <v>-147242.66999999998</v>
      </c>
      <c r="AM37" s="314">
        <f t="shared" si="10"/>
        <v>-46654.869999999995</v>
      </c>
      <c r="AN37" s="314">
        <f t="shared" si="10"/>
        <v>28178.882999999914</v>
      </c>
      <c r="AO37" s="314">
        <f t="shared" si="10"/>
        <v>-21564.479999999981</v>
      </c>
      <c r="AP37" s="314">
        <f t="shared" si="10"/>
        <v>0</v>
      </c>
      <c r="AQ37" s="314">
        <f t="shared" si="10"/>
        <v>-7363.2400000000198</v>
      </c>
      <c r="AR37" s="314">
        <f t="shared" si="10"/>
        <v>-3651.6000000000058</v>
      </c>
      <c r="AS37" s="314">
        <f t="shared" si="10"/>
        <v>-182.30000000000109</v>
      </c>
      <c r="AT37" s="314">
        <f t="shared" si="10"/>
        <v>60940.502999999917</v>
      </c>
      <c r="AU37" s="314">
        <f t="shared" si="10"/>
        <v>-798.37999999999965</v>
      </c>
      <c r="AV37" s="314">
        <f t="shared" si="10"/>
        <v>-580.34000000000015</v>
      </c>
      <c r="AW37" s="314">
        <f t="shared" si="10"/>
        <v>-174.89300000000003</v>
      </c>
      <c r="AX37" s="314">
        <f t="shared" si="10"/>
        <v>-72.10999999998603</v>
      </c>
      <c r="AY37" s="314">
        <f t="shared" si="10"/>
        <v>-827.3429999999862</v>
      </c>
      <c r="BB37" s="371">
        <f t="shared" si="3"/>
        <v>-4183530.55</v>
      </c>
      <c r="BC37" s="371">
        <f t="shared" si="4"/>
        <v>-601.40093409023098</v>
      </c>
    </row>
    <row r="38" spans="1:55" s="333" customFormat="1" x14ac:dyDescent="0.2">
      <c r="A38" s="313"/>
      <c r="B38" s="314"/>
      <c r="C38" s="313"/>
      <c r="D38" s="313"/>
      <c r="E38" s="313"/>
      <c r="F38" s="313"/>
      <c r="G38" s="313"/>
      <c r="H38" s="313"/>
      <c r="I38" s="313"/>
      <c r="J38" s="313"/>
      <c r="K38" s="313"/>
      <c r="L38" s="313"/>
      <c r="M38" s="313"/>
      <c r="N38" s="313"/>
      <c r="O38" s="313"/>
      <c r="P38" s="313"/>
      <c r="Q38" s="313"/>
      <c r="R38" s="313"/>
      <c r="S38" s="313"/>
      <c r="T38" s="313"/>
      <c r="U38" s="313"/>
      <c r="V38" s="313"/>
      <c r="W38" s="313"/>
      <c r="X38" s="313"/>
      <c r="Y38" s="313"/>
      <c r="Z38" s="313"/>
      <c r="AA38" s="313"/>
      <c r="AB38" s="313"/>
      <c r="AC38" s="313"/>
      <c r="AD38" s="313"/>
      <c r="AE38" s="313"/>
      <c r="AF38" s="313"/>
      <c r="AG38" s="313"/>
      <c r="AH38" s="313"/>
      <c r="AI38" s="313"/>
      <c r="AJ38" s="313"/>
      <c r="AK38" s="313"/>
      <c r="AL38" s="313"/>
      <c r="AM38" s="313"/>
      <c r="AN38" s="313"/>
      <c r="AO38" s="313"/>
      <c r="AP38" s="313"/>
      <c r="AQ38" s="313"/>
      <c r="AR38" s="313"/>
      <c r="AS38" s="313"/>
      <c r="AT38" s="313"/>
      <c r="AU38" s="313"/>
      <c r="AV38" s="313"/>
      <c r="AW38" s="313"/>
      <c r="AX38" s="313"/>
      <c r="AY38" s="313"/>
      <c r="BB38" s="370"/>
      <c r="BC38" s="370"/>
    </row>
    <row r="39" spans="1:55" x14ac:dyDescent="0.2">
      <c r="A39" s="265"/>
      <c r="B39" s="265"/>
      <c r="C39" s="265"/>
      <c r="D39" s="265"/>
      <c r="E39" s="265"/>
      <c r="F39" s="334">
        <f t="shared" ref="F39:K39" si="11">F19-F18</f>
        <v>-277</v>
      </c>
      <c r="G39" s="334">
        <f t="shared" si="11"/>
        <v>-9</v>
      </c>
      <c r="H39" s="334">
        <f t="shared" si="11"/>
        <v>-9</v>
      </c>
      <c r="I39" s="334">
        <f t="shared" si="11"/>
        <v>-57</v>
      </c>
      <c r="J39" s="334">
        <f t="shared" si="11"/>
        <v>-1283</v>
      </c>
      <c r="K39" s="334">
        <f t="shared" si="11"/>
        <v>-145</v>
      </c>
      <c r="L39" s="334"/>
      <c r="M39" s="334"/>
      <c r="AO39" s="335" t="s">
        <v>109</v>
      </c>
      <c r="AP39" s="336">
        <v>191</v>
      </c>
      <c r="AQ39" s="336"/>
      <c r="AR39" s="336"/>
    </row>
    <row r="40" spans="1:55" x14ac:dyDescent="0.2">
      <c r="A40" s="265"/>
      <c r="B40" s="265"/>
      <c r="C40" s="265"/>
      <c r="D40" s="265"/>
      <c r="E40" s="265"/>
      <c r="AO40" s="336"/>
      <c r="AP40" s="336">
        <v>88</v>
      </c>
      <c r="AQ40" s="336"/>
      <c r="AR40" s="336"/>
    </row>
    <row r="41" spans="1:55" x14ac:dyDescent="0.2">
      <c r="A41" s="265"/>
      <c r="B41" s="265"/>
      <c r="C41" s="265"/>
      <c r="D41" s="265"/>
      <c r="E41" s="265"/>
      <c r="AO41" s="336"/>
      <c r="AP41" s="338">
        <f>SUM(AP39:AP40)</f>
        <v>279</v>
      </c>
      <c r="AQ41" s="339" t="s">
        <v>110</v>
      </c>
      <c r="AR41" s="339">
        <v>335</v>
      </c>
    </row>
    <row r="42" spans="1:55" x14ac:dyDescent="0.2">
      <c r="A42" s="265"/>
      <c r="B42" s="265"/>
      <c r="C42" s="265"/>
      <c r="D42" s="265"/>
      <c r="E42" s="265"/>
      <c r="AO42" s="336"/>
      <c r="AP42" s="336"/>
      <c r="AQ42" s="336"/>
      <c r="AR42" s="336"/>
    </row>
    <row r="43" spans="1:55" x14ac:dyDescent="0.2">
      <c r="A43" s="265"/>
      <c r="B43" s="265"/>
      <c r="C43" s="265"/>
      <c r="D43" s="265"/>
      <c r="E43" s="265"/>
      <c r="N43" s="329"/>
      <c r="O43" s="329"/>
      <c r="P43" s="329"/>
      <c r="Q43" s="329"/>
      <c r="R43" s="329"/>
      <c r="S43" s="329"/>
      <c r="T43" s="329"/>
      <c r="U43" s="329"/>
      <c r="V43" s="329"/>
      <c r="W43" s="329"/>
      <c r="X43" s="329"/>
      <c r="Y43" s="329"/>
      <c r="Z43" s="329"/>
      <c r="AA43" s="329"/>
      <c r="AB43" s="329"/>
      <c r="AC43" s="329"/>
      <c r="AD43" s="329"/>
      <c r="AE43" s="329"/>
      <c r="AF43" s="329"/>
      <c r="AG43" s="329"/>
      <c r="AH43" s="329"/>
      <c r="AI43" s="329"/>
      <c r="AJ43" s="329"/>
      <c r="AK43" s="329"/>
      <c r="AL43" s="329"/>
      <c r="AN43" s="329"/>
      <c r="AO43" s="335" t="s">
        <v>111</v>
      </c>
      <c r="AP43" s="338">
        <v>168</v>
      </c>
      <c r="AQ43" s="336"/>
      <c r="AR43" s="336"/>
    </row>
    <row r="44" spans="1:55" x14ac:dyDescent="0.2">
      <c r="A44" s="265"/>
      <c r="B44" s="265"/>
      <c r="C44" s="265"/>
      <c r="D44" s="265"/>
      <c r="E44" s="265"/>
      <c r="AO44" s="336"/>
      <c r="AP44" s="336"/>
      <c r="AQ44" s="339" t="s">
        <v>112</v>
      </c>
      <c r="AR44" s="336"/>
    </row>
    <row r="45" spans="1:55" x14ac:dyDescent="0.2">
      <c r="A45" s="265"/>
      <c r="B45" s="265"/>
      <c r="C45" s="265"/>
      <c r="D45" s="265"/>
      <c r="E45" s="265"/>
      <c r="AO45" s="336" t="s">
        <v>113</v>
      </c>
      <c r="AP45" s="336">
        <f>20*38.68</f>
        <v>773.6</v>
      </c>
      <c r="AQ45" s="336" t="s">
        <v>114</v>
      </c>
      <c r="AR45" s="336"/>
    </row>
    <row r="46" spans="1:55" x14ac:dyDescent="0.2">
      <c r="A46" s="265"/>
      <c r="B46" s="265"/>
      <c r="C46" s="265"/>
      <c r="D46" s="265"/>
      <c r="E46" s="265"/>
    </row>
    <row r="47" spans="1:55" x14ac:dyDescent="0.2">
      <c r="A47" s="265"/>
      <c r="B47" s="265"/>
      <c r="C47" s="265"/>
      <c r="D47" s="265"/>
      <c r="E47" s="265"/>
    </row>
    <row r="48" spans="1:55" x14ac:dyDescent="0.2">
      <c r="A48" s="265"/>
      <c r="B48" s="265"/>
      <c r="C48" s="265"/>
      <c r="D48" s="265"/>
      <c r="E48" s="265"/>
    </row>
    <row r="49" spans="1:5" x14ac:dyDescent="0.2">
      <c r="A49" s="265"/>
      <c r="B49" s="265"/>
      <c r="C49" s="265"/>
      <c r="D49" s="265"/>
      <c r="E49" s="265"/>
    </row>
    <row r="50" spans="1:5" x14ac:dyDescent="0.2">
      <c r="A50" s="265"/>
      <c r="B50" s="265"/>
      <c r="C50" s="265"/>
      <c r="D50" s="265"/>
      <c r="E50" s="265"/>
    </row>
    <row r="51" spans="1:5" x14ac:dyDescent="0.2">
      <c r="A51" s="265"/>
      <c r="B51" s="265"/>
      <c r="C51" s="265"/>
      <c r="D51" s="265"/>
      <c r="E51" s="265"/>
    </row>
    <row r="52" spans="1:5" x14ac:dyDescent="0.2">
      <c r="A52" s="265"/>
      <c r="B52" s="265"/>
      <c r="C52" s="265"/>
      <c r="D52" s="265"/>
      <c r="E52" s="265"/>
    </row>
    <row r="53" spans="1:5" x14ac:dyDescent="0.2">
      <c r="A53" s="265"/>
      <c r="B53" s="265"/>
      <c r="C53" s="265"/>
      <c r="D53" s="265"/>
      <c r="E53" s="265"/>
    </row>
    <row r="54" spans="1:5" x14ac:dyDescent="0.2">
      <c r="A54" s="265"/>
      <c r="B54" s="265"/>
      <c r="C54" s="265"/>
      <c r="D54" s="265"/>
      <c r="E54" s="265"/>
    </row>
    <row r="55" spans="1:5" x14ac:dyDescent="0.2">
      <c r="A55" s="265"/>
      <c r="B55" s="265"/>
      <c r="C55" s="265"/>
      <c r="D55" s="265"/>
      <c r="E55" s="265"/>
    </row>
    <row r="56" spans="1:5" x14ac:dyDescent="0.2">
      <c r="A56" s="265"/>
      <c r="B56" s="265"/>
      <c r="C56" s="265"/>
      <c r="D56" s="265"/>
      <c r="E56" s="265"/>
    </row>
    <row r="57" spans="1:5" x14ac:dyDescent="0.2">
      <c r="A57" s="265"/>
      <c r="B57" s="265"/>
      <c r="C57" s="265"/>
      <c r="D57" s="265"/>
      <c r="E57" s="265"/>
    </row>
    <row r="58" spans="1:5" x14ac:dyDescent="0.2">
      <c r="A58" s="265"/>
      <c r="B58" s="265"/>
      <c r="C58" s="265"/>
      <c r="D58" s="265"/>
      <c r="E58" s="265"/>
    </row>
    <row r="59" spans="1:5" x14ac:dyDescent="0.2">
      <c r="A59" s="265"/>
      <c r="B59" s="265"/>
      <c r="C59" s="265"/>
      <c r="D59" s="265"/>
      <c r="E59" s="265"/>
    </row>
    <row r="60" spans="1:5" x14ac:dyDescent="0.2">
      <c r="A60" s="265"/>
      <c r="B60" s="265"/>
      <c r="C60" s="265"/>
      <c r="D60" s="265"/>
      <c r="E60" s="265"/>
    </row>
    <row r="61" spans="1:5" x14ac:dyDescent="0.2">
      <c r="A61" s="265"/>
      <c r="B61" s="265"/>
      <c r="C61" s="265"/>
      <c r="D61" s="265"/>
      <c r="E61" s="265"/>
    </row>
    <row r="62" spans="1:5" x14ac:dyDescent="0.2">
      <c r="A62" s="265"/>
      <c r="B62" s="265"/>
      <c r="C62" s="265"/>
      <c r="D62" s="265"/>
      <c r="E62" s="265"/>
    </row>
    <row r="63" spans="1:5" x14ac:dyDescent="0.2">
      <c r="A63" s="265"/>
      <c r="B63" s="265"/>
      <c r="C63" s="265"/>
      <c r="D63" s="265"/>
      <c r="E63" s="265"/>
    </row>
    <row r="64" spans="1:5" x14ac:dyDescent="0.2">
      <c r="A64" s="265"/>
      <c r="B64" s="265"/>
      <c r="C64" s="265"/>
      <c r="D64" s="265"/>
      <c r="E64" s="265"/>
    </row>
    <row r="65" spans="1:5" x14ac:dyDescent="0.2">
      <c r="A65" s="265"/>
      <c r="B65" s="265"/>
      <c r="C65" s="265"/>
      <c r="D65" s="265"/>
      <c r="E65" s="265"/>
    </row>
    <row r="66" spans="1:5" x14ac:dyDescent="0.2">
      <c r="A66" s="265"/>
      <c r="B66" s="265"/>
      <c r="C66" s="265"/>
      <c r="D66" s="265"/>
      <c r="E66" s="265"/>
    </row>
    <row r="67" spans="1:5" x14ac:dyDescent="0.2">
      <c r="A67" s="265"/>
      <c r="B67" s="265"/>
      <c r="C67" s="265"/>
      <c r="D67" s="265"/>
      <c r="E67" s="265"/>
    </row>
    <row r="68" spans="1:5" x14ac:dyDescent="0.2">
      <c r="A68" s="265"/>
      <c r="B68" s="265"/>
      <c r="C68" s="265"/>
      <c r="D68" s="265"/>
      <c r="E68" s="265"/>
    </row>
    <row r="69" spans="1:5" x14ac:dyDescent="0.2">
      <c r="A69" s="265"/>
      <c r="B69" s="265"/>
      <c r="C69" s="265"/>
      <c r="D69" s="265"/>
      <c r="E69" s="265"/>
    </row>
    <row r="70" spans="1:5" x14ac:dyDescent="0.2">
      <c r="A70" s="265"/>
      <c r="B70" s="265"/>
      <c r="C70" s="265"/>
      <c r="D70" s="265"/>
      <c r="E70" s="265"/>
    </row>
    <row r="71" spans="1:5" x14ac:dyDescent="0.2">
      <c r="A71" s="265"/>
      <c r="B71" s="265"/>
      <c r="C71" s="265"/>
      <c r="D71" s="265"/>
      <c r="E71" s="265"/>
    </row>
    <row r="72" spans="1:5" x14ac:dyDescent="0.2">
      <c r="A72" s="265"/>
      <c r="B72" s="265"/>
      <c r="C72" s="265"/>
      <c r="D72" s="265"/>
      <c r="E72" s="265"/>
    </row>
    <row r="73" spans="1:5" x14ac:dyDescent="0.2">
      <c r="A73" s="265"/>
      <c r="B73" s="265"/>
      <c r="C73" s="265"/>
      <c r="D73" s="265"/>
      <c r="E73" s="265"/>
    </row>
    <row r="74" spans="1:5" x14ac:dyDescent="0.2">
      <c r="A74" s="265"/>
      <c r="B74" s="265"/>
      <c r="C74" s="265"/>
      <c r="D74" s="265"/>
      <c r="E74" s="265"/>
    </row>
    <row r="75" spans="1:5" x14ac:dyDescent="0.2">
      <c r="A75" s="265"/>
      <c r="B75" s="265"/>
      <c r="C75" s="265"/>
      <c r="D75" s="265"/>
      <c r="E75" s="265"/>
    </row>
    <row r="76" spans="1:5" x14ac:dyDescent="0.2">
      <c r="A76" s="265"/>
      <c r="B76" s="265"/>
      <c r="C76" s="265"/>
      <c r="D76" s="265"/>
      <c r="E76" s="265"/>
    </row>
    <row r="77" spans="1:5" x14ac:dyDescent="0.2">
      <c r="A77" s="265"/>
      <c r="B77" s="265"/>
      <c r="C77" s="265"/>
      <c r="D77" s="265"/>
      <c r="E77" s="265"/>
    </row>
    <row r="78" spans="1:5" x14ac:dyDescent="0.2">
      <c r="A78" s="265"/>
      <c r="B78" s="265"/>
      <c r="C78" s="265"/>
      <c r="D78" s="265"/>
      <c r="E78" s="265"/>
    </row>
    <row r="79" spans="1:5" x14ac:dyDescent="0.2">
      <c r="A79" s="265"/>
      <c r="B79" s="265"/>
      <c r="C79" s="265"/>
      <c r="D79" s="265"/>
      <c r="E79" s="265"/>
    </row>
    <row r="80" spans="1:5" x14ac:dyDescent="0.2">
      <c r="A80" s="265"/>
      <c r="B80" s="265"/>
      <c r="C80" s="265"/>
      <c r="D80" s="265"/>
      <c r="E80" s="265"/>
    </row>
    <row r="81" spans="1:5" x14ac:dyDescent="0.2">
      <c r="A81" s="265"/>
      <c r="B81" s="265"/>
      <c r="C81" s="265"/>
      <c r="D81" s="265"/>
      <c r="E81" s="265"/>
    </row>
    <row r="82" spans="1:5" x14ac:dyDescent="0.2">
      <c r="A82" s="265"/>
      <c r="B82" s="265"/>
      <c r="C82" s="265"/>
      <c r="D82" s="265"/>
      <c r="E82" s="265"/>
    </row>
    <row r="83" spans="1:5" x14ac:dyDescent="0.2">
      <c r="A83" s="265"/>
      <c r="B83" s="265"/>
      <c r="C83" s="265"/>
      <c r="D83" s="265"/>
      <c r="E83" s="265"/>
    </row>
    <row r="84" spans="1:5" x14ac:dyDescent="0.2">
      <c r="A84" s="265"/>
      <c r="B84" s="265"/>
      <c r="C84" s="265"/>
      <c r="D84" s="265"/>
      <c r="E84" s="265"/>
    </row>
    <row r="85" spans="1:5" x14ac:dyDescent="0.2">
      <c r="A85" s="265"/>
      <c r="B85" s="265"/>
      <c r="C85" s="265"/>
      <c r="D85" s="265"/>
      <c r="E85" s="265"/>
    </row>
    <row r="86" spans="1:5" x14ac:dyDescent="0.2">
      <c r="A86" s="265"/>
      <c r="B86" s="265"/>
      <c r="C86" s="265"/>
      <c r="D86" s="265"/>
      <c r="E86" s="265"/>
    </row>
    <row r="87" spans="1:5" x14ac:dyDescent="0.2">
      <c r="A87" s="265"/>
      <c r="B87" s="265"/>
      <c r="C87" s="265"/>
      <c r="D87" s="265"/>
      <c r="E87" s="265"/>
    </row>
    <row r="88" spans="1:5" x14ac:dyDescent="0.2">
      <c r="A88" s="265"/>
      <c r="B88" s="265"/>
      <c r="C88" s="265"/>
      <c r="D88" s="265"/>
      <c r="E88" s="265"/>
    </row>
    <row r="89" spans="1:5" x14ac:dyDescent="0.2">
      <c r="A89" s="340"/>
      <c r="B89" s="340"/>
      <c r="C89" s="340"/>
      <c r="D89" s="340"/>
      <c r="E89" s="340"/>
    </row>
    <row r="90" spans="1:5" x14ac:dyDescent="0.2">
      <c r="A90" s="340"/>
      <c r="B90" s="340"/>
      <c r="C90" s="340"/>
      <c r="D90" s="340"/>
      <c r="E90" s="340"/>
    </row>
    <row r="91" spans="1:5" x14ac:dyDescent="0.2">
      <c r="A91" s="340"/>
      <c r="B91" s="340"/>
      <c r="C91" s="340"/>
      <c r="D91" s="340"/>
      <c r="E91" s="340"/>
    </row>
    <row r="92" spans="1:5" x14ac:dyDescent="0.2">
      <c r="A92" s="340"/>
      <c r="B92" s="340"/>
      <c r="C92" s="340"/>
      <c r="D92" s="340"/>
      <c r="E92" s="34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67"/>
  <sheetViews>
    <sheetView view="pageBreakPreview" topLeftCell="A123" zoomScale="60" zoomScaleNormal="61" zoomScalePageLayoutView="70" workbookViewId="0">
      <selection activeCell="F145" sqref="F145"/>
    </sheetView>
  </sheetViews>
  <sheetFormatPr defaultColWidth="22.33203125" defaultRowHeight="21.95" customHeight="1" x14ac:dyDescent="0.4"/>
  <cols>
    <col min="1" max="1" width="51.21875" style="169" customWidth="1"/>
    <col min="2" max="2" width="24.88671875" style="169" customWidth="1"/>
    <col min="3" max="3" width="15.88671875" style="169" customWidth="1"/>
    <col min="4" max="4" width="13.6640625" style="169" customWidth="1"/>
    <col min="5" max="5" width="25.5546875" style="169" customWidth="1"/>
    <col min="6" max="6" width="19.44140625" style="169" customWidth="1"/>
    <col min="7" max="7" width="28.88671875" style="169" customWidth="1"/>
    <col min="8" max="8" width="24.6640625" style="170" customWidth="1"/>
    <col min="9" max="9" width="23.5546875" style="169" customWidth="1"/>
    <col min="10" max="10" width="24" style="171" customWidth="1"/>
    <col min="11" max="11" width="43.21875" style="402" hidden="1" customWidth="1"/>
    <col min="12" max="13" width="0" style="402" hidden="1" customWidth="1"/>
    <col min="14" max="14" width="25.109375" style="402" customWidth="1"/>
    <col min="15" max="16" width="22.33203125" style="402"/>
    <col min="17" max="17" width="44.77734375" style="402" customWidth="1"/>
    <col min="18" max="16384" width="22.33203125" style="402"/>
  </cols>
  <sheetData>
    <row r="1" spans="1:15" ht="24.75" x14ac:dyDescent="0.5">
      <c r="A1" s="703" t="s">
        <v>115</v>
      </c>
      <c r="B1" s="704"/>
      <c r="C1" s="704"/>
      <c r="D1" s="704"/>
      <c r="E1" s="704"/>
      <c r="F1" s="704"/>
      <c r="G1" s="704"/>
      <c r="H1" s="704"/>
      <c r="I1" s="704"/>
      <c r="J1" s="705"/>
    </row>
    <row r="2" spans="1:15" ht="22.5" x14ac:dyDescent="0.4">
      <c r="A2" s="403" t="s">
        <v>350</v>
      </c>
      <c r="B2" s="404">
        <v>44470</v>
      </c>
      <c r="C2" s="405" t="s">
        <v>67</v>
      </c>
      <c r="D2" s="406">
        <v>0.51</v>
      </c>
      <c r="E2" s="407"/>
      <c r="F2" s="407"/>
      <c r="G2" s="407" t="s">
        <v>116</v>
      </c>
      <c r="H2" s="407" t="s">
        <v>5</v>
      </c>
      <c r="I2" s="407" t="s">
        <v>7</v>
      </c>
      <c r="J2" s="408" t="s">
        <v>117</v>
      </c>
    </row>
    <row r="3" spans="1:15" ht="22.5" x14ac:dyDescent="0.4">
      <c r="A3" s="409"/>
      <c r="B3" s="410"/>
      <c r="C3" s="405" t="s">
        <v>118</v>
      </c>
      <c r="D3" s="411">
        <v>28</v>
      </c>
      <c r="E3" s="715" t="s">
        <v>119</v>
      </c>
      <c r="F3" s="716"/>
      <c r="G3" s="412"/>
      <c r="H3" s="413"/>
      <c r="I3" s="413"/>
      <c r="J3" s="414"/>
      <c r="K3" s="415"/>
      <c r="L3" s="416"/>
    </row>
    <row r="4" spans="1:15" ht="22.5" x14ac:dyDescent="0.4">
      <c r="A4" s="417"/>
      <c r="B4" s="418"/>
      <c r="C4" s="405" t="s">
        <v>120</v>
      </c>
      <c r="D4" s="406">
        <v>0.9</v>
      </c>
      <c r="E4" s="419"/>
      <c r="F4" s="419"/>
      <c r="G4" s="419"/>
      <c r="H4" s="419"/>
      <c r="I4" s="420"/>
      <c r="J4" s="414"/>
      <c r="K4" s="421"/>
      <c r="L4" s="416"/>
    </row>
    <row r="5" spans="1:15" ht="22.5" x14ac:dyDescent="0.4">
      <c r="A5" s="422" t="s">
        <v>121</v>
      </c>
      <c r="B5" s="423"/>
      <c r="C5" s="423"/>
      <c r="D5" s="423" t="s">
        <v>122</v>
      </c>
      <c r="E5" s="424" t="s">
        <v>123</v>
      </c>
      <c r="F5" s="424" t="s">
        <v>110</v>
      </c>
      <c r="G5" s="425" t="s">
        <v>124</v>
      </c>
      <c r="H5" s="426" t="s">
        <v>125</v>
      </c>
      <c r="I5" s="427" t="s">
        <v>126</v>
      </c>
      <c r="J5" s="428" t="s">
        <v>127</v>
      </c>
      <c r="K5" s="429"/>
      <c r="L5" s="416"/>
    </row>
    <row r="6" spans="1:15" ht="22.5" x14ac:dyDescent="0.4">
      <c r="A6" s="706" t="s">
        <v>128</v>
      </c>
      <c r="B6" s="707"/>
      <c r="C6" s="708"/>
      <c r="D6" s="430"/>
      <c r="E6" s="430"/>
      <c r="F6" s="430"/>
      <c r="G6" s="430"/>
      <c r="H6" s="431"/>
      <c r="I6" s="431"/>
      <c r="J6" s="432"/>
      <c r="K6" s="433"/>
      <c r="L6" s="416"/>
    </row>
    <row r="7" spans="1:15" ht="23.25" thickBot="1" x14ac:dyDescent="0.45">
      <c r="A7" s="434" t="s">
        <v>129</v>
      </c>
      <c r="B7" s="435"/>
      <c r="C7" s="435"/>
      <c r="D7" s="436" t="s">
        <v>130</v>
      </c>
      <c r="E7" s="437">
        <v>967367</v>
      </c>
      <c r="F7" s="437">
        <v>989673.2</v>
      </c>
      <c r="G7" s="438">
        <f>F7-E7</f>
        <v>22306.199999999953</v>
      </c>
      <c r="H7" s="439">
        <f>G7</f>
        <v>22306.199999999953</v>
      </c>
      <c r="I7" s="440">
        <v>12000</v>
      </c>
      <c r="J7" s="441">
        <f>H7/DAY(B2)</f>
        <v>22306.199999999953</v>
      </c>
      <c r="K7" s="442">
        <v>1375467</v>
      </c>
      <c r="L7" s="416"/>
      <c r="N7" s="443"/>
      <c r="O7" s="444"/>
    </row>
    <row r="8" spans="1:15" ht="23.25" thickBot="1" x14ac:dyDescent="0.45">
      <c r="A8" s="445" t="s">
        <v>131</v>
      </c>
      <c r="B8" s="446"/>
      <c r="C8" s="447"/>
      <c r="D8" s="448" t="s">
        <v>24</v>
      </c>
      <c r="E8" s="449">
        <v>981819</v>
      </c>
      <c r="F8" s="449">
        <v>1004249.2</v>
      </c>
      <c r="G8" s="450">
        <f>F8-E8</f>
        <v>22430.199999999953</v>
      </c>
      <c r="H8" s="439">
        <f>G8</f>
        <v>22430.199999999953</v>
      </c>
      <c r="I8" s="451">
        <v>12000</v>
      </c>
      <c r="J8" s="441">
        <f>H8/DAY(B2)</f>
        <v>22430.199999999953</v>
      </c>
      <c r="K8" s="442">
        <v>1715917</v>
      </c>
      <c r="L8" s="452">
        <v>1728480</v>
      </c>
      <c r="M8" s="443">
        <f>L8-K8</f>
        <v>12563</v>
      </c>
      <c r="N8" s="443"/>
      <c r="O8" s="444"/>
    </row>
    <row r="9" spans="1:15" ht="22.5" x14ac:dyDescent="0.4">
      <c r="A9" s="453" t="s">
        <v>132</v>
      </c>
      <c r="B9" s="454"/>
      <c r="C9" s="454"/>
      <c r="D9" s="436" t="s">
        <v>130</v>
      </c>
      <c r="E9" s="455">
        <v>730790</v>
      </c>
      <c r="F9" s="455">
        <v>752335.75</v>
      </c>
      <c r="G9" s="438">
        <f>F9-E9</f>
        <v>21545.75</v>
      </c>
      <c r="H9" s="439">
        <f t="shared" ref="H9:H13" si="0">G9</f>
        <v>21545.75</v>
      </c>
      <c r="I9" s="456">
        <f>I8-J8</f>
        <v>-10430.199999999953</v>
      </c>
      <c r="J9" s="441">
        <f>H9/DAY(B2)</f>
        <v>21545.75</v>
      </c>
      <c r="K9" s="457">
        <f>K8-100</f>
        <v>1715817</v>
      </c>
      <c r="L9" s="416"/>
      <c r="N9" s="443"/>
      <c r="O9" s="444"/>
    </row>
    <row r="10" spans="1:15" ht="22.5" x14ac:dyDescent="0.4">
      <c r="A10" s="434" t="s">
        <v>133</v>
      </c>
      <c r="B10" s="435"/>
      <c r="C10" s="435"/>
      <c r="D10" s="436" t="s">
        <v>130</v>
      </c>
      <c r="E10" s="455">
        <v>0</v>
      </c>
      <c r="F10" s="455">
        <v>0</v>
      </c>
      <c r="G10" s="438">
        <f t="shared" ref="G10:G11" si="1">F10-E10</f>
        <v>0</v>
      </c>
      <c r="H10" s="439">
        <f t="shared" si="0"/>
        <v>0</v>
      </c>
      <c r="I10" s="458"/>
      <c r="J10" s="441">
        <f>H10/DAY(B2)</f>
        <v>0</v>
      </c>
      <c r="K10" s="457"/>
      <c r="L10" s="416"/>
      <c r="N10" s="443"/>
      <c r="O10" s="444"/>
    </row>
    <row r="11" spans="1:15" ht="22.5" x14ac:dyDescent="0.4">
      <c r="A11" s="434" t="s">
        <v>134</v>
      </c>
      <c r="B11" s="435"/>
      <c r="C11" s="435"/>
      <c r="D11" s="436" t="s">
        <v>130</v>
      </c>
      <c r="E11" s="437">
        <v>37000</v>
      </c>
      <c r="F11" s="437">
        <v>37000</v>
      </c>
      <c r="G11" s="438">
        <f t="shared" si="1"/>
        <v>0</v>
      </c>
      <c r="H11" s="439">
        <f t="shared" si="0"/>
        <v>0</v>
      </c>
      <c r="I11" s="458"/>
      <c r="J11" s="441">
        <f>H11/DAY(B2)</f>
        <v>0</v>
      </c>
      <c r="K11" s="457"/>
      <c r="L11" s="416"/>
      <c r="N11" s="443"/>
      <c r="O11" s="444">
        <f>142-18</f>
        <v>124</v>
      </c>
    </row>
    <row r="12" spans="1:15" ht="22.5" x14ac:dyDescent="0.4">
      <c r="A12" s="434" t="s">
        <v>135</v>
      </c>
      <c r="B12" s="435"/>
      <c r="C12" s="435"/>
      <c r="D12" s="436" t="s">
        <v>130</v>
      </c>
      <c r="E12" s="455">
        <v>40010</v>
      </c>
      <c r="F12" s="455">
        <v>40010</v>
      </c>
      <c r="G12" s="438">
        <f>F12-E12</f>
        <v>0</v>
      </c>
      <c r="H12" s="439">
        <f t="shared" si="0"/>
        <v>0</v>
      </c>
      <c r="I12" s="458"/>
      <c r="J12" s="441">
        <f>H12/DAY(B2)</f>
        <v>0</v>
      </c>
      <c r="K12" s="457"/>
      <c r="L12" s="416"/>
      <c r="N12" s="443"/>
      <c r="O12" s="444"/>
    </row>
    <row r="13" spans="1:15" ht="22.5" x14ac:dyDescent="0.4">
      <c r="A13" s="459" t="s">
        <v>136</v>
      </c>
      <c r="B13" s="460"/>
      <c r="C13" s="460"/>
      <c r="D13" s="436"/>
      <c r="E13" s="437"/>
      <c r="F13" s="437"/>
      <c r="G13" s="438">
        <f>F13-E13</f>
        <v>0</v>
      </c>
      <c r="H13" s="439">
        <f t="shared" si="0"/>
        <v>0</v>
      </c>
      <c r="I13" s="461">
        <f>G7-G13</f>
        <v>22306.199999999953</v>
      </c>
      <c r="J13" s="441">
        <f>H13/DAY(B2)</f>
        <v>0</v>
      </c>
      <c r="K13" s="457"/>
      <c r="L13" s="416"/>
      <c r="N13" s="443"/>
      <c r="O13" s="444"/>
    </row>
    <row r="14" spans="1:15" ht="22.5" x14ac:dyDescent="0.4">
      <c r="A14" s="709" t="s">
        <v>137</v>
      </c>
      <c r="B14" s="710"/>
      <c r="C14" s="711"/>
      <c r="D14" s="431"/>
      <c r="E14" s="431"/>
      <c r="F14" s="431"/>
      <c r="G14" s="462"/>
      <c r="H14" s="431"/>
      <c r="I14" s="431"/>
      <c r="J14" s="432"/>
      <c r="K14" s="463"/>
      <c r="L14" s="416"/>
      <c r="N14" s="443"/>
      <c r="O14" s="444"/>
    </row>
    <row r="15" spans="1:15" ht="22.5" x14ac:dyDescent="0.4">
      <c r="A15" s="464" t="s">
        <v>138</v>
      </c>
      <c r="B15" s="465"/>
      <c r="C15" s="465"/>
      <c r="D15" s="436" t="s">
        <v>139</v>
      </c>
      <c r="E15" s="466">
        <v>1784208</v>
      </c>
      <c r="F15" s="467">
        <v>1785189</v>
      </c>
      <c r="G15" s="468">
        <f>(F15-E15)</f>
        <v>981</v>
      </c>
      <c r="H15" s="456">
        <f>G15</f>
        <v>981</v>
      </c>
      <c r="I15" s="440">
        <v>800</v>
      </c>
      <c r="J15" s="441">
        <f>H15/DAY(B2)</f>
        <v>981</v>
      </c>
      <c r="K15" s="457"/>
      <c r="L15" s="416"/>
      <c r="N15" s="443"/>
      <c r="O15" s="444"/>
    </row>
    <row r="16" spans="1:15" ht="22.5" x14ac:dyDescent="0.4">
      <c r="A16" s="469"/>
      <c r="B16" s="470"/>
      <c r="C16" s="470"/>
      <c r="D16" s="471"/>
      <c r="E16" s="466"/>
      <c r="F16" s="466"/>
      <c r="G16" s="438"/>
      <c r="H16" s="456"/>
      <c r="I16" s="461">
        <f>I15-J15</f>
        <v>-181</v>
      </c>
      <c r="J16" s="472"/>
      <c r="K16" s="457"/>
      <c r="L16" s="416"/>
      <c r="N16" s="443"/>
      <c r="O16" s="444"/>
    </row>
    <row r="17" spans="1:15" ht="22.5" x14ac:dyDescent="0.4">
      <c r="A17" s="709" t="s">
        <v>140</v>
      </c>
      <c r="B17" s="710"/>
      <c r="C17" s="711"/>
      <c r="D17" s="431"/>
      <c r="E17" s="431"/>
      <c r="F17" s="431"/>
      <c r="G17" s="473"/>
      <c r="H17" s="431"/>
      <c r="I17" s="431"/>
      <c r="J17" s="432"/>
      <c r="K17" s="457"/>
      <c r="L17" s="416"/>
      <c r="N17" s="443"/>
      <c r="O17" s="444"/>
    </row>
    <row r="18" spans="1:15" ht="22.5" x14ac:dyDescent="0.4">
      <c r="A18" s="677" t="s">
        <v>141</v>
      </c>
      <c r="B18" s="678"/>
      <c r="C18" s="679"/>
      <c r="D18" s="436" t="s">
        <v>142</v>
      </c>
      <c r="E18" s="474">
        <v>19</v>
      </c>
      <c r="F18" s="474">
        <v>14</v>
      </c>
      <c r="G18" s="475">
        <f>F18*10</f>
        <v>140</v>
      </c>
      <c r="H18" s="439">
        <f>G18</f>
        <v>140</v>
      </c>
      <c r="I18" s="440">
        <v>65</v>
      </c>
      <c r="J18" s="441">
        <f>H18/DAY(B2)</f>
        <v>140</v>
      </c>
      <c r="K18" s="457"/>
      <c r="L18" s="416"/>
      <c r="N18" s="443"/>
      <c r="O18" s="444"/>
    </row>
    <row r="19" spans="1:15" ht="22.5" x14ac:dyDescent="0.4">
      <c r="A19" s="677" t="s">
        <v>69</v>
      </c>
      <c r="B19" s="678"/>
      <c r="C19" s="679"/>
      <c r="D19" s="436" t="s">
        <v>142</v>
      </c>
      <c r="E19" s="474">
        <v>147112</v>
      </c>
      <c r="F19" s="474">
        <v>147171</v>
      </c>
      <c r="G19" s="438">
        <f t="shared" ref="G19" si="2">F19-E19</f>
        <v>59</v>
      </c>
      <c r="H19" s="439">
        <f t="shared" ref="H19" si="3">G19</f>
        <v>59</v>
      </c>
      <c r="I19" s="476"/>
      <c r="J19" s="441">
        <f>H19/DAY(B2)</f>
        <v>59</v>
      </c>
      <c r="K19" s="457"/>
      <c r="L19" s="416"/>
      <c r="N19" s="443"/>
      <c r="O19" s="444"/>
    </row>
    <row r="20" spans="1:15" ht="22.5" x14ac:dyDescent="0.4">
      <c r="A20" s="459" t="s">
        <v>143</v>
      </c>
      <c r="B20" s="460"/>
      <c r="C20" s="460"/>
      <c r="D20" s="477"/>
      <c r="E20" s="477"/>
      <c r="F20" s="477"/>
      <c r="G20" s="478">
        <f>G18+G19</f>
        <v>199</v>
      </c>
      <c r="H20" s="439">
        <f>G20</f>
        <v>199</v>
      </c>
      <c r="I20" s="479">
        <f>I18-J20</f>
        <v>-134</v>
      </c>
      <c r="J20" s="441">
        <f>H20/DAY(B2)</f>
        <v>199</v>
      </c>
      <c r="K20" s="457"/>
      <c r="L20" s="416"/>
      <c r="N20" s="443"/>
      <c r="O20" s="444"/>
    </row>
    <row r="21" spans="1:15" ht="22.5" x14ac:dyDescent="0.4">
      <c r="A21" s="709" t="s">
        <v>144</v>
      </c>
      <c r="B21" s="710"/>
      <c r="C21" s="711"/>
      <c r="D21" s="431"/>
      <c r="E21" s="431"/>
      <c r="F21" s="431"/>
      <c r="G21" s="462"/>
      <c r="H21" s="431"/>
      <c r="I21" s="431"/>
      <c r="J21" s="432"/>
      <c r="K21" s="457"/>
      <c r="L21" s="416"/>
      <c r="N21" s="443"/>
      <c r="O21" s="444"/>
    </row>
    <row r="22" spans="1:15" ht="22.5" x14ac:dyDescent="0.4">
      <c r="A22" s="464" t="s">
        <v>145</v>
      </c>
      <c r="B22" s="465"/>
      <c r="C22" s="465"/>
      <c r="D22" s="436" t="s">
        <v>146</v>
      </c>
      <c r="E22" s="474">
        <v>2970</v>
      </c>
      <c r="F22" s="474">
        <v>2970</v>
      </c>
      <c r="G22" s="475">
        <f>(F22-E22)</f>
        <v>0</v>
      </c>
      <c r="H22" s="439">
        <f>G22</f>
        <v>0</v>
      </c>
      <c r="I22" s="458"/>
      <c r="J22" s="441">
        <f>H22/DAY(B2)</f>
        <v>0</v>
      </c>
      <c r="K22" s="457"/>
      <c r="L22" s="416"/>
      <c r="N22" s="443"/>
      <c r="O22" s="444"/>
    </row>
    <row r="23" spans="1:15" ht="22.5" x14ac:dyDescent="0.4">
      <c r="A23" s="464" t="s">
        <v>147</v>
      </c>
      <c r="B23" s="465"/>
      <c r="C23" s="465"/>
      <c r="D23" s="436" t="s">
        <v>146</v>
      </c>
      <c r="E23" s="474">
        <v>2000</v>
      </c>
      <c r="F23" s="474">
        <v>2000</v>
      </c>
      <c r="G23" s="475">
        <f t="shared" ref="G23" si="4">(F23-E23)</f>
        <v>0</v>
      </c>
      <c r="H23" s="439">
        <f t="shared" ref="H23:H24" si="5">G23</f>
        <v>0</v>
      </c>
      <c r="I23" s="458"/>
      <c r="J23" s="441">
        <f>H23/DAY(B2)</f>
        <v>0</v>
      </c>
      <c r="K23" s="457"/>
      <c r="L23" s="416"/>
      <c r="N23" s="443"/>
      <c r="O23" s="444"/>
    </row>
    <row r="24" spans="1:15" ht="22.5" x14ac:dyDescent="0.4">
      <c r="A24" s="480" t="s">
        <v>148</v>
      </c>
      <c r="B24" s="481"/>
      <c r="C24" s="481"/>
      <c r="D24" s="423" t="s">
        <v>146</v>
      </c>
      <c r="E24" s="482">
        <v>4970</v>
      </c>
      <c r="F24" s="482"/>
      <c r="G24" s="475">
        <f>SUM(G22:G23)</f>
        <v>0</v>
      </c>
      <c r="H24" s="439">
        <f t="shared" si="5"/>
        <v>0</v>
      </c>
      <c r="I24" s="458"/>
      <c r="J24" s="441">
        <f>H24/DAY(B2)</f>
        <v>0</v>
      </c>
      <c r="K24" s="457"/>
      <c r="L24" s="416"/>
      <c r="N24" s="443"/>
      <c r="O24" s="444"/>
    </row>
    <row r="25" spans="1:15" s="488" customFormat="1" ht="22.5" x14ac:dyDescent="0.3">
      <c r="A25" s="706" t="s">
        <v>149</v>
      </c>
      <c r="B25" s="707"/>
      <c r="C25" s="708"/>
      <c r="D25" s="430"/>
      <c r="E25" s="430"/>
      <c r="F25" s="430"/>
      <c r="G25" s="483"/>
      <c r="H25" s="484"/>
      <c r="I25" s="485"/>
      <c r="J25" s="486"/>
      <c r="K25" s="457"/>
      <c r="L25" s="487"/>
      <c r="N25" s="443"/>
      <c r="O25" s="444"/>
    </row>
    <row r="26" spans="1:15" s="488" customFormat="1" ht="22.5" x14ac:dyDescent="0.4">
      <c r="A26" s="489" t="s">
        <v>150</v>
      </c>
      <c r="B26" s="490"/>
      <c r="C26" s="491"/>
      <c r="D26" s="492" t="s">
        <v>151</v>
      </c>
      <c r="E26" s="493"/>
      <c r="F26" s="493"/>
      <c r="G26" s="494"/>
      <c r="H26" s="439"/>
      <c r="I26" s="495"/>
      <c r="J26" s="441"/>
      <c r="K26" s="463"/>
      <c r="L26" s="487"/>
      <c r="N26" s="443"/>
      <c r="O26" s="444"/>
    </row>
    <row r="27" spans="1:15" s="488" customFormat="1" ht="22.5" x14ac:dyDescent="0.4">
      <c r="A27" s="489" t="s">
        <v>5</v>
      </c>
      <c r="B27" s="490"/>
      <c r="C27" s="491"/>
      <c r="D27" s="496" t="s">
        <v>24</v>
      </c>
      <c r="E27" s="497">
        <f>G8</f>
        <v>22430.199999999953</v>
      </c>
      <c r="F27" s="498">
        <v>9</v>
      </c>
      <c r="G27" s="499">
        <f>E27*F27</f>
        <v>201871.79999999958</v>
      </c>
      <c r="H27" s="439">
        <f t="shared" ref="H27:H32" si="6">G27</f>
        <v>201871.79999999958</v>
      </c>
      <c r="I27" s="500"/>
      <c r="J27" s="441">
        <f>H27/DAY(B2)</f>
        <v>201871.79999999958</v>
      </c>
      <c r="K27" s="457"/>
      <c r="L27" s="487"/>
      <c r="N27" s="443"/>
      <c r="O27" s="444"/>
    </row>
    <row r="28" spans="1:15" s="488" customFormat="1" ht="22.5" x14ac:dyDescent="0.4">
      <c r="A28" s="489" t="s">
        <v>152</v>
      </c>
      <c r="B28" s="490"/>
      <c r="C28" s="491"/>
      <c r="D28" s="496" t="s">
        <v>153</v>
      </c>
      <c r="E28" s="501">
        <f>G15</f>
        <v>981</v>
      </c>
      <c r="F28" s="498">
        <v>52</v>
      </c>
      <c r="G28" s="499">
        <f>E28*F28</f>
        <v>51012</v>
      </c>
      <c r="H28" s="439">
        <f t="shared" si="6"/>
        <v>51012</v>
      </c>
      <c r="I28" s="502"/>
      <c r="J28" s="441">
        <f>H28/DAY(B2)</f>
        <v>51012</v>
      </c>
      <c r="K28" s="457"/>
      <c r="L28" s="487"/>
      <c r="N28" s="443"/>
      <c r="O28" s="444"/>
    </row>
    <row r="29" spans="1:15" s="488" customFormat="1" ht="22.5" x14ac:dyDescent="0.4">
      <c r="A29" s="489" t="s">
        <v>154</v>
      </c>
      <c r="B29" s="490"/>
      <c r="C29" s="491"/>
      <c r="D29" s="496" t="s">
        <v>155</v>
      </c>
      <c r="E29" s="503">
        <f>G24</f>
        <v>0</v>
      </c>
      <c r="F29" s="498">
        <v>69</v>
      </c>
      <c r="G29" s="499">
        <f>E29*F29</f>
        <v>0</v>
      </c>
      <c r="H29" s="439">
        <f t="shared" si="6"/>
        <v>0</v>
      </c>
      <c r="I29" s="502"/>
      <c r="J29" s="441">
        <f>H29/DAY(B2)</f>
        <v>0</v>
      </c>
      <c r="K29" s="457"/>
      <c r="L29" s="487"/>
      <c r="N29" s="443"/>
      <c r="O29" s="444"/>
    </row>
    <row r="30" spans="1:15" s="488" customFormat="1" ht="22.5" x14ac:dyDescent="0.4">
      <c r="A30" s="489" t="s">
        <v>156</v>
      </c>
      <c r="B30" s="490"/>
      <c r="C30" s="491"/>
      <c r="D30" s="496" t="s">
        <v>157</v>
      </c>
      <c r="E30" s="503">
        <f>G19</f>
        <v>59</v>
      </c>
      <c r="F30" s="498">
        <v>146</v>
      </c>
      <c r="G30" s="499">
        <f>E30*F30</f>
        <v>8614</v>
      </c>
      <c r="H30" s="439">
        <f t="shared" si="6"/>
        <v>8614</v>
      </c>
      <c r="I30" s="502"/>
      <c r="J30" s="441">
        <f>H30/DAY(B2)</f>
        <v>8614</v>
      </c>
      <c r="K30" s="457"/>
      <c r="L30" s="487"/>
      <c r="N30" s="443"/>
      <c r="O30" s="444"/>
    </row>
    <row r="31" spans="1:15" s="488" customFormat="1" ht="22.5" x14ac:dyDescent="0.4">
      <c r="A31" s="489" t="s">
        <v>158</v>
      </c>
      <c r="B31" s="490"/>
      <c r="C31" s="491"/>
      <c r="D31" s="496" t="s">
        <v>142</v>
      </c>
      <c r="E31" s="503">
        <f>G18</f>
        <v>140</v>
      </c>
      <c r="F31" s="498">
        <v>80</v>
      </c>
      <c r="G31" s="499">
        <f>E31*F31</f>
        <v>11200</v>
      </c>
      <c r="H31" s="439">
        <f t="shared" si="6"/>
        <v>11200</v>
      </c>
      <c r="I31" s="502"/>
      <c r="J31" s="441">
        <f>H31/DAY(B2)</f>
        <v>11200</v>
      </c>
      <c r="K31" s="457"/>
      <c r="L31" s="487"/>
      <c r="N31" s="443"/>
      <c r="O31" s="444"/>
    </row>
    <row r="32" spans="1:15" s="488" customFormat="1" ht="22.5" x14ac:dyDescent="0.4">
      <c r="A32" s="504" t="s">
        <v>159</v>
      </c>
      <c r="B32" s="505"/>
      <c r="C32" s="506"/>
      <c r="D32" s="507"/>
      <c r="E32" s="507"/>
      <c r="F32" s="507"/>
      <c r="G32" s="508">
        <f>G27+G28+G29+G30+G31</f>
        <v>272697.79999999958</v>
      </c>
      <c r="H32" s="439">
        <f t="shared" si="6"/>
        <v>272697.79999999958</v>
      </c>
      <c r="I32" s="509"/>
      <c r="J32" s="441">
        <f>H32/DAY(B2)</f>
        <v>272697.79999999958</v>
      </c>
      <c r="K32" s="457"/>
      <c r="L32" s="487"/>
      <c r="N32" s="443"/>
      <c r="O32" s="444"/>
    </row>
    <row r="33" spans="1:15" ht="25.5" customHeight="1" x14ac:dyDescent="0.3">
      <c r="A33" s="717" t="s">
        <v>331</v>
      </c>
      <c r="B33" s="718"/>
      <c r="C33" s="718"/>
      <c r="D33" s="510"/>
      <c r="E33" s="510"/>
      <c r="F33" s="510"/>
      <c r="G33" s="510"/>
      <c r="H33" s="510"/>
      <c r="I33" s="510"/>
      <c r="J33" s="511"/>
      <c r="K33" s="457"/>
      <c r="L33" s="416"/>
      <c r="N33" s="443"/>
      <c r="O33" s="444"/>
    </row>
    <row r="34" spans="1:15" ht="22.5" x14ac:dyDescent="0.4">
      <c r="A34" s="512" t="s">
        <v>160</v>
      </c>
      <c r="B34" s="513"/>
      <c r="C34" s="513"/>
      <c r="D34" s="431"/>
      <c r="E34" s="430"/>
      <c r="F34" s="430"/>
      <c r="G34" s="431"/>
      <c r="H34" s="431"/>
      <c r="I34" s="431"/>
      <c r="J34" s="432"/>
      <c r="K34" s="457"/>
      <c r="L34" s="416"/>
      <c r="N34" s="443"/>
      <c r="O34" s="444"/>
    </row>
    <row r="35" spans="1:15" ht="22.5" x14ac:dyDescent="0.4">
      <c r="A35" s="434" t="s">
        <v>161</v>
      </c>
      <c r="B35" s="435"/>
      <c r="C35" s="435"/>
      <c r="D35" s="436" t="s">
        <v>130</v>
      </c>
      <c r="E35" s="514">
        <v>0</v>
      </c>
      <c r="F35" s="514">
        <v>0</v>
      </c>
      <c r="G35" s="438">
        <f t="shared" ref="G35:G46" si="7">F35-E35</f>
        <v>0</v>
      </c>
      <c r="H35" s="439">
        <f t="shared" ref="H35:H47" si="8">G35</f>
        <v>0</v>
      </c>
      <c r="I35" s="437"/>
      <c r="J35" s="441">
        <f>H35/DAY(B2)</f>
        <v>0</v>
      </c>
      <c r="K35" s="457"/>
      <c r="L35" s="416"/>
      <c r="N35" s="443"/>
      <c r="O35" s="444"/>
    </row>
    <row r="36" spans="1:15" ht="22.5" x14ac:dyDescent="0.4">
      <c r="A36" s="434" t="s">
        <v>162</v>
      </c>
      <c r="B36" s="435"/>
      <c r="C36" s="435"/>
      <c r="D36" s="436" t="s">
        <v>130</v>
      </c>
      <c r="E36" s="514">
        <v>23877</v>
      </c>
      <c r="F36" s="514">
        <v>24821.9</v>
      </c>
      <c r="G36" s="438">
        <f t="shared" si="7"/>
        <v>944.90000000000146</v>
      </c>
      <c r="H36" s="439">
        <f t="shared" si="8"/>
        <v>944.90000000000146</v>
      </c>
      <c r="I36" s="437"/>
      <c r="J36" s="441">
        <f>H36/DAY(B2)</f>
        <v>944.90000000000146</v>
      </c>
      <c r="K36" s="457"/>
      <c r="L36" s="416"/>
      <c r="N36" s="443"/>
      <c r="O36" s="515"/>
    </row>
    <row r="37" spans="1:15" ht="22.5" x14ac:dyDescent="0.4">
      <c r="A37" s="434" t="s">
        <v>163</v>
      </c>
      <c r="B37" s="435"/>
      <c r="C37" s="435"/>
      <c r="D37" s="436" t="s">
        <v>130</v>
      </c>
      <c r="E37" s="514">
        <v>54163</v>
      </c>
      <c r="F37" s="514">
        <v>55921.31</v>
      </c>
      <c r="G37" s="438">
        <f t="shared" si="7"/>
        <v>1758.3099999999977</v>
      </c>
      <c r="H37" s="439">
        <f t="shared" si="8"/>
        <v>1758.3099999999977</v>
      </c>
      <c r="I37" s="437"/>
      <c r="J37" s="441">
        <f>H37/DAY(B2)</f>
        <v>1758.3099999999977</v>
      </c>
      <c r="K37" s="457"/>
      <c r="L37" s="416"/>
      <c r="N37" s="443"/>
      <c r="O37" s="516"/>
    </row>
    <row r="38" spans="1:15" ht="22.5" x14ac:dyDescent="0.4">
      <c r="A38" s="434" t="s">
        <v>164</v>
      </c>
      <c r="B38" s="435"/>
      <c r="C38" s="435"/>
      <c r="D38" s="436" t="s">
        <v>130</v>
      </c>
      <c r="E38" s="426">
        <v>57126</v>
      </c>
      <c r="F38" s="426">
        <v>59025.22</v>
      </c>
      <c r="G38" s="438">
        <f t="shared" si="7"/>
        <v>1899.2200000000012</v>
      </c>
      <c r="H38" s="439">
        <f t="shared" si="8"/>
        <v>1899.2200000000012</v>
      </c>
      <c r="I38" s="437"/>
      <c r="J38" s="441">
        <f>H38/DAY(B2)</f>
        <v>1899.2200000000012</v>
      </c>
      <c r="K38" s="457"/>
      <c r="L38" s="416"/>
      <c r="N38" s="443"/>
      <c r="O38" s="444"/>
    </row>
    <row r="39" spans="1:15" ht="22.5" x14ac:dyDescent="0.4">
      <c r="A39" s="434" t="s">
        <v>165</v>
      </c>
      <c r="B39" s="435"/>
      <c r="C39" s="435"/>
      <c r="D39" s="436" t="s">
        <v>130</v>
      </c>
      <c r="E39" s="514">
        <v>122891</v>
      </c>
      <c r="F39" s="514">
        <v>126904.78</v>
      </c>
      <c r="G39" s="438">
        <f t="shared" si="7"/>
        <v>4013.7799999999988</v>
      </c>
      <c r="H39" s="439">
        <f t="shared" si="8"/>
        <v>4013.7799999999988</v>
      </c>
      <c r="I39" s="437"/>
      <c r="J39" s="441">
        <f>H39/DAY(B2)</f>
        <v>4013.7799999999988</v>
      </c>
      <c r="K39" s="457"/>
      <c r="L39" s="416"/>
      <c r="N39" s="443"/>
      <c r="O39" s="444"/>
    </row>
    <row r="40" spans="1:15" ht="22.5" x14ac:dyDescent="0.4">
      <c r="A40" s="517" t="s">
        <v>166</v>
      </c>
      <c r="B40" s="518"/>
      <c r="C40" s="518"/>
      <c r="D40" s="436" t="s">
        <v>130</v>
      </c>
      <c r="E40" s="514">
        <v>0</v>
      </c>
      <c r="F40" s="514">
        <v>0</v>
      </c>
      <c r="G40" s="438">
        <f t="shared" si="7"/>
        <v>0</v>
      </c>
      <c r="H40" s="439">
        <f t="shared" si="8"/>
        <v>0</v>
      </c>
      <c r="I40" s="437"/>
      <c r="J40" s="441">
        <f>H40/DAY(B2)</f>
        <v>0</v>
      </c>
      <c r="K40" s="463"/>
      <c r="L40" s="416"/>
      <c r="N40" s="443"/>
      <c r="O40" s="444"/>
    </row>
    <row r="41" spans="1:15" ht="22.5" x14ac:dyDescent="0.4">
      <c r="A41" s="434" t="s">
        <v>167</v>
      </c>
      <c r="B41" s="435"/>
      <c r="C41" s="435"/>
      <c r="D41" s="436" t="s">
        <v>130</v>
      </c>
      <c r="E41" s="514">
        <v>489219.59</v>
      </c>
      <c r="F41" s="514">
        <v>491975.79</v>
      </c>
      <c r="G41" s="438">
        <f t="shared" si="7"/>
        <v>2756.1999999999534</v>
      </c>
      <c r="H41" s="439">
        <f t="shared" si="8"/>
        <v>2756.1999999999534</v>
      </c>
      <c r="I41" s="437"/>
      <c r="J41" s="441">
        <f>H41/DAY(B2)</f>
        <v>2756.1999999999534</v>
      </c>
      <c r="K41" s="457"/>
      <c r="L41" s="416"/>
      <c r="N41" s="443"/>
      <c r="O41" s="444"/>
    </row>
    <row r="42" spans="1:15" ht="22.5" x14ac:dyDescent="0.4">
      <c r="A42" s="434" t="s">
        <v>168</v>
      </c>
      <c r="B42" s="435"/>
      <c r="C42" s="435"/>
      <c r="D42" s="436" t="s">
        <v>130</v>
      </c>
      <c r="E42" s="514">
        <v>244183</v>
      </c>
      <c r="F42" s="514">
        <v>246138.83</v>
      </c>
      <c r="G42" s="438">
        <f t="shared" si="7"/>
        <v>1955.8299999999872</v>
      </c>
      <c r="H42" s="439">
        <f t="shared" si="8"/>
        <v>1955.8299999999872</v>
      </c>
      <c r="I42" s="437"/>
      <c r="J42" s="441">
        <f>H42/DAY(B2)</f>
        <v>1955.8299999999872</v>
      </c>
      <c r="K42" s="457"/>
      <c r="L42" s="416"/>
      <c r="N42" s="443"/>
      <c r="O42" s="444"/>
    </row>
    <row r="43" spans="1:15" ht="22.5" x14ac:dyDescent="0.4">
      <c r="A43" s="434" t="s">
        <v>169</v>
      </c>
      <c r="B43" s="435"/>
      <c r="C43" s="435"/>
      <c r="D43" s="436" t="s">
        <v>130</v>
      </c>
      <c r="E43" s="514">
        <v>1363958</v>
      </c>
      <c r="F43" s="514">
        <v>1366224</v>
      </c>
      <c r="G43" s="438">
        <f t="shared" si="7"/>
        <v>2266</v>
      </c>
      <c r="H43" s="439">
        <f t="shared" si="8"/>
        <v>2266</v>
      </c>
      <c r="I43" s="437"/>
      <c r="J43" s="441">
        <f>H43/DAY(B2)</f>
        <v>2266</v>
      </c>
      <c r="K43" s="457"/>
      <c r="L43" s="416"/>
      <c r="N43" s="443"/>
      <c r="O43" s="444"/>
    </row>
    <row r="44" spans="1:15" ht="22.5" x14ac:dyDescent="0.4">
      <c r="A44" s="434" t="s">
        <v>170</v>
      </c>
      <c r="B44" s="435"/>
      <c r="C44" s="435"/>
      <c r="D44" s="436" t="s">
        <v>130</v>
      </c>
      <c r="E44" s="514">
        <v>0</v>
      </c>
      <c r="F44" s="514">
        <v>0</v>
      </c>
      <c r="G44" s="438">
        <f t="shared" si="7"/>
        <v>0</v>
      </c>
      <c r="H44" s="439">
        <f t="shared" si="8"/>
        <v>0</v>
      </c>
      <c r="I44" s="437"/>
      <c r="J44" s="441">
        <f>H44/DAY(B2)</f>
        <v>0</v>
      </c>
      <c r="K44" s="457"/>
      <c r="L44" s="416"/>
      <c r="N44" s="443"/>
      <c r="O44" s="444"/>
    </row>
    <row r="45" spans="1:15" ht="22.5" x14ac:dyDescent="0.4">
      <c r="A45" s="434" t="s">
        <v>171</v>
      </c>
      <c r="B45" s="435"/>
      <c r="C45" s="435"/>
      <c r="D45" s="436" t="s">
        <v>130</v>
      </c>
      <c r="E45" s="514">
        <v>0</v>
      </c>
      <c r="F45" s="514">
        <v>0</v>
      </c>
      <c r="G45" s="438">
        <f t="shared" si="7"/>
        <v>0</v>
      </c>
      <c r="H45" s="439">
        <f t="shared" si="8"/>
        <v>0</v>
      </c>
      <c r="I45" s="437"/>
      <c r="J45" s="441">
        <f>H45/DAY(B2)</f>
        <v>0</v>
      </c>
      <c r="K45" s="457"/>
      <c r="L45" s="416"/>
      <c r="N45" s="443"/>
      <c r="O45" s="444"/>
    </row>
    <row r="46" spans="1:15" ht="22.5" x14ac:dyDescent="0.4">
      <c r="A46" s="434" t="s">
        <v>172</v>
      </c>
      <c r="B46" s="435"/>
      <c r="C46" s="435"/>
      <c r="D46" s="436" t="s">
        <v>130</v>
      </c>
      <c r="E46" s="514">
        <v>0</v>
      </c>
      <c r="F46" s="514">
        <v>0</v>
      </c>
      <c r="G46" s="438">
        <f t="shared" si="7"/>
        <v>0</v>
      </c>
      <c r="H46" s="439">
        <f t="shared" si="8"/>
        <v>0</v>
      </c>
      <c r="I46" s="437"/>
      <c r="J46" s="441">
        <f>H46/DAY(B2)</f>
        <v>0</v>
      </c>
      <c r="K46" s="457"/>
      <c r="L46" s="416"/>
      <c r="N46" s="443"/>
      <c r="O46" s="444"/>
    </row>
    <row r="47" spans="1:15" ht="22.5" x14ac:dyDescent="0.4">
      <c r="A47" s="459" t="s">
        <v>173</v>
      </c>
      <c r="B47" s="460"/>
      <c r="C47" s="460"/>
      <c r="D47" s="427"/>
      <c r="E47" s="423"/>
      <c r="F47" s="423"/>
      <c r="G47" s="475">
        <f>G35+G36+G37+G38+G39+G40+G41+G42+G43+G44+G45+G46</f>
        <v>15594.23999999994</v>
      </c>
      <c r="H47" s="439">
        <f t="shared" si="8"/>
        <v>15594.23999999994</v>
      </c>
      <c r="I47" s="437"/>
      <c r="J47" s="441">
        <f>H47/DAY(B2)</f>
        <v>15594.23999999994</v>
      </c>
      <c r="K47" s="457"/>
      <c r="L47" s="416"/>
      <c r="N47" s="443"/>
      <c r="O47" s="444"/>
    </row>
    <row r="48" spans="1:15" ht="22.5" x14ac:dyDescent="0.4">
      <c r="A48" s="512" t="s">
        <v>174</v>
      </c>
      <c r="B48" s="513"/>
      <c r="C48" s="513"/>
      <c r="D48" s="431"/>
      <c r="E48" s="430"/>
      <c r="F48" s="430"/>
      <c r="G48" s="431"/>
      <c r="H48" s="431"/>
      <c r="I48" s="431"/>
      <c r="J48" s="432"/>
      <c r="K48" s="457"/>
      <c r="L48" s="416"/>
      <c r="N48" s="443"/>
      <c r="O48" s="444"/>
    </row>
    <row r="49" spans="1:15" ht="22.5" x14ac:dyDescent="0.4">
      <c r="A49" s="434" t="s">
        <v>161</v>
      </c>
      <c r="B49" s="519"/>
      <c r="C49" s="519"/>
      <c r="D49" s="436" t="s">
        <v>130</v>
      </c>
      <c r="E49" s="437">
        <v>141197</v>
      </c>
      <c r="F49" s="514">
        <v>145493.31</v>
      </c>
      <c r="G49" s="438">
        <f t="shared" ref="G49:G58" si="9">F49-E49</f>
        <v>4296.3099999999977</v>
      </c>
      <c r="H49" s="439">
        <f t="shared" ref="H49:H60" si="10">G49</f>
        <v>4296.3099999999977</v>
      </c>
      <c r="I49" s="437"/>
      <c r="J49" s="441">
        <f>H49/DAY(B2)</f>
        <v>4296.3099999999977</v>
      </c>
      <c r="K49" s="457"/>
      <c r="L49" s="416"/>
      <c r="N49" s="443"/>
      <c r="O49" s="444"/>
    </row>
    <row r="50" spans="1:15" ht="22.5" x14ac:dyDescent="0.4">
      <c r="A50" s="434" t="s">
        <v>175</v>
      </c>
      <c r="B50" s="519"/>
      <c r="C50" s="519"/>
      <c r="D50" s="436" t="s">
        <v>130</v>
      </c>
      <c r="E50" s="437">
        <v>643490</v>
      </c>
      <c r="F50" s="514">
        <v>644566.15</v>
      </c>
      <c r="G50" s="438">
        <f t="shared" si="9"/>
        <v>1076.1500000000233</v>
      </c>
      <c r="H50" s="439">
        <f t="shared" si="10"/>
        <v>1076.1500000000233</v>
      </c>
      <c r="I50" s="437"/>
      <c r="J50" s="441">
        <f>H50/DAY(B2)</f>
        <v>1076.1500000000233</v>
      </c>
      <c r="K50" s="457"/>
      <c r="L50" s="416"/>
      <c r="N50" s="443"/>
      <c r="O50" s="444"/>
    </row>
    <row r="51" spans="1:15" ht="22.5" x14ac:dyDescent="0.4">
      <c r="A51" s="434" t="s">
        <v>163</v>
      </c>
      <c r="B51" s="519"/>
      <c r="C51" s="519"/>
      <c r="D51" s="436" t="s">
        <v>130</v>
      </c>
      <c r="E51" s="437">
        <v>0</v>
      </c>
      <c r="F51" s="514">
        <v>0</v>
      </c>
      <c r="G51" s="438">
        <f t="shared" si="9"/>
        <v>0</v>
      </c>
      <c r="H51" s="439">
        <f t="shared" si="10"/>
        <v>0</v>
      </c>
      <c r="I51" s="437"/>
      <c r="J51" s="441">
        <f>H51/DAY(B2)</f>
        <v>0</v>
      </c>
      <c r="K51" s="457"/>
      <c r="L51" s="416"/>
      <c r="N51" s="443"/>
      <c r="O51" s="444"/>
    </row>
    <row r="52" spans="1:15" ht="22.5" x14ac:dyDescent="0.4">
      <c r="A52" s="434" t="s">
        <v>176</v>
      </c>
      <c r="B52" s="519"/>
      <c r="C52" s="519"/>
      <c r="D52" s="436" t="s">
        <v>130</v>
      </c>
      <c r="E52" s="437">
        <v>0</v>
      </c>
      <c r="F52" s="514">
        <v>0</v>
      </c>
      <c r="G52" s="438">
        <f t="shared" si="9"/>
        <v>0</v>
      </c>
      <c r="H52" s="439">
        <f t="shared" si="10"/>
        <v>0</v>
      </c>
      <c r="I52" s="437"/>
      <c r="J52" s="441">
        <f>H52/DAY(B2)</f>
        <v>0</v>
      </c>
      <c r="K52" s="457"/>
      <c r="L52" s="416"/>
      <c r="N52" s="443"/>
      <c r="O52" s="444"/>
    </row>
    <row r="53" spans="1:15" ht="22.5" x14ac:dyDescent="0.4">
      <c r="A53" s="434" t="s">
        <v>165</v>
      </c>
      <c r="B53" s="519"/>
      <c r="C53" s="519"/>
      <c r="D53" s="436" t="s">
        <v>130</v>
      </c>
      <c r="E53" s="437">
        <v>0</v>
      </c>
      <c r="F53" s="514">
        <v>0</v>
      </c>
      <c r="G53" s="438">
        <f t="shared" si="9"/>
        <v>0</v>
      </c>
      <c r="H53" s="439">
        <f t="shared" si="10"/>
        <v>0</v>
      </c>
      <c r="I53" s="437"/>
      <c r="J53" s="441">
        <f>H53/DAY(B2)</f>
        <v>0</v>
      </c>
      <c r="K53" s="457"/>
      <c r="L53" s="416"/>
      <c r="N53" s="443"/>
      <c r="O53" s="444"/>
    </row>
    <row r="54" spans="1:15" ht="22.5" x14ac:dyDescent="0.4">
      <c r="A54" s="434" t="s">
        <v>177</v>
      </c>
      <c r="B54" s="519"/>
      <c r="C54" s="519"/>
      <c r="D54" s="436" t="s">
        <v>130</v>
      </c>
      <c r="E54" s="437">
        <v>2732</v>
      </c>
      <c r="F54" s="514">
        <v>2736.05</v>
      </c>
      <c r="G54" s="438">
        <f t="shared" si="9"/>
        <v>4.0500000000001819</v>
      </c>
      <c r="H54" s="439">
        <f t="shared" si="10"/>
        <v>4.0500000000001819</v>
      </c>
      <c r="I54" s="437"/>
      <c r="J54" s="441">
        <f>H54/DAY(B2)</f>
        <v>4.0500000000001819</v>
      </c>
      <c r="K54" s="457"/>
      <c r="L54" s="416"/>
      <c r="N54" s="443"/>
      <c r="O54" s="444"/>
    </row>
    <row r="55" spans="1:15" ht="22.5" x14ac:dyDescent="0.4">
      <c r="A55" s="434" t="s">
        <v>178</v>
      </c>
      <c r="B55" s="519"/>
      <c r="C55" s="519"/>
      <c r="D55" s="436" t="s">
        <v>130</v>
      </c>
      <c r="E55" s="437">
        <v>307299</v>
      </c>
      <c r="F55" s="514">
        <v>307299.46999999997</v>
      </c>
      <c r="G55" s="438">
        <f t="shared" si="9"/>
        <v>0.46999999997206032</v>
      </c>
      <c r="H55" s="439">
        <f t="shared" si="10"/>
        <v>0.46999999997206032</v>
      </c>
      <c r="I55" s="437"/>
      <c r="J55" s="441">
        <f>H55/DAY(B2)</f>
        <v>0.46999999997206032</v>
      </c>
      <c r="K55" s="457"/>
      <c r="L55" s="416"/>
      <c r="N55" s="443"/>
      <c r="O55" s="444"/>
    </row>
    <row r="56" spans="1:15" ht="22.5" x14ac:dyDescent="0.4">
      <c r="A56" s="434" t="s">
        <v>179</v>
      </c>
      <c r="B56" s="519"/>
      <c r="C56" s="519"/>
      <c r="D56" s="436" t="s">
        <v>180</v>
      </c>
      <c r="E56" s="437">
        <v>741770</v>
      </c>
      <c r="F56" s="514">
        <v>743740.23</v>
      </c>
      <c r="G56" s="438">
        <f t="shared" si="9"/>
        <v>1970.2299999999814</v>
      </c>
      <c r="H56" s="439">
        <f t="shared" si="10"/>
        <v>1970.2299999999814</v>
      </c>
      <c r="I56" s="437"/>
      <c r="J56" s="441">
        <f>H56/DAY(B2)</f>
        <v>1970.2299999999814</v>
      </c>
      <c r="K56" s="433"/>
      <c r="L56" s="416"/>
      <c r="N56" s="443"/>
      <c r="O56" s="444"/>
    </row>
    <row r="57" spans="1:15" ht="22.5" x14ac:dyDescent="0.4">
      <c r="A57" s="434" t="s">
        <v>169</v>
      </c>
      <c r="B57" s="519"/>
      <c r="C57" s="519"/>
      <c r="D57" s="436" t="s">
        <v>130</v>
      </c>
      <c r="E57" s="437">
        <v>0</v>
      </c>
      <c r="F57" s="514">
        <v>0</v>
      </c>
      <c r="G57" s="438">
        <f t="shared" si="9"/>
        <v>0</v>
      </c>
      <c r="H57" s="439">
        <f t="shared" si="10"/>
        <v>0</v>
      </c>
      <c r="I57" s="437"/>
      <c r="J57" s="441">
        <f>H57/DAY(B2)</f>
        <v>0</v>
      </c>
      <c r="K57" s="457"/>
      <c r="L57" s="416"/>
      <c r="N57" s="443"/>
      <c r="O57" s="444"/>
    </row>
    <row r="58" spans="1:15" ht="22.5" x14ac:dyDescent="0.4">
      <c r="A58" s="434" t="s">
        <v>181</v>
      </c>
      <c r="B58" s="519"/>
      <c r="C58" s="519"/>
      <c r="D58" s="436" t="s">
        <v>130</v>
      </c>
      <c r="E58" s="437">
        <v>72155</v>
      </c>
      <c r="F58" s="514">
        <v>72367</v>
      </c>
      <c r="G58" s="438">
        <f t="shared" si="9"/>
        <v>212</v>
      </c>
      <c r="H58" s="439">
        <f t="shared" si="10"/>
        <v>212</v>
      </c>
      <c r="I58" s="437"/>
      <c r="J58" s="441">
        <f>H58/DAY(B2)</f>
        <v>212</v>
      </c>
      <c r="K58" s="457"/>
      <c r="L58" s="416"/>
      <c r="N58" s="443"/>
      <c r="O58" s="444"/>
    </row>
    <row r="59" spans="1:15" ht="22.5" x14ac:dyDescent="0.4">
      <c r="A59" s="459" t="s">
        <v>173</v>
      </c>
      <c r="B59" s="460"/>
      <c r="C59" s="460"/>
      <c r="D59" s="423"/>
      <c r="E59" s="423"/>
      <c r="F59" s="423"/>
      <c r="G59" s="475">
        <f>G49+G50+G51+G52+G53+G54+G55+G56+G57+G58</f>
        <v>7559.2099999999746</v>
      </c>
      <c r="H59" s="439">
        <f t="shared" si="10"/>
        <v>7559.2099999999746</v>
      </c>
      <c r="I59" s="437">
        <f>G7-G60</f>
        <v>-847.24999999995998</v>
      </c>
      <c r="J59" s="441">
        <f>H59/DAY(B2)</f>
        <v>7559.2099999999746</v>
      </c>
      <c r="K59" s="457"/>
      <c r="L59" s="416"/>
      <c r="N59" s="443"/>
      <c r="O59" s="444"/>
    </row>
    <row r="60" spans="1:15" ht="22.5" x14ac:dyDescent="0.4">
      <c r="A60" s="434"/>
      <c r="B60" s="435"/>
      <c r="C60" s="435"/>
      <c r="D60" s="423" t="s">
        <v>182</v>
      </c>
      <c r="E60" s="423"/>
      <c r="F60" s="423"/>
      <c r="G60" s="475">
        <f>G47+G59</f>
        <v>23153.449999999913</v>
      </c>
      <c r="H60" s="439">
        <f t="shared" si="10"/>
        <v>23153.449999999913</v>
      </c>
      <c r="I60" s="437">
        <f>G13-G60</f>
        <v>-23153.449999999913</v>
      </c>
      <c r="J60" s="441">
        <f>H60/DAY(B2)</f>
        <v>23153.449999999913</v>
      </c>
      <c r="K60" s="457"/>
      <c r="L60" s="416"/>
      <c r="N60" s="443"/>
      <c r="O60" s="444"/>
    </row>
    <row r="61" spans="1:15" s="525" customFormat="1" ht="22.5" x14ac:dyDescent="0.4">
      <c r="A61" s="697" t="s">
        <v>332</v>
      </c>
      <c r="B61" s="698"/>
      <c r="C61" s="699"/>
      <c r="D61" s="520"/>
      <c r="E61" s="520"/>
      <c r="F61" s="520"/>
      <c r="G61" s="521"/>
      <c r="H61" s="520"/>
      <c r="I61" s="520"/>
      <c r="J61" s="522"/>
      <c r="K61" s="523"/>
      <c r="L61" s="524"/>
      <c r="N61" s="443"/>
      <c r="O61" s="444"/>
    </row>
    <row r="62" spans="1:15" ht="22.5" x14ac:dyDescent="0.4">
      <c r="A62" s="677" t="s">
        <v>198</v>
      </c>
      <c r="B62" s="678"/>
      <c r="C62" s="679"/>
      <c r="D62" s="436" t="s">
        <v>142</v>
      </c>
      <c r="E62" s="474">
        <v>256353</v>
      </c>
      <c r="F62" s="474">
        <v>256451</v>
      </c>
      <c r="G62" s="438">
        <f t="shared" ref="G62:G63" si="11">F62-E62</f>
        <v>98</v>
      </c>
      <c r="H62" s="439">
        <f t="shared" ref="H62:H71" si="12">G62</f>
        <v>98</v>
      </c>
      <c r="I62" s="458"/>
      <c r="J62" s="441">
        <f>H62/DAY(B2)</f>
        <v>98</v>
      </c>
      <c r="K62" s="463"/>
      <c r="L62" s="416"/>
      <c r="N62" s="443"/>
      <c r="O62" s="444"/>
    </row>
    <row r="63" spans="1:15" ht="22.5" x14ac:dyDescent="0.4">
      <c r="A63" s="677" t="s">
        <v>199</v>
      </c>
      <c r="B63" s="678"/>
      <c r="C63" s="679"/>
      <c r="D63" s="436" t="s">
        <v>142</v>
      </c>
      <c r="E63" s="474">
        <v>202526</v>
      </c>
      <c r="F63" s="474">
        <v>202691</v>
      </c>
      <c r="G63" s="438">
        <f t="shared" si="11"/>
        <v>165</v>
      </c>
      <c r="H63" s="439">
        <f t="shared" si="12"/>
        <v>165</v>
      </c>
      <c r="I63" s="458"/>
      <c r="J63" s="441">
        <f>H63/DAY(B2)</f>
        <v>165</v>
      </c>
      <c r="K63" s="523"/>
      <c r="L63" s="416"/>
      <c r="N63" s="443"/>
      <c r="O63" s="444"/>
    </row>
    <row r="64" spans="1:15" ht="22.5" x14ac:dyDescent="0.4">
      <c r="A64" s="712" t="s">
        <v>200</v>
      </c>
      <c r="B64" s="713"/>
      <c r="C64" s="714"/>
      <c r="D64" s="436"/>
      <c r="E64" s="437">
        <v>0</v>
      </c>
      <c r="F64" s="474"/>
      <c r="G64" s="438">
        <f>G62+G63</f>
        <v>263</v>
      </c>
      <c r="H64" s="439">
        <f t="shared" si="12"/>
        <v>263</v>
      </c>
      <c r="I64" s="458"/>
      <c r="J64" s="441">
        <f>H64/DAY(B2)</f>
        <v>263</v>
      </c>
      <c r="K64" s="523"/>
      <c r="L64" s="416"/>
      <c r="N64" s="443"/>
      <c r="O64" s="444"/>
    </row>
    <row r="65" spans="1:15" ht="22.5" x14ac:dyDescent="0.4">
      <c r="A65" s="677" t="s">
        <v>201</v>
      </c>
      <c r="B65" s="678"/>
      <c r="C65" s="679"/>
      <c r="D65" s="436" t="s">
        <v>142</v>
      </c>
      <c r="E65" s="474">
        <v>423289</v>
      </c>
      <c r="F65" s="474">
        <v>423365</v>
      </c>
      <c r="G65" s="438">
        <f t="shared" ref="G65:G70" si="13">F65-E65</f>
        <v>76</v>
      </c>
      <c r="H65" s="439">
        <f t="shared" si="12"/>
        <v>76</v>
      </c>
      <c r="I65" s="458"/>
      <c r="J65" s="441">
        <f>H65/DAY(B2)</f>
        <v>76</v>
      </c>
      <c r="K65" s="523"/>
      <c r="L65" s="416"/>
      <c r="N65" s="443"/>
      <c r="O65" s="444"/>
    </row>
    <row r="66" spans="1:15" ht="22.5" x14ac:dyDescent="0.4">
      <c r="A66" s="464" t="s">
        <v>202</v>
      </c>
      <c r="B66" s="465"/>
      <c r="C66" s="465"/>
      <c r="D66" s="436" t="s">
        <v>142</v>
      </c>
      <c r="E66" s="474">
        <v>105314</v>
      </c>
      <c r="F66" s="474">
        <v>105338</v>
      </c>
      <c r="G66" s="438">
        <f t="shared" si="13"/>
        <v>24</v>
      </c>
      <c r="H66" s="439">
        <f t="shared" si="12"/>
        <v>24</v>
      </c>
      <c r="I66" s="458"/>
      <c r="J66" s="441">
        <f>H66/DAY(B2)</f>
        <v>24</v>
      </c>
      <c r="K66" s="433"/>
      <c r="L66" s="416"/>
      <c r="N66" s="443"/>
      <c r="O66" s="444"/>
    </row>
    <row r="67" spans="1:15" ht="22.5" x14ac:dyDescent="0.4">
      <c r="A67" s="464" t="s">
        <v>203</v>
      </c>
      <c r="B67" s="465"/>
      <c r="C67" s="465"/>
      <c r="D67" s="436" t="s">
        <v>142</v>
      </c>
      <c r="E67" s="474">
        <v>101284</v>
      </c>
      <c r="F67" s="474">
        <v>101313</v>
      </c>
      <c r="G67" s="438">
        <f t="shared" si="13"/>
        <v>29</v>
      </c>
      <c r="H67" s="439">
        <f t="shared" si="12"/>
        <v>29</v>
      </c>
      <c r="I67" s="458"/>
      <c r="J67" s="441">
        <f>H67/DAY(B2)</f>
        <v>29</v>
      </c>
      <c r="K67" s="526"/>
      <c r="L67" s="416"/>
      <c r="N67" s="443"/>
      <c r="O67" s="444"/>
    </row>
    <row r="68" spans="1:15" ht="22.5" x14ac:dyDescent="0.4">
      <c r="A68" s="464" t="s">
        <v>204</v>
      </c>
      <c r="B68" s="465"/>
      <c r="C68" s="465"/>
      <c r="D68" s="436" t="s">
        <v>142</v>
      </c>
      <c r="E68" s="474">
        <v>153113</v>
      </c>
      <c r="F68" s="474">
        <v>153144</v>
      </c>
      <c r="G68" s="438">
        <f t="shared" si="13"/>
        <v>31</v>
      </c>
      <c r="H68" s="439">
        <f t="shared" si="12"/>
        <v>31</v>
      </c>
      <c r="I68" s="458"/>
      <c r="J68" s="441">
        <f>H68/DAY(B2)</f>
        <v>31</v>
      </c>
      <c r="K68" s="523"/>
      <c r="L68" s="416"/>
      <c r="N68" s="443"/>
      <c r="O68" s="444"/>
    </row>
    <row r="69" spans="1:15" ht="22.5" x14ac:dyDescent="0.4">
      <c r="A69" s="464" t="s">
        <v>205</v>
      </c>
      <c r="B69" s="465"/>
      <c r="C69" s="465"/>
      <c r="D69" s="436" t="s">
        <v>142</v>
      </c>
      <c r="E69" s="474">
        <v>9057</v>
      </c>
      <c r="F69" s="474">
        <v>9066</v>
      </c>
      <c r="G69" s="438">
        <f t="shared" si="13"/>
        <v>9</v>
      </c>
      <c r="H69" s="439">
        <f t="shared" si="12"/>
        <v>9</v>
      </c>
      <c r="I69" s="458"/>
      <c r="J69" s="441">
        <f>H69/DAY(B2)</f>
        <v>9</v>
      </c>
      <c r="K69" s="523"/>
      <c r="L69" s="416"/>
      <c r="N69" s="443"/>
      <c r="O69" s="444"/>
    </row>
    <row r="70" spans="1:15" ht="22.5" x14ac:dyDescent="0.4">
      <c r="A70" s="464" t="s">
        <v>206</v>
      </c>
      <c r="B70" s="465"/>
      <c r="C70" s="465"/>
      <c r="D70" s="436" t="s">
        <v>142</v>
      </c>
      <c r="E70" s="474">
        <v>6804</v>
      </c>
      <c r="F70" s="474">
        <v>6814</v>
      </c>
      <c r="G70" s="438">
        <f t="shared" si="13"/>
        <v>10</v>
      </c>
      <c r="H70" s="439">
        <f t="shared" si="12"/>
        <v>10</v>
      </c>
      <c r="I70" s="458"/>
      <c r="J70" s="441">
        <f>H70/DAY(B2)</f>
        <v>10</v>
      </c>
      <c r="K70" s="523"/>
      <c r="L70" s="416"/>
      <c r="N70" s="443"/>
      <c r="O70" s="444"/>
    </row>
    <row r="71" spans="1:15" ht="22.5" x14ac:dyDescent="0.4">
      <c r="A71" s="712" t="s">
        <v>208</v>
      </c>
      <c r="B71" s="713"/>
      <c r="C71" s="714"/>
      <c r="D71" s="471"/>
      <c r="E71" s="437">
        <v>0</v>
      </c>
      <c r="F71" s="471"/>
      <c r="G71" s="527">
        <f>SUM(G65:G70)</f>
        <v>179</v>
      </c>
      <c r="H71" s="439">
        <f t="shared" si="12"/>
        <v>179</v>
      </c>
      <c r="I71" s="528"/>
      <c r="J71" s="441">
        <f>H71/DAY(B2)</f>
        <v>179</v>
      </c>
      <c r="K71" s="523"/>
      <c r="L71" s="416"/>
      <c r="N71" s="443"/>
      <c r="O71" s="444"/>
    </row>
    <row r="72" spans="1:15" s="488" customFormat="1" ht="22.5" x14ac:dyDescent="0.4">
      <c r="A72" s="719"/>
      <c r="B72" s="668"/>
      <c r="C72" s="529"/>
      <c r="D72" s="530"/>
      <c r="E72" s="530" t="s">
        <v>207</v>
      </c>
      <c r="F72" s="530"/>
      <c r="G72" s="530"/>
      <c r="H72" s="531"/>
      <c r="I72" s="530"/>
      <c r="J72" s="532"/>
      <c r="N72" s="443"/>
      <c r="O72" s="444"/>
    </row>
    <row r="73" spans="1:15" ht="22.5" x14ac:dyDescent="0.4">
      <c r="A73" s="697" t="s">
        <v>333</v>
      </c>
      <c r="B73" s="698"/>
      <c r="C73" s="699"/>
      <c r="D73" s="520"/>
      <c r="E73" s="520"/>
      <c r="F73" s="520"/>
      <c r="G73" s="533"/>
      <c r="H73" s="533"/>
      <c r="I73" s="533"/>
      <c r="J73" s="534"/>
      <c r="K73" s="523"/>
      <c r="L73" s="416"/>
      <c r="N73" s="443"/>
      <c r="O73" s="444"/>
    </row>
    <row r="74" spans="1:15" ht="22.5" x14ac:dyDescent="0.4">
      <c r="A74" s="677" t="s">
        <v>220</v>
      </c>
      <c r="B74" s="678"/>
      <c r="C74" s="679"/>
      <c r="D74" s="436" t="s">
        <v>139</v>
      </c>
      <c r="E74" s="455">
        <v>864508</v>
      </c>
      <c r="F74" s="466">
        <v>864794.61</v>
      </c>
      <c r="G74" s="438">
        <f t="shared" ref="G74:G78" si="14">F74-E74</f>
        <v>286.60999999998603</v>
      </c>
      <c r="H74" s="439">
        <f t="shared" ref="H74:H79" si="15">G74</f>
        <v>286.60999999998603</v>
      </c>
      <c r="I74" s="528"/>
      <c r="J74" s="441">
        <f>H74/DAY(B2)</f>
        <v>286.60999999998603</v>
      </c>
      <c r="K74" s="523"/>
      <c r="L74" s="416"/>
      <c r="N74" s="443"/>
      <c r="O74" s="444"/>
    </row>
    <row r="75" spans="1:15" ht="22.5" x14ac:dyDescent="0.4">
      <c r="A75" s="677" t="s">
        <v>221</v>
      </c>
      <c r="B75" s="678"/>
      <c r="C75" s="679"/>
      <c r="D75" s="436" t="s">
        <v>139</v>
      </c>
      <c r="E75" s="455">
        <v>73583.399999999994</v>
      </c>
      <c r="F75" s="466">
        <v>73583.399999999994</v>
      </c>
      <c r="G75" s="438">
        <f t="shared" si="14"/>
        <v>0</v>
      </c>
      <c r="H75" s="439">
        <f t="shared" si="15"/>
        <v>0</v>
      </c>
      <c r="I75" s="528"/>
      <c r="J75" s="441">
        <f>H75/DAY(B2)</f>
        <v>0</v>
      </c>
      <c r="K75" s="523"/>
      <c r="L75" s="416"/>
      <c r="N75" s="443"/>
      <c r="O75" s="444"/>
    </row>
    <row r="76" spans="1:15" ht="22.5" x14ac:dyDescent="0.4">
      <c r="A76" s="700" t="s">
        <v>222</v>
      </c>
      <c r="B76" s="701"/>
      <c r="C76" s="702"/>
      <c r="D76" s="436" t="s">
        <v>139</v>
      </c>
      <c r="E76" s="455">
        <v>156812</v>
      </c>
      <c r="F76" s="466">
        <v>156937.32</v>
      </c>
      <c r="G76" s="438">
        <f t="shared" si="14"/>
        <v>125.32000000000698</v>
      </c>
      <c r="H76" s="439">
        <f t="shared" si="15"/>
        <v>125.32000000000698</v>
      </c>
      <c r="I76" s="528"/>
      <c r="J76" s="441">
        <f>H76/DAY(B2)</f>
        <v>125.32000000000698</v>
      </c>
      <c r="K76" s="523"/>
      <c r="L76" s="416"/>
      <c r="N76" s="443"/>
      <c r="O76" s="444"/>
    </row>
    <row r="77" spans="1:15" ht="22.5" x14ac:dyDescent="0.4">
      <c r="A77" s="700" t="s">
        <v>223</v>
      </c>
      <c r="B77" s="701"/>
      <c r="C77" s="702"/>
      <c r="D77" s="436" t="s">
        <v>139</v>
      </c>
      <c r="E77" s="455">
        <v>36004</v>
      </c>
      <c r="F77" s="466">
        <v>36058.800000000003</v>
      </c>
      <c r="G77" s="438">
        <f t="shared" si="14"/>
        <v>54.80000000000291</v>
      </c>
      <c r="H77" s="439">
        <f t="shared" si="15"/>
        <v>54.80000000000291</v>
      </c>
      <c r="I77" s="528"/>
      <c r="J77" s="441">
        <f>H77/DAY(B2)</f>
        <v>54.80000000000291</v>
      </c>
      <c r="K77" s="523"/>
      <c r="L77" s="416"/>
      <c r="N77" s="443"/>
      <c r="O77" s="444"/>
    </row>
    <row r="78" spans="1:15" ht="22.5" x14ac:dyDescent="0.4">
      <c r="A78" s="700" t="s">
        <v>224</v>
      </c>
      <c r="B78" s="701"/>
      <c r="C78" s="702"/>
      <c r="D78" s="436" t="s">
        <v>139</v>
      </c>
      <c r="E78" s="455">
        <v>9248</v>
      </c>
      <c r="F78" s="466">
        <v>9249.7000000000007</v>
      </c>
      <c r="G78" s="438">
        <f t="shared" si="14"/>
        <v>1.7000000000007276</v>
      </c>
      <c r="H78" s="439">
        <f t="shared" si="15"/>
        <v>1.7000000000007276</v>
      </c>
      <c r="I78" s="458"/>
      <c r="J78" s="441">
        <f>H78/DAY(B2)</f>
        <v>1.7000000000007276</v>
      </c>
      <c r="K78" s="523"/>
      <c r="L78" s="416"/>
      <c r="N78" s="443"/>
      <c r="O78" s="444"/>
    </row>
    <row r="79" spans="1:15" ht="22.5" x14ac:dyDescent="0.4">
      <c r="A79" s="700" t="s">
        <v>225</v>
      </c>
      <c r="B79" s="701"/>
      <c r="C79" s="702"/>
      <c r="D79" s="436"/>
      <c r="E79" s="437">
        <v>0</v>
      </c>
      <c r="F79" s="466"/>
      <c r="G79" s="438">
        <f>G15-SUM(G74:G78)</f>
        <v>512.57000000000335</v>
      </c>
      <c r="H79" s="439">
        <f t="shared" si="15"/>
        <v>512.57000000000335</v>
      </c>
      <c r="I79" s="458"/>
      <c r="J79" s="441"/>
      <c r="K79" s="523"/>
      <c r="L79" s="416"/>
      <c r="N79" s="443"/>
      <c r="O79" s="444"/>
    </row>
    <row r="80" spans="1:15" ht="22.5" x14ac:dyDescent="0.4">
      <c r="A80" s="712" t="s">
        <v>329</v>
      </c>
      <c r="B80" s="713"/>
      <c r="C80" s="714"/>
      <c r="D80" s="436"/>
      <c r="E80" s="455"/>
      <c r="F80" s="455"/>
      <c r="G80" s="438">
        <f>SUM(G74:G79)</f>
        <v>981</v>
      </c>
      <c r="H80" s="439"/>
      <c r="I80" s="458"/>
      <c r="J80" s="441"/>
      <c r="K80" s="523"/>
      <c r="L80" s="416"/>
      <c r="N80" s="443"/>
      <c r="O80" s="444"/>
    </row>
    <row r="81" spans="1:15" ht="22.5" x14ac:dyDescent="0.4">
      <c r="A81" s="691" t="s">
        <v>226</v>
      </c>
      <c r="B81" s="692"/>
      <c r="C81" s="693"/>
      <c r="D81" s="430"/>
      <c r="E81" s="430"/>
      <c r="F81" s="430"/>
      <c r="G81" s="535"/>
      <c r="H81" s="535"/>
      <c r="I81" s="535"/>
      <c r="J81" s="536"/>
      <c r="O81" s="444"/>
    </row>
    <row r="82" spans="1:15" ht="22.5" x14ac:dyDescent="0.4">
      <c r="A82" s="464" t="s">
        <v>227</v>
      </c>
      <c r="B82" s="465"/>
      <c r="C82" s="465"/>
      <c r="D82" s="436" t="s">
        <v>228</v>
      </c>
      <c r="E82" s="474">
        <v>0</v>
      </c>
      <c r="F82" s="474">
        <v>0</v>
      </c>
      <c r="G82" s="438">
        <f t="shared" ref="G82:G92" si="16">F82-E82</f>
        <v>0</v>
      </c>
      <c r="H82" s="439">
        <f t="shared" ref="H82:H92" si="17">G82</f>
        <v>0</v>
      </c>
      <c r="I82" s="458"/>
      <c r="J82" s="441">
        <f>H82/DAY(B2)</f>
        <v>0</v>
      </c>
      <c r="O82" s="444"/>
    </row>
    <row r="83" spans="1:15" ht="22.5" x14ac:dyDescent="0.4">
      <c r="A83" s="464" t="s">
        <v>229</v>
      </c>
      <c r="B83" s="465"/>
      <c r="C83" s="465"/>
      <c r="D83" s="436" t="s">
        <v>228</v>
      </c>
      <c r="E83" s="474">
        <v>0</v>
      </c>
      <c r="F83" s="474">
        <v>0</v>
      </c>
      <c r="G83" s="438">
        <f t="shared" si="16"/>
        <v>0</v>
      </c>
      <c r="H83" s="439">
        <f t="shared" si="17"/>
        <v>0</v>
      </c>
      <c r="I83" s="458"/>
      <c r="J83" s="441">
        <f>H83/DAY(B2)</f>
        <v>0</v>
      </c>
      <c r="O83" s="444"/>
    </row>
    <row r="84" spans="1:15" ht="22.5" x14ac:dyDescent="0.4">
      <c r="A84" s="464" t="s">
        <v>230</v>
      </c>
      <c r="B84" s="465"/>
      <c r="C84" s="465"/>
      <c r="D84" s="436" t="s">
        <v>228</v>
      </c>
      <c r="E84" s="537">
        <v>41162</v>
      </c>
      <c r="F84" s="537">
        <v>41173.42</v>
      </c>
      <c r="G84" s="438">
        <f t="shared" si="16"/>
        <v>11.419999999998254</v>
      </c>
      <c r="H84" s="439">
        <f t="shared" si="17"/>
        <v>11.419999999998254</v>
      </c>
      <c r="I84" s="458"/>
      <c r="J84" s="441">
        <f>H84/DAY(B2)</f>
        <v>11.419999999998254</v>
      </c>
      <c r="O84" s="444"/>
    </row>
    <row r="85" spans="1:15" ht="22.5" x14ac:dyDescent="0.4">
      <c r="A85" s="464" t="s">
        <v>231</v>
      </c>
      <c r="B85" s="465"/>
      <c r="C85" s="465"/>
      <c r="D85" s="436" t="s">
        <v>228</v>
      </c>
      <c r="E85" s="537">
        <v>1179</v>
      </c>
      <c r="F85" s="537">
        <v>1187.3699999999999</v>
      </c>
      <c r="G85" s="438">
        <f t="shared" si="16"/>
        <v>8.3699999999998909</v>
      </c>
      <c r="H85" s="439">
        <f t="shared" si="17"/>
        <v>8.3699999999998909</v>
      </c>
      <c r="I85" s="458">
        <f>G82+G83+G84+G85</f>
        <v>19.789999999998145</v>
      </c>
      <c r="J85" s="441">
        <f>H85/DAY(B2)</f>
        <v>8.3699999999998909</v>
      </c>
      <c r="O85" s="444"/>
    </row>
    <row r="86" spans="1:15" ht="22.5" x14ac:dyDescent="0.4">
      <c r="A86" s="464" t="s">
        <v>232</v>
      </c>
      <c r="B86" s="465"/>
      <c r="C86" s="465"/>
      <c r="D86" s="436" t="s">
        <v>228</v>
      </c>
      <c r="E86" s="537">
        <v>42826</v>
      </c>
      <c r="F86" s="537">
        <v>42826.47</v>
      </c>
      <c r="G86" s="438">
        <f t="shared" si="16"/>
        <v>0.47000000000116415</v>
      </c>
      <c r="H86" s="439">
        <f t="shared" si="17"/>
        <v>0.47000000000116415</v>
      </c>
      <c r="I86" s="458"/>
      <c r="J86" s="441">
        <f>H86/DAY(B2)</f>
        <v>0.47000000000116415</v>
      </c>
      <c r="O86" s="444"/>
    </row>
    <row r="87" spans="1:15" ht="22.5" x14ac:dyDescent="0.4">
      <c r="A87" s="464" t="s">
        <v>233</v>
      </c>
      <c r="B87" s="465"/>
      <c r="C87" s="465"/>
      <c r="D87" s="436" t="s">
        <v>228</v>
      </c>
      <c r="E87" s="537">
        <v>33314</v>
      </c>
      <c r="F87" s="537">
        <v>33323.519999999997</v>
      </c>
      <c r="G87" s="438">
        <f t="shared" si="16"/>
        <v>9.5199999999967986</v>
      </c>
      <c r="H87" s="439">
        <f t="shared" si="17"/>
        <v>9.5199999999967986</v>
      </c>
      <c r="I87" s="458"/>
      <c r="J87" s="441">
        <f>H87/DAY(B2)</f>
        <v>9.5199999999967986</v>
      </c>
      <c r="O87" s="444"/>
    </row>
    <row r="88" spans="1:15" ht="22.5" x14ac:dyDescent="0.4">
      <c r="A88" s="464" t="s">
        <v>234</v>
      </c>
      <c r="B88" s="465"/>
      <c r="C88" s="465"/>
      <c r="D88" s="436" t="s">
        <v>228</v>
      </c>
      <c r="E88" s="537">
        <v>23590.97</v>
      </c>
      <c r="F88" s="537">
        <v>23590.97</v>
      </c>
      <c r="G88" s="438">
        <f t="shared" si="16"/>
        <v>0</v>
      </c>
      <c r="H88" s="439">
        <f t="shared" si="17"/>
        <v>0</v>
      </c>
      <c r="I88" s="458">
        <f>G86+G87+G88</f>
        <v>9.9899999999979627</v>
      </c>
      <c r="J88" s="441">
        <f>H88/DAY(B2)</f>
        <v>0</v>
      </c>
      <c r="O88" s="444"/>
    </row>
    <row r="89" spans="1:15" ht="22.5" x14ac:dyDescent="0.4">
      <c r="A89" s="464" t="s">
        <v>235</v>
      </c>
      <c r="B89" s="465"/>
      <c r="C89" s="465"/>
      <c r="D89" s="436" t="s">
        <v>228</v>
      </c>
      <c r="E89" s="537">
        <v>25187.37</v>
      </c>
      <c r="F89" s="537">
        <v>25198.69</v>
      </c>
      <c r="G89" s="438">
        <f t="shared" si="16"/>
        <v>11.319999999999709</v>
      </c>
      <c r="H89" s="439">
        <f t="shared" si="17"/>
        <v>11.319999999999709</v>
      </c>
      <c r="I89" s="458"/>
      <c r="J89" s="441">
        <f>H89/DAY(B2)</f>
        <v>11.319999999999709</v>
      </c>
      <c r="O89" s="444"/>
    </row>
    <row r="90" spans="1:15" ht="22.5" x14ac:dyDescent="0.4">
      <c r="A90" s="464" t="s">
        <v>236</v>
      </c>
      <c r="B90" s="465"/>
      <c r="C90" s="465"/>
      <c r="D90" s="436" t="s">
        <v>228</v>
      </c>
      <c r="E90" s="537">
        <v>70532.98</v>
      </c>
      <c r="F90" s="537">
        <v>70532.98</v>
      </c>
      <c r="G90" s="438">
        <f t="shared" si="16"/>
        <v>0</v>
      </c>
      <c r="H90" s="439">
        <f t="shared" si="17"/>
        <v>0</v>
      </c>
      <c r="I90" s="458">
        <f>G89+G90</f>
        <v>11.319999999999709</v>
      </c>
      <c r="J90" s="441">
        <f>H90/DAY(B2)</f>
        <v>0</v>
      </c>
      <c r="O90" s="444"/>
    </row>
    <row r="91" spans="1:15" ht="22.5" x14ac:dyDescent="0.4">
      <c r="A91" s="464" t="s">
        <v>237</v>
      </c>
      <c r="B91" s="465"/>
      <c r="C91" s="465"/>
      <c r="D91" s="436" t="s">
        <v>228</v>
      </c>
      <c r="E91" s="474">
        <v>2925.87</v>
      </c>
      <c r="F91" s="474">
        <v>2936.41</v>
      </c>
      <c r="G91" s="438">
        <f t="shared" si="16"/>
        <v>10.539999999999964</v>
      </c>
      <c r="H91" s="439">
        <f t="shared" si="17"/>
        <v>10.539999999999964</v>
      </c>
      <c r="I91" s="538"/>
      <c r="J91" s="441">
        <f>H91/DAY(B2)</f>
        <v>10.539999999999964</v>
      </c>
      <c r="O91" s="444"/>
    </row>
    <row r="92" spans="1:15" ht="22.5" x14ac:dyDescent="0.4">
      <c r="A92" s="464" t="s">
        <v>238</v>
      </c>
      <c r="B92" s="465"/>
      <c r="C92" s="465"/>
      <c r="D92" s="436" t="s">
        <v>228</v>
      </c>
      <c r="E92" s="474">
        <v>4758</v>
      </c>
      <c r="F92" s="474">
        <v>4758</v>
      </c>
      <c r="G92" s="438">
        <f t="shared" si="16"/>
        <v>0</v>
      </c>
      <c r="H92" s="439">
        <f t="shared" si="17"/>
        <v>0</v>
      </c>
      <c r="I92" s="538"/>
      <c r="J92" s="441">
        <f>H92/DAY(B2)</f>
        <v>0</v>
      </c>
      <c r="O92" s="444"/>
    </row>
    <row r="93" spans="1:15" ht="22.5" x14ac:dyDescent="0.4">
      <c r="A93" s="694" t="s">
        <v>239</v>
      </c>
      <c r="B93" s="695"/>
      <c r="C93" s="696"/>
      <c r="D93" s="431"/>
      <c r="E93" s="431"/>
      <c r="F93" s="431"/>
      <c r="G93" s="462"/>
      <c r="H93" s="462"/>
      <c r="I93" s="462"/>
      <c r="J93" s="539"/>
      <c r="K93" s="523"/>
      <c r="L93" s="416"/>
      <c r="O93" s="444"/>
    </row>
    <row r="94" spans="1:15" ht="22.5" x14ac:dyDescent="0.4">
      <c r="A94" s="677" t="s">
        <v>240</v>
      </c>
      <c r="B94" s="678"/>
      <c r="C94" s="679"/>
      <c r="D94" s="436" t="s">
        <v>130</v>
      </c>
      <c r="E94" s="436"/>
      <c r="F94" s="436"/>
      <c r="G94" s="439">
        <f>G35+G43+G49+G57</f>
        <v>6562.3099999999977</v>
      </c>
      <c r="H94" s="439">
        <f t="shared" ref="H94:H105" si="18">G94</f>
        <v>6562.3099999999977</v>
      </c>
      <c r="I94" s="458"/>
      <c r="J94" s="441">
        <f>H94/DAY(B2)</f>
        <v>6562.3099999999977</v>
      </c>
      <c r="K94" s="523"/>
      <c r="L94" s="416"/>
      <c r="O94" s="444"/>
    </row>
    <row r="95" spans="1:15" ht="22.5" x14ac:dyDescent="0.4">
      <c r="A95" s="677" t="s">
        <v>241</v>
      </c>
      <c r="B95" s="678"/>
      <c r="C95" s="679"/>
      <c r="D95" s="436" t="s">
        <v>23</v>
      </c>
      <c r="E95" s="423"/>
      <c r="F95" s="423"/>
      <c r="G95" s="540">
        <f>G94/G7</f>
        <v>0.29419219768494909</v>
      </c>
      <c r="H95" s="439">
        <f t="shared" si="18"/>
        <v>0.29419219768494909</v>
      </c>
      <c r="I95" s="541"/>
      <c r="J95" s="441">
        <f>H95/DAY(B2)</f>
        <v>0.29419219768494909</v>
      </c>
      <c r="K95" s="523"/>
      <c r="L95" s="416"/>
      <c r="O95" s="444"/>
    </row>
    <row r="96" spans="1:15" ht="22.5" x14ac:dyDescent="0.4">
      <c r="A96" s="677" t="s">
        <v>242</v>
      </c>
      <c r="B96" s="678"/>
      <c r="C96" s="679"/>
      <c r="D96" s="436" t="s">
        <v>130</v>
      </c>
      <c r="E96" s="437"/>
      <c r="F96" s="437"/>
      <c r="G96" s="439">
        <f>G41+G42+G55+G56</f>
        <v>6682.7299999998941</v>
      </c>
      <c r="H96" s="439">
        <f t="shared" si="18"/>
        <v>6682.7299999998941</v>
      </c>
      <c r="I96" s="458"/>
      <c r="J96" s="441">
        <f>H96/DAY(B2)</f>
        <v>6682.7299999998941</v>
      </c>
      <c r="K96" s="523"/>
      <c r="L96" s="416"/>
      <c r="O96" s="444"/>
    </row>
    <row r="97" spans="1:15" ht="22.5" x14ac:dyDescent="0.4">
      <c r="A97" s="677" t="s">
        <v>243</v>
      </c>
      <c r="B97" s="678"/>
      <c r="C97" s="679"/>
      <c r="D97" s="436" t="s">
        <v>23</v>
      </c>
      <c r="E97" s="437"/>
      <c r="F97" s="437"/>
      <c r="G97" s="540">
        <f>G96/G7</f>
        <v>0.29959069675695132</v>
      </c>
      <c r="H97" s="439">
        <f t="shared" si="18"/>
        <v>0.29959069675695132</v>
      </c>
      <c r="I97" s="541"/>
      <c r="J97" s="441">
        <f>H97/DAY(B2)</f>
        <v>0.29959069675695132</v>
      </c>
      <c r="K97" s="523"/>
      <c r="L97" s="416"/>
      <c r="O97" s="444"/>
    </row>
    <row r="98" spans="1:15" ht="22.5" x14ac:dyDescent="0.4">
      <c r="A98" s="677" t="s">
        <v>244</v>
      </c>
      <c r="B98" s="678"/>
      <c r="C98" s="679"/>
      <c r="D98" s="436" t="s">
        <v>130</v>
      </c>
      <c r="E98" s="437"/>
      <c r="F98" s="437"/>
      <c r="G98" s="439">
        <f>G39+G53</f>
        <v>4013.7799999999988</v>
      </c>
      <c r="H98" s="439">
        <f t="shared" si="18"/>
        <v>4013.7799999999988</v>
      </c>
      <c r="I98" s="542"/>
      <c r="J98" s="441">
        <f>H98/DAY(B2)</f>
        <v>4013.7799999999988</v>
      </c>
      <c r="K98" s="523"/>
      <c r="L98" s="416"/>
      <c r="O98" s="444"/>
    </row>
    <row r="99" spans="1:15" ht="22.5" x14ac:dyDescent="0.4">
      <c r="A99" s="677" t="s">
        <v>245</v>
      </c>
      <c r="B99" s="678"/>
      <c r="C99" s="679"/>
      <c r="D99" s="436" t="s">
        <v>23</v>
      </c>
      <c r="E99" s="437"/>
      <c r="F99" s="437"/>
      <c r="G99" s="540">
        <f>G98/G7</f>
        <v>0.17994010633814847</v>
      </c>
      <c r="H99" s="439">
        <f t="shared" si="18"/>
        <v>0.17994010633814847</v>
      </c>
      <c r="I99" s="542"/>
      <c r="J99" s="441">
        <f>H99/DAY(B2)</f>
        <v>0.17994010633814847</v>
      </c>
      <c r="O99" s="444"/>
    </row>
    <row r="100" spans="1:15" ht="22.5" x14ac:dyDescent="0.4">
      <c r="A100" s="677" t="s">
        <v>246</v>
      </c>
      <c r="B100" s="678"/>
      <c r="C100" s="679"/>
      <c r="D100" s="436" t="s">
        <v>180</v>
      </c>
      <c r="E100" s="437"/>
      <c r="F100" s="437"/>
      <c r="G100" s="439">
        <f>G38+G52</f>
        <v>1899.2200000000012</v>
      </c>
      <c r="H100" s="439">
        <f t="shared" si="18"/>
        <v>1899.2200000000012</v>
      </c>
      <c r="I100" s="458"/>
      <c r="J100" s="441">
        <f>H100/DAY(B2)</f>
        <v>1899.2200000000012</v>
      </c>
      <c r="K100" s="543"/>
      <c r="O100" s="444"/>
    </row>
    <row r="101" spans="1:15" ht="22.5" x14ac:dyDescent="0.4">
      <c r="A101" s="677" t="s">
        <v>247</v>
      </c>
      <c r="B101" s="678"/>
      <c r="C101" s="679"/>
      <c r="D101" s="436" t="s">
        <v>23</v>
      </c>
      <c r="E101" s="437"/>
      <c r="F101" s="437"/>
      <c r="G101" s="540">
        <f>G100/G7</f>
        <v>8.5143144058602765E-2</v>
      </c>
      <c r="H101" s="439">
        <f t="shared" si="18"/>
        <v>8.5143144058602765E-2</v>
      </c>
      <c r="I101" s="542"/>
      <c r="J101" s="441">
        <f>H101/DAY(B2)</f>
        <v>8.5143144058602765E-2</v>
      </c>
      <c r="O101" s="444"/>
    </row>
    <row r="102" spans="1:15" ht="22.5" x14ac:dyDescent="0.4">
      <c r="A102" s="677" t="s">
        <v>248</v>
      </c>
      <c r="B102" s="678"/>
      <c r="C102" s="679"/>
      <c r="D102" s="436" t="s">
        <v>180</v>
      </c>
      <c r="E102" s="437"/>
      <c r="F102" s="437"/>
      <c r="G102" s="439">
        <f>G36+G50</f>
        <v>2021.0500000000247</v>
      </c>
      <c r="H102" s="439">
        <f t="shared" si="18"/>
        <v>2021.0500000000247</v>
      </c>
      <c r="I102" s="542"/>
      <c r="J102" s="441">
        <f>H102/DAY(B2)</f>
        <v>2021.0500000000247</v>
      </c>
      <c r="O102" s="444"/>
    </row>
    <row r="103" spans="1:15" ht="22.5" x14ac:dyDescent="0.4">
      <c r="A103" s="677" t="s">
        <v>249</v>
      </c>
      <c r="B103" s="678"/>
      <c r="C103" s="679"/>
      <c r="D103" s="436" t="s">
        <v>23</v>
      </c>
      <c r="E103" s="437"/>
      <c r="F103" s="437"/>
      <c r="G103" s="540">
        <f>G102/G7</f>
        <v>9.0604854255768752E-2</v>
      </c>
      <c r="H103" s="439">
        <f t="shared" si="18"/>
        <v>9.0604854255768752E-2</v>
      </c>
      <c r="I103" s="458"/>
      <c r="J103" s="441">
        <f>H103/DAY(B2)</f>
        <v>9.0604854255768752E-2</v>
      </c>
      <c r="O103" s="444"/>
    </row>
    <row r="104" spans="1:15" ht="22.5" x14ac:dyDescent="0.4">
      <c r="A104" s="677" t="s">
        <v>250</v>
      </c>
      <c r="B104" s="678"/>
      <c r="C104" s="679"/>
      <c r="D104" s="436" t="s">
        <v>180</v>
      </c>
      <c r="E104" s="437"/>
      <c r="F104" s="437"/>
      <c r="G104" s="439">
        <f>G37+G51</f>
        <v>1758.3099999999977</v>
      </c>
      <c r="H104" s="439">
        <f t="shared" si="18"/>
        <v>1758.3099999999977</v>
      </c>
      <c r="I104" s="458"/>
      <c r="J104" s="441">
        <f>H104/DAY(B2)</f>
        <v>1758.3099999999977</v>
      </c>
      <c r="O104" s="444"/>
    </row>
    <row r="105" spans="1:15" ht="23.25" thickBot="1" x14ac:dyDescent="0.45">
      <c r="A105" s="684" t="s">
        <v>251</v>
      </c>
      <c r="B105" s="685"/>
      <c r="C105" s="686"/>
      <c r="D105" s="544" t="s">
        <v>23</v>
      </c>
      <c r="E105" s="545"/>
      <c r="F105" s="545"/>
      <c r="G105" s="546">
        <f>G104/G7</f>
        <v>7.8826066295469482E-2</v>
      </c>
      <c r="H105" s="439">
        <f t="shared" si="18"/>
        <v>7.8826066295469482E-2</v>
      </c>
      <c r="I105" s="547"/>
      <c r="J105" s="548">
        <f>H105/DAY(B2)</f>
        <v>7.8826066295469482E-2</v>
      </c>
      <c r="O105" s="444"/>
    </row>
    <row r="106" spans="1:15" ht="22.5" x14ac:dyDescent="0.4">
      <c r="O106" s="444"/>
    </row>
    <row r="107" spans="1:15" ht="22.5" x14ac:dyDescent="0.4"/>
    <row r="108" spans="1:15" ht="22.5" x14ac:dyDescent="0.4">
      <c r="A108" s="687" t="s">
        <v>324</v>
      </c>
      <c r="B108" s="687"/>
      <c r="C108" s="687"/>
      <c r="D108" s="687"/>
      <c r="E108" s="687"/>
      <c r="F108" s="687"/>
      <c r="G108" s="687"/>
      <c r="H108" s="687"/>
      <c r="I108" s="687"/>
      <c r="J108" s="687"/>
    </row>
    <row r="109" spans="1:15" ht="22.5" x14ac:dyDescent="0.4">
      <c r="A109" s="680"/>
      <c r="B109" s="680"/>
    </row>
    <row r="110" spans="1:15" ht="22.5" x14ac:dyDescent="0.4">
      <c r="A110" s="688" t="s">
        <v>165</v>
      </c>
      <c r="B110" s="689"/>
      <c r="C110" s="689"/>
      <c r="D110" s="689"/>
      <c r="E110" s="689"/>
      <c r="F110" s="689"/>
      <c r="G110" s="689"/>
      <c r="H110" s="689"/>
      <c r="I110" s="689"/>
      <c r="J110" s="690"/>
    </row>
    <row r="111" spans="1:15" ht="22.5" x14ac:dyDescent="0.4">
      <c r="A111" s="674"/>
      <c r="B111" s="675"/>
      <c r="C111" s="676"/>
      <c r="D111" s="538"/>
      <c r="E111" s="538"/>
      <c r="F111" s="538"/>
      <c r="G111" s="538"/>
      <c r="H111" s="549"/>
      <c r="I111" s="538"/>
      <c r="J111" s="550"/>
    </row>
    <row r="112" spans="1:15" ht="22.5" x14ac:dyDescent="0.4">
      <c r="A112" s="667" t="s">
        <v>252</v>
      </c>
      <c r="B112" s="670"/>
      <c r="C112" s="668"/>
      <c r="D112" s="423" t="s">
        <v>183</v>
      </c>
      <c r="E112" s="551">
        <v>48277</v>
      </c>
      <c r="F112" s="551">
        <v>48359.08</v>
      </c>
      <c r="G112" s="438">
        <f t="shared" ref="G112:G123" si="19">F112-E112</f>
        <v>82.080000000001746</v>
      </c>
      <c r="H112" s="439">
        <f t="shared" ref="H112:H123" si="20">G112</f>
        <v>82.080000000001746</v>
      </c>
      <c r="I112" s="538"/>
      <c r="J112" s="552">
        <f>H112/DAY(B2)</f>
        <v>82.080000000001746</v>
      </c>
    </row>
    <row r="113" spans="1:18" ht="29.25" customHeight="1" x14ac:dyDescent="0.4">
      <c r="A113" s="667" t="s">
        <v>253</v>
      </c>
      <c r="B113" s="670"/>
      <c r="C113" s="668"/>
      <c r="D113" s="423" t="s">
        <v>183</v>
      </c>
      <c r="E113" s="551">
        <v>150531</v>
      </c>
      <c r="F113" s="551">
        <v>151037.74</v>
      </c>
      <c r="G113" s="438">
        <f t="shared" si="19"/>
        <v>506.73999999999069</v>
      </c>
      <c r="H113" s="439">
        <f t="shared" si="20"/>
        <v>506.73999999999069</v>
      </c>
      <c r="I113" s="538"/>
      <c r="J113" s="552">
        <f>H113/DAY(B2)</f>
        <v>506.73999999999069</v>
      </c>
    </row>
    <row r="114" spans="1:18" ht="29.25" customHeight="1" x14ac:dyDescent="0.4">
      <c r="A114" s="667" t="s">
        <v>254</v>
      </c>
      <c r="B114" s="670"/>
      <c r="C114" s="668"/>
      <c r="D114" s="423" t="s">
        <v>183</v>
      </c>
      <c r="E114" s="551">
        <v>70200</v>
      </c>
      <c r="F114" s="551">
        <v>70420.600000000006</v>
      </c>
      <c r="G114" s="438">
        <f t="shared" si="19"/>
        <v>220.60000000000582</v>
      </c>
      <c r="H114" s="439">
        <f t="shared" si="20"/>
        <v>220.60000000000582</v>
      </c>
      <c r="I114" s="538"/>
      <c r="J114" s="552">
        <f>H114/DAY(B2)</f>
        <v>220.60000000000582</v>
      </c>
    </row>
    <row r="115" spans="1:18" ht="29.25" customHeight="1" x14ac:dyDescent="0.4">
      <c r="A115" s="667" t="s">
        <v>255</v>
      </c>
      <c r="B115" s="670"/>
      <c r="C115" s="668"/>
      <c r="D115" s="423" t="s">
        <v>183</v>
      </c>
      <c r="E115" s="551">
        <v>7748</v>
      </c>
      <c r="F115" s="551">
        <v>7757.93</v>
      </c>
      <c r="G115" s="438">
        <f t="shared" si="19"/>
        <v>9.930000000000291</v>
      </c>
      <c r="H115" s="439">
        <f t="shared" si="20"/>
        <v>9.930000000000291</v>
      </c>
      <c r="I115" s="538"/>
      <c r="J115" s="552">
        <f>H115/DAY(B2)</f>
        <v>9.930000000000291</v>
      </c>
    </row>
    <row r="116" spans="1:18" ht="29.25" customHeight="1" x14ac:dyDescent="0.4">
      <c r="A116" s="681" t="s">
        <v>96</v>
      </c>
      <c r="B116" s="682"/>
      <c r="C116" s="683"/>
      <c r="D116" s="423" t="s">
        <v>183</v>
      </c>
      <c r="E116" s="553">
        <f>E13</f>
        <v>0</v>
      </c>
      <c r="F116" s="551">
        <v>0</v>
      </c>
      <c r="G116" s="438">
        <f t="shared" si="19"/>
        <v>0</v>
      </c>
      <c r="H116" s="439">
        <f t="shared" si="20"/>
        <v>0</v>
      </c>
      <c r="I116" s="538"/>
      <c r="J116" s="552">
        <f>H116/DAY(B2)</f>
        <v>0</v>
      </c>
      <c r="Q116" s="667"/>
      <c r="R116" s="668"/>
    </row>
    <row r="117" spans="1:18" ht="29.25" customHeight="1" x14ac:dyDescent="0.4">
      <c r="A117" s="681" t="s">
        <v>184</v>
      </c>
      <c r="B117" s="682"/>
      <c r="C117" s="683"/>
      <c r="D117" s="423" t="s">
        <v>183</v>
      </c>
      <c r="E117" s="553">
        <v>416</v>
      </c>
      <c r="F117" s="551">
        <v>435</v>
      </c>
      <c r="G117" s="438">
        <f t="shared" si="19"/>
        <v>19</v>
      </c>
      <c r="H117" s="439">
        <f t="shared" si="20"/>
        <v>19</v>
      </c>
      <c r="I117" s="538"/>
      <c r="J117" s="552">
        <f>H117/DAY(B2)</f>
        <v>19</v>
      </c>
      <c r="Q117" s="667"/>
      <c r="R117" s="668"/>
    </row>
    <row r="118" spans="1:18" ht="22.5" x14ac:dyDescent="0.4">
      <c r="A118" s="666" t="s">
        <v>97</v>
      </c>
      <c r="B118" s="666"/>
      <c r="C118" s="666"/>
      <c r="D118" s="436" t="s">
        <v>183</v>
      </c>
      <c r="E118" s="474">
        <v>206532</v>
      </c>
      <c r="F118" s="551">
        <v>206960.33</v>
      </c>
      <c r="G118" s="438">
        <f t="shared" si="19"/>
        <v>428.32999999998719</v>
      </c>
      <c r="H118" s="439">
        <f t="shared" si="20"/>
        <v>428.32999999998719</v>
      </c>
      <c r="I118" s="538"/>
      <c r="J118" s="552">
        <f>H118/DAY(B2)</f>
        <v>428.32999999998719</v>
      </c>
      <c r="Q118" s="667"/>
      <c r="R118" s="668"/>
    </row>
    <row r="119" spans="1:18" ht="22.5" x14ac:dyDescent="0.4">
      <c r="A119" s="666" t="s">
        <v>98</v>
      </c>
      <c r="B119" s="666"/>
      <c r="C119" s="666"/>
      <c r="D119" s="436" t="s">
        <v>183</v>
      </c>
      <c r="E119" s="553">
        <v>206230</v>
      </c>
      <c r="F119" s="551">
        <v>206608.65</v>
      </c>
      <c r="G119" s="438">
        <f t="shared" si="19"/>
        <v>378.64999999999418</v>
      </c>
      <c r="H119" s="439">
        <f t="shared" si="20"/>
        <v>378.64999999999418</v>
      </c>
      <c r="I119" s="538"/>
      <c r="J119" s="552">
        <f>H119/DAY(B2)</f>
        <v>378.64999999999418</v>
      </c>
    </row>
    <row r="120" spans="1:18" ht="22.5" x14ac:dyDescent="0.4">
      <c r="A120" s="666" t="s">
        <v>99</v>
      </c>
      <c r="B120" s="666"/>
      <c r="C120" s="666"/>
      <c r="D120" s="436" t="s">
        <v>183</v>
      </c>
      <c r="E120" s="553">
        <v>5515</v>
      </c>
      <c r="F120" s="551">
        <v>5916.1</v>
      </c>
      <c r="G120" s="438">
        <f t="shared" si="19"/>
        <v>401.10000000000036</v>
      </c>
      <c r="H120" s="439">
        <f t="shared" si="20"/>
        <v>401.10000000000036</v>
      </c>
      <c r="I120" s="538"/>
      <c r="J120" s="552">
        <f>H120/DAY(B2)</f>
        <v>401.10000000000036</v>
      </c>
    </row>
    <row r="121" spans="1:18" ht="22.5" x14ac:dyDescent="0.4">
      <c r="A121" s="666" t="s">
        <v>100</v>
      </c>
      <c r="B121" s="666"/>
      <c r="C121" s="666"/>
      <c r="D121" s="436" t="s">
        <v>183</v>
      </c>
      <c r="E121" s="553">
        <v>310262</v>
      </c>
      <c r="F121" s="551">
        <v>310785.73</v>
      </c>
      <c r="G121" s="438">
        <f t="shared" si="19"/>
        <v>523.72999999998137</v>
      </c>
      <c r="H121" s="439">
        <f t="shared" si="20"/>
        <v>523.72999999998137</v>
      </c>
      <c r="I121" s="538"/>
      <c r="J121" s="552">
        <f>H121/DAY(B2)</f>
        <v>523.72999999998137</v>
      </c>
    </row>
    <row r="122" spans="1:18" ht="22.5" x14ac:dyDescent="0.4">
      <c r="A122" s="666" t="s">
        <v>101</v>
      </c>
      <c r="B122" s="666"/>
      <c r="C122" s="666"/>
      <c r="D122" s="436" t="s">
        <v>183</v>
      </c>
      <c r="E122" s="553">
        <v>91622</v>
      </c>
      <c r="F122" s="551">
        <v>91928.7</v>
      </c>
      <c r="G122" s="438">
        <f t="shared" si="19"/>
        <v>306.69999999999709</v>
      </c>
      <c r="H122" s="439">
        <f t="shared" si="20"/>
        <v>306.69999999999709</v>
      </c>
      <c r="I122" s="538"/>
      <c r="J122" s="552">
        <f>H122/DAY(B2)</f>
        <v>306.69999999999709</v>
      </c>
    </row>
    <row r="123" spans="1:18" ht="22.5" x14ac:dyDescent="0.4">
      <c r="A123" s="666" t="s">
        <v>102</v>
      </c>
      <c r="B123" s="666"/>
      <c r="C123" s="666"/>
      <c r="D123" s="436" t="s">
        <v>183</v>
      </c>
      <c r="E123" s="553">
        <v>115543</v>
      </c>
      <c r="F123" s="551">
        <v>115868.33</v>
      </c>
      <c r="G123" s="438">
        <f t="shared" si="19"/>
        <v>325.33000000000175</v>
      </c>
      <c r="H123" s="439">
        <f t="shared" si="20"/>
        <v>325.33000000000175</v>
      </c>
      <c r="I123" s="538"/>
      <c r="J123" s="552">
        <f>H123/DAY(B2)</f>
        <v>325.33000000000175</v>
      </c>
    </row>
    <row r="124" spans="1:18" ht="29.25" customHeight="1" x14ac:dyDescent="0.4">
      <c r="A124" s="674"/>
      <c r="B124" s="675"/>
      <c r="C124" s="676"/>
      <c r="D124" s="538"/>
      <c r="E124" s="538"/>
      <c r="F124" s="538"/>
      <c r="G124" s="550"/>
      <c r="H124" s="549"/>
      <c r="I124" s="538"/>
      <c r="J124" s="550"/>
    </row>
    <row r="125" spans="1:18" ht="22.5" x14ac:dyDescent="0.4">
      <c r="A125" s="661"/>
      <c r="B125" s="661"/>
      <c r="C125" s="538"/>
      <c r="D125" s="436"/>
      <c r="E125" s="554"/>
      <c r="F125" s="554"/>
      <c r="G125" s="438"/>
      <c r="H125" s="549"/>
      <c r="I125" s="538"/>
      <c r="J125" s="550"/>
    </row>
    <row r="126" spans="1:18" ht="22.5" x14ac:dyDescent="0.4">
      <c r="A126" s="660" t="s">
        <v>317</v>
      </c>
      <c r="B126" s="660"/>
      <c r="C126" s="660"/>
      <c r="D126" s="660"/>
      <c r="E126" s="660"/>
      <c r="F126" s="660"/>
      <c r="G126" s="660"/>
      <c r="H126" s="660"/>
      <c r="I126" s="660"/>
      <c r="J126" s="660"/>
    </row>
    <row r="127" spans="1:18" ht="22.5" x14ac:dyDescent="0.4">
      <c r="A127" s="661"/>
      <c r="B127" s="661"/>
      <c r="C127" s="538"/>
      <c r="D127" s="436"/>
      <c r="E127" s="554"/>
      <c r="F127" s="554"/>
      <c r="G127" s="438"/>
      <c r="H127" s="439">
        <f t="shared" ref="H127:H135" si="21">G127</f>
        <v>0</v>
      </c>
      <c r="I127" s="538"/>
      <c r="J127" s="552">
        <f>H127/DAY(B2)</f>
        <v>0</v>
      </c>
    </row>
    <row r="128" spans="1:18" ht="29.25" customHeight="1" x14ac:dyDescent="0.4">
      <c r="A128" s="667" t="s">
        <v>318</v>
      </c>
      <c r="B128" s="670"/>
      <c r="C128" s="668"/>
      <c r="D128" s="436" t="s">
        <v>183</v>
      </c>
      <c r="E128" s="538">
        <v>7611</v>
      </c>
      <c r="F128" s="538">
        <v>7937.95</v>
      </c>
      <c r="G128" s="438">
        <f t="shared" ref="G128:G133" si="22">F128-E128</f>
        <v>326.94999999999982</v>
      </c>
      <c r="H128" s="439">
        <f t="shared" si="21"/>
        <v>326.94999999999982</v>
      </c>
      <c r="I128" s="538"/>
      <c r="J128" s="552">
        <f>H128/DAY(B2)</f>
        <v>326.94999999999982</v>
      </c>
    </row>
    <row r="129" spans="1:15" ht="22.5" x14ac:dyDescent="0.4">
      <c r="A129" s="555" t="s">
        <v>319</v>
      </c>
      <c r="B129" s="556"/>
      <c r="C129" s="557"/>
      <c r="D129" s="436" t="s">
        <v>183</v>
      </c>
      <c r="E129" s="538">
        <v>114</v>
      </c>
      <c r="F129" s="538">
        <v>265</v>
      </c>
      <c r="G129" s="438">
        <f t="shared" si="22"/>
        <v>151</v>
      </c>
      <c r="H129" s="439">
        <f t="shared" si="21"/>
        <v>151</v>
      </c>
      <c r="I129" s="538"/>
      <c r="J129" s="552">
        <f>H129/DAY(B2)</f>
        <v>151</v>
      </c>
      <c r="N129" s="400"/>
      <c r="O129" s="558"/>
    </row>
    <row r="130" spans="1:15" ht="22.5" x14ac:dyDescent="0.4">
      <c r="A130" s="555" t="s">
        <v>320</v>
      </c>
      <c r="B130" s="556"/>
      <c r="C130" s="557"/>
      <c r="D130" s="436" t="s">
        <v>183</v>
      </c>
      <c r="E130" s="538">
        <v>180</v>
      </c>
      <c r="F130" s="538">
        <v>385.29</v>
      </c>
      <c r="G130" s="438">
        <f t="shared" si="22"/>
        <v>205.29000000000002</v>
      </c>
      <c r="H130" s="439">
        <f t="shared" si="21"/>
        <v>205.29000000000002</v>
      </c>
      <c r="I130" s="538"/>
      <c r="J130" s="552">
        <f>H130/DAY(B2)</f>
        <v>205.29000000000002</v>
      </c>
      <c r="N130" s="400"/>
      <c r="O130" s="558"/>
    </row>
    <row r="131" spans="1:15" ht="22.5" x14ac:dyDescent="0.4">
      <c r="A131" s="667" t="s">
        <v>321</v>
      </c>
      <c r="B131" s="670"/>
      <c r="C131" s="668"/>
      <c r="D131" s="436" t="s">
        <v>183</v>
      </c>
      <c r="E131" s="538">
        <v>110</v>
      </c>
      <c r="F131" s="538">
        <v>266.45</v>
      </c>
      <c r="G131" s="438">
        <f t="shared" si="22"/>
        <v>156.44999999999999</v>
      </c>
      <c r="H131" s="439">
        <f t="shared" si="21"/>
        <v>156.44999999999999</v>
      </c>
      <c r="I131" s="538"/>
      <c r="J131" s="552">
        <f>H131/DAY(B2)</f>
        <v>156.44999999999999</v>
      </c>
      <c r="N131" s="400"/>
      <c r="O131" s="558"/>
    </row>
    <row r="132" spans="1:15" ht="22.5" x14ac:dyDescent="0.4">
      <c r="A132" s="667" t="s">
        <v>322</v>
      </c>
      <c r="B132" s="670"/>
      <c r="C132" s="668"/>
      <c r="D132" s="436" t="s">
        <v>183</v>
      </c>
      <c r="E132" s="538">
        <v>321</v>
      </c>
      <c r="F132" s="538">
        <v>644.87</v>
      </c>
      <c r="G132" s="438">
        <f t="shared" si="22"/>
        <v>323.87</v>
      </c>
      <c r="H132" s="439">
        <f t="shared" si="21"/>
        <v>323.87</v>
      </c>
      <c r="I132" s="538"/>
      <c r="J132" s="552">
        <f>H132/DAY(B2)</f>
        <v>323.87</v>
      </c>
    </row>
    <row r="133" spans="1:15" ht="22.5" x14ac:dyDescent="0.4">
      <c r="A133" s="667" t="s">
        <v>342</v>
      </c>
      <c r="B133" s="670"/>
      <c r="C133" s="668"/>
      <c r="D133" s="436" t="s">
        <v>183</v>
      </c>
      <c r="E133" s="538">
        <v>16391</v>
      </c>
      <c r="F133" s="538">
        <v>17098.37</v>
      </c>
      <c r="G133" s="438">
        <f t="shared" si="22"/>
        <v>707.36999999999898</v>
      </c>
      <c r="H133" s="439">
        <f t="shared" si="21"/>
        <v>707.36999999999898</v>
      </c>
      <c r="I133" s="538"/>
      <c r="J133" s="552">
        <f>H133/DAY(B2)</f>
        <v>707.36999999999898</v>
      </c>
    </row>
    <row r="134" spans="1:15" ht="22.5" x14ac:dyDescent="0.4">
      <c r="A134" s="671" t="s">
        <v>340</v>
      </c>
      <c r="B134" s="672"/>
      <c r="C134" s="673"/>
      <c r="D134" s="436" t="s">
        <v>183</v>
      </c>
      <c r="E134" s="437">
        <v>0</v>
      </c>
      <c r="F134" s="538"/>
      <c r="G134" s="438">
        <f t="shared" ref="G134" si="23">F134-E134</f>
        <v>0</v>
      </c>
      <c r="H134" s="439">
        <f t="shared" ref="H134" si="24">G134</f>
        <v>0</v>
      </c>
      <c r="I134" s="538"/>
      <c r="J134" s="552">
        <f>H134/DAY(B2)</f>
        <v>0</v>
      </c>
    </row>
    <row r="135" spans="1:15" ht="22.5" x14ac:dyDescent="0.4">
      <c r="A135" s="674"/>
      <c r="B135" s="675"/>
      <c r="C135" s="676"/>
      <c r="D135" s="436"/>
      <c r="E135" s="437"/>
      <c r="F135" s="538"/>
      <c r="G135" s="438"/>
      <c r="H135" s="439">
        <f t="shared" si="21"/>
        <v>0</v>
      </c>
      <c r="I135" s="538"/>
      <c r="J135" s="552">
        <f>H135/DAY(B2)</f>
        <v>0</v>
      </c>
    </row>
    <row r="136" spans="1:15" ht="22.5" x14ac:dyDescent="0.4">
      <c r="A136" s="660" t="s">
        <v>325</v>
      </c>
      <c r="B136" s="660"/>
      <c r="C136" s="660"/>
      <c r="D136" s="660"/>
      <c r="E136" s="660"/>
      <c r="F136" s="660"/>
      <c r="G136" s="660"/>
      <c r="H136" s="660"/>
      <c r="I136" s="660"/>
      <c r="J136" s="660"/>
    </row>
    <row r="137" spans="1:15" ht="22.5" x14ac:dyDescent="0.4">
      <c r="A137" s="538"/>
      <c r="B137" s="538"/>
      <c r="C137" s="538"/>
      <c r="D137" s="538"/>
      <c r="E137" s="538"/>
      <c r="F137" s="538"/>
      <c r="G137" s="538"/>
      <c r="H137" s="549"/>
      <c r="I137" s="538"/>
      <c r="J137" s="550"/>
    </row>
    <row r="138" spans="1:15" ht="22.5" x14ac:dyDescent="0.4">
      <c r="A138" s="666" t="s">
        <v>185</v>
      </c>
      <c r="B138" s="666"/>
      <c r="C138" s="666"/>
      <c r="D138" s="436" t="s">
        <v>183</v>
      </c>
      <c r="E138" s="559">
        <v>857353</v>
      </c>
      <c r="F138" s="559">
        <v>857445</v>
      </c>
      <c r="G138" s="438">
        <f t="shared" ref="G138:G150" si="25">F138-E138</f>
        <v>92</v>
      </c>
      <c r="H138" s="439">
        <f t="shared" ref="H138:H150" si="26">G138</f>
        <v>92</v>
      </c>
      <c r="I138" s="458"/>
      <c r="J138" s="552">
        <f>H138/DAY(B2)</f>
        <v>92</v>
      </c>
    </row>
    <row r="139" spans="1:15" ht="22.5" x14ac:dyDescent="0.4">
      <c r="A139" s="666" t="s">
        <v>186</v>
      </c>
      <c r="B139" s="666"/>
      <c r="C139" s="666"/>
      <c r="D139" s="436" t="s">
        <v>183</v>
      </c>
      <c r="E139" s="560">
        <v>886062</v>
      </c>
      <c r="F139" s="560">
        <v>886064</v>
      </c>
      <c r="G139" s="438">
        <f t="shared" si="25"/>
        <v>2</v>
      </c>
      <c r="H139" s="439">
        <f t="shared" si="26"/>
        <v>2</v>
      </c>
      <c r="I139" s="458"/>
      <c r="J139" s="552">
        <f>H139/DAY(B2)</f>
        <v>2</v>
      </c>
    </row>
    <row r="140" spans="1:15" ht="22.5" x14ac:dyDescent="0.4">
      <c r="A140" s="666" t="s">
        <v>187</v>
      </c>
      <c r="B140" s="666"/>
      <c r="C140" s="666"/>
      <c r="D140" s="436" t="s">
        <v>183</v>
      </c>
      <c r="E140" s="561">
        <v>88798</v>
      </c>
      <c r="F140" s="561">
        <v>88797.2</v>
      </c>
      <c r="G140" s="438">
        <f t="shared" si="25"/>
        <v>-0.80000000000291038</v>
      </c>
      <c r="H140" s="439">
        <f t="shared" si="26"/>
        <v>-0.80000000000291038</v>
      </c>
      <c r="I140" s="458"/>
      <c r="J140" s="552">
        <f>H140/DAY(B2)</f>
        <v>-0.80000000000291038</v>
      </c>
    </row>
    <row r="141" spans="1:15" ht="22.5" x14ac:dyDescent="0.4">
      <c r="A141" s="669" t="s">
        <v>188</v>
      </c>
      <c r="B141" s="669"/>
      <c r="C141" s="669"/>
      <c r="D141" s="436" t="s">
        <v>183</v>
      </c>
      <c r="E141" s="561">
        <v>31536</v>
      </c>
      <c r="F141" s="561">
        <v>31716.67</v>
      </c>
      <c r="G141" s="438">
        <f t="shared" si="25"/>
        <v>180.66999999999825</v>
      </c>
      <c r="H141" s="439">
        <f t="shared" si="26"/>
        <v>180.66999999999825</v>
      </c>
      <c r="I141" s="458"/>
      <c r="J141" s="552">
        <f>H141/DAY(B2)</f>
        <v>180.66999999999825</v>
      </c>
    </row>
    <row r="142" spans="1:15" ht="22.5" x14ac:dyDescent="0.4">
      <c r="A142" s="669" t="s">
        <v>189</v>
      </c>
      <c r="B142" s="669"/>
      <c r="C142" s="669"/>
      <c r="D142" s="436" t="s">
        <v>183</v>
      </c>
      <c r="E142" s="560">
        <v>15322</v>
      </c>
      <c r="F142" s="560">
        <v>15394.3</v>
      </c>
      <c r="G142" s="438">
        <f t="shared" si="25"/>
        <v>72.299999999999272</v>
      </c>
      <c r="H142" s="439">
        <f t="shared" si="26"/>
        <v>72.299999999999272</v>
      </c>
      <c r="I142" s="502"/>
      <c r="J142" s="552">
        <f>H142/DAY(B2)</f>
        <v>72.299999999999272</v>
      </c>
    </row>
    <row r="143" spans="1:15" ht="22.5" x14ac:dyDescent="0.4">
      <c r="A143" s="666" t="s">
        <v>91</v>
      </c>
      <c r="B143" s="666"/>
      <c r="C143" s="666"/>
      <c r="D143" s="436" t="s">
        <v>183</v>
      </c>
      <c r="E143" s="467">
        <v>529</v>
      </c>
      <c r="F143" s="561">
        <v>554.66</v>
      </c>
      <c r="G143" s="438">
        <f t="shared" si="25"/>
        <v>25.659999999999968</v>
      </c>
      <c r="H143" s="439">
        <f t="shared" si="26"/>
        <v>25.659999999999968</v>
      </c>
      <c r="I143" s="502"/>
      <c r="J143" s="552">
        <f>H143/DAY(B2)</f>
        <v>25.659999999999968</v>
      </c>
    </row>
    <row r="144" spans="1:15" ht="22.5" x14ac:dyDescent="0.4">
      <c r="A144" s="669" t="s">
        <v>90</v>
      </c>
      <c r="B144" s="669"/>
      <c r="C144" s="669"/>
      <c r="D144" s="436" t="s">
        <v>183</v>
      </c>
      <c r="E144" s="561">
        <v>850037</v>
      </c>
      <c r="F144" s="561">
        <v>850209</v>
      </c>
      <c r="G144" s="438">
        <f t="shared" si="25"/>
        <v>172</v>
      </c>
      <c r="H144" s="439">
        <f t="shared" si="26"/>
        <v>172</v>
      </c>
      <c r="I144" s="502"/>
      <c r="J144" s="552">
        <f>H144/DAY(B2)</f>
        <v>172</v>
      </c>
    </row>
    <row r="145" spans="1:10" ht="22.5" x14ac:dyDescent="0.4">
      <c r="A145" s="666" t="s">
        <v>190</v>
      </c>
      <c r="B145" s="666"/>
      <c r="C145" s="666"/>
      <c r="D145" s="471" t="s">
        <v>183</v>
      </c>
      <c r="E145" s="561">
        <v>954</v>
      </c>
      <c r="F145" s="561">
        <v>974.68</v>
      </c>
      <c r="G145" s="438">
        <f t="shared" si="25"/>
        <v>20.67999999999995</v>
      </c>
      <c r="H145" s="439">
        <f t="shared" si="26"/>
        <v>20.67999999999995</v>
      </c>
      <c r="I145" s="502"/>
      <c r="J145" s="552">
        <f>H145/DAY(B2)</f>
        <v>20.67999999999995</v>
      </c>
    </row>
    <row r="146" spans="1:10" ht="22.5" x14ac:dyDescent="0.4">
      <c r="A146" s="727" t="s">
        <v>191</v>
      </c>
      <c r="B146" s="701"/>
      <c r="C146" s="702"/>
      <c r="D146" s="471" t="s">
        <v>183</v>
      </c>
      <c r="E146" s="561">
        <v>687192</v>
      </c>
      <c r="F146" s="560">
        <v>687354</v>
      </c>
      <c r="G146" s="438">
        <f t="shared" si="25"/>
        <v>162</v>
      </c>
      <c r="H146" s="439">
        <f t="shared" si="26"/>
        <v>162</v>
      </c>
      <c r="I146" s="502"/>
      <c r="J146" s="552">
        <f>H146/DAY(B2)</f>
        <v>162</v>
      </c>
    </row>
    <row r="147" spans="1:10" ht="22.5" x14ac:dyDescent="0.4">
      <c r="A147" s="669" t="s">
        <v>192</v>
      </c>
      <c r="B147" s="669"/>
      <c r="C147" s="669"/>
      <c r="D147" s="471" t="s">
        <v>183</v>
      </c>
      <c r="E147" s="560">
        <v>576072</v>
      </c>
      <c r="F147" s="560">
        <v>576557.48</v>
      </c>
      <c r="G147" s="438">
        <f t="shared" si="25"/>
        <v>485.47999999998137</v>
      </c>
      <c r="H147" s="439">
        <f t="shared" si="26"/>
        <v>485.47999999998137</v>
      </c>
      <c r="I147" s="502"/>
      <c r="J147" s="552">
        <f>H147/DAY(B2)</f>
        <v>485.47999999998137</v>
      </c>
    </row>
    <row r="148" spans="1:10" ht="22.5" x14ac:dyDescent="0.4">
      <c r="A148" s="720" t="s">
        <v>193</v>
      </c>
      <c r="B148" s="721"/>
      <c r="C148" s="722"/>
      <c r="D148" s="466" t="s">
        <v>130</v>
      </c>
      <c r="E148" s="560">
        <v>658600</v>
      </c>
      <c r="F148" s="467">
        <v>658756.05000000005</v>
      </c>
      <c r="G148" s="438">
        <f t="shared" si="25"/>
        <v>156.05000000004657</v>
      </c>
      <c r="H148" s="439">
        <f t="shared" si="26"/>
        <v>156.05000000004657</v>
      </c>
      <c r="I148" s="456"/>
      <c r="J148" s="552">
        <f>H148/DAY(B2)</f>
        <v>156.05000000004657</v>
      </c>
    </row>
    <row r="149" spans="1:10" ht="22.5" x14ac:dyDescent="0.4">
      <c r="A149" s="723" t="s">
        <v>336</v>
      </c>
      <c r="B149" s="724"/>
      <c r="C149" s="725"/>
      <c r="D149" s="562" t="s">
        <v>130</v>
      </c>
      <c r="E149" s="437">
        <v>0</v>
      </c>
      <c r="F149" s="423"/>
      <c r="G149" s="438">
        <f t="shared" si="25"/>
        <v>0</v>
      </c>
      <c r="H149" s="439">
        <f t="shared" si="26"/>
        <v>0</v>
      </c>
      <c r="I149" s="475"/>
      <c r="J149" s="552">
        <f>H149/DAY(B2)</f>
        <v>0</v>
      </c>
    </row>
    <row r="150" spans="1:10" ht="22.5" x14ac:dyDescent="0.4">
      <c r="A150" s="723" t="s">
        <v>337</v>
      </c>
      <c r="B150" s="724"/>
      <c r="C150" s="725"/>
      <c r="D150" s="455" t="s">
        <v>130</v>
      </c>
      <c r="E150" s="437">
        <v>0</v>
      </c>
      <c r="F150" s="563"/>
      <c r="G150" s="438">
        <f t="shared" si="25"/>
        <v>0</v>
      </c>
      <c r="H150" s="439">
        <f t="shared" si="26"/>
        <v>0</v>
      </c>
      <c r="I150" s="475"/>
      <c r="J150" s="552">
        <f>H150/DAY(B2)</f>
        <v>0</v>
      </c>
    </row>
    <row r="151" spans="1:10" ht="22.5" x14ac:dyDescent="0.4">
      <c r="A151" s="720" t="s">
        <v>338</v>
      </c>
      <c r="B151" s="721"/>
      <c r="C151" s="722"/>
      <c r="D151" s="564"/>
      <c r="E151" s="423">
        <v>53379</v>
      </c>
      <c r="F151" s="563">
        <v>53711</v>
      </c>
      <c r="G151" s="438">
        <f t="shared" ref="G151:G152" si="27">F151-E151</f>
        <v>332</v>
      </c>
      <c r="H151" s="439">
        <f t="shared" ref="H151:H152" si="28">G151</f>
        <v>332</v>
      </c>
      <c r="I151" s="475"/>
      <c r="J151" s="552">
        <f>H151/DAY(B2)</f>
        <v>332</v>
      </c>
    </row>
    <row r="152" spans="1:10" ht="22.5" x14ac:dyDescent="0.4">
      <c r="A152" s="720" t="s">
        <v>339</v>
      </c>
      <c r="B152" s="721"/>
      <c r="C152" s="722"/>
      <c r="D152" s="564"/>
      <c r="E152" s="437">
        <v>0</v>
      </c>
      <c r="F152" s="563"/>
      <c r="G152" s="438">
        <f t="shared" si="27"/>
        <v>0</v>
      </c>
      <c r="H152" s="439">
        <f t="shared" si="28"/>
        <v>0</v>
      </c>
      <c r="I152" s="475"/>
      <c r="J152" s="552">
        <f>H152/DAY(B2)</f>
        <v>0</v>
      </c>
    </row>
    <row r="153" spans="1:10" ht="22.5" x14ac:dyDescent="0.4">
      <c r="A153" s="565"/>
      <c r="B153" s="566"/>
      <c r="C153" s="567"/>
      <c r="D153" s="564"/>
      <c r="E153" s="568"/>
      <c r="F153" s="569"/>
      <c r="G153" s="570"/>
      <c r="H153" s="571"/>
      <c r="I153" s="572"/>
      <c r="J153" s="573"/>
    </row>
    <row r="154" spans="1:10" ht="22.5" x14ac:dyDescent="0.4">
      <c r="A154" s="660" t="s">
        <v>344</v>
      </c>
      <c r="B154" s="660"/>
      <c r="C154" s="660"/>
      <c r="D154" s="660"/>
      <c r="E154" s="660"/>
      <c r="F154" s="660"/>
      <c r="G154" s="660"/>
      <c r="H154" s="660"/>
      <c r="I154" s="660"/>
      <c r="J154" s="660"/>
    </row>
    <row r="155" spans="1:10" ht="22.5" x14ac:dyDescent="0.4">
      <c r="A155" s="726" t="s">
        <v>345</v>
      </c>
      <c r="B155" s="726"/>
      <c r="C155" s="726"/>
      <c r="D155" s="574"/>
      <c r="E155" s="437">
        <v>0</v>
      </c>
      <c r="F155" s="574"/>
      <c r="G155" s="438">
        <f t="shared" ref="G155:G156" si="29">F155-E155</f>
        <v>0</v>
      </c>
      <c r="H155" s="574"/>
      <c r="I155" s="574"/>
      <c r="J155" s="552">
        <f>H155/DAY(B2)</f>
        <v>0</v>
      </c>
    </row>
    <row r="156" spans="1:10" ht="29.25" customHeight="1" x14ac:dyDescent="0.4">
      <c r="A156" s="726" t="s">
        <v>349</v>
      </c>
      <c r="B156" s="726"/>
      <c r="C156" s="726"/>
      <c r="D156" s="538"/>
      <c r="E156" s="437">
        <v>0</v>
      </c>
      <c r="F156" s="538"/>
      <c r="G156" s="438">
        <f t="shared" si="29"/>
        <v>0</v>
      </c>
      <c r="H156" s="549"/>
      <c r="I156" s="538"/>
      <c r="J156" s="552">
        <f>H156/DAY(B2)</f>
        <v>0</v>
      </c>
    </row>
    <row r="157" spans="1:10" ht="22.5" x14ac:dyDescent="0.4">
      <c r="A157" s="660" t="s">
        <v>326</v>
      </c>
      <c r="B157" s="660"/>
      <c r="C157" s="660"/>
      <c r="D157" s="660"/>
      <c r="E157" s="660"/>
      <c r="F157" s="660"/>
      <c r="G157" s="660"/>
      <c r="H157" s="660"/>
      <c r="I157" s="660"/>
      <c r="J157" s="660"/>
    </row>
    <row r="158" spans="1:10" ht="22.5" x14ac:dyDescent="0.4">
      <c r="A158" s="575" t="s">
        <v>92</v>
      </c>
      <c r="B158" s="576"/>
      <c r="C158" s="576"/>
      <c r="D158" s="577" t="s">
        <v>180</v>
      </c>
      <c r="E158" s="578">
        <v>465261</v>
      </c>
      <c r="F158" s="578">
        <v>465290.2</v>
      </c>
      <c r="G158" s="579">
        <f t="shared" ref="G158:G165" si="30">F158-E158</f>
        <v>29.200000000011642</v>
      </c>
      <c r="H158" s="439">
        <f t="shared" ref="H158:H165" si="31">G158</f>
        <v>29.200000000011642</v>
      </c>
      <c r="I158" s="580"/>
      <c r="J158" s="581">
        <f>H158/DAY(B2)</f>
        <v>29.200000000011642</v>
      </c>
    </row>
    <row r="159" spans="1:10" ht="22.5" x14ac:dyDescent="0.4">
      <c r="A159" s="575" t="s">
        <v>93</v>
      </c>
      <c r="B159" s="576"/>
      <c r="C159" s="576"/>
      <c r="D159" s="577" t="s">
        <v>180</v>
      </c>
      <c r="E159" s="578">
        <v>84810</v>
      </c>
      <c r="F159" s="578">
        <v>84841.8</v>
      </c>
      <c r="G159" s="579">
        <f t="shared" si="30"/>
        <v>31.80000000000291</v>
      </c>
      <c r="H159" s="439">
        <f t="shared" si="31"/>
        <v>31.80000000000291</v>
      </c>
      <c r="I159" s="580"/>
      <c r="J159" s="581">
        <f>H159/DAY(B2)</f>
        <v>31.80000000000291</v>
      </c>
    </row>
    <row r="160" spans="1:10" ht="22.5" x14ac:dyDescent="0.4">
      <c r="A160" s="575" t="s">
        <v>197</v>
      </c>
      <c r="B160" s="576"/>
      <c r="C160" s="576"/>
      <c r="D160" s="577" t="s">
        <v>180</v>
      </c>
      <c r="E160" s="578">
        <v>70971</v>
      </c>
      <c r="F160" s="578">
        <v>71056.800000000003</v>
      </c>
      <c r="G160" s="579">
        <f t="shared" si="30"/>
        <v>85.80000000000291</v>
      </c>
      <c r="H160" s="439">
        <f t="shared" si="31"/>
        <v>85.80000000000291</v>
      </c>
      <c r="I160" s="580"/>
      <c r="J160" s="581">
        <f>H160/DAY(B2)</f>
        <v>85.80000000000291</v>
      </c>
    </row>
    <row r="161" spans="1:10" ht="22.5" x14ac:dyDescent="0.4">
      <c r="A161" s="575" t="s">
        <v>197</v>
      </c>
      <c r="B161" s="576"/>
      <c r="C161" s="576"/>
      <c r="D161" s="577" t="s">
        <v>180</v>
      </c>
      <c r="E161" s="578">
        <v>3797</v>
      </c>
      <c r="F161" s="578">
        <v>3805.8</v>
      </c>
      <c r="G161" s="579">
        <f t="shared" si="30"/>
        <v>8.8000000000001819</v>
      </c>
      <c r="H161" s="439">
        <f t="shared" si="31"/>
        <v>8.8000000000001819</v>
      </c>
      <c r="I161" s="580"/>
      <c r="J161" s="581">
        <f>H161/DAY(B2)</f>
        <v>8.8000000000001819</v>
      </c>
    </row>
    <row r="162" spans="1:10" ht="22.5" x14ac:dyDescent="0.4">
      <c r="A162" s="575" t="s">
        <v>309</v>
      </c>
      <c r="B162" s="576"/>
      <c r="C162" s="576"/>
      <c r="D162" s="577" t="s">
        <v>180</v>
      </c>
      <c r="E162" s="578">
        <v>28972</v>
      </c>
      <c r="F162" s="578">
        <v>28979</v>
      </c>
      <c r="G162" s="579">
        <f t="shared" si="30"/>
        <v>7</v>
      </c>
      <c r="H162" s="439">
        <f t="shared" si="31"/>
        <v>7</v>
      </c>
      <c r="I162" s="580"/>
      <c r="J162" s="581">
        <f>H162/DAY(B2)</f>
        <v>7</v>
      </c>
    </row>
    <row r="163" spans="1:10" ht="22.5" x14ac:dyDescent="0.4">
      <c r="A163" s="661"/>
      <c r="B163" s="661"/>
      <c r="C163" s="538"/>
      <c r="D163" s="577" t="s">
        <v>180</v>
      </c>
      <c r="E163" s="437">
        <v>0</v>
      </c>
      <c r="F163" s="538"/>
      <c r="G163" s="579">
        <f t="shared" si="30"/>
        <v>0</v>
      </c>
      <c r="H163" s="439">
        <f t="shared" si="31"/>
        <v>0</v>
      </c>
      <c r="I163" s="538"/>
      <c r="J163" s="550"/>
    </row>
    <row r="164" spans="1:10" ht="22.5" x14ac:dyDescent="0.4">
      <c r="A164" s="661"/>
      <c r="B164" s="661"/>
      <c r="C164" s="538"/>
      <c r="D164" s="577" t="s">
        <v>180</v>
      </c>
      <c r="E164" s="437">
        <v>0</v>
      </c>
      <c r="F164" s="538"/>
      <c r="G164" s="579">
        <f t="shared" si="30"/>
        <v>0</v>
      </c>
      <c r="H164" s="439">
        <f t="shared" si="31"/>
        <v>0</v>
      </c>
      <c r="I164" s="538"/>
      <c r="J164" s="550"/>
    </row>
    <row r="165" spans="1:10" ht="22.5" x14ac:dyDescent="0.4">
      <c r="A165" s="661"/>
      <c r="B165" s="661"/>
      <c r="C165" s="538"/>
      <c r="D165" s="577" t="s">
        <v>180</v>
      </c>
      <c r="E165" s="437">
        <v>0</v>
      </c>
      <c r="F165" s="538"/>
      <c r="G165" s="579">
        <f t="shared" si="30"/>
        <v>0</v>
      </c>
      <c r="H165" s="439">
        <f t="shared" si="31"/>
        <v>0</v>
      </c>
      <c r="I165" s="538"/>
      <c r="J165" s="550"/>
    </row>
    <row r="166" spans="1:10" ht="22.5" x14ac:dyDescent="0.4"/>
    <row r="167" spans="1:10" ht="22.5" x14ac:dyDescent="0.4"/>
    <row r="168" spans="1:10" ht="22.5" x14ac:dyDescent="0.3">
      <c r="A168" s="662" t="s">
        <v>330</v>
      </c>
      <c r="B168" s="663"/>
      <c r="C168" s="663"/>
      <c r="D168" s="663"/>
      <c r="E168" s="663"/>
      <c r="F168" s="663"/>
      <c r="G168" s="663"/>
      <c r="H168" s="663"/>
      <c r="I168" s="663"/>
      <c r="J168" s="664"/>
    </row>
    <row r="169" spans="1:10" ht="22.5" x14ac:dyDescent="0.4">
      <c r="A169" s="658"/>
      <c r="B169" s="659"/>
      <c r="C169" s="582"/>
      <c r="D169" s="583"/>
      <c r="E169" s="554"/>
      <c r="F169" s="554"/>
      <c r="G169" s="554"/>
      <c r="H169" s="549"/>
      <c r="I169" s="554"/>
      <c r="J169" s="584">
        <f>H169/DAY(B2)</f>
        <v>0</v>
      </c>
    </row>
    <row r="170" spans="1:10" ht="22.5" x14ac:dyDescent="0.4">
      <c r="A170" s="654" t="s">
        <v>209</v>
      </c>
      <c r="B170" s="655"/>
      <c r="C170" s="401"/>
      <c r="D170" s="583" t="s">
        <v>142</v>
      </c>
      <c r="E170" s="554">
        <v>7895</v>
      </c>
      <c r="F170" s="554">
        <v>7895</v>
      </c>
      <c r="G170" s="554">
        <f>F170-E170</f>
        <v>0</v>
      </c>
      <c r="H170" s="439">
        <f t="shared" ref="H170:H186" si="32">G170</f>
        <v>0</v>
      </c>
      <c r="I170" s="554"/>
      <c r="J170" s="584">
        <f>H170/DAY(B2)</f>
        <v>0</v>
      </c>
    </row>
    <row r="171" spans="1:10" ht="22.5" x14ac:dyDescent="0.4">
      <c r="A171" s="654" t="s">
        <v>75</v>
      </c>
      <c r="B171" s="655"/>
      <c r="C171" s="401"/>
      <c r="D171" s="583" t="s">
        <v>142</v>
      </c>
      <c r="E171" s="585">
        <v>37034</v>
      </c>
      <c r="F171" s="585">
        <v>37044</v>
      </c>
      <c r="G171" s="554">
        <f t="shared" ref="G171:G172" si="33">F171-E171</f>
        <v>10</v>
      </c>
      <c r="H171" s="439">
        <f t="shared" si="32"/>
        <v>10</v>
      </c>
      <c r="I171" s="554"/>
      <c r="J171" s="584">
        <f>H171/DAY(B2)</f>
        <v>10</v>
      </c>
    </row>
    <row r="172" spans="1:10" ht="22.5" x14ac:dyDescent="0.4">
      <c r="A172" s="654" t="s">
        <v>76</v>
      </c>
      <c r="B172" s="665"/>
      <c r="C172" s="655"/>
      <c r="D172" s="583" t="s">
        <v>142</v>
      </c>
      <c r="E172" s="554">
        <v>20469</v>
      </c>
      <c r="F172" s="554">
        <v>20478</v>
      </c>
      <c r="G172" s="554">
        <f t="shared" si="33"/>
        <v>9</v>
      </c>
      <c r="H172" s="439">
        <f t="shared" si="32"/>
        <v>9</v>
      </c>
      <c r="I172" s="554"/>
      <c r="J172" s="584"/>
    </row>
    <row r="173" spans="1:10" ht="22.5" x14ac:dyDescent="0.4">
      <c r="A173" s="652" t="s">
        <v>196</v>
      </c>
      <c r="B173" s="653"/>
      <c r="C173" s="401"/>
      <c r="D173" s="583"/>
      <c r="E173" s="437"/>
      <c r="F173" s="554"/>
      <c r="G173" s="554">
        <f>SUM(G170:G172)</f>
        <v>19</v>
      </c>
      <c r="H173" s="439">
        <f t="shared" si="32"/>
        <v>19</v>
      </c>
      <c r="I173" s="554"/>
      <c r="J173" s="584">
        <f>H173/DAY(B2)</f>
        <v>19</v>
      </c>
    </row>
    <row r="174" spans="1:10" ht="22.5" x14ac:dyDescent="0.4">
      <c r="A174" s="654" t="s">
        <v>77</v>
      </c>
      <c r="B174" s="655"/>
      <c r="C174" s="401"/>
      <c r="D174" s="583" t="s">
        <v>142</v>
      </c>
      <c r="E174" s="437"/>
      <c r="F174" s="554"/>
      <c r="G174" s="554"/>
      <c r="H174" s="439">
        <f t="shared" si="32"/>
        <v>0</v>
      </c>
      <c r="I174" s="554"/>
      <c r="J174" s="584">
        <f>H174/DAY(B2)</f>
        <v>0</v>
      </c>
    </row>
    <row r="175" spans="1:10" ht="22.5" x14ac:dyDescent="0.4">
      <c r="A175" s="654" t="s">
        <v>210</v>
      </c>
      <c r="B175" s="655"/>
      <c r="C175" s="401"/>
      <c r="D175" s="583" t="s">
        <v>142</v>
      </c>
      <c r="E175" s="554">
        <v>71934</v>
      </c>
      <c r="F175" s="554">
        <v>72017</v>
      </c>
      <c r="G175" s="554">
        <f>F175-E175</f>
        <v>83</v>
      </c>
      <c r="H175" s="439">
        <f t="shared" si="32"/>
        <v>83</v>
      </c>
      <c r="I175" s="554"/>
      <c r="J175" s="584">
        <f>H175/DAY(B2)</f>
        <v>83</v>
      </c>
    </row>
    <row r="176" spans="1:10" ht="22.5" x14ac:dyDescent="0.4">
      <c r="A176" s="654" t="s">
        <v>211</v>
      </c>
      <c r="B176" s="655"/>
      <c r="C176" s="401"/>
      <c r="D176" s="583" t="s">
        <v>142</v>
      </c>
      <c r="E176" s="554">
        <v>33886</v>
      </c>
      <c r="F176" s="554">
        <v>33886</v>
      </c>
      <c r="G176" s="554">
        <f t="shared" ref="G176:G177" si="34">F176-E176</f>
        <v>0</v>
      </c>
      <c r="H176" s="439">
        <f t="shared" si="32"/>
        <v>0</v>
      </c>
      <c r="I176" s="554"/>
      <c r="J176" s="584">
        <f>H176/DAY(B2)</f>
        <v>0</v>
      </c>
    </row>
    <row r="177" spans="1:10" ht="22.5" x14ac:dyDescent="0.4">
      <c r="A177" s="654" t="s">
        <v>212</v>
      </c>
      <c r="B177" s="655"/>
      <c r="C177" s="401"/>
      <c r="D177" s="583" t="s">
        <v>142</v>
      </c>
      <c r="E177" s="554">
        <v>4831</v>
      </c>
      <c r="F177" s="554">
        <v>4831</v>
      </c>
      <c r="G177" s="554">
        <f t="shared" si="34"/>
        <v>0</v>
      </c>
      <c r="H177" s="439">
        <f t="shared" si="32"/>
        <v>0</v>
      </c>
      <c r="I177" s="554"/>
      <c r="J177" s="584">
        <f>H177/DAY(B2)</f>
        <v>0</v>
      </c>
    </row>
    <row r="178" spans="1:10" ht="22.5" x14ac:dyDescent="0.4">
      <c r="A178" s="652" t="s">
        <v>108</v>
      </c>
      <c r="B178" s="653"/>
      <c r="C178" s="401"/>
      <c r="D178" s="583"/>
      <c r="E178" s="437"/>
      <c r="F178" s="554"/>
      <c r="G178" s="554">
        <f>SUM(G175:G177)</f>
        <v>83</v>
      </c>
      <c r="H178" s="439">
        <f t="shared" si="32"/>
        <v>83</v>
      </c>
      <c r="I178" s="554"/>
      <c r="J178" s="584">
        <f>H178/DAY(B2)</f>
        <v>83</v>
      </c>
    </row>
    <row r="179" spans="1:10" ht="21.95" customHeight="1" x14ac:dyDescent="0.4">
      <c r="A179" s="654" t="s">
        <v>213</v>
      </c>
      <c r="B179" s="655"/>
      <c r="C179" s="401"/>
      <c r="D179" s="583"/>
      <c r="E179" s="437"/>
      <c r="F179" s="554"/>
      <c r="G179" s="554"/>
      <c r="H179" s="439">
        <f t="shared" si="32"/>
        <v>0</v>
      </c>
      <c r="I179" s="554"/>
      <c r="J179" s="584">
        <f>H179/DAY(B2)</f>
        <v>0</v>
      </c>
    </row>
    <row r="180" spans="1:10" ht="21.95" customHeight="1" x14ac:dyDescent="0.4">
      <c r="A180" s="654" t="s">
        <v>214</v>
      </c>
      <c r="B180" s="655"/>
      <c r="C180" s="401"/>
      <c r="D180" s="583" t="s">
        <v>142</v>
      </c>
      <c r="E180" s="585">
        <v>13537</v>
      </c>
      <c r="F180" s="585">
        <v>13549</v>
      </c>
      <c r="G180" s="585">
        <f>F180-E180</f>
        <v>12</v>
      </c>
      <c r="H180" s="439">
        <f t="shared" si="32"/>
        <v>12</v>
      </c>
      <c r="I180" s="554"/>
      <c r="J180" s="584">
        <f>H180/DAY(B2)</f>
        <v>12</v>
      </c>
    </row>
    <row r="181" spans="1:10" ht="21.95" customHeight="1" x14ac:dyDescent="0.4">
      <c r="A181" s="654" t="s">
        <v>215</v>
      </c>
      <c r="B181" s="655"/>
      <c r="C181" s="401"/>
      <c r="D181" s="583" t="s">
        <v>142</v>
      </c>
      <c r="E181" s="585">
        <v>9448</v>
      </c>
      <c r="F181" s="585">
        <v>9455</v>
      </c>
      <c r="G181" s="585">
        <f t="shared" ref="G181:G182" si="35">F181-E181</f>
        <v>7</v>
      </c>
      <c r="H181" s="439">
        <f t="shared" si="32"/>
        <v>7</v>
      </c>
      <c r="I181" s="554"/>
      <c r="J181" s="584">
        <f>H181/DAY(B2)</f>
        <v>7</v>
      </c>
    </row>
    <row r="182" spans="1:10" ht="22.5" x14ac:dyDescent="0.4">
      <c r="A182" s="654" t="s">
        <v>216</v>
      </c>
      <c r="B182" s="655"/>
      <c r="C182" s="401"/>
      <c r="D182" s="583" t="s">
        <v>142</v>
      </c>
      <c r="E182" s="437">
        <v>0</v>
      </c>
      <c r="F182" s="585"/>
      <c r="G182" s="585">
        <f t="shared" si="35"/>
        <v>0</v>
      </c>
      <c r="H182" s="439">
        <f t="shared" si="32"/>
        <v>0</v>
      </c>
      <c r="I182" s="554"/>
      <c r="J182" s="586">
        <f>H182/DAY(B2)</f>
        <v>0</v>
      </c>
    </row>
    <row r="183" spans="1:10" ht="22.5" x14ac:dyDescent="0.4">
      <c r="A183" s="652" t="s">
        <v>196</v>
      </c>
      <c r="B183" s="653"/>
      <c r="C183" s="401"/>
      <c r="D183" s="229"/>
      <c r="E183" s="437"/>
      <c r="F183" s="585"/>
      <c r="G183" s="585">
        <f>SUM(G180:G182)</f>
        <v>19</v>
      </c>
      <c r="H183" s="439">
        <f t="shared" si="32"/>
        <v>19</v>
      </c>
      <c r="I183" s="585"/>
      <c r="J183" s="586">
        <f>H183/DAY(B2)</f>
        <v>19</v>
      </c>
    </row>
    <row r="184" spans="1:10" ht="22.5" x14ac:dyDescent="0.4">
      <c r="A184" s="654" t="s">
        <v>217</v>
      </c>
      <c r="B184" s="655"/>
      <c r="C184" s="401"/>
      <c r="D184" s="587" t="s">
        <v>142</v>
      </c>
      <c r="E184" s="437"/>
      <c r="F184" s="588"/>
      <c r="G184" s="588">
        <f>G62+G19</f>
        <v>157</v>
      </c>
      <c r="H184" s="439">
        <f t="shared" si="32"/>
        <v>157</v>
      </c>
      <c r="I184" s="589"/>
      <c r="J184" s="586">
        <f>H184/DAY(B2)</f>
        <v>157</v>
      </c>
    </row>
    <row r="185" spans="1:10" ht="22.5" x14ac:dyDescent="0.4">
      <c r="A185" s="654" t="s">
        <v>218</v>
      </c>
      <c r="B185" s="655"/>
      <c r="C185" s="401"/>
      <c r="D185" s="587" t="s">
        <v>142</v>
      </c>
      <c r="E185" s="437"/>
      <c r="F185" s="588"/>
      <c r="G185" s="588">
        <f>G65+G66+G67+G69+G70</f>
        <v>148</v>
      </c>
      <c r="H185" s="439">
        <f t="shared" si="32"/>
        <v>148</v>
      </c>
      <c r="I185" s="589"/>
      <c r="J185" s="532"/>
    </row>
    <row r="186" spans="1:10" ht="22.5" x14ac:dyDescent="0.4">
      <c r="A186" s="654" t="s">
        <v>219</v>
      </c>
      <c r="B186" s="655"/>
      <c r="C186" s="401"/>
      <c r="D186" s="587" t="s">
        <v>142</v>
      </c>
      <c r="E186" s="437"/>
      <c r="F186" s="585"/>
      <c r="G186" s="585">
        <f>G178</f>
        <v>83</v>
      </c>
      <c r="H186" s="439">
        <f t="shared" si="32"/>
        <v>83</v>
      </c>
      <c r="I186" s="589"/>
      <c r="J186" s="581">
        <f>H186/DAY(B2)</f>
        <v>83</v>
      </c>
    </row>
    <row r="187" spans="1:10" ht="22.5" x14ac:dyDescent="0.4">
      <c r="A187" s="656" t="s">
        <v>207</v>
      </c>
      <c r="B187" s="656"/>
      <c r="C187" s="656"/>
      <c r="D187" s="656"/>
      <c r="E187" s="656"/>
      <c r="F187" s="656"/>
      <c r="G187" s="656"/>
      <c r="H187" s="656"/>
      <c r="I187" s="656"/>
      <c r="J187" s="657"/>
    </row>
    <row r="188" spans="1:10" ht="22.5" x14ac:dyDescent="0.4">
      <c r="A188" s="654"/>
      <c r="B188" s="655"/>
    </row>
    <row r="189" spans="1:10" ht="22.5" x14ac:dyDescent="0.4"/>
    <row r="190" spans="1:10" ht="22.5" x14ac:dyDescent="0.4"/>
    <row r="191" spans="1:10" ht="22.5" x14ac:dyDescent="0.4"/>
    <row r="192" spans="1:10" ht="22.5" x14ac:dyDescent="0.4"/>
    <row r="193" ht="22.5" x14ac:dyDescent="0.4"/>
    <row r="194" ht="22.5" x14ac:dyDescent="0.4"/>
    <row r="195" ht="22.5" x14ac:dyDescent="0.4"/>
    <row r="196" ht="22.5" x14ac:dyDescent="0.4"/>
    <row r="197" ht="22.5" x14ac:dyDescent="0.4"/>
    <row r="198" ht="22.5" x14ac:dyDescent="0.4"/>
    <row r="199" ht="22.5" x14ac:dyDescent="0.4"/>
    <row r="200" ht="22.5" x14ac:dyDescent="0.4"/>
    <row r="201" ht="22.5" x14ac:dyDescent="0.4"/>
    <row r="202" ht="22.5" x14ac:dyDescent="0.4"/>
    <row r="203" ht="22.5" x14ac:dyDescent="0.4"/>
    <row r="204" ht="22.5" x14ac:dyDescent="0.4"/>
    <row r="205" ht="22.5" x14ac:dyDescent="0.4"/>
    <row r="206" ht="22.5" x14ac:dyDescent="0.4"/>
    <row r="207" ht="22.5" x14ac:dyDescent="0.4"/>
    <row r="208" ht="22.5" x14ac:dyDescent="0.4"/>
    <row r="209" ht="22.5" x14ac:dyDescent="0.4"/>
    <row r="210" ht="22.5" x14ac:dyDescent="0.4"/>
    <row r="211" ht="22.5" x14ac:dyDescent="0.4"/>
    <row r="212" ht="22.5" x14ac:dyDescent="0.4"/>
    <row r="213" ht="22.5" x14ac:dyDescent="0.4"/>
    <row r="214" ht="22.5" x14ac:dyDescent="0.4"/>
    <row r="215" ht="22.5" x14ac:dyDescent="0.4"/>
    <row r="216" ht="22.5" x14ac:dyDescent="0.4"/>
    <row r="217" ht="22.5" x14ac:dyDescent="0.4"/>
    <row r="218" ht="22.5" x14ac:dyDescent="0.4"/>
    <row r="219" ht="22.5" x14ac:dyDescent="0.4"/>
    <row r="220" ht="22.5" x14ac:dyDescent="0.4"/>
    <row r="221" ht="22.5" x14ac:dyDescent="0.4"/>
    <row r="222" ht="22.5" x14ac:dyDescent="0.4"/>
    <row r="223" ht="22.5" x14ac:dyDescent="0.4"/>
    <row r="224" ht="22.5" x14ac:dyDescent="0.4"/>
    <row r="225" ht="22.5" x14ac:dyDescent="0.4"/>
    <row r="226" ht="22.5" x14ac:dyDescent="0.4"/>
    <row r="227" ht="22.5" x14ac:dyDescent="0.4"/>
    <row r="228" ht="22.5" x14ac:dyDescent="0.4"/>
    <row r="229" ht="22.5" x14ac:dyDescent="0.4"/>
    <row r="230" ht="22.5" x14ac:dyDescent="0.4"/>
    <row r="231" ht="22.5" x14ac:dyDescent="0.4"/>
    <row r="232" ht="22.5" x14ac:dyDescent="0.4"/>
    <row r="233" ht="22.5" x14ac:dyDescent="0.4"/>
    <row r="234" ht="22.5" x14ac:dyDescent="0.4"/>
    <row r="235" ht="22.5" x14ac:dyDescent="0.4"/>
    <row r="236" ht="22.5" x14ac:dyDescent="0.4"/>
    <row r="237" ht="22.5" x14ac:dyDescent="0.4"/>
    <row r="238" ht="22.5" x14ac:dyDescent="0.4"/>
    <row r="239" ht="22.5" x14ac:dyDescent="0.4"/>
    <row r="240" ht="22.5" x14ac:dyDescent="0.4"/>
    <row r="241" ht="22.5" x14ac:dyDescent="0.4"/>
    <row r="242" ht="22.5" x14ac:dyDescent="0.4"/>
    <row r="243" ht="22.5" x14ac:dyDescent="0.4"/>
    <row r="244" ht="22.5" x14ac:dyDescent="0.4"/>
    <row r="245" ht="22.5" x14ac:dyDescent="0.4"/>
    <row r="246" ht="22.5" x14ac:dyDescent="0.4"/>
    <row r="247" ht="22.5" x14ac:dyDescent="0.4"/>
    <row r="248" ht="22.5" x14ac:dyDescent="0.4"/>
    <row r="249" ht="22.5" x14ac:dyDescent="0.4"/>
    <row r="250" ht="22.5" x14ac:dyDescent="0.4"/>
    <row r="251" ht="22.5" x14ac:dyDescent="0.4"/>
    <row r="252" ht="22.5" x14ac:dyDescent="0.4"/>
    <row r="253" ht="22.5" x14ac:dyDescent="0.4"/>
    <row r="254" ht="22.5" x14ac:dyDescent="0.4"/>
    <row r="255" ht="22.5" x14ac:dyDescent="0.4"/>
    <row r="256" ht="22.5" x14ac:dyDescent="0.4"/>
    <row r="257" ht="22.5" x14ac:dyDescent="0.4"/>
    <row r="258" ht="22.5" x14ac:dyDescent="0.4"/>
    <row r="259" ht="22.5" x14ac:dyDescent="0.4"/>
    <row r="260" ht="22.5" x14ac:dyDescent="0.4"/>
    <row r="261" ht="22.5" x14ac:dyDescent="0.4"/>
    <row r="262" ht="22.5" x14ac:dyDescent="0.4"/>
    <row r="263" ht="22.5" x14ac:dyDescent="0.4"/>
    <row r="264" ht="22.5" x14ac:dyDescent="0.4"/>
    <row r="265" ht="22.5" x14ac:dyDescent="0.4"/>
    <row r="266" ht="22.5" x14ac:dyDescent="0.4"/>
    <row r="267" ht="22.5" x14ac:dyDescent="0.4"/>
  </sheetData>
  <mergeCells count="112">
    <mergeCell ref="A148:C148"/>
    <mergeCell ref="A149:C149"/>
    <mergeCell ref="A150:C150"/>
    <mergeCell ref="A151:C151"/>
    <mergeCell ref="A152:C152"/>
    <mergeCell ref="A156:C156"/>
    <mergeCell ref="A147:C147"/>
    <mergeCell ref="A120:C120"/>
    <mergeCell ref="A121:C121"/>
    <mergeCell ref="A122:C122"/>
    <mergeCell ref="A124:C124"/>
    <mergeCell ref="A145:C145"/>
    <mergeCell ref="A146:C146"/>
    <mergeCell ref="A144:C144"/>
    <mergeCell ref="A143:C143"/>
    <mergeCell ref="A123:C123"/>
    <mergeCell ref="A125:B125"/>
    <mergeCell ref="A126:J126"/>
    <mergeCell ref="A127:B127"/>
    <mergeCell ref="A128:C128"/>
    <mergeCell ref="A131:C131"/>
    <mergeCell ref="A142:C142"/>
    <mergeCell ref="A154:J154"/>
    <mergeCell ref="A155:C155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69:B169"/>
    <mergeCell ref="A170:B170"/>
    <mergeCell ref="A171:B171"/>
    <mergeCell ref="A173:B173"/>
    <mergeCell ref="A174:B174"/>
    <mergeCell ref="A157:J157"/>
    <mergeCell ref="A163:B163"/>
    <mergeCell ref="A164:B164"/>
    <mergeCell ref="A165:B165"/>
    <mergeCell ref="A168:J168"/>
    <mergeCell ref="A172:C172"/>
    <mergeCell ref="A183:B183"/>
    <mergeCell ref="A184:B184"/>
    <mergeCell ref="A185:B185"/>
    <mergeCell ref="A186:B186"/>
    <mergeCell ref="A188:B188"/>
    <mergeCell ref="A175:B175"/>
    <mergeCell ref="A176:B176"/>
    <mergeCell ref="A177:B177"/>
    <mergeCell ref="A178:B178"/>
    <mergeCell ref="A182:B182"/>
    <mergeCell ref="A179:B179"/>
    <mergeCell ref="A180:B180"/>
    <mergeCell ref="A181:B181"/>
    <mergeCell ref="A187:J187"/>
  </mergeCells>
  <pageMargins left="0.22" right="0.17" top="0.14000000000000001" bottom="0.2" header="0.2" footer="0.2"/>
  <pageSetup paperSize="5" scale="2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67"/>
  <sheetViews>
    <sheetView view="pageBreakPreview" topLeftCell="A162" zoomScale="60" workbookViewId="0">
      <selection activeCell="G184" sqref="G184:G186"/>
    </sheetView>
  </sheetViews>
  <sheetFormatPr defaultColWidth="22.33203125" defaultRowHeight="21.95" customHeight="1" x14ac:dyDescent="0.5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789" t="s">
        <v>115</v>
      </c>
      <c r="B1" s="790"/>
      <c r="C1" s="790"/>
      <c r="D1" s="790"/>
      <c r="E1" s="790"/>
      <c r="F1" s="790"/>
      <c r="G1" s="790"/>
      <c r="H1" s="790"/>
      <c r="I1" s="790"/>
      <c r="J1" s="791"/>
    </row>
    <row r="2" spans="1:16" s="57" customFormat="1" ht="27" x14ac:dyDescent="0.5">
      <c r="A2" s="191" t="s">
        <v>350</v>
      </c>
      <c r="B2" s="266">
        <v>44471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68" t="s">
        <v>118</v>
      </c>
      <c r="D3" s="219">
        <v>28</v>
      </c>
      <c r="E3" s="798" t="s">
        <v>119</v>
      </c>
      <c r="F3" s="799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792" t="s">
        <v>128</v>
      </c>
      <c r="B6" s="793"/>
      <c r="C6" s="794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'1'!F7</f>
        <v>989673.2</v>
      </c>
      <c r="F7" s="95">
        <v>1012307.2</v>
      </c>
      <c r="G7" s="112">
        <f>F7-E7</f>
        <v>22634</v>
      </c>
      <c r="H7" s="99">
        <f>G7+'1'!H7</f>
        <v>44940.199999999953</v>
      </c>
      <c r="I7" s="113">
        <f>'[1]1'!I7</f>
        <v>12000</v>
      </c>
      <c r="J7" s="175">
        <f>H7/DAY(B2)</f>
        <v>22470.099999999977</v>
      </c>
      <c r="K7" s="172">
        <v>1375467</v>
      </c>
      <c r="L7" s="66"/>
      <c r="N7" s="87"/>
      <c r="O7" s="396">
        <v>26905.200000000001</v>
      </c>
      <c r="P7" s="57" t="s">
        <v>351</v>
      </c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'1'!F8</f>
        <v>1004249.2</v>
      </c>
      <c r="F8" s="114">
        <v>1027007.2</v>
      </c>
      <c r="G8" s="115">
        <f>F8-E8</f>
        <v>22758</v>
      </c>
      <c r="H8" s="99">
        <f>G8+'1'!H8</f>
        <v>45188.199999999953</v>
      </c>
      <c r="I8" s="116">
        <v>12000</v>
      </c>
      <c r="J8" s="175">
        <f>H8/DAY(B2)</f>
        <v>22594.099999999977</v>
      </c>
      <c r="K8" s="172">
        <v>1715917</v>
      </c>
      <c r="L8" s="76">
        <v>1728480</v>
      </c>
      <c r="M8" s="87">
        <f>L8-K8</f>
        <v>12563</v>
      </c>
      <c r="N8" s="87"/>
      <c r="O8" s="396">
        <v>12182.6</v>
      </c>
      <c r="P8" s="57" t="s">
        <v>130</v>
      </c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'1'!F9</f>
        <v>752335.75</v>
      </c>
      <c r="F9" s="373">
        <v>774271.43</v>
      </c>
      <c r="G9" s="112">
        <f t="shared" ref="G9:G11" si="0">F9-E9</f>
        <v>21935.680000000051</v>
      </c>
      <c r="H9" s="99">
        <f>G9+'1'!H9</f>
        <v>43481.430000000051</v>
      </c>
      <c r="I9" s="124">
        <f>I8-J8</f>
        <v>-10594.099999999977</v>
      </c>
      <c r="J9" s="175">
        <f>H9/DAY(B2)</f>
        <v>21740.715000000026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'1'!F10</f>
        <v>0</v>
      </c>
      <c r="F10" s="117">
        <v>0</v>
      </c>
      <c r="G10" s="112">
        <f t="shared" si="0"/>
        <v>0</v>
      </c>
      <c r="H10" s="99">
        <f>G10+'1'!H10</f>
        <v>0</v>
      </c>
      <c r="I10" s="118"/>
      <c r="J10" s="175">
        <f>H10/DAY(B2)</f>
        <v>0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'1'!F11</f>
        <v>37000</v>
      </c>
      <c r="F11" s="95">
        <v>37000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>
        <f>10328+26905</f>
        <v>37233</v>
      </c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'1'!F12</f>
        <v>40010</v>
      </c>
      <c r="F12" s="117">
        <v>40010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  <c r="P12" s="65">
        <v>698</v>
      </c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21935.680000000051</v>
      </c>
      <c r="H13" s="99">
        <f>G13+'1'!H13</f>
        <v>21935.680000000051</v>
      </c>
      <c r="I13" s="120">
        <f>G7-G13</f>
        <v>698.31999999994878</v>
      </c>
      <c r="J13" s="175">
        <f>H13/DAY(B2)</f>
        <v>10967.840000000026</v>
      </c>
      <c r="K13" s="79"/>
      <c r="L13" s="66"/>
      <c r="N13" s="87"/>
      <c r="O13" s="71"/>
      <c r="P13" s="65">
        <v>822</v>
      </c>
    </row>
    <row r="14" spans="1:16" ht="29.25" x14ac:dyDescent="0.5">
      <c r="A14" s="795" t="s">
        <v>137</v>
      </c>
      <c r="B14" s="796"/>
      <c r="C14" s="79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65" t="s">
        <v>138</v>
      </c>
      <c r="B15" s="205"/>
      <c r="C15" s="205"/>
      <c r="D15" s="151" t="s">
        <v>139</v>
      </c>
      <c r="E15" s="95">
        <f>'1'!F15</f>
        <v>1785189</v>
      </c>
      <c r="F15" s="372">
        <v>1786216</v>
      </c>
      <c r="G15" s="376">
        <f>(F15-E15)</f>
        <v>1027</v>
      </c>
      <c r="H15" s="99">
        <f>G15+'1'!H15</f>
        <v>2008</v>
      </c>
      <c r="I15" s="113">
        <v>800</v>
      </c>
      <c r="J15" s="175">
        <f>H15/DAY(B2)</f>
        <v>1004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-204</v>
      </c>
      <c r="J16" s="176"/>
      <c r="K16" s="79"/>
      <c r="L16" s="66"/>
      <c r="N16" s="87"/>
      <c r="O16" s="71"/>
      <c r="P16" s="71">
        <f>G9+P12</f>
        <v>22633.680000000051</v>
      </c>
    </row>
    <row r="17" spans="1:16" ht="29.25" x14ac:dyDescent="0.5">
      <c r="A17" s="795" t="s">
        <v>140</v>
      </c>
      <c r="B17" s="796"/>
      <c r="C17" s="79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>
        <f>G9+P13</f>
        <v>22757.680000000051</v>
      </c>
    </row>
    <row r="18" spans="1:16" ht="27.75" x14ac:dyDescent="0.5">
      <c r="A18" s="771" t="s">
        <v>141</v>
      </c>
      <c r="B18" s="772"/>
      <c r="C18" s="773"/>
      <c r="D18" s="151" t="s">
        <v>142</v>
      </c>
      <c r="E18" s="95">
        <f>'1'!F18</f>
        <v>14</v>
      </c>
      <c r="F18" s="117">
        <v>20</v>
      </c>
      <c r="G18" s="119">
        <f>F18*10</f>
        <v>200</v>
      </c>
      <c r="H18" s="99">
        <f>G18+'1'!H18</f>
        <v>340</v>
      </c>
      <c r="I18" s="113">
        <f>'[1]1'!I18</f>
        <v>65</v>
      </c>
      <c r="J18" s="175">
        <f>H18/DAY(B2)</f>
        <v>170</v>
      </c>
      <c r="K18" s="79"/>
      <c r="L18" s="66"/>
      <c r="N18" s="87"/>
      <c r="O18" s="71"/>
    </row>
    <row r="19" spans="1:16" ht="27.75" x14ac:dyDescent="0.5">
      <c r="A19" s="771" t="s">
        <v>69</v>
      </c>
      <c r="B19" s="772"/>
      <c r="C19" s="773"/>
      <c r="D19" s="151" t="s">
        <v>142</v>
      </c>
      <c r="E19" s="95">
        <f>'1'!F19</f>
        <v>147171</v>
      </c>
      <c r="F19" s="373">
        <v>147230</v>
      </c>
      <c r="G19" s="112">
        <f>F19-E19</f>
        <v>59</v>
      </c>
      <c r="H19" s="99">
        <f>G19+'1'!H19</f>
        <v>118</v>
      </c>
      <c r="I19" s="374"/>
      <c r="J19" s="175">
        <f>H19/DAY(B2)</f>
        <v>59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51"/>
      <c r="G20" s="375">
        <f>G18+G19</f>
        <v>259</v>
      </c>
      <c r="H20" s="99">
        <f>G20+'1'!H20</f>
        <v>458</v>
      </c>
      <c r="I20" s="356">
        <f>I18-J20</f>
        <v>-164</v>
      </c>
      <c r="J20" s="175">
        <f>H20/DAY(B2)</f>
        <v>229</v>
      </c>
      <c r="K20" s="79"/>
      <c r="L20" s="66"/>
      <c r="N20" s="87"/>
      <c r="O20" s="71"/>
    </row>
    <row r="21" spans="1:16" ht="29.25" x14ac:dyDescent="0.5">
      <c r="A21" s="795" t="s">
        <v>144</v>
      </c>
      <c r="B21" s="796"/>
      <c r="C21" s="79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9.25" x14ac:dyDescent="0.5">
      <c r="A22" s="36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65" t="s">
        <v>147</v>
      </c>
      <c r="B23" s="205"/>
      <c r="C23" s="205"/>
      <c r="D23" s="151" t="s">
        <v>146</v>
      </c>
      <c r="E23" s="95">
        <f>'1'!F23</f>
        <v>2000</v>
      </c>
      <c r="F23" s="117">
        <v>2000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'1'!F24</f>
        <v>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7" x14ac:dyDescent="0.35">
      <c r="A25" s="800" t="s">
        <v>149</v>
      </c>
      <c r="B25" s="801"/>
      <c r="C25" s="80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22758</v>
      </c>
      <c r="F27" s="136">
        <v>9</v>
      </c>
      <c r="G27" s="137">
        <f>E27*F27</f>
        <v>204822</v>
      </c>
      <c r="H27" s="99">
        <f>G27+'1'!H27</f>
        <v>406693.79999999958</v>
      </c>
      <c r="I27" s="138"/>
      <c r="J27" s="175">
        <f>H27/DAY(B2)</f>
        <v>203346.89999999979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1027</v>
      </c>
      <c r="F28" s="136">
        <v>52</v>
      </c>
      <c r="G28" s="137">
        <f t="shared" ref="G28:G31" si="2">E28*F28</f>
        <v>53404</v>
      </c>
      <c r="H28" s="99">
        <f>G28+'1'!H28</f>
        <v>104416</v>
      </c>
      <c r="I28" s="140"/>
      <c r="J28" s="175">
        <f>H28/DAY(B2)</f>
        <v>52208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146</v>
      </c>
      <c r="G30" s="137">
        <f t="shared" si="2"/>
        <v>8614</v>
      </c>
      <c r="H30" s="99">
        <f>G30+'1'!H30</f>
        <v>17228</v>
      </c>
      <c r="I30" s="140"/>
      <c r="J30" s="175">
        <f>H30/DAY(B2)</f>
        <v>8614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 t="shared" si="2"/>
        <v>16000</v>
      </c>
      <c r="H31" s="99">
        <f>G31+'1'!H31</f>
        <v>27200</v>
      </c>
      <c r="I31" s="140"/>
      <c r="J31" s="175">
        <f>H31/DAY(B2)</f>
        <v>13600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282840</v>
      </c>
      <c r="H32" s="99">
        <f>G32+'1'!H32</f>
        <v>555537.79999999958</v>
      </c>
      <c r="I32" s="144"/>
      <c r="J32" s="175">
        <f>H32/DAY(B2)</f>
        <v>277768.89999999979</v>
      </c>
      <c r="K32" s="63"/>
      <c r="L32" s="89"/>
      <c r="N32" s="87"/>
      <c r="O32" s="71"/>
    </row>
    <row r="33" spans="1:15" ht="25.5" customHeight="1" x14ac:dyDescent="0.35">
      <c r="A33" s="803" t="s">
        <v>331</v>
      </c>
      <c r="B33" s="804"/>
      <c r="C33" s="804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'1'!F35</f>
        <v>0</v>
      </c>
      <c r="F35" s="145">
        <v>0</v>
      </c>
      <c r="G35" s="112">
        <f t="shared" ref="G35:G46" si="3">F35-E35</f>
        <v>0</v>
      </c>
      <c r="H35" s="99">
        <f>G35+'1'!H35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'1'!F36</f>
        <v>24821.9</v>
      </c>
      <c r="F36" s="145">
        <v>25679.71</v>
      </c>
      <c r="G36" s="112">
        <f t="shared" si="3"/>
        <v>857.80999999999767</v>
      </c>
      <c r="H36" s="99">
        <f>G36+'1'!H36</f>
        <v>1802.7099999999991</v>
      </c>
      <c r="I36" s="95"/>
      <c r="J36" s="175">
        <f>H36/DAY(B2)</f>
        <v>901.35499999999956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'1'!F37</f>
        <v>55921.31</v>
      </c>
      <c r="F37" s="145">
        <v>57648.19</v>
      </c>
      <c r="G37" s="112">
        <f t="shared" si="3"/>
        <v>1726.8800000000047</v>
      </c>
      <c r="H37" s="99">
        <f>G37+'1'!H37</f>
        <v>3485.1900000000023</v>
      </c>
      <c r="I37" s="95"/>
      <c r="J37" s="175">
        <f>H37/DAY(B2)</f>
        <v>1742.5950000000012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'1'!F38</f>
        <v>59025.22</v>
      </c>
      <c r="F38" s="108">
        <v>60992.17</v>
      </c>
      <c r="G38" s="112">
        <f t="shared" si="3"/>
        <v>1966.9499999999971</v>
      </c>
      <c r="H38" s="99">
        <f>G38+'1'!H38</f>
        <v>3866.1699999999983</v>
      </c>
      <c r="I38" s="95"/>
      <c r="J38" s="175">
        <f>H38/DAY(B2)</f>
        <v>1933.0849999999991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'1'!F39</f>
        <v>126904.78</v>
      </c>
      <c r="F39" s="145">
        <v>131008</v>
      </c>
      <c r="G39" s="112">
        <f t="shared" si="3"/>
        <v>4103.2200000000012</v>
      </c>
      <c r="H39" s="99">
        <f>G39+'1'!H39</f>
        <v>8117</v>
      </c>
      <c r="I39" s="95"/>
      <c r="J39" s="175">
        <f>H39/DAY(B2)</f>
        <v>4058.5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'1'!F40</f>
        <v>0</v>
      </c>
      <c r="F40" s="145">
        <v>0</v>
      </c>
      <c r="G40" s="112">
        <f t="shared" si="3"/>
        <v>0</v>
      </c>
      <c r="H40" s="99">
        <f>G40+'1'!H40</f>
        <v>0</v>
      </c>
      <c r="I40" s="95"/>
      <c r="J40" s="175">
        <f>H40/DAY(B2)</f>
        <v>0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'1'!F41</f>
        <v>491975.79</v>
      </c>
      <c r="F41" s="145">
        <v>497183.11</v>
      </c>
      <c r="G41" s="112">
        <f t="shared" si="3"/>
        <v>5207.320000000007</v>
      </c>
      <c r="H41" s="99">
        <f>G41+'1'!H41</f>
        <v>7963.5199999999604</v>
      </c>
      <c r="I41" s="95"/>
      <c r="J41" s="175">
        <f>H41/DAY(B2)</f>
        <v>3981.7599999999802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'1'!F42</f>
        <v>246138.83</v>
      </c>
      <c r="F42" s="145">
        <v>246138.83</v>
      </c>
      <c r="G42" s="112">
        <f t="shared" si="3"/>
        <v>0</v>
      </c>
      <c r="H42" s="99">
        <f>G42+'1'!H42</f>
        <v>1955.8299999999872</v>
      </c>
      <c r="I42" s="95"/>
      <c r="J42" s="175">
        <f>H42/DAY(B2)</f>
        <v>977.9149999999936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'1'!F43</f>
        <v>1366224</v>
      </c>
      <c r="F43" s="145">
        <v>1368498.7</v>
      </c>
      <c r="G43" s="112">
        <f t="shared" si="3"/>
        <v>2274.6999999999534</v>
      </c>
      <c r="H43" s="99">
        <f>G43+'1'!H43</f>
        <v>4540.6999999999534</v>
      </c>
      <c r="I43" s="95"/>
      <c r="J43" s="175">
        <f>H43/DAY(B2)</f>
        <v>2270.3499999999767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16136.879999999961</v>
      </c>
      <c r="H47" s="99">
        <f>G47+'1'!H47</f>
        <v>31731.119999999901</v>
      </c>
      <c r="I47" s="95"/>
      <c r="J47" s="175">
        <f>H47/DAY(B2)</f>
        <v>15865.55999999995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'1'!F49</f>
        <v>145493.31</v>
      </c>
      <c r="F49" s="145">
        <v>150098.91</v>
      </c>
      <c r="G49" s="112">
        <f t="shared" ref="G49:G58" si="4">F49-E49</f>
        <v>4605.6000000000058</v>
      </c>
      <c r="H49" s="99">
        <f>G49+'1'!H49</f>
        <v>8901.9100000000035</v>
      </c>
      <c r="I49" s="95"/>
      <c r="J49" s="175">
        <f>H49/DAY(B2)</f>
        <v>4450.9550000000017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'1'!F50</f>
        <v>644566.15</v>
      </c>
      <c r="F50" s="145">
        <v>645673.82999999996</v>
      </c>
      <c r="G50" s="112">
        <f t="shared" si="4"/>
        <v>1107.6799999999348</v>
      </c>
      <c r="H50" s="99">
        <f>G50+'1'!H50</f>
        <v>2183.8299999999581</v>
      </c>
      <c r="I50" s="95"/>
      <c r="J50" s="175">
        <f>H50/DAY(B2)</f>
        <v>1091.914999999979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'1'!F51</f>
        <v>0</v>
      </c>
      <c r="F51" s="145">
        <v>0</v>
      </c>
      <c r="G51" s="112">
        <f t="shared" si="4"/>
        <v>0</v>
      </c>
      <c r="H51" s="99">
        <f>G51+'1'!H51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'1'!F52</f>
        <v>0</v>
      </c>
      <c r="F52" s="145">
        <v>0</v>
      </c>
      <c r="G52" s="112">
        <f t="shared" si="4"/>
        <v>0</v>
      </c>
      <c r="H52" s="99">
        <f>G52+'1'!H52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'1'!F53</f>
        <v>0</v>
      </c>
      <c r="F53" s="145">
        <v>0</v>
      </c>
      <c r="G53" s="112">
        <f t="shared" si="4"/>
        <v>0</v>
      </c>
      <c r="H53" s="99">
        <f>G53+'1'!H53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'1'!F54</f>
        <v>2736.05</v>
      </c>
      <c r="F54" s="145">
        <v>2739.83</v>
      </c>
      <c r="G54" s="112">
        <f t="shared" si="4"/>
        <v>3.7799999999997453</v>
      </c>
      <c r="H54" s="99">
        <f>G54+'1'!H54</f>
        <v>7.8299999999999272</v>
      </c>
      <c r="I54" s="95"/>
      <c r="J54" s="175">
        <f>H54/DAY(B2)</f>
        <v>3.9149999999999636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'1'!F55</f>
        <v>307299.46999999997</v>
      </c>
      <c r="F55" s="145">
        <v>307299.46999999997</v>
      </c>
      <c r="G55" s="112">
        <f t="shared" si="4"/>
        <v>0</v>
      </c>
      <c r="H55" s="99">
        <f>G55+'1'!H55</f>
        <v>0.46999999997206032</v>
      </c>
      <c r="I55" s="95"/>
      <c r="J55" s="175">
        <f>H55/DAY(B2)</f>
        <v>0.23499999998603016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'1'!F56</f>
        <v>743740.23</v>
      </c>
      <c r="F56" s="145">
        <v>745512.87</v>
      </c>
      <c r="G56" s="112">
        <f t="shared" si="4"/>
        <v>1772.640000000014</v>
      </c>
      <c r="H56" s="99">
        <f>G56+'1'!H56</f>
        <v>3742.8699999999953</v>
      </c>
      <c r="I56" s="95"/>
      <c r="J56" s="175">
        <f>H56/DAY(B2)</f>
        <v>1871.4349999999977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'1'!F57</f>
        <v>0</v>
      </c>
      <c r="F57" s="145">
        <v>0</v>
      </c>
      <c r="G57" s="112">
        <f t="shared" si="4"/>
        <v>0</v>
      </c>
      <c r="H57" s="99">
        <f>G57+'1'!H57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'1'!F58</f>
        <v>72367</v>
      </c>
      <c r="F58" s="145">
        <v>72586.210000000006</v>
      </c>
      <c r="G58" s="112">
        <f t="shared" si="4"/>
        <v>219.2100000000064</v>
      </c>
      <c r="H58" s="99">
        <f>G58+'1'!H58</f>
        <v>431.2100000000064</v>
      </c>
      <c r="I58" s="95"/>
      <c r="J58" s="175">
        <f>H58/DAY(B2)</f>
        <v>215.6050000000032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7708.9099999999607</v>
      </c>
      <c r="H59" s="99">
        <f>G59+'1'!H59</f>
        <v>15268.119999999935</v>
      </c>
      <c r="I59" s="95">
        <f>G7-G60</f>
        <v>-1211.7899999999208</v>
      </c>
      <c r="J59" s="175">
        <f>H59/DAY(B2)</f>
        <v>7634.0599999999677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23845.789999999921</v>
      </c>
      <c r="H60" s="99">
        <f>G60+'1'!H60</f>
        <v>46999.239999999831</v>
      </c>
      <c r="I60" s="95">
        <f>G13-G60</f>
        <v>-1910.1099999998696</v>
      </c>
      <c r="J60" s="175">
        <f>H60/DAY(B2)</f>
        <v>23499.619999999915</v>
      </c>
      <c r="K60" s="79"/>
      <c r="L60" s="66"/>
      <c r="N60" s="87"/>
      <c r="O60" s="71"/>
    </row>
    <row r="61" spans="1:15" s="68" customFormat="1" ht="27.75" x14ac:dyDescent="0.5">
      <c r="A61" s="805" t="s">
        <v>332</v>
      </c>
      <c r="B61" s="806"/>
      <c r="C61" s="807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1" t="s">
        <v>198</v>
      </c>
      <c r="B62" s="772"/>
      <c r="C62" s="773"/>
      <c r="D62" s="151" t="s">
        <v>142</v>
      </c>
      <c r="E62" s="95">
        <f>'1'!F62</f>
        <v>256451</v>
      </c>
      <c r="F62" s="122">
        <v>256570</v>
      </c>
      <c r="G62" s="112">
        <f t="shared" ref="G62:G63" si="5">F62-E62</f>
        <v>119</v>
      </c>
      <c r="H62" s="99">
        <f>G62+'1'!H62</f>
        <v>217</v>
      </c>
      <c r="I62" s="118"/>
      <c r="J62" s="175">
        <f>H62/DAY(B2)</f>
        <v>108.5</v>
      </c>
      <c r="K62" s="80"/>
      <c r="L62" s="66"/>
      <c r="N62" s="87"/>
      <c r="O62" s="71"/>
    </row>
    <row r="63" spans="1:15" ht="27.75" x14ac:dyDescent="0.5">
      <c r="A63" s="771" t="s">
        <v>199</v>
      </c>
      <c r="B63" s="772"/>
      <c r="C63" s="773"/>
      <c r="D63" s="151" t="s">
        <v>142</v>
      </c>
      <c r="E63" s="95">
        <f>'1'!F63</f>
        <v>202691</v>
      </c>
      <c r="F63" s="122">
        <v>202855</v>
      </c>
      <c r="G63" s="112">
        <f t="shared" si="5"/>
        <v>164</v>
      </c>
      <c r="H63" s="99">
        <f>G63+'1'!H63</f>
        <v>329</v>
      </c>
      <c r="I63" s="118"/>
      <c r="J63" s="175">
        <f>H63/DAY(B2)</f>
        <v>164.5</v>
      </c>
      <c r="K63" s="69"/>
      <c r="L63" s="66"/>
      <c r="N63" s="87"/>
      <c r="O63" s="71"/>
    </row>
    <row r="64" spans="1:15" ht="29.25" x14ac:dyDescent="0.5">
      <c r="A64" s="780" t="s">
        <v>200</v>
      </c>
      <c r="B64" s="781"/>
      <c r="C64" s="782"/>
      <c r="D64" s="151"/>
      <c r="E64" s="95">
        <f>'1'!F64</f>
        <v>0</v>
      </c>
      <c r="F64" s="122"/>
      <c r="G64" s="112">
        <f>G62+G63</f>
        <v>283</v>
      </c>
      <c r="H64" s="99">
        <f>G64+'1'!H64</f>
        <v>546</v>
      </c>
      <c r="I64" s="118"/>
      <c r="J64" s="175">
        <f>H64/DAY(B2)</f>
        <v>273</v>
      </c>
      <c r="K64" s="69"/>
      <c r="L64" s="66"/>
      <c r="N64" s="87"/>
      <c r="O64" s="71"/>
    </row>
    <row r="65" spans="1:15" ht="27.75" x14ac:dyDescent="0.5">
      <c r="A65" s="771" t="s">
        <v>201</v>
      </c>
      <c r="B65" s="772"/>
      <c r="C65" s="773"/>
      <c r="D65" s="151" t="s">
        <v>142</v>
      </c>
      <c r="E65" s="95">
        <f>'1'!F65</f>
        <v>423365</v>
      </c>
      <c r="F65" s="122">
        <v>423459</v>
      </c>
      <c r="G65" s="112">
        <f t="shared" ref="G65:G70" si="6">F65-E65</f>
        <v>94</v>
      </c>
      <c r="H65" s="99">
        <f>G65+'1'!H65</f>
        <v>170</v>
      </c>
      <c r="I65" s="118"/>
      <c r="J65" s="175">
        <f>H65/DAY(B2)</f>
        <v>85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'1'!F66</f>
        <v>105338</v>
      </c>
      <c r="F66" s="122">
        <v>105360</v>
      </c>
      <c r="G66" s="112">
        <f t="shared" si="6"/>
        <v>22</v>
      </c>
      <c r="H66" s="99">
        <f>G66+'1'!H66</f>
        <v>46</v>
      </c>
      <c r="I66" s="118"/>
      <c r="J66" s="175">
        <f>H66/DAY(B2)</f>
        <v>23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'1'!F67</f>
        <v>101313</v>
      </c>
      <c r="F67" s="122">
        <v>101353</v>
      </c>
      <c r="G67" s="112">
        <f t="shared" si="6"/>
        <v>40</v>
      </c>
      <c r="H67" s="99">
        <f>G67+'1'!H67</f>
        <v>69</v>
      </c>
      <c r="I67" s="118"/>
      <c r="J67" s="175">
        <f>H67/DAY(B2)</f>
        <v>34.5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'1'!F68</f>
        <v>153144</v>
      </c>
      <c r="F68" s="122">
        <v>153186</v>
      </c>
      <c r="G68" s="112">
        <f t="shared" si="6"/>
        <v>42</v>
      </c>
      <c r="H68" s="99">
        <f>G68+'1'!H68</f>
        <v>73</v>
      </c>
      <c r="I68" s="118"/>
      <c r="J68" s="175">
        <f>H68/DAY(B2)</f>
        <v>36.5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'1'!F69</f>
        <v>9066</v>
      </c>
      <c r="F69" s="122">
        <v>9087</v>
      </c>
      <c r="G69" s="112">
        <f t="shared" si="6"/>
        <v>21</v>
      </c>
      <c r="H69" s="99">
        <f>G69+'1'!H69</f>
        <v>30</v>
      </c>
      <c r="I69" s="118"/>
      <c r="J69" s="175">
        <f>H69/DAY(B2)</f>
        <v>15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'1'!F70</f>
        <v>6814</v>
      </c>
      <c r="F70" s="122">
        <v>6824</v>
      </c>
      <c r="G70" s="112">
        <f t="shared" si="6"/>
        <v>10</v>
      </c>
      <c r="H70" s="99">
        <f>G70+'1'!H70</f>
        <v>20</v>
      </c>
      <c r="I70" s="118"/>
      <c r="J70" s="175">
        <f>H70/DAY(B2)</f>
        <v>10</v>
      </c>
      <c r="K70" s="69"/>
      <c r="L70" s="66"/>
      <c r="N70" s="87"/>
      <c r="O70" s="71"/>
    </row>
    <row r="71" spans="1:15" ht="29.25" x14ac:dyDescent="0.5">
      <c r="A71" s="780" t="s">
        <v>208</v>
      </c>
      <c r="B71" s="781"/>
      <c r="C71" s="782"/>
      <c r="D71" s="152"/>
      <c r="E71" s="152"/>
      <c r="F71" s="152"/>
      <c r="G71" s="153">
        <f>SUM(G65:G70)</f>
        <v>229</v>
      </c>
      <c r="H71" s="99">
        <f>G71+'1'!H71</f>
        <v>408</v>
      </c>
      <c r="I71" s="154"/>
      <c r="J71" s="175">
        <f>H71/DAY(B2)</f>
        <v>204</v>
      </c>
      <c r="K71" s="69"/>
      <c r="L71" s="66"/>
      <c r="N71" s="87"/>
      <c r="O71" s="71"/>
    </row>
    <row r="72" spans="1:15" s="88" customFormat="1" ht="27.75" x14ac:dyDescent="0.5">
      <c r="A72" s="767"/>
      <c r="B72" s="752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77" t="s">
        <v>333</v>
      </c>
      <c r="B73" s="778"/>
      <c r="C73" s="779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1" t="s">
        <v>220</v>
      </c>
      <c r="B74" s="772"/>
      <c r="C74" s="773"/>
      <c r="D74" s="151" t="s">
        <v>139</v>
      </c>
      <c r="E74" s="95">
        <f>'1'!F74</f>
        <v>864794.61</v>
      </c>
      <c r="F74" s="123">
        <v>865101.06</v>
      </c>
      <c r="G74" s="112">
        <f t="shared" ref="G74:G78" si="7">F74-E74</f>
        <v>306.45000000006985</v>
      </c>
      <c r="H74" s="99">
        <f>G74+'1'!H74</f>
        <v>593.06000000005588</v>
      </c>
      <c r="I74" s="154"/>
      <c r="J74" s="175">
        <f>H74/DAY(B2)</f>
        <v>296.53000000002794</v>
      </c>
      <c r="K74" s="69"/>
      <c r="L74" s="66"/>
      <c r="N74" s="87"/>
      <c r="O74" s="71"/>
    </row>
    <row r="75" spans="1:15" ht="27.75" x14ac:dyDescent="0.5">
      <c r="A75" s="771" t="s">
        <v>221</v>
      </c>
      <c r="B75" s="772"/>
      <c r="C75" s="773"/>
      <c r="D75" s="151" t="s">
        <v>139</v>
      </c>
      <c r="E75" s="95">
        <f>'1'!F75</f>
        <v>73583.399999999994</v>
      </c>
      <c r="F75" s="123">
        <v>73583.399999999994</v>
      </c>
      <c r="G75" s="112">
        <f t="shared" si="7"/>
        <v>0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68" t="s">
        <v>222</v>
      </c>
      <c r="B76" s="769"/>
      <c r="C76" s="770"/>
      <c r="D76" s="151" t="s">
        <v>139</v>
      </c>
      <c r="E76" s="95">
        <f>'1'!F76</f>
        <v>156937.32</v>
      </c>
      <c r="F76" s="123">
        <v>157040.78</v>
      </c>
      <c r="G76" s="112">
        <f t="shared" si="7"/>
        <v>103.45999999999185</v>
      </c>
      <c r="H76" s="99">
        <f>G76+'1'!H76</f>
        <v>228.77999999999884</v>
      </c>
      <c r="I76" s="154"/>
      <c r="J76" s="175">
        <f>H76/DAY(B2)</f>
        <v>114.38999999999942</v>
      </c>
      <c r="K76" s="69"/>
      <c r="L76" s="66"/>
      <c r="N76" s="87"/>
      <c r="O76" s="71"/>
    </row>
    <row r="77" spans="1:15" ht="27.75" x14ac:dyDescent="0.5">
      <c r="A77" s="768" t="s">
        <v>223</v>
      </c>
      <c r="B77" s="769"/>
      <c r="C77" s="770"/>
      <c r="D77" s="151" t="s">
        <v>139</v>
      </c>
      <c r="E77" s="95">
        <f>'1'!F77</f>
        <v>36058.800000000003</v>
      </c>
      <c r="F77" s="123">
        <v>36122</v>
      </c>
      <c r="G77" s="112">
        <f t="shared" si="7"/>
        <v>63.19999999999709</v>
      </c>
      <c r="H77" s="99">
        <f>G77+'1'!H77</f>
        <v>118</v>
      </c>
      <c r="I77" s="154"/>
      <c r="J77" s="175">
        <f>H77/DAY(B2)</f>
        <v>59</v>
      </c>
      <c r="K77" s="69"/>
      <c r="L77" s="66"/>
      <c r="N77" s="87"/>
      <c r="O77" s="71"/>
    </row>
    <row r="78" spans="1:15" ht="27.75" x14ac:dyDescent="0.5">
      <c r="A78" s="768" t="s">
        <v>224</v>
      </c>
      <c r="B78" s="769"/>
      <c r="C78" s="770"/>
      <c r="D78" s="151" t="s">
        <v>139</v>
      </c>
      <c r="E78" s="95">
        <f>'1'!F78</f>
        <v>9249.7000000000007</v>
      </c>
      <c r="F78" s="123">
        <v>9254.2000000000007</v>
      </c>
      <c r="G78" s="112">
        <f t="shared" si="7"/>
        <v>4.5</v>
      </c>
      <c r="H78" s="99">
        <f>G78+'1'!H78</f>
        <v>6.2000000000007276</v>
      </c>
      <c r="I78" s="118"/>
      <c r="J78" s="175">
        <f>H78/DAY(B2)</f>
        <v>3.1000000000003638</v>
      </c>
      <c r="K78" s="69"/>
      <c r="L78" s="66"/>
      <c r="N78" s="87"/>
      <c r="O78" s="71"/>
    </row>
    <row r="79" spans="1:15" s="57" customFormat="1" ht="27.75" x14ac:dyDescent="0.5">
      <c r="A79" s="768" t="s">
        <v>225</v>
      </c>
      <c r="B79" s="769"/>
      <c r="C79" s="770"/>
      <c r="D79" s="151"/>
      <c r="E79" s="95">
        <f>'1'!F79</f>
        <v>0</v>
      </c>
      <c r="F79" s="123"/>
      <c r="G79" s="112">
        <f>G15-SUM(G74:G78)</f>
        <v>549.38999999994121</v>
      </c>
      <c r="H79" s="99">
        <f>G79+'1'!H79</f>
        <v>1061.9599999999446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0" t="s">
        <v>329</v>
      </c>
      <c r="B80" s="781"/>
      <c r="C80" s="782"/>
      <c r="D80" s="151"/>
      <c r="E80" s="117"/>
      <c r="F80" s="117"/>
      <c r="G80" s="112">
        <f>SUM(G74:G79)</f>
        <v>1027</v>
      </c>
      <c r="H80" s="99">
        <f>G80+'1'!H80</f>
        <v>1027</v>
      </c>
      <c r="I80" s="118"/>
      <c r="J80" s="175"/>
      <c r="K80" s="59"/>
      <c r="L80" s="58"/>
      <c r="N80" s="87"/>
      <c r="O80" s="71"/>
    </row>
    <row r="81" spans="1:15" ht="27" x14ac:dyDescent="0.4">
      <c r="A81" s="785" t="s">
        <v>226</v>
      </c>
      <c r="B81" s="786"/>
      <c r="C81" s="78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'1'!F84</f>
        <v>41173.42</v>
      </c>
      <c r="F84" s="164">
        <v>41197.35</v>
      </c>
      <c r="G84" s="112">
        <f t="shared" si="8"/>
        <v>23.930000000000291</v>
      </c>
      <c r="H84" s="99">
        <f>G84+'1'!H84</f>
        <v>35.349999999998545</v>
      </c>
      <c r="I84" s="118"/>
      <c r="J84" s="175">
        <f>H84/DAY(B2)</f>
        <v>17.674999999999272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'1'!F85</f>
        <v>1187.3699999999999</v>
      </c>
      <c r="F85" s="164">
        <v>1187.7</v>
      </c>
      <c r="G85" s="112">
        <f t="shared" si="8"/>
        <v>0.33000000000015461</v>
      </c>
      <c r="H85" s="99">
        <f>G85+'1'!H85</f>
        <v>8.7000000000000455</v>
      </c>
      <c r="I85" s="118">
        <f>G82+G83+G84+G85</f>
        <v>24.260000000000446</v>
      </c>
      <c r="J85" s="175">
        <f>H85/DAY(B2)</f>
        <v>4.3500000000000227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'1'!F86</f>
        <v>42826.47</v>
      </c>
      <c r="F86" s="164">
        <v>42826.47</v>
      </c>
      <c r="G86" s="112">
        <f t="shared" si="8"/>
        <v>0</v>
      </c>
      <c r="H86" s="99">
        <f>G86+'1'!H86</f>
        <v>0.47000000000116415</v>
      </c>
      <c r="I86" s="118"/>
      <c r="J86" s="175">
        <f>H86/DAY(B2)</f>
        <v>0.23500000000058208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'1'!F87</f>
        <v>33323.519999999997</v>
      </c>
      <c r="F87" s="164">
        <v>33332.410000000003</v>
      </c>
      <c r="G87" s="112">
        <f t="shared" si="8"/>
        <v>8.8900000000066939</v>
      </c>
      <c r="H87" s="99">
        <f>G87+'1'!H87</f>
        <v>18.410000000003492</v>
      </c>
      <c r="I87" s="118"/>
      <c r="J87" s="175">
        <f>H87/DAY(B2)</f>
        <v>9.2050000000017462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'1'!F88</f>
        <v>23590.97</v>
      </c>
      <c r="F88" s="164">
        <v>23601.14</v>
      </c>
      <c r="G88" s="112">
        <f t="shared" si="8"/>
        <v>10.169999999998254</v>
      </c>
      <c r="H88" s="99">
        <f>G88+'1'!H88</f>
        <v>10.169999999998254</v>
      </c>
      <c r="I88" s="118">
        <f>G86+G87+G88</f>
        <v>19.060000000004948</v>
      </c>
      <c r="J88" s="175">
        <f>H88/DAY(B2)</f>
        <v>5.0849999999991269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'1'!F89</f>
        <v>25198.69</v>
      </c>
      <c r="F89" s="164">
        <v>25198.61</v>
      </c>
      <c r="G89" s="112">
        <f t="shared" si="8"/>
        <v>-7.9999999998108251E-2</v>
      </c>
      <c r="H89" s="99">
        <f>G89+'1'!H89</f>
        <v>11.240000000001601</v>
      </c>
      <c r="I89" s="118"/>
      <c r="J89" s="175">
        <f>H89/DAY(B2)</f>
        <v>5.6200000000008004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'1'!F90</f>
        <v>70532.98</v>
      </c>
      <c r="F90" s="164">
        <v>70532.98</v>
      </c>
      <c r="G90" s="112">
        <f t="shared" si="8"/>
        <v>0</v>
      </c>
      <c r="H90" s="99">
        <f>G90+'1'!H90</f>
        <v>0</v>
      </c>
      <c r="I90" s="118">
        <f>G89+G90</f>
        <v>-7.9999999998108251E-2</v>
      </c>
      <c r="J90" s="175">
        <f>H90/DAY(B2)</f>
        <v>0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'1'!F91</f>
        <v>2936.41</v>
      </c>
      <c r="F91" s="122">
        <v>2947.71</v>
      </c>
      <c r="G91" s="112">
        <f t="shared" si="8"/>
        <v>11.300000000000182</v>
      </c>
      <c r="H91" s="99">
        <f>G91+'1'!H91</f>
        <v>21.840000000000146</v>
      </c>
      <c r="I91" s="165"/>
      <c r="J91" s="175">
        <f>H91/DAY(B2)</f>
        <v>10.920000000000073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'1'!F92</f>
        <v>4758</v>
      </c>
      <c r="F92" s="122">
        <v>4758.46</v>
      </c>
      <c r="G92" s="112">
        <f t="shared" si="8"/>
        <v>0.46000000000003638</v>
      </c>
      <c r="H92" s="99">
        <f>G92+'1'!H92</f>
        <v>0.46000000000003638</v>
      </c>
      <c r="I92" s="165"/>
      <c r="J92" s="175">
        <f>H92/DAY(B2)</f>
        <v>0.23000000000001819</v>
      </c>
      <c r="O92" s="71"/>
    </row>
    <row r="93" spans="1:15" ht="29.25" x14ac:dyDescent="0.5">
      <c r="A93" s="774" t="s">
        <v>239</v>
      </c>
      <c r="B93" s="775"/>
      <c r="C93" s="77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1" t="s">
        <v>240</v>
      </c>
      <c r="B94" s="772"/>
      <c r="C94" s="773"/>
      <c r="D94" s="151" t="s">
        <v>130</v>
      </c>
      <c r="E94" s="151"/>
      <c r="F94" s="151"/>
      <c r="G94" s="99">
        <f>G35+G43+G49+G57</f>
        <v>6880.2999999999593</v>
      </c>
      <c r="H94" s="99">
        <f>G94+'1'!H94</f>
        <v>13442.609999999957</v>
      </c>
      <c r="I94" s="118"/>
      <c r="J94" s="175">
        <f>H94/DAY(B2)</f>
        <v>6721.3049999999785</v>
      </c>
      <c r="K94" s="69"/>
      <c r="L94" s="66"/>
      <c r="O94" s="71"/>
    </row>
    <row r="95" spans="1:15" ht="27.75" x14ac:dyDescent="0.5">
      <c r="A95" s="771" t="s">
        <v>241</v>
      </c>
      <c r="B95" s="772"/>
      <c r="C95" s="773"/>
      <c r="D95" s="151" t="s">
        <v>23</v>
      </c>
      <c r="E95" s="146"/>
      <c r="F95" s="146"/>
      <c r="G95" s="166">
        <f>G94/G7</f>
        <v>0.30398073694441807</v>
      </c>
      <c r="H95" s="99">
        <f>G95+'1'!H95</f>
        <v>0.59817293462936716</v>
      </c>
      <c r="I95" s="167"/>
      <c r="J95" s="175">
        <f>H95/DAY(B2)</f>
        <v>0.29908646731468358</v>
      </c>
      <c r="K95" s="69"/>
      <c r="L95" s="66"/>
      <c r="O95" s="71"/>
    </row>
    <row r="96" spans="1:15" ht="27.75" x14ac:dyDescent="0.5">
      <c r="A96" s="771" t="s">
        <v>242</v>
      </c>
      <c r="B96" s="772"/>
      <c r="C96" s="773"/>
      <c r="D96" s="151" t="s">
        <v>130</v>
      </c>
      <c r="E96" s="95"/>
      <c r="F96" s="95"/>
      <c r="G96" s="99">
        <f>G41+G42+G55+G56</f>
        <v>6979.960000000021</v>
      </c>
      <c r="H96" s="99">
        <f>G96+'1'!H96</f>
        <v>13662.689999999915</v>
      </c>
      <c r="I96" s="118"/>
      <c r="J96" s="175">
        <f>H96/DAY(B2)</f>
        <v>6831.3449999999575</v>
      </c>
      <c r="K96" s="69"/>
      <c r="L96" s="66"/>
      <c r="O96" s="71"/>
    </row>
    <row r="97" spans="1:15" ht="27.75" x14ac:dyDescent="0.5">
      <c r="A97" s="771" t="s">
        <v>243</v>
      </c>
      <c r="B97" s="772"/>
      <c r="C97" s="773"/>
      <c r="D97" s="151" t="s">
        <v>23</v>
      </c>
      <c r="E97" s="95"/>
      <c r="F97" s="95"/>
      <c r="G97" s="166">
        <f>G96/G7</f>
        <v>0.30838384730935853</v>
      </c>
      <c r="H97" s="99">
        <f>G97+'1'!H97</f>
        <v>0.6079745440663098</v>
      </c>
      <c r="I97" s="167"/>
      <c r="J97" s="175">
        <f>H97/DAY(B2)</f>
        <v>0.3039872720331549</v>
      </c>
      <c r="K97" s="69"/>
      <c r="L97" s="66"/>
      <c r="O97" s="71"/>
    </row>
    <row r="98" spans="1:15" ht="27.75" x14ac:dyDescent="0.5">
      <c r="A98" s="771" t="s">
        <v>244</v>
      </c>
      <c r="B98" s="772"/>
      <c r="C98" s="773"/>
      <c r="D98" s="151" t="s">
        <v>130</v>
      </c>
      <c r="E98" s="95"/>
      <c r="F98" s="95"/>
      <c r="G98" s="99">
        <f>G39+G53</f>
        <v>4103.2200000000012</v>
      </c>
      <c r="H98" s="99">
        <f>G98+'1'!H98</f>
        <v>8117</v>
      </c>
      <c r="I98" s="168"/>
      <c r="J98" s="175">
        <f>H98/DAY(B2)</f>
        <v>4058.5</v>
      </c>
      <c r="K98" s="69"/>
      <c r="L98" s="66"/>
      <c r="O98" s="71"/>
    </row>
    <row r="99" spans="1:15" ht="27.75" x14ac:dyDescent="0.5">
      <c r="A99" s="771" t="s">
        <v>245</v>
      </c>
      <c r="B99" s="772"/>
      <c r="C99" s="773"/>
      <c r="D99" s="151" t="s">
        <v>23</v>
      </c>
      <c r="E99" s="95"/>
      <c r="F99" s="95"/>
      <c r="G99" s="166">
        <f>G98/G7</f>
        <v>0.18128567641601137</v>
      </c>
      <c r="H99" s="99">
        <f>G99+'1'!H99</f>
        <v>0.36122578275415984</v>
      </c>
      <c r="I99" s="168"/>
      <c r="J99" s="175">
        <f>H99/DAY(B2)</f>
        <v>0.18061289137707992</v>
      </c>
      <c r="O99" s="71"/>
    </row>
    <row r="100" spans="1:15" ht="27.75" x14ac:dyDescent="0.5">
      <c r="A100" s="771" t="s">
        <v>246</v>
      </c>
      <c r="B100" s="772"/>
      <c r="C100" s="773"/>
      <c r="D100" s="151" t="s">
        <v>180</v>
      </c>
      <c r="E100" s="95"/>
      <c r="F100" s="95"/>
      <c r="G100" s="99">
        <f>G38+G52</f>
        <v>1966.9499999999971</v>
      </c>
      <c r="H100" s="99">
        <f>G100+'1'!H100</f>
        <v>3866.1699999999983</v>
      </c>
      <c r="I100" s="118"/>
      <c r="J100" s="175">
        <f>H100/DAY(B2)</f>
        <v>1933.0849999999991</v>
      </c>
      <c r="K100" s="70"/>
      <c r="O100" s="71"/>
    </row>
    <row r="101" spans="1:15" ht="27.75" x14ac:dyDescent="0.5">
      <c r="A101" s="771" t="s">
        <v>247</v>
      </c>
      <c r="B101" s="772"/>
      <c r="C101" s="773"/>
      <c r="D101" s="151" t="s">
        <v>23</v>
      </c>
      <c r="E101" s="95"/>
      <c r="F101" s="95"/>
      <c r="G101" s="166">
        <f>G100/G7</f>
        <v>8.6902447645135508E-2</v>
      </c>
      <c r="H101" s="99">
        <f>G101+'1'!H101</f>
        <v>0.17204559170373829</v>
      </c>
      <c r="I101" s="168"/>
      <c r="J101" s="175">
        <f>H101/DAY(B2)</f>
        <v>8.6022795851869144E-2</v>
      </c>
      <c r="O101" s="71"/>
    </row>
    <row r="102" spans="1:15" ht="27.75" x14ac:dyDescent="0.5">
      <c r="A102" s="771" t="s">
        <v>248</v>
      </c>
      <c r="B102" s="772"/>
      <c r="C102" s="773"/>
      <c r="D102" s="151" t="s">
        <v>180</v>
      </c>
      <c r="E102" s="95"/>
      <c r="F102" s="95"/>
      <c r="G102" s="99">
        <f>G36+G50</f>
        <v>1965.4899999999325</v>
      </c>
      <c r="H102" s="99">
        <f>G102+'1'!H102</f>
        <v>3986.5399999999572</v>
      </c>
      <c r="I102" s="168"/>
      <c r="J102" s="175">
        <f>H102/DAY(B2)</f>
        <v>1993.2699999999786</v>
      </c>
      <c r="O102" s="71"/>
    </row>
    <row r="103" spans="1:15" ht="27.75" x14ac:dyDescent="0.5">
      <c r="A103" s="771" t="s">
        <v>249</v>
      </c>
      <c r="B103" s="772"/>
      <c r="C103" s="773"/>
      <c r="D103" s="151" t="s">
        <v>23</v>
      </c>
      <c r="E103" s="95"/>
      <c r="F103" s="95"/>
      <c r="G103" s="166">
        <f>G102/G7</f>
        <v>8.6837942917731392E-2</v>
      </c>
      <c r="H103" s="99">
        <f>G103+'1'!H103</f>
        <v>0.17744279717350014</v>
      </c>
      <c r="I103" s="118"/>
      <c r="J103" s="175">
        <f>H103/DAY(B2)</f>
        <v>8.8721398586750072E-2</v>
      </c>
      <c r="O103" s="71"/>
    </row>
    <row r="104" spans="1:15" ht="27.75" x14ac:dyDescent="0.5">
      <c r="A104" s="771" t="s">
        <v>250</v>
      </c>
      <c r="B104" s="772"/>
      <c r="C104" s="773"/>
      <c r="D104" s="151" t="s">
        <v>180</v>
      </c>
      <c r="E104" s="95"/>
      <c r="F104" s="95"/>
      <c r="G104" s="99">
        <f>G37+G51</f>
        <v>1726.8800000000047</v>
      </c>
      <c r="H104" s="99">
        <f>G104+'1'!H104</f>
        <v>3485.1900000000023</v>
      </c>
      <c r="I104" s="118"/>
      <c r="J104" s="175">
        <f>H104/DAY(B2)</f>
        <v>1742.5950000000012</v>
      </c>
      <c r="O104" s="71"/>
    </row>
    <row r="105" spans="1:15" ht="28.5" thickBot="1" x14ac:dyDescent="0.55000000000000004">
      <c r="A105" s="764" t="s">
        <v>251</v>
      </c>
      <c r="B105" s="765"/>
      <c r="C105" s="766"/>
      <c r="D105" s="231" t="s">
        <v>23</v>
      </c>
      <c r="E105" s="185"/>
      <c r="F105" s="185"/>
      <c r="G105" s="186">
        <f>G104/G7</f>
        <v>7.6295838119643217E-2</v>
      </c>
      <c r="H105" s="99">
        <f>G105+'1'!H105</f>
        <v>0.1551219044151127</v>
      </c>
      <c r="I105" s="187"/>
      <c r="J105" s="188">
        <f>H105/DAY(B2)</f>
        <v>7.756095220755635E-2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0" t="s">
        <v>324</v>
      </c>
      <c r="B108" s="760"/>
      <c r="C108" s="760"/>
      <c r="D108" s="760"/>
      <c r="E108" s="760"/>
      <c r="F108" s="760"/>
      <c r="G108" s="760"/>
      <c r="H108" s="760"/>
      <c r="I108" s="760"/>
      <c r="J108" s="760"/>
    </row>
    <row r="109" spans="1:15" ht="29.25" x14ac:dyDescent="0.5">
      <c r="A109" s="788"/>
      <c r="B109" s="788"/>
    </row>
    <row r="110" spans="1:15" ht="29.25" x14ac:dyDescent="0.5">
      <c r="A110" s="761" t="s">
        <v>165</v>
      </c>
      <c r="B110" s="762"/>
      <c r="C110" s="762"/>
      <c r="D110" s="762"/>
      <c r="E110" s="762"/>
      <c r="F110" s="762"/>
      <c r="G110" s="762"/>
      <c r="H110" s="762"/>
      <c r="I110" s="762"/>
      <c r="J110" s="763"/>
    </row>
    <row r="111" spans="1:15" ht="27.75" x14ac:dyDescent="0.5">
      <c r="A111" s="753"/>
      <c r="B111" s="754"/>
      <c r="C111" s="755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0" t="s">
        <v>252</v>
      </c>
      <c r="B112" s="751"/>
      <c r="C112" s="752"/>
      <c r="D112" s="146" t="s">
        <v>183</v>
      </c>
      <c r="E112" s="95">
        <f>'1'!F112</f>
        <v>48359.08</v>
      </c>
      <c r="F112" s="237">
        <v>48439.14</v>
      </c>
      <c r="G112" s="112">
        <f t="shared" ref="G112:G123" si="9">F112-E112</f>
        <v>80.059999999997672</v>
      </c>
      <c r="H112" s="99">
        <f>G112+'1'!H112</f>
        <v>162.13999999999942</v>
      </c>
      <c r="I112" s="165"/>
      <c r="J112" s="348">
        <f>H112/DAY(B2)</f>
        <v>81.069999999999709</v>
      </c>
    </row>
    <row r="113" spans="1:18" ht="29.25" customHeight="1" x14ac:dyDescent="0.5">
      <c r="A113" s="750" t="s">
        <v>253</v>
      </c>
      <c r="B113" s="751"/>
      <c r="C113" s="752"/>
      <c r="D113" s="146" t="s">
        <v>183</v>
      </c>
      <c r="E113" s="95">
        <f>'1'!F113</f>
        <v>151037.74</v>
      </c>
      <c r="F113" s="237">
        <v>151482.74</v>
      </c>
      <c r="G113" s="112">
        <f t="shared" si="9"/>
        <v>445</v>
      </c>
      <c r="H113" s="99">
        <f>G113+'1'!H113</f>
        <v>951.73999999999069</v>
      </c>
      <c r="I113" s="165"/>
      <c r="J113" s="348">
        <f>H113/DAY(B2)</f>
        <v>475.86999999999534</v>
      </c>
    </row>
    <row r="114" spans="1:18" ht="29.25" customHeight="1" x14ac:dyDescent="0.5">
      <c r="A114" s="750" t="s">
        <v>254</v>
      </c>
      <c r="B114" s="751"/>
      <c r="C114" s="752"/>
      <c r="D114" s="146" t="s">
        <v>183</v>
      </c>
      <c r="E114" s="95">
        <f>'1'!F114</f>
        <v>70420.600000000006</v>
      </c>
      <c r="F114" s="237">
        <v>70631</v>
      </c>
      <c r="G114" s="112">
        <f t="shared" si="9"/>
        <v>210.39999999999418</v>
      </c>
      <c r="H114" s="99">
        <f>G114+'1'!H114</f>
        <v>431</v>
      </c>
      <c r="I114" s="165"/>
      <c r="J114" s="348">
        <f>H114/DAY(B2)</f>
        <v>215.5</v>
      </c>
    </row>
    <row r="115" spans="1:18" ht="29.25" customHeight="1" x14ac:dyDescent="0.5">
      <c r="A115" s="750" t="s">
        <v>255</v>
      </c>
      <c r="B115" s="751"/>
      <c r="C115" s="752"/>
      <c r="D115" s="146" t="s">
        <v>183</v>
      </c>
      <c r="E115" s="95">
        <f>'1'!F115</f>
        <v>7757.93</v>
      </c>
      <c r="F115" s="237">
        <v>7767.11</v>
      </c>
      <c r="G115" s="112">
        <f t="shared" si="9"/>
        <v>9.1799999999993815</v>
      </c>
      <c r="H115" s="99">
        <f>G115+'1'!H115</f>
        <v>19.109999999999673</v>
      </c>
      <c r="I115" s="165"/>
      <c r="J115" s="348">
        <f>H115/DAY(B2)</f>
        <v>9.5549999999998363</v>
      </c>
    </row>
    <row r="116" spans="1:18" ht="29.25" customHeight="1" x14ac:dyDescent="0.5">
      <c r="A116" s="757" t="s">
        <v>96</v>
      </c>
      <c r="B116" s="758"/>
      <c r="C116" s="759"/>
      <c r="D116" s="146" t="s">
        <v>183</v>
      </c>
      <c r="E116" s="95">
        <f>'1'!F116</f>
        <v>0</v>
      </c>
      <c r="F116" s="237">
        <v>0</v>
      </c>
      <c r="G116" s="112">
        <f t="shared" si="9"/>
        <v>0</v>
      </c>
      <c r="H116" s="99">
        <f>G116+'1'!H116</f>
        <v>0</v>
      </c>
      <c r="I116" s="165"/>
      <c r="J116" s="348">
        <f>H116/DAY(B2)</f>
        <v>0</v>
      </c>
      <c r="Q116" s="750"/>
      <c r="R116" s="752"/>
    </row>
    <row r="117" spans="1:18" ht="29.25" customHeight="1" x14ac:dyDescent="0.5">
      <c r="A117" s="757" t="s">
        <v>184</v>
      </c>
      <c r="B117" s="758"/>
      <c r="C117" s="759"/>
      <c r="D117" s="146" t="s">
        <v>183</v>
      </c>
      <c r="E117" s="95">
        <f>'1'!F117</f>
        <v>435</v>
      </c>
      <c r="F117" s="237">
        <v>453.17</v>
      </c>
      <c r="G117" s="112">
        <f t="shared" si="9"/>
        <v>18.170000000000016</v>
      </c>
      <c r="H117" s="99">
        <f>G117+'1'!H117</f>
        <v>37.170000000000016</v>
      </c>
      <c r="I117" s="165"/>
      <c r="J117" s="348">
        <f>H117/DAY(B2)</f>
        <v>18.585000000000008</v>
      </c>
      <c r="Q117" s="750"/>
      <c r="R117" s="752"/>
    </row>
    <row r="118" spans="1:18" ht="27.75" x14ac:dyDescent="0.5">
      <c r="A118" s="749" t="s">
        <v>97</v>
      </c>
      <c r="B118" s="749"/>
      <c r="C118" s="749"/>
      <c r="D118" s="151" t="s">
        <v>183</v>
      </c>
      <c r="E118" s="95">
        <f>'1'!F118</f>
        <v>206960.33</v>
      </c>
      <c r="F118" s="237">
        <v>207344.51</v>
      </c>
      <c r="G118" s="112">
        <f t="shared" si="9"/>
        <v>384.18000000002212</v>
      </c>
      <c r="H118" s="99">
        <f>G118+'1'!H118</f>
        <v>812.51000000000931</v>
      </c>
      <c r="I118" s="165"/>
      <c r="J118" s="348">
        <f>H118/DAY(B2)</f>
        <v>406.25500000000466</v>
      </c>
      <c r="Q118" s="750"/>
      <c r="R118" s="752"/>
    </row>
    <row r="119" spans="1:18" ht="27.75" x14ac:dyDescent="0.5">
      <c r="A119" s="749" t="s">
        <v>98</v>
      </c>
      <c r="B119" s="749"/>
      <c r="C119" s="749"/>
      <c r="D119" s="151" t="s">
        <v>183</v>
      </c>
      <c r="E119" s="95">
        <f>'1'!F119</f>
        <v>206608.65</v>
      </c>
      <c r="F119" s="237">
        <v>207005.05</v>
      </c>
      <c r="G119" s="112">
        <f t="shared" si="9"/>
        <v>396.39999999999418</v>
      </c>
      <c r="H119" s="99">
        <f>G119+'1'!H119</f>
        <v>775.04999999998836</v>
      </c>
      <c r="I119" s="165"/>
      <c r="J119" s="348">
        <f>H119/DAY(B2)</f>
        <v>387.52499999999418</v>
      </c>
    </row>
    <row r="120" spans="1:18" ht="27.75" x14ac:dyDescent="0.5">
      <c r="A120" s="749" t="s">
        <v>99</v>
      </c>
      <c r="B120" s="749"/>
      <c r="C120" s="749"/>
      <c r="D120" s="151" t="s">
        <v>183</v>
      </c>
      <c r="E120" s="95">
        <f>'1'!F120</f>
        <v>5916.1</v>
      </c>
      <c r="F120" s="237">
        <v>6327.25</v>
      </c>
      <c r="G120" s="112">
        <f t="shared" si="9"/>
        <v>411.14999999999964</v>
      </c>
      <c r="H120" s="99">
        <f>G120+'1'!H120</f>
        <v>812.25</v>
      </c>
      <c r="I120" s="165"/>
      <c r="J120" s="348">
        <f>H120/DAY(B2)</f>
        <v>406.125</v>
      </c>
    </row>
    <row r="121" spans="1:18" ht="27.75" x14ac:dyDescent="0.5">
      <c r="A121" s="749" t="s">
        <v>100</v>
      </c>
      <c r="B121" s="749"/>
      <c r="C121" s="749"/>
      <c r="D121" s="151" t="s">
        <v>183</v>
      </c>
      <c r="E121" s="95">
        <f>'1'!F121</f>
        <v>310785.73</v>
      </c>
      <c r="F121" s="237">
        <v>311307</v>
      </c>
      <c r="G121" s="112">
        <f t="shared" si="9"/>
        <v>521.27000000001863</v>
      </c>
      <c r="H121" s="99">
        <f>G121+'1'!H121</f>
        <v>1045</v>
      </c>
      <c r="I121" s="165"/>
      <c r="J121" s="348">
        <f>H121/DAY(B2)</f>
        <v>522.5</v>
      </c>
    </row>
    <row r="122" spans="1:18" ht="27.75" x14ac:dyDescent="0.5">
      <c r="A122" s="749" t="s">
        <v>101</v>
      </c>
      <c r="B122" s="749"/>
      <c r="C122" s="749"/>
      <c r="D122" s="151" t="s">
        <v>183</v>
      </c>
      <c r="E122" s="95">
        <f>'1'!F122</f>
        <v>91928.7</v>
      </c>
      <c r="F122" s="237">
        <v>92233.17</v>
      </c>
      <c r="G122" s="112">
        <f t="shared" si="9"/>
        <v>304.47000000000116</v>
      </c>
      <c r="H122" s="99">
        <f>G122+'1'!H122</f>
        <v>611.16999999999825</v>
      </c>
      <c r="I122" s="165"/>
      <c r="J122" s="348">
        <f>H122/DAY(B2)</f>
        <v>305.58499999999913</v>
      </c>
    </row>
    <row r="123" spans="1:18" ht="27.75" x14ac:dyDescent="0.5">
      <c r="A123" s="749" t="s">
        <v>102</v>
      </c>
      <c r="B123" s="749"/>
      <c r="C123" s="749"/>
      <c r="D123" s="151" t="s">
        <v>183</v>
      </c>
      <c r="E123" s="95">
        <f>'1'!F123</f>
        <v>115868.33</v>
      </c>
      <c r="F123" s="237">
        <v>116201.75</v>
      </c>
      <c r="G123" s="112">
        <f t="shared" si="9"/>
        <v>333.41999999999825</v>
      </c>
      <c r="H123" s="99">
        <f>G123+'1'!H123</f>
        <v>658.75</v>
      </c>
      <c r="I123" s="165"/>
      <c r="J123" s="348">
        <f>H123/DAY(B2)</f>
        <v>329.375</v>
      </c>
    </row>
    <row r="124" spans="1:18" ht="29.25" customHeight="1" x14ac:dyDescent="0.5">
      <c r="A124" s="753"/>
      <c r="B124" s="754"/>
      <c r="C124" s="755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37"/>
      <c r="B125" s="737"/>
      <c r="C125" s="246"/>
      <c r="D125" s="317"/>
      <c r="E125" s="318"/>
      <c r="F125" s="318"/>
      <c r="G125" s="319">
        <f>SUM(G112:G124)</f>
        <v>3113.7000000000253</v>
      </c>
      <c r="H125" s="156"/>
      <c r="I125" s="165"/>
      <c r="J125" s="347"/>
    </row>
    <row r="126" spans="1:18" ht="27.75" x14ac:dyDescent="0.5">
      <c r="A126" s="756" t="s">
        <v>317</v>
      </c>
      <c r="B126" s="756"/>
      <c r="C126" s="756"/>
      <c r="D126" s="756"/>
      <c r="E126" s="756"/>
      <c r="F126" s="756"/>
      <c r="G126" s="756"/>
      <c r="H126" s="756"/>
      <c r="I126" s="756"/>
      <c r="J126" s="756"/>
    </row>
    <row r="127" spans="1:18" ht="27.75" x14ac:dyDescent="0.5">
      <c r="A127" s="737"/>
      <c r="B127" s="737"/>
      <c r="C127" s="246"/>
      <c r="D127" s="317"/>
      <c r="E127" s="318"/>
      <c r="F127" s="318"/>
      <c r="G127" s="319"/>
      <c r="H127" s="99">
        <f>G127+'1'!H127</f>
        <v>0</v>
      </c>
      <c r="I127" s="165"/>
      <c r="J127" s="348">
        <f>H127/DAY(B2)</f>
        <v>0</v>
      </c>
    </row>
    <row r="128" spans="1:18" ht="29.25" customHeight="1" x14ac:dyDescent="0.5">
      <c r="A128" s="750" t="s">
        <v>318</v>
      </c>
      <c r="B128" s="751"/>
      <c r="C128" s="752"/>
      <c r="D128" s="151" t="s">
        <v>183</v>
      </c>
      <c r="E128" s="95">
        <f>'1'!F128</f>
        <v>7937.95</v>
      </c>
      <c r="F128" s="165">
        <v>8261.65</v>
      </c>
      <c r="G128" s="112">
        <f t="shared" ref="G128:G133" si="10">F128-E128</f>
        <v>323.69999999999982</v>
      </c>
      <c r="H128" s="99">
        <f>G128+'1'!H128</f>
        <v>650.64999999999964</v>
      </c>
      <c r="I128" s="165"/>
      <c r="J128" s="348">
        <f>H128/DAY(B2)</f>
        <v>325.32499999999982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'1'!F129</f>
        <v>265</v>
      </c>
      <c r="F129" s="165">
        <v>466.97</v>
      </c>
      <c r="G129" s="112">
        <f t="shared" si="10"/>
        <v>201.97000000000003</v>
      </c>
      <c r="H129" s="99">
        <f>G129+'1'!H129</f>
        <v>352.97</v>
      </c>
      <c r="I129" s="165"/>
      <c r="J129" s="348">
        <f>H129/DAY(B2)</f>
        <v>176.48500000000001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'1'!F130</f>
        <v>385.29</v>
      </c>
      <c r="F130" s="165">
        <v>613.97</v>
      </c>
      <c r="G130" s="112">
        <f t="shared" si="10"/>
        <v>228.68</v>
      </c>
      <c r="H130" s="99">
        <f>G130+'1'!H130</f>
        <v>433.97</v>
      </c>
      <c r="I130" s="165"/>
      <c r="J130" s="348">
        <f>H130/DAY(B2)</f>
        <v>216.98500000000001</v>
      </c>
      <c r="N130" s="240"/>
      <c r="O130" s="241"/>
    </row>
    <row r="131" spans="1:15" ht="27.75" x14ac:dyDescent="0.5">
      <c r="A131" s="750" t="s">
        <v>321</v>
      </c>
      <c r="B131" s="751"/>
      <c r="C131" s="752"/>
      <c r="D131" s="151" t="s">
        <v>183</v>
      </c>
      <c r="E131" s="95">
        <f>'1'!F131</f>
        <v>266.45</v>
      </c>
      <c r="F131" s="165">
        <v>383.01</v>
      </c>
      <c r="G131" s="112">
        <f t="shared" si="10"/>
        <v>116.56</v>
      </c>
      <c r="H131" s="99">
        <f>G131+'1'!H131</f>
        <v>273.01</v>
      </c>
      <c r="I131" s="165"/>
      <c r="J131" s="348">
        <f>H131/DAY(B2)</f>
        <v>136.505</v>
      </c>
      <c r="N131" s="240"/>
      <c r="O131" s="241"/>
    </row>
    <row r="132" spans="1:15" ht="27.75" x14ac:dyDescent="0.5">
      <c r="A132" s="750" t="s">
        <v>322</v>
      </c>
      <c r="B132" s="751"/>
      <c r="C132" s="752"/>
      <c r="D132" s="151" t="s">
        <v>183</v>
      </c>
      <c r="E132" s="95">
        <f>'1'!F132</f>
        <v>644.87</v>
      </c>
      <c r="F132" s="165">
        <v>1059.52</v>
      </c>
      <c r="G132" s="112">
        <f t="shared" si="10"/>
        <v>414.65</v>
      </c>
      <c r="H132" s="99">
        <f>G132+'1'!H132</f>
        <v>738.52</v>
      </c>
      <c r="I132" s="165"/>
      <c r="J132" s="348">
        <f>H132/DAY(B2)</f>
        <v>369.26</v>
      </c>
    </row>
    <row r="133" spans="1:15" ht="27.75" x14ac:dyDescent="0.5">
      <c r="A133" s="750" t="s">
        <v>342</v>
      </c>
      <c r="B133" s="751"/>
      <c r="C133" s="752"/>
      <c r="D133" s="151" t="s">
        <v>183</v>
      </c>
      <c r="E133" s="95">
        <f>'1'!F133</f>
        <v>17098.37</v>
      </c>
      <c r="F133" s="165">
        <v>17875.990000000002</v>
      </c>
      <c r="G133" s="112">
        <f t="shared" si="10"/>
        <v>777.62000000000262</v>
      </c>
      <c r="H133" s="99">
        <f>G133+'1'!H133</f>
        <v>1484.9900000000016</v>
      </c>
      <c r="I133" s="165"/>
      <c r="J133" s="348">
        <f>H133/DAY(B2)</f>
        <v>742.4950000000008</v>
      </c>
    </row>
    <row r="134" spans="1:15" ht="27.75" x14ac:dyDescent="0.5">
      <c r="A134" s="750" t="s">
        <v>340</v>
      </c>
      <c r="B134" s="751"/>
      <c r="C134" s="752"/>
      <c r="D134" s="151" t="s">
        <v>183</v>
      </c>
      <c r="E134" s="95">
        <f>'1'!F134</f>
        <v>0</v>
      </c>
      <c r="F134" s="165"/>
      <c r="G134" s="112">
        <f t="shared" ref="G134" si="11">F134-E134</f>
        <v>0</v>
      </c>
      <c r="H134" s="99">
        <f>G134+'1'!H134</f>
        <v>0</v>
      </c>
      <c r="I134" s="165"/>
      <c r="J134" s="348">
        <f>H134/DAY(B2)</f>
        <v>0</v>
      </c>
    </row>
    <row r="135" spans="1:15" ht="27.75" x14ac:dyDescent="0.5">
      <c r="A135" s="753"/>
      <c r="B135" s="754"/>
      <c r="C135" s="755"/>
      <c r="D135" s="151"/>
      <c r="E135" s="95"/>
      <c r="F135" s="165"/>
      <c r="G135" s="112"/>
      <c r="H135" s="99">
        <f>G135+'1'!H135</f>
        <v>0</v>
      </c>
      <c r="I135" s="165"/>
      <c r="J135" s="348">
        <f>H135/DAY(B2)</f>
        <v>0</v>
      </c>
    </row>
    <row r="136" spans="1:15" ht="31.5" x14ac:dyDescent="0.55000000000000004">
      <c r="A136" s="736" t="s">
        <v>325</v>
      </c>
      <c r="B136" s="736"/>
      <c r="C136" s="736"/>
      <c r="D136" s="736"/>
      <c r="E136" s="736"/>
      <c r="F136" s="736"/>
      <c r="G136" s="736"/>
      <c r="H136" s="736"/>
      <c r="I136" s="736"/>
      <c r="J136" s="736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49" t="s">
        <v>185</v>
      </c>
      <c r="B138" s="749"/>
      <c r="C138" s="749"/>
      <c r="D138" s="151" t="s">
        <v>183</v>
      </c>
      <c r="E138" s="95">
        <f>'1'!F138</f>
        <v>857445</v>
      </c>
      <c r="F138" s="147">
        <v>857535</v>
      </c>
      <c r="G138" s="112">
        <f t="shared" ref="G138:G152" si="12">F138-E138</f>
        <v>90</v>
      </c>
      <c r="H138" s="99">
        <f>G138+'1'!H138</f>
        <v>182</v>
      </c>
      <c r="I138" s="118"/>
      <c r="J138" s="348">
        <f>H138/DAY(B2)</f>
        <v>91</v>
      </c>
    </row>
    <row r="139" spans="1:15" ht="27.75" x14ac:dyDescent="0.5">
      <c r="A139" s="749" t="s">
        <v>186</v>
      </c>
      <c r="B139" s="749"/>
      <c r="C139" s="749"/>
      <c r="D139" s="151" t="s">
        <v>183</v>
      </c>
      <c r="E139" s="95">
        <f>'1'!F139</f>
        <v>886064</v>
      </c>
      <c r="F139" s="148">
        <v>886064</v>
      </c>
      <c r="G139" s="112">
        <f t="shared" si="12"/>
        <v>0</v>
      </c>
      <c r="H139" s="99">
        <f>G139+'1'!H139</f>
        <v>2</v>
      </c>
      <c r="I139" s="118"/>
      <c r="J139" s="348">
        <f>H139/DAY(B2)</f>
        <v>1</v>
      </c>
    </row>
    <row r="140" spans="1:15" ht="27.75" x14ac:dyDescent="0.5">
      <c r="A140" s="749" t="s">
        <v>187</v>
      </c>
      <c r="B140" s="749"/>
      <c r="C140" s="749"/>
      <c r="D140" s="151" t="s">
        <v>183</v>
      </c>
      <c r="E140" s="95">
        <f>'1'!F140</f>
        <v>88797.2</v>
      </c>
      <c r="F140" s="149">
        <v>88797.2</v>
      </c>
      <c r="G140" s="112">
        <f t="shared" si="12"/>
        <v>0</v>
      </c>
      <c r="H140" s="99">
        <f>G140+'1'!H140</f>
        <v>-0.80000000000291038</v>
      </c>
      <c r="I140" s="118"/>
      <c r="J140" s="348">
        <f>H140/DAY(B2)</f>
        <v>-0.40000000000145519</v>
      </c>
    </row>
    <row r="141" spans="1:15" ht="27.75" x14ac:dyDescent="0.5">
      <c r="A141" s="728" t="s">
        <v>188</v>
      </c>
      <c r="B141" s="728"/>
      <c r="C141" s="728"/>
      <c r="D141" s="151" t="s">
        <v>183</v>
      </c>
      <c r="E141" s="95">
        <f>'1'!F141</f>
        <v>31716.67</v>
      </c>
      <c r="F141" s="149">
        <v>31904.77</v>
      </c>
      <c r="G141" s="112">
        <f t="shared" si="12"/>
        <v>188.10000000000218</v>
      </c>
      <c r="H141" s="99">
        <f>G141+'1'!H141</f>
        <v>368.77000000000044</v>
      </c>
      <c r="I141" s="118"/>
      <c r="J141" s="348">
        <f>H141/DAY(B2)</f>
        <v>184.38500000000022</v>
      </c>
    </row>
    <row r="142" spans="1:15" ht="27.75" x14ac:dyDescent="0.5">
      <c r="A142" s="728" t="s">
        <v>189</v>
      </c>
      <c r="B142" s="728"/>
      <c r="C142" s="728"/>
      <c r="D142" s="151" t="s">
        <v>183</v>
      </c>
      <c r="E142" s="95">
        <f>'1'!F142</f>
        <v>15394.3</v>
      </c>
      <c r="F142" s="148">
        <v>15464.6</v>
      </c>
      <c r="G142" s="112">
        <f t="shared" si="12"/>
        <v>70.300000000001091</v>
      </c>
      <c r="H142" s="99">
        <f>G142+'1'!H142</f>
        <v>142.60000000000036</v>
      </c>
      <c r="I142" s="140"/>
      <c r="J142" s="348">
        <f>H142/DAY(B2)</f>
        <v>71.300000000000182</v>
      </c>
    </row>
    <row r="143" spans="1:15" ht="27.75" x14ac:dyDescent="0.5">
      <c r="A143" s="749" t="s">
        <v>91</v>
      </c>
      <c r="B143" s="749"/>
      <c r="C143" s="749"/>
      <c r="D143" s="151" t="s">
        <v>183</v>
      </c>
      <c r="E143" s="95">
        <f>'1'!F143</f>
        <v>554.66</v>
      </c>
      <c r="F143" s="149">
        <v>585.44000000000005</v>
      </c>
      <c r="G143" s="112">
        <f t="shared" si="12"/>
        <v>30.780000000000086</v>
      </c>
      <c r="H143" s="99">
        <f>G143+'1'!H143</f>
        <v>56.440000000000055</v>
      </c>
      <c r="I143" s="140"/>
      <c r="J143" s="348">
        <f>H143/DAY(B2)</f>
        <v>28.220000000000027</v>
      </c>
    </row>
    <row r="144" spans="1:15" ht="27.75" x14ac:dyDescent="0.5">
      <c r="A144" s="728" t="s">
        <v>90</v>
      </c>
      <c r="B144" s="728"/>
      <c r="C144" s="728"/>
      <c r="D144" s="151" t="s">
        <v>183</v>
      </c>
      <c r="E144" s="95">
        <f>'1'!F144</f>
        <v>850209</v>
      </c>
      <c r="F144" s="149">
        <v>850382</v>
      </c>
      <c r="G144" s="112">
        <f t="shared" si="12"/>
        <v>173</v>
      </c>
      <c r="H144" s="99">
        <f>G144+'1'!H144</f>
        <v>345</v>
      </c>
      <c r="I144" s="140"/>
      <c r="J144" s="348">
        <f>H144/DAY(B2)</f>
        <v>172.5</v>
      </c>
    </row>
    <row r="145" spans="1:10" ht="27.75" x14ac:dyDescent="0.5">
      <c r="A145" s="749" t="s">
        <v>190</v>
      </c>
      <c r="B145" s="749"/>
      <c r="C145" s="749"/>
      <c r="D145" s="152" t="s">
        <v>183</v>
      </c>
      <c r="E145" s="95">
        <f>'1'!F145</f>
        <v>974.68</v>
      </c>
      <c r="F145" s="149">
        <v>1021.48</v>
      </c>
      <c r="G145" s="112">
        <f t="shared" si="12"/>
        <v>46.800000000000068</v>
      </c>
      <c r="H145" s="99">
        <f>G145+'1'!H145</f>
        <v>67.480000000000018</v>
      </c>
      <c r="I145" s="140"/>
      <c r="J145" s="348">
        <f>H145/DAY(B2)</f>
        <v>33.740000000000009</v>
      </c>
    </row>
    <row r="146" spans="1:10" ht="27.75" x14ac:dyDescent="0.5">
      <c r="A146" s="784" t="s">
        <v>191</v>
      </c>
      <c r="B146" s="769"/>
      <c r="C146" s="770"/>
      <c r="D146" s="152" t="s">
        <v>183</v>
      </c>
      <c r="E146" s="95">
        <f>'1'!F146</f>
        <v>687354</v>
      </c>
      <c r="F146" s="148">
        <v>687566</v>
      </c>
      <c r="G146" s="112">
        <f t="shared" si="12"/>
        <v>212</v>
      </c>
      <c r="H146" s="99">
        <f>G146+'1'!H146</f>
        <v>374</v>
      </c>
      <c r="I146" s="140"/>
      <c r="J146" s="348">
        <f>H146/DAY(B2)</f>
        <v>187</v>
      </c>
    </row>
    <row r="147" spans="1:10" ht="27.75" x14ac:dyDescent="0.5">
      <c r="A147" s="728" t="s">
        <v>192</v>
      </c>
      <c r="B147" s="728"/>
      <c r="C147" s="728"/>
      <c r="D147" s="152" t="s">
        <v>183</v>
      </c>
      <c r="E147" s="95">
        <f>'1'!F147</f>
        <v>576557.48</v>
      </c>
      <c r="F147" s="148">
        <v>576922.52</v>
      </c>
      <c r="G147" s="112">
        <f t="shared" si="12"/>
        <v>365.04000000003725</v>
      </c>
      <c r="H147" s="99">
        <f>G147+'1'!H147</f>
        <v>850.52000000001863</v>
      </c>
      <c r="I147" s="140"/>
      <c r="J147" s="348">
        <f>H147/DAY(B2)</f>
        <v>425.26000000000931</v>
      </c>
    </row>
    <row r="148" spans="1:10" ht="27.75" x14ac:dyDescent="0.5">
      <c r="A148" s="729" t="s">
        <v>193</v>
      </c>
      <c r="B148" s="730"/>
      <c r="C148" s="731"/>
      <c r="D148" s="123" t="s">
        <v>130</v>
      </c>
      <c r="E148" s="95">
        <f>'1'!F148</f>
        <v>658756.05000000005</v>
      </c>
      <c r="F148" s="150">
        <v>658969.64</v>
      </c>
      <c r="G148" s="112">
        <f t="shared" si="12"/>
        <v>213.5899999999674</v>
      </c>
      <c r="H148" s="99">
        <f>G148+'1'!H148</f>
        <v>369.64000000001397</v>
      </c>
      <c r="I148" s="124"/>
      <c r="J148" s="348">
        <f>H148/DAY(B2)</f>
        <v>184.82000000000698</v>
      </c>
    </row>
    <row r="149" spans="1:10" ht="27.75" x14ac:dyDescent="0.5">
      <c r="A149" s="729" t="s">
        <v>336</v>
      </c>
      <c r="B149" s="730"/>
      <c r="C149" s="731"/>
      <c r="D149" s="227" t="s">
        <v>130</v>
      </c>
      <c r="E149" s="95">
        <f>'1'!F149</f>
        <v>0</v>
      </c>
      <c r="F149" s="146">
        <v>0</v>
      </c>
      <c r="G149" s="112">
        <f t="shared" si="12"/>
        <v>0</v>
      </c>
      <c r="H149" s="99">
        <f>G149+'1'!H149</f>
        <v>0</v>
      </c>
      <c r="I149" s="119"/>
      <c r="J149" s="348">
        <f>H149/DAY(B2)</f>
        <v>0</v>
      </c>
    </row>
    <row r="150" spans="1:10" ht="27.75" x14ac:dyDescent="0.5">
      <c r="A150" s="729" t="s">
        <v>337</v>
      </c>
      <c r="B150" s="730"/>
      <c r="C150" s="731"/>
      <c r="D150" s="117" t="s">
        <v>130</v>
      </c>
      <c r="E150" s="95">
        <f>'1'!F150</f>
        <v>0</v>
      </c>
      <c r="F150" s="233">
        <v>0</v>
      </c>
      <c r="G150" s="112">
        <f t="shared" si="12"/>
        <v>0</v>
      </c>
      <c r="H150" s="99">
        <f>G150+'1'!H150</f>
        <v>0</v>
      </c>
      <c r="I150" s="119"/>
      <c r="J150" s="348">
        <f>H150/DAY(B2)</f>
        <v>0</v>
      </c>
    </row>
    <row r="151" spans="1:10" ht="27.75" x14ac:dyDescent="0.5">
      <c r="A151" s="729" t="s">
        <v>338</v>
      </c>
      <c r="B151" s="730"/>
      <c r="C151" s="731"/>
      <c r="D151" s="117" t="s">
        <v>130</v>
      </c>
      <c r="E151" s="95">
        <f>'1'!F151</f>
        <v>53711</v>
      </c>
      <c r="F151" s="233">
        <v>54005</v>
      </c>
      <c r="G151" s="112">
        <f t="shared" si="12"/>
        <v>294</v>
      </c>
      <c r="H151" s="99">
        <f>G151+'1'!H151</f>
        <v>626</v>
      </c>
      <c r="I151" s="119"/>
      <c r="J151" s="348">
        <f>H151/DAY(B2)</f>
        <v>313</v>
      </c>
    </row>
    <row r="152" spans="1:10" ht="27.75" x14ac:dyDescent="0.5">
      <c r="A152" s="729" t="s">
        <v>339</v>
      </c>
      <c r="B152" s="730"/>
      <c r="C152" s="731"/>
      <c r="D152" s="117" t="s">
        <v>130</v>
      </c>
      <c r="E152" s="95">
        <f>'1'!F152</f>
        <v>0</v>
      </c>
      <c r="F152" s="233"/>
      <c r="G152" s="112">
        <f t="shared" si="12"/>
        <v>0</v>
      </c>
      <c r="H152" s="99">
        <f>G152+'1'!H152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36" t="s">
        <v>344</v>
      </c>
      <c r="B154" s="736"/>
      <c r="C154" s="736"/>
      <c r="D154" s="736"/>
      <c r="E154" s="736"/>
      <c r="F154" s="736"/>
      <c r="G154" s="736"/>
      <c r="H154" s="736"/>
      <c r="I154" s="736"/>
      <c r="J154" s="736"/>
    </row>
    <row r="155" spans="1:10" ht="31.5" x14ac:dyDescent="0.55000000000000004">
      <c r="A155" s="728" t="s">
        <v>345</v>
      </c>
      <c r="B155" s="728"/>
      <c r="C155" s="728"/>
      <c r="D155" s="117" t="s">
        <v>130</v>
      </c>
      <c r="E155" s="95">
        <v>77027.899999999994</v>
      </c>
      <c r="F155" s="397">
        <v>77035.899999999994</v>
      </c>
      <c r="G155" s="112">
        <f t="shared" ref="G155:G156" si="13">F155-E155</f>
        <v>8</v>
      </c>
      <c r="H155" s="99">
        <f>G155+'1'!H155</f>
        <v>8</v>
      </c>
      <c r="I155" s="385"/>
      <c r="J155" s="348">
        <f>H155/DAY(B2)</f>
        <v>4</v>
      </c>
    </row>
    <row r="156" spans="1:10" ht="27.75" x14ac:dyDescent="0.5">
      <c r="A156" s="728" t="s">
        <v>346</v>
      </c>
      <c r="B156" s="728"/>
      <c r="C156" s="728"/>
      <c r="D156" s="117" t="s">
        <v>130</v>
      </c>
      <c r="E156" s="95">
        <f>'1'!F156</f>
        <v>0</v>
      </c>
      <c r="F156" s="165"/>
      <c r="G156" s="112">
        <f t="shared" si="13"/>
        <v>0</v>
      </c>
      <c r="H156" s="99">
        <f>G156+'1'!H156</f>
        <v>0</v>
      </c>
      <c r="I156" s="165"/>
      <c r="J156" s="348">
        <f>H156/DAY(B2)</f>
        <v>0</v>
      </c>
    </row>
    <row r="157" spans="1:10" ht="31.5" x14ac:dyDescent="0.55000000000000004">
      <c r="A157" s="736" t="s">
        <v>326</v>
      </c>
      <c r="B157" s="736"/>
      <c r="C157" s="736"/>
      <c r="D157" s="736"/>
      <c r="E157" s="736"/>
      <c r="F157" s="736"/>
      <c r="G157" s="736"/>
      <c r="H157" s="736"/>
      <c r="I157" s="736"/>
      <c r="J157" s="736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'1'!F158</f>
        <v>465290.2</v>
      </c>
      <c r="F158" s="235">
        <v>465329.44</v>
      </c>
      <c r="G158" s="238">
        <f t="shared" ref="G158:G162" si="14">F158-E158</f>
        <v>39.239999999990687</v>
      </c>
      <c r="H158" s="99">
        <f>G158+'1'!H158</f>
        <v>68.440000000002328</v>
      </c>
      <c r="I158" s="236"/>
      <c r="J158" s="239">
        <f>H158/DAY(B2)</f>
        <v>34.220000000001164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'1'!F159</f>
        <v>84841.8</v>
      </c>
      <c r="F159" s="235">
        <v>84865.5</v>
      </c>
      <c r="G159" s="238">
        <f t="shared" si="14"/>
        <v>23.69999999999709</v>
      </c>
      <c r="H159" s="99">
        <f>G159+'1'!H159</f>
        <v>55.5</v>
      </c>
      <c r="I159" s="236"/>
      <c r="J159" s="239">
        <f>H159/DAY(B2)</f>
        <v>27.75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'1'!F160</f>
        <v>71056.800000000003</v>
      </c>
      <c r="F160" s="235">
        <v>71111.100000000006</v>
      </c>
      <c r="G160" s="238">
        <f t="shared" si="14"/>
        <v>54.30000000000291</v>
      </c>
      <c r="H160" s="99">
        <f>G160+'1'!H160</f>
        <v>140.10000000000582</v>
      </c>
      <c r="I160" s="236"/>
      <c r="J160" s="239">
        <f>H160/DAY(B2)</f>
        <v>70.05000000000291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'1'!F161</f>
        <v>3805.8</v>
      </c>
      <c r="F161" s="235">
        <v>3810</v>
      </c>
      <c r="G161" s="238">
        <f t="shared" si="14"/>
        <v>4.1999999999998181</v>
      </c>
      <c r="H161" s="99">
        <f>G161+'1'!H161</f>
        <v>13</v>
      </c>
      <c r="I161" s="236"/>
      <c r="J161" s="239">
        <f>H161/DAY(B2)</f>
        <v>6.5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'1'!F162</f>
        <v>28979</v>
      </c>
      <c r="F162" s="235">
        <v>28982.51</v>
      </c>
      <c r="G162" s="238">
        <f t="shared" si="14"/>
        <v>3.5099999999983993</v>
      </c>
      <c r="H162" s="99">
        <f>G162+'1'!H162</f>
        <v>10.509999999998399</v>
      </c>
      <c r="I162" s="236"/>
      <c r="J162" s="239">
        <f>H162/DAY(B2)</f>
        <v>5.2549999999991996</v>
      </c>
    </row>
    <row r="163" spans="1:10" ht="29.25" customHeight="1" x14ac:dyDescent="0.5">
      <c r="A163" s="737"/>
      <c r="B163" s="737"/>
      <c r="C163" s="247"/>
      <c r="D163" s="244" t="s">
        <v>180</v>
      </c>
      <c r="E163" s="95">
        <f>'1'!F163</f>
        <v>0</v>
      </c>
      <c r="F163" s="165"/>
      <c r="G163" s="165"/>
      <c r="H163" s="99">
        <f>G163+'1'!H163</f>
        <v>0</v>
      </c>
      <c r="I163" s="165"/>
      <c r="J163" s="347"/>
    </row>
    <row r="164" spans="1:10" ht="29.25" x14ac:dyDescent="0.5">
      <c r="A164" s="737"/>
      <c r="B164" s="737"/>
      <c r="C164" s="247"/>
      <c r="D164" s="244" t="s">
        <v>180</v>
      </c>
      <c r="E164" s="95">
        <f>'1'!F164</f>
        <v>0</v>
      </c>
      <c r="F164" s="165"/>
      <c r="G164" s="165"/>
      <c r="H164" s="99">
        <f>G164+'1'!H164</f>
        <v>0</v>
      </c>
      <c r="I164" s="165"/>
      <c r="J164" s="347"/>
    </row>
    <row r="165" spans="1:10" ht="29.25" x14ac:dyDescent="0.5">
      <c r="A165" s="737"/>
      <c r="B165" s="737"/>
      <c r="C165" s="247"/>
      <c r="D165" s="244" t="s">
        <v>180</v>
      </c>
      <c r="E165" s="95">
        <f>'1'!F165</f>
        <v>0</v>
      </c>
      <c r="F165" s="165"/>
      <c r="G165" s="165"/>
      <c r="H165" s="99">
        <f>G165+'1'!H165</f>
        <v>0</v>
      </c>
      <c r="I165" s="165"/>
      <c r="J165" s="347"/>
    </row>
    <row r="166" spans="1:10" ht="29.25" x14ac:dyDescent="0.5"/>
    <row r="167" spans="1:10" ht="29.25" x14ac:dyDescent="0.5"/>
    <row r="168" spans="1:10" ht="31.5" x14ac:dyDescent="0.35">
      <c r="A168" s="738" t="s">
        <v>330</v>
      </c>
      <c r="B168" s="739"/>
      <c r="C168" s="739"/>
      <c r="D168" s="739"/>
      <c r="E168" s="739"/>
      <c r="F168" s="739"/>
      <c r="G168" s="739"/>
      <c r="H168" s="739"/>
      <c r="I168" s="739"/>
      <c r="J168" s="740"/>
    </row>
    <row r="169" spans="1:10" ht="27.75" x14ac:dyDescent="0.5">
      <c r="A169" s="747"/>
      <c r="B169" s="748"/>
      <c r="C169" s="352"/>
      <c r="D169" s="228"/>
      <c r="E169" s="155"/>
      <c r="F169" s="155"/>
      <c r="G169" s="155"/>
      <c r="H169" s="156"/>
      <c r="I169" s="155"/>
      <c r="J169" s="178"/>
    </row>
    <row r="170" spans="1:10" ht="35.25" customHeight="1" x14ac:dyDescent="0.5">
      <c r="A170" s="743" t="s">
        <v>209</v>
      </c>
      <c r="B170" s="744"/>
      <c r="C170" s="353"/>
      <c r="D170" s="228" t="s">
        <v>142</v>
      </c>
      <c r="E170" s="95">
        <f>'1'!F170</f>
        <v>7895</v>
      </c>
      <c r="F170" s="155">
        <v>7895</v>
      </c>
      <c r="G170" s="155">
        <f>F170-E170</f>
        <v>0</v>
      </c>
      <c r="H170" s="99">
        <f>G170+'1'!H170</f>
        <v>0</v>
      </c>
      <c r="I170" s="155"/>
      <c r="J170" s="178">
        <f>H170/DAY(B2)</f>
        <v>0</v>
      </c>
    </row>
    <row r="171" spans="1:10" ht="27.75" x14ac:dyDescent="0.5">
      <c r="A171" s="743" t="s">
        <v>75</v>
      </c>
      <c r="B171" s="744"/>
      <c r="C171" s="353"/>
      <c r="D171" s="228" t="s">
        <v>142</v>
      </c>
      <c r="E171" s="95">
        <f>'1'!F171</f>
        <v>37044</v>
      </c>
      <c r="F171" s="157">
        <v>37056</v>
      </c>
      <c r="G171" s="155">
        <f t="shared" ref="G171:G172" si="15">F171-E171</f>
        <v>12</v>
      </c>
      <c r="H171" s="99">
        <f>G171+'1'!H171</f>
        <v>22</v>
      </c>
      <c r="I171" s="155"/>
      <c r="J171" s="178">
        <f>H171/DAY(B2)</f>
        <v>11</v>
      </c>
    </row>
    <row r="172" spans="1:10" ht="27.75" x14ac:dyDescent="0.5">
      <c r="A172" s="743" t="s">
        <v>76</v>
      </c>
      <c r="B172" s="783"/>
      <c r="C172" s="744"/>
      <c r="D172" s="228" t="s">
        <v>142</v>
      </c>
      <c r="E172" s="95">
        <f>'1'!F172</f>
        <v>20478</v>
      </c>
      <c r="F172" s="155">
        <v>20487</v>
      </c>
      <c r="G172" s="155">
        <f t="shared" si="15"/>
        <v>9</v>
      </c>
      <c r="H172" s="99">
        <f>G172+'1'!H172</f>
        <v>18</v>
      </c>
      <c r="I172" s="155"/>
      <c r="J172" s="178">
        <f>H172/DAY(B2)</f>
        <v>9</v>
      </c>
    </row>
    <row r="173" spans="1:10" ht="27.75" x14ac:dyDescent="0.5">
      <c r="A173" s="732" t="s">
        <v>196</v>
      </c>
      <c r="B173" s="733"/>
      <c r="C173" s="611"/>
      <c r="D173" s="228"/>
      <c r="E173" s="95"/>
      <c r="F173" s="155"/>
      <c r="G173" s="155">
        <f>SUM(G170:G172)</f>
        <v>21</v>
      </c>
      <c r="H173" s="99">
        <f>G173+'1'!H173</f>
        <v>40</v>
      </c>
      <c r="I173" s="155"/>
      <c r="J173" s="178">
        <f>H173/DAY(B2)</f>
        <v>20</v>
      </c>
    </row>
    <row r="174" spans="1:10" ht="27.75" x14ac:dyDescent="0.5">
      <c r="A174" s="743" t="s">
        <v>77</v>
      </c>
      <c r="B174" s="744"/>
      <c r="C174" s="353"/>
      <c r="D174" s="228" t="s">
        <v>142</v>
      </c>
      <c r="E174" s="95"/>
      <c r="F174" s="155"/>
      <c r="G174" s="155"/>
      <c r="H174" s="99">
        <f>G174+'1'!H174</f>
        <v>0</v>
      </c>
      <c r="I174" s="155"/>
      <c r="J174" s="178"/>
    </row>
    <row r="175" spans="1:10" ht="27.75" x14ac:dyDescent="0.5">
      <c r="A175" s="743" t="s">
        <v>210</v>
      </c>
      <c r="B175" s="744"/>
      <c r="C175" s="353"/>
      <c r="D175" s="228" t="s">
        <v>142</v>
      </c>
      <c r="E175" s="95">
        <f>'1'!F175</f>
        <v>72017</v>
      </c>
      <c r="F175" s="155">
        <v>72101</v>
      </c>
      <c r="G175" s="155">
        <f>F175-E175</f>
        <v>84</v>
      </c>
      <c r="H175" s="99">
        <f>G175+'1'!H175</f>
        <v>167</v>
      </c>
      <c r="I175" s="155"/>
      <c r="J175" s="178">
        <f>H175/DAY(B2)</f>
        <v>83.5</v>
      </c>
    </row>
    <row r="176" spans="1:10" ht="27.75" x14ac:dyDescent="0.5">
      <c r="A176" s="743" t="s">
        <v>211</v>
      </c>
      <c r="B176" s="744"/>
      <c r="C176" s="353"/>
      <c r="D176" s="228" t="s">
        <v>142</v>
      </c>
      <c r="E176" s="95">
        <f>'1'!F176</f>
        <v>33886</v>
      </c>
      <c r="F176" s="155">
        <v>33886</v>
      </c>
      <c r="G176" s="155">
        <f t="shared" ref="G176:G177" si="16">F176-E176</f>
        <v>0</v>
      </c>
      <c r="H176" s="99">
        <f>G176+'1'!H176</f>
        <v>0</v>
      </c>
      <c r="I176" s="155"/>
      <c r="J176" s="178">
        <f>H176/DAY(B2)</f>
        <v>0</v>
      </c>
    </row>
    <row r="177" spans="1:10" ht="27.75" x14ac:dyDescent="0.5">
      <c r="A177" s="743" t="s">
        <v>212</v>
      </c>
      <c r="B177" s="744"/>
      <c r="C177" s="353"/>
      <c r="D177" s="228" t="s">
        <v>142</v>
      </c>
      <c r="E177" s="95">
        <f>'1'!F177</f>
        <v>4831</v>
      </c>
      <c r="F177" s="155">
        <v>4831</v>
      </c>
      <c r="G177" s="155">
        <f t="shared" si="16"/>
        <v>0</v>
      </c>
      <c r="H177" s="99">
        <f>G177+'1'!H177</f>
        <v>0</v>
      </c>
      <c r="I177" s="155"/>
      <c r="J177" s="178">
        <f>H177/DAY(B2)</f>
        <v>0</v>
      </c>
    </row>
    <row r="178" spans="1:10" ht="27.75" x14ac:dyDescent="0.5">
      <c r="A178" s="745" t="s">
        <v>108</v>
      </c>
      <c r="B178" s="746"/>
      <c r="C178" s="611"/>
      <c r="D178" s="228"/>
      <c r="E178" s="95"/>
      <c r="F178" s="155"/>
      <c r="G178" s="155">
        <f>SUM(G175:G177)</f>
        <v>84</v>
      </c>
      <c r="H178" s="99">
        <f>G178+'1'!H178</f>
        <v>167</v>
      </c>
      <c r="I178" s="155"/>
      <c r="J178" s="178">
        <f>H178/DAY(B2)</f>
        <v>83.5</v>
      </c>
    </row>
    <row r="179" spans="1:10" ht="31.5" customHeight="1" x14ac:dyDescent="0.5">
      <c r="A179" s="743" t="s">
        <v>213</v>
      </c>
      <c r="B179" s="744"/>
      <c r="C179" s="353"/>
      <c r="D179" s="228"/>
      <c r="E179" s="95"/>
      <c r="F179" s="155"/>
      <c r="G179" s="155"/>
      <c r="H179" s="99">
        <f>G179+'1'!H179</f>
        <v>0</v>
      </c>
      <c r="I179" s="155"/>
      <c r="J179" s="178">
        <f>H179/DAY(B2)</f>
        <v>0</v>
      </c>
    </row>
    <row r="180" spans="1:10" ht="29.25" customHeight="1" x14ac:dyDescent="0.5">
      <c r="A180" s="743" t="s">
        <v>214</v>
      </c>
      <c r="B180" s="744"/>
      <c r="C180" s="354"/>
      <c r="D180" s="228" t="s">
        <v>142</v>
      </c>
      <c r="E180" s="95">
        <f>'1'!F180</f>
        <v>13549</v>
      </c>
      <c r="F180" s="157">
        <v>13574</v>
      </c>
      <c r="G180" s="157">
        <f>F180-E180</f>
        <v>25</v>
      </c>
      <c r="H180" s="99">
        <f>G180+'1'!H180</f>
        <v>37</v>
      </c>
      <c r="I180" s="155"/>
      <c r="J180" s="178">
        <f>H180/DAY(B2)</f>
        <v>18.5</v>
      </c>
    </row>
    <row r="181" spans="1:10" ht="27.75" customHeight="1" x14ac:dyDescent="0.5">
      <c r="A181" s="743" t="s">
        <v>215</v>
      </c>
      <c r="B181" s="744"/>
      <c r="C181" s="354"/>
      <c r="D181" s="228" t="s">
        <v>142</v>
      </c>
      <c r="E181" s="95">
        <f>'1'!F181</f>
        <v>9455</v>
      </c>
      <c r="F181" s="157">
        <v>9462</v>
      </c>
      <c r="G181" s="157">
        <f t="shared" ref="G181:G182" si="17">F181-E181</f>
        <v>7</v>
      </c>
      <c r="H181" s="99">
        <f>G181+'1'!H181</f>
        <v>14</v>
      </c>
      <c r="I181" s="155"/>
      <c r="J181" s="178">
        <f>H181/DAY(B2)</f>
        <v>7</v>
      </c>
    </row>
    <row r="182" spans="1:10" ht="24.75" customHeight="1" x14ac:dyDescent="0.5">
      <c r="A182" s="743" t="s">
        <v>216</v>
      </c>
      <c r="B182" s="744"/>
      <c r="C182" s="354"/>
      <c r="D182" s="228" t="s">
        <v>142</v>
      </c>
      <c r="E182" s="95">
        <f>'1'!F182</f>
        <v>0</v>
      </c>
      <c r="F182" s="157"/>
      <c r="G182" s="157">
        <f t="shared" si="17"/>
        <v>0</v>
      </c>
      <c r="H182" s="99">
        <f>G182+'1'!H182</f>
        <v>0</v>
      </c>
      <c r="I182" s="155"/>
      <c r="J182" s="178">
        <f>H182/DAY(B2)</f>
        <v>0</v>
      </c>
    </row>
    <row r="183" spans="1:10" ht="33.75" customHeight="1" x14ac:dyDescent="0.5">
      <c r="A183" s="732" t="s">
        <v>196</v>
      </c>
      <c r="B183" s="733"/>
      <c r="C183" s="610"/>
      <c r="D183" s="229"/>
      <c r="E183" s="95"/>
      <c r="F183" s="157"/>
      <c r="G183" s="157">
        <f>SUM(G180:G182)</f>
        <v>32</v>
      </c>
      <c r="H183" s="99">
        <f>G183+'1'!H183</f>
        <v>51</v>
      </c>
      <c r="I183" s="157"/>
      <c r="J183" s="178">
        <f>H183/DAY(B2)</f>
        <v>25.5</v>
      </c>
    </row>
    <row r="184" spans="1:10" ht="28.5" customHeight="1" x14ac:dyDescent="0.5">
      <c r="A184" s="734" t="s">
        <v>217</v>
      </c>
      <c r="B184" s="735"/>
      <c r="C184" s="353"/>
      <c r="D184" s="230" t="s">
        <v>142</v>
      </c>
      <c r="E184" s="95"/>
      <c r="F184" s="159"/>
      <c r="G184" s="588">
        <f>G62+G19</f>
        <v>178</v>
      </c>
      <c r="H184" s="99">
        <f>G184+'1'!H184</f>
        <v>335</v>
      </c>
      <c r="I184" s="158"/>
      <c r="J184" s="179">
        <f>H184/DAY(B2)</f>
        <v>167.5</v>
      </c>
    </row>
    <row r="185" spans="1:10" ht="24" customHeight="1" x14ac:dyDescent="0.5">
      <c r="A185" s="734" t="s">
        <v>218</v>
      </c>
      <c r="B185" s="735"/>
      <c r="C185" s="353"/>
      <c r="D185" s="230" t="s">
        <v>142</v>
      </c>
      <c r="E185" s="95"/>
      <c r="F185" s="159"/>
      <c r="G185" s="588">
        <f>G65+G66+G67+G69+G70</f>
        <v>187</v>
      </c>
      <c r="H185" s="99">
        <f>G185+'1'!H185</f>
        <v>335</v>
      </c>
      <c r="I185" s="158"/>
      <c r="J185" s="179">
        <f>H185/DAY(B2)</f>
        <v>167.5</v>
      </c>
    </row>
    <row r="186" spans="1:10" ht="24.75" customHeight="1" x14ac:dyDescent="0.5">
      <c r="A186" s="734" t="s">
        <v>219</v>
      </c>
      <c r="B186" s="735"/>
      <c r="C186" s="353"/>
      <c r="D186" s="230" t="s">
        <v>142</v>
      </c>
      <c r="E186" s="95"/>
      <c r="F186" s="157"/>
      <c r="G186" s="585">
        <f>G178</f>
        <v>84</v>
      </c>
      <c r="H186" s="99">
        <f>G186+'1'!H186</f>
        <v>167</v>
      </c>
      <c r="I186" s="158"/>
      <c r="J186" s="179">
        <f>H186/DAY(B2)</f>
        <v>83.5</v>
      </c>
    </row>
    <row r="187" spans="1:10" ht="27.75" x14ac:dyDescent="0.5">
      <c r="A187" s="741"/>
      <c r="B187" s="742"/>
      <c r="C187" s="609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179:B179"/>
    <mergeCell ref="A180:B180"/>
    <mergeCell ref="A181:B181"/>
    <mergeCell ref="A149:C149"/>
    <mergeCell ref="A172:C172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87:B187"/>
    <mergeCell ref="A175:B175"/>
    <mergeCell ref="A176:B176"/>
    <mergeCell ref="A177:B177"/>
    <mergeCell ref="A178:B178"/>
    <mergeCell ref="A182:B182"/>
    <mergeCell ref="A169:B169"/>
    <mergeCell ref="A170:B170"/>
    <mergeCell ref="A171:B171"/>
    <mergeCell ref="A173:B173"/>
    <mergeCell ref="A174:B174"/>
    <mergeCell ref="A155:C155"/>
    <mergeCell ref="A156:C156"/>
    <mergeCell ref="A150:C150"/>
    <mergeCell ref="A151:C151"/>
    <mergeCell ref="A152:C152"/>
    <mergeCell ref="A183:B183"/>
    <mergeCell ref="A184:B184"/>
    <mergeCell ref="A185:B185"/>
    <mergeCell ref="A186:B186"/>
    <mergeCell ref="A157:J157"/>
    <mergeCell ref="A163:B163"/>
    <mergeCell ref="A164:B164"/>
    <mergeCell ref="A165:B165"/>
    <mergeCell ref="A168:J168"/>
    <mergeCell ref="A154:J154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67"/>
  <sheetViews>
    <sheetView view="pageBreakPreview" zoomScale="55" zoomScaleSheetLayoutView="55" workbookViewId="0">
      <selection activeCell="E182" sqref="E182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789" t="s">
        <v>115</v>
      </c>
      <c r="B1" s="790"/>
      <c r="C1" s="790"/>
      <c r="D1" s="790"/>
      <c r="E1" s="790"/>
      <c r="F1" s="790"/>
      <c r="G1" s="790"/>
      <c r="H1" s="790"/>
      <c r="I1" s="790"/>
      <c r="J1" s="791"/>
    </row>
    <row r="2" spans="1:16" s="57" customFormat="1" ht="27" x14ac:dyDescent="0.5">
      <c r="A2" s="191" t="s">
        <v>350</v>
      </c>
      <c r="B2" s="398">
        <v>44472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352</v>
      </c>
      <c r="P2" s="57">
        <v>19293.8</v>
      </c>
    </row>
    <row r="3" spans="1:16" s="57" customFormat="1" ht="27" x14ac:dyDescent="0.5">
      <c r="A3" s="189"/>
      <c r="B3" s="221"/>
      <c r="C3" s="368" t="s">
        <v>118</v>
      </c>
      <c r="D3" s="219">
        <v>28</v>
      </c>
      <c r="E3" s="798" t="s">
        <v>119</v>
      </c>
      <c r="F3" s="799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 t="s">
        <v>353</v>
      </c>
      <c r="P4" s="57">
        <v>28131.4</v>
      </c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9.25" x14ac:dyDescent="0.4">
      <c r="A6" s="792" t="s">
        <v>128</v>
      </c>
      <c r="B6" s="793"/>
      <c r="C6" s="794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v>12182.6</v>
      </c>
      <c r="F7" s="95">
        <v>35458.699999999997</v>
      </c>
      <c r="G7" s="112">
        <f>F7-E7</f>
        <v>23276.1</v>
      </c>
      <c r="H7" s="99">
        <f>G7+'2'!H7</f>
        <v>68216.299999999959</v>
      </c>
      <c r="I7" s="113">
        <f>'1'!I7</f>
        <v>12000</v>
      </c>
      <c r="J7" s="175">
        <f>H7/DAY(B2)</f>
        <v>22738.766666666652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v>26905.200000000001</v>
      </c>
      <c r="F8" s="114">
        <v>50338.5</v>
      </c>
      <c r="G8" s="115">
        <f>F8-E8</f>
        <v>23433.3</v>
      </c>
      <c r="H8" s="99">
        <f>G8+'2'!H8</f>
        <v>68621.499999999956</v>
      </c>
      <c r="I8" s="116"/>
      <c r="J8" s="175">
        <f>H8/DAY(B2)</f>
        <v>22873.833333333318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'2'!F9</f>
        <v>774271.43</v>
      </c>
      <c r="F9" s="117">
        <v>796721.71</v>
      </c>
      <c r="G9" s="112">
        <f>F9-E9</f>
        <v>22450.279999999912</v>
      </c>
      <c r="H9" s="99">
        <f>G9+'2'!H9</f>
        <v>65931.709999999963</v>
      </c>
      <c r="I9" s="124">
        <f>I7-J7</f>
        <v>-10738.766666666652</v>
      </c>
      <c r="J9" s="175">
        <f>H9/DAY(B2)</f>
        <v>21977.236666666653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'2'!F10</f>
        <v>0</v>
      </c>
      <c r="F10" s="117">
        <v>0</v>
      </c>
      <c r="G10" s="112">
        <f t="shared" ref="G10:G12" si="0">F10-E10</f>
        <v>0</v>
      </c>
      <c r="H10" s="99">
        <f>G10+'2'!H10</f>
        <v>0</v>
      </c>
      <c r="I10" s="286"/>
      <c r="J10" s="175">
        <f>H10/DAY(B2)</f>
        <v>0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'2'!F11</f>
        <v>37000</v>
      </c>
      <c r="F11" s="95">
        <v>37000</v>
      </c>
      <c r="G11" s="112">
        <f t="shared" si="0"/>
        <v>0</v>
      </c>
      <c r="H11" s="99">
        <f>G11+'2'!H11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'2'!F12</f>
        <v>40010</v>
      </c>
      <c r="F12" s="117">
        <v>40010</v>
      </c>
      <c r="G12" s="112">
        <f t="shared" si="0"/>
        <v>0</v>
      </c>
      <c r="H12" s="99">
        <f>G12+'2'!H12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22450.279999999912</v>
      </c>
      <c r="H13" s="99">
        <f>G13+'2'!H13</f>
        <v>44385.959999999963</v>
      </c>
      <c r="I13" s="120">
        <f>G7-G13</f>
        <v>825.82000000008702</v>
      </c>
      <c r="J13" s="175">
        <f>H13/DAY(B2)</f>
        <v>14795.319999999987</v>
      </c>
      <c r="K13" s="79"/>
      <c r="L13" s="66"/>
      <c r="N13" s="87"/>
      <c r="O13" s="71"/>
    </row>
    <row r="14" spans="1:16" ht="29.25" x14ac:dyDescent="0.5">
      <c r="A14" s="795" t="s">
        <v>137</v>
      </c>
      <c r="B14" s="796"/>
      <c r="C14" s="79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65" t="s">
        <v>138</v>
      </c>
      <c r="B15" s="205"/>
      <c r="C15" s="205"/>
      <c r="D15" s="151" t="s">
        <v>139</v>
      </c>
      <c r="E15" s="95">
        <f>'2'!F15</f>
        <v>1786216</v>
      </c>
      <c r="F15" s="123">
        <v>1787272.8870000001</v>
      </c>
      <c r="G15" s="112">
        <f>(F15-E15)</f>
        <v>1056.8870000001043</v>
      </c>
      <c r="H15" s="99">
        <f>G15+'2'!H15</f>
        <v>3064.8870000001043</v>
      </c>
      <c r="I15" s="113">
        <f>'1'!I15</f>
        <v>800</v>
      </c>
      <c r="J15" s="175">
        <f>H15/DAY(B2)</f>
        <v>1021.6290000000348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-221.62900000003481</v>
      </c>
      <c r="J16" s="176"/>
      <c r="K16" s="79"/>
      <c r="L16" s="66"/>
      <c r="N16" s="87"/>
      <c r="O16" s="71"/>
    </row>
    <row r="17" spans="1:15" ht="29.25" x14ac:dyDescent="0.5">
      <c r="A17" s="795" t="s">
        <v>140</v>
      </c>
      <c r="B17" s="796"/>
      <c r="C17" s="79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1" t="s">
        <v>141</v>
      </c>
      <c r="B18" s="772"/>
      <c r="C18" s="773"/>
      <c r="D18" s="151" t="s">
        <v>142</v>
      </c>
      <c r="E18" s="95">
        <f>'2'!F18</f>
        <v>20</v>
      </c>
      <c r="F18" s="122">
        <v>20</v>
      </c>
      <c r="G18" s="119">
        <f>F18*10</f>
        <v>200</v>
      </c>
      <c r="H18" s="99">
        <f>G18+'2'!H18</f>
        <v>540</v>
      </c>
      <c r="I18" s="113">
        <f>'1'!I18</f>
        <v>65</v>
      </c>
      <c r="J18" s="175">
        <f>H18/DAY(B2)</f>
        <v>180</v>
      </c>
      <c r="K18" s="79"/>
      <c r="L18" s="66"/>
      <c r="N18" s="87"/>
      <c r="O18" s="71"/>
    </row>
    <row r="19" spans="1:15" ht="27.75" x14ac:dyDescent="0.5">
      <c r="A19" s="771" t="s">
        <v>69</v>
      </c>
      <c r="B19" s="772"/>
      <c r="C19" s="773"/>
      <c r="D19" s="151" t="s">
        <v>142</v>
      </c>
      <c r="E19" s="95">
        <f>'2'!F19</f>
        <v>147230</v>
      </c>
      <c r="F19" s="122">
        <v>147289</v>
      </c>
      <c r="G19" s="112">
        <f t="shared" ref="G19" si="1">F19-E19</f>
        <v>59</v>
      </c>
      <c r="H19" s="99">
        <f>G19+'2'!H19</f>
        <v>177</v>
      </c>
      <c r="I19" s="355"/>
      <c r="J19" s="175">
        <f>H19/DAY(B2)</f>
        <v>59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259</v>
      </c>
      <c r="H20" s="99">
        <f>G20+'2'!H20</f>
        <v>717</v>
      </c>
      <c r="I20" s="356">
        <f>I18-J20</f>
        <v>-174</v>
      </c>
      <c r="J20" s="175">
        <f>H20/DAY(B2)</f>
        <v>239</v>
      </c>
      <c r="K20" s="79"/>
      <c r="L20" s="66"/>
      <c r="N20" s="87"/>
      <c r="O20" s="71"/>
    </row>
    <row r="21" spans="1:15" ht="29.25" x14ac:dyDescent="0.5">
      <c r="A21" s="795" t="s">
        <v>144</v>
      </c>
      <c r="B21" s="796"/>
      <c r="C21" s="79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'2'!F23</f>
        <v>2000</v>
      </c>
      <c r="F23" s="122">
        <v>2000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0" t="s">
        <v>149</v>
      </c>
      <c r="B25" s="801"/>
      <c r="C25" s="80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23433.3</v>
      </c>
      <c r="F27" s="136">
        <v>9</v>
      </c>
      <c r="G27" s="137">
        <f>E27*F27</f>
        <v>210899.69999999998</v>
      </c>
      <c r="H27" s="99">
        <f>G27+'2'!H27</f>
        <v>617593.49999999953</v>
      </c>
      <c r="I27" s="138"/>
      <c r="J27" s="175">
        <f>H27/DAY(B2)</f>
        <v>205864.49999999985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1056.8870000001043</v>
      </c>
      <c r="F28" s="136">
        <v>52</v>
      </c>
      <c r="G28" s="137">
        <f>E28*F28</f>
        <v>54958.124000005424</v>
      </c>
      <c r="H28" s="99">
        <f>G28+'2'!H28</f>
        <v>159374.12400000542</v>
      </c>
      <c r="I28" s="140"/>
      <c r="J28" s="175">
        <f>H28/DAY(B2)</f>
        <v>53124.70800000181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146</v>
      </c>
      <c r="G30" s="137">
        <f>E30*F30</f>
        <v>8614</v>
      </c>
      <c r="H30" s="99">
        <f>G30+'2'!H30</f>
        <v>25842</v>
      </c>
      <c r="I30" s="140"/>
      <c r="J30" s="175">
        <f>H30/DAY(B2)</f>
        <v>8614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G31+'2'!H31</f>
        <v>43200</v>
      </c>
      <c r="I31" s="140"/>
      <c r="J31" s="175">
        <f>H31/DAY(B2)</f>
        <v>14400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290471.82400000538</v>
      </c>
      <c r="H32" s="99">
        <f>G32+'2'!H32</f>
        <v>846009.62400000496</v>
      </c>
      <c r="I32" s="144"/>
      <c r="J32" s="175">
        <f>H32/DAY(B2)</f>
        <v>282003.20800000167</v>
      </c>
      <c r="K32" s="63"/>
      <c r="L32" s="89"/>
      <c r="N32" s="87"/>
      <c r="O32" s="71"/>
    </row>
    <row r="33" spans="1:15" ht="25.5" customHeight="1" x14ac:dyDescent="0.35">
      <c r="A33" s="803" t="s">
        <v>331</v>
      </c>
      <c r="B33" s="804"/>
      <c r="C33" s="804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'2'!F35</f>
        <v>0</v>
      </c>
      <c r="F35" s="145">
        <v>0</v>
      </c>
      <c r="G35" s="112">
        <f t="shared" ref="G35:G46" si="3">F35-E35</f>
        <v>0</v>
      </c>
      <c r="H35" s="99">
        <f>G35+'2'!H35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'2'!F36</f>
        <v>25679.71</v>
      </c>
      <c r="F36" s="145">
        <v>26566.799999999999</v>
      </c>
      <c r="G36" s="112">
        <f t="shared" si="3"/>
        <v>887.09000000000015</v>
      </c>
      <c r="H36" s="99">
        <f>G36+'2'!H36</f>
        <v>2689.7999999999993</v>
      </c>
      <c r="I36" s="95"/>
      <c r="J36" s="175">
        <f>H36/DAY(B2)</f>
        <v>896.5999999999998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'2'!F37</f>
        <v>57648.19</v>
      </c>
      <c r="F37" s="145">
        <v>59355.42</v>
      </c>
      <c r="G37" s="112">
        <f t="shared" si="3"/>
        <v>1707.2299999999959</v>
      </c>
      <c r="H37" s="99">
        <f>G37+'2'!H37</f>
        <v>5192.4199999999983</v>
      </c>
      <c r="I37" s="95"/>
      <c r="J37" s="175">
        <f>H37/DAY(B2)</f>
        <v>1730.8066666666662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'2'!F38</f>
        <v>60992.17</v>
      </c>
      <c r="F38" s="108">
        <v>62943.98</v>
      </c>
      <c r="G38" s="112">
        <f t="shared" si="3"/>
        <v>1951.8100000000049</v>
      </c>
      <c r="H38" s="99">
        <f>G38+'2'!H38</f>
        <v>5817.9800000000032</v>
      </c>
      <c r="I38" s="95"/>
      <c r="J38" s="175">
        <f>H38/DAY(B2)</f>
        <v>1939.3266666666677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'2'!F39</f>
        <v>131008</v>
      </c>
      <c r="F39" s="145">
        <v>135188.14000000001</v>
      </c>
      <c r="G39" s="112">
        <f t="shared" si="3"/>
        <v>4180.140000000014</v>
      </c>
      <c r="H39" s="99">
        <f>G39+'2'!H39</f>
        <v>12297.140000000014</v>
      </c>
      <c r="I39" s="95"/>
      <c r="J39" s="175">
        <f>H39/DAY(B2)</f>
        <v>4099.0466666666716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'2'!F40</f>
        <v>0</v>
      </c>
      <c r="F40" s="145">
        <v>0</v>
      </c>
      <c r="G40" s="112">
        <f t="shared" si="3"/>
        <v>0</v>
      </c>
      <c r="H40" s="99">
        <f>G40+'2'!H40</f>
        <v>0</v>
      </c>
      <c r="I40" s="95"/>
      <c r="J40" s="175">
        <f>H40/DAY(B2)</f>
        <v>0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'2'!F41</f>
        <v>497183.11</v>
      </c>
      <c r="F41" s="145">
        <v>502641.15</v>
      </c>
      <c r="G41" s="112">
        <f t="shared" si="3"/>
        <v>5458.0400000000373</v>
      </c>
      <c r="H41" s="99">
        <f>G41+'2'!H41</f>
        <v>13421.559999999998</v>
      </c>
      <c r="I41" s="95"/>
      <c r="J41" s="175">
        <f>H41/DAY(B2)</f>
        <v>4473.8533333333326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'2'!F42</f>
        <v>246138.83</v>
      </c>
      <c r="F42" s="145">
        <v>246138.83</v>
      </c>
      <c r="G42" s="112">
        <f t="shared" si="3"/>
        <v>0</v>
      </c>
      <c r="H42" s="99">
        <f>G42+'2'!H42</f>
        <v>1955.8299999999872</v>
      </c>
      <c r="I42" s="95"/>
      <c r="J42" s="175">
        <f>H42/DAY(B2)</f>
        <v>651.94333333332906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'2'!F43</f>
        <v>1368498.7</v>
      </c>
      <c r="F43" s="145">
        <v>1370783.6</v>
      </c>
      <c r="G43" s="112">
        <f t="shared" si="3"/>
        <v>2284.9000000001397</v>
      </c>
      <c r="H43" s="99">
        <f>G43+'2'!H43</f>
        <v>6825.6000000000931</v>
      </c>
      <c r="I43" s="95"/>
      <c r="J43" s="175">
        <f>H43/DAY(B2)</f>
        <v>2275.2000000000312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16469.210000000192</v>
      </c>
      <c r="H47" s="99">
        <f>G47+'2'!H47</f>
        <v>48200.330000000089</v>
      </c>
      <c r="I47" s="95"/>
      <c r="J47" s="175">
        <f>H47/DAY(B2)</f>
        <v>16066.776666666696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'2'!F49</f>
        <v>150098.91</v>
      </c>
      <c r="F49" s="145">
        <v>154825.98000000001</v>
      </c>
      <c r="G49" s="112">
        <f t="shared" ref="G49:G58" si="4">F49-E49</f>
        <v>4727.070000000007</v>
      </c>
      <c r="H49" s="99">
        <f>G49+'2'!H49</f>
        <v>13628.98000000001</v>
      </c>
      <c r="I49" s="95"/>
      <c r="J49" s="175">
        <f>H49/DAY(B2)</f>
        <v>4542.9933333333365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'2'!F50</f>
        <v>645673.82999999996</v>
      </c>
      <c r="F50" s="145">
        <v>646890.55000000005</v>
      </c>
      <c r="G50" s="112">
        <f t="shared" si="4"/>
        <v>1216.7200000000885</v>
      </c>
      <c r="H50" s="99">
        <f>G50+'2'!H50</f>
        <v>3400.5500000000466</v>
      </c>
      <c r="I50" s="95"/>
      <c r="J50" s="175">
        <f>H50/DAY(B2)</f>
        <v>1133.5166666666821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'2'!F51</f>
        <v>0</v>
      </c>
      <c r="F51" s="145">
        <v>0</v>
      </c>
      <c r="G51" s="112">
        <f t="shared" si="4"/>
        <v>0</v>
      </c>
      <c r="H51" s="99">
        <f>G51+'2'!H51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'2'!F52</f>
        <v>0</v>
      </c>
      <c r="F52" s="145">
        <v>0</v>
      </c>
      <c r="G52" s="112">
        <f t="shared" si="4"/>
        <v>0</v>
      </c>
      <c r="H52" s="99">
        <f>G52+'2'!H52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'2'!F53</f>
        <v>0</v>
      </c>
      <c r="F53" s="145">
        <v>0</v>
      </c>
      <c r="G53" s="112">
        <f t="shared" si="4"/>
        <v>0</v>
      </c>
      <c r="H53" s="99">
        <f>G53+'2'!H53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'2'!F54</f>
        <v>2739.83</v>
      </c>
      <c r="F54" s="145">
        <v>2743.72</v>
      </c>
      <c r="G54" s="112">
        <f t="shared" si="4"/>
        <v>3.8899999999998727</v>
      </c>
      <c r="H54" s="99">
        <f>G54+'2'!H54</f>
        <v>11.7199999999998</v>
      </c>
      <c r="I54" s="95"/>
      <c r="J54" s="175">
        <f>H54/DAY(B2)</f>
        <v>3.9066666666666001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'2'!F55</f>
        <v>307299.46999999997</v>
      </c>
      <c r="F55" s="145">
        <v>307299.46999999997</v>
      </c>
      <c r="G55" s="112">
        <f t="shared" si="4"/>
        <v>0</v>
      </c>
      <c r="H55" s="99">
        <f>G55+'2'!H55</f>
        <v>0.46999999997206032</v>
      </c>
      <c r="I55" s="95"/>
      <c r="J55" s="175">
        <f>H55/DAY(B2)</f>
        <v>0.15666666665735343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'2'!F56</f>
        <v>745512.87</v>
      </c>
      <c r="F56" s="145">
        <v>747224</v>
      </c>
      <c r="G56" s="112">
        <f t="shared" si="4"/>
        <v>1711.1300000000047</v>
      </c>
      <c r="H56" s="99">
        <f>G56+'2'!H56</f>
        <v>5454</v>
      </c>
      <c r="I56" s="95"/>
      <c r="J56" s="175">
        <f>H56/DAY(B2)</f>
        <v>1818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'2'!F57</f>
        <v>0</v>
      </c>
      <c r="F57" s="145">
        <v>0</v>
      </c>
      <c r="G57" s="112">
        <f t="shared" si="4"/>
        <v>0</v>
      </c>
      <c r="H57" s="99">
        <f>G57+'2'!H57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'2'!F58</f>
        <v>72586.210000000006</v>
      </c>
      <c r="F58" s="145">
        <v>72828.83</v>
      </c>
      <c r="G58" s="112">
        <f t="shared" si="4"/>
        <v>242.61999999999534</v>
      </c>
      <c r="H58" s="99">
        <f>G58+'2'!H58</f>
        <v>673.83000000000175</v>
      </c>
      <c r="I58" s="95"/>
      <c r="J58" s="175">
        <f>H58/DAY(B2)</f>
        <v>224.61000000000058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7901.4300000000949</v>
      </c>
      <c r="H59" s="99">
        <f>G59+'2'!H59</f>
        <v>23169.550000000032</v>
      </c>
      <c r="I59" s="95">
        <f>G7-G60</f>
        <v>-1094.5400000002883</v>
      </c>
      <c r="J59" s="175">
        <f>H59/DAY(B2)</f>
        <v>7723.1833333333443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24370.640000000287</v>
      </c>
      <c r="H60" s="99">
        <f>G60+'2'!H60</f>
        <v>71369.880000000121</v>
      </c>
      <c r="I60" s="95">
        <f>G13-G60</f>
        <v>-1920.3600000003753</v>
      </c>
      <c r="J60" s="175">
        <f>H60/DAY(B2)</f>
        <v>23789.960000000039</v>
      </c>
      <c r="K60" s="79"/>
      <c r="L60" s="66"/>
      <c r="N60" s="87"/>
      <c r="O60" s="71"/>
    </row>
    <row r="61" spans="1:15" s="68" customFormat="1" ht="27.75" x14ac:dyDescent="0.5">
      <c r="A61" s="805" t="s">
        <v>332</v>
      </c>
      <c r="B61" s="806"/>
      <c r="C61" s="807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1" t="s">
        <v>198</v>
      </c>
      <c r="B62" s="772"/>
      <c r="C62" s="773"/>
      <c r="D62" s="151" t="s">
        <v>142</v>
      </c>
      <c r="E62" s="95">
        <f>'2'!F62</f>
        <v>256570</v>
      </c>
      <c r="F62" s="122">
        <v>256695</v>
      </c>
      <c r="G62" s="112">
        <f t="shared" ref="G62:G63" si="5">F62-E62</f>
        <v>125</v>
      </c>
      <c r="H62" s="99">
        <f>G62+'2'!H62</f>
        <v>342</v>
      </c>
      <c r="I62" s="118"/>
      <c r="J62" s="175">
        <f>H62/DAY(B2)</f>
        <v>114</v>
      </c>
      <c r="K62" s="80"/>
      <c r="L62" s="66"/>
      <c r="N62" s="87"/>
      <c r="O62" s="71"/>
    </row>
    <row r="63" spans="1:15" ht="27.75" x14ac:dyDescent="0.5">
      <c r="A63" s="771" t="s">
        <v>199</v>
      </c>
      <c r="B63" s="772"/>
      <c r="C63" s="773"/>
      <c r="D63" s="151" t="s">
        <v>142</v>
      </c>
      <c r="E63" s="95">
        <f>'2'!F63</f>
        <v>202855</v>
      </c>
      <c r="F63" s="122">
        <v>203015</v>
      </c>
      <c r="G63" s="112">
        <f t="shared" si="5"/>
        <v>160</v>
      </c>
      <c r="H63" s="99">
        <f>G63+'2'!H63</f>
        <v>489</v>
      </c>
      <c r="I63" s="118"/>
      <c r="J63" s="175">
        <f>H63/DAY(B2)</f>
        <v>163</v>
      </c>
      <c r="K63" s="69"/>
      <c r="L63" s="66"/>
      <c r="N63" s="87"/>
      <c r="O63" s="71"/>
    </row>
    <row r="64" spans="1:15" ht="29.25" x14ac:dyDescent="0.5">
      <c r="A64" s="780" t="s">
        <v>200</v>
      </c>
      <c r="B64" s="781"/>
      <c r="C64" s="782"/>
      <c r="D64" s="151"/>
      <c r="E64" s="95">
        <f>'2'!F64</f>
        <v>0</v>
      </c>
      <c r="F64" s="122"/>
      <c r="G64" s="112">
        <f>G62+G63</f>
        <v>285</v>
      </c>
      <c r="H64" s="99">
        <f>G64+'2'!H64</f>
        <v>831</v>
      </c>
      <c r="I64" s="118"/>
      <c r="J64" s="175">
        <f>H64/DAY(B2)</f>
        <v>277</v>
      </c>
      <c r="K64" s="69"/>
      <c r="L64" s="66"/>
      <c r="N64" s="87"/>
      <c r="O64" s="71"/>
    </row>
    <row r="65" spans="1:15" ht="27.75" x14ac:dyDescent="0.5">
      <c r="A65" s="771" t="s">
        <v>201</v>
      </c>
      <c r="B65" s="772"/>
      <c r="C65" s="773"/>
      <c r="D65" s="151" t="s">
        <v>142</v>
      </c>
      <c r="E65" s="95">
        <f>'2'!F65</f>
        <v>423459</v>
      </c>
      <c r="F65" s="122">
        <v>423539</v>
      </c>
      <c r="G65" s="112">
        <f t="shared" ref="G65:G70" si="6">F65-E65</f>
        <v>80</v>
      </c>
      <c r="H65" s="99">
        <f>G65+'2'!H65</f>
        <v>250</v>
      </c>
      <c r="I65" s="118"/>
      <c r="J65" s="175">
        <f>H65/DAY(B2)</f>
        <v>83.333333333333329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'2'!F66</f>
        <v>105360</v>
      </c>
      <c r="F66" s="122">
        <v>105386</v>
      </c>
      <c r="G66" s="112">
        <f t="shared" si="6"/>
        <v>26</v>
      </c>
      <c r="H66" s="99">
        <f>G66+'2'!H66</f>
        <v>72</v>
      </c>
      <c r="I66" s="118"/>
      <c r="J66" s="175">
        <f>H66/DAY(B2)</f>
        <v>24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'2'!F67</f>
        <v>101353</v>
      </c>
      <c r="F67" s="122">
        <v>101389</v>
      </c>
      <c r="G67" s="112">
        <f t="shared" si="6"/>
        <v>36</v>
      </c>
      <c r="H67" s="99">
        <f>G67+'2'!H67</f>
        <v>105</v>
      </c>
      <c r="I67" s="118"/>
      <c r="J67" s="175">
        <f>H67/DAY(B2)</f>
        <v>35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'2'!F68</f>
        <v>153186</v>
      </c>
      <c r="F68" s="122">
        <v>153239</v>
      </c>
      <c r="G68" s="112">
        <f t="shared" si="6"/>
        <v>53</v>
      </c>
      <c r="H68" s="99">
        <f>G68+'2'!H68</f>
        <v>126</v>
      </c>
      <c r="I68" s="118"/>
      <c r="J68" s="175">
        <f>H68/DAY(B2)</f>
        <v>42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'2'!F69</f>
        <v>9087</v>
      </c>
      <c r="F69" s="122">
        <v>9099</v>
      </c>
      <c r="G69" s="112">
        <f t="shared" si="6"/>
        <v>12</v>
      </c>
      <c r="H69" s="99">
        <f>G69+'2'!H69</f>
        <v>42</v>
      </c>
      <c r="I69" s="118"/>
      <c r="J69" s="175">
        <f>H69/DAY(B2)</f>
        <v>14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'2'!F70</f>
        <v>6824</v>
      </c>
      <c r="F70" s="122">
        <v>6834</v>
      </c>
      <c r="G70" s="112">
        <f t="shared" si="6"/>
        <v>10</v>
      </c>
      <c r="H70" s="99">
        <f>G70+'2'!H70</f>
        <v>30</v>
      </c>
      <c r="I70" s="118"/>
      <c r="J70" s="175">
        <f>H70/DAY(B2)</f>
        <v>10</v>
      </c>
      <c r="K70" s="69"/>
      <c r="L70" s="66"/>
      <c r="N70" s="87"/>
      <c r="O70" s="71"/>
    </row>
    <row r="71" spans="1:15" ht="29.25" x14ac:dyDescent="0.5">
      <c r="A71" s="780" t="s">
        <v>208</v>
      </c>
      <c r="B71" s="781"/>
      <c r="C71" s="782"/>
      <c r="D71" s="152"/>
      <c r="E71" s="152"/>
      <c r="F71" s="152"/>
      <c r="G71" s="153">
        <f>SUM(G65:G70)</f>
        <v>217</v>
      </c>
      <c r="H71" s="99">
        <f>G71+'2'!H71</f>
        <v>625</v>
      </c>
      <c r="I71" s="154"/>
      <c r="J71" s="175">
        <f>H71/DAY(B2)</f>
        <v>208.33333333333334</v>
      </c>
      <c r="K71" s="69"/>
      <c r="L71" s="66"/>
      <c r="N71" s="87"/>
      <c r="O71" s="71"/>
    </row>
    <row r="72" spans="1:15" s="88" customFormat="1" ht="27.75" x14ac:dyDescent="0.5">
      <c r="A72" s="767"/>
      <c r="B72" s="752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77" t="s">
        <v>333</v>
      </c>
      <c r="B73" s="778"/>
      <c r="C73" s="779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1" t="s">
        <v>220</v>
      </c>
      <c r="B74" s="772"/>
      <c r="C74" s="773"/>
      <c r="D74" s="151" t="s">
        <v>139</v>
      </c>
      <c r="E74" s="95">
        <f>'2'!F74</f>
        <v>865101.06</v>
      </c>
      <c r="F74" s="117">
        <v>865409.59</v>
      </c>
      <c r="G74" s="112">
        <f t="shared" ref="G74:G78" si="7">F74-E74</f>
        <v>308.52999999991152</v>
      </c>
      <c r="H74" s="99">
        <f>G74+'2'!H74</f>
        <v>901.5899999999674</v>
      </c>
      <c r="I74" s="154"/>
      <c r="J74" s="175">
        <f>H74/DAY(B2)</f>
        <v>300.52999999998912</v>
      </c>
      <c r="K74" s="69"/>
      <c r="L74" s="66"/>
      <c r="N74" s="87"/>
      <c r="O74" s="71"/>
    </row>
    <row r="75" spans="1:15" ht="27.75" x14ac:dyDescent="0.5">
      <c r="A75" s="771" t="s">
        <v>221</v>
      </c>
      <c r="B75" s="772"/>
      <c r="C75" s="773"/>
      <c r="D75" s="151" t="s">
        <v>139</v>
      </c>
      <c r="E75" s="95">
        <f>'2'!F75</f>
        <v>73583.399999999994</v>
      </c>
      <c r="F75" s="123">
        <v>73583.399999999994</v>
      </c>
      <c r="G75" s="112">
        <f t="shared" si="7"/>
        <v>0</v>
      </c>
      <c r="H75" s="99">
        <f>G75+'2'!H75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68" t="s">
        <v>222</v>
      </c>
      <c r="B76" s="769"/>
      <c r="C76" s="770"/>
      <c r="D76" s="151" t="s">
        <v>139</v>
      </c>
      <c r="E76" s="95">
        <f>'2'!F76</f>
        <v>157040.78</v>
      </c>
      <c r="F76" s="123">
        <v>157152.44</v>
      </c>
      <c r="G76" s="112">
        <f t="shared" si="7"/>
        <v>111.66000000000349</v>
      </c>
      <c r="H76" s="99">
        <f>G76+'2'!H76</f>
        <v>340.44000000000233</v>
      </c>
      <c r="I76" s="154"/>
      <c r="J76" s="175">
        <f>H76/DAY(B2)</f>
        <v>113.48000000000077</v>
      </c>
      <c r="K76" s="69"/>
      <c r="L76" s="66"/>
      <c r="N76" s="87"/>
      <c r="O76" s="71"/>
    </row>
    <row r="77" spans="1:15" ht="27.75" x14ac:dyDescent="0.5">
      <c r="A77" s="768" t="s">
        <v>223</v>
      </c>
      <c r="B77" s="769"/>
      <c r="C77" s="770"/>
      <c r="D77" s="151" t="s">
        <v>139</v>
      </c>
      <c r="E77" s="95">
        <f>'2'!F77</f>
        <v>36122</v>
      </c>
      <c r="F77" s="123">
        <v>36175.1</v>
      </c>
      <c r="G77" s="112">
        <f t="shared" si="7"/>
        <v>53.099999999998545</v>
      </c>
      <c r="H77" s="99">
        <f>G77+'2'!H77</f>
        <v>171.09999999999854</v>
      </c>
      <c r="I77" s="154"/>
      <c r="J77" s="175">
        <f>H77/DAY(B2)</f>
        <v>57.033333333332848</v>
      </c>
      <c r="K77" s="69"/>
      <c r="L77" s="66"/>
      <c r="N77" s="87"/>
      <c r="O77" s="71"/>
    </row>
    <row r="78" spans="1:15" ht="27.75" x14ac:dyDescent="0.5">
      <c r="A78" s="768" t="s">
        <v>224</v>
      </c>
      <c r="B78" s="769"/>
      <c r="C78" s="770"/>
      <c r="D78" s="151" t="s">
        <v>139</v>
      </c>
      <c r="E78" s="95">
        <f>'2'!F78</f>
        <v>9254.2000000000007</v>
      </c>
      <c r="F78" s="123">
        <v>9255.7999999999993</v>
      </c>
      <c r="G78" s="112">
        <f t="shared" si="7"/>
        <v>1.5999999999985448</v>
      </c>
      <c r="H78" s="99">
        <f>G78+'2'!H78</f>
        <v>7.7999999999992724</v>
      </c>
      <c r="I78" s="118"/>
      <c r="J78" s="175">
        <f>H78/DAY(B2)</f>
        <v>2.5999999999997576</v>
      </c>
      <c r="K78" s="69"/>
      <c r="L78" s="66"/>
      <c r="N78" s="87"/>
      <c r="O78" s="71"/>
    </row>
    <row r="79" spans="1:15" s="57" customFormat="1" ht="27.75" x14ac:dyDescent="0.5">
      <c r="A79" s="768" t="s">
        <v>225</v>
      </c>
      <c r="B79" s="769"/>
      <c r="C79" s="770"/>
      <c r="D79" s="151"/>
      <c r="E79" s="95">
        <f>'2'!F79</f>
        <v>0</v>
      </c>
      <c r="F79" s="117"/>
      <c r="G79" s="112">
        <f>G15-SUM(G74:G78)</f>
        <v>581.9970000001922</v>
      </c>
      <c r="H79" s="99">
        <f>G79+'2'!H79</f>
        <v>1643.9570000001368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0" t="s">
        <v>329</v>
      </c>
      <c r="B80" s="781"/>
      <c r="C80" s="782"/>
      <c r="D80" s="151"/>
      <c r="E80" s="117"/>
      <c r="F80" s="117"/>
      <c r="G80" s="112">
        <f>SUM(G74:G79)</f>
        <v>1056.8870000001043</v>
      </c>
      <c r="H80" s="99">
        <f>G80+'2'!H80</f>
        <v>2083.8870000001043</v>
      </c>
      <c r="I80" s="118"/>
      <c r="J80" s="175"/>
      <c r="K80" s="59"/>
      <c r="L80" s="58"/>
      <c r="N80" s="87"/>
      <c r="O80" s="71"/>
    </row>
    <row r="81" spans="1:15" ht="27" x14ac:dyDescent="0.4">
      <c r="A81" s="785" t="s">
        <v>226</v>
      </c>
      <c r="B81" s="786"/>
      <c r="C81" s="78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'2'!F84</f>
        <v>41197.35</v>
      </c>
      <c r="F84" s="164">
        <v>41221.269999999997</v>
      </c>
      <c r="G84" s="112">
        <f t="shared" si="8"/>
        <v>23.919999999998254</v>
      </c>
      <c r="H84" s="99">
        <f>G84+'2'!H84</f>
        <v>59.269999999996799</v>
      </c>
      <c r="I84" s="118"/>
      <c r="J84" s="175">
        <f>H84/DAY(B2)</f>
        <v>19.756666666665598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'2'!F85</f>
        <v>1187.7</v>
      </c>
      <c r="F85" s="164">
        <v>1187.3699999999999</v>
      </c>
      <c r="G85" s="112">
        <f t="shared" si="8"/>
        <v>-0.33000000000015461</v>
      </c>
      <c r="H85" s="99">
        <f>G85+'2'!H85</f>
        <v>8.3699999999998909</v>
      </c>
      <c r="I85" s="118">
        <f>G82+G83+G84+G85</f>
        <v>23.589999999998099</v>
      </c>
      <c r="J85" s="175">
        <f>H85/DAY(B2)</f>
        <v>2.7899999999999636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'2'!F86</f>
        <v>42826.47</v>
      </c>
      <c r="F86" s="164">
        <v>42826.47</v>
      </c>
      <c r="G86" s="112">
        <f t="shared" si="8"/>
        <v>0</v>
      </c>
      <c r="H86" s="99">
        <f>G86+'2'!H86</f>
        <v>0.47000000000116415</v>
      </c>
      <c r="I86" s="118"/>
      <c r="J86" s="175">
        <f>H86/DAY(B2)</f>
        <v>0.15666666666705473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'2'!F87</f>
        <v>33332.410000000003</v>
      </c>
      <c r="F87" s="164">
        <v>33340.5</v>
      </c>
      <c r="G87" s="112">
        <f t="shared" si="8"/>
        <v>8.0899999999965075</v>
      </c>
      <c r="H87" s="99">
        <f>G87+'2'!H87</f>
        <v>26.5</v>
      </c>
      <c r="I87" s="118"/>
      <c r="J87" s="175">
        <f>H87/DAY(B2)</f>
        <v>8.8333333333333339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'2'!F88</f>
        <v>23601.14</v>
      </c>
      <c r="F88" s="164">
        <v>23610.54</v>
      </c>
      <c r="G88" s="112">
        <f t="shared" si="8"/>
        <v>9.4000000000014552</v>
      </c>
      <c r="H88" s="99">
        <f>G88+'2'!H88</f>
        <v>19.569999999999709</v>
      </c>
      <c r="I88" s="118">
        <f>G86+G87+G88</f>
        <v>17.489999999997963</v>
      </c>
      <c r="J88" s="175">
        <f>H88/DAY(B2)</f>
        <v>6.5233333333332366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'2'!F89</f>
        <v>25198.61</v>
      </c>
      <c r="F89" s="164">
        <v>25198.69</v>
      </c>
      <c r="G89" s="112">
        <f t="shared" si="8"/>
        <v>7.9999999998108251E-2</v>
      </c>
      <c r="H89" s="99">
        <f>G89+'2'!H89</f>
        <v>11.319999999999709</v>
      </c>
      <c r="I89" s="118"/>
      <c r="J89" s="175">
        <f>H89/DAY(B2)</f>
        <v>3.7733333333332362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'2'!F90</f>
        <v>70532.98</v>
      </c>
      <c r="F90" s="164">
        <v>70536.81</v>
      </c>
      <c r="G90" s="112">
        <f t="shared" si="8"/>
        <v>3.8300000000017462</v>
      </c>
      <c r="H90" s="99">
        <f>G90+'2'!H90</f>
        <v>3.8300000000017462</v>
      </c>
      <c r="I90" s="118">
        <f>G89+G90</f>
        <v>3.9099999999998545</v>
      </c>
      <c r="J90" s="175">
        <f>H90/DAY(B2)</f>
        <v>1.2766666666672488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'2'!F91</f>
        <v>2947.71</v>
      </c>
      <c r="F91" s="122">
        <v>2959.05</v>
      </c>
      <c r="G91" s="112">
        <f t="shared" si="8"/>
        <v>11.340000000000146</v>
      </c>
      <c r="H91" s="99">
        <f>G91+'2'!H91</f>
        <v>33.180000000000291</v>
      </c>
      <c r="I91" s="165"/>
      <c r="J91" s="175">
        <f>H91/DAY(B2)</f>
        <v>11.060000000000096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'2'!F92</f>
        <v>4758.46</v>
      </c>
      <c r="F92" s="122">
        <v>4758.66</v>
      </c>
      <c r="G92" s="112">
        <f t="shared" si="8"/>
        <v>0.1999999999998181</v>
      </c>
      <c r="H92" s="99">
        <f>G92+'2'!H92</f>
        <v>0.65999999999985448</v>
      </c>
      <c r="I92" s="165"/>
      <c r="J92" s="175">
        <f>H92/DAY(B2)</f>
        <v>0.21999999999995148</v>
      </c>
      <c r="O92" s="71"/>
    </row>
    <row r="93" spans="1:15" ht="29.25" x14ac:dyDescent="0.5">
      <c r="A93" s="774" t="s">
        <v>239</v>
      </c>
      <c r="B93" s="775"/>
      <c r="C93" s="77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1" t="s">
        <v>240</v>
      </c>
      <c r="B94" s="772"/>
      <c r="C94" s="773"/>
      <c r="D94" s="151" t="s">
        <v>130</v>
      </c>
      <c r="E94" s="151"/>
      <c r="F94" s="151"/>
      <c r="G94" s="99">
        <f>G35+G43+G49+G57</f>
        <v>7011.9700000001467</v>
      </c>
      <c r="H94" s="99">
        <f>G94+'2'!H94</f>
        <v>20454.580000000104</v>
      </c>
      <c r="I94" s="118"/>
      <c r="J94" s="175">
        <f>H94/DAY(B2)</f>
        <v>6818.1933333333682</v>
      </c>
      <c r="K94" s="69"/>
      <c r="L94" s="66"/>
      <c r="O94" s="71"/>
    </row>
    <row r="95" spans="1:15" ht="27.75" x14ac:dyDescent="0.5">
      <c r="A95" s="771" t="s">
        <v>241</v>
      </c>
      <c r="B95" s="772"/>
      <c r="C95" s="773"/>
      <c r="D95" s="151" t="s">
        <v>23</v>
      </c>
      <c r="E95" s="146"/>
      <c r="F95" s="146"/>
      <c r="G95" s="166">
        <f>G94/G7</f>
        <v>0.30125192794326144</v>
      </c>
      <c r="H95" s="99">
        <f>G95+'2'!H95</f>
        <v>0.89942486257262866</v>
      </c>
      <c r="I95" s="167"/>
      <c r="J95" s="175">
        <f>H95/DAY(B2)</f>
        <v>0.29980828752420957</v>
      </c>
      <c r="K95" s="69"/>
      <c r="L95" s="66"/>
      <c r="O95" s="71"/>
    </row>
    <row r="96" spans="1:15" ht="27.75" x14ac:dyDescent="0.5">
      <c r="A96" s="771" t="s">
        <v>242</v>
      </c>
      <c r="B96" s="772"/>
      <c r="C96" s="773"/>
      <c r="D96" s="151" t="s">
        <v>130</v>
      </c>
      <c r="E96" s="95"/>
      <c r="F96" s="95"/>
      <c r="G96" s="99">
        <f>G41+G42+G55+G56</f>
        <v>7169.1700000000419</v>
      </c>
      <c r="H96" s="99">
        <f>G96+'2'!H96</f>
        <v>20831.859999999957</v>
      </c>
      <c r="I96" s="118"/>
      <c r="J96" s="175">
        <f>H96/DAY(B2)</f>
        <v>6943.9533333333193</v>
      </c>
      <c r="K96" s="69"/>
      <c r="L96" s="66"/>
      <c r="O96" s="71"/>
    </row>
    <row r="97" spans="1:15" ht="27.75" x14ac:dyDescent="0.5">
      <c r="A97" s="771" t="s">
        <v>243</v>
      </c>
      <c r="B97" s="772"/>
      <c r="C97" s="773"/>
      <c r="D97" s="151" t="s">
        <v>23</v>
      </c>
      <c r="E97" s="95"/>
      <c r="F97" s="95"/>
      <c r="G97" s="166">
        <f>G96/G7</f>
        <v>0.30800563668312314</v>
      </c>
      <c r="H97" s="99">
        <f>G97+'2'!H97</f>
        <v>0.91598018074943299</v>
      </c>
      <c r="I97" s="167"/>
      <c r="J97" s="175">
        <f>H97/DAY(B2)</f>
        <v>0.30532672691647766</v>
      </c>
      <c r="K97" s="69"/>
      <c r="L97" s="66"/>
      <c r="O97" s="71"/>
    </row>
    <row r="98" spans="1:15" ht="27.75" x14ac:dyDescent="0.5">
      <c r="A98" s="771" t="s">
        <v>244</v>
      </c>
      <c r="B98" s="772"/>
      <c r="C98" s="773"/>
      <c r="D98" s="151" t="s">
        <v>130</v>
      </c>
      <c r="E98" s="95"/>
      <c r="F98" s="95"/>
      <c r="G98" s="99">
        <f>G39+G53</f>
        <v>4180.140000000014</v>
      </c>
      <c r="H98" s="99">
        <f>G98+'2'!H98</f>
        <v>12297.140000000014</v>
      </c>
      <c r="I98" s="168"/>
      <c r="J98" s="175">
        <f>H98/DAY(B2)</f>
        <v>4099.0466666666716</v>
      </c>
      <c r="K98" s="69"/>
      <c r="L98" s="66"/>
      <c r="O98" s="71"/>
    </row>
    <row r="99" spans="1:15" ht="27.75" x14ac:dyDescent="0.5">
      <c r="A99" s="771" t="s">
        <v>245</v>
      </c>
      <c r="B99" s="772"/>
      <c r="C99" s="773"/>
      <c r="D99" s="151" t="s">
        <v>23</v>
      </c>
      <c r="E99" s="95"/>
      <c r="F99" s="95"/>
      <c r="G99" s="166">
        <f>G98/G7</f>
        <v>0.17958936419761104</v>
      </c>
      <c r="H99" s="99">
        <f>G99+'2'!H99</f>
        <v>0.54081514695177091</v>
      </c>
      <c r="I99" s="168"/>
      <c r="J99" s="175">
        <f>H99/DAY(B2)</f>
        <v>0.1802717156505903</v>
      </c>
      <c r="O99" s="71"/>
    </row>
    <row r="100" spans="1:15" ht="27.75" x14ac:dyDescent="0.5">
      <c r="A100" s="771" t="s">
        <v>246</v>
      </c>
      <c r="B100" s="772"/>
      <c r="C100" s="773"/>
      <c r="D100" s="151" t="s">
        <v>180</v>
      </c>
      <c r="E100" s="95"/>
      <c r="F100" s="95"/>
      <c r="G100" s="99">
        <f>G38+G52</f>
        <v>1951.8100000000049</v>
      </c>
      <c r="H100" s="99">
        <f>G100+'2'!H100</f>
        <v>5817.9800000000032</v>
      </c>
      <c r="I100" s="118"/>
      <c r="J100" s="175">
        <f>H100/DAY(B2)</f>
        <v>1939.3266666666677</v>
      </c>
      <c r="K100" s="70"/>
      <c r="O100" s="71"/>
    </row>
    <row r="101" spans="1:15" ht="27.75" x14ac:dyDescent="0.5">
      <c r="A101" s="771" t="s">
        <v>247</v>
      </c>
      <c r="B101" s="772"/>
      <c r="C101" s="773"/>
      <c r="D101" s="151" t="s">
        <v>23</v>
      </c>
      <c r="E101" s="95"/>
      <c r="F101" s="95"/>
      <c r="G101" s="166">
        <f>G100/G7</f>
        <v>8.385468355953124E-2</v>
      </c>
      <c r="H101" s="99">
        <f>G101+'2'!H101</f>
        <v>0.25590027526326953</v>
      </c>
      <c r="I101" s="168"/>
      <c r="J101" s="175">
        <f>H101/DAY(B2)</f>
        <v>8.5300091754423171E-2</v>
      </c>
      <c r="O101" s="71"/>
    </row>
    <row r="102" spans="1:15" ht="27.75" x14ac:dyDescent="0.5">
      <c r="A102" s="771" t="s">
        <v>248</v>
      </c>
      <c r="B102" s="772"/>
      <c r="C102" s="773"/>
      <c r="D102" s="151" t="s">
        <v>180</v>
      </c>
      <c r="E102" s="95"/>
      <c r="F102" s="95"/>
      <c r="G102" s="99">
        <f>G36+G50</f>
        <v>2103.8100000000886</v>
      </c>
      <c r="H102" s="99">
        <f>G102+'2'!H102</f>
        <v>6090.3500000000458</v>
      </c>
      <c r="I102" s="168"/>
      <c r="J102" s="175">
        <f>H102/DAY(B2)</f>
        <v>2030.116666666682</v>
      </c>
      <c r="O102" s="71"/>
    </row>
    <row r="103" spans="1:15" ht="27.75" x14ac:dyDescent="0.5">
      <c r="A103" s="771" t="s">
        <v>249</v>
      </c>
      <c r="B103" s="772"/>
      <c r="C103" s="773"/>
      <c r="D103" s="151" t="s">
        <v>23</v>
      </c>
      <c r="E103" s="95"/>
      <c r="F103" s="95"/>
      <c r="G103" s="166">
        <f>G102/G7</f>
        <v>9.0384987175690462E-2</v>
      </c>
      <c r="H103" s="99">
        <f>G103+'2'!H103</f>
        <v>0.26782778434919063</v>
      </c>
      <c r="I103" s="118"/>
      <c r="J103" s="175">
        <f>H103/DAY(B2)</f>
        <v>8.9275928116396883E-2</v>
      </c>
      <c r="O103" s="71"/>
    </row>
    <row r="104" spans="1:15" ht="27.75" x14ac:dyDescent="0.5">
      <c r="A104" s="771" t="s">
        <v>250</v>
      </c>
      <c r="B104" s="772"/>
      <c r="C104" s="773"/>
      <c r="D104" s="151" t="s">
        <v>180</v>
      </c>
      <c r="E104" s="95"/>
      <c r="F104" s="95"/>
      <c r="G104" s="99">
        <f>G37+G51</f>
        <v>1707.2299999999959</v>
      </c>
      <c r="H104" s="99">
        <f>G104+'2'!H104</f>
        <v>5192.4199999999983</v>
      </c>
      <c r="I104" s="118"/>
      <c r="J104" s="175">
        <f>H104/DAY(B2)</f>
        <v>1730.8066666666662</v>
      </c>
      <c r="O104" s="71"/>
    </row>
    <row r="105" spans="1:15" ht="28.5" thickBot="1" x14ac:dyDescent="0.55000000000000004">
      <c r="A105" s="764" t="s">
        <v>251</v>
      </c>
      <c r="B105" s="765"/>
      <c r="C105" s="766"/>
      <c r="D105" s="231" t="s">
        <v>23</v>
      </c>
      <c r="E105" s="185"/>
      <c r="F105" s="185"/>
      <c r="G105" s="186">
        <f>G104/G7</f>
        <v>7.3346909490850959E-2</v>
      </c>
      <c r="H105" s="99">
        <f>G105+'2'!H105</f>
        <v>0.22846881390596366</v>
      </c>
      <c r="I105" s="187"/>
      <c r="J105" s="188">
        <f>H105/DAY(B2)</f>
        <v>7.6156271301987891E-2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0" t="s">
        <v>324</v>
      </c>
      <c r="B108" s="760"/>
      <c r="C108" s="760"/>
      <c r="D108" s="760"/>
      <c r="E108" s="760"/>
      <c r="F108" s="760"/>
      <c r="G108" s="760"/>
      <c r="H108" s="760"/>
      <c r="I108" s="760"/>
      <c r="J108" s="760"/>
    </row>
    <row r="109" spans="1:15" ht="29.25" x14ac:dyDescent="0.5">
      <c r="A109" s="788"/>
      <c r="B109" s="788"/>
    </row>
    <row r="110" spans="1:15" ht="29.25" x14ac:dyDescent="0.5">
      <c r="A110" s="761" t="s">
        <v>165</v>
      </c>
      <c r="B110" s="762"/>
      <c r="C110" s="762"/>
      <c r="D110" s="762"/>
      <c r="E110" s="762"/>
      <c r="F110" s="762"/>
      <c r="G110" s="762"/>
      <c r="H110" s="762"/>
      <c r="I110" s="762"/>
      <c r="J110" s="763"/>
    </row>
    <row r="111" spans="1:15" ht="27.75" x14ac:dyDescent="0.5">
      <c r="A111" s="753"/>
      <c r="B111" s="754"/>
      <c r="C111" s="755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0" t="s">
        <v>252</v>
      </c>
      <c r="B112" s="751"/>
      <c r="C112" s="752"/>
      <c r="D112" s="146" t="s">
        <v>183</v>
      </c>
      <c r="E112" s="95">
        <f>'2'!F112</f>
        <v>48439.14</v>
      </c>
      <c r="F112" s="237">
        <v>48520.73</v>
      </c>
      <c r="G112" s="112">
        <f t="shared" ref="G112:G123" si="9">F112-E112</f>
        <v>81.590000000003783</v>
      </c>
      <c r="H112" s="99">
        <f>G112+'2'!H112</f>
        <v>243.7300000000032</v>
      </c>
      <c r="I112" s="165"/>
      <c r="J112" s="348">
        <f>H112/DAY(B2)</f>
        <v>81.243333333334405</v>
      </c>
    </row>
    <row r="113" spans="1:18" ht="29.25" customHeight="1" x14ac:dyDescent="0.5">
      <c r="A113" s="750" t="s">
        <v>253</v>
      </c>
      <c r="B113" s="751"/>
      <c r="C113" s="752"/>
      <c r="D113" s="146" t="s">
        <v>183</v>
      </c>
      <c r="E113" s="95">
        <f>'2'!F113</f>
        <v>151482.74</v>
      </c>
      <c r="F113" s="237">
        <v>151949.15</v>
      </c>
      <c r="G113" s="112">
        <f t="shared" si="9"/>
        <v>466.41000000000349</v>
      </c>
      <c r="H113" s="99">
        <f>G113+'2'!H113</f>
        <v>1418.1499999999942</v>
      </c>
      <c r="I113" s="165"/>
      <c r="J113" s="348">
        <f>H113/DAY(B2)</f>
        <v>472.71666666666471</v>
      </c>
    </row>
    <row r="114" spans="1:18" ht="29.25" customHeight="1" x14ac:dyDescent="0.5">
      <c r="A114" s="750" t="s">
        <v>254</v>
      </c>
      <c r="B114" s="751"/>
      <c r="C114" s="752"/>
      <c r="D114" s="146" t="s">
        <v>183</v>
      </c>
      <c r="E114" s="95">
        <f>'2'!F114</f>
        <v>70631</v>
      </c>
      <c r="F114" s="237">
        <v>70852.7</v>
      </c>
      <c r="G114" s="112">
        <f t="shared" si="9"/>
        <v>221.69999999999709</v>
      </c>
      <c r="H114" s="99">
        <f>G114+'2'!H114</f>
        <v>652.69999999999709</v>
      </c>
      <c r="I114" s="165"/>
      <c r="J114" s="348">
        <f>H114/DAY(B2)</f>
        <v>217.5666666666657</v>
      </c>
    </row>
    <row r="115" spans="1:18" ht="29.25" customHeight="1" x14ac:dyDescent="0.5">
      <c r="A115" s="750" t="s">
        <v>255</v>
      </c>
      <c r="B115" s="751"/>
      <c r="C115" s="752"/>
      <c r="D115" s="146" t="s">
        <v>183</v>
      </c>
      <c r="E115" s="95">
        <f>'2'!F115</f>
        <v>7767.11</v>
      </c>
      <c r="F115" s="237">
        <v>7775.06</v>
      </c>
      <c r="G115" s="112">
        <f t="shared" si="9"/>
        <v>7.9500000000007276</v>
      </c>
      <c r="H115" s="99">
        <f>G115+'2'!H115</f>
        <v>27.0600000000004</v>
      </c>
      <c r="I115" s="165"/>
      <c r="J115" s="348">
        <f>H115/DAY(B2)</f>
        <v>9.0200000000001328</v>
      </c>
    </row>
    <row r="116" spans="1:18" ht="29.25" customHeight="1" x14ac:dyDescent="0.5">
      <c r="A116" s="757" t="s">
        <v>96</v>
      </c>
      <c r="B116" s="758"/>
      <c r="C116" s="759"/>
      <c r="D116" s="146" t="s">
        <v>183</v>
      </c>
      <c r="E116" s="95">
        <f>'2'!F116</f>
        <v>0</v>
      </c>
      <c r="F116" s="237">
        <v>0</v>
      </c>
      <c r="G116" s="112">
        <f t="shared" si="9"/>
        <v>0</v>
      </c>
      <c r="H116" s="99">
        <f>G116+'2'!H116</f>
        <v>0</v>
      </c>
      <c r="I116" s="165"/>
      <c r="J116" s="348">
        <f>H116/DAY(B2)</f>
        <v>0</v>
      </c>
      <c r="Q116" s="750"/>
      <c r="R116" s="752"/>
    </row>
    <row r="117" spans="1:18" ht="29.25" customHeight="1" x14ac:dyDescent="0.5">
      <c r="A117" s="757" t="s">
        <v>184</v>
      </c>
      <c r="B117" s="758"/>
      <c r="C117" s="759"/>
      <c r="D117" s="146" t="s">
        <v>183</v>
      </c>
      <c r="E117" s="95">
        <f>'2'!F117</f>
        <v>453.17</v>
      </c>
      <c r="F117" s="237">
        <v>472.65</v>
      </c>
      <c r="G117" s="112">
        <f t="shared" si="9"/>
        <v>19.479999999999961</v>
      </c>
      <c r="H117" s="99">
        <f>G117+'2'!H117</f>
        <v>56.649999999999977</v>
      </c>
      <c r="I117" s="165"/>
      <c r="J117" s="348">
        <f>H117/DAY(B2)</f>
        <v>18.883333333333326</v>
      </c>
      <c r="Q117" s="750"/>
      <c r="R117" s="752"/>
    </row>
    <row r="118" spans="1:18" ht="27.75" x14ac:dyDescent="0.5">
      <c r="A118" s="749" t="s">
        <v>97</v>
      </c>
      <c r="B118" s="749"/>
      <c r="C118" s="749"/>
      <c r="D118" s="151" t="s">
        <v>183</v>
      </c>
      <c r="E118" s="95">
        <f>'2'!F118</f>
        <v>207344.51</v>
      </c>
      <c r="F118" s="237">
        <v>207704.97</v>
      </c>
      <c r="G118" s="112">
        <f t="shared" si="9"/>
        <v>360.45999999999185</v>
      </c>
      <c r="H118" s="99">
        <f>G118+'2'!H118</f>
        <v>1172.9700000000012</v>
      </c>
      <c r="I118" s="165"/>
      <c r="J118" s="348">
        <f>H118/DAY(B2)</f>
        <v>390.99000000000041</v>
      </c>
      <c r="Q118" s="750"/>
      <c r="R118" s="752"/>
    </row>
    <row r="119" spans="1:18" ht="27.75" x14ac:dyDescent="0.5">
      <c r="A119" s="749" t="s">
        <v>98</v>
      </c>
      <c r="B119" s="749"/>
      <c r="C119" s="749"/>
      <c r="D119" s="151" t="s">
        <v>183</v>
      </c>
      <c r="E119" s="95">
        <f>'2'!F119</f>
        <v>207005.05</v>
      </c>
      <c r="F119" s="237">
        <v>207395.87</v>
      </c>
      <c r="G119" s="112">
        <f t="shared" si="9"/>
        <v>390.82000000000698</v>
      </c>
      <c r="H119" s="99">
        <f>G119+'2'!H119</f>
        <v>1165.8699999999953</v>
      </c>
      <c r="I119" s="165"/>
      <c r="J119" s="348">
        <f>H119/DAY(B2)</f>
        <v>388.6233333333318</v>
      </c>
    </row>
    <row r="120" spans="1:18" ht="27.75" x14ac:dyDescent="0.5">
      <c r="A120" s="749" t="s">
        <v>99</v>
      </c>
      <c r="B120" s="749"/>
      <c r="C120" s="749"/>
      <c r="D120" s="151" t="s">
        <v>183</v>
      </c>
      <c r="E120" s="95">
        <f>'2'!F120</f>
        <v>6327.25</v>
      </c>
      <c r="F120" s="237">
        <v>6739.01</v>
      </c>
      <c r="G120" s="112">
        <f t="shared" si="9"/>
        <v>411.76000000000022</v>
      </c>
      <c r="H120" s="99">
        <f>G120+'2'!H120</f>
        <v>1224.0100000000002</v>
      </c>
      <c r="I120" s="165"/>
      <c r="J120" s="348">
        <f>H120/DAY(B2)</f>
        <v>408.00333333333339</v>
      </c>
    </row>
    <row r="121" spans="1:18" ht="27.75" x14ac:dyDescent="0.5">
      <c r="A121" s="749" t="s">
        <v>100</v>
      </c>
      <c r="B121" s="749"/>
      <c r="C121" s="749"/>
      <c r="D121" s="151" t="s">
        <v>183</v>
      </c>
      <c r="E121" s="95">
        <f>'2'!F121</f>
        <v>311307</v>
      </c>
      <c r="F121" s="237">
        <v>312076.31</v>
      </c>
      <c r="G121" s="112">
        <f t="shared" si="9"/>
        <v>769.30999999999767</v>
      </c>
      <c r="H121" s="99">
        <f>G121+'2'!H121</f>
        <v>1814.3099999999977</v>
      </c>
      <c r="I121" s="165"/>
      <c r="J121" s="348">
        <f>H121/DAY(B2)</f>
        <v>604.76999999999919</v>
      </c>
    </row>
    <row r="122" spans="1:18" ht="27.75" x14ac:dyDescent="0.5">
      <c r="A122" s="749" t="s">
        <v>101</v>
      </c>
      <c r="B122" s="749"/>
      <c r="C122" s="749"/>
      <c r="D122" s="151" t="s">
        <v>183</v>
      </c>
      <c r="E122" s="95">
        <f>'2'!F122</f>
        <v>92233.17</v>
      </c>
      <c r="F122" s="237">
        <v>92542.7</v>
      </c>
      <c r="G122" s="112">
        <f t="shared" si="9"/>
        <v>309.52999999999884</v>
      </c>
      <c r="H122" s="99">
        <f>G122+'2'!H122</f>
        <v>920.69999999999709</v>
      </c>
      <c r="I122" s="165"/>
      <c r="J122" s="348">
        <f>H122/DAY(B2)</f>
        <v>306.89999999999901</v>
      </c>
    </row>
    <row r="123" spans="1:18" ht="27.75" x14ac:dyDescent="0.5">
      <c r="A123" s="749" t="s">
        <v>102</v>
      </c>
      <c r="B123" s="749"/>
      <c r="C123" s="749"/>
      <c r="D123" s="151" t="s">
        <v>183</v>
      </c>
      <c r="E123" s="95">
        <f>'2'!F123</f>
        <v>116201.75</v>
      </c>
      <c r="F123" s="237">
        <v>116536.75</v>
      </c>
      <c r="G123" s="112">
        <f t="shared" si="9"/>
        <v>335</v>
      </c>
      <c r="H123" s="99">
        <f>G123+'2'!H123</f>
        <v>993.75</v>
      </c>
      <c r="I123" s="165"/>
      <c r="J123" s="348">
        <f>H123/DAY(B2)</f>
        <v>331.25</v>
      </c>
    </row>
    <row r="124" spans="1:18" ht="29.25" customHeight="1" x14ac:dyDescent="0.5">
      <c r="A124" s="753"/>
      <c r="B124" s="754"/>
      <c r="C124" s="755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37"/>
      <c r="B125" s="737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56" t="s">
        <v>317</v>
      </c>
      <c r="B126" s="756"/>
      <c r="C126" s="756"/>
      <c r="D126" s="756"/>
      <c r="E126" s="756"/>
      <c r="F126" s="756"/>
      <c r="G126" s="756"/>
      <c r="H126" s="756"/>
      <c r="I126" s="756"/>
      <c r="J126" s="756"/>
    </row>
    <row r="127" spans="1:18" ht="27.75" x14ac:dyDescent="0.5">
      <c r="A127" s="737"/>
      <c r="B127" s="737"/>
      <c r="C127" s="246"/>
      <c r="D127" s="317"/>
      <c r="E127" s="95">
        <f>'2'!F127</f>
        <v>0</v>
      </c>
      <c r="F127" s="318"/>
      <c r="G127" s="319"/>
      <c r="H127" s="99">
        <f>G127+'2'!H127</f>
        <v>0</v>
      </c>
      <c r="I127" s="165"/>
      <c r="J127" s="348">
        <f>H127/DAY(B2)</f>
        <v>0</v>
      </c>
    </row>
    <row r="128" spans="1:18" ht="29.25" customHeight="1" x14ac:dyDescent="0.5">
      <c r="A128" s="750" t="s">
        <v>318</v>
      </c>
      <c r="B128" s="751"/>
      <c r="C128" s="752"/>
      <c r="D128" s="151" t="s">
        <v>183</v>
      </c>
      <c r="E128" s="95">
        <f>'2'!F128</f>
        <v>8261.65</v>
      </c>
      <c r="F128" s="165">
        <v>8578.27</v>
      </c>
      <c r="G128" s="112">
        <f t="shared" ref="G128:G134" si="10">F128-E128</f>
        <v>316.6200000000008</v>
      </c>
      <c r="H128" s="99">
        <f>G128+'2'!H128</f>
        <v>967.27000000000044</v>
      </c>
      <c r="I128" s="165"/>
      <c r="J128" s="348">
        <f>H128/DAY(B2)</f>
        <v>322.42333333333346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'2'!F129</f>
        <v>466.97</v>
      </c>
      <c r="F129" s="165">
        <v>663.1</v>
      </c>
      <c r="G129" s="112">
        <f t="shared" si="10"/>
        <v>196.13</v>
      </c>
      <c r="H129" s="99">
        <f>G129+'2'!H129</f>
        <v>549.1</v>
      </c>
      <c r="I129" s="165"/>
      <c r="J129" s="348">
        <f>H129/DAY(B2)</f>
        <v>183.03333333333333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'2'!F130</f>
        <v>613.97</v>
      </c>
      <c r="F130" s="165">
        <v>876.47</v>
      </c>
      <c r="G130" s="112">
        <f t="shared" si="10"/>
        <v>262.5</v>
      </c>
      <c r="H130" s="99">
        <f>G130+'2'!H130</f>
        <v>696.47</v>
      </c>
      <c r="I130" s="165"/>
      <c r="J130" s="348">
        <f>H130/DAY(B2)</f>
        <v>232.15666666666667</v>
      </c>
      <c r="N130" s="240"/>
      <c r="O130" s="241"/>
    </row>
    <row r="131" spans="1:15" ht="27.75" x14ac:dyDescent="0.5">
      <c r="A131" s="750" t="s">
        <v>321</v>
      </c>
      <c r="B131" s="751"/>
      <c r="C131" s="752"/>
      <c r="D131" s="151" t="s">
        <v>183</v>
      </c>
      <c r="E131" s="95">
        <f>'2'!F131</f>
        <v>383.01</v>
      </c>
      <c r="F131" s="165">
        <v>478.64</v>
      </c>
      <c r="G131" s="112">
        <f t="shared" si="10"/>
        <v>95.63</v>
      </c>
      <c r="H131" s="99">
        <f>G131+'2'!H131</f>
        <v>368.64</v>
      </c>
      <c r="I131" s="165"/>
      <c r="J131" s="348">
        <f>H131/DAY(B2)</f>
        <v>122.88</v>
      </c>
      <c r="N131" s="240"/>
      <c r="O131" s="241"/>
    </row>
    <row r="132" spans="1:15" ht="27.75" x14ac:dyDescent="0.5">
      <c r="A132" s="750" t="s">
        <v>322</v>
      </c>
      <c r="B132" s="751"/>
      <c r="C132" s="752"/>
      <c r="D132" s="151" t="s">
        <v>183</v>
      </c>
      <c r="E132" s="95">
        <f>'2'!F132</f>
        <v>1059.52</v>
      </c>
      <c r="F132" s="165">
        <v>1476.39</v>
      </c>
      <c r="G132" s="112">
        <f t="shared" si="10"/>
        <v>416.87000000000012</v>
      </c>
      <c r="H132" s="99">
        <f>G132+'2'!H132</f>
        <v>1155.3900000000001</v>
      </c>
      <c r="I132" s="165"/>
      <c r="J132" s="348">
        <f>H132/DAY(B2)</f>
        <v>385.13000000000005</v>
      </c>
    </row>
    <row r="133" spans="1:15" ht="27.75" x14ac:dyDescent="0.5">
      <c r="A133" s="750" t="s">
        <v>342</v>
      </c>
      <c r="B133" s="751"/>
      <c r="C133" s="752"/>
      <c r="D133" s="151" t="s">
        <v>183</v>
      </c>
      <c r="E133" s="95">
        <f>'2'!F133</f>
        <v>17875.990000000002</v>
      </c>
      <c r="F133" s="165">
        <v>18672.580000000002</v>
      </c>
      <c r="G133" s="112">
        <f t="shared" si="10"/>
        <v>796.59000000000015</v>
      </c>
      <c r="H133" s="99">
        <f>G133+'2'!H133</f>
        <v>2281.5800000000017</v>
      </c>
      <c r="I133" s="165"/>
      <c r="J133" s="348">
        <f>H133/DAY(B2)</f>
        <v>760.52666666666721</v>
      </c>
    </row>
    <row r="134" spans="1:15" ht="27.75" x14ac:dyDescent="0.5">
      <c r="A134" s="812" t="s">
        <v>340</v>
      </c>
      <c r="B134" s="813"/>
      <c r="C134" s="814"/>
      <c r="D134" s="151" t="s">
        <v>183</v>
      </c>
      <c r="E134" s="95">
        <v>614415</v>
      </c>
      <c r="F134" s="165">
        <v>614415</v>
      </c>
      <c r="G134" s="112">
        <f t="shared" si="10"/>
        <v>0</v>
      </c>
      <c r="H134" s="99">
        <f>G134+'2'!H134</f>
        <v>0</v>
      </c>
      <c r="I134" s="165"/>
      <c r="J134" s="348">
        <f>H134/DAY(B2)</f>
        <v>0</v>
      </c>
    </row>
    <row r="135" spans="1:15" ht="27.75" x14ac:dyDescent="0.5">
      <c r="A135" s="753"/>
      <c r="B135" s="754"/>
      <c r="C135" s="755"/>
      <c r="D135" s="151"/>
      <c r="E135" s="95"/>
      <c r="F135" s="165"/>
      <c r="G135" s="112"/>
      <c r="H135" s="99">
        <f>G135+'2'!H135</f>
        <v>0</v>
      </c>
      <c r="I135" s="165"/>
      <c r="J135" s="348">
        <f>H135/DAY(B2)</f>
        <v>0</v>
      </c>
    </row>
    <row r="136" spans="1:15" ht="31.5" x14ac:dyDescent="0.55000000000000004">
      <c r="A136" s="736" t="s">
        <v>325</v>
      </c>
      <c r="B136" s="736"/>
      <c r="C136" s="736"/>
      <c r="D136" s="736"/>
      <c r="E136" s="736"/>
      <c r="F136" s="736"/>
      <c r="G136" s="736"/>
      <c r="H136" s="736"/>
      <c r="I136" s="736"/>
      <c r="J136" s="736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49" t="s">
        <v>185</v>
      </c>
      <c r="B138" s="749"/>
      <c r="C138" s="749"/>
      <c r="D138" s="151" t="s">
        <v>183</v>
      </c>
      <c r="E138" s="95">
        <f>'2'!F138</f>
        <v>857535</v>
      </c>
      <c r="F138" s="147">
        <v>857623</v>
      </c>
      <c r="G138" s="112">
        <f t="shared" ref="G138:G152" si="11">F138-E138</f>
        <v>88</v>
      </c>
      <c r="H138" s="99">
        <f>G138+'2'!H138</f>
        <v>270</v>
      </c>
      <c r="I138" s="118"/>
      <c r="J138" s="348">
        <f>H138/DAY(B2)</f>
        <v>90</v>
      </c>
    </row>
    <row r="139" spans="1:15" ht="27.75" x14ac:dyDescent="0.5">
      <c r="A139" s="749" t="s">
        <v>186</v>
      </c>
      <c r="B139" s="749"/>
      <c r="C139" s="749"/>
      <c r="D139" s="151" t="s">
        <v>183</v>
      </c>
      <c r="E139" s="95">
        <f>'2'!F139</f>
        <v>886064</v>
      </c>
      <c r="F139" s="148">
        <v>886064</v>
      </c>
      <c r="G139" s="112">
        <f t="shared" si="11"/>
        <v>0</v>
      </c>
      <c r="H139" s="99">
        <f>G139+'2'!H139</f>
        <v>2</v>
      </c>
      <c r="I139" s="118"/>
      <c r="J139" s="348">
        <f>H139/DAY(B2)</f>
        <v>0.66666666666666663</v>
      </c>
    </row>
    <row r="140" spans="1:15" ht="27.75" x14ac:dyDescent="0.5">
      <c r="A140" s="749" t="s">
        <v>187</v>
      </c>
      <c r="B140" s="749"/>
      <c r="C140" s="749"/>
      <c r="D140" s="151" t="s">
        <v>183</v>
      </c>
      <c r="E140" s="95">
        <f>'2'!F140</f>
        <v>88797.2</v>
      </c>
      <c r="F140" s="149">
        <v>88797.2</v>
      </c>
      <c r="G140" s="112">
        <f t="shared" si="11"/>
        <v>0</v>
      </c>
      <c r="H140" s="99">
        <f>G140+'2'!H140</f>
        <v>-0.80000000000291038</v>
      </c>
      <c r="I140" s="118"/>
      <c r="J140" s="348">
        <f>H140/DAY(B2)</f>
        <v>-0.26666666666763678</v>
      </c>
    </row>
    <row r="141" spans="1:15" ht="27.75" x14ac:dyDescent="0.5">
      <c r="A141" s="728" t="s">
        <v>188</v>
      </c>
      <c r="B141" s="728"/>
      <c r="C141" s="728"/>
      <c r="D141" s="151" t="s">
        <v>183</v>
      </c>
      <c r="E141" s="95">
        <f>'2'!F141</f>
        <v>31904.77</v>
      </c>
      <c r="F141" s="149">
        <v>32088.959999999999</v>
      </c>
      <c r="G141" s="112">
        <f t="shared" si="11"/>
        <v>184.18999999999869</v>
      </c>
      <c r="H141" s="99">
        <f>G141+'2'!H141</f>
        <v>552.95999999999913</v>
      </c>
      <c r="I141" s="118"/>
      <c r="J141" s="348">
        <f>H141/DAY(B2)</f>
        <v>184.31999999999971</v>
      </c>
    </row>
    <row r="142" spans="1:15" ht="27.75" x14ac:dyDescent="0.5">
      <c r="A142" s="728" t="s">
        <v>189</v>
      </c>
      <c r="B142" s="728"/>
      <c r="C142" s="728"/>
      <c r="D142" s="151" t="s">
        <v>183</v>
      </c>
      <c r="E142" s="95">
        <f>'2'!F142</f>
        <v>15464.6</v>
      </c>
      <c r="F142" s="148">
        <v>15537.15</v>
      </c>
      <c r="G142" s="112">
        <f t="shared" si="11"/>
        <v>72.549999999999272</v>
      </c>
      <c r="H142" s="99">
        <f>G142+'2'!H142</f>
        <v>215.14999999999964</v>
      </c>
      <c r="I142" s="140"/>
      <c r="J142" s="348">
        <f>H142/DAY(B2)</f>
        <v>71.716666666666541</v>
      </c>
    </row>
    <row r="143" spans="1:15" ht="27.75" x14ac:dyDescent="0.5">
      <c r="A143" s="749" t="s">
        <v>91</v>
      </c>
      <c r="B143" s="749"/>
      <c r="C143" s="749"/>
      <c r="D143" s="151" t="s">
        <v>183</v>
      </c>
      <c r="E143" s="95">
        <f>'2'!F143</f>
        <v>585.44000000000005</v>
      </c>
      <c r="F143" s="149">
        <v>610.71</v>
      </c>
      <c r="G143" s="112">
        <f t="shared" si="11"/>
        <v>25.269999999999982</v>
      </c>
      <c r="H143" s="99">
        <f>G143+'2'!H143</f>
        <v>81.710000000000036</v>
      </c>
      <c r="I143" s="140"/>
      <c r="J143" s="348">
        <f>H143/DAY(B2)</f>
        <v>27.236666666666679</v>
      </c>
    </row>
    <row r="144" spans="1:15" ht="27.75" x14ac:dyDescent="0.5">
      <c r="A144" s="728" t="s">
        <v>90</v>
      </c>
      <c r="B144" s="728"/>
      <c r="C144" s="728"/>
      <c r="D144" s="151" t="s">
        <v>183</v>
      </c>
      <c r="E144" s="95">
        <f>'2'!F144</f>
        <v>850382</v>
      </c>
      <c r="F144" s="149">
        <v>850555</v>
      </c>
      <c r="G144" s="112">
        <f t="shared" si="11"/>
        <v>173</v>
      </c>
      <c r="H144" s="99">
        <f>G144+'2'!H144</f>
        <v>518</v>
      </c>
      <c r="I144" s="140"/>
      <c r="J144" s="348">
        <f>H144/DAY(B2)</f>
        <v>172.66666666666666</v>
      </c>
    </row>
    <row r="145" spans="1:10" ht="27.75" x14ac:dyDescent="0.5">
      <c r="A145" s="749" t="s">
        <v>190</v>
      </c>
      <c r="B145" s="749"/>
      <c r="C145" s="749"/>
      <c r="D145" s="152" t="s">
        <v>183</v>
      </c>
      <c r="E145" s="95">
        <f>'2'!F145</f>
        <v>1021.48</v>
      </c>
      <c r="F145" s="149">
        <v>1071.95</v>
      </c>
      <c r="G145" s="112">
        <f t="shared" si="11"/>
        <v>50.470000000000027</v>
      </c>
      <c r="H145" s="99">
        <f>G145+'2'!H145</f>
        <v>117.95000000000005</v>
      </c>
      <c r="I145" s="140"/>
      <c r="J145" s="348">
        <f>H145/DAY(B2)</f>
        <v>39.316666666666684</v>
      </c>
    </row>
    <row r="146" spans="1:10" ht="27.75" x14ac:dyDescent="0.5">
      <c r="A146" s="784" t="s">
        <v>191</v>
      </c>
      <c r="B146" s="769"/>
      <c r="C146" s="770"/>
      <c r="D146" s="152" t="s">
        <v>183</v>
      </c>
      <c r="E146" s="95">
        <f>'2'!F146</f>
        <v>687566</v>
      </c>
      <c r="F146" s="148">
        <v>687997</v>
      </c>
      <c r="G146" s="112">
        <f t="shared" si="11"/>
        <v>431</v>
      </c>
      <c r="H146" s="99">
        <f>G146+'2'!H146</f>
        <v>805</v>
      </c>
      <c r="I146" s="140"/>
      <c r="J146" s="348">
        <f>H146/DAY(B2)</f>
        <v>268.33333333333331</v>
      </c>
    </row>
    <row r="147" spans="1:10" ht="27.75" x14ac:dyDescent="0.5">
      <c r="A147" s="728" t="s">
        <v>192</v>
      </c>
      <c r="B147" s="728"/>
      <c r="C147" s="728"/>
      <c r="D147" s="152" t="s">
        <v>183</v>
      </c>
      <c r="E147" s="95">
        <f>'2'!F147</f>
        <v>576922.52</v>
      </c>
      <c r="F147" s="148">
        <v>577352.43999999994</v>
      </c>
      <c r="G147" s="112">
        <f t="shared" si="11"/>
        <v>429.91999999992549</v>
      </c>
      <c r="H147" s="99">
        <f>G147+'2'!H147</f>
        <v>1280.4399999999441</v>
      </c>
      <c r="I147" s="140"/>
      <c r="J147" s="348">
        <f>H147/DAY(B2)</f>
        <v>426.81333333331469</v>
      </c>
    </row>
    <row r="148" spans="1:10" ht="27.75" x14ac:dyDescent="0.5">
      <c r="A148" s="729" t="s">
        <v>193</v>
      </c>
      <c r="B148" s="730"/>
      <c r="C148" s="731"/>
      <c r="D148" s="123" t="s">
        <v>130</v>
      </c>
      <c r="E148" s="95">
        <f>'2'!F148</f>
        <v>658969.64</v>
      </c>
      <c r="F148" s="150">
        <v>659174.52</v>
      </c>
      <c r="G148" s="112">
        <f t="shared" si="11"/>
        <v>204.88000000000466</v>
      </c>
      <c r="H148" s="99">
        <f>G148+'2'!H148</f>
        <v>574.52000000001863</v>
      </c>
      <c r="I148" s="124"/>
      <c r="J148" s="348">
        <f>H148/DAY(B2)</f>
        <v>191.50666666667288</v>
      </c>
    </row>
    <row r="149" spans="1:10" ht="27.75" x14ac:dyDescent="0.5">
      <c r="A149" s="808" t="s">
        <v>336</v>
      </c>
      <c r="B149" s="809"/>
      <c r="C149" s="810"/>
      <c r="D149" s="227" t="s">
        <v>130</v>
      </c>
      <c r="E149" s="95">
        <v>75422</v>
      </c>
      <c r="F149" s="146">
        <v>75422</v>
      </c>
      <c r="G149" s="112">
        <f t="shared" si="11"/>
        <v>0</v>
      </c>
      <c r="H149" s="99">
        <f>G149+'2'!H149</f>
        <v>0</v>
      </c>
      <c r="I149" s="119"/>
      <c r="J149" s="348">
        <f>H149/DAY(B2)</f>
        <v>0</v>
      </c>
    </row>
    <row r="150" spans="1:10" ht="27.75" x14ac:dyDescent="0.5">
      <c r="A150" s="808" t="s">
        <v>337</v>
      </c>
      <c r="B150" s="809"/>
      <c r="C150" s="810"/>
      <c r="D150" s="117" t="s">
        <v>130</v>
      </c>
      <c r="E150" s="95">
        <v>7167232</v>
      </c>
      <c r="F150" s="233">
        <v>7167232</v>
      </c>
      <c r="G150" s="112">
        <f t="shared" si="11"/>
        <v>0</v>
      </c>
      <c r="H150" s="99">
        <f>G150+'2'!H150</f>
        <v>0</v>
      </c>
      <c r="I150" s="119"/>
      <c r="J150" s="348">
        <f>H150/DAY(B2)</f>
        <v>0</v>
      </c>
    </row>
    <row r="151" spans="1:10" ht="29.25" customHeight="1" x14ac:dyDescent="0.5">
      <c r="A151" s="729" t="s">
        <v>338</v>
      </c>
      <c r="B151" s="730"/>
      <c r="C151" s="731"/>
      <c r="D151" s="117" t="s">
        <v>130</v>
      </c>
      <c r="E151" s="95">
        <f>'2'!F151</f>
        <v>54005</v>
      </c>
      <c r="F151" s="233">
        <v>54325</v>
      </c>
      <c r="G151" s="112">
        <f t="shared" si="11"/>
        <v>320</v>
      </c>
      <c r="H151" s="99">
        <f>G151+'2'!H151</f>
        <v>946</v>
      </c>
      <c r="I151" s="119"/>
      <c r="J151" s="348">
        <f>H151/DAY(B2)</f>
        <v>315.33333333333331</v>
      </c>
    </row>
    <row r="152" spans="1:10" ht="29.25" customHeight="1" x14ac:dyDescent="0.5">
      <c r="A152" s="808" t="s">
        <v>339</v>
      </c>
      <c r="B152" s="809"/>
      <c r="C152" s="810"/>
      <c r="D152" s="117" t="s">
        <v>130</v>
      </c>
      <c r="E152" s="95">
        <f>'2'!F152</f>
        <v>0</v>
      </c>
      <c r="F152" s="233">
        <v>0</v>
      </c>
      <c r="G152" s="112">
        <f t="shared" si="11"/>
        <v>0</v>
      </c>
      <c r="H152" s="99">
        <f>G152+'2'!H152</f>
        <v>0</v>
      </c>
      <c r="I152" s="119"/>
      <c r="J152" s="348">
        <f>H152/DAY(B2)</f>
        <v>0</v>
      </c>
    </row>
    <row r="153" spans="1:10" ht="29.25" customHeight="1" x14ac:dyDescent="0.5">
      <c r="A153" s="388"/>
      <c r="B153" s="388"/>
      <c r="C153" s="388"/>
      <c r="D153" s="389"/>
      <c r="E153" s="390"/>
      <c r="F153" s="391"/>
      <c r="G153" s="392"/>
      <c r="H153" s="393"/>
      <c r="I153" s="394"/>
      <c r="J153" s="395"/>
    </row>
    <row r="154" spans="1:10" ht="29.25" customHeight="1" x14ac:dyDescent="0.55000000000000004">
      <c r="A154" s="736" t="s">
        <v>344</v>
      </c>
      <c r="B154" s="736"/>
      <c r="C154" s="736"/>
      <c r="D154" s="736"/>
      <c r="E154" s="736"/>
      <c r="F154" s="736"/>
      <c r="G154" s="736"/>
      <c r="H154" s="736"/>
      <c r="I154" s="736"/>
      <c r="J154" s="736"/>
    </row>
    <row r="155" spans="1:10" ht="29.25" customHeight="1" x14ac:dyDescent="0.55000000000000004">
      <c r="A155" s="728" t="s">
        <v>345</v>
      </c>
      <c r="B155" s="728"/>
      <c r="C155" s="728"/>
      <c r="D155" s="117" t="s">
        <v>130</v>
      </c>
      <c r="E155" s="95">
        <f>'2'!F155</f>
        <v>77035.899999999994</v>
      </c>
      <c r="F155" s="385">
        <v>77040.5</v>
      </c>
      <c r="G155" s="112">
        <f t="shared" ref="G155:G156" si="12">F155-E155</f>
        <v>4.6000000000058208</v>
      </c>
      <c r="H155" s="99">
        <f>G155+'2'!H155</f>
        <v>12.600000000005821</v>
      </c>
      <c r="I155" s="385"/>
      <c r="J155" s="348">
        <f>H155/DAY(B2)</f>
        <v>4.20000000000194</v>
      </c>
    </row>
    <row r="156" spans="1:10" ht="29.25" customHeight="1" x14ac:dyDescent="0.5">
      <c r="A156" s="811" t="s">
        <v>346</v>
      </c>
      <c r="B156" s="811"/>
      <c r="C156" s="811"/>
      <c r="D156" s="117" t="s">
        <v>130</v>
      </c>
      <c r="E156" s="95">
        <f>'2'!F156</f>
        <v>0</v>
      </c>
      <c r="F156" s="165"/>
      <c r="G156" s="112">
        <f t="shared" si="12"/>
        <v>0</v>
      </c>
      <c r="H156" s="99">
        <f>G156+'2'!H156</f>
        <v>0</v>
      </c>
      <c r="I156" s="165"/>
      <c r="J156" s="348">
        <f>H156/DAY(B2)</f>
        <v>0</v>
      </c>
    </row>
    <row r="157" spans="1:10" ht="31.5" x14ac:dyDescent="0.55000000000000004">
      <c r="A157" s="736" t="s">
        <v>326</v>
      </c>
      <c r="B157" s="736"/>
      <c r="C157" s="736"/>
      <c r="D157" s="736"/>
      <c r="E157" s="736"/>
      <c r="F157" s="736"/>
      <c r="G157" s="736"/>
      <c r="H157" s="736"/>
      <c r="I157" s="736"/>
      <c r="J157" s="736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'2'!F158</f>
        <v>465329.44</v>
      </c>
      <c r="F158" s="235">
        <v>465396.28</v>
      </c>
      <c r="G158" s="238">
        <f t="shared" ref="G158:G162" si="13">F158-E158</f>
        <v>66.840000000025611</v>
      </c>
      <c r="H158" s="99">
        <f>G158+'2'!H158</f>
        <v>135.28000000002794</v>
      </c>
      <c r="I158" s="236"/>
      <c r="J158" s="239">
        <f>H158/DAY(B2)</f>
        <v>45.093333333342649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'2'!F159</f>
        <v>84865.5</v>
      </c>
      <c r="F159" s="235">
        <v>84890.9</v>
      </c>
      <c r="G159" s="238">
        <f t="shared" si="13"/>
        <v>25.399999999994179</v>
      </c>
      <c r="H159" s="99">
        <f>G159+'2'!H159</f>
        <v>80.899999999994179</v>
      </c>
      <c r="I159" s="236"/>
      <c r="J159" s="239">
        <f>H159/DAY(B2)</f>
        <v>26.966666666664725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'2'!F160</f>
        <v>71111.100000000006</v>
      </c>
      <c r="F160" s="235">
        <v>71159.8</v>
      </c>
      <c r="G160" s="238">
        <f t="shared" si="13"/>
        <v>48.69999999999709</v>
      </c>
      <c r="H160" s="99">
        <f>G160+'2'!H160</f>
        <v>188.80000000000291</v>
      </c>
      <c r="I160" s="236"/>
      <c r="J160" s="239">
        <f>H160/DAY(B2)</f>
        <v>62.933333333334303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'2'!F161</f>
        <v>3810</v>
      </c>
      <c r="F161" s="235">
        <v>3812.4</v>
      </c>
      <c r="G161" s="238">
        <f t="shared" si="13"/>
        <v>2.4000000000000909</v>
      </c>
      <c r="H161" s="99">
        <f>G161+'2'!H161</f>
        <v>15.400000000000091</v>
      </c>
      <c r="I161" s="236"/>
      <c r="J161" s="239">
        <f>H161/DAY(B2)</f>
        <v>5.1333333333333639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'2'!F162</f>
        <v>28982.51</v>
      </c>
      <c r="F162" s="235">
        <v>28983.21</v>
      </c>
      <c r="G162" s="238">
        <f t="shared" si="13"/>
        <v>0.7000000000007276</v>
      </c>
      <c r="H162" s="99">
        <f>G162+'2'!H162</f>
        <v>11.209999999999127</v>
      </c>
      <c r="I162" s="236"/>
      <c r="J162" s="239">
        <f>H162/DAY(B2)</f>
        <v>3.7366666666663755</v>
      </c>
    </row>
    <row r="163" spans="1:10" ht="29.25" x14ac:dyDescent="0.5">
      <c r="A163" s="737"/>
      <c r="B163" s="737"/>
      <c r="C163" s="247"/>
      <c r="D163" s="244" t="s">
        <v>180</v>
      </c>
      <c r="E163" s="95">
        <f>'2'!F163</f>
        <v>0</v>
      </c>
      <c r="F163" s="165"/>
      <c r="G163" s="165"/>
      <c r="H163" s="99">
        <f>G163+'2'!H163</f>
        <v>0</v>
      </c>
      <c r="I163" s="165"/>
      <c r="J163" s="347"/>
    </row>
    <row r="164" spans="1:10" ht="29.25" x14ac:dyDescent="0.5">
      <c r="A164" s="737"/>
      <c r="B164" s="737"/>
      <c r="C164" s="247"/>
      <c r="D164" s="244" t="s">
        <v>180</v>
      </c>
      <c r="E164" s="95">
        <f>'2'!F164</f>
        <v>0</v>
      </c>
      <c r="F164" s="165"/>
      <c r="G164" s="165"/>
      <c r="H164" s="99">
        <f>G164+'2'!H164</f>
        <v>0</v>
      </c>
      <c r="I164" s="165"/>
      <c r="J164" s="347"/>
    </row>
    <row r="165" spans="1:10" ht="29.25" x14ac:dyDescent="0.5">
      <c r="A165" s="737"/>
      <c r="B165" s="737"/>
      <c r="C165" s="247"/>
      <c r="D165" s="244" t="s">
        <v>180</v>
      </c>
      <c r="E165" s="95">
        <f>'2'!F165</f>
        <v>0</v>
      </c>
      <c r="F165" s="165"/>
      <c r="G165" s="165"/>
      <c r="H165" s="99">
        <f>G165+'2'!H165</f>
        <v>0</v>
      </c>
      <c r="I165" s="165"/>
      <c r="J165" s="347"/>
    </row>
    <row r="166" spans="1:10" ht="29.25" x14ac:dyDescent="0.5"/>
    <row r="167" spans="1:10" ht="29.25" x14ac:dyDescent="0.5"/>
    <row r="168" spans="1:10" ht="31.5" x14ac:dyDescent="0.35">
      <c r="A168" s="738" t="s">
        <v>330</v>
      </c>
      <c r="B168" s="739"/>
      <c r="C168" s="739"/>
      <c r="D168" s="739"/>
      <c r="E168" s="739"/>
      <c r="F168" s="739"/>
      <c r="G168" s="739"/>
      <c r="H168" s="739"/>
      <c r="I168" s="739"/>
      <c r="J168" s="740"/>
    </row>
    <row r="169" spans="1:10" ht="27.75" x14ac:dyDescent="0.5">
      <c r="A169" s="747"/>
      <c r="B169" s="748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43" t="s">
        <v>209</v>
      </c>
      <c r="B170" s="744"/>
      <c r="C170" s="353"/>
      <c r="D170" s="228" t="s">
        <v>142</v>
      </c>
      <c r="E170" s="95">
        <f>'2'!F170</f>
        <v>7895</v>
      </c>
      <c r="F170" s="155">
        <v>7895</v>
      </c>
      <c r="G170" s="155">
        <f>F170-E170</f>
        <v>0</v>
      </c>
      <c r="H170" s="99">
        <f>G170+'2'!H170</f>
        <v>0</v>
      </c>
      <c r="I170" s="155"/>
      <c r="J170" s="178">
        <f>H170/DAY(B2)</f>
        <v>0</v>
      </c>
    </row>
    <row r="171" spans="1:10" ht="27.75" x14ac:dyDescent="0.5">
      <c r="A171" s="743" t="s">
        <v>75</v>
      </c>
      <c r="B171" s="744"/>
      <c r="C171" s="353"/>
      <c r="D171" s="228" t="s">
        <v>142</v>
      </c>
      <c r="E171" s="95">
        <f>'2'!F171</f>
        <v>37056</v>
      </c>
      <c r="F171" s="157">
        <v>37068</v>
      </c>
      <c r="G171" s="155">
        <f t="shared" ref="G171:G172" si="14">F171-E171</f>
        <v>12</v>
      </c>
      <c r="H171" s="99">
        <f>G171+'2'!H171</f>
        <v>34</v>
      </c>
      <c r="I171" s="155"/>
      <c r="J171" s="178">
        <f>H171/DAY(B2)</f>
        <v>11.333333333333334</v>
      </c>
    </row>
    <row r="172" spans="1:10" ht="21.75" customHeight="1" x14ac:dyDescent="0.5">
      <c r="A172" s="743" t="s">
        <v>76</v>
      </c>
      <c r="B172" s="783"/>
      <c r="C172" s="744"/>
      <c r="D172" s="228" t="s">
        <v>142</v>
      </c>
      <c r="E172" s="95">
        <f>'2'!F172</f>
        <v>20487</v>
      </c>
      <c r="F172" s="155">
        <v>20496</v>
      </c>
      <c r="G172" s="155">
        <f t="shared" si="14"/>
        <v>9</v>
      </c>
      <c r="H172" s="99">
        <f>G172+'2'!H172</f>
        <v>27</v>
      </c>
      <c r="I172" s="155"/>
      <c r="J172" s="178">
        <f>H172/DAY(B2)</f>
        <v>9</v>
      </c>
    </row>
    <row r="173" spans="1:10" ht="21.75" customHeight="1" x14ac:dyDescent="0.5">
      <c r="A173" s="743" t="s">
        <v>196</v>
      </c>
      <c r="B173" s="744"/>
      <c r="C173" s="353"/>
      <c r="D173" s="228"/>
      <c r="E173" s="95"/>
      <c r="F173" s="155"/>
      <c r="G173" s="155">
        <f>SUM(G170:G172)</f>
        <v>21</v>
      </c>
      <c r="H173" s="99">
        <f>G173+'2'!H173</f>
        <v>61</v>
      </c>
      <c r="I173" s="155"/>
      <c r="J173" s="178">
        <f>H173/DAY(B2)</f>
        <v>20.333333333333332</v>
      </c>
    </row>
    <row r="174" spans="1:10" ht="21.75" customHeight="1" x14ac:dyDescent="0.5">
      <c r="A174" s="743" t="s">
        <v>77</v>
      </c>
      <c r="B174" s="744"/>
      <c r="C174" s="353"/>
      <c r="D174" s="228" t="s">
        <v>142</v>
      </c>
      <c r="E174" s="95"/>
      <c r="F174" s="155"/>
      <c r="G174" s="155"/>
      <c r="H174" s="99">
        <f>G174+'2'!H174</f>
        <v>0</v>
      </c>
      <c r="I174" s="155"/>
      <c r="J174" s="178">
        <f>H174/DAY(B2)</f>
        <v>0</v>
      </c>
    </row>
    <row r="175" spans="1:10" ht="27.75" customHeight="1" x14ac:dyDescent="0.5">
      <c r="A175" s="743" t="s">
        <v>210</v>
      </c>
      <c r="B175" s="744"/>
      <c r="C175" s="353"/>
      <c r="D175" s="228" t="s">
        <v>142</v>
      </c>
      <c r="E175" s="95">
        <f>'2'!F175</f>
        <v>72101</v>
      </c>
      <c r="F175" s="155">
        <v>72174</v>
      </c>
      <c r="G175" s="155">
        <f>F175-E175</f>
        <v>73</v>
      </c>
      <c r="H175" s="99">
        <f>G175+'2'!H175</f>
        <v>240</v>
      </c>
      <c r="I175" s="155"/>
      <c r="J175" s="178">
        <f>H175/DAY(B2)</f>
        <v>80</v>
      </c>
    </row>
    <row r="176" spans="1:10" ht="24" customHeight="1" x14ac:dyDescent="0.5">
      <c r="A176" s="743" t="s">
        <v>211</v>
      </c>
      <c r="B176" s="744"/>
      <c r="C176" s="353"/>
      <c r="D176" s="228" t="s">
        <v>142</v>
      </c>
      <c r="E176" s="95">
        <f>'2'!F176</f>
        <v>33886</v>
      </c>
      <c r="F176" s="155">
        <v>33886</v>
      </c>
      <c r="G176" s="155">
        <f t="shared" ref="G176:G177" si="15">F176-E176</f>
        <v>0</v>
      </c>
      <c r="H176" s="99">
        <f>G176+'2'!H176</f>
        <v>0</v>
      </c>
      <c r="I176" s="155"/>
      <c r="J176" s="178">
        <f>H176/DAY(B2)</f>
        <v>0</v>
      </c>
    </row>
    <row r="177" spans="1:10" ht="22.5" customHeight="1" x14ac:dyDescent="0.5">
      <c r="A177" s="743" t="s">
        <v>212</v>
      </c>
      <c r="B177" s="744"/>
      <c r="C177" s="353"/>
      <c r="D177" s="228" t="s">
        <v>142</v>
      </c>
      <c r="E177" s="95">
        <f>'2'!F177</f>
        <v>4831</v>
      </c>
      <c r="F177" s="155">
        <v>4839</v>
      </c>
      <c r="G177" s="155">
        <f t="shared" si="15"/>
        <v>8</v>
      </c>
      <c r="H177" s="99">
        <f>G177+'2'!H177</f>
        <v>8</v>
      </c>
      <c r="I177" s="155"/>
      <c r="J177" s="178">
        <f>H177/DAY(B2)</f>
        <v>2.6666666666666665</v>
      </c>
    </row>
    <row r="178" spans="1:10" ht="27.75" x14ac:dyDescent="0.5">
      <c r="A178" s="734" t="s">
        <v>108</v>
      </c>
      <c r="B178" s="735"/>
      <c r="C178" s="353"/>
      <c r="D178" s="228"/>
      <c r="E178" s="95"/>
      <c r="F178" s="155"/>
      <c r="G178" s="155">
        <f>SUM(G175:G177)</f>
        <v>81</v>
      </c>
      <c r="H178" s="99">
        <f>G178+'2'!H178</f>
        <v>248</v>
      </c>
      <c r="I178" s="155"/>
      <c r="J178" s="178">
        <f>H178/DAY(B2)</f>
        <v>82.666666666666671</v>
      </c>
    </row>
    <row r="179" spans="1:10" ht="27" customHeight="1" x14ac:dyDescent="0.5">
      <c r="A179" s="743" t="s">
        <v>213</v>
      </c>
      <c r="B179" s="744"/>
      <c r="C179" s="353"/>
      <c r="D179" s="228"/>
      <c r="E179" s="95"/>
      <c r="F179" s="155"/>
      <c r="G179" s="155"/>
      <c r="H179" s="99">
        <f>G179+'2'!H179</f>
        <v>0</v>
      </c>
      <c r="I179" s="155"/>
      <c r="J179" s="178">
        <f>H179/DAY(B2)</f>
        <v>0</v>
      </c>
    </row>
    <row r="180" spans="1:10" ht="27" customHeight="1" x14ac:dyDescent="0.5">
      <c r="A180" s="743" t="s">
        <v>214</v>
      </c>
      <c r="B180" s="744"/>
      <c r="C180" s="354"/>
      <c r="D180" s="228" t="s">
        <v>142</v>
      </c>
      <c r="E180" s="95">
        <f>'2'!F180</f>
        <v>13574</v>
      </c>
      <c r="F180" s="157">
        <v>13587</v>
      </c>
      <c r="G180" s="157">
        <f>F180-E180</f>
        <v>13</v>
      </c>
      <c r="H180" s="99">
        <f>G180+'2'!H180</f>
        <v>50</v>
      </c>
      <c r="I180" s="155"/>
      <c r="J180" s="178">
        <f>H180/DAY(B2)</f>
        <v>16.666666666666668</v>
      </c>
    </row>
    <row r="181" spans="1:10" ht="25.5" customHeight="1" x14ac:dyDescent="0.5">
      <c r="A181" s="743" t="s">
        <v>215</v>
      </c>
      <c r="B181" s="744"/>
      <c r="C181" s="354"/>
      <c r="D181" s="228" t="s">
        <v>142</v>
      </c>
      <c r="E181" s="95">
        <f>'2'!F181</f>
        <v>9462</v>
      </c>
      <c r="F181" s="157">
        <v>9472</v>
      </c>
      <c r="G181" s="157">
        <f t="shared" ref="G181:G182" si="16">F181-E181</f>
        <v>10</v>
      </c>
      <c r="H181" s="99">
        <f>G181+'2'!H181</f>
        <v>24</v>
      </c>
      <c r="I181" s="155"/>
      <c r="J181" s="178">
        <f>H181/DAY(B2)</f>
        <v>8</v>
      </c>
    </row>
    <row r="182" spans="1:10" ht="27.75" x14ac:dyDescent="0.5">
      <c r="A182" s="743" t="s">
        <v>216</v>
      </c>
      <c r="B182" s="744"/>
      <c r="C182" s="354"/>
      <c r="D182" s="228" t="s">
        <v>142</v>
      </c>
      <c r="E182" s="95">
        <f>'2'!F182</f>
        <v>0</v>
      </c>
      <c r="F182" s="157"/>
      <c r="G182" s="157">
        <f t="shared" si="16"/>
        <v>0</v>
      </c>
      <c r="H182" s="99">
        <f>G182+'2'!H182</f>
        <v>0</v>
      </c>
      <c r="I182" s="155"/>
      <c r="J182" s="178">
        <f>H182/DAY(B2)</f>
        <v>0</v>
      </c>
    </row>
    <row r="183" spans="1:10" ht="27.75" x14ac:dyDescent="0.5">
      <c r="A183" s="743" t="s">
        <v>196</v>
      </c>
      <c r="B183" s="744"/>
      <c r="C183" s="354"/>
      <c r="D183" s="229"/>
      <c r="E183" s="95"/>
      <c r="F183" s="157"/>
      <c r="G183" s="157">
        <f>SUM(G180:G182)</f>
        <v>23</v>
      </c>
      <c r="H183" s="99">
        <f>G183+'2'!H183</f>
        <v>74</v>
      </c>
      <c r="I183" s="157"/>
      <c r="J183" s="178">
        <f>H183/DAY(B2)</f>
        <v>24.666666666666668</v>
      </c>
    </row>
    <row r="184" spans="1:10" ht="27.75" x14ac:dyDescent="0.5">
      <c r="A184" s="734" t="s">
        <v>217</v>
      </c>
      <c r="B184" s="735"/>
      <c r="C184" s="353"/>
      <c r="D184" s="230" t="s">
        <v>142</v>
      </c>
      <c r="E184" s="95"/>
      <c r="F184" s="159"/>
      <c r="G184" s="588">
        <f>G62+G19</f>
        <v>184</v>
      </c>
      <c r="H184" s="99">
        <f>G184+'2'!H184</f>
        <v>519</v>
      </c>
      <c r="I184" s="158"/>
      <c r="J184" s="179">
        <f>H184/DAY(B2)</f>
        <v>173</v>
      </c>
    </row>
    <row r="185" spans="1:10" ht="18.75" customHeight="1" x14ac:dyDescent="0.5">
      <c r="A185" s="734" t="s">
        <v>218</v>
      </c>
      <c r="B185" s="735"/>
      <c r="C185" s="353"/>
      <c r="D185" s="230" t="s">
        <v>142</v>
      </c>
      <c r="E185" s="95"/>
      <c r="F185" s="159"/>
      <c r="G185" s="588">
        <f>G65+G66+G67+G69+G70</f>
        <v>164</v>
      </c>
      <c r="H185" s="99">
        <f>G185+'2'!H185</f>
        <v>499</v>
      </c>
      <c r="I185" s="158"/>
      <c r="J185" s="179">
        <f>H185/DAY(B2)</f>
        <v>166.33333333333334</v>
      </c>
    </row>
    <row r="186" spans="1:10" ht="27.75" x14ac:dyDescent="0.5">
      <c r="A186" s="734" t="s">
        <v>219</v>
      </c>
      <c r="B186" s="735"/>
      <c r="C186" s="353"/>
      <c r="D186" s="230" t="s">
        <v>142</v>
      </c>
      <c r="E186" s="95"/>
      <c r="F186" s="157"/>
      <c r="G186" s="585">
        <f>G178</f>
        <v>81</v>
      </c>
      <c r="H186" s="99">
        <f>G186+'2'!H186</f>
        <v>248</v>
      </c>
      <c r="I186" s="158"/>
      <c r="J186" s="179">
        <f>H186/DAY(B2)</f>
        <v>82.666666666666671</v>
      </c>
    </row>
    <row r="187" spans="1:10" ht="27.75" x14ac:dyDescent="0.5">
      <c r="A187" s="734"/>
      <c r="B187" s="735"/>
      <c r="C187" s="353"/>
      <c r="D187" s="180"/>
      <c r="E187" s="180" t="s">
        <v>207</v>
      </c>
      <c r="F187" s="180"/>
      <c r="G187" s="180"/>
      <c r="H187" s="181"/>
      <c r="I187" s="180"/>
      <c r="J187" s="182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customHeight="1" x14ac:dyDescent="0.5"/>
    <row r="194" ht="29.25" customHeight="1" x14ac:dyDescent="0.5"/>
    <row r="195" ht="29.25" customHeight="1" x14ac:dyDescent="0.5"/>
    <row r="196" ht="29.25" customHeight="1" x14ac:dyDescent="0.5"/>
    <row r="197" ht="29.25" customHeight="1" x14ac:dyDescent="0.5"/>
    <row r="198" ht="29.25" customHeight="1" x14ac:dyDescent="0.5"/>
    <row r="199" ht="29.25" customHeight="1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5:B125"/>
    <mergeCell ref="A123:C123"/>
    <mergeCell ref="A142:C142"/>
    <mergeCell ref="A157:J157"/>
    <mergeCell ref="A133:C133"/>
    <mergeCell ref="A134:C134"/>
    <mergeCell ref="A135:C135"/>
    <mergeCell ref="A136:J136"/>
    <mergeCell ref="A138:C138"/>
    <mergeCell ref="A183:B183"/>
    <mergeCell ref="A184:B184"/>
    <mergeCell ref="A168:J168"/>
    <mergeCell ref="A169:B169"/>
    <mergeCell ref="A170:B170"/>
    <mergeCell ref="A171:B171"/>
    <mergeCell ref="A173:B173"/>
    <mergeCell ref="A174:B174"/>
    <mergeCell ref="A144:C144"/>
    <mergeCell ref="A145:C145"/>
    <mergeCell ref="A146:C146"/>
    <mergeCell ref="A147:C147"/>
    <mergeCell ref="A148:C148"/>
    <mergeCell ref="A143:C143"/>
    <mergeCell ref="A149:C149"/>
    <mergeCell ref="A172:C172"/>
    <mergeCell ref="A163:B163"/>
    <mergeCell ref="A150:C150"/>
    <mergeCell ref="A151:C151"/>
    <mergeCell ref="A152:C152"/>
    <mergeCell ref="A185:B185"/>
    <mergeCell ref="A186:B186"/>
    <mergeCell ref="A187:B187"/>
    <mergeCell ref="A175:B175"/>
    <mergeCell ref="A176:B176"/>
    <mergeCell ref="A177:B177"/>
    <mergeCell ref="A178:B178"/>
    <mergeCell ref="A182:B182"/>
    <mergeCell ref="A179:B179"/>
    <mergeCell ref="A180:B180"/>
    <mergeCell ref="A181:B181"/>
    <mergeCell ref="A164:B164"/>
    <mergeCell ref="A165:B165"/>
    <mergeCell ref="A154:J154"/>
    <mergeCell ref="A155:C155"/>
    <mergeCell ref="A156:C156"/>
  </mergeCells>
  <pageMargins left="0.22" right="0.17" top="0.14000000000000001" bottom="0.2" header="0.2" footer="0.2"/>
  <pageSetup paperSize="5" scale="1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67"/>
  <sheetViews>
    <sheetView view="pageBreakPreview" topLeftCell="A34" zoomScale="55" zoomScaleNormal="48" zoomScaleSheetLayoutView="55" workbookViewId="0">
      <selection activeCell="F63" sqref="F6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89" t="s">
        <v>115</v>
      </c>
      <c r="B1" s="790"/>
      <c r="C1" s="790"/>
      <c r="D1" s="790"/>
      <c r="E1" s="790"/>
      <c r="F1" s="790"/>
      <c r="G1" s="790"/>
      <c r="H1" s="790"/>
      <c r="I1" s="790"/>
      <c r="J1" s="791"/>
    </row>
    <row r="2" spans="1:15" s="57" customFormat="1" ht="27" x14ac:dyDescent="0.5">
      <c r="A2" s="191" t="s">
        <v>350</v>
      </c>
      <c r="B2" s="266">
        <v>44473</v>
      </c>
      <c r="C2" s="368" t="s">
        <v>67</v>
      </c>
      <c r="D2" s="218">
        <v>0.68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98" t="s">
        <v>119</v>
      </c>
      <c r="F3" s="799"/>
      <c r="G3" s="101"/>
      <c r="H3" s="102"/>
      <c r="I3" s="102"/>
      <c r="J3" s="222"/>
      <c r="K3" s="61"/>
      <c r="L3" s="58"/>
      <c r="N3" s="57" t="s">
        <v>354</v>
      </c>
      <c r="O3" s="57">
        <v>19294.8</v>
      </c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353</v>
      </c>
      <c r="O5" s="65">
        <v>28135.7</v>
      </c>
    </row>
    <row r="6" spans="1:15" ht="29.25" x14ac:dyDescent="0.4">
      <c r="A6" s="792" t="s">
        <v>128</v>
      </c>
      <c r="B6" s="793"/>
      <c r="C6" s="794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'3'!F7</f>
        <v>35458.699999999997</v>
      </c>
      <c r="F7" s="95">
        <v>59134.6</v>
      </c>
      <c r="G7" s="112">
        <f>F7-E7</f>
        <v>23675.9</v>
      </c>
      <c r="H7" s="99">
        <f>G7+'3'!H7</f>
        <v>91892.199999999953</v>
      </c>
      <c r="I7" s="113">
        <f>'1'!I7</f>
        <v>12000</v>
      </c>
      <c r="J7" s="175">
        <f>H7/DAY(B2)</f>
        <v>22973.049999999988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'3'!F8</f>
        <v>50338.5</v>
      </c>
      <c r="F8" s="114">
        <v>74191.240000000005</v>
      </c>
      <c r="G8" s="115">
        <f>F8-E8</f>
        <v>23852.740000000005</v>
      </c>
      <c r="H8" s="99">
        <f>G8+'3'!H8</f>
        <v>92474.239999999962</v>
      </c>
      <c r="I8" s="116"/>
      <c r="J8" s="175">
        <f>H8/DAY(B2)</f>
        <v>23118.55999999999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'3'!F9</f>
        <v>796721.71</v>
      </c>
      <c r="F9" s="117">
        <v>819664.03</v>
      </c>
      <c r="G9" s="112">
        <f>F9-E9</f>
        <v>22942.320000000065</v>
      </c>
      <c r="H9" s="99">
        <f>G9+'3'!H9</f>
        <v>88874.030000000028</v>
      </c>
      <c r="I9" s="124">
        <f>I7-J7</f>
        <v>-10973.049999999988</v>
      </c>
      <c r="J9" s="175">
        <f>H9/DAY(B2)</f>
        <v>22218.507500000007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'3'!F10</f>
        <v>0</v>
      </c>
      <c r="F10" s="117">
        <v>0</v>
      </c>
      <c r="G10" s="112">
        <f t="shared" ref="G10:G12" si="0">F10-E10</f>
        <v>0</v>
      </c>
      <c r="H10" s="99">
        <f>G10+'3'!H10</f>
        <v>0</v>
      </c>
      <c r="I10" s="286"/>
      <c r="J10" s="175">
        <f>H10/DAY(B2)</f>
        <v>0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'3'!F11</f>
        <v>37000</v>
      </c>
      <c r="F11" s="95">
        <v>37000</v>
      </c>
      <c r="G11" s="112">
        <f t="shared" si="0"/>
        <v>0</v>
      </c>
      <c r="H11" s="99">
        <f>G11+'3'!H11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'3'!F12</f>
        <v>40010</v>
      </c>
      <c r="F12" s="117">
        <v>40010</v>
      </c>
      <c r="G12" s="112">
        <f t="shared" si="0"/>
        <v>0</v>
      </c>
      <c r="H12" s="99">
        <f>G12+'3'!H12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22942.320000000065</v>
      </c>
      <c r="H13" s="99">
        <f>G13+'3'!H13</f>
        <v>67328.280000000028</v>
      </c>
      <c r="I13" s="120">
        <f>G7-G13</f>
        <v>733.57999999993626</v>
      </c>
      <c r="J13" s="175">
        <f>H13/DAY(B2)</f>
        <v>16832.070000000007</v>
      </c>
      <c r="K13" s="79"/>
      <c r="L13" s="66"/>
      <c r="N13" s="87"/>
      <c r="O13" s="71"/>
    </row>
    <row r="14" spans="1:15" ht="29.25" x14ac:dyDescent="0.5">
      <c r="A14" s="795" t="s">
        <v>137</v>
      </c>
      <c r="B14" s="796"/>
      <c r="C14" s="79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'3'!F15</f>
        <v>1787272.8870000001</v>
      </c>
      <c r="F15" s="123">
        <v>1788337</v>
      </c>
      <c r="G15" s="112">
        <f>(F15-E15)</f>
        <v>1064.1129999998957</v>
      </c>
      <c r="H15" s="99">
        <f>G15+'3'!H15</f>
        <v>4129</v>
      </c>
      <c r="I15" s="113">
        <f>'1'!I15</f>
        <v>800</v>
      </c>
      <c r="J15" s="175">
        <f>H15/DAY(B2)</f>
        <v>1032.25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-232.25</v>
      </c>
      <c r="J16" s="176"/>
      <c r="K16" s="79"/>
      <c r="L16" s="66"/>
      <c r="N16" s="87"/>
      <c r="O16" s="71"/>
    </row>
    <row r="17" spans="1:15" ht="29.25" x14ac:dyDescent="0.5">
      <c r="A17" s="795" t="s">
        <v>140</v>
      </c>
      <c r="B17" s="796"/>
      <c r="C17" s="79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1" t="s">
        <v>141</v>
      </c>
      <c r="B18" s="772"/>
      <c r="C18" s="773"/>
      <c r="D18" s="151" t="s">
        <v>142</v>
      </c>
      <c r="E18" s="95">
        <f>'3'!F18</f>
        <v>20</v>
      </c>
      <c r="F18" s="122">
        <v>19</v>
      </c>
      <c r="G18" s="119">
        <f>F18*10</f>
        <v>190</v>
      </c>
      <c r="H18" s="99">
        <f>G18+'3'!H18</f>
        <v>730</v>
      </c>
      <c r="I18" s="113">
        <f>'1'!I18</f>
        <v>65</v>
      </c>
      <c r="J18" s="175">
        <f>H18/DAY(B2)</f>
        <v>182.5</v>
      </c>
      <c r="K18" s="79"/>
      <c r="L18" s="66"/>
      <c r="N18" s="87"/>
      <c r="O18" s="71"/>
    </row>
    <row r="19" spans="1:15" ht="27.75" x14ac:dyDescent="0.5">
      <c r="A19" s="771" t="s">
        <v>69</v>
      </c>
      <c r="B19" s="772"/>
      <c r="C19" s="773"/>
      <c r="D19" s="151" t="s">
        <v>142</v>
      </c>
      <c r="E19" s="95">
        <f>'3'!F19</f>
        <v>147289</v>
      </c>
      <c r="F19" s="122">
        <f>E19+60</f>
        <v>147349</v>
      </c>
      <c r="G19" s="112">
        <f t="shared" ref="G19" si="1">F19-E19</f>
        <v>60</v>
      </c>
      <c r="H19" s="99">
        <f>G19+'3'!H19</f>
        <v>237</v>
      </c>
      <c r="I19" s="355"/>
      <c r="J19" s="175">
        <f>H19/DAY(B2)</f>
        <v>59.25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250</v>
      </c>
      <c r="H20" s="99">
        <f>G20+'3'!H20</f>
        <v>967</v>
      </c>
      <c r="I20" s="356">
        <f>I18-J20</f>
        <v>-176.75</v>
      </c>
      <c r="J20" s="175">
        <f>H20/DAY(B2)</f>
        <v>241.75</v>
      </c>
      <c r="K20" s="79"/>
      <c r="L20" s="66"/>
      <c r="N20" s="87"/>
      <c r="O20" s="71"/>
    </row>
    <row r="21" spans="1:15" ht="29.25" x14ac:dyDescent="0.5">
      <c r="A21" s="795" t="s">
        <v>144</v>
      </c>
      <c r="B21" s="796"/>
      <c r="C21" s="79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'3'!F23</f>
        <v>2000</v>
      </c>
      <c r="F23" s="122">
        <v>2000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0" t="s">
        <v>149</v>
      </c>
      <c r="B25" s="801"/>
      <c r="C25" s="80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23852.740000000005</v>
      </c>
      <c r="F27" s="136">
        <v>9</v>
      </c>
      <c r="G27" s="137">
        <f>E27*F27</f>
        <v>214674.66000000003</v>
      </c>
      <c r="H27" s="99">
        <f>G27+'3'!H27</f>
        <v>832268.15999999957</v>
      </c>
      <c r="I27" s="138"/>
      <c r="J27" s="175">
        <f>H27/DAY(B2)</f>
        <v>208067.03999999989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1064.1129999998957</v>
      </c>
      <c r="F28" s="136">
        <v>52</v>
      </c>
      <c r="G28" s="137">
        <f>E28*F28</f>
        <v>55333.875999994576</v>
      </c>
      <c r="H28" s="99">
        <f>G28+'3'!H28</f>
        <v>214708</v>
      </c>
      <c r="I28" s="140"/>
      <c r="J28" s="175">
        <f>H28/DAY(B2)</f>
        <v>53677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G30+'3'!H30</f>
        <v>34602</v>
      </c>
      <c r="I30" s="140"/>
      <c r="J30" s="175">
        <f>H30/DAY(B2)</f>
        <v>8650.5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190</v>
      </c>
      <c r="F31" s="136">
        <v>80</v>
      </c>
      <c r="G31" s="137">
        <f>E31*F31</f>
        <v>15200</v>
      </c>
      <c r="H31" s="99">
        <f>G31+'3'!H31</f>
        <v>58400</v>
      </c>
      <c r="I31" s="140"/>
      <c r="J31" s="175">
        <f>H31/DAY(B2)</f>
        <v>14600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293968.53599999461</v>
      </c>
      <c r="H32" s="99">
        <f>G32+'3'!H32</f>
        <v>1139978.1599999997</v>
      </c>
      <c r="I32" s="144"/>
      <c r="J32" s="175">
        <f>H32/DAY(B2)</f>
        <v>284994.53999999992</v>
      </c>
      <c r="K32" s="63"/>
      <c r="L32" s="89"/>
      <c r="N32" s="87"/>
      <c r="O32" s="71"/>
    </row>
    <row r="33" spans="1:15" ht="25.5" customHeight="1" x14ac:dyDescent="0.35">
      <c r="A33" s="803" t="s">
        <v>331</v>
      </c>
      <c r="B33" s="804"/>
      <c r="C33" s="804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'3'!F35</f>
        <v>0</v>
      </c>
      <c r="F35" s="145">
        <v>0</v>
      </c>
      <c r="G35" s="112">
        <f t="shared" ref="G35:G46" si="3">F35-E35</f>
        <v>0</v>
      </c>
      <c r="H35" s="99">
        <f>G35+'3'!H35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'3'!F36</f>
        <v>26566.799999999999</v>
      </c>
      <c r="F36" s="145">
        <v>27562.47</v>
      </c>
      <c r="G36" s="112">
        <f t="shared" si="3"/>
        <v>995.67000000000189</v>
      </c>
      <c r="H36" s="99">
        <f>G36+'3'!H36</f>
        <v>3685.4700000000012</v>
      </c>
      <c r="I36" s="95"/>
      <c r="J36" s="175">
        <f>H36/DAY(B2)</f>
        <v>921.36750000000029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'3'!F37</f>
        <v>59355.42</v>
      </c>
      <c r="F37" s="145">
        <v>61052.73</v>
      </c>
      <c r="G37" s="112">
        <f t="shared" si="3"/>
        <v>1697.3100000000049</v>
      </c>
      <c r="H37" s="99">
        <f>G37+'3'!H37</f>
        <v>6889.7300000000032</v>
      </c>
      <c r="I37" s="95"/>
      <c r="J37" s="175">
        <f>H37/DAY(B2)</f>
        <v>1722.4325000000008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'3'!F38</f>
        <v>62943.98</v>
      </c>
      <c r="F38" s="108">
        <v>64817.37</v>
      </c>
      <c r="G38" s="112">
        <f t="shared" si="3"/>
        <v>1873.3899999999994</v>
      </c>
      <c r="H38" s="99">
        <f>G38+'3'!H38</f>
        <v>7691.3700000000026</v>
      </c>
      <c r="I38" s="95"/>
      <c r="J38" s="175">
        <f>H38/DAY(B2)</f>
        <v>1922.8425000000007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'3'!F39</f>
        <v>135188.14000000001</v>
      </c>
      <c r="F39" s="145">
        <v>139445.87</v>
      </c>
      <c r="G39" s="112">
        <f t="shared" si="3"/>
        <v>4257.7299999999814</v>
      </c>
      <c r="H39" s="99">
        <f>G39+'3'!H39</f>
        <v>16554.869999999995</v>
      </c>
      <c r="I39" s="95"/>
      <c r="J39" s="175">
        <f>H39/DAY(B2)</f>
        <v>4138.7174999999988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'3'!F40</f>
        <v>0</v>
      </c>
      <c r="F40" s="145">
        <v>0</v>
      </c>
      <c r="G40" s="112">
        <f t="shared" si="3"/>
        <v>0</v>
      </c>
      <c r="H40" s="99">
        <f>G40+'3'!H40</f>
        <v>0</v>
      </c>
      <c r="I40" s="95"/>
      <c r="J40" s="175">
        <f>H40/DAY(B2)</f>
        <v>0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'3'!F41</f>
        <v>502641.15</v>
      </c>
      <c r="F41" s="145">
        <v>508335.51</v>
      </c>
      <c r="G41" s="112">
        <f t="shared" si="3"/>
        <v>5694.359999999986</v>
      </c>
      <c r="H41" s="99">
        <f>G41+'3'!H41</f>
        <v>19115.919999999984</v>
      </c>
      <c r="I41" s="95"/>
      <c r="J41" s="175">
        <f>H41/DAY(B2)</f>
        <v>4778.9799999999959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'3'!F42</f>
        <v>246138.83</v>
      </c>
      <c r="F42" s="145">
        <v>246138.83</v>
      </c>
      <c r="G42" s="112">
        <f t="shared" si="3"/>
        <v>0</v>
      </c>
      <c r="H42" s="99">
        <f>G42+'3'!H42</f>
        <v>1955.8299999999872</v>
      </c>
      <c r="I42" s="95"/>
      <c r="J42" s="175">
        <f>H42/DAY(B2)</f>
        <v>488.9574999999968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'3'!F43</f>
        <v>1370783.6</v>
      </c>
      <c r="F43" s="145">
        <v>1373176.1</v>
      </c>
      <c r="G43" s="112">
        <f t="shared" si="3"/>
        <v>2392.5</v>
      </c>
      <c r="H43" s="99">
        <f>G43+'3'!H43</f>
        <v>9218.1000000000931</v>
      </c>
      <c r="I43" s="95"/>
      <c r="J43" s="175">
        <f>H43/DAY(B2)</f>
        <v>2304.5250000000233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16910.959999999974</v>
      </c>
      <c r="H47" s="99">
        <f>G47+'3'!H47</f>
        <v>65111.290000000066</v>
      </c>
      <c r="I47" s="95"/>
      <c r="J47" s="175">
        <f>H47/DAY(B2)</f>
        <v>16277.822500000017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'3'!F49</f>
        <v>154825.98000000001</v>
      </c>
      <c r="F49" s="399">
        <v>159927.62</v>
      </c>
      <c r="G49" s="112">
        <f t="shared" ref="G49:G58" si="4">F49-E49</f>
        <v>5101.6399999999849</v>
      </c>
      <c r="H49" s="99">
        <f>G49+'3'!H49</f>
        <v>18730.619999999995</v>
      </c>
      <c r="I49" s="95"/>
      <c r="J49" s="175">
        <f>H49/DAY(B2)</f>
        <v>4682.6549999999988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'3'!F50</f>
        <v>646890.55000000005</v>
      </c>
      <c r="F50" s="145">
        <v>647922.35</v>
      </c>
      <c r="G50" s="112">
        <f t="shared" si="4"/>
        <v>1031.7999999999302</v>
      </c>
      <c r="H50" s="99">
        <f>G50+'3'!H50</f>
        <v>4432.3499999999767</v>
      </c>
      <c r="I50" s="95"/>
      <c r="J50" s="175">
        <f>H50/DAY(B2)</f>
        <v>1108.0874999999942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'3'!F51</f>
        <v>0</v>
      </c>
      <c r="F51" s="145">
        <v>0</v>
      </c>
      <c r="G51" s="112">
        <f t="shared" si="4"/>
        <v>0</v>
      </c>
      <c r="H51" s="99">
        <f>G51+'3'!H51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'3'!F52</f>
        <v>0</v>
      </c>
      <c r="F52" s="145">
        <v>0</v>
      </c>
      <c r="G52" s="112">
        <f t="shared" si="4"/>
        <v>0</v>
      </c>
      <c r="H52" s="99">
        <f>G52+'3'!H52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'3'!F53</f>
        <v>0</v>
      </c>
      <c r="F53" s="145">
        <v>0</v>
      </c>
      <c r="G53" s="112">
        <f t="shared" si="4"/>
        <v>0</v>
      </c>
      <c r="H53" s="99">
        <f>G53+'3'!H53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'3'!F54</f>
        <v>2743.72</v>
      </c>
      <c r="F54" s="145">
        <v>2747.59</v>
      </c>
      <c r="G54" s="112">
        <f t="shared" si="4"/>
        <v>3.8700000000003456</v>
      </c>
      <c r="H54" s="99">
        <f>G54+'3'!H54</f>
        <v>15.590000000000146</v>
      </c>
      <c r="I54" s="95"/>
      <c r="J54" s="175">
        <f>H54/DAY(B2)</f>
        <v>3.8975000000000364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'3'!F55</f>
        <v>307299.46999999997</v>
      </c>
      <c r="F55" s="145">
        <v>307299.42</v>
      </c>
      <c r="G55" s="112">
        <f t="shared" si="4"/>
        <v>-4.9999999988358468E-2</v>
      </c>
      <c r="H55" s="99">
        <f>G55+'3'!H55</f>
        <v>0.41999999998370185</v>
      </c>
      <c r="I55" s="95"/>
      <c r="J55" s="175">
        <f>H55/DAY(B2)</f>
        <v>0.10499999999592546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'3'!F56</f>
        <v>747224</v>
      </c>
      <c r="F56" s="145">
        <v>749199.51</v>
      </c>
      <c r="G56" s="112">
        <f t="shared" si="4"/>
        <v>1975.5100000000093</v>
      </c>
      <c r="H56" s="99">
        <f>G56+'3'!H56</f>
        <v>7429.5100000000093</v>
      </c>
      <c r="I56" s="95"/>
      <c r="J56" s="175">
        <f>H56/DAY(B2)</f>
        <v>1857.3775000000023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'3'!F57</f>
        <v>0</v>
      </c>
      <c r="F57" s="145">
        <v>0</v>
      </c>
      <c r="G57" s="112">
        <f t="shared" si="4"/>
        <v>0</v>
      </c>
      <c r="H57" s="99">
        <f>G57+'3'!H57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'3'!F58</f>
        <v>72828.83</v>
      </c>
      <c r="F58" s="145">
        <v>73092.83</v>
      </c>
      <c r="G58" s="112">
        <f t="shared" si="4"/>
        <v>264</v>
      </c>
      <c r="H58" s="99">
        <f>G58+'3'!H58</f>
        <v>937.83000000000175</v>
      </c>
      <c r="I58" s="95"/>
      <c r="J58" s="175">
        <f>H58/DAY(B2)</f>
        <v>234.45750000000044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8376.7699999999368</v>
      </c>
      <c r="H59" s="99">
        <f>G59+'3'!H59</f>
        <v>31546.319999999971</v>
      </c>
      <c r="I59" s="95">
        <f>G7-G60</f>
        <v>-1611.8299999999072</v>
      </c>
      <c r="J59" s="175">
        <f>H59/DAY(B2)</f>
        <v>7886.5799999999927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25287.729999999909</v>
      </c>
      <c r="H60" s="99">
        <f>G60+'3'!H60</f>
        <v>96657.61000000003</v>
      </c>
      <c r="I60" s="95">
        <f>G13-G60</f>
        <v>-2345.4099999998434</v>
      </c>
      <c r="J60" s="175">
        <f>H60/DAY(B2)</f>
        <v>24164.402500000007</v>
      </c>
      <c r="K60" s="79"/>
      <c r="L60" s="66"/>
      <c r="N60" s="87"/>
      <c r="O60" s="71"/>
    </row>
    <row r="61" spans="1:15" s="68" customFormat="1" ht="27.75" x14ac:dyDescent="0.5">
      <c r="A61" s="805" t="s">
        <v>332</v>
      </c>
      <c r="B61" s="806"/>
      <c r="C61" s="807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1" t="s">
        <v>198</v>
      </c>
      <c r="B62" s="772"/>
      <c r="C62" s="773"/>
      <c r="D62" s="151" t="s">
        <v>142</v>
      </c>
      <c r="E62" s="95">
        <f>'3'!F62</f>
        <v>256695</v>
      </c>
      <c r="F62" s="122">
        <v>256787</v>
      </c>
      <c r="G62" s="112">
        <f t="shared" ref="G62:G63" si="5">F62-E62</f>
        <v>92</v>
      </c>
      <c r="H62" s="99">
        <f>G62+'3'!H62</f>
        <v>434</v>
      </c>
      <c r="I62" s="118"/>
      <c r="J62" s="175">
        <f>H62/DAY(B2)</f>
        <v>108.5</v>
      </c>
      <c r="K62" s="80"/>
      <c r="L62" s="66"/>
      <c r="N62" s="87"/>
      <c r="O62" s="71"/>
    </row>
    <row r="63" spans="1:15" ht="27.75" x14ac:dyDescent="0.5">
      <c r="A63" s="771" t="s">
        <v>199</v>
      </c>
      <c r="B63" s="772"/>
      <c r="C63" s="773"/>
      <c r="D63" s="151" t="s">
        <v>142</v>
      </c>
      <c r="E63" s="95">
        <f>'3'!F63</f>
        <v>203015</v>
      </c>
      <c r="F63" s="122">
        <v>204163</v>
      </c>
      <c r="G63" s="112">
        <f t="shared" si="5"/>
        <v>1148</v>
      </c>
      <c r="H63" s="99">
        <f>G63+'3'!H63</f>
        <v>1637</v>
      </c>
      <c r="I63" s="118"/>
      <c r="J63" s="175">
        <f>H63/DAY(B2)</f>
        <v>409.25</v>
      </c>
      <c r="K63" s="69"/>
      <c r="L63" s="66"/>
      <c r="N63" s="87"/>
      <c r="O63" s="71"/>
    </row>
    <row r="64" spans="1:15" ht="29.25" x14ac:dyDescent="0.5">
      <c r="A64" s="780" t="s">
        <v>200</v>
      </c>
      <c r="B64" s="781"/>
      <c r="C64" s="782"/>
      <c r="D64" s="151"/>
      <c r="E64" s="122"/>
      <c r="F64" s="122"/>
      <c r="G64" s="112">
        <f>G62+G63</f>
        <v>1240</v>
      </c>
      <c r="H64" s="99">
        <f>G64+'3'!H64</f>
        <v>2071</v>
      </c>
      <c r="I64" s="118"/>
      <c r="J64" s="175">
        <f>H64/DAY(B2)</f>
        <v>517.75</v>
      </c>
      <c r="K64" s="69"/>
      <c r="L64" s="66"/>
      <c r="N64" s="87"/>
      <c r="O64" s="71"/>
    </row>
    <row r="65" spans="1:15" ht="27.75" x14ac:dyDescent="0.5">
      <c r="A65" s="771" t="s">
        <v>201</v>
      </c>
      <c r="B65" s="772"/>
      <c r="C65" s="773"/>
      <c r="D65" s="151" t="s">
        <v>142</v>
      </c>
      <c r="E65" s="95">
        <f>'3'!F65</f>
        <v>423539</v>
      </c>
      <c r="F65" s="122">
        <v>423624</v>
      </c>
      <c r="G65" s="112">
        <f t="shared" ref="G65:G70" si="6">F65-E65</f>
        <v>85</v>
      </c>
      <c r="H65" s="99">
        <f>G65+'3'!H65</f>
        <v>335</v>
      </c>
      <c r="I65" s="118"/>
      <c r="J65" s="175">
        <f>H65/DAY(B2)</f>
        <v>83.75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'3'!F66</f>
        <v>105386</v>
      </c>
      <c r="F66" s="122">
        <v>105407</v>
      </c>
      <c r="G66" s="112">
        <f t="shared" si="6"/>
        <v>21</v>
      </c>
      <c r="H66" s="99">
        <f>G66+'3'!H66</f>
        <v>93</v>
      </c>
      <c r="I66" s="118"/>
      <c r="J66" s="175">
        <f>H66/DAY(B2)</f>
        <v>23.25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'3'!F67</f>
        <v>101389</v>
      </c>
      <c r="F67" s="122">
        <v>101412</v>
      </c>
      <c r="G67" s="112">
        <f t="shared" si="6"/>
        <v>23</v>
      </c>
      <c r="H67" s="99">
        <f>G67+'3'!H67</f>
        <v>128</v>
      </c>
      <c r="I67" s="118"/>
      <c r="J67" s="175">
        <f>H67/DAY(B2)</f>
        <v>32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'3'!F68</f>
        <v>153239</v>
      </c>
      <c r="F68" s="122">
        <v>153288</v>
      </c>
      <c r="G68" s="112">
        <f t="shared" si="6"/>
        <v>49</v>
      </c>
      <c r="H68" s="99">
        <f>G68+'3'!H68</f>
        <v>175</v>
      </c>
      <c r="I68" s="118"/>
      <c r="J68" s="175">
        <f>H68/DAY(B2)</f>
        <v>43.75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'3'!F69</f>
        <v>9099</v>
      </c>
      <c r="F69" s="122">
        <v>9121</v>
      </c>
      <c r="G69" s="112">
        <f t="shared" si="6"/>
        <v>22</v>
      </c>
      <c r="H69" s="99">
        <f>G69+'3'!H69</f>
        <v>64</v>
      </c>
      <c r="I69" s="118"/>
      <c r="J69" s="175">
        <f>H69/DAY(B2)</f>
        <v>16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'3'!F70</f>
        <v>6834</v>
      </c>
      <c r="F70" s="122">
        <v>6842</v>
      </c>
      <c r="G70" s="112">
        <f t="shared" si="6"/>
        <v>8</v>
      </c>
      <c r="H70" s="99">
        <f>G70+'3'!H70</f>
        <v>38</v>
      </c>
      <c r="I70" s="118"/>
      <c r="J70" s="175">
        <f>H70/DAY(B2)</f>
        <v>9.5</v>
      </c>
      <c r="K70" s="69"/>
      <c r="L70" s="66"/>
      <c r="N70" s="87"/>
      <c r="O70" s="71"/>
    </row>
    <row r="71" spans="1:15" ht="29.25" x14ac:dyDescent="0.5">
      <c r="A71" s="780" t="s">
        <v>208</v>
      </c>
      <c r="B71" s="781"/>
      <c r="C71" s="782"/>
      <c r="D71" s="152"/>
      <c r="E71" s="152"/>
      <c r="F71" s="152"/>
      <c r="G71" s="153">
        <f>SUM(G65:G70)</f>
        <v>208</v>
      </c>
      <c r="H71" s="99">
        <f>G71+'3'!H71</f>
        <v>833</v>
      </c>
      <c r="I71" s="154"/>
      <c r="J71" s="175">
        <f>H71/DAY(B2)</f>
        <v>208.25</v>
      </c>
      <c r="K71" s="69"/>
      <c r="L71" s="66"/>
      <c r="N71" s="87"/>
      <c r="O71" s="71"/>
    </row>
    <row r="72" spans="1:15" s="88" customFormat="1" ht="27.75" x14ac:dyDescent="0.5">
      <c r="A72" s="767"/>
      <c r="B72" s="752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77" t="s">
        <v>333</v>
      </c>
      <c r="B73" s="778"/>
      <c r="C73" s="779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1" t="s">
        <v>220</v>
      </c>
      <c r="B74" s="772"/>
      <c r="C74" s="773"/>
      <c r="D74" s="151" t="s">
        <v>139</v>
      </c>
      <c r="E74" s="95">
        <f>'3'!F74</f>
        <v>865409.59</v>
      </c>
      <c r="F74" s="117">
        <v>865701.23699999996</v>
      </c>
      <c r="G74" s="112">
        <f t="shared" ref="G74:G78" si="7">F74-E74</f>
        <v>291.64699999999721</v>
      </c>
      <c r="H74" s="99">
        <f>G74+'3'!H74</f>
        <v>1193.2369999999646</v>
      </c>
      <c r="I74" s="154"/>
      <c r="J74" s="175">
        <f>H74/DAY(B2)</f>
        <v>298.30924999999115</v>
      </c>
      <c r="K74" s="69"/>
      <c r="L74" s="66"/>
      <c r="N74" s="87"/>
      <c r="O74" s="71"/>
    </row>
    <row r="75" spans="1:15" ht="27.75" x14ac:dyDescent="0.5">
      <c r="A75" s="771" t="s">
        <v>221</v>
      </c>
      <c r="B75" s="772"/>
      <c r="C75" s="773"/>
      <c r="D75" s="151" t="s">
        <v>139</v>
      </c>
      <c r="E75" s="95">
        <f>'3'!F75</f>
        <v>73583.399999999994</v>
      </c>
      <c r="F75" s="123">
        <v>73583.399999999994</v>
      </c>
      <c r="G75" s="112">
        <f t="shared" si="7"/>
        <v>0</v>
      </c>
      <c r="H75" s="99">
        <f>G75+'3'!H75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68" t="s">
        <v>222</v>
      </c>
      <c r="B76" s="769"/>
      <c r="C76" s="770"/>
      <c r="D76" s="151" t="s">
        <v>139</v>
      </c>
      <c r="E76" s="95">
        <f>'3'!F76</f>
        <v>157152.44</v>
      </c>
      <c r="F76" s="123">
        <v>157270.1</v>
      </c>
      <c r="G76" s="112">
        <f t="shared" si="7"/>
        <v>117.66000000000349</v>
      </c>
      <c r="H76" s="99">
        <f>G76+'3'!H76</f>
        <v>458.10000000000582</v>
      </c>
      <c r="I76" s="154"/>
      <c r="J76" s="175">
        <f>H76/DAY(B2)</f>
        <v>114.52500000000146</v>
      </c>
      <c r="K76" s="69"/>
      <c r="L76" s="66"/>
      <c r="N76" s="87"/>
      <c r="O76" s="71"/>
    </row>
    <row r="77" spans="1:15" ht="27.75" x14ac:dyDescent="0.5">
      <c r="A77" s="768" t="s">
        <v>223</v>
      </c>
      <c r="B77" s="769"/>
      <c r="C77" s="770"/>
      <c r="D77" s="151" t="s">
        <v>139</v>
      </c>
      <c r="E77" s="95">
        <f>'3'!F77</f>
        <v>36175.1</v>
      </c>
      <c r="F77" s="123">
        <v>36223.199999999997</v>
      </c>
      <c r="G77" s="112">
        <f t="shared" si="7"/>
        <v>48.099999999998545</v>
      </c>
      <c r="H77" s="99">
        <f>G77+'3'!H77</f>
        <v>219.19999999999709</v>
      </c>
      <c r="I77" s="154"/>
      <c r="J77" s="175">
        <f>H77/DAY(B2)</f>
        <v>54.799999999999272</v>
      </c>
      <c r="K77" s="69"/>
      <c r="L77" s="66"/>
      <c r="N77" s="87"/>
      <c r="O77" s="71"/>
    </row>
    <row r="78" spans="1:15" ht="27.75" x14ac:dyDescent="0.5">
      <c r="A78" s="768" t="s">
        <v>224</v>
      </c>
      <c r="B78" s="769"/>
      <c r="C78" s="770"/>
      <c r="D78" s="151" t="s">
        <v>139</v>
      </c>
      <c r="E78" s="95">
        <f>'3'!F78</f>
        <v>9255.7999999999993</v>
      </c>
      <c r="F78" s="123">
        <v>9259.1</v>
      </c>
      <c r="G78" s="112">
        <f t="shared" si="7"/>
        <v>3.3000000000010914</v>
      </c>
      <c r="H78" s="99">
        <f>G78+'3'!H78</f>
        <v>11.100000000000364</v>
      </c>
      <c r="I78" s="118"/>
      <c r="J78" s="175">
        <f>H78/DAY(B2)</f>
        <v>2.7750000000000909</v>
      </c>
      <c r="K78" s="69"/>
      <c r="L78" s="66"/>
      <c r="N78" s="87"/>
      <c r="O78" s="71"/>
    </row>
    <row r="79" spans="1:15" s="57" customFormat="1" ht="27.75" x14ac:dyDescent="0.5">
      <c r="A79" s="768" t="s">
        <v>225</v>
      </c>
      <c r="B79" s="769"/>
      <c r="C79" s="770"/>
      <c r="D79" s="151"/>
      <c r="E79" s="95">
        <f>'3'!F79</f>
        <v>0</v>
      </c>
      <c r="F79" s="117"/>
      <c r="G79" s="112">
        <f>G15-SUM(G74:G78)</f>
        <v>603.40599999989536</v>
      </c>
      <c r="H79" s="99">
        <f>G79+'3'!H79</f>
        <v>2247.3630000000321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0" t="s">
        <v>329</v>
      </c>
      <c r="B80" s="781"/>
      <c r="C80" s="782"/>
      <c r="D80" s="151"/>
      <c r="E80" s="117"/>
      <c r="F80" s="117"/>
      <c r="G80" s="112">
        <f>SUM(G74:G79)</f>
        <v>1064.1129999998957</v>
      </c>
      <c r="H80" s="99">
        <f>G80+'3'!H80</f>
        <v>3148</v>
      </c>
      <c r="I80" s="118"/>
      <c r="J80" s="175"/>
      <c r="K80" s="59"/>
      <c r="L80" s="58"/>
      <c r="N80" s="87"/>
      <c r="O80" s="71"/>
    </row>
    <row r="81" spans="1:15" ht="27" x14ac:dyDescent="0.4">
      <c r="A81" s="785" t="s">
        <v>226</v>
      </c>
      <c r="B81" s="786"/>
      <c r="C81" s="78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'3'!F84</f>
        <v>41221.269999999997</v>
      </c>
      <c r="F84" s="164">
        <v>41245.269999999997</v>
      </c>
      <c r="G84" s="236">
        <f t="shared" si="8"/>
        <v>24</v>
      </c>
      <c r="H84" s="99">
        <f>G84+'3'!H84</f>
        <v>83.269999999996799</v>
      </c>
      <c r="I84" s="118"/>
      <c r="J84" s="175">
        <f>H84/DAY(B2)</f>
        <v>20.8174999999992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'3'!F85</f>
        <v>1187.3699999999999</v>
      </c>
      <c r="F85" s="164">
        <v>1187.3699999999999</v>
      </c>
      <c r="G85" s="236">
        <f t="shared" si="8"/>
        <v>0</v>
      </c>
      <c r="H85" s="99">
        <f>G85+'3'!H85</f>
        <v>8.3699999999998909</v>
      </c>
      <c r="I85" s="118">
        <f>G82+G83+G84+G85</f>
        <v>24</v>
      </c>
      <c r="J85" s="175">
        <f>H85/DAY(B2)</f>
        <v>2.0924999999999727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'3'!F86</f>
        <v>42826.47</v>
      </c>
      <c r="F86" s="164">
        <v>42826.47</v>
      </c>
      <c r="G86" s="112">
        <f t="shared" si="8"/>
        <v>0</v>
      </c>
      <c r="H86" s="99">
        <f>G86+'3'!H86</f>
        <v>0.47000000000116415</v>
      </c>
      <c r="I86" s="118"/>
      <c r="J86" s="175">
        <f>H86/DAY(B2)</f>
        <v>0.11750000000029104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'3'!F87</f>
        <v>33340.5</v>
      </c>
      <c r="F87" s="164">
        <v>33349.5</v>
      </c>
      <c r="G87" s="112">
        <f t="shared" si="8"/>
        <v>9</v>
      </c>
      <c r="H87" s="99">
        <f>G87+'3'!H87</f>
        <v>35.5</v>
      </c>
      <c r="I87" s="118"/>
      <c r="J87" s="175">
        <f>H87/DAY(B2)</f>
        <v>8.875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'3'!F88</f>
        <v>23610.54</v>
      </c>
      <c r="F88" s="164">
        <v>23610.54</v>
      </c>
      <c r="G88" s="112">
        <f t="shared" si="8"/>
        <v>0</v>
      </c>
      <c r="H88" s="99">
        <f>G88+'3'!H88</f>
        <v>19.569999999999709</v>
      </c>
      <c r="I88" s="118">
        <f>G86+G87+G88</f>
        <v>9</v>
      </c>
      <c r="J88" s="175">
        <f>H88/DAY(B2)</f>
        <v>4.8924999999999272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'3'!F89</f>
        <v>25198.69</v>
      </c>
      <c r="F89" s="164">
        <v>25210.44</v>
      </c>
      <c r="G89" s="112">
        <f t="shared" si="8"/>
        <v>11.75</v>
      </c>
      <c r="H89" s="99">
        <f>G89+'3'!H89</f>
        <v>23.069999999999709</v>
      </c>
      <c r="I89" s="118"/>
      <c r="J89" s="175">
        <f>H89/DAY(B2)</f>
        <v>5.7674999999999272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'3'!F90</f>
        <v>70536.81</v>
      </c>
      <c r="F90" s="164">
        <v>70539.48</v>
      </c>
      <c r="G90" s="112">
        <f t="shared" si="8"/>
        <v>2.6699999999982538</v>
      </c>
      <c r="H90" s="99">
        <f>G90+'3'!H90</f>
        <v>6.5</v>
      </c>
      <c r="I90" s="118">
        <f>G89+G90</f>
        <v>14.419999999998254</v>
      </c>
      <c r="J90" s="175">
        <f>H90/DAY(B2)</f>
        <v>1.625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'3'!F91</f>
        <v>2959.05</v>
      </c>
      <c r="F91" s="122">
        <v>2969.71</v>
      </c>
      <c r="G91" s="112">
        <f t="shared" si="8"/>
        <v>10.659999999999854</v>
      </c>
      <c r="H91" s="99">
        <f>G91+'3'!H91</f>
        <v>43.840000000000146</v>
      </c>
      <c r="I91" s="165"/>
      <c r="J91" s="175">
        <f>H91/DAY(B2)</f>
        <v>10.960000000000036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'3'!F92</f>
        <v>4758.66</v>
      </c>
      <c r="F92" s="122">
        <v>4758.6000000000004</v>
      </c>
      <c r="G92" s="112">
        <f t="shared" si="8"/>
        <v>-5.9999999999490683E-2</v>
      </c>
      <c r="H92" s="99">
        <f>G92+'3'!H92</f>
        <v>0.6000000000003638</v>
      </c>
      <c r="I92" s="165"/>
      <c r="J92" s="175">
        <f>H92/DAY(B2)</f>
        <v>0.15000000000009095</v>
      </c>
      <c r="O92" s="71"/>
    </row>
    <row r="93" spans="1:15" ht="29.25" x14ac:dyDescent="0.5">
      <c r="A93" s="774" t="s">
        <v>239</v>
      </c>
      <c r="B93" s="775"/>
      <c r="C93" s="77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1" t="s">
        <v>240</v>
      </c>
      <c r="B94" s="772"/>
      <c r="C94" s="773"/>
      <c r="D94" s="151" t="s">
        <v>130</v>
      </c>
      <c r="E94" s="151"/>
      <c r="F94" s="151"/>
      <c r="G94" s="99">
        <f>G35+G43+G49+G57</f>
        <v>7494.1399999999849</v>
      </c>
      <c r="H94" s="99">
        <f>G94+'3'!H94</f>
        <v>27948.720000000088</v>
      </c>
      <c r="I94" s="118"/>
      <c r="J94" s="175">
        <f>H94/DAY(B2)</f>
        <v>6987.1800000000221</v>
      </c>
      <c r="K94" s="69"/>
      <c r="L94" s="66"/>
      <c r="O94" s="71"/>
    </row>
    <row r="95" spans="1:15" ht="27.75" x14ac:dyDescent="0.5">
      <c r="A95" s="771" t="s">
        <v>241</v>
      </c>
      <c r="B95" s="772"/>
      <c r="C95" s="773"/>
      <c r="D95" s="151" t="s">
        <v>23</v>
      </c>
      <c r="E95" s="146"/>
      <c r="F95" s="146"/>
      <c r="G95" s="166">
        <f>G94/G7</f>
        <v>0.3165303114137154</v>
      </c>
      <c r="H95" s="99">
        <f>G95+'3'!H95</f>
        <v>1.2159551739863441</v>
      </c>
      <c r="I95" s="167"/>
      <c r="J95" s="175">
        <f>H95/DAY(B2)</f>
        <v>0.30398879349658603</v>
      </c>
      <c r="K95" s="69"/>
      <c r="L95" s="66"/>
      <c r="O95" s="71"/>
    </row>
    <row r="96" spans="1:15" ht="27.75" x14ac:dyDescent="0.5">
      <c r="A96" s="771" t="s">
        <v>242</v>
      </c>
      <c r="B96" s="772"/>
      <c r="C96" s="773"/>
      <c r="D96" s="151" t="s">
        <v>130</v>
      </c>
      <c r="E96" s="95"/>
      <c r="F96" s="95"/>
      <c r="G96" s="99">
        <f>G41+G42+G55+G56</f>
        <v>7669.820000000007</v>
      </c>
      <c r="H96" s="99">
        <f>G96+'3'!H96</f>
        <v>28501.679999999964</v>
      </c>
      <c r="I96" s="118"/>
      <c r="J96" s="175">
        <f>H96/DAY(B2)</f>
        <v>7125.419999999991</v>
      </c>
      <c r="K96" s="69"/>
      <c r="L96" s="66"/>
      <c r="O96" s="71"/>
    </row>
    <row r="97" spans="1:15" ht="27.75" x14ac:dyDescent="0.5">
      <c r="A97" s="771" t="s">
        <v>243</v>
      </c>
      <c r="B97" s="772"/>
      <c r="C97" s="773"/>
      <c r="D97" s="151" t="s">
        <v>23</v>
      </c>
      <c r="E97" s="95"/>
      <c r="F97" s="95"/>
      <c r="G97" s="166">
        <f>G96/G7</f>
        <v>0.32395051508073636</v>
      </c>
      <c r="H97" s="99">
        <f>G97+'3'!H97</f>
        <v>1.2399306958301692</v>
      </c>
      <c r="I97" s="167"/>
      <c r="J97" s="175">
        <f>H97/DAY(B2)</f>
        <v>0.30998267395754231</v>
      </c>
      <c r="K97" s="69"/>
      <c r="L97" s="66"/>
      <c r="O97" s="71"/>
    </row>
    <row r="98" spans="1:15" ht="27.75" x14ac:dyDescent="0.5">
      <c r="A98" s="771" t="s">
        <v>244</v>
      </c>
      <c r="B98" s="772"/>
      <c r="C98" s="773"/>
      <c r="D98" s="151" t="s">
        <v>130</v>
      </c>
      <c r="E98" s="95"/>
      <c r="F98" s="95"/>
      <c r="G98" s="99">
        <f>G39+G53</f>
        <v>4257.7299999999814</v>
      </c>
      <c r="H98" s="99">
        <f>G98+'3'!H98</f>
        <v>16554.869999999995</v>
      </c>
      <c r="I98" s="168"/>
      <c r="J98" s="175">
        <f>H98/DAY(B2)</f>
        <v>4138.7174999999988</v>
      </c>
      <c r="K98" s="69"/>
      <c r="L98" s="66"/>
      <c r="O98" s="71"/>
    </row>
    <row r="99" spans="1:15" ht="27.75" x14ac:dyDescent="0.5">
      <c r="A99" s="771" t="s">
        <v>245</v>
      </c>
      <c r="B99" s="772"/>
      <c r="C99" s="773"/>
      <c r="D99" s="151" t="s">
        <v>23</v>
      </c>
      <c r="E99" s="95"/>
      <c r="F99" s="95"/>
      <c r="G99" s="166">
        <f>G98/G7</f>
        <v>0.17983392394798006</v>
      </c>
      <c r="H99" s="99">
        <f>G99+'3'!H99</f>
        <v>0.72064907089975094</v>
      </c>
      <c r="I99" s="168"/>
      <c r="J99" s="175">
        <f>H99/DAY(B2)</f>
        <v>0.18016226772493774</v>
      </c>
      <c r="O99" s="71"/>
    </row>
    <row r="100" spans="1:15" ht="27.75" x14ac:dyDescent="0.5">
      <c r="A100" s="771" t="s">
        <v>246</v>
      </c>
      <c r="B100" s="772"/>
      <c r="C100" s="773"/>
      <c r="D100" s="151" t="s">
        <v>180</v>
      </c>
      <c r="E100" s="95"/>
      <c r="F100" s="95"/>
      <c r="G100" s="99">
        <f>G38+G52</f>
        <v>1873.3899999999994</v>
      </c>
      <c r="H100" s="99">
        <f>G100+'3'!H100</f>
        <v>7691.3700000000026</v>
      </c>
      <c r="I100" s="118"/>
      <c r="J100" s="175">
        <f>H100/DAY(B2)</f>
        <v>1922.8425000000007</v>
      </c>
      <c r="K100" s="70"/>
      <c r="O100" s="71"/>
    </row>
    <row r="101" spans="1:15" ht="27.75" x14ac:dyDescent="0.5">
      <c r="A101" s="771" t="s">
        <v>247</v>
      </c>
      <c r="B101" s="772"/>
      <c r="C101" s="773"/>
      <c r="D101" s="151" t="s">
        <v>23</v>
      </c>
      <c r="E101" s="95"/>
      <c r="F101" s="95"/>
      <c r="G101" s="166">
        <f>G100/G7</f>
        <v>7.9126453482232961E-2</v>
      </c>
      <c r="H101" s="99">
        <f>G101+'3'!H101</f>
        <v>0.33502672874550249</v>
      </c>
      <c r="I101" s="168"/>
      <c r="J101" s="175">
        <f>H101/DAY(B2)</f>
        <v>8.3756682186375622E-2</v>
      </c>
      <c r="O101" s="71"/>
    </row>
    <row r="102" spans="1:15" ht="27.75" x14ac:dyDescent="0.5">
      <c r="A102" s="771" t="s">
        <v>248</v>
      </c>
      <c r="B102" s="772"/>
      <c r="C102" s="773"/>
      <c r="D102" s="151" t="s">
        <v>180</v>
      </c>
      <c r="E102" s="95"/>
      <c r="F102" s="95"/>
      <c r="G102" s="99">
        <f>G36+G50</f>
        <v>2027.469999999932</v>
      </c>
      <c r="H102" s="99">
        <f>G102+'3'!H102</f>
        <v>8117.8199999999779</v>
      </c>
      <c r="I102" s="168"/>
      <c r="J102" s="175">
        <f>H102/DAY(B2)</f>
        <v>2029.4549999999945</v>
      </c>
      <c r="O102" s="71"/>
    </row>
    <row r="103" spans="1:15" ht="27.75" x14ac:dyDescent="0.5">
      <c r="A103" s="771" t="s">
        <v>249</v>
      </c>
      <c r="B103" s="772"/>
      <c r="C103" s="773"/>
      <c r="D103" s="151" t="s">
        <v>23</v>
      </c>
      <c r="E103" s="95"/>
      <c r="F103" s="95"/>
      <c r="G103" s="166">
        <f>G102/G7</f>
        <v>8.5634337026255891E-2</v>
      </c>
      <c r="H103" s="99">
        <f>G103+'3'!H103</f>
        <v>0.35346212137544653</v>
      </c>
      <c r="I103" s="118"/>
      <c r="J103" s="175">
        <f>H103/DAY(B2)</f>
        <v>8.8365530343861631E-2</v>
      </c>
      <c r="O103" s="71"/>
    </row>
    <row r="104" spans="1:15" ht="27.75" x14ac:dyDescent="0.5">
      <c r="A104" s="771" t="s">
        <v>250</v>
      </c>
      <c r="B104" s="772"/>
      <c r="C104" s="773"/>
      <c r="D104" s="151" t="s">
        <v>180</v>
      </c>
      <c r="E104" s="95"/>
      <c r="F104" s="95"/>
      <c r="G104" s="99">
        <f>G37+G51</f>
        <v>1697.3100000000049</v>
      </c>
      <c r="H104" s="99">
        <f>G104+'3'!H104</f>
        <v>6889.7300000000032</v>
      </c>
      <c r="I104" s="118"/>
      <c r="J104" s="175">
        <f>H104/DAY(B2)</f>
        <v>1722.4325000000008</v>
      </c>
      <c r="O104" s="71"/>
    </row>
    <row r="105" spans="1:15" ht="28.5" thickBot="1" x14ac:dyDescent="0.55000000000000004">
      <c r="A105" s="764" t="s">
        <v>251</v>
      </c>
      <c r="B105" s="765"/>
      <c r="C105" s="766"/>
      <c r="D105" s="231" t="s">
        <v>23</v>
      </c>
      <c r="E105" s="185"/>
      <c r="F105" s="185"/>
      <c r="G105" s="186">
        <f>G104/G7</f>
        <v>7.1689354998120652E-2</v>
      </c>
      <c r="H105" s="99">
        <f>G105+'3'!H105</f>
        <v>0.30015816890408431</v>
      </c>
      <c r="I105" s="187"/>
      <c r="J105" s="188">
        <f>H105/DAY(B2)</f>
        <v>7.5039542226021078E-2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0" t="s">
        <v>324</v>
      </c>
      <c r="B108" s="760"/>
      <c r="C108" s="760"/>
      <c r="D108" s="760"/>
      <c r="E108" s="760"/>
      <c r="F108" s="760"/>
      <c r="G108" s="760"/>
      <c r="H108" s="760"/>
      <c r="I108" s="760"/>
      <c r="J108" s="760"/>
    </row>
    <row r="109" spans="1:15" ht="29.25" x14ac:dyDescent="0.5">
      <c r="A109" s="788"/>
      <c r="B109" s="788"/>
    </row>
    <row r="110" spans="1:15" ht="29.25" x14ac:dyDescent="0.5">
      <c r="A110" s="761" t="s">
        <v>165</v>
      </c>
      <c r="B110" s="762"/>
      <c r="C110" s="762"/>
      <c r="D110" s="762"/>
      <c r="E110" s="762"/>
      <c r="F110" s="762"/>
      <c r="G110" s="762"/>
      <c r="H110" s="762"/>
      <c r="I110" s="762"/>
      <c r="J110" s="763"/>
    </row>
    <row r="111" spans="1:15" ht="27.75" x14ac:dyDescent="0.5">
      <c r="A111" s="753"/>
      <c r="B111" s="754"/>
      <c r="C111" s="755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0" t="s">
        <v>252</v>
      </c>
      <c r="B112" s="751"/>
      <c r="C112" s="752"/>
      <c r="D112" s="146" t="s">
        <v>183</v>
      </c>
      <c r="E112" s="95">
        <f>'3'!F112</f>
        <v>48520.73</v>
      </c>
      <c r="F112" s="237">
        <v>48603.12</v>
      </c>
      <c r="G112" s="112">
        <f t="shared" ref="G112:G123" si="9">F112-E112</f>
        <v>82.389999999999418</v>
      </c>
      <c r="H112" s="99">
        <f>G112+'3'!H112</f>
        <v>326.12000000000262</v>
      </c>
      <c r="I112" s="165"/>
      <c r="J112" s="348">
        <f>H112/DAY(B2)</f>
        <v>81.530000000000655</v>
      </c>
    </row>
    <row r="113" spans="1:18" ht="29.25" customHeight="1" x14ac:dyDescent="0.5">
      <c r="A113" s="750" t="s">
        <v>253</v>
      </c>
      <c r="B113" s="751"/>
      <c r="C113" s="752"/>
      <c r="D113" s="146" t="s">
        <v>183</v>
      </c>
      <c r="E113" s="95">
        <f>'3'!F113</f>
        <v>151949.15</v>
      </c>
      <c r="F113" s="237">
        <v>152448.6</v>
      </c>
      <c r="G113" s="112">
        <f t="shared" si="9"/>
        <v>499.45000000001164</v>
      </c>
      <c r="H113" s="99">
        <f>G113+'3'!H113</f>
        <v>1917.6000000000058</v>
      </c>
      <c r="I113" s="165"/>
      <c r="J113" s="348">
        <f>H113/DAY(B2)</f>
        <v>479.40000000000146</v>
      </c>
    </row>
    <row r="114" spans="1:18" ht="29.25" customHeight="1" x14ac:dyDescent="0.5">
      <c r="A114" s="750" t="s">
        <v>254</v>
      </c>
      <c r="B114" s="751"/>
      <c r="C114" s="752"/>
      <c r="D114" s="146" t="s">
        <v>183</v>
      </c>
      <c r="E114" s="95">
        <f>'3'!F114</f>
        <v>70852.7</v>
      </c>
      <c r="F114" s="237">
        <v>71074.600000000006</v>
      </c>
      <c r="G114" s="112">
        <f t="shared" si="9"/>
        <v>221.90000000000873</v>
      </c>
      <c r="H114" s="99">
        <f>G114+'3'!H114</f>
        <v>874.60000000000582</v>
      </c>
      <c r="I114" s="165"/>
      <c r="J114" s="348">
        <f>H114/DAY(B2)</f>
        <v>218.65000000000146</v>
      </c>
    </row>
    <row r="115" spans="1:18" ht="29.25" customHeight="1" x14ac:dyDescent="0.5">
      <c r="A115" s="750" t="s">
        <v>255</v>
      </c>
      <c r="B115" s="751"/>
      <c r="C115" s="752"/>
      <c r="D115" s="146" t="s">
        <v>183</v>
      </c>
      <c r="E115" s="95">
        <f>'3'!F115</f>
        <v>7775.06</v>
      </c>
      <c r="F115" s="237">
        <v>7786.97</v>
      </c>
      <c r="G115" s="112">
        <f t="shared" si="9"/>
        <v>11.909999999999854</v>
      </c>
      <c r="H115" s="99">
        <f>G115+'3'!H115</f>
        <v>38.970000000000255</v>
      </c>
      <c r="I115" s="165"/>
      <c r="J115" s="348">
        <f>H115/DAY(B2)</f>
        <v>9.7425000000000637</v>
      </c>
    </row>
    <row r="116" spans="1:18" ht="29.25" customHeight="1" x14ac:dyDescent="0.5">
      <c r="A116" s="757" t="s">
        <v>96</v>
      </c>
      <c r="B116" s="758"/>
      <c r="C116" s="759"/>
      <c r="D116" s="146" t="s">
        <v>183</v>
      </c>
      <c r="E116" s="95">
        <f>'3'!F116</f>
        <v>0</v>
      </c>
      <c r="F116" s="237">
        <v>0</v>
      </c>
      <c r="G116" s="112">
        <f t="shared" si="9"/>
        <v>0</v>
      </c>
      <c r="H116" s="99">
        <f>G116+'3'!H116</f>
        <v>0</v>
      </c>
      <c r="I116" s="165"/>
      <c r="J116" s="348">
        <f>H116/DAY(B2)</f>
        <v>0</v>
      </c>
      <c r="Q116" s="750" t="s">
        <v>311</v>
      </c>
      <c r="R116" s="752"/>
    </row>
    <row r="117" spans="1:18" ht="29.25" customHeight="1" x14ac:dyDescent="0.5">
      <c r="A117" s="757" t="s">
        <v>184</v>
      </c>
      <c r="B117" s="758"/>
      <c r="C117" s="759"/>
      <c r="D117" s="146" t="s">
        <v>183</v>
      </c>
      <c r="E117" s="95">
        <f>'3'!F117</f>
        <v>472.65</v>
      </c>
      <c r="F117" s="237">
        <v>491.59</v>
      </c>
      <c r="G117" s="112">
        <f t="shared" si="9"/>
        <v>18.939999999999998</v>
      </c>
      <c r="H117" s="99">
        <f>G117+'3'!H117</f>
        <v>75.589999999999975</v>
      </c>
      <c r="I117" s="165"/>
      <c r="J117" s="348">
        <f>H117/DAY(B2)</f>
        <v>18.897499999999994</v>
      </c>
      <c r="Q117" s="750" t="s">
        <v>312</v>
      </c>
      <c r="R117" s="752"/>
    </row>
    <row r="118" spans="1:18" ht="27.75" x14ac:dyDescent="0.5">
      <c r="A118" s="749" t="s">
        <v>97</v>
      </c>
      <c r="B118" s="749"/>
      <c r="C118" s="749"/>
      <c r="D118" s="151" t="s">
        <v>183</v>
      </c>
      <c r="E118" s="95">
        <f>'3'!F118</f>
        <v>207704.97</v>
      </c>
      <c r="F118" s="237">
        <v>208134.09</v>
      </c>
      <c r="G118" s="112">
        <f t="shared" si="9"/>
        <v>429.11999999999534</v>
      </c>
      <c r="H118" s="99">
        <f>G118+'3'!H118</f>
        <v>1602.0899999999965</v>
      </c>
      <c r="I118" s="165"/>
      <c r="J118" s="348">
        <f>H118/DAY(B2)</f>
        <v>400.52249999999913</v>
      </c>
      <c r="Q118" s="750" t="s">
        <v>311</v>
      </c>
      <c r="R118" s="752"/>
    </row>
    <row r="119" spans="1:18" ht="27.75" x14ac:dyDescent="0.5">
      <c r="A119" s="749" t="s">
        <v>98</v>
      </c>
      <c r="B119" s="749"/>
      <c r="C119" s="749"/>
      <c r="D119" s="151" t="s">
        <v>183</v>
      </c>
      <c r="E119" s="95">
        <f>'3'!F119</f>
        <v>207395.87</v>
      </c>
      <c r="F119" s="237">
        <v>207781.29</v>
      </c>
      <c r="G119" s="112">
        <f t="shared" si="9"/>
        <v>385.42000000001281</v>
      </c>
      <c r="H119" s="99">
        <f>G119+'3'!H119</f>
        <v>1551.2900000000081</v>
      </c>
      <c r="I119" s="165"/>
      <c r="J119" s="348">
        <f>H119/DAY(B2)</f>
        <v>387.82250000000204</v>
      </c>
    </row>
    <row r="120" spans="1:18" ht="27.75" x14ac:dyDescent="0.5">
      <c r="A120" s="749" t="s">
        <v>99</v>
      </c>
      <c r="B120" s="749"/>
      <c r="C120" s="749"/>
      <c r="D120" s="151" t="s">
        <v>183</v>
      </c>
      <c r="E120" s="95">
        <f>'3'!F120</f>
        <v>6739.01</v>
      </c>
      <c r="F120" s="237">
        <v>7155.36</v>
      </c>
      <c r="G120" s="112">
        <f t="shared" si="9"/>
        <v>416.34999999999945</v>
      </c>
      <c r="H120" s="99">
        <f>G120+'3'!H120</f>
        <v>1640.3599999999997</v>
      </c>
      <c r="I120" s="165"/>
      <c r="J120" s="348">
        <f>H120/DAY(B2)</f>
        <v>410.08999999999992</v>
      </c>
    </row>
    <row r="121" spans="1:18" ht="27.75" x14ac:dyDescent="0.5">
      <c r="A121" s="749" t="s">
        <v>100</v>
      </c>
      <c r="B121" s="749"/>
      <c r="C121" s="749"/>
      <c r="D121" s="151" t="s">
        <v>183</v>
      </c>
      <c r="E121" s="95">
        <f>'3'!F121</f>
        <v>312076.31</v>
      </c>
      <c r="F121" s="237">
        <v>313748.27</v>
      </c>
      <c r="G121" s="112">
        <f t="shared" si="9"/>
        <v>1671.960000000021</v>
      </c>
      <c r="H121" s="99">
        <f>G121+'3'!H121</f>
        <v>3486.2700000000186</v>
      </c>
      <c r="I121" s="165"/>
      <c r="J121" s="348">
        <f>H121/DAY(B2)</f>
        <v>871.56750000000466</v>
      </c>
    </row>
    <row r="122" spans="1:18" ht="27.75" x14ac:dyDescent="0.5">
      <c r="A122" s="749" t="s">
        <v>101</v>
      </c>
      <c r="B122" s="749"/>
      <c r="C122" s="749"/>
      <c r="D122" s="151" t="s">
        <v>183</v>
      </c>
      <c r="E122" s="95">
        <f>'3'!F122</f>
        <v>92542.7</v>
      </c>
      <c r="F122" s="237">
        <v>92833.98</v>
      </c>
      <c r="G122" s="112">
        <f t="shared" si="9"/>
        <v>291.27999999999884</v>
      </c>
      <c r="H122" s="99">
        <f>G122+'3'!H122</f>
        <v>1211.9799999999959</v>
      </c>
      <c r="I122" s="165"/>
      <c r="J122" s="348">
        <f>H122/DAY(B2)</f>
        <v>302.99499999999898</v>
      </c>
    </row>
    <row r="123" spans="1:18" ht="27.75" x14ac:dyDescent="0.5">
      <c r="A123" s="749" t="s">
        <v>102</v>
      </c>
      <c r="B123" s="749"/>
      <c r="C123" s="749"/>
      <c r="D123" s="151" t="s">
        <v>183</v>
      </c>
      <c r="E123" s="95">
        <f>'3'!F123</f>
        <v>116536.75</v>
      </c>
      <c r="F123" s="237">
        <v>116868.12</v>
      </c>
      <c r="G123" s="112">
        <f t="shared" si="9"/>
        <v>331.36999999999534</v>
      </c>
      <c r="H123" s="99">
        <f>G123+'3'!H123</f>
        <v>1325.1199999999953</v>
      </c>
      <c r="I123" s="165"/>
      <c r="J123" s="348">
        <f>H123/DAY(B2)</f>
        <v>331.27999999999884</v>
      </c>
    </row>
    <row r="124" spans="1:18" ht="29.25" customHeight="1" x14ac:dyDescent="0.5">
      <c r="A124" s="753"/>
      <c r="B124" s="754"/>
      <c r="C124" s="755"/>
      <c r="D124" s="165"/>
      <c r="E124" s="165"/>
      <c r="F124" s="165"/>
      <c r="G124" s="347"/>
      <c r="H124" s="99">
        <f>G124+'3'!H124</f>
        <v>0</v>
      </c>
      <c r="I124" s="165"/>
      <c r="J124" s="347"/>
    </row>
    <row r="125" spans="1:18" ht="27.75" x14ac:dyDescent="0.5">
      <c r="A125" s="737"/>
      <c r="B125" s="737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56" t="s">
        <v>317</v>
      </c>
      <c r="B126" s="756"/>
      <c r="C126" s="756"/>
      <c r="D126" s="756"/>
      <c r="E126" s="756"/>
      <c r="F126" s="756"/>
      <c r="G126" s="756"/>
      <c r="H126" s="756"/>
      <c r="I126" s="756"/>
      <c r="J126" s="756"/>
    </row>
    <row r="127" spans="1:18" ht="27.75" x14ac:dyDescent="0.5">
      <c r="A127" s="737"/>
      <c r="B127" s="737"/>
      <c r="C127" s="246"/>
      <c r="D127" s="317"/>
      <c r="E127" s="318"/>
      <c r="F127" s="318"/>
      <c r="G127" s="319"/>
      <c r="H127" s="99">
        <f>G127+'3'!H127</f>
        <v>0</v>
      </c>
      <c r="I127" s="165"/>
      <c r="J127" s="348">
        <f>H127/DAY(B2)</f>
        <v>0</v>
      </c>
    </row>
    <row r="128" spans="1:18" ht="29.25" customHeight="1" x14ac:dyDescent="0.5">
      <c r="A128" s="750" t="s">
        <v>318</v>
      </c>
      <c r="B128" s="751"/>
      <c r="C128" s="752"/>
      <c r="D128" s="151" t="s">
        <v>183</v>
      </c>
      <c r="E128" s="95">
        <f>'3'!F128</f>
        <v>8578.27</v>
      </c>
      <c r="F128" s="165">
        <v>8878.51</v>
      </c>
      <c r="G128" s="112">
        <f t="shared" ref="G128:G134" si="10">F128-E128</f>
        <v>300.23999999999978</v>
      </c>
      <c r="H128" s="99">
        <f>G128+'3'!H128</f>
        <v>1267.5100000000002</v>
      </c>
      <c r="I128" s="165"/>
      <c r="J128" s="348">
        <f>H128/DAY(B2)</f>
        <v>316.87750000000005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'3'!F129</f>
        <v>663.1</v>
      </c>
      <c r="F129" s="165">
        <v>854.14</v>
      </c>
      <c r="G129" s="112">
        <f t="shared" si="10"/>
        <v>191.03999999999996</v>
      </c>
      <c r="H129" s="99">
        <f>G129+'3'!H129</f>
        <v>740.14</v>
      </c>
      <c r="I129" s="165"/>
      <c r="J129" s="348">
        <f>H129/DAY(B2)</f>
        <v>185.035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'3'!F130</f>
        <v>876.47</v>
      </c>
      <c r="F130" s="165">
        <v>1130.44</v>
      </c>
      <c r="G130" s="112">
        <f t="shared" si="10"/>
        <v>253.97000000000003</v>
      </c>
      <c r="H130" s="99">
        <f>G130+'3'!H130</f>
        <v>950.44</v>
      </c>
      <c r="I130" s="165"/>
      <c r="J130" s="348">
        <f>H130/DAY(B2)</f>
        <v>237.61</v>
      </c>
      <c r="N130" s="240"/>
      <c r="O130" s="241"/>
    </row>
    <row r="131" spans="1:15" ht="27.75" x14ac:dyDescent="0.5">
      <c r="A131" s="750" t="s">
        <v>321</v>
      </c>
      <c r="B131" s="751"/>
      <c r="C131" s="752"/>
      <c r="D131" s="151" t="s">
        <v>183</v>
      </c>
      <c r="E131" s="95">
        <f>'3'!F131</f>
        <v>478.64</v>
      </c>
      <c r="F131" s="165">
        <v>646.92999999999995</v>
      </c>
      <c r="G131" s="112">
        <f t="shared" si="10"/>
        <v>168.28999999999996</v>
      </c>
      <c r="H131" s="99">
        <f>G131+'3'!H131</f>
        <v>536.92999999999995</v>
      </c>
      <c r="I131" s="165"/>
      <c r="J131" s="348">
        <f>H131/DAY(B2)</f>
        <v>134.23249999999999</v>
      </c>
      <c r="N131" s="240"/>
      <c r="O131" s="241"/>
    </row>
    <row r="132" spans="1:15" ht="27.75" x14ac:dyDescent="0.5">
      <c r="A132" s="750" t="s">
        <v>322</v>
      </c>
      <c r="B132" s="751"/>
      <c r="C132" s="752"/>
      <c r="D132" s="151" t="s">
        <v>183</v>
      </c>
      <c r="E132" s="95">
        <f>'3'!F132</f>
        <v>1476.39</v>
      </c>
      <c r="F132" s="165">
        <v>1890.52</v>
      </c>
      <c r="G132" s="112">
        <f t="shared" si="10"/>
        <v>414.12999999999988</v>
      </c>
      <c r="H132" s="99">
        <f>G132+'3'!H132</f>
        <v>1569.52</v>
      </c>
      <c r="I132" s="165"/>
      <c r="J132" s="348">
        <f>H132/DAY(B2)</f>
        <v>392.38</v>
      </c>
    </row>
    <row r="133" spans="1:15" ht="27.75" x14ac:dyDescent="0.5">
      <c r="A133" s="750" t="s">
        <v>323</v>
      </c>
      <c r="B133" s="751"/>
      <c r="C133" s="752"/>
      <c r="D133" s="151" t="s">
        <v>183</v>
      </c>
      <c r="E133" s="95">
        <f>'3'!F133</f>
        <v>18672.580000000002</v>
      </c>
      <c r="F133" s="165">
        <v>19449.23</v>
      </c>
      <c r="G133" s="112">
        <f t="shared" si="10"/>
        <v>776.64999999999782</v>
      </c>
      <c r="H133" s="99">
        <f>G133+'3'!H133</f>
        <v>3058.2299999999996</v>
      </c>
      <c r="I133" s="165"/>
      <c r="J133" s="348">
        <f>H133/DAY(B2)</f>
        <v>764.55749999999989</v>
      </c>
    </row>
    <row r="134" spans="1:15" ht="27.75" x14ac:dyDescent="0.5">
      <c r="A134" s="750" t="s">
        <v>340</v>
      </c>
      <c r="B134" s="751"/>
      <c r="C134" s="752"/>
      <c r="D134" s="151" t="s">
        <v>183</v>
      </c>
      <c r="E134" s="95">
        <f>'3'!F134</f>
        <v>614415</v>
      </c>
      <c r="F134" s="165">
        <v>615039</v>
      </c>
      <c r="G134" s="112">
        <f t="shared" si="10"/>
        <v>624</v>
      </c>
      <c r="H134" s="99">
        <f>G134+'3'!H134</f>
        <v>624</v>
      </c>
      <c r="I134" s="165"/>
      <c r="J134" s="348">
        <f>H134/DAY(B2)</f>
        <v>156</v>
      </c>
    </row>
    <row r="135" spans="1:15" ht="27.75" x14ac:dyDescent="0.5">
      <c r="A135" s="753"/>
      <c r="B135" s="754"/>
      <c r="C135" s="755"/>
      <c r="D135" s="151"/>
      <c r="E135" s="95"/>
      <c r="F135" s="165"/>
      <c r="G135" s="112"/>
      <c r="H135" s="99">
        <f>G135+'3'!H135</f>
        <v>0</v>
      </c>
      <c r="I135" s="165"/>
      <c r="J135" s="348">
        <f>H135/DAY(B2)</f>
        <v>0</v>
      </c>
    </row>
    <row r="136" spans="1:15" ht="31.5" x14ac:dyDescent="0.55000000000000004">
      <c r="A136" s="736" t="s">
        <v>325</v>
      </c>
      <c r="B136" s="736"/>
      <c r="C136" s="736"/>
      <c r="D136" s="736"/>
      <c r="E136" s="736"/>
      <c r="F136" s="736"/>
      <c r="G136" s="736"/>
      <c r="H136" s="736"/>
      <c r="I136" s="736"/>
      <c r="J136" s="736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49" t="s">
        <v>185</v>
      </c>
      <c r="B138" s="749"/>
      <c r="C138" s="749"/>
      <c r="D138" s="151" t="s">
        <v>183</v>
      </c>
      <c r="E138" s="95">
        <f>'3'!F138</f>
        <v>857623</v>
      </c>
      <c r="F138" s="147">
        <v>857711</v>
      </c>
      <c r="G138" s="112">
        <f t="shared" ref="G138:G152" si="11">F138-E138</f>
        <v>88</v>
      </c>
      <c r="H138" s="99">
        <f>G138+'3'!H138</f>
        <v>358</v>
      </c>
      <c r="I138" s="118"/>
      <c r="J138" s="348">
        <f>H138/DAY(B2)</f>
        <v>89.5</v>
      </c>
    </row>
    <row r="139" spans="1:15" ht="27.75" x14ac:dyDescent="0.5">
      <c r="A139" s="749" t="s">
        <v>186</v>
      </c>
      <c r="B139" s="749"/>
      <c r="C139" s="749"/>
      <c r="D139" s="151" t="s">
        <v>183</v>
      </c>
      <c r="E139" s="95">
        <f>'3'!F139</f>
        <v>886064</v>
      </c>
      <c r="F139" s="148">
        <v>886064</v>
      </c>
      <c r="G139" s="112">
        <f t="shared" si="11"/>
        <v>0</v>
      </c>
      <c r="H139" s="99">
        <f>G139+'3'!H139</f>
        <v>2</v>
      </c>
      <c r="I139" s="118"/>
      <c r="J139" s="348">
        <f>H139/DAY(B2)</f>
        <v>0.5</v>
      </c>
    </row>
    <row r="140" spans="1:15" ht="27.75" x14ac:dyDescent="0.5">
      <c r="A140" s="749" t="s">
        <v>187</v>
      </c>
      <c r="B140" s="749"/>
      <c r="C140" s="749"/>
      <c r="D140" s="151" t="s">
        <v>183</v>
      </c>
      <c r="E140" s="95">
        <f>'3'!F140</f>
        <v>88797.2</v>
      </c>
      <c r="F140" s="149">
        <v>88797.2</v>
      </c>
      <c r="G140" s="112">
        <f t="shared" si="11"/>
        <v>0</v>
      </c>
      <c r="H140" s="99">
        <f>G140+'3'!H140</f>
        <v>-0.80000000000291038</v>
      </c>
      <c r="I140" s="118"/>
      <c r="J140" s="348">
        <f>H140/DAY(B2)</f>
        <v>-0.2000000000007276</v>
      </c>
    </row>
    <row r="141" spans="1:15" ht="27.75" x14ac:dyDescent="0.5">
      <c r="A141" s="728" t="s">
        <v>188</v>
      </c>
      <c r="B141" s="728"/>
      <c r="C141" s="728"/>
      <c r="D141" s="151" t="s">
        <v>183</v>
      </c>
      <c r="E141" s="95">
        <f>'3'!F141</f>
        <v>32088.959999999999</v>
      </c>
      <c r="F141" s="149">
        <v>32271.85</v>
      </c>
      <c r="G141" s="112">
        <f t="shared" si="11"/>
        <v>182.88999999999942</v>
      </c>
      <c r="H141" s="99">
        <f>G141+'3'!H141</f>
        <v>735.84999999999854</v>
      </c>
      <c r="I141" s="118"/>
      <c r="J141" s="348">
        <f>H141/DAY(B2)</f>
        <v>183.96249999999964</v>
      </c>
    </row>
    <row r="142" spans="1:15" ht="27.75" x14ac:dyDescent="0.5">
      <c r="A142" s="728" t="s">
        <v>189</v>
      </c>
      <c r="B142" s="728"/>
      <c r="C142" s="728"/>
      <c r="D142" s="151" t="s">
        <v>183</v>
      </c>
      <c r="E142" s="95">
        <f>'3'!F142</f>
        <v>15537.15</v>
      </c>
      <c r="F142" s="148">
        <v>15609.75</v>
      </c>
      <c r="G142" s="112">
        <f t="shared" si="11"/>
        <v>72.600000000000364</v>
      </c>
      <c r="H142" s="99">
        <f>G142+'3'!H142</f>
        <v>287.75</v>
      </c>
      <c r="I142" s="140"/>
      <c r="J142" s="348">
        <f>H142/DAY(B2)</f>
        <v>71.9375</v>
      </c>
    </row>
    <row r="143" spans="1:15" ht="27.75" x14ac:dyDescent="0.5">
      <c r="A143" s="749" t="s">
        <v>91</v>
      </c>
      <c r="B143" s="749"/>
      <c r="C143" s="749"/>
      <c r="D143" s="151" t="s">
        <v>183</v>
      </c>
      <c r="E143" s="95">
        <f>'3'!F143</f>
        <v>610.71</v>
      </c>
      <c r="F143" s="149">
        <v>633.78700000000003</v>
      </c>
      <c r="G143" s="112">
        <f t="shared" si="11"/>
        <v>23.076999999999998</v>
      </c>
      <c r="H143" s="99">
        <f>G143+'3'!H143</f>
        <v>104.78700000000003</v>
      </c>
      <c r="I143" s="140"/>
      <c r="J143" s="348">
        <f>H143/DAY(B2)</f>
        <v>26.196750000000009</v>
      </c>
    </row>
    <row r="144" spans="1:15" ht="27.75" x14ac:dyDescent="0.5">
      <c r="A144" s="728" t="s">
        <v>90</v>
      </c>
      <c r="B144" s="728"/>
      <c r="C144" s="728"/>
      <c r="D144" s="151" t="s">
        <v>183</v>
      </c>
      <c r="E144" s="95">
        <f>'3'!F144</f>
        <v>850555</v>
      </c>
      <c r="F144" s="149">
        <v>850725</v>
      </c>
      <c r="G144" s="112">
        <f t="shared" si="11"/>
        <v>170</v>
      </c>
      <c r="H144" s="99">
        <f>G144+'3'!H144</f>
        <v>688</v>
      </c>
      <c r="I144" s="140"/>
      <c r="J144" s="348">
        <f>H144/DAY(B2)</f>
        <v>172</v>
      </c>
    </row>
    <row r="145" spans="1:10" ht="27.75" x14ac:dyDescent="0.5">
      <c r="A145" s="749" t="s">
        <v>190</v>
      </c>
      <c r="B145" s="749"/>
      <c r="C145" s="749"/>
      <c r="D145" s="152" t="s">
        <v>183</v>
      </c>
      <c r="E145" s="95">
        <f>'3'!F145</f>
        <v>1071.95</v>
      </c>
      <c r="F145" s="149">
        <v>1116.3800000000001</v>
      </c>
      <c r="G145" s="112">
        <f t="shared" si="11"/>
        <v>44.430000000000064</v>
      </c>
      <c r="H145" s="99">
        <f>G145+'3'!H145</f>
        <v>162.38000000000011</v>
      </c>
      <c r="I145" s="140"/>
      <c r="J145" s="348">
        <f>H145/DAY(B2)</f>
        <v>40.595000000000027</v>
      </c>
    </row>
    <row r="146" spans="1:10" ht="27.75" x14ac:dyDescent="0.5">
      <c r="A146" s="784" t="s">
        <v>191</v>
      </c>
      <c r="B146" s="769"/>
      <c r="C146" s="770"/>
      <c r="D146" s="152" t="s">
        <v>183</v>
      </c>
      <c r="E146" s="95">
        <f>'3'!F146</f>
        <v>687997</v>
      </c>
      <c r="F146" s="148">
        <v>688353</v>
      </c>
      <c r="G146" s="112">
        <f t="shared" si="11"/>
        <v>356</v>
      </c>
      <c r="H146" s="99">
        <f>G146+'3'!H146</f>
        <v>1161</v>
      </c>
      <c r="I146" s="140"/>
      <c r="J146" s="348">
        <f>H146/DAY(B2)</f>
        <v>290.25</v>
      </c>
    </row>
    <row r="147" spans="1:10" ht="27.75" x14ac:dyDescent="0.5">
      <c r="A147" s="728" t="s">
        <v>192</v>
      </c>
      <c r="B147" s="728"/>
      <c r="C147" s="728"/>
      <c r="D147" s="152" t="s">
        <v>183</v>
      </c>
      <c r="E147" s="95">
        <f>'3'!F147</f>
        <v>577352.43999999994</v>
      </c>
      <c r="F147" s="148">
        <v>577750.28</v>
      </c>
      <c r="G147" s="112">
        <f t="shared" si="11"/>
        <v>397.84000000008382</v>
      </c>
      <c r="H147" s="99">
        <f>G147+'3'!H147</f>
        <v>1678.2800000000279</v>
      </c>
      <c r="I147" s="140"/>
      <c r="J147" s="348">
        <f>H147/DAY(B2)</f>
        <v>419.57000000000698</v>
      </c>
    </row>
    <row r="148" spans="1:10" ht="27.75" x14ac:dyDescent="0.5">
      <c r="A148" s="729" t="s">
        <v>193</v>
      </c>
      <c r="B148" s="730"/>
      <c r="C148" s="731"/>
      <c r="D148" s="123" t="s">
        <v>130</v>
      </c>
      <c r="E148" s="95">
        <f>'3'!F148</f>
        <v>659174.52</v>
      </c>
      <c r="F148" s="150">
        <v>659378.12</v>
      </c>
      <c r="G148" s="112">
        <f t="shared" si="11"/>
        <v>203.59999999997672</v>
      </c>
      <c r="H148" s="99">
        <f>G148+'3'!H148</f>
        <v>778.11999999999534</v>
      </c>
      <c r="I148" s="124"/>
      <c r="J148" s="348">
        <f>H148/DAY(B2)</f>
        <v>194.52999999999884</v>
      </c>
    </row>
    <row r="149" spans="1:10" ht="27.75" x14ac:dyDescent="0.5">
      <c r="A149" s="729" t="s">
        <v>336</v>
      </c>
      <c r="B149" s="730"/>
      <c r="C149" s="731"/>
      <c r="D149" s="227" t="s">
        <v>130</v>
      </c>
      <c r="E149" s="95">
        <f>'3'!F149</f>
        <v>75422</v>
      </c>
      <c r="F149" s="146">
        <v>75734</v>
      </c>
      <c r="G149" s="112">
        <f t="shared" si="11"/>
        <v>312</v>
      </c>
      <c r="H149" s="99">
        <f>G149+'3'!H149</f>
        <v>312</v>
      </c>
      <c r="I149" s="119"/>
      <c r="J149" s="348">
        <f>H149/DAY(B2)</f>
        <v>78</v>
      </c>
    </row>
    <row r="150" spans="1:10" ht="27.75" x14ac:dyDescent="0.5">
      <c r="A150" s="729" t="s">
        <v>337</v>
      </c>
      <c r="B150" s="730"/>
      <c r="C150" s="731"/>
      <c r="D150" s="117" t="s">
        <v>130</v>
      </c>
      <c r="E150" s="95">
        <f>'3'!F150</f>
        <v>7167232</v>
      </c>
      <c r="F150" s="233">
        <v>7167232</v>
      </c>
      <c r="G150" s="112">
        <f t="shared" si="11"/>
        <v>0</v>
      </c>
      <c r="H150" s="99">
        <f>G150+'3'!H150</f>
        <v>0</v>
      </c>
      <c r="I150" s="119"/>
      <c r="J150" s="348">
        <f>H150/DAY(B2)</f>
        <v>0</v>
      </c>
    </row>
    <row r="151" spans="1:10" ht="27.75" x14ac:dyDescent="0.5">
      <c r="A151" s="729" t="s">
        <v>338</v>
      </c>
      <c r="B151" s="730"/>
      <c r="C151" s="731"/>
      <c r="D151" s="117" t="s">
        <v>130</v>
      </c>
      <c r="E151" s="95">
        <f>'3'!F151</f>
        <v>54325</v>
      </c>
      <c r="F151" s="233">
        <v>54655</v>
      </c>
      <c r="G151" s="112">
        <f t="shared" si="11"/>
        <v>330</v>
      </c>
      <c r="H151" s="99">
        <f>G151+'3'!H151</f>
        <v>1276</v>
      </c>
      <c r="I151" s="119"/>
      <c r="J151" s="348">
        <f>H151/DAY(B2)</f>
        <v>319</v>
      </c>
    </row>
    <row r="152" spans="1:10" ht="27.75" x14ac:dyDescent="0.5">
      <c r="A152" s="729" t="s">
        <v>339</v>
      </c>
      <c r="B152" s="730"/>
      <c r="C152" s="731"/>
      <c r="D152" s="117" t="s">
        <v>130</v>
      </c>
      <c r="E152" s="95">
        <f>'3'!F152</f>
        <v>0</v>
      </c>
      <c r="F152" s="233"/>
      <c r="G152" s="112">
        <f t="shared" si="11"/>
        <v>0</v>
      </c>
      <c r="H152" s="99">
        <f>G152+'3'!H152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36" t="s">
        <v>344</v>
      </c>
      <c r="B154" s="736"/>
      <c r="C154" s="736"/>
      <c r="D154" s="736"/>
      <c r="E154" s="736"/>
      <c r="F154" s="736"/>
      <c r="G154" s="736"/>
      <c r="H154" s="736"/>
      <c r="I154" s="736"/>
      <c r="J154" s="736"/>
    </row>
    <row r="155" spans="1:10" ht="31.5" x14ac:dyDescent="0.55000000000000004">
      <c r="A155" s="728" t="s">
        <v>345</v>
      </c>
      <c r="B155" s="728"/>
      <c r="C155" s="728"/>
      <c r="D155" s="117" t="s">
        <v>130</v>
      </c>
      <c r="E155" s="95">
        <f>'3'!F155</f>
        <v>77040.5</v>
      </c>
      <c r="F155" s="385">
        <v>77047.8</v>
      </c>
      <c r="G155" s="112">
        <f t="shared" ref="G155:G156" si="12">F155-E155</f>
        <v>7.3000000000029104</v>
      </c>
      <c r="H155" s="99">
        <f>G155+'3'!H155</f>
        <v>19.900000000008731</v>
      </c>
      <c r="I155" s="385"/>
      <c r="J155" s="348">
        <f>H155/DAY(B2)</f>
        <v>4.9750000000021828</v>
      </c>
    </row>
    <row r="156" spans="1:10" ht="27.75" x14ac:dyDescent="0.5">
      <c r="A156" s="728" t="s">
        <v>346</v>
      </c>
      <c r="B156" s="728"/>
      <c r="C156" s="728"/>
      <c r="D156" s="117" t="s">
        <v>130</v>
      </c>
      <c r="E156" s="95">
        <f>'3'!F156</f>
        <v>0</v>
      </c>
      <c r="F156" s="165"/>
      <c r="G156" s="112">
        <f t="shared" si="12"/>
        <v>0</v>
      </c>
      <c r="H156" s="99">
        <f>G156+'3'!H156</f>
        <v>0</v>
      </c>
      <c r="I156" s="165"/>
      <c r="J156" s="348">
        <f>H156/DAY(B2)</f>
        <v>0</v>
      </c>
    </row>
    <row r="157" spans="1:10" ht="31.5" x14ac:dyDescent="0.55000000000000004">
      <c r="A157" s="736" t="s">
        <v>326</v>
      </c>
      <c r="B157" s="736"/>
      <c r="C157" s="736"/>
      <c r="D157" s="736"/>
      <c r="E157" s="736"/>
      <c r="F157" s="736"/>
      <c r="G157" s="736"/>
      <c r="H157" s="736"/>
      <c r="I157" s="736"/>
      <c r="J157" s="736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'3'!F158</f>
        <v>465396.28</v>
      </c>
      <c r="F158" s="235">
        <v>465422.84</v>
      </c>
      <c r="G158" s="238">
        <f t="shared" ref="G158:G165" si="13">F158-E158</f>
        <v>26.559999999997672</v>
      </c>
      <c r="H158" s="99">
        <f>G158+'3'!H158</f>
        <v>161.84000000002561</v>
      </c>
      <c r="I158" s="236"/>
      <c r="J158" s="239">
        <f>H158/DAY(B2)</f>
        <v>40.460000000006403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'3'!F159</f>
        <v>84890.9</v>
      </c>
      <c r="F159" s="235">
        <v>84932.1</v>
      </c>
      <c r="G159" s="238">
        <f t="shared" si="13"/>
        <v>41.200000000011642</v>
      </c>
      <c r="H159" s="99">
        <f>G159+'3'!H159</f>
        <v>122.10000000000582</v>
      </c>
      <c r="I159" s="236"/>
      <c r="J159" s="239">
        <f>H159/DAY(B2)</f>
        <v>30.525000000001455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'3'!F160</f>
        <v>71159.8</v>
      </c>
      <c r="F160" s="235">
        <v>71224.600000000006</v>
      </c>
      <c r="G160" s="238">
        <f t="shared" si="13"/>
        <v>64.80000000000291</v>
      </c>
      <c r="H160" s="99">
        <f>G160+'3'!H160</f>
        <v>253.60000000000582</v>
      </c>
      <c r="I160" s="236"/>
      <c r="J160" s="239">
        <f>H160/DAY(B2)</f>
        <v>63.400000000001455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'3'!F161</f>
        <v>3812.4</v>
      </c>
      <c r="F161" s="235">
        <v>3819.8</v>
      </c>
      <c r="G161" s="238">
        <f t="shared" si="13"/>
        <v>7.4000000000000909</v>
      </c>
      <c r="H161" s="99">
        <f>G161+'3'!H161</f>
        <v>22.800000000000182</v>
      </c>
      <c r="I161" s="236"/>
      <c r="J161" s="239">
        <f>H161/DAY(B2)</f>
        <v>5.7000000000000455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'3'!F162</f>
        <v>28983.21</v>
      </c>
      <c r="F162" s="235">
        <v>28992.01</v>
      </c>
      <c r="G162" s="238">
        <f t="shared" si="13"/>
        <v>8.7999999999992724</v>
      </c>
      <c r="H162" s="99">
        <f>G162+'3'!H162</f>
        <v>20.009999999998399</v>
      </c>
      <c r="I162" s="236"/>
      <c r="J162" s="239">
        <f>H162/DAY(B2)</f>
        <v>5.0024999999995998</v>
      </c>
    </row>
    <row r="163" spans="1:10" ht="29.25" x14ac:dyDescent="0.5">
      <c r="A163" s="737"/>
      <c r="B163" s="737"/>
      <c r="C163" s="247"/>
      <c r="D163" s="244" t="s">
        <v>180</v>
      </c>
      <c r="E163" s="95">
        <f>'3'!F163</f>
        <v>0</v>
      </c>
      <c r="F163" s="165"/>
      <c r="G163" s="238">
        <f t="shared" si="13"/>
        <v>0</v>
      </c>
      <c r="H163" s="99">
        <f>G163+'3'!H163</f>
        <v>0</v>
      </c>
      <c r="I163" s="165"/>
      <c r="J163" s="347"/>
    </row>
    <row r="164" spans="1:10" ht="29.25" x14ac:dyDescent="0.5">
      <c r="A164" s="737"/>
      <c r="B164" s="737"/>
      <c r="C164" s="247"/>
      <c r="D164" s="244" t="s">
        <v>180</v>
      </c>
      <c r="E164" s="95">
        <f>'3'!F164</f>
        <v>0</v>
      </c>
      <c r="F164" s="165"/>
      <c r="G164" s="238">
        <f t="shared" si="13"/>
        <v>0</v>
      </c>
      <c r="H164" s="99">
        <f>G164+'3'!H164</f>
        <v>0</v>
      </c>
      <c r="I164" s="165"/>
      <c r="J164" s="347"/>
    </row>
    <row r="165" spans="1:10" ht="29.25" x14ac:dyDescent="0.5">
      <c r="A165" s="737"/>
      <c r="B165" s="737"/>
      <c r="C165" s="247"/>
      <c r="D165" s="244" t="s">
        <v>180</v>
      </c>
      <c r="E165" s="95">
        <f>'3'!F165</f>
        <v>0</v>
      </c>
      <c r="F165" s="165"/>
      <c r="G165" s="238">
        <f t="shared" si="13"/>
        <v>0</v>
      </c>
      <c r="H165" s="99">
        <f>G165+'3'!H165</f>
        <v>0</v>
      </c>
      <c r="I165" s="165"/>
      <c r="J165" s="347"/>
    </row>
    <row r="166" spans="1:10" ht="29.25" x14ac:dyDescent="0.5"/>
    <row r="167" spans="1:10" ht="29.25" x14ac:dyDescent="0.5"/>
    <row r="168" spans="1:10" ht="31.5" x14ac:dyDescent="0.35">
      <c r="A168" s="738" t="s">
        <v>330</v>
      </c>
      <c r="B168" s="739"/>
      <c r="C168" s="739"/>
      <c r="D168" s="739"/>
      <c r="E168" s="739"/>
      <c r="F168" s="739"/>
      <c r="G168" s="739"/>
      <c r="H168" s="739"/>
      <c r="I168" s="739"/>
      <c r="J168" s="740"/>
    </row>
    <row r="169" spans="1:10" ht="27.75" x14ac:dyDescent="0.5">
      <c r="A169" s="747"/>
      <c r="B169" s="748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43" t="s">
        <v>209</v>
      </c>
      <c r="B170" s="744"/>
      <c r="C170" s="353"/>
      <c r="D170" s="228" t="s">
        <v>142</v>
      </c>
      <c r="E170" s="95">
        <f>'3'!F170</f>
        <v>7895</v>
      </c>
      <c r="F170" s="155">
        <v>7895</v>
      </c>
      <c r="G170" s="155">
        <f>F170-E170</f>
        <v>0</v>
      </c>
      <c r="H170" s="99">
        <f>G170+'3'!H170</f>
        <v>0</v>
      </c>
      <c r="I170" s="155"/>
      <c r="J170" s="178">
        <f>H170/DAY(B2)</f>
        <v>0</v>
      </c>
    </row>
    <row r="171" spans="1:10" ht="27.75" x14ac:dyDescent="0.5">
      <c r="A171" s="743" t="s">
        <v>75</v>
      </c>
      <c r="B171" s="744"/>
      <c r="C171" s="353"/>
      <c r="D171" s="228" t="s">
        <v>142</v>
      </c>
      <c r="E171" s="95">
        <f>'3'!F171</f>
        <v>37068</v>
      </c>
      <c r="F171" s="157">
        <v>37081</v>
      </c>
      <c r="G171" s="155">
        <f t="shared" ref="G171:G172" si="14">F171-E171</f>
        <v>13</v>
      </c>
      <c r="H171" s="99">
        <f>G171+'3'!H171</f>
        <v>47</v>
      </c>
      <c r="I171" s="155"/>
      <c r="J171" s="178">
        <f>H171/DAY(B2)</f>
        <v>11.75</v>
      </c>
    </row>
    <row r="172" spans="1:10" ht="25.5" customHeight="1" x14ac:dyDescent="0.5">
      <c r="A172" s="743" t="s">
        <v>76</v>
      </c>
      <c r="B172" s="783"/>
      <c r="C172" s="744"/>
      <c r="D172" s="228" t="s">
        <v>142</v>
      </c>
      <c r="E172" s="95">
        <f>'3'!F172</f>
        <v>20496</v>
      </c>
      <c r="F172" s="155">
        <v>20508</v>
      </c>
      <c r="G172" s="155">
        <f t="shared" si="14"/>
        <v>12</v>
      </c>
      <c r="H172" s="99">
        <f>G172+'3'!H172</f>
        <v>39</v>
      </c>
      <c r="I172" s="155"/>
      <c r="J172" s="178">
        <f>H172/DAY(B2)</f>
        <v>9.75</v>
      </c>
    </row>
    <row r="173" spans="1:10" ht="24.75" customHeight="1" x14ac:dyDescent="0.5">
      <c r="A173" s="743" t="s">
        <v>196</v>
      </c>
      <c r="B173" s="744"/>
      <c r="C173" s="353"/>
      <c r="D173" s="228"/>
      <c r="E173" s="95"/>
      <c r="F173" s="155"/>
      <c r="G173" s="155">
        <f>SUM(G170:G172)</f>
        <v>25</v>
      </c>
      <c r="H173" s="99">
        <f>G173+'3'!H173</f>
        <v>86</v>
      </c>
      <c r="I173" s="155"/>
      <c r="J173" s="178">
        <f>H173/DAY(B2)</f>
        <v>21.5</v>
      </c>
    </row>
    <row r="174" spans="1:10" ht="28.5" customHeight="1" x14ac:dyDescent="0.5">
      <c r="A174" s="743" t="s">
        <v>77</v>
      </c>
      <c r="B174" s="744"/>
      <c r="C174" s="353"/>
      <c r="D174" s="228" t="s">
        <v>142</v>
      </c>
      <c r="E174" s="95"/>
      <c r="F174" s="155"/>
      <c r="G174" s="155"/>
      <c r="H174" s="99">
        <f>G174+'3'!H174</f>
        <v>0</v>
      </c>
      <c r="I174" s="155"/>
      <c r="J174" s="178">
        <f>H174/DAY(B2)</f>
        <v>0</v>
      </c>
    </row>
    <row r="175" spans="1:10" ht="24.75" customHeight="1" x14ac:dyDescent="0.5">
      <c r="A175" s="743" t="s">
        <v>210</v>
      </c>
      <c r="B175" s="744"/>
      <c r="C175" s="353"/>
      <c r="D175" s="228" t="s">
        <v>142</v>
      </c>
      <c r="E175" s="95">
        <f>'3'!F175</f>
        <v>72174</v>
      </c>
      <c r="F175" s="155">
        <v>72258</v>
      </c>
      <c r="G175" s="155">
        <f>F175-E175</f>
        <v>84</v>
      </c>
      <c r="H175" s="99">
        <f>G175+'3'!H175</f>
        <v>324</v>
      </c>
      <c r="I175" s="155"/>
      <c r="J175" s="178">
        <f>H175/DAY(B2)</f>
        <v>81</v>
      </c>
    </row>
    <row r="176" spans="1:10" ht="24" customHeight="1" x14ac:dyDescent="0.5">
      <c r="A176" s="743" t="s">
        <v>211</v>
      </c>
      <c r="B176" s="744"/>
      <c r="C176" s="353"/>
      <c r="D176" s="228" t="s">
        <v>142</v>
      </c>
      <c r="E176" s="95">
        <f>'3'!F176</f>
        <v>33886</v>
      </c>
      <c r="F176" s="155">
        <v>33886</v>
      </c>
      <c r="G176" s="155">
        <f t="shared" ref="G176:G177" si="15">F176-E176</f>
        <v>0</v>
      </c>
      <c r="H176" s="99">
        <f>G176+'3'!H176</f>
        <v>0</v>
      </c>
      <c r="I176" s="155"/>
      <c r="J176" s="178">
        <f>H176/DAY(B2)</f>
        <v>0</v>
      </c>
    </row>
    <row r="177" spans="1:10" ht="27.75" x14ac:dyDescent="0.5">
      <c r="A177" s="743" t="s">
        <v>212</v>
      </c>
      <c r="B177" s="744"/>
      <c r="C177" s="353"/>
      <c r="D177" s="228" t="s">
        <v>142</v>
      </c>
      <c r="E177" s="95">
        <f>'3'!F177</f>
        <v>4839</v>
      </c>
      <c r="F177" s="155">
        <v>4847</v>
      </c>
      <c r="G177" s="155">
        <f t="shared" si="15"/>
        <v>8</v>
      </c>
      <c r="H177" s="99">
        <f>G177+'3'!H177</f>
        <v>16</v>
      </c>
      <c r="I177" s="155"/>
      <c r="J177" s="178">
        <f>H177/DAY(B2)</f>
        <v>4</v>
      </c>
    </row>
    <row r="178" spans="1:10" ht="21.95" customHeight="1" x14ac:dyDescent="0.5">
      <c r="A178" s="734" t="s">
        <v>108</v>
      </c>
      <c r="B178" s="735"/>
      <c r="C178" s="353"/>
      <c r="D178" s="228"/>
      <c r="E178" s="95"/>
      <c r="F178" s="155"/>
      <c r="G178" s="155">
        <f>SUM(G175:G177)</f>
        <v>92</v>
      </c>
      <c r="H178" s="99">
        <f>G178+'3'!H178</f>
        <v>340</v>
      </c>
      <c r="I178" s="155"/>
      <c r="J178" s="178">
        <f>H178/DAY(B2)</f>
        <v>85</v>
      </c>
    </row>
    <row r="179" spans="1:10" ht="21.95" customHeight="1" x14ac:dyDescent="0.5">
      <c r="A179" s="743" t="s">
        <v>213</v>
      </c>
      <c r="B179" s="744"/>
      <c r="C179" s="353"/>
      <c r="D179" s="228"/>
      <c r="E179" s="95"/>
      <c r="F179" s="155"/>
      <c r="G179" s="155"/>
      <c r="H179" s="99">
        <f>G179+'3'!H179</f>
        <v>0</v>
      </c>
      <c r="I179" s="155"/>
      <c r="J179" s="178">
        <f>H179/DAY(B2)</f>
        <v>0</v>
      </c>
    </row>
    <row r="180" spans="1:10" ht="27.75" x14ac:dyDescent="0.5">
      <c r="A180" s="743" t="s">
        <v>214</v>
      </c>
      <c r="B180" s="744"/>
      <c r="C180" s="354"/>
      <c r="D180" s="228" t="s">
        <v>142</v>
      </c>
      <c r="E180" s="95">
        <f>'3'!F180</f>
        <v>13587</v>
      </c>
      <c r="F180" s="157">
        <v>13614</v>
      </c>
      <c r="G180" s="157">
        <f>F180-E180</f>
        <v>27</v>
      </c>
      <c r="H180" s="99">
        <f>G180+'3'!H180</f>
        <v>77</v>
      </c>
      <c r="I180" s="155"/>
      <c r="J180" s="178">
        <f>H180/DAY(B2)</f>
        <v>19.25</v>
      </c>
    </row>
    <row r="181" spans="1:10" ht="27.75" x14ac:dyDescent="0.5">
      <c r="A181" s="743" t="s">
        <v>215</v>
      </c>
      <c r="B181" s="744"/>
      <c r="C181" s="354"/>
      <c r="D181" s="228" t="s">
        <v>142</v>
      </c>
      <c r="E181" s="95">
        <f>'3'!F181</f>
        <v>9472</v>
      </c>
      <c r="F181" s="157">
        <v>9478</v>
      </c>
      <c r="G181" s="157">
        <f t="shared" ref="G181:G182" si="16">F181-E181</f>
        <v>6</v>
      </c>
      <c r="H181" s="99">
        <f>G181+'3'!H181</f>
        <v>30</v>
      </c>
      <c r="I181" s="155"/>
      <c r="J181" s="178">
        <f>H181/DAY(B2)</f>
        <v>7.5</v>
      </c>
    </row>
    <row r="182" spans="1:10" ht="27.75" x14ac:dyDescent="0.5">
      <c r="A182" s="743" t="s">
        <v>216</v>
      </c>
      <c r="B182" s="744"/>
      <c r="C182" s="354"/>
      <c r="D182" s="228" t="s">
        <v>142</v>
      </c>
      <c r="E182" s="95">
        <f>'3'!F182</f>
        <v>0</v>
      </c>
      <c r="F182" s="157"/>
      <c r="G182" s="157">
        <f t="shared" si="16"/>
        <v>0</v>
      </c>
      <c r="H182" s="99">
        <f>G182+'3'!H182</f>
        <v>0</v>
      </c>
      <c r="I182" s="155"/>
      <c r="J182" s="178">
        <f>H182/DAY(B2)</f>
        <v>0</v>
      </c>
    </row>
    <row r="183" spans="1:10" ht="27.75" x14ac:dyDescent="0.5">
      <c r="A183" s="743" t="s">
        <v>196</v>
      </c>
      <c r="B183" s="744"/>
      <c r="C183" s="354"/>
      <c r="D183" s="229"/>
      <c r="E183" s="95"/>
      <c r="F183" s="157"/>
      <c r="G183" s="157">
        <f>SUM(G180:G182)</f>
        <v>33</v>
      </c>
      <c r="H183" s="99">
        <f>G183+'3'!H183</f>
        <v>107</v>
      </c>
      <c r="I183" s="157"/>
      <c r="J183" s="178">
        <f>H183/DAY(B2)</f>
        <v>26.75</v>
      </c>
    </row>
    <row r="184" spans="1:10" ht="25.5" customHeight="1" x14ac:dyDescent="0.5">
      <c r="A184" s="734" t="s">
        <v>217</v>
      </c>
      <c r="B184" s="735"/>
      <c r="C184" s="353"/>
      <c r="D184" s="230" t="s">
        <v>142</v>
      </c>
      <c r="E184" s="95"/>
      <c r="F184" s="99"/>
      <c r="G184" s="588">
        <f>G62+G19</f>
        <v>152</v>
      </c>
      <c r="H184" s="99">
        <f>G184+'3'!H184</f>
        <v>671</v>
      </c>
      <c r="I184" s="158"/>
      <c r="J184" s="179">
        <f>H184/DAY(B2)</f>
        <v>167.75</v>
      </c>
    </row>
    <row r="185" spans="1:10" ht="27.75" x14ac:dyDescent="0.5">
      <c r="A185" s="734" t="s">
        <v>218</v>
      </c>
      <c r="B185" s="735"/>
      <c r="C185" s="353"/>
      <c r="D185" s="230" t="s">
        <v>142</v>
      </c>
      <c r="E185" s="95"/>
      <c r="F185" s="159"/>
      <c r="G185" s="588">
        <f>G65+G66+G67+G69+G70</f>
        <v>159</v>
      </c>
      <c r="H185" s="99">
        <f>G185+'3'!H185</f>
        <v>658</v>
      </c>
      <c r="I185" s="158"/>
      <c r="J185" s="179">
        <f>H185/DAY(B2)</f>
        <v>164.5</v>
      </c>
    </row>
    <row r="186" spans="1:10" ht="27.75" x14ac:dyDescent="0.5">
      <c r="A186" s="734" t="s">
        <v>219</v>
      </c>
      <c r="B186" s="735"/>
      <c r="C186" s="353"/>
      <c r="D186" s="230" t="s">
        <v>142</v>
      </c>
      <c r="E186" s="95"/>
      <c r="F186" s="157"/>
      <c r="G186" s="585">
        <f>G178</f>
        <v>92</v>
      </c>
      <c r="H186" s="99">
        <f>G186+'3'!H186</f>
        <v>340</v>
      </c>
      <c r="I186" s="158"/>
      <c r="J186" s="179">
        <f>H186/DAY(B2)</f>
        <v>85</v>
      </c>
    </row>
    <row r="187" spans="1:10" ht="27.75" x14ac:dyDescent="0.5">
      <c r="A187" s="734"/>
      <c r="B187" s="735"/>
      <c r="C187" s="353"/>
      <c r="D187" s="180"/>
      <c r="E187" s="180" t="s">
        <v>207</v>
      </c>
      <c r="F187" s="180"/>
      <c r="G187" s="180"/>
      <c r="H187" s="181"/>
      <c r="I187" s="180"/>
      <c r="J187" s="182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18.75" customHeight="1" x14ac:dyDescent="0.5"/>
    <row r="193" ht="18.75" customHeight="1" x14ac:dyDescent="0.5"/>
    <row r="194" ht="18.75" customHeight="1" x14ac:dyDescent="0.5"/>
    <row r="195" ht="18.75" customHeight="1" x14ac:dyDescent="0.5"/>
    <row r="196" ht="18.75" customHeight="1" x14ac:dyDescent="0.5"/>
    <row r="197" ht="18.75" customHeight="1" x14ac:dyDescent="0.5"/>
    <row r="198" ht="18.75" customHeight="1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125:B125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87:B187"/>
    <mergeCell ref="A181:B181"/>
    <mergeCell ref="A182:B182"/>
    <mergeCell ref="A183:B183"/>
    <mergeCell ref="A184:B184"/>
    <mergeCell ref="A185:B185"/>
    <mergeCell ref="A157:J157"/>
    <mergeCell ref="A163:B163"/>
    <mergeCell ref="A164:B164"/>
    <mergeCell ref="A165:B165"/>
    <mergeCell ref="A168:J168"/>
    <mergeCell ref="A173:B173"/>
    <mergeCell ref="A174:B174"/>
    <mergeCell ref="A175:B175"/>
    <mergeCell ref="A178:B178"/>
    <mergeCell ref="A180:B180"/>
    <mergeCell ref="A179:B179"/>
    <mergeCell ref="A176:B176"/>
    <mergeCell ref="A177:B177"/>
    <mergeCell ref="A172:C172"/>
    <mergeCell ref="A169:B169"/>
    <mergeCell ref="A170:B170"/>
    <mergeCell ref="A171:B171"/>
    <mergeCell ref="A149:C149"/>
    <mergeCell ref="A143:C143"/>
    <mergeCell ref="A144:C144"/>
    <mergeCell ref="A186:B186"/>
    <mergeCell ref="A155:C155"/>
    <mergeCell ref="A156:C156"/>
    <mergeCell ref="A150:C150"/>
    <mergeCell ref="A151:C151"/>
    <mergeCell ref="A152:C152"/>
    <mergeCell ref="A154:J154"/>
  </mergeCells>
  <pageMargins left="0.22" right="0.17" top="0.14000000000000001" bottom="0.2" header="0.2" footer="0.2"/>
  <pageSetup paperSize="5" scale="1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67"/>
  <sheetViews>
    <sheetView view="pageBreakPreview" topLeftCell="A154" zoomScale="53" zoomScaleNormal="48" zoomScaleSheetLayoutView="53" workbookViewId="0">
      <selection activeCell="G184" sqref="G184:G18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89" t="s">
        <v>115</v>
      </c>
      <c r="B1" s="790"/>
      <c r="C1" s="790"/>
      <c r="D1" s="790"/>
      <c r="E1" s="790"/>
      <c r="F1" s="790"/>
      <c r="G1" s="790"/>
      <c r="H1" s="790"/>
      <c r="I1" s="790"/>
      <c r="J1" s="791"/>
    </row>
    <row r="2" spans="1:15" s="57" customFormat="1" ht="27" x14ac:dyDescent="0.5">
      <c r="A2" s="191" t="s">
        <v>303</v>
      </c>
      <c r="B2" s="266">
        <v>44474</v>
      </c>
      <c r="C2" s="36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31</v>
      </c>
      <c r="E3" s="798" t="s">
        <v>119</v>
      </c>
      <c r="F3" s="79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92" t="s">
        <v>128</v>
      </c>
      <c r="B6" s="793"/>
      <c r="C6" s="79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'4'!F7</f>
        <v>59134.6</v>
      </c>
      <c r="F7" s="95">
        <v>84592</v>
      </c>
      <c r="G7" s="112">
        <f>F7-E7</f>
        <v>25457.4</v>
      </c>
      <c r="H7" s="99">
        <f>G7+'4'!H7</f>
        <v>117349.59999999995</v>
      </c>
      <c r="I7" s="113">
        <f>'1'!I7</f>
        <v>12000</v>
      </c>
      <c r="J7" s="175">
        <f>H7/DAY(B2)</f>
        <v>23469.919999999991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'4'!F8</f>
        <v>74191.240000000005</v>
      </c>
      <c r="F8" s="114">
        <v>99883</v>
      </c>
      <c r="G8" s="115">
        <f>F8-E8</f>
        <v>25691.759999999995</v>
      </c>
      <c r="H8" s="99">
        <f>G8+'4'!H8</f>
        <v>118165.99999999996</v>
      </c>
      <c r="I8" s="116"/>
      <c r="J8" s="175">
        <f>H8/DAY(B2)</f>
        <v>23633.19999999999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'4'!F9</f>
        <v>819664.03</v>
      </c>
      <c r="F9" s="117">
        <v>844446</v>
      </c>
      <c r="G9" s="112">
        <f>F9-E9</f>
        <v>24781.969999999972</v>
      </c>
      <c r="H9" s="99">
        <f>G9+'4'!H9</f>
        <v>113656</v>
      </c>
      <c r="I9" s="124">
        <f>I7-J7</f>
        <v>-11469.919999999991</v>
      </c>
      <c r="J9" s="175">
        <f>H9/DAY(B2)</f>
        <v>22731.200000000001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'4'!F10</f>
        <v>0</v>
      </c>
      <c r="F10" s="117">
        <v>0</v>
      </c>
      <c r="G10" s="112">
        <f t="shared" ref="G10:G12" si="0">F10-E10</f>
        <v>0</v>
      </c>
      <c r="H10" s="99">
        <f>G10+'4'!H10</f>
        <v>0</v>
      </c>
      <c r="I10" s="286"/>
      <c r="J10" s="175">
        <f>H10/DAY(B2)</f>
        <v>0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'4'!F11</f>
        <v>37000</v>
      </c>
      <c r="F11" s="95">
        <v>37000</v>
      </c>
      <c r="G11" s="112">
        <f t="shared" si="0"/>
        <v>0</v>
      </c>
      <c r="H11" s="99">
        <f>G11+'4'!H11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'4'!F12</f>
        <v>40010</v>
      </c>
      <c r="F12" s="117">
        <v>40010</v>
      </c>
      <c r="G12" s="112">
        <f t="shared" si="0"/>
        <v>0</v>
      </c>
      <c r="H12" s="99">
        <f>G12+'4'!H12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24781.969999999972</v>
      </c>
      <c r="H13" s="99">
        <f>G13+'4'!H13</f>
        <v>92110.25</v>
      </c>
      <c r="I13" s="120">
        <f>G7-G13</f>
        <v>675.43000000002939</v>
      </c>
      <c r="J13" s="175">
        <f>H13/DAY(B2)</f>
        <v>18422.05</v>
      </c>
      <c r="K13" s="79"/>
      <c r="L13" s="66"/>
      <c r="N13" s="87"/>
      <c r="O13" s="71"/>
    </row>
    <row r="14" spans="1:15" ht="29.25" x14ac:dyDescent="0.5">
      <c r="A14" s="795" t="s">
        <v>137</v>
      </c>
      <c r="B14" s="796"/>
      <c r="C14" s="79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'4'!F15</f>
        <v>1788337</v>
      </c>
      <c r="F15" s="123">
        <v>1789360</v>
      </c>
      <c r="G15" s="112">
        <f>(F15-E15)</f>
        <v>1023</v>
      </c>
      <c r="H15" s="99">
        <f>G15+'4'!H15</f>
        <v>5152</v>
      </c>
      <c r="I15" s="113">
        <f>'1'!I15</f>
        <v>800</v>
      </c>
      <c r="J15" s="175">
        <f>H15/DAY(B2)</f>
        <v>1030.4000000000001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-230.40000000000009</v>
      </c>
      <c r="J16" s="176"/>
      <c r="K16" s="79"/>
      <c r="L16" s="66"/>
      <c r="N16" s="87"/>
      <c r="O16" s="71"/>
    </row>
    <row r="17" spans="1:15" ht="29.25" x14ac:dyDescent="0.5">
      <c r="A17" s="795" t="s">
        <v>140</v>
      </c>
      <c r="B17" s="796"/>
      <c r="C17" s="79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1" t="s">
        <v>141</v>
      </c>
      <c r="B18" s="772"/>
      <c r="C18" s="773"/>
      <c r="D18" s="151" t="s">
        <v>142</v>
      </c>
      <c r="E18" s="95">
        <f>'4'!F18</f>
        <v>19</v>
      </c>
      <c r="F18" s="122">
        <v>22</v>
      </c>
      <c r="G18" s="119">
        <f>F18*10</f>
        <v>220</v>
      </c>
      <c r="H18" s="99">
        <f>G18+'4'!H18</f>
        <v>950</v>
      </c>
      <c r="I18" s="113">
        <f>'1'!I18</f>
        <v>65</v>
      </c>
      <c r="J18" s="175">
        <f>H18/DAY(B2)</f>
        <v>190</v>
      </c>
      <c r="K18" s="79"/>
      <c r="L18" s="66"/>
      <c r="N18" s="87"/>
      <c r="O18" s="71"/>
    </row>
    <row r="19" spans="1:15" ht="27.75" x14ac:dyDescent="0.5">
      <c r="A19" s="771" t="s">
        <v>69</v>
      </c>
      <c r="B19" s="772"/>
      <c r="C19" s="773"/>
      <c r="D19" s="151" t="s">
        <v>142</v>
      </c>
      <c r="E19" s="95">
        <f>'4'!F19</f>
        <v>147349</v>
      </c>
      <c r="F19" s="122">
        <v>147410</v>
      </c>
      <c r="G19" s="112">
        <f t="shared" ref="G19" si="1">F19-E19</f>
        <v>61</v>
      </c>
      <c r="H19" s="99">
        <f>G19+'4'!H19</f>
        <v>298</v>
      </c>
      <c r="I19" s="355"/>
      <c r="J19" s="175">
        <f>H19/DAY(B2)</f>
        <v>59.6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281</v>
      </c>
      <c r="H20" s="99">
        <f>G20+'4'!H20</f>
        <v>1248</v>
      </c>
      <c r="I20" s="356">
        <f>I18-J20</f>
        <v>-184.6</v>
      </c>
      <c r="J20" s="175">
        <f>H20/DAY(B2)</f>
        <v>249.6</v>
      </c>
      <c r="K20" s="79"/>
      <c r="L20" s="66"/>
      <c r="N20" s="87"/>
      <c r="O20" s="71"/>
    </row>
    <row r="21" spans="1:15" ht="29.25" x14ac:dyDescent="0.5">
      <c r="A21" s="795" t="s">
        <v>144</v>
      </c>
      <c r="B21" s="796"/>
      <c r="C21" s="79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'4'!F23</f>
        <v>2000</v>
      </c>
      <c r="F23" s="122">
        <v>2000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0" t="s">
        <v>149</v>
      </c>
      <c r="B25" s="801"/>
      <c r="C25" s="80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25691.759999999995</v>
      </c>
      <c r="F27" s="136">
        <v>9</v>
      </c>
      <c r="G27" s="137">
        <f>E27*F27</f>
        <v>231225.83999999997</v>
      </c>
      <c r="H27" s="99">
        <f>G27+'4'!H27</f>
        <v>1063493.9999999995</v>
      </c>
      <c r="I27" s="138"/>
      <c r="J27" s="175">
        <f>H27/DAY(B2)</f>
        <v>212698.7999999999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1023</v>
      </c>
      <c r="F28" s="136">
        <v>52</v>
      </c>
      <c r="G28" s="137">
        <f>E28*F28</f>
        <v>53196</v>
      </c>
      <c r="H28" s="99">
        <f>G28+'4'!H28</f>
        <v>267904</v>
      </c>
      <c r="I28" s="140"/>
      <c r="J28" s="175">
        <f>H28/DAY(B2)</f>
        <v>53580.800000000003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61</v>
      </c>
      <c r="F30" s="136">
        <v>146</v>
      </c>
      <c r="G30" s="137">
        <f>E30*F30</f>
        <v>8906</v>
      </c>
      <c r="H30" s="99">
        <f>G30+'4'!H30</f>
        <v>43508</v>
      </c>
      <c r="I30" s="140"/>
      <c r="J30" s="175">
        <f>H30/DAY(B2)</f>
        <v>8701.6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G31+'4'!H31</f>
        <v>76000</v>
      </c>
      <c r="I31" s="140"/>
      <c r="J31" s="175">
        <f>H31/DAY(B2)</f>
        <v>15200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310927.83999999997</v>
      </c>
      <c r="H32" s="99">
        <f>G32+'4'!H32</f>
        <v>1450905.9999999995</v>
      </c>
      <c r="I32" s="144"/>
      <c r="J32" s="175">
        <f>H32/DAY(B2)</f>
        <v>290181.1999999999</v>
      </c>
      <c r="K32" s="63"/>
      <c r="L32" s="89"/>
      <c r="N32" s="87"/>
      <c r="O32" s="71"/>
    </row>
    <row r="33" spans="1:15" ht="25.5" customHeight="1" x14ac:dyDescent="0.35">
      <c r="A33" s="803" t="s">
        <v>331</v>
      </c>
      <c r="B33" s="804"/>
      <c r="C33" s="804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'4'!F35</f>
        <v>0</v>
      </c>
      <c r="F35" s="145">
        <v>0</v>
      </c>
      <c r="G35" s="112">
        <f t="shared" ref="G35:G46" si="3">F35-E35</f>
        <v>0</v>
      </c>
      <c r="H35" s="99">
        <f>G35+'4'!H35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'4'!F36</f>
        <v>27562.47</v>
      </c>
      <c r="F36" s="145">
        <v>28666</v>
      </c>
      <c r="G36" s="112">
        <f t="shared" si="3"/>
        <v>1103.5299999999988</v>
      </c>
      <c r="H36" s="99">
        <f>G36+'4'!H36</f>
        <v>4789</v>
      </c>
      <c r="I36" s="95"/>
      <c r="J36" s="175">
        <f>H36/DAY(B2)</f>
        <v>957.8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'4'!F37</f>
        <v>61052.73</v>
      </c>
      <c r="F37" s="145">
        <v>62796</v>
      </c>
      <c r="G37" s="112">
        <f t="shared" si="3"/>
        <v>1743.2699999999968</v>
      </c>
      <c r="H37" s="99">
        <f>G37+'4'!H37</f>
        <v>8633</v>
      </c>
      <c r="I37" s="95"/>
      <c r="J37" s="175">
        <f>H37/DAY(B2)</f>
        <v>1726.6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'4'!F38</f>
        <v>64817.37</v>
      </c>
      <c r="F38" s="108">
        <v>66800</v>
      </c>
      <c r="G38" s="112">
        <f t="shared" si="3"/>
        <v>1982.6299999999974</v>
      </c>
      <c r="H38" s="99">
        <f>G38+'4'!H38</f>
        <v>9674</v>
      </c>
      <c r="I38" s="95"/>
      <c r="J38" s="175">
        <f>H38/DAY(B2)</f>
        <v>1934.8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'4'!F39</f>
        <v>139445.87</v>
      </c>
      <c r="F39" s="145">
        <v>143796</v>
      </c>
      <c r="G39" s="112">
        <f t="shared" si="3"/>
        <v>4350.1300000000047</v>
      </c>
      <c r="H39" s="99">
        <f>G39+'4'!H39</f>
        <v>20905</v>
      </c>
      <c r="I39" s="95"/>
      <c r="J39" s="175">
        <f>H39/DAY(B2)</f>
        <v>4181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'4'!F40</f>
        <v>0</v>
      </c>
      <c r="F40" s="145">
        <v>0</v>
      </c>
      <c r="G40" s="112">
        <f t="shared" si="3"/>
        <v>0</v>
      </c>
      <c r="H40" s="99">
        <f>G40+'4'!H40</f>
        <v>0</v>
      </c>
      <c r="I40" s="95"/>
      <c r="J40" s="175">
        <f>H40/DAY(B2)</f>
        <v>0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'4'!F41</f>
        <v>508335.51</v>
      </c>
      <c r="F41" s="145">
        <v>513949</v>
      </c>
      <c r="G41" s="112">
        <f t="shared" si="3"/>
        <v>5613.4899999999907</v>
      </c>
      <c r="H41" s="99">
        <f>G41+'4'!H41</f>
        <v>24729.409999999974</v>
      </c>
      <c r="I41" s="95"/>
      <c r="J41" s="175">
        <f>H41/DAY(B2)</f>
        <v>4945.8819999999951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'4'!F42</f>
        <v>246138.83</v>
      </c>
      <c r="F42" s="145">
        <v>247752</v>
      </c>
      <c r="G42" s="112">
        <f t="shared" si="3"/>
        <v>1613.1700000000128</v>
      </c>
      <c r="H42" s="99">
        <f>G42+'4'!H42</f>
        <v>3569</v>
      </c>
      <c r="I42" s="95"/>
      <c r="J42" s="175">
        <f>H42/DAY(B2)</f>
        <v>713.8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'4'!F43</f>
        <v>1373176.1</v>
      </c>
      <c r="F43" s="145">
        <v>1375662</v>
      </c>
      <c r="G43" s="112">
        <f t="shared" si="3"/>
        <v>2485.8999999999069</v>
      </c>
      <c r="H43" s="99">
        <f>G43+'4'!H43</f>
        <v>11704</v>
      </c>
      <c r="I43" s="95"/>
      <c r="J43" s="175">
        <f>H43/DAY(B2)</f>
        <v>2340.8000000000002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18892.119999999908</v>
      </c>
      <c r="H47" s="99">
        <f>G47+'4'!H47</f>
        <v>84003.409999999974</v>
      </c>
      <c r="I47" s="95"/>
      <c r="J47" s="175">
        <f>H47/DAY(B2)</f>
        <v>16800.681999999993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v>109927</v>
      </c>
      <c r="F49" s="145">
        <v>113561</v>
      </c>
      <c r="G49" s="112">
        <f t="shared" ref="G49:G58" si="4">F49-E49</f>
        <v>3634</v>
      </c>
      <c r="H49" s="99">
        <f>G49+'4'!H49</f>
        <v>22364.619999999995</v>
      </c>
      <c r="I49" s="95"/>
      <c r="J49" s="175">
        <f>H49/DAY(B2)</f>
        <v>4472.9239999999991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'4'!F50</f>
        <v>647922.35</v>
      </c>
      <c r="F50" s="145">
        <v>649692</v>
      </c>
      <c r="G50" s="112">
        <f t="shared" si="4"/>
        <v>1769.6500000000233</v>
      </c>
      <c r="H50" s="99">
        <f>G50+'4'!H50</f>
        <v>6202</v>
      </c>
      <c r="I50" s="95"/>
      <c r="J50" s="175">
        <f>H50/DAY(B2)</f>
        <v>1240.4000000000001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'4'!F51</f>
        <v>0</v>
      </c>
      <c r="F51" s="145">
        <v>0</v>
      </c>
      <c r="G51" s="112">
        <f t="shared" si="4"/>
        <v>0</v>
      </c>
      <c r="H51" s="99">
        <f>G51+'4'!H51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'4'!F52</f>
        <v>0</v>
      </c>
      <c r="F52" s="145">
        <v>0</v>
      </c>
      <c r="G52" s="112">
        <f t="shared" si="4"/>
        <v>0</v>
      </c>
      <c r="H52" s="99">
        <f>G52+'4'!H52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'4'!F53</f>
        <v>0</v>
      </c>
      <c r="F53" s="145">
        <v>0</v>
      </c>
      <c r="G53" s="112">
        <f t="shared" si="4"/>
        <v>0</v>
      </c>
      <c r="H53" s="99">
        <f>G53+'4'!H53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'4'!F54</f>
        <v>2747.59</v>
      </c>
      <c r="F54" s="145">
        <v>2753</v>
      </c>
      <c r="G54" s="112">
        <f t="shared" si="4"/>
        <v>5.4099999999998545</v>
      </c>
      <c r="H54" s="99">
        <f>G54+'4'!H54</f>
        <v>21</v>
      </c>
      <c r="I54" s="95"/>
      <c r="J54" s="175">
        <f>H54/DAY(B2)</f>
        <v>4.2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'4'!F55</f>
        <v>307299.42</v>
      </c>
      <c r="F55" s="145">
        <v>307299</v>
      </c>
      <c r="G55" s="112">
        <f t="shared" si="4"/>
        <v>-0.41999999998370185</v>
      </c>
      <c r="H55" s="99">
        <f>G55+'4'!H55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'4'!F56</f>
        <v>749199.51</v>
      </c>
      <c r="F56" s="145">
        <v>750312</v>
      </c>
      <c r="G56" s="112">
        <f t="shared" si="4"/>
        <v>1112.4899999999907</v>
      </c>
      <c r="H56" s="99">
        <f>G56+'4'!H56</f>
        <v>8542</v>
      </c>
      <c r="I56" s="95"/>
      <c r="J56" s="175">
        <f>H56/DAY(B2)</f>
        <v>1708.4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'4'!F57</f>
        <v>0</v>
      </c>
      <c r="F57" s="145">
        <v>0</v>
      </c>
      <c r="G57" s="112">
        <f t="shared" si="4"/>
        <v>0</v>
      </c>
      <c r="H57" s="99">
        <f>G57+'4'!H57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'4'!F58</f>
        <v>73092.83</v>
      </c>
      <c r="F58" s="145">
        <v>73320</v>
      </c>
      <c r="G58" s="112">
        <f t="shared" si="4"/>
        <v>227.16999999999825</v>
      </c>
      <c r="H58" s="99">
        <f>G58+'4'!H58</f>
        <v>1165</v>
      </c>
      <c r="I58" s="95"/>
      <c r="J58" s="175">
        <f>H58/DAY(B2)</f>
        <v>233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6748.3000000000284</v>
      </c>
      <c r="H59" s="99">
        <f>G59+'4'!H59</f>
        <v>38294.619999999995</v>
      </c>
      <c r="I59" s="95">
        <f>G7-G60</f>
        <v>-183.01999999993495</v>
      </c>
      <c r="J59" s="175">
        <f>H59/DAY(B2)</f>
        <v>7658.9239999999991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25640.419999999936</v>
      </c>
      <c r="H60" s="99">
        <f>G60+'4'!H60</f>
        <v>122298.02999999997</v>
      </c>
      <c r="I60" s="95">
        <f>G13-G60</f>
        <v>-858.44999999996435</v>
      </c>
      <c r="J60" s="175">
        <f>H60/DAY(B2)</f>
        <v>24459.605999999992</v>
      </c>
      <c r="K60" s="79"/>
      <c r="L60" s="66"/>
      <c r="N60" s="87"/>
      <c r="O60" s="71"/>
    </row>
    <row r="61" spans="1:15" s="68" customFormat="1" ht="27.75" x14ac:dyDescent="0.5">
      <c r="A61" s="805" t="s">
        <v>332</v>
      </c>
      <c r="B61" s="806"/>
      <c r="C61" s="807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1" t="s">
        <v>198</v>
      </c>
      <c r="B62" s="772"/>
      <c r="C62" s="773"/>
      <c r="D62" s="151" t="s">
        <v>142</v>
      </c>
      <c r="E62" s="95">
        <f>'4'!F62</f>
        <v>256787</v>
      </c>
      <c r="F62" s="122">
        <v>256896</v>
      </c>
      <c r="G62" s="112">
        <f t="shared" ref="G62:G63" si="5">F62-E62</f>
        <v>109</v>
      </c>
      <c r="H62" s="99">
        <f>G62+'4'!H62</f>
        <v>543</v>
      </c>
      <c r="I62" s="118"/>
      <c r="J62" s="175">
        <f>H62/DAY(B2)</f>
        <v>108.6</v>
      </c>
      <c r="K62" s="80"/>
      <c r="L62" s="66"/>
      <c r="N62" s="87"/>
      <c r="O62" s="71"/>
    </row>
    <row r="63" spans="1:15" ht="27.75" x14ac:dyDescent="0.5">
      <c r="A63" s="771" t="s">
        <v>199</v>
      </c>
      <c r="B63" s="772"/>
      <c r="C63" s="773"/>
      <c r="D63" s="151" t="s">
        <v>142</v>
      </c>
      <c r="E63" s="95">
        <f>'4'!F63</f>
        <v>204163</v>
      </c>
      <c r="F63" s="122">
        <v>203221</v>
      </c>
      <c r="G63" s="112">
        <f t="shared" si="5"/>
        <v>-942</v>
      </c>
      <c r="H63" s="99">
        <f>G63+'4'!H63</f>
        <v>695</v>
      </c>
      <c r="I63" s="118"/>
      <c r="J63" s="175">
        <f>H63/DAY(B2)</f>
        <v>139</v>
      </c>
      <c r="K63" s="69"/>
      <c r="L63" s="66"/>
      <c r="N63" s="87"/>
      <c r="O63" s="71"/>
    </row>
    <row r="64" spans="1:15" ht="29.25" x14ac:dyDescent="0.5">
      <c r="A64" s="780" t="s">
        <v>200</v>
      </c>
      <c r="B64" s="781"/>
      <c r="C64" s="782"/>
      <c r="D64" s="151"/>
      <c r="E64" s="95">
        <f>'4'!F64</f>
        <v>0</v>
      </c>
      <c r="F64" s="122"/>
      <c r="G64" s="112">
        <f>G62+G63</f>
        <v>-833</v>
      </c>
      <c r="H64" s="99">
        <f>G64+'4'!H64</f>
        <v>1238</v>
      </c>
      <c r="I64" s="118"/>
      <c r="J64" s="175">
        <f>H64/DAY(B2)</f>
        <v>247.6</v>
      </c>
      <c r="K64" s="69"/>
      <c r="L64" s="66"/>
      <c r="N64" s="87"/>
      <c r="O64" s="71"/>
    </row>
    <row r="65" spans="1:15" ht="27.75" x14ac:dyDescent="0.5">
      <c r="A65" s="771" t="s">
        <v>201</v>
      </c>
      <c r="B65" s="772"/>
      <c r="C65" s="773"/>
      <c r="D65" s="151" t="s">
        <v>142</v>
      </c>
      <c r="E65" s="95">
        <f>'4'!F65</f>
        <v>423624</v>
      </c>
      <c r="F65" s="122">
        <v>423726</v>
      </c>
      <c r="G65" s="112">
        <f t="shared" ref="G65:G70" si="6">F65-E65</f>
        <v>102</v>
      </c>
      <c r="H65" s="99">
        <f>G65+'4'!H65</f>
        <v>437</v>
      </c>
      <c r="I65" s="118"/>
      <c r="J65" s="175">
        <f>H65/DAY(B2)</f>
        <v>87.4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'4'!F66</f>
        <v>105407</v>
      </c>
      <c r="F66" s="122">
        <v>105423</v>
      </c>
      <c r="G66" s="112">
        <f t="shared" si="6"/>
        <v>16</v>
      </c>
      <c r="H66" s="99">
        <f>G66+'4'!H66</f>
        <v>109</v>
      </c>
      <c r="I66" s="118"/>
      <c r="J66" s="175">
        <f>H66/DAY(B2)</f>
        <v>21.8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'4'!F67</f>
        <v>101412</v>
      </c>
      <c r="F67" s="122">
        <v>101436</v>
      </c>
      <c r="G67" s="112">
        <f t="shared" si="6"/>
        <v>24</v>
      </c>
      <c r="H67" s="99">
        <f>G67+'4'!H67</f>
        <v>152</v>
      </c>
      <c r="I67" s="118"/>
      <c r="J67" s="175">
        <f>H67/DAY(B2)</f>
        <v>30.4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'4'!F68</f>
        <v>153288</v>
      </c>
      <c r="F68" s="122">
        <v>153340</v>
      </c>
      <c r="G68" s="112">
        <f t="shared" si="6"/>
        <v>52</v>
      </c>
      <c r="H68" s="99">
        <f>G68+'4'!H68</f>
        <v>227</v>
      </c>
      <c r="I68" s="118"/>
      <c r="J68" s="175">
        <f>H68/DAY(B2)</f>
        <v>45.4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'4'!F69</f>
        <v>9121</v>
      </c>
      <c r="F69" s="122">
        <v>9129</v>
      </c>
      <c r="G69" s="112">
        <f t="shared" si="6"/>
        <v>8</v>
      </c>
      <c r="H69" s="99">
        <f>G69+'4'!H69</f>
        <v>72</v>
      </c>
      <c r="I69" s="118"/>
      <c r="J69" s="175">
        <f>H69/DAY(B2)</f>
        <v>14.4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'4'!F70</f>
        <v>6842</v>
      </c>
      <c r="F70" s="122">
        <v>6852</v>
      </c>
      <c r="G70" s="112">
        <f t="shared" si="6"/>
        <v>10</v>
      </c>
      <c r="H70" s="99">
        <f>G70+'4'!H70</f>
        <v>48</v>
      </c>
      <c r="I70" s="118"/>
      <c r="J70" s="175">
        <f>H70/DAY(B2)</f>
        <v>9.6</v>
      </c>
      <c r="K70" s="69"/>
      <c r="L70" s="66"/>
      <c r="N70" s="87"/>
      <c r="O70" s="71"/>
    </row>
    <row r="71" spans="1:15" ht="29.25" x14ac:dyDescent="0.5">
      <c r="A71" s="780" t="s">
        <v>208</v>
      </c>
      <c r="B71" s="781"/>
      <c r="C71" s="782"/>
      <c r="D71" s="152"/>
      <c r="E71" s="152"/>
      <c r="F71" s="152"/>
      <c r="G71" s="153">
        <f>SUM(G65:G70)</f>
        <v>212</v>
      </c>
      <c r="H71" s="99">
        <f>G71+'4'!H71</f>
        <v>1045</v>
      </c>
      <c r="I71" s="154"/>
      <c r="J71" s="175">
        <f>H71/DAY(B2)</f>
        <v>209</v>
      </c>
      <c r="K71" s="69"/>
      <c r="L71" s="66"/>
      <c r="N71" s="87"/>
      <c r="O71" s="71"/>
    </row>
    <row r="72" spans="1:15" s="88" customFormat="1" ht="27.75" x14ac:dyDescent="0.5">
      <c r="A72" s="767"/>
      <c r="B72" s="752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77" t="s">
        <v>333</v>
      </c>
      <c r="B73" s="778"/>
      <c r="C73" s="779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1" t="s">
        <v>220</v>
      </c>
      <c r="B74" s="772"/>
      <c r="C74" s="773"/>
      <c r="D74" s="151" t="s">
        <v>139</v>
      </c>
      <c r="E74" s="95">
        <f>'4'!F74</f>
        <v>865701.23699999996</v>
      </c>
      <c r="F74" s="123">
        <v>865999</v>
      </c>
      <c r="G74" s="112">
        <f t="shared" ref="G74:G78" si="7">F74-E74</f>
        <v>297.76300000003539</v>
      </c>
      <c r="H74" s="99">
        <f>G74+'4'!H74</f>
        <v>1491</v>
      </c>
      <c r="I74" s="154"/>
      <c r="J74" s="175">
        <f>H74/DAY(B2)</f>
        <v>298.2</v>
      </c>
      <c r="K74" s="69"/>
      <c r="L74" s="66"/>
      <c r="N74" s="87"/>
      <c r="O74" s="71"/>
    </row>
    <row r="75" spans="1:15" ht="27.75" x14ac:dyDescent="0.5">
      <c r="A75" s="771" t="s">
        <v>221</v>
      </c>
      <c r="B75" s="772"/>
      <c r="C75" s="773"/>
      <c r="D75" s="151" t="s">
        <v>139</v>
      </c>
      <c r="E75" s="95">
        <f>'4'!F75</f>
        <v>73583.399999999994</v>
      </c>
      <c r="F75" s="123">
        <v>73583.399999999994</v>
      </c>
      <c r="G75" s="112">
        <f t="shared" si="7"/>
        <v>0</v>
      </c>
      <c r="H75" s="99">
        <f>G75+'4'!H75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68" t="s">
        <v>222</v>
      </c>
      <c r="B76" s="769"/>
      <c r="C76" s="770"/>
      <c r="D76" s="151" t="s">
        <v>139</v>
      </c>
      <c r="E76" s="95">
        <f>'4'!F76</f>
        <v>157270.1</v>
      </c>
      <c r="F76" s="123">
        <v>157395</v>
      </c>
      <c r="G76" s="112">
        <f t="shared" si="7"/>
        <v>124.89999999999418</v>
      </c>
      <c r="H76" s="99">
        <f>G76+'4'!H76</f>
        <v>583</v>
      </c>
      <c r="I76" s="154"/>
      <c r="J76" s="175">
        <f>H76/DAY(B2)</f>
        <v>116.6</v>
      </c>
      <c r="K76" s="69"/>
      <c r="L76" s="66"/>
      <c r="N76" s="87"/>
      <c r="O76" s="71"/>
    </row>
    <row r="77" spans="1:15" ht="27.75" x14ac:dyDescent="0.5">
      <c r="A77" s="768" t="s">
        <v>223</v>
      </c>
      <c r="B77" s="769"/>
      <c r="C77" s="770"/>
      <c r="D77" s="151" t="s">
        <v>139</v>
      </c>
      <c r="E77" s="95">
        <f>'4'!F77</f>
        <v>36223.199999999997</v>
      </c>
      <c r="F77" s="123">
        <v>36270</v>
      </c>
      <c r="G77" s="112">
        <f t="shared" si="7"/>
        <v>46.80000000000291</v>
      </c>
      <c r="H77" s="99">
        <f>G77+'4'!H77</f>
        <v>266</v>
      </c>
      <c r="I77" s="154"/>
      <c r="J77" s="175">
        <f>H77/DAY(B2)</f>
        <v>53.2</v>
      </c>
      <c r="K77" s="69"/>
      <c r="L77" s="66"/>
      <c r="N77" s="87"/>
      <c r="O77" s="71"/>
    </row>
    <row r="78" spans="1:15" ht="27.75" x14ac:dyDescent="0.5">
      <c r="A78" s="768" t="s">
        <v>224</v>
      </c>
      <c r="B78" s="769"/>
      <c r="C78" s="770"/>
      <c r="D78" s="151" t="s">
        <v>139</v>
      </c>
      <c r="E78" s="95">
        <f>'4'!F78</f>
        <v>9259.1</v>
      </c>
      <c r="F78" s="123">
        <v>9263</v>
      </c>
      <c r="G78" s="112">
        <f t="shared" si="7"/>
        <v>3.8999999999996362</v>
      </c>
      <c r="H78" s="99">
        <f>G78+'4'!H78</f>
        <v>15</v>
      </c>
      <c r="I78" s="118"/>
      <c r="J78" s="175">
        <f>H78/DAY(B2)</f>
        <v>3</v>
      </c>
      <c r="K78" s="69"/>
      <c r="L78" s="66"/>
      <c r="N78" s="87"/>
      <c r="O78" s="71"/>
    </row>
    <row r="79" spans="1:15" s="57" customFormat="1" ht="27.75" x14ac:dyDescent="0.5">
      <c r="A79" s="768" t="s">
        <v>225</v>
      </c>
      <c r="B79" s="769"/>
      <c r="C79" s="770"/>
      <c r="D79" s="151"/>
      <c r="E79" s="117"/>
      <c r="F79" s="117">
        <v>9263</v>
      </c>
      <c r="G79" s="112">
        <f>G15-SUM(G74:G78)</f>
        <v>549.63699999996788</v>
      </c>
      <c r="H79" s="99">
        <f>G79+'4'!H79</f>
        <v>2797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0" t="s">
        <v>329</v>
      </c>
      <c r="B80" s="781"/>
      <c r="C80" s="782"/>
      <c r="D80" s="151"/>
      <c r="E80" s="117"/>
      <c r="F80" s="117"/>
      <c r="G80" s="112">
        <f>SUM(G74:G79)</f>
        <v>1023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85" t="s">
        <v>226</v>
      </c>
      <c r="B81" s="786"/>
      <c r="C81" s="78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'4'!F82</f>
        <v>0</v>
      </c>
      <c r="F82" s="122"/>
      <c r="G82" s="112">
        <f t="shared" ref="G82:G92" si="8">F82-E82</f>
        <v>0</v>
      </c>
      <c r="H82" s="99">
        <f>G82+'4'!H82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'4'!F83</f>
        <v>0</v>
      </c>
      <c r="F83" s="122"/>
      <c r="G83" s="112">
        <f t="shared" si="8"/>
        <v>0</v>
      </c>
      <c r="H83" s="99">
        <f>G83+'4'!H83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'4'!F84</f>
        <v>41245.269999999997</v>
      </c>
      <c r="F84" s="164">
        <v>41269</v>
      </c>
      <c r="G84" s="112">
        <f t="shared" si="8"/>
        <v>23.730000000003201</v>
      </c>
      <c r="H84" s="99">
        <f>G84+'4'!H84</f>
        <v>107</v>
      </c>
      <c r="I84" s="118"/>
      <c r="J84" s="175">
        <f>H84/DAY(B2)</f>
        <v>21.4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'4'!F85</f>
        <v>1187.3699999999999</v>
      </c>
      <c r="F85" s="164">
        <v>1194</v>
      </c>
      <c r="G85" s="112">
        <f t="shared" si="8"/>
        <v>6.6300000000001091</v>
      </c>
      <c r="H85" s="99">
        <f>G85+'4'!H85</f>
        <v>15</v>
      </c>
      <c r="I85" s="118">
        <f>G82+G83+G84+G85</f>
        <v>30.360000000003311</v>
      </c>
      <c r="J85" s="175">
        <f>H85/DAY(B2)</f>
        <v>3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'4'!F86</f>
        <v>42826.47</v>
      </c>
      <c r="F86" s="164">
        <v>42826.47</v>
      </c>
      <c r="G86" s="112">
        <f t="shared" si="8"/>
        <v>0</v>
      </c>
      <c r="H86" s="99">
        <f>G86+'4'!H86</f>
        <v>0.47000000000116415</v>
      </c>
      <c r="I86" s="118"/>
      <c r="J86" s="175">
        <f>H86/DAY(B2)</f>
        <v>9.4000000000232828E-2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'4'!F87</f>
        <v>33349.5</v>
      </c>
      <c r="F87" s="164">
        <v>33349.5</v>
      </c>
      <c r="G87" s="112">
        <f t="shared" si="8"/>
        <v>0</v>
      </c>
      <c r="H87" s="99">
        <f>G87+'4'!H87</f>
        <v>35.5</v>
      </c>
      <c r="I87" s="118"/>
      <c r="J87" s="175">
        <f>H87/DAY(B2)</f>
        <v>7.1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'4'!F88</f>
        <v>23610.54</v>
      </c>
      <c r="F88" s="164">
        <v>23610.54</v>
      </c>
      <c r="G88" s="112">
        <f t="shared" si="8"/>
        <v>0</v>
      </c>
      <c r="H88" s="99">
        <f>G88+'4'!H88</f>
        <v>19.569999999999709</v>
      </c>
      <c r="I88" s="118">
        <f>G86+G87+G88</f>
        <v>0</v>
      </c>
      <c r="J88" s="175">
        <f>H88/DAY(B2)</f>
        <v>3.913999999999942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'4'!F89</f>
        <v>25210.44</v>
      </c>
      <c r="F89" s="164">
        <v>25220.77</v>
      </c>
      <c r="G89" s="112">
        <f t="shared" si="8"/>
        <v>10.330000000001746</v>
      </c>
      <c r="H89" s="99">
        <f>G89+'4'!H89</f>
        <v>33.400000000001455</v>
      </c>
      <c r="I89" s="118"/>
      <c r="J89" s="175">
        <f>H89/DAY(B2)</f>
        <v>6.680000000000291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'4'!F90</f>
        <v>70539.48</v>
      </c>
      <c r="F90" s="164">
        <v>70542.98</v>
      </c>
      <c r="G90" s="112">
        <f t="shared" si="8"/>
        <v>3.5</v>
      </c>
      <c r="H90" s="99">
        <f>G90+'4'!H90</f>
        <v>10</v>
      </c>
      <c r="I90" s="118">
        <f>G89+G90</f>
        <v>13.830000000001746</v>
      </c>
      <c r="J90" s="175">
        <f>H90/DAY(B2)</f>
        <v>2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'4'!F91</f>
        <v>2969.71</v>
      </c>
      <c r="F91" s="122">
        <v>2980.63</v>
      </c>
      <c r="G91" s="112">
        <f t="shared" si="8"/>
        <v>10.920000000000073</v>
      </c>
      <c r="H91" s="99">
        <f>G91+'4'!H91</f>
        <v>54.760000000000218</v>
      </c>
      <c r="I91" s="165"/>
      <c r="J91" s="175">
        <f>H91/DAY(B2)</f>
        <v>10.952000000000044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'4'!F92</f>
        <v>4758.6000000000004</v>
      </c>
      <c r="F92" s="122">
        <v>4758.6000000000004</v>
      </c>
      <c r="G92" s="112">
        <f t="shared" si="8"/>
        <v>0</v>
      </c>
      <c r="H92" s="99">
        <f>G92+'4'!H92</f>
        <v>0.6000000000003638</v>
      </c>
      <c r="I92" s="165"/>
      <c r="J92" s="175">
        <f>H92/DAY(B2)</f>
        <v>0.12000000000007276</v>
      </c>
      <c r="O92" s="71"/>
    </row>
    <row r="93" spans="1:15" ht="29.25" x14ac:dyDescent="0.5">
      <c r="A93" s="774" t="s">
        <v>239</v>
      </c>
      <c r="B93" s="775"/>
      <c r="C93" s="77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1" t="s">
        <v>240</v>
      </c>
      <c r="B94" s="772"/>
      <c r="C94" s="773"/>
      <c r="D94" s="151" t="s">
        <v>130</v>
      </c>
      <c r="E94" s="151"/>
      <c r="F94" s="151"/>
      <c r="G94" s="99">
        <f>G35+G43+G49+G57</f>
        <v>6119.8999999999069</v>
      </c>
      <c r="H94" s="99">
        <f>G94+'4'!H94</f>
        <v>34068.619999999995</v>
      </c>
      <c r="I94" s="118"/>
      <c r="J94" s="175">
        <f>H94/DAY(B2)</f>
        <v>6813.7239999999993</v>
      </c>
      <c r="K94" s="69"/>
      <c r="L94" s="66"/>
      <c r="O94" s="71"/>
    </row>
    <row r="95" spans="1:15" ht="27.75" x14ac:dyDescent="0.5">
      <c r="A95" s="771" t="s">
        <v>241</v>
      </c>
      <c r="B95" s="772"/>
      <c r="C95" s="773"/>
      <c r="D95" s="151" t="s">
        <v>23</v>
      </c>
      <c r="E95" s="146"/>
      <c r="F95" s="146"/>
      <c r="G95" s="166">
        <f>G94/G7</f>
        <v>0.24039768397400782</v>
      </c>
      <c r="H95" s="99">
        <f>G95+'4'!H95</f>
        <v>1.456352857960352</v>
      </c>
      <c r="I95" s="167"/>
      <c r="J95" s="175">
        <f>H95/DAY(B2)</f>
        <v>0.29127057159207037</v>
      </c>
      <c r="K95" s="69"/>
      <c r="L95" s="66"/>
      <c r="O95" s="71"/>
    </row>
    <row r="96" spans="1:15" ht="27.75" x14ac:dyDescent="0.5">
      <c r="A96" s="771" t="s">
        <v>242</v>
      </c>
      <c r="B96" s="772"/>
      <c r="C96" s="773"/>
      <c r="D96" s="151" t="s">
        <v>130</v>
      </c>
      <c r="E96" s="95"/>
      <c r="F96" s="95"/>
      <c r="G96" s="99">
        <f>G41+G42+G55+G56</f>
        <v>8338.7300000000105</v>
      </c>
      <c r="H96" s="99">
        <f>G96+'4'!H96</f>
        <v>36840.409999999974</v>
      </c>
      <c r="I96" s="118"/>
      <c r="J96" s="175">
        <f>H96/DAY(B2)</f>
        <v>7368.0819999999949</v>
      </c>
      <c r="K96" s="69"/>
      <c r="L96" s="66"/>
      <c r="O96" s="71"/>
    </row>
    <row r="97" spans="1:15" ht="27.75" x14ac:dyDescent="0.5">
      <c r="A97" s="771" t="s">
        <v>243</v>
      </c>
      <c r="B97" s="772"/>
      <c r="C97" s="773"/>
      <c r="D97" s="151" t="s">
        <v>23</v>
      </c>
      <c r="E97" s="95"/>
      <c r="F97" s="95"/>
      <c r="G97" s="166">
        <f>G96/G7</f>
        <v>0.32755623119407362</v>
      </c>
      <c r="H97" s="99">
        <f>G97+'4'!H97</f>
        <v>1.5674869270242429</v>
      </c>
      <c r="I97" s="167"/>
      <c r="J97" s="175">
        <f>H97/DAY(B2)</f>
        <v>0.31349738540484856</v>
      </c>
      <c r="K97" s="69"/>
      <c r="L97" s="66"/>
      <c r="O97" s="71"/>
    </row>
    <row r="98" spans="1:15" ht="27.75" x14ac:dyDescent="0.5">
      <c r="A98" s="771" t="s">
        <v>244</v>
      </c>
      <c r="B98" s="772"/>
      <c r="C98" s="773"/>
      <c r="D98" s="151" t="s">
        <v>130</v>
      </c>
      <c r="E98" s="95"/>
      <c r="F98" s="95"/>
      <c r="G98" s="99">
        <f>G39+G53</f>
        <v>4350.1300000000047</v>
      </c>
      <c r="H98" s="99">
        <f>G98+'4'!H98</f>
        <v>20905</v>
      </c>
      <c r="I98" s="168"/>
      <c r="J98" s="175">
        <f>H98/DAY(B2)</f>
        <v>4181</v>
      </c>
      <c r="K98" s="69"/>
      <c r="L98" s="66"/>
      <c r="O98" s="71"/>
    </row>
    <row r="99" spans="1:15" ht="27.75" x14ac:dyDescent="0.5">
      <c r="A99" s="771" t="s">
        <v>245</v>
      </c>
      <c r="B99" s="772"/>
      <c r="C99" s="773"/>
      <c r="D99" s="151" t="s">
        <v>23</v>
      </c>
      <c r="E99" s="95"/>
      <c r="F99" s="95"/>
      <c r="G99" s="166">
        <f>G98/G7</f>
        <v>0.17087880144869486</v>
      </c>
      <c r="H99" s="99">
        <f>G99+'4'!H99</f>
        <v>0.89152787234844577</v>
      </c>
      <c r="I99" s="168"/>
      <c r="J99" s="175">
        <f>H99/DAY(B2)</f>
        <v>0.17830557446968914</v>
      </c>
      <c r="O99" s="71"/>
    </row>
    <row r="100" spans="1:15" ht="27.75" x14ac:dyDescent="0.5">
      <c r="A100" s="771" t="s">
        <v>246</v>
      </c>
      <c r="B100" s="772"/>
      <c r="C100" s="773"/>
      <c r="D100" s="151" t="s">
        <v>180</v>
      </c>
      <c r="E100" s="95"/>
      <c r="F100" s="95"/>
      <c r="G100" s="99">
        <f>G38+G52</f>
        <v>1982.6299999999974</v>
      </c>
      <c r="H100" s="99">
        <f>G100+'4'!H100</f>
        <v>9674</v>
      </c>
      <c r="I100" s="118"/>
      <c r="J100" s="175">
        <f>H100/DAY(B2)</f>
        <v>1934.8</v>
      </c>
      <c r="K100" s="70"/>
      <c r="O100" s="71"/>
    </row>
    <row r="101" spans="1:15" ht="27.75" x14ac:dyDescent="0.5">
      <c r="A101" s="771" t="s">
        <v>247</v>
      </c>
      <c r="B101" s="772"/>
      <c r="C101" s="773"/>
      <c r="D101" s="151" t="s">
        <v>23</v>
      </c>
      <c r="E101" s="95"/>
      <c r="F101" s="95"/>
      <c r="G101" s="166">
        <f>G100/G7</f>
        <v>7.7880301994704776E-2</v>
      </c>
      <c r="H101" s="99">
        <f>G101+'4'!H101</f>
        <v>0.41290703074020729</v>
      </c>
      <c r="I101" s="168"/>
      <c r="J101" s="175">
        <f>H101/DAY(B2)</f>
        <v>8.2581406148041464E-2</v>
      </c>
      <c r="O101" s="71"/>
    </row>
    <row r="102" spans="1:15" ht="27.75" x14ac:dyDescent="0.5">
      <c r="A102" s="771" t="s">
        <v>248</v>
      </c>
      <c r="B102" s="772"/>
      <c r="C102" s="773"/>
      <c r="D102" s="151" t="s">
        <v>180</v>
      </c>
      <c r="E102" s="95"/>
      <c r="F102" s="95"/>
      <c r="G102" s="99">
        <f>G36+G50</f>
        <v>2873.1800000000221</v>
      </c>
      <c r="H102" s="99">
        <f>G102+'4'!H102</f>
        <v>10991</v>
      </c>
      <c r="I102" s="168"/>
      <c r="J102" s="175">
        <f>H102/DAY(B2)</f>
        <v>2198.1999999999998</v>
      </c>
      <c r="O102" s="71"/>
    </row>
    <row r="103" spans="1:15" ht="27.75" x14ac:dyDescent="0.5">
      <c r="A103" s="771" t="s">
        <v>249</v>
      </c>
      <c r="B103" s="772"/>
      <c r="C103" s="773"/>
      <c r="D103" s="151" t="s">
        <v>23</v>
      </c>
      <c r="E103" s="95"/>
      <c r="F103" s="95"/>
      <c r="G103" s="166">
        <f>G102/G7</f>
        <v>0.11286227187379787</v>
      </c>
      <c r="H103" s="99">
        <f>G103+'4'!H103</f>
        <v>0.46632439324924441</v>
      </c>
      <c r="I103" s="118"/>
      <c r="J103" s="175">
        <f>H103/DAY(B2)</f>
        <v>9.3264878649848879E-2</v>
      </c>
      <c r="O103" s="71"/>
    </row>
    <row r="104" spans="1:15" ht="27.75" x14ac:dyDescent="0.5">
      <c r="A104" s="771" t="s">
        <v>250</v>
      </c>
      <c r="B104" s="772"/>
      <c r="C104" s="773"/>
      <c r="D104" s="151" t="s">
        <v>180</v>
      </c>
      <c r="E104" s="95"/>
      <c r="F104" s="95"/>
      <c r="G104" s="99">
        <f>G37+G51</f>
        <v>1743.2699999999968</v>
      </c>
      <c r="H104" s="99">
        <f>G104+'4'!H104</f>
        <v>8633</v>
      </c>
      <c r="I104" s="118"/>
      <c r="J104" s="175">
        <f>H104/DAY(B2)</f>
        <v>1726.6</v>
      </c>
      <c r="O104" s="71"/>
    </row>
    <row r="105" spans="1:15" ht="28.5" thickBot="1" x14ac:dyDescent="0.55000000000000004">
      <c r="A105" s="764" t="s">
        <v>251</v>
      </c>
      <c r="B105" s="765"/>
      <c r="C105" s="766"/>
      <c r="D105" s="231" t="s">
        <v>23</v>
      </c>
      <c r="E105" s="185"/>
      <c r="F105" s="185"/>
      <c r="G105" s="186">
        <f>G104/G7</f>
        <v>6.8477927832378674E-2</v>
      </c>
      <c r="H105" s="99">
        <f>G105+'4'!H105</f>
        <v>0.36863609673646297</v>
      </c>
      <c r="I105" s="187"/>
      <c r="J105" s="188">
        <f>H105/DAY(B2)</f>
        <v>7.3727219347292594E-2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0" t="s">
        <v>324</v>
      </c>
      <c r="B108" s="760"/>
      <c r="C108" s="760"/>
      <c r="D108" s="760"/>
      <c r="E108" s="760"/>
      <c r="F108" s="760"/>
      <c r="G108" s="760"/>
      <c r="H108" s="760"/>
      <c r="I108" s="760"/>
      <c r="J108" s="760"/>
    </row>
    <row r="109" spans="1:15" ht="29.25" x14ac:dyDescent="0.5">
      <c r="A109" s="788"/>
      <c r="B109" s="788"/>
    </row>
    <row r="110" spans="1:15" ht="29.25" x14ac:dyDescent="0.5">
      <c r="A110" s="761" t="s">
        <v>165</v>
      </c>
      <c r="B110" s="762"/>
      <c r="C110" s="762"/>
      <c r="D110" s="762"/>
      <c r="E110" s="762"/>
      <c r="F110" s="762"/>
      <c r="G110" s="762"/>
      <c r="H110" s="762"/>
      <c r="I110" s="762"/>
      <c r="J110" s="763"/>
    </row>
    <row r="111" spans="1:15" ht="27.75" x14ac:dyDescent="0.5">
      <c r="A111" s="753"/>
      <c r="B111" s="754"/>
      <c r="C111" s="755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0" t="s">
        <v>252</v>
      </c>
      <c r="B112" s="751"/>
      <c r="C112" s="752"/>
      <c r="D112" s="146" t="s">
        <v>183</v>
      </c>
      <c r="E112" s="95">
        <f>'4'!F112</f>
        <v>48603.12</v>
      </c>
      <c r="F112" s="237">
        <v>48689</v>
      </c>
      <c r="G112" s="112">
        <f t="shared" ref="G112:G123" si="9">F112-E112</f>
        <v>85.879999999997381</v>
      </c>
      <c r="H112" s="99">
        <f>G112+'4'!H112</f>
        <v>412</v>
      </c>
      <c r="I112" s="165"/>
      <c r="J112" s="348">
        <f>H112/DAY(B2)</f>
        <v>82.4</v>
      </c>
    </row>
    <row r="113" spans="1:18" ht="29.25" customHeight="1" x14ac:dyDescent="0.5">
      <c r="A113" s="750" t="s">
        <v>253</v>
      </c>
      <c r="B113" s="751"/>
      <c r="C113" s="752"/>
      <c r="D113" s="146" t="s">
        <v>183</v>
      </c>
      <c r="E113" s="95">
        <f>'4'!F113</f>
        <v>152448.6</v>
      </c>
      <c r="F113" s="237">
        <v>152930</v>
      </c>
      <c r="G113" s="112">
        <f t="shared" si="9"/>
        <v>481.39999999999418</v>
      </c>
      <c r="H113" s="99">
        <f>G113+'4'!H113</f>
        <v>2399</v>
      </c>
      <c r="I113" s="165"/>
      <c r="J113" s="348">
        <f>H113/DAY(B2)</f>
        <v>479.8</v>
      </c>
    </row>
    <row r="114" spans="1:18" ht="29.25" customHeight="1" x14ac:dyDescent="0.5">
      <c r="A114" s="750" t="s">
        <v>254</v>
      </c>
      <c r="B114" s="751"/>
      <c r="C114" s="752"/>
      <c r="D114" s="146" t="s">
        <v>183</v>
      </c>
      <c r="E114" s="95">
        <f>'4'!F114</f>
        <v>71074.600000000006</v>
      </c>
      <c r="F114" s="237">
        <v>71298</v>
      </c>
      <c r="G114" s="112">
        <f t="shared" si="9"/>
        <v>223.39999999999418</v>
      </c>
      <c r="H114" s="99">
        <f>G114+'4'!H114</f>
        <v>1098</v>
      </c>
      <c r="I114" s="165"/>
      <c r="J114" s="348">
        <f>H114/DAY(B2)</f>
        <v>219.6</v>
      </c>
    </row>
    <row r="115" spans="1:18" ht="29.25" customHeight="1" x14ac:dyDescent="0.5">
      <c r="A115" s="750" t="s">
        <v>255</v>
      </c>
      <c r="B115" s="751"/>
      <c r="C115" s="752"/>
      <c r="D115" s="146" t="s">
        <v>183</v>
      </c>
      <c r="E115" s="95">
        <f>'4'!F115</f>
        <v>7786.97</v>
      </c>
      <c r="F115" s="237">
        <v>7801</v>
      </c>
      <c r="G115" s="112">
        <f t="shared" si="9"/>
        <v>14.029999999999745</v>
      </c>
      <c r="H115" s="99">
        <f>G115+'4'!H115</f>
        <v>53</v>
      </c>
      <c r="I115" s="165"/>
      <c r="J115" s="348">
        <f>H115/DAY(B2)</f>
        <v>10.6</v>
      </c>
    </row>
    <row r="116" spans="1:18" ht="29.25" customHeight="1" x14ac:dyDescent="0.5">
      <c r="A116" s="757" t="s">
        <v>96</v>
      </c>
      <c r="B116" s="758"/>
      <c r="C116" s="759"/>
      <c r="D116" s="146" t="s">
        <v>183</v>
      </c>
      <c r="E116" s="95">
        <f>'4'!F116</f>
        <v>0</v>
      </c>
      <c r="F116" s="237">
        <v>0</v>
      </c>
      <c r="G116" s="112">
        <f t="shared" si="9"/>
        <v>0</v>
      </c>
      <c r="H116" s="99">
        <f>G116+'4'!H116</f>
        <v>0</v>
      </c>
      <c r="I116" s="165"/>
      <c r="J116" s="348">
        <f>H116/DAY(B2)</f>
        <v>0</v>
      </c>
      <c r="Q116" s="821"/>
      <c r="R116" s="821"/>
    </row>
    <row r="117" spans="1:18" ht="29.25" customHeight="1" x14ac:dyDescent="0.5">
      <c r="A117" s="757" t="s">
        <v>184</v>
      </c>
      <c r="B117" s="758"/>
      <c r="C117" s="759"/>
      <c r="D117" s="146" t="s">
        <v>183</v>
      </c>
      <c r="E117" s="95">
        <f>'4'!F117</f>
        <v>491.59</v>
      </c>
      <c r="F117" s="237">
        <v>510</v>
      </c>
      <c r="G117" s="112">
        <f t="shared" si="9"/>
        <v>18.410000000000025</v>
      </c>
      <c r="H117" s="99">
        <f>G117+'4'!H117</f>
        <v>94</v>
      </c>
      <c r="I117" s="165"/>
      <c r="J117" s="348">
        <f>H117/DAY(B2)</f>
        <v>18.8</v>
      </c>
      <c r="Q117" s="821"/>
      <c r="R117" s="821"/>
    </row>
    <row r="118" spans="1:18" ht="27.75" x14ac:dyDescent="0.5">
      <c r="A118" s="749" t="s">
        <v>97</v>
      </c>
      <c r="B118" s="749"/>
      <c r="C118" s="749"/>
      <c r="D118" s="151" t="s">
        <v>183</v>
      </c>
      <c r="E118" s="95">
        <f>'4'!F118</f>
        <v>208134.09</v>
      </c>
      <c r="F118" s="237">
        <v>208574</v>
      </c>
      <c r="G118" s="112">
        <f t="shared" si="9"/>
        <v>439.91000000000349</v>
      </c>
      <c r="H118" s="99">
        <f>G118+'4'!H118</f>
        <v>2042</v>
      </c>
      <c r="I118" s="165"/>
      <c r="J118" s="348">
        <f>H118/DAY(B2)</f>
        <v>408.4</v>
      </c>
      <c r="Q118" s="821"/>
      <c r="R118" s="821"/>
    </row>
    <row r="119" spans="1:18" ht="27.75" x14ac:dyDescent="0.5">
      <c r="A119" s="749" t="s">
        <v>98</v>
      </c>
      <c r="B119" s="749"/>
      <c r="C119" s="749"/>
      <c r="D119" s="151" t="s">
        <v>183</v>
      </c>
      <c r="E119" s="95">
        <f>'4'!F119</f>
        <v>207781.29</v>
      </c>
      <c r="F119" s="237">
        <v>208155</v>
      </c>
      <c r="G119" s="112">
        <f t="shared" si="9"/>
        <v>373.70999999999185</v>
      </c>
      <c r="H119" s="99">
        <f>G119+'4'!H119</f>
        <v>1925</v>
      </c>
      <c r="I119" s="165"/>
      <c r="J119" s="348">
        <f>H119/DAY(B2)</f>
        <v>385</v>
      </c>
    </row>
    <row r="120" spans="1:18" ht="27.75" x14ac:dyDescent="0.5">
      <c r="A120" s="749" t="s">
        <v>99</v>
      </c>
      <c r="B120" s="749"/>
      <c r="C120" s="749"/>
      <c r="D120" s="151" t="s">
        <v>183</v>
      </c>
      <c r="E120" s="95">
        <f>'4'!F120</f>
        <v>7155.36</v>
      </c>
      <c r="F120" s="237">
        <v>7567</v>
      </c>
      <c r="G120" s="112">
        <f t="shared" si="9"/>
        <v>411.64000000000033</v>
      </c>
      <c r="H120" s="99">
        <f>G120+'4'!H120</f>
        <v>2052</v>
      </c>
      <c r="I120" s="165"/>
      <c r="J120" s="348">
        <f>H120/DAY(B2)</f>
        <v>410.4</v>
      </c>
    </row>
    <row r="121" spans="1:18" ht="27.75" x14ac:dyDescent="0.5">
      <c r="A121" s="749" t="s">
        <v>100</v>
      </c>
      <c r="B121" s="749"/>
      <c r="C121" s="749"/>
      <c r="D121" s="151" t="s">
        <v>183</v>
      </c>
      <c r="E121" s="95">
        <v>312931</v>
      </c>
      <c r="F121" s="237">
        <v>313451</v>
      </c>
      <c r="G121" s="112">
        <f t="shared" si="9"/>
        <v>520</v>
      </c>
      <c r="H121" s="99">
        <f>G121+'4'!H121</f>
        <v>4006.2700000000186</v>
      </c>
      <c r="I121" s="165"/>
      <c r="J121" s="348">
        <f>H121/DAY(B2)</f>
        <v>801.25400000000377</v>
      </c>
    </row>
    <row r="122" spans="1:18" ht="27.75" x14ac:dyDescent="0.5">
      <c r="A122" s="749" t="s">
        <v>101</v>
      </c>
      <c r="B122" s="749"/>
      <c r="C122" s="749"/>
      <c r="D122" s="151" t="s">
        <v>183</v>
      </c>
      <c r="E122" s="95">
        <f>'4'!F122</f>
        <v>92833.98</v>
      </c>
      <c r="F122" s="237">
        <v>93150</v>
      </c>
      <c r="G122" s="112">
        <f t="shared" si="9"/>
        <v>316.02000000000407</v>
      </c>
      <c r="H122" s="99">
        <f>G122+'4'!H122</f>
        <v>1528</v>
      </c>
      <c r="I122" s="165"/>
      <c r="J122" s="348">
        <f>H122/DAY(B2)</f>
        <v>305.60000000000002</v>
      </c>
    </row>
    <row r="123" spans="1:18" ht="27.75" x14ac:dyDescent="0.5">
      <c r="A123" s="749" t="s">
        <v>102</v>
      </c>
      <c r="B123" s="749"/>
      <c r="C123" s="749"/>
      <c r="D123" s="151" t="s">
        <v>183</v>
      </c>
      <c r="E123" s="95">
        <f>'4'!F123</f>
        <v>116868.12</v>
      </c>
      <c r="F123" s="237">
        <v>117202</v>
      </c>
      <c r="G123" s="112">
        <f t="shared" si="9"/>
        <v>333.88000000000466</v>
      </c>
      <c r="H123" s="99">
        <f>G123+'4'!H123</f>
        <v>1659</v>
      </c>
      <c r="I123" s="165"/>
      <c r="J123" s="348">
        <f>H123/DAY(B2)</f>
        <v>331.8</v>
      </c>
    </row>
    <row r="124" spans="1:18" ht="29.25" customHeight="1" x14ac:dyDescent="0.5">
      <c r="A124" s="753"/>
      <c r="B124" s="754"/>
      <c r="C124" s="755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37"/>
      <c r="B125" s="737"/>
      <c r="C125" s="246"/>
      <c r="D125" s="317"/>
      <c r="E125" s="318"/>
      <c r="F125" s="318"/>
      <c r="G125" s="319">
        <f>SUM(G112:G124)</f>
        <v>3218.2799999999897</v>
      </c>
      <c r="H125" s="156"/>
      <c r="I125" s="165"/>
      <c r="J125" s="347"/>
    </row>
    <row r="126" spans="1:18" ht="27.75" x14ac:dyDescent="0.5">
      <c r="A126" s="756" t="s">
        <v>317</v>
      </c>
      <c r="B126" s="756"/>
      <c r="C126" s="756"/>
      <c r="D126" s="756"/>
      <c r="E126" s="756"/>
      <c r="F126" s="756"/>
      <c r="G126" s="756"/>
      <c r="H126" s="756"/>
      <c r="I126" s="756"/>
      <c r="J126" s="756"/>
    </row>
    <row r="127" spans="1:18" ht="27.75" x14ac:dyDescent="0.5">
      <c r="A127" s="737"/>
      <c r="B127" s="737"/>
      <c r="C127" s="246"/>
      <c r="D127" s="317"/>
      <c r="E127" s="318"/>
      <c r="F127" s="597"/>
      <c r="G127" s="319"/>
      <c r="H127" s="99">
        <f>G127+'4'!H127</f>
        <v>0</v>
      </c>
      <c r="I127" s="165"/>
      <c r="J127" s="348">
        <f>H127/DAY(B2)</f>
        <v>0</v>
      </c>
    </row>
    <row r="128" spans="1:18" ht="29.25" customHeight="1" x14ac:dyDescent="0.5">
      <c r="A128" s="750" t="s">
        <v>318</v>
      </c>
      <c r="B128" s="751"/>
      <c r="C128" s="752"/>
      <c r="D128" s="151" t="s">
        <v>183</v>
      </c>
      <c r="E128" s="95">
        <f>'4'!F128</f>
        <v>8878.51</v>
      </c>
      <c r="F128" s="598">
        <v>9203</v>
      </c>
      <c r="G128" s="112">
        <f t="shared" ref="G128:G134" si="10">F128-E128</f>
        <v>324.48999999999978</v>
      </c>
      <c r="H128" s="99">
        <f>G128+'4'!H128</f>
        <v>1592</v>
      </c>
      <c r="I128" s="165"/>
      <c r="J128" s="348">
        <f>H128/DAY(B2)</f>
        <v>318.39999999999998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'4'!F129</f>
        <v>854.14</v>
      </c>
      <c r="F129" s="598">
        <v>1043</v>
      </c>
      <c r="G129" s="112">
        <f t="shared" si="10"/>
        <v>188.86</v>
      </c>
      <c r="H129" s="99">
        <f>G129+'4'!H129</f>
        <v>929</v>
      </c>
      <c r="I129" s="165"/>
      <c r="J129" s="348">
        <f>H129/DAY(B2)</f>
        <v>185.8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'4'!F130</f>
        <v>1130.44</v>
      </c>
      <c r="F130" s="598">
        <v>1328</v>
      </c>
      <c r="G130" s="112">
        <f t="shared" si="10"/>
        <v>197.55999999999995</v>
      </c>
      <c r="H130" s="99">
        <f>G130+'4'!H130</f>
        <v>1148</v>
      </c>
      <c r="I130" s="165"/>
      <c r="J130" s="348">
        <f>H130/DAY(B2)</f>
        <v>229.6</v>
      </c>
      <c r="N130" s="240"/>
      <c r="O130" s="241"/>
    </row>
    <row r="131" spans="1:15" ht="27.75" x14ac:dyDescent="0.5">
      <c r="A131" s="750" t="s">
        <v>321</v>
      </c>
      <c r="B131" s="751"/>
      <c r="C131" s="752"/>
      <c r="D131" s="151" t="s">
        <v>183</v>
      </c>
      <c r="E131" s="95">
        <f>'4'!F131</f>
        <v>646.92999999999995</v>
      </c>
      <c r="F131" s="598">
        <v>813</v>
      </c>
      <c r="G131" s="112">
        <f t="shared" si="10"/>
        <v>166.07000000000005</v>
      </c>
      <c r="H131" s="99">
        <f>G131+'4'!H131</f>
        <v>703</v>
      </c>
      <c r="I131" s="165"/>
      <c r="J131" s="348">
        <f>H131/DAY(B2)</f>
        <v>140.6</v>
      </c>
      <c r="N131" s="240"/>
      <c r="O131" s="241"/>
    </row>
    <row r="132" spans="1:15" ht="27.75" x14ac:dyDescent="0.5">
      <c r="A132" s="750" t="s">
        <v>322</v>
      </c>
      <c r="B132" s="751"/>
      <c r="C132" s="752"/>
      <c r="D132" s="151" t="s">
        <v>183</v>
      </c>
      <c r="E132" s="95">
        <f>'4'!F132</f>
        <v>1890.52</v>
      </c>
      <c r="F132" s="598">
        <v>2309</v>
      </c>
      <c r="G132" s="112">
        <f t="shared" si="10"/>
        <v>418.48</v>
      </c>
      <c r="H132" s="99">
        <f>G132+'4'!H132</f>
        <v>1988</v>
      </c>
      <c r="I132" s="165"/>
      <c r="J132" s="348">
        <f>H132/DAY(B2)</f>
        <v>397.6</v>
      </c>
    </row>
    <row r="133" spans="1:15" ht="27.75" x14ac:dyDescent="0.5">
      <c r="A133" s="750" t="s">
        <v>323</v>
      </c>
      <c r="B133" s="751"/>
      <c r="C133" s="752"/>
      <c r="D133" s="151" t="s">
        <v>183</v>
      </c>
      <c r="E133" s="95">
        <f>'4'!F133</f>
        <v>19449.23</v>
      </c>
      <c r="F133" s="598">
        <v>20244</v>
      </c>
      <c r="G133" s="112">
        <f t="shared" si="10"/>
        <v>794.77000000000044</v>
      </c>
      <c r="H133" s="99">
        <f>G133+'4'!H133</f>
        <v>3853</v>
      </c>
      <c r="I133" s="165"/>
      <c r="J133" s="348">
        <f>H133/DAY(B2)</f>
        <v>770.6</v>
      </c>
    </row>
    <row r="134" spans="1:15" ht="27.75" x14ac:dyDescent="0.5">
      <c r="A134" s="750" t="s">
        <v>340</v>
      </c>
      <c r="B134" s="751"/>
      <c r="C134" s="752"/>
      <c r="D134" s="151" t="s">
        <v>183</v>
      </c>
      <c r="E134" s="95">
        <f>'4'!F134</f>
        <v>615039</v>
      </c>
      <c r="F134" s="598">
        <v>615673</v>
      </c>
      <c r="G134" s="112">
        <f t="shared" si="10"/>
        <v>634</v>
      </c>
      <c r="H134" s="99">
        <f>G134+'4'!H134</f>
        <v>1258</v>
      </c>
      <c r="I134" s="165"/>
      <c r="J134" s="348">
        <f>H134/DAY(B2)</f>
        <v>251.6</v>
      </c>
    </row>
    <row r="135" spans="1:15" ht="27.75" x14ac:dyDescent="0.5">
      <c r="A135" s="753"/>
      <c r="B135" s="754"/>
      <c r="C135" s="755"/>
      <c r="D135" s="151"/>
      <c r="E135" s="95"/>
      <c r="F135" s="165"/>
      <c r="G135" s="112">
        <f>SUM(G128:G134)</f>
        <v>2724.2300000000005</v>
      </c>
      <c r="H135" s="99">
        <f>G135+'4'!H135</f>
        <v>2724.2300000000005</v>
      </c>
      <c r="I135" s="165"/>
      <c r="J135" s="348">
        <f>H135/DAY(B2)</f>
        <v>544.84600000000012</v>
      </c>
    </row>
    <row r="136" spans="1:15" ht="31.5" x14ac:dyDescent="0.55000000000000004">
      <c r="A136" s="736" t="s">
        <v>325</v>
      </c>
      <c r="B136" s="736"/>
      <c r="C136" s="736"/>
      <c r="D136" s="736"/>
      <c r="E136" s="736"/>
      <c r="F136" s="736"/>
      <c r="G136" s="736"/>
      <c r="H136" s="736"/>
      <c r="I136" s="736"/>
      <c r="J136" s="736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49" t="s">
        <v>185</v>
      </c>
      <c r="B138" s="749"/>
      <c r="C138" s="749"/>
      <c r="D138" s="151" t="s">
        <v>183</v>
      </c>
      <c r="E138" s="95">
        <f>'4'!F138</f>
        <v>857711</v>
      </c>
      <c r="F138" s="147">
        <v>857779</v>
      </c>
      <c r="G138" s="112">
        <f t="shared" ref="G138:G152" si="11">F138-E138</f>
        <v>68</v>
      </c>
      <c r="H138" s="99">
        <f>G138+'4'!H138</f>
        <v>426</v>
      </c>
      <c r="I138" s="118"/>
      <c r="J138" s="348">
        <f>H138/DAY(B2)</f>
        <v>85.2</v>
      </c>
    </row>
    <row r="139" spans="1:15" ht="27.75" x14ac:dyDescent="0.5">
      <c r="A139" s="749" t="s">
        <v>186</v>
      </c>
      <c r="B139" s="749"/>
      <c r="C139" s="749"/>
      <c r="D139" s="151" t="s">
        <v>183</v>
      </c>
      <c r="E139" s="95">
        <f>'4'!F139</f>
        <v>886064</v>
      </c>
      <c r="F139" s="148">
        <v>886065</v>
      </c>
      <c r="G139" s="112">
        <f t="shared" si="11"/>
        <v>1</v>
      </c>
      <c r="H139" s="99">
        <f>G139+'4'!H139</f>
        <v>3</v>
      </c>
      <c r="I139" s="118"/>
      <c r="J139" s="348">
        <f>H139/DAY(B2)</f>
        <v>0.6</v>
      </c>
    </row>
    <row r="140" spans="1:15" ht="27.75" x14ac:dyDescent="0.5">
      <c r="A140" s="749" t="s">
        <v>187</v>
      </c>
      <c r="B140" s="749"/>
      <c r="C140" s="749"/>
      <c r="D140" s="151" t="s">
        <v>183</v>
      </c>
      <c r="E140" s="95">
        <f>'4'!F140</f>
        <v>88797.2</v>
      </c>
      <c r="F140" s="149">
        <v>88797</v>
      </c>
      <c r="G140" s="112">
        <f t="shared" si="11"/>
        <v>-0.19999999999708962</v>
      </c>
      <c r="H140" s="99">
        <f>G140+'4'!H140</f>
        <v>-1</v>
      </c>
      <c r="I140" s="118"/>
      <c r="J140" s="348">
        <f>H140/DAY(B2)</f>
        <v>-0.2</v>
      </c>
    </row>
    <row r="141" spans="1:15" ht="27.75" x14ac:dyDescent="0.5">
      <c r="A141" s="728" t="s">
        <v>188</v>
      </c>
      <c r="B141" s="728"/>
      <c r="C141" s="728"/>
      <c r="D141" s="151" t="s">
        <v>183</v>
      </c>
      <c r="E141" s="95">
        <f>'4'!F141</f>
        <v>32271.85</v>
      </c>
      <c r="F141" s="149">
        <v>32472</v>
      </c>
      <c r="G141" s="112">
        <f t="shared" si="11"/>
        <v>200.15000000000146</v>
      </c>
      <c r="H141" s="99">
        <f>G141+'4'!H141</f>
        <v>936</v>
      </c>
      <c r="I141" s="118"/>
      <c r="J141" s="348">
        <f>H141/DAY(B2)</f>
        <v>187.2</v>
      </c>
    </row>
    <row r="142" spans="1:15" ht="27.75" x14ac:dyDescent="0.5">
      <c r="A142" s="728" t="s">
        <v>189</v>
      </c>
      <c r="B142" s="728"/>
      <c r="C142" s="728"/>
      <c r="D142" s="151" t="s">
        <v>183</v>
      </c>
      <c r="E142" s="95">
        <f>'4'!F142</f>
        <v>15609.75</v>
      </c>
      <c r="F142" s="148">
        <v>15685</v>
      </c>
      <c r="G142" s="112">
        <f t="shared" si="11"/>
        <v>75.25</v>
      </c>
      <c r="H142" s="99">
        <f>G142+'4'!H142</f>
        <v>363</v>
      </c>
      <c r="I142" s="140"/>
      <c r="J142" s="348">
        <f>H142/DAY(B2)</f>
        <v>72.599999999999994</v>
      </c>
    </row>
    <row r="143" spans="1:15" ht="27.75" x14ac:dyDescent="0.5">
      <c r="A143" s="749" t="s">
        <v>91</v>
      </c>
      <c r="B143" s="749"/>
      <c r="C143" s="749"/>
      <c r="D143" s="151" t="s">
        <v>183</v>
      </c>
      <c r="E143" s="95">
        <f>'4'!F143</f>
        <v>633.78700000000003</v>
      </c>
      <c r="F143" s="149">
        <v>661</v>
      </c>
      <c r="G143" s="112">
        <f t="shared" si="11"/>
        <v>27.212999999999965</v>
      </c>
      <c r="H143" s="99">
        <f>G143+'4'!H143</f>
        <v>132</v>
      </c>
      <c r="I143" s="140"/>
      <c r="J143" s="348">
        <f>H143/DAY(B2)</f>
        <v>26.4</v>
      </c>
    </row>
    <row r="144" spans="1:15" ht="27.75" x14ac:dyDescent="0.5">
      <c r="A144" s="728" t="s">
        <v>90</v>
      </c>
      <c r="B144" s="728"/>
      <c r="C144" s="728"/>
      <c r="D144" s="151" t="s">
        <v>183</v>
      </c>
      <c r="E144" s="95">
        <f>'4'!F144</f>
        <v>850725</v>
      </c>
      <c r="F144" s="149">
        <v>850896</v>
      </c>
      <c r="G144" s="112">
        <f t="shared" si="11"/>
        <v>171</v>
      </c>
      <c r="H144" s="99">
        <f>G144+'4'!H144</f>
        <v>859</v>
      </c>
      <c r="I144" s="140"/>
      <c r="J144" s="348">
        <f>H144/DAY(B2)</f>
        <v>171.8</v>
      </c>
    </row>
    <row r="145" spans="1:10" ht="27.75" x14ac:dyDescent="0.5">
      <c r="A145" s="749" t="s">
        <v>190</v>
      </c>
      <c r="B145" s="749"/>
      <c r="C145" s="749"/>
      <c r="D145" s="152" t="s">
        <v>183</v>
      </c>
      <c r="E145" s="95">
        <f>'4'!F145</f>
        <v>1116.3800000000001</v>
      </c>
      <c r="F145" s="149">
        <v>1162</v>
      </c>
      <c r="G145" s="112">
        <f t="shared" si="11"/>
        <v>45.619999999999891</v>
      </c>
      <c r="H145" s="99">
        <f>G145+'4'!H145</f>
        <v>208</v>
      </c>
      <c r="I145" s="140"/>
      <c r="J145" s="348">
        <f>H145/DAY(B2)</f>
        <v>41.6</v>
      </c>
    </row>
    <row r="146" spans="1:10" ht="27.75" x14ac:dyDescent="0.5">
      <c r="A146" s="784" t="s">
        <v>191</v>
      </c>
      <c r="B146" s="769"/>
      <c r="C146" s="770"/>
      <c r="D146" s="152" t="s">
        <v>183</v>
      </c>
      <c r="E146" s="95">
        <f>'4'!F146</f>
        <v>688353</v>
      </c>
      <c r="F146" s="148">
        <v>688732</v>
      </c>
      <c r="G146" s="112">
        <f t="shared" si="11"/>
        <v>379</v>
      </c>
      <c r="H146" s="99">
        <f>G146+'4'!H146</f>
        <v>1540</v>
      </c>
      <c r="I146" s="140"/>
      <c r="J146" s="348">
        <f>H146/DAY(B2)</f>
        <v>308</v>
      </c>
    </row>
    <row r="147" spans="1:10" ht="27.75" x14ac:dyDescent="0.5">
      <c r="A147" s="728" t="s">
        <v>192</v>
      </c>
      <c r="B147" s="728"/>
      <c r="C147" s="728"/>
      <c r="D147" s="152" t="s">
        <v>183</v>
      </c>
      <c r="E147" s="95">
        <f>'4'!F147</f>
        <v>577750.28</v>
      </c>
      <c r="F147" s="148">
        <v>578212</v>
      </c>
      <c r="G147" s="112">
        <f t="shared" si="11"/>
        <v>461.71999999997206</v>
      </c>
      <c r="H147" s="99">
        <f>G147+'4'!H147</f>
        <v>2140</v>
      </c>
      <c r="I147" s="140"/>
      <c r="J147" s="348">
        <f>H147/DAY(B2)</f>
        <v>428</v>
      </c>
    </row>
    <row r="148" spans="1:10" ht="27.75" x14ac:dyDescent="0.5">
      <c r="A148" s="729" t="s">
        <v>193</v>
      </c>
      <c r="B148" s="730"/>
      <c r="C148" s="731"/>
      <c r="D148" s="123" t="s">
        <v>130</v>
      </c>
      <c r="E148" s="95">
        <f>'4'!F148</f>
        <v>659378.12</v>
      </c>
      <c r="F148" s="150">
        <v>659578</v>
      </c>
      <c r="G148" s="112">
        <f t="shared" si="11"/>
        <v>199.88000000000466</v>
      </c>
      <c r="H148" s="99">
        <f>G148+'4'!H148</f>
        <v>978</v>
      </c>
      <c r="I148" s="124"/>
      <c r="J148" s="348">
        <f>H148/DAY(B2)</f>
        <v>195.6</v>
      </c>
    </row>
    <row r="149" spans="1:10" ht="27.75" x14ac:dyDescent="0.5">
      <c r="A149" s="729" t="s">
        <v>336</v>
      </c>
      <c r="B149" s="730"/>
      <c r="C149" s="731"/>
      <c r="D149" s="227" t="s">
        <v>130</v>
      </c>
      <c r="E149" s="95">
        <f>'4'!F149</f>
        <v>75734</v>
      </c>
      <c r="F149" s="146">
        <v>76012</v>
      </c>
      <c r="G149" s="112">
        <f t="shared" si="11"/>
        <v>278</v>
      </c>
      <c r="H149" s="99">
        <f>G149+'4'!H149</f>
        <v>590</v>
      </c>
      <c r="I149" s="119"/>
      <c r="J149" s="348">
        <f>H149/DAY(B2)</f>
        <v>118</v>
      </c>
    </row>
    <row r="150" spans="1:10" ht="27.75" x14ac:dyDescent="0.5">
      <c r="A150" s="729" t="s">
        <v>337</v>
      </c>
      <c r="B150" s="730"/>
      <c r="C150" s="731"/>
      <c r="D150" s="117" t="s">
        <v>130</v>
      </c>
      <c r="E150" s="95">
        <f>'4'!F150</f>
        <v>7167232</v>
      </c>
      <c r="F150" s="233">
        <v>7167232</v>
      </c>
      <c r="G150" s="112">
        <f t="shared" si="11"/>
        <v>0</v>
      </c>
      <c r="H150" s="99">
        <f>G150+'4'!H150</f>
        <v>0</v>
      </c>
      <c r="I150" s="119"/>
      <c r="J150" s="348">
        <f>H150/DAY(B2)</f>
        <v>0</v>
      </c>
    </row>
    <row r="151" spans="1:10" ht="27.75" x14ac:dyDescent="0.5">
      <c r="A151" s="729" t="s">
        <v>338</v>
      </c>
      <c r="B151" s="730"/>
      <c r="C151" s="731"/>
      <c r="D151" s="117" t="s">
        <v>130</v>
      </c>
      <c r="E151" s="95">
        <f>'4'!F151</f>
        <v>54655</v>
      </c>
      <c r="F151" s="233">
        <v>54996</v>
      </c>
      <c r="G151" s="112">
        <f t="shared" si="11"/>
        <v>341</v>
      </c>
      <c r="H151" s="99">
        <f>G151+'4'!H151</f>
        <v>1617</v>
      </c>
      <c r="I151" s="119"/>
      <c r="J151" s="348">
        <f>H151/DAY(B2)</f>
        <v>323.39999999999998</v>
      </c>
    </row>
    <row r="152" spans="1:10" ht="27.75" x14ac:dyDescent="0.5">
      <c r="A152" s="729" t="s">
        <v>339</v>
      </c>
      <c r="B152" s="730"/>
      <c r="C152" s="731"/>
      <c r="D152" s="117" t="s">
        <v>130</v>
      </c>
      <c r="E152" s="95">
        <f>'4'!F152</f>
        <v>0</v>
      </c>
      <c r="F152" s="233">
        <v>0</v>
      </c>
      <c r="G152" s="112">
        <f t="shared" si="11"/>
        <v>0</v>
      </c>
      <c r="H152" s="99">
        <f>G152+'4'!H152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36" t="s">
        <v>344</v>
      </c>
      <c r="B154" s="736"/>
      <c r="C154" s="736"/>
      <c r="D154" s="736"/>
      <c r="E154" s="736"/>
      <c r="F154" s="736"/>
      <c r="G154" s="736"/>
      <c r="H154" s="736"/>
      <c r="I154" s="736"/>
      <c r="J154" s="736"/>
    </row>
    <row r="155" spans="1:10" ht="31.5" x14ac:dyDescent="0.55000000000000004">
      <c r="A155" s="728" t="s">
        <v>345</v>
      </c>
      <c r="B155" s="728"/>
      <c r="C155" s="728"/>
      <c r="D155" s="117" t="s">
        <v>130</v>
      </c>
      <c r="E155" s="95">
        <f>'4'!F155</f>
        <v>77047.8</v>
      </c>
      <c r="F155" s="599">
        <v>77055</v>
      </c>
      <c r="G155" s="112">
        <f t="shared" ref="G155:G156" si="12">F155-E155</f>
        <v>7.1999999999970896</v>
      </c>
      <c r="H155" s="99">
        <f>G155+'4'!H155</f>
        <v>27.100000000005821</v>
      </c>
      <c r="I155" s="385"/>
      <c r="J155" s="348">
        <f>H155/DAY(B2)</f>
        <v>5.4200000000011643</v>
      </c>
    </row>
    <row r="156" spans="1:10" ht="27.75" x14ac:dyDescent="0.5">
      <c r="A156" s="728" t="s">
        <v>346</v>
      </c>
      <c r="B156" s="728"/>
      <c r="C156" s="728"/>
      <c r="D156" s="117" t="s">
        <v>130</v>
      </c>
      <c r="E156" s="95">
        <f>'4'!F156</f>
        <v>0</v>
      </c>
      <c r="F156" s="165">
        <v>0</v>
      </c>
      <c r="G156" s="112">
        <f t="shared" si="12"/>
        <v>0</v>
      </c>
      <c r="H156" s="99">
        <f>G156+'4'!H156</f>
        <v>0</v>
      </c>
      <c r="I156" s="165"/>
      <c r="J156" s="348">
        <f>H156/DAY(B2)</f>
        <v>0</v>
      </c>
    </row>
    <row r="157" spans="1:10" ht="31.5" x14ac:dyDescent="0.55000000000000004">
      <c r="A157" s="736" t="s">
        <v>326</v>
      </c>
      <c r="B157" s="736"/>
      <c r="C157" s="736"/>
      <c r="D157" s="736"/>
      <c r="E157" s="736"/>
      <c r="F157" s="736"/>
      <c r="G157" s="736"/>
      <c r="H157" s="736"/>
      <c r="I157" s="736"/>
      <c r="J157" s="736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'4'!F158</f>
        <v>465422.84</v>
      </c>
      <c r="F158" s="235">
        <v>465514</v>
      </c>
      <c r="G158" s="238">
        <f t="shared" ref="G158:G162" si="13">F158-E158</f>
        <v>91.159999999974389</v>
      </c>
      <c r="H158" s="99">
        <f>G158+'4'!H158</f>
        <v>253</v>
      </c>
      <c r="I158" s="236"/>
      <c r="J158" s="239">
        <f>H158/DAY(B2)</f>
        <v>50.6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'4'!F159</f>
        <v>84932.1</v>
      </c>
      <c r="F159" s="235">
        <v>84976</v>
      </c>
      <c r="G159" s="238">
        <f t="shared" si="13"/>
        <v>43.899999999994179</v>
      </c>
      <c r="H159" s="99">
        <f>G159+'4'!H159</f>
        <v>166</v>
      </c>
      <c r="I159" s="236"/>
      <c r="J159" s="239">
        <f>H159/DAY(B2)</f>
        <v>33.200000000000003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'4'!F160</f>
        <v>71224.600000000006</v>
      </c>
      <c r="F160" s="235">
        <v>71310</v>
      </c>
      <c r="G160" s="238">
        <f t="shared" si="13"/>
        <v>85.399999999994179</v>
      </c>
      <c r="H160" s="99">
        <f>G160+'4'!H160</f>
        <v>339</v>
      </c>
      <c r="I160" s="236"/>
      <c r="J160" s="239">
        <f>H160/DAY(B2)</f>
        <v>67.8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'4'!F161</f>
        <v>3819.8</v>
      </c>
      <c r="F161" s="235">
        <v>3825</v>
      </c>
      <c r="G161" s="238">
        <f t="shared" si="13"/>
        <v>5.1999999999998181</v>
      </c>
      <c r="H161" s="99">
        <f>G161+'4'!H161</f>
        <v>28</v>
      </c>
      <c r="I161" s="236"/>
      <c r="J161" s="239">
        <f>H161/DAY(B2)</f>
        <v>5.6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'4'!F162</f>
        <v>28992.01</v>
      </c>
      <c r="F162" s="235">
        <v>29001</v>
      </c>
      <c r="G162" s="238">
        <f t="shared" si="13"/>
        <v>8.9900000000016007</v>
      </c>
      <c r="H162" s="99">
        <f>G162+'4'!H162</f>
        <v>29</v>
      </c>
      <c r="I162" s="236"/>
      <c r="J162" s="239">
        <f>H162/DAY(B2)</f>
        <v>5.8</v>
      </c>
    </row>
    <row r="163" spans="1:10" ht="29.25" x14ac:dyDescent="0.5">
      <c r="A163" s="737"/>
      <c r="B163" s="737"/>
      <c r="C163" s="247"/>
      <c r="D163" s="244" t="s">
        <v>180</v>
      </c>
      <c r="E163" s="95">
        <f>'4'!F163</f>
        <v>0</v>
      </c>
      <c r="F163" s="165"/>
      <c r="G163" s="165"/>
      <c r="H163" s="99">
        <f>G163+'4'!H163</f>
        <v>0</v>
      </c>
      <c r="I163" s="165"/>
      <c r="J163" s="347"/>
    </row>
    <row r="164" spans="1:10" ht="29.25" x14ac:dyDescent="0.5">
      <c r="A164" s="737"/>
      <c r="B164" s="737"/>
      <c r="C164" s="247"/>
      <c r="D164" s="244" t="s">
        <v>180</v>
      </c>
      <c r="E164" s="95">
        <f>'4'!F164</f>
        <v>0</v>
      </c>
      <c r="F164" s="165"/>
      <c r="G164" s="165"/>
      <c r="H164" s="99">
        <f>G164+'4'!H164</f>
        <v>0</v>
      </c>
      <c r="I164" s="165"/>
      <c r="J164" s="347"/>
    </row>
    <row r="165" spans="1:10" ht="29.25" x14ac:dyDescent="0.5">
      <c r="A165" s="737"/>
      <c r="B165" s="737"/>
      <c r="C165" s="247"/>
      <c r="D165" s="244" t="s">
        <v>180</v>
      </c>
      <c r="E165" s="95">
        <f>'4'!F165</f>
        <v>0</v>
      </c>
      <c r="F165" s="165"/>
      <c r="G165" s="165"/>
      <c r="H165" s="99">
        <f>G165+'4'!H165</f>
        <v>0</v>
      </c>
      <c r="I165" s="165"/>
      <c r="J165" s="347"/>
    </row>
    <row r="166" spans="1:10" ht="29.25" x14ac:dyDescent="0.5"/>
    <row r="167" spans="1:10" ht="29.25" x14ac:dyDescent="0.5"/>
    <row r="168" spans="1:10" ht="31.5" x14ac:dyDescent="0.35">
      <c r="A168" s="738" t="s">
        <v>330</v>
      </c>
      <c r="B168" s="739"/>
      <c r="C168" s="739"/>
      <c r="D168" s="739"/>
      <c r="E168" s="739"/>
      <c r="F168" s="739"/>
      <c r="G168" s="739"/>
      <c r="H168" s="739"/>
      <c r="I168" s="739"/>
      <c r="J168" s="740"/>
    </row>
    <row r="169" spans="1:10" ht="27.75" x14ac:dyDescent="0.5">
      <c r="A169" s="815"/>
      <c r="B169" s="815"/>
      <c r="C169" s="600"/>
      <c r="D169" s="155"/>
      <c r="E169" s="155"/>
      <c r="F169" s="155"/>
      <c r="G169" s="155"/>
      <c r="H169" s="156"/>
      <c r="I169" s="155"/>
      <c r="J169" s="156"/>
    </row>
    <row r="170" spans="1:10" ht="27.75" x14ac:dyDescent="0.5">
      <c r="A170" s="816" t="s">
        <v>209</v>
      </c>
      <c r="B170" s="816"/>
      <c r="C170" s="353"/>
      <c r="D170" s="155" t="s">
        <v>142</v>
      </c>
      <c r="E170" s="95">
        <f>'4'!F170</f>
        <v>7895</v>
      </c>
      <c r="F170" s="155">
        <v>7895</v>
      </c>
      <c r="G170" s="155">
        <f>F170-E170</f>
        <v>0</v>
      </c>
      <c r="H170" s="99">
        <f>G170+'4'!H170</f>
        <v>0</v>
      </c>
      <c r="I170" s="155"/>
      <c r="J170" s="156">
        <f>H170/DAY(B2)</f>
        <v>0</v>
      </c>
    </row>
    <row r="171" spans="1:10" ht="27.75" x14ac:dyDescent="0.5">
      <c r="A171" s="816" t="s">
        <v>75</v>
      </c>
      <c r="B171" s="816"/>
      <c r="C171" s="353"/>
      <c r="D171" s="155" t="s">
        <v>142</v>
      </c>
      <c r="E171" s="95">
        <f>'4'!F171</f>
        <v>37081</v>
      </c>
      <c r="F171" s="157">
        <v>37091</v>
      </c>
      <c r="G171" s="155">
        <f t="shared" ref="G171:G172" si="14">F171-E171</f>
        <v>10</v>
      </c>
      <c r="H171" s="99">
        <f>G171+'4'!H171</f>
        <v>57</v>
      </c>
      <c r="I171" s="155"/>
      <c r="J171" s="156">
        <f>H171/DAY(B2)</f>
        <v>11.4</v>
      </c>
    </row>
    <row r="172" spans="1:10" ht="27.75" x14ac:dyDescent="0.5">
      <c r="A172" s="816" t="s">
        <v>76</v>
      </c>
      <c r="B172" s="816"/>
      <c r="C172" s="816"/>
      <c r="D172" s="155" t="s">
        <v>142</v>
      </c>
      <c r="E172" s="95">
        <f>'4'!F172</f>
        <v>20508</v>
      </c>
      <c r="F172" s="155">
        <v>20519</v>
      </c>
      <c r="G172" s="155">
        <f t="shared" si="14"/>
        <v>11</v>
      </c>
      <c r="H172" s="99">
        <f>G172+'4'!H172</f>
        <v>50</v>
      </c>
      <c r="I172" s="155"/>
      <c r="J172" s="156">
        <f>H172/DAY(B2)</f>
        <v>10</v>
      </c>
    </row>
    <row r="173" spans="1:10" ht="27.75" x14ac:dyDescent="0.5">
      <c r="A173" s="817" t="s">
        <v>196</v>
      </c>
      <c r="B173" s="817"/>
      <c r="C173" s="353"/>
      <c r="D173" s="155"/>
      <c r="E173" s="95">
        <f>'4'!F173</f>
        <v>0</v>
      </c>
      <c r="F173" s="155"/>
      <c r="G173" s="155">
        <f>SUM(G170:G172)</f>
        <v>21</v>
      </c>
      <c r="H173" s="99">
        <f>G173+'4'!H173</f>
        <v>107</v>
      </c>
      <c r="I173" s="155"/>
      <c r="J173" s="156">
        <f>H173/DAY(B2)</f>
        <v>21.4</v>
      </c>
    </row>
    <row r="174" spans="1:10" ht="27.75" x14ac:dyDescent="0.5">
      <c r="A174" s="816" t="s">
        <v>77</v>
      </c>
      <c r="B174" s="816"/>
      <c r="C174" s="353"/>
      <c r="D174" s="155" t="s">
        <v>142</v>
      </c>
      <c r="E174" s="95">
        <f>'4'!F174</f>
        <v>0</v>
      </c>
      <c r="F174" s="155"/>
      <c r="G174" s="155"/>
      <c r="H174" s="99">
        <f>G174+'4'!H174</f>
        <v>0</v>
      </c>
      <c r="I174" s="155"/>
      <c r="J174" s="156">
        <f>H174/DAY(B2)</f>
        <v>0</v>
      </c>
    </row>
    <row r="175" spans="1:10" ht="27.75" x14ac:dyDescent="0.5">
      <c r="A175" s="816" t="s">
        <v>210</v>
      </c>
      <c r="B175" s="816"/>
      <c r="C175" s="353"/>
      <c r="D175" s="155" t="s">
        <v>142</v>
      </c>
      <c r="E175" s="95">
        <f>'4'!F175</f>
        <v>72258</v>
      </c>
      <c r="F175" s="155">
        <v>72340</v>
      </c>
      <c r="G175" s="155">
        <f>F175-E175</f>
        <v>82</v>
      </c>
      <c r="H175" s="99">
        <f>G175+'4'!H175</f>
        <v>406</v>
      </c>
      <c r="I175" s="155"/>
      <c r="J175" s="156">
        <f>H175/DAY(B2)</f>
        <v>81.2</v>
      </c>
    </row>
    <row r="176" spans="1:10" ht="27.75" x14ac:dyDescent="0.5">
      <c r="A176" s="816" t="s">
        <v>211</v>
      </c>
      <c r="B176" s="816"/>
      <c r="C176" s="353"/>
      <c r="D176" s="155" t="s">
        <v>142</v>
      </c>
      <c r="E176" s="95">
        <f>'4'!F176</f>
        <v>33886</v>
      </c>
      <c r="F176" s="155">
        <v>33886</v>
      </c>
      <c r="G176" s="155">
        <f t="shared" ref="G176:G177" si="15">F176-E176</f>
        <v>0</v>
      </c>
      <c r="H176" s="99">
        <f>G176+'4'!H176</f>
        <v>0</v>
      </c>
      <c r="I176" s="155"/>
      <c r="J176" s="156">
        <f>H176/DAY(B2)</f>
        <v>0</v>
      </c>
    </row>
    <row r="177" spans="1:10" ht="27.75" x14ac:dyDescent="0.5">
      <c r="A177" s="816" t="s">
        <v>212</v>
      </c>
      <c r="B177" s="816"/>
      <c r="C177" s="353"/>
      <c r="D177" s="155" t="s">
        <v>142</v>
      </c>
      <c r="E177" s="95">
        <f>'4'!F177</f>
        <v>4847</v>
      </c>
      <c r="F177" s="155">
        <v>4847</v>
      </c>
      <c r="G177" s="155">
        <f t="shared" si="15"/>
        <v>0</v>
      </c>
      <c r="H177" s="99">
        <f>G177+'4'!H177</f>
        <v>16</v>
      </c>
      <c r="I177" s="155"/>
      <c r="J177" s="156">
        <f>H177/DAY(B2)</f>
        <v>3.2</v>
      </c>
    </row>
    <row r="178" spans="1:10" ht="27.75" x14ac:dyDescent="0.5">
      <c r="A178" s="820" t="s">
        <v>108</v>
      </c>
      <c r="B178" s="820"/>
      <c r="C178" s="353"/>
      <c r="D178" s="155"/>
      <c r="E178" s="95">
        <f>'4'!F178</f>
        <v>0</v>
      </c>
      <c r="F178" s="155"/>
      <c r="G178" s="155">
        <f>SUM(G175:G177)</f>
        <v>82</v>
      </c>
      <c r="H178" s="99">
        <f>G178+'4'!H178</f>
        <v>422</v>
      </c>
      <c r="I178" s="155"/>
      <c r="J178" s="156">
        <f>H178/DAY(B2)</f>
        <v>84.4</v>
      </c>
    </row>
    <row r="179" spans="1:10" ht="27.75" x14ac:dyDescent="0.5">
      <c r="A179" s="816" t="s">
        <v>213</v>
      </c>
      <c r="B179" s="816"/>
      <c r="C179" s="353"/>
      <c r="D179" s="155"/>
      <c r="E179" s="95">
        <f>'4'!F179</f>
        <v>0</v>
      </c>
      <c r="F179" s="155"/>
      <c r="G179" s="155"/>
      <c r="H179" s="99">
        <f>G179+'4'!H179</f>
        <v>0</v>
      </c>
      <c r="I179" s="155"/>
      <c r="J179" s="156">
        <f>H179/DAY(B2)</f>
        <v>0</v>
      </c>
    </row>
    <row r="180" spans="1:10" ht="27.75" x14ac:dyDescent="0.5">
      <c r="A180" s="816" t="s">
        <v>214</v>
      </c>
      <c r="B180" s="816"/>
      <c r="C180" s="354"/>
      <c r="D180" s="155" t="s">
        <v>142</v>
      </c>
      <c r="E180" s="95">
        <f>'4'!F180</f>
        <v>13614</v>
      </c>
      <c r="F180" s="157">
        <v>13624</v>
      </c>
      <c r="G180" s="157">
        <f>F180-E180</f>
        <v>10</v>
      </c>
      <c r="H180" s="99">
        <f>G180+'4'!H180</f>
        <v>87</v>
      </c>
      <c r="I180" s="155"/>
      <c r="J180" s="156">
        <f>H180/DAY(B2)</f>
        <v>17.399999999999999</v>
      </c>
    </row>
    <row r="181" spans="1:10" ht="27.75" x14ac:dyDescent="0.5">
      <c r="A181" s="816" t="s">
        <v>215</v>
      </c>
      <c r="B181" s="816"/>
      <c r="C181" s="354"/>
      <c r="D181" s="155" t="s">
        <v>142</v>
      </c>
      <c r="E181" s="95">
        <f>'4'!F181</f>
        <v>9478</v>
      </c>
      <c r="F181" s="157">
        <v>9486</v>
      </c>
      <c r="G181" s="157">
        <f t="shared" ref="G181:G182" si="16">F181-E181</f>
        <v>8</v>
      </c>
      <c r="H181" s="99">
        <f>G181+'4'!H181</f>
        <v>38</v>
      </c>
      <c r="I181" s="155"/>
      <c r="J181" s="156">
        <f>H181/DAY(B2)</f>
        <v>7.6</v>
      </c>
    </row>
    <row r="182" spans="1:10" ht="29.25" customHeight="1" x14ac:dyDescent="0.5">
      <c r="A182" s="816" t="s">
        <v>216</v>
      </c>
      <c r="B182" s="816"/>
      <c r="C182" s="354"/>
      <c r="D182" s="155" t="s">
        <v>142</v>
      </c>
      <c r="E182" s="95">
        <f>'4'!F182</f>
        <v>0</v>
      </c>
      <c r="F182" s="157">
        <v>0</v>
      </c>
      <c r="G182" s="157">
        <f t="shared" si="16"/>
        <v>0</v>
      </c>
      <c r="H182" s="99">
        <f>G182+'4'!H182</f>
        <v>0</v>
      </c>
      <c r="I182" s="155"/>
      <c r="J182" s="156">
        <f>H182/DAY(B2)</f>
        <v>0</v>
      </c>
    </row>
    <row r="183" spans="1:10" ht="27.75" x14ac:dyDescent="0.5">
      <c r="A183" s="817" t="s">
        <v>196</v>
      </c>
      <c r="B183" s="817"/>
      <c r="C183" s="354"/>
      <c r="D183" s="589"/>
      <c r="E183" s="95"/>
      <c r="F183" s="157"/>
      <c r="G183" s="157">
        <f>SUM(G180:G182)</f>
        <v>18</v>
      </c>
      <c r="H183" s="99">
        <f>G183+'4'!H183</f>
        <v>125</v>
      </c>
      <c r="I183" s="157"/>
      <c r="J183" s="156">
        <f>H183/DAY(B2)</f>
        <v>25</v>
      </c>
    </row>
    <row r="184" spans="1:10" ht="27.75" x14ac:dyDescent="0.5">
      <c r="A184" s="819" t="s">
        <v>217</v>
      </c>
      <c r="B184" s="819"/>
      <c r="C184" s="353"/>
      <c r="D184" s="157" t="s">
        <v>142</v>
      </c>
      <c r="E184" s="95"/>
      <c r="F184" s="159"/>
      <c r="G184" s="588">
        <f>G62+G19</f>
        <v>170</v>
      </c>
      <c r="H184" s="99">
        <f>G184+'4'!H184</f>
        <v>841</v>
      </c>
      <c r="I184" s="158"/>
      <c r="J184" s="159">
        <f>H184/DAY(B2)</f>
        <v>168.2</v>
      </c>
    </row>
    <row r="185" spans="1:10" ht="27.75" x14ac:dyDescent="0.5">
      <c r="A185" s="819" t="s">
        <v>218</v>
      </c>
      <c r="B185" s="819"/>
      <c r="C185" s="353"/>
      <c r="D185" s="157" t="s">
        <v>142</v>
      </c>
      <c r="E185" s="95"/>
      <c r="F185" s="159"/>
      <c r="G185" s="588">
        <f>G65+G66+G67+G69+G70</f>
        <v>160</v>
      </c>
      <c r="H185" s="99">
        <f>G185+'4'!H185</f>
        <v>818</v>
      </c>
      <c r="I185" s="158"/>
      <c r="J185" s="159">
        <f>H185/DAY(B2)</f>
        <v>163.6</v>
      </c>
    </row>
    <row r="186" spans="1:10" ht="27.75" x14ac:dyDescent="0.5">
      <c r="A186" s="819" t="s">
        <v>219</v>
      </c>
      <c r="B186" s="819"/>
      <c r="C186" s="353"/>
      <c r="D186" s="157" t="s">
        <v>142</v>
      </c>
      <c r="E186" s="95"/>
      <c r="F186" s="157"/>
      <c r="G186" s="585">
        <f>G178</f>
        <v>82</v>
      </c>
      <c r="H186" s="99">
        <f>G186+'4'!H186</f>
        <v>422</v>
      </c>
      <c r="I186" s="158"/>
      <c r="J186" s="159">
        <f>H186/DAY(B2)</f>
        <v>84.4</v>
      </c>
    </row>
    <row r="187" spans="1:10" ht="27.75" x14ac:dyDescent="0.5">
      <c r="A187" s="818"/>
      <c r="B187" s="818"/>
      <c r="C187" s="601"/>
      <c r="D187" s="602"/>
      <c r="E187" s="603"/>
      <c r="F187" s="602"/>
      <c r="G187" s="602"/>
      <c r="H187" s="604"/>
      <c r="I187" s="602"/>
      <c r="J187" s="605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26:J126"/>
    <mergeCell ref="A127:B127"/>
    <mergeCell ref="A110:J110"/>
    <mergeCell ref="A111:C111"/>
    <mergeCell ref="A120:C120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4:B174"/>
    <mergeCell ref="A172:C172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23:C123"/>
    <mergeCell ref="A128:C128"/>
    <mergeCell ref="A131:C131"/>
    <mergeCell ref="A132:C132"/>
    <mergeCell ref="A133:C133"/>
    <mergeCell ref="A134:C134"/>
    <mergeCell ref="A135:C135"/>
    <mergeCell ref="A136:J136"/>
    <mergeCell ref="A138:C138"/>
    <mergeCell ref="A139:C139"/>
    <mergeCell ref="A140:C140"/>
    <mergeCell ref="A164:B164"/>
    <mergeCell ref="A187:B187"/>
    <mergeCell ref="A182:B182"/>
    <mergeCell ref="A183:B183"/>
    <mergeCell ref="A184:B184"/>
    <mergeCell ref="A185:B185"/>
    <mergeCell ref="A186:B186"/>
    <mergeCell ref="A175:B175"/>
    <mergeCell ref="A176:B176"/>
    <mergeCell ref="A177:B177"/>
    <mergeCell ref="A180:B180"/>
    <mergeCell ref="A181:B181"/>
    <mergeCell ref="A179:B179"/>
    <mergeCell ref="A178:B178"/>
    <mergeCell ref="A141:C141"/>
    <mergeCell ref="A142:C142"/>
    <mergeCell ref="A145:C145"/>
    <mergeCell ref="A146:C146"/>
    <mergeCell ref="A147:C147"/>
    <mergeCell ref="A148:C148"/>
    <mergeCell ref="A149:C149"/>
    <mergeCell ref="A143:C143"/>
    <mergeCell ref="A144:C144"/>
    <mergeCell ref="A168:J168"/>
    <mergeCell ref="A169:B169"/>
    <mergeCell ref="A170:B170"/>
    <mergeCell ref="A171:B171"/>
    <mergeCell ref="A173:B173"/>
    <mergeCell ref="A154:J154"/>
    <mergeCell ref="A155:C155"/>
    <mergeCell ref="A156:C156"/>
    <mergeCell ref="A150:C150"/>
    <mergeCell ref="A151:C151"/>
    <mergeCell ref="A152:C152"/>
    <mergeCell ref="A163:B163"/>
    <mergeCell ref="A165:B165"/>
    <mergeCell ref="A157:J157"/>
  </mergeCells>
  <pageMargins left="0.22" right="0.17" top="0.14000000000000001" bottom="0.2" header="0.2" footer="0.2"/>
  <pageSetup paperSize="5" scale="1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67"/>
  <sheetViews>
    <sheetView view="pageBreakPreview" topLeftCell="A163" zoomScale="60" workbookViewId="0">
      <selection activeCell="G184" sqref="G184:G18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89" t="s">
        <v>115</v>
      </c>
      <c r="B1" s="790"/>
      <c r="C1" s="790"/>
      <c r="D1" s="790"/>
      <c r="E1" s="790"/>
      <c r="F1" s="790"/>
      <c r="G1" s="790"/>
      <c r="H1" s="790"/>
      <c r="I1" s="790"/>
      <c r="J1" s="791"/>
    </row>
    <row r="2" spans="1:15" s="57" customFormat="1" ht="27" x14ac:dyDescent="0.5">
      <c r="A2" s="191" t="s">
        <v>303</v>
      </c>
      <c r="B2" s="266">
        <v>44475</v>
      </c>
      <c r="C2" s="368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98" t="s">
        <v>119</v>
      </c>
      <c r="F3" s="79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92" t="s">
        <v>128</v>
      </c>
      <c r="B6" s="793"/>
      <c r="C6" s="79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'5'!F7</f>
        <v>84592</v>
      </c>
      <c r="F7" s="95">
        <v>108615</v>
      </c>
      <c r="G7" s="112">
        <f>F7-E7</f>
        <v>24023</v>
      </c>
      <c r="H7" s="99">
        <f>G7+'5'!H7</f>
        <v>141372.59999999995</v>
      </c>
      <c r="I7" s="113">
        <f>'1'!I7</f>
        <v>12000</v>
      </c>
      <c r="J7" s="175">
        <f>H7/DAY(B2)</f>
        <v>23562.099999999991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'5'!F8</f>
        <v>99883</v>
      </c>
      <c r="F8" s="114">
        <v>124075</v>
      </c>
      <c r="G8" s="115">
        <f>F8-E8</f>
        <v>24192</v>
      </c>
      <c r="H8" s="99">
        <f>G8+'5'!H8</f>
        <v>142357.99999999994</v>
      </c>
      <c r="I8" s="116"/>
      <c r="J8" s="175">
        <f>H8/DAY(B2)</f>
        <v>23726.333333333325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'5'!F9</f>
        <v>844446</v>
      </c>
      <c r="F9" s="117">
        <v>867720</v>
      </c>
      <c r="G9" s="112">
        <f>F9-E9</f>
        <v>23274</v>
      </c>
      <c r="H9" s="99">
        <f>G9+'5'!H9</f>
        <v>136930</v>
      </c>
      <c r="I9" s="124">
        <f>I7-J7</f>
        <v>-11562.099999999991</v>
      </c>
      <c r="J9" s="175">
        <f>H9/DAY(B2)</f>
        <v>22821.666666666668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'5'!F10</f>
        <v>0</v>
      </c>
      <c r="F10" s="117">
        <v>0</v>
      </c>
      <c r="G10" s="112">
        <f t="shared" ref="G10:G12" si="0">F10-E10</f>
        <v>0</v>
      </c>
      <c r="H10" s="99">
        <f>G10+'5'!H10</f>
        <v>0</v>
      </c>
      <c r="I10" s="286"/>
      <c r="J10" s="175">
        <f>H10/DAY(B2)</f>
        <v>0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'5'!F11</f>
        <v>37000</v>
      </c>
      <c r="F11" s="95">
        <v>37000</v>
      </c>
      <c r="G11" s="112">
        <f t="shared" si="0"/>
        <v>0</v>
      </c>
      <c r="H11" s="99">
        <f>G11+'5'!H11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'5'!F12</f>
        <v>40010</v>
      </c>
      <c r="F12" s="117">
        <v>40010</v>
      </c>
      <c r="G12" s="112">
        <f t="shared" si="0"/>
        <v>0</v>
      </c>
      <c r="H12" s="99">
        <f>G12+'5'!H12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23274</v>
      </c>
      <c r="H13" s="99">
        <f>G13+'5'!H13</f>
        <v>115384.25</v>
      </c>
      <c r="I13" s="120">
        <f>G7-G13</f>
        <v>749</v>
      </c>
      <c r="J13" s="175">
        <f>H13/DAY(B2)</f>
        <v>19230.708333333332</v>
      </c>
      <c r="K13" s="79"/>
      <c r="L13" s="66"/>
      <c r="N13" s="87"/>
      <c r="O13" s="71"/>
    </row>
    <row r="14" spans="1:15" ht="29.25" x14ac:dyDescent="0.5">
      <c r="A14" s="795" t="s">
        <v>137</v>
      </c>
      <c r="B14" s="796"/>
      <c r="C14" s="79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'5'!F15</f>
        <v>1789360</v>
      </c>
      <c r="F15" s="123">
        <v>1790334</v>
      </c>
      <c r="G15" s="112">
        <f>(F15-E15)</f>
        <v>974</v>
      </c>
      <c r="H15" s="99">
        <f>G15+'5'!H15</f>
        <v>6126</v>
      </c>
      <c r="I15" s="113">
        <f>'1'!I15</f>
        <v>800</v>
      </c>
      <c r="J15" s="175">
        <f>H15/DAY(B2)</f>
        <v>1021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-221</v>
      </c>
      <c r="J16" s="176"/>
      <c r="K16" s="79"/>
      <c r="L16" s="66"/>
      <c r="N16" s="87"/>
      <c r="O16" s="71"/>
    </row>
    <row r="17" spans="1:15" ht="29.25" x14ac:dyDescent="0.5">
      <c r="A17" s="795" t="s">
        <v>140</v>
      </c>
      <c r="B17" s="796"/>
      <c r="C17" s="79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1" t="s">
        <v>141</v>
      </c>
      <c r="B18" s="772"/>
      <c r="C18" s="773"/>
      <c r="D18" s="151" t="s">
        <v>142</v>
      </c>
      <c r="E18" s="95">
        <f>'5'!F18</f>
        <v>22</v>
      </c>
      <c r="F18" s="122">
        <v>18</v>
      </c>
      <c r="G18" s="119">
        <f>F18*10</f>
        <v>180</v>
      </c>
      <c r="H18" s="99">
        <f>G18+'5'!H18</f>
        <v>1130</v>
      </c>
      <c r="I18" s="113">
        <f>'1'!I18</f>
        <v>65</v>
      </c>
      <c r="J18" s="175">
        <f>H18/DAY(B2)</f>
        <v>188.33333333333334</v>
      </c>
      <c r="K18" s="79"/>
      <c r="L18" s="66"/>
      <c r="N18" s="87"/>
      <c r="O18" s="71"/>
    </row>
    <row r="19" spans="1:15" ht="27.75" x14ac:dyDescent="0.5">
      <c r="A19" s="771" t="s">
        <v>69</v>
      </c>
      <c r="B19" s="772"/>
      <c r="C19" s="773"/>
      <c r="D19" s="151" t="s">
        <v>142</v>
      </c>
      <c r="E19" s="95">
        <f>'5'!F19</f>
        <v>147410</v>
      </c>
      <c r="F19" s="122">
        <v>147470</v>
      </c>
      <c r="G19" s="112">
        <f t="shared" ref="G19" si="1">F19-E19</f>
        <v>60</v>
      </c>
      <c r="H19" s="99">
        <f>G19+'5'!H19</f>
        <v>358</v>
      </c>
      <c r="I19" s="355"/>
      <c r="J19" s="175">
        <f>H19/DAY(B2)</f>
        <v>59.666666666666664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240</v>
      </c>
      <c r="H20" s="99">
        <f>G20+'5'!H20</f>
        <v>1488</v>
      </c>
      <c r="I20" s="356">
        <f>I18-J20</f>
        <v>-183</v>
      </c>
      <c r="J20" s="175">
        <f>H20/DAY(B2)</f>
        <v>248</v>
      </c>
      <c r="K20" s="79"/>
      <c r="L20" s="66"/>
      <c r="N20" s="87"/>
      <c r="O20" s="71"/>
    </row>
    <row r="21" spans="1:15" ht="29.25" x14ac:dyDescent="0.5">
      <c r="A21" s="795" t="s">
        <v>144</v>
      </c>
      <c r="B21" s="796"/>
      <c r="C21" s="79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'5'!F23</f>
        <v>2000</v>
      </c>
      <c r="F23" s="122">
        <v>2000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0" t="s">
        <v>149</v>
      </c>
      <c r="B25" s="801"/>
      <c r="C25" s="80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24192</v>
      </c>
      <c r="F27" s="136">
        <v>9</v>
      </c>
      <c r="G27" s="137">
        <f>E27*F27</f>
        <v>217728</v>
      </c>
      <c r="H27" s="99">
        <f>G27+'5'!H27</f>
        <v>1281221.9999999995</v>
      </c>
      <c r="I27" s="138"/>
      <c r="J27" s="175">
        <f>H27/DAY(B2)</f>
        <v>213536.99999999991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974</v>
      </c>
      <c r="F28" s="136">
        <v>52</v>
      </c>
      <c r="G28" s="137">
        <f>E28*F28</f>
        <v>50648</v>
      </c>
      <c r="H28" s="99">
        <f>G28+'5'!H28</f>
        <v>318552</v>
      </c>
      <c r="I28" s="140"/>
      <c r="J28" s="175">
        <f>H28/DAY(B2)</f>
        <v>53092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G30+'5'!H30</f>
        <v>52268</v>
      </c>
      <c r="I30" s="140"/>
      <c r="J30" s="175">
        <f>H30/DAY(B2)</f>
        <v>8711.3333333333339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G31+'5'!H31</f>
        <v>90400</v>
      </c>
      <c r="I31" s="140"/>
      <c r="J31" s="175">
        <f>H31/DAY(B2)</f>
        <v>15066.666666666666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291536</v>
      </c>
      <c r="H32" s="99">
        <f>G32+'5'!H32</f>
        <v>1742441.9999999995</v>
      </c>
      <c r="I32" s="144"/>
      <c r="J32" s="175">
        <f>H32/DAY(B2)</f>
        <v>290406.99999999994</v>
      </c>
      <c r="K32" s="63"/>
      <c r="L32" s="89"/>
      <c r="N32" s="87"/>
      <c r="O32" s="71"/>
    </row>
    <row r="33" spans="1:15" ht="25.5" customHeight="1" x14ac:dyDescent="0.35">
      <c r="A33" s="803" t="s">
        <v>331</v>
      </c>
      <c r="B33" s="804"/>
      <c r="C33" s="804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'5'!F35</f>
        <v>0</v>
      </c>
      <c r="F35" s="145">
        <v>0</v>
      </c>
      <c r="G35" s="112">
        <f t="shared" ref="G35:G46" si="3">F35-E35</f>
        <v>0</v>
      </c>
      <c r="H35" s="99">
        <f>G35+'5'!H35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'5'!F36</f>
        <v>28666</v>
      </c>
      <c r="F36" s="145">
        <v>29491</v>
      </c>
      <c r="G36" s="112">
        <f t="shared" si="3"/>
        <v>825</v>
      </c>
      <c r="H36" s="99">
        <f>G36+'5'!H36</f>
        <v>5614</v>
      </c>
      <c r="I36" s="95"/>
      <c r="J36" s="175">
        <f>H36/DAY(B2)</f>
        <v>935.66666666666663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'5'!F37</f>
        <v>62796</v>
      </c>
      <c r="F37" s="145">
        <v>64524</v>
      </c>
      <c r="G37" s="112">
        <f t="shared" si="3"/>
        <v>1728</v>
      </c>
      <c r="H37" s="99">
        <f>G37+'5'!H37</f>
        <v>10361</v>
      </c>
      <c r="I37" s="95"/>
      <c r="J37" s="175">
        <f>H37/DAY(B2)</f>
        <v>1726.8333333333333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'5'!F38</f>
        <v>66800</v>
      </c>
      <c r="F38" s="108">
        <v>68667</v>
      </c>
      <c r="G38" s="112">
        <f t="shared" si="3"/>
        <v>1867</v>
      </c>
      <c r="H38" s="99">
        <f>G38+'5'!H38</f>
        <v>11541</v>
      </c>
      <c r="I38" s="95"/>
      <c r="J38" s="175">
        <f>H38/DAY(B2)</f>
        <v>1923.5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'5'!F39</f>
        <v>143796</v>
      </c>
      <c r="F39" s="145">
        <v>147986</v>
      </c>
      <c r="G39" s="112">
        <f t="shared" si="3"/>
        <v>4190</v>
      </c>
      <c r="H39" s="99">
        <f>G39+'5'!H39</f>
        <v>25095</v>
      </c>
      <c r="I39" s="95"/>
      <c r="J39" s="175">
        <f>H39/DAY(B2)</f>
        <v>4182.5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'5'!F40</f>
        <v>0</v>
      </c>
      <c r="F40" s="145">
        <v>0</v>
      </c>
      <c r="G40" s="112">
        <f t="shared" si="3"/>
        <v>0</v>
      </c>
      <c r="H40" s="99">
        <f>G40+'5'!H40</f>
        <v>0</v>
      </c>
      <c r="I40" s="95"/>
      <c r="J40" s="175">
        <f>H40/DAY(B2)</f>
        <v>0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'5'!F41</f>
        <v>513949</v>
      </c>
      <c r="F41" s="145">
        <v>517209</v>
      </c>
      <c r="G41" s="112">
        <f t="shared" si="3"/>
        <v>3260</v>
      </c>
      <c r="H41" s="99">
        <f>G41+'5'!H41</f>
        <v>27989.409999999974</v>
      </c>
      <c r="I41" s="95"/>
      <c r="J41" s="175">
        <f>H41/DAY(B2)</f>
        <v>4664.9016666666621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'5'!F42</f>
        <v>247752</v>
      </c>
      <c r="F42" s="145">
        <v>252002</v>
      </c>
      <c r="G42" s="112">
        <f t="shared" si="3"/>
        <v>4250</v>
      </c>
      <c r="H42" s="99">
        <f>G42+'5'!H42</f>
        <v>7819</v>
      </c>
      <c r="I42" s="95"/>
      <c r="J42" s="175">
        <f>H42/DAY(B2)</f>
        <v>1303.1666666666667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'5'!F43</f>
        <v>1375662</v>
      </c>
      <c r="F43" s="145">
        <v>1377981</v>
      </c>
      <c r="G43" s="112">
        <f t="shared" si="3"/>
        <v>2319</v>
      </c>
      <c r="H43" s="99">
        <f>G43+'5'!H43</f>
        <v>14023</v>
      </c>
      <c r="I43" s="95"/>
      <c r="J43" s="175">
        <f>H43/DAY(B2)</f>
        <v>2337.1666666666665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18439</v>
      </c>
      <c r="H47" s="99">
        <f>G47+'5'!H47</f>
        <v>102442.40999999997</v>
      </c>
      <c r="I47" s="95"/>
      <c r="J47" s="175">
        <f>H47/DAY(B2)</f>
        <v>17073.734999999997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'5'!F49</f>
        <v>113561</v>
      </c>
      <c r="F49" s="145">
        <v>117200</v>
      </c>
      <c r="G49" s="112">
        <f t="shared" ref="G49:G58" si="4">F49-E49</f>
        <v>3639</v>
      </c>
      <c r="H49" s="99">
        <f>G49+'5'!H49</f>
        <v>26003.619999999995</v>
      </c>
      <c r="I49" s="95"/>
      <c r="J49" s="175">
        <f>H49/DAY(B2)</f>
        <v>4333.9366666666656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'5'!F50</f>
        <v>649692</v>
      </c>
      <c r="F50" s="145">
        <v>651524</v>
      </c>
      <c r="G50" s="112">
        <f t="shared" si="4"/>
        <v>1832</v>
      </c>
      <c r="H50" s="99">
        <f>G50+'5'!H50</f>
        <v>8034</v>
      </c>
      <c r="I50" s="95"/>
      <c r="J50" s="175">
        <f>H50/DAY(B2)</f>
        <v>1339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'5'!F51</f>
        <v>0</v>
      </c>
      <c r="F51" s="145">
        <v>0</v>
      </c>
      <c r="G51" s="112">
        <f t="shared" si="4"/>
        <v>0</v>
      </c>
      <c r="H51" s="99">
        <f>G51+'5'!H51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'5'!F52</f>
        <v>0</v>
      </c>
      <c r="F52" s="145">
        <v>0</v>
      </c>
      <c r="G52" s="112">
        <f t="shared" si="4"/>
        <v>0</v>
      </c>
      <c r="H52" s="99">
        <f>G52+'5'!H52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'5'!F53</f>
        <v>0</v>
      </c>
      <c r="F53" s="145">
        <v>0</v>
      </c>
      <c r="G53" s="112">
        <f t="shared" si="4"/>
        <v>0</v>
      </c>
      <c r="H53" s="99">
        <f>G53+'5'!H53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'5'!F54</f>
        <v>2753</v>
      </c>
      <c r="F54" s="145">
        <v>2755</v>
      </c>
      <c r="G54" s="112">
        <f t="shared" si="4"/>
        <v>2</v>
      </c>
      <c r="H54" s="99">
        <f>G54+'5'!H54</f>
        <v>23</v>
      </c>
      <c r="I54" s="95"/>
      <c r="J54" s="175">
        <f>H54/DAY(B2)</f>
        <v>3.8333333333333335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'5'!F55</f>
        <v>307299</v>
      </c>
      <c r="F55" s="145">
        <v>307299</v>
      </c>
      <c r="G55" s="112">
        <f t="shared" si="4"/>
        <v>0</v>
      </c>
      <c r="H55" s="99">
        <f>G55+'5'!H55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'5'!F56</f>
        <v>750312</v>
      </c>
      <c r="F56" s="145">
        <v>750324</v>
      </c>
      <c r="G56" s="112">
        <f t="shared" si="4"/>
        <v>12</v>
      </c>
      <c r="H56" s="99">
        <f>G56+'5'!H56</f>
        <v>8554</v>
      </c>
      <c r="I56" s="95"/>
      <c r="J56" s="175">
        <f>H56/DAY(B2)</f>
        <v>1425.6666666666667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'5'!F57</f>
        <v>0</v>
      </c>
      <c r="F57" s="145">
        <v>0</v>
      </c>
      <c r="G57" s="112">
        <f t="shared" si="4"/>
        <v>0</v>
      </c>
      <c r="H57" s="99">
        <f>G57+'5'!H57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'5'!F58</f>
        <v>73320</v>
      </c>
      <c r="F58" s="145">
        <v>73534</v>
      </c>
      <c r="G58" s="112">
        <f t="shared" si="4"/>
        <v>214</v>
      </c>
      <c r="H58" s="99">
        <f>G58+'5'!H58</f>
        <v>1379</v>
      </c>
      <c r="I58" s="95"/>
      <c r="J58" s="175">
        <f>H58/DAY(B2)</f>
        <v>229.83333333333334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5699</v>
      </c>
      <c r="H59" s="99">
        <f>G59+'5'!H59</f>
        <v>43993.619999999995</v>
      </c>
      <c r="I59" s="95">
        <f>G7-G60</f>
        <v>-115</v>
      </c>
      <c r="J59" s="175">
        <f>H59/DAY(B2)</f>
        <v>7332.2699999999995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24138</v>
      </c>
      <c r="H60" s="99">
        <f>G60+'5'!H60</f>
        <v>146436.02999999997</v>
      </c>
      <c r="I60" s="95">
        <f>G13-G60</f>
        <v>-864</v>
      </c>
      <c r="J60" s="175">
        <f>H60/DAY(B2)</f>
        <v>24406.004999999994</v>
      </c>
      <c r="K60" s="79"/>
      <c r="L60" s="66"/>
      <c r="N60" s="87"/>
      <c r="O60" s="71"/>
    </row>
    <row r="61" spans="1:15" s="68" customFormat="1" ht="27.75" x14ac:dyDescent="0.5">
      <c r="A61" s="805" t="s">
        <v>332</v>
      </c>
      <c r="B61" s="806"/>
      <c r="C61" s="807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1" t="s">
        <v>198</v>
      </c>
      <c r="B62" s="772"/>
      <c r="C62" s="773"/>
      <c r="D62" s="151" t="s">
        <v>142</v>
      </c>
      <c r="E62" s="95">
        <f>'5'!F62</f>
        <v>256896</v>
      </c>
      <c r="F62" s="122">
        <v>257006</v>
      </c>
      <c r="G62" s="112">
        <f t="shared" ref="G62:G63" si="5">F62-E62</f>
        <v>110</v>
      </c>
      <c r="H62" s="99">
        <f>G62+'5'!H62</f>
        <v>653</v>
      </c>
      <c r="I62" s="118"/>
      <c r="J62" s="175">
        <f>H62/DAY(B2)</f>
        <v>108.83333333333333</v>
      </c>
      <c r="K62" s="80"/>
      <c r="L62" s="66"/>
      <c r="N62" s="87"/>
      <c r="O62" s="71"/>
    </row>
    <row r="63" spans="1:15" ht="27.75" x14ac:dyDescent="0.5">
      <c r="A63" s="771" t="s">
        <v>199</v>
      </c>
      <c r="B63" s="772"/>
      <c r="C63" s="773"/>
      <c r="D63" s="151" t="s">
        <v>142</v>
      </c>
      <c r="E63" s="95">
        <f>'5'!F63</f>
        <v>203221</v>
      </c>
      <c r="F63" s="122">
        <v>203371</v>
      </c>
      <c r="G63" s="112">
        <f t="shared" si="5"/>
        <v>150</v>
      </c>
      <c r="H63" s="99">
        <f>G63+'5'!H63</f>
        <v>845</v>
      </c>
      <c r="I63" s="118"/>
      <c r="J63" s="175">
        <f>H63/DAY(B2)</f>
        <v>140.83333333333334</v>
      </c>
      <c r="K63" s="69"/>
      <c r="L63" s="66"/>
      <c r="N63" s="87"/>
      <c r="O63" s="71"/>
    </row>
    <row r="64" spans="1:15" ht="29.25" x14ac:dyDescent="0.5">
      <c r="A64" s="780" t="s">
        <v>200</v>
      </c>
      <c r="B64" s="781"/>
      <c r="C64" s="782"/>
      <c r="D64" s="151"/>
      <c r="E64" s="95">
        <f>'5'!F64</f>
        <v>0</v>
      </c>
      <c r="F64" s="122"/>
      <c r="G64" s="112">
        <f>G62+G63</f>
        <v>260</v>
      </c>
      <c r="H64" s="99">
        <f>G64+'5'!H64</f>
        <v>1498</v>
      </c>
      <c r="I64" s="118"/>
      <c r="J64" s="175">
        <f>H64/DAY(B2)</f>
        <v>249.66666666666666</v>
      </c>
      <c r="K64" s="69"/>
      <c r="L64" s="66"/>
      <c r="N64" s="87"/>
      <c r="O64" s="71"/>
    </row>
    <row r="65" spans="1:15" ht="27.75" x14ac:dyDescent="0.5">
      <c r="A65" s="771" t="s">
        <v>201</v>
      </c>
      <c r="B65" s="772"/>
      <c r="C65" s="773"/>
      <c r="D65" s="151" t="s">
        <v>142</v>
      </c>
      <c r="E65" s="95">
        <f>'5'!F65</f>
        <v>423726</v>
      </c>
      <c r="F65" s="122">
        <v>423823</v>
      </c>
      <c r="G65" s="112">
        <f t="shared" ref="G65:G70" si="6">F65-E65</f>
        <v>97</v>
      </c>
      <c r="H65" s="99">
        <f>G65+'5'!H65</f>
        <v>534</v>
      </c>
      <c r="I65" s="118"/>
      <c r="J65" s="175">
        <f>H65/DAY(B2)</f>
        <v>89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'5'!F66</f>
        <v>105423</v>
      </c>
      <c r="F66" s="122">
        <v>105450</v>
      </c>
      <c r="G66" s="112">
        <f t="shared" si="6"/>
        <v>27</v>
      </c>
      <c r="H66" s="99">
        <f>G66+'5'!H66</f>
        <v>136</v>
      </c>
      <c r="I66" s="118"/>
      <c r="J66" s="175">
        <f>H66/DAY(B2)</f>
        <v>22.666666666666668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'5'!F67</f>
        <v>101436</v>
      </c>
      <c r="F67" s="122">
        <v>101459</v>
      </c>
      <c r="G67" s="112">
        <f t="shared" si="6"/>
        <v>23</v>
      </c>
      <c r="H67" s="99">
        <f>G67+'5'!H67</f>
        <v>175</v>
      </c>
      <c r="I67" s="118"/>
      <c r="J67" s="175">
        <f>H67/DAY(B2)</f>
        <v>29.166666666666668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'5'!F68</f>
        <v>153340</v>
      </c>
      <c r="F68" s="122">
        <v>153385</v>
      </c>
      <c r="G68" s="112">
        <f t="shared" si="6"/>
        <v>45</v>
      </c>
      <c r="H68" s="99">
        <f>G68+'5'!H68</f>
        <v>272</v>
      </c>
      <c r="I68" s="118"/>
      <c r="J68" s="175">
        <f>H68/DAY(B2)</f>
        <v>45.333333333333336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'5'!F69</f>
        <v>9129</v>
      </c>
      <c r="F69" s="122">
        <v>9139</v>
      </c>
      <c r="G69" s="112">
        <f t="shared" si="6"/>
        <v>10</v>
      </c>
      <c r="H69" s="99">
        <f>G69+'5'!H69</f>
        <v>82</v>
      </c>
      <c r="I69" s="118"/>
      <c r="J69" s="175">
        <f>H69/DAY(B2)</f>
        <v>13.666666666666666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'5'!F70</f>
        <v>6852</v>
      </c>
      <c r="F70" s="122">
        <v>6867</v>
      </c>
      <c r="G70" s="112">
        <f t="shared" si="6"/>
        <v>15</v>
      </c>
      <c r="H70" s="99">
        <f>G70+'5'!H70</f>
        <v>63</v>
      </c>
      <c r="I70" s="118"/>
      <c r="J70" s="175">
        <f>H70/DAY(B2)</f>
        <v>10.5</v>
      </c>
      <c r="K70" s="69"/>
      <c r="L70" s="66"/>
      <c r="N70" s="87"/>
      <c r="O70" s="71"/>
    </row>
    <row r="71" spans="1:15" ht="29.25" x14ac:dyDescent="0.5">
      <c r="A71" s="780" t="s">
        <v>208</v>
      </c>
      <c r="B71" s="781"/>
      <c r="C71" s="782"/>
      <c r="D71" s="152"/>
      <c r="E71" s="152"/>
      <c r="F71" s="152"/>
      <c r="G71" s="153">
        <f>SUM(G65:G70)</f>
        <v>217</v>
      </c>
      <c r="H71" s="99">
        <f>G71+'5'!H71</f>
        <v>1262</v>
      </c>
      <c r="I71" s="154"/>
      <c r="J71" s="175">
        <f>H71/DAY(B2)</f>
        <v>210.33333333333334</v>
      </c>
      <c r="K71" s="69"/>
      <c r="L71" s="66"/>
      <c r="N71" s="87"/>
      <c r="O71" s="71"/>
    </row>
    <row r="72" spans="1:15" s="88" customFormat="1" ht="27.75" x14ac:dyDescent="0.5">
      <c r="A72" s="767"/>
      <c r="B72" s="752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77" t="s">
        <v>333</v>
      </c>
      <c r="B73" s="778"/>
      <c r="C73" s="779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1" t="s">
        <v>220</v>
      </c>
      <c r="B74" s="772"/>
      <c r="C74" s="773"/>
      <c r="D74" s="151" t="s">
        <v>139</v>
      </c>
      <c r="E74" s="95">
        <f>'5'!F74</f>
        <v>865999</v>
      </c>
      <c r="F74" s="123">
        <v>866280</v>
      </c>
      <c r="G74" s="112">
        <f t="shared" ref="G74:G78" si="7">F74-E74</f>
        <v>281</v>
      </c>
      <c r="H74" s="99">
        <f>G74+'5'!H74</f>
        <v>1772</v>
      </c>
      <c r="I74" s="154"/>
      <c r="J74" s="175">
        <f>H74/DAY(B2)</f>
        <v>295.33333333333331</v>
      </c>
      <c r="K74" s="69"/>
      <c r="L74" s="66"/>
      <c r="N74" s="87"/>
      <c r="O74" s="71"/>
    </row>
    <row r="75" spans="1:15" ht="27.75" x14ac:dyDescent="0.5">
      <c r="A75" s="771" t="s">
        <v>221</v>
      </c>
      <c r="B75" s="772"/>
      <c r="C75" s="773"/>
      <c r="D75" s="151" t="s">
        <v>139</v>
      </c>
      <c r="E75" s="95">
        <f>'5'!F75</f>
        <v>73583.399999999994</v>
      </c>
      <c r="F75" s="123">
        <v>73583.399999999994</v>
      </c>
      <c r="G75" s="112">
        <f t="shared" si="7"/>
        <v>0</v>
      </c>
      <c r="H75" s="99">
        <f>G75+'5'!H75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68" t="s">
        <v>222</v>
      </c>
      <c r="B76" s="769"/>
      <c r="C76" s="770"/>
      <c r="D76" s="151" t="s">
        <v>139</v>
      </c>
      <c r="E76" s="95">
        <f>'5'!F76</f>
        <v>157395</v>
      </c>
      <c r="F76" s="123">
        <v>157490</v>
      </c>
      <c r="G76" s="112">
        <f t="shared" si="7"/>
        <v>95</v>
      </c>
      <c r="H76" s="99">
        <f>G76+'5'!H76</f>
        <v>678</v>
      </c>
      <c r="I76" s="154"/>
      <c r="J76" s="175">
        <f>H76/DAY(B2)</f>
        <v>113</v>
      </c>
      <c r="K76" s="69"/>
      <c r="L76" s="66"/>
      <c r="N76" s="87"/>
      <c r="O76" s="71"/>
    </row>
    <row r="77" spans="1:15" ht="27.75" x14ac:dyDescent="0.5">
      <c r="A77" s="768" t="s">
        <v>223</v>
      </c>
      <c r="B77" s="769"/>
      <c r="C77" s="770"/>
      <c r="D77" s="151" t="s">
        <v>139</v>
      </c>
      <c r="E77" s="95">
        <f>'5'!F77</f>
        <v>36270</v>
      </c>
      <c r="F77" s="123">
        <v>36322</v>
      </c>
      <c r="G77" s="112">
        <f t="shared" si="7"/>
        <v>52</v>
      </c>
      <c r="H77" s="99">
        <f>G77+'5'!H77</f>
        <v>318</v>
      </c>
      <c r="I77" s="154"/>
      <c r="J77" s="175">
        <f>H77/DAY(B2)</f>
        <v>53</v>
      </c>
      <c r="K77" s="69"/>
      <c r="L77" s="66"/>
      <c r="N77" s="87"/>
      <c r="O77" s="71"/>
    </row>
    <row r="78" spans="1:15" ht="27.75" x14ac:dyDescent="0.5">
      <c r="A78" s="768" t="s">
        <v>224</v>
      </c>
      <c r="B78" s="769"/>
      <c r="C78" s="770"/>
      <c r="D78" s="151" t="s">
        <v>139</v>
      </c>
      <c r="E78" s="95">
        <f>'5'!F78</f>
        <v>9263</v>
      </c>
      <c r="F78" s="123">
        <v>9264</v>
      </c>
      <c r="G78" s="112">
        <f t="shared" si="7"/>
        <v>1</v>
      </c>
      <c r="H78" s="99">
        <f>G78+'5'!H78</f>
        <v>16</v>
      </c>
      <c r="I78" s="118"/>
      <c r="J78" s="175">
        <f>H78/DAY(B2)</f>
        <v>2.6666666666666665</v>
      </c>
      <c r="K78" s="69"/>
      <c r="L78" s="66"/>
      <c r="N78" s="87"/>
      <c r="O78" s="71"/>
    </row>
    <row r="79" spans="1:15" s="57" customFormat="1" ht="27.75" x14ac:dyDescent="0.5">
      <c r="A79" s="768" t="s">
        <v>225</v>
      </c>
      <c r="B79" s="769"/>
      <c r="C79" s="770"/>
      <c r="D79" s="151"/>
      <c r="E79" s="117"/>
      <c r="F79" s="117"/>
      <c r="G79" s="112">
        <f>G15-SUM(G74:G78)</f>
        <v>545</v>
      </c>
      <c r="H79" s="99">
        <f>G79+'5'!H79</f>
        <v>3342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0" t="s">
        <v>329</v>
      </c>
      <c r="B80" s="781"/>
      <c r="C80" s="782"/>
      <c r="D80" s="151"/>
      <c r="E80" s="117"/>
      <c r="F80" s="117"/>
      <c r="G80" s="112">
        <f>SUM(G74:G79)</f>
        <v>974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85" t="s">
        <v>226</v>
      </c>
      <c r="B81" s="786"/>
      <c r="C81" s="78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'5'!F82</f>
        <v>0</v>
      </c>
      <c r="F82" s="122"/>
      <c r="G82" s="112">
        <f t="shared" ref="G82:G92" si="8">F82-E82</f>
        <v>0</v>
      </c>
      <c r="H82" s="99">
        <f>G82+'5'!H82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'5'!F83</f>
        <v>0</v>
      </c>
      <c r="F83" s="122"/>
      <c r="G83" s="112">
        <f t="shared" si="8"/>
        <v>0</v>
      </c>
      <c r="H83" s="99">
        <f>G83+'5'!H83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'5'!F84</f>
        <v>41269</v>
      </c>
      <c r="F84" s="164">
        <v>41283</v>
      </c>
      <c r="G84" s="112">
        <f t="shared" si="8"/>
        <v>14</v>
      </c>
      <c r="H84" s="99">
        <f>G84+'5'!H84</f>
        <v>121</v>
      </c>
      <c r="I84" s="118"/>
      <c r="J84" s="175">
        <f>H84/DAY(B2)</f>
        <v>20.166666666666668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'5'!F85</f>
        <v>1194</v>
      </c>
      <c r="F85" s="164">
        <v>1214</v>
      </c>
      <c r="G85" s="112">
        <f t="shared" si="8"/>
        <v>20</v>
      </c>
      <c r="H85" s="99">
        <f>G85+'5'!H85</f>
        <v>35</v>
      </c>
      <c r="I85" s="118">
        <f>G82+G83+G84+G85</f>
        <v>34</v>
      </c>
      <c r="J85" s="175">
        <f>H85/DAY(B2)</f>
        <v>5.833333333333333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'5'!F86</f>
        <v>42826.47</v>
      </c>
      <c r="F86" s="164">
        <v>42826.47</v>
      </c>
      <c r="G86" s="112">
        <f t="shared" si="8"/>
        <v>0</v>
      </c>
      <c r="H86" s="99">
        <f>G86+'5'!H86</f>
        <v>0.47000000000116415</v>
      </c>
      <c r="I86" s="118"/>
      <c r="J86" s="175">
        <f>H86/DAY(B2)</f>
        <v>7.8333333333527363E-2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'5'!F87</f>
        <v>33349.5</v>
      </c>
      <c r="F87" s="164">
        <v>33349.5</v>
      </c>
      <c r="G87" s="112">
        <f t="shared" si="8"/>
        <v>0</v>
      </c>
      <c r="H87" s="99">
        <f>G87+'5'!H87</f>
        <v>35.5</v>
      </c>
      <c r="I87" s="118"/>
      <c r="J87" s="175">
        <f>H87/DAY(B2)</f>
        <v>5.916666666666667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'5'!F88</f>
        <v>23610.54</v>
      </c>
      <c r="F88" s="164">
        <v>23610.54</v>
      </c>
      <c r="G88" s="112">
        <f t="shared" si="8"/>
        <v>0</v>
      </c>
      <c r="H88" s="99">
        <f>G88+'5'!H88</f>
        <v>19.569999999999709</v>
      </c>
      <c r="I88" s="118">
        <f>G86+G87+G88</f>
        <v>0</v>
      </c>
      <c r="J88" s="175">
        <f>H88/DAY(B2)</f>
        <v>3.2616666666666183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'5'!F89</f>
        <v>25220.77</v>
      </c>
      <c r="F89" s="164">
        <v>25231.33</v>
      </c>
      <c r="G89" s="112">
        <f t="shared" si="8"/>
        <v>10.56000000000131</v>
      </c>
      <c r="H89" s="99">
        <f>G89+'5'!H89</f>
        <v>43.960000000002765</v>
      </c>
      <c r="I89" s="118"/>
      <c r="J89" s="175">
        <f>H89/DAY(B2)</f>
        <v>7.3266666666671272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'5'!F90</f>
        <v>70542.98</v>
      </c>
      <c r="F90" s="164">
        <v>70547.460000000006</v>
      </c>
      <c r="G90" s="112">
        <f t="shared" si="8"/>
        <v>4.4800000000104774</v>
      </c>
      <c r="H90" s="99">
        <f>G90+'5'!H90</f>
        <v>14.480000000010477</v>
      </c>
      <c r="I90" s="118">
        <f>G89+G90</f>
        <v>15.040000000011787</v>
      </c>
      <c r="J90" s="175">
        <f>H90/DAY(B2)</f>
        <v>2.4133333333350797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'5'!F91</f>
        <v>2980.63</v>
      </c>
      <c r="F91" s="122">
        <v>2990.9</v>
      </c>
      <c r="G91" s="112">
        <f t="shared" si="8"/>
        <v>10.269999999999982</v>
      </c>
      <c r="H91" s="99">
        <f>G91+'5'!H91</f>
        <v>65.0300000000002</v>
      </c>
      <c r="I91" s="165"/>
      <c r="J91" s="175">
        <f>H91/DAY(B2)</f>
        <v>10.838333333333367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'5'!F92</f>
        <v>4758.6000000000004</v>
      </c>
      <c r="F92" s="122">
        <v>4758.6000000000004</v>
      </c>
      <c r="G92" s="112">
        <f t="shared" si="8"/>
        <v>0</v>
      </c>
      <c r="H92" s="99">
        <f>G92+'5'!H92</f>
        <v>0.6000000000003638</v>
      </c>
      <c r="I92" s="165"/>
      <c r="J92" s="175">
        <f>H92/DAY(B2)</f>
        <v>0.10000000000006064</v>
      </c>
      <c r="O92" s="71"/>
    </row>
    <row r="93" spans="1:15" ht="29.25" x14ac:dyDescent="0.5">
      <c r="A93" s="774" t="s">
        <v>239</v>
      </c>
      <c r="B93" s="775"/>
      <c r="C93" s="77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1" t="s">
        <v>240</v>
      </c>
      <c r="B94" s="772"/>
      <c r="C94" s="773"/>
      <c r="D94" s="151" t="s">
        <v>130</v>
      </c>
      <c r="E94" s="151"/>
      <c r="F94" s="151"/>
      <c r="G94" s="99">
        <f>G35+G43+G49+G57</f>
        <v>5958</v>
      </c>
      <c r="H94" s="99">
        <f>G94+'5'!H94</f>
        <v>40026.619999999995</v>
      </c>
      <c r="I94" s="118"/>
      <c r="J94" s="175">
        <f>H94/DAY(B2)</f>
        <v>6671.1033333333326</v>
      </c>
      <c r="K94" s="69"/>
      <c r="L94" s="66"/>
      <c r="O94" s="71"/>
    </row>
    <row r="95" spans="1:15" ht="27.75" x14ac:dyDescent="0.5">
      <c r="A95" s="771" t="s">
        <v>241</v>
      </c>
      <c r="B95" s="772"/>
      <c r="C95" s="773"/>
      <c r="D95" s="151" t="s">
        <v>23</v>
      </c>
      <c r="E95" s="146"/>
      <c r="F95" s="146"/>
      <c r="G95" s="166">
        <f>G94/G7</f>
        <v>0.248012321525205</v>
      </c>
      <c r="H95" s="99">
        <f>G95+'5'!H95</f>
        <v>1.704365179485557</v>
      </c>
      <c r="I95" s="167"/>
      <c r="J95" s="175">
        <f>H95/DAY(B2)</f>
        <v>0.28406086324759283</v>
      </c>
      <c r="K95" s="69"/>
      <c r="L95" s="66"/>
      <c r="O95" s="71"/>
    </row>
    <row r="96" spans="1:15" ht="27.75" x14ac:dyDescent="0.5">
      <c r="A96" s="771" t="s">
        <v>242</v>
      </c>
      <c r="B96" s="772"/>
      <c r="C96" s="773"/>
      <c r="D96" s="151" t="s">
        <v>130</v>
      </c>
      <c r="E96" s="95"/>
      <c r="F96" s="95"/>
      <c r="G96" s="99">
        <f>G41+G42+G55+G56</f>
        <v>7522</v>
      </c>
      <c r="H96" s="99">
        <f>G96+'5'!H96</f>
        <v>44362.409999999974</v>
      </c>
      <c r="I96" s="118"/>
      <c r="J96" s="175">
        <f>H96/DAY(B2)</f>
        <v>7393.734999999996</v>
      </c>
      <c r="K96" s="69"/>
      <c r="L96" s="66"/>
      <c r="O96" s="71"/>
    </row>
    <row r="97" spans="1:15" ht="27.75" x14ac:dyDescent="0.5">
      <c r="A97" s="771" t="s">
        <v>243</v>
      </c>
      <c r="B97" s="772"/>
      <c r="C97" s="773"/>
      <c r="D97" s="151" t="s">
        <v>23</v>
      </c>
      <c r="E97" s="95"/>
      <c r="F97" s="95"/>
      <c r="G97" s="166">
        <f>G96/G7</f>
        <v>0.31311659659492985</v>
      </c>
      <c r="H97" s="99">
        <f>G97+'5'!H97</f>
        <v>1.8806035236191727</v>
      </c>
      <c r="I97" s="167"/>
      <c r="J97" s="175">
        <f>H97/DAY(B2)</f>
        <v>0.31343392060319547</v>
      </c>
      <c r="K97" s="69"/>
      <c r="L97" s="66"/>
      <c r="O97" s="71"/>
    </row>
    <row r="98" spans="1:15" ht="27.75" x14ac:dyDescent="0.5">
      <c r="A98" s="771" t="s">
        <v>244</v>
      </c>
      <c r="B98" s="772"/>
      <c r="C98" s="773"/>
      <c r="D98" s="151" t="s">
        <v>130</v>
      </c>
      <c r="E98" s="95"/>
      <c r="F98" s="95"/>
      <c r="G98" s="99">
        <f>G39+G53</f>
        <v>4190</v>
      </c>
      <c r="H98" s="99">
        <f>G98+'5'!H98</f>
        <v>25095</v>
      </c>
      <c r="I98" s="168"/>
      <c r="J98" s="175">
        <f>H98/DAY(B2)</f>
        <v>4182.5</v>
      </c>
      <c r="K98" s="69"/>
      <c r="L98" s="66"/>
      <c r="O98" s="71"/>
    </row>
    <row r="99" spans="1:15" ht="27.75" x14ac:dyDescent="0.5">
      <c r="A99" s="771" t="s">
        <v>245</v>
      </c>
      <c r="B99" s="772"/>
      <c r="C99" s="773"/>
      <c r="D99" s="151" t="s">
        <v>23</v>
      </c>
      <c r="E99" s="95"/>
      <c r="F99" s="95"/>
      <c r="G99" s="166">
        <f>G98/G7</f>
        <v>0.17441618448986387</v>
      </c>
      <c r="H99" s="99">
        <f>G99+'5'!H99</f>
        <v>1.0659440568383096</v>
      </c>
      <c r="I99" s="168"/>
      <c r="J99" s="175">
        <f>H99/DAY(B2)</f>
        <v>0.17765734280638493</v>
      </c>
      <c r="O99" s="71"/>
    </row>
    <row r="100" spans="1:15" ht="27.75" x14ac:dyDescent="0.5">
      <c r="A100" s="771" t="s">
        <v>246</v>
      </c>
      <c r="B100" s="772"/>
      <c r="C100" s="773"/>
      <c r="D100" s="151" t="s">
        <v>180</v>
      </c>
      <c r="E100" s="95"/>
      <c r="F100" s="95"/>
      <c r="G100" s="99">
        <f>G38+G52</f>
        <v>1867</v>
      </c>
      <c r="H100" s="99">
        <f>G100+'5'!H100</f>
        <v>11541</v>
      </c>
      <c r="I100" s="118"/>
      <c r="J100" s="175">
        <f>H100/DAY(B2)</f>
        <v>1923.5</v>
      </c>
      <c r="K100" s="70"/>
      <c r="O100" s="71"/>
    </row>
    <row r="101" spans="1:15" ht="27.75" x14ac:dyDescent="0.5">
      <c r="A101" s="771" t="s">
        <v>247</v>
      </c>
      <c r="B101" s="772"/>
      <c r="C101" s="773"/>
      <c r="D101" s="151" t="s">
        <v>23</v>
      </c>
      <c r="E101" s="95"/>
      <c r="F101" s="95"/>
      <c r="G101" s="166">
        <f>G100/G7</f>
        <v>7.7717187695125506E-2</v>
      </c>
      <c r="H101" s="99">
        <f>G101+'5'!H101</f>
        <v>0.49062421843533277</v>
      </c>
      <c r="I101" s="168"/>
      <c r="J101" s="175">
        <f>H101/DAY(B2)</f>
        <v>8.1770703072555462E-2</v>
      </c>
      <c r="O101" s="71"/>
    </row>
    <row r="102" spans="1:15" ht="27.75" x14ac:dyDescent="0.5">
      <c r="A102" s="771" t="s">
        <v>248</v>
      </c>
      <c r="B102" s="772"/>
      <c r="C102" s="773"/>
      <c r="D102" s="151" t="s">
        <v>180</v>
      </c>
      <c r="E102" s="95"/>
      <c r="F102" s="95"/>
      <c r="G102" s="99">
        <f>G36+G50</f>
        <v>2657</v>
      </c>
      <c r="H102" s="99">
        <f>G102+'5'!H102</f>
        <v>13648</v>
      </c>
      <c r="I102" s="168"/>
      <c r="J102" s="175">
        <f>H102/DAY(B2)</f>
        <v>2274.6666666666665</v>
      </c>
      <c r="O102" s="71"/>
    </row>
    <row r="103" spans="1:15" ht="27.75" x14ac:dyDescent="0.5">
      <c r="A103" s="771" t="s">
        <v>249</v>
      </c>
      <c r="B103" s="772"/>
      <c r="C103" s="773"/>
      <c r="D103" s="151" t="s">
        <v>23</v>
      </c>
      <c r="E103" s="95"/>
      <c r="F103" s="95"/>
      <c r="G103" s="166">
        <f>G102/G7</f>
        <v>0.11060233942471798</v>
      </c>
      <c r="H103" s="99">
        <f>G103+'5'!H103</f>
        <v>0.57692673267396244</v>
      </c>
      <c r="I103" s="118"/>
      <c r="J103" s="175">
        <f>H103/DAY(B2)</f>
        <v>9.6154455445660411E-2</v>
      </c>
      <c r="O103" s="71"/>
    </row>
    <row r="104" spans="1:15" ht="27.75" x14ac:dyDescent="0.5">
      <c r="A104" s="771" t="s">
        <v>250</v>
      </c>
      <c r="B104" s="772"/>
      <c r="C104" s="773"/>
      <c r="D104" s="151" t="s">
        <v>180</v>
      </c>
      <c r="E104" s="95"/>
      <c r="F104" s="95"/>
      <c r="G104" s="99">
        <f>G37+G51</f>
        <v>1728</v>
      </c>
      <c r="H104" s="99">
        <f>G104+'5'!H104</f>
        <v>10361</v>
      </c>
      <c r="I104" s="118"/>
      <c r="J104" s="175">
        <f>H104/DAY(B2)</f>
        <v>1726.8333333333333</v>
      </c>
      <c r="O104" s="71"/>
    </row>
    <row r="105" spans="1:15" ht="28.5" thickBot="1" x14ac:dyDescent="0.55000000000000004">
      <c r="A105" s="764" t="s">
        <v>251</v>
      </c>
      <c r="B105" s="765"/>
      <c r="C105" s="766"/>
      <c r="D105" s="231" t="s">
        <v>23</v>
      </c>
      <c r="E105" s="185"/>
      <c r="F105" s="185"/>
      <c r="G105" s="186">
        <f>G104/G7</f>
        <v>7.1931066061690876E-2</v>
      </c>
      <c r="H105" s="99">
        <f>G105+'5'!H105</f>
        <v>0.44056716279815383</v>
      </c>
      <c r="I105" s="187"/>
      <c r="J105" s="188">
        <f>H105/DAY(B2)</f>
        <v>7.3427860466358977E-2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0" t="s">
        <v>324</v>
      </c>
      <c r="B108" s="760"/>
      <c r="C108" s="760"/>
      <c r="D108" s="760"/>
      <c r="E108" s="760"/>
      <c r="F108" s="760"/>
      <c r="G108" s="760"/>
      <c r="H108" s="760"/>
      <c r="I108" s="760"/>
      <c r="J108" s="760"/>
    </row>
    <row r="109" spans="1:15" ht="29.25" x14ac:dyDescent="0.5">
      <c r="A109" s="788"/>
      <c r="B109" s="788"/>
    </row>
    <row r="110" spans="1:15" ht="29.25" x14ac:dyDescent="0.5">
      <c r="A110" s="761" t="s">
        <v>165</v>
      </c>
      <c r="B110" s="762"/>
      <c r="C110" s="762"/>
      <c r="D110" s="762"/>
      <c r="E110" s="762"/>
      <c r="F110" s="762"/>
      <c r="G110" s="762"/>
      <c r="H110" s="762"/>
      <c r="I110" s="762"/>
      <c r="J110" s="763"/>
    </row>
    <row r="111" spans="1:15" ht="27.75" x14ac:dyDescent="0.5">
      <c r="A111" s="753"/>
      <c r="B111" s="754"/>
      <c r="C111" s="755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0" t="s">
        <v>252</v>
      </c>
      <c r="B112" s="751"/>
      <c r="C112" s="752"/>
      <c r="D112" s="146" t="s">
        <v>183</v>
      </c>
      <c r="E112" s="95">
        <f>'5'!F112</f>
        <v>48689</v>
      </c>
      <c r="F112" s="237">
        <v>48775</v>
      </c>
      <c r="G112" s="112">
        <f t="shared" ref="G112:G123" si="9">F112-E112</f>
        <v>86</v>
      </c>
      <c r="H112" s="99">
        <f>G112+'5'!H112</f>
        <v>498</v>
      </c>
      <c r="I112" s="165"/>
      <c r="J112" s="348">
        <f>H112/DAY(B2)</f>
        <v>83</v>
      </c>
    </row>
    <row r="113" spans="1:18" ht="29.25" customHeight="1" x14ac:dyDescent="0.5">
      <c r="A113" s="750" t="s">
        <v>253</v>
      </c>
      <c r="B113" s="751"/>
      <c r="C113" s="752"/>
      <c r="D113" s="146" t="s">
        <v>183</v>
      </c>
      <c r="E113" s="95">
        <f>'5'!F113</f>
        <v>152930</v>
      </c>
      <c r="F113" s="237">
        <v>153412</v>
      </c>
      <c r="G113" s="112">
        <f t="shared" si="9"/>
        <v>482</v>
      </c>
      <c r="H113" s="99">
        <f>G113+'5'!H113</f>
        <v>2881</v>
      </c>
      <c r="I113" s="165"/>
      <c r="J113" s="348">
        <f>H113/DAY(B2)</f>
        <v>480.16666666666669</v>
      </c>
    </row>
    <row r="114" spans="1:18" ht="29.25" customHeight="1" x14ac:dyDescent="0.5">
      <c r="A114" s="750" t="s">
        <v>254</v>
      </c>
      <c r="B114" s="751"/>
      <c r="C114" s="752"/>
      <c r="D114" s="146" t="s">
        <v>183</v>
      </c>
      <c r="E114" s="95">
        <f>'5'!F114</f>
        <v>71298</v>
      </c>
      <c r="F114" s="237">
        <v>71515</v>
      </c>
      <c r="G114" s="112">
        <f t="shared" si="9"/>
        <v>217</v>
      </c>
      <c r="H114" s="99">
        <f>G114+'5'!H114</f>
        <v>1315</v>
      </c>
      <c r="I114" s="165"/>
      <c r="J114" s="348">
        <f>H114/DAY(B2)</f>
        <v>219.16666666666666</v>
      </c>
    </row>
    <row r="115" spans="1:18" ht="29.25" customHeight="1" x14ac:dyDescent="0.5">
      <c r="A115" s="750" t="s">
        <v>255</v>
      </c>
      <c r="B115" s="751"/>
      <c r="C115" s="752"/>
      <c r="D115" s="146" t="s">
        <v>183</v>
      </c>
      <c r="E115" s="95">
        <f>'5'!F115</f>
        <v>7801</v>
      </c>
      <c r="F115" s="237">
        <v>7812</v>
      </c>
      <c r="G115" s="112">
        <f t="shared" si="9"/>
        <v>11</v>
      </c>
      <c r="H115" s="99">
        <f>G115+'5'!H115</f>
        <v>64</v>
      </c>
      <c r="I115" s="165"/>
      <c r="J115" s="348">
        <f>H115/DAY(B2)</f>
        <v>10.666666666666666</v>
      </c>
    </row>
    <row r="116" spans="1:18" ht="29.25" customHeight="1" x14ac:dyDescent="0.5">
      <c r="A116" s="757" t="s">
        <v>96</v>
      </c>
      <c r="B116" s="758"/>
      <c r="C116" s="759"/>
      <c r="D116" s="146" t="s">
        <v>183</v>
      </c>
      <c r="E116" s="95">
        <f>'5'!F116</f>
        <v>0</v>
      </c>
      <c r="F116" s="237">
        <v>0</v>
      </c>
      <c r="G116" s="112">
        <f t="shared" si="9"/>
        <v>0</v>
      </c>
      <c r="H116" s="99">
        <f>G116+'5'!H116</f>
        <v>0</v>
      </c>
      <c r="I116" s="165"/>
      <c r="J116" s="348">
        <f>H116/DAY(B2)</f>
        <v>0</v>
      </c>
      <c r="Q116" s="750" t="s">
        <v>311</v>
      </c>
      <c r="R116" s="752"/>
    </row>
    <row r="117" spans="1:18" ht="29.25" customHeight="1" x14ac:dyDescent="0.5">
      <c r="A117" s="757" t="s">
        <v>184</v>
      </c>
      <c r="B117" s="758"/>
      <c r="C117" s="759"/>
      <c r="D117" s="146" t="s">
        <v>183</v>
      </c>
      <c r="E117" s="95">
        <f>'5'!F117</f>
        <v>510</v>
      </c>
      <c r="F117" s="237">
        <v>531</v>
      </c>
      <c r="G117" s="112">
        <f t="shared" si="9"/>
        <v>21</v>
      </c>
      <c r="H117" s="99">
        <f>G117+'5'!H117</f>
        <v>115</v>
      </c>
      <c r="I117" s="165"/>
      <c r="J117" s="348">
        <f>H117/DAY(B2)</f>
        <v>19.166666666666668</v>
      </c>
      <c r="Q117" s="750" t="s">
        <v>312</v>
      </c>
      <c r="R117" s="752"/>
    </row>
    <row r="118" spans="1:18" ht="27.75" x14ac:dyDescent="0.5">
      <c r="A118" s="749" t="s">
        <v>97</v>
      </c>
      <c r="B118" s="749"/>
      <c r="C118" s="749"/>
      <c r="D118" s="151" t="s">
        <v>183</v>
      </c>
      <c r="E118" s="95">
        <f>'5'!F118</f>
        <v>208574</v>
      </c>
      <c r="F118" s="237">
        <v>209029</v>
      </c>
      <c r="G118" s="112">
        <f t="shared" si="9"/>
        <v>455</v>
      </c>
      <c r="H118" s="99">
        <f>G118+'5'!H118</f>
        <v>2497</v>
      </c>
      <c r="I118" s="165"/>
      <c r="J118" s="348">
        <f>H118/DAY(B2)</f>
        <v>416.16666666666669</v>
      </c>
      <c r="Q118" s="750" t="s">
        <v>311</v>
      </c>
      <c r="R118" s="752"/>
    </row>
    <row r="119" spans="1:18" ht="27.75" x14ac:dyDescent="0.5">
      <c r="A119" s="749" t="s">
        <v>98</v>
      </c>
      <c r="B119" s="749"/>
      <c r="C119" s="749"/>
      <c r="D119" s="151" t="s">
        <v>183</v>
      </c>
      <c r="E119" s="95">
        <f>'5'!F119</f>
        <v>208155</v>
      </c>
      <c r="F119" s="237">
        <v>208533</v>
      </c>
      <c r="G119" s="112">
        <f t="shared" si="9"/>
        <v>378</v>
      </c>
      <c r="H119" s="99">
        <f>G119+'5'!H119</f>
        <v>2303</v>
      </c>
      <c r="I119" s="165"/>
      <c r="J119" s="348">
        <f>H119/DAY(B2)</f>
        <v>383.83333333333331</v>
      </c>
    </row>
    <row r="120" spans="1:18" ht="27.75" x14ac:dyDescent="0.5">
      <c r="A120" s="749" t="s">
        <v>99</v>
      </c>
      <c r="B120" s="749"/>
      <c r="C120" s="749"/>
      <c r="D120" s="151" t="s">
        <v>183</v>
      </c>
      <c r="E120" s="95">
        <f>'5'!F120</f>
        <v>7567</v>
      </c>
      <c r="F120" s="237">
        <v>7973</v>
      </c>
      <c r="G120" s="112">
        <f t="shared" si="9"/>
        <v>406</v>
      </c>
      <c r="H120" s="99">
        <f>G120+'5'!H120</f>
        <v>2458</v>
      </c>
      <c r="I120" s="165"/>
      <c r="J120" s="348">
        <f>H120/DAY(B2)</f>
        <v>409.66666666666669</v>
      </c>
    </row>
    <row r="121" spans="1:18" ht="27.75" x14ac:dyDescent="0.5">
      <c r="A121" s="749" t="s">
        <v>100</v>
      </c>
      <c r="B121" s="749"/>
      <c r="C121" s="749"/>
      <c r="D121" s="151" t="s">
        <v>183</v>
      </c>
      <c r="E121" s="95">
        <f>'5'!F121</f>
        <v>313451</v>
      </c>
      <c r="F121" s="237">
        <v>314055</v>
      </c>
      <c r="G121" s="112">
        <f t="shared" si="9"/>
        <v>604</v>
      </c>
      <c r="H121" s="99">
        <f>G121+'5'!H121</f>
        <v>4610.2700000000186</v>
      </c>
      <c r="I121" s="165"/>
      <c r="J121" s="348">
        <f>H121/DAY(B2)</f>
        <v>768.3783333333364</v>
      </c>
    </row>
    <row r="122" spans="1:18" ht="27.75" x14ac:dyDescent="0.5">
      <c r="A122" s="749" t="s">
        <v>101</v>
      </c>
      <c r="B122" s="749"/>
      <c r="C122" s="749"/>
      <c r="D122" s="151" t="s">
        <v>183</v>
      </c>
      <c r="E122" s="95">
        <f>'5'!F122</f>
        <v>93150</v>
      </c>
      <c r="F122" s="237">
        <v>93472</v>
      </c>
      <c r="G122" s="112">
        <f t="shared" si="9"/>
        <v>322</v>
      </c>
      <c r="H122" s="99">
        <f>G122+'5'!H122</f>
        <v>1850</v>
      </c>
      <c r="I122" s="165"/>
      <c r="J122" s="348">
        <f>H122/DAY(B2)</f>
        <v>308.33333333333331</v>
      </c>
    </row>
    <row r="123" spans="1:18" ht="27.75" x14ac:dyDescent="0.5">
      <c r="A123" s="749" t="s">
        <v>102</v>
      </c>
      <c r="B123" s="749"/>
      <c r="C123" s="749"/>
      <c r="D123" s="151" t="s">
        <v>183</v>
      </c>
      <c r="E123" s="95">
        <f>'5'!F123</f>
        <v>117202</v>
      </c>
      <c r="F123" s="237">
        <v>117536</v>
      </c>
      <c r="G123" s="112">
        <f t="shared" si="9"/>
        <v>334</v>
      </c>
      <c r="H123" s="99">
        <f>G123+'5'!H123</f>
        <v>1993</v>
      </c>
      <c r="I123" s="165"/>
      <c r="J123" s="348">
        <f>H123/DAY(B2)</f>
        <v>332.16666666666669</v>
      </c>
    </row>
    <row r="124" spans="1:18" ht="29.25" customHeight="1" x14ac:dyDescent="0.5">
      <c r="A124" s="753"/>
      <c r="B124" s="754"/>
      <c r="C124" s="755"/>
      <c r="D124" s="165"/>
      <c r="E124" s="95">
        <f>'5'!F124</f>
        <v>0</v>
      </c>
      <c r="F124" s="165"/>
      <c r="G124" s="347"/>
      <c r="H124" s="156"/>
      <c r="I124" s="165"/>
      <c r="J124" s="348"/>
    </row>
    <row r="125" spans="1:18" ht="27.75" x14ac:dyDescent="0.5">
      <c r="A125" s="737"/>
      <c r="B125" s="737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56" t="s">
        <v>317</v>
      </c>
      <c r="B126" s="756"/>
      <c r="C126" s="756"/>
      <c r="D126" s="756"/>
      <c r="E126" s="756"/>
      <c r="F126" s="756"/>
      <c r="G126" s="756"/>
      <c r="H126" s="756"/>
      <c r="I126" s="756"/>
      <c r="J126" s="756"/>
    </row>
    <row r="127" spans="1:18" ht="27.75" x14ac:dyDescent="0.5">
      <c r="A127" s="737"/>
      <c r="B127" s="737"/>
      <c r="C127" s="246"/>
      <c r="D127" s="317"/>
      <c r="E127" s="318"/>
      <c r="F127" s="318"/>
      <c r="G127" s="319"/>
      <c r="H127" s="99">
        <f>G127+'5'!H127</f>
        <v>0</v>
      </c>
      <c r="I127" s="165"/>
      <c r="J127" s="348">
        <f>H127/DAY(B2)</f>
        <v>0</v>
      </c>
    </row>
    <row r="128" spans="1:18" ht="29.25" customHeight="1" x14ac:dyDescent="0.5">
      <c r="A128" s="750" t="s">
        <v>318</v>
      </c>
      <c r="B128" s="751"/>
      <c r="C128" s="752"/>
      <c r="D128" s="151" t="s">
        <v>183</v>
      </c>
      <c r="E128" s="95">
        <f>'5'!F128</f>
        <v>9203</v>
      </c>
      <c r="F128" s="165">
        <v>9533</v>
      </c>
      <c r="G128" s="112">
        <f t="shared" ref="G128:G134" si="10">F128-E128</f>
        <v>330</v>
      </c>
      <c r="H128" s="99">
        <f>G128+'5'!H128</f>
        <v>1922</v>
      </c>
      <c r="I128" s="165"/>
      <c r="J128" s="348">
        <f>H128/DAY(B2)</f>
        <v>320.33333333333331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'5'!F129</f>
        <v>1043</v>
      </c>
      <c r="F129" s="165">
        <v>1299</v>
      </c>
      <c r="G129" s="112">
        <f t="shared" si="10"/>
        <v>256</v>
      </c>
      <c r="H129" s="99">
        <f>G129+'5'!H129</f>
        <v>1185</v>
      </c>
      <c r="I129" s="165"/>
      <c r="J129" s="348">
        <f>H129/DAY(B2)</f>
        <v>197.5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'5'!F130</f>
        <v>1328</v>
      </c>
      <c r="F130" s="165">
        <v>1596</v>
      </c>
      <c r="G130" s="112">
        <f t="shared" si="10"/>
        <v>268</v>
      </c>
      <c r="H130" s="99">
        <f>G130+'5'!H130</f>
        <v>1416</v>
      </c>
      <c r="I130" s="165"/>
      <c r="J130" s="348">
        <f>H130/DAY(B2)</f>
        <v>236</v>
      </c>
      <c r="N130" s="240"/>
      <c r="O130" s="241"/>
    </row>
    <row r="131" spans="1:15" ht="27.75" x14ac:dyDescent="0.5">
      <c r="A131" s="750" t="s">
        <v>321</v>
      </c>
      <c r="B131" s="751"/>
      <c r="C131" s="752"/>
      <c r="D131" s="151" t="s">
        <v>183</v>
      </c>
      <c r="E131" s="95">
        <f>'5'!F131</f>
        <v>813</v>
      </c>
      <c r="F131" s="165">
        <v>972</v>
      </c>
      <c r="G131" s="112">
        <f t="shared" si="10"/>
        <v>159</v>
      </c>
      <c r="H131" s="99">
        <f>G131+'5'!H131</f>
        <v>862</v>
      </c>
      <c r="I131" s="165"/>
      <c r="J131" s="348">
        <f>H131/DAY(B2)</f>
        <v>143.66666666666666</v>
      </c>
      <c r="N131" s="240"/>
      <c r="O131" s="241"/>
    </row>
    <row r="132" spans="1:15" ht="27.75" x14ac:dyDescent="0.5">
      <c r="A132" s="750" t="s">
        <v>322</v>
      </c>
      <c r="B132" s="751"/>
      <c r="C132" s="752"/>
      <c r="D132" s="151" t="s">
        <v>183</v>
      </c>
      <c r="E132" s="95">
        <f>'5'!F132</f>
        <v>2309</v>
      </c>
      <c r="F132" s="165">
        <v>2724</v>
      </c>
      <c r="G132" s="112">
        <f t="shared" si="10"/>
        <v>415</v>
      </c>
      <c r="H132" s="99">
        <f>G132+'5'!H132</f>
        <v>2403</v>
      </c>
      <c r="I132" s="165"/>
      <c r="J132" s="348">
        <f>H132/DAY(B2)</f>
        <v>400.5</v>
      </c>
    </row>
    <row r="133" spans="1:15" ht="27.75" x14ac:dyDescent="0.5">
      <c r="A133" s="750" t="s">
        <v>323</v>
      </c>
      <c r="B133" s="751"/>
      <c r="C133" s="752"/>
      <c r="D133" s="151" t="s">
        <v>183</v>
      </c>
      <c r="E133" s="95">
        <f>'5'!F133</f>
        <v>20244</v>
      </c>
      <c r="F133" s="165">
        <v>20999</v>
      </c>
      <c r="G133" s="112">
        <f t="shared" si="10"/>
        <v>755</v>
      </c>
      <c r="H133" s="99">
        <f>G133+'5'!H133</f>
        <v>4608</v>
      </c>
      <c r="I133" s="165"/>
      <c r="J133" s="348">
        <f>H133/DAY(B2)</f>
        <v>768</v>
      </c>
    </row>
    <row r="134" spans="1:15" ht="27.75" x14ac:dyDescent="0.5">
      <c r="A134" s="750" t="s">
        <v>340</v>
      </c>
      <c r="B134" s="751"/>
      <c r="C134" s="752"/>
      <c r="D134" s="151" t="s">
        <v>183</v>
      </c>
      <c r="E134" s="95">
        <f>'5'!F134</f>
        <v>615673</v>
      </c>
      <c r="F134" s="165">
        <v>616300</v>
      </c>
      <c r="G134" s="112">
        <f t="shared" si="10"/>
        <v>627</v>
      </c>
      <c r="H134" s="99">
        <f>G134+'5'!H134</f>
        <v>1885</v>
      </c>
      <c r="I134" s="165"/>
      <c r="J134" s="348">
        <f>H134/DAY(B2)</f>
        <v>314.16666666666669</v>
      </c>
    </row>
    <row r="135" spans="1:15" ht="27.75" x14ac:dyDescent="0.5">
      <c r="A135" s="753"/>
      <c r="B135" s="754"/>
      <c r="C135" s="755"/>
      <c r="D135" s="151"/>
      <c r="E135" s="95"/>
      <c r="F135" s="112"/>
      <c r="G135" s="112">
        <f>SUM(G128:G134)</f>
        <v>2810</v>
      </c>
      <c r="H135" s="99">
        <f>G135+'5'!H135</f>
        <v>5534.2300000000005</v>
      </c>
      <c r="I135" s="165"/>
      <c r="J135" s="348">
        <f>H135/DAY(B2)</f>
        <v>922.37166666666678</v>
      </c>
    </row>
    <row r="136" spans="1:15" ht="31.5" x14ac:dyDescent="0.55000000000000004">
      <c r="A136" s="736" t="s">
        <v>325</v>
      </c>
      <c r="B136" s="736"/>
      <c r="C136" s="736"/>
      <c r="D136" s="736"/>
      <c r="E136" s="736"/>
      <c r="F136" s="736"/>
      <c r="G136" s="736"/>
      <c r="H136" s="736"/>
      <c r="I136" s="736"/>
      <c r="J136" s="736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49" t="s">
        <v>185</v>
      </c>
      <c r="B138" s="749"/>
      <c r="C138" s="749"/>
      <c r="D138" s="151" t="s">
        <v>183</v>
      </c>
      <c r="E138" s="95">
        <f>'5'!F138</f>
        <v>857779</v>
      </c>
      <c r="F138" s="147">
        <v>857838</v>
      </c>
      <c r="G138" s="112">
        <f t="shared" ref="G138:G152" si="11">F138-E138</f>
        <v>59</v>
      </c>
      <c r="H138" s="99">
        <f>G138+'5'!H138</f>
        <v>485</v>
      </c>
      <c r="I138" s="118"/>
      <c r="J138" s="348">
        <f>H138/DAY(B2)</f>
        <v>80.833333333333329</v>
      </c>
    </row>
    <row r="139" spans="1:15" ht="27.75" x14ac:dyDescent="0.5">
      <c r="A139" s="749" t="s">
        <v>186</v>
      </c>
      <c r="B139" s="749"/>
      <c r="C139" s="749"/>
      <c r="D139" s="151" t="s">
        <v>183</v>
      </c>
      <c r="E139" s="95">
        <f>'5'!F139</f>
        <v>886065</v>
      </c>
      <c r="F139" s="148">
        <v>886066</v>
      </c>
      <c r="G139" s="112">
        <f t="shared" si="11"/>
        <v>1</v>
      </c>
      <c r="H139" s="99">
        <f>G139+'5'!H139</f>
        <v>4</v>
      </c>
      <c r="I139" s="118"/>
      <c r="J139" s="348">
        <f>H139/DAY(B2)</f>
        <v>0.66666666666666663</v>
      </c>
    </row>
    <row r="140" spans="1:15" ht="27.75" x14ac:dyDescent="0.5">
      <c r="A140" s="749" t="s">
        <v>187</v>
      </c>
      <c r="B140" s="749"/>
      <c r="C140" s="749"/>
      <c r="D140" s="151" t="s">
        <v>183</v>
      </c>
      <c r="E140" s="95">
        <f>'5'!F140</f>
        <v>88797</v>
      </c>
      <c r="F140" s="149">
        <v>88797</v>
      </c>
      <c r="G140" s="112">
        <f t="shared" si="11"/>
        <v>0</v>
      </c>
      <c r="H140" s="99">
        <f>G140+'5'!H140</f>
        <v>-1</v>
      </c>
      <c r="I140" s="118"/>
      <c r="J140" s="348">
        <f>H140/DAY(B2)</f>
        <v>-0.16666666666666666</v>
      </c>
    </row>
    <row r="141" spans="1:15" ht="27.75" x14ac:dyDescent="0.5">
      <c r="A141" s="728" t="s">
        <v>188</v>
      </c>
      <c r="B141" s="728"/>
      <c r="C141" s="728"/>
      <c r="D141" s="151" t="s">
        <v>183</v>
      </c>
      <c r="E141" s="95">
        <f>'5'!F141</f>
        <v>32472</v>
      </c>
      <c r="F141" s="149">
        <v>32645</v>
      </c>
      <c r="G141" s="112">
        <f t="shared" si="11"/>
        <v>173</v>
      </c>
      <c r="H141" s="99">
        <f>G141+'5'!H141</f>
        <v>1109</v>
      </c>
      <c r="I141" s="118"/>
      <c r="J141" s="348">
        <f>H141/DAY(B2)</f>
        <v>184.83333333333334</v>
      </c>
    </row>
    <row r="142" spans="1:15" ht="27.75" x14ac:dyDescent="0.5">
      <c r="A142" s="728" t="s">
        <v>189</v>
      </c>
      <c r="B142" s="728"/>
      <c r="C142" s="728"/>
      <c r="D142" s="151" t="s">
        <v>183</v>
      </c>
      <c r="E142" s="95">
        <f>'5'!F142</f>
        <v>15685</v>
      </c>
      <c r="F142" s="148">
        <v>15751</v>
      </c>
      <c r="G142" s="112">
        <f t="shared" si="11"/>
        <v>66</v>
      </c>
      <c r="H142" s="99">
        <f>G142+'5'!H142</f>
        <v>429</v>
      </c>
      <c r="I142" s="140"/>
      <c r="J142" s="348">
        <f>H142/DAY(B2)</f>
        <v>71.5</v>
      </c>
    </row>
    <row r="143" spans="1:15" ht="27.75" x14ac:dyDescent="0.5">
      <c r="A143" s="749" t="s">
        <v>91</v>
      </c>
      <c r="B143" s="749"/>
      <c r="C143" s="749"/>
      <c r="D143" s="151" t="s">
        <v>183</v>
      </c>
      <c r="E143" s="95">
        <f>'5'!F143</f>
        <v>661</v>
      </c>
      <c r="F143" s="149">
        <v>686</v>
      </c>
      <c r="G143" s="112">
        <f t="shared" si="11"/>
        <v>25</v>
      </c>
      <c r="H143" s="99">
        <f>G143+'5'!H143</f>
        <v>157</v>
      </c>
      <c r="I143" s="140"/>
      <c r="J143" s="348">
        <f>H143/DAY(B2)</f>
        <v>26.166666666666668</v>
      </c>
    </row>
    <row r="144" spans="1:15" ht="27.75" x14ac:dyDescent="0.5">
      <c r="A144" s="728" t="s">
        <v>90</v>
      </c>
      <c r="B144" s="728"/>
      <c r="C144" s="728"/>
      <c r="D144" s="151" t="s">
        <v>183</v>
      </c>
      <c r="E144" s="95">
        <f>'5'!F144</f>
        <v>850896</v>
      </c>
      <c r="F144" s="149">
        <v>851058</v>
      </c>
      <c r="G144" s="112">
        <f t="shared" si="11"/>
        <v>162</v>
      </c>
      <c r="H144" s="99">
        <f>G144+'5'!H144</f>
        <v>1021</v>
      </c>
      <c r="I144" s="140"/>
      <c r="J144" s="348">
        <f>H144/DAY(B2)</f>
        <v>170.16666666666666</v>
      </c>
    </row>
    <row r="145" spans="1:10" ht="27.75" x14ac:dyDescent="0.5">
      <c r="A145" s="749" t="s">
        <v>190</v>
      </c>
      <c r="B145" s="749"/>
      <c r="C145" s="749"/>
      <c r="D145" s="152" t="s">
        <v>183</v>
      </c>
      <c r="E145" s="95">
        <f>'5'!F145</f>
        <v>1162</v>
      </c>
      <c r="F145" s="149">
        <v>1207</v>
      </c>
      <c r="G145" s="112">
        <f t="shared" si="11"/>
        <v>45</v>
      </c>
      <c r="H145" s="99">
        <f>G145+'5'!H145</f>
        <v>253</v>
      </c>
      <c r="I145" s="140"/>
      <c r="J145" s="348">
        <f>H145/DAY(B2)</f>
        <v>42.166666666666664</v>
      </c>
    </row>
    <row r="146" spans="1:10" ht="27.75" x14ac:dyDescent="0.5">
      <c r="A146" s="784" t="s">
        <v>191</v>
      </c>
      <c r="B146" s="769"/>
      <c r="C146" s="770"/>
      <c r="D146" s="152" t="s">
        <v>183</v>
      </c>
      <c r="E146" s="95">
        <f>'5'!F146</f>
        <v>688732</v>
      </c>
      <c r="F146" s="148">
        <v>688976</v>
      </c>
      <c r="G146" s="112">
        <f t="shared" si="11"/>
        <v>244</v>
      </c>
      <c r="H146" s="99">
        <f>G146+'5'!H146</f>
        <v>1784</v>
      </c>
      <c r="I146" s="140"/>
      <c r="J146" s="348">
        <f>H146/DAY(B2)</f>
        <v>297.33333333333331</v>
      </c>
    </row>
    <row r="147" spans="1:10" ht="27.75" x14ac:dyDescent="0.5">
      <c r="A147" s="728" t="s">
        <v>192</v>
      </c>
      <c r="B147" s="728"/>
      <c r="C147" s="728"/>
      <c r="D147" s="152" t="s">
        <v>183</v>
      </c>
      <c r="E147" s="95">
        <f>'5'!F147</f>
        <v>578212</v>
      </c>
      <c r="F147" s="148">
        <v>578625</v>
      </c>
      <c r="G147" s="112">
        <f t="shared" si="11"/>
        <v>413</v>
      </c>
      <c r="H147" s="99">
        <f>G147+'5'!H147</f>
        <v>2553</v>
      </c>
      <c r="I147" s="140"/>
      <c r="J147" s="348">
        <f>H147/DAY(B2)</f>
        <v>425.5</v>
      </c>
    </row>
    <row r="148" spans="1:10" ht="27.75" x14ac:dyDescent="0.5">
      <c r="A148" s="729" t="s">
        <v>193</v>
      </c>
      <c r="B148" s="730"/>
      <c r="C148" s="731"/>
      <c r="D148" s="123" t="s">
        <v>130</v>
      </c>
      <c r="E148" s="95">
        <f>'5'!F148</f>
        <v>659578</v>
      </c>
      <c r="F148" s="150">
        <v>659756</v>
      </c>
      <c r="G148" s="112">
        <f t="shared" si="11"/>
        <v>178</v>
      </c>
      <c r="H148" s="99">
        <f>G148+'5'!H148</f>
        <v>1156</v>
      </c>
      <c r="I148" s="124"/>
      <c r="J148" s="348">
        <f>H148/DAY(B2)</f>
        <v>192.66666666666666</v>
      </c>
    </row>
    <row r="149" spans="1:10" ht="27.75" x14ac:dyDescent="0.5">
      <c r="A149" s="729" t="s">
        <v>336</v>
      </c>
      <c r="B149" s="730"/>
      <c r="C149" s="731"/>
      <c r="D149" s="227" t="s">
        <v>130</v>
      </c>
      <c r="E149" s="95">
        <f>'5'!F149</f>
        <v>76012</v>
      </c>
      <c r="F149" s="146">
        <v>76326</v>
      </c>
      <c r="G149" s="112">
        <f t="shared" si="11"/>
        <v>314</v>
      </c>
      <c r="H149" s="99">
        <f>G149+'5'!H149</f>
        <v>904</v>
      </c>
      <c r="I149" s="119"/>
      <c r="J149" s="348">
        <f>H149/DAY(B2)</f>
        <v>150.66666666666666</v>
      </c>
    </row>
    <row r="150" spans="1:10" ht="27.75" x14ac:dyDescent="0.5">
      <c r="A150" s="729" t="s">
        <v>337</v>
      </c>
      <c r="B150" s="730"/>
      <c r="C150" s="731"/>
      <c r="D150" s="117" t="s">
        <v>130</v>
      </c>
      <c r="E150" s="95">
        <f>'5'!F150</f>
        <v>7167232</v>
      </c>
      <c r="F150" s="233">
        <v>7167232</v>
      </c>
      <c r="G150" s="112">
        <f t="shared" si="11"/>
        <v>0</v>
      </c>
      <c r="H150" s="99">
        <f>G150+'5'!H150</f>
        <v>0</v>
      </c>
      <c r="I150" s="119"/>
      <c r="J150" s="348">
        <f>H150/DAY(B2)</f>
        <v>0</v>
      </c>
    </row>
    <row r="151" spans="1:10" ht="27.75" x14ac:dyDescent="0.5">
      <c r="A151" s="729" t="s">
        <v>338</v>
      </c>
      <c r="B151" s="730"/>
      <c r="C151" s="731"/>
      <c r="D151" s="117" t="s">
        <v>130</v>
      </c>
      <c r="E151" s="95">
        <f>'5'!F151</f>
        <v>54996</v>
      </c>
      <c r="F151" s="233">
        <v>55321</v>
      </c>
      <c r="G151" s="112">
        <f t="shared" si="11"/>
        <v>325</v>
      </c>
      <c r="H151" s="99">
        <f>G151+'5'!H151</f>
        <v>1942</v>
      </c>
      <c r="I151" s="119"/>
      <c r="J151" s="348">
        <f>H151/DAY(B2)</f>
        <v>323.66666666666669</v>
      </c>
    </row>
    <row r="152" spans="1:10" ht="27.75" x14ac:dyDescent="0.5">
      <c r="A152" s="729" t="s">
        <v>339</v>
      </c>
      <c r="B152" s="730"/>
      <c r="C152" s="731"/>
      <c r="D152" s="117" t="s">
        <v>130</v>
      </c>
      <c r="E152" s="95">
        <f>'5'!F152</f>
        <v>0</v>
      </c>
      <c r="F152" s="233">
        <v>0</v>
      </c>
      <c r="G152" s="112">
        <f t="shared" si="11"/>
        <v>0</v>
      </c>
      <c r="H152" s="99">
        <f>G152+'5'!H152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36" t="s">
        <v>344</v>
      </c>
      <c r="B154" s="736"/>
      <c r="C154" s="736"/>
      <c r="D154" s="736"/>
      <c r="E154" s="736"/>
      <c r="F154" s="736"/>
      <c r="G154" s="736"/>
      <c r="H154" s="736"/>
      <c r="I154" s="736"/>
      <c r="J154" s="736"/>
    </row>
    <row r="155" spans="1:10" ht="31.5" x14ac:dyDescent="0.55000000000000004">
      <c r="A155" s="728" t="s">
        <v>345</v>
      </c>
      <c r="B155" s="728"/>
      <c r="C155" s="728"/>
      <c r="D155" s="117" t="s">
        <v>130</v>
      </c>
      <c r="E155" s="95">
        <f>'5'!F155</f>
        <v>77055</v>
      </c>
      <c r="F155" s="397">
        <v>77063</v>
      </c>
      <c r="G155" s="112">
        <f t="shared" ref="G155:G156" si="12">F155-E155</f>
        <v>8</v>
      </c>
      <c r="H155" s="99">
        <f>G155+'5'!H155</f>
        <v>35.100000000005821</v>
      </c>
      <c r="I155" s="385"/>
      <c r="J155" s="348">
        <f>H155/DAY(B2)</f>
        <v>5.8500000000009704</v>
      </c>
    </row>
    <row r="156" spans="1:10" ht="27.75" x14ac:dyDescent="0.5">
      <c r="A156" s="728" t="s">
        <v>346</v>
      </c>
      <c r="B156" s="728"/>
      <c r="C156" s="728"/>
      <c r="D156" s="117" t="s">
        <v>130</v>
      </c>
      <c r="E156" s="95">
        <f>'5'!F156</f>
        <v>0</v>
      </c>
      <c r="F156" s="155">
        <v>0</v>
      </c>
      <c r="G156" s="112">
        <f t="shared" si="12"/>
        <v>0</v>
      </c>
      <c r="H156" s="99">
        <f>G156+'5'!H156</f>
        <v>0</v>
      </c>
      <c r="I156" s="165"/>
      <c r="J156" s="348">
        <f>H156/DAY(B2)</f>
        <v>0</v>
      </c>
    </row>
    <row r="157" spans="1:10" ht="31.5" x14ac:dyDescent="0.55000000000000004">
      <c r="A157" s="736" t="s">
        <v>326</v>
      </c>
      <c r="B157" s="736"/>
      <c r="C157" s="736"/>
      <c r="D157" s="736"/>
      <c r="E157" s="736"/>
      <c r="F157" s="736"/>
      <c r="G157" s="736"/>
      <c r="H157" s="736"/>
      <c r="I157" s="736"/>
      <c r="J157" s="736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'5'!F158</f>
        <v>465514</v>
      </c>
      <c r="F158" s="235">
        <v>465812</v>
      </c>
      <c r="G158" s="238">
        <f t="shared" ref="G158:G162" si="13">F158-E158</f>
        <v>298</v>
      </c>
      <c r="H158" s="99">
        <f>G158+'5'!H158</f>
        <v>551</v>
      </c>
      <c r="I158" s="236"/>
      <c r="J158" s="239">
        <f>H158/DAY(B2)</f>
        <v>91.833333333333329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'5'!F159</f>
        <v>84976</v>
      </c>
      <c r="F159" s="235">
        <v>85017</v>
      </c>
      <c r="G159" s="238">
        <f t="shared" si="13"/>
        <v>41</v>
      </c>
      <c r="H159" s="99">
        <f>G159+'5'!H159</f>
        <v>207</v>
      </c>
      <c r="I159" s="236"/>
      <c r="J159" s="239">
        <f>H159/DAY(B2)</f>
        <v>34.5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'5'!F160</f>
        <v>71310</v>
      </c>
      <c r="F160" s="235">
        <v>71413</v>
      </c>
      <c r="G160" s="238">
        <f t="shared" si="13"/>
        <v>103</v>
      </c>
      <c r="H160" s="99">
        <f>G160+'5'!H160</f>
        <v>442</v>
      </c>
      <c r="I160" s="236"/>
      <c r="J160" s="239">
        <f>H160/DAY(B2)</f>
        <v>73.666666666666671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'5'!F161</f>
        <v>3825</v>
      </c>
      <c r="F161" s="235">
        <v>3834</v>
      </c>
      <c r="G161" s="238">
        <f t="shared" si="13"/>
        <v>9</v>
      </c>
      <c r="H161" s="99">
        <f>G161+'5'!H161</f>
        <v>37</v>
      </c>
      <c r="I161" s="236"/>
      <c r="J161" s="239">
        <f>H161/DAY(B2)</f>
        <v>6.166666666666667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'5'!F162</f>
        <v>29001</v>
      </c>
      <c r="F162" s="235">
        <v>29011</v>
      </c>
      <c r="G162" s="238">
        <f t="shared" si="13"/>
        <v>10</v>
      </c>
      <c r="H162" s="99">
        <f>G162+'5'!H162</f>
        <v>39</v>
      </c>
      <c r="I162" s="236"/>
      <c r="J162" s="239">
        <f>H162/DAY(B2)</f>
        <v>6.5</v>
      </c>
    </row>
    <row r="163" spans="1:10" ht="29.25" x14ac:dyDescent="0.5">
      <c r="A163" s="737"/>
      <c r="B163" s="737"/>
      <c r="C163" s="247"/>
      <c r="D163" s="244" t="s">
        <v>180</v>
      </c>
      <c r="E163" s="95">
        <f>'5'!F163</f>
        <v>0</v>
      </c>
      <c r="F163" s="165"/>
      <c r="G163" s="165"/>
      <c r="H163" s="99">
        <f>G163+'5'!H163</f>
        <v>0</v>
      </c>
      <c r="I163" s="165"/>
      <c r="J163" s="239">
        <f>H163/DAY(B2)</f>
        <v>0</v>
      </c>
    </row>
    <row r="164" spans="1:10" ht="29.25" x14ac:dyDescent="0.5">
      <c r="A164" s="737"/>
      <c r="B164" s="737"/>
      <c r="C164" s="247"/>
      <c r="D164" s="244" t="s">
        <v>180</v>
      </c>
      <c r="E164" s="95">
        <f>'5'!F164</f>
        <v>0</v>
      </c>
      <c r="F164" s="165"/>
      <c r="G164" s="165"/>
      <c r="H164" s="99">
        <f>G164+'5'!H164</f>
        <v>0</v>
      </c>
      <c r="I164" s="165"/>
      <c r="J164" s="239">
        <f>H164/DAY(B2)</f>
        <v>0</v>
      </c>
    </row>
    <row r="165" spans="1:10" ht="29.25" x14ac:dyDescent="0.5">
      <c r="A165" s="737"/>
      <c r="B165" s="737"/>
      <c r="C165" s="247"/>
      <c r="D165" s="244" t="s">
        <v>180</v>
      </c>
      <c r="E165" s="95">
        <f>'5'!F165</f>
        <v>0</v>
      </c>
      <c r="F165" s="165"/>
      <c r="G165" s="165"/>
      <c r="H165" s="99">
        <f>G165+'5'!H165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38" t="s">
        <v>330</v>
      </c>
      <c r="B168" s="739"/>
      <c r="C168" s="739"/>
      <c r="D168" s="739"/>
      <c r="E168" s="739"/>
      <c r="F168" s="739"/>
      <c r="G168" s="739"/>
      <c r="H168" s="739"/>
      <c r="I168" s="739"/>
      <c r="J168" s="740"/>
    </row>
    <row r="169" spans="1:10" ht="27.75" x14ac:dyDescent="0.5">
      <c r="A169" s="747"/>
      <c r="B169" s="748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43" t="s">
        <v>209</v>
      </c>
      <c r="B170" s="744"/>
      <c r="C170" s="353"/>
      <c r="D170" s="228" t="s">
        <v>142</v>
      </c>
      <c r="E170" s="95">
        <f>'5'!F170</f>
        <v>7895</v>
      </c>
      <c r="F170" s="155">
        <v>7895</v>
      </c>
      <c r="G170" s="155">
        <f>F170-E170</f>
        <v>0</v>
      </c>
      <c r="H170" s="99">
        <f>G170+'5'!H170</f>
        <v>0</v>
      </c>
      <c r="I170" s="155"/>
      <c r="J170" s="178">
        <f>H170/DAY(B2)</f>
        <v>0</v>
      </c>
    </row>
    <row r="171" spans="1:10" ht="27.75" x14ac:dyDescent="0.5">
      <c r="A171" s="743" t="s">
        <v>75</v>
      </c>
      <c r="B171" s="744"/>
      <c r="C171" s="353"/>
      <c r="D171" s="228" t="s">
        <v>142</v>
      </c>
      <c r="E171" s="95">
        <f>'5'!F171</f>
        <v>37091</v>
      </c>
      <c r="F171" s="157">
        <v>37102</v>
      </c>
      <c r="G171" s="155">
        <f t="shared" ref="G171:G172" si="14">F171-E171</f>
        <v>11</v>
      </c>
      <c r="H171" s="99">
        <f>G171+'5'!H171</f>
        <v>68</v>
      </c>
      <c r="I171" s="155"/>
      <c r="J171" s="178">
        <f>H171/DAY(B2)</f>
        <v>11.333333333333334</v>
      </c>
    </row>
    <row r="172" spans="1:10" ht="27.75" x14ac:dyDescent="0.5">
      <c r="A172" s="743" t="s">
        <v>76</v>
      </c>
      <c r="B172" s="783"/>
      <c r="C172" s="744"/>
      <c r="D172" s="228" t="s">
        <v>142</v>
      </c>
      <c r="E172" s="95">
        <f>'5'!F172</f>
        <v>20519</v>
      </c>
      <c r="F172" s="155">
        <v>20530</v>
      </c>
      <c r="G172" s="155">
        <f t="shared" si="14"/>
        <v>11</v>
      </c>
      <c r="H172" s="99">
        <f>G172+'5'!H172</f>
        <v>61</v>
      </c>
      <c r="I172" s="155"/>
      <c r="J172" s="178">
        <f>H172/DAY(B2)</f>
        <v>10.166666666666666</v>
      </c>
    </row>
    <row r="173" spans="1:10" ht="27.75" x14ac:dyDescent="0.5">
      <c r="A173" s="732" t="s">
        <v>196</v>
      </c>
      <c r="B173" s="733"/>
      <c r="C173" s="353"/>
      <c r="D173" s="228"/>
      <c r="E173" s="95">
        <f>'5'!F173</f>
        <v>0</v>
      </c>
      <c r="F173" s="155"/>
      <c r="G173" s="155">
        <f>SUM(G170:G172)</f>
        <v>22</v>
      </c>
      <c r="H173" s="99">
        <f>G173+'5'!H173</f>
        <v>129</v>
      </c>
      <c r="I173" s="155"/>
      <c r="J173" s="178">
        <f>H173/DAY(B2)</f>
        <v>21.5</v>
      </c>
    </row>
    <row r="174" spans="1:10" ht="27.75" x14ac:dyDescent="0.5">
      <c r="A174" s="743" t="s">
        <v>77</v>
      </c>
      <c r="B174" s="744"/>
      <c r="C174" s="353"/>
      <c r="D174" s="228" t="s">
        <v>142</v>
      </c>
      <c r="E174" s="95">
        <f>'5'!F174</f>
        <v>0</v>
      </c>
      <c r="F174" s="155"/>
      <c r="G174" s="155"/>
      <c r="H174" s="99">
        <f>G174+'5'!H174</f>
        <v>0</v>
      </c>
      <c r="I174" s="155"/>
      <c r="J174" s="178">
        <f>H174/DAY(B2)</f>
        <v>0</v>
      </c>
    </row>
    <row r="175" spans="1:10" ht="27.75" x14ac:dyDescent="0.5">
      <c r="A175" s="743" t="s">
        <v>210</v>
      </c>
      <c r="B175" s="744"/>
      <c r="C175" s="353"/>
      <c r="D175" s="228" t="s">
        <v>142</v>
      </c>
      <c r="E175" s="95">
        <f>'5'!F175</f>
        <v>72340</v>
      </c>
      <c r="F175" s="155">
        <v>72426</v>
      </c>
      <c r="G175" s="155">
        <f>F175-E175</f>
        <v>86</v>
      </c>
      <c r="H175" s="99">
        <f>G175+'5'!H175</f>
        <v>492</v>
      </c>
      <c r="I175" s="155"/>
      <c r="J175" s="178">
        <f>H175/DAY(B2)</f>
        <v>82</v>
      </c>
    </row>
    <row r="176" spans="1:10" ht="27.75" x14ac:dyDescent="0.5">
      <c r="A176" s="743" t="s">
        <v>211</v>
      </c>
      <c r="B176" s="744"/>
      <c r="C176" s="353"/>
      <c r="D176" s="228" t="s">
        <v>142</v>
      </c>
      <c r="E176" s="95">
        <f>'5'!F176</f>
        <v>33886</v>
      </c>
      <c r="F176" s="155">
        <v>33886</v>
      </c>
      <c r="G176" s="155">
        <f t="shared" ref="G176:G177" si="15">F176-E176</f>
        <v>0</v>
      </c>
      <c r="H176" s="99">
        <f>G176+'5'!H176</f>
        <v>0</v>
      </c>
      <c r="I176" s="155"/>
      <c r="J176" s="178">
        <f>H176/DAY(B2)</f>
        <v>0</v>
      </c>
    </row>
    <row r="177" spans="1:10" ht="27.75" x14ac:dyDescent="0.5">
      <c r="A177" s="743" t="s">
        <v>212</v>
      </c>
      <c r="B177" s="744"/>
      <c r="C177" s="353"/>
      <c r="D177" s="228" t="s">
        <v>142</v>
      </c>
      <c r="E177" s="95">
        <f>'5'!F177</f>
        <v>4847</v>
      </c>
      <c r="F177" s="155">
        <v>4851</v>
      </c>
      <c r="G177" s="155">
        <f t="shared" si="15"/>
        <v>4</v>
      </c>
      <c r="H177" s="99">
        <f>G177+'5'!H177</f>
        <v>20</v>
      </c>
      <c r="I177" s="155"/>
      <c r="J177" s="178">
        <f>H177/DAY(B2)</f>
        <v>3.3333333333333335</v>
      </c>
    </row>
    <row r="178" spans="1:10" ht="27.75" x14ac:dyDescent="0.5">
      <c r="A178" s="745" t="s">
        <v>108</v>
      </c>
      <c r="B178" s="746"/>
      <c r="C178" s="353"/>
      <c r="D178" s="228"/>
      <c r="E178" s="95">
        <f>'5'!F178</f>
        <v>0</v>
      </c>
      <c r="F178" s="155"/>
      <c r="G178" s="155">
        <f>SUM(G175:G177)</f>
        <v>90</v>
      </c>
      <c r="H178" s="99">
        <f>G178+'5'!H178</f>
        <v>512</v>
      </c>
      <c r="I178" s="155"/>
      <c r="J178" s="178">
        <f>H178/DAY(B2)</f>
        <v>85.333333333333329</v>
      </c>
    </row>
    <row r="179" spans="1:10" ht="27.75" x14ac:dyDescent="0.5">
      <c r="A179" s="743" t="s">
        <v>213</v>
      </c>
      <c r="B179" s="744"/>
      <c r="C179" s="353"/>
      <c r="D179" s="228"/>
      <c r="E179" s="95">
        <f>'5'!F179</f>
        <v>0</v>
      </c>
      <c r="F179" s="155"/>
      <c r="G179" s="155"/>
      <c r="H179" s="99">
        <f>G179+'5'!H179</f>
        <v>0</v>
      </c>
      <c r="I179" s="155"/>
      <c r="J179" s="178">
        <f>H179/DAY(B2)</f>
        <v>0</v>
      </c>
    </row>
    <row r="180" spans="1:10" ht="27.75" x14ac:dyDescent="0.5">
      <c r="A180" s="743" t="s">
        <v>214</v>
      </c>
      <c r="B180" s="744"/>
      <c r="C180" s="354"/>
      <c r="D180" s="228" t="s">
        <v>142</v>
      </c>
      <c r="E180" s="95">
        <f>'5'!F180</f>
        <v>13624</v>
      </c>
      <c r="F180" s="157">
        <v>13636</v>
      </c>
      <c r="G180" s="157">
        <f>F180-E180</f>
        <v>12</v>
      </c>
      <c r="H180" s="99">
        <f>G180+'5'!H180</f>
        <v>99</v>
      </c>
      <c r="I180" s="155"/>
      <c r="J180" s="178">
        <f>H180/DAY(B2)</f>
        <v>16.5</v>
      </c>
    </row>
    <row r="181" spans="1:10" ht="27.75" x14ac:dyDescent="0.5">
      <c r="A181" s="743" t="s">
        <v>215</v>
      </c>
      <c r="B181" s="744"/>
      <c r="C181" s="354"/>
      <c r="D181" s="228" t="s">
        <v>142</v>
      </c>
      <c r="E181" s="95">
        <f>'5'!F181</f>
        <v>9486</v>
      </c>
      <c r="F181" s="157">
        <v>9496</v>
      </c>
      <c r="G181" s="157">
        <f t="shared" ref="G181:G182" si="16">F181-E181</f>
        <v>10</v>
      </c>
      <c r="H181" s="99">
        <f>G181+'5'!H181</f>
        <v>48</v>
      </c>
      <c r="I181" s="155"/>
      <c r="J181" s="178">
        <f>H181/DAY(B2)</f>
        <v>8</v>
      </c>
    </row>
    <row r="182" spans="1:10" ht="27.75" x14ac:dyDescent="0.5">
      <c r="A182" s="743" t="s">
        <v>216</v>
      </c>
      <c r="B182" s="744"/>
      <c r="C182" s="354"/>
      <c r="D182" s="228" t="s">
        <v>142</v>
      </c>
      <c r="E182" s="95">
        <f>'5'!F182</f>
        <v>0</v>
      </c>
      <c r="F182" s="157"/>
      <c r="G182" s="157">
        <f t="shared" si="16"/>
        <v>0</v>
      </c>
      <c r="H182" s="99">
        <f>G182+'5'!H182</f>
        <v>0</v>
      </c>
      <c r="I182" s="155"/>
      <c r="J182" s="178">
        <f>H182/DAY(B2)</f>
        <v>0</v>
      </c>
    </row>
    <row r="183" spans="1:10" ht="27.75" x14ac:dyDescent="0.5">
      <c r="A183" s="732" t="s">
        <v>196</v>
      </c>
      <c r="B183" s="733"/>
      <c r="C183" s="354"/>
      <c r="D183" s="229"/>
      <c r="E183" s="95"/>
      <c r="F183" s="157"/>
      <c r="G183" s="157">
        <f>SUM(G180:G182)</f>
        <v>22</v>
      </c>
      <c r="H183" s="99">
        <f>G183+'5'!H183</f>
        <v>147</v>
      </c>
      <c r="I183" s="157"/>
      <c r="J183" s="178">
        <f>H183/DAY(B2)</f>
        <v>24.5</v>
      </c>
    </row>
    <row r="184" spans="1:10" ht="27.75" x14ac:dyDescent="0.5">
      <c r="A184" s="734" t="s">
        <v>217</v>
      </c>
      <c r="B184" s="735"/>
      <c r="C184" s="353"/>
      <c r="D184" s="230" t="s">
        <v>142</v>
      </c>
      <c r="E184" s="95"/>
      <c r="F184" s="159"/>
      <c r="G184" s="588">
        <f>G62+G19</f>
        <v>170</v>
      </c>
      <c r="H184" s="99">
        <f>G184+'5'!H184</f>
        <v>1011</v>
      </c>
      <c r="I184" s="158"/>
      <c r="J184" s="179">
        <f>H184/DAY(B2)</f>
        <v>168.5</v>
      </c>
    </row>
    <row r="185" spans="1:10" ht="27.75" x14ac:dyDescent="0.5">
      <c r="A185" s="734" t="s">
        <v>218</v>
      </c>
      <c r="B185" s="735"/>
      <c r="C185" s="353"/>
      <c r="D185" s="230" t="s">
        <v>142</v>
      </c>
      <c r="E185" s="95"/>
      <c r="F185" s="159"/>
      <c r="G185" s="588">
        <f>G65+G66+G67+G69+G70</f>
        <v>172</v>
      </c>
      <c r="H185" s="99">
        <f>G185+'5'!H185</f>
        <v>990</v>
      </c>
      <c r="I185" s="158"/>
      <c r="J185" s="179">
        <f>H185/DAY(B2)</f>
        <v>165</v>
      </c>
    </row>
    <row r="186" spans="1:10" ht="27.75" x14ac:dyDescent="0.5">
      <c r="A186" s="734" t="s">
        <v>219</v>
      </c>
      <c r="B186" s="735"/>
      <c r="C186" s="353"/>
      <c r="D186" s="230" t="s">
        <v>142</v>
      </c>
      <c r="E186" s="95"/>
      <c r="F186" s="157"/>
      <c r="G186" s="585">
        <f>G178</f>
        <v>90</v>
      </c>
      <c r="H186" s="99">
        <f>G186+'5'!H186</f>
        <v>512</v>
      </c>
      <c r="I186" s="158"/>
      <c r="J186" s="179">
        <f>H186/DAY(B2)</f>
        <v>85.333333333333329</v>
      </c>
    </row>
    <row r="187" spans="1:10" ht="27.75" x14ac:dyDescent="0.5">
      <c r="A187" s="741"/>
      <c r="B187" s="742"/>
      <c r="C187" s="601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72:C172"/>
    <mergeCell ref="A178:B178"/>
    <mergeCell ref="A165:B165"/>
    <mergeCell ref="A168:J168"/>
    <mergeCell ref="A169:B169"/>
    <mergeCell ref="A170:B170"/>
    <mergeCell ref="A171:B171"/>
    <mergeCell ref="A173:B173"/>
    <mergeCell ref="A174:B174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41:C141"/>
    <mergeCell ref="A142:C142"/>
    <mergeCell ref="A157:J157"/>
    <mergeCell ref="A163:B163"/>
    <mergeCell ref="A164:B164"/>
    <mergeCell ref="A135:C135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83:B183"/>
    <mergeCell ref="A184:B184"/>
    <mergeCell ref="A185:B185"/>
    <mergeCell ref="A186:B186"/>
    <mergeCell ref="A187:B187"/>
    <mergeCell ref="A175:B175"/>
    <mergeCell ref="A176:B176"/>
    <mergeCell ref="A177:B177"/>
    <mergeCell ref="A181:B181"/>
    <mergeCell ref="A182:B182"/>
    <mergeCell ref="A180:B180"/>
    <mergeCell ref="A179:B179"/>
  </mergeCells>
  <pageMargins left="0.22" right="0.17" top="0.14000000000000001" bottom="0.2" header="0.2" footer="0.2"/>
  <pageSetup paperSize="5" scale="1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67"/>
  <sheetViews>
    <sheetView view="pageBreakPreview" topLeftCell="A157" zoomScale="60" zoomScaleNormal="77" workbookViewId="0">
      <selection activeCell="A173" sqref="A173:D17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89" t="s">
        <v>115</v>
      </c>
      <c r="B1" s="790"/>
      <c r="C1" s="790"/>
      <c r="D1" s="790"/>
      <c r="E1" s="790"/>
      <c r="F1" s="790"/>
      <c r="G1" s="790"/>
      <c r="H1" s="790"/>
      <c r="I1" s="790"/>
      <c r="J1" s="791"/>
    </row>
    <row r="2" spans="1:15" s="57" customFormat="1" ht="27" x14ac:dyDescent="0.5">
      <c r="A2" s="191" t="s">
        <v>356</v>
      </c>
      <c r="B2" s="266">
        <v>44476</v>
      </c>
      <c r="C2" s="36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98" t="s">
        <v>119</v>
      </c>
      <c r="F3" s="79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92" t="s">
        <v>128</v>
      </c>
      <c r="B6" s="793"/>
      <c r="C6" s="79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'6'!F7</f>
        <v>108615</v>
      </c>
      <c r="F7" s="95">
        <v>130664.02</v>
      </c>
      <c r="G7" s="112">
        <f>F7-E7</f>
        <v>22049.020000000004</v>
      </c>
      <c r="H7" s="99">
        <f>G7+'6'!H7</f>
        <v>163421.61999999994</v>
      </c>
      <c r="I7" s="113">
        <f>'1'!I7</f>
        <v>12000</v>
      </c>
      <c r="J7" s="175">
        <f>H7/DAY(B2)</f>
        <v>23345.945714285706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'6'!F8</f>
        <v>124075</v>
      </c>
      <c r="F8" s="114">
        <v>146315.32</v>
      </c>
      <c r="G8" s="115">
        <f>F8-E8</f>
        <v>22240.320000000007</v>
      </c>
      <c r="H8" s="99">
        <f>G8+'6'!H8</f>
        <v>164598.31999999995</v>
      </c>
      <c r="I8" s="116"/>
      <c r="J8" s="175">
        <f>H8/DAY(B2)</f>
        <v>23514.045714285709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'6'!F9</f>
        <v>867720</v>
      </c>
      <c r="F9" s="117">
        <v>887486.83</v>
      </c>
      <c r="G9" s="112">
        <f>F9-E9</f>
        <v>19766.829999999958</v>
      </c>
      <c r="H9" s="99">
        <f>G9+'6'!H9</f>
        <v>156696.82999999996</v>
      </c>
      <c r="I9" s="124">
        <f>I7-J7</f>
        <v>-11345.945714285706</v>
      </c>
      <c r="J9" s="175">
        <f>H9/DAY(B2)</f>
        <v>22385.261428571423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'6'!F10</f>
        <v>0</v>
      </c>
      <c r="F10" s="117">
        <v>1632.8</v>
      </c>
      <c r="G10" s="112">
        <f t="shared" ref="G10:G12" si="0">F10-E10</f>
        <v>1632.8</v>
      </c>
      <c r="H10" s="99">
        <f>G10+'6'!H10</f>
        <v>1632.8</v>
      </c>
      <c r="I10" s="286"/>
      <c r="J10" s="175">
        <f>H10/DAY(B2)</f>
        <v>233.25714285714284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'6'!F11</f>
        <v>37000</v>
      </c>
      <c r="F11" s="95">
        <v>37000</v>
      </c>
      <c r="G11" s="112">
        <f t="shared" si="0"/>
        <v>0</v>
      </c>
      <c r="H11" s="99">
        <f>G11+'6'!H11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'6'!F12</f>
        <v>40010</v>
      </c>
      <c r="F12" s="117">
        <v>40010</v>
      </c>
      <c r="G12" s="112">
        <f t="shared" si="0"/>
        <v>0</v>
      </c>
      <c r="H12" s="99">
        <f>G12+'6'!H12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21399.629999999957</v>
      </c>
      <c r="H13" s="99">
        <f>G13+'6'!H13</f>
        <v>136783.87999999995</v>
      </c>
      <c r="I13" s="120">
        <f>G7-G13</f>
        <v>649.39000000004671</v>
      </c>
      <c r="J13" s="175">
        <f>H13/DAY(B2)</f>
        <v>19540.554285714279</v>
      </c>
      <c r="K13" s="79"/>
      <c r="L13" s="66"/>
      <c r="N13" s="87"/>
      <c r="O13" s="71"/>
    </row>
    <row r="14" spans="1:15" ht="29.25" x14ac:dyDescent="0.5">
      <c r="A14" s="795" t="s">
        <v>137</v>
      </c>
      <c r="B14" s="796"/>
      <c r="C14" s="79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'6'!F15</f>
        <v>1790334</v>
      </c>
      <c r="F15" s="123">
        <v>1791332.83</v>
      </c>
      <c r="G15" s="112">
        <f>(F15-E15)</f>
        <v>998.83000000007451</v>
      </c>
      <c r="H15" s="99">
        <f>G15+'6'!H15</f>
        <v>7124.8300000000745</v>
      </c>
      <c r="I15" s="113">
        <f>'1'!I15</f>
        <v>800</v>
      </c>
      <c r="J15" s="175">
        <f>H15/DAY(B2)</f>
        <v>1017.8328571428677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-217.83285714286774</v>
      </c>
      <c r="J16" s="176"/>
      <c r="K16" s="79"/>
      <c r="L16" s="66"/>
      <c r="N16" s="87"/>
      <c r="O16" s="71"/>
    </row>
    <row r="17" spans="1:15" ht="29.25" x14ac:dyDescent="0.5">
      <c r="A17" s="795" t="s">
        <v>140</v>
      </c>
      <c r="B17" s="796"/>
      <c r="C17" s="79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1" t="s">
        <v>141</v>
      </c>
      <c r="B18" s="772"/>
      <c r="C18" s="773"/>
      <c r="D18" s="151" t="s">
        <v>142</v>
      </c>
      <c r="E18" s="95">
        <f>'6'!F18</f>
        <v>18</v>
      </c>
      <c r="F18" s="122">
        <v>20</v>
      </c>
      <c r="G18" s="119">
        <f>F18*10</f>
        <v>200</v>
      </c>
      <c r="H18" s="99">
        <f>G18+'6'!H18</f>
        <v>1330</v>
      </c>
      <c r="I18" s="113">
        <f>'1'!I18</f>
        <v>65</v>
      </c>
      <c r="J18" s="175">
        <f>H18/DAY(B2)</f>
        <v>190</v>
      </c>
      <c r="K18" s="79"/>
      <c r="L18" s="66"/>
      <c r="N18" s="87"/>
      <c r="O18" s="71"/>
    </row>
    <row r="19" spans="1:15" ht="27.75" x14ac:dyDescent="0.5">
      <c r="A19" s="771" t="s">
        <v>69</v>
      </c>
      <c r="B19" s="772"/>
      <c r="C19" s="773"/>
      <c r="D19" s="151" t="s">
        <v>142</v>
      </c>
      <c r="E19" s="95">
        <f>'6'!F19</f>
        <v>147470</v>
      </c>
      <c r="F19" s="122">
        <v>147528</v>
      </c>
      <c r="G19" s="112">
        <f t="shared" ref="G19" si="1">F19-E19</f>
        <v>58</v>
      </c>
      <c r="H19" s="99">
        <f>G19+'6'!H19</f>
        <v>416</v>
      </c>
      <c r="I19" s="355"/>
      <c r="J19" s="175">
        <f>H19/DAY(B2)</f>
        <v>59.428571428571431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258</v>
      </c>
      <c r="H20" s="99">
        <f>G20+'6'!H20</f>
        <v>1746</v>
      </c>
      <c r="I20" s="356">
        <f>I18-J20</f>
        <v>-184.42857142857142</v>
      </c>
      <c r="J20" s="175">
        <f>H20/DAY(B2)</f>
        <v>249.42857142857142</v>
      </c>
      <c r="K20" s="79"/>
      <c r="L20" s="66"/>
      <c r="N20" s="87"/>
      <c r="O20" s="71"/>
    </row>
    <row r="21" spans="1:15" ht="29.25" x14ac:dyDescent="0.5">
      <c r="A21" s="795" t="s">
        <v>144</v>
      </c>
      <c r="B21" s="796"/>
      <c r="C21" s="79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'6'!F23</f>
        <v>2000</v>
      </c>
      <c r="F23" s="122">
        <v>2000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0" t="s">
        <v>149</v>
      </c>
      <c r="B25" s="801"/>
      <c r="C25" s="80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22240.320000000007</v>
      </c>
      <c r="F27" s="136">
        <v>9</v>
      </c>
      <c r="G27" s="137">
        <f>E27*F27</f>
        <v>200162.88000000006</v>
      </c>
      <c r="H27" s="99">
        <f>G27+'6'!H27</f>
        <v>1481384.8799999997</v>
      </c>
      <c r="I27" s="138"/>
      <c r="J27" s="175">
        <f>H27/DAY(B2)</f>
        <v>211626.41142857139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998.83000000007451</v>
      </c>
      <c r="F28" s="136">
        <v>52</v>
      </c>
      <c r="G28" s="137">
        <f>E28*F28</f>
        <v>51939.160000003874</v>
      </c>
      <c r="H28" s="99">
        <f>G28+'6'!H28</f>
        <v>370491.16000000387</v>
      </c>
      <c r="I28" s="140"/>
      <c r="J28" s="175">
        <f>H28/DAY(B2)</f>
        <v>52927.308571429123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58</v>
      </c>
      <c r="F30" s="136">
        <v>146</v>
      </c>
      <c r="G30" s="137">
        <f>E30*F30</f>
        <v>8468</v>
      </c>
      <c r="H30" s="99">
        <f>G30+'6'!H30</f>
        <v>60736</v>
      </c>
      <c r="I30" s="140"/>
      <c r="J30" s="175">
        <f>H30/DAY(B2)</f>
        <v>8676.5714285714294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G31+'6'!H31</f>
        <v>106400</v>
      </c>
      <c r="I31" s="140"/>
      <c r="J31" s="175">
        <f>H31/DAY(B2)</f>
        <v>15200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276570.04000000394</v>
      </c>
      <c r="H32" s="99">
        <f>G32+'6'!H32</f>
        <v>2019012.0400000035</v>
      </c>
      <c r="I32" s="144"/>
      <c r="J32" s="175">
        <f>H32/DAY(B2)</f>
        <v>288430.29142857192</v>
      </c>
      <c r="K32" s="63"/>
      <c r="L32" s="89"/>
      <c r="N32" s="87"/>
      <c r="O32" s="71"/>
    </row>
    <row r="33" spans="1:15" ht="25.5" customHeight="1" x14ac:dyDescent="0.35">
      <c r="A33" s="803" t="s">
        <v>331</v>
      </c>
      <c r="B33" s="804"/>
      <c r="C33" s="804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'6'!F35</f>
        <v>0</v>
      </c>
      <c r="F35" s="145">
        <v>0</v>
      </c>
      <c r="G35" s="112">
        <f t="shared" ref="G35:G46" si="3">F35-E35</f>
        <v>0</v>
      </c>
      <c r="H35" s="99">
        <f>G35+'6'!H35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'6'!F36</f>
        <v>29491</v>
      </c>
      <c r="F36" s="145">
        <v>30146.29</v>
      </c>
      <c r="G36" s="112">
        <f t="shared" si="3"/>
        <v>655.29000000000087</v>
      </c>
      <c r="H36" s="99">
        <f>G36+'6'!H36</f>
        <v>6269.2900000000009</v>
      </c>
      <c r="I36" s="95"/>
      <c r="J36" s="175">
        <f>H36/DAY(B2)</f>
        <v>895.61285714285725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'6'!F37</f>
        <v>64524</v>
      </c>
      <c r="F37" s="145">
        <v>66246.05</v>
      </c>
      <c r="G37" s="112">
        <f t="shared" si="3"/>
        <v>1722.0500000000029</v>
      </c>
      <c r="H37" s="99">
        <f>G37+'6'!H37</f>
        <v>12083.050000000003</v>
      </c>
      <c r="I37" s="95"/>
      <c r="J37" s="175">
        <f>H37/DAY(B2)</f>
        <v>1726.1500000000003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'6'!F38</f>
        <v>68667</v>
      </c>
      <c r="F38" s="108">
        <v>70452.06</v>
      </c>
      <c r="G38" s="112">
        <f t="shared" si="3"/>
        <v>1785.0599999999977</v>
      </c>
      <c r="H38" s="99">
        <f>G38+'6'!H38</f>
        <v>13326.059999999998</v>
      </c>
      <c r="I38" s="95"/>
      <c r="J38" s="175">
        <f>H38/DAY(B2)</f>
        <v>1903.7228571428568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'6'!F39</f>
        <v>147986</v>
      </c>
      <c r="F39" s="145">
        <v>152076.26</v>
      </c>
      <c r="G39" s="112">
        <f t="shared" si="3"/>
        <v>4090.2600000000093</v>
      </c>
      <c r="H39" s="99">
        <f>G39+'6'!H39</f>
        <v>29185.260000000009</v>
      </c>
      <c r="I39" s="95"/>
      <c r="J39" s="175">
        <f>H39/DAY(B2)</f>
        <v>4169.3228571428581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'6'!F40</f>
        <v>0</v>
      </c>
      <c r="F40" s="145">
        <v>0</v>
      </c>
      <c r="G40" s="112">
        <f t="shared" si="3"/>
        <v>0</v>
      </c>
      <c r="H40" s="99">
        <f>G40+'6'!H40</f>
        <v>0</v>
      </c>
      <c r="I40" s="95"/>
      <c r="J40" s="175">
        <f>H40/DAY(B2)</f>
        <v>0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'6'!F41</f>
        <v>517209</v>
      </c>
      <c r="F41" s="145">
        <v>522420.71</v>
      </c>
      <c r="G41" s="112">
        <f t="shared" si="3"/>
        <v>5211.710000000021</v>
      </c>
      <c r="H41" s="99">
        <f>G41+'6'!H41</f>
        <v>33201.119999999995</v>
      </c>
      <c r="I41" s="95"/>
      <c r="J41" s="175">
        <f>H41/DAY(B2)</f>
        <v>4743.0171428571421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'6'!F42</f>
        <v>252002</v>
      </c>
      <c r="F42" s="145">
        <v>253201.65</v>
      </c>
      <c r="G42" s="112">
        <f t="shared" si="3"/>
        <v>1199.6499999999942</v>
      </c>
      <c r="H42" s="99">
        <f>G42+'6'!H42</f>
        <v>9018.6499999999942</v>
      </c>
      <c r="I42" s="95"/>
      <c r="J42" s="175">
        <f>H42/DAY(B2)</f>
        <v>1288.3785714285707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'6'!F43</f>
        <v>1377981</v>
      </c>
      <c r="F43" s="145">
        <v>1380308</v>
      </c>
      <c r="G43" s="112">
        <f t="shared" si="3"/>
        <v>2327</v>
      </c>
      <c r="H43" s="99">
        <f>G43+'6'!H43</f>
        <v>16350</v>
      </c>
      <c r="I43" s="95"/>
      <c r="J43" s="175">
        <f>H43/DAY(B2)</f>
        <v>2335.7142857142858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16991.020000000026</v>
      </c>
      <c r="H47" s="99">
        <f>G47+'6'!H47</f>
        <v>119433.43</v>
      </c>
      <c r="I47" s="95"/>
      <c r="J47" s="175">
        <f>H47/DAY(B2)</f>
        <v>17061.91857142857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'6'!F49</f>
        <v>117200</v>
      </c>
      <c r="F49" s="145">
        <v>120625.48</v>
      </c>
      <c r="G49" s="112">
        <f t="shared" ref="G49:G58" si="4">F49-E49</f>
        <v>3425.4799999999959</v>
      </c>
      <c r="H49" s="99">
        <f>G49+'6'!H49</f>
        <v>29429.099999999991</v>
      </c>
      <c r="I49" s="95"/>
      <c r="J49" s="175">
        <f>H49/DAY(B2)</f>
        <v>4204.1571428571415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'6'!F50</f>
        <v>651524</v>
      </c>
      <c r="F50" s="145">
        <v>653021.39</v>
      </c>
      <c r="G50" s="112">
        <f t="shared" si="4"/>
        <v>1497.390000000014</v>
      </c>
      <c r="H50" s="99">
        <f>G50+'6'!H50</f>
        <v>9531.390000000014</v>
      </c>
      <c r="I50" s="95"/>
      <c r="J50" s="175">
        <f>H50/DAY(B2)</f>
        <v>1361.6271428571449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'6'!F51</f>
        <v>0</v>
      </c>
      <c r="F51" s="145">
        <v>0</v>
      </c>
      <c r="G51" s="112">
        <f t="shared" si="4"/>
        <v>0</v>
      </c>
      <c r="H51" s="99">
        <f>G51+'6'!H51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'6'!F52</f>
        <v>0</v>
      </c>
      <c r="F52" s="145">
        <v>0</v>
      </c>
      <c r="G52" s="112">
        <f t="shared" si="4"/>
        <v>0</v>
      </c>
      <c r="H52" s="99">
        <f>G52+'6'!H52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'6'!F53</f>
        <v>0</v>
      </c>
      <c r="F53" s="145">
        <v>0</v>
      </c>
      <c r="G53" s="112">
        <f t="shared" si="4"/>
        <v>0</v>
      </c>
      <c r="H53" s="99">
        <f>G53+'6'!H53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'6'!F54</f>
        <v>2755</v>
      </c>
      <c r="F54" s="145">
        <v>2759.74</v>
      </c>
      <c r="G54" s="112">
        <f t="shared" si="4"/>
        <v>4.7399999999997817</v>
      </c>
      <c r="H54" s="99">
        <f>G54+'6'!H54</f>
        <v>27.739999999999782</v>
      </c>
      <c r="I54" s="95"/>
      <c r="J54" s="175">
        <f>H54/DAY(B2)</f>
        <v>3.9628571428571115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'6'!F55</f>
        <v>307299</v>
      </c>
      <c r="F55" s="145">
        <v>307299</v>
      </c>
      <c r="G55" s="112">
        <f t="shared" si="4"/>
        <v>0</v>
      </c>
      <c r="H55" s="99">
        <f>G55+'6'!H55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'6'!F56</f>
        <v>750324</v>
      </c>
      <c r="F56" s="145">
        <v>750337.75</v>
      </c>
      <c r="G56" s="112">
        <f t="shared" si="4"/>
        <v>13.75</v>
      </c>
      <c r="H56" s="99">
        <f>G56+'6'!H56</f>
        <v>8567.75</v>
      </c>
      <c r="I56" s="95"/>
      <c r="J56" s="175">
        <f>H56/DAY(B2)</f>
        <v>1223.9642857142858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'6'!F57</f>
        <v>0</v>
      </c>
      <c r="F57" s="145">
        <v>0</v>
      </c>
      <c r="G57" s="112">
        <f t="shared" si="4"/>
        <v>0</v>
      </c>
      <c r="H57" s="99">
        <f>G57+'6'!H57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'6'!F58</f>
        <v>73534</v>
      </c>
      <c r="F58" s="145">
        <v>73747.19</v>
      </c>
      <c r="G58" s="112">
        <f t="shared" si="4"/>
        <v>213.19000000000233</v>
      </c>
      <c r="H58" s="99">
        <f>G58+'6'!H58</f>
        <v>1592.1900000000023</v>
      </c>
      <c r="I58" s="95"/>
      <c r="J58" s="175">
        <f>H58/DAY(B2)</f>
        <v>227.45571428571461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5154.550000000012</v>
      </c>
      <c r="H59" s="99">
        <f>G59+'6'!H59</f>
        <v>49148.170000000006</v>
      </c>
      <c r="I59" s="95">
        <f>G7-G60</f>
        <v>-96.550000000032014</v>
      </c>
      <c r="J59" s="175">
        <f>H59/DAY(B2)</f>
        <v>7021.1671428571435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22145.570000000036</v>
      </c>
      <c r="H60" s="99">
        <f>G60+'6'!H60</f>
        <v>168581.6</v>
      </c>
      <c r="I60" s="95">
        <f>G13-G60</f>
        <v>-745.94000000007873</v>
      </c>
      <c r="J60" s="175">
        <f>H60/DAY(B2)</f>
        <v>24083.085714285717</v>
      </c>
      <c r="K60" s="79"/>
      <c r="L60" s="66"/>
      <c r="N60" s="87"/>
      <c r="O60" s="71"/>
    </row>
    <row r="61" spans="1:15" s="68" customFormat="1" ht="27.75" x14ac:dyDescent="0.5">
      <c r="A61" s="805" t="s">
        <v>332</v>
      </c>
      <c r="B61" s="806"/>
      <c r="C61" s="807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1" t="s">
        <v>198</v>
      </c>
      <c r="B62" s="772"/>
      <c r="C62" s="773"/>
      <c r="D62" s="151" t="s">
        <v>142</v>
      </c>
      <c r="E62" s="95">
        <f>'6'!F62</f>
        <v>257006</v>
      </c>
      <c r="F62" s="122">
        <v>257111</v>
      </c>
      <c r="G62" s="112">
        <f t="shared" ref="G62:G63" si="5">F62-E62</f>
        <v>105</v>
      </c>
      <c r="H62" s="99">
        <f>G62+'6'!H62</f>
        <v>758</v>
      </c>
      <c r="I62" s="118"/>
      <c r="J62" s="175">
        <f>H62/DAY(B2)</f>
        <v>108.28571428571429</v>
      </c>
      <c r="K62" s="80"/>
      <c r="L62" s="66"/>
      <c r="N62" s="87"/>
      <c r="O62" s="71"/>
    </row>
    <row r="63" spans="1:15" ht="27.75" x14ac:dyDescent="0.5">
      <c r="A63" s="771" t="s">
        <v>199</v>
      </c>
      <c r="B63" s="772"/>
      <c r="C63" s="773"/>
      <c r="D63" s="151" t="s">
        <v>142</v>
      </c>
      <c r="E63" s="95">
        <f>'6'!F63</f>
        <v>203371</v>
      </c>
      <c r="F63" s="122">
        <v>203406</v>
      </c>
      <c r="G63" s="112">
        <f t="shared" si="5"/>
        <v>35</v>
      </c>
      <c r="H63" s="99">
        <f>G63+'6'!H63</f>
        <v>880</v>
      </c>
      <c r="I63" s="118"/>
      <c r="J63" s="175">
        <f>H63/DAY(B2)</f>
        <v>125.71428571428571</v>
      </c>
      <c r="K63" s="69"/>
      <c r="L63" s="66"/>
      <c r="N63" s="87"/>
      <c r="O63" s="71"/>
    </row>
    <row r="64" spans="1:15" ht="29.25" x14ac:dyDescent="0.5">
      <c r="A64" s="780" t="s">
        <v>200</v>
      </c>
      <c r="B64" s="781"/>
      <c r="C64" s="782"/>
      <c r="D64" s="151"/>
      <c r="E64" s="95">
        <f>'6'!F64</f>
        <v>0</v>
      </c>
      <c r="F64" s="122"/>
      <c r="G64" s="112">
        <f>G62+G63</f>
        <v>140</v>
      </c>
      <c r="H64" s="99">
        <f>G64+'6'!H64</f>
        <v>1638</v>
      </c>
      <c r="I64" s="118"/>
      <c r="J64" s="175">
        <f>H64/DAY(B2)</f>
        <v>234</v>
      </c>
      <c r="K64" s="69"/>
      <c r="L64" s="66"/>
      <c r="N64" s="87"/>
      <c r="O64" s="71"/>
    </row>
    <row r="65" spans="1:15" ht="27.75" x14ac:dyDescent="0.5">
      <c r="A65" s="771" t="s">
        <v>201</v>
      </c>
      <c r="B65" s="772"/>
      <c r="C65" s="773"/>
      <c r="D65" s="151" t="s">
        <v>142</v>
      </c>
      <c r="E65" s="95">
        <f>'6'!F65</f>
        <v>423823</v>
      </c>
      <c r="F65" s="122">
        <v>423922</v>
      </c>
      <c r="G65" s="112">
        <f t="shared" ref="G65:G70" si="6">F65-E65</f>
        <v>99</v>
      </c>
      <c r="H65" s="99">
        <f>G65+'6'!H65</f>
        <v>633</v>
      </c>
      <c r="I65" s="118"/>
      <c r="J65" s="175">
        <f>H65/DAY(B2)</f>
        <v>90.428571428571431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'6'!F66</f>
        <v>105450</v>
      </c>
      <c r="F66" s="122">
        <v>105467</v>
      </c>
      <c r="G66" s="112">
        <f t="shared" si="6"/>
        <v>17</v>
      </c>
      <c r="H66" s="99">
        <f>G66+'6'!H66</f>
        <v>153</v>
      </c>
      <c r="I66" s="118"/>
      <c r="J66" s="175">
        <f>H66/DAY(B2)</f>
        <v>21.857142857142858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'6'!F67</f>
        <v>101459</v>
      </c>
      <c r="F67" s="122">
        <v>101485</v>
      </c>
      <c r="G67" s="112">
        <f t="shared" si="6"/>
        <v>26</v>
      </c>
      <c r="H67" s="99">
        <f>G67+'6'!H67</f>
        <v>201</v>
      </c>
      <c r="I67" s="118"/>
      <c r="J67" s="175">
        <f>H67/DAY(B2)</f>
        <v>28.714285714285715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'6'!F68</f>
        <v>153385</v>
      </c>
      <c r="F68" s="122">
        <v>153426</v>
      </c>
      <c r="G68" s="112">
        <f t="shared" si="6"/>
        <v>41</v>
      </c>
      <c r="H68" s="99">
        <f>G68+'6'!H68</f>
        <v>313</v>
      </c>
      <c r="I68" s="118"/>
      <c r="J68" s="175">
        <f>H68/DAY(B2)</f>
        <v>44.714285714285715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'6'!F69</f>
        <v>9139</v>
      </c>
      <c r="F69" s="122">
        <v>9150</v>
      </c>
      <c r="G69" s="112">
        <f t="shared" si="6"/>
        <v>11</v>
      </c>
      <c r="H69" s="99">
        <f>G69+'6'!H69</f>
        <v>93</v>
      </c>
      <c r="I69" s="118"/>
      <c r="J69" s="175">
        <f>H69/DAY(B2)</f>
        <v>13.285714285714286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'6'!F70</f>
        <v>6867</v>
      </c>
      <c r="F70" s="122">
        <v>6876</v>
      </c>
      <c r="G70" s="112">
        <f t="shared" si="6"/>
        <v>9</v>
      </c>
      <c r="H70" s="99">
        <f>G70+'6'!H70</f>
        <v>72</v>
      </c>
      <c r="I70" s="118"/>
      <c r="J70" s="175">
        <f>H70/DAY(B2)</f>
        <v>10.285714285714286</v>
      </c>
      <c r="K70" s="69"/>
      <c r="L70" s="66"/>
      <c r="N70" s="87"/>
      <c r="O70" s="71"/>
    </row>
    <row r="71" spans="1:15" ht="29.25" x14ac:dyDescent="0.5">
      <c r="A71" s="780" t="s">
        <v>208</v>
      </c>
      <c r="B71" s="781"/>
      <c r="C71" s="782"/>
      <c r="D71" s="152"/>
      <c r="E71" s="152"/>
      <c r="F71" s="152"/>
      <c r="G71" s="153">
        <f>SUM(G65:G70)</f>
        <v>203</v>
      </c>
      <c r="H71" s="99">
        <f>G71+'6'!H71</f>
        <v>1465</v>
      </c>
      <c r="I71" s="154"/>
      <c r="J71" s="175">
        <f>H71/DAY(B2)</f>
        <v>209.28571428571428</v>
      </c>
      <c r="K71" s="69"/>
      <c r="L71" s="66"/>
      <c r="N71" s="87"/>
      <c r="O71" s="71"/>
    </row>
    <row r="72" spans="1:15" s="88" customFormat="1" ht="27.75" x14ac:dyDescent="0.5">
      <c r="A72" s="767"/>
      <c r="B72" s="752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77" t="s">
        <v>333</v>
      </c>
      <c r="B73" s="778"/>
      <c r="C73" s="779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1" t="s">
        <v>220</v>
      </c>
      <c r="B74" s="772"/>
      <c r="C74" s="773"/>
      <c r="D74" s="151" t="s">
        <v>139</v>
      </c>
      <c r="E74" s="95">
        <f>'6'!F74</f>
        <v>866280</v>
      </c>
      <c r="F74" s="123">
        <v>866578.03</v>
      </c>
      <c r="G74" s="112">
        <f t="shared" ref="G74:G78" si="7">F74-E74</f>
        <v>298.03000000002794</v>
      </c>
      <c r="H74" s="99">
        <f>G74+'6'!H74</f>
        <v>2070.0300000000279</v>
      </c>
      <c r="I74" s="154"/>
      <c r="J74" s="175">
        <f>H74/DAY(B2)</f>
        <v>295.71857142857544</v>
      </c>
      <c r="K74" s="69"/>
      <c r="L74" s="66"/>
      <c r="N74" s="87"/>
      <c r="O74" s="71"/>
    </row>
    <row r="75" spans="1:15" ht="27.75" x14ac:dyDescent="0.5">
      <c r="A75" s="771" t="s">
        <v>221</v>
      </c>
      <c r="B75" s="772"/>
      <c r="C75" s="773"/>
      <c r="D75" s="151" t="s">
        <v>139</v>
      </c>
      <c r="E75" s="95">
        <f>'6'!F75</f>
        <v>73583.399999999994</v>
      </c>
      <c r="F75" s="123">
        <v>73583.399999999994</v>
      </c>
      <c r="G75" s="112">
        <f t="shared" si="7"/>
        <v>0</v>
      </c>
      <c r="H75" s="99">
        <f>G75+'6'!H75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68" t="s">
        <v>222</v>
      </c>
      <c r="B76" s="769"/>
      <c r="C76" s="770"/>
      <c r="D76" s="151" t="s">
        <v>139</v>
      </c>
      <c r="E76" s="95">
        <f>'6'!F76</f>
        <v>157490</v>
      </c>
      <c r="F76" s="123">
        <v>157577.07999999999</v>
      </c>
      <c r="G76" s="112">
        <f t="shared" si="7"/>
        <v>87.079999999987194</v>
      </c>
      <c r="H76" s="99">
        <f>G76+'6'!H76</f>
        <v>765.07999999998719</v>
      </c>
      <c r="I76" s="154"/>
      <c r="J76" s="175">
        <f>H76/DAY(B2)</f>
        <v>109.29714285714103</v>
      </c>
      <c r="K76" s="69"/>
      <c r="L76" s="66"/>
      <c r="N76" s="87"/>
      <c r="O76" s="71"/>
    </row>
    <row r="77" spans="1:15" ht="27.75" x14ac:dyDescent="0.5">
      <c r="A77" s="768" t="s">
        <v>223</v>
      </c>
      <c r="B77" s="769"/>
      <c r="C77" s="770"/>
      <c r="D77" s="151" t="s">
        <v>139</v>
      </c>
      <c r="E77" s="95">
        <f>'6'!F77</f>
        <v>36322</v>
      </c>
      <c r="F77" s="123">
        <v>36364.699999999997</v>
      </c>
      <c r="G77" s="112">
        <f t="shared" si="7"/>
        <v>42.69999999999709</v>
      </c>
      <c r="H77" s="99">
        <f>G77+'6'!H77</f>
        <v>360.69999999999709</v>
      </c>
      <c r="I77" s="154"/>
      <c r="J77" s="175">
        <f>H77/DAY(B2)</f>
        <v>51.528571428571013</v>
      </c>
      <c r="K77" s="69"/>
      <c r="L77" s="66"/>
      <c r="N77" s="87"/>
      <c r="O77" s="71"/>
    </row>
    <row r="78" spans="1:15" ht="27.75" x14ac:dyDescent="0.5">
      <c r="A78" s="768" t="s">
        <v>224</v>
      </c>
      <c r="B78" s="769"/>
      <c r="C78" s="770"/>
      <c r="D78" s="151" t="s">
        <v>139</v>
      </c>
      <c r="E78" s="95">
        <f>'6'!F78</f>
        <v>9264</v>
      </c>
      <c r="F78" s="123">
        <v>9268.1</v>
      </c>
      <c r="G78" s="112">
        <f t="shared" si="7"/>
        <v>4.1000000000003638</v>
      </c>
      <c r="H78" s="99">
        <f>G78+'6'!H78</f>
        <v>20.100000000000364</v>
      </c>
      <c r="I78" s="118"/>
      <c r="J78" s="175">
        <f>H78/DAY(B2)</f>
        <v>2.8714285714286234</v>
      </c>
      <c r="K78" s="69"/>
      <c r="L78" s="66"/>
      <c r="N78" s="87"/>
      <c r="O78" s="71"/>
    </row>
    <row r="79" spans="1:15" s="57" customFormat="1" ht="27.75" x14ac:dyDescent="0.5">
      <c r="A79" s="768" t="s">
        <v>225</v>
      </c>
      <c r="B79" s="769"/>
      <c r="C79" s="770"/>
      <c r="D79" s="151"/>
      <c r="E79" s="95">
        <f>'6'!F79</f>
        <v>0</v>
      </c>
      <c r="F79" s="123"/>
      <c r="G79" s="112">
        <f>G15-SUM(G74:G78)</f>
        <v>566.92000000006192</v>
      </c>
      <c r="H79" s="99">
        <f>G79+'6'!H79</f>
        <v>3908.9200000000619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0" t="s">
        <v>329</v>
      </c>
      <c r="B80" s="781"/>
      <c r="C80" s="782"/>
      <c r="D80" s="151"/>
      <c r="E80" s="117"/>
      <c r="F80" s="117"/>
      <c r="G80" s="112">
        <f>SUM(G74:G79)</f>
        <v>998.83000000007451</v>
      </c>
      <c r="H80" s="99">
        <f>G80+'6'!H80</f>
        <v>998.83000000007451</v>
      </c>
      <c r="I80" s="118"/>
      <c r="J80" s="175"/>
      <c r="K80" s="59"/>
      <c r="L80" s="58"/>
      <c r="N80" s="87"/>
      <c r="O80" s="71"/>
    </row>
    <row r="81" spans="1:15" ht="27" x14ac:dyDescent="0.4">
      <c r="A81" s="785" t="s">
        <v>226</v>
      </c>
      <c r="B81" s="786"/>
      <c r="C81" s="78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'6'!F82</f>
        <v>0</v>
      </c>
      <c r="F82" s="122"/>
      <c r="G82" s="112">
        <f t="shared" ref="G82:G92" si="8">F82-E82</f>
        <v>0</v>
      </c>
      <c r="H82" s="99">
        <f>G82+'6'!H82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'6'!F83</f>
        <v>0</v>
      </c>
      <c r="F83" s="122"/>
      <c r="G83" s="112">
        <f t="shared" si="8"/>
        <v>0</v>
      </c>
      <c r="H83" s="99">
        <f>G83+'6'!H83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'6'!F84</f>
        <v>41283</v>
      </c>
      <c r="F84" s="164">
        <v>41308.17</v>
      </c>
      <c r="G84" s="112">
        <f t="shared" si="8"/>
        <v>25.169999999998254</v>
      </c>
      <c r="H84" s="99">
        <f>G84+'6'!H84</f>
        <v>146.16999999999825</v>
      </c>
      <c r="I84" s="118"/>
      <c r="J84" s="175">
        <f>H84/DAY(B2)</f>
        <v>20.881428571428323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'6'!F85</f>
        <v>1214</v>
      </c>
      <c r="F85" s="164">
        <v>1220.02</v>
      </c>
      <c r="G85" s="112">
        <f t="shared" si="8"/>
        <v>6.0199999999999818</v>
      </c>
      <c r="H85" s="99">
        <f>G85+'6'!H85</f>
        <v>41.019999999999982</v>
      </c>
      <c r="I85" s="118">
        <f>G82+G83+G84+G85</f>
        <v>31.189999999998236</v>
      </c>
      <c r="J85" s="175">
        <f>H85/DAY(B2)</f>
        <v>5.8599999999999977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'6'!F86</f>
        <v>42826.47</v>
      </c>
      <c r="F86" s="164">
        <v>42826.47</v>
      </c>
      <c r="G86" s="112">
        <f t="shared" si="8"/>
        <v>0</v>
      </c>
      <c r="H86" s="99">
        <f>G86+'6'!H86</f>
        <v>0.47000000000116415</v>
      </c>
      <c r="I86" s="118"/>
      <c r="J86" s="175">
        <f>H86/DAY(B2)</f>
        <v>6.7142857143023454E-2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'6'!F87</f>
        <v>33349.5</v>
      </c>
      <c r="F87" s="164">
        <v>33353.43</v>
      </c>
      <c r="G87" s="112">
        <f t="shared" si="8"/>
        <v>3.930000000000291</v>
      </c>
      <c r="H87" s="99">
        <f>G87+'6'!H87</f>
        <v>39.430000000000291</v>
      </c>
      <c r="I87" s="118"/>
      <c r="J87" s="175">
        <f>H87/DAY(B2)</f>
        <v>5.6328571428571843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'6'!F88</f>
        <v>23610.54</v>
      </c>
      <c r="F88" s="164">
        <v>23610.52</v>
      </c>
      <c r="G88" s="112">
        <f t="shared" si="8"/>
        <v>-2.0000000000436557E-2</v>
      </c>
      <c r="H88" s="99">
        <f>G88+'6'!H88</f>
        <v>19.549999999999272</v>
      </c>
      <c r="I88" s="118">
        <f>G86+G87+G88</f>
        <v>3.9099999999998545</v>
      </c>
      <c r="J88" s="175">
        <f>H88/DAY(B2)</f>
        <v>2.7928571428570388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'6'!F89</f>
        <v>25231.33</v>
      </c>
      <c r="F89" s="164">
        <v>25242.12</v>
      </c>
      <c r="G89" s="112">
        <f t="shared" si="8"/>
        <v>10.789999999997235</v>
      </c>
      <c r="H89" s="99">
        <f>G89+'6'!H89</f>
        <v>54.75</v>
      </c>
      <c r="I89" s="118"/>
      <c r="J89" s="175">
        <f>H89/DAY(B2)</f>
        <v>7.8214285714285712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'6'!F90</f>
        <v>70547.460000000006</v>
      </c>
      <c r="F90" s="164">
        <v>70549.94</v>
      </c>
      <c r="G90" s="112">
        <f t="shared" si="8"/>
        <v>2.4799999999959255</v>
      </c>
      <c r="H90" s="99">
        <f>G90+'6'!H90</f>
        <v>16.960000000006403</v>
      </c>
      <c r="I90" s="118">
        <f>G89+G90</f>
        <v>13.269999999993161</v>
      </c>
      <c r="J90" s="175">
        <f>H90/DAY(B2)</f>
        <v>2.4228571428580574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'6'!F91</f>
        <v>2990.9</v>
      </c>
      <c r="F91" s="122">
        <v>3002.01</v>
      </c>
      <c r="G91" s="112">
        <f t="shared" si="8"/>
        <v>11.110000000000127</v>
      </c>
      <c r="H91" s="99">
        <f>G91+'6'!H91</f>
        <v>76.140000000000327</v>
      </c>
      <c r="I91" s="165"/>
      <c r="J91" s="175">
        <f>H91/DAY(B2)</f>
        <v>10.877142857142903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'6'!F92</f>
        <v>4758.6000000000004</v>
      </c>
      <c r="F92" s="122">
        <v>4758.6000000000004</v>
      </c>
      <c r="G92" s="112">
        <f t="shared" si="8"/>
        <v>0</v>
      </c>
      <c r="H92" s="99">
        <f>G92+'6'!H92</f>
        <v>0.6000000000003638</v>
      </c>
      <c r="I92" s="165"/>
      <c r="J92" s="175">
        <f>H92/DAY(B2)</f>
        <v>8.5714285714337687E-2</v>
      </c>
      <c r="O92" s="71"/>
    </row>
    <row r="93" spans="1:15" ht="29.25" x14ac:dyDescent="0.5">
      <c r="A93" s="774" t="s">
        <v>239</v>
      </c>
      <c r="B93" s="775"/>
      <c r="C93" s="77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1" t="s">
        <v>240</v>
      </c>
      <c r="B94" s="772"/>
      <c r="C94" s="773"/>
      <c r="D94" s="151" t="s">
        <v>130</v>
      </c>
      <c r="E94" s="151"/>
      <c r="F94" s="151"/>
      <c r="G94" s="99">
        <f>G35+G43+G49+G57</f>
        <v>5752.4799999999959</v>
      </c>
      <c r="H94" s="99">
        <f>G94+'6'!H94</f>
        <v>45779.099999999991</v>
      </c>
      <c r="I94" s="118"/>
      <c r="J94" s="175">
        <f>H94/DAY(B2)</f>
        <v>6539.8714285714277</v>
      </c>
      <c r="K94" s="69"/>
      <c r="L94" s="66"/>
      <c r="O94" s="71"/>
    </row>
    <row r="95" spans="1:15" ht="27.75" x14ac:dyDescent="0.5">
      <c r="A95" s="771" t="s">
        <v>241</v>
      </c>
      <c r="B95" s="772"/>
      <c r="C95" s="773"/>
      <c r="D95" s="151" t="s">
        <v>23</v>
      </c>
      <c r="E95" s="146"/>
      <c r="F95" s="146"/>
      <c r="G95" s="166">
        <f>G94/G7</f>
        <v>0.26089504204722003</v>
      </c>
      <c r="H95" s="99">
        <f>G95+'6'!H95</f>
        <v>1.965260221532777</v>
      </c>
      <c r="I95" s="167"/>
      <c r="J95" s="175">
        <f>H95/DAY(B2)</f>
        <v>0.28075146021896813</v>
      </c>
      <c r="K95" s="69"/>
      <c r="L95" s="66"/>
      <c r="O95" s="71"/>
    </row>
    <row r="96" spans="1:15" ht="27.75" x14ac:dyDescent="0.5">
      <c r="A96" s="771" t="s">
        <v>242</v>
      </c>
      <c r="B96" s="772"/>
      <c r="C96" s="773"/>
      <c r="D96" s="151" t="s">
        <v>130</v>
      </c>
      <c r="E96" s="95"/>
      <c r="F96" s="95"/>
      <c r="G96" s="99">
        <f>G41+G42+G55+G56</f>
        <v>6425.1100000000151</v>
      </c>
      <c r="H96" s="99">
        <f>G96+'6'!H96</f>
        <v>50787.51999999999</v>
      </c>
      <c r="I96" s="118"/>
      <c r="J96" s="175">
        <f>H96/DAY(B2)</f>
        <v>7255.3599999999988</v>
      </c>
      <c r="K96" s="69"/>
      <c r="L96" s="66"/>
      <c r="O96" s="71"/>
    </row>
    <row r="97" spans="1:15" ht="27.75" x14ac:dyDescent="0.5">
      <c r="A97" s="771" t="s">
        <v>243</v>
      </c>
      <c r="B97" s="772"/>
      <c r="C97" s="773"/>
      <c r="D97" s="151" t="s">
        <v>23</v>
      </c>
      <c r="E97" s="95"/>
      <c r="F97" s="95"/>
      <c r="G97" s="166">
        <f>G96/G7</f>
        <v>0.29140115977943754</v>
      </c>
      <c r="H97" s="99">
        <f>G97+'6'!H97</f>
        <v>2.1720046833986104</v>
      </c>
      <c r="I97" s="167"/>
      <c r="J97" s="175">
        <f>H97/DAY(B2)</f>
        <v>0.31028638334265862</v>
      </c>
      <c r="K97" s="69"/>
      <c r="L97" s="66"/>
      <c r="O97" s="71"/>
    </row>
    <row r="98" spans="1:15" ht="27.75" x14ac:dyDescent="0.5">
      <c r="A98" s="771" t="s">
        <v>244</v>
      </c>
      <c r="B98" s="772"/>
      <c r="C98" s="773"/>
      <c r="D98" s="151" t="s">
        <v>130</v>
      </c>
      <c r="E98" s="95"/>
      <c r="F98" s="95"/>
      <c r="G98" s="99">
        <f>G39+G53</f>
        <v>4090.2600000000093</v>
      </c>
      <c r="H98" s="99">
        <f>G98+'6'!H98</f>
        <v>29185.260000000009</v>
      </c>
      <c r="I98" s="168"/>
      <c r="J98" s="175">
        <f>H98/DAY(B2)</f>
        <v>4169.3228571428581</v>
      </c>
      <c r="K98" s="69"/>
      <c r="L98" s="66"/>
      <c r="O98" s="71"/>
    </row>
    <row r="99" spans="1:15" ht="27.75" x14ac:dyDescent="0.5">
      <c r="A99" s="771" t="s">
        <v>245</v>
      </c>
      <c r="B99" s="772"/>
      <c r="C99" s="773"/>
      <c r="D99" s="151" t="s">
        <v>23</v>
      </c>
      <c r="E99" s="95"/>
      <c r="F99" s="95"/>
      <c r="G99" s="166">
        <f>G98/G7</f>
        <v>0.18550756450853637</v>
      </c>
      <c r="H99" s="99">
        <f>G99+'6'!H99</f>
        <v>1.2514516213468461</v>
      </c>
      <c r="I99" s="168"/>
      <c r="J99" s="175">
        <f>H99/DAY(B2)</f>
        <v>0.17877880304954943</v>
      </c>
      <c r="O99" s="71"/>
    </row>
    <row r="100" spans="1:15" ht="27.75" x14ac:dyDescent="0.5">
      <c r="A100" s="771" t="s">
        <v>246</v>
      </c>
      <c r="B100" s="772"/>
      <c r="C100" s="773"/>
      <c r="D100" s="151" t="s">
        <v>180</v>
      </c>
      <c r="E100" s="95"/>
      <c r="F100" s="95"/>
      <c r="G100" s="99">
        <f>G38+G52</f>
        <v>1785.0599999999977</v>
      </c>
      <c r="H100" s="99">
        <f>G100+'6'!H100</f>
        <v>13326.059999999998</v>
      </c>
      <c r="I100" s="118"/>
      <c r="J100" s="175">
        <f>H100/DAY(B2)</f>
        <v>1903.7228571428568</v>
      </c>
      <c r="K100" s="70"/>
      <c r="O100" s="71"/>
    </row>
    <row r="101" spans="1:15" ht="27.75" x14ac:dyDescent="0.5">
      <c r="A101" s="771" t="s">
        <v>247</v>
      </c>
      <c r="B101" s="772"/>
      <c r="C101" s="773"/>
      <c r="D101" s="151" t="s">
        <v>23</v>
      </c>
      <c r="E101" s="95"/>
      <c r="F101" s="95"/>
      <c r="G101" s="166">
        <f>G100/G7</f>
        <v>8.0958700205269768E-2</v>
      </c>
      <c r="H101" s="99">
        <f>G101+'6'!H101</f>
        <v>0.57158291864060251</v>
      </c>
      <c r="I101" s="168"/>
      <c r="J101" s="175">
        <f>H101/DAY(B2)</f>
        <v>8.165470266294321E-2</v>
      </c>
      <c r="O101" s="71"/>
    </row>
    <row r="102" spans="1:15" ht="27.75" x14ac:dyDescent="0.5">
      <c r="A102" s="771" t="s">
        <v>248</v>
      </c>
      <c r="B102" s="772"/>
      <c r="C102" s="773"/>
      <c r="D102" s="151" t="s">
        <v>180</v>
      </c>
      <c r="E102" s="95"/>
      <c r="F102" s="95"/>
      <c r="G102" s="99">
        <f>G36+G50</f>
        <v>2152.6800000000148</v>
      </c>
      <c r="H102" s="99">
        <f>G102+'6'!H102</f>
        <v>15800.680000000015</v>
      </c>
      <c r="I102" s="168"/>
      <c r="J102" s="175">
        <f>H102/DAY(B2)</f>
        <v>2257.2400000000021</v>
      </c>
      <c r="O102" s="71"/>
    </row>
    <row r="103" spans="1:15" ht="27.75" x14ac:dyDescent="0.5">
      <c r="A103" s="771" t="s">
        <v>249</v>
      </c>
      <c r="B103" s="772"/>
      <c r="C103" s="773"/>
      <c r="D103" s="151" t="s">
        <v>23</v>
      </c>
      <c r="E103" s="95"/>
      <c r="F103" s="95"/>
      <c r="G103" s="166">
        <f>G102/G7</f>
        <v>9.7631550064357253E-2</v>
      </c>
      <c r="H103" s="99">
        <f>G103+'6'!H103</f>
        <v>0.67455828273831964</v>
      </c>
      <c r="I103" s="118"/>
      <c r="J103" s="175">
        <f>H103/DAY(B2)</f>
        <v>9.6365468962617093E-2</v>
      </c>
      <c r="O103" s="71"/>
    </row>
    <row r="104" spans="1:15" ht="27.75" x14ac:dyDescent="0.5">
      <c r="A104" s="771" t="s">
        <v>250</v>
      </c>
      <c r="B104" s="772"/>
      <c r="C104" s="773"/>
      <c r="D104" s="151" t="s">
        <v>180</v>
      </c>
      <c r="E104" s="95"/>
      <c r="F104" s="95"/>
      <c r="G104" s="99">
        <f>G37+G51</f>
        <v>1722.0500000000029</v>
      </c>
      <c r="H104" s="99">
        <f>G104+'6'!H104</f>
        <v>12083.050000000003</v>
      </c>
      <c r="I104" s="118"/>
      <c r="J104" s="175">
        <f>H104/DAY(B2)</f>
        <v>1726.1500000000003</v>
      </c>
      <c r="O104" s="71"/>
    </row>
    <row r="105" spans="1:15" ht="28.5" thickBot="1" x14ac:dyDescent="0.55000000000000004">
      <c r="A105" s="764" t="s">
        <v>251</v>
      </c>
      <c r="B105" s="765"/>
      <c r="C105" s="766"/>
      <c r="D105" s="231" t="s">
        <v>23</v>
      </c>
      <c r="E105" s="185"/>
      <c r="F105" s="185"/>
      <c r="G105" s="186">
        <f>G104/G7</f>
        <v>7.8100976823459844E-2</v>
      </c>
      <c r="H105" s="99">
        <f>G105+'6'!H105</f>
        <v>0.51866813962161373</v>
      </c>
      <c r="I105" s="187"/>
      <c r="J105" s="188">
        <f>H105/DAY(B2)</f>
        <v>7.4095448517373388E-2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0" t="s">
        <v>324</v>
      </c>
      <c r="B108" s="760"/>
      <c r="C108" s="760"/>
      <c r="D108" s="760"/>
      <c r="E108" s="760"/>
      <c r="F108" s="760"/>
      <c r="G108" s="760"/>
      <c r="H108" s="760"/>
      <c r="I108" s="760"/>
      <c r="J108" s="760"/>
    </row>
    <row r="109" spans="1:15" ht="29.25" x14ac:dyDescent="0.5">
      <c r="A109" s="788"/>
      <c r="B109" s="788"/>
    </row>
    <row r="110" spans="1:15" ht="29.25" x14ac:dyDescent="0.5">
      <c r="A110" s="761" t="s">
        <v>165</v>
      </c>
      <c r="B110" s="762"/>
      <c r="C110" s="762"/>
      <c r="D110" s="762"/>
      <c r="E110" s="762"/>
      <c r="F110" s="762"/>
      <c r="G110" s="762"/>
      <c r="H110" s="762"/>
      <c r="I110" s="762"/>
      <c r="J110" s="763"/>
    </row>
    <row r="111" spans="1:15" ht="27.75" x14ac:dyDescent="0.5">
      <c r="A111" s="753"/>
      <c r="B111" s="754"/>
      <c r="C111" s="755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0" t="s">
        <v>252</v>
      </c>
      <c r="B112" s="751"/>
      <c r="C112" s="752"/>
      <c r="D112" s="146" t="s">
        <v>183</v>
      </c>
      <c r="E112" s="95">
        <f>'6'!F112</f>
        <v>48775</v>
      </c>
      <c r="F112" s="237">
        <v>48859.93</v>
      </c>
      <c r="G112" s="112">
        <f t="shared" ref="G112:G123" si="9">F112-E112</f>
        <v>84.930000000000291</v>
      </c>
      <c r="H112" s="99">
        <f>G112+'6'!H112</f>
        <v>582.93000000000029</v>
      </c>
      <c r="I112" s="165"/>
      <c r="J112" s="348">
        <f>H112/DAY(B2)</f>
        <v>83.275714285714329</v>
      </c>
    </row>
    <row r="113" spans="1:18" ht="29.25" customHeight="1" x14ac:dyDescent="0.5">
      <c r="A113" s="750" t="s">
        <v>253</v>
      </c>
      <c r="B113" s="751"/>
      <c r="C113" s="752"/>
      <c r="D113" s="146" t="s">
        <v>183</v>
      </c>
      <c r="E113" s="95">
        <f>'6'!F113</f>
        <v>153412</v>
      </c>
      <c r="F113" s="237">
        <v>153875.1</v>
      </c>
      <c r="G113" s="112">
        <f t="shared" si="9"/>
        <v>463.10000000000582</v>
      </c>
      <c r="H113" s="99">
        <f>G113+'6'!H113</f>
        <v>3344.1000000000058</v>
      </c>
      <c r="I113" s="165"/>
      <c r="J113" s="348">
        <f>H113/DAY(B2)</f>
        <v>477.72857142857225</v>
      </c>
    </row>
    <row r="114" spans="1:18" ht="29.25" customHeight="1" x14ac:dyDescent="0.5">
      <c r="A114" s="750" t="s">
        <v>254</v>
      </c>
      <c r="B114" s="751"/>
      <c r="C114" s="752"/>
      <c r="D114" s="146" t="s">
        <v>183</v>
      </c>
      <c r="E114" s="95">
        <f>'6'!F114</f>
        <v>71515</v>
      </c>
      <c r="F114" s="237">
        <v>71735.350000000006</v>
      </c>
      <c r="G114" s="112">
        <f t="shared" si="9"/>
        <v>220.35000000000582</v>
      </c>
      <c r="H114" s="99">
        <f>G114+'6'!H114</f>
        <v>1535.3500000000058</v>
      </c>
      <c r="I114" s="165"/>
      <c r="J114" s="348">
        <f>H114/DAY(B2)</f>
        <v>219.33571428571511</v>
      </c>
    </row>
    <row r="115" spans="1:18" ht="29.25" customHeight="1" x14ac:dyDescent="0.5">
      <c r="A115" s="750" t="s">
        <v>255</v>
      </c>
      <c r="B115" s="751"/>
      <c r="C115" s="752"/>
      <c r="D115" s="146" t="s">
        <v>183</v>
      </c>
      <c r="E115" s="95">
        <f>'6'!F115</f>
        <v>7812</v>
      </c>
      <c r="F115" s="237">
        <v>7819.1</v>
      </c>
      <c r="G115" s="112">
        <f t="shared" si="9"/>
        <v>7.1000000000003638</v>
      </c>
      <c r="H115" s="99">
        <f>G115+'6'!H115</f>
        <v>71.100000000000364</v>
      </c>
      <c r="I115" s="165"/>
      <c r="J115" s="348">
        <f>H115/DAY(B2)</f>
        <v>10.15714285714291</v>
      </c>
    </row>
    <row r="116" spans="1:18" ht="29.25" customHeight="1" x14ac:dyDescent="0.5">
      <c r="A116" s="757" t="s">
        <v>96</v>
      </c>
      <c r="B116" s="758"/>
      <c r="C116" s="759"/>
      <c r="D116" s="146" t="s">
        <v>183</v>
      </c>
      <c r="E116" s="95">
        <f>'6'!F116</f>
        <v>0</v>
      </c>
      <c r="F116" s="237">
        <v>0</v>
      </c>
      <c r="G116" s="112">
        <f t="shared" si="9"/>
        <v>0</v>
      </c>
      <c r="H116" s="99">
        <f>G116+'6'!H116</f>
        <v>0</v>
      </c>
      <c r="I116" s="165"/>
      <c r="J116" s="348">
        <f>H116/DAY(B2)</f>
        <v>0</v>
      </c>
      <c r="Q116" s="750" t="s">
        <v>311</v>
      </c>
      <c r="R116" s="752"/>
    </row>
    <row r="117" spans="1:18" ht="29.25" customHeight="1" x14ac:dyDescent="0.5">
      <c r="A117" s="757" t="s">
        <v>184</v>
      </c>
      <c r="B117" s="758"/>
      <c r="C117" s="759"/>
      <c r="D117" s="146" t="s">
        <v>183</v>
      </c>
      <c r="E117" s="95">
        <f>'6'!F117</f>
        <v>531</v>
      </c>
      <c r="F117" s="237">
        <v>554.09</v>
      </c>
      <c r="G117" s="112">
        <f t="shared" si="9"/>
        <v>23.090000000000032</v>
      </c>
      <c r="H117" s="99">
        <f>G117+'6'!H117</f>
        <v>138.09000000000003</v>
      </c>
      <c r="I117" s="165"/>
      <c r="J117" s="348">
        <f>H117/DAY(B2)</f>
        <v>19.727142857142862</v>
      </c>
      <c r="Q117" s="750" t="s">
        <v>312</v>
      </c>
      <c r="R117" s="752"/>
    </row>
    <row r="118" spans="1:18" ht="27.75" x14ac:dyDescent="0.5">
      <c r="A118" s="749" t="s">
        <v>97</v>
      </c>
      <c r="B118" s="749"/>
      <c r="C118" s="749"/>
      <c r="D118" s="151" t="s">
        <v>183</v>
      </c>
      <c r="E118" s="95">
        <f>'6'!F118</f>
        <v>209029</v>
      </c>
      <c r="F118" s="237">
        <v>209444.37</v>
      </c>
      <c r="G118" s="112">
        <f t="shared" si="9"/>
        <v>415.36999999999534</v>
      </c>
      <c r="H118" s="99">
        <f>G118+'6'!H118</f>
        <v>2912.3699999999953</v>
      </c>
      <c r="I118" s="165"/>
      <c r="J118" s="348">
        <f>H118/DAY(B2)</f>
        <v>416.05285714285645</v>
      </c>
      <c r="Q118" s="750" t="s">
        <v>311</v>
      </c>
      <c r="R118" s="752"/>
    </row>
    <row r="119" spans="1:18" ht="27.75" x14ac:dyDescent="0.5">
      <c r="A119" s="749" t="s">
        <v>98</v>
      </c>
      <c r="B119" s="749"/>
      <c r="C119" s="749"/>
      <c r="D119" s="151" t="s">
        <v>183</v>
      </c>
      <c r="E119" s="95">
        <f>'6'!F119</f>
        <v>208533</v>
      </c>
      <c r="F119" s="237">
        <v>208905.31</v>
      </c>
      <c r="G119" s="112">
        <f t="shared" si="9"/>
        <v>372.30999999999767</v>
      </c>
      <c r="H119" s="99">
        <f>G119+'6'!H119</f>
        <v>2675.3099999999977</v>
      </c>
      <c r="I119" s="165"/>
      <c r="J119" s="348">
        <f>H119/DAY(B2)</f>
        <v>382.18714285714253</v>
      </c>
    </row>
    <row r="120" spans="1:18" ht="27.75" x14ac:dyDescent="0.5">
      <c r="A120" s="749" t="s">
        <v>99</v>
      </c>
      <c r="B120" s="749"/>
      <c r="C120" s="749"/>
      <c r="D120" s="151" t="s">
        <v>183</v>
      </c>
      <c r="E120" s="95">
        <f>'6'!F120</f>
        <v>7973</v>
      </c>
      <c r="F120" s="237">
        <v>8380.65</v>
      </c>
      <c r="G120" s="112">
        <f t="shared" si="9"/>
        <v>407.64999999999964</v>
      </c>
      <c r="H120" s="99">
        <f>G120+'6'!H120</f>
        <v>2865.6499999999996</v>
      </c>
      <c r="I120" s="165"/>
      <c r="J120" s="348">
        <f>H120/DAY(B2)</f>
        <v>409.37857142857138</v>
      </c>
    </row>
    <row r="121" spans="1:18" ht="27.75" x14ac:dyDescent="0.5">
      <c r="A121" s="749" t="s">
        <v>100</v>
      </c>
      <c r="B121" s="749"/>
      <c r="C121" s="749"/>
      <c r="D121" s="151" t="s">
        <v>183</v>
      </c>
      <c r="E121" s="95">
        <f>'6'!F121</f>
        <v>314055</v>
      </c>
      <c r="F121" s="237">
        <v>314660.99</v>
      </c>
      <c r="G121" s="112">
        <f t="shared" si="9"/>
        <v>605.98999999999069</v>
      </c>
      <c r="H121" s="99">
        <f>G121+'6'!H121</f>
        <v>5216.2600000000093</v>
      </c>
      <c r="I121" s="165"/>
      <c r="J121" s="348">
        <f>H121/DAY(B2)</f>
        <v>745.18000000000131</v>
      </c>
    </row>
    <row r="122" spans="1:18" ht="27.75" x14ac:dyDescent="0.5">
      <c r="A122" s="749" t="s">
        <v>101</v>
      </c>
      <c r="B122" s="749"/>
      <c r="C122" s="749"/>
      <c r="D122" s="151" t="s">
        <v>183</v>
      </c>
      <c r="E122" s="95">
        <f>'6'!F122</f>
        <v>93472</v>
      </c>
      <c r="F122" s="237">
        <v>93775.01</v>
      </c>
      <c r="G122" s="112">
        <f t="shared" si="9"/>
        <v>303.00999999999476</v>
      </c>
      <c r="H122" s="99">
        <f>G122+'6'!H122</f>
        <v>2153.0099999999948</v>
      </c>
      <c r="I122" s="165"/>
      <c r="J122" s="348">
        <f>H122/DAY(B2)</f>
        <v>307.57285714285638</v>
      </c>
    </row>
    <row r="123" spans="1:18" ht="27.75" x14ac:dyDescent="0.5">
      <c r="A123" s="749" t="s">
        <v>102</v>
      </c>
      <c r="B123" s="749"/>
      <c r="C123" s="749"/>
      <c r="D123" s="151" t="s">
        <v>183</v>
      </c>
      <c r="E123" s="95">
        <f>'6'!F123</f>
        <v>117536</v>
      </c>
      <c r="F123" s="237">
        <v>117878.16</v>
      </c>
      <c r="G123" s="112">
        <f t="shared" si="9"/>
        <v>342.16000000000349</v>
      </c>
      <c r="H123" s="99">
        <f>G123+'6'!H123</f>
        <v>2335.1600000000035</v>
      </c>
      <c r="I123" s="165"/>
      <c r="J123" s="348">
        <f>H123/DAY(B2)</f>
        <v>333.59428571428623</v>
      </c>
    </row>
    <row r="124" spans="1:18" ht="29.25" customHeight="1" x14ac:dyDescent="0.5">
      <c r="A124" s="753"/>
      <c r="B124" s="754"/>
      <c r="C124" s="755"/>
      <c r="D124" s="165"/>
      <c r="E124" s="165"/>
      <c r="F124" s="165"/>
      <c r="G124" s="347"/>
      <c r="H124" s="156"/>
      <c r="I124" s="165"/>
      <c r="J124" s="348"/>
    </row>
    <row r="125" spans="1:18" ht="27.75" x14ac:dyDescent="0.5">
      <c r="A125" s="737"/>
      <c r="B125" s="737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56" t="s">
        <v>317</v>
      </c>
      <c r="B126" s="756"/>
      <c r="C126" s="756"/>
      <c r="D126" s="756"/>
      <c r="E126" s="756"/>
      <c r="F126" s="756"/>
      <c r="G126" s="756"/>
      <c r="H126" s="756"/>
      <c r="I126" s="756"/>
      <c r="J126" s="756"/>
    </row>
    <row r="127" spans="1:18" ht="27.75" x14ac:dyDescent="0.5">
      <c r="A127" s="737"/>
      <c r="B127" s="737"/>
      <c r="C127" s="246"/>
      <c r="D127" s="317"/>
      <c r="E127" s="318"/>
      <c r="F127" s="318"/>
      <c r="G127" s="319"/>
      <c r="H127" s="99">
        <f>G127+'6'!H127</f>
        <v>0</v>
      </c>
      <c r="I127" s="165"/>
      <c r="J127" s="348">
        <f>H127/DAY(B2)</f>
        <v>0</v>
      </c>
    </row>
    <row r="128" spans="1:18" ht="29.25" customHeight="1" x14ac:dyDescent="0.5">
      <c r="A128" s="750" t="s">
        <v>318</v>
      </c>
      <c r="B128" s="751"/>
      <c r="C128" s="752"/>
      <c r="D128" s="151" t="s">
        <v>183</v>
      </c>
      <c r="E128" s="95">
        <f>'6'!F128</f>
        <v>9533</v>
      </c>
      <c r="F128" s="165">
        <v>9813.4</v>
      </c>
      <c r="G128" s="112">
        <f t="shared" ref="G128:G134" si="10">F128-E128</f>
        <v>280.39999999999964</v>
      </c>
      <c r="H128" s="99">
        <f>G128+'6'!H128</f>
        <v>2202.3999999999996</v>
      </c>
      <c r="I128" s="165"/>
      <c r="J128" s="348">
        <f>H128/DAY(B2)</f>
        <v>314.62857142857138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'6'!F129</f>
        <v>1299</v>
      </c>
      <c r="F129" s="165">
        <v>1508.6</v>
      </c>
      <c r="G129" s="112">
        <f t="shared" si="10"/>
        <v>209.59999999999991</v>
      </c>
      <c r="H129" s="99">
        <f>G129+'6'!H129</f>
        <v>1394.6</v>
      </c>
      <c r="I129" s="165"/>
      <c r="J129" s="348">
        <f>H129/DAY(B2)</f>
        <v>199.22857142857143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'6'!F130</f>
        <v>1596</v>
      </c>
      <c r="F130" s="165">
        <v>1821.21</v>
      </c>
      <c r="G130" s="112">
        <f t="shared" si="10"/>
        <v>225.21000000000004</v>
      </c>
      <c r="H130" s="99">
        <f>G130+'6'!H130</f>
        <v>1641.21</v>
      </c>
      <c r="I130" s="165"/>
      <c r="J130" s="348">
        <f>H130/DAY(B2)</f>
        <v>234.45857142857145</v>
      </c>
      <c r="N130" s="240"/>
      <c r="O130" s="241"/>
    </row>
    <row r="131" spans="1:15" ht="27.75" x14ac:dyDescent="0.5">
      <c r="A131" s="750" t="s">
        <v>321</v>
      </c>
      <c r="B131" s="751"/>
      <c r="C131" s="752"/>
      <c r="D131" s="151" t="s">
        <v>183</v>
      </c>
      <c r="E131" s="95">
        <f>'6'!F131</f>
        <v>972</v>
      </c>
      <c r="F131" s="165">
        <v>1094.69</v>
      </c>
      <c r="G131" s="112">
        <f t="shared" si="10"/>
        <v>122.69000000000005</v>
      </c>
      <c r="H131" s="99">
        <f>G131+'6'!H131</f>
        <v>984.69</v>
      </c>
      <c r="I131" s="165"/>
      <c r="J131" s="348">
        <f>H131/DAY(B2)</f>
        <v>140.67000000000002</v>
      </c>
      <c r="N131" s="240"/>
      <c r="O131" s="241"/>
    </row>
    <row r="132" spans="1:15" ht="27.75" x14ac:dyDescent="0.5">
      <c r="A132" s="750" t="s">
        <v>322</v>
      </c>
      <c r="B132" s="751"/>
      <c r="C132" s="752"/>
      <c r="D132" s="151" t="s">
        <v>183</v>
      </c>
      <c r="E132" s="95">
        <f>'6'!F132</f>
        <v>2724</v>
      </c>
      <c r="F132" s="165">
        <v>3123.15</v>
      </c>
      <c r="G132" s="112">
        <f t="shared" si="10"/>
        <v>399.15000000000009</v>
      </c>
      <c r="H132" s="99">
        <f>G132+'6'!H132</f>
        <v>2802.15</v>
      </c>
      <c r="I132" s="165"/>
      <c r="J132" s="348">
        <f>H132/DAY(B2)</f>
        <v>400.30714285714288</v>
      </c>
    </row>
    <row r="133" spans="1:15" ht="27.75" x14ac:dyDescent="0.5">
      <c r="A133" s="750" t="s">
        <v>323</v>
      </c>
      <c r="B133" s="751"/>
      <c r="C133" s="752"/>
      <c r="D133" s="151" t="s">
        <v>183</v>
      </c>
      <c r="E133" s="95">
        <f>'6'!F133</f>
        <v>20999</v>
      </c>
      <c r="F133" s="165">
        <v>21813.23</v>
      </c>
      <c r="G133" s="112">
        <f t="shared" si="10"/>
        <v>814.22999999999956</v>
      </c>
      <c r="H133" s="99">
        <f>G133+'6'!H133</f>
        <v>5422.23</v>
      </c>
      <c r="I133" s="165"/>
      <c r="J133" s="348">
        <f>H133/DAY(B2)</f>
        <v>774.60428571428565</v>
      </c>
    </row>
    <row r="134" spans="1:15" ht="27.75" x14ac:dyDescent="0.5">
      <c r="A134" s="750" t="s">
        <v>340</v>
      </c>
      <c r="B134" s="751"/>
      <c r="C134" s="752"/>
      <c r="D134" s="151" t="s">
        <v>183</v>
      </c>
      <c r="E134" s="95">
        <f>'6'!F134</f>
        <v>616300</v>
      </c>
      <c r="F134" s="165">
        <v>617006</v>
      </c>
      <c r="G134" s="112">
        <f t="shared" si="10"/>
        <v>706</v>
      </c>
      <c r="H134" s="99">
        <f>G134+'6'!H134</f>
        <v>2591</v>
      </c>
      <c r="I134" s="165"/>
      <c r="J134" s="348">
        <f>H134/DAY(B2)</f>
        <v>370.14285714285717</v>
      </c>
    </row>
    <row r="135" spans="1:15" ht="27.75" x14ac:dyDescent="0.5">
      <c r="A135" s="753"/>
      <c r="B135" s="754"/>
      <c r="C135" s="755"/>
      <c r="D135" s="151"/>
      <c r="E135" s="95"/>
      <c r="F135" s="165"/>
      <c r="G135" s="112"/>
      <c r="H135" s="99">
        <f>G135+'6'!H135</f>
        <v>5534.2300000000005</v>
      </c>
      <c r="I135" s="165"/>
      <c r="J135" s="348" t="e">
        <f t="shared" ref="J135" si="11">H135/DAY(B54)</f>
        <v>#DIV/0!</v>
      </c>
    </row>
    <row r="136" spans="1:15" ht="31.5" x14ac:dyDescent="0.55000000000000004">
      <c r="A136" s="736" t="s">
        <v>325</v>
      </c>
      <c r="B136" s="736"/>
      <c r="C136" s="736"/>
      <c r="D136" s="736"/>
      <c r="E136" s="736"/>
      <c r="F136" s="736"/>
      <c r="G136" s="736"/>
      <c r="H136" s="736"/>
      <c r="I136" s="736"/>
      <c r="J136" s="736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49" t="s">
        <v>185</v>
      </c>
      <c r="B138" s="749"/>
      <c r="C138" s="749"/>
      <c r="D138" s="151" t="s">
        <v>183</v>
      </c>
      <c r="E138" s="95">
        <f>'6'!F138</f>
        <v>857838</v>
      </c>
      <c r="F138" s="147">
        <v>857953</v>
      </c>
      <c r="G138" s="112">
        <f t="shared" ref="G138:G152" si="12">F138-E138</f>
        <v>115</v>
      </c>
      <c r="H138" s="99">
        <f>G138+'6'!H138</f>
        <v>600</v>
      </c>
      <c r="I138" s="118"/>
      <c r="J138" s="348">
        <f>H138/DAY(B2)</f>
        <v>85.714285714285708</v>
      </c>
    </row>
    <row r="139" spans="1:15" ht="27.75" x14ac:dyDescent="0.5">
      <c r="A139" s="749" t="s">
        <v>186</v>
      </c>
      <c r="B139" s="749"/>
      <c r="C139" s="749"/>
      <c r="D139" s="151" t="s">
        <v>183</v>
      </c>
      <c r="E139" s="95">
        <f>'6'!F139</f>
        <v>886066</v>
      </c>
      <c r="F139" s="148">
        <v>886067</v>
      </c>
      <c r="G139" s="112">
        <f t="shared" si="12"/>
        <v>1</v>
      </c>
      <c r="H139" s="99">
        <f>G139+'6'!H139</f>
        <v>5</v>
      </c>
      <c r="I139" s="118"/>
      <c r="J139" s="348">
        <f>H139/DAY(B2)</f>
        <v>0.7142857142857143</v>
      </c>
    </row>
    <row r="140" spans="1:15" ht="27.75" x14ac:dyDescent="0.5">
      <c r="A140" s="749" t="s">
        <v>187</v>
      </c>
      <c r="B140" s="749"/>
      <c r="C140" s="749"/>
      <c r="D140" s="151" t="s">
        <v>183</v>
      </c>
      <c r="E140" s="95">
        <f>'6'!F140</f>
        <v>88797</v>
      </c>
      <c r="F140" s="149">
        <v>88797</v>
      </c>
      <c r="G140" s="112">
        <f t="shared" si="12"/>
        <v>0</v>
      </c>
      <c r="H140" s="99">
        <f>G140+'6'!H140</f>
        <v>-1</v>
      </c>
      <c r="I140" s="118"/>
      <c r="J140" s="348">
        <f>H140/DAY(B2)</f>
        <v>-0.14285714285714285</v>
      </c>
    </row>
    <row r="141" spans="1:15" ht="27.75" x14ac:dyDescent="0.5">
      <c r="A141" s="728" t="s">
        <v>188</v>
      </c>
      <c r="B141" s="728"/>
      <c r="C141" s="728"/>
      <c r="D141" s="151" t="s">
        <v>183</v>
      </c>
      <c r="E141" s="95">
        <f>'6'!F141</f>
        <v>32645</v>
      </c>
      <c r="F141" s="149">
        <v>32827.129999999997</v>
      </c>
      <c r="G141" s="112">
        <f t="shared" si="12"/>
        <v>182.12999999999738</v>
      </c>
      <c r="H141" s="99">
        <f>G141+'6'!H141</f>
        <v>1291.1299999999974</v>
      </c>
      <c r="I141" s="118"/>
      <c r="J141" s="348">
        <f>H141/DAY(B2)</f>
        <v>184.4471428571425</v>
      </c>
    </row>
    <row r="142" spans="1:15" ht="27.75" x14ac:dyDescent="0.5">
      <c r="A142" s="728" t="s">
        <v>189</v>
      </c>
      <c r="B142" s="728"/>
      <c r="C142" s="728"/>
      <c r="D142" s="151" t="s">
        <v>183</v>
      </c>
      <c r="E142" s="95">
        <f>'6'!F142</f>
        <v>15751</v>
      </c>
      <c r="F142" s="148">
        <v>15819.85</v>
      </c>
      <c r="G142" s="112">
        <f t="shared" si="12"/>
        <v>68.850000000000364</v>
      </c>
      <c r="H142" s="99">
        <f>G142+'6'!H142</f>
        <v>497.85000000000036</v>
      </c>
      <c r="I142" s="140"/>
      <c r="J142" s="348">
        <f>H142/DAY(B2)</f>
        <v>71.121428571428623</v>
      </c>
    </row>
    <row r="143" spans="1:15" ht="27.75" x14ac:dyDescent="0.5">
      <c r="A143" s="749" t="s">
        <v>91</v>
      </c>
      <c r="B143" s="749"/>
      <c r="C143" s="749"/>
      <c r="D143" s="151" t="s">
        <v>183</v>
      </c>
      <c r="E143" s="95">
        <f>'6'!F143</f>
        <v>686</v>
      </c>
      <c r="F143" s="149">
        <v>710.42</v>
      </c>
      <c r="G143" s="112">
        <f t="shared" si="12"/>
        <v>24.419999999999959</v>
      </c>
      <c r="H143" s="99">
        <f>G143+'6'!H143</f>
        <v>181.41999999999996</v>
      </c>
      <c r="I143" s="140"/>
      <c r="J143" s="348">
        <f>H143/DAY(B2)</f>
        <v>25.917142857142853</v>
      </c>
    </row>
    <row r="144" spans="1:15" ht="27.75" x14ac:dyDescent="0.5">
      <c r="A144" s="728" t="s">
        <v>90</v>
      </c>
      <c r="B144" s="728"/>
      <c r="C144" s="728"/>
      <c r="D144" s="151" t="s">
        <v>183</v>
      </c>
      <c r="E144" s="95">
        <f>'6'!F144</f>
        <v>851058</v>
      </c>
      <c r="F144" s="149">
        <v>851231</v>
      </c>
      <c r="G144" s="112">
        <f t="shared" si="12"/>
        <v>173</v>
      </c>
      <c r="H144" s="99">
        <f>G144+'6'!H144</f>
        <v>1194</v>
      </c>
      <c r="I144" s="140"/>
      <c r="J144" s="348">
        <f>H144/DAY(B2)</f>
        <v>170.57142857142858</v>
      </c>
    </row>
    <row r="145" spans="1:10" ht="27.75" x14ac:dyDescent="0.5">
      <c r="A145" s="749" t="s">
        <v>190</v>
      </c>
      <c r="B145" s="749"/>
      <c r="C145" s="749"/>
      <c r="D145" s="152" t="s">
        <v>183</v>
      </c>
      <c r="E145" s="95">
        <f>'6'!F145</f>
        <v>1207</v>
      </c>
      <c r="F145" s="149">
        <v>1252</v>
      </c>
      <c r="G145" s="112">
        <f t="shared" si="12"/>
        <v>45</v>
      </c>
      <c r="H145" s="99">
        <f>G145+'6'!H145</f>
        <v>298</v>
      </c>
      <c r="I145" s="140"/>
      <c r="J145" s="348">
        <f>H145/DAY(B2)</f>
        <v>42.571428571428569</v>
      </c>
    </row>
    <row r="146" spans="1:10" ht="27.75" x14ac:dyDescent="0.5">
      <c r="A146" s="784" t="s">
        <v>191</v>
      </c>
      <c r="B146" s="769"/>
      <c r="C146" s="770"/>
      <c r="D146" s="152" t="s">
        <v>183</v>
      </c>
      <c r="E146" s="95">
        <f>'6'!F146</f>
        <v>688976</v>
      </c>
      <c r="F146" s="148">
        <v>689230</v>
      </c>
      <c r="G146" s="112">
        <f t="shared" si="12"/>
        <v>254</v>
      </c>
      <c r="H146" s="99">
        <f>G146+'6'!H146</f>
        <v>2038</v>
      </c>
      <c r="I146" s="140"/>
      <c r="J146" s="348">
        <f>H146/DAY(B2)</f>
        <v>291.14285714285717</v>
      </c>
    </row>
    <row r="147" spans="1:10" ht="27.75" x14ac:dyDescent="0.5">
      <c r="A147" s="728" t="s">
        <v>192</v>
      </c>
      <c r="B147" s="728"/>
      <c r="C147" s="728"/>
      <c r="D147" s="152" t="s">
        <v>183</v>
      </c>
      <c r="E147" s="95">
        <f>'6'!F147</f>
        <v>578625</v>
      </c>
      <c r="F147" s="148">
        <v>579020</v>
      </c>
      <c r="G147" s="112">
        <f t="shared" si="12"/>
        <v>395</v>
      </c>
      <c r="H147" s="99">
        <f>G147+'6'!H147</f>
        <v>2948</v>
      </c>
      <c r="I147" s="140"/>
      <c r="J147" s="348">
        <f>H147/DAY(B2)</f>
        <v>421.14285714285717</v>
      </c>
    </row>
    <row r="148" spans="1:10" ht="27.75" x14ac:dyDescent="0.5">
      <c r="A148" s="729" t="s">
        <v>193</v>
      </c>
      <c r="B148" s="730"/>
      <c r="C148" s="731"/>
      <c r="D148" s="123" t="s">
        <v>130</v>
      </c>
      <c r="E148" s="95">
        <f>'6'!F148</f>
        <v>659756</v>
      </c>
      <c r="F148" s="150">
        <v>659939</v>
      </c>
      <c r="G148" s="112">
        <f t="shared" si="12"/>
        <v>183</v>
      </c>
      <c r="H148" s="99">
        <f>G148+'6'!H148</f>
        <v>1339</v>
      </c>
      <c r="I148" s="124"/>
      <c r="J148" s="348">
        <f>H148/DAY(B2)</f>
        <v>191.28571428571428</v>
      </c>
    </row>
    <row r="149" spans="1:10" ht="27.75" x14ac:dyDescent="0.5">
      <c r="A149" s="729" t="s">
        <v>336</v>
      </c>
      <c r="B149" s="730"/>
      <c r="C149" s="731"/>
      <c r="D149" s="227" t="s">
        <v>130</v>
      </c>
      <c r="E149" s="95">
        <f>'6'!F149</f>
        <v>76326</v>
      </c>
      <c r="F149" s="146">
        <v>76659</v>
      </c>
      <c r="G149" s="112">
        <f t="shared" si="12"/>
        <v>333</v>
      </c>
      <c r="H149" s="99">
        <f>G149+'6'!H149</f>
        <v>1237</v>
      </c>
      <c r="I149" s="119"/>
      <c r="J149" s="348">
        <f>H149/DAY(B2)</f>
        <v>176.71428571428572</v>
      </c>
    </row>
    <row r="150" spans="1:10" ht="27.75" x14ac:dyDescent="0.5">
      <c r="A150" s="729" t="s">
        <v>337</v>
      </c>
      <c r="B150" s="730"/>
      <c r="C150" s="731"/>
      <c r="D150" s="117" t="s">
        <v>130</v>
      </c>
      <c r="E150" s="95">
        <f>'6'!F150</f>
        <v>7167232</v>
      </c>
      <c r="F150" s="233">
        <v>7167232</v>
      </c>
      <c r="G150" s="112">
        <f t="shared" si="12"/>
        <v>0</v>
      </c>
      <c r="H150" s="99">
        <f>G150+'6'!H150</f>
        <v>0</v>
      </c>
      <c r="I150" s="119"/>
      <c r="J150" s="348">
        <f>H150/DAY(B2)</f>
        <v>0</v>
      </c>
    </row>
    <row r="151" spans="1:10" ht="27.75" x14ac:dyDescent="0.5">
      <c r="A151" s="729" t="s">
        <v>338</v>
      </c>
      <c r="B151" s="730"/>
      <c r="C151" s="731"/>
      <c r="D151" s="117" t="s">
        <v>130</v>
      </c>
      <c r="E151" s="95">
        <f>'6'!F151</f>
        <v>55321</v>
      </c>
      <c r="F151" s="233">
        <v>55600</v>
      </c>
      <c r="G151" s="112">
        <f t="shared" si="12"/>
        <v>279</v>
      </c>
      <c r="H151" s="99">
        <f>G151+'6'!H151</f>
        <v>2221</v>
      </c>
      <c r="I151" s="119"/>
      <c r="J151" s="348">
        <f>H151/DAY(B2)</f>
        <v>317.28571428571428</v>
      </c>
    </row>
    <row r="152" spans="1:10" ht="27.75" x14ac:dyDescent="0.5">
      <c r="A152" s="729" t="s">
        <v>339</v>
      </c>
      <c r="B152" s="730"/>
      <c r="C152" s="731"/>
      <c r="D152" s="117" t="s">
        <v>130</v>
      </c>
      <c r="E152" s="95">
        <f>'6'!F152</f>
        <v>0</v>
      </c>
      <c r="F152" s="233">
        <v>0</v>
      </c>
      <c r="G152" s="112">
        <f t="shared" si="12"/>
        <v>0</v>
      </c>
      <c r="H152" s="99">
        <f>G152+'6'!H152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36" t="s">
        <v>344</v>
      </c>
      <c r="B154" s="736"/>
      <c r="C154" s="736"/>
      <c r="D154" s="736"/>
      <c r="E154" s="736"/>
      <c r="F154" s="736"/>
      <c r="G154" s="736"/>
      <c r="H154" s="736"/>
      <c r="I154" s="736"/>
      <c r="J154" s="736"/>
    </row>
    <row r="155" spans="1:10" ht="31.5" x14ac:dyDescent="0.55000000000000004">
      <c r="A155" s="728" t="s">
        <v>345</v>
      </c>
      <c r="B155" s="728"/>
      <c r="C155" s="728"/>
      <c r="D155" s="117" t="s">
        <v>130</v>
      </c>
      <c r="E155" s="95">
        <f>'6'!F155</f>
        <v>77063</v>
      </c>
      <c r="F155" s="397">
        <v>77071</v>
      </c>
      <c r="G155" s="112">
        <f t="shared" ref="G155:G156" si="13">F155-E155</f>
        <v>8</v>
      </c>
      <c r="H155" s="99">
        <f>G155+'6'!H155</f>
        <v>43.100000000005821</v>
      </c>
      <c r="I155" s="385"/>
      <c r="J155" s="348">
        <f>H155/DAY(B2)</f>
        <v>6.1571428571436888</v>
      </c>
    </row>
    <row r="156" spans="1:10" ht="27.75" x14ac:dyDescent="0.5">
      <c r="A156" s="728" t="s">
        <v>346</v>
      </c>
      <c r="B156" s="728"/>
      <c r="C156" s="728"/>
      <c r="D156" s="117" t="s">
        <v>130</v>
      </c>
      <c r="E156" s="95">
        <f>'6'!F156</f>
        <v>0</v>
      </c>
      <c r="F156" s="165">
        <v>0</v>
      </c>
      <c r="G156" s="112">
        <f t="shared" si="13"/>
        <v>0</v>
      </c>
      <c r="H156" s="99">
        <f>G156+'6'!H156</f>
        <v>0</v>
      </c>
      <c r="I156" s="165"/>
      <c r="J156" s="348">
        <f>H156/DAY(B2)</f>
        <v>0</v>
      </c>
    </row>
    <row r="157" spans="1:10" ht="31.5" x14ac:dyDescent="0.55000000000000004">
      <c r="A157" s="736" t="s">
        <v>326</v>
      </c>
      <c r="B157" s="736"/>
      <c r="C157" s="736"/>
      <c r="D157" s="736"/>
      <c r="E157" s="736"/>
      <c r="F157" s="736"/>
      <c r="G157" s="736"/>
      <c r="H157" s="736"/>
      <c r="I157" s="736"/>
      <c r="J157" s="736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'6'!F158</f>
        <v>465812</v>
      </c>
      <c r="F158" s="235">
        <v>466082</v>
      </c>
      <c r="G158" s="238">
        <f t="shared" ref="G158:G162" si="14">F158-E158</f>
        <v>270</v>
      </c>
      <c r="H158" s="99">
        <f>G158+'6'!H158</f>
        <v>821</v>
      </c>
      <c r="I158" s="236"/>
      <c r="J158" s="239">
        <f>H158/DAY(B2)</f>
        <v>117.28571428571429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'6'!F159</f>
        <v>85017</v>
      </c>
      <c r="F159" s="235">
        <v>85063</v>
      </c>
      <c r="G159" s="238">
        <f t="shared" si="14"/>
        <v>46</v>
      </c>
      <c r="H159" s="99">
        <f>G159+'6'!H159</f>
        <v>253</v>
      </c>
      <c r="I159" s="236"/>
      <c r="J159" s="239">
        <f>H159/DAY(B2)</f>
        <v>36.142857142857146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'6'!F160</f>
        <v>71413</v>
      </c>
      <c r="F160" s="235">
        <v>71484.800000000003</v>
      </c>
      <c r="G160" s="238">
        <f t="shared" si="14"/>
        <v>71.80000000000291</v>
      </c>
      <c r="H160" s="99">
        <f>G160+'6'!H160</f>
        <v>513.80000000000291</v>
      </c>
      <c r="I160" s="236"/>
      <c r="J160" s="239">
        <f>H160/DAY(B2)</f>
        <v>73.400000000000418</v>
      </c>
    </row>
    <row r="161" spans="1:10" ht="30" customHeight="1" x14ac:dyDescent="0.5">
      <c r="A161" s="242" t="s">
        <v>197</v>
      </c>
      <c r="B161" s="243"/>
      <c r="C161" s="243"/>
      <c r="D161" s="244" t="s">
        <v>180</v>
      </c>
      <c r="E161" s="95">
        <f>'6'!F161</f>
        <v>3834</v>
      </c>
      <c r="F161" s="235">
        <v>3840.6</v>
      </c>
      <c r="G161" s="238">
        <f t="shared" si="14"/>
        <v>6.5999999999999091</v>
      </c>
      <c r="H161" s="99">
        <f>G161+'6'!H161</f>
        <v>43.599999999999909</v>
      </c>
      <c r="I161" s="236"/>
      <c r="J161" s="239">
        <f>H161/DAY(B2)</f>
        <v>6.2285714285714153</v>
      </c>
    </row>
    <row r="162" spans="1:10" ht="28.5" customHeight="1" x14ac:dyDescent="0.5">
      <c r="A162" s="242" t="s">
        <v>309</v>
      </c>
      <c r="B162" s="243"/>
      <c r="C162" s="243"/>
      <c r="D162" s="244" t="s">
        <v>180</v>
      </c>
      <c r="E162" s="95">
        <f>'6'!F162</f>
        <v>29011</v>
      </c>
      <c r="F162" s="235">
        <v>29022.16</v>
      </c>
      <c r="G162" s="238">
        <f t="shared" si="14"/>
        <v>11.159999999999854</v>
      </c>
      <c r="H162" s="99">
        <f>G162+'6'!H162</f>
        <v>50.159999999999854</v>
      </c>
      <c r="I162" s="236"/>
      <c r="J162" s="239">
        <f>H162/DAY(B2)</f>
        <v>7.1657142857142651</v>
      </c>
    </row>
    <row r="163" spans="1:10" ht="25.5" customHeight="1" x14ac:dyDescent="0.5">
      <c r="A163" s="737"/>
      <c r="B163" s="737"/>
      <c r="C163" s="247"/>
      <c r="D163" s="244" t="s">
        <v>180</v>
      </c>
      <c r="E163" s="95">
        <f>'6'!F163</f>
        <v>0</v>
      </c>
      <c r="F163" s="165"/>
      <c r="G163" s="165"/>
      <c r="H163" s="99">
        <f>G163+'6'!H163</f>
        <v>0</v>
      </c>
      <c r="I163" s="165"/>
      <c r="J163" s="239">
        <f>H163/DAY(B2)</f>
        <v>0</v>
      </c>
    </row>
    <row r="164" spans="1:10" ht="29.25" x14ac:dyDescent="0.5">
      <c r="A164" s="737"/>
      <c r="B164" s="737"/>
      <c r="C164" s="247"/>
      <c r="D164" s="244" t="s">
        <v>180</v>
      </c>
      <c r="E164" s="95">
        <f>'6'!F164</f>
        <v>0</v>
      </c>
      <c r="F164" s="165"/>
      <c r="G164" s="165"/>
      <c r="H164" s="99">
        <f>G164+'6'!H164</f>
        <v>0</v>
      </c>
      <c r="I164" s="165"/>
      <c r="J164" s="239">
        <f>H164/DAY(B2)</f>
        <v>0</v>
      </c>
    </row>
    <row r="165" spans="1:10" ht="29.25" x14ac:dyDescent="0.5">
      <c r="A165" s="737"/>
      <c r="B165" s="737"/>
      <c r="C165" s="247"/>
      <c r="D165" s="244" t="s">
        <v>180</v>
      </c>
      <c r="E165" s="95">
        <f>'6'!F165</f>
        <v>0</v>
      </c>
      <c r="F165" s="165"/>
      <c r="G165" s="165"/>
      <c r="H165" s="99">
        <f>G165+'6'!H165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38" t="s">
        <v>330</v>
      </c>
      <c r="B168" s="739"/>
      <c r="C168" s="739"/>
      <c r="D168" s="739"/>
      <c r="E168" s="739"/>
      <c r="F168" s="739"/>
      <c r="G168" s="739"/>
      <c r="H168" s="739"/>
      <c r="I168" s="739"/>
      <c r="J168" s="740"/>
    </row>
    <row r="169" spans="1:10" ht="27.75" x14ac:dyDescent="0.5">
      <c r="A169" s="747"/>
      <c r="B169" s="748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43" t="s">
        <v>209</v>
      </c>
      <c r="B170" s="744"/>
      <c r="C170" s="353"/>
      <c r="D170" s="228" t="s">
        <v>142</v>
      </c>
      <c r="E170" s="95">
        <f>'6'!F170</f>
        <v>7895</v>
      </c>
      <c r="F170" s="155">
        <v>7895</v>
      </c>
      <c r="G170" s="155">
        <f>F170-E170</f>
        <v>0</v>
      </c>
      <c r="H170" s="99">
        <f>G170+'6'!H170</f>
        <v>0</v>
      </c>
      <c r="I170" s="155"/>
      <c r="J170" s="178">
        <f>H170/DAY(B2)</f>
        <v>0</v>
      </c>
    </row>
    <row r="171" spans="1:10" ht="27.75" x14ac:dyDescent="0.5">
      <c r="A171" s="743" t="s">
        <v>75</v>
      </c>
      <c r="B171" s="744"/>
      <c r="C171" s="353"/>
      <c r="D171" s="228" t="s">
        <v>142</v>
      </c>
      <c r="E171" s="95">
        <f>'6'!F171</f>
        <v>37102</v>
      </c>
      <c r="F171" s="157">
        <v>37115</v>
      </c>
      <c r="G171" s="155">
        <f t="shared" ref="G171:G172" si="15">F171-E171</f>
        <v>13</v>
      </c>
      <c r="H171" s="99">
        <f>G171+'6'!H171</f>
        <v>81</v>
      </c>
      <c r="I171" s="155"/>
      <c r="J171" s="178">
        <f>H171/DAY(B2)</f>
        <v>11.571428571428571</v>
      </c>
    </row>
    <row r="172" spans="1:10" ht="27.75" x14ac:dyDescent="0.5">
      <c r="A172" s="743" t="s">
        <v>76</v>
      </c>
      <c r="B172" s="783"/>
      <c r="C172" s="744"/>
      <c r="D172" s="228" t="s">
        <v>142</v>
      </c>
      <c r="E172" s="95">
        <f>'6'!F172</f>
        <v>20530</v>
      </c>
      <c r="F172" s="155">
        <v>20541</v>
      </c>
      <c r="G172" s="155">
        <f t="shared" si="15"/>
        <v>11</v>
      </c>
      <c r="H172" s="99">
        <f>G172+'6'!H172</f>
        <v>72</v>
      </c>
      <c r="I172" s="155"/>
      <c r="J172" s="178">
        <f>H172/DAY(B2)</f>
        <v>10.285714285714286</v>
      </c>
    </row>
    <row r="173" spans="1:10" ht="27.75" x14ac:dyDescent="0.5">
      <c r="A173" s="732" t="s">
        <v>196</v>
      </c>
      <c r="B173" s="733"/>
      <c r="C173" s="353"/>
      <c r="D173" s="228" t="s">
        <v>142</v>
      </c>
      <c r="E173" s="95"/>
      <c r="F173" s="155"/>
      <c r="G173" s="155">
        <f>SUM(G170:G172)</f>
        <v>24</v>
      </c>
      <c r="H173" s="99">
        <f>G173+'6'!H173</f>
        <v>153</v>
      </c>
      <c r="I173" s="155"/>
      <c r="J173" s="178">
        <f>H173/DAY(B2)</f>
        <v>21.857142857142858</v>
      </c>
    </row>
    <row r="174" spans="1:10" ht="27.75" x14ac:dyDescent="0.5">
      <c r="A174" s="743" t="s">
        <v>77</v>
      </c>
      <c r="B174" s="744"/>
      <c r="C174" s="353"/>
      <c r="D174" s="228" t="s">
        <v>142</v>
      </c>
      <c r="E174" s="95"/>
      <c r="F174" s="155"/>
      <c r="G174" s="155"/>
      <c r="H174" s="99">
        <f>G174+'6'!H174</f>
        <v>0</v>
      </c>
      <c r="I174" s="155"/>
      <c r="J174" s="178">
        <f>H174/DAY(B2)</f>
        <v>0</v>
      </c>
    </row>
    <row r="175" spans="1:10" ht="27.75" x14ac:dyDescent="0.5">
      <c r="A175" s="743" t="s">
        <v>210</v>
      </c>
      <c r="B175" s="744"/>
      <c r="C175" s="353"/>
      <c r="D175" s="228" t="s">
        <v>142</v>
      </c>
      <c r="E175" s="95">
        <f>'6'!F175</f>
        <v>72426</v>
      </c>
      <c r="F175" s="155">
        <v>72468</v>
      </c>
      <c r="G175" s="155">
        <f>F175-E175</f>
        <v>42</v>
      </c>
      <c r="H175" s="99">
        <f>G175+'6'!H175</f>
        <v>534</v>
      </c>
      <c r="I175" s="155"/>
      <c r="J175" s="178">
        <f>H175/DAY(B2)</f>
        <v>76.285714285714292</v>
      </c>
    </row>
    <row r="176" spans="1:10" ht="27.75" x14ac:dyDescent="0.5">
      <c r="A176" s="743" t="s">
        <v>211</v>
      </c>
      <c r="B176" s="744"/>
      <c r="C176" s="353"/>
      <c r="D176" s="228" t="s">
        <v>142</v>
      </c>
      <c r="E176" s="95">
        <f>'6'!F176</f>
        <v>33886</v>
      </c>
      <c r="F176" s="155">
        <v>33886</v>
      </c>
      <c r="G176" s="155">
        <f t="shared" ref="G176:G177" si="16">F176-E176</f>
        <v>0</v>
      </c>
      <c r="H176" s="99">
        <f>G176+'6'!H176</f>
        <v>0</v>
      </c>
      <c r="I176" s="155"/>
      <c r="J176" s="178">
        <f>H176/DAY(B2)</f>
        <v>0</v>
      </c>
    </row>
    <row r="177" spans="1:10" ht="27.75" x14ac:dyDescent="0.5">
      <c r="A177" s="743" t="s">
        <v>212</v>
      </c>
      <c r="B177" s="744"/>
      <c r="C177" s="353"/>
      <c r="D177" s="228" t="s">
        <v>142</v>
      </c>
      <c r="E177" s="95">
        <f>'6'!F177</f>
        <v>4851</v>
      </c>
      <c r="F177" s="155">
        <v>4851</v>
      </c>
      <c r="G177" s="155">
        <f t="shared" si="16"/>
        <v>0</v>
      </c>
      <c r="H177" s="99">
        <f>G177+'6'!H177</f>
        <v>20</v>
      </c>
      <c r="I177" s="155"/>
      <c r="J177" s="178">
        <f>H177/DAY(B2)</f>
        <v>2.8571428571428572</v>
      </c>
    </row>
    <row r="178" spans="1:10" ht="27.75" x14ac:dyDescent="0.5">
      <c r="A178" s="745" t="s">
        <v>108</v>
      </c>
      <c r="B178" s="746"/>
      <c r="C178" s="353"/>
      <c r="D178" s="228" t="s">
        <v>142</v>
      </c>
      <c r="E178" s="95"/>
      <c r="F178" s="155"/>
      <c r="G178" s="155">
        <f>SUM(G175:G177)</f>
        <v>42</v>
      </c>
      <c r="H178" s="99">
        <f>G178+'6'!H178</f>
        <v>554</v>
      </c>
      <c r="I178" s="155"/>
      <c r="J178" s="178">
        <f>H178/DAY(B2)</f>
        <v>79.142857142857139</v>
      </c>
    </row>
    <row r="179" spans="1:10" ht="27.75" x14ac:dyDescent="0.5">
      <c r="A179" s="743" t="s">
        <v>213</v>
      </c>
      <c r="B179" s="744"/>
      <c r="C179" s="353"/>
      <c r="D179" s="228" t="s">
        <v>142</v>
      </c>
      <c r="E179" s="95"/>
      <c r="F179" s="155"/>
      <c r="G179" s="155"/>
      <c r="H179" s="99">
        <f>G179+'6'!H179</f>
        <v>0</v>
      </c>
      <c r="I179" s="155"/>
      <c r="J179" s="178">
        <f>H179/DAY(B2)</f>
        <v>0</v>
      </c>
    </row>
    <row r="180" spans="1:10" ht="27.75" x14ac:dyDescent="0.5">
      <c r="A180" s="743" t="s">
        <v>214</v>
      </c>
      <c r="B180" s="744"/>
      <c r="C180" s="354"/>
      <c r="D180" s="228" t="s">
        <v>142</v>
      </c>
      <c r="E180" s="95">
        <f>'6'!F180</f>
        <v>13636</v>
      </c>
      <c r="F180" s="157">
        <v>13649</v>
      </c>
      <c r="G180" s="157">
        <f>F180-E180</f>
        <v>13</v>
      </c>
      <c r="H180" s="99">
        <f>G180+'6'!H180</f>
        <v>112</v>
      </c>
      <c r="I180" s="155"/>
      <c r="J180" s="178">
        <f>H180/DAY(B2)</f>
        <v>16</v>
      </c>
    </row>
    <row r="181" spans="1:10" ht="27.75" x14ac:dyDescent="0.5">
      <c r="A181" s="743" t="s">
        <v>215</v>
      </c>
      <c r="B181" s="744"/>
      <c r="C181" s="354"/>
      <c r="D181" s="228" t="s">
        <v>142</v>
      </c>
      <c r="E181" s="95">
        <f>'6'!F181</f>
        <v>9496</v>
      </c>
      <c r="F181" s="157">
        <v>9504</v>
      </c>
      <c r="G181" s="157">
        <f t="shared" ref="G181:G182" si="17">F181-E181</f>
        <v>8</v>
      </c>
      <c r="H181" s="99">
        <f>G181+'6'!H181</f>
        <v>56</v>
      </c>
      <c r="I181" s="155"/>
      <c r="J181" s="178">
        <f>H181/DAY(B2)</f>
        <v>8</v>
      </c>
    </row>
    <row r="182" spans="1:10" ht="27.75" x14ac:dyDescent="0.5">
      <c r="A182" s="743" t="s">
        <v>216</v>
      </c>
      <c r="B182" s="744"/>
      <c r="C182" s="354"/>
      <c r="D182" s="228" t="s">
        <v>142</v>
      </c>
      <c r="E182" s="95">
        <f>'6'!F182</f>
        <v>0</v>
      </c>
      <c r="F182" s="157"/>
      <c r="G182" s="157">
        <f t="shared" si="17"/>
        <v>0</v>
      </c>
      <c r="H182" s="99">
        <f>G182+'6'!H182</f>
        <v>0</v>
      </c>
      <c r="I182" s="155"/>
      <c r="J182" s="178">
        <f>H182/DAY(B2)</f>
        <v>0</v>
      </c>
    </row>
    <row r="183" spans="1:10" ht="27.75" x14ac:dyDescent="0.5">
      <c r="A183" s="732" t="s">
        <v>196</v>
      </c>
      <c r="B183" s="733"/>
      <c r="C183" s="354"/>
      <c r="D183" s="228" t="s">
        <v>142</v>
      </c>
      <c r="E183" s="95"/>
      <c r="F183" s="157"/>
      <c r="G183" s="157">
        <f>SUM(G180:G182)</f>
        <v>21</v>
      </c>
      <c r="H183" s="99">
        <f>G183+'6'!H183</f>
        <v>168</v>
      </c>
      <c r="I183" s="157"/>
      <c r="J183" s="178">
        <f>H183/DAY(B2)</f>
        <v>24</v>
      </c>
    </row>
    <row r="184" spans="1:10" ht="27.75" x14ac:dyDescent="0.5">
      <c r="A184" s="734" t="s">
        <v>217</v>
      </c>
      <c r="B184" s="735"/>
      <c r="C184" s="353"/>
      <c r="D184" s="228" t="s">
        <v>142</v>
      </c>
      <c r="E184" s="95"/>
      <c r="F184" s="159"/>
      <c r="G184" s="588">
        <f>G62+G19</f>
        <v>163</v>
      </c>
      <c r="H184" s="99">
        <f>G184+'6'!H184</f>
        <v>1174</v>
      </c>
      <c r="I184" s="158"/>
      <c r="J184" s="179">
        <f>H184/DAY(B2)</f>
        <v>167.71428571428572</v>
      </c>
    </row>
    <row r="185" spans="1:10" ht="27.75" x14ac:dyDescent="0.5">
      <c r="A185" s="734" t="s">
        <v>218</v>
      </c>
      <c r="B185" s="735"/>
      <c r="C185" s="353"/>
      <c r="D185" s="230" t="s">
        <v>142</v>
      </c>
      <c r="E185" s="95"/>
      <c r="F185" s="159"/>
      <c r="G185" s="588">
        <f>G65+G66+G67+G69+G70</f>
        <v>162</v>
      </c>
      <c r="H185" s="99">
        <f>G185+'6'!H185</f>
        <v>1152</v>
      </c>
      <c r="I185" s="158"/>
      <c r="J185" s="179">
        <f>H185/DAY(B2)</f>
        <v>164.57142857142858</v>
      </c>
    </row>
    <row r="186" spans="1:10" ht="27.75" x14ac:dyDescent="0.5">
      <c r="A186" s="734" t="s">
        <v>219</v>
      </c>
      <c r="B186" s="735"/>
      <c r="C186" s="353"/>
      <c r="D186" s="230" t="s">
        <v>142</v>
      </c>
      <c r="E186" s="95"/>
      <c r="F186" s="157"/>
      <c r="G186" s="585">
        <f>G178</f>
        <v>42</v>
      </c>
      <c r="H186" s="99">
        <f>G186+'6'!H186</f>
        <v>554</v>
      </c>
      <c r="I186" s="158"/>
      <c r="J186" s="179">
        <f>H186/DAY(B2)</f>
        <v>79.142857142857139</v>
      </c>
    </row>
    <row r="187" spans="1:10" ht="27.75" x14ac:dyDescent="0.5">
      <c r="A187" s="741"/>
      <c r="B187" s="742"/>
      <c r="C187" s="601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68:J168"/>
    <mergeCell ref="A169:B169"/>
    <mergeCell ref="A170:B170"/>
    <mergeCell ref="A171:B171"/>
    <mergeCell ref="A173:B173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116:C116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72:C172"/>
    <mergeCell ref="A178:B178"/>
    <mergeCell ref="A164:B164"/>
    <mergeCell ref="A165:B165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187:B187"/>
    <mergeCell ref="A182:B182"/>
    <mergeCell ref="A183:B183"/>
    <mergeCell ref="A184:B184"/>
    <mergeCell ref="A185:B185"/>
    <mergeCell ref="A186:B186"/>
    <mergeCell ref="A174:B174"/>
    <mergeCell ref="A175:B175"/>
    <mergeCell ref="A176:B176"/>
    <mergeCell ref="A177:B177"/>
    <mergeCell ref="A181:B181"/>
    <mergeCell ref="A180:B180"/>
    <mergeCell ref="A179:B179"/>
    <mergeCell ref="A150:C150"/>
    <mergeCell ref="A151:C151"/>
    <mergeCell ref="A152:C152"/>
    <mergeCell ref="A157:J157"/>
    <mergeCell ref="A163:B163"/>
    <mergeCell ref="A134:C134"/>
    <mergeCell ref="A135:C135"/>
    <mergeCell ref="A136:J136"/>
    <mergeCell ref="A138:C138"/>
    <mergeCell ref="A139:C139"/>
    <mergeCell ref="A154:J154"/>
    <mergeCell ref="A155:C155"/>
    <mergeCell ref="A156:C156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67"/>
  <sheetViews>
    <sheetView view="pageBreakPreview" topLeftCell="A130" zoomScale="55" zoomScaleSheetLayoutView="55" workbookViewId="0">
      <selection activeCell="F148" sqref="F14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89" t="s">
        <v>115</v>
      </c>
      <c r="B1" s="790"/>
      <c r="C1" s="790"/>
      <c r="D1" s="790"/>
      <c r="E1" s="790"/>
      <c r="F1" s="790"/>
      <c r="G1" s="790"/>
      <c r="H1" s="790"/>
      <c r="I1" s="790"/>
      <c r="J1" s="791"/>
    </row>
    <row r="2" spans="1:15" s="57" customFormat="1" ht="27" x14ac:dyDescent="0.5">
      <c r="A2" s="191" t="s">
        <v>356</v>
      </c>
      <c r="B2" s="266">
        <v>44477</v>
      </c>
      <c r="C2" s="368" t="s">
        <v>67</v>
      </c>
      <c r="D2" s="218">
        <v>0.9294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98" t="s">
        <v>119</v>
      </c>
      <c r="F3" s="79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92" t="s">
        <v>128</v>
      </c>
      <c r="B6" s="793"/>
      <c r="C6" s="79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'7'!F7</f>
        <v>130664.02</v>
      </c>
      <c r="F7" s="95">
        <v>153892.20000000001</v>
      </c>
      <c r="G7" s="112">
        <f>F7-E7</f>
        <v>23228.180000000008</v>
      </c>
      <c r="H7" s="99">
        <f>G7+'7'!H7</f>
        <v>186649.79999999993</v>
      </c>
      <c r="I7" s="113">
        <f>'1'!I7</f>
        <v>12000</v>
      </c>
      <c r="J7" s="175">
        <f>H7/DAY(B2)</f>
        <v>23331.224999999991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'7'!F8</f>
        <v>146315.32</v>
      </c>
      <c r="F8" s="114">
        <v>170020.51</v>
      </c>
      <c r="G8" s="115">
        <f>F8-E8</f>
        <v>23705.190000000002</v>
      </c>
      <c r="H8" s="99">
        <f>G8+'7'!H8</f>
        <v>188303.50999999995</v>
      </c>
      <c r="I8" s="116"/>
      <c r="J8" s="175">
        <f>H8/DAY(B2)</f>
        <v>23537.938749999994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'7'!F9</f>
        <v>887486.83</v>
      </c>
      <c r="F9" s="117">
        <v>905552.87</v>
      </c>
      <c r="G9" s="112">
        <f>F9-E9</f>
        <v>18066.040000000037</v>
      </c>
      <c r="H9" s="99">
        <f>G9+'7'!H9</f>
        <v>174762.87</v>
      </c>
      <c r="I9" s="124">
        <f>I7-J7</f>
        <v>-11331.224999999991</v>
      </c>
      <c r="J9" s="175">
        <f>H9/DAY(B2)</f>
        <v>21845.358749999999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'7'!F10</f>
        <v>1632.8</v>
      </c>
      <c r="F10" s="117">
        <v>6145.56</v>
      </c>
      <c r="G10" s="112">
        <f t="shared" ref="G10:G12" si="0">F10-E10</f>
        <v>4512.76</v>
      </c>
      <c r="H10" s="99">
        <f>G10+'7'!H10</f>
        <v>6145.56</v>
      </c>
      <c r="I10" s="286"/>
      <c r="J10" s="175">
        <f>H10/DAY(B2)</f>
        <v>768.19500000000005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'7'!F11</f>
        <v>37000</v>
      </c>
      <c r="F11" s="95">
        <v>37000</v>
      </c>
      <c r="G11" s="112">
        <f t="shared" si="0"/>
        <v>0</v>
      </c>
      <c r="H11" s="99">
        <f>G11+'7'!H11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'7'!F12</f>
        <v>40010</v>
      </c>
      <c r="F12" s="117">
        <v>40010</v>
      </c>
      <c r="G12" s="112">
        <f t="shared" si="0"/>
        <v>0</v>
      </c>
      <c r="H12" s="99">
        <f>G12+'7'!H12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22578.800000000039</v>
      </c>
      <c r="H13" s="99">
        <f>G13+'7'!H13</f>
        <v>159362.68</v>
      </c>
      <c r="I13" s="120">
        <f>G7-G13</f>
        <v>649.37999999996828</v>
      </c>
      <c r="J13" s="175">
        <f>H13/DAY(B2)</f>
        <v>19920.334999999999</v>
      </c>
      <c r="K13" s="79"/>
      <c r="L13" s="66"/>
      <c r="N13" s="87"/>
      <c r="O13" s="71"/>
    </row>
    <row r="14" spans="1:15" ht="29.25" x14ac:dyDescent="0.5">
      <c r="A14" s="795" t="s">
        <v>137</v>
      </c>
      <c r="B14" s="796"/>
      <c r="C14" s="79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'7'!F15</f>
        <v>1791332.83</v>
      </c>
      <c r="F15" s="123">
        <v>1792355.38</v>
      </c>
      <c r="G15" s="112">
        <f>(F15-E15)</f>
        <v>1022.5499999998137</v>
      </c>
      <c r="H15" s="99">
        <f>G15+'7'!H15</f>
        <v>8147.3799999998882</v>
      </c>
      <c r="I15" s="113">
        <f>'1'!I15</f>
        <v>800</v>
      </c>
      <c r="J15" s="175">
        <f>H15/DAY(B2)</f>
        <v>1018.422499999986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-218.42249999998603</v>
      </c>
      <c r="J16" s="176"/>
      <c r="K16" s="79"/>
      <c r="L16" s="66"/>
      <c r="N16" s="87"/>
      <c r="O16" s="71"/>
    </row>
    <row r="17" spans="1:15" ht="29.25" x14ac:dyDescent="0.5">
      <c r="A17" s="795" t="s">
        <v>140</v>
      </c>
      <c r="B17" s="796"/>
      <c r="C17" s="79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1" t="s">
        <v>141</v>
      </c>
      <c r="B18" s="772"/>
      <c r="C18" s="773"/>
      <c r="D18" s="151" t="s">
        <v>142</v>
      </c>
      <c r="E18" s="95">
        <f>'7'!F18</f>
        <v>20</v>
      </c>
      <c r="F18" s="122">
        <v>18</v>
      </c>
      <c r="G18" s="119">
        <f>F18*10</f>
        <v>180</v>
      </c>
      <c r="H18" s="99">
        <f>G18+'7'!H18</f>
        <v>1510</v>
      </c>
      <c r="I18" s="113">
        <f>'1'!I18</f>
        <v>65</v>
      </c>
      <c r="J18" s="175">
        <f>H18/DAY(B2)</f>
        <v>188.75</v>
      </c>
      <c r="K18" s="79"/>
      <c r="L18" s="66"/>
      <c r="N18" s="87"/>
      <c r="O18" s="71"/>
    </row>
    <row r="19" spans="1:15" ht="27.75" x14ac:dyDescent="0.5">
      <c r="A19" s="771" t="s">
        <v>69</v>
      </c>
      <c r="B19" s="772"/>
      <c r="C19" s="773"/>
      <c r="D19" s="151" t="s">
        <v>142</v>
      </c>
      <c r="E19" s="95">
        <f>'7'!F19</f>
        <v>147528</v>
      </c>
      <c r="F19" s="122">
        <v>147579</v>
      </c>
      <c r="G19" s="112">
        <f t="shared" ref="G19" si="1">F19-E19</f>
        <v>51</v>
      </c>
      <c r="H19" s="99">
        <f>G19+'7'!H19</f>
        <v>467</v>
      </c>
      <c r="I19" s="355"/>
      <c r="J19" s="175">
        <f>H19/DAY(B2)</f>
        <v>58.375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231</v>
      </c>
      <c r="H20" s="99">
        <f>G20+'7'!H20</f>
        <v>1977</v>
      </c>
      <c r="I20" s="356">
        <f>I18-J20</f>
        <v>-182.125</v>
      </c>
      <c r="J20" s="175">
        <f>H20/DAY(B2)</f>
        <v>247.125</v>
      </c>
      <c r="K20" s="79"/>
      <c r="L20" s="66"/>
      <c r="N20" s="87"/>
      <c r="O20" s="71"/>
    </row>
    <row r="21" spans="1:15" ht="29.25" x14ac:dyDescent="0.5">
      <c r="A21" s="795" t="s">
        <v>144</v>
      </c>
      <c r="B21" s="796"/>
      <c r="C21" s="79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'7'!F23</f>
        <v>2000</v>
      </c>
      <c r="F23" s="122">
        <v>2000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'7'!F24</f>
        <v>4970</v>
      </c>
      <c r="F24" s="128">
        <v>4970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0" t="s">
        <v>149</v>
      </c>
      <c r="B25" s="801"/>
      <c r="C25" s="80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23705.190000000002</v>
      </c>
      <c r="F27" s="136">
        <v>9</v>
      </c>
      <c r="G27" s="137">
        <f>E27*F27</f>
        <v>213346.71000000002</v>
      </c>
      <c r="H27" s="99">
        <f>G27+'7'!H27</f>
        <v>1694731.5899999996</v>
      </c>
      <c r="I27" s="138"/>
      <c r="J27" s="175">
        <f>H27/DAY(B2)</f>
        <v>211841.44874999995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1022.5499999998137</v>
      </c>
      <c r="F28" s="136">
        <v>52</v>
      </c>
      <c r="G28" s="137">
        <f>E28*F28</f>
        <v>53172.599999990314</v>
      </c>
      <c r="H28" s="99">
        <f>G28+'7'!H28</f>
        <v>423663.75999999419</v>
      </c>
      <c r="I28" s="140"/>
      <c r="J28" s="175">
        <f>H28/DAY(B2)</f>
        <v>52957.969999999274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G30+'7'!H30</f>
        <v>68182</v>
      </c>
      <c r="I30" s="140"/>
      <c r="J30" s="175">
        <f>H30/DAY(B2)</f>
        <v>8522.75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G31+'7'!H31</f>
        <v>120800</v>
      </c>
      <c r="I31" s="140"/>
      <c r="J31" s="175">
        <f>H31/DAY(B2)</f>
        <v>15100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288365.30999999034</v>
      </c>
      <c r="H32" s="99">
        <f>G32+'7'!H32</f>
        <v>2307377.349999994</v>
      </c>
      <c r="I32" s="144"/>
      <c r="J32" s="175">
        <f>H32/DAY(B2)</f>
        <v>288422.16874999925</v>
      </c>
      <c r="K32" s="63"/>
      <c r="L32" s="89"/>
      <c r="N32" s="87"/>
      <c r="O32" s="71"/>
    </row>
    <row r="33" spans="1:15" ht="25.5" customHeight="1" x14ac:dyDescent="0.35">
      <c r="A33" s="803" t="s">
        <v>331</v>
      </c>
      <c r="B33" s="804"/>
      <c r="C33" s="804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'7'!F35</f>
        <v>0</v>
      </c>
      <c r="F35" s="145">
        <v>0</v>
      </c>
      <c r="G35" s="112">
        <f t="shared" ref="G35:G46" si="3">F35-E35</f>
        <v>0</v>
      </c>
      <c r="H35" s="99">
        <f>G35+'7'!H35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'7'!F36</f>
        <v>30146.29</v>
      </c>
      <c r="F36" s="145">
        <v>30855.07</v>
      </c>
      <c r="G36" s="112">
        <f t="shared" si="3"/>
        <v>708.77999999999884</v>
      </c>
      <c r="H36" s="99">
        <f>G36+'7'!H36</f>
        <v>6978.07</v>
      </c>
      <c r="I36" s="95"/>
      <c r="J36" s="175">
        <f>H36/DAY(B2)</f>
        <v>872.25874999999996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'7'!F37</f>
        <v>66246.05</v>
      </c>
      <c r="F37" s="145">
        <v>67983.95</v>
      </c>
      <c r="G37" s="112">
        <f t="shared" si="3"/>
        <v>1737.8999999999942</v>
      </c>
      <c r="H37" s="99">
        <f>G37+'7'!H37</f>
        <v>13820.949999999997</v>
      </c>
      <c r="I37" s="95"/>
      <c r="J37" s="175">
        <f>H37/DAY(B2)</f>
        <v>1727.6187499999996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'7'!F38</f>
        <v>70452.06</v>
      </c>
      <c r="F38" s="108">
        <v>72354.03</v>
      </c>
      <c r="G38" s="112">
        <f t="shared" si="3"/>
        <v>1901.9700000000012</v>
      </c>
      <c r="H38" s="99">
        <f>G38+'7'!H38</f>
        <v>15228.029999999999</v>
      </c>
      <c r="I38" s="95"/>
      <c r="J38" s="175">
        <f>H38/DAY(B2)</f>
        <v>1903.5037499999999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'7'!F39</f>
        <v>152076.26</v>
      </c>
      <c r="F39" s="145">
        <v>156352.67000000001</v>
      </c>
      <c r="G39" s="112">
        <f t="shared" si="3"/>
        <v>4276.4100000000035</v>
      </c>
      <c r="H39" s="99">
        <f>G39+'7'!H39</f>
        <v>33461.670000000013</v>
      </c>
      <c r="I39" s="95"/>
      <c r="J39" s="175">
        <f>H39/DAY(B2)</f>
        <v>4182.7087500000016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'7'!F40</f>
        <v>0</v>
      </c>
      <c r="F40" s="145">
        <v>1.3</v>
      </c>
      <c r="G40" s="112">
        <f t="shared" si="3"/>
        <v>1.3</v>
      </c>
      <c r="H40" s="99">
        <f>G40+'7'!H40</f>
        <v>1.3</v>
      </c>
      <c r="I40" s="95"/>
      <c r="J40" s="175">
        <f>H40/DAY(B2)</f>
        <v>0.16250000000000001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'7'!F41</f>
        <v>522420.71</v>
      </c>
      <c r="F41" s="145">
        <v>527553.06999999995</v>
      </c>
      <c r="G41" s="112">
        <f t="shared" si="3"/>
        <v>5132.3599999999278</v>
      </c>
      <c r="H41" s="99">
        <f>G41+'7'!H41</f>
        <v>38333.479999999923</v>
      </c>
      <c r="I41" s="95"/>
      <c r="J41" s="175">
        <f>H41/DAY(B2)</f>
        <v>4791.6849999999904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'7'!F42</f>
        <v>253201.65</v>
      </c>
      <c r="F42" s="145">
        <v>255366.91</v>
      </c>
      <c r="G42" s="112">
        <f t="shared" si="3"/>
        <v>2165.2600000000093</v>
      </c>
      <c r="H42" s="99">
        <f>G42+'7'!H42</f>
        <v>11183.910000000003</v>
      </c>
      <c r="I42" s="95"/>
      <c r="J42" s="175">
        <f>H42/DAY(B2)</f>
        <v>1397.9887500000004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'7'!F43</f>
        <v>1380308</v>
      </c>
      <c r="F43" s="145">
        <v>1383017.6</v>
      </c>
      <c r="G43" s="112">
        <f t="shared" si="3"/>
        <v>2709.6000000000931</v>
      </c>
      <c r="H43" s="99">
        <f>G43+'7'!H43</f>
        <v>19059.600000000093</v>
      </c>
      <c r="I43" s="95"/>
      <c r="J43" s="175">
        <f>H43/DAY(B2)</f>
        <v>2382.4500000000116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18633.580000000027</v>
      </c>
      <c r="H47" s="99">
        <f>G47+'7'!H47</f>
        <v>138067.01</v>
      </c>
      <c r="I47" s="95"/>
      <c r="J47" s="175">
        <f>H47/DAY(B2)</f>
        <v>17258.376250000001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'7'!F49</f>
        <v>120625.48</v>
      </c>
      <c r="F49" s="145">
        <v>124043.34</v>
      </c>
      <c r="G49" s="112">
        <f t="shared" ref="G49:G58" si="4">F49-E49</f>
        <v>3417.8600000000006</v>
      </c>
      <c r="H49" s="99">
        <f>G49+'7'!H49</f>
        <v>32846.959999999992</v>
      </c>
      <c r="I49" s="95"/>
      <c r="J49" s="175">
        <f>H49/DAY(B2)</f>
        <v>4105.869999999999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'7'!F50</f>
        <v>653021.39</v>
      </c>
      <c r="F50" s="145">
        <v>654131.63</v>
      </c>
      <c r="G50" s="112">
        <f t="shared" si="4"/>
        <v>1110.2399999999907</v>
      </c>
      <c r="H50" s="99">
        <f>G50+'7'!H50</f>
        <v>10641.630000000005</v>
      </c>
      <c r="I50" s="95"/>
      <c r="J50" s="175">
        <f>H50/DAY(B2)</f>
        <v>1330.2037500000006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'7'!F51</f>
        <v>0</v>
      </c>
      <c r="F51" s="145">
        <v>0</v>
      </c>
      <c r="G51" s="112">
        <f t="shared" si="4"/>
        <v>0</v>
      </c>
      <c r="H51" s="99">
        <f>G51+'7'!H51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'7'!F52</f>
        <v>0</v>
      </c>
      <c r="F52" s="145">
        <v>0</v>
      </c>
      <c r="G52" s="112">
        <f t="shared" si="4"/>
        <v>0</v>
      </c>
      <c r="H52" s="99">
        <f>G52+'7'!H52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'7'!F53</f>
        <v>0</v>
      </c>
      <c r="F53" s="145">
        <v>0</v>
      </c>
      <c r="G53" s="112">
        <f t="shared" si="4"/>
        <v>0</v>
      </c>
      <c r="H53" s="99">
        <f>G53+'7'!H53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'7'!F54</f>
        <v>2759.74</v>
      </c>
      <c r="F54" s="145">
        <v>2763.88</v>
      </c>
      <c r="G54" s="112">
        <f t="shared" si="4"/>
        <v>4.1400000000003274</v>
      </c>
      <c r="H54" s="99">
        <f>G54+'7'!H54</f>
        <v>31.880000000000109</v>
      </c>
      <c r="I54" s="95"/>
      <c r="J54" s="175">
        <f>H54/DAY(B2)</f>
        <v>3.9850000000000136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'7'!F55</f>
        <v>307299</v>
      </c>
      <c r="F55" s="145">
        <v>307299</v>
      </c>
      <c r="G55" s="112">
        <f t="shared" si="4"/>
        <v>0</v>
      </c>
      <c r="H55" s="99">
        <f>G55+'7'!H55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'7'!F56</f>
        <v>750337.75</v>
      </c>
      <c r="F56" s="145">
        <v>750352.87</v>
      </c>
      <c r="G56" s="112">
        <f t="shared" si="4"/>
        <v>15.119999999995343</v>
      </c>
      <c r="H56" s="99">
        <f>G56+'7'!H56</f>
        <v>8582.8699999999953</v>
      </c>
      <c r="I56" s="95"/>
      <c r="J56" s="175">
        <f>H56/DAY(B2)</f>
        <v>1072.8587499999994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'7'!F57</f>
        <v>0</v>
      </c>
      <c r="F57" s="145">
        <v>0</v>
      </c>
      <c r="G57" s="112">
        <f t="shared" si="4"/>
        <v>0</v>
      </c>
      <c r="H57" s="99">
        <f>G57+'7'!H57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'7'!F58</f>
        <v>73747.19</v>
      </c>
      <c r="F58" s="145">
        <v>73963.759999999995</v>
      </c>
      <c r="G58" s="112">
        <f t="shared" si="4"/>
        <v>216.56999999999243</v>
      </c>
      <c r="H58" s="99">
        <f>G58+'7'!H58</f>
        <v>1808.7599999999948</v>
      </c>
      <c r="I58" s="95"/>
      <c r="J58" s="175">
        <f>H58/DAY(B2)</f>
        <v>226.09499999999935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4763.9299999999794</v>
      </c>
      <c r="H59" s="99">
        <f>G59+'7'!H59</f>
        <v>53912.099999999984</v>
      </c>
      <c r="I59" s="95">
        <f>G7-G60</f>
        <v>-169.32999999999811</v>
      </c>
      <c r="J59" s="175">
        <f>H59/DAY(B2)</f>
        <v>6739.012499999998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23397.510000000006</v>
      </c>
      <c r="H60" s="99">
        <f>G60+'7'!H60</f>
        <v>191979.11000000002</v>
      </c>
      <c r="I60" s="95">
        <f>G13-G60</f>
        <v>-818.70999999996639</v>
      </c>
      <c r="J60" s="175">
        <f>H60/DAY(B2)</f>
        <v>23997.388750000002</v>
      </c>
      <c r="K60" s="79"/>
      <c r="L60" s="66"/>
      <c r="N60" s="87"/>
      <c r="O60" s="71"/>
    </row>
    <row r="61" spans="1:15" s="68" customFormat="1" ht="27.75" x14ac:dyDescent="0.5">
      <c r="A61" s="805" t="s">
        <v>332</v>
      </c>
      <c r="B61" s="806"/>
      <c r="C61" s="807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1" t="s">
        <v>198</v>
      </c>
      <c r="B62" s="772"/>
      <c r="C62" s="773"/>
      <c r="D62" s="151" t="s">
        <v>142</v>
      </c>
      <c r="E62" s="95">
        <f>'7'!F62</f>
        <v>257111</v>
      </c>
      <c r="F62" s="122">
        <v>257224</v>
      </c>
      <c r="G62" s="112">
        <f t="shared" ref="G62:G63" si="5">F62-E62</f>
        <v>113</v>
      </c>
      <c r="H62" s="99">
        <f>G62+'7'!H62</f>
        <v>871</v>
      </c>
      <c r="I62" s="118"/>
      <c r="J62" s="175">
        <f>H62/DAY(B2)</f>
        <v>108.875</v>
      </c>
      <c r="K62" s="80"/>
      <c r="L62" s="66"/>
      <c r="N62" s="87"/>
      <c r="O62" s="71"/>
    </row>
    <row r="63" spans="1:15" ht="27.75" x14ac:dyDescent="0.5">
      <c r="A63" s="771" t="s">
        <v>199</v>
      </c>
      <c r="B63" s="772"/>
      <c r="C63" s="773"/>
      <c r="D63" s="151" t="s">
        <v>142</v>
      </c>
      <c r="E63" s="95">
        <f>'7'!F63</f>
        <v>203406</v>
      </c>
      <c r="F63" s="122">
        <v>203541</v>
      </c>
      <c r="G63" s="112">
        <f t="shared" si="5"/>
        <v>135</v>
      </c>
      <c r="H63" s="99">
        <f>G63+'7'!H63</f>
        <v>1015</v>
      </c>
      <c r="I63" s="118"/>
      <c r="J63" s="175">
        <f>H63/DAY(B2)</f>
        <v>126.875</v>
      </c>
      <c r="K63" s="69"/>
      <c r="L63" s="66"/>
      <c r="N63" s="87"/>
      <c r="O63" s="71"/>
    </row>
    <row r="64" spans="1:15" ht="29.25" x14ac:dyDescent="0.5">
      <c r="A64" s="780" t="s">
        <v>200</v>
      </c>
      <c r="B64" s="781"/>
      <c r="C64" s="782"/>
      <c r="D64" s="151"/>
      <c r="E64" s="95">
        <f>'7'!F64</f>
        <v>0</v>
      </c>
      <c r="F64" s="122"/>
      <c r="G64" s="112">
        <f>G62+G63</f>
        <v>248</v>
      </c>
      <c r="H64" s="99">
        <f>G64+'7'!H64</f>
        <v>1886</v>
      </c>
      <c r="I64" s="118"/>
      <c r="J64" s="175">
        <f>H64/DAY(B2)</f>
        <v>235.75</v>
      </c>
      <c r="K64" s="69"/>
      <c r="L64" s="66"/>
      <c r="N64" s="87"/>
      <c r="O64" s="71"/>
    </row>
    <row r="65" spans="1:15" ht="27.75" x14ac:dyDescent="0.5">
      <c r="A65" s="771" t="s">
        <v>201</v>
      </c>
      <c r="B65" s="772"/>
      <c r="C65" s="773"/>
      <c r="D65" s="151" t="s">
        <v>142</v>
      </c>
      <c r="E65" s="95">
        <f>'7'!F65</f>
        <v>423922</v>
      </c>
      <c r="F65" s="122">
        <v>424012</v>
      </c>
      <c r="G65" s="112">
        <f t="shared" ref="G65:G70" si="6">F65-E65</f>
        <v>90</v>
      </c>
      <c r="H65" s="99">
        <f>G65+'7'!H65</f>
        <v>723</v>
      </c>
      <c r="I65" s="118"/>
      <c r="J65" s="175">
        <f>H65/DAY(B2)</f>
        <v>90.375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'7'!F66</f>
        <v>105467</v>
      </c>
      <c r="F66" s="122">
        <v>105493</v>
      </c>
      <c r="G66" s="112">
        <f t="shared" si="6"/>
        <v>26</v>
      </c>
      <c r="H66" s="99">
        <f>G66+'7'!H66</f>
        <v>179</v>
      </c>
      <c r="I66" s="118"/>
      <c r="J66" s="175">
        <f>H66/DAY(B2)</f>
        <v>22.375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'7'!F67</f>
        <v>101485</v>
      </c>
      <c r="F67" s="122">
        <v>101513</v>
      </c>
      <c r="G67" s="112">
        <f t="shared" si="6"/>
        <v>28</v>
      </c>
      <c r="H67" s="99">
        <f>G67+'7'!H67</f>
        <v>229</v>
      </c>
      <c r="I67" s="118"/>
      <c r="J67" s="175">
        <f>H67/DAY(B2)</f>
        <v>28.625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'7'!F68</f>
        <v>153426</v>
      </c>
      <c r="F68" s="122">
        <v>153474</v>
      </c>
      <c r="G68" s="112">
        <f t="shared" si="6"/>
        <v>48</v>
      </c>
      <c r="H68" s="99">
        <f>G68+'7'!H68</f>
        <v>361</v>
      </c>
      <c r="I68" s="118"/>
      <c r="J68" s="175">
        <f>H68/DAY(B2)</f>
        <v>45.125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'7'!F69</f>
        <v>9150</v>
      </c>
      <c r="F69" s="122">
        <v>9166</v>
      </c>
      <c r="G69" s="112">
        <f t="shared" si="6"/>
        <v>16</v>
      </c>
      <c r="H69" s="99">
        <f>G69+'7'!H69</f>
        <v>109</v>
      </c>
      <c r="I69" s="118"/>
      <c r="J69" s="175">
        <f>H69/DAY(B2)</f>
        <v>13.625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'7'!F70</f>
        <v>6876</v>
      </c>
      <c r="F70" s="122">
        <v>6887</v>
      </c>
      <c r="G70" s="112">
        <f t="shared" si="6"/>
        <v>11</v>
      </c>
      <c r="H70" s="99">
        <f>G70+'7'!H70</f>
        <v>83</v>
      </c>
      <c r="I70" s="118"/>
      <c r="J70" s="175">
        <f>H70/DAY(B2)</f>
        <v>10.375</v>
      </c>
      <c r="K70" s="69"/>
      <c r="L70" s="66"/>
      <c r="N70" s="87"/>
      <c r="O70" s="71"/>
    </row>
    <row r="71" spans="1:15" ht="29.25" x14ac:dyDescent="0.5">
      <c r="A71" s="780" t="s">
        <v>208</v>
      </c>
      <c r="B71" s="781"/>
      <c r="C71" s="782"/>
      <c r="D71" s="152"/>
      <c r="E71" s="152"/>
      <c r="F71" s="152"/>
      <c r="G71" s="153">
        <f>SUM(G65:G70)</f>
        <v>219</v>
      </c>
      <c r="H71" s="99">
        <f>G71+'7'!H71</f>
        <v>1684</v>
      </c>
      <c r="I71" s="154"/>
      <c r="J71" s="175">
        <f>H71/DAY(B2)</f>
        <v>210.5</v>
      </c>
      <c r="K71" s="69"/>
      <c r="L71" s="66"/>
      <c r="N71" s="87"/>
      <c r="O71" s="71"/>
    </row>
    <row r="72" spans="1:15" s="88" customFormat="1" ht="27.75" x14ac:dyDescent="0.5">
      <c r="A72" s="767"/>
      <c r="B72" s="752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77" t="s">
        <v>333</v>
      </c>
      <c r="B73" s="778"/>
      <c r="C73" s="779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1" t="s">
        <v>220</v>
      </c>
      <c r="B74" s="772"/>
      <c r="C74" s="773"/>
      <c r="D74" s="151" t="s">
        <v>139</v>
      </c>
      <c r="E74" s="95">
        <f>'7'!F74</f>
        <v>866578.03</v>
      </c>
      <c r="F74" s="123">
        <v>866865.37</v>
      </c>
      <c r="G74" s="112">
        <f t="shared" ref="G74:G78" si="7">F74-E74</f>
        <v>287.3399999999674</v>
      </c>
      <c r="H74" s="99">
        <f>G74+'7'!H74</f>
        <v>2357.3699999999953</v>
      </c>
      <c r="I74" s="154"/>
      <c r="J74" s="175">
        <f>H74/DAY(B2)</f>
        <v>294.67124999999942</v>
      </c>
      <c r="K74" s="69"/>
      <c r="L74" s="66"/>
      <c r="N74" s="87"/>
      <c r="O74" s="71"/>
    </row>
    <row r="75" spans="1:15" ht="27.75" x14ac:dyDescent="0.5">
      <c r="A75" s="771" t="s">
        <v>221</v>
      </c>
      <c r="B75" s="772"/>
      <c r="C75" s="773"/>
      <c r="D75" s="151" t="s">
        <v>139</v>
      </c>
      <c r="E75" s="95">
        <f>'7'!F75</f>
        <v>73583.399999999994</v>
      </c>
      <c r="F75" s="123">
        <v>73583.399999999994</v>
      </c>
      <c r="G75" s="112">
        <f t="shared" si="7"/>
        <v>0</v>
      </c>
      <c r="H75" s="99">
        <f>G75+'7'!H75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68" t="s">
        <v>222</v>
      </c>
      <c r="B76" s="769"/>
      <c r="C76" s="770"/>
      <c r="D76" s="151" t="s">
        <v>139</v>
      </c>
      <c r="E76" s="95">
        <f>'7'!F76</f>
        <v>157577.07999999999</v>
      </c>
      <c r="F76" s="123">
        <v>157698.98000000001</v>
      </c>
      <c r="G76" s="112">
        <f t="shared" si="7"/>
        <v>121.90000000002328</v>
      </c>
      <c r="H76" s="99">
        <f>G76+'7'!H76</f>
        <v>886.98000000001048</v>
      </c>
      <c r="I76" s="154"/>
      <c r="J76" s="175">
        <f>H76/DAY(B2)</f>
        <v>110.87250000000131</v>
      </c>
      <c r="K76" s="69"/>
      <c r="L76" s="66"/>
      <c r="N76" s="87"/>
      <c r="O76" s="71"/>
    </row>
    <row r="77" spans="1:15" ht="27.75" x14ac:dyDescent="0.5">
      <c r="A77" s="768" t="s">
        <v>223</v>
      </c>
      <c r="B77" s="769"/>
      <c r="C77" s="770"/>
      <c r="D77" s="151" t="s">
        <v>139</v>
      </c>
      <c r="E77" s="95">
        <f>'7'!F77</f>
        <v>36364.699999999997</v>
      </c>
      <c r="F77" s="123">
        <v>36414.300000000003</v>
      </c>
      <c r="G77" s="112">
        <f t="shared" si="7"/>
        <v>49.600000000005821</v>
      </c>
      <c r="H77" s="99">
        <f>G77+'7'!H77</f>
        <v>410.30000000000291</v>
      </c>
      <c r="I77" s="154"/>
      <c r="J77" s="175">
        <f>H77/DAY(B2)</f>
        <v>51.287500000000364</v>
      </c>
      <c r="K77" s="69"/>
      <c r="L77" s="66"/>
      <c r="N77" s="87"/>
      <c r="O77" s="71"/>
    </row>
    <row r="78" spans="1:15" ht="27.75" x14ac:dyDescent="0.5">
      <c r="A78" s="768" t="s">
        <v>224</v>
      </c>
      <c r="B78" s="769"/>
      <c r="C78" s="770"/>
      <c r="D78" s="151" t="s">
        <v>139</v>
      </c>
      <c r="E78" s="95">
        <f>'7'!F78</f>
        <v>9268.1</v>
      </c>
      <c r="F78" s="123">
        <v>9269.9</v>
      </c>
      <c r="G78" s="112">
        <f t="shared" si="7"/>
        <v>1.7999999999992724</v>
      </c>
      <c r="H78" s="99">
        <f>G78+'7'!H78</f>
        <v>21.899999999999636</v>
      </c>
      <c r="I78" s="118"/>
      <c r="J78" s="175">
        <f>H78/DAY(B2)</f>
        <v>2.7374999999999545</v>
      </c>
      <c r="K78" s="69"/>
      <c r="L78" s="66"/>
      <c r="N78" s="87"/>
      <c r="O78" s="71"/>
    </row>
    <row r="79" spans="1:15" s="57" customFormat="1" ht="27.75" x14ac:dyDescent="0.5">
      <c r="A79" s="768" t="s">
        <v>225</v>
      </c>
      <c r="B79" s="769"/>
      <c r="C79" s="770"/>
      <c r="D79" s="151"/>
      <c r="E79" s="95">
        <f>'7'!F79</f>
        <v>0</v>
      </c>
      <c r="F79" s="117"/>
      <c r="G79" s="112">
        <f>G15-SUM(G74:G78)</f>
        <v>561.90999999981796</v>
      </c>
      <c r="H79" s="99">
        <f>G79+'7'!H79</f>
        <v>4470.8299999998799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0" t="s">
        <v>329</v>
      </c>
      <c r="B80" s="781"/>
      <c r="C80" s="782"/>
      <c r="D80" s="151"/>
      <c r="E80" s="117"/>
      <c r="F80" s="117"/>
      <c r="G80" s="112">
        <f>SUM(G74:G79)</f>
        <v>1022.5499999998137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85" t="s">
        <v>226</v>
      </c>
      <c r="B81" s="786"/>
      <c r="C81" s="78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'7'!F82</f>
        <v>0</v>
      </c>
      <c r="F82" s="122"/>
      <c r="G82" s="112">
        <f t="shared" ref="G82:G92" si="8">F82-E82</f>
        <v>0</v>
      </c>
      <c r="H82" s="99">
        <f>G82+'7'!H82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'7'!F83</f>
        <v>0</v>
      </c>
      <c r="F83" s="122"/>
      <c r="G83" s="112">
        <f t="shared" si="8"/>
        <v>0</v>
      </c>
      <c r="H83" s="99">
        <f>G83+'7'!H83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'7'!F84</f>
        <v>41308.17</v>
      </c>
      <c r="F84" s="164">
        <v>41332.15</v>
      </c>
      <c r="G84" s="112">
        <f t="shared" si="8"/>
        <v>23.980000000003201</v>
      </c>
      <c r="H84" s="99">
        <f>G84+'7'!H84</f>
        <v>170.15000000000146</v>
      </c>
      <c r="I84" s="118"/>
      <c r="J84" s="175">
        <f>H84/DAY(B2)</f>
        <v>21.268750000000182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'7'!F85</f>
        <v>1220.02</v>
      </c>
      <c r="F85" s="164">
        <v>1230.57</v>
      </c>
      <c r="G85" s="112">
        <f t="shared" si="8"/>
        <v>10.549999999999955</v>
      </c>
      <c r="H85" s="99">
        <f>G85+'7'!H85</f>
        <v>51.569999999999936</v>
      </c>
      <c r="I85" s="118">
        <f>G82+G83+G84+G85</f>
        <v>34.530000000003156</v>
      </c>
      <c r="J85" s="175">
        <f>H85/DAY(B2)</f>
        <v>6.446249999999992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'7'!F86</f>
        <v>42826.47</v>
      </c>
      <c r="F86" s="164">
        <v>42826.47</v>
      </c>
      <c r="G86" s="112">
        <f t="shared" si="8"/>
        <v>0</v>
      </c>
      <c r="H86" s="99">
        <f>G86+'7'!H86</f>
        <v>0.47000000000116415</v>
      </c>
      <c r="I86" s="118"/>
      <c r="J86" s="175">
        <f>H86/DAY(B2)</f>
        <v>5.8750000000145519E-2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'7'!F87</f>
        <v>33353.43</v>
      </c>
      <c r="F87" s="164">
        <v>33353.43</v>
      </c>
      <c r="G87" s="112">
        <f t="shared" si="8"/>
        <v>0</v>
      </c>
      <c r="H87" s="99">
        <f>G87+'7'!H87</f>
        <v>39.430000000000291</v>
      </c>
      <c r="I87" s="118"/>
      <c r="J87" s="175">
        <f>H87/DAY(B2)</f>
        <v>4.9287500000000364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'7'!F88</f>
        <v>23610.52</v>
      </c>
      <c r="F88" s="164">
        <v>23620.2</v>
      </c>
      <c r="G88" s="112">
        <f t="shared" si="8"/>
        <v>9.680000000000291</v>
      </c>
      <c r="H88" s="99">
        <f>G88+'7'!H88</f>
        <v>29.229999999999563</v>
      </c>
      <c r="I88" s="118">
        <f>G86+G87+G88</f>
        <v>9.680000000000291</v>
      </c>
      <c r="J88" s="175">
        <f>H88/DAY(B2)</f>
        <v>3.6537499999999454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'7'!F89</f>
        <v>25242.12</v>
      </c>
      <c r="F89" s="164">
        <v>25242.12</v>
      </c>
      <c r="G89" s="112">
        <f t="shared" si="8"/>
        <v>0</v>
      </c>
      <c r="H89" s="99">
        <f>G89+'7'!H89</f>
        <v>54.75</v>
      </c>
      <c r="I89" s="118"/>
      <c r="J89" s="175">
        <f>H89/DAY(B2)</f>
        <v>6.84375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'7'!F90</f>
        <v>70549.94</v>
      </c>
      <c r="F90" s="164">
        <v>70552.759999999995</v>
      </c>
      <c r="G90" s="112">
        <f t="shared" si="8"/>
        <v>2.819999999992433</v>
      </c>
      <c r="H90" s="99">
        <f>G90+'7'!H90</f>
        <v>19.779999999998836</v>
      </c>
      <c r="I90" s="118">
        <f>G89+G90</f>
        <v>2.819999999992433</v>
      </c>
      <c r="J90" s="175">
        <f>H90/DAY(B2)</f>
        <v>2.4724999999998545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'7'!F91</f>
        <v>3002.01</v>
      </c>
      <c r="F91" s="122">
        <v>3012.57</v>
      </c>
      <c r="G91" s="112">
        <f t="shared" si="8"/>
        <v>10.559999999999945</v>
      </c>
      <c r="H91" s="99">
        <f>G91+'7'!H91</f>
        <v>86.700000000000273</v>
      </c>
      <c r="I91" s="165"/>
      <c r="J91" s="175">
        <f>H91/DAY(B2)</f>
        <v>10.837500000000034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'7'!F92</f>
        <v>4758.6000000000004</v>
      </c>
      <c r="F92" s="122">
        <v>4758.6000000000004</v>
      </c>
      <c r="G92" s="112">
        <f t="shared" si="8"/>
        <v>0</v>
      </c>
      <c r="H92" s="99">
        <f>G92+'7'!H92</f>
        <v>0.6000000000003638</v>
      </c>
      <c r="I92" s="165"/>
      <c r="J92" s="175">
        <f>H92/DAY(B2)</f>
        <v>7.5000000000045475E-2</v>
      </c>
      <c r="O92" s="71"/>
    </row>
    <row r="93" spans="1:15" ht="29.25" x14ac:dyDescent="0.5">
      <c r="A93" s="774" t="s">
        <v>239</v>
      </c>
      <c r="B93" s="775"/>
      <c r="C93" s="77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1" t="s">
        <v>240</v>
      </c>
      <c r="B94" s="772"/>
      <c r="C94" s="773"/>
      <c r="D94" s="151" t="s">
        <v>130</v>
      </c>
      <c r="E94" s="151"/>
      <c r="F94" s="151"/>
      <c r="G94" s="99">
        <f>G35+G43+G49+G57</f>
        <v>6127.4600000000937</v>
      </c>
      <c r="H94" s="99">
        <f>G94+'7'!H94</f>
        <v>51906.560000000085</v>
      </c>
      <c r="I94" s="118"/>
      <c r="J94" s="175">
        <f>H94/DAY(B2)</f>
        <v>6488.3200000000106</v>
      </c>
      <c r="K94" s="69"/>
      <c r="L94" s="66"/>
      <c r="O94" s="71"/>
    </row>
    <row r="95" spans="1:15" ht="27.75" x14ac:dyDescent="0.5">
      <c r="A95" s="771" t="s">
        <v>241</v>
      </c>
      <c r="B95" s="772"/>
      <c r="C95" s="773"/>
      <c r="D95" s="151" t="s">
        <v>23</v>
      </c>
      <c r="E95" s="146"/>
      <c r="F95" s="146"/>
      <c r="G95" s="166">
        <f>G94/G7</f>
        <v>0.26379423613903852</v>
      </c>
      <c r="H95" s="99">
        <f>G95+'7'!H95</f>
        <v>2.2290544576718156</v>
      </c>
      <c r="I95" s="167"/>
      <c r="J95" s="175">
        <f>H95/DAY(B2)</f>
        <v>0.27863180720897696</v>
      </c>
      <c r="K95" s="69"/>
      <c r="L95" s="66"/>
      <c r="O95" s="71"/>
    </row>
    <row r="96" spans="1:15" ht="27.75" x14ac:dyDescent="0.5">
      <c r="A96" s="771" t="s">
        <v>242</v>
      </c>
      <c r="B96" s="772"/>
      <c r="C96" s="773"/>
      <c r="D96" s="151" t="s">
        <v>130</v>
      </c>
      <c r="E96" s="95"/>
      <c r="F96" s="95"/>
      <c r="G96" s="99">
        <f>G41+G42+G55+G56</f>
        <v>7312.7399999999325</v>
      </c>
      <c r="H96" s="99">
        <f>G96+'7'!H96</f>
        <v>58100.259999999922</v>
      </c>
      <c r="I96" s="118"/>
      <c r="J96" s="175">
        <f>H96/DAY(B2)</f>
        <v>7262.5324999999903</v>
      </c>
      <c r="K96" s="69"/>
      <c r="L96" s="66"/>
      <c r="O96" s="71"/>
    </row>
    <row r="97" spans="1:15" ht="27.75" x14ac:dyDescent="0.5">
      <c r="A97" s="771" t="s">
        <v>243</v>
      </c>
      <c r="B97" s="772"/>
      <c r="C97" s="773"/>
      <c r="D97" s="151" t="s">
        <v>23</v>
      </c>
      <c r="E97" s="95"/>
      <c r="F97" s="95"/>
      <c r="G97" s="166">
        <f>G96/G7</f>
        <v>0.31482191028311002</v>
      </c>
      <c r="H97" s="99">
        <f>G97+'7'!H97</f>
        <v>2.4868265936817204</v>
      </c>
      <c r="I97" s="167"/>
      <c r="J97" s="175">
        <f>H97/DAY(B2)</f>
        <v>0.31085332421021505</v>
      </c>
      <c r="K97" s="69"/>
      <c r="L97" s="66"/>
      <c r="O97" s="71"/>
    </row>
    <row r="98" spans="1:15" ht="27.75" x14ac:dyDescent="0.5">
      <c r="A98" s="771" t="s">
        <v>244</v>
      </c>
      <c r="B98" s="772"/>
      <c r="C98" s="773"/>
      <c r="D98" s="151" t="s">
        <v>130</v>
      </c>
      <c r="E98" s="95"/>
      <c r="F98" s="95"/>
      <c r="G98" s="99">
        <f>G39+G53</f>
        <v>4276.4100000000035</v>
      </c>
      <c r="H98" s="99">
        <f>G98+'7'!H98</f>
        <v>33461.670000000013</v>
      </c>
      <c r="I98" s="168"/>
      <c r="J98" s="175">
        <f>H98/DAY(B2)</f>
        <v>4182.7087500000016</v>
      </c>
      <c r="K98" s="69"/>
      <c r="L98" s="66"/>
      <c r="O98" s="71"/>
    </row>
    <row r="99" spans="1:15" ht="27.75" x14ac:dyDescent="0.5">
      <c r="A99" s="771" t="s">
        <v>245</v>
      </c>
      <c r="B99" s="772"/>
      <c r="C99" s="773"/>
      <c r="D99" s="151" t="s">
        <v>23</v>
      </c>
      <c r="E99" s="95"/>
      <c r="F99" s="95"/>
      <c r="G99" s="166">
        <f>G98/G7</f>
        <v>0.18410439388708036</v>
      </c>
      <c r="H99" s="99">
        <f>G99+'7'!H99</f>
        <v>1.4355560152339264</v>
      </c>
      <c r="I99" s="168"/>
      <c r="J99" s="175">
        <f>H99/DAY(B2)</f>
        <v>0.1794445019042408</v>
      </c>
      <c r="O99" s="71"/>
    </row>
    <row r="100" spans="1:15" ht="27.75" x14ac:dyDescent="0.5">
      <c r="A100" s="771" t="s">
        <v>246</v>
      </c>
      <c r="B100" s="772"/>
      <c r="C100" s="773"/>
      <c r="D100" s="151" t="s">
        <v>180</v>
      </c>
      <c r="E100" s="95"/>
      <c r="F100" s="95"/>
      <c r="G100" s="99">
        <f>G38+G52</f>
        <v>1901.9700000000012</v>
      </c>
      <c r="H100" s="99">
        <f>G100+'7'!H100</f>
        <v>15228.029999999999</v>
      </c>
      <c r="I100" s="118"/>
      <c r="J100" s="175">
        <f>H100/DAY(B2)</f>
        <v>1903.5037499999999</v>
      </c>
      <c r="K100" s="70"/>
      <c r="O100" s="71"/>
    </row>
    <row r="101" spans="1:15" ht="27.75" x14ac:dyDescent="0.5">
      <c r="A101" s="771" t="s">
        <v>247</v>
      </c>
      <c r="B101" s="772"/>
      <c r="C101" s="773"/>
      <c r="D101" s="151" t="s">
        <v>23</v>
      </c>
      <c r="E101" s="95"/>
      <c r="F101" s="95"/>
      <c r="G101" s="166">
        <f>G100/G7</f>
        <v>8.1882007113773039E-2</v>
      </c>
      <c r="H101" s="99">
        <f>G101+'7'!H101</f>
        <v>0.65346492575437554</v>
      </c>
      <c r="I101" s="168"/>
      <c r="J101" s="175">
        <f>H101/DAY(B2)</f>
        <v>8.1683115719296942E-2</v>
      </c>
      <c r="O101" s="71"/>
    </row>
    <row r="102" spans="1:15" ht="27.75" x14ac:dyDescent="0.5">
      <c r="A102" s="771" t="s">
        <v>248</v>
      </c>
      <c r="B102" s="772"/>
      <c r="C102" s="773"/>
      <c r="D102" s="151" t="s">
        <v>180</v>
      </c>
      <c r="E102" s="95"/>
      <c r="F102" s="95"/>
      <c r="G102" s="99">
        <f>G36+G50</f>
        <v>1819.0199999999895</v>
      </c>
      <c r="H102" s="99">
        <f>G102+'7'!H102</f>
        <v>17619.700000000004</v>
      </c>
      <c r="I102" s="168"/>
      <c r="J102" s="175">
        <f>H102/DAY(B2)</f>
        <v>2202.4625000000005</v>
      </c>
      <c r="O102" s="71"/>
    </row>
    <row r="103" spans="1:15" ht="27.75" x14ac:dyDescent="0.5">
      <c r="A103" s="771" t="s">
        <v>249</v>
      </c>
      <c r="B103" s="772"/>
      <c r="C103" s="773"/>
      <c r="D103" s="151" t="s">
        <v>23</v>
      </c>
      <c r="E103" s="95"/>
      <c r="F103" s="95"/>
      <c r="G103" s="166">
        <f>G102/G7</f>
        <v>7.8310913726343995E-2</v>
      </c>
      <c r="H103" s="99">
        <f>G103+'7'!H103</f>
        <v>0.75286919646466366</v>
      </c>
      <c r="I103" s="118"/>
      <c r="J103" s="175">
        <f>H103/DAY(B2)</f>
        <v>9.4108649558082957E-2</v>
      </c>
      <c r="O103" s="71"/>
    </row>
    <row r="104" spans="1:15" ht="27.75" x14ac:dyDescent="0.5">
      <c r="A104" s="771" t="s">
        <v>250</v>
      </c>
      <c r="B104" s="772"/>
      <c r="C104" s="773"/>
      <c r="D104" s="151" t="s">
        <v>180</v>
      </c>
      <c r="E104" s="95"/>
      <c r="F104" s="95"/>
      <c r="G104" s="99">
        <f>G37+G51</f>
        <v>1737.8999999999942</v>
      </c>
      <c r="H104" s="99">
        <f>G104+'7'!H104</f>
        <v>13820.949999999997</v>
      </c>
      <c r="I104" s="118"/>
      <c r="J104" s="175">
        <f>H104/DAY(B2)</f>
        <v>1727.6187499999996</v>
      </c>
      <c r="O104" s="71"/>
    </row>
    <row r="105" spans="1:15" ht="28.5" thickBot="1" x14ac:dyDescent="0.55000000000000004">
      <c r="A105" s="764" t="s">
        <v>251</v>
      </c>
      <c r="B105" s="765"/>
      <c r="C105" s="766"/>
      <c r="D105" s="231" t="s">
        <v>23</v>
      </c>
      <c r="E105" s="185"/>
      <c r="F105" s="185"/>
      <c r="G105" s="186">
        <f>G104/G7</f>
        <v>7.4818603954334498E-2</v>
      </c>
      <c r="H105" s="99">
        <f>G105+'7'!H105</f>
        <v>0.59348674357594822</v>
      </c>
      <c r="I105" s="187"/>
      <c r="J105" s="188">
        <f>H105/DAY(B2)</f>
        <v>7.4185842946993527E-2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0" t="s">
        <v>324</v>
      </c>
      <c r="B108" s="760"/>
      <c r="C108" s="760"/>
      <c r="D108" s="760"/>
      <c r="E108" s="760"/>
      <c r="F108" s="760"/>
      <c r="G108" s="760"/>
      <c r="H108" s="760"/>
      <c r="I108" s="760"/>
      <c r="J108" s="760"/>
    </row>
    <row r="109" spans="1:15" ht="29.25" x14ac:dyDescent="0.5">
      <c r="A109" s="788"/>
      <c r="B109" s="788"/>
    </row>
    <row r="110" spans="1:15" ht="29.25" x14ac:dyDescent="0.5">
      <c r="A110" s="761" t="s">
        <v>165</v>
      </c>
      <c r="B110" s="762"/>
      <c r="C110" s="762"/>
      <c r="D110" s="762"/>
      <c r="E110" s="762"/>
      <c r="F110" s="762"/>
      <c r="G110" s="762"/>
      <c r="H110" s="762"/>
      <c r="I110" s="762"/>
      <c r="J110" s="763"/>
    </row>
    <row r="111" spans="1:15" ht="27.75" x14ac:dyDescent="0.5">
      <c r="A111" s="753"/>
      <c r="B111" s="754"/>
      <c r="C111" s="755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0" t="s">
        <v>252</v>
      </c>
      <c r="B112" s="751"/>
      <c r="C112" s="752"/>
      <c r="D112" s="146" t="s">
        <v>183</v>
      </c>
      <c r="E112" s="95">
        <f>'7'!F112</f>
        <v>48859.93</v>
      </c>
      <c r="F112" s="237">
        <v>48944.36</v>
      </c>
      <c r="G112" s="112">
        <f t="shared" ref="G112:G123" si="9">F112-E112</f>
        <v>84.430000000000291</v>
      </c>
      <c r="H112" s="99">
        <f>G112+'7'!H112</f>
        <v>667.36000000000058</v>
      </c>
      <c r="I112" s="165"/>
      <c r="J112" s="348">
        <f>H112/DAY(B2)</f>
        <v>83.420000000000073</v>
      </c>
    </row>
    <row r="113" spans="1:18" ht="29.25" customHeight="1" x14ac:dyDescent="0.5">
      <c r="A113" s="750" t="s">
        <v>253</v>
      </c>
      <c r="B113" s="751"/>
      <c r="C113" s="752"/>
      <c r="D113" s="146" t="s">
        <v>183</v>
      </c>
      <c r="E113" s="95">
        <f>'7'!F113</f>
        <v>153875.1</v>
      </c>
      <c r="F113" s="237">
        <v>154308.99</v>
      </c>
      <c r="G113" s="112">
        <f t="shared" si="9"/>
        <v>433.88999999998487</v>
      </c>
      <c r="H113" s="99">
        <f>G113+'7'!H113</f>
        <v>3777.9899999999907</v>
      </c>
      <c r="I113" s="165"/>
      <c r="J113" s="348">
        <f>H113/DAY(B2)</f>
        <v>472.24874999999884</v>
      </c>
    </row>
    <row r="114" spans="1:18" ht="29.25" customHeight="1" x14ac:dyDescent="0.5">
      <c r="A114" s="750" t="s">
        <v>254</v>
      </c>
      <c r="B114" s="751"/>
      <c r="C114" s="752"/>
      <c r="D114" s="146" t="s">
        <v>183</v>
      </c>
      <c r="E114" s="95">
        <f>'7'!F114</f>
        <v>71735.350000000006</v>
      </c>
      <c r="F114" s="237">
        <v>71955.240000000005</v>
      </c>
      <c r="G114" s="112">
        <f t="shared" si="9"/>
        <v>219.88999999999942</v>
      </c>
      <c r="H114" s="99">
        <f>G114+'7'!H114</f>
        <v>1755.2400000000052</v>
      </c>
      <c r="I114" s="165"/>
      <c r="J114" s="348">
        <f>H114/DAY(B2)</f>
        <v>219.40500000000065</v>
      </c>
    </row>
    <row r="115" spans="1:18" ht="29.25" customHeight="1" x14ac:dyDescent="0.5">
      <c r="A115" s="750" t="s">
        <v>255</v>
      </c>
      <c r="B115" s="751"/>
      <c r="C115" s="752"/>
      <c r="D115" s="146" t="s">
        <v>183</v>
      </c>
      <c r="E115" s="95">
        <f>'7'!F115</f>
        <v>7819.1</v>
      </c>
      <c r="F115" s="237">
        <v>7831.04</v>
      </c>
      <c r="G115" s="112">
        <f t="shared" si="9"/>
        <v>11.9399999999996</v>
      </c>
      <c r="H115" s="99">
        <f>G115+'7'!H115</f>
        <v>83.039999999999964</v>
      </c>
      <c r="I115" s="165"/>
      <c r="J115" s="348">
        <f>H115/DAY(B2)</f>
        <v>10.379999999999995</v>
      </c>
    </row>
    <row r="116" spans="1:18" ht="29.25" customHeight="1" x14ac:dyDescent="0.5">
      <c r="A116" s="757" t="s">
        <v>96</v>
      </c>
      <c r="B116" s="758"/>
      <c r="C116" s="759"/>
      <c r="D116" s="146" t="s">
        <v>183</v>
      </c>
      <c r="E116" s="95">
        <f>'7'!F116</f>
        <v>0</v>
      </c>
      <c r="F116" s="237">
        <v>0</v>
      </c>
      <c r="G116" s="112">
        <f t="shared" si="9"/>
        <v>0</v>
      </c>
      <c r="H116" s="99">
        <f>G116+'7'!H116</f>
        <v>0</v>
      </c>
      <c r="I116" s="165"/>
      <c r="J116" s="348">
        <f>H116/DAY(B2)</f>
        <v>0</v>
      </c>
      <c r="Q116" s="750" t="s">
        <v>311</v>
      </c>
      <c r="R116" s="752"/>
    </row>
    <row r="117" spans="1:18" ht="29.25" customHeight="1" x14ac:dyDescent="0.5">
      <c r="A117" s="757" t="s">
        <v>184</v>
      </c>
      <c r="B117" s="758"/>
      <c r="C117" s="759"/>
      <c r="D117" s="146" t="s">
        <v>183</v>
      </c>
      <c r="E117" s="95">
        <f>'7'!F117</f>
        <v>554.09</v>
      </c>
      <c r="F117" s="237">
        <v>579.04</v>
      </c>
      <c r="G117" s="112">
        <f t="shared" si="9"/>
        <v>24.949999999999932</v>
      </c>
      <c r="H117" s="99">
        <f>G117+'7'!H117</f>
        <v>163.03999999999996</v>
      </c>
      <c r="I117" s="165"/>
      <c r="J117" s="348">
        <f>H117/DAY(B2)</f>
        <v>20.379999999999995</v>
      </c>
      <c r="Q117" s="750" t="s">
        <v>312</v>
      </c>
      <c r="R117" s="752"/>
    </row>
    <row r="118" spans="1:18" ht="27.75" x14ac:dyDescent="0.5">
      <c r="A118" s="749" t="s">
        <v>97</v>
      </c>
      <c r="B118" s="749"/>
      <c r="C118" s="749"/>
      <c r="D118" s="151" t="s">
        <v>183</v>
      </c>
      <c r="E118" s="95">
        <f>'7'!F118</f>
        <v>209444.37</v>
      </c>
      <c r="F118" s="237">
        <v>209875.43</v>
      </c>
      <c r="G118" s="112">
        <f t="shared" si="9"/>
        <v>431.05999999999767</v>
      </c>
      <c r="H118" s="99">
        <f>G118+'7'!H118</f>
        <v>3343.429999999993</v>
      </c>
      <c r="I118" s="165"/>
      <c r="J118" s="348">
        <f>H118/DAY(B2)</f>
        <v>417.92874999999913</v>
      </c>
      <c r="Q118" s="750" t="s">
        <v>311</v>
      </c>
      <c r="R118" s="752"/>
    </row>
    <row r="119" spans="1:18" ht="27.75" x14ac:dyDescent="0.5">
      <c r="A119" s="749" t="s">
        <v>98</v>
      </c>
      <c r="B119" s="749"/>
      <c r="C119" s="749"/>
      <c r="D119" s="151" t="s">
        <v>183</v>
      </c>
      <c r="E119" s="95">
        <f>'7'!F119</f>
        <v>208905.31</v>
      </c>
      <c r="F119" s="237">
        <v>209288.23</v>
      </c>
      <c r="G119" s="112">
        <f t="shared" si="9"/>
        <v>382.92000000001281</v>
      </c>
      <c r="H119" s="99">
        <f>G119+'7'!H119</f>
        <v>3058.2300000000105</v>
      </c>
      <c r="I119" s="165"/>
      <c r="J119" s="348">
        <f>H119/DAY(B2)</f>
        <v>382.27875000000131</v>
      </c>
    </row>
    <row r="120" spans="1:18" ht="27.75" x14ac:dyDescent="0.5">
      <c r="A120" s="749" t="s">
        <v>99</v>
      </c>
      <c r="B120" s="749"/>
      <c r="C120" s="749"/>
      <c r="D120" s="151" t="s">
        <v>183</v>
      </c>
      <c r="E120" s="95">
        <f>'7'!F120</f>
        <v>8380.65</v>
      </c>
      <c r="F120" s="237">
        <v>8788.36</v>
      </c>
      <c r="G120" s="112">
        <f t="shared" si="9"/>
        <v>407.71000000000095</v>
      </c>
      <c r="H120" s="99">
        <f>G120+'7'!H120</f>
        <v>3273.3600000000006</v>
      </c>
      <c r="I120" s="165"/>
      <c r="J120" s="348">
        <f>H120/DAY(B2)</f>
        <v>409.17000000000007</v>
      </c>
    </row>
    <row r="121" spans="1:18" ht="27.75" x14ac:dyDescent="0.5">
      <c r="A121" s="749" t="s">
        <v>100</v>
      </c>
      <c r="B121" s="749"/>
      <c r="C121" s="749"/>
      <c r="D121" s="151" t="s">
        <v>183</v>
      </c>
      <c r="E121" s="95">
        <f>'7'!F121</f>
        <v>314660.99</v>
      </c>
      <c r="F121" s="237">
        <v>315350.75</v>
      </c>
      <c r="G121" s="112">
        <f t="shared" si="9"/>
        <v>689.76000000000931</v>
      </c>
      <c r="H121" s="99">
        <f>G121+'7'!H121</f>
        <v>5906.0200000000186</v>
      </c>
      <c r="I121" s="165"/>
      <c r="J121" s="348">
        <f>H121/DAY(B2)</f>
        <v>738.25250000000233</v>
      </c>
    </row>
    <row r="122" spans="1:18" ht="27.75" x14ac:dyDescent="0.5">
      <c r="A122" s="749" t="s">
        <v>101</v>
      </c>
      <c r="B122" s="749"/>
      <c r="C122" s="749"/>
      <c r="D122" s="151" t="s">
        <v>183</v>
      </c>
      <c r="E122" s="95">
        <f>'7'!F122</f>
        <v>93775.01</v>
      </c>
      <c r="F122" s="237">
        <v>94096.21</v>
      </c>
      <c r="G122" s="112">
        <f t="shared" si="9"/>
        <v>321.20000000001164</v>
      </c>
      <c r="H122" s="99">
        <f>G122+'7'!H122</f>
        <v>2474.2100000000064</v>
      </c>
      <c r="I122" s="165"/>
      <c r="J122" s="348">
        <f>H122/DAY(B2)</f>
        <v>309.2762500000008</v>
      </c>
    </row>
    <row r="123" spans="1:18" ht="27.75" x14ac:dyDescent="0.5">
      <c r="A123" s="749" t="s">
        <v>102</v>
      </c>
      <c r="B123" s="749"/>
      <c r="C123" s="749"/>
      <c r="D123" s="151" t="s">
        <v>183</v>
      </c>
      <c r="E123" s="95">
        <f>'7'!F123</f>
        <v>117878.16</v>
      </c>
      <c r="F123" s="237">
        <v>118207.81</v>
      </c>
      <c r="G123" s="112">
        <f t="shared" si="9"/>
        <v>329.64999999999418</v>
      </c>
      <c r="H123" s="99">
        <f>G123+'7'!H123</f>
        <v>2664.8099999999977</v>
      </c>
      <c r="I123" s="165"/>
      <c r="J123" s="348">
        <f>H123/DAY(B2)</f>
        <v>333.10124999999971</v>
      </c>
    </row>
    <row r="124" spans="1:18" ht="29.25" customHeight="1" x14ac:dyDescent="0.5">
      <c r="A124" s="753"/>
      <c r="B124" s="754"/>
      <c r="C124" s="755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37"/>
      <c r="B125" s="737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56" t="s">
        <v>317</v>
      </c>
      <c r="B126" s="756"/>
      <c r="C126" s="756"/>
      <c r="D126" s="756"/>
      <c r="E126" s="756"/>
      <c r="F126" s="756"/>
      <c r="G126" s="756"/>
      <c r="H126" s="756"/>
      <c r="I126" s="756"/>
      <c r="J126" s="756"/>
    </row>
    <row r="127" spans="1:18" ht="27.75" x14ac:dyDescent="0.5">
      <c r="A127" s="737"/>
      <c r="B127" s="737"/>
      <c r="C127" s="246"/>
      <c r="D127" s="317"/>
      <c r="E127" s="318"/>
      <c r="F127" s="318"/>
      <c r="G127" s="319"/>
      <c r="H127" s="99">
        <f>G127+'7'!H127</f>
        <v>0</v>
      </c>
      <c r="I127" s="165"/>
      <c r="J127" s="348">
        <f>H127/DAY(B2)</f>
        <v>0</v>
      </c>
    </row>
    <row r="128" spans="1:18" ht="29.25" customHeight="1" x14ac:dyDescent="0.5">
      <c r="A128" s="750" t="s">
        <v>318</v>
      </c>
      <c r="B128" s="751"/>
      <c r="C128" s="752"/>
      <c r="D128" s="151" t="s">
        <v>183</v>
      </c>
      <c r="E128" s="95">
        <f>'7'!F128</f>
        <v>9813.4</v>
      </c>
      <c r="F128" s="165">
        <v>10140.59</v>
      </c>
      <c r="G128" s="112">
        <f t="shared" ref="G128:G134" si="10">F128-E128</f>
        <v>327.19000000000051</v>
      </c>
      <c r="H128" s="99">
        <f>G128+'7'!H128</f>
        <v>2529.59</v>
      </c>
      <c r="I128" s="165"/>
      <c r="J128" s="348">
        <f>H128/DAY(B2)</f>
        <v>316.19875000000002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'7'!F129</f>
        <v>1508.6</v>
      </c>
      <c r="F129" s="165">
        <v>1681.51</v>
      </c>
      <c r="G129" s="112">
        <f t="shared" si="10"/>
        <v>172.91000000000008</v>
      </c>
      <c r="H129" s="99">
        <f>G129+'7'!H129</f>
        <v>1567.51</v>
      </c>
      <c r="I129" s="165"/>
      <c r="J129" s="348">
        <f>H129/DAY(B2)</f>
        <v>195.93875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'7'!F130</f>
        <v>1821.21</v>
      </c>
      <c r="F130" s="165">
        <v>2054.66</v>
      </c>
      <c r="G130" s="112">
        <f t="shared" si="10"/>
        <v>233.44999999999982</v>
      </c>
      <c r="H130" s="99">
        <f>G130+'7'!H130</f>
        <v>1874.6599999999999</v>
      </c>
      <c r="I130" s="165"/>
      <c r="J130" s="348">
        <f>H130/DAY(B2)</f>
        <v>234.33249999999998</v>
      </c>
      <c r="N130" s="240"/>
      <c r="O130" s="241"/>
    </row>
    <row r="131" spans="1:15" ht="27.75" x14ac:dyDescent="0.5">
      <c r="A131" s="750" t="s">
        <v>321</v>
      </c>
      <c r="B131" s="751"/>
      <c r="C131" s="752"/>
      <c r="D131" s="151" t="s">
        <v>183</v>
      </c>
      <c r="E131" s="95">
        <f>'7'!F131</f>
        <v>1094.69</v>
      </c>
      <c r="F131" s="165">
        <v>1223.06</v>
      </c>
      <c r="G131" s="112">
        <f t="shared" si="10"/>
        <v>128.36999999999989</v>
      </c>
      <c r="H131" s="99">
        <f>G131+'7'!H131</f>
        <v>1113.06</v>
      </c>
      <c r="I131" s="165"/>
      <c r="J131" s="348">
        <f>H131/DAY(B2)</f>
        <v>139.13249999999999</v>
      </c>
      <c r="N131" s="240"/>
      <c r="O131" s="241"/>
    </row>
    <row r="132" spans="1:15" ht="27.75" x14ac:dyDescent="0.5">
      <c r="A132" s="750" t="s">
        <v>322</v>
      </c>
      <c r="B132" s="751"/>
      <c r="C132" s="752"/>
      <c r="D132" s="151" t="s">
        <v>183</v>
      </c>
      <c r="E132" s="95">
        <f>'7'!F132</f>
        <v>3123.15</v>
      </c>
      <c r="F132" s="165">
        <v>3481.03</v>
      </c>
      <c r="G132" s="112">
        <f t="shared" si="10"/>
        <v>357.88000000000011</v>
      </c>
      <c r="H132" s="99">
        <f>G132+'7'!H132</f>
        <v>3160.03</v>
      </c>
      <c r="I132" s="165"/>
      <c r="J132" s="348">
        <f>H132/DAY(B2)</f>
        <v>395.00375000000003</v>
      </c>
    </row>
    <row r="133" spans="1:15" ht="27.75" x14ac:dyDescent="0.5">
      <c r="A133" s="750" t="s">
        <v>323</v>
      </c>
      <c r="B133" s="751"/>
      <c r="C133" s="752"/>
      <c r="D133" s="151" t="s">
        <v>183</v>
      </c>
      <c r="E133" s="95">
        <f>'7'!F133</f>
        <v>21813.23</v>
      </c>
      <c r="F133" s="165">
        <v>22551.87</v>
      </c>
      <c r="G133" s="112">
        <f t="shared" si="10"/>
        <v>738.63999999999942</v>
      </c>
      <c r="H133" s="99">
        <f>G133+'7'!H133</f>
        <v>6160.869999999999</v>
      </c>
      <c r="I133" s="165"/>
      <c r="J133" s="348">
        <f>H133/DAY(B2)</f>
        <v>770.10874999999987</v>
      </c>
    </row>
    <row r="134" spans="1:15" ht="27.75" x14ac:dyDescent="0.5">
      <c r="A134" s="750" t="s">
        <v>340</v>
      </c>
      <c r="B134" s="751"/>
      <c r="C134" s="752"/>
      <c r="D134" s="151" t="s">
        <v>183</v>
      </c>
      <c r="E134" s="95">
        <f>'7'!F134</f>
        <v>617006</v>
      </c>
      <c r="F134" s="165">
        <v>617579</v>
      </c>
      <c r="G134" s="112">
        <f t="shared" si="10"/>
        <v>573</v>
      </c>
      <c r="H134" s="99">
        <f>G134+'7'!H134</f>
        <v>3164</v>
      </c>
      <c r="I134" s="165"/>
      <c r="J134" s="348">
        <f>H134/DAY(B2)</f>
        <v>395.5</v>
      </c>
    </row>
    <row r="135" spans="1:15" ht="27.75" x14ac:dyDescent="0.5">
      <c r="A135" s="753"/>
      <c r="B135" s="754"/>
      <c r="C135" s="755"/>
      <c r="D135" s="151"/>
      <c r="E135" s="95"/>
      <c r="F135" s="165"/>
      <c r="G135" s="112"/>
      <c r="H135" s="99">
        <f>G135+'7'!H135</f>
        <v>5534.2300000000005</v>
      </c>
      <c r="I135" s="165"/>
      <c r="J135" s="348" t="e">
        <f t="shared" ref="J135" si="11">H135/DAY(B54)</f>
        <v>#DIV/0!</v>
      </c>
    </row>
    <row r="136" spans="1:15" ht="31.5" x14ac:dyDescent="0.55000000000000004">
      <c r="A136" s="736" t="s">
        <v>325</v>
      </c>
      <c r="B136" s="736"/>
      <c r="C136" s="736"/>
      <c r="D136" s="736"/>
      <c r="E136" s="736"/>
      <c r="F136" s="736"/>
      <c r="G136" s="736"/>
      <c r="H136" s="736"/>
      <c r="I136" s="736"/>
      <c r="J136" s="736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49" t="s">
        <v>185</v>
      </c>
      <c r="B138" s="749"/>
      <c r="C138" s="749"/>
      <c r="D138" s="151" t="s">
        <v>183</v>
      </c>
      <c r="E138" s="95">
        <f>'7'!F138</f>
        <v>857953</v>
      </c>
      <c r="F138" s="147">
        <v>858026</v>
      </c>
      <c r="G138" s="112">
        <f t="shared" ref="G138:G152" si="12">F138-E138</f>
        <v>73</v>
      </c>
      <c r="H138" s="99">
        <f>G138+'7'!H138</f>
        <v>673</v>
      </c>
      <c r="I138" s="118"/>
      <c r="J138" s="348">
        <f>H138/DAY(B2)</f>
        <v>84.125</v>
      </c>
    </row>
    <row r="139" spans="1:15" ht="27.75" x14ac:dyDescent="0.5">
      <c r="A139" s="749" t="s">
        <v>186</v>
      </c>
      <c r="B139" s="749"/>
      <c r="C139" s="749"/>
      <c r="D139" s="151" t="s">
        <v>183</v>
      </c>
      <c r="E139" s="95">
        <f>'7'!F139</f>
        <v>886067</v>
      </c>
      <c r="F139" s="148">
        <v>886067</v>
      </c>
      <c r="G139" s="112">
        <f t="shared" si="12"/>
        <v>0</v>
      </c>
      <c r="H139" s="99">
        <f>G139+'7'!H139</f>
        <v>5</v>
      </c>
      <c r="I139" s="118"/>
      <c r="J139" s="348">
        <f>H139/DAY(B2)</f>
        <v>0.625</v>
      </c>
    </row>
    <row r="140" spans="1:15" ht="27.75" x14ac:dyDescent="0.5">
      <c r="A140" s="749" t="s">
        <v>187</v>
      </c>
      <c r="B140" s="749"/>
      <c r="C140" s="749"/>
      <c r="D140" s="151" t="s">
        <v>183</v>
      </c>
      <c r="E140" s="95">
        <f>'7'!F140</f>
        <v>88797</v>
      </c>
      <c r="F140" s="149">
        <v>88797.2</v>
      </c>
      <c r="G140" s="112">
        <f t="shared" si="12"/>
        <v>0.19999999999708962</v>
      </c>
      <c r="H140" s="99">
        <f>G140+'7'!H140</f>
        <v>-0.80000000000291038</v>
      </c>
      <c r="I140" s="118"/>
      <c r="J140" s="348">
        <f>H140/DAY(B2)</f>
        <v>-0.1000000000003638</v>
      </c>
    </row>
    <row r="141" spans="1:15" ht="27.75" x14ac:dyDescent="0.5">
      <c r="A141" s="728" t="s">
        <v>188</v>
      </c>
      <c r="B141" s="728"/>
      <c r="C141" s="728"/>
      <c r="D141" s="151" t="s">
        <v>183</v>
      </c>
      <c r="E141" s="95">
        <f>'7'!F141</f>
        <v>32827.129999999997</v>
      </c>
      <c r="F141" s="149">
        <v>33016.339999999997</v>
      </c>
      <c r="G141" s="112">
        <f t="shared" si="12"/>
        <v>189.20999999999913</v>
      </c>
      <c r="H141" s="99">
        <f>G141+'7'!H141</f>
        <v>1480.3399999999965</v>
      </c>
      <c r="I141" s="118"/>
      <c r="J141" s="348">
        <f>H141/DAY(B2)</f>
        <v>185.04249999999956</v>
      </c>
    </row>
    <row r="142" spans="1:15" ht="27.75" x14ac:dyDescent="0.5">
      <c r="A142" s="728" t="s">
        <v>189</v>
      </c>
      <c r="B142" s="728"/>
      <c r="C142" s="728"/>
      <c r="D142" s="151" t="s">
        <v>183</v>
      </c>
      <c r="E142" s="95">
        <f>'7'!F142</f>
        <v>15819.85</v>
      </c>
      <c r="F142" s="148">
        <v>15890.83</v>
      </c>
      <c r="G142" s="112">
        <f t="shared" si="12"/>
        <v>70.979999999999563</v>
      </c>
      <c r="H142" s="99">
        <f>G142+'7'!H142</f>
        <v>568.82999999999993</v>
      </c>
      <c r="I142" s="140"/>
      <c r="J142" s="348">
        <f>H142/DAY(B2)</f>
        <v>71.103749999999991</v>
      </c>
    </row>
    <row r="143" spans="1:15" ht="27.75" x14ac:dyDescent="0.5">
      <c r="A143" s="749" t="s">
        <v>91</v>
      </c>
      <c r="B143" s="749"/>
      <c r="C143" s="749"/>
      <c r="D143" s="151" t="s">
        <v>183</v>
      </c>
      <c r="E143" s="95">
        <f>'7'!F143</f>
        <v>710.42</v>
      </c>
      <c r="F143" s="149">
        <v>734.31</v>
      </c>
      <c r="G143" s="112">
        <f t="shared" si="12"/>
        <v>23.889999999999986</v>
      </c>
      <c r="H143" s="99">
        <f>G143+'7'!H143</f>
        <v>205.30999999999995</v>
      </c>
      <c r="I143" s="140"/>
      <c r="J143" s="348">
        <f>H143/DAY(B2)</f>
        <v>25.663749999999993</v>
      </c>
    </row>
    <row r="144" spans="1:15" ht="27.75" x14ac:dyDescent="0.5">
      <c r="A144" s="728" t="s">
        <v>90</v>
      </c>
      <c r="B144" s="728"/>
      <c r="C144" s="728"/>
      <c r="D144" s="151" t="s">
        <v>183</v>
      </c>
      <c r="E144" s="95">
        <f>'7'!F144</f>
        <v>851231</v>
      </c>
      <c r="F144" s="149">
        <v>851399</v>
      </c>
      <c r="G144" s="112">
        <f t="shared" si="12"/>
        <v>168</v>
      </c>
      <c r="H144" s="99">
        <f>G144+'7'!H144</f>
        <v>1362</v>
      </c>
      <c r="I144" s="140"/>
      <c r="J144" s="348">
        <f>H144/DAY(B2)</f>
        <v>170.25</v>
      </c>
    </row>
    <row r="145" spans="1:10" ht="27.75" x14ac:dyDescent="0.5">
      <c r="A145" s="749" t="s">
        <v>190</v>
      </c>
      <c r="B145" s="749"/>
      <c r="C145" s="749"/>
      <c r="D145" s="152" t="s">
        <v>183</v>
      </c>
      <c r="E145" s="95">
        <f>'7'!F145</f>
        <v>1252</v>
      </c>
      <c r="F145" s="149">
        <v>1297.58</v>
      </c>
      <c r="G145" s="112">
        <f t="shared" si="12"/>
        <v>45.579999999999927</v>
      </c>
      <c r="H145" s="99">
        <f>G145+'7'!H145</f>
        <v>343.57999999999993</v>
      </c>
      <c r="I145" s="140"/>
      <c r="J145" s="348">
        <f>H145/DAY(B2)</f>
        <v>42.947499999999991</v>
      </c>
    </row>
    <row r="146" spans="1:10" ht="27.75" x14ac:dyDescent="0.5">
      <c r="A146" s="784" t="s">
        <v>191</v>
      </c>
      <c r="B146" s="769"/>
      <c r="C146" s="770"/>
      <c r="D146" s="152" t="s">
        <v>183</v>
      </c>
      <c r="E146" s="95">
        <f>'7'!F146</f>
        <v>689230</v>
      </c>
      <c r="F146" s="148">
        <v>689602</v>
      </c>
      <c r="G146" s="112">
        <f t="shared" si="12"/>
        <v>372</v>
      </c>
      <c r="H146" s="99">
        <f>G146+'7'!H146</f>
        <v>2410</v>
      </c>
      <c r="I146" s="140"/>
      <c r="J146" s="348">
        <f>H146/DAY(B2)</f>
        <v>301.25</v>
      </c>
    </row>
    <row r="147" spans="1:10" ht="27.75" x14ac:dyDescent="0.5">
      <c r="A147" s="728" t="s">
        <v>192</v>
      </c>
      <c r="B147" s="728"/>
      <c r="C147" s="728"/>
      <c r="D147" s="152" t="s">
        <v>183</v>
      </c>
      <c r="E147" s="95">
        <f>'7'!F147</f>
        <v>579020</v>
      </c>
      <c r="F147" s="148">
        <v>579380.12</v>
      </c>
      <c r="G147" s="112">
        <f t="shared" si="12"/>
        <v>360.11999999999534</v>
      </c>
      <c r="H147" s="99">
        <f>G147+'7'!H147</f>
        <v>3308.1199999999953</v>
      </c>
      <c r="I147" s="140"/>
      <c r="J147" s="348">
        <f>H147/DAY(B2)</f>
        <v>413.51499999999942</v>
      </c>
    </row>
    <row r="148" spans="1:10" ht="27.75" x14ac:dyDescent="0.5">
      <c r="A148" s="729" t="s">
        <v>193</v>
      </c>
      <c r="B148" s="730"/>
      <c r="C148" s="731"/>
      <c r="D148" s="123" t="s">
        <v>130</v>
      </c>
      <c r="E148" s="95">
        <f>'7'!F148</f>
        <v>659939</v>
      </c>
      <c r="F148" s="150">
        <v>660116</v>
      </c>
      <c r="G148" s="112">
        <f t="shared" si="12"/>
        <v>177</v>
      </c>
      <c r="H148" s="99">
        <f>G148+'7'!H148</f>
        <v>1516</v>
      </c>
      <c r="I148" s="124"/>
      <c r="J148" s="348">
        <f>H148/DAY(B2)</f>
        <v>189.5</v>
      </c>
    </row>
    <row r="149" spans="1:10" ht="27.75" x14ac:dyDescent="0.5">
      <c r="A149" s="729" t="s">
        <v>336</v>
      </c>
      <c r="B149" s="730"/>
      <c r="C149" s="731"/>
      <c r="D149" s="227" t="s">
        <v>130</v>
      </c>
      <c r="E149" s="95">
        <f>'7'!F149</f>
        <v>76659</v>
      </c>
      <c r="F149" s="146">
        <v>77056</v>
      </c>
      <c r="G149" s="112">
        <f t="shared" si="12"/>
        <v>397</v>
      </c>
      <c r="H149" s="99">
        <f>G149+'7'!H149</f>
        <v>1634</v>
      </c>
      <c r="I149" s="119"/>
      <c r="J149" s="348">
        <f>H149/DAY(B2)</f>
        <v>204.25</v>
      </c>
    </row>
    <row r="150" spans="1:10" ht="27.75" x14ac:dyDescent="0.5">
      <c r="A150" s="729" t="s">
        <v>337</v>
      </c>
      <c r="B150" s="730"/>
      <c r="C150" s="731"/>
      <c r="D150" s="117" t="s">
        <v>130</v>
      </c>
      <c r="E150" s="95">
        <f>'7'!F150</f>
        <v>7167232</v>
      </c>
      <c r="F150" s="233">
        <v>7167232</v>
      </c>
      <c r="G150" s="112">
        <f t="shared" si="12"/>
        <v>0</v>
      </c>
      <c r="H150" s="99">
        <f>G150+'7'!H150</f>
        <v>0</v>
      </c>
      <c r="I150" s="119"/>
      <c r="J150" s="348">
        <f>H150/DAY(B2)</f>
        <v>0</v>
      </c>
    </row>
    <row r="151" spans="1:10" ht="27.75" x14ac:dyDescent="0.5">
      <c r="A151" s="729" t="s">
        <v>338</v>
      </c>
      <c r="B151" s="730"/>
      <c r="C151" s="731"/>
      <c r="D151" s="117" t="s">
        <v>130</v>
      </c>
      <c r="E151" s="95">
        <f>'7'!F151</f>
        <v>55600</v>
      </c>
      <c r="F151" s="233">
        <v>55940</v>
      </c>
      <c r="G151" s="112">
        <f t="shared" si="12"/>
        <v>340</v>
      </c>
      <c r="H151" s="99">
        <f>G151+'7'!H151</f>
        <v>2561</v>
      </c>
      <c r="I151" s="119"/>
      <c r="J151" s="348">
        <f>H151/DAY(B2)</f>
        <v>320.125</v>
      </c>
    </row>
    <row r="152" spans="1:10" ht="27.75" x14ac:dyDescent="0.5">
      <c r="A152" s="729" t="s">
        <v>339</v>
      </c>
      <c r="B152" s="730"/>
      <c r="C152" s="731"/>
      <c r="D152" s="117" t="s">
        <v>130</v>
      </c>
      <c r="E152" s="95">
        <f>'7'!F152</f>
        <v>0</v>
      </c>
      <c r="F152" s="233">
        <v>0</v>
      </c>
      <c r="G152" s="112">
        <f t="shared" si="12"/>
        <v>0</v>
      </c>
      <c r="H152" s="99">
        <f>G152+'7'!H152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36" t="s">
        <v>344</v>
      </c>
      <c r="B154" s="736"/>
      <c r="C154" s="736"/>
      <c r="D154" s="736"/>
      <c r="E154" s="736"/>
      <c r="F154" s="736"/>
      <c r="G154" s="736"/>
      <c r="H154" s="736"/>
      <c r="I154" s="736"/>
      <c r="J154" s="736"/>
    </row>
    <row r="155" spans="1:10" ht="31.5" x14ac:dyDescent="0.55000000000000004">
      <c r="A155" s="728" t="s">
        <v>345</v>
      </c>
      <c r="B155" s="728"/>
      <c r="C155" s="728"/>
      <c r="D155" s="117" t="s">
        <v>130</v>
      </c>
      <c r="E155" s="95">
        <f>'7'!F155</f>
        <v>77071</v>
      </c>
      <c r="F155" s="397">
        <v>77079.100000000006</v>
      </c>
      <c r="G155" s="112">
        <f t="shared" ref="G155:G156" si="13">F155-E155</f>
        <v>8.1000000000058208</v>
      </c>
      <c r="H155" s="99">
        <f>G155+'7'!H155</f>
        <v>51.200000000011642</v>
      </c>
      <c r="I155" s="385"/>
      <c r="J155" s="348">
        <f>H155/DAY(B2)</f>
        <v>6.4000000000014552</v>
      </c>
    </row>
    <row r="156" spans="1:10" ht="27.75" x14ac:dyDescent="0.5">
      <c r="A156" s="728" t="s">
        <v>346</v>
      </c>
      <c r="B156" s="728"/>
      <c r="C156" s="728"/>
      <c r="D156" s="117" t="s">
        <v>130</v>
      </c>
      <c r="E156" s="95">
        <f>'7'!F156</f>
        <v>0</v>
      </c>
      <c r="F156" s="165">
        <v>0</v>
      </c>
      <c r="G156" s="112">
        <f t="shared" si="13"/>
        <v>0</v>
      </c>
      <c r="H156" s="99">
        <f>G156+'7'!H156</f>
        <v>0</v>
      </c>
      <c r="I156" s="165"/>
      <c r="J156" s="348">
        <f>H156/DAY(B2)</f>
        <v>0</v>
      </c>
    </row>
    <row r="157" spans="1:10" ht="31.5" x14ac:dyDescent="0.55000000000000004">
      <c r="A157" s="736" t="s">
        <v>326</v>
      </c>
      <c r="B157" s="736"/>
      <c r="C157" s="736"/>
      <c r="D157" s="736"/>
      <c r="E157" s="736"/>
      <c r="F157" s="736"/>
      <c r="G157" s="736"/>
      <c r="H157" s="736"/>
      <c r="I157" s="736"/>
      <c r="J157" s="736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'7'!F158</f>
        <v>466082</v>
      </c>
      <c r="F158" s="235">
        <v>466356</v>
      </c>
      <c r="G158" s="238">
        <f t="shared" ref="G158:G162" si="14">F158-E158</f>
        <v>274</v>
      </c>
      <c r="H158" s="99">
        <f>G158+'7'!H158</f>
        <v>1095</v>
      </c>
      <c r="I158" s="236"/>
      <c r="J158" s="239">
        <f>H158/DAY(B2)</f>
        <v>136.875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'7'!F159</f>
        <v>85063</v>
      </c>
      <c r="F159" s="235">
        <v>85101.4</v>
      </c>
      <c r="G159" s="238">
        <f t="shared" si="14"/>
        <v>38.399999999994179</v>
      </c>
      <c r="H159" s="99">
        <f>G159+'7'!H159</f>
        <v>291.39999999999418</v>
      </c>
      <c r="I159" s="236"/>
      <c r="J159" s="239">
        <f>H159/DAY(B2)</f>
        <v>36.424999999999272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'7'!F160</f>
        <v>71484.800000000003</v>
      </c>
      <c r="F160" s="235">
        <v>71557.7</v>
      </c>
      <c r="G160" s="238">
        <f t="shared" si="14"/>
        <v>72.899999999994179</v>
      </c>
      <c r="H160" s="99">
        <f>G160+'7'!H160</f>
        <v>586.69999999999709</v>
      </c>
      <c r="I160" s="236"/>
      <c r="J160" s="239">
        <f>H160/DAY(B2)</f>
        <v>73.337499999999636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'7'!F161</f>
        <v>3840.6</v>
      </c>
      <c r="F161" s="235">
        <v>3849.5</v>
      </c>
      <c r="G161" s="238">
        <f t="shared" si="14"/>
        <v>8.9000000000000909</v>
      </c>
      <c r="H161" s="99">
        <f>G161+'7'!H161</f>
        <v>52.5</v>
      </c>
      <c r="I161" s="236"/>
      <c r="J161" s="239">
        <f>H161/DAY(B2)</f>
        <v>6.5625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'7'!F162</f>
        <v>29022.16</v>
      </c>
      <c r="F162" s="235">
        <v>29033.32</v>
      </c>
      <c r="G162" s="238">
        <f t="shared" si="14"/>
        <v>11.159999999999854</v>
      </c>
      <c r="H162" s="99">
        <f>G162+'7'!H162</f>
        <v>61.319999999999709</v>
      </c>
      <c r="I162" s="236"/>
      <c r="J162" s="239">
        <f>H162/DAY(B2)</f>
        <v>7.6649999999999636</v>
      </c>
    </row>
    <row r="163" spans="1:10" ht="29.25" x14ac:dyDescent="0.5">
      <c r="A163" s="737"/>
      <c r="B163" s="737"/>
      <c r="C163" s="247"/>
      <c r="D163" s="244" t="s">
        <v>180</v>
      </c>
      <c r="E163" s="95">
        <f>'7'!F163</f>
        <v>0</v>
      </c>
      <c r="F163" s="165"/>
      <c r="G163" s="165"/>
      <c r="H163" s="99">
        <f>G163+'7'!H163</f>
        <v>0</v>
      </c>
      <c r="I163" s="165"/>
      <c r="J163" s="239">
        <f>H163/DAY(B2)</f>
        <v>0</v>
      </c>
    </row>
    <row r="164" spans="1:10" ht="29.25" x14ac:dyDescent="0.5">
      <c r="A164" s="737"/>
      <c r="B164" s="737"/>
      <c r="C164" s="247"/>
      <c r="D164" s="244" t="s">
        <v>180</v>
      </c>
      <c r="E164" s="95">
        <f>'7'!F164</f>
        <v>0</v>
      </c>
      <c r="F164" s="165"/>
      <c r="G164" s="165"/>
      <c r="H164" s="99">
        <f>G164+'7'!H164</f>
        <v>0</v>
      </c>
      <c r="I164" s="165"/>
      <c r="J164" s="239">
        <f>H164/DAY(B2)</f>
        <v>0</v>
      </c>
    </row>
    <row r="165" spans="1:10" ht="29.25" x14ac:dyDescent="0.5">
      <c r="A165" s="737"/>
      <c r="B165" s="737"/>
      <c r="C165" s="247"/>
      <c r="D165" s="244" t="s">
        <v>180</v>
      </c>
      <c r="E165" s="95">
        <f>'7'!F165</f>
        <v>0</v>
      </c>
      <c r="F165" s="165"/>
      <c r="G165" s="165"/>
      <c r="H165" s="99">
        <f>G165+'7'!H165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38" t="s">
        <v>330</v>
      </c>
      <c r="B168" s="739"/>
      <c r="C168" s="739"/>
      <c r="D168" s="739"/>
      <c r="E168" s="739"/>
      <c r="F168" s="739"/>
      <c r="G168" s="739"/>
      <c r="H168" s="739"/>
      <c r="I168" s="739"/>
      <c r="J168" s="740"/>
    </row>
    <row r="169" spans="1:10" ht="27.75" x14ac:dyDescent="0.5">
      <c r="A169" s="747"/>
      <c r="B169" s="748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43" t="s">
        <v>209</v>
      </c>
      <c r="B170" s="744"/>
      <c r="C170" s="353"/>
      <c r="D170" s="228" t="s">
        <v>142</v>
      </c>
      <c r="E170" s="95">
        <f>'7'!F170</f>
        <v>7895</v>
      </c>
      <c r="F170" s="155">
        <v>7895</v>
      </c>
      <c r="G170" s="155">
        <f>F170-E170</f>
        <v>0</v>
      </c>
      <c r="H170" s="99">
        <f>G170+'7'!H170</f>
        <v>0</v>
      </c>
      <c r="I170" s="155"/>
      <c r="J170" s="178">
        <f>H170/DAY(B2)</f>
        <v>0</v>
      </c>
    </row>
    <row r="171" spans="1:10" ht="27.75" x14ac:dyDescent="0.5">
      <c r="A171" s="743" t="s">
        <v>75</v>
      </c>
      <c r="B171" s="744"/>
      <c r="C171" s="353"/>
      <c r="D171" s="228" t="s">
        <v>142</v>
      </c>
      <c r="E171" s="95">
        <f>'7'!F171</f>
        <v>37115</v>
      </c>
      <c r="F171" s="157">
        <v>37126</v>
      </c>
      <c r="G171" s="155">
        <f t="shared" ref="G171:G172" si="15">F171-E171</f>
        <v>11</v>
      </c>
      <c r="H171" s="99">
        <f>G171+'7'!H171</f>
        <v>92</v>
      </c>
      <c r="I171" s="155"/>
      <c r="J171" s="178">
        <f>H171/DAY(B2)</f>
        <v>11.5</v>
      </c>
    </row>
    <row r="172" spans="1:10" ht="27.75" x14ac:dyDescent="0.5">
      <c r="A172" s="743" t="s">
        <v>76</v>
      </c>
      <c r="B172" s="783"/>
      <c r="C172" s="744"/>
      <c r="D172" s="228" t="s">
        <v>142</v>
      </c>
      <c r="E172" s="95">
        <f>'7'!F172</f>
        <v>20541</v>
      </c>
      <c r="F172" s="155">
        <v>20553</v>
      </c>
      <c r="G172" s="155">
        <f t="shared" si="15"/>
        <v>12</v>
      </c>
      <c r="H172" s="99">
        <f>G172+'7'!H172</f>
        <v>84</v>
      </c>
      <c r="I172" s="155"/>
      <c r="J172" s="178">
        <f>H172/DAY(B2)</f>
        <v>10.5</v>
      </c>
    </row>
    <row r="173" spans="1:10" ht="27.75" x14ac:dyDescent="0.5">
      <c r="A173" s="732" t="s">
        <v>196</v>
      </c>
      <c r="B173" s="733"/>
      <c r="C173" s="353"/>
      <c r="D173" s="228" t="s">
        <v>142</v>
      </c>
      <c r="E173" s="95"/>
      <c r="F173" s="155"/>
      <c r="G173" s="155">
        <f>SUM(G170:G172)</f>
        <v>23</v>
      </c>
      <c r="H173" s="99">
        <f>G173+'7'!H173</f>
        <v>176</v>
      </c>
      <c r="I173" s="155"/>
      <c r="J173" s="178">
        <f>H173/DAY(B2)</f>
        <v>22</v>
      </c>
    </row>
    <row r="174" spans="1:10" ht="27.75" x14ac:dyDescent="0.5">
      <c r="A174" s="743" t="s">
        <v>77</v>
      </c>
      <c r="B174" s="744"/>
      <c r="C174" s="353"/>
      <c r="D174" s="228" t="s">
        <v>142</v>
      </c>
      <c r="E174" s="95"/>
      <c r="F174" s="155"/>
      <c r="G174" s="155"/>
      <c r="H174" s="99">
        <f>G174+'7'!H174</f>
        <v>0</v>
      </c>
      <c r="I174" s="155"/>
      <c r="J174" s="178">
        <f>H174/DAY(B2)</f>
        <v>0</v>
      </c>
    </row>
    <row r="175" spans="1:10" ht="27.75" x14ac:dyDescent="0.5">
      <c r="A175" s="743" t="s">
        <v>210</v>
      </c>
      <c r="B175" s="744"/>
      <c r="C175" s="353"/>
      <c r="D175" s="228" t="s">
        <v>142</v>
      </c>
      <c r="E175" s="95">
        <f>'7'!F175</f>
        <v>72468</v>
      </c>
      <c r="F175" s="155">
        <v>72564</v>
      </c>
      <c r="G175" s="155">
        <f>F175-E175</f>
        <v>96</v>
      </c>
      <c r="H175" s="99">
        <f>G175+'7'!H175</f>
        <v>630</v>
      </c>
      <c r="I175" s="155"/>
      <c r="J175" s="178">
        <f>H175/DAY(B2)</f>
        <v>78.75</v>
      </c>
    </row>
    <row r="176" spans="1:10" ht="27.75" x14ac:dyDescent="0.5">
      <c r="A176" s="743" t="s">
        <v>211</v>
      </c>
      <c r="B176" s="744"/>
      <c r="C176" s="353"/>
      <c r="D176" s="228" t="s">
        <v>142</v>
      </c>
      <c r="E176" s="95">
        <f>'7'!F176</f>
        <v>33886</v>
      </c>
      <c r="F176" s="155">
        <v>33886</v>
      </c>
      <c r="G176" s="155">
        <f t="shared" ref="G176:G177" si="16">F176-E176</f>
        <v>0</v>
      </c>
      <c r="H176" s="99">
        <f>G176+'7'!H176</f>
        <v>0</v>
      </c>
      <c r="I176" s="155"/>
      <c r="J176" s="178">
        <f>H176/DAY(B2)</f>
        <v>0</v>
      </c>
    </row>
    <row r="177" spans="1:10" ht="27.75" x14ac:dyDescent="0.5">
      <c r="A177" s="743" t="s">
        <v>212</v>
      </c>
      <c r="B177" s="744"/>
      <c r="C177" s="353"/>
      <c r="D177" s="228" t="s">
        <v>142</v>
      </c>
      <c r="E177" s="95">
        <f>'7'!F177</f>
        <v>4851</v>
      </c>
      <c r="F177" s="155">
        <v>4855</v>
      </c>
      <c r="G177" s="155">
        <f t="shared" si="16"/>
        <v>4</v>
      </c>
      <c r="H177" s="99">
        <f>G177+'7'!H177</f>
        <v>24</v>
      </c>
      <c r="I177" s="155"/>
      <c r="J177" s="178">
        <f>H177/DAY(B2)</f>
        <v>3</v>
      </c>
    </row>
    <row r="178" spans="1:10" ht="27.75" x14ac:dyDescent="0.5">
      <c r="A178" s="745" t="s">
        <v>108</v>
      </c>
      <c r="B178" s="746"/>
      <c r="C178" s="353"/>
      <c r="D178" s="228" t="s">
        <v>142</v>
      </c>
      <c r="E178" s="95"/>
      <c r="F178" s="155"/>
      <c r="G178" s="155">
        <f>SUM(G175:G177)</f>
        <v>100</v>
      </c>
      <c r="H178" s="99">
        <f>G178+'7'!H178</f>
        <v>654</v>
      </c>
      <c r="I178" s="155"/>
      <c r="J178" s="178">
        <f>H178/DAY(B2)</f>
        <v>81.75</v>
      </c>
    </row>
    <row r="179" spans="1:10" ht="27.75" x14ac:dyDescent="0.5">
      <c r="A179" s="743" t="s">
        <v>213</v>
      </c>
      <c r="B179" s="744"/>
      <c r="C179" s="353"/>
      <c r="D179" s="228" t="s">
        <v>142</v>
      </c>
      <c r="E179" s="95"/>
      <c r="F179" s="155"/>
      <c r="G179" s="155"/>
      <c r="H179" s="99">
        <f>G179+'7'!H179</f>
        <v>0</v>
      </c>
      <c r="I179" s="155"/>
      <c r="J179" s="178">
        <f>H179/DAY(B2)</f>
        <v>0</v>
      </c>
    </row>
    <row r="180" spans="1:10" ht="27.75" x14ac:dyDescent="0.5">
      <c r="A180" s="743" t="s">
        <v>214</v>
      </c>
      <c r="B180" s="744"/>
      <c r="C180" s="354"/>
      <c r="D180" s="228" t="s">
        <v>142</v>
      </c>
      <c r="E180" s="95">
        <f>'7'!F180</f>
        <v>13649</v>
      </c>
      <c r="F180" s="157">
        <v>13669</v>
      </c>
      <c r="G180" s="157">
        <f>F180-E180</f>
        <v>20</v>
      </c>
      <c r="H180" s="99">
        <f>G180+'7'!H180</f>
        <v>132</v>
      </c>
      <c r="I180" s="155"/>
      <c r="J180" s="178">
        <f>H180/DAY(B2)</f>
        <v>16.5</v>
      </c>
    </row>
    <row r="181" spans="1:10" ht="27.75" x14ac:dyDescent="0.5">
      <c r="A181" s="743" t="s">
        <v>215</v>
      </c>
      <c r="B181" s="744"/>
      <c r="C181" s="354"/>
      <c r="D181" s="228" t="s">
        <v>142</v>
      </c>
      <c r="E181" s="95">
        <f>'7'!F181</f>
        <v>9504</v>
      </c>
      <c r="F181" s="157">
        <v>9512</v>
      </c>
      <c r="G181" s="157">
        <f t="shared" ref="G181:G182" si="17">F181-E181</f>
        <v>8</v>
      </c>
      <c r="H181" s="99">
        <f>G181+'7'!H181</f>
        <v>64</v>
      </c>
      <c r="I181" s="155"/>
      <c r="J181" s="178">
        <f>H181/DAY(B2)</f>
        <v>8</v>
      </c>
    </row>
    <row r="182" spans="1:10" ht="27.75" x14ac:dyDescent="0.5">
      <c r="A182" s="743" t="s">
        <v>216</v>
      </c>
      <c r="B182" s="744"/>
      <c r="C182" s="354"/>
      <c r="D182" s="228" t="s">
        <v>142</v>
      </c>
      <c r="E182" s="95">
        <f>'7'!F182</f>
        <v>0</v>
      </c>
      <c r="F182" s="157"/>
      <c r="G182" s="157">
        <f t="shared" si="17"/>
        <v>0</v>
      </c>
      <c r="H182" s="99">
        <f>G182+'7'!H182</f>
        <v>0</v>
      </c>
      <c r="I182" s="155"/>
      <c r="J182" s="178">
        <f>H182/DAY(B2)</f>
        <v>0</v>
      </c>
    </row>
    <row r="183" spans="1:10" ht="27" customHeight="1" x14ac:dyDescent="0.5">
      <c r="A183" s="732" t="s">
        <v>196</v>
      </c>
      <c r="B183" s="733"/>
      <c r="C183" s="354"/>
      <c r="D183" s="228" t="s">
        <v>142</v>
      </c>
      <c r="E183" s="95"/>
      <c r="F183" s="157"/>
      <c r="G183" s="157">
        <f>SUM(G180:G182)</f>
        <v>28</v>
      </c>
      <c r="H183" s="99">
        <f>G183+'7'!H183</f>
        <v>196</v>
      </c>
      <c r="I183" s="157"/>
      <c r="J183" s="178">
        <f>H183/DAY(B2)</f>
        <v>24.5</v>
      </c>
    </row>
    <row r="184" spans="1:10" ht="27.75" x14ac:dyDescent="0.5">
      <c r="A184" s="734" t="s">
        <v>217</v>
      </c>
      <c r="B184" s="735"/>
      <c r="C184" s="353"/>
      <c r="D184" s="230" t="s">
        <v>142</v>
      </c>
      <c r="E184" s="95"/>
      <c r="F184" s="159"/>
      <c r="G184" s="588">
        <f>G62+G19</f>
        <v>164</v>
      </c>
      <c r="H184" s="99">
        <f>G184+'7'!H184</f>
        <v>1338</v>
      </c>
      <c r="I184" s="158"/>
      <c r="J184" s="179">
        <f>H184/DAY(B2)</f>
        <v>167.25</v>
      </c>
    </row>
    <row r="185" spans="1:10" ht="27.75" x14ac:dyDescent="0.5">
      <c r="A185" s="734" t="s">
        <v>218</v>
      </c>
      <c r="B185" s="735"/>
      <c r="C185" s="353"/>
      <c r="D185" s="230" t="s">
        <v>142</v>
      </c>
      <c r="E185" s="95"/>
      <c r="F185" s="159"/>
      <c r="G185" s="588">
        <f>G65+G66+G67+G69+G70</f>
        <v>171</v>
      </c>
      <c r="H185" s="99">
        <f>G185+'7'!H185</f>
        <v>1323</v>
      </c>
      <c r="I185" s="158"/>
      <c r="J185" s="179">
        <f>H185/DAY(B2)</f>
        <v>165.375</v>
      </c>
    </row>
    <row r="186" spans="1:10" ht="27.75" x14ac:dyDescent="0.5">
      <c r="A186" s="734" t="s">
        <v>219</v>
      </c>
      <c r="B186" s="735"/>
      <c r="C186" s="353"/>
      <c r="D186" s="230" t="s">
        <v>142</v>
      </c>
      <c r="E186" s="95"/>
      <c r="F186" s="157"/>
      <c r="G186" s="585">
        <f>G178</f>
        <v>100</v>
      </c>
      <c r="H186" s="99">
        <f>G186+'7'!H186</f>
        <v>654</v>
      </c>
      <c r="I186" s="158"/>
      <c r="J186" s="179">
        <f>H186/DAY(B2)</f>
        <v>81.75</v>
      </c>
    </row>
    <row r="187" spans="1:10" ht="27.75" x14ac:dyDescent="0.5">
      <c r="A187" s="741"/>
      <c r="B187" s="742"/>
      <c r="C187" s="601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0.25" customHeight="1" x14ac:dyDescent="0.5"/>
    <row r="192" spans="1:10" ht="20.25" customHeight="1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69:B169"/>
    <mergeCell ref="A170:B170"/>
    <mergeCell ref="A171:B171"/>
    <mergeCell ref="A114:C114"/>
    <mergeCell ref="A115:C115"/>
    <mergeCell ref="A116:C116"/>
    <mergeCell ref="A119:C119"/>
    <mergeCell ref="A120:C120"/>
    <mergeCell ref="A121:C121"/>
    <mergeCell ref="A122:C122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26:J12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Q116:R116"/>
    <mergeCell ref="A117:C117"/>
    <mergeCell ref="Q117:R117"/>
    <mergeCell ref="A118:C118"/>
    <mergeCell ref="Q118:R118"/>
    <mergeCell ref="A141:C141"/>
    <mergeCell ref="A142:C142"/>
    <mergeCell ref="A157:J157"/>
    <mergeCell ref="A163:B163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64:B164"/>
    <mergeCell ref="A135:C135"/>
    <mergeCell ref="A136:J136"/>
    <mergeCell ref="A138:C138"/>
    <mergeCell ref="A139:C139"/>
    <mergeCell ref="A140:C140"/>
    <mergeCell ref="A186:B186"/>
    <mergeCell ref="A187:B187"/>
    <mergeCell ref="A181:B181"/>
    <mergeCell ref="A182:B182"/>
    <mergeCell ref="A183:B183"/>
    <mergeCell ref="A184:B184"/>
    <mergeCell ref="A185:B185"/>
    <mergeCell ref="A173:B173"/>
    <mergeCell ref="A174:B174"/>
    <mergeCell ref="A175:B175"/>
    <mergeCell ref="A176:B176"/>
    <mergeCell ref="A177:B177"/>
    <mergeCell ref="A178:B178"/>
    <mergeCell ref="A180:B180"/>
    <mergeCell ref="A172:C172"/>
    <mergeCell ref="A179:B179"/>
    <mergeCell ref="A165:B165"/>
    <mergeCell ref="A168:J168"/>
  </mergeCells>
  <pageMargins left="0.22" right="0.17" top="0.14000000000000001" bottom="0.2" header="0.2" footer="0.2"/>
  <pageSetup paperSize="5" scale="1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67"/>
  <sheetViews>
    <sheetView view="pageBreakPreview" topLeftCell="A148" zoomScale="55" zoomScaleNormal="80" zoomScaleSheetLayoutView="55" workbookViewId="0">
      <selection activeCell="F183" sqref="F18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89" t="s">
        <v>115</v>
      </c>
      <c r="B1" s="790"/>
      <c r="C1" s="790"/>
      <c r="D1" s="790"/>
      <c r="E1" s="790"/>
      <c r="F1" s="790"/>
      <c r="G1" s="790"/>
      <c r="H1" s="790"/>
      <c r="I1" s="790"/>
      <c r="J1" s="791"/>
    </row>
    <row r="2" spans="1:15" s="57" customFormat="1" ht="27" x14ac:dyDescent="0.5">
      <c r="A2" s="191" t="s">
        <v>357</v>
      </c>
      <c r="B2" s="266">
        <v>44478</v>
      </c>
      <c r="C2" s="36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27</v>
      </c>
      <c r="E3" s="798" t="s">
        <v>119</v>
      </c>
      <c r="F3" s="79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92" t="s">
        <v>128</v>
      </c>
      <c r="B6" s="793"/>
      <c r="C6" s="79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'8'!F7</f>
        <v>153892.20000000001</v>
      </c>
      <c r="F7" s="95">
        <v>177978</v>
      </c>
      <c r="G7" s="112">
        <f>F7-E7</f>
        <v>24085.799999999988</v>
      </c>
      <c r="H7" s="99">
        <f>G7+'8'!H7</f>
        <v>210735.59999999992</v>
      </c>
      <c r="I7" s="113">
        <f>'1'!I7</f>
        <v>12000</v>
      </c>
      <c r="J7" s="175">
        <f>H7/DAY(B2)</f>
        <v>23415.066666666658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'8'!F8</f>
        <v>170020.51</v>
      </c>
      <c r="F8" s="114">
        <v>194486</v>
      </c>
      <c r="G8" s="115">
        <f>F8-E8</f>
        <v>24465.489999999991</v>
      </c>
      <c r="H8" s="99">
        <f>G8+'8'!H8</f>
        <v>212768.99999999994</v>
      </c>
      <c r="I8" s="116"/>
      <c r="J8" s="175">
        <f>H8/DAY(B2)</f>
        <v>23640.999999999993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'8'!F9</f>
        <v>905552.87</v>
      </c>
      <c r="F9" s="117">
        <v>924316</v>
      </c>
      <c r="G9" s="112">
        <f>F9-E9</f>
        <v>18763.130000000005</v>
      </c>
      <c r="H9" s="99">
        <f>G9+'8'!H9</f>
        <v>193526</v>
      </c>
      <c r="I9" s="124">
        <f>I7-J7</f>
        <v>-11415.066666666658</v>
      </c>
      <c r="J9" s="175">
        <f>H9/DAY(B2)</f>
        <v>21502.888888888891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'8'!F10</f>
        <v>6145.56</v>
      </c>
      <c r="F10" s="117">
        <v>12391</v>
      </c>
      <c r="G10" s="112">
        <f t="shared" ref="G10:G12" si="0">F10-E10</f>
        <v>6245.44</v>
      </c>
      <c r="H10" s="99">
        <f>G10+'8'!H10</f>
        <v>12391</v>
      </c>
      <c r="I10" s="286"/>
      <c r="J10" s="175">
        <f>H10/DAY(B2)</f>
        <v>1376.7777777777778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'8'!F11</f>
        <v>37000</v>
      </c>
      <c r="F11" s="95">
        <v>37000</v>
      </c>
      <c r="G11" s="112">
        <f t="shared" si="0"/>
        <v>0</v>
      </c>
      <c r="H11" s="99">
        <f>G11+'8'!H11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'8'!F12</f>
        <v>40010</v>
      </c>
      <c r="F12" s="117">
        <v>40010</v>
      </c>
      <c r="G12" s="112">
        <f t="shared" si="0"/>
        <v>0</v>
      </c>
      <c r="H12" s="99">
        <f>G12+'8'!H12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25008.570000000003</v>
      </c>
      <c r="H13" s="99">
        <f>G13+'8'!H13</f>
        <v>184371.25</v>
      </c>
      <c r="I13" s="120">
        <f>G7-G13</f>
        <v>-922.77000000001499</v>
      </c>
      <c r="J13" s="175">
        <f>H13/DAY(B2)</f>
        <v>20485.694444444445</v>
      </c>
      <c r="K13" s="79"/>
      <c r="L13" s="66"/>
      <c r="N13" s="87"/>
      <c r="O13" s="71"/>
    </row>
    <row r="14" spans="1:15" ht="29.25" x14ac:dyDescent="0.5">
      <c r="A14" s="795" t="s">
        <v>137</v>
      </c>
      <c r="B14" s="796"/>
      <c r="C14" s="79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'8'!F15</f>
        <v>1792355.38</v>
      </c>
      <c r="F15" s="123">
        <v>1793352</v>
      </c>
      <c r="G15" s="112">
        <f>(F15-E15)</f>
        <v>996.62000000011176</v>
      </c>
      <c r="H15" s="99">
        <f>G15+'8'!H15</f>
        <v>9144</v>
      </c>
      <c r="I15" s="113">
        <f>'1'!I15</f>
        <v>800</v>
      </c>
      <c r="J15" s="175">
        <f>H15/DAY(B2)</f>
        <v>1016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-216</v>
      </c>
      <c r="J16" s="176"/>
      <c r="K16" s="79"/>
      <c r="L16" s="66"/>
      <c r="N16" s="87"/>
      <c r="O16" s="71"/>
    </row>
    <row r="17" spans="1:15" ht="29.25" x14ac:dyDescent="0.5">
      <c r="A17" s="795" t="s">
        <v>140</v>
      </c>
      <c r="B17" s="796"/>
      <c r="C17" s="79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1" t="s">
        <v>141</v>
      </c>
      <c r="B18" s="772"/>
      <c r="C18" s="773"/>
      <c r="D18" s="151" t="s">
        <v>142</v>
      </c>
      <c r="E18" s="95">
        <f>'8'!F18</f>
        <v>18</v>
      </c>
      <c r="F18" s="122">
        <v>22</v>
      </c>
      <c r="G18" s="119">
        <f>F18*10</f>
        <v>220</v>
      </c>
      <c r="H18" s="99">
        <f>G18+'8'!H18</f>
        <v>1730</v>
      </c>
      <c r="I18" s="113">
        <f>'1'!I18</f>
        <v>65</v>
      </c>
      <c r="J18" s="175">
        <f>H18/DAY(B2)</f>
        <v>192.22222222222223</v>
      </c>
      <c r="K18" s="79"/>
      <c r="L18" s="66"/>
      <c r="N18" s="87"/>
      <c r="O18" s="71"/>
    </row>
    <row r="19" spans="1:15" ht="27.75" x14ac:dyDescent="0.5">
      <c r="A19" s="771" t="s">
        <v>69</v>
      </c>
      <c r="B19" s="772"/>
      <c r="C19" s="773"/>
      <c r="D19" s="151" t="s">
        <v>142</v>
      </c>
      <c r="E19" s="95">
        <f>'8'!F19</f>
        <v>147579</v>
      </c>
      <c r="F19" s="122">
        <v>147633</v>
      </c>
      <c r="G19" s="112">
        <f t="shared" ref="G19" si="1">F19-E19</f>
        <v>54</v>
      </c>
      <c r="H19" s="99">
        <f>G19+'8'!H19</f>
        <v>521</v>
      </c>
      <c r="I19" s="355"/>
      <c r="J19" s="175">
        <f>H19/DAY(B2)</f>
        <v>57.888888888888886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274</v>
      </c>
      <c r="H20" s="99">
        <f>G20+'8'!H20</f>
        <v>2251</v>
      </c>
      <c r="I20" s="356">
        <f>I18-J20</f>
        <v>-185.11111111111111</v>
      </c>
      <c r="J20" s="175">
        <f>H20/DAY(B2)</f>
        <v>250.11111111111111</v>
      </c>
      <c r="K20" s="79"/>
      <c r="L20" s="66"/>
      <c r="N20" s="87"/>
      <c r="O20" s="71"/>
    </row>
    <row r="21" spans="1:15" ht="29.25" x14ac:dyDescent="0.5">
      <c r="A21" s="795" t="s">
        <v>144</v>
      </c>
      <c r="B21" s="796"/>
      <c r="C21" s="79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'8'!F23</f>
        <v>2000</v>
      </c>
      <c r="F23" s="122">
        <v>2000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'8'!F24</f>
        <v>4970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0" t="s">
        <v>149</v>
      </c>
      <c r="B25" s="801"/>
      <c r="C25" s="80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24465.489999999991</v>
      </c>
      <c r="F27" s="136">
        <v>9</v>
      </c>
      <c r="G27" s="137">
        <f>E27*F27</f>
        <v>220189.40999999992</v>
      </c>
      <c r="H27" s="99">
        <f>G27+'8'!H27</f>
        <v>1914920.9999999995</v>
      </c>
      <c r="I27" s="138"/>
      <c r="J27" s="175">
        <f>H27/DAY(B2)</f>
        <v>212768.99999999994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996.62000000011176</v>
      </c>
      <c r="F28" s="136">
        <v>52</v>
      </c>
      <c r="G28" s="137">
        <f>E28*F28</f>
        <v>51824.240000005811</v>
      </c>
      <c r="H28" s="99">
        <f>G28+'8'!H28</f>
        <v>475488</v>
      </c>
      <c r="I28" s="140"/>
      <c r="J28" s="175">
        <f>H28/DAY(B2)</f>
        <v>52832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G30+'8'!H30</f>
        <v>76066</v>
      </c>
      <c r="I30" s="140"/>
      <c r="J30" s="175">
        <f>H30/DAY(B2)</f>
        <v>8451.7777777777774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G31+'8'!H31</f>
        <v>138400</v>
      </c>
      <c r="I31" s="140"/>
      <c r="J31" s="175">
        <f>H31/DAY(B2)</f>
        <v>15377.777777777777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297497.65000000573</v>
      </c>
      <c r="H32" s="99">
        <f>G32+'8'!H32</f>
        <v>2604875</v>
      </c>
      <c r="I32" s="144"/>
      <c r="J32" s="175">
        <f>H32/DAY(B2)</f>
        <v>289430.55555555556</v>
      </c>
      <c r="K32" s="63"/>
      <c r="L32" s="89"/>
      <c r="N32" s="87"/>
      <c r="O32" s="71"/>
    </row>
    <row r="33" spans="1:15" ht="25.5" customHeight="1" x14ac:dyDescent="0.35">
      <c r="A33" s="803" t="s">
        <v>331</v>
      </c>
      <c r="B33" s="804"/>
      <c r="C33" s="804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'8'!F35</f>
        <v>0</v>
      </c>
      <c r="F35" s="145">
        <v>0</v>
      </c>
      <c r="G35" s="112">
        <f t="shared" ref="G35:G46" si="3">F35-E35</f>
        <v>0</v>
      </c>
      <c r="H35" s="99">
        <f>G35+'8'!H35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'8'!F36</f>
        <v>30855.07</v>
      </c>
      <c r="F36" s="145">
        <v>31731</v>
      </c>
      <c r="G36" s="112">
        <f t="shared" si="3"/>
        <v>875.93000000000029</v>
      </c>
      <c r="H36" s="99">
        <f>G36+'8'!H36</f>
        <v>7854</v>
      </c>
      <c r="I36" s="95"/>
      <c r="J36" s="175">
        <f>H36/DAY(B2)</f>
        <v>872.66666666666663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'8'!F37</f>
        <v>67983.95</v>
      </c>
      <c r="F37" s="145">
        <v>69717</v>
      </c>
      <c r="G37" s="112">
        <f t="shared" si="3"/>
        <v>1733.0500000000029</v>
      </c>
      <c r="H37" s="99">
        <f>G37+'8'!H37</f>
        <v>15554</v>
      </c>
      <c r="I37" s="95"/>
      <c r="J37" s="175">
        <f>H37/DAY(B2)</f>
        <v>1728.2222222222222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'8'!F38</f>
        <v>72354.03</v>
      </c>
      <c r="F38" s="108">
        <v>74318</v>
      </c>
      <c r="G38" s="112">
        <f t="shared" si="3"/>
        <v>1963.9700000000012</v>
      </c>
      <c r="H38" s="99">
        <f>G38+'8'!H38</f>
        <v>17192</v>
      </c>
      <c r="I38" s="95"/>
      <c r="J38" s="175">
        <f>H38/DAY(B2)</f>
        <v>1910.2222222222222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'8'!F39</f>
        <v>156352.67000000001</v>
      </c>
      <c r="F39" s="145">
        <v>160627</v>
      </c>
      <c r="G39" s="112">
        <f t="shared" si="3"/>
        <v>4274.3299999999872</v>
      </c>
      <c r="H39" s="99">
        <f>G39+'8'!H39</f>
        <v>37736</v>
      </c>
      <c r="I39" s="95"/>
      <c r="J39" s="175">
        <f>H39/DAY(B2)</f>
        <v>4192.8888888888887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'8'!F40</f>
        <v>1.3</v>
      </c>
      <c r="F40" s="145">
        <v>1.3</v>
      </c>
      <c r="G40" s="112">
        <f t="shared" si="3"/>
        <v>0</v>
      </c>
      <c r="H40" s="99">
        <f>G40+'8'!H40</f>
        <v>1.3</v>
      </c>
      <c r="I40" s="95"/>
      <c r="J40" s="175">
        <f>H40/DAY(B2)</f>
        <v>0.14444444444444446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'8'!F41</f>
        <v>527553.06999999995</v>
      </c>
      <c r="F41" s="145">
        <v>533117</v>
      </c>
      <c r="G41" s="112">
        <f t="shared" si="3"/>
        <v>5563.9300000000512</v>
      </c>
      <c r="H41" s="99">
        <f>G41+'8'!H41</f>
        <v>43897.409999999974</v>
      </c>
      <c r="I41" s="95"/>
      <c r="J41" s="175">
        <f>H41/DAY(B2)</f>
        <v>4877.4899999999971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'8'!F42</f>
        <v>255366.91</v>
      </c>
      <c r="F42" s="145">
        <v>257598</v>
      </c>
      <c r="G42" s="112">
        <f t="shared" si="3"/>
        <v>2231.0899999999965</v>
      </c>
      <c r="H42" s="99">
        <f>G42+'8'!H42</f>
        <v>13415</v>
      </c>
      <c r="I42" s="95"/>
      <c r="J42" s="175">
        <f>H42/DAY(B2)</f>
        <v>1490.5555555555557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'8'!F43</f>
        <v>1383017.6</v>
      </c>
      <c r="F43" s="145">
        <v>1385718</v>
      </c>
      <c r="G43" s="112">
        <f t="shared" si="3"/>
        <v>2700.3999999999069</v>
      </c>
      <c r="H43" s="99">
        <f>G43+'8'!H43</f>
        <v>21760</v>
      </c>
      <c r="I43" s="95"/>
      <c r="J43" s="175">
        <f>H43/DAY(B2)</f>
        <v>2417.7777777777778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'8'!F44</f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'8'!F45</f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'8'!F46</f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19342.699999999946</v>
      </c>
      <c r="H47" s="99">
        <f>G47+'8'!H47</f>
        <v>157409.70999999996</v>
      </c>
      <c r="I47" s="95"/>
      <c r="J47" s="175">
        <f>H47/DAY(B2)</f>
        <v>17489.967777777772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'8'!F49</f>
        <v>124043.34</v>
      </c>
      <c r="F49" s="145">
        <v>127753</v>
      </c>
      <c r="G49" s="112">
        <f t="shared" ref="G49:G58" si="4">F49-E49</f>
        <v>3709.6600000000035</v>
      </c>
      <c r="H49" s="99">
        <f>G49+'8'!H49</f>
        <v>36556.619999999995</v>
      </c>
      <c r="I49" s="95"/>
      <c r="J49" s="175">
        <f>H49/DAY(B2)</f>
        <v>4061.8466666666664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'8'!F50</f>
        <v>654131.63</v>
      </c>
      <c r="F50" s="145">
        <v>655165</v>
      </c>
      <c r="G50" s="112">
        <f t="shared" si="4"/>
        <v>1033.3699999999953</v>
      </c>
      <c r="H50" s="99">
        <f>G50+'8'!H50</f>
        <v>11675</v>
      </c>
      <c r="I50" s="95"/>
      <c r="J50" s="175">
        <f>H50/DAY(B2)</f>
        <v>1297.2222222222222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'8'!F51</f>
        <v>0</v>
      </c>
      <c r="F51" s="145">
        <v>0</v>
      </c>
      <c r="G51" s="112">
        <f t="shared" si="4"/>
        <v>0</v>
      </c>
      <c r="H51" s="99">
        <f>G51+'8'!H51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'8'!F52</f>
        <v>0</v>
      </c>
      <c r="F52" s="145">
        <v>0</v>
      </c>
      <c r="G52" s="112">
        <f t="shared" si="4"/>
        <v>0</v>
      </c>
      <c r="H52" s="99">
        <f>G52+'8'!H52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'8'!F53</f>
        <v>0</v>
      </c>
      <c r="F53" s="145">
        <v>0</v>
      </c>
      <c r="G53" s="112">
        <f t="shared" si="4"/>
        <v>0</v>
      </c>
      <c r="H53" s="99">
        <f>G53+'8'!H53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'8'!F54</f>
        <v>2763.88</v>
      </c>
      <c r="F54" s="145">
        <v>2768</v>
      </c>
      <c r="G54" s="112">
        <f t="shared" si="4"/>
        <v>4.1199999999998909</v>
      </c>
      <c r="H54" s="99">
        <f>G54+'8'!H54</f>
        <v>36</v>
      </c>
      <c r="I54" s="95"/>
      <c r="J54" s="175">
        <f>H54/DAY(B2)</f>
        <v>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'8'!F55</f>
        <v>307299</v>
      </c>
      <c r="F55" s="145">
        <v>307299</v>
      </c>
      <c r="G55" s="112">
        <f t="shared" si="4"/>
        <v>0</v>
      </c>
      <c r="H55" s="99">
        <f>G55+'8'!H55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'8'!F56</f>
        <v>750352.87</v>
      </c>
      <c r="F56" s="145">
        <v>750367</v>
      </c>
      <c r="G56" s="112">
        <f t="shared" si="4"/>
        <v>14.130000000004657</v>
      </c>
      <c r="H56" s="99">
        <f>G56+'8'!H56</f>
        <v>8597</v>
      </c>
      <c r="I56" s="95"/>
      <c r="J56" s="175">
        <f>H56/DAY(B2)</f>
        <v>955.22222222222217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'8'!F57</f>
        <v>0</v>
      </c>
      <c r="F57" s="145">
        <v>0</v>
      </c>
      <c r="G57" s="112">
        <f t="shared" si="4"/>
        <v>0</v>
      </c>
      <c r="H57" s="99">
        <f>G57+'8'!H57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'8'!F58</f>
        <v>73963.759999999995</v>
      </c>
      <c r="F58" s="145">
        <v>74150</v>
      </c>
      <c r="G58" s="112">
        <f t="shared" si="4"/>
        <v>186.24000000000524</v>
      </c>
      <c r="H58" s="99">
        <f>G58+'8'!H58</f>
        <v>1995</v>
      </c>
      <c r="I58" s="95"/>
      <c r="J58" s="175">
        <f>H58/DAY(B2)</f>
        <v>221.66666666666666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4947.5200000000086</v>
      </c>
      <c r="H59" s="99">
        <f>G59+'8'!H59</f>
        <v>58859.619999999995</v>
      </c>
      <c r="I59" s="95">
        <f>G7-G60</f>
        <v>-204.41999999996551</v>
      </c>
      <c r="J59" s="175">
        <f>H59/DAY(B2)</f>
        <v>6539.9577777777777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24290.219999999954</v>
      </c>
      <c r="H60" s="99">
        <f>G60+'8'!H60</f>
        <v>216269.32999999996</v>
      </c>
      <c r="I60" s="95">
        <f>G13-G60</f>
        <v>718.35000000004948</v>
      </c>
      <c r="J60" s="175">
        <f>H60/DAY(B2)</f>
        <v>24029.92555555555</v>
      </c>
      <c r="K60" s="79"/>
      <c r="L60" s="66"/>
      <c r="N60" s="87"/>
      <c r="O60" s="71"/>
    </row>
    <row r="61" spans="1:15" s="68" customFormat="1" ht="27.75" x14ac:dyDescent="0.5">
      <c r="A61" s="805" t="s">
        <v>332</v>
      </c>
      <c r="B61" s="806"/>
      <c r="C61" s="807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1" t="s">
        <v>198</v>
      </c>
      <c r="B62" s="772"/>
      <c r="C62" s="773"/>
      <c r="D62" s="151" t="s">
        <v>142</v>
      </c>
      <c r="E62" s="95">
        <f>'8'!F62</f>
        <v>257224</v>
      </c>
      <c r="F62" s="122">
        <v>257342</v>
      </c>
      <c r="G62" s="112">
        <f t="shared" ref="G62:G63" si="5">F62-E62</f>
        <v>118</v>
      </c>
      <c r="H62" s="99">
        <f>G62+'8'!H62</f>
        <v>989</v>
      </c>
      <c r="I62" s="118"/>
      <c r="J62" s="175">
        <f>H62/DAY(B2)</f>
        <v>109.88888888888889</v>
      </c>
      <c r="K62" s="80"/>
      <c r="L62" s="66"/>
      <c r="N62" s="87"/>
      <c r="O62" s="71"/>
    </row>
    <row r="63" spans="1:15" ht="27.75" x14ac:dyDescent="0.5">
      <c r="A63" s="771" t="s">
        <v>199</v>
      </c>
      <c r="B63" s="772"/>
      <c r="C63" s="773"/>
      <c r="D63" s="151" t="s">
        <v>142</v>
      </c>
      <c r="E63" s="95">
        <f>'8'!F63</f>
        <v>203541</v>
      </c>
      <c r="F63" s="122">
        <v>203700</v>
      </c>
      <c r="G63" s="112">
        <f t="shared" si="5"/>
        <v>159</v>
      </c>
      <c r="H63" s="99">
        <f>G63+'8'!H63</f>
        <v>1174</v>
      </c>
      <c r="I63" s="118"/>
      <c r="J63" s="175">
        <f>H63/DAY(B2)</f>
        <v>130.44444444444446</v>
      </c>
      <c r="K63" s="69"/>
      <c r="L63" s="66"/>
      <c r="N63" s="87"/>
      <c r="O63" s="71"/>
    </row>
    <row r="64" spans="1:15" ht="29.25" x14ac:dyDescent="0.5">
      <c r="A64" s="780" t="s">
        <v>200</v>
      </c>
      <c r="B64" s="781"/>
      <c r="C64" s="782"/>
      <c r="D64" s="151"/>
      <c r="E64" s="95">
        <f>'8'!F64</f>
        <v>0</v>
      </c>
      <c r="F64" s="122"/>
      <c r="G64" s="112">
        <f>G62+G63</f>
        <v>277</v>
      </c>
      <c r="H64" s="99">
        <f>G64+'8'!H64</f>
        <v>2163</v>
      </c>
      <c r="I64" s="118"/>
      <c r="J64" s="175">
        <f>H64/DAY(B2)</f>
        <v>240.33333333333334</v>
      </c>
      <c r="K64" s="69"/>
      <c r="L64" s="66"/>
      <c r="N64" s="87"/>
      <c r="O64" s="71"/>
    </row>
    <row r="65" spans="1:15" ht="27.75" x14ac:dyDescent="0.5">
      <c r="A65" s="771" t="s">
        <v>201</v>
      </c>
      <c r="B65" s="772"/>
      <c r="C65" s="773"/>
      <c r="D65" s="151" t="s">
        <v>142</v>
      </c>
      <c r="E65" s="95">
        <f>'8'!F65</f>
        <v>424012</v>
      </c>
      <c r="F65" s="122">
        <v>424095</v>
      </c>
      <c r="G65" s="112">
        <f t="shared" ref="G65:G70" si="6">F65-E65</f>
        <v>83</v>
      </c>
      <c r="H65" s="99">
        <f>G65+'8'!H65</f>
        <v>806</v>
      </c>
      <c r="I65" s="118"/>
      <c r="J65" s="175">
        <f>H65/DAY(B2)</f>
        <v>89.555555555555557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'8'!F66</f>
        <v>105493</v>
      </c>
      <c r="F66" s="122">
        <v>105519</v>
      </c>
      <c r="G66" s="112">
        <f t="shared" si="6"/>
        <v>26</v>
      </c>
      <c r="H66" s="99">
        <f>G66+'8'!H66</f>
        <v>205</v>
      </c>
      <c r="I66" s="118"/>
      <c r="J66" s="175">
        <f>H66/DAY(B2)</f>
        <v>22.777777777777779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'8'!F67</f>
        <v>101513</v>
      </c>
      <c r="F67" s="122">
        <v>101547</v>
      </c>
      <c r="G67" s="112">
        <f t="shared" si="6"/>
        <v>34</v>
      </c>
      <c r="H67" s="99">
        <f>G67+'8'!H67</f>
        <v>263</v>
      </c>
      <c r="I67" s="118"/>
      <c r="J67" s="175">
        <f>H67/DAY(B2)</f>
        <v>29.222222222222221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'8'!F68</f>
        <v>153474</v>
      </c>
      <c r="F68" s="122">
        <v>153515</v>
      </c>
      <c r="G68" s="112">
        <f t="shared" si="6"/>
        <v>41</v>
      </c>
      <c r="H68" s="99">
        <f>G68+'8'!H68</f>
        <v>402</v>
      </c>
      <c r="I68" s="118"/>
      <c r="J68" s="175">
        <f>H68/DAY(B2)</f>
        <v>44.666666666666664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'8'!F69</f>
        <v>9166</v>
      </c>
      <c r="F69" s="122">
        <v>9182</v>
      </c>
      <c r="G69" s="112">
        <f t="shared" si="6"/>
        <v>16</v>
      </c>
      <c r="H69" s="99">
        <f>G69+'8'!H69</f>
        <v>125</v>
      </c>
      <c r="I69" s="118"/>
      <c r="J69" s="175">
        <f>H69/DAY(B2)</f>
        <v>13.888888888888889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'8'!F70</f>
        <v>6887</v>
      </c>
      <c r="F70" s="122">
        <v>6898</v>
      </c>
      <c r="G70" s="112">
        <f t="shared" si="6"/>
        <v>11</v>
      </c>
      <c r="H70" s="99">
        <f>G70+'8'!H70</f>
        <v>94</v>
      </c>
      <c r="I70" s="118"/>
      <c r="J70" s="175">
        <f>H70/DAY(B2)</f>
        <v>10.444444444444445</v>
      </c>
      <c r="K70" s="69"/>
      <c r="L70" s="66"/>
      <c r="N70" s="87"/>
      <c r="O70" s="71"/>
    </row>
    <row r="71" spans="1:15" ht="29.25" x14ac:dyDescent="0.5">
      <c r="A71" s="780" t="s">
        <v>208</v>
      </c>
      <c r="B71" s="781"/>
      <c r="C71" s="782"/>
      <c r="D71" s="152"/>
      <c r="E71" s="152"/>
      <c r="F71" s="152"/>
      <c r="G71" s="153">
        <f>SUM(G65:G70)</f>
        <v>211</v>
      </c>
      <c r="H71" s="99">
        <f>G71+'8'!H71</f>
        <v>1895</v>
      </c>
      <c r="I71" s="154"/>
      <c r="J71" s="175">
        <f>H71/DAY(B2)</f>
        <v>210.55555555555554</v>
      </c>
      <c r="K71" s="69"/>
      <c r="L71" s="66"/>
      <c r="N71" s="87"/>
      <c r="O71" s="71"/>
    </row>
    <row r="72" spans="1:15" s="88" customFormat="1" ht="27.75" x14ac:dyDescent="0.5">
      <c r="A72" s="767"/>
      <c r="B72" s="752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77" t="s">
        <v>333</v>
      </c>
      <c r="B73" s="778"/>
      <c r="C73" s="779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1" t="s">
        <v>220</v>
      </c>
      <c r="B74" s="772"/>
      <c r="C74" s="773"/>
      <c r="D74" s="151" t="s">
        <v>139</v>
      </c>
      <c r="E74" s="95">
        <f>'8'!F74</f>
        <v>866865.37</v>
      </c>
      <c r="F74" s="117">
        <v>867141</v>
      </c>
      <c r="G74" s="112">
        <f t="shared" ref="G74:G78" si="7">F74-E74</f>
        <v>275.63000000000466</v>
      </c>
      <c r="H74" s="99">
        <f>G74+'8'!H74</f>
        <v>2633</v>
      </c>
      <c r="I74" s="154"/>
      <c r="J74" s="175">
        <f>H74/DAY(B2)</f>
        <v>292.55555555555554</v>
      </c>
      <c r="K74" s="69"/>
      <c r="L74" s="66"/>
      <c r="N74" s="87"/>
      <c r="O74" s="71"/>
    </row>
    <row r="75" spans="1:15" ht="27.75" x14ac:dyDescent="0.5">
      <c r="A75" s="771" t="s">
        <v>221</v>
      </c>
      <c r="B75" s="772"/>
      <c r="C75" s="773"/>
      <c r="D75" s="151" t="s">
        <v>139</v>
      </c>
      <c r="E75" s="95">
        <f>'8'!F75</f>
        <v>73583.399999999994</v>
      </c>
      <c r="F75" s="123">
        <v>73583.399999999994</v>
      </c>
      <c r="G75" s="112">
        <f t="shared" si="7"/>
        <v>0</v>
      </c>
      <c r="H75" s="99">
        <f>G75+'8'!H75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68" t="s">
        <v>222</v>
      </c>
      <c r="B76" s="769"/>
      <c r="C76" s="770"/>
      <c r="D76" s="151" t="s">
        <v>139</v>
      </c>
      <c r="E76" s="95">
        <f>'8'!F76</f>
        <v>157698.98000000001</v>
      </c>
      <c r="F76" s="123">
        <v>157810</v>
      </c>
      <c r="G76" s="112">
        <f t="shared" si="7"/>
        <v>111.01999999998952</v>
      </c>
      <c r="H76" s="99">
        <f>G76+'8'!H76</f>
        <v>998</v>
      </c>
      <c r="I76" s="154"/>
      <c r="J76" s="175">
        <f>H76/DAY(B2)</f>
        <v>110.88888888888889</v>
      </c>
      <c r="K76" s="69"/>
      <c r="L76" s="66"/>
      <c r="N76" s="87"/>
      <c r="O76" s="71"/>
    </row>
    <row r="77" spans="1:15" ht="27.75" x14ac:dyDescent="0.5">
      <c r="A77" s="768" t="s">
        <v>223</v>
      </c>
      <c r="B77" s="769"/>
      <c r="C77" s="770"/>
      <c r="D77" s="151" t="s">
        <v>139</v>
      </c>
      <c r="E77" s="95">
        <f>'8'!F77</f>
        <v>36414.300000000003</v>
      </c>
      <c r="F77" s="123">
        <v>36463</v>
      </c>
      <c r="G77" s="112">
        <f t="shared" si="7"/>
        <v>48.69999999999709</v>
      </c>
      <c r="H77" s="99">
        <f>G77+'8'!H77</f>
        <v>459</v>
      </c>
      <c r="I77" s="154"/>
      <c r="J77" s="175">
        <f>H77/DAY(B2)</f>
        <v>51</v>
      </c>
      <c r="K77" s="69"/>
      <c r="L77" s="66"/>
      <c r="N77" s="87"/>
      <c r="O77" s="71"/>
    </row>
    <row r="78" spans="1:15" ht="27.75" x14ac:dyDescent="0.5">
      <c r="A78" s="768" t="s">
        <v>224</v>
      </c>
      <c r="B78" s="769"/>
      <c r="C78" s="770"/>
      <c r="D78" s="151" t="s">
        <v>139</v>
      </c>
      <c r="E78" s="95">
        <f>'8'!F78</f>
        <v>9269.9</v>
      </c>
      <c r="F78" s="123">
        <v>9272</v>
      </c>
      <c r="G78" s="112">
        <f t="shared" si="7"/>
        <v>2.1000000000003638</v>
      </c>
      <c r="H78" s="99">
        <f>G78+'8'!H78</f>
        <v>24</v>
      </c>
      <c r="I78" s="118"/>
      <c r="J78" s="175">
        <f>H78/DAY(B2)</f>
        <v>2.6666666666666665</v>
      </c>
      <c r="K78" s="69"/>
      <c r="L78" s="66"/>
      <c r="N78" s="87"/>
      <c r="O78" s="71"/>
    </row>
    <row r="79" spans="1:15" s="57" customFormat="1" ht="27.75" x14ac:dyDescent="0.5">
      <c r="A79" s="768" t="s">
        <v>225</v>
      </c>
      <c r="B79" s="769"/>
      <c r="C79" s="770"/>
      <c r="D79" s="151"/>
      <c r="E79" s="95">
        <f>'8'!F79</f>
        <v>0</v>
      </c>
      <c r="F79" s="117"/>
      <c r="G79" s="112">
        <f>G15-SUM(G74:G78)</f>
        <v>559.17000000012013</v>
      </c>
      <c r="H79" s="99">
        <f>G79+'8'!H79</f>
        <v>5030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0" t="s">
        <v>329</v>
      </c>
      <c r="B80" s="781"/>
      <c r="C80" s="782"/>
      <c r="D80" s="151"/>
      <c r="E80" s="117"/>
      <c r="F80" s="117"/>
      <c r="G80" s="112">
        <f>SUM(G74:G79)</f>
        <v>996.62000000011176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85" t="s">
        <v>226</v>
      </c>
      <c r="B81" s="786"/>
      <c r="C81" s="78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'8'!F82</f>
        <v>0</v>
      </c>
      <c r="F82" s="122"/>
      <c r="G82" s="112">
        <f t="shared" ref="G82:G92" si="8">F82-E82</f>
        <v>0</v>
      </c>
      <c r="H82" s="99">
        <f>G82+'8'!H82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'8'!F83</f>
        <v>0</v>
      </c>
      <c r="F83" s="122"/>
      <c r="G83" s="112">
        <f t="shared" si="8"/>
        <v>0</v>
      </c>
      <c r="H83" s="99">
        <f>G83+'8'!H83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'8'!F84</f>
        <v>41332.15</v>
      </c>
      <c r="F84" s="164">
        <v>41356</v>
      </c>
      <c r="G84" s="112">
        <f t="shared" si="8"/>
        <v>23.849999999998545</v>
      </c>
      <c r="H84" s="99">
        <f>G84+'8'!H84</f>
        <v>194</v>
      </c>
      <c r="I84" s="118"/>
      <c r="J84" s="175">
        <f>H84/DAY(B2)</f>
        <v>21.555555555555557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'8'!F85</f>
        <v>1230.57</v>
      </c>
      <c r="F85" s="164">
        <v>1241</v>
      </c>
      <c r="G85" s="112">
        <f t="shared" si="8"/>
        <v>10.430000000000064</v>
      </c>
      <c r="H85" s="99">
        <f>G85+'8'!H85</f>
        <v>62</v>
      </c>
      <c r="I85" s="118">
        <f>G82+G83+G84+G85</f>
        <v>34.279999999998608</v>
      </c>
      <c r="J85" s="175">
        <f>H85/DAY(B2)</f>
        <v>6.8888888888888893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'8'!F86</f>
        <v>42826.47</v>
      </c>
      <c r="F86" s="164">
        <v>42826.47</v>
      </c>
      <c r="G86" s="112">
        <f t="shared" si="8"/>
        <v>0</v>
      </c>
      <c r="H86" s="99">
        <f>G86+'8'!H86</f>
        <v>0.47000000000116415</v>
      </c>
      <c r="I86" s="118"/>
      <c r="J86" s="175">
        <f>H86/DAY(B2)</f>
        <v>5.2222222222351573E-2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'8'!F87</f>
        <v>33353.43</v>
      </c>
      <c r="F87" s="164">
        <v>33353.43</v>
      </c>
      <c r="G87" s="112">
        <f t="shared" si="8"/>
        <v>0</v>
      </c>
      <c r="H87" s="99">
        <f>G87+'8'!H87</f>
        <v>39.430000000000291</v>
      </c>
      <c r="I87" s="118"/>
      <c r="J87" s="175">
        <f>H87/DAY(B2)</f>
        <v>4.3811111111111432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'8'!F88</f>
        <v>23620.2</v>
      </c>
      <c r="F88" s="164">
        <v>23628.78</v>
      </c>
      <c r="G88" s="112">
        <f t="shared" si="8"/>
        <v>8.5799999999981083</v>
      </c>
      <c r="H88" s="99">
        <f>G88+'8'!H88</f>
        <v>37.809999999997672</v>
      </c>
      <c r="I88" s="118">
        <f>G86+G87+G88</f>
        <v>8.5799999999981083</v>
      </c>
      <c r="J88" s="175">
        <f>H88/DAY(B2)</f>
        <v>4.2011111111108521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'8'!F89</f>
        <v>25242.12</v>
      </c>
      <c r="F89" s="164">
        <v>25242</v>
      </c>
      <c r="G89" s="112">
        <f t="shared" si="8"/>
        <v>-0.11999999999898137</v>
      </c>
      <c r="H89" s="99">
        <f>G89+'8'!H89</f>
        <v>54.630000000001019</v>
      </c>
      <c r="I89" s="118"/>
      <c r="J89" s="175">
        <f>H89/DAY(B2)</f>
        <v>6.0700000000001131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'8'!F90</f>
        <v>70552.759999999995</v>
      </c>
      <c r="F90" s="164">
        <v>70557</v>
      </c>
      <c r="G90" s="112">
        <f t="shared" si="8"/>
        <v>4.2400000000052387</v>
      </c>
      <c r="H90" s="99">
        <f>G90+'8'!H90</f>
        <v>24.020000000004075</v>
      </c>
      <c r="I90" s="118">
        <f>G89+G90</f>
        <v>4.1200000000062573</v>
      </c>
      <c r="J90" s="175">
        <f>H90/DAY(B2)</f>
        <v>2.6688888888893416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'8'!F91</f>
        <v>3012.57</v>
      </c>
      <c r="F91" s="122">
        <v>3022.91</v>
      </c>
      <c r="G91" s="112">
        <f t="shared" si="8"/>
        <v>10.339999999999691</v>
      </c>
      <c r="H91" s="99">
        <f>G91+'8'!H91</f>
        <v>97.039999999999964</v>
      </c>
      <c r="I91" s="165"/>
      <c r="J91" s="175">
        <f>H91/DAY(B2)</f>
        <v>10.782222222222218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'8'!F92</f>
        <v>4758.6000000000004</v>
      </c>
      <c r="F92" s="122">
        <v>4758.6000000000004</v>
      </c>
      <c r="G92" s="112">
        <f t="shared" si="8"/>
        <v>0</v>
      </c>
      <c r="H92" s="99">
        <f>G92+'8'!H92</f>
        <v>0.6000000000003638</v>
      </c>
      <c r="I92" s="165"/>
      <c r="J92" s="175">
        <f>H92/DAY(B2)</f>
        <v>6.6666666666707092E-2</v>
      </c>
      <c r="O92" s="71"/>
    </row>
    <row r="93" spans="1:15" ht="29.25" x14ac:dyDescent="0.5">
      <c r="A93" s="774" t="s">
        <v>239</v>
      </c>
      <c r="B93" s="775"/>
      <c r="C93" s="77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1" t="s">
        <v>240</v>
      </c>
      <c r="B94" s="772"/>
      <c r="C94" s="773"/>
      <c r="D94" s="151" t="s">
        <v>130</v>
      </c>
      <c r="E94" s="151"/>
      <c r="F94" s="151"/>
      <c r="G94" s="99">
        <f>G35+G43+G49+G57</f>
        <v>6410.0599999999104</v>
      </c>
      <c r="H94" s="99">
        <f>G94+'8'!H94</f>
        <v>58316.619999999995</v>
      </c>
      <c r="I94" s="118"/>
      <c r="J94" s="175">
        <f>H94/DAY(B2)</f>
        <v>6479.6244444444437</v>
      </c>
      <c r="K94" s="69"/>
      <c r="L94" s="66"/>
      <c r="O94" s="71"/>
    </row>
    <row r="95" spans="1:15" ht="27.75" x14ac:dyDescent="0.5">
      <c r="A95" s="771" t="s">
        <v>241</v>
      </c>
      <c r="B95" s="772"/>
      <c r="C95" s="773"/>
      <c r="D95" s="151" t="s">
        <v>23</v>
      </c>
      <c r="E95" s="146"/>
      <c r="F95" s="146"/>
      <c r="G95" s="166">
        <f>G94/G7</f>
        <v>0.26613440284316542</v>
      </c>
      <c r="H95" s="99">
        <f>G95+'8'!H95</f>
        <v>2.4951888605149812</v>
      </c>
      <c r="I95" s="167"/>
      <c r="J95" s="175">
        <f>H95/DAY(B2)</f>
        <v>0.2772432067238868</v>
      </c>
      <c r="K95" s="69"/>
      <c r="L95" s="66"/>
      <c r="O95" s="71"/>
    </row>
    <row r="96" spans="1:15" ht="27.75" x14ac:dyDescent="0.5">
      <c r="A96" s="771" t="s">
        <v>242</v>
      </c>
      <c r="B96" s="772"/>
      <c r="C96" s="773"/>
      <c r="D96" s="151" t="s">
        <v>130</v>
      </c>
      <c r="E96" s="95"/>
      <c r="F96" s="95"/>
      <c r="G96" s="99">
        <f>G41+G42+G55+G56</f>
        <v>7809.1500000000524</v>
      </c>
      <c r="H96" s="99">
        <f>G96+'8'!H96</f>
        <v>65909.409999999974</v>
      </c>
      <c r="I96" s="118"/>
      <c r="J96" s="175">
        <f>H96/DAY(B2)</f>
        <v>7323.2677777777753</v>
      </c>
      <c r="K96" s="69"/>
      <c r="L96" s="66"/>
      <c r="O96" s="71"/>
    </row>
    <row r="97" spans="1:15" ht="27.75" x14ac:dyDescent="0.5">
      <c r="A97" s="771" t="s">
        <v>243</v>
      </c>
      <c r="B97" s="772"/>
      <c r="C97" s="773"/>
      <c r="D97" s="151" t="s">
        <v>23</v>
      </c>
      <c r="E97" s="95"/>
      <c r="F97" s="95"/>
      <c r="G97" s="166">
        <f>G96/G7</f>
        <v>0.3242221557930422</v>
      </c>
      <c r="H97" s="99">
        <f>G97+'8'!H97</f>
        <v>2.8110487494747627</v>
      </c>
      <c r="I97" s="167"/>
      <c r="J97" s="175">
        <f>H97/DAY(B2)</f>
        <v>0.31233874994164029</v>
      </c>
      <c r="K97" s="69"/>
      <c r="L97" s="66"/>
      <c r="O97" s="71"/>
    </row>
    <row r="98" spans="1:15" ht="27.75" x14ac:dyDescent="0.5">
      <c r="A98" s="771" t="s">
        <v>244</v>
      </c>
      <c r="B98" s="772"/>
      <c r="C98" s="773"/>
      <c r="D98" s="151" t="s">
        <v>130</v>
      </c>
      <c r="E98" s="95"/>
      <c r="F98" s="95"/>
      <c r="G98" s="99">
        <f>G39+G53</f>
        <v>4274.3299999999872</v>
      </c>
      <c r="H98" s="99">
        <f>G98+'8'!H98</f>
        <v>37736</v>
      </c>
      <c r="I98" s="168"/>
      <c r="J98" s="175">
        <f>H98/DAY(B2)</f>
        <v>4192.8888888888887</v>
      </c>
      <c r="K98" s="69"/>
      <c r="L98" s="66"/>
      <c r="O98" s="71"/>
    </row>
    <row r="99" spans="1:15" ht="27.75" x14ac:dyDescent="0.5">
      <c r="A99" s="771" t="s">
        <v>245</v>
      </c>
      <c r="B99" s="772"/>
      <c r="C99" s="773"/>
      <c r="D99" s="151" t="s">
        <v>23</v>
      </c>
      <c r="E99" s="95"/>
      <c r="F99" s="95"/>
      <c r="G99" s="166">
        <f>G98/G7</f>
        <v>0.17746265434405289</v>
      </c>
      <c r="H99" s="99">
        <f>G99+'8'!H99</f>
        <v>1.6130186695779793</v>
      </c>
      <c r="I99" s="168"/>
      <c r="J99" s="175">
        <f>H99/DAY(B2)</f>
        <v>0.17922429661977549</v>
      </c>
      <c r="O99" s="71"/>
    </row>
    <row r="100" spans="1:15" ht="27.75" x14ac:dyDescent="0.5">
      <c r="A100" s="771" t="s">
        <v>246</v>
      </c>
      <c r="B100" s="772"/>
      <c r="C100" s="773"/>
      <c r="D100" s="151" t="s">
        <v>180</v>
      </c>
      <c r="E100" s="95"/>
      <c r="F100" s="95"/>
      <c r="G100" s="99">
        <f>G38+G52</f>
        <v>1963.9700000000012</v>
      </c>
      <c r="H100" s="99">
        <f>G100+'8'!H100</f>
        <v>17192</v>
      </c>
      <c r="I100" s="118"/>
      <c r="J100" s="175">
        <f>H100/DAY(B2)</f>
        <v>1910.2222222222222</v>
      </c>
      <c r="K100" s="70"/>
      <c r="O100" s="71"/>
    </row>
    <row r="101" spans="1:15" ht="27.75" x14ac:dyDescent="0.5">
      <c r="A101" s="771" t="s">
        <v>247</v>
      </c>
      <c r="B101" s="772"/>
      <c r="C101" s="773"/>
      <c r="D101" s="151" t="s">
        <v>23</v>
      </c>
      <c r="E101" s="95"/>
      <c r="F101" s="95"/>
      <c r="G101" s="166">
        <f>G100/G7</f>
        <v>8.1540575774938021E-2</v>
      </c>
      <c r="H101" s="99">
        <f>G101+'8'!H101</f>
        <v>0.73500550152931354</v>
      </c>
      <c r="I101" s="168"/>
      <c r="J101" s="175">
        <f>H101/DAY(B2)</f>
        <v>8.1667277947701511E-2</v>
      </c>
      <c r="O101" s="71"/>
    </row>
    <row r="102" spans="1:15" ht="27.75" x14ac:dyDescent="0.5">
      <c r="A102" s="771" t="s">
        <v>248</v>
      </c>
      <c r="B102" s="772"/>
      <c r="C102" s="773"/>
      <c r="D102" s="151" t="s">
        <v>180</v>
      </c>
      <c r="E102" s="95"/>
      <c r="F102" s="95"/>
      <c r="G102" s="99">
        <f>G36+G50</f>
        <v>1909.2999999999956</v>
      </c>
      <c r="H102" s="99">
        <f>G102+'8'!H102</f>
        <v>19529</v>
      </c>
      <c r="I102" s="168"/>
      <c r="J102" s="175">
        <f>H102/DAY(B2)</f>
        <v>2169.8888888888887</v>
      </c>
      <c r="O102" s="71"/>
    </row>
    <row r="103" spans="1:15" ht="27.75" x14ac:dyDescent="0.5">
      <c r="A103" s="771" t="s">
        <v>249</v>
      </c>
      <c r="B103" s="772"/>
      <c r="C103" s="773"/>
      <c r="D103" s="151" t="s">
        <v>23</v>
      </c>
      <c r="E103" s="95"/>
      <c r="F103" s="95"/>
      <c r="G103" s="166">
        <f>G102/G7</f>
        <v>7.9270773650864684E-2</v>
      </c>
      <c r="H103" s="99">
        <f>G103+'8'!H103</f>
        <v>0.83213997011552832</v>
      </c>
      <c r="I103" s="118"/>
      <c r="J103" s="175">
        <f>H103/DAY(B2)</f>
        <v>9.2459996679503151E-2</v>
      </c>
      <c r="O103" s="71"/>
    </row>
    <row r="104" spans="1:15" ht="27.75" x14ac:dyDescent="0.5">
      <c r="A104" s="771" t="s">
        <v>250</v>
      </c>
      <c r="B104" s="772"/>
      <c r="C104" s="773"/>
      <c r="D104" s="151" t="s">
        <v>180</v>
      </c>
      <c r="E104" s="95"/>
      <c r="F104" s="95"/>
      <c r="G104" s="99">
        <f>G37+G51</f>
        <v>1733.0500000000029</v>
      </c>
      <c r="H104" s="99">
        <f>G104+'8'!H104</f>
        <v>15554</v>
      </c>
      <c r="I104" s="118"/>
      <c r="J104" s="175">
        <f>H104/DAY(B2)</f>
        <v>1728.2222222222222</v>
      </c>
      <c r="O104" s="71"/>
    </row>
    <row r="105" spans="1:15" ht="28.5" thickBot="1" x14ac:dyDescent="0.55000000000000004">
      <c r="A105" s="764" t="s">
        <v>251</v>
      </c>
      <c r="B105" s="765"/>
      <c r="C105" s="766"/>
      <c r="D105" s="231" t="s">
        <v>23</v>
      </c>
      <c r="E105" s="185"/>
      <c r="F105" s="185"/>
      <c r="G105" s="186">
        <f>G104/G7</f>
        <v>7.1953184033746176E-2</v>
      </c>
      <c r="H105" s="99">
        <f>G105+'8'!H105</f>
        <v>0.66543992760969439</v>
      </c>
      <c r="I105" s="187"/>
      <c r="J105" s="188">
        <f>H105/DAY(B2)</f>
        <v>7.3937769734410491E-2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0" t="s">
        <v>324</v>
      </c>
      <c r="B108" s="760"/>
      <c r="C108" s="760"/>
      <c r="D108" s="760"/>
      <c r="E108" s="760"/>
      <c r="F108" s="760"/>
      <c r="G108" s="760"/>
      <c r="H108" s="760"/>
      <c r="I108" s="760"/>
      <c r="J108" s="760"/>
    </row>
    <row r="109" spans="1:15" ht="29.25" x14ac:dyDescent="0.5">
      <c r="A109" s="788"/>
      <c r="B109" s="788"/>
    </row>
    <row r="110" spans="1:15" ht="29.25" x14ac:dyDescent="0.5">
      <c r="A110" s="761" t="s">
        <v>165</v>
      </c>
      <c r="B110" s="762"/>
      <c r="C110" s="762"/>
      <c r="D110" s="762"/>
      <c r="E110" s="762"/>
      <c r="F110" s="762"/>
      <c r="G110" s="762"/>
      <c r="H110" s="762"/>
      <c r="I110" s="762"/>
      <c r="J110" s="763"/>
    </row>
    <row r="111" spans="1:15" ht="27.75" x14ac:dyDescent="0.5">
      <c r="A111" s="753"/>
      <c r="B111" s="754"/>
      <c r="C111" s="755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0" t="s">
        <v>252</v>
      </c>
      <c r="B112" s="751"/>
      <c r="C112" s="752"/>
      <c r="D112" s="146" t="s">
        <v>183</v>
      </c>
      <c r="E112" s="95">
        <f>'8'!F112</f>
        <v>48944.36</v>
      </c>
      <c r="F112" s="237">
        <v>49027</v>
      </c>
      <c r="G112" s="112">
        <f t="shared" ref="G112:G123" si="9">F112-E112</f>
        <v>82.639999999999418</v>
      </c>
      <c r="H112" s="99">
        <f>G112+'8'!H112</f>
        <v>750</v>
      </c>
      <c r="I112" s="165"/>
      <c r="J112" s="348">
        <f>H112/DAY(B2)</f>
        <v>83.333333333333329</v>
      </c>
    </row>
    <row r="113" spans="1:18" ht="29.25" customHeight="1" x14ac:dyDescent="0.5">
      <c r="A113" s="750" t="s">
        <v>253</v>
      </c>
      <c r="B113" s="751"/>
      <c r="C113" s="752"/>
      <c r="D113" s="146" t="s">
        <v>183</v>
      </c>
      <c r="E113" s="95">
        <f>'8'!F113</f>
        <v>154308.99</v>
      </c>
      <c r="F113" s="237">
        <v>154736</v>
      </c>
      <c r="G113" s="112">
        <f t="shared" si="9"/>
        <v>427.01000000000931</v>
      </c>
      <c r="H113" s="99">
        <f>G113+'8'!H113</f>
        <v>4205</v>
      </c>
      <c r="I113" s="165"/>
      <c r="J113" s="348">
        <f>H113/DAY(B2)</f>
        <v>467.22222222222223</v>
      </c>
    </row>
    <row r="114" spans="1:18" ht="29.25" customHeight="1" x14ac:dyDescent="0.5">
      <c r="A114" s="750" t="s">
        <v>254</v>
      </c>
      <c r="B114" s="751"/>
      <c r="C114" s="752"/>
      <c r="D114" s="146" t="s">
        <v>183</v>
      </c>
      <c r="E114" s="95">
        <f>'8'!F114</f>
        <v>71955.240000000005</v>
      </c>
      <c r="F114" s="237">
        <v>72176</v>
      </c>
      <c r="G114" s="112">
        <f t="shared" si="9"/>
        <v>220.75999999999476</v>
      </c>
      <c r="H114" s="99">
        <f>G114+'8'!H114</f>
        <v>1976</v>
      </c>
      <c r="I114" s="165"/>
      <c r="J114" s="348">
        <f>H114/DAY(B2)</f>
        <v>219.55555555555554</v>
      </c>
    </row>
    <row r="115" spans="1:18" ht="29.25" customHeight="1" x14ac:dyDescent="0.5">
      <c r="A115" s="750" t="s">
        <v>255</v>
      </c>
      <c r="B115" s="751"/>
      <c r="C115" s="752"/>
      <c r="D115" s="146" t="s">
        <v>183</v>
      </c>
      <c r="E115" s="95">
        <f>'8'!F115</f>
        <v>7831.04</v>
      </c>
      <c r="F115" s="237">
        <v>7841</v>
      </c>
      <c r="G115" s="112">
        <f t="shared" si="9"/>
        <v>9.9600000000000364</v>
      </c>
      <c r="H115" s="99">
        <f>G115+'8'!H115</f>
        <v>93</v>
      </c>
      <c r="I115" s="165"/>
      <c r="J115" s="348">
        <f>H115/DAY(B2)</f>
        <v>10.333333333333334</v>
      </c>
    </row>
    <row r="116" spans="1:18" ht="29.25" customHeight="1" x14ac:dyDescent="0.5">
      <c r="A116" s="757" t="s">
        <v>96</v>
      </c>
      <c r="B116" s="758"/>
      <c r="C116" s="759"/>
      <c r="D116" s="146" t="s">
        <v>183</v>
      </c>
      <c r="E116" s="95">
        <f>'8'!F116</f>
        <v>0</v>
      </c>
      <c r="F116" s="237">
        <v>0</v>
      </c>
      <c r="G116" s="112">
        <f t="shared" si="9"/>
        <v>0</v>
      </c>
      <c r="H116" s="99">
        <f>G116+'8'!H116</f>
        <v>0</v>
      </c>
      <c r="I116" s="165"/>
      <c r="J116" s="348">
        <f>H116/DAY(B2)</f>
        <v>0</v>
      </c>
      <c r="Q116" s="750"/>
      <c r="R116" s="752"/>
    </row>
    <row r="117" spans="1:18" ht="29.25" customHeight="1" x14ac:dyDescent="0.5">
      <c r="A117" s="757" t="s">
        <v>184</v>
      </c>
      <c r="B117" s="758"/>
      <c r="C117" s="759"/>
      <c r="D117" s="146" t="s">
        <v>183</v>
      </c>
      <c r="E117" s="95">
        <f>'8'!F117</f>
        <v>579.04</v>
      </c>
      <c r="F117" s="237">
        <v>602</v>
      </c>
      <c r="G117" s="112">
        <f t="shared" si="9"/>
        <v>22.960000000000036</v>
      </c>
      <c r="H117" s="99">
        <f>G117+'8'!H117</f>
        <v>186</v>
      </c>
      <c r="I117" s="165"/>
      <c r="J117" s="348">
        <f>H117/DAY(B2)</f>
        <v>20.666666666666668</v>
      </c>
      <c r="Q117" s="750"/>
      <c r="R117" s="752"/>
    </row>
    <row r="118" spans="1:18" ht="27.75" x14ac:dyDescent="0.5">
      <c r="A118" s="749" t="s">
        <v>97</v>
      </c>
      <c r="B118" s="749"/>
      <c r="C118" s="749"/>
      <c r="D118" s="151" t="s">
        <v>183</v>
      </c>
      <c r="E118" s="95">
        <f>'8'!F118</f>
        <v>209875.43</v>
      </c>
      <c r="F118" s="237">
        <v>210254</v>
      </c>
      <c r="G118" s="112">
        <f t="shared" si="9"/>
        <v>378.57000000000698</v>
      </c>
      <c r="H118" s="99">
        <f>G118+'8'!H118</f>
        <v>3722</v>
      </c>
      <c r="I118" s="165"/>
      <c r="J118" s="348">
        <f>H118/DAY(B2)</f>
        <v>413.55555555555554</v>
      </c>
      <c r="Q118" s="750"/>
      <c r="R118" s="752"/>
    </row>
    <row r="119" spans="1:18" ht="27.75" x14ac:dyDescent="0.5">
      <c r="A119" s="749" t="s">
        <v>98</v>
      </c>
      <c r="B119" s="749"/>
      <c r="C119" s="749"/>
      <c r="D119" s="151" t="s">
        <v>183</v>
      </c>
      <c r="E119" s="95">
        <f>'8'!F119</f>
        <v>209288.23</v>
      </c>
      <c r="F119" s="237">
        <v>209694</v>
      </c>
      <c r="G119" s="112">
        <f t="shared" si="9"/>
        <v>405.76999999998952</v>
      </c>
      <c r="H119" s="99">
        <f>G119+'8'!H119</f>
        <v>3464</v>
      </c>
      <c r="I119" s="165"/>
      <c r="J119" s="348">
        <f>H119/DAY(B2)</f>
        <v>384.88888888888891</v>
      </c>
    </row>
    <row r="120" spans="1:18" ht="27.75" x14ac:dyDescent="0.5">
      <c r="A120" s="749" t="s">
        <v>99</v>
      </c>
      <c r="B120" s="749"/>
      <c r="C120" s="749"/>
      <c r="D120" s="151" t="s">
        <v>183</v>
      </c>
      <c r="E120" s="95">
        <f>'8'!F120</f>
        <v>8788.36</v>
      </c>
      <c r="F120" s="237">
        <v>9190</v>
      </c>
      <c r="G120" s="112">
        <f t="shared" si="9"/>
        <v>401.63999999999942</v>
      </c>
      <c r="H120" s="99">
        <f>G120+'8'!H120</f>
        <v>3675</v>
      </c>
      <c r="I120" s="165"/>
      <c r="J120" s="348">
        <f>H120/DAY(B2)</f>
        <v>408.33333333333331</v>
      </c>
    </row>
    <row r="121" spans="1:18" ht="27.75" x14ac:dyDescent="0.5">
      <c r="A121" s="749" t="s">
        <v>100</v>
      </c>
      <c r="B121" s="749"/>
      <c r="C121" s="749"/>
      <c r="D121" s="151" t="s">
        <v>183</v>
      </c>
      <c r="E121" s="95">
        <f>'8'!F121</f>
        <v>315350.75</v>
      </c>
      <c r="F121" s="237">
        <v>316060</v>
      </c>
      <c r="G121" s="112">
        <f t="shared" si="9"/>
        <v>709.25</v>
      </c>
      <c r="H121" s="99">
        <f>G121+'8'!H121</f>
        <v>6615.2700000000186</v>
      </c>
      <c r="I121" s="165"/>
      <c r="J121" s="348">
        <f>H121/DAY(B2)</f>
        <v>735.03000000000202</v>
      </c>
    </row>
    <row r="122" spans="1:18" ht="27.75" x14ac:dyDescent="0.5">
      <c r="A122" s="749" t="s">
        <v>101</v>
      </c>
      <c r="B122" s="749"/>
      <c r="C122" s="749"/>
      <c r="D122" s="151" t="s">
        <v>183</v>
      </c>
      <c r="E122" s="95">
        <f>'8'!F122</f>
        <v>94096.21</v>
      </c>
      <c r="F122" s="237">
        <v>94399</v>
      </c>
      <c r="G122" s="112">
        <f t="shared" si="9"/>
        <v>302.7899999999936</v>
      </c>
      <c r="H122" s="99">
        <f>G122+'8'!H122</f>
        <v>2777</v>
      </c>
      <c r="I122" s="165"/>
      <c r="J122" s="348">
        <f>H122/DAY(B2)</f>
        <v>308.55555555555554</v>
      </c>
    </row>
    <row r="123" spans="1:18" ht="27.75" x14ac:dyDescent="0.5">
      <c r="A123" s="749" t="s">
        <v>102</v>
      </c>
      <c r="B123" s="749"/>
      <c r="C123" s="749"/>
      <c r="D123" s="151" t="s">
        <v>183</v>
      </c>
      <c r="E123" s="95">
        <f>'8'!F123</f>
        <v>118207.81</v>
      </c>
      <c r="F123" s="237">
        <v>118529</v>
      </c>
      <c r="G123" s="112">
        <f t="shared" si="9"/>
        <v>321.19000000000233</v>
      </c>
      <c r="H123" s="99">
        <f>G123+'8'!H123</f>
        <v>2986</v>
      </c>
      <c r="I123" s="165"/>
      <c r="J123" s="348">
        <f>H123/DAY(B2)</f>
        <v>331.77777777777777</v>
      </c>
    </row>
    <row r="124" spans="1:18" ht="29.25" customHeight="1" x14ac:dyDescent="0.5">
      <c r="A124" s="753"/>
      <c r="B124" s="754"/>
      <c r="C124" s="755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37"/>
      <c r="B125" s="737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56" t="s">
        <v>317</v>
      </c>
      <c r="B126" s="756"/>
      <c r="C126" s="756"/>
      <c r="D126" s="756"/>
      <c r="E126" s="756"/>
      <c r="F126" s="756"/>
      <c r="G126" s="756"/>
      <c r="H126" s="756"/>
      <c r="I126" s="756"/>
      <c r="J126" s="756"/>
    </row>
    <row r="127" spans="1:18" ht="27.75" x14ac:dyDescent="0.5">
      <c r="A127" s="737"/>
      <c r="B127" s="737"/>
      <c r="C127" s="246"/>
      <c r="D127" s="317"/>
      <c r="E127" s="318"/>
      <c r="F127" s="318"/>
      <c r="G127" s="319"/>
      <c r="H127" s="99">
        <f>G127+'8'!H127</f>
        <v>0</v>
      </c>
      <c r="I127" s="165"/>
      <c r="J127" s="348">
        <f>H127/DAY(B2)</f>
        <v>0</v>
      </c>
    </row>
    <row r="128" spans="1:18" ht="29.25" customHeight="1" x14ac:dyDescent="0.5">
      <c r="A128" s="750" t="s">
        <v>318</v>
      </c>
      <c r="B128" s="751"/>
      <c r="C128" s="752"/>
      <c r="D128" s="151" t="s">
        <v>183</v>
      </c>
      <c r="E128" s="95">
        <f>'8'!F128</f>
        <v>10140.59</v>
      </c>
      <c r="F128" s="155">
        <v>10480</v>
      </c>
      <c r="G128" s="112">
        <f t="shared" ref="G128:G134" si="10">F128-E128</f>
        <v>339.40999999999985</v>
      </c>
      <c r="H128" s="99">
        <f>G128+'8'!H128</f>
        <v>2869</v>
      </c>
      <c r="I128" s="165"/>
      <c r="J128" s="348">
        <f>H128/DAY(B2)</f>
        <v>318.77777777777777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'8'!F129</f>
        <v>1681.51</v>
      </c>
      <c r="F129" s="155">
        <v>1901</v>
      </c>
      <c r="G129" s="112">
        <f t="shared" si="10"/>
        <v>219.49</v>
      </c>
      <c r="H129" s="99">
        <f>G129+'8'!H129</f>
        <v>1787</v>
      </c>
      <c r="I129" s="165"/>
      <c r="J129" s="348">
        <f>H129/DAY(B2)</f>
        <v>198.55555555555554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'8'!F130</f>
        <v>2054.66</v>
      </c>
      <c r="F130" s="155">
        <v>2293</v>
      </c>
      <c r="G130" s="112">
        <f t="shared" si="10"/>
        <v>238.34000000000015</v>
      </c>
      <c r="H130" s="99">
        <f>G130+'8'!H130</f>
        <v>2113</v>
      </c>
      <c r="I130" s="165"/>
      <c r="J130" s="348">
        <f>H130/DAY(B2)</f>
        <v>234.77777777777777</v>
      </c>
      <c r="N130" s="240"/>
      <c r="O130" s="241"/>
    </row>
    <row r="131" spans="1:15" ht="27.75" x14ac:dyDescent="0.5">
      <c r="A131" s="750" t="s">
        <v>321</v>
      </c>
      <c r="B131" s="751"/>
      <c r="C131" s="752"/>
      <c r="D131" s="151" t="s">
        <v>183</v>
      </c>
      <c r="E131" s="95">
        <f>'8'!F131</f>
        <v>1223.06</v>
      </c>
      <c r="F131" s="155">
        <v>1333</v>
      </c>
      <c r="G131" s="112">
        <f t="shared" si="10"/>
        <v>109.94000000000005</v>
      </c>
      <c r="H131" s="99">
        <f>G131+'8'!H131</f>
        <v>1223</v>
      </c>
      <c r="I131" s="165"/>
      <c r="J131" s="348">
        <f>H131/DAY(B2)</f>
        <v>135.88888888888889</v>
      </c>
      <c r="N131" s="240"/>
      <c r="O131" s="241"/>
    </row>
    <row r="132" spans="1:15" ht="27.75" x14ac:dyDescent="0.5">
      <c r="A132" s="750" t="s">
        <v>322</v>
      </c>
      <c r="B132" s="751"/>
      <c r="C132" s="752"/>
      <c r="D132" s="151" t="s">
        <v>183</v>
      </c>
      <c r="E132" s="95">
        <f>'8'!F132</f>
        <v>3481.03</v>
      </c>
      <c r="F132" s="155">
        <v>3835</v>
      </c>
      <c r="G132" s="112">
        <f t="shared" si="10"/>
        <v>353.9699999999998</v>
      </c>
      <c r="H132" s="99">
        <f>G132+'8'!H132</f>
        <v>3514</v>
      </c>
      <c r="I132" s="165"/>
      <c r="J132" s="348">
        <f>H132/DAY(B2)</f>
        <v>390.44444444444446</v>
      </c>
    </row>
    <row r="133" spans="1:15" ht="27.75" x14ac:dyDescent="0.5">
      <c r="A133" s="750" t="s">
        <v>323</v>
      </c>
      <c r="B133" s="751"/>
      <c r="C133" s="752"/>
      <c r="D133" s="151" t="s">
        <v>183</v>
      </c>
      <c r="E133" s="95">
        <f>'8'!F133</f>
        <v>22551.87</v>
      </c>
      <c r="F133" s="155">
        <v>23423</v>
      </c>
      <c r="G133" s="112">
        <f t="shared" si="10"/>
        <v>871.13000000000102</v>
      </c>
      <c r="H133" s="99">
        <f>G133+'8'!H133</f>
        <v>7032</v>
      </c>
      <c r="I133" s="165"/>
      <c r="J133" s="348">
        <f>H133/DAY(B2)</f>
        <v>781.33333333333337</v>
      </c>
    </row>
    <row r="134" spans="1:15" ht="27.75" x14ac:dyDescent="0.5">
      <c r="A134" s="750" t="s">
        <v>340</v>
      </c>
      <c r="B134" s="751"/>
      <c r="C134" s="752"/>
      <c r="D134" s="151" t="s">
        <v>183</v>
      </c>
      <c r="E134" s="95">
        <f>'8'!F134</f>
        <v>617579</v>
      </c>
      <c r="F134" s="155">
        <v>618209</v>
      </c>
      <c r="G134" s="112">
        <f t="shared" si="10"/>
        <v>630</v>
      </c>
      <c r="H134" s="99">
        <f>G134+'8'!H134</f>
        <v>3794</v>
      </c>
      <c r="I134" s="165"/>
      <c r="J134" s="348">
        <f>H134/DAY(B2)</f>
        <v>421.55555555555554</v>
      </c>
    </row>
    <row r="135" spans="1:15" ht="27.75" x14ac:dyDescent="0.5">
      <c r="A135" s="753"/>
      <c r="B135" s="754"/>
      <c r="C135" s="755"/>
      <c r="D135" s="151"/>
      <c r="E135" s="95"/>
      <c r="F135" s="165"/>
      <c r="G135" s="112"/>
      <c r="H135" s="99">
        <f>G135+'8'!H135</f>
        <v>5534.2300000000005</v>
      </c>
      <c r="I135" s="165"/>
      <c r="J135" s="348" t="e">
        <f t="shared" ref="J135" si="11">H135/DAY(B54)</f>
        <v>#DIV/0!</v>
      </c>
    </row>
    <row r="136" spans="1:15" ht="31.5" x14ac:dyDescent="0.55000000000000004">
      <c r="A136" s="736" t="s">
        <v>325</v>
      </c>
      <c r="B136" s="736"/>
      <c r="C136" s="736"/>
      <c r="D136" s="736"/>
      <c r="E136" s="736"/>
      <c r="F136" s="736"/>
      <c r="G136" s="736"/>
      <c r="H136" s="736"/>
      <c r="I136" s="736"/>
      <c r="J136" s="736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49" t="s">
        <v>185</v>
      </c>
      <c r="B138" s="749"/>
      <c r="C138" s="749"/>
      <c r="D138" s="151" t="s">
        <v>183</v>
      </c>
      <c r="E138" s="95">
        <f>'8'!F138</f>
        <v>858026</v>
      </c>
      <c r="F138" s="147">
        <v>858108</v>
      </c>
      <c r="G138" s="112">
        <f t="shared" ref="G138:G152" si="12">F138-E138</f>
        <v>82</v>
      </c>
      <c r="H138" s="99">
        <f>G138+'8'!H138</f>
        <v>755</v>
      </c>
      <c r="I138" s="118"/>
      <c r="J138" s="348">
        <f>H138/DAY(B2)</f>
        <v>83.888888888888886</v>
      </c>
    </row>
    <row r="139" spans="1:15" ht="27.75" x14ac:dyDescent="0.5">
      <c r="A139" s="749" t="s">
        <v>186</v>
      </c>
      <c r="B139" s="749"/>
      <c r="C139" s="749"/>
      <c r="D139" s="151" t="s">
        <v>183</v>
      </c>
      <c r="E139" s="95">
        <f>'8'!F139</f>
        <v>886067</v>
      </c>
      <c r="F139" s="148">
        <v>886067</v>
      </c>
      <c r="G139" s="112">
        <f t="shared" si="12"/>
        <v>0</v>
      </c>
      <c r="H139" s="99">
        <f>G139+'8'!H139</f>
        <v>5</v>
      </c>
      <c r="I139" s="118"/>
      <c r="J139" s="348">
        <f>H139/DAY(B2)</f>
        <v>0.55555555555555558</v>
      </c>
    </row>
    <row r="140" spans="1:15" ht="27.75" x14ac:dyDescent="0.5">
      <c r="A140" s="749" t="s">
        <v>187</v>
      </c>
      <c r="B140" s="749"/>
      <c r="C140" s="749"/>
      <c r="D140" s="151" t="s">
        <v>183</v>
      </c>
      <c r="E140" s="95">
        <f>'8'!F140</f>
        <v>88797.2</v>
      </c>
      <c r="F140" s="149">
        <v>88797</v>
      </c>
      <c r="G140" s="112">
        <f t="shared" si="12"/>
        <v>-0.19999999999708962</v>
      </c>
      <c r="H140" s="99">
        <f>G140+'8'!H140</f>
        <v>-1</v>
      </c>
      <c r="I140" s="118"/>
      <c r="J140" s="348">
        <f>H140/DAY(B2)</f>
        <v>-0.1111111111111111</v>
      </c>
    </row>
    <row r="141" spans="1:15" ht="27.75" x14ac:dyDescent="0.5">
      <c r="A141" s="728" t="s">
        <v>188</v>
      </c>
      <c r="B141" s="728"/>
      <c r="C141" s="728"/>
      <c r="D141" s="151" t="s">
        <v>183</v>
      </c>
      <c r="E141" s="95">
        <f>'8'!F141</f>
        <v>33016.339999999997</v>
      </c>
      <c r="F141" s="149">
        <v>33211</v>
      </c>
      <c r="G141" s="112">
        <f t="shared" si="12"/>
        <v>194.66000000000349</v>
      </c>
      <c r="H141" s="99">
        <f>G141+'8'!H141</f>
        <v>1675</v>
      </c>
      <c r="I141" s="118"/>
      <c r="J141" s="348">
        <f>H141/DAY(B2)</f>
        <v>186.11111111111111</v>
      </c>
    </row>
    <row r="142" spans="1:15" ht="27.75" x14ac:dyDescent="0.5">
      <c r="A142" s="728" t="s">
        <v>189</v>
      </c>
      <c r="B142" s="728"/>
      <c r="C142" s="728"/>
      <c r="D142" s="151" t="s">
        <v>183</v>
      </c>
      <c r="E142" s="95">
        <f>'8'!F142</f>
        <v>15890.83</v>
      </c>
      <c r="F142" s="148">
        <v>15957</v>
      </c>
      <c r="G142" s="112">
        <f t="shared" si="12"/>
        <v>66.170000000000073</v>
      </c>
      <c r="H142" s="99">
        <f>G142+'8'!H142</f>
        <v>635</v>
      </c>
      <c r="I142" s="140"/>
      <c r="J142" s="348">
        <f>H142/DAY(B2)</f>
        <v>70.555555555555557</v>
      </c>
    </row>
    <row r="143" spans="1:15" ht="27.75" x14ac:dyDescent="0.5">
      <c r="A143" s="749" t="s">
        <v>91</v>
      </c>
      <c r="B143" s="749"/>
      <c r="C143" s="749"/>
      <c r="D143" s="151" t="s">
        <v>183</v>
      </c>
      <c r="E143" s="95">
        <f>'8'!F143</f>
        <v>734.31</v>
      </c>
      <c r="F143" s="149">
        <v>767</v>
      </c>
      <c r="G143" s="112">
        <f t="shared" si="12"/>
        <v>32.690000000000055</v>
      </c>
      <c r="H143" s="99">
        <f>G143+'8'!H143</f>
        <v>238</v>
      </c>
      <c r="I143" s="140"/>
      <c r="J143" s="348">
        <f>H143/DAY(B2)</f>
        <v>26.444444444444443</v>
      </c>
    </row>
    <row r="144" spans="1:15" ht="27.75" x14ac:dyDescent="0.5">
      <c r="A144" s="728" t="s">
        <v>90</v>
      </c>
      <c r="B144" s="728"/>
      <c r="C144" s="728"/>
      <c r="D144" s="151" t="s">
        <v>183</v>
      </c>
      <c r="E144" s="95">
        <f>'8'!F144</f>
        <v>851399</v>
      </c>
      <c r="F144" s="149">
        <v>851553</v>
      </c>
      <c r="G144" s="112">
        <f t="shared" si="12"/>
        <v>154</v>
      </c>
      <c r="H144" s="99">
        <f>G144+'8'!H144</f>
        <v>1516</v>
      </c>
      <c r="I144" s="140"/>
      <c r="J144" s="348">
        <f>H144/DAY(B2)</f>
        <v>168.44444444444446</v>
      </c>
    </row>
    <row r="145" spans="1:10" ht="27.75" x14ac:dyDescent="0.5">
      <c r="A145" s="749" t="s">
        <v>190</v>
      </c>
      <c r="B145" s="749"/>
      <c r="C145" s="749"/>
      <c r="D145" s="152" t="s">
        <v>183</v>
      </c>
      <c r="E145" s="95">
        <f>'8'!F145</f>
        <v>1297.58</v>
      </c>
      <c r="F145" s="149">
        <v>1349</v>
      </c>
      <c r="G145" s="112">
        <f t="shared" si="12"/>
        <v>51.420000000000073</v>
      </c>
      <c r="H145" s="99">
        <f>G145+'8'!H145</f>
        <v>395</v>
      </c>
      <c r="I145" s="140"/>
      <c r="J145" s="348">
        <f>H145/DAY(B2)</f>
        <v>43.888888888888886</v>
      </c>
    </row>
    <row r="146" spans="1:10" ht="27.75" x14ac:dyDescent="0.5">
      <c r="A146" s="784" t="s">
        <v>191</v>
      </c>
      <c r="B146" s="769"/>
      <c r="C146" s="770"/>
      <c r="D146" s="152" t="s">
        <v>183</v>
      </c>
      <c r="E146" s="95">
        <f>'8'!F146</f>
        <v>689602</v>
      </c>
      <c r="F146" s="148">
        <v>690058</v>
      </c>
      <c r="G146" s="112">
        <f t="shared" si="12"/>
        <v>456</v>
      </c>
      <c r="H146" s="99">
        <f>G146+'8'!H146</f>
        <v>2866</v>
      </c>
      <c r="I146" s="140"/>
      <c r="J146" s="348">
        <f>H146/DAY(B2)</f>
        <v>318.44444444444446</v>
      </c>
    </row>
    <row r="147" spans="1:10" ht="27.75" x14ac:dyDescent="0.5">
      <c r="A147" s="728" t="s">
        <v>192</v>
      </c>
      <c r="B147" s="728"/>
      <c r="C147" s="728"/>
      <c r="D147" s="152" t="s">
        <v>183</v>
      </c>
      <c r="E147" s="95">
        <f>'8'!F147</f>
        <v>579380.12</v>
      </c>
      <c r="F147" s="148">
        <v>579796</v>
      </c>
      <c r="G147" s="112">
        <f t="shared" si="12"/>
        <v>415.88000000000466</v>
      </c>
      <c r="H147" s="99">
        <f>G147+'8'!H147</f>
        <v>3724</v>
      </c>
      <c r="I147" s="140"/>
      <c r="J147" s="348">
        <f>H147/DAY(B2)</f>
        <v>413.77777777777777</v>
      </c>
    </row>
    <row r="148" spans="1:10" ht="27.75" x14ac:dyDescent="0.5">
      <c r="A148" s="729" t="s">
        <v>193</v>
      </c>
      <c r="B148" s="730"/>
      <c r="C148" s="731"/>
      <c r="D148" s="123" t="s">
        <v>130</v>
      </c>
      <c r="E148" s="95">
        <f>'8'!F148</f>
        <v>660116</v>
      </c>
      <c r="F148" s="150">
        <v>660292</v>
      </c>
      <c r="G148" s="112">
        <f t="shared" si="12"/>
        <v>176</v>
      </c>
      <c r="H148" s="99">
        <f>G148+'8'!H148</f>
        <v>1692</v>
      </c>
      <c r="I148" s="124"/>
      <c r="J148" s="348">
        <f>H148/DAY(B2)</f>
        <v>188</v>
      </c>
    </row>
    <row r="149" spans="1:10" ht="27.75" x14ac:dyDescent="0.5">
      <c r="A149" s="729" t="s">
        <v>336</v>
      </c>
      <c r="B149" s="730"/>
      <c r="C149" s="731"/>
      <c r="D149" s="227" t="s">
        <v>130</v>
      </c>
      <c r="E149" s="95">
        <f>'8'!F149</f>
        <v>77056</v>
      </c>
      <c r="F149" s="146">
        <v>77407</v>
      </c>
      <c r="G149" s="112">
        <f t="shared" si="12"/>
        <v>351</v>
      </c>
      <c r="H149" s="99">
        <f>G149+'8'!H149</f>
        <v>1985</v>
      </c>
      <c r="I149" s="119"/>
      <c r="J149" s="348">
        <f>H149/DAY(B2)</f>
        <v>220.55555555555554</v>
      </c>
    </row>
    <row r="150" spans="1:10" ht="27.75" x14ac:dyDescent="0.5">
      <c r="A150" s="729" t="s">
        <v>337</v>
      </c>
      <c r="B150" s="730"/>
      <c r="C150" s="731"/>
      <c r="D150" s="117" t="s">
        <v>130</v>
      </c>
      <c r="E150" s="95">
        <f>'8'!F150</f>
        <v>7167232</v>
      </c>
      <c r="F150" s="233">
        <v>7167232</v>
      </c>
      <c r="G150" s="112">
        <f t="shared" si="12"/>
        <v>0</v>
      </c>
      <c r="H150" s="99">
        <f>G150+'8'!H150</f>
        <v>0</v>
      </c>
      <c r="I150" s="119"/>
      <c r="J150" s="348">
        <f>H150/DAY(B2)</f>
        <v>0</v>
      </c>
    </row>
    <row r="151" spans="1:10" ht="27.75" x14ac:dyDescent="0.5">
      <c r="A151" s="729" t="s">
        <v>338</v>
      </c>
      <c r="B151" s="730"/>
      <c r="C151" s="731"/>
      <c r="D151" s="117" t="s">
        <v>130</v>
      </c>
      <c r="E151" s="95">
        <f>'8'!F151</f>
        <v>55940</v>
      </c>
      <c r="F151" s="233">
        <v>56294</v>
      </c>
      <c r="G151" s="112">
        <f t="shared" si="12"/>
        <v>354</v>
      </c>
      <c r="H151" s="99">
        <f>G151+'8'!H151</f>
        <v>2915</v>
      </c>
      <c r="I151" s="119"/>
      <c r="J151" s="348">
        <f>H151/DAY(B2)</f>
        <v>323.88888888888891</v>
      </c>
    </row>
    <row r="152" spans="1:10" ht="27.75" x14ac:dyDescent="0.5">
      <c r="A152" s="729" t="s">
        <v>339</v>
      </c>
      <c r="B152" s="730"/>
      <c r="C152" s="731"/>
      <c r="D152" s="117" t="s">
        <v>130</v>
      </c>
      <c r="E152" s="95">
        <f>'8'!F152</f>
        <v>0</v>
      </c>
      <c r="F152" s="233">
        <v>0</v>
      </c>
      <c r="G152" s="112">
        <f t="shared" si="12"/>
        <v>0</v>
      </c>
      <c r="H152" s="99">
        <f>G152+'8'!H152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36" t="s">
        <v>344</v>
      </c>
      <c r="B154" s="736"/>
      <c r="C154" s="736"/>
      <c r="D154" s="736"/>
      <c r="E154" s="736"/>
      <c r="F154" s="736"/>
      <c r="G154" s="736"/>
      <c r="H154" s="736"/>
      <c r="I154" s="736"/>
      <c r="J154" s="736"/>
    </row>
    <row r="155" spans="1:10" ht="31.5" x14ac:dyDescent="0.55000000000000004">
      <c r="A155" s="728" t="s">
        <v>345</v>
      </c>
      <c r="B155" s="728"/>
      <c r="C155" s="728"/>
      <c r="D155" s="117" t="s">
        <v>130</v>
      </c>
      <c r="E155" s="95">
        <f>'8'!F155</f>
        <v>77079.100000000006</v>
      </c>
      <c r="F155" s="385">
        <v>77087</v>
      </c>
      <c r="G155" s="112">
        <f t="shared" ref="G155:G156" si="13">F155-E155</f>
        <v>7.8999999999941792</v>
      </c>
      <c r="H155" s="99">
        <f>G155+'8'!H155</f>
        <v>59.100000000005821</v>
      </c>
      <c r="I155" s="385"/>
      <c r="J155" s="348">
        <f>H155/DAY(B2)</f>
        <v>6.566666666667313</v>
      </c>
    </row>
    <row r="156" spans="1:10" ht="27.75" x14ac:dyDescent="0.5">
      <c r="A156" s="728" t="s">
        <v>346</v>
      </c>
      <c r="B156" s="728"/>
      <c r="C156" s="728"/>
      <c r="D156" s="117" t="s">
        <v>130</v>
      </c>
      <c r="E156" s="95">
        <f>'8'!F156</f>
        <v>0</v>
      </c>
      <c r="F156" s="155">
        <v>0</v>
      </c>
      <c r="G156" s="112">
        <f t="shared" si="13"/>
        <v>0</v>
      </c>
      <c r="H156" s="99">
        <f>G156+'8'!H156</f>
        <v>0</v>
      </c>
      <c r="I156" s="165"/>
      <c r="J156" s="348">
        <f>H156/DAY(B2)</f>
        <v>0</v>
      </c>
    </row>
    <row r="157" spans="1:10" ht="31.5" x14ac:dyDescent="0.55000000000000004">
      <c r="A157" s="736" t="s">
        <v>326</v>
      </c>
      <c r="B157" s="736"/>
      <c r="C157" s="736"/>
      <c r="D157" s="736"/>
      <c r="E157" s="736"/>
      <c r="F157" s="736"/>
      <c r="G157" s="736"/>
      <c r="H157" s="736"/>
      <c r="I157" s="736"/>
      <c r="J157" s="736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'8'!F158</f>
        <v>466356</v>
      </c>
      <c r="F158" s="235">
        <v>466558</v>
      </c>
      <c r="G158" s="238">
        <f t="shared" ref="G158:G162" si="14">F158-E158</f>
        <v>202</v>
      </c>
      <c r="H158" s="99">
        <f>G158+'8'!H158</f>
        <v>1297</v>
      </c>
      <c r="I158" s="236"/>
      <c r="J158" s="239">
        <f>H158/DAY(B2)</f>
        <v>144.11111111111111</v>
      </c>
    </row>
    <row r="159" spans="1:10" ht="27" customHeight="1" x14ac:dyDescent="0.5">
      <c r="A159" s="242" t="s">
        <v>93</v>
      </c>
      <c r="B159" s="243"/>
      <c r="C159" s="243"/>
      <c r="D159" s="244" t="s">
        <v>180</v>
      </c>
      <c r="E159" s="95">
        <f>'8'!F159</f>
        <v>85101.4</v>
      </c>
      <c r="F159" s="235">
        <v>85118</v>
      </c>
      <c r="G159" s="238">
        <f t="shared" si="14"/>
        <v>16.600000000005821</v>
      </c>
      <c r="H159" s="99">
        <f>G159+'8'!H159</f>
        <v>308</v>
      </c>
      <c r="I159" s="236"/>
      <c r="J159" s="239">
        <f>H159/DAY(B2)</f>
        <v>34.222222222222221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'8'!F160</f>
        <v>71557.7</v>
      </c>
      <c r="F160" s="235">
        <v>71607</v>
      </c>
      <c r="G160" s="238">
        <f t="shared" si="14"/>
        <v>49.30000000000291</v>
      </c>
      <c r="H160" s="99">
        <f>G160+'8'!H160</f>
        <v>636</v>
      </c>
      <c r="I160" s="236"/>
      <c r="J160" s="239">
        <f>H160/DAY(B2)</f>
        <v>70.666666666666671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'8'!F161</f>
        <v>3849.5</v>
      </c>
      <c r="F161" s="235">
        <v>3854</v>
      </c>
      <c r="G161" s="238">
        <f t="shared" si="14"/>
        <v>4.5</v>
      </c>
      <c r="H161" s="99">
        <f>G161+'8'!H161</f>
        <v>57</v>
      </c>
      <c r="I161" s="236"/>
      <c r="J161" s="239">
        <f>H161/DAY(B2)</f>
        <v>6.333333333333333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'8'!F162</f>
        <v>29033.32</v>
      </c>
      <c r="F162" s="235">
        <v>29039</v>
      </c>
      <c r="G162" s="238">
        <f t="shared" si="14"/>
        <v>5.680000000000291</v>
      </c>
      <c r="H162" s="99">
        <f>G162+'8'!H162</f>
        <v>67</v>
      </c>
      <c r="I162" s="236"/>
      <c r="J162" s="239">
        <f>H162/DAY(B2)</f>
        <v>7.4444444444444446</v>
      </c>
    </row>
    <row r="163" spans="1:10" ht="29.25" x14ac:dyDescent="0.5">
      <c r="A163" s="737"/>
      <c r="B163" s="737"/>
      <c r="C163" s="247"/>
      <c r="D163" s="244" t="s">
        <v>180</v>
      </c>
      <c r="E163" s="95">
        <f>'8'!F163</f>
        <v>0</v>
      </c>
      <c r="F163" s="165"/>
      <c r="G163" s="165"/>
      <c r="H163" s="99">
        <f>G163+'8'!H163</f>
        <v>0</v>
      </c>
      <c r="I163" s="165"/>
      <c r="J163" s="239">
        <f>H163/DAY(B2)</f>
        <v>0</v>
      </c>
    </row>
    <row r="164" spans="1:10" ht="29.25" x14ac:dyDescent="0.5">
      <c r="A164" s="737"/>
      <c r="B164" s="737"/>
      <c r="C164" s="247"/>
      <c r="D164" s="244" t="s">
        <v>180</v>
      </c>
      <c r="E164" s="95">
        <f>'8'!F164</f>
        <v>0</v>
      </c>
      <c r="F164" s="165"/>
      <c r="G164" s="165"/>
      <c r="H164" s="99">
        <f>G164+'8'!H164</f>
        <v>0</v>
      </c>
      <c r="I164" s="165"/>
      <c r="J164" s="239">
        <f>H164/DAY(B2)</f>
        <v>0</v>
      </c>
    </row>
    <row r="165" spans="1:10" ht="29.25" x14ac:dyDescent="0.5">
      <c r="A165" s="737"/>
      <c r="B165" s="737"/>
      <c r="C165" s="247"/>
      <c r="D165" s="244" t="s">
        <v>180</v>
      </c>
      <c r="E165" s="95">
        <f>'8'!F165</f>
        <v>0</v>
      </c>
      <c r="F165" s="165"/>
      <c r="G165" s="165"/>
      <c r="H165" s="99">
        <f>G165+'8'!H165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38" t="s">
        <v>330</v>
      </c>
      <c r="B168" s="739"/>
      <c r="C168" s="739"/>
      <c r="D168" s="739"/>
      <c r="E168" s="739"/>
      <c r="F168" s="739"/>
      <c r="G168" s="739"/>
      <c r="H168" s="739"/>
      <c r="I168" s="739"/>
      <c r="J168" s="740"/>
    </row>
    <row r="169" spans="1:10" ht="27.75" x14ac:dyDescent="0.5">
      <c r="A169" s="747"/>
      <c r="B169" s="748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43" t="s">
        <v>209</v>
      </c>
      <c r="B170" s="744"/>
      <c r="C170" s="353"/>
      <c r="D170" s="228" t="s">
        <v>142</v>
      </c>
      <c r="E170" s="95">
        <f>'8'!F170</f>
        <v>7895</v>
      </c>
      <c r="F170" s="155">
        <v>7895</v>
      </c>
      <c r="G170" s="155">
        <f>F170-E170</f>
        <v>0</v>
      </c>
      <c r="H170" s="99">
        <f>G170+'8'!H170</f>
        <v>0</v>
      </c>
      <c r="I170" s="155"/>
      <c r="J170" s="178">
        <f>H170/DAY(B2)</f>
        <v>0</v>
      </c>
    </row>
    <row r="171" spans="1:10" ht="27.75" x14ac:dyDescent="0.5">
      <c r="A171" s="743" t="s">
        <v>75</v>
      </c>
      <c r="B171" s="744"/>
      <c r="C171" s="353"/>
      <c r="D171" s="228" t="s">
        <v>142</v>
      </c>
      <c r="E171" s="95">
        <f>'8'!F171</f>
        <v>37126</v>
      </c>
      <c r="F171" s="157">
        <v>37136</v>
      </c>
      <c r="G171" s="155">
        <f t="shared" ref="G171:G172" si="15">F171-E171</f>
        <v>10</v>
      </c>
      <c r="H171" s="99">
        <f>G171+'8'!H171</f>
        <v>102</v>
      </c>
      <c r="I171" s="155"/>
      <c r="J171" s="178">
        <f>H171/DAY(B2)</f>
        <v>11.333333333333334</v>
      </c>
    </row>
    <row r="172" spans="1:10" ht="27.75" x14ac:dyDescent="0.5">
      <c r="A172" s="743" t="s">
        <v>76</v>
      </c>
      <c r="B172" s="783"/>
      <c r="C172" s="744"/>
      <c r="D172" s="228" t="s">
        <v>142</v>
      </c>
      <c r="E172" s="95">
        <f>'8'!F172</f>
        <v>20553</v>
      </c>
      <c r="F172" s="155">
        <v>20562</v>
      </c>
      <c r="G172" s="155">
        <f t="shared" si="15"/>
        <v>9</v>
      </c>
      <c r="H172" s="99">
        <f>G172+'8'!H172</f>
        <v>93</v>
      </c>
      <c r="I172" s="155"/>
      <c r="J172" s="178">
        <f>H172/DAY(B2)</f>
        <v>10.333333333333334</v>
      </c>
    </row>
    <row r="173" spans="1:10" ht="27.75" x14ac:dyDescent="0.5">
      <c r="A173" s="732" t="s">
        <v>196</v>
      </c>
      <c r="B173" s="733"/>
      <c r="C173" s="353"/>
      <c r="D173" s="228" t="s">
        <v>142</v>
      </c>
      <c r="E173" s="95"/>
      <c r="F173" s="155"/>
      <c r="G173" s="155">
        <f>SUM(G170:G172)</f>
        <v>19</v>
      </c>
      <c r="H173" s="99">
        <f>G173+'8'!H173</f>
        <v>195</v>
      </c>
      <c r="I173" s="155"/>
      <c r="J173" s="178">
        <f>H173/DAY(B2)</f>
        <v>21.666666666666668</v>
      </c>
    </row>
    <row r="174" spans="1:10" ht="27.75" x14ac:dyDescent="0.5">
      <c r="A174" s="743" t="s">
        <v>77</v>
      </c>
      <c r="B174" s="744"/>
      <c r="C174" s="353"/>
      <c r="D174" s="228" t="s">
        <v>142</v>
      </c>
      <c r="E174" s="95"/>
      <c r="F174" s="155"/>
      <c r="G174" s="155"/>
      <c r="H174" s="99">
        <f>G174+'8'!H174</f>
        <v>0</v>
      </c>
      <c r="I174" s="155"/>
      <c r="J174" s="178">
        <f>H174/DAY(B2)</f>
        <v>0</v>
      </c>
    </row>
    <row r="175" spans="1:10" ht="27.75" x14ac:dyDescent="0.5">
      <c r="A175" s="743" t="s">
        <v>210</v>
      </c>
      <c r="B175" s="744"/>
      <c r="C175" s="353"/>
      <c r="D175" s="228" t="s">
        <v>142</v>
      </c>
      <c r="E175" s="95">
        <f>'8'!F175</f>
        <v>72564</v>
      </c>
      <c r="F175" s="155">
        <v>72683</v>
      </c>
      <c r="G175" s="155">
        <f>F175-E175</f>
        <v>119</v>
      </c>
      <c r="H175" s="99">
        <f>G175+'8'!H175</f>
        <v>749</v>
      </c>
      <c r="I175" s="155"/>
      <c r="J175" s="178">
        <f>H175/DAY(B2)</f>
        <v>83.222222222222229</v>
      </c>
    </row>
    <row r="176" spans="1:10" ht="27.75" x14ac:dyDescent="0.5">
      <c r="A176" s="743" t="s">
        <v>211</v>
      </c>
      <c r="B176" s="744"/>
      <c r="C176" s="353"/>
      <c r="D176" s="228" t="s">
        <v>142</v>
      </c>
      <c r="E176" s="95">
        <f>'8'!F176</f>
        <v>33886</v>
      </c>
      <c r="F176" s="155">
        <v>33886</v>
      </c>
      <c r="G176" s="155">
        <f t="shared" ref="G176:G177" si="16">F176-E176</f>
        <v>0</v>
      </c>
      <c r="H176" s="99">
        <f>G176+'8'!H176</f>
        <v>0</v>
      </c>
      <c r="I176" s="155"/>
      <c r="J176" s="178">
        <f>H176/DAY(B2)</f>
        <v>0</v>
      </c>
    </row>
    <row r="177" spans="1:10" ht="31.5" customHeight="1" x14ac:dyDescent="0.5">
      <c r="A177" s="743" t="s">
        <v>212</v>
      </c>
      <c r="B177" s="744"/>
      <c r="C177" s="353"/>
      <c r="D177" s="228" t="s">
        <v>142</v>
      </c>
      <c r="E177" s="95">
        <f>'8'!F177</f>
        <v>4855</v>
      </c>
      <c r="F177" s="155">
        <v>4881</v>
      </c>
      <c r="G177" s="155">
        <f t="shared" si="16"/>
        <v>26</v>
      </c>
      <c r="H177" s="99">
        <f>G177+'8'!H177</f>
        <v>50</v>
      </c>
      <c r="I177" s="155"/>
      <c r="J177" s="178">
        <f>H177/DAY(B2)</f>
        <v>5.5555555555555554</v>
      </c>
    </row>
    <row r="178" spans="1:10" ht="27.75" x14ac:dyDescent="0.5">
      <c r="A178" s="745" t="s">
        <v>108</v>
      </c>
      <c r="B178" s="746"/>
      <c r="C178" s="353"/>
      <c r="D178" s="228" t="s">
        <v>142</v>
      </c>
      <c r="E178" s="95"/>
      <c r="F178" s="155"/>
      <c r="G178" s="155">
        <f>SUM(G175:G177)</f>
        <v>145</v>
      </c>
      <c r="H178" s="99">
        <f>G178+'8'!H178</f>
        <v>799</v>
      </c>
      <c r="I178" s="155"/>
      <c r="J178" s="178">
        <f>H178/DAY(B2)</f>
        <v>88.777777777777771</v>
      </c>
    </row>
    <row r="179" spans="1:10" ht="27.75" x14ac:dyDescent="0.5">
      <c r="A179" s="743" t="s">
        <v>213</v>
      </c>
      <c r="B179" s="744"/>
      <c r="C179" s="353"/>
      <c r="D179" s="228" t="s">
        <v>142</v>
      </c>
      <c r="E179" s="95"/>
      <c r="F179" s="155"/>
      <c r="G179" s="155"/>
      <c r="H179" s="99">
        <f>G179+'8'!H179</f>
        <v>0</v>
      </c>
      <c r="I179" s="155"/>
      <c r="J179" s="178">
        <f>H179/DAY(B2)</f>
        <v>0</v>
      </c>
    </row>
    <row r="180" spans="1:10" ht="27.75" x14ac:dyDescent="0.5">
      <c r="A180" s="743" t="s">
        <v>214</v>
      </c>
      <c r="B180" s="744"/>
      <c r="C180" s="354"/>
      <c r="D180" s="228" t="s">
        <v>142</v>
      </c>
      <c r="E180" s="95">
        <f>'8'!F180</f>
        <v>13669</v>
      </c>
      <c r="F180" s="157">
        <v>13687</v>
      </c>
      <c r="G180" s="157">
        <f>F180-E180</f>
        <v>18</v>
      </c>
      <c r="H180" s="99">
        <f>G180+'8'!H180</f>
        <v>150</v>
      </c>
      <c r="I180" s="155"/>
      <c r="J180" s="178">
        <f>H180/DAY(B2)</f>
        <v>16.666666666666668</v>
      </c>
    </row>
    <row r="181" spans="1:10" ht="27.75" x14ac:dyDescent="0.5">
      <c r="A181" s="743" t="s">
        <v>215</v>
      </c>
      <c r="B181" s="744"/>
      <c r="C181" s="354"/>
      <c r="D181" s="228" t="s">
        <v>142</v>
      </c>
      <c r="E181" s="95">
        <f>'8'!F181</f>
        <v>9512</v>
      </c>
      <c r="F181" s="157">
        <v>9521</v>
      </c>
      <c r="G181" s="157">
        <f t="shared" ref="G181:G182" si="17">F181-E181</f>
        <v>9</v>
      </c>
      <c r="H181" s="99">
        <f>G181+'8'!H181</f>
        <v>73</v>
      </c>
      <c r="I181" s="155"/>
      <c r="J181" s="178">
        <f>H181/DAY(B2)</f>
        <v>8.1111111111111107</v>
      </c>
    </row>
    <row r="182" spans="1:10" ht="35.25" customHeight="1" x14ac:dyDescent="0.5">
      <c r="A182" s="743" t="s">
        <v>216</v>
      </c>
      <c r="B182" s="744"/>
      <c r="C182" s="354"/>
      <c r="D182" s="228" t="s">
        <v>142</v>
      </c>
      <c r="E182" s="95">
        <f>'8'!F182</f>
        <v>0</v>
      </c>
      <c r="F182" s="157">
        <v>0</v>
      </c>
      <c r="G182" s="157">
        <f t="shared" si="17"/>
        <v>0</v>
      </c>
      <c r="H182" s="99">
        <f>G182+'8'!H182</f>
        <v>0</v>
      </c>
      <c r="I182" s="155"/>
      <c r="J182" s="178">
        <f>H182/DAY(B2)</f>
        <v>0</v>
      </c>
    </row>
    <row r="183" spans="1:10" ht="27" customHeight="1" x14ac:dyDescent="0.5">
      <c r="A183" s="732" t="s">
        <v>196</v>
      </c>
      <c r="B183" s="733"/>
      <c r="C183" s="354"/>
      <c r="D183" s="228" t="s">
        <v>142</v>
      </c>
      <c r="E183" s="95"/>
      <c r="F183" s="157"/>
      <c r="G183" s="157">
        <f>SUM(G180:G182)</f>
        <v>27</v>
      </c>
      <c r="H183" s="99">
        <f>G183+'8'!H183</f>
        <v>223</v>
      </c>
      <c r="I183" s="157"/>
      <c r="J183" s="178">
        <f>H183/DAY(B2)</f>
        <v>24.777777777777779</v>
      </c>
    </row>
    <row r="184" spans="1:10" ht="27.75" x14ac:dyDescent="0.5">
      <c r="A184" s="734" t="s">
        <v>217</v>
      </c>
      <c r="B184" s="735"/>
      <c r="C184" s="353"/>
      <c r="D184" s="230" t="s">
        <v>142</v>
      </c>
      <c r="E184" s="95"/>
      <c r="F184" s="159"/>
      <c r="G184" s="588">
        <f>G62+G19</f>
        <v>172</v>
      </c>
      <c r="H184" s="99">
        <f>G184+'8'!H184</f>
        <v>1510</v>
      </c>
      <c r="I184" s="158"/>
      <c r="J184" s="179">
        <f>H184/DAY(B2)</f>
        <v>167.77777777777777</v>
      </c>
    </row>
    <row r="185" spans="1:10" ht="27.75" x14ac:dyDescent="0.5">
      <c r="A185" s="734" t="s">
        <v>218</v>
      </c>
      <c r="B185" s="735"/>
      <c r="C185" s="353"/>
      <c r="D185" s="230" t="s">
        <v>142</v>
      </c>
      <c r="E185" s="95"/>
      <c r="F185" s="159"/>
      <c r="G185" s="588">
        <f>G65+G66+G67+G69+G70</f>
        <v>170</v>
      </c>
      <c r="H185" s="99">
        <f>G185+'8'!H185</f>
        <v>1493</v>
      </c>
      <c r="I185" s="158"/>
      <c r="J185" s="179">
        <f>H185/DAY(B2)</f>
        <v>165.88888888888889</v>
      </c>
    </row>
    <row r="186" spans="1:10" ht="27.75" x14ac:dyDescent="0.5">
      <c r="A186" s="734" t="s">
        <v>219</v>
      </c>
      <c r="B186" s="735"/>
      <c r="C186" s="353"/>
      <c r="D186" s="230" t="s">
        <v>142</v>
      </c>
      <c r="E186" s="95"/>
      <c r="F186" s="157"/>
      <c r="G186" s="585">
        <f>G178</f>
        <v>145</v>
      </c>
      <c r="H186" s="99">
        <f>G186+'8'!H186</f>
        <v>799</v>
      </c>
      <c r="I186" s="158"/>
      <c r="J186" s="179">
        <f>H186/DAY(B2)</f>
        <v>88.777777777777771</v>
      </c>
    </row>
    <row r="187" spans="1:10" ht="29.25" customHeight="1" x14ac:dyDescent="0.5">
      <c r="A187" s="741"/>
      <c r="B187" s="742"/>
      <c r="C187" s="601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19.5" customHeight="1" x14ac:dyDescent="0.5"/>
    <row r="191" spans="1:10" ht="19.5" customHeight="1" x14ac:dyDescent="0.5"/>
    <row r="192" spans="1:10" ht="19.5" customHeight="1" x14ac:dyDescent="0.5"/>
    <row r="193" ht="19.5" customHeight="1" x14ac:dyDescent="0.5"/>
    <row r="194" ht="19.5" customHeight="1" x14ac:dyDescent="0.5"/>
    <row r="195" ht="19.5" customHeight="1" x14ac:dyDescent="0.5"/>
    <row r="196" ht="19.5" customHeight="1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21:C121"/>
    <mergeCell ref="A122:C122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3:C123"/>
    <mergeCell ref="A135:C135"/>
    <mergeCell ref="A136:J136"/>
    <mergeCell ref="A138:C138"/>
    <mergeCell ref="A139:C139"/>
    <mergeCell ref="A140:C140"/>
    <mergeCell ref="A124:C124"/>
    <mergeCell ref="A125:B125"/>
    <mergeCell ref="A126:J126"/>
    <mergeCell ref="A127:B127"/>
    <mergeCell ref="A128:C128"/>
    <mergeCell ref="A71:C71"/>
    <mergeCell ref="A180:B180"/>
    <mergeCell ref="A178:B178"/>
    <mergeCell ref="A179:B179"/>
    <mergeCell ref="A176:B176"/>
    <mergeCell ref="A177:B177"/>
    <mergeCell ref="A172:C172"/>
    <mergeCell ref="A165:B165"/>
    <mergeCell ref="A168:J168"/>
    <mergeCell ref="A169:B169"/>
    <mergeCell ref="A170:B170"/>
    <mergeCell ref="A171:B171"/>
    <mergeCell ref="A173:B173"/>
    <mergeCell ref="A174:B174"/>
    <mergeCell ref="A175:B175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83:B183"/>
    <mergeCell ref="A184:B184"/>
    <mergeCell ref="A185:B185"/>
    <mergeCell ref="A186:B186"/>
    <mergeCell ref="A187:B187"/>
    <mergeCell ref="A141:C141"/>
    <mergeCell ref="A142:C142"/>
    <mergeCell ref="A157:J157"/>
    <mergeCell ref="A163:B163"/>
    <mergeCell ref="A164:B164"/>
    <mergeCell ref="A181:B181"/>
    <mergeCell ref="A182:B182"/>
    <mergeCell ref="A150:C150"/>
    <mergeCell ref="A151:C151"/>
    <mergeCell ref="A152:C152"/>
    <mergeCell ref="A154:J154"/>
    <mergeCell ref="A155:C155"/>
    <mergeCell ref="A156:C156"/>
  </mergeCells>
  <pageMargins left="0.22" right="0.17" top="0.14000000000000001" bottom="0.2" header="0.2" footer="0.2"/>
  <pageSetup paperSize="5" scale="1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67"/>
  <sheetViews>
    <sheetView view="pageBreakPreview" topLeftCell="A154" zoomScale="55" zoomScaleNormal="55" zoomScaleSheetLayoutView="55" workbookViewId="0">
      <selection activeCell="F183" sqref="F18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89" t="s">
        <v>115</v>
      </c>
      <c r="B1" s="790"/>
      <c r="C1" s="790"/>
      <c r="D1" s="790"/>
      <c r="E1" s="790"/>
      <c r="F1" s="790"/>
      <c r="G1" s="790"/>
      <c r="H1" s="790"/>
      <c r="I1" s="790"/>
      <c r="J1" s="791"/>
    </row>
    <row r="2" spans="1:15" s="57" customFormat="1" ht="27" x14ac:dyDescent="0.5">
      <c r="A2" s="191" t="s">
        <v>358</v>
      </c>
      <c r="B2" s="266">
        <v>44479</v>
      </c>
      <c r="C2" s="368" t="s">
        <v>67</v>
      </c>
      <c r="D2" s="218">
        <v>0.78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27</v>
      </c>
      <c r="E3" s="798" t="s">
        <v>119</v>
      </c>
      <c r="F3" s="79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92" t="s">
        <v>128</v>
      </c>
      <c r="B6" s="793"/>
      <c r="C6" s="79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'9'!F7</f>
        <v>177978</v>
      </c>
      <c r="F7" s="95">
        <v>201915</v>
      </c>
      <c r="G7" s="112">
        <f>F7-E7</f>
        <v>23937</v>
      </c>
      <c r="H7" s="99">
        <f>G7+'9'!H7</f>
        <v>234672.59999999992</v>
      </c>
      <c r="I7" s="113">
        <f>'1'!I7</f>
        <v>12000</v>
      </c>
      <c r="J7" s="175">
        <f>H7/DAY(B2)</f>
        <v>23467.259999999991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'9'!F8</f>
        <v>194486</v>
      </c>
      <c r="F8" s="114">
        <v>218823</v>
      </c>
      <c r="G8" s="115">
        <f>F8-E8</f>
        <v>24337</v>
      </c>
      <c r="H8" s="99">
        <f>G8+'9'!H8</f>
        <v>237105.99999999994</v>
      </c>
      <c r="I8" s="116"/>
      <c r="J8" s="175">
        <f>H8/DAY(B2)</f>
        <v>23710.599999999995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'9'!F9</f>
        <v>924316</v>
      </c>
      <c r="F9" s="117">
        <v>942756</v>
      </c>
      <c r="G9" s="112">
        <f>F9-E9</f>
        <v>18440</v>
      </c>
      <c r="H9" s="99">
        <f>G9+'9'!H9</f>
        <v>211966</v>
      </c>
      <c r="I9" s="124">
        <f>I7-J7</f>
        <v>-11467.259999999991</v>
      </c>
      <c r="J9" s="175">
        <f>H9/DAY(B2)</f>
        <v>21196.6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'9'!F10</f>
        <v>12391</v>
      </c>
      <c r="F10" s="117">
        <v>17996</v>
      </c>
      <c r="G10" s="112">
        <f t="shared" ref="G10:G12" si="0">F10-E10</f>
        <v>5605</v>
      </c>
      <c r="H10" s="99">
        <f>G10+'9'!H10</f>
        <v>17996</v>
      </c>
      <c r="I10" s="286"/>
      <c r="J10" s="175">
        <f>H10/DAY(B2)</f>
        <v>1799.6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'9'!F11</f>
        <v>37000</v>
      </c>
      <c r="F11" s="95">
        <v>37000</v>
      </c>
      <c r="G11" s="112">
        <f t="shared" si="0"/>
        <v>0</v>
      </c>
      <c r="H11" s="99">
        <f>G11+'9'!H11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'9'!F12</f>
        <v>40010</v>
      </c>
      <c r="F12" s="117">
        <v>40010</v>
      </c>
      <c r="G12" s="112">
        <f t="shared" si="0"/>
        <v>0</v>
      </c>
      <c r="H12" s="99">
        <f>G12+'9'!H12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24045</v>
      </c>
      <c r="H13" s="99">
        <f>G13+'9'!H13</f>
        <v>208416.25</v>
      </c>
      <c r="I13" s="120">
        <f>G7-G13</f>
        <v>-108</v>
      </c>
      <c r="J13" s="175">
        <f>H13/DAY(B2)</f>
        <v>20841.625</v>
      </c>
      <c r="K13" s="79"/>
      <c r="L13" s="66"/>
      <c r="N13" s="87"/>
      <c r="O13" s="71"/>
    </row>
    <row r="14" spans="1:15" ht="29.25" x14ac:dyDescent="0.5">
      <c r="A14" s="795" t="s">
        <v>137</v>
      </c>
      <c r="B14" s="796"/>
      <c r="C14" s="79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'9'!F15</f>
        <v>1793352</v>
      </c>
      <c r="F15" s="123">
        <v>1794300</v>
      </c>
      <c r="G15" s="112">
        <f>(F15-E15)</f>
        <v>948</v>
      </c>
      <c r="H15" s="99">
        <f>G15+'9'!H15</f>
        <v>10092</v>
      </c>
      <c r="I15" s="113">
        <f>'1'!I15</f>
        <v>800</v>
      </c>
      <c r="J15" s="175">
        <f>H15/DAY(B2)</f>
        <v>1009.2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-209.20000000000005</v>
      </c>
      <c r="J16" s="176"/>
      <c r="K16" s="79"/>
      <c r="L16" s="66"/>
      <c r="N16" s="87"/>
      <c r="O16" s="71"/>
    </row>
    <row r="17" spans="1:15" ht="29.25" x14ac:dyDescent="0.5">
      <c r="A17" s="795" t="s">
        <v>140</v>
      </c>
      <c r="B17" s="796"/>
      <c r="C17" s="79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1" t="s">
        <v>141</v>
      </c>
      <c r="B18" s="772"/>
      <c r="C18" s="773"/>
      <c r="D18" s="151" t="s">
        <v>142</v>
      </c>
      <c r="E18" s="95">
        <f>'9'!F18</f>
        <v>22</v>
      </c>
      <c r="F18" s="122">
        <v>20</v>
      </c>
      <c r="G18" s="119">
        <f>F18*10</f>
        <v>200</v>
      </c>
      <c r="H18" s="99">
        <f>G18+'9'!H18</f>
        <v>1930</v>
      </c>
      <c r="I18" s="113">
        <f>'1'!I18</f>
        <v>65</v>
      </c>
      <c r="J18" s="175">
        <f>H18/DAY(B2)</f>
        <v>193</v>
      </c>
      <c r="K18" s="79"/>
      <c r="L18" s="66"/>
      <c r="N18" s="87"/>
      <c r="O18" s="71"/>
    </row>
    <row r="19" spans="1:15" ht="27.75" x14ac:dyDescent="0.5">
      <c r="A19" s="771" t="s">
        <v>69</v>
      </c>
      <c r="B19" s="772"/>
      <c r="C19" s="773"/>
      <c r="D19" s="151" t="s">
        <v>142</v>
      </c>
      <c r="E19" s="95">
        <f>'9'!F19</f>
        <v>147633</v>
      </c>
      <c r="F19" s="122">
        <v>147691</v>
      </c>
      <c r="G19" s="112">
        <f t="shared" ref="G19" si="1">F19-E19</f>
        <v>58</v>
      </c>
      <c r="H19" s="99">
        <f>G19+'9'!H19</f>
        <v>579</v>
      </c>
      <c r="I19" s="355"/>
      <c r="J19" s="175">
        <f>H19/DAY(B2)</f>
        <v>57.9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258</v>
      </c>
      <c r="H20" s="99">
        <f>G20+'9'!H20</f>
        <v>2509</v>
      </c>
      <c r="I20" s="356">
        <f>I18-J20</f>
        <v>-185.9</v>
      </c>
      <c r="J20" s="175">
        <f>H20/DAY(B2)</f>
        <v>250.9</v>
      </c>
      <c r="K20" s="79"/>
      <c r="L20" s="66"/>
      <c r="N20" s="87"/>
      <c r="O20" s="71"/>
    </row>
    <row r="21" spans="1:15" ht="29.25" x14ac:dyDescent="0.5">
      <c r="A21" s="795" t="s">
        <v>144</v>
      </c>
      <c r="B21" s="796"/>
      <c r="C21" s="79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2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'9'!F23</f>
        <v>2000</v>
      </c>
      <c r="F23" s="122">
        <v>2000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'9'!F24</f>
        <v>4970</v>
      </c>
      <c r="F24" s="128">
        <v>4970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0" t="s">
        <v>149</v>
      </c>
      <c r="B25" s="801"/>
      <c r="C25" s="80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24337</v>
      </c>
      <c r="F27" s="136">
        <v>9</v>
      </c>
      <c r="G27" s="137">
        <f>E27*F27</f>
        <v>219033</v>
      </c>
      <c r="H27" s="99">
        <f>G27+'9'!H27</f>
        <v>2133953.9999999995</v>
      </c>
      <c r="I27" s="138"/>
      <c r="J27" s="175">
        <f>H27/DAY(B2)</f>
        <v>213395.39999999997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948</v>
      </c>
      <c r="F28" s="136">
        <v>52</v>
      </c>
      <c r="G28" s="137">
        <f>E28*F28</f>
        <v>49296</v>
      </c>
      <c r="H28" s="99">
        <f>G28+'9'!H28</f>
        <v>524784</v>
      </c>
      <c r="I28" s="140"/>
      <c r="J28" s="175">
        <f>H28/DAY(B2)</f>
        <v>52478.400000000001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58</v>
      </c>
      <c r="F30" s="136">
        <v>146</v>
      </c>
      <c r="G30" s="137">
        <f>E30*F30</f>
        <v>8468</v>
      </c>
      <c r="H30" s="99">
        <f>G30+'9'!H30</f>
        <v>84534</v>
      </c>
      <c r="I30" s="140"/>
      <c r="J30" s="175">
        <f>H30/DAY(B2)</f>
        <v>8453.4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G31+'9'!H31</f>
        <v>154400</v>
      </c>
      <c r="I31" s="140"/>
      <c r="J31" s="175">
        <f>H31/DAY(B2)</f>
        <v>15440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292797</v>
      </c>
      <c r="H32" s="99">
        <f>G32+'9'!H32</f>
        <v>2897672</v>
      </c>
      <c r="I32" s="144"/>
      <c r="J32" s="175">
        <f>H32/DAY(B2)</f>
        <v>289767.2</v>
      </c>
      <c r="K32" s="63"/>
      <c r="L32" s="89"/>
      <c r="N32" s="87"/>
      <c r="O32" s="71"/>
    </row>
    <row r="33" spans="1:15" ht="25.5" customHeight="1" x14ac:dyDescent="0.35">
      <c r="A33" s="803" t="s">
        <v>331</v>
      </c>
      <c r="B33" s="804"/>
      <c r="C33" s="804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'9'!F35</f>
        <v>0</v>
      </c>
      <c r="F35" s="145">
        <v>0</v>
      </c>
      <c r="G35" s="112">
        <f t="shared" ref="G35:G46" si="3">F35-E35</f>
        <v>0</v>
      </c>
      <c r="H35" s="99">
        <f>G35+'9'!H35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'9'!F36</f>
        <v>31731</v>
      </c>
      <c r="F36" s="145">
        <v>32530</v>
      </c>
      <c r="G36" s="112">
        <f t="shared" si="3"/>
        <v>799</v>
      </c>
      <c r="H36" s="99">
        <f>G36+'9'!H36</f>
        <v>8653</v>
      </c>
      <c r="I36" s="95"/>
      <c r="J36" s="175">
        <f>H36/DAY(B2)</f>
        <v>865.3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'9'!F37</f>
        <v>69717</v>
      </c>
      <c r="F37" s="145">
        <v>71401</v>
      </c>
      <c r="G37" s="112">
        <f t="shared" si="3"/>
        <v>1684</v>
      </c>
      <c r="H37" s="99">
        <f>G37+'9'!H37</f>
        <v>17238</v>
      </c>
      <c r="I37" s="95"/>
      <c r="J37" s="175">
        <f>H37/DAY(B2)</f>
        <v>1723.8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'9'!F38</f>
        <v>74318</v>
      </c>
      <c r="F38" s="108">
        <v>76278</v>
      </c>
      <c r="G38" s="112">
        <f t="shared" si="3"/>
        <v>1960</v>
      </c>
      <c r="H38" s="99">
        <f>G38+'9'!H38</f>
        <v>19152</v>
      </c>
      <c r="I38" s="95"/>
      <c r="J38" s="175">
        <f>H38/DAY(B2)</f>
        <v>1915.2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'9'!F39</f>
        <v>160627</v>
      </c>
      <c r="F39" s="145">
        <v>164843</v>
      </c>
      <c r="G39" s="112">
        <f t="shared" si="3"/>
        <v>4216</v>
      </c>
      <c r="H39" s="99">
        <f>G39+'9'!H39</f>
        <v>41952</v>
      </c>
      <c r="I39" s="95"/>
      <c r="J39" s="175">
        <f>H39/DAY(B2)</f>
        <v>4195.2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'9'!F40</f>
        <v>1.3</v>
      </c>
      <c r="F40" s="145">
        <v>1.3</v>
      </c>
      <c r="G40" s="112">
        <f t="shared" si="3"/>
        <v>0</v>
      </c>
      <c r="H40" s="99">
        <f>G40+'9'!H40</f>
        <v>1.3</v>
      </c>
      <c r="I40" s="95"/>
      <c r="J40" s="175">
        <f>H40/DAY(B2)</f>
        <v>0.13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'9'!F41</f>
        <v>533117</v>
      </c>
      <c r="F41" s="145">
        <v>538172</v>
      </c>
      <c r="G41" s="112">
        <f t="shared" si="3"/>
        <v>5055</v>
      </c>
      <c r="H41" s="99">
        <f>G41+'9'!H41</f>
        <v>48952.409999999974</v>
      </c>
      <c r="I41" s="95"/>
      <c r="J41" s="175">
        <f>H41/DAY(B2)</f>
        <v>4895.2409999999973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'9'!F42</f>
        <v>257598</v>
      </c>
      <c r="F42" s="145">
        <v>260108</v>
      </c>
      <c r="G42" s="112">
        <f t="shared" si="3"/>
        <v>2510</v>
      </c>
      <c r="H42" s="99">
        <f>G42+'9'!H42</f>
        <v>15925</v>
      </c>
      <c r="I42" s="95"/>
      <c r="J42" s="175">
        <f>H42/DAY(B2)</f>
        <v>1592.5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'9'!F43</f>
        <v>1385718</v>
      </c>
      <c r="F43" s="145">
        <v>1388505</v>
      </c>
      <c r="G43" s="112">
        <f t="shared" si="3"/>
        <v>2787</v>
      </c>
      <c r="H43" s="99">
        <f>G43+'9'!H43</f>
        <v>24547</v>
      </c>
      <c r="I43" s="95"/>
      <c r="J43" s="175">
        <f>H43/DAY(B2)</f>
        <v>2454.6999999999998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3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3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3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19011</v>
      </c>
      <c r="H47" s="99">
        <f>G47+'9'!H47</f>
        <v>176420.70999999996</v>
      </c>
      <c r="I47" s="95"/>
      <c r="J47" s="175">
        <f>H47/DAY(B2)</f>
        <v>17642.070999999996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'9'!F49</f>
        <v>127753</v>
      </c>
      <c r="F49" s="145">
        <v>131582</v>
      </c>
      <c r="G49" s="112">
        <f t="shared" ref="G49:G58" si="4">F49-E49</f>
        <v>3829</v>
      </c>
      <c r="H49" s="99">
        <f>G49+'9'!H49</f>
        <v>40385.619999999995</v>
      </c>
      <c r="I49" s="95"/>
      <c r="J49" s="175">
        <f>H49/DAY(B2)</f>
        <v>4038.5619999999994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'9'!F50</f>
        <v>655165</v>
      </c>
      <c r="F50" s="145">
        <v>656293</v>
      </c>
      <c r="G50" s="112">
        <f t="shared" si="4"/>
        <v>1128</v>
      </c>
      <c r="H50" s="99">
        <f>G50+'9'!H50</f>
        <v>12803</v>
      </c>
      <c r="I50" s="95"/>
      <c r="J50" s="175">
        <f>H50/DAY(B2)</f>
        <v>1280.3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'9'!F51</f>
        <v>0</v>
      </c>
      <c r="F51" s="145">
        <v>0</v>
      </c>
      <c r="G51" s="112">
        <f t="shared" si="4"/>
        <v>0</v>
      </c>
      <c r="H51" s="99">
        <f>G51+'9'!H51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'9'!F52</f>
        <v>0</v>
      </c>
      <c r="F52" s="145">
        <v>0</v>
      </c>
      <c r="G52" s="112">
        <f t="shared" si="4"/>
        <v>0</v>
      </c>
      <c r="H52" s="99">
        <f>G52+'9'!H52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'9'!F53</f>
        <v>0</v>
      </c>
      <c r="F53" s="145">
        <v>0</v>
      </c>
      <c r="G53" s="112">
        <f t="shared" si="4"/>
        <v>0</v>
      </c>
      <c r="H53" s="99">
        <f>G53+'9'!H53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'9'!F54</f>
        <v>2768</v>
      </c>
      <c r="F54" s="145">
        <v>2772</v>
      </c>
      <c r="G54" s="112">
        <f t="shared" si="4"/>
        <v>4</v>
      </c>
      <c r="H54" s="99">
        <f>G54+'9'!H54</f>
        <v>40</v>
      </c>
      <c r="I54" s="95"/>
      <c r="J54" s="175">
        <f>H54/DAY(B2)</f>
        <v>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'9'!F55</f>
        <v>307299</v>
      </c>
      <c r="F55" s="145">
        <v>307299</v>
      </c>
      <c r="G55" s="112">
        <f t="shared" si="4"/>
        <v>0</v>
      </c>
      <c r="H55" s="99">
        <f>G55+'9'!H55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'9'!F56</f>
        <v>750367</v>
      </c>
      <c r="F56" s="145">
        <v>750384</v>
      </c>
      <c r="G56" s="112">
        <f t="shared" si="4"/>
        <v>17</v>
      </c>
      <c r="H56" s="99">
        <f>G56+'9'!H56</f>
        <v>8614</v>
      </c>
      <c r="I56" s="95"/>
      <c r="J56" s="175">
        <f>H56/DAY(B2)</f>
        <v>861.4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'9'!F57</f>
        <v>0</v>
      </c>
      <c r="F57" s="145">
        <v>0</v>
      </c>
      <c r="G57" s="112">
        <f t="shared" si="4"/>
        <v>0</v>
      </c>
      <c r="H57" s="99">
        <f>G57+'9'!H57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'9'!F58</f>
        <v>74150</v>
      </c>
      <c r="F58" s="145">
        <v>74347</v>
      </c>
      <c r="G58" s="112">
        <f t="shared" si="4"/>
        <v>197</v>
      </c>
      <c r="H58" s="99">
        <f>G58+'9'!H58</f>
        <v>2192</v>
      </c>
      <c r="I58" s="95"/>
      <c r="J58" s="175">
        <f>H58/DAY(B2)</f>
        <v>219.2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5175</v>
      </c>
      <c r="H59" s="99">
        <f>G59+'9'!H59</f>
        <v>64034.619999999995</v>
      </c>
      <c r="I59" s="95">
        <f>G7-G60</f>
        <v>-249</v>
      </c>
      <c r="J59" s="175">
        <f>H59/DAY(B2)</f>
        <v>6403.4619999999995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24186</v>
      </c>
      <c r="H60" s="99">
        <f>G60+'9'!H60</f>
        <v>240455.32999999996</v>
      </c>
      <c r="I60" s="95">
        <f>G13-G60</f>
        <v>-141</v>
      </c>
      <c r="J60" s="175">
        <f>H60/DAY(B2)</f>
        <v>24045.532999999996</v>
      </c>
      <c r="K60" s="79"/>
      <c r="L60" s="66"/>
      <c r="N60" s="87"/>
      <c r="O60" s="71"/>
    </row>
    <row r="61" spans="1:15" s="68" customFormat="1" ht="27.75" x14ac:dyDescent="0.5">
      <c r="A61" s="805" t="s">
        <v>332</v>
      </c>
      <c r="B61" s="806"/>
      <c r="C61" s="807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1" t="s">
        <v>198</v>
      </c>
      <c r="B62" s="772"/>
      <c r="C62" s="773"/>
      <c r="D62" s="151" t="s">
        <v>142</v>
      </c>
      <c r="E62" s="95">
        <f>'9'!F62</f>
        <v>257342</v>
      </c>
      <c r="F62" s="122">
        <v>257456</v>
      </c>
      <c r="G62" s="112">
        <f t="shared" ref="G62:G63" si="5">F62-E62</f>
        <v>114</v>
      </c>
      <c r="H62" s="99">
        <f>G62+'9'!H62</f>
        <v>1103</v>
      </c>
      <c r="I62" s="118"/>
      <c r="J62" s="175">
        <f>H62/DAY(B2)</f>
        <v>110.3</v>
      </c>
      <c r="K62" s="80"/>
      <c r="L62" s="66"/>
      <c r="N62" s="87"/>
      <c r="O62" s="71"/>
    </row>
    <row r="63" spans="1:15" ht="27.75" x14ac:dyDescent="0.5">
      <c r="A63" s="771" t="s">
        <v>199</v>
      </c>
      <c r="B63" s="772"/>
      <c r="C63" s="773"/>
      <c r="D63" s="151" t="s">
        <v>142</v>
      </c>
      <c r="E63" s="95">
        <f>'9'!F63</f>
        <v>203700</v>
      </c>
      <c r="F63" s="122">
        <v>203857</v>
      </c>
      <c r="G63" s="112">
        <f t="shared" si="5"/>
        <v>157</v>
      </c>
      <c r="H63" s="99">
        <f>G63+'9'!H63</f>
        <v>1331</v>
      </c>
      <c r="I63" s="118"/>
      <c r="J63" s="175">
        <f>H63/DAY(B2)</f>
        <v>133.1</v>
      </c>
      <c r="K63" s="69"/>
      <c r="L63" s="66"/>
      <c r="N63" s="87"/>
      <c r="O63" s="71"/>
    </row>
    <row r="64" spans="1:15" ht="29.25" x14ac:dyDescent="0.5">
      <c r="A64" s="780" t="s">
        <v>200</v>
      </c>
      <c r="B64" s="781"/>
      <c r="C64" s="782"/>
      <c r="D64" s="151"/>
      <c r="E64" s="95">
        <f>'9'!F64</f>
        <v>0</v>
      </c>
      <c r="F64" s="122"/>
      <c r="G64" s="112">
        <f>G62+G63</f>
        <v>271</v>
      </c>
      <c r="H64" s="99">
        <f>G64+'9'!H64</f>
        <v>2434</v>
      </c>
      <c r="I64" s="118"/>
      <c r="J64" s="175">
        <f>H64/DAY(B2)</f>
        <v>243.4</v>
      </c>
      <c r="K64" s="69"/>
      <c r="L64" s="66"/>
      <c r="N64" s="87"/>
      <c r="O64" s="71"/>
    </row>
    <row r="65" spans="1:15" ht="27.75" x14ac:dyDescent="0.5">
      <c r="A65" s="771" t="s">
        <v>201</v>
      </c>
      <c r="B65" s="772"/>
      <c r="C65" s="773"/>
      <c r="D65" s="151" t="s">
        <v>142</v>
      </c>
      <c r="E65" s="95">
        <f>'9'!F65</f>
        <v>424095</v>
      </c>
      <c r="F65" s="122">
        <v>424184</v>
      </c>
      <c r="G65" s="112">
        <f t="shared" ref="G65:G70" si="6">F65-E65</f>
        <v>89</v>
      </c>
      <c r="H65" s="99">
        <f>G65+'9'!H65</f>
        <v>895</v>
      </c>
      <c r="I65" s="118"/>
      <c r="J65" s="175">
        <f>H65/DAY(B2)</f>
        <v>89.5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'9'!F66</f>
        <v>105519</v>
      </c>
      <c r="F66" s="122">
        <v>105544</v>
      </c>
      <c r="G66" s="112">
        <f t="shared" si="6"/>
        <v>25</v>
      </c>
      <c r="H66" s="99">
        <f>G66+'9'!H66</f>
        <v>230</v>
      </c>
      <c r="I66" s="118"/>
      <c r="J66" s="175">
        <f>H66/DAY(B2)</f>
        <v>23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'9'!F67</f>
        <v>101547</v>
      </c>
      <c r="F67" s="122">
        <v>101577</v>
      </c>
      <c r="G67" s="112">
        <f t="shared" si="6"/>
        <v>30</v>
      </c>
      <c r="H67" s="99">
        <f>G67+'9'!H67</f>
        <v>293</v>
      </c>
      <c r="I67" s="118"/>
      <c r="J67" s="175">
        <f>H67/DAY(B2)</f>
        <v>29.3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'9'!F68</f>
        <v>153515</v>
      </c>
      <c r="F68" s="122">
        <v>153556</v>
      </c>
      <c r="G68" s="112">
        <f t="shared" si="6"/>
        <v>41</v>
      </c>
      <c r="H68" s="99">
        <f>G68+'9'!H68</f>
        <v>443</v>
      </c>
      <c r="I68" s="118"/>
      <c r="J68" s="175">
        <f>H68/DAY(B2)</f>
        <v>44.3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'9'!F69</f>
        <v>9182</v>
      </c>
      <c r="F69" s="122">
        <v>9196</v>
      </c>
      <c r="G69" s="112">
        <f t="shared" si="6"/>
        <v>14</v>
      </c>
      <c r="H69" s="99">
        <f>G69+'9'!H69</f>
        <v>139</v>
      </c>
      <c r="I69" s="118"/>
      <c r="J69" s="175">
        <f>H69/DAY(B2)</f>
        <v>13.9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'9'!F70</f>
        <v>6898</v>
      </c>
      <c r="F70" s="122">
        <v>6912</v>
      </c>
      <c r="G70" s="112">
        <f t="shared" si="6"/>
        <v>14</v>
      </c>
      <c r="H70" s="99">
        <f>G70+'9'!H70</f>
        <v>108</v>
      </c>
      <c r="I70" s="118"/>
      <c r="J70" s="175">
        <f>H70/DAY(B2)</f>
        <v>10.8</v>
      </c>
      <c r="K70" s="69"/>
      <c r="L70" s="66"/>
      <c r="N70" s="87"/>
      <c r="O70" s="71"/>
    </row>
    <row r="71" spans="1:15" ht="29.25" x14ac:dyDescent="0.5">
      <c r="A71" s="780" t="s">
        <v>208</v>
      </c>
      <c r="B71" s="781"/>
      <c r="C71" s="782"/>
      <c r="D71" s="152"/>
      <c r="E71" s="152"/>
      <c r="F71" s="152"/>
      <c r="G71" s="153">
        <f>SUM(G65:G70)</f>
        <v>213</v>
      </c>
      <c r="H71" s="99">
        <f>G71+'9'!H71</f>
        <v>2108</v>
      </c>
      <c r="I71" s="154"/>
      <c r="J71" s="175">
        <f>H71/DAY(B2)</f>
        <v>210.8</v>
      </c>
      <c r="K71" s="69"/>
      <c r="L71" s="66"/>
      <c r="N71" s="87"/>
      <c r="O71" s="71"/>
    </row>
    <row r="72" spans="1:15" s="88" customFormat="1" ht="27.75" x14ac:dyDescent="0.5">
      <c r="A72" s="767"/>
      <c r="B72" s="752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77" t="s">
        <v>333</v>
      </c>
      <c r="B73" s="778"/>
      <c r="C73" s="779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1" t="s">
        <v>220</v>
      </c>
      <c r="B74" s="772"/>
      <c r="C74" s="773"/>
      <c r="D74" s="151" t="s">
        <v>139</v>
      </c>
      <c r="E74" s="95">
        <f>'9'!F74</f>
        <v>867141</v>
      </c>
      <c r="F74" s="117">
        <v>867434</v>
      </c>
      <c r="G74" s="112">
        <f t="shared" ref="G74:G78" si="7">F74-E74</f>
        <v>293</v>
      </c>
      <c r="H74" s="99">
        <f>G74+'9'!H74</f>
        <v>2926</v>
      </c>
      <c r="I74" s="154"/>
      <c r="J74" s="175">
        <f>H74/DAY(B2)</f>
        <v>292.60000000000002</v>
      </c>
      <c r="K74" s="69"/>
      <c r="L74" s="66"/>
      <c r="N74" s="87"/>
      <c r="O74" s="71"/>
    </row>
    <row r="75" spans="1:15" ht="27.75" x14ac:dyDescent="0.5">
      <c r="A75" s="771" t="s">
        <v>221</v>
      </c>
      <c r="B75" s="772"/>
      <c r="C75" s="773"/>
      <c r="D75" s="151" t="s">
        <v>139</v>
      </c>
      <c r="E75" s="95">
        <f>'9'!F75</f>
        <v>73583.399999999994</v>
      </c>
      <c r="F75" s="123">
        <v>73583.399999999994</v>
      </c>
      <c r="G75" s="112">
        <f t="shared" si="7"/>
        <v>0</v>
      </c>
      <c r="H75" s="99">
        <f>G75+'9'!H75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68" t="s">
        <v>222</v>
      </c>
      <c r="B76" s="769"/>
      <c r="C76" s="770"/>
      <c r="D76" s="151" t="s">
        <v>139</v>
      </c>
      <c r="E76" s="95">
        <f>'9'!F76</f>
        <v>157810</v>
      </c>
      <c r="F76" s="123">
        <v>157926</v>
      </c>
      <c r="G76" s="112">
        <f t="shared" si="7"/>
        <v>116</v>
      </c>
      <c r="H76" s="99">
        <f>G76+'9'!H76</f>
        <v>1114</v>
      </c>
      <c r="I76" s="154"/>
      <c r="J76" s="175">
        <f>H76/DAY(B2)</f>
        <v>111.4</v>
      </c>
      <c r="K76" s="69"/>
      <c r="L76" s="66"/>
      <c r="N76" s="87"/>
      <c r="O76" s="71"/>
    </row>
    <row r="77" spans="1:15" ht="27.75" x14ac:dyDescent="0.5">
      <c r="A77" s="768" t="s">
        <v>223</v>
      </c>
      <c r="B77" s="769"/>
      <c r="C77" s="770"/>
      <c r="D77" s="151" t="s">
        <v>139</v>
      </c>
      <c r="E77" s="95">
        <f>'9'!F77</f>
        <v>36463</v>
      </c>
      <c r="F77" s="123">
        <v>36517</v>
      </c>
      <c r="G77" s="112">
        <f t="shared" si="7"/>
        <v>54</v>
      </c>
      <c r="H77" s="99">
        <f>G77+'9'!H77</f>
        <v>513</v>
      </c>
      <c r="I77" s="154"/>
      <c r="J77" s="175">
        <f>H77/DAY(B2)</f>
        <v>51.3</v>
      </c>
      <c r="K77" s="69"/>
      <c r="L77" s="66"/>
      <c r="N77" s="87"/>
      <c r="O77" s="71"/>
    </row>
    <row r="78" spans="1:15" ht="27.75" x14ac:dyDescent="0.5">
      <c r="A78" s="768" t="s">
        <v>224</v>
      </c>
      <c r="B78" s="769"/>
      <c r="C78" s="770"/>
      <c r="D78" s="151" t="s">
        <v>139</v>
      </c>
      <c r="E78" s="95">
        <f>'9'!F78</f>
        <v>9272</v>
      </c>
      <c r="F78" s="123">
        <v>9274</v>
      </c>
      <c r="G78" s="112">
        <f t="shared" si="7"/>
        <v>2</v>
      </c>
      <c r="H78" s="99">
        <f>G78+'9'!H78</f>
        <v>26</v>
      </c>
      <c r="I78" s="118"/>
      <c r="J78" s="175">
        <f>H78/DAY(B2)</f>
        <v>2.6</v>
      </c>
      <c r="K78" s="69"/>
      <c r="L78" s="66"/>
      <c r="N78" s="87"/>
      <c r="O78" s="71"/>
    </row>
    <row r="79" spans="1:15" s="57" customFormat="1" ht="27.75" x14ac:dyDescent="0.5">
      <c r="A79" s="768" t="s">
        <v>225</v>
      </c>
      <c r="B79" s="769"/>
      <c r="C79" s="770"/>
      <c r="D79" s="151"/>
      <c r="E79" s="95">
        <f>'9'!F79</f>
        <v>0</v>
      </c>
      <c r="F79" s="117"/>
      <c r="G79" s="112">
        <f>G15-SUM(G74:G78)</f>
        <v>483</v>
      </c>
      <c r="H79" s="99">
        <f>G79+'9'!H79</f>
        <v>5513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0" t="s">
        <v>329</v>
      </c>
      <c r="B80" s="781"/>
      <c r="C80" s="782"/>
      <c r="D80" s="151"/>
      <c r="E80" s="117"/>
      <c r="F80" s="117"/>
      <c r="G80" s="112">
        <f>SUM(G74:G79)</f>
        <v>948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85" t="s">
        <v>226</v>
      </c>
      <c r="B81" s="786"/>
      <c r="C81" s="78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'9'!F82</f>
        <v>0</v>
      </c>
      <c r="F82" s="122"/>
      <c r="G82" s="112">
        <f t="shared" ref="G82:G92" si="8">F82-E82</f>
        <v>0</v>
      </c>
      <c r="H82" s="99">
        <f>G82+'9'!H82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'9'!F83</f>
        <v>0</v>
      </c>
      <c r="F83" s="122"/>
      <c r="G83" s="112">
        <f t="shared" si="8"/>
        <v>0</v>
      </c>
      <c r="H83" s="99">
        <f>G83+'9'!H83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'9'!F84</f>
        <v>41356</v>
      </c>
      <c r="F84" s="164">
        <v>41380</v>
      </c>
      <c r="G84" s="112">
        <f t="shared" si="8"/>
        <v>24</v>
      </c>
      <c r="H84" s="99">
        <f>G84+'9'!H84</f>
        <v>218</v>
      </c>
      <c r="I84" s="118"/>
      <c r="J84" s="175">
        <f>H84/DAY(B2)</f>
        <v>21.8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'9'!F85</f>
        <v>1241</v>
      </c>
      <c r="F85" s="164">
        <v>1254</v>
      </c>
      <c r="G85" s="112">
        <f t="shared" si="8"/>
        <v>13</v>
      </c>
      <c r="H85" s="99">
        <f>G85+'9'!H85</f>
        <v>75</v>
      </c>
      <c r="I85" s="118">
        <f>G82+G83+G84+G85</f>
        <v>37</v>
      </c>
      <c r="J85" s="175">
        <f>H85/DAY(B2)</f>
        <v>7.5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'9'!F86</f>
        <v>42826.47</v>
      </c>
      <c r="F86" s="164">
        <v>42826.47</v>
      </c>
      <c r="G86" s="112">
        <f t="shared" si="8"/>
        <v>0</v>
      </c>
      <c r="H86" s="99">
        <f>G86+'9'!H86</f>
        <v>0.47000000000116415</v>
      </c>
      <c r="I86" s="118"/>
      <c r="J86" s="175">
        <f>H86/DAY(B2)</f>
        <v>4.7000000000116414E-2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'9'!F87</f>
        <v>33353.43</v>
      </c>
      <c r="F87" s="164">
        <v>33353</v>
      </c>
      <c r="G87" s="112">
        <f t="shared" si="8"/>
        <v>-0.43000000000029104</v>
      </c>
      <c r="H87" s="99">
        <f>G87+'9'!H87</f>
        <v>39</v>
      </c>
      <c r="I87" s="118"/>
      <c r="J87" s="175">
        <f>H87/DAY(B2)</f>
        <v>3.9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'9'!F88</f>
        <v>23628.78</v>
      </c>
      <c r="F88" s="164">
        <v>23638</v>
      </c>
      <c r="G88" s="112">
        <f t="shared" si="8"/>
        <v>9.2200000000011642</v>
      </c>
      <c r="H88" s="99">
        <f>G88+'9'!H88</f>
        <v>47.029999999998836</v>
      </c>
      <c r="I88" s="118">
        <f>G86+G87+G88</f>
        <v>8.7900000000008731</v>
      </c>
      <c r="J88" s="175">
        <f>H88/DAY(B2)</f>
        <v>4.7029999999998839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'9'!F89</f>
        <v>25242</v>
      </c>
      <c r="F89" s="164">
        <v>25242</v>
      </c>
      <c r="G89" s="112">
        <f t="shared" si="8"/>
        <v>0</v>
      </c>
      <c r="H89" s="99">
        <f>G89+'9'!H89</f>
        <v>54.630000000001019</v>
      </c>
      <c r="I89" s="118"/>
      <c r="J89" s="175">
        <f>H89/DAY(B2)</f>
        <v>5.4630000000001022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'9'!F90</f>
        <v>70557</v>
      </c>
      <c r="F90" s="164">
        <v>70559</v>
      </c>
      <c r="G90" s="112">
        <f t="shared" si="8"/>
        <v>2</v>
      </c>
      <c r="H90" s="99">
        <f>G90+'9'!H90</f>
        <v>26.020000000004075</v>
      </c>
      <c r="I90" s="118">
        <f>G89+G90</f>
        <v>2</v>
      </c>
      <c r="J90" s="175">
        <f>H90/DAY(B2)</f>
        <v>2.6020000000004075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'9'!F91</f>
        <v>3022.91</v>
      </c>
      <c r="F91" s="122">
        <v>3034</v>
      </c>
      <c r="G91" s="112">
        <f t="shared" si="8"/>
        <v>11.090000000000146</v>
      </c>
      <c r="H91" s="99">
        <f>G91+'9'!H91</f>
        <v>108.13000000000011</v>
      </c>
      <c r="I91" s="165"/>
      <c r="J91" s="175">
        <f>H91/DAY(B2)</f>
        <v>10.813000000000011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'9'!F92</f>
        <v>4758.6000000000004</v>
      </c>
      <c r="F92" s="122">
        <v>4758.6000000000004</v>
      </c>
      <c r="G92" s="112">
        <f t="shared" si="8"/>
        <v>0</v>
      </c>
      <c r="H92" s="99">
        <f>G92+'9'!H92</f>
        <v>0.6000000000003638</v>
      </c>
      <c r="I92" s="165"/>
      <c r="J92" s="175">
        <f>H92/DAY(B2)</f>
        <v>6.0000000000036378E-2</v>
      </c>
      <c r="O92" s="71"/>
    </row>
    <row r="93" spans="1:15" ht="29.25" x14ac:dyDescent="0.5">
      <c r="A93" s="774" t="s">
        <v>239</v>
      </c>
      <c r="B93" s="775"/>
      <c r="C93" s="77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1" t="s">
        <v>240</v>
      </c>
      <c r="B94" s="772"/>
      <c r="C94" s="773"/>
      <c r="D94" s="151" t="s">
        <v>130</v>
      </c>
      <c r="E94" s="151"/>
      <c r="F94" s="151"/>
      <c r="G94" s="99">
        <f>G35+G43+G49+G57</f>
        <v>6616</v>
      </c>
      <c r="H94" s="99">
        <f>G94+'9'!H94</f>
        <v>64932.619999999995</v>
      </c>
      <c r="I94" s="118"/>
      <c r="J94" s="175">
        <f>H94/DAY(B2)</f>
        <v>6493.2619999999997</v>
      </c>
      <c r="K94" s="69"/>
      <c r="L94" s="66"/>
      <c r="O94" s="71"/>
    </row>
    <row r="95" spans="1:15" ht="27.75" x14ac:dyDescent="0.5">
      <c r="A95" s="771" t="s">
        <v>241</v>
      </c>
      <c r="B95" s="772"/>
      <c r="C95" s="773"/>
      <c r="D95" s="151" t="s">
        <v>23</v>
      </c>
      <c r="E95" s="146"/>
      <c r="F95" s="146"/>
      <c r="G95" s="166">
        <f>G94/G7</f>
        <v>0.27639219618164346</v>
      </c>
      <c r="H95" s="99">
        <f>G95+'9'!H95</f>
        <v>2.7715810566966246</v>
      </c>
      <c r="I95" s="167"/>
      <c r="J95" s="175">
        <f>H95/DAY(B2)</f>
        <v>0.27715810566966248</v>
      </c>
      <c r="K95" s="69"/>
      <c r="L95" s="66"/>
      <c r="O95" s="71"/>
    </row>
    <row r="96" spans="1:15" ht="27.75" x14ac:dyDescent="0.5">
      <c r="A96" s="771" t="s">
        <v>242</v>
      </c>
      <c r="B96" s="772"/>
      <c r="C96" s="773"/>
      <c r="D96" s="151" t="s">
        <v>130</v>
      </c>
      <c r="E96" s="95"/>
      <c r="F96" s="95"/>
      <c r="G96" s="99">
        <f>G41+G42+G55+G56</f>
        <v>7582</v>
      </c>
      <c r="H96" s="99">
        <f>G96+'9'!H96</f>
        <v>73491.409999999974</v>
      </c>
      <c r="I96" s="118"/>
      <c r="J96" s="175">
        <f>H96/DAY(B2)</f>
        <v>7349.1409999999978</v>
      </c>
      <c r="K96" s="69"/>
      <c r="L96" s="66"/>
      <c r="O96" s="71"/>
    </row>
    <row r="97" spans="1:15" ht="27.75" x14ac:dyDescent="0.5">
      <c r="A97" s="771" t="s">
        <v>243</v>
      </c>
      <c r="B97" s="772"/>
      <c r="C97" s="773"/>
      <c r="D97" s="151" t="s">
        <v>23</v>
      </c>
      <c r="E97" s="95"/>
      <c r="F97" s="95"/>
      <c r="G97" s="166">
        <f>G96/G7</f>
        <v>0.31674813050925343</v>
      </c>
      <c r="H97" s="99">
        <f>G97+'9'!H97</f>
        <v>3.1277968799840163</v>
      </c>
      <c r="I97" s="167"/>
      <c r="J97" s="175">
        <f>H97/DAY(B2)</f>
        <v>0.31277968799840161</v>
      </c>
      <c r="K97" s="69"/>
      <c r="L97" s="66"/>
      <c r="O97" s="71"/>
    </row>
    <row r="98" spans="1:15" ht="27.75" x14ac:dyDescent="0.5">
      <c r="A98" s="771" t="s">
        <v>244</v>
      </c>
      <c r="B98" s="772"/>
      <c r="C98" s="773"/>
      <c r="D98" s="151" t="s">
        <v>130</v>
      </c>
      <c r="E98" s="95"/>
      <c r="F98" s="95"/>
      <c r="G98" s="99">
        <f>G39+G53</f>
        <v>4216</v>
      </c>
      <c r="H98" s="99">
        <f>G98+'9'!H98</f>
        <v>41952</v>
      </c>
      <c r="I98" s="168"/>
      <c r="J98" s="175">
        <f>H98/DAY(B2)</f>
        <v>4195.2</v>
      </c>
      <c r="K98" s="69"/>
      <c r="L98" s="66"/>
      <c r="O98" s="71"/>
    </row>
    <row r="99" spans="1:15" ht="27.75" x14ac:dyDescent="0.5">
      <c r="A99" s="771" t="s">
        <v>245</v>
      </c>
      <c r="B99" s="772"/>
      <c r="C99" s="773"/>
      <c r="D99" s="151" t="s">
        <v>23</v>
      </c>
      <c r="E99" s="95"/>
      <c r="F99" s="95"/>
      <c r="G99" s="166">
        <f>G98/G7</f>
        <v>0.17612900530559386</v>
      </c>
      <c r="H99" s="99">
        <f>G99+'9'!H99</f>
        <v>1.7891476748835733</v>
      </c>
      <c r="I99" s="168"/>
      <c r="J99" s="175">
        <f>H99/DAY(B2)</f>
        <v>0.17891476748835733</v>
      </c>
      <c r="O99" s="71"/>
    </row>
    <row r="100" spans="1:15" ht="27.75" x14ac:dyDescent="0.5">
      <c r="A100" s="771" t="s">
        <v>246</v>
      </c>
      <c r="B100" s="772"/>
      <c r="C100" s="773"/>
      <c r="D100" s="151" t="s">
        <v>180</v>
      </c>
      <c r="E100" s="95"/>
      <c r="F100" s="95"/>
      <c r="G100" s="99">
        <f>G38+G52</f>
        <v>1960</v>
      </c>
      <c r="H100" s="99">
        <f>G100+'9'!H100</f>
        <v>19152</v>
      </c>
      <c r="I100" s="118"/>
      <c r="J100" s="175">
        <f>H100/DAY(B2)</f>
        <v>1915.2</v>
      </c>
      <c r="K100" s="70"/>
      <c r="O100" s="71"/>
    </row>
    <row r="101" spans="1:15" ht="27.75" x14ac:dyDescent="0.5">
      <c r="A101" s="771" t="s">
        <v>247</v>
      </c>
      <c r="B101" s="772"/>
      <c r="C101" s="773"/>
      <c r="D101" s="151" t="s">
        <v>23</v>
      </c>
      <c r="E101" s="95"/>
      <c r="F101" s="95"/>
      <c r="G101" s="166">
        <f>G100/G7</f>
        <v>8.1881605882107203E-2</v>
      </c>
      <c r="H101" s="99">
        <f>G101+'9'!H101</f>
        <v>0.81688710741142079</v>
      </c>
      <c r="I101" s="168"/>
      <c r="J101" s="175">
        <f>H101/DAY(B2)</f>
        <v>8.1688710741142076E-2</v>
      </c>
      <c r="O101" s="71"/>
    </row>
    <row r="102" spans="1:15" ht="27.75" x14ac:dyDescent="0.5">
      <c r="A102" s="771" t="s">
        <v>248</v>
      </c>
      <c r="B102" s="772"/>
      <c r="C102" s="773"/>
      <c r="D102" s="151" t="s">
        <v>180</v>
      </c>
      <c r="E102" s="95"/>
      <c r="F102" s="95"/>
      <c r="G102" s="99">
        <f>G36+G50</f>
        <v>1927</v>
      </c>
      <c r="H102" s="99">
        <f>G102+'9'!H102</f>
        <v>21456</v>
      </c>
      <c r="I102" s="168"/>
      <c r="J102" s="175">
        <f>H102/DAY(B2)</f>
        <v>2145.6</v>
      </c>
      <c r="O102" s="71"/>
    </row>
    <row r="103" spans="1:15" ht="27.75" x14ac:dyDescent="0.5">
      <c r="A103" s="771" t="s">
        <v>249</v>
      </c>
      <c r="B103" s="772"/>
      <c r="C103" s="773"/>
      <c r="D103" s="151" t="s">
        <v>23</v>
      </c>
      <c r="E103" s="95"/>
      <c r="F103" s="95"/>
      <c r="G103" s="166">
        <f>G102/G7</f>
        <v>8.0502987007561519E-2</v>
      </c>
      <c r="H103" s="99">
        <f>G103+'9'!H103</f>
        <v>0.91264295712308985</v>
      </c>
      <c r="I103" s="118"/>
      <c r="J103" s="175">
        <f>H103/DAY(B2)</f>
        <v>9.1264295712308985E-2</v>
      </c>
      <c r="O103" s="71"/>
    </row>
    <row r="104" spans="1:15" ht="27.75" x14ac:dyDescent="0.5">
      <c r="A104" s="771" t="s">
        <v>250</v>
      </c>
      <c r="B104" s="772"/>
      <c r="C104" s="773"/>
      <c r="D104" s="151" t="s">
        <v>180</v>
      </c>
      <c r="E104" s="95"/>
      <c r="F104" s="95"/>
      <c r="G104" s="99">
        <f>G37+G51</f>
        <v>1684</v>
      </c>
      <c r="H104" s="99">
        <f>G104+'9'!H104</f>
        <v>17238</v>
      </c>
      <c r="I104" s="118"/>
      <c r="J104" s="175">
        <f>H104/DAY(B2)</f>
        <v>1723.8</v>
      </c>
      <c r="O104" s="71"/>
    </row>
    <row r="105" spans="1:15" ht="28.5" thickBot="1" x14ac:dyDescent="0.55000000000000004">
      <c r="A105" s="764" t="s">
        <v>251</v>
      </c>
      <c r="B105" s="765"/>
      <c r="C105" s="766"/>
      <c r="D105" s="231" t="s">
        <v>23</v>
      </c>
      <c r="E105" s="185"/>
      <c r="F105" s="185"/>
      <c r="G105" s="186">
        <f>G104/G7</f>
        <v>7.0351338931361487E-2</v>
      </c>
      <c r="H105" s="99">
        <f>G105+'9'!H105</f>
        <v>0.73579126654105587</v>
      </c>
      <c r="I105" s="187"/>
      <c r="J105" s="188">
        <f>H105/DAY(B2)</f>
        <v>7.3579126654105584E-2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0" t="s">
        <v>324</v>
      </c>
      <c r="B108" s="760"/>
      <c r="C108" s="760"/>
      <c r="D108" s="760"/>
      <c r="E108" s="760"/>
      <c r="F108" s="760"/>
      <c r="G108" s="760"/>
      <c r="H108" s="760"/>
      <c r="I108" s="760"/>
      <c r="J108" s="760"/>
    </row>
    <row r="109" spans="1:15" ht="29.25" x14ac:dyDescent="0.5">
      <c r="A109" s="788"/>
      <c r="B109" s="788"/>
    </row>
    <row r="110" spans="1:15" ht="29.25" x14ac:dyDescent="0.5">
      <c r="A110" s="761" t="s">
        <v>165</v>
      </c>
      <c r="B110" s="762"/>
      <c r="C110" s="762"/>
      <c r="D110" s="762"/>
      <c r="E110" s="762"/>
      <c r="F110" s="762"/>
      <c r="G110" s="762"/>
      <c r="H110" s="762"/>
      <c r="I110" s="762"/>
      <c r="J110" s="763"/>
    </row>
    <row r="111" spans="1:15" ht="27.75" x14ac:dyDescent="0.5">
      <c r="A111" s="753"/>
      <c r="B111" s="754"/>
      <c r="C111" s="755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0" t="s">
        <v>252</v>
      </c>
      <c r="B112" s="751"/>
      <c r="C112" s="752"/>
      <c r="D112" s="146" t="s">
        <v>183</v>
      </c>
      <c r="E112" s="95">
        <f>'9'!F112</f>
        <v>49027</v>
      </c>
      <c r="F112" s="237">
        <v>49111</v>
      </c>
      <c r="G112" s="112">
        <f t="shared" ref="G112:G123" si="9">F112-E112</f>
        <v>84</v>
      </c>
      <c r="H112" s="99">
        <f>G112+'9'!H112</f>
        <v>834</v>
      </c>
      <c r="I112" s="165"/>
      <c r="J112" s="348">
        <f>H112/DAY(B2)</f>
        <v>83.4</v>
      </c>
    </row>
    <row r="113" spans="1:18" ht="29.25" customHeight="1" x14ac:dyDescent="0.5">
      <c r="A113" s="750" t="s">
        <v>253</v>
      </c>
      <c r="B113" s="751"/>
      <c r="C113" s="752"/>
      <c r="D113" s="146" t="s">
        <v>183</v>
      </c>
      <c r="E113" s="95">
        <f>'9'!F113</f>
        <v>154736</v>
      </c>
      <c r="F113" s="237">
        <v>155161</v>
      </c>
      <c r="G113" s="112">
        <f t="shared" si="9"/>
        <v>425</v>
      </c>
      <c r="H113" s="99">
        <f>G113+'9'!H113</f>
        <v>4630</v>
      </c>
      <c r="I113" s="165"/>
      <c r="J113" s="348">
        <f>H113/DAY(B2)</f>
        <v>463</v>
      </c>
    </row>
    <row r="114" spans="1:18" ht="29.25" customHeight="1" x14ac:dyDescent="0.5">
      <c r="A114" s="750" t="s">
        <v>254</v>
      </c>
      <c r="B114" s="751"/>
      <c r="C114" s="752"/>
      <c r="D114" s="146" t="s">
        <v>183</v>
      </c>
      <c r="E114" s="95">
        <f>'9'!F114</f>
        <v>72176</v>
      </c>
      <c r="F114" s="237">
        <v>72393</v>
      </c>
      <c r="G114" s="112">
        <f t="shared" si="9"/>
        <v>217</v>
      </c>
      <c r="H114" s="99">
        <f>G114+'9'!H114</f>
        <v>2193</v>
      </c>
      <c r="I114" s="165"/>
      <c r="J114" s="348">
        <f>H114/DAY(B2)</f>
        <v>219.3</v>
      </c>
    </row>
    <row r="115" spans="1:18" ht="29.25" customHeight="1" x14ac:dyDescent="0.5">
      <c r="A115" s="750" t="s">
        <v>255</v>
      </c>
      <c r="B115" s="751"/>
      <c r="C115" s="752"/>
      <c r="D115" s="146" t="s">
        <v>183</v>
      </c>
      <c r="E115" s="95">
        <f>'9'!F115</f>
        <v>7841</v>
      </c>
      <c r="F115" s="237">
        <v>7850</v>
      </c>
      <c r="G115" s="112">
        <f t="shared" si="9"/>
        <v>9</v>
      </c>
      <c r="H115" s="99">
        <f>G115+'9'!H115</f>
        <v>102</v>
      </c>
      <c r="I115" s="165"/>
      <c r="J115" s="348">
        <f>H115/DAY(B2)</f>
        <v>10.199999999999999</v>
      </c>
    </row>
    <row r="116" spans="1:18" ht="29.25" customHeight="1" x14ac:dyDescent="0.5">
      <c r="A116" s="757" t="s">
        <v>96</v>
      </c>
      <c r="B116" s="758"/>
      <c r="C116" s="759"/>
      <c r="D116" s="146" t="s">
        <v>183</v>
      </c>
      <c r="E116" s="95">
        <f>'9'!F116</f>
        <v>0</v>
      </c>
      <c r="F116" s="237">
        <v>0</v>
      </c>
      <c r="G116" s="112">
        <f t="shared" si="9"/>
        <v>0</v>
      </c>
      <c r="H116" s="99">
        <f>G116+'9'!H116</f>
        <v>0</v>
      </c>
      <c r="I116" s="165"/>
      <c r="J116" s="348">
        <f>H116/DAY(B2)</f>
        <v>0</v>
      </c>
      <c r="Q116" s="750" t="s">
        <v>311</v>
      </c>
      <c r="R116" s="752"/>
    </row>
    <row r="117" spans="1:18" ht="29.25" customHeight="1" x14ac:dyDescent="0.5">
      <c r="A117" s="757" t="s">
        <v>184</v>
      </c>
      <c r="B117" s="758"/>
      <c r="C117" s="759"/>
      <c r="D117" s="146" t="s">
        <v>183</v>
      </c>
      <c r="E117" s="95">
        <f>'9'!F117</f>
        <v>602</v>
      </c>
      <c r="F117" s="237">
        <v>633</v>
      </c>
      <c r="G117" s="112">
        <f t="shared" si="9"/>
        <v>31</v>
      </c>
      <c r="H117" s="99">
        <f>G117+'9'!H117</f>
        <v>217</v>
      </c>
      <c r="I117" s="165"/>
      <c r="J117" s="348">
        <f>H117/DAY(B2)</f>
        <v>21.7</v>
      </c>
      <c r="Q117" s="750" t="s">
        <v>312</v>
      </c>
      <c r="R117" s="752"/>
    </row>
    <row r="118" spans="1:18" ht="27.75" x14ac:dyDescent="0.5">
      <c r="A118" s="749" t="s">
        <v>97</v>
      </c>
      <c r="B118" s="749"/>
      <c r="C118" s="749"/>
      <c r="D118" s="151" t="s">
        <v>183</v>
      </c>
      <c r="E118" s="95">
        <f>'9'!F118</f>
        <v>210254</v>
      </c>
      <c r="F118" s="237">
        <v>210632</v>
      </c>
      <c r="G118" s="112">
        <f t="shared" si="9"/>
        <v>378</v>
      </c>
      <c r="H118" s="99">
        <f>G118+'9'!H118</f>
        <v>4100</v>
      </c>
      <c r="I118" s="165"/>
      <c r="J118" s="348">
        <f>H118/DAY(B2)</f>
        <v>410</v>
      </c>
      <c r="Q118" s="750" t="s">
        <v>311</v>
      </c>
      <c r="R118" s="752"/>
    </row>
    <row r="119" spans="1:18" ht="27.75" x14ac:dyDescent="0.5">
      <c r="A119" s="749" t="s">
        <v>98</v>
      </c>
      <c r="B119" s="749"/>
      <c r="C119" s="749"/>
      <c r="D119" s="151" t="s">
        <v>183</v>
      </c>
      <c r="E119" s="95">
        <f>'9'!F119</f>
        <v>209694</v>
      </c>
      <c r="F119" s="237">
        <v>210099</v>
      </c>
      <c r="G119" s="112">
        <f t="shared" si="9"/>
        <v>405</v>
      </c>
      <c r="H119" s="99">
        <f>G119+'9'!H119</f>
        <v>3869</v>
      </c>
      <c r="I119" s="165"/>
      <c r="J119" s="348">
        <f>H119/DAY(B2)</f>
        <v>386.9</v>
      </c>
    </row>
    <row r="120" spans="1:18" ht="27.75" x14ac:dyDescent="0.5">
      <c r="A120" s="749" t="s">
        <v>99</v>
      </c>
      <c r="B120" s="749"/>
      <c r="C120" s="749"/>
      <c r="D120" s="151" t="s">
        <v>183</v>
      </c>
      <c r="E120" s="95">
        <f>'9'!F120</f>
        <v>9190</v>
      </c>
      <c r="F120" s="237">
        <v>9594</v>
      </c>
      <c r="G120" s="112">
        <f t="shared" si="9"/>
        <v>404</v>
      </c>
      <c r="H120" s="99">
        <f>G120+'9'!H120</f>
        <v>4079</v>
      </c>
      <c r="I120" s="165"/>
      <c r="J120" s="348">
        <f>H120/DAY(B2)</f>
        <v>407.9</v>
      </c>
    </row>
    <row r="121" spans="1:18" ht="27.75" x14ac:dyDescent="0.5">
      <c r="A121" s="749" t="s">
        <v>100</v>
      </c>
      <c r="B121" s="749"/>
      <c r="C121" s="749"/>
      <c r="D121" s="151" t="s">
        <v>183</v>
      </c>
      <c r="E121" s="95">
        <f>'9'!F121</f>
        <v>316060</v>
      </c>
      <c r="F121" s="237">
        <v>316748</v>
      </c>
      <c r="G121" s="112">
        <f t="shared" si="9"/>
        <v>688</v>
      </c>
      <c r="H121" s="99">
        <f>G121+'9'!H121</f>
        <v>7303.2700000000186</v>
      </c>
      <c r="I121" s="165"/>
      <c r="J121" s="348">
        <f>H121/DAY(B2)</f>
        <v>730.32700000000182</v>
      </c>
    </row>
    <row r="122" spans="1:18" ht="27.75" x14ac:dyDescent="0.5">
      <c r="A122" s="749" t="s">
        <v>101</v>
      </c>
      <c r="B122" s="749"/>
      <c r="C122" s="749"/>
      <c r="D122" s="151" t="s">
        <v>183</v>
      </c>
      <c r="E122" s="95">
        <f>'9'!F122</f>
        <v>94399</v>
      </c>
      <c r="F122" s="237">
        <v>94698</v>
      </c>
      <c r="G122" s="112">
        <f t="shared" si="9"/>
        <v>299</v>
      </c>
      <c r="H122" s="99">
        <f>G122+'9'!H122</f>
        <v>3076</v>
      </c>
      <c r="I122" s="165"/>
      <c r="J122" s="348">
        <f>H122/DAY(B2)</f>
        <v>307.60000000000002</v>
      </c>
    </row>
    <row r="123" spans="1:18" ht="27.75" x14ac:dyDescent="0.5">
      <c r="A123" s="749" t="s">
        <v>102</v>
      </c>
      <c r="B123" s="749"/>
      <c r="C123" s="749"/>
      <c r="D123" s="151" t="s">
        <v>183</v>
      </c>
      <c r="E123" s="95">
        <f>'9'!F123</f>
        <v>118529</v>
      </c>
      <c r="F123" s="237">
        <v>118858</v>
      </c>
      <c r="G123" s="112">
        <f t="shared" si="9"/>
        <v>329</v>
      </c>
      <c r="H123" s="99">
        <f>G123+'9'!H123</f>
        <v>3315</v>
      </c>
      <c r="I123" s="165"/>
      <c r="J123" s="348">
        <f>H123/DAY(B2)</f>
        <v>331.5</v>
      </c>
    </row>
    <row r="124" spans="1:18" ht="29.25" customHeight="1" x14ac:dyDescent="0.5">
      <c r="A124" s="753"/>
      <c r="B124" s="754"/>
      <c r="C124" s="755"/>
      <c r="D124" s="165"/>
      <c r="E124" s="95">
        <f>'9'!F124</f>
        <v>0</v>
      </c>
      <c r="F124" s="165"/>
      <c r="G124" s="347"/>
      <c r="H124" s="99">
        <f>G124+'9'!H124</f>
        <v>0</v>
      </c>
      <c r="I124" s="165"/>
      <c r="J124" s="347"/>
    </row>
    <row r="125" spans="1:18" ht="27.75" x14ac:dyDescent="0.5">
      <c r="A125" s="737"/>
      <c r="B125" s="737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56" t="s">
        <v>317</v>
      </c>
      <c r="B126" s="756"/>
      <c r="C126" s="756"/>
      <c r="D126" s="756"/>
      <c r="E126" s="756"/>
      <c r="F126" s="756"/>
      <c r="G126" s="756"/>
      <c r="H126" s="756"/>
      <c r="I126" s="756"/>
      <c r="J126" s="756"/>
    </row>
    <row r="127" spans="1:18" ht="27.75" x14ac:dyDescent="0.5">
      <c r="A127" s="737"/>
      <c r="B127" s="737"/>
      <c r="C127" s="246"/>
      <c r="D127" s="317"/>
      <c r="E127" s="318"/>
      <c r="F127" s="318"/>
      <c r="G127" s="319"/>
      <c r="H127" s="99">
        <f>G127+'9'!H127</f>
        <v>0</v>
      </c>
      <c r="I127" s="165"/>
      <c r="J127" s="348">
        <f>H127/DAY(B2)</f>
        <v>0</v>
      </c>
    </row>
    <row r="128" spans="1:18" ht="29.25" customHeight="1" x14ac:dyDescent="0.5">
      <c r="A128" s="750" t="s">
        <v>318</v>
      </c>
      <c r="B128" s="751"/>
      <c r="C128" s="752"/>
      <c r="D128" s="151" t="s">
        <v>183</v>
      </c>
      <c r="E128" s="95">
        <f>'9'!F128</f>
        <v>10480</v>
      </c>
      <c r="F128" s="155">
        <v>10831</v>
      </c>
      <c r="G128" s="112">
        <f t="shared" ref="G128:G134" si="10">F128-E128</f>
        <v>351</v>
      </c>
      <c r="H128" s="99">
        <f>G128+'9'!H128</f>
        <v>3220</v>
      </c>
      <c r="I128" s="165"/>
      <c r="J128" s="348">
        <f>H128/DAY(B2)</f>
        <v>322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'9'!F129</f>
        <v>1901</v>
      </c>
      <c r="F129" s="155">
        <v>2131</v>
      </c>
      <c r="G129" s="112">
        <f t="shared" si="10"/>
        <v>230</v>
      </c>
      <c r="H129" s="99">
        <f>G129+'9'!H129</f>
        <v>2017</v>
      </c>
      <c r="I129" s="165"/>
      <c r="J129" s="348">
        <f>H129/DAY(B2)</f>
        <v>201.7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'9'!F130</f>
        <v>2293</v>
      </c>
      <c r="F130" s="155">
        <v>2564</v>
      </c>
      <c r="G130" s="112">
        <f t="shared" si="10"/>
        <v>271</v>
      </c>
      <c r="H130" s="99">
        <f>G130+'9'!H130</f>
        <v>2384</v>
      </c>
      <c r="I130" s="165"/>
      <c r="J130" s="348">
        <f>H130/DAY(B2)</f>
        <v>238.4</v>
      </c>
      <c r="N130" s="240"/>
      <c r="O130" s="241"/>
    </row>
    <row r="131" spans="1:15" ht="27.75" x14ac:dyDescent="0.5">
      <c r="A131" s="750" t="s">
        <v>321</v>
      </c>
      <c r="B131" s="751"/>
      <c r="C131" s="752"/>
      <c r="D131" s="151" t="s">
        <v>183</v>
      </c>
      <c r="E131" s="95">
        <f>'9'!F131</f>
        <v>1333</v>
      </c>
      <c r="F131" s="155">
        <v>1419</v>
      </c>
      <c r="G131" s="112">
        <f t="shared" si="10"/>
        <v>86</v>
      </c>
      <c r="H131" s="99">
        <f>G131+'9'!H131</f>
        <v>1309</v>
      </c>
      <c r="I131" s="165"/>
      <c r="J131" s="348">
        <f>H131/DAY(B2)</f>
        <v>130.9</v>
      </c>
      <c r="N131" s="240"/>
      <c r="O131" s="241"/>
    </row>
    <row r="132" spans="1:15" ht="27.75" x14ac:dyDescent="0.5">
      <c r="A132" s="750" t="s">
        <v>322</v>
      </c>
      <c r="B132" s="751"/>
      <c r="C132" s="752"/>
      <c r="D132" s="151" t="s">
        <v>183</v>
      </c>
      <c r="E132" s="95">
        <f>'9'!F132</f>
        <v>3835</v>
      </c>
      <c r="F132" s="155">
        <v>4222</v>
      </c>
      <c r="G132" s="112">
        <f t="shared" si="10"/>
        <v>387</v>
      </c>
      <c r="H132" s="99">
        <f>G132+'9'!H132</f>
        <v>3901</v>
      </c>
      <c r="I132" s="165"/>
      <c r="J132" s="348">
        <f>H132/DAY(B2)</f>
        <v>390.1</v>
      </c>
    </row>
    <row r="133" spans="1:15" ht="27.75" x14ac:dyDescent="0.5">
      <c r="A133" s="750" t="s">
        <v>323</v>
      </c>
      <c r="B133" s="751"/>
      <c r="C133" s="752"/>
      <c r="D133" s="151" t="s">
        <v>183</v>
      </c>
      <c r="E133" s="95">
        <f>'9'!F133</f>
        <v>23423</v>
      </c>
      <c r="F133" s="155">
        <v>24281</v>
      </c>
      <c r="G133" s="112">
        <f t="shared" si="10"/>
        <v>858</v>
      </c>
      <c r="H133" s="99">
        <f>G133+'9'!H133</f>
        <v>7890</v>
      </c>
      <c r="I133" s="165"/>
      <c r="J133" s="348">
        <f>H133/DAY(B2)</f>
        <v>789</v>
      </c>
    </row>
    <row r="134" spans="1:15" ht="27.75" x14ac:dyDescent="0.5">
      <c r="A134" s="750" t="s">
        <v>340</v>
      </c>
      <c r="B134" s="751"/>
      <c r="C134" s="752"/>
      <c r="D134" s="151" t="s">
        <v>183</v>
      </c>
      <c r="E134" s="95">
        <f>'9'!F134</f>
        <v>618209</v>
      </c>
      <c r="F134" s="155">
        <v>618842</v>
      </c>
      <c r="G134" s="112">
        <f t="shared" si="10"/>
        <v>633</v>
      </c>
      <c r="H134" s="99">
        <f>G134+'9'!H134</f>
        <v>4427</v>
      </c>
      <c r="I134" s="165"/>
      <c r="J134" s="348">
        <f>H134/DAY(B2)</f>
        <v>442.7</v>
      </c>
    </row>
    <row r="135" spans="1:15" ht="27.75" x14ac:dyDescent="0.5">
      <c r="A135" s="753"/>
      <c r="B135" s="754"/>
      <c r="C135" s="755"/>
      <c r="D135" s="151"/>
      <c r="E135" s="95"/>
      <c r="F135" s="165"/>
      <c r="G135" s="112"/>
      <c r="H135" s="99">
        <f>G135+'9'!H135</f>
        <v>5534.2300000000005</v>
      </c>
      <c r="I135" s="165"/>
      <c r="J135" s="348" t="e">
        <f t="shared" ref="J135" si="11">H135/DAY(B54)</f>
        <v>#DIV/0!</v>
      </c>
    </row>
    <row r="136" spans="1:15" ht="31.5" x14ac:dyDescent="0.55000000000000004">
      <c r="A136" s="736" t="s">
        <v>325</v>
      </c>
      <c r="B136" s="736"/>
      <c r="C136" s="736"/>
      <c r="D136" s="736"/>
      <c r="E136" s="736"/>
      <c r="F136" s="736"/>
      <c r="G136" s="736"/>
      <c r="H136" s="736"/>
      <c r="I136" s="736"/>
      <c r="J136" s="736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49" t="s">
        <v>185</v>
      </c>
      <c r="B138" s="749"/>
      <c r="C138" s="749"/>
      <c r="D138" s="151" t="s">
        <v>183</v>
      </c>
      <c r="E138" s="95">
        <f>'9'!F138</f>
        <v>858108</v>
      </c>
      <c r="F138" s="147">
        <v>858197</v>
      </c>
      <c r="G138" s="112">
        <f t="shared" ref="G138:G152" si="12">F138-E138</f>
        <v>89</v>
      </c>
      <c r="H138" s="99">
        <f>G138+'9'!H138</f>
        <v>844</v>
      </c>
      <c r="I138" s="118"/>
      <c r="J138" s="348">
        <f>H138/DAY(B2)</f>
        <v>84.4</v>
      </c>
    </row>
    <row r="139" spans="1:15" ht="27.75" x14ac:dyDescent="0.5">
      <c r="A139" s="749" t="s">
        <v>186</v>
      </c>
      <c r="B139" s="749"/>
      <c r="C139" s="749"/>
      <c r="D139" s="151" t="s">
        <v>183</v>
      </c>
      <c r="E139" s="95">
        <f>'9'!F139</f>
        <v>886067</v>
      </c>
      <c r="F139" s="148">
        <v>886068</v>
      </c>
      <c r="G139" s="112">
        <f t="shared" si="12"/>
        <v>1</v>
      </c>
      <c r="H139" s="99">
        <f>G139+'9'!H139</f>
        <v>6</v>
      </c>
      <c r="I139" s="118"/>
      <c r="J139" s="348">
        <f>H139/DAY(B2)</f>
        <v>0.6</v>
      </c>
    </row>
    <row r="140" spans="1:15" ht="27.75" x14ac:dyDescent="0.5">
      <c r="A140" s="749" t="s">
        <v>187</v>
      </c>
      <c r="B140" s="749"/>
      <c r="C140" s="749"/>
      <c r="D140" s="151" t="s">
        <v>183</v>
      </c>
      <c r="E140" s="95">
        <f>'9'!F140</f>
        <v>88797</v>
      </c>
      <c r="F140" s="149">
        <v>88797</v>
      </c>
      <c r="G140" s="112">
        <f t="shared" si="12"/>
        <v>0</v>
      </c>
      <c r="H140" s="99">
        <f>G140+'9'!H140</f>
        <v>-1</v>
      </c>
      <c r="I140" s="118"/>
      <c r="J140" s="348">
        <f>H140/DAY(B2)</f>
        <v>-0.1</v>
      </c>
    </row>
    <row r="141" spans="1:15" ht="27.75" x14ac:dyDescent="0.5">
      <c r="A141" s="728" t="s">
        <v>188</v>
      </c>
      <c r="B141" s="728"/>
      <c r="C141" s="728"/>
      <c r="D141" s="151" t="s">
        <v>183</v>
      </c>
      <c r="E141" s="95">
        <f>'9'!F141</f>
        <v>33211</v>
      </c>
      <c r="F141" s="149">
        <v>33395</v>
      </c>
      <c r="G141" s="112">
        <f t="shared" si="12"/>
        <v>184</v>
      </c>
      <c r="H141" s="99">
        <f>G141+'9'!H141</f>
        <v>1859</v>
      </c>
      <c r="I141" s="118"/>
      <c r="J141" s="348">
        <f>H141/DAY(B2)</f>
        <v>185.9</v>
      </c>
    </row>
    <row r="142" spans="1:15" ht="27.75" x14ac:dyDescent="0.5">
      <c r="A142" s="728" t="s">
        <v>189</v>
      </c>
      <c r="B142" s="728"/>
      <c r="C142" s="728"/>
      <c r="D142" s="151" t="s">
        <v>183</v>
      </c>
      <c r="E142" s="95">
        <f>'9'!F142</f>
        <v>15957</v>
      </c>
      <c r="F142" s="148">
        <v>16031</v>
      </c>
      <c r="G142" s="112">
        <f t="shared" si="12"/>
        <v>74</v>
      </c>
      <c r="H142" s="99">
        <f>G142+'9'!H142</f>
        <v>709</v>
      </c>
      <c r="I142" s="140"/>
      <c r="J142" s="348">
        <f>H142/DAY(B2)</f>
        <v>70.900000000000006</v>
      </c>
    </row>
    <row r="143" spans="1:15" ht="27.75" x14ac:dyDescent="0.5">
      <c r="A143" s="749" t="s">
        <v>91</v>
      </c>
      <c r="B143" s="749"/>
      <c r="C143" s="749"/>
      <c r="D143" s="151" t="s">
        <v>183</v>
      </c>
      <c r="E143" s="95">
        <f>'9'!F143</f>
        <v>767</v>
      </c>
      <c r="F143" s="149">
        <v>797</v>
      </c>
      <c r="G143" s="112">
        <f t="shared" si="12"/>
        <v>30</v>
      </c>
      <c r="H143" s="99">
        <f>G143+'9'!H143</f>
        <v>268</v>
      </c>
      <c r="I143" s="140"/>
      <c r="J143" s="348">
        <f>H143/DAY(B2)</f>
        <v>26.8</v>
      </c>
      <c r="O143" s="148">
        <v>582206</v>
      </c>
    </row>
    <row r="144" spans="1:15" ht="27.75" x14ac:dyDescent="0.5">
      <c r="A144" s="728" t="s">
        <v>90</v>
      </c>
      <c r="B144" s="728"/>
      <c r="C144" s="728"/>
      <c r="D144" s="151" t="s">
        <v>183</v>
      </c>
      <c r="E144" s="95">
        <f>'9'!F144</f>
        <v>851553</v>
      </c>
      <c r="F144" s="149">
        <v>851703</v>
      </c>
      <c r="G144" s="112">
        <f t="shared" si="12"/>
        <v>150</v>
      </c>
      <c r="H144" s="99">
        <f>G144+'9'!H144</f>
        <v>1666</v>
      </c>
      <c r="I144" s="140"/>
      <c r="J144" s="348">
        <f>H144/DAY(B2)</f>
        <v>166.6</v>
      </c>
    </row>
    <row r="145" spans="1:10" ht="27.75" x14ac:dyDescent="0.5">
      <c r="A145" s="749" t="s">
        <v>190</v>
      </c>
      <c r="B145" s="749"/>
      <c r="C145" s="749"/>
      <c r="D145" s="152" t="s">
        <v>183</v>
      </c>
      <c r="E145" s="95">
        <f>'9'!F145</f>
        <v>1349</v>
      </c>
      <c r="F145" s="149">
        <v>1391</v>
      </c>
      <c r="G145" s="112">
        <f t="shared" si="12"/>
        <v>42</v>
      </c>
      <c r="H145" s="99">
        <f>G145+'9'!H145</f>
        <v>437</v>
      </c>
      <c r="I145" s="140"/>
      <c r="J145" s="348">
        <f>H145/DAY(B2)</f>
        <v>43.7</v>
      </c>
    </row>
    <row r="146" spans="1:10" ht="27.75" x14ac:dyDescent="0.5">
      <c r="A146" s="784" t="s">
        <v>191</v>
      </c>
      <c r="B146" s="769"/>
      <c r="C146" s="770"/>
      <c r="D146" s="152" t="s">
        <v>183</v>
      </c>
      <c r="E146" s="95">
        <f>'9'!F146</f>
        <v>690058</v>
      </c>
      <c r="F146" s="148">
        <v>690419</v>
      </c>
      <c r="G146" s="112">
        <f t="shared" si="12"/>
        <v>361</v>
      </c>
      <c r="H146" s="99">
        <f>G146+'9'!H146</f>
        <v>3227</v>
      </c>
      <c r="I146" s="140"/>
      <c r="J146" s="348">
        <f>H146/DAY(B2)</f>
        <v>322.7</v>
      </c>
    </row>
    <row r="147" spans="1:10" ht="27.75" x14ac:dyDescent="0.5">
      <c r="A147" s="728" t="s">
        <v>192</v>
      </c>
      <c r="B147" s="728"/>
      <c r="C147" s="728"/>
      <c r="D147" s="152" t="s">
        <v>183</v>
      </c>
      <c r="E147" s="95">
        <f>'9'!F147</f>
        <v>579796</v>
      </c>
      <c r="F147" s="148">
        <v>580206</v>
      </c>
      <c r="G147" s="112">
        <f t="shared" si="12"/>
        <v>410</v>
      </c>
      <c r="H147" s="99">
        <f>G147+'9'!H147</f>
        <v>4134</v>
      </c>
      <c r="I147" s="140"/>
      <c r="J147" s="348">
        <f>H147/DAY(B2)</f>
        <v>413.4</v>
      </c>
    </row>
    <row r="148" spans="1:10" ht="27.75" x14ac:dyDescent="0.5">
      <c r="A148" s="729" t="s">
        <v>193</v>
      </c>
      <c r="B148" s="730"/>
      <c r="C148" s="731"/>
      <c r="D148" s="123" t="s">
        <v>130</v>
      </c>
      <c r="E148" s="95">
        <f>'9'!F148</f>
        <v>660292</v>
      </c>
      <c r="F148" s="150">
        <v>660482</v>
      </c>
      <c r="G148" s="112">
        <f t="shared" si="12"/>
        <v>190</v>
      </c>
      <c r="H148" s="99">
        <f>G148+'9'!H148</f>
        <v>1882</v>
      </c>
      <c r="I148" s="124"/>
      <c r="J148" s="348">
        <f>H148/DAY(B2)</f>
        <v>188.2</v>
      </c>
    </row>
    <row r="149" spans="1:10" ht="27.75" x14ac:dyDescent="0.5">
      <c r="A149" s="729" t="s">
        <v>336</v>
      </c>
      <c r="B149" s="730"/>
      <c r="C149" s="731"/>
      <c r="D149" s="227" t="s">
        <v>130</v>
      </c>
      <c r="E149" s="95">
        <f>'9'!F149</f>
        <v>77407</v>
      </c>
      <c r="F149" s="146">
        <v>77768</v>
      </c>
      <c r="G149" s="112">
        <f t="shared" si="12"/>
        <v>361</v>
      </c>
      <c r="H149" s="99">
        <f>G149+'9'!H149</f>
        <v>2346</v>
      </c>
      <c r="I149" s="119"/>
      <c r="J149" s="348">
        <f>H149/DAY(B2)</f>
        <v>234.6</v>
      </c>
    </row>
    <row r="150" spans="1:10" ht="27.75" x14ac:dyDescent="0.5">
      <c r="A150" s="729" t="s">
        <v>337</v>
      </c>
      <c r="B150" s="730"/>
      <c r="C150" s="731"/>
      <c r="D150" s="117" t="s">
        <v>130</v>
      </c>
      <c r="E150" s="95">
        <f>'9'!F150</f>
        <v>7167232</v>
      </c>
      <c r="F150" s="233">
        <v>7167232</v>
      </c>
      <c r="G150" s="112">
        <f t="shared" si="12"/>
        <v>0</v>
      </c>
      <c r="H150" s="99">
        <f>G150+'9'!H150</f>
        <v>0</v>
      </c>
      <c r="I150" s="119"/>
      <c r="J150" s="348">
        <f>H150/DAY(B2)</f>
        <v>0</v>
      </c>
    </row>
    <row r="151" spans="1:10" ht="27.75" x14ac:dyDescent="0.5">
      <c r="A151" s="729" t="s">
        <v>338</v>
      </c>
      <c r="B151" s="730"/>
      <c r="C151" s="731"/>
      <c r="D151" s="117" t="s">
        <v>130</v>
      </c>
      <c r="E151" s="95">
        <f>'9'!F151</f>
        <v>56294</v>
      </c>
      <c r="F151" s="233">
        <v>56585</v>
      </c>
      <c r="G151" s="112">
        <f t="shared" si="12"/>
        <v>291</v>
      </c>
      <c r="H151" s="99">
        <f>G151+'9'!H151</f>
        <v>3206</v>
      </c>
      <c r="I151" s="119"/>
      <c r="J151" s="348">
        <f>H151/DAY(B2)</f>
        <v>320.60000000000002</v>
      </c>
    </row>
    <row r="152" spans="1:10" ht="27.75" x14ac:dyDescent="0.5">
      <c r="A152" s="729" t="s">
        <v>339</v>
      </c>
      <c r="B152" s="730"/>
      <c r="C152" s="731"/>
      <c r="D152" s="117" t="s">
        <v>130</v>
      </c>
      <c r="E152" s="95">
        <f>'9'!F152</f>
        <v>0</v>
      </c>
      <c r="F152" s="233">
        <v>0</v>
      </c>
      <c r="G152" s="112">
        <f t="shared" si="12"/>
        <v>0</v>
      </c>
      <c r="H152" s="99">
        <f>G152+'9'!H152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36" t="s">
        <v>344</v>
      </c>
      <c r="B154" s="736"/>
      <c r="C154" s="736"/>
      <c r="D154" s="736"/>
      <c r="E154" s="736"/>
      <c r="F154" s="736"/>
      <c r="G154" s="736"/>
      <c r="H154" s="736"/>
      <c r="I154" s="736"/>
      <c r="J154" s="736"/>
    </row>
    <row r="155" spans="1:10" ht="31.5" x14ac:dyDescent="0.55000000000000004">
      <c r="A155" s="728" t="s">
        <v>345</v>
      </c>
      <c r="B155" s="728"/>
      <c r="C155" s="728"/>
      <c r="D155" s="117" t="s">
        <v>130</v>
      </c>
      <c r="E155" s="95">
        <f>'9'!F155</f>
        <v>77087</v>
      </c>
      <c r="F155" s="385">
        <v>77095</v>
      </c>
      <c r="G155" s="112">
        <f t="shared" ref="G155:G156" si="13">F155-E155</f>
        <v>8</v>
      </c>
      <c r="H155" s="99">
        <f>G155+'9'!H155</f>
        <v>67.100000000005821</v>
      </c>
      <c r="I155" s="385"/>
      <c r="J155" s="348">
        <f>H155/DAY(B2)</f>
        <v>6.7100000000005817</v>
      </c>
    </row>
    <row r="156" spans="1:10" ht="27.75" x14ac:dyDescent="0.5">
      <c r="A156" s="728" t="s">
        <v>346</v>
      </c>
      <c r="B156" s="728"/>
      <c r="C156" s="728"/>
      <c r="D156" s="117" t="s">
        <v>130</v>
      </c>
      <c r="E156" s="95">
        <f>'9'!F156</f>
        <v>0</v>
      </c>
      <c r="F156" s="155">
        <v>0</v>
      </c>
      <c r="G156" s="112">
        <f t="shared" si="13"/>
        <v>0</v>
      </c>
      <c r="H156" s="99">
        <f>G156+'9'!H156</f>
        <v>0</v>
      </c>
      <c r="I156" s="165"/>
      <c r="J156" s="348">
        <f>H156/DAY(B2)</f>
        <v>0</v>
      </c>
    </row>
    <row r="157" spans="1:10" ht="31.5" x14ac:dyDescent="0.55000000000000004">
      <c r="A157" s="736" t="s">
        <v>326</v>
      </c>
      <c r="B157" s="736"/>
      <c r="C157" s="736"/>
      <c r="D157" s="736"/>
      <c r="E157" s="736"/>
      <c r="F157" s="736"/>
      <c r="G157" s="736"/>
      <c r="H157" s="736"/>
      <c r="I157" s="736"/>
      <c r="J157" s="736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'9'!F158</f>
        <v>466558</v>
      </c>
      <c r="F158" s="235">
        <v>466561</v>
      </c>
      <c r="G158" s="238">
        <f t="shared" ref="G158:G162" si="14">F158-E158</f>
        <v>3</v>
      </c>
      <c r="H158" s="99">
        <f>G158+'9'!H158</f>
        <v>1300</v>
      </c>
      <c r="I158" s="236"/>
      <c r="J158" s="239">
        <f>H158/DAY(B2)</f>
        <v>130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'9'!F159</f>
        <v>85118</v>
      </c>
      <c r="F159" s="235">
        <v>85136</v>
      </c>
      <c r="G159" s="238">
        <f t="shared" si="14"/>
        <v>18</v>
      </c>
      <c r="H159" s="99">
        <f>G159+'9'!H159</f>
        <v>326</v>
      </c>
      <c r="I159" s="236"/>
      <c r="J159" s="239">
        <f>H159/DAY(B2)</f>
        <v>32.6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'9'!F160</f>
        <v>71607</v>
      </c>
      <c r="F160" s="235">
        <v>71650</v>
      </c>
      <c r="G160" s="238">
        <f t="shared" si="14"/>
        <v>43</v>
      </c>
      <c r="H160" s="99">
        <f>G160+'9'!H160</f>
        <v>679</v>
      </c>
      <c r="I160" s="236"/>
      <c r="J160" s="239">
        <f>H160/DAY(B2)</f>
        <v>67.900000000000006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'9'!F161</f>
        <v>3854</v>
      </c>
      <c r="F161" s="235">
        <v>3861</v>
      </c>
      <c r="G161" s="238">
        <f t="shared" si="14"/>
        <v>7</v>
      </c>
      <c r="H161" s="99">
        <f>G161+'9'!H161</f>
        <v>64</v>
      </c>
      <c r="I161" s="236"/>
      <c r="J161" s="239">
        <f>H161/DAY(B2)</f>
        <v>6.4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'9'!F162</f>
        <v>29039</v>
      </c>
      <c r="F162" s="235">
        <v>29040</v>
      </c>
      <c r="G162" s="238">
        <f t="shared" si="14"/>
        <v>1</v>
      </c>
      <c r="H162" s="99">
        <f>G162+'9'!H162</f>
        <v>68</v>
      </c>
      <c r="I162" s="236"/>
      <c r="J162" s="239">
        <f>H162/DAY(B2)</f>
        <v>6.8</v>
      </c>
    </row>
    <row r="163" spans="1:10" ht="29.25" x14ac:dyDescent="0.5">
      <c r="A163" s="737"/>
      <c r="B163" s="737"/>
      <c r="C163" s="247"/>
      <c r="D163" s="244" t="s">
        <v>180</v>
      </c>
      <c r="E163" s="95">
        <f>'9'!F163</f>
        <v>0</v>
      </c>
      <c r="F163" s="165"/>
      <c r="G163" s="165"/>
      <c r="H163" s="99">
        <f>G163+'9'!H163</f>
        <v>0</v>
      </c>
      <c r="I163" s="165"/>
      <c r="J163" s="239">
        <f>H163/DAY(B2)</f>
        <v>0</v>
      </c>
    </row>
    <row r="164" spans="1:10" ht="29.25" x14ac:dyDescent="0.5">
      <c r="A164" s="737"/>
      <c r="B164" s="737"/>
      <c r="C164" s="247"/>
      <c r="D164" s="244" t="s">
        <v>180</v>
      </c>
      <c r="E164" s="95">
        <f>'9'!F164</f>
        <v>0</v>
      </c>
      <c r="F164" s="165"/>
      <c r="G164" s="165"/>
      <c r="H164" s="99">
        <f>G164+'9'!H164</f>
        <v>0</v>
      </c>
      <c r="I164" s="165"/>
      <c r="J164" s="239">
        <f>H164/DAY(B2)</f>
        <v>0</v>
      </c>
    </row>
    <row r="165" spans="1:10" ht="29.25" x14ac:dyDescent="0.5">
      <c r="A165" s="737"/>
      <c r="B165" s="737"/>
      <c r="C165" s="247"/>
      <c r="D165" s="244" t="s">
        <v>180</v>
      </c>
      <c r="E165" s="95">
        <f>'9'!F165</f>
        <v>0</v>
      </c>
      <c r="F165" s="165"/>
      <c r="G165" s="165"/>
      <c r="H165" s="99">
        <f>G165+'9'!H165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38" t="s">
        <v>330</v>
      </c>
      <c r="B168" s="739"/>
      <c r="C168" s="739"/>
      <c r="D168" s="739"/>
      <c r="E168" s="739"/>
      <c r="F168" s="739"/>
      <c r="G168" s="739"/>
      <c r="H168" s="739"/>
      <c r="I168" s="739"/>
      <c r="J168" s="740"/>
    </row>
    <row r="169" spans="1:10" ht="27.75" x14ac:dyDescent="0.5">
      <c r="A169" s="747"/>
      <c r="B169" s="748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43" t="s">
        <v>209</v>
      </c>
      <c r="B170" s="744"/>
      <c r="C170" s="353"/>
      <c r="D170" s="228" t="s">
        <v>142</v>
      </c>
      <c r="E170" s="95">
        <f>'9'!F170</f>
        <v>7895</v>
      </c>
      <c r="F170" s="155">
        <v>7898</v>
      </c>
      <c r="G170" s="155">
        <f>F170-E170</f>
        <v>3</v>
      </c>
      <c r="H170" s="99">
        <f>G170+'9'!H170</f>
        <v>3</v>
      </c>
      <c r="I170" s="155"/>
      <c r="J170" s="178">
        <f>H170/DAY(B2)</f>
        <v>0.3</v>
      </c>
    </row>
    <row r="171" spans="1:10" ht="34.5" customHeight="1" x14ac:dyDescent="0.5">
      <c r="A171" s="743" t="s">
        <v>75</v>
      </c>
      <c r="B171" s="744"/>
      <c r="C171" s="353"/>
      <c r="D171" s="228" t="s">
        <v>142</v>
      </c>
      <c r="E171" s="95">
        <f>'9'!F171</f>
        <v>37136</v>
      </c>
      <c r="F171" s="157">
        <v>37145</v>
      </c>
      <c r="G171" s="155">
        <f t="shared" ref="G171:G172" si="15">F171-E171</f>
        <v>9</v>
      </c>
      <c r="H171" s="99">
        <f>G171+'9'!H171</f>
        <v>111</v>
      </c>
      <c r="I171" s="155"/>
      <c r="J171" s="178">
        <f>H171/DAY(B2)</f>
        <v>11.1</v>
      </c>
    </row>
    <row r="172" spans="1:10" ht="31.5" customHeight="1" x14ac:dyDescent="0.5">
      <c r="A172" s="743" t="s">
        <v>76</v>
      </c>
      <c r="B172" s="783"/>
      <c r="C172" s="744"/>
      <c r="D172" s="228" t="s">
        <v>142</v>
      </c>
      <c r="E172" s="95">
        <f>'9'!F172</f>
        <v>20562</v>
      </c>
      <c r="F172" s="155">
        <v>20571</v>
      </c>
      <c r="G172" s="155">
        <f t="shared" si="15"/>
        <v>9</v>
      </c>
      <c r="H172" s="99">
        <f>G172+'9'!H172</f>
        <v>102</v>
      </c>
      <c r="I172" s="155"/>
      <c r="J172" s="178">
        <f>H172/DAY(B2)</f>
        <v>10.199999999999999</v>
      </c>
    </row>
    <row r="173" spans="1:10" ht="21.75" customHeight="1" x14ac:dyDescent="0.5">
      <c r="A173" s="732" t="s">
        <v>196</v>
      </c>
      <c r="B173" s="733"/>
      <c r="C173" s="353"/>
      <c r="D173" s="228"/>
      <c r="E173" s="95"/>
      <c r="F173" s="155"/>
      <c r="G173" s="155">
        <f>SUM(G170:G172)</f>
        <v>21</v>
      </c>
      <c r="H173" s="99">
        <f>G173+'9'!H173</f>
        <v>216</v>
      </c>
      <c r="I173" s="155"/>
      <c r="J173" s="178">
        <f>H173/DAY(B2)</f>
        <v>21.6</v>
      </c>
    </row>
    <row r="174" spans="1:10" ht="27.75" customHeight="1" x14ac:dyDescent="0.5">
      <c r="A174" s="743" t="s">
        <v>77</v>
      </c>
      <c r="B174" s="744"/>
      <c r="C174" s="353"/>
      <c r="D174" s="228" t="s">
        <v>142</v>
      </c>
      <c r="E174" s="95"/>
      <c r="F174" s="155"/>
      <c r="G174" s="155"/>
      <c r="H174" s="99">
        <f>G174+'9'!H174</f>
        <v>0</v>
      </c>
      <c r="I174" s="155"/>
      <c r="J174" s="178">
        <f>H174/DAY(B2)</f>
        <v>0</v>
      </c>
    </row>
    <row r="175" spans="1:10" ht="21.75" customHeight="1" x14ac:dyDescent="0.5">
      <c r="A175" s="743" t="s">
        <v>210</v>
      </c>
      <c r="B175" s="744"/>
      <c r="C175" s="353"/>
      <c r="D175" s="228" t="s">
        <v>142</v>
      </c>
      <c r="E175" s="95">
        <f>'9'!F175</f>
        <v>72683</v>
      </c>
      <c r="F175" s="155">
        <v>72795</v>
      </c>
      <c r="G175" s="155">
        <f>F175-E175</f>
        <v>112</v>
      </c>
      <c r="H175" s="99">
        <f>G175+'9'!H175</f>
        <v>861</v>
      </c>
      <c r="I175" s="155"/>
      <c r="J175" s="178">
        <f>H175/DAY(B2)</f>
        <v>86.1</v>
      </c>
    </row>
    <row r="176" spans="1:10" ht="27.75" customHeight="1" x14ac:dyDescent="0.5">
      <c r="A176" s="743" t="s">
        <v>211</v>
      </c>
      <c r="B176" s="744"/>
      <c r="C176" s="353"/>
      <c r="D176" s="228" t="s">
        <v>142</v>
      </c>
      <c r="E176" s="95">
        <f>'9'!F176</f>
        <v>33886</v>
      </c>
      <c r="F176" s="155">
        <v>33886</v>
      </c>
      <c r="G176" s="155">
        <f t="shared" ref="G176:G177" si="16">F176-E176</f>
        <v>0</v>
      </c>
      <c r="H176" s="99">
        <f>G176+'9'!H176</f>
        <v>0</v>
      </c>
      <c r="I176" s="155"/>
      <c r="J176" s="178">
        <f>H176/DAY(B2)</f>
        <v>0</v>
      </c>
    </row>
    <row r="177" spans="1:10" ht="27.75" x14ac:dyDescent="0.5">
      <c r="A177" s="743" t="s">
        <v>212</v>
      </c>
      <c r="B177" s="744"/>
      <c r="C177" s="353"/>
      <c r="D177" s="228" t="s">
        <v>142</v>
      </c>
      <c r="E177" s="95">
        <f>'9'!F177</f>
        <v>4881</v>
      </c>
      <c r="F177" s="155">
        <v>4882</v>
      </c>
      <c r="G177" s="155">
        <f t="shared" si="16"/>
        <v>1</v>
      </c>
      <c r="H177" s="99">
        <f>G177+'9'!H177</f>
        <v>51</v>
      </c>
      <c r="I177" s="155"/>
      <c r="J177" s="178">
        <f>H177/DAY(B2)</f>
        <v>5.0999999999999996</v>
      </c>
    </row>
    <row r="178" spans="1:10" ht="27.75" x14ac:dyDescent="0.5">
      <c r="A178" s="745" t="s">
        <v>108</v>
      </c>
      <c r="B178" s="746"/>
      <c r="C178" s="353"/>
      <c r="D178" s="228"/>
      <c r="E178" s="95"/>
      <c r="F178" s="155"/>
      <c r="G178" s="155">
        <f>SUM(G175:G177)</f>
        <v>113</v>
      </c>
      <c r="H178" s="99">
        <f>G178+'9'!H178</f>
        <v>912</v>
      </c>
      <c r="I178" s="155"/>
      <c r="J178" s="178">
        <f>H178/DAY(B2)</f>
        <v>91.2</v>
      </c>
    </row>
    <row r="179" spans="1:10" ht="27.75" x14ac:dyDescent="0.5">
      <c r="A179" s="743" t="s">
        <v>213</v>
      </c>
      <c r="B179" s="744"/>
      <c r="C179" s="353"/>
      <c r="D179" s="228"/>
      <c r="E179" s="95"/>
      <c r="F179" s="155"/>
      <c r="G179" s="155"/>
      <c r="H179" s="99">
        <f>G179+'9'!H179</f>
        <v>0</v>
      </c>
      <c r="I179" s="155"/>
      <c r="J179" s="178">
        <f>H179/DAY(B2)</f>
        <v>0</v>
      </c>
    </row>
    <row r="180" spans="1:10" ht="27.75" x14ac:dyDescent="0.5">
      <c r="A180" s="743" t="s">
        <v>214</v>
      </c>
      <c r="B180" s="744"/>
      <c r="C180" s="354"/>
      <c r="D180" s="228" t="s">
        <v>142</v>
      </c>
      <c r="E180" s="95">
        <f>'9'!F180</f>
        <v>13687</v>
      </c>
      <c r="F180" s="157">
        <v>13705</v>
      </c>
      <c r="G180" s="157">
        <f>F180-E180</f>
        <v>18</v>
      </c>
      <c r="H180" s="99">
        <f>G180+'9'!H180</f>
        <v>168</v>
      </c>
      <c r="I180" s="155"/>
      <c r="J180" s="178">
        <f>H180/DAY(B2)</f>
        <v>16.8</v>
      </c>
    </row>
    <row r="181" spans="1:10" ht="27.75" x14ac:dyDescent="0.5">
      <c r="A181" s="743" t="s">
        <v>215</v>
      </c>
      <c r="B181" s="744"/>
      <c r="C181" s="354"/>
      <c r="D181" s="228" t="s">
        <v>142</v>
      </c>
      <c r="E181" s="95">
        <f>'9'!F181</f>
        <v>9521</v>
      </c>
      <c r="F181" s="157">
        <v>9533</v>
      </c>
      <c r="G181" s="157">
        <f t="shared" ref="G181:G182" si="17">F181-E181</f>
        <v>12</v>
      </c>
      <c r="H181" s="99">
        <f>G181+'9'!H181</f>
        <v>85</v>
      </c>
      <c r="I181" s="155"/>
      <c r="J181" s="178">
        <f>H181/DAY(B2)</f>
        <v>8.5</v>
      </c>
    </row>
    <row r="182" spans="1:10" ht="37.5" customHeight="1" x14ac:dyDescent="0.5">
      <c r="A182" s="743" t="s">
        <v>216</v>
      </c>
      <c r="B182" s="744"/>
      <c r="C182" s="354"/>
      <c r="D182" s="228" t="s">
        <v>142</v>
      </c>
      <c r="E182" s="95">
        <f>'9'!F182</f>
        <v>0</v>
      </c>
      <c r="F182" s="157">
        <v>0</v>
      </c>
      <c r="G182" s="157">
        <f t="shared" si="17"/>
        <v>0</v>
      </c>
      <c r="H182" s="99">
        <f>G182+'9'!H182</f>
        <v>0</v>
      </c>
      <c r="I182" s="155"/>
      <c r="J182" s="178">
        <f>H182/DAY(B2)</f>
        <v>0</v>
      </c>
    </row>
    <row r="183" spans="1:10" ht="26.25" customHeight="1" x14ac:dyDescent="0.5">
      <c r="A183" s="732" t="s">
        <v>196</v>
      </c>
      <c r="B183" s="733"/>
      <c r="C183" s="354"/>
      <c r="D183" s="229"/>
      <c r="E183" s="95"/>
      <c r="F183" s="157"/>
      <c r="G183" s="157">
        <f>SUM(G180:G182)</f>
        <v>30</v>
      </c>
      <c r="H183" s="99">
        <f>G183+'9'!H183</f>
        <v>253</v>
      </c>
      <c r="I183" s="157"/>
      <c r="J183" s="178">
        <f>H183/DAY(B2)</f>
        <v>25.3</v>
      </c>
    </row>
    <row r="184" spans="1:10" ht="21.75" customHeight="1" x14ac:dyDescent="0.5">
      <c r="A184" s="734" t="s">
        <v>217</v>
      </c>
      <c r="B184" s="735"/>
      <c r="C184" s="353"/>
      <c r="D184" s="230" t="s">
        <v>142</v>
      </c>
      <c r="E184" s="95"/>
      <c r="F184" s="159"/>
      <c r="G184" s="588">
        <f>G62+G19</f>
        <v>172</v>
      </c>
      <c r="H184" s="99">
        <f>G184+'9'!H184</f>
        <v>1682</v>
      </c>
      <c r="I184" s="158"/>
      <c r="J184" s="179">
        <f>H184/DAY(B2)</f>
        <v>168.2</v>
      </c>
    </row>
    <row r="185" spans="1:10" ht="21.75" customHeight="1" x14ac:dyDescent="0.5">
      <c r="A185" s="734" t="s">
        <v>218</v>
      </c>
      <c r="B185" s="735"/>
      <c r="C185" s="353"/>
      <c r="D185" s="230" t="s">
        <v>142</v>
      </c>
      <c r="E185" s="95"/>
      <c r="F185" s="159"/>
      <c r="G185" s="588">
        <f>G65+G66+G67+G69+G70</f>
        <v>172</v>
      </c>
      <c r="H185" s="99">
        <f>G185+'9'!H185</f>
        <v>1665</v>
      </c>
      <c r="I185" s="158"/>
      <c r="J185" s="179">
        <f>H185/DAY(B2)</f>
        <v>166.5</v>
      </c>
    </row>
    <row r="186" spans="1:10" ht="21.75" customHeight="1" x14ac:dyDescent="0.5">
      <c r="A186" s="734" t="s">
        <v>219</v>
      </c>
      <c r="B186" s="735"/>
      <c r="C186" s="353"/>
      <c r="D186" s="230" t="s">
        <v>142</v>
      </c>
      <c r="E186" s="95"/>
      <c r="F186" s="157"/>
      <c r="G186" s="585">
        <f>G178</f>
        <v>113</v>
      </c>
      <c r="H186" s="99">
        <f>G186+'9'!H186</f>
        <v>912</v>
      </c>
      <c r="I186" s="158"/>
      <c r="J186" s="179">
        <f>H186/DAY(B2)</f>
        <v>91.2</v>
      </c>
    </row>
    <row r="187" spans="1:10" ht="27" customHeight="1" x14ac:dyDescent="0.5">
      <c r="A187" s="741"/>
      <c r="B187" s="742"/>
      <c r="C187" s="601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1.75" customHeight="1" x14ac:dyDescent="0.5"/>
    <row r="189" spans="1:10" ht="21.75" customHeight="1" x14ac:dyDescent="0.5"/>
    <row r="190" spans="1:10" ht="21.75" customHeight="1" x14ac:dyDescent="0.5"/>
    <row r="191" spans="1:10" ht="21.75" customHeight="1" x14ac:dyDescent="0.5"/>
    <row r="192" spans="1:10" ht="21.75" customHeight="1" x14ac:dyDescent="0.5"/>
    <row r="193" ht="21.75" customHeight="1" x14ac:dyDescent="0.5"/>
    <row r="194" ht="21.75" customHeight="1" x14ac:dyDescent="0.5"/>
    <row r="195" ht="21.75" customHeight="1" x14ac:dyDescent="0.5"/>
    <row r="196" ht="21.75" customHeight="1" x14ac:dyDescent="0.5"/>
    <row r="197" ht="21.75" customHeight="1" x14ac:dyDescent="0.5"/>
    <row r="198" ht="21.75" customHeight="1" x14ac:dyDescent="0.5"/>
    <row r="199" ht="36.75" customHeight="1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1.75" customHeight="1" x14ac:dyDescent="0.5"/>
    <row r="206" ht="21.75" customHeight="1" x14ac:dyDescent="0.5"/>
    <row r="207" ht="21.75" customHeight="1" x14ac:dyDescent="0.5"/>
    <row r="208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  <row r="239" ht="21.75" customHeight="1" x14ac:dyDescent="0.5"/>
    <row r="240" ht="21.75" customHeight="1" x14ac:dyDescent="0.5"/>
    <row r="241" ht="21.75" customHeight="1" x14ac:dyDescent="0.5"/>
    <row r="242" ht="21.75" customHeight="1" x14ac:dyDescent="0.5"/>
    <row r="243" ht="21.75" customHeight="1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  <mergeCell ref="A110:J110"/>
    <mergeCell ref="A111:C111"/>
    <mergeCell ref="A112:C112"/>
    <mergeCell ref="A113:C113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72:C172"/>
    <mergeCell ref="A165:B165"/>
    <mergeCell ref="A168:J168"/>
    <mergeCell ref="A169:B169"/>
    <mergeCell ref="A170:B170"/>
    <mergeCell ref="A171:B171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127:B127"/>
    <mergeCell ref="A141:C141"/>
    <mergeCell ref="A142:C142"/>
    <mergeCell ref="A157:J157"/>
    <mergeCell ref="A163:B163"/>
    <mergeCell ref="A164:B164"/>
    <mergeCell ref="A135:C135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86:B186"/>
    <mergeCell ref="A187:B187"/>
    <mergeCell ref="A181:B181"/>
    <mergeCell ref="A182:B182"/>
    <mergeCell ref="A183:B183"/>
    <mergeCell ref="A184:B184"/>
    <mergeCell ref="A185:B185"/>
    <mergeCell ref="A173:B173"/>
    <mergeCell ref="A174:B174"/>
    <mergeCell ref="A175:B175"/>
    <mergeCell ref="A176:B176"/>
    <mergeCell ref="A177:B177"/>
    <mergeCell ref="A180:B180"/>
    <mergeCell ref="A178:B178"/>
    <mergeCell ref="A179:B179"/>
  </mergeCells>
  <pageMargins left="0.22" right="0.17" top="0.14000000000000001" bottom="0.2" header="0.2" footer="0.2"/>
  <pageSetup paperSize="5" scale="1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87"/>
  <sheetViews>
    <sheetView topLeftCell="A127" zoomScale="55" zoomScaleNormal="55" workbookViewId="0">
      <selection activeCell="F18" sqref="F18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789" t="s">
        <v>115</v>
      </c>
      <c r="B1" s="790"/>
      <c r="C1" s="790"/>
      <c r="D1" s="790"/>
      <c r="E1" s="790"/>
      <c r="F1" s="790"/>
      <c r="G1" s="790"/>
      <c r="H1" s="790"/>
      <c r="I1" s="790"/>
      <c r="J1" s="791"/>
    </row>
    <row r="2" spans="1:15" s="57" customFormat="1" ht="30.75" customHeight="1" x14ac:dyDescent="0.5">
      <c r="A2" s="191" t="s">
        <v>357</v>
      </c>
      <c r="B2" s="266">
        <v>44480</v>
      </c>
      <c r="C2" s="368" t="s">
        <v>67</v>
      </c>
      <c r="D2" s="218">
        <v>0.87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68" t="s">
        <v>118</v>
      </c>
      <c r="D3" s="219">
        <v>28</v>
      </c>
      <c r="E3" s="798" t="s">
        <v>119</v>
      </c>
      <c r="F3" s="799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792" t="s">
        <v>128</v>
      </c>
      <c r="B6" s="793"/>
      <c r="C6" s="79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'10'!F7</f>
        <v>201915</v>
      </c>
      <c r="F7" s="95">
        <v>225478</v>
      </c>
      <c r="G7" s="112">
        <f>F7-E7</f>
        <v>23563</v>
      </c>
      <c r="H7" s="99">
        <f>G7+'10'!H7</f>
        <v>258235.59999999992</v>
      </c>
      <c r="I7" s="113">
        <f>'1'!I7</f>
        <v>12000</v>
      </c>
      <c r="J7" s="175">
        <f>H7/DAY(B2)</f>
        <v>23475.963636363627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'10'!F8</f>
        <v>218823</v>
      </c>
      <c r="F8" s="114">
        <v>242871</v>
      </c>
      <c r="G8" s="115">
        <f>F8-E8</f>
        <v>24048</v>
      </c>
      <c r="H8" s="99">
        <f>G8+'10'!H8</f>
        <v>261153.99999999994</v>
      </c>
      <c r="I8" s="116"/>
      <c r="J8" s="175">
        <f>H8/DAY(B2)</f>
        <v>23741.272727272721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'10'!F9</f>
        <v>942756</v>
      </c>
      <c r="F9" s="117">
        <v>958622</v>
      </c>
      <c r="G9" s="112">
        <f>F9-E9</f>
        <v>15866</v>
      </c>
      <c r="H9" s="99">
        <f>G9+'10'!H9</f>
        <v>227832</v>
      </c>
      <c r="I9" s="124">
        <f>I7-J7</f>
        <v>-11475.963636363627</v>
      </c>
      <c r="J9" s="175">
        <f>H9/DAY(B2)</f>
        <v>20712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'10'!F10</f>
        <v>17996</v>
      </c>
      <c r="F10" s="117">
        <v>26211</v>
      </c>
      <c r="G10" s="112">
        <f t="shared" ref="G10:G12" si="0">F10-E10</f>
        <v>8215</v>
      </c>
      <c r="H10" s="99">
        <f>G10+'10'!H10</f>
        <v>26211</v>
      </c>
      <c r="I10" s="286"/>
      <c r="J10" s="175">
        <f>H10/DAY(B2)</f>
        <v>2382.818181818182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'10'!F11</f>
        <v>37000</v>
      </c>
      <c r="F11" s="95">
        <v>37000</v>
      </c>
      <c r="G11" s="112">
        <f t="shared" si="0"/>
        <v>0</v>
      </c>
      <c r="H11" s="99">
        <f>G11+'10'!H11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'10'!F12</f>
        <v>40010</v>
      </c>
      <c r="F12" s="117">
        <v>40010</v>
      </c>
      <c r="G12" s="112">
        <f t="shared" si="0"/>
        <v>0</v>
      </c>
      <c r="H12" s="99">
        <f>G12+'10'!H12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24081</v>
      </c>
      <c r="H13" s="99">
        <f>G13+'10'!H13</f>
        <v>232497.25</v>
      </c>
      <c r="I13" s="120">
        <f>G7-G13</f>
        <v>-518</v>
      </c>
      <c r="J13" s="175">
        <f>H13/DAY(B2)</f>
        <v>21136.113636363636</v>
      </c>
      <c r="K13" s="79"/>
      <c r="L13" s="66"/>
      <c r="N13" s="87"/>
      <c r="O13" s="71"/>
    </row>
    <row r="14" spans="1:15" ht="30.75" customHeight="1" x14ac:dyDescent="0.5">
      <c r="A14" s="795" t="s">
        <v>137</v>
      </c>
      <c r="B14" s="796"/>
      <c r="C14" s="79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65" t="s">
        <v>138</v>
      </c>
      <c r="B15" s="205"/>
      <c r="C15" s="205"/>
      <c r="D15" s="151" t="s">
        <v>139</v>
      </c>
      <c r="E15" s="95">
        <f>'10'!F15</f>
        <v>1794300</v>
      </c>
      <c r="F15" s="123">
        <v>1795345</v>
      </c>
      <c r="G15" s="112">
        <f>(F15-E15)</f>
        <v>1045</v>
      </c>
      <c r="H15" s="99">
        <f>G15+'10'!H15</f>
        <v>11137</v>
      </c>
      <c r="I15" s="113">
        <f>'1'!I15</f>
        <v>800</v>
      </c>
      <c r="J15" s="175">
        <f>H15/DAY(B2)</f>
        <v>1012.4545454545455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-212.4545454545455</v>
      </c>
      <c r="J16" s="176"/>
      <c r="K16" s="79"/>
      <c r="L16" s="66"/>
      <c r="N16" s="87"/>
      <c r="O16" s="71"/>
    </row>
    <row r="17" spans="1:15" ht="30.75" customHeight="1" x14ac:dyDescent="0.5">
      <c r="A17" s="795" t="s">
        <v>140</v>
      </c>
      <c r="B17" s="796"/>
      <c r="C17" s="79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771" t="s">
        <v>141</v>
      </c>
      <c r="B18" s="772"/>
      <c r="C18" s="773"/>
      <c r="D18" s="151" t="s">
        <v>142</v>
      </c>
      <c r="E18" s="95">
        <f>'10'!F18</f>
        <v>20</v>
      </c>
      <c r="F18" s="122">
        <v>22</v>
      </c>
      <c r="G18" s="119">
        <f>F18*10</f>
        <v>220</v>
      </c>
      <c r="H18" s="99">
        <f>G18+'10'!H18</f>
        <v>2150</v>
      </c>
      <c r="I18" s="113">
        <f>'1'!I18</f>
        <v>65</v>
      </c>
      <c r="J18" s="175">
        <f>H18/DAY(B2)</f>
        <v>195.45454545454547</v>
      </c>
      <c r="K18" s="79"/>
      <c r="L18" s="66"/>
      <c r="N18" s="87"/>
      <c r="O18" s="71"/>
    </row>
    <row r="19" spans="1:15" ht="30.75" customHeight="1" x14ac:dyDescent="0.5">
      <c r="A19" s="771" t="s">
        <v>69</v>
      </c>
      <c r="B19" s="772"/>
      <c r="C19" s="773"/>
      <c r="D19" s="151" t="s">
        <v>142</v>
      </c>
      <c r="E19" s="95">
        <f>'10'!F19</f>
        <v>147691</v>
      </c>
      <c r="F19" s="122">
        <v>147747</v>
      </c>
      <c r="G19" s="112">
        <f t="shared" ref="G19" si="1">F19-E19</f>
        <v>56</v>
      </c>
      <c r="H19" s="99">
        <f>G19+'10'!H19</f>
        <v>635</v>
      </c>
      <c r="I19" s="355"/>
      <c r="J19" s="175">
        <f>H19/DAY(B2)</f>
        <v>57.727272727272727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276</v>
      </c>
      <c r="H20" s="99">
        <f>G20+'10'!H20</f>
        <v>2785</v>
      </c>
      <c r="I20" s="356">
        <f>I18-J20</f>
        <v>-188.18181818181819</v>
      </c>
      <c r="J20" s="175">
        <f>H20/DAY(B2)</f>
        <v>253.18181818181819</v>
      </c>
      <c r="K20" s="79"/>
      <c r="L20" s="66"/>
      <c r="N20" s="87"/>
      <c r="O20" s="71"/>
    </row>
    <row r="21" spans="1:15" ht="30.75" customHeight="1" x14ac:dyDescent="0.5">
      <c r="A21" s="795" t="s">
        <v>144</v>
      </c>
      <c r="B21" s="796"/>
      <c r="C21" s="79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6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65" t="s">
        <v>147</v>
      </c>
      <c r="B23" s="205"/>
      <c r="C23" s="205"/>
      <c r="D23" s="151" t="s">
        <v>146</v>
      </c>
      <c r="E23" s="95">
        <f>'10'!F23</f>
        <v>2000</v>
      </c>
      <c r="F23" s="122">
        <v>2000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'10'!F24</f>
        <v>4970</v>
      </c>
      <c r="F24" s="128">
        <v>4970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800" t="s">
        <v>149</v>
      </c>
      <c r="B25" s="801"/>
      <c r="C25" s="80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24048</v>
      </c>
      <c r="F27" s="136">
        <v>9</v>
      </c>
      <c r="G27" s="137">
        <f>E27*F27</f>
        <v>216432</v>
      </c>
      <c r="H27" s="99">
        <f>G27+'10'!H27</f>
        <v>2350385.9999999995</v>
      </c>
      <c r="I27" s="138"/>
      <c r="J27" s="175">
        <f>H27/DAY(B2)</f>
        <v>213671.4545454545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1045</v>
      </c>
      <c r="F28" s="136">
        <v>52</v>
      </c>
      <c r="G28" s="137">
        <f>E28*F28</f>
        <v>54340</v>
      </c>
      <c r="H28" s="99">
        <f>G28+'10'!H28</f>
        <v>579124</v>
      </c>
      <c r="I28" s="140"/>
      <c r="J28" s="175">
        <f>H28/DAY(B2)</f>
        <v>52647.63636363636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G30+'10'!H30</f>
        <v>92710</v>
      </c>
      <c r="I30" s="140"/>
      <c r="J30" s="175">
        <f>H30/DAY(B2)</f>
        <v>8428.181818181818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G31+'10'!H31</f>
        <v>172000</v>
      </c>
      <c r="I31" s="140"/>
      <c r="J31" s="175">
        <f>H31/DAY(B2)</f>
        <v>15636.363636363636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296548</v>
      </c>
      <c r="H32" s="99">
        <f>G32+'10'!H32</f>
        <v>3194220</v>
      </c>
      <c r="I32" s="144"/>
      <c r="J32" s="175">
        <f>H32/DAY(B2)</f>
        <v>290383.63636363635</v>
      </c>
      <c r="K32" s="63"/>
      <c r="L32" s="89"/>
      <c r="N32" s="87"/>
      <c r="O32" s="71"/>
    </row>
    <row r="33" spans="1:15" ht="30.75" customHeight="1" x14ac:dyDescent="0.35">
      <c r="A33" s="803" t="s">
        <v>331</v>
      </c>
      <c r="B33" s="804"/>
      <c r="C33" s="804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'10'!F35</f>
        <v>0</v>
      </c>
      <c r="F35" s="145">
        <v>0</v>
      </c>
      <c r="G35" s="112">
        <f t="shared" ref="G35:G46" si="3">F35-E35</f>
        <v>0</v>
      </c>
      <c r="H35" s="99">
        <f>G35+'10'!H35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'10'!F36</f>
        <v>32530</v>
      </c>
      <c r="F36" s="145">
        <v>33309</v>
      </c>
      <c r="G36" s="112">
        <f t="shared" si="3"/>
        <v>779</v>
      </c>
      <c r="H36" s="99">
        <f>G36+'10'!H36</f>
        <v>9432</v>
      </c>
      <c r="I36" s="95"/>
      <c r="J36" s="175">
        <f>H36/DAY(B2)</f>
        <v>857.4545454545455</v>
      </c>
      <c r="K36" s="79"/>
      <c r="L36" s="66"/>
      <c r="N36" s="87"/>
      <c r="O36" s="36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'10'!F37</f>
        <v>71401</v>
      </c>
      <c r="F37" s="145">
        <v>73093</v>
      </c>
      <c r="G37" s="112">
        <f t="shared" si="3"/>
        <v>1692</v>
      </c>
      <c r="H37" s="99">
        <f>G37+'10'!H37</f>
        <v>18930</v>
      </c>
      <c r="I37" s="95"/>
      <c r="J37" s="175">
        <f>H37/DAY(B2)</f>
        <v>1720.909090909091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'10'!F38</f>
        <v>76278</v>
      </c>
      <c r="F38" s="108">
        <v>78204</v>
      </c>
      <c r="G38" s="112">
        <f t="shared" si="3"/>
        <v>1926</v>
      </c>
      <c r="H38" s="99">
        <f>G38+'10'!H38</f>
        <v>21078</v>
      </c>
      <c r="I38" s="95"/>
      <c r="J38" s="175">
        <f>H38/DAY(B2)</f>
        <v>1916.1818181818182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'10'!F39</f>
        <v>164843</v>
      </c>
      <c r="F39" s="145">
        <v>169199</v>
      </c>
      <c r="G39" s="112">
        <f t="shared" si="3"/>
        <v>4356</v>
      </c>
      <c r="H39" s="99">
        <f>G39+'10'!H39</f>
        <v>46308</v>
      </c>
      <c r="I39" s="95"/>
      <c r="J39" s="175">
        <f>H39/DAY(B2)</f>
        <v>4209.818181818182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'10'!F40</f>
        <v>1.3</v>
      </c>
      <c r="F40" s="145">
        <v>1.3</v>
      </c>
      <c r="G40" s="112">
        <f t="shared" si="3"/>
        <v>0</v>
      </c>
      <c r="H40" s="99">
        <f>G40+'10'!H40</f>
        <v>1.3</v>
      </c>
      <c r="I40" s="95"/>
      <c r="J40" s="175">
        <f>H40/DAY(B2)</f>
        <v>0.11818181818181818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'10'!F41</f>
        <v>538172</v>
      </c>
      <c r="F41" s="145">
        <v>542431</v>
      </c>
      <c r="G41" s="112">
        <f t="shared" si="3"/>
        <v>4259</v>
      </c>
      <c r="H41" s="99">
        <f>G41+'10'!H41</f>
        <v>53211.409999999974</v>
      </c>
      <c r="I41" s="95"/>
      <c r="J41" s="175">
        <f>H41/DAY(B2)</f>
        <v>4837.4009090909067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'10'!F42</f>
        <v>260108</v>
      </c>
      <c r="F42" s="145">
        <v>260796</v>
      </c>
      <c r="G42" s="112">
        <f t="shared" si="3"/>
        <v>688</v>
      </c>
      <c r="H42" s="99">
        <f>G42+'10'!H42</f>
        <v>16613</v>
      </c>
      <c r="I42" s="95"/>
      <c r="J42" s="175">
        <f>H42/DAY(B2)</f>
        <v>1510.2727272727273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'10'!F43</f>
        <v>1388505</v>
      </c>
      <c r="F43" s="145">
        <v>1391222</v>
      </c>
      <c r="G43" s="112">
        <f t="shared" si="3"/>
        <v>2717</v>
      </c>
      <c r="H43" s="99">
        <f>G43+'10'!H43</f>
        <v>27264</v>
      </c>
      <c r="I43" s="95"/>
      <c r="J43" s="175">
        <f>H43/DAY(B2)</f>
        <v>2478.5454545454545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16417</v>
      </c>
      <c r="H47" s="99">
        <f>G47+'10'!H47</f>
        <v>192837.70999999996</v>
      </c>
      <c r="I47" s="95"/>
      <c r="J47" s="175">
        <f>H47/DAY(B2)</f>
        <v>17530.700909090905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'10'!F49</f>
        <v>131582</v>
      </c>
      <c r="F49" s="145">
        <v>134903</v>
      </c>
      <c r="G49" s="112">
        <f t="shared" ref="G49:G58" si="4">F49-E49</f>
        <v>3321</v>
      </c>
      <c r="H49" s="99">
        <f>G49+'10'!H49</f>
        <v>43706.619999999995</v>
      </c>
      <c r="I49" s="95"/>
      <c r="J49" s="175">
        <f>H49/DAY(B2)</f>
        <v>3973.3290909090906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'10'!F50</f>
        <v>656293</v>
      </c>
      <c r="F50" s="145">
        <v>657442</v>
      </c>
      <c r="G50" s="112">
        <f t="shared" si="4"/>
        <v>1149</v>
      </c>
      <c r="H50" s="99">
        <f>G50+'10'!H50</f>
        <v>13952</v>
      </c>
      <c r="I50" s="95"/>
      <c r="J50" s="175">
        <f>H50/DAY(B2)</f>
        <v>1268.3636363636363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'10'!F51</f>
        <v>0</v>
      </c>
      <c r="F51" s="145">
        <v>0</v>
      </c>
      <c r="G51" s="112">
        <f t="shared" si="4"/>
        <v>0</v>
      </c>
      <c r="H51" s="99">
        <f>G51+'10'!H51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'10'!F52</f>
        <v>0</v>
      </c>
      <c r="F52" s="145">
        <v>0</v>
      </c>
      <c r="G52" s="112">
        <f t="shared" si="4"/>
        <v>0</v>
      </c>
      <c r="H52" s="99">
        <f>G52+'10'!H52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'10'!F53</f>
        <v>0</v>
      </c>
      <c r="F53" s="145">
        <v>0</v>
      </c>
      <c r="G53" s="112">
        <f t="shared" si="4"/>
        <v>0</v>
      </c>
      <c r="H53" s="99">
        <f>G53+'10'!H53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'10'!F54</f>
        <v>2772</v>
      </c>
      <c r="F54" s="145">
        <v>2776</v>
      </c>
      <c r="G54" s="112">
        <f t="shared" si="4"/>
        <v>4</v>
      </c>
      <c r="H54" s="99">
        <f>G54+'10'!H54</f>
        <v>44</v>
      </c>
      <c r="I54" s="95"/>
      <c r="J54" s="175">
        <f>H54/DAY(B2)</f>
        <v>4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'10'!F55</f>
        <v>307299</v>
      </c>
      <c r="F55" s="145">
        <v>307299</v>
      </c>
      <c r="G55" s="112">
        <f t="shared" si="4"/>
        <v>0</v>
      </c>
      <c r="H55" s="99">
        <f>G55+'10'!H55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'10'!F56</f>
        <v>750384</v>
      </c>
      <c r="F56" s="145">
        <v>752726</v>
      </c>
      <c r="G56" s="112">
        <f t="shared" si="4"/>
        <v>2342</v>
      </c>
      <c r="H56" s="99">
        <f>G56+'10'!H56</f>
        <v>10956</v>
      </c>
      <c r="I56" s="95"/>
      <c r="J56" s="175">
        <f>H56/DAY(B2)</f>
        <v>996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'10'!F57</f>
        <v>0</v>
      </c>
      <c r="F57" s="145">
        <v>0</v>
      </c>
      <c r="G57" s="112">
        <f t="shared" si="4"/>
        <v>0</v>
      </c>
      <c r="H57" s="99">
        <f>G57+'10'!H57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'10'!F58</f>
        <v>74347</v>
      </c>
      <c r="F58" s="145">
        <v>74579</v>
      </c>
      <c r="G58" s="112">
        <f t="shared" si="4"/>
        <v>232</v>
      </c>
      <c r="H58" s="99">
        <f>G58+'10'!H58</f>
        <v>2424</v>
      </c>
      <c r="I58" s="95"/>
      <c r="J58" s="175">
        <f>H58/DAY(B2)</f>
        <v>220.36363636363637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7048</v>
      </c>
      <c r="H59" s="99">
        <f>G59+'10'!H59</f>
        <v>71082.62</v>
      </c>
      <c r="I59" s="95">
        <f>G7-G60</f>
        <v>98</v>
      </c>
      <c r="J59" s="175">
        <f>H59/DAY(B2)</f>
        <v>6462.0563636363631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23465</v>
      </c>
      <c r="H60" s="99">
        <f>G60+'10'!H60</f>
        <v>263920.32999999996</v>
      </c>
      <c r="I60" s="95">
        <f>G13-G60</f>
        <v>616</v>
      </c>
      <c r="J60" s="175">
        <f>H60/DAY(B2)</f>
        <v>23992.757272727267</v>
      </c>
      <c r="K60" s="79"/>
      <c r="L60" s="66"/>
      <c r="N60" s="87"/>
      <c r="O60" s="71"/>
    </row>
    <row r="61" spans="1:15" s="68" customFormat="1" ht="30.75" customHeight="1" x14ac:dyDescent="0.5">
      <c r="A61" s="805" t="s">
        <v>332</v>
      </c>
      <c r="B61" s="806"/>
      <c r="C61" s="807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30.75" customHeight="1" x14ac:dyDescent="0.5">
      <c r="A62" s="771" t="s">
        <v>198</v>
      </c>
      <c r="B62" s="772"/>
      <c r="C62" s="773"/>
      <c r="D62" s="151" t="s">
        <v>142</v>
      </c>
      <c r="E62" s="95">
        <f>'10'!F62</f>
        <v>257456</v>
      </c>
      <c r="F62" s="122">
        <v>257581</v>
      </c>
      <c r="G62" s="112">
        <f t="shared" ref="G62:G63" si="5">F62-E62</f>
        <v>125</v>
      </c>
      <c r="H62" s="99">
        <f>G62+'10'!H62</f>
        <v>1228</v>
      </c>
      <c r="I62" s="118"/>
      <c r="J62" s="175">
        <f>H62/DAY(B2)</f>
        <v>111.63636363636364</v>
      </c>
      <c r="K62" s="80"/>
      <c r="L62" s="66"/>
      <c r="N62" s="87"/>
      <c r="O62" s="71"/>
    </row>
    <row r="63" spans="1:15" ht="30.75" customHeight="1" x14ac:dyDescent="0.5">
      <c r="A63" s="771" t="s">
        <v>199</v>
      </c>
      <c r="B63" s="772"/>
      <c r="C63" s="773"/>
      <c r="D63" s="151" t="s">
        <v>142</v>
      </c>
      <c r="E63" s="95">
        <f>'10'!F63</f>
        <v>203857</v>
      </c>
      <c r="F63" s="614">
        <v>204042</v>
      </c>
      <c r="G63" s="112">
        <f t="shared" si="5"/>
        <v>185</v>
      </c>
      <c r="H63" s="99">
        <f>G63+'10'!H63</f>
        <v>1516</v>
      </c>
      <c r="I63" s="118"/>
      <c r="J63" s="175">
        <f>H63/DAY(B2)</f>
        <v>137.81818181818181</v>
      </c>
      <c r="K63" s="69"/>
      <c r="L63" s="66"/>
      <c r="N63" s="87"/>
      <c r="O63" s="71"/>
    </row>
    <row r="64" spans="1:15" ht="30.75" customHeight="1" x14ac:dyDescent="0.5">
      <c r="A64" s="780" t="s">
        <v>200</v>
      </c>
      <c r="B64" s="781"/>
      <c r="C64" s="782"/>
      <c r="D64" s="151"/>
      <c r="E64" s="95">
        <f>'10'!F64</f>
        <v>0</v>
      </c>
      <c r="F64" s="122"/>
      <c r="G64" s="112">
        <f>G62+G63</f>
        <v>310</v>
      </c>
      <c r="H64" s="99">
        <f>G64+'10'!H64</f>
        <v>2744</v>
      </c>
      <c r="I64" s="118"/>
      <c r="J64" s="175">
        <f>H64/DAY(B2)</f>
        <v>249.45454545454547</v>
      </c>
      <c r="K64" s="69"/>
      <c r="L64" s="66"/>
      <c r="N64" s="87"/>
      <c r="O64" s="71"/>
    </row>
    <row r="65" spans="1:15" ht="30.75" customHeight="1" x14ac:dyDescent="0.5">
      <c r="A65" s="771" t="s">
        <v>201</v>
      </c>
      <c r="B65" s="772"/>
      <c r="C65" s="773"/>
      <c r="D65" s="151" t="s">
        <v>142</v>
      </c>
      <c r="E65" s="95">
        <f>'10'!F65</f>
        <v>424184</v>
      </c>
      <c r="F65" s="122">
        <v>424282</v>
      </c>
      <c r="G65" s="112">
        <f t="shared" ref="G65:G70" si="6">F65-E65</f>
        <v>98</v>
      </c>
      <c r="H65" s="99">
        <f>G65+'10'!H65</f>
        <v>993</v>
      </c>
      <c r="I65" s="118"/>
      <c r="J65" s="175">
        <f>H65/DAY(B2)</f>
        <v>90.272727272727266</v>
      </c>
      <c r="K65" s="69"/>
      <c r="L65" s="66"/>
      <c r="N65" s="87"/>
      <c r="O65" s="71"/>
    </row>
    <row r="66" spans="1:15" ht="30.75" customHeight="1" x14ac:dyDescent="0.5">
      <c r="A66" s="365" t="s">
        <v>202</v>
      </c>
      <c r="B66" s="366"/>
      <c r="C66" s="366"/>
      <c r="D66" s="151" t="s">
        <v>142</v>
      </c>
      <c r="E66" s="95">
        <f>'10'!F66</f>
        <v>105544</v>
      </c>
      <c r="F66" s="122">
        <v>105570</v>
      </c>
      <c r="G66" s="112">
        <f t="shared" si="6"/>
        <v>26</v>
      </c>
      <c r="H66" s="99">
        <f>G66+'10'!H66</f>
        <v>256</v>
      </c>
      <c r="I66" s="118"/>
      <c r="J66" s="175">
        <f>H66/DAY(B2)</f>
        <v>23.272727272727273</v>
      </c>
      <c r="K66" s="78"/>
      <c r="L66" s="66"/>
      <c r="N66" s="87"/>
      <c r="O66" s="71"/>
    </row>
    <row r="67" spans="1:15" ht="30.75" customHeight="1" x14ac:dyDescent="0.5">
      <c r="A67" s="365" t="s">
        <v>203</v>
      </c>
      <c r="B67" s="366"/>
      <c r="C67" s="366"/>
      <c r="D67" s="151" t="s">
        <v>142</v>
      </c>
      <c r="E67" s="95">
        <f>'10'!F67</f>
        <v>101577</v>
      </c>
      <c r="F67" s="122">
        <v>101601</v>
      </c>
      <c r="G67" s="112">
        <f t="shared" si="6"/>
        <v>24</v>
      </c>
      <c r="H67" s="99">
        <f>G67+'10'!H67</f>
        <v>317</v>
      </c>
      <c r="I67" s="118"/>
      <c r="J67" s="175">
        <f>H67/DAY(B2)</f>
        <v>28.818181818181817</v>
      </c>
      <c r="K67" s="81"/>
      <c r="L67" s="66"/>
      <c r="N67" s="87"/>
      <c r="O67" s="71"/>
    </row>
    <row r="68" spans="1:15" ht="30.75" customHeight="1" x14ac:dyDescent="0.5">
      <c r="A68" s="365" t="s">
        <v>204</v>
      </c>
      <c r="B68" s="366"/>
      <c r="C68" s="366"/>
      <c r="D68" s="151" t="s">
        <v>142</v>
      </c>
      <c r="E68" s="95">
        <f>'10'!F68</f>
        <v>153556</v>
      </c>
      <c r="F68" s="122">
        <v>153599</v>
      </c>
      <c r="G68" s="112">
        <f t="shared" si="6"/>
        <v>43</v>
      </c>
      <c r="H68" s="99">
        <f>G68+'10'!H68</f>
        <v>486</v>
      </c>
      <c r="I68" s="118"/>
      <c r="J68" s="175">
        <f>H68/DAY(B2)</f>
        <v>44.18181818181818</v>
      </c>
      <c r="K68" s="69"/>
      <c r="L68" s="66"/>
      <c r="N68" s="87"/>
      <c r="O68" s="71"/>
    </row>
    <row r="69" spans="1:15" ht="30.75" customHeight="1" x14ac:dyDescent="0.5">
      <c r="A69" s="365" t="s">
        <v>205</v>
      </c>
      <c r="B69" s="366"/>
      <c r="C69" s="366"/>
      <c r="D69" s="151" t="s">
        <v>142</v>
      </c>
      <c r="E69" s="95">
        <f>'10'!F69</f>
        <v>9196</v>
      </c>
      <c r="F69" s="122">
        <v>9208</v>
      </c>
      <c r="G69" s="112">
        <f t="shared" si="6"/>
        <v>12</v>
      </c>
      <c r="H69" s="99">
        <f>G69+'10'!H69</f>
        <v>151</v>
      </c>
      <c r="I69" s="118"/>
      <c r="J69" s="175">
        <f>H69/DAY(B2)</f>
        <v>13.727272727272727</v>
      </c>
      <c r="K69" s="69"/>
      <c r="L69" s="66"/>
      <c r="N69" s="87"/>
      <c r="O69" s="71"/>
    </row>
    <row r="70" spans="1:15" ht="30.75" customHeight="1" x14ac:dyDescent="0.5">
      <c r="A70" s="365" t="s">
        <v>206</v>
      </c>
      <c r="B70" s="366"/>
      <c r="C70" s="366"/>
      <c r="D70" s="151" t="s">
        <v>142</v>
      </c>
      <c r="E70" s="95">
        <f>'10'!F70</f>
        <v>6912</v>
      </c>
      <c r="F70" s="122">
        <v>6934</v>
      </c>
      <c r="G70" s="112">
        <f t="shared" si="6"/>
        <v>22</v>
      </c>
      <c r="H70" s="99">
        <f>G70+'10'!H70</f>
        <v>130</v>
      </c>
      <c r="I70" s="118"/>
      <c r="J70" s="175">
        <f>H70/DAY(B2)</f>
        <v>11.818181818181818</v>
      </c>
      <c r="K70" s="69"/>
      <c r="L70" s="66"/>
      <c r="N70" s="87"/>
      <c r="O70" s="71"/>
    </row>
    <row r="71" spans="1:15" ht="30.75" customHeight="1" x14ac:dyDescent="0.5">
      <c r="A71" s="780" t="s">
        <v>208</v>
      </c>
      <c r="B71" s="781"/>
      <c r="C71" s="782"/>
      <c r="D71" s="152"/>
      <c r="E71" s="152"/>
      <c r="F71" s="152"/>
      <c r="G71" s="153">
        <f>SUM(G65:G70)</f>
        <v>225</v>
      </c>
      <c r="H71" s="99">
        <f>G71+'10'!H71</f>
        <v>2333</v>
      </c>
      <c r="I71" s="154"/>
      <c r="J71" s="175">
        <f>H71/DAY(B2)</f>
        <v>212.09090909090909</v>
      </c>
      <c r="K71" s="69"/>
      <c r="L71" s="66"/>
      <c r="N71" s="87"/>
      <c r="O71" s="71"/>
    </row>
    <row r="72" spans="1:15" s="88" customFormat="1" ht="30.75" customHeight="1" x14ac:dyDescent="0.5">
      <c r="A72" s="767"/>
      <c r="B72" s="752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777" t="s">
        <v>333</v>
      </c>
      <c r="B73" s="778"/>
      <c r="C73" s="779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30.75" customHeight="1" x14ac:dyDescent="0.5">
      <c r="A74" s="771" t="s">
        <v>220</v>
      </c>
      <c r="B74" s="772"/>
      <c r="C74" s="773"/>
      <c r="D74" s="151" t="s">
        <v>139</v>
      </c>
      <c r="E74" s="95">
        <f>'10'!F74</f>
        <v>867434</v>
      </c>
      <c r="F74" s="117">
        <v>867727</v>
      </c>
      <c r="G74" s="112">
        <f t="shared" ref="G74:G78" si="7">F74-E74</f>
        <v>293</v>
      </c>
      <c r="H74" s="99">
        <f>G74+'10'!H74</f>
        <v>3219</v>
      </c>
      <c r="I74" s="154"/>
      <c r="J74" s="175">
        <f>H74/DAY(B2)</f>
        <v>292.63636363636363</v>
      </c>
      <c r="K74" s="69"/>
      <c r="L74" s="66"/>
      <c r="N74" s="87"/>
      <c r="O74" s="71"/>
    </row>
    <row r="75" spans="1:15" ht="30.75" customHeight="1" x14ac:dyDescent="0.5">
      <c r="A75" s="771" t="s">
        <v>221</v>
      </c>
      <c r="B75" s="772"/>
      <c r="C75" s="773"/>
      <c r="D75" s="151" t="s">
        <v>139</v>
      </c>
      <c r="E75" s="95">
        <f>'10'!F75</f>
        <v>73583.399999999994</v>
      </c>
      <c r="F75" s="123">
        <v>73583.399999999994</v>
      </c>
      <c r="G75" s="112">
        <f t="shared" si="7"/>
        <v>0</v>
      </c>
      <c r="H75" s="99">
        <f>G75+'10'!H75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768" t="s">
        <v>222</v>
      </c>
      <c r="B76" s="769"/>
      <c r="C76" s="770"/>
      <c r="D76" s="151" t="s">
        <v>139</v>
      </c>
      <c r="E76" s="95">
        <f>'10'!F76</f>
        <v>157926</v>
      </c>
      <c r="F76" s="123">
        <v>158016</v>
      </c>
      <c r="G76" s="112">
        <f t="shared" si="7"/>
        <v>90</v>
      </c>
      <c r="H76" s="99">
        <f>G76+'10'!H76</f>
        <v>1204</v>
      </c>
      <c r="I76" s="154"/>
      <c r="J76" s="175">
        <f>H76/DAY(B2)</f>
        <v>109.45454545454545</v>
      </c>
      <c r="K76" s="69"/>
      <c r="L76" s="66"/>
      <c r="N76" s="87"/>
      <c r="O76" s="71"/>
    </row>
    <row r="77" spans="1:15" ht="30.75" customHeight="1" x14ac:dyDescent="0.5">
      <c r="A77" s="768" t="s">
        <v>223</v>
      </c>
      <c r="B77" s="769"/>
      <c r="C77" s="770"/>
      <c r="D77" s="151" t="s">
        <v>139</v>
      </c>
      <c r="E77" s="95">
        <f>'10'!F77</f>
        <v>36517</v>
      </c>
      <c r="F77" s="123">
        <v>36561</v>
      </c>
      <c r="G77" s="112">
        <f t="shared" si="7"/>
        <v>44</v>
      </c>
      <c r="H77" s="99">
        <f>G77+'10'!H77</f>
        <v>557</v>
      </c>
      <c r="I77" s="154"/>
      <c r="J77" s="175">
        <f>H77/DAY(B2)</f>
        <v>50.636363636363633</v>
      </c>
      <c r="K77" s="69"/>
      <c r="L77" s="66"/>
      <c r="N77" s="87"/>
      <c r="O77" s="71"/>
    </row>
    <row r="78" spans="1:15" ht="30.75" customHeight="1" x14ac:dyDescent="0.5">
      <c r="A78" s="768" t="s">
        <v>224</v>
      </c>
      <c r="B78" s="769"/>
      <c r="C78" s="770"/>
      <c r="D78" s="151" t="s">
        <v>139</v>
      </c>
      <c r="E78" s="95">
        <f>'10'!F78</f>
        <v>9274</v>
      </c>
      <c r="F78" s="123">
        <v>9279</v>
      </c>
      <c r="G78" s="112">
        <f t="shared" si="7"/>
        <v>5</v>
      </c>
      <c r="H78" s="99">
        <f>G78+'10'!H78</f>
        <v>31</v>
      </c>
      <c r="I78" s="118"/>
      <c r="J78" s="175">
        <f>H78/DAY(B2)</f>
        <v>2.8181818181818183</v>
      </c>
      <c r="K78" s="69"/>
      <c r="L78" s="66"/>
      <c r="N78" s="87"/>
      <c r="O78" s="71"/>
    </row>
    <row r="79" spans="1:15" s="57" customFormat="1" ht="30.75" customHeight="1" x14ac:dyDescent="0.5">
      <c r="A79" s="768" t="s">
        <v>225</v>
      </c>
      <c r="B79" s="769"/>
      <c r="C79" s="770"/>
      <c r="D79" s="151"/>
      <c r="E79" s="95">
        <f>'10'!F79</f>
        <v>0</v>
      </c>
      <c r="F79" s="117"/>
      <c r="G79" s="112">
        <f>G15-SUM(G74:G78)</f>
        <v>613</v>
      </c>
      <c r="H79" s="99">
        <f>G79+'10'!H79</f>
        <v>6126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780" t="s">
        <v>329</v>
      </c>
      <c r="B80" s="781"/>
      <c r="C80" s="782"/>
      <c r="D80" s="151"/>
      <c r="E80" s="117"/>
      <c r="F80" s="117"/>
      <c r="G80" s="112">
        <f>SUM(G74:G79)</f>
        <v>1045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785" t="s">
        <v>226</v>
      </c>
      <c r="B81" s="786"/>
      <c r="C81" s="787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65" t="s">
        <v>227</v>
      </c>
      <c r="B82" s="366"/>
      <c r="C82" s="36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65" t="s">
        <v>229</v>
      </c>
      <c r="B83" s="366"/>
      <c r="C83" s="36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65" t="s">
        <v>230</v>
      </c>
      <c r="B84" s="366"/>
      <c r="C84" s="366"/>
      <c r="D84" s="151" t="s">
        <v>228</v>
      </c>
      <c r="E84" s="95">
        <f>'10'!F84</f>
        <v>41380</v>
      </c>
      <c r="F84" s="164">
        <v>41399</v>
      </c>
      <c r="G84" s="112">
        <f t="shared" si="8"/>
        <v>19</v>
      </c>
      <c r="H84" s="99">
        <f>G84+'10'!H84</f>
        <v>237</v>
      </c>
      <c r="I84" s="118"/>
      <c r="J84" s="175">
        <f>H84/DAY(B2)</f>
        <v>21.545454545454547</v>
      </c>
      <c r="O84" s="71"/>
    </row>
    <row r="85" spans="1:15" ht="30.75" customHeight="1" x14ac:dyDescent="0.5">
      <c r="A85" s="365" t="s">
        <v>231</v>
      </c>
      <c r="B85" s="366"/>
      <c r="C85" s="366"/>
      <c r="D85" s="151" t="s">
        <v>228</v>
      </c>
      <c r="E85" s="95">
        <f>'10'!F85</f>
        <v>1254</v>
      </c>
      <c r="F85" s="164">
        <v>1257</v>
      </c>
      <c r="G85" s="112">
        <f t="shared" si="8"/>
        <v>3</v>
      </c>
      <c r="H85" s="99">
        <f>G85+'10'!H85</f>
        <v>78</v>
      </c>
      <c r="I85" s="118">
        <f>G82+G83+G84+G85</f>
        <v>22</v>
      </c>
      <c r="J85" s="175">
        <f>H85/DAY(B2)</f>
        <v>7.0909090909090908</v>
      </c>
      <c r="O85" s="71"/>
    </row>
    <row r="86" spans="1:15" ht="30.75" customHeight="1" x14ac:dyDescent="0.5">
      <c r="A86" s="365" t="s">
        <v>232</v>
      </c>
      <c r="B86" s="366"/>
      <c r="C86" s="366"/>
      <c r="D86" s="151" t="s">
        <v>228</v>
      </c>
      <c r="E86" s="95">
        <f>'10'!F86</f>
        <v>42826.47</v>
      </c>
      <c r="F86" s="164">
        <v>42826.47</v>
      </c>
      <c r="G86" s="112">
        <f t="shared" si="8"/>
        <v>0</v>
      </c>
      <c r="H86" s="99">
        <f>G86+'10'!H86</f>
        <v>0.47000000000116415</v>
      </c>
      <c r="I86" s="118"/>
      <c r="J86" s="175">
        <f>H86/DAY(B2)</f>
        <v>4.2727272727378557E-2</v>
      </c>
      <c r="O86" s="71"/>
    </row>
    <row r="87" spans="1:15" ht="30.75" customHeight="1" x14ac:dyDescent="0.5">
      <c r="A87" s="365" t="s">
        <v>233</v>
      </c>
      <c r="B87" s="366"/>
      <c r="C87" s="366"/>
      <c r="D87" s="151" t="s">
        <v>228</v>
      </c>
      <c r="E87" s="95">
        <f>'10'!F87</f>
        <v>33353</v>
      </c>
      <c r="F87" s="164">
        <v>33364</v>
      </c>
      <c r="G87" s="112">
        <f t="shared" si="8"/>
        <v>11</v>
      </c>
      <c r="H87" s="99">
        <f>G87+'10'!H87</f>
        <v>50</v>
      </c>
      <c r="I87" s="118"/>
      <c r="J87" s="175">
        <f>H87/DAY(B2)</f>
        <v>4.5454545454545459</v>
      </c>
      <c r="O87" s="71"/>
    </row>
    <row r="88" spans="1:15" ht="30.75" customHeight="1" x14ac:dyDescent="0.5">
      <c r="A88" s="365" t="s">
        <v>234</v>
      </c>
      <c r="B88" s="366"/>
      <c r="C88" s="366"/>
      <c r="D88" s="151" t="s">
        <v>228</v>
      </c>
      <c r="E88" s="95">
        <f>'10'!F88</f>
        <v>23638</v>
      </c>
      <c r="F88" s="164">
        <v>23647</v>
      </c>
      <c r="G88" s="112">
        <f t="shared" si="8"/>
        <v>9</v>
      </c>
      <c r="H88" s="99">
        <f>G88+'10'!H88</f>
        <v>56.029999999998836</v>
      </c>
      <c r="I88" s="118">
        <f>G86+G87+G88</f>
        <v>20</v>
      </c>
      <c r="J88" s="175">
        <f>H88/DAY(B2)</f>
        <v>5.093636363636258</v>
      </c>
      <c r="O88" s="71"/>
    </row>
    <row r="89" spans="1:15" ht="30.75" customHeight="1" x14ac:dyDescent="0.5">
      <c r="A89" s="365" t="s">
        <v>235</v>
      </c>
      <c r="B89" s="366"/>
      <c r="C89" s="366"/>
      <c r="D89" s="151" t="s">
        <v>228</v>
      </c>
      <c r="E89" s="95">
        <f>'10'!F89</f>
        <v>25242</v>
      </c>
      <c r="F89" s="164">
        <v>25242</v>
      </c>
      <c r="G89" s="112">
        <f t="shared" si="8"/>
        <v>0</v>
      </c>
      <c r="H89" s="99">
        <f>G89+'10'!H89</f>
        <v>54.630000000001019</v>
      </c>
      <c r="I89" s="118"/>
      <c r="J89" s="175">
        <f>H89/DAY(B2)</f>
        <v>4.9663636363637291</v>
      </c>
      <c r="O89" s="71"/>
    </row>
    <row r="90" spans="1:15" ht="30.75" customHeight="1" x14ac:dyDescent="0.5">
      <c r="A90" s="365" t="s">
        <v>236</v>
      </c>
      <c r="B90" s="366"/>
      <c r="C90" s="366"/>
      <c r="D90" s="151" t="s">
        <v>228</v>
      </c>
      <c r="E90" s="95">
        <f>'10'!F90</f>
        <v>70559</v>
      </c>
      <c r="F90" s="164">
        <v>70566</v>
      </c>
      <c r="G90" s="112">
        <f t="shared" si="8"/>
        <v>7</v>
      </c>
      <c r="H90" s="99">
        <f>G90+'10'!H90</f>
        <v>33.020000000004075</v>
      </c>
      <c r="I90" s="118">
        <f>G89+G90</f>
        <v>7</v>
      </c>
      <c r="J90" s="175">
        <f>H90/DAY(B2)</f>
        <v>3.0018181818185523</v>
      </c>
      <c r="O90" s="71"/>
    </row>
    <row r="91" spans="1:15" ht="30.75" customHeight="1" x14ac:dyDescent="0.5">
      <c r="A91" s="365" t="s">
        <v>237</v>
      </c>
      <c r="B91" s="366"/>
      <c r="C91" s="366"/>
      <c r="D91" s="151" t="s">
        <v>228</v>
      </c>
      <c r="E91" s="95">
        <f>'10'!F91</f>
        <v>3034</v>
      </c>
      <c r="F91" s="122">
        <v>3045</v>
      </c>
      <c r="G91" s="112">
        <f t="shared" si="8"/>
        <v>11</v>
      </c>
      <c r="H91" s="99">
        <f>G91+'10'!H91</f>
        <v>119.13000000000011</v>
      </c>
      <c r="I91" s="165"/>
      <c r="J91" s="175">
        <f>H91/DAY(B2)</f>
        <v>10.830000000000011</v>
      </c>
      <c r="O91" s="71"/>
    </row>
    <row r="92" spans="1:15" ht="30.75" customHeight="1" x14ac:dyDescent="0.5">
      <c r="A92" s="365" t="s">
        <v>238</v>
      </c>
      <c r="B92" s="366"/>
      <c r="C92" s="366"/>
      <c r="D92" s="151" t="s">
        <v>228</v>
      </c>
      <c r="E92" s="95">
        <f>'10'!F92</f>
        <v>4758.6000000000004</v>
      </c>
      <c r="F92" s="122">
        <v>4758.6000000000004</v>
      </c>
      <c r="G92" s="112">
        <f t="shared" si="8"/>
        <v>0</v>
      </c>
      <c r="H92" s="99">
        <f>G92+'10'!H92</f>
        <v>0.6000000000003638</v>
      </c>
      <c r="I92" s="165"/>
      <c r="J92" s="175">
        <f>H92/DAY(B2)</f>
        <v>5.4545454545487621E-2</v>
      </c>
      <c r="O92" s="71"/>
    </row>
    <row r="93" spans="1:15" ht="30.75" customHeight="1" x14ac:dyDescent="0.5">
      <c r="A93" s="774" t="s">
        <v>239</v>
      </c>
      <c r="B93" s="775"/>
      <c r="C93" s="77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771" t="s">
        <v>240</v>
      </c>
      <c r="B94" s="772"/>
      <c r="C94" s="773"/>
      <c r="D94" s="151" t="s">
        <v>130</v>
      </c>
      <c r="E94" s="151"/>
      <c r="F94" s="151"/>
      <c r="G94" s="99">
        <f>G35+G43+G49+G57</f>
        <v>6038</v>
      </c>
      <c r="H94" s="99">
        <f>G94+'10'!H94</f>
        <v>70970.62</v>
      </c>
      <c r="I94" s="118"/>
      <c r="J94" s="175">
        <f>H94/DAY(B2)</f>
        <v>6451.8745454545451</v>
      </c>
      <c r="K94" s="69"/>
      <c r="L94" s="66"/>
      <c r="O94" s="71"/>
    </row>
    <row r="95" spans="1:15" ht="30.75" customHeight="1" x14ac:dyDescent="0.5">
      <c r="A95" s="771" t="s">
        <v>241</v>
      </c>
      <c r="B95" s="772"/>
      <c r="C95" s="773"/>
      <c r="D95" s="151" t="s">
        <v>23</v>
      </c>
      <c r="E95" s="146"/>
      <c r="F95" s="146"/>
      <c r="G95" s="166">
        <f>G94/G7</f>
        <v>0.25624920426091752</v>
      </c>
      <c r="H95" s="99">
        <f>G95+'10'!H95</f>
        <v>3.027830260957542</v>
      </c>
      <c r="I95" s="167"/>
      <c r="J95" s="175">
        <f>H95/DAY(B2)</f>
        <v>0.27525729645068564</v>
      </c>
      <c r="K95" s="69"/>
      <c r="L95" s="66"/>
      <c r="O95" s="71"/>
    </row>
    <row r="96" spans="1:15" ht="30.75" customHeight="1" x14ac:dyDescent="0.5">
      <c r="A96" s="771" t="s">
        <v>242</v>
      </c>
      <c r="B96" s="772"/>
      <c r="C96" s="773"/>
      <c r="D96" s="151" t="s">
        <v>130</v>
      </c>
      <c r="E96" s="95"/>
      <c r="F96" s="95"/>
      <c r="G96" s="99">
        <f>G41+G42+G55+G56</f>
        <v>7289</v>
      </c>
      <c r="H96" s="99">
        <f>G96+'10'!H96</f>
        <v>80780.409999999974</v>
      </c>
      <c r="I96" s="118"/>
      <c r="J96" s="175">
        <f>H96/DAY(B2)</f>
        <v>7343.6736363636337</v>
      </c>
      <c r="K96" s="69"/>
      <c r="L96" s="66"/>
      <c r="O96" s="71"/>
    </row>
    <row r="97" spans="1:15" ht="30.75" customHeight="1" x14ac:dyDescent="0.5">
      <c r="A97" s="771" t="s">
        <v>243</v>
      </c>
      <c r="B97" s="772"/>
      <c r="C97" s="773"/>
      <c r="D97" s="151" t="s">
        <v>23</v>
      </c>
      <c r="E97" s="95"/>
      <c r="F97" s="95"/>
      <c r="G97" s="166">
        <f>G96/G7</f>
        <v>0.30934091584263462</v>
      </c>
      <c r="H97" s="99">
        <f>G97+'10'!H97</f>
        <v>3.4371377958266511</v>
      </c>
      <c r="I97" s="167"/>
      <c r="J97" s="175">
        <f>H97/DAY(B2)</f>
        <v>0.31246707234787735</v>
      </c>
      <c r="K97" s="69"/>
      <c r="L97" s="66"/>
      <c r="O97" s="71"/>
    </row>
    <row r="98" spans="1:15" ht="30.75" customHeight="1" x14ac:dyDescent="0.5">
      <c r="A98" s="771" t="s">
        <v>244</v>
      </c>
      <c r="B98" s="772"/>
      <c r="C98" s="773"/>
      <c r="D98" s="151" t="s">
        <v>130</v>
      </c>
      <c r="E98" s="95"/>
      <c r="F98" s="95"/>
      <c r="G98" s="99">
        <f>G39+G53</f>
        <v>4356</v>
      </c>
      <c r="H98" s="99">
        <f>G98+'10'!H98</f>
        <v>46308</v>
      </c>
      <c r="I98" s="168"/>
      <c r="J98" s="175">
        <f>H98/DAY(B2)</f>
        <v>4209.818181818182</v>
      </c>
      <c r="K98" s="69"/>
      <c r="L98" s="66"/>
      <c r="O98" s="71"/>
    </row>
    <row r="99" spans="1:15" ht="30.75" customHeight="1" x14ac:dyDescent="0.5">
      <c r="A99" s="771" t="s">
        <v>245</v>
      </c>
      <c r="B99" s="772"/>
      <c r="C99" s="773"/>
      <c r="D99" s="151" t="s">
        <v>23</v>
      </c>
      <c r="E99" s="95"/>
      <c r="F99" s="95"/>
      <c r="G99" s="166">
        <f>G98/G7</f>
        <v>0.1848661036370581</v>
      </c>
      <c r="H99" s="99">
        <f>G99+'10'!H99</f>
        <v>1.9740137785206313</v>
      </c>
      <c r="I99" s="168"/>
      <c r="J99" s="175">
        <f>H99/DAY(B2)</f>
        <v>0.17945579804733011</v>
      </c>
      <c r="O99" s="71"/>
    </row>
    <row r="100" spans="1:15" ht="30.75" customHeight="1" x14ac:dyDescent="0.5">
      <c r="A100" s="771" t="s">
        <v>246</v>
      </c>
      <c r="B100" s="772"/>
      <c r="C100" s="773"/>
      <c r="D100" s="151" t="s">
        <v>180</v>
      </c>
      <c r="E100" s="95"/>
      <c r="F100" s="95"/>
      <c r="G100" s="99">
        <f>G38+G52</f>
        <v>1926</v>
      </c>
      <c r="H100" s="99">
        <f>G100+'10'!H100</f>
        <v>21078</v>
      </c>
      <c r="I100" s="118"/>
      <c r="J100" s="175">
        <f>H100/DAY(B2)</f>
        <v>1916.1818181818182</v>
      </c>
      <c r="K100" s="70"/>
      <c r="O100" s="71"/>
    </row>
    <row r="101" spans="1:15" ht="30.75" customHeight="1" x14ac:dyDescent="0.5">
      <c r="A101" s="771" t="s">
        <v>247</v>
      </c>
      <c r="B101" s="772"/>
      <c r="C101" s="773"/>
      <c r="D101" s="151" t="s">
        <v>23</v>
      </c>
      <c r="E101" s="95"/>
      <c r="F101" s="95"/>
      <c r="G101" s="166">
        <f>G100/G7</f>
        <v>8.1738318550269487E-2</v>
      </c>
      <c r="H101" s="99">
        <f>G101+'10'!H101</f>
        <v>0.89862542596169026</v>
      </c>
      <c r="I101" s="168"/>
      <c r="J101" s="175">
        <f>H101/DAY(B2)</f>
        <v>8.1693220541971839E-2</v>
      </c>
      <c r="O101" s="71"/>
    </row>
    <row r="102" spans="1:15" ht="30.75" customHeight="1" x14ac:dyDescent="0.5">
      <c r="A102" s="771" t="s">
        <v>248</v>
      </c>
      <c r="B102" s="772"/>
      <c r="C102" s="773"/>
      <c r="D102" s="151" t="s">
        <v>180</v>
      </c>
      <c r="E102" s="95"/>
      <c r="F102" s="95"/>
      <c r="G102" s="99">
        <f>G36+G50</f>
        <v>1928</v>
      </c>
      <c r="H102" s="99">
        <f>G102+'10'!H102</f>
        <v>23384</v>
      </c>
      <c r="I102" s="168"/>
      <c r="J102" s="175">
        <f>H102/DAY(B2)</f>
        <v>2125.818181818182</v>
      </c>
      <c r="O102" s="71"/>
    </row>
    <row r="103" spans="1:15" ht="30.75" customHeight="1" x14ac:dyDescent="0.5">
      <c r="A103" s="771" t="s">
        <v>249</v>
      </c>
      <c r="B103" s="772"/>
      <c r="C103" s="773"/>
      <c r="D103" s="151" t="s">
        <v>23</v>
      </c>
      <c r="E103" s="95"/>
      <c r="F103" s="95"/>
      <c r="G103" s="166">
        <f>G102/G7</f>
        <v>8.1823197385731863E-2</v>
      </c>
      <c r="H103" s="99">
        <f>G103+'10'!H103</f>
        <v>0.9944661545088217</v>
      </c>
      <c r="I103" s="118"/>
      <c r="J103" s="175">
        <f>H103/DAY(B2)</f>
        <v>9.0406014046256519E-2</v>
      </c>
      <c r="O103" s="71"/>
    </row>
    <row r="104" spans="1:15" ht="30.75" customHeight="1" x14ac:dyDescent="0.5">
      <c r="A104" s="771" t="s">
        <v>250</v>
      </c>
      <c r="B104" s="772"/>
      <c r="C104" s="773"/>
      <c r="D104" s="151" t="s">
        <v>180</v>
      </c>
      <c r="E104" s="95"/>
      <c r="F104" s="95"/>
      <c r="G104" s="99">
        <f>G37+G51</f>
        <v>1692</v>
      </c>
      <c r="H104" s="99">
        <f>G104+'10'!H104</f>
        <v>18930</v>
      </c>
      <c r="I104" s="118"/>
      <c r="J104" s="175">
        <f>H104/DAY(B2)</f>
        <v>1720.909090909091</v>
      </c>
      <c r="O104" s="71"/>
    </row>
    <row r="105" spans="1:15" ht="30.75" customHeight="1" thickBot="1" x14ac:dyDescent="0.55000000000000004">
      <c r="A105" s="764" t="s">
        <v>251</v>
      </c>
      <c r="B105" s="765"/>
      <c r="C105" s="766"/>
      <c r="D105" s="231" t="s">
        <v>23</v>
      </c>
      <c r="E105" s="185"/>
      <c r="F105" s="185"/>
      <c r="G105" s="186">
        <f>G104/G7</f>
        <v>7.1807494801171323E-2</v>
      </c>
      <c r="H105" s="99">
        <f>G105+'10'!H105</f>
        <v>0.80759876134222719</v>
      </c>
      <c r="I105" s="187"/>
      <c r="J105" s="188">
        <f>H105/DAY(B2)</f>
        <v>7.3418069212929746E-2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760" t="s">
        <v>324</v>
      </c>
      <c r="B108" s="760"/>
      <c r="C108" s="760"/>
      <c r="D108" s="760"/>
      <c r="E108" s="760"/>
      <c r="F108" s="760"/>
      <c r="G108" s="760"/>
      <c r="H108" s="760"/>
      <c r="I108" s="760"/>
      <c r="J108" s="760"/>
    </row>
    <row r="109" spans="1:15" ht="30.75" customHeight="1" x14ac:dyDescent="0.5">
      <c r="A109" s="788"/>
      <c r="B109" s="788"/>
    </row>
    <row r="110" spans="1:15" ht="30.75" customHeight="1" x14ac:dyDescent="0.5">
      <c r="A110" s="761" t="s">
        <v>165</v>
      </c>
      <c r="B110" s="762"/>
      <c r="C110" s="762"/>
      <c r="D110" s="762"/>
      <c r="E110" s="762"/>
      <c r="F110" s="762"/>
      <c r="G110" s="762"/>
      <c r="H110" s="762"/>
      <c r="I110" s="762"/>
      <c r="J110" s="763"/>
    </row>
    <row r="111" spans="1:15" ht="30.75" customHeight="1" x14ac:dyDescent="0.5">
      <c r="A111" s="753"/>
      <c r="B111" s="754"/>
      <c r="C111" s="755"/>
      <c r="D111" s="165"/>
      <c r="E111" s="165"/>
      <c r="F111" s="165"/>
      <c r="G111" s="165"/>
      <c r="H111" s="156"/>
      <c r="I111" s="165"/>
      <c r="J111" s="347"/>
    </row>
    <row r="112" spans="1:15" ht="30.75" customHeight="1" x14ac:dyDescent="0.5">
      <c r="A112" s="750" t="s">
        <v>252</v>
      </c>
      <c r="B112" s="751"/>
      <c r="C112" s="752"/>
      <c r="D112" s="146" t="s">
        <v>183</v>
      </c>
      <c r="E112" s="95">
        <f>'10'!F112</f>
        <v>49111</v>
      </c>
      <c r="F112" s="237">
        <v>49196</v>
      </c>
      <c r="G112" s="112">
        <f t="shared" ref="G112:G123" si="9">F112-E112</f>
        <v>85</v>
      </c>
      <c r="H112" s="99">
        <f>G112+'10'!H112</f>
        <v>919</v>
      </c>
      <c r="I112" s="165"/>
      <c r="J112" s="348">
        <f>H112/DAY(B2)</f>
        <v>83.545454545454547</v>
      </c>
    </row>
    <row r="113" spans="1:18" ht="30.75" customHeight="1" x14ac:dyDescent="0.5">
      <c r="A113" s="750" t="s">
        <v>253</v>
      </c>
      <c r="B113" s="751"/>
      <c r="C113" s="752"/>
      <c r="D113" s="146" t="s">
        <v>183</v>
      </c>
      <c r="E113" s="95">
        <f>'10'!F113</f>
        <v>155161</v>
      </c>
      <c r="F113" s="237">
        <v>155619</v>
      </c>
      <c r="G113" s="112">
        <f t="shared" si="9"/>
        <v>458</v>
      </c>
      <c r="H113" s="99">
        <f>G113+'10'!H113</f>
        <v>5088</v>
      </c>
      <c r="I113" s="165"/>
      <c r="J113" s="348">
        <f>H113/DAY(B2)</f>
        <v>462.54545454545456</v>
      </c>
    </row>
    <row r="114" spans="1:18" ht="30.75" customHeight="1" x14ac:dyDescent="0.5">
      <c r="A114" s="750" t="s">
        <v>254</v>
      </c>
      <c r="B114" s="751"/>
      <c r="C114" s="752"/>
      <c r="D114" s="146" t="s">
        <v>183</v>
      </c>
      <c r="E114" s="95">
        <f>'10'!F114</f>
        <v>72393</v>
      </c>
      <c r="F114" s="237">
        <v>72614</v>
      </c>
      <c r="G114" s="112">
        <f t="shared" si="9"/>
        <v>221</v>
      </c>
      <c r="H114" s="99">
        <f>G114+'10'!H114</f>
        <v>2414</v>
      </c>
      <c r="I114" s="165"/>
      <c r="J114" s="348">
        <f>H114/DAY(B2)</f>
        <v>219.45454545454547</v>
      </c>
    </row>
    <row r="115" spans="1:18" ht="30.75" customHeight="1" x14ac:dyDescent="0.5">
      <c r="A115" s="750" t="s">
        <v>255</v>
      </c>
      <c r="B115" s="751"/>
      <c r="C115" s="752"/>
      <c r="D115" s="146" t="s">
        <v>183</v>
      </c>
      <c r="E115" s="95">
        <f>'10'!F115</f>
        <v>7850</v>
      </c>
      <c r="F115" s="237">
        <v>7867</v>
      </c>
      <c r="G115" s="112">
        <f t="shared" si="9"/>
        <v>17</v>
      </c>
      <c r="H115" s="99">
        <f>G115+'10'!H115</f>
        <v>119</v>
      </c>
      <c r="I115" s="165"/>
      <c r="J115" s="348">
        <f>H115/DAY(B2)</f>
        <v>10.818181818181818</v>
      </c>
    </row>
    <row r="116" spans="1:18" ht="30.75" customHeight="1" x14ac:dyDescent="0.5">
      <c r="A116" s="757" t="s">
        <v>96</v>
      </c>
      <c r="B116" s="758"/>
      <c r="C116" s="759"/>
      <c r="D116" s="146" t="s">
        <v>183</v>
      </c>
      <c r="E116" s="95">
        <f>'10'!F116</f>
        <v>0</v>
      </c>
      <c r="F116" s="237">
        <v>0</v>
      </c>
      <c r="G116" s="112">
        <f t="shared" si="9"/>
        <v>0</v>
      </c>
      <c r="H116" s="99">
        <f>G116+'10'!H116</f>
        <v>0</v>
      </c>
      <c r="I116" s="165"/>
      <c r="J116" s="348">
        <f>H116/DAY(B2)</f>
        <v>0</v>
      </c>
      <c r="Q116" s="750" t="s">
        <v>311</v>
      </c>
      <c r="R116" s="752"/>
    </row>
    <row r="117" spans="1:18" ht="30.75" customHeight="1" x14ac:dyDescent="0.5">
      <c r="A117" s="757" t="s">
        <v>184</v>
      </c>
      <c r="B117" s="758"/>
      <c r="C117" s="759"/>
      <c r="D117" s="146" t="s">
        <v>183</v>
      </c>
      <c r="E117" s="95">
        <f>'10'!F117</f>
        <v>633</v>
      </c>
      <c r="F117" s="237">
        <v>665</v>
      </c>
      <c r="G117" s="112">
        <f t="shared" si="9"/>
        <v>32</v>
      </c>
      <c r="H117" s="99">
        <f>G117+'10'!H117</f>
        <v>249</v>
      </c>
      <c r="I117" s="165"/>
      <c r="J117" s="348">
        <f>H117/DAY(B2)</f>
        <v>22.636363636363637</v>
      </c>
      <c r="Q117" s="750" t="s">
        <v>312</v>
      </c>
      <c r="R117" s="752"/>
    </row>
    <row r="118" spans="1:18" ht="30.75" customHeight="1" x14ac:dyDescent="0.5">
      <c r="A118" s="749" t="s">
        <v>97</v>
      </c>
      <c r="B118" s="749"/>
      <c r="C118" s="749"/>
      <c r="D118" s="151" t="s">
        <v>183</v>
      </c>
      <c r="E118" s="95">
        <f>'10'!F118</f>
        <v>210632</v>
      </c>
      <c r="F118" s="237">
        <v>211014</v>
      </c>
      <c r="G118" s="112">
        <f t="shared" si="9"/>
        <v>382</v>
      </c>
      <c r="H118" s="99">
        <f>G118+'10'!H118</f>
        <v>4482</v>
      </c>
      <c r="I118" s="165"/>
      <c r="J118" s="348">
        <f>H118/DAY(B2)</f>
        <v>407.45454545454544</v>
      </c>
      <c r="Q118" s="750" t="s">
        <v>311</v>
      </c>
      <c r="R118" s="752"/>
    </row>
    <row r="119" spans="1:18" ht="30.75" customHeight="1" x14ac:dyDescent="0.5">
      <c r="A119" s="749" t="s">
        <v>98</v>
      </c>
      <c r="B119" s="749"/>
      <c r="C119" s="749"/>
      <c r="D119" s="151" t="s">
        <v>183</v>
      </c>
      <c r="E119" s="95">
        <f>'10'!F119</f>
        <v>210099</v>
      </c>
      <c r="F119" s="237">
        <v>210507</v>
      </c>
      <c r="G119" s="112">
        <f t="shared" si="9"/>
        <v>408</v>
      </c>
      <c r="H119" s="99">
        <f>G119+'10'!H119</f>
        <v>4277</v>
      </c>
      <c r="I119" s="165"/>
      <c r="J119" s="348">
        <f>H119/DAY(B2)</f>
        <v>388.81818181818181</v>
      </c>
    </row>
    <row r="120" spans="1:18" ht="30.75" customHeight="1" x14ac:dyDescent="0.5">
      <c r="A120" s="749" t="s">
        <v>99</v>
      </c>
      <c r="B120" s="749"/>
      <c r="C120" s="749"/>
      <c r="D120" s="151" t="s">
        <v>183</v>
      </c>
      <c r="E120" s="95">
        <f>'10'!F120</f>
        <v>9594</v>
      </c>
      <c r="F120" s="237">
        <v>9998</v>
      </c>
      <c r="G120" s="112">
        <f t="shared" si="9"/>
        <v>404</v>
      </c>
      <c r="H120" s="99">
        <f>G120+'10'!H120</f>
        <v>4483</v>
      </c>
      <c r="I120" s="165"/>
      <c r="J120" s="348">
        <f>H120/DAY(B2)</f>
        <v>407.54545454545456</v>
      </c>
    </row>
    <row r="121" spans="1:18" ht="30.75" customHeight="1" x14ac:dyDescent="0.5">
      <c r="A121" s="749" t="s">
        <v>100</v>
      </c>
      <c r="B121" s="749"/>
      <c r="C121" s="749"/>
      <c r="D121" s="151" t="s">
        <v>183</v>
      </c>
      <c r="E121" s="95">
        <f>'10'!F121</f>
        <v>316748</v>
      </c>
      <c r="F121" s="237">
        <v>317470</v>
      </c>
      <c r="G121" s="112">
        <f t="shared" si="9"/>
        <v>722</v>
      </c>
      <c r="H121" s="99">
        <f>G121+'10'!H121</f>
        <v>8025.2700000000186</v>
      </c>
      <c r="I121" s="165"/>
      <c r="J121" s="348">
        <f>H121/DAY(B2)</f>
        <v>729.57000000000164</v>
      </c>
    </row>
    <row r="122" spans="1:18" ht="30.75" customHeight="1" x14ac:dyDescent="0.5">
      <c r="A122" s="749" t="s">
        <v>101</v>
      </c>
      <c r="B122" s="749"/>
      <c r="C122" s="749"/>
      <c r="D122" s="151" t="s">
        <v>183</v>
      </c>
      <c r="E122" s="95">
        <f>'10'!F122</f>
        <v>94698</v>
      </c>
      <c r="F122" s="237">
        <v>95036</v>
      </c>
      <c r="G122" s="112">
        <f t="shared" si="9"/>
        <v>338</v>
      </c>
      <c r="H122" s="99">
        <f>G122+'10'!H122</f>
        <v>3414</v>
      </c>
      <c r="I122" s="165"/>
      <c r="J122" s="348">
        <f>H122/DAY(B2)</f>
        <v>310.36363636363637</v>
      </c>
    </row>
    <row r="123" spans="1:18" ht="30.75" customHeight="1" x14ac:dyDescent="0.5">
      <c r="A123" s="749" t="s">
        <v>102</v>
      </c>
      <c r="B123" s="749"/>
      <c r="C123" s="749"/>
      <c r="D123" s="151" t="s">
        <v>183</v>
      </c>
      <c r="E123" s="95">
        <f>'10'!F123</f>
        <v>118858</v>
      </c>
      <c r="F123" s="237">
        <v>119195</v>
      </c>
      <c r="G123" s="112">
        <f t="shared" si="9"/>
        <v>337</v>
      </c>
      <c r="H123" s="99">
        <f>G123+'10'!H123</f>
        <v>3652</v>
      </c>
      <c r="I123" s="165"/>
      <c r="J123" s="348">
        <f>H123/DAY(B2)</f>
        <v>332</v>
      </c>
    </row>
    <row r="124" spans="1:18" ht="30.75" customHeight="1" x14ac:dyDescent="0.5">
      <c r="A124" s="753"/>
      <c r="B124" s="754"/>
      <c r="C124" s="755"/>
      <c r="D124" s="165"/>
      <c r="E124" s="165"/>
      <c r="F124" s="165"/>
      <c r="G124" s="347"/>
      <c r="H124" s="156"/>
      <c r="I124" s="165"/>
      <c r="J124" s="347"/>
    </row>
    <row r="125" spans="1:18" ht="30.75" customHeight="1" x14ac:dyDescent="0.5">
      <c r="A125" s="737"/>
      <c r="B125" s="737"/>
      <c r="C125" s="246"/>
      <c r="D125" s="317"/>
      <c r="E125" s="318"/>
      <c r="F125" s="318"/>
      <c r="G125" s="319"/>
      <c r="H125" s="156"/>
      <c r="I125" s="165"/>
      <c r="J125" s="347"/>
    </row>
    <row r="126" spans="1:18" ht="30.75" customHeight="1" x14ac:dyDescent="0.5">
      <c r="A126" s="756" t="s">
        <v>317</v>
      </c>
      <c r="B126" s="756"/>
      <c r="C126" s="756"/>
      <c r="D126" s="756"/>
      <c r="E126" s="756"/>
      <c r="F126" s="756"/>
      <c r="G126" s="756"/>
      <c r="H126" s="756"/>
      <c r="I126" s="756"/>
      <c r="J126" s="756"/>
    </row>
    <row r="127" spans="1:18" ht="30.75" customHeight="1" x14ac:dyDescent="0.5">
      <c r="A127" s="737"/>
      <c r="B127" s="737"/>
      <c r="C127" s="246"/>
      <c r="D127" s="317"/>
      <c r="E127" s="318"/>
      <c r="F127" s="318"/>
      <c r="G127" s="319"/>
      <c r="H127" s="99">
        <f>G127+'10'!H127</f>
        <v>0</v>
      </c>
      <c r="I127" s="165"/>
      <c r="J127" s="348">
        <f>H127/DAY(B2)</f>
        <v>0</v>
      </c>
    </row>
    <row r="128" spans="1:18" ht="30.75" customHeight="1" x14ac:dyDescent="0.5">
      <c r="A128" s="750" t="s">
        <v>318</v>
      </c>
      <c r="B128" s="751"/>
      <c r="C128" s="752"/>
      <c r="D128" s="151" t="s">
        <v>183</v>
      </c>
      <c r="E128" s="95">
        <f>'10'!F128</f>
        <v>10831</v>
      </c>
      <c r="F128" s="155">
        <v>11190</v>
      </c>
      <c r="G128" s="112">
        <f t="shared" ref="G128:G134" si="10">F128-E128</f>
        <v>359</v>
      </c>
      <c r="H128" s="99">
        <f>G128+'10'!H128</f>
        <v>3579</v>
      </c>
      <c r="I128" s="165"/>
      <c r="J128" s="348">
        <f>H128/DAY(B2)</f>
        <v>325.36363636363637</v>
      </c>
    </row>
    <row r="129" spans="1:15" ht="30.75" customHeight="1" x14ac:dyDescent="0.5">
      <c r="A129" s="349" t="s">
        <v>319</v>
      </c>
      <c r="B129" s="350"/>
      <c r="C129" s="351"/>
      <c r="D129" s="151" t="s">
        <v>183</v>
      </c>
      <c r="E129" s="95">
        <f>'10'!F129</f>
        <v>2131</v>
      </c>
      <c r="F129" s="155">
        <v>2374</v>
      </c>
      <c r="G129" s="112">
        <f t="shared" si="10"/>
        <v>243</v>
      </c>
      <c r="H129" s="99">
        <f>G129+'10'!H129</f>
        <v>2260</v>
      </c>
      <c r="I129" s="165"/>
      <c r="J129" s="348">
        <f>H129/DAY(B2)</f>
        <v>205.45454545454547</v>
      </c>
      <c r="N129" s="240"/>
      <c r="O129" s="241"/>
    </row>
    <row r="130" spans="1:15" ht="30.75" customHeight="1" x14ac:dyDescent="0.5">
      <c r="A130" s="349" t="s">
        <v>320</v>
      </c>
      <c r="B130" s="350"/>
      <c r="C130" s="351"/>
      <c r="D130" s="151" t="s">
        <v>183</v>
      </c>
      <c r="E130" s="95">
        <f>'10'!F130</f>
        <v>2564</v>
      </c>
      <c r="F130" s="155">
        <v>2784</v>
      </c>
      <c r="G130" s="112">
        <f t="shared" si="10"/>
        <v>220</v>
      </c>
      <c r="H130" s="99">
        <f>G130+'10'!H130</f>
        <v>2604</v>
      </c>
      <c r="I130" s="165"/>
      <c r="J130" s="348">
        <f>H130/DAY(B2)</f>
        <v>236.72727272727272</v>
      </c>
      <c r="N130" s="240"/>
      <c r="O130" s="241"/>
    </row>
    <row r="131" spans="1:15" ht="30.75" customHeight="1" x14ac:dyDescent="0.5">
      <c r="A131" s="750" t="s">
        <v>321</v>
      </c>
      <c r="B131" s="751"/>
      <c r="C131" s="752"/>
      <c r="D131" s="151" t="s">
        <v>183</v>
      </c>
      <c r="E131" s="95">
        <f>'10'!F131</f>
        <v>1419</v>
      </c>
      <c r="F131" s="155">
        <v>1517</v>
      </c>
      <c r="G131" s="112">
        <f t="shared" si="10"/>
        <v>98</v>
      </c>
      <c r="H131" s="99">
        <f>G131+'10'!H131</f>
        <v>1407</v>
      </c>
      <c r="I131" s="165"/>
      <c r="J131" s="348">
        <f>H131/DAY(B2)</f>
        <v>127.90909090909091</v>
      </c>
      <c r="N131" s="240"/>
      <c r="O131" s="241"/>
    </row>
    <row r="132" spans="1:15" ht="30.75" customHeight="1" x14ac:dyDescent="0.5">
      <c r="A132" s="750" t="s">
        <v>322</v>
      </c>
      <c r="B132" s="751"/>
      <c r="C132" s="752"/>
      <c r="D132" s="151" t="s">
        <v>183</v>
      </c>
      <c r="E132" s="95">
        <f>'10'!F132</f>
        <v>4222</v>
      </c>
      <c r="F132" s="155">
        <v>4619</v>
      </c>
      <c r="G132" s="112">
        <f t="shared" si="10"/>
        <v>397</v>
      </c>
      <c r="H132" s="99">
        <f>G132+'10'!H132</f>
        <v>4298</v>
      </c>
      <c r="I132" s="165"/>
      <c r="J132" s="348">
        <f>H132/DAY(B2)</f>
        <v>390.72727272727275</v>
      </c>
    </row>
    <row r="133" spans="1:15" ht="30.75" customHeight="1" x14ac:dyDescent="0.5">
      <c r="A133" s="750" t="s">
        <v>323</v>
      </c>
      <c r="B133" s="751"/>
      <c r="C133" s="752"/>
      <c r="D133" s="151" t="s">
        <v>183</v>
      </c>
      <c r="E133" s="95">
        <f>'10'!F133</f>
        <v>24281</v>
      </c>
      <c r="F133" s="155">
        <v>25082</v>
      </c>
      <c r="G133" s="112">
        <f t="shared" si="10"/>
        <v>801</v>
      </c>
      <c r="H133" s="99">
        <f>G133+'10'!H133</f>
        <v>8691</v>
      </c>
      <c r="I133" s="165"/>
      <c r="J133" s="348">
        <f>H133/DAY(B2)</f>
        <v>790.09090909090912</v>
      </c>
    </row>
    <row r="134" spans="1:15" ht="30.75" customHeight="1" x14ac:dyDescent="0.5">
      <c r="A134" s="750" t="s">
        <v>340</v>
      </c>
      <c r="B134" s="751"/>
      <c r="C134" s="752"/>
      <c r="D134" s="151" t="s">
        <v>183</v>
      </c>
      <c r="E134" s="95">
        <f>'10'!F134</f>
        <v>618842</v>
      </c>
      <c r="F134" s="155">
        <v>619480</v>
      </c>
      <c r="G134" s="112">
        <f t="shared" si="10"/>
        <v>638</v>
      </c>
      <c r="H134" s="99">
        <f>G134+'10'!H134</f>
        <v>5065</v>
      </c>
      <c r="I134" s="165"/>
      <c r="J134" s="348">
        <f>H134/DAY(B2)</f>
        <v>460.45454545454544</v>
      </c>
    </row>
    <row r="135" spans="1:15" ht="30.75" customHeight="1" x14ac:dyDescent="0.5">
      <c r="A135" s="753"/>
      <c r="B135" s="754"/>
      <c r="C135" s="755"/>
      <c r="D135" s="151"/>
      <c r="E135" s="95"/>
      <c r="F135" s="165"/>
      <c r="G135" s="112"/>
      <c r="H135" s="99">
        <f>G135+'10'!H135</f>
        <v>5534.2300000000005</v>
      </c>
      <c r="I135" s="165"/>
      <c r="J135" s="348"/>
    </row>
    <row r="136" spans="1:15" ht="30.75" customHeight="1" x14ac:dyDescent="0.55000000000000004">
      <c r="A136" s="736" t="s">
        <v>325</v>
      </c>
      <c r="B136" s="736"/>
      <c r="C136" s="736"/>
      <c r="D136" s="736"/>
      <c r="E136" s="736"/>
      <c r="F136" s="736"/>
      <c r="G136" s="736"/>
      <c r="H136" s="736"/>
      <c r="I136" s="736"/>
      <c r="J136" s="736"/>
    </row>
    <row r="137" spans="1:15" ht="30.75" customHeight="1" x14ac:dyDescent="0.5">
      <c r="A137" s="246"/>
      <c r="B137" s="247"/>
      <c r="C137" s="247"/>
      <c r="D137" s="165"/>
      <c r="E137" s="165"/>
      <c r="F137" s="165" t="s">
        <v>359</v>
      </c>
      <c r="G137" s="165"/>
      <c r="H137" s="156"/>
      <c r="I137" s="165"/>
      <c r="J137" s="347"/>
    </row>
    <row r="138" spans="1:15" ht="30.75" customHeight="1" x14ac:dyDescent="0.5">
      <c r="A138" s="749" t="s">
        <v>185</v>
      </c>
      <c r="B138" s="749"/>
      <c r="C138" s="749"/>
      <c r="D138" s="151" t="s">
        <v>183</v>
      </c>
      <c r="E138" s="95">
        <f>'10'!F138</f>
        <v>858197</v>
      </c>
      <c r="F138" s="147">
        <v>858293</v>
      </c>
      <c r="G138" s="112">
        <f t="shared" ref="G138:G152" si="11">F138-E138</f>
        <v>96</v>
      </c>
      <c r="H138" s="99">
        <f>G138+'10'!H138</f>
        <v>940</v>
      </c>
      <c r="I138" s="118"/>
      <c r="J138" s="348">
        <f>H138/DAY(B2)</f>
        <v>85.454545454545453</v>
      </c>
    </row>
    <row r="139" spans="1:15" ht="30.75" customHeight="1" x14ac:dyDescent="0.5">
      <c r="A139" s="749" t="s">
        <v>186</v>
      </c>
      <c r="B139" s="749"/>
      <c r="C139" s="749"/>
      <c r="D139" s="151" t="s">
        <v>183</v>
      </c>
      <c r="E139" s="95">
        <f>'10'!F139</f>
        <v>886068</v>
      </c>
      <c r="F139" s="148">
        <v>886069</v>
      </c>
      <c r="G139" s="112">
        <f t="shared" si="11"/>
        <v>1</v>
      </c>
      <c r="H139" s="99">
        <f>G139+'10'!H139</f>
        <v>7</v>
      </c>
      <c r="I139" s="118"/>
      <c r="J139" s="348">
        <f>H139/DAY(B2)</f>
        <v>0.63636363636363635</v>
      </c>
    </row>
    <row r="140" spans="1:15" ht="30.75" customHeight="1" x14ac:dyDescent="0.5">
      <c r="A140" s="749" t="s">
        <v>187</v>
      </c>
      <c r="B140" s="749"/>
      <c r="C140" s="749"/>
      <c r="D140" s="151" t="s">
        <v>183</v>
      </c>
      <c r="E140" s="95">
        <f>'10'!F140</f>
        <v>88797</v>
      </c>
      <c r="F140" s="149">
        <v>88797</v>
      </c>
      <c r="G140" s="112">
        <f t="shared" si="11"/>
        <v>0</v>
      </c>
      <c r="H140" s="99">
        <f>G140+'10'!H140</f>
        <v>-1</v>
      </c>
      <c r="I140" s="118"/>
      <c r="J140" s="348">
        <f>H140/DAY(B2)</f>
        <v>-9.0909090909090912E-2</v>
      </c>
    </row>
    <row r="141" spans="1:15" ht="30.75" customHeight="1" x14ac:dyDescent="0.5">
      <c r="A141" s="728" t="s">
        <v>188</v>
      </c>
      <c r="B141" s="728"/>
      <c r="C141" s="728"/>
      <c r="D141" s="151" t="s">
        <v>183</v>
      </c>
      <c r="E141" s="95">
        <f>'10'!F141</f>
        <v>33395</v>
      </c>
      <c r="F141" s="149">
        <v>33555</v>
      </c>
      <c r="G141" s="112">
        <f t="shared" si="11"/>
        <v>160</v>
      </c>
      <c r="H141" s="99">
        <f>G141+'10'!H141</f>
        <v>2019</v>
      </c>
      <c r="I141" s="118"/>
      <c r="J141" s="348">
        <f>H141/DAY(B2)</f>
        <v>183.54545454545453</v>
      </c>
    </row>
    <row r="142" spans="1:15" ht="30.75" customHeight="1" x14ac:dyDescent="0.5">
      <c r="A142" s="728" t="s">
        <v>189</v>
      </c>
      <c r="B142" s="728"/>
      <c r="C142" s="728"/>
      <c r="D142" s="151" t="s">
        <v>183</v>
      </c>
      <c r="E142" s="95">
        <f>'10'!F142</f>
        <v>16031</v>
      </c>
      <c r="F142" s="148">
        <v>16098</v>
      </c>
      <c r="G142" s="112">
        <f t="shared" si="11"/>
        <v>67</v>
      </c>
      <c r="H142" s="99">
        <f>G142+'10'!H142</f>
        <v>776</v>
      </c>
      <c r="I142" s="140"/>
      <c r="J142" s="348">
        <f>H142/DAY(B2)</f>
        <v>70.545454545454547</v>
      </c>
    </row>
    <row r="143" spans="1:15" ht="30.75" customHeight="1" x14ac:dyDescent="0.5">
      <c r="A143" s="749" t="s">
        <v>91</v>
      </c>
      <c r="B143" s="749"/>
      <c r="C143" s="749"/>
      <c r="D143" s="151" t="s">
        <v>183</v>
      </c>
      <c r="E143" s="95">
        <f>'10'!F143</f>
        <v>797</v>
      </c>
      <c r="F143" s="149">
        <v>828</v>
      </c>
      <c r="G143" s="112">
        <f t="shared" si="11"/>
        <v>31</v>
      </c>
      <c r="H143" s="99">
        <f>G143+'10'!H143</f>
        <v>299</v>
      </c>
      <c r="I143" s="140"/>
      <c r="J143" s="348">
        <f>H143/DAY(B2)</f>
        <v>27.181818181818183</v>
      </c>
    </row>
    <row r="144" spans="1:15" ht="30.75" customHeight="1" x14ac:dyDescent="0.5">
      <c r="A144" s="728" t="s">
        <v>90</v>
      </c>
      <c r="B144" s="728"/>
      <c r="C144" s="728"/>
      <c r="D144" s="151" t="s">
        <v>183</v>
      </c>
      <c r="E144" s="95">
        <f>'10'!F144</f>
        <v>851703</v>
      </c>
      <c r="F144" s="149">
        <v>851870</v>
      </c>
      <c r="G144" s="112">
        <f t="shared" si="11"/>
        <v>167</v>
      </c>
      <c r="H144" s="99">
        <f>G144+'10'!H144</f>
        <v>1833</v>
      </c>
      <c r="I144" s="140"/>
      <c r="J144" s="348">
        <f>H144/DAY(B2)</f>
        <v>166.63636363636363</v>
      </c>
    </row>
    <row r="145" spans="1:10" ht="30.75" customHeight="1" x14ac:dyDescent="0.5">
      <c r="A145" s="749" t="s">
        <v>190</v>
      </c>
      <c r="B145" s="749"/>
      <c r="C145" s="749"/>
      <c r="D145" s="152" t="s">
        <v>183</v>
      </c>
      <c r="E145" s="95">
        <f>'10'!F145</f>
        <v>1391</v>
      </c>
      <c r="F145" s="149">
        <v>1434</v>
      </c>
      <c r="G145" s="112">
        <f t="shared" si="11"/>
        <v>43</v>
      </c>
      <c r="H145" s="99">
        <f>G145+'10'!H145</f>
        <v>480</v>
      </c>
      <c r="I145" s="140"/>
      <c r="J145" s="348">
        <f>H145/DAY(B2)</f>
        <v>43.636363636363633</v>
      </c>
    </row>
    <row r="146" spans="1:10" ht="30.75" customHeight="1" x14ac:dyDescent="0.5">
      <c r="A146" s="784" t="s">
        <v>191</v>
      </c>
      <c r="B146" s="769"/>
      <c r="C146" s="770"/>
      <c r="D146" s="152" t="s">
        <v>183</v>
      </c>
      <c r="E146" s="95">
        <f>'10'!F146</f>
        <v>690419</v>
      </c>
      <c r="F146" s="148">
        <v>690834</v>
      </c>
      <c r="G146" s="112">
        <f t="shared" si="11"/>
        <v>415</v>
      </c>
      <c r="H146" s="99">
        <f>G146+'10'!H146</f>
        <v>3642</v>
      </c>
      <c r="I146" s="140"/>
      <c r="J146" s="348">
        <f>H146/DAY(B2)</f>
        <v>331.09090909090907</v>
      </c>
    </row>
    <row r="147" spans="1:10" ht="30.75" customHeight="1" x14ac:dyDescent="0.5">
      <c r="A147" s="728" t="s">
        <v>192</v>
      </c>
      <c r="B147" s="728"/>
      <c r="C147" s="728"/>
      <c r="D147" s="152" t="s">
        <v>183</v>
      </c>
      <c r="E147" s="95">
        <f>'10'!F147</f>
        <v>580206</v>
      </c>
      <c r="F147" s="148">
        <v>580618</v>
      </c>
      <c r="G147" s="112">
        <f t="shared" si="11"/>
        <v>412</v>
      </c>
      <c r="H147" s="99">
        <f>G147+'10'!H147</f>
        <v>4546</v>
      </c>
      <c r="I147" s="140"/>
      <c r="J147" s="348">
        <f>H147/DAY(B2)</f>
        <v>413.27272727272725</v>
      </c>
    </row>
    <row r="148" spans="1:10" ht="30.75" customHeight="1" x14ac:dyDescent="0.5">
      <c r="A148" s="729" t="s">
        <v>193</v>
      </c>
      <c r="B148" s="730"/>
      <c r="C148" s="731"/>
      <c r="D148" s="123" t="s">
        <v>130</v>
      </c>
      <c r="E148" s="95">
        <f>'10'!F148</f>
        <v>660482</v>
      </c>
      <c r="F148" s="150">
        <v>660655</v>
      </c>
      <c r="G148" s="112">
        <f t="shared" si="11"/>
        <v>173</v>
      </c>
      <c r="H148" s="99">
        <f>G148+'10'!H148</f>
        <v>2055</v>
      </c>
      <c r="I148" s="124"/>
      <c r="J148" s="348">
        <f>H148/DAY(B2)</f>
        <v>186.81818181818181</v>
      </c>
    </row>
    <row r="149" spans="1:10" ht="30.75" customHeight="1" x14ac:dyDescent="0.5">
      <c r="A149" s="729" t="s">
        <v>336</v>
      </c>
      <c r="B149" s="730"/>
      <c r="C149" s="731"/>
      <c r="D149" s="227" t="s">
        <v>130</v>
      </c>
      <c r="E149" s="95">
        <f>'10'!F149</f>
        <v>77768</v>
      </c>
      <c r="F149" s="146">
        <v>78096</v>
      </c>
      <c r="G149" s="112">
        <f t="shared" si="11"/>
        <v>328</v>
      </c>
      <c r="H149" s="99">
        <f>G149+'10'!H149</f>
        <v>2674</v>
      </c>
      <c r="I149" s="119"/>
      <c r="J149" s="348">
        <f>H149/DAY(B2)</f>
        <v>243.09090909090909</v>
      </c>
    </row>
    <row r="150" spans="1:10" ht="30.75" customHeight="1" x14ac:dyDescent="0.5">
      <c r="A150" s="729" t="s">
        <v>337</v>
      </c>
      <c r="B150" s="730"/>
      <c r="C150" s="731"/>
      <c r="D150" s="117" t="s">
        <v>130</v>
      </c>
      <c r="E150" s="95">
        <f>'10'!F150</f>
        <v>7167232</v>
      </c>
      <c r="F150" s="233">
        <v>7167232</v>
      </c>
      <c r="G150" s="112">
        <f t="shared" si="11"/>
        <v>0</v>
      </c>
      <c r="H150" s="99">
        <f>G150+'10'!H150</f>
        <v>0</v>
      </c>
      <c r="I150" s="119"/>
      <c r="J150" s="348">
        <f>H150/DAY(B2)</f>
        <v>0</v>
      </c>
    </row>
    <row r="151" spans="1:10" ht="30.75" customHeight="1" x14ac:dyDescent="0.5">
      <c r="A151" s="729" t="s">
        <v>338</v>
      </c>
      <c r="B151" s="730"/>
      <c r="C151" s="731"/>
      <c r="D151" s="117" t="s">
        <v>130</v>
      </c>
      <c r="E151" s="95">
        <f>'10'!F151</f>
        <v>56585</v>
      </c>
      <c r="F151" s="233">
        <v>56931</v>
      </c>
      <c r="G151" s="112">
        <f t="shared" si="11"/>
        <v>346</v>
      </c>
      <c r="H151" s="99">
        <f>G151+'10'!H151</f>
        <v>3552</v>
      </c>
      <c r="I151" s="119"/>
      <c r="J151" s="348">
        <f>H151/DAY(B2)</f>
        <v>322.90909090909093</v>
      </c>
    </row>
    <row r="152" spans="1:10" ht="30.75" customHeight="1" x14ac:dyDescent="0.5">
      <c r="A152" s="729" t="s">
        <v>339</v>
      </c>
      <c r="B152" s="730"/>
      <c r="C152" s="731"/>
      <c r="D152" s="117" t="s">
        <v>130</v>
      </c>
      <c r="E152" s="95">
        <f>'10'!F152</f>
        <v>0</v>
      </c>
      <c r="F152" s="233">
        <v>0</v>
      </c>
      <c r="G152" s="112">
        <f t="shared" si="11"/>
        <v>0</v>
      </c>
      <c r="H152" s="99">
        <f>G152+'10'!H152</f>
        <v>0</v>
      </c>
      <c r="I152" s="119"/>
      <c r="J152" s="348">
        <f>H152/DAY(B2)</f>
        <v>0</v>
      </c>
    </row>
    <row r="153" spans="1:10" ht="30.75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0.75" customHeight="1" x14ac:dyDescent="0.55000000000000004">
      <c r="A154" s="736" t="s">
        <v>344</v>
      </c>
      <c r="B154" s="736"/>
      <c r="C154" s="736"/>
      <c r="D154" s="736"/>
      <c r="E154" s="736"/>
      <c r="F154" s="736"/>
      <c r="G154" s="736"/>
      <c r="H154" s="736"/>
      <c r="I154" s="736"/>
      <c r="J154" s="736"/>
    </row>
    <row r="155" spans="1:10" ht="30.75" customHeight="1" x14ac:dyDescent="0.55000000000000004">
      <c r="A155" s="728" t="s">
        <v>345</v>
      </c>
      <c r="B155" s="728"/>
      <c r="C155" s="728"/>
      <c r="D155" s="117" t="s">
        <v>130</v>
      </c>
      <c r="E155" s="95">
        <f>'10'!F155</f>
        <v>77095</v>
      </c>
      <c r="F155" s="615">
        <v>77103</v>
      </c>
      <c r="G155" s="112">
        <f t="shared" ref="G155:G156" si="12">F155-E155</f>
        <v>8</v>
      </c>
      <c r="H155" s="99">
        <f>G155+'10'!H155</f>
        <v>75.100000000005821</v>
      </c>
      <c r="I155" s="385"/>
      <c r="J155" s="348">
        <f>H155/DAY(B2)</f>
        <v>6.8272727272732565</v>
      </c>
    </row>
    <row r="156" spans="1:10" ht="30.75" customHeight="1" x14ac:dyDescent="0.5">
      <c r="A156" s="728" t="s">
        <v>347</v>
      </c>
      <c r="B156" s="728"/>
      <c r="C156" s="728"/>
      <c r="D156" s="117" t="s">
        <v>130</v>
      </c>
      <c r="E156" s="95">
        <f>'10'!F156</f>
        <v>0</v>
      </c>
      <c r="F156" s="155">
        <v>0</v>
      </c>
      <c r="G156" s="112">
        <f t="shared" si="12"/>
        <v>0</v>
      </c>
      <c r="H156" s="99">
        <f>G156+'10'!H156</f>
        <v>0</v>
      </c>
      <c r="I156" s="165"/>
      <c r="J156" s="348">
        <f>H156/DAY(B2)</f>
        <v>0</v>
      </c>
    </row>
    <row r="157" spans="1:10" ht="30.75" customHeight="1" x14ac:dyDescent="0.55000000000000004">
      <c r="A157" s="736" t="s">
        <v>326</v>
      </c>
      <c r="B157" s="736"/>
      <c r="C157" s="736"/>
      <c r="D157" s="736"/>
      <c r="E157" s="736"/>
      <c r="F157" s="736"/>
      <c r="G157" s="736"/>
      <c r="H157" s="736"/>
      <c r="I157" s="736"/>
      <c r="J157" s="736"/>
    </row>
    <row r="158" spans="1:10" ht="30.75" customHeight="1" x14ac:dyDescent="0.5">
      <c r="A158" s="242" t="s">
        <v>92</v>
      </c>
      <c r="B158" s="243"/>
      <c r="C158" s="243"/>
      <c r="D158" s="244" t="s">
        <v>180</v>
      </c>
      <c r="E158" s="95">
        <f>'10'!F158</f>
        <v>466561</v>
      </c>
      <c r="F158" s="235">
        <v>466736</v>
      </c>
      <c r="G158" s="238">
        <f t="shared" ref="G158:G162" si="13">F158-E158</f>
        <v>175</v>
      </c>
      <c r="H158" s="99">
        <f>G158+'10'!H158</f>
        <v>1475</v>
      </c>
      <c r="I158" s="236"/>
      <c r="J158" s="239">
        <f>H158/DAY(B2)</f>
        <v>134.09090909090909</v>
      </c>
    </row>
    <row r="159" spans="1:10" ht="30.75" customHeight="1" x14ac:dyDescent="0.5">
      <c r="A159" s="242" t="s">
        <v>93</v>
      </c>
      <c r="B159" s="243"/>
      <c r="C159" s="243"/>
      <c r="D159" s="244" t="s">
        <v>180</v>
      </c>
      <c r="E159" s="95">
        <f>'10'!F159</f>
        <v>85136</v>
      </c>
      <c r="F159" s="235">
        <v>85171</v>
      </c>
      <c r="G159" s="238">
        <f t="shared" si="13"/>
        <v>35</v>
      </c>
      <c r="H159" s="99">
        <f>G159+'10'!H159</f>
        <v>361</v>
      </c>
      <c r="I159" s="236"/>
      <c r="J159" s="239">
        <f>H159/DAY(B2)</f>
        <v>32.81818181818182</v>
      </c>
    </row>
    <row r="160" spans="1:10" ht="30.75" customHeight="1" x14ac:dyDescent="0.5">
      <c r="A160" s="242" t="s">
        <v>197</v>
      </c>
      <c r="B160" s="243"/>
      <c r="C160" s="243"/>
      <c r="D160" s="244" t="s">
        <v>180</v>
      </c>
      <c r="E160" s="95">
        <f>'10'!F160</f>
        <v>71650</v>
      </c>
      <c r="F160" s="235">
        <v>71698</v>
      </c>
      <c r="G160" s="238">
        <f t="shared" si="13"/>
        <v>48</v>
      </c>
      <c r="H160" s="99">
        <f>G160+'10'!H160</f>
        <v>727</v>
      </c>
      <c r="I160" s="236"/>
      <c r="J160" s="239">
        <f>H160/DAY(B2)</f>
        <v>66.090909090909093</v>
      </c>
    </row>
    <row r="161" spans="1:10" ht="30.75" customHeight="1" x14ac:dyDescent="0.5">
      <c r="A161" s="242" t="s">
        <v>197</v>
      </c>
      <c r="B161" s="243"/>
      <c r="C161" s="243"/>
      <c r="D161" s="244" t="s">
        <v>180</v>
      </c>
      <c r="E161" s="95">
        <f>'10'!F161</f>
        <v>3861</v>
      </c>
      <c r="F161" s="235">
        <v>3865</v>
      </c>
      <c r="G161" s="238">
        <f t="shared" si="13"/>
        <v>4</v>
      </c>
      <c r="H161" s="99">
        <f>G161+'10'!H161</f>
        <v>68</v>
      </c>
      <c r="I161" s="236"/>
      <c r="J161" s="239">
        <f>H161/DAY(B2)</f>
        <v>6.1818181818181817</v>
      </c>
    </row>
    <row r="162" spans="1:10" ht="30.75" customHeight="1" x14ac:dyDescent="0.5">
      <c r="A162" s="242" t="s">
        <v>309</v>
      </c>
      <c r="B162" s="243"/>
      <c r="C162" s="243"/>
      <c r="D162" s="244" t="s">
        <v>180</v>
      </c>
      <c r="E162" s="95">
        <f>'10'!F162</f>
        <v>29040</v>
      </c>
      <c r="F162" s="235">
        <v>29050</v>
      </c>
      <c r="G162" s="238">
        <f t="shared" si="13"/>
        <v>10</v>
      </c>
      <c r="H162" s="99">
        <f>G162+'10'!H162</f>
        <v>78</v>
      </c>
      <c r="I162" s="236"/>
      <c r="J162" s="239">
        <f>H162/DAY(B2)</f>
        <v>7.0909090909090908</v>
      </c>
    </row>
    <row r="163" spans="1:10" ht="30.75" customHeight="1" x14ac:dyDescent="0.5">
      <c r="A163" s="737"/>
      <c r="B163" s="737"/>
      <c r="C163" s="247"/>
      <c r="D163" s="244" t="s">
        <v>180</v>
      </c>
      <c r="E163" s="95">
        <f>'10'!F163</f>
        <v>0</v>
      </c>
      <c r="F163" s="165"/>
      <c r="G163" s="165"/>
      <c r="H163" s="99">
        <f>G163+'10'!H163</f>
        <v>0</v>
      </c>
      <c r="I163" s="165"/>
      <c r="J163" s="239">
        <f>H163/DAY(B2)</f>
        <v>0</v>
      </c>
    </row>
    <row r="164" spans="1:10" ht="30.75" customHeight="1" x14ac:dyDescent="0.5">
      <c r="A164" s="737"/>
      <c r="B164" s="737"/>
      <c r="C164" s="247"/>
      <c r="D164" s="244" t="s">
        <v>180</v>
      </c>
      <c r="E164" s="95">
        <f>'10'!F164</f>
        <v>0</v>
      </c>
      <c r="F164" s="165"/>
      <c r="G164" s="165"/>
      <c r="H164" s="99">
        <f>G164+'10'!H164</f>
        <v>0</v>
      </c>
      <c r="I164" s="165"/>
      <c r="J164" s="239">
        <f>H164/DAY(B2)</f>
        <v>0</v>
      </c>
    </row>
    <row r="165" spans="1:10" ht="30.75" customHeight="1" x14ac:dyDescent="0.5">
      <c r="A165" s="737"/>
      <c r="B165" s="737"/>
      <c r="C165" s="247"/>
      <c r="D165" s="244" t="s">
        <v>180</v>
      </c>
      <c r="E165" s="95">
        <f>'10'!F165</f>
        <v>0</v>
      </c>
      <c r="F165" s="165"/>
      <c r="G165" s="165"/>
      <c r="H165" s="99">
        <f>G165+'10'!H165</f>
        <v>0</v>
      </c>
      <c r="I165" s="165"/>
      <c r="J165" s="239">
        <f>H165/DAY(B2)</f>
        <v>0</v>
      </c>
    </row>
    <row r="168" spans="1:10" ht="30.75" customHeight="1" x14ac:dyDescent="0.35">
      <c r="A168" s="738" t="s">
        <v>330</v>
      </c>
      <c r="B168" s="739"/>
      <c r="C168" s="739"/>
      <c r="D168" s="739"/>
      <c r="E168" s="739"/>
      <c r="F168" s="739"/>
      <c r="G168" s="739"/>
      <c r="H168" s="739"/>
      <c r="I168" s="739"/>
      <c r="J168" s="740"/>
    </row>
    <row r="169" spans="1:10" ht="30.75" customHeight="1" x14ac:dyDescent="0.5">
      <c r="A169" s="747"/>
      <c r="B169" s="748"/>
      <c r="C169" s="352"/>
      <c r="D169" s="228"/>
      <c r="E169" s="155"/>
      <c r="F169" s="155"/>
      <c r="G169" s="155"/>
      <c r="H169" s="156"/>
      <c r="I169" s="155"/>
      <c r="J169" s="178"/>
    </row>
    <row r="170" spans="1:10" ht="30.75" customHeight="1" x14ac:dyDescent="0.5">
      <c r="A170" s="743" t="s">
        <v>209</v>
      </c>
      <c r="B170" s="744"/>
      <c r="C170" s="353"/>
      <c r="D170" s="228" t="s">
        <v>142</v>
      </c>
      <c r="E170" s="95">
        <f>'10'!F170</f>
        <v>7898</v>
      </c>
      <c r="F170" s="155">
        <v>7898</v>
      </c>
      <c r="G170" s="155">
        <f>F170-E170</f>
        <v>0</v>
      </c>
      <c r="H170" s="99">
        <f>G170+'10'!H170</f>
        <v>3</v>
      </c>
      <c r="I170" s="155"/>
      <c r="J170" s="178">
        <f>H170/DAY(B2)</f>
        <v>0.27272727272727271</v>
      </c>
    </row>
    <row r="171" spans="1:10" ht="30.75" customHeight="1" x14ac:dyDescent="0.5">
      <c r="A171" s="743" t="s">
        <v>75</v>
      </c>
      <c r="B171" s="744"/>
      <c r="C171" s="353"/>
      <c r="D171" s="228" t="s">
        <v>142</v>
      </c>
      <c r="E171" s="95">
        <f>'10'!F171</f>
        <v>37145</v>
      </c>
      <c r="F171" s="157">
        <v>37518</v>
      </c>
      <c r="G171" s="155">
        <f t="shared" ref="G171:G172" si="14">F171-E171</f>
        <v>373</v>
      </c>
      <c r="H171" s="99">
        <f>G171+'10'!H171</f>
        <v>484</v>
      </c>
      <c r="I171" s="155"/>
      <c r="J171" s="178">
        <f>H171/DAY(B2)</f>
        <v>44</v>
      </c>
    </row>
    <row r="172" spans="1:10" ht="30.75" customHeight="1" x14ac:dyDescent="0.5">
      <c r="A172" s="743" t="s">
        <v>76</v>
      </c>
      <c r="B172" s="783"/>
      <c r="C172" s="744"/>
      <c r="D172" s="228" t="s">
        <v>142</v>
      </c>
      <c r="E172" s="95">
        <f>'10'!F172</f>
        <v>20571</v>
      </c>
      <c r="F172" s="155">
        <v>20583</v>
      </c>
      <c r="G172" s="155">
        <f t="shared" si="14"/>
        <v>12</v>
      </c>
      <c r="H172" s="99">
        <f>G172+'10'!H172</f>
        <v>114</v>
      </c>
      <c r="I172" s="155"/>
      <c r="J172" s="178">
        <f>H172/DAY(B2)</f>
        <v>10.363636363636363</v>
      </c>
    </row>
    <row r="173" spans="1:10" ht="30.75" customHeight="1" x14ac:dyDescent="0.5">
      <c r="A173" s="732" t="s">
        <v>196</v>
      </c>
      <c r="B173" s="733"/>
      <c r="C173" s="611"/>
      <c r="D173" s="228" t="s">
        <v>142</v>
      </c>
      <c r="E173" s="95"/>
      <c r="F173" s="155"/>
      <c r="G173" s="155">
        <f>SUM(G170:G172)</f>
        <v>385</v>
      </c>
      <c r="H173" s="99">
        <f>G173+'10'!H173</f>
        <v>601</v>
      </c>
      <c r="I173" s="155"/>
      <c r="J173" s="178">
        <f>H173/DAY(B2)</f>
        <v>54.636363636363633</v>
      </c>
    </row>
    <row r="174" spans="1:10" ht="30.75" customHeight="1" x14ac:dyDescent="0.5">
      <c r="A174" s="743" t="s">
        <v>77</v>
      </c>
      <c r="B174" s="744"/>
      <c r="C174" s="353"/>
      <c r="D174" s="228" t="s">
        <v>142</v>
      </c>
      <c r="E174" s="95"/>
      <c r="F174" s="155"/>
      <c r="G174" s="155"/>
      <c r="H174" s="99">
        <f>G174+'10'!H174</f>
        <v>0</v>
      </c>
      <c r="I174" s="155"/>
      <c r="J174" s="178">
        <f>H174/DAY(B2)</f>
        <v>0</v>
      </c>
    </row>
    <row r="175" spans="1:10" ht="30.75" customHeight="1" x14ac:dyDescent="0.5">
      <c r="A175" s="743" t="s">
        <v>210</v>
      </c>
      <c r="B175" s="744"/>
      <c r="C175" s="353"/>
      <c r="D175" s="228" t="s">
        <v>142</v>
      </c>
      <c r="E175" s="95">
        <f>'10'!F175</f>
        <v>72795</v>
      </c>
      <c r="F175" s="155">
        <v>72867</v>
      </c>
      <c r="G175" s="155">
        <f>F175-E175</f>
        <v>72</v>
      </c>
      <c r="H175" s="99">
        <f>G175+'10'!H175</f>
        <v>933</v>
      </c>
      <c r="I175" s="155"/>
      <c r="J175" s="178">
        <f>H175/DAY(B2)</f>
        <v>84.818181818181813</v>
      </c>
    </row>
    <row r="176" spans="1:10" ht="30.75" customHeight="1" x14ac:dyDescent="0.5">
      <c r="A176" s="743" t="s">
        <v>211</v>
      </c>
      <c r="B176" s="744"/>
      <c r="C176" s="353"/>
      <c r="D176" s="228" t="s">
        <v>142</v>
      </c>
      <c r="E176" s="95">
        <f>'10'!F176</f>
        <v>33886</v>
      </c>
      <c r="F176" s="155">
        <v>33886</v>
      </c>
      <c r="G176" s="155">
        <f t="shared" ref="G176:G177" si="15">F176-E176</f>
        <v>0</v>
      </c>
      <c r="H176" s="99">
        <f>G176+'10'!H176</f>
        <v>0</v>
      </c>
      <c r="I176" s="155"/>
      <c r="J176" s="178">
        <f>H176/DAY(B2)</f>
        <v>0</v>
      </c>
    </row>
    <row r="177" spans="1:10" ht="30.75" customHeight="1" x14ac:dyDescent="0.5">
      <c r="A177" s="743" t="s">
        <v>212</v>
      </c>
      <c r="B177" s="744"/>
      <c r="C177" s="353"/>
      <c r="D177" s="228" t="s">
        <v>142</v>
      </c>
      <c r="E177" s="95">
        <f>'10'!F177</f>
        <v>4882</v>
      </c>
      <c r="F177" s="155">
        <v>4889</v>
      </c>
      <c r="G177" s="155">
        <f t="shared" si="15"/>
        <v>7</v>
      </c>
      <c r="H177" s="99">
        <f>G177+'10'!H177</f>
        <v>58</v>
      </c>
      <c r="I177" s="155"/>
      <c r="J177" s="178">
        <f>H177/DAY(B2)</f>
        <v>5.2727272727272725</v>
      </c>
    </row>
    <row r="178" spans="1:10" ht="30.75" customHeight="1" x14ac:dyDescent="0.5">
      <c r="A178" s="745" t="s">
        <v>108</v>
      </c>
      <c r="B178" s="746"/>
      <c r="C178" s="611"/>
      <c r="D178" s="228" t="s">
        <v>142</v>
      </c>
      <c r="E178" s="95"/>
      <c r="F178" s="155"/>
      <c r="G178" s="155">
        <f>SUM(G175:G177)</f>
        <v>79</v>
      </c>
      <c r="H178" s="99">
        <f>G178+'10'!H178</f>
        <v>991</v>
      </c>
      <c r="I178" s="155"/>
      <c r="J178" s="178">
        <f>H178/DAY(B2)</f>
        <v>90.090909090909093</v>
      </c>
    </row>
    <row r="179" spans="1:10" ht="30.75" customHeight="1" x14ac:dyDescent="0.5">
      <c r="A179" s="743" t="s">
        <v>213</v>
      </c>
      <c r="B179" s="744"/>
      <c r="C179" s="353"/>
      <c r="D179" s="228" t="s">
        <v>142</v>
      </c>
      <c r="E179" s="95"/>
      <c r="F179" s="155"/>
      <c r="G179" s="155"/>
      <c r="H179" s="99">
        <f>G179+'10'!H179</f>
        <v>0</v>
      </c>
      <c r="I179" s="155"/>
      <c r="J179" s="178">
        <f>H179/DAY(B2)</f>
        <v>0</v>
      </c>
    </row>
    <row r="180" spans="1:10" ht="30.75" customHeight="1" x14ac:dyDescent="0.5">
      <c r="A180" s="743" t="s">
        <v>214</v>
      </c>
      <c r="B180" s="744"/>
      <c r="C180" s="354"/>
      <c r="D180" s="228" t="s">
        <v>142</v>
      </c>
      <c r="E180" s="95">
        <f>'10'!F180</f>
        <v>13705</v>
      </c>
      <c r="F180" s="157">
        <v>13720</v>
      </c>
      <c r="G180" s="157">
        <f>F180-E180</f>
        <v>15</v>
      </c>
      <c r="H180" s="99">
        <f>G180+'10'!H180</f>
        <v>183</v>
      </c>
      <c r="I180" s="155"/>
      <c r="J180" s="178">
        <f>H180/DAY(B2)</f>
        <v>16.636363636363637</v>
      </c>
    </row>
    <row r="181" spans="1:10" ht="30.75" customHeight="1" x14ac:dyDescent="0.5">
      <c r="A181" s="743" t="s">
        <v>215</v>
      </c>
      <c r="B181" s="744"/>
      <c r="C181" s="354"/>
      <c r="D181" s="228" t="s">
        <v>142</v>
      </c>
      <c r="E181" s="95">
        <f>'10'!F181</f>
        <v>9533</v>
      </c>
      <c r="F181" s="157">
        <v>9548</v>
      </c>
      <c r="G181" s="157">
        <f t="shared" ref="G181:G182" si="16">F181-E181</f>
        <v>15</v>
      </c>
      <c r="H181" s="99">
        <f>G181+'10'!H181</f>
        <v>100</v>
      </c>
      <c r="I181" s="155"/>
      <c r="J181" s="178">
        <f>H181/DAY(B2)</f>
        <v>9.0909090909090917</v>
      </c>
    </row>
    <row r="182" spans="1:10" ht="30.75" customHeight="1" x14ac:dyDescent="0.5">
      <c r="A182" s="743" t="s">
        <v>216</v>
      </c>
      <c r="B182" s="744"/>
      <c r="C182" s="354"/>
      <c r="D182" s="228" t="s">
        <v>142</v>
      </c>
      <c r="E182" s="95">
        <f>'10'!F182</f>
        <v>0</v>
      </c>
      <c r="F182" s="157">
        <v>0</v>
      </c>
      <c r="G182" s="157">
        <f t="shared" si="16"/>
        <v>0</v>
      </c>
      <c r="H182" s="99">
        <f>G182+'10'!H182</f>
        <v>0</v>
      </c>
      <c r="I182" s="155"/>
      <c r="J182" s="178">
        <f>H182/DAY(B2)</f>
        <v>0</v>
      </c>
    </row>
    <row r="183" spans="1:10" ht="30.75" customHeight="1" x14ac:dyDescent="0.5">
      <c r="A183" s="732" t="s">
        <v>196</v>
      </c>
      <c r="B183" s="733"/>
      <c r="C183" s="610"/>
      <c r="D183" s="228" t="s">
        <v>142</v>
      </c>
      <c r="E183" s="95"/>
      <c r="F183" s="157"/>
      <c r="G183" s="157">
        <f>SUM(G180:G182)</f>
        <v>30</v>
      </c>
      <c r="H183" s="99">
        <f>G183+'10'!H183</f>
        <v>283</v>
      </c>
      <c r="I183" s="157"/>
      <c r="J183" s="178">
        <f>H183/DAY(B2)</f>
        <v>25.727272727272727</v>
      </c>
    </row>
    <row r="184" spans="1:10" ht="30.75" customHeight="1" x14ac:dyDescent="0.5">
      <c r="A184" s="734" t="s">
        <v>217</v>
      </c>
      <c r="B184" s="735"/>
      <c r="C184" s="353"/>
      <c r="D184" s="230" t="s">
        <v>142</v>
      </c>
      <c r="E184" s="95"/>
      <c r="F184" s="159"/>
      <c r="G184" s="588">
        <f>G62+G19</f>
        <v>181</v>
      </c>
      <c r="H184" s="99">
        <f>G184+'10'!H184</f>
        <v>1863</v>
      </c>
      <c r="I184" s="158"/>
      <c r="J184" s="179">
        <f>H184/DAY(B2)</f>
        <v>169.36363636363637</v>
      </c>
    </row>
    <row r="185" spans="1:10" ht="30.75" customHeight="1" x14ac:dyDescent="0.5">
      <c r="A185" s="734" t="s">
        <v>218</v>
      </c>
      <c r="B185" s="735"/>
      <c r="C185" s="353"/>
      <c r="D185" s="230" t="s">
        <v>142</v>
      </c>
      <c r="E185" s="95"/>
      <c r="F185" s="159"/>
      <c r="G185" s="588">
        <f>G65+G66+G67+G69+G70</f>
        <v>182</v>
      </c>
      <c r="H185" s="99">
        <f>G185+'10'!H185</f>
        <v>1847</v>
      </c>
      <c r="I185" s="158"/>
      <c r="J185" s="179">
        <f>H185/DAY(B2)</f>
        <v>167.90909090909091</v>
      </c>
    </row>
    <row r="186" spans="1:10" ht="30.75" customHeight="1" x14ac:dyDescent="0.5">
      <c r="A186" s="734" t="s">
        <v>219</v>
      </c>
      <c r="B186" s="735"/>
      <c r="C186" s="353"/>
      <c r="D186" s="230" t="s">
        <v>142</v>
      </c>
      <c r="E186" s="95"/>
      <c r="F186" s="157"/>
      <c r="G186" s="585">
        <f>G178</f>
        <v>79</v>
      </c>
      <c r="H186" s="99">
        <f>G186+'10'!H186</f>
        <v>991</v>
      </c>
      <c r="I186" s="158"/>
      <c r="J186" s="179">
        <f>H186/DAY(B2)</f>
        <v>90.090909090909093</v>
      </c>
    </row>
    <row r="187" spans="1:10" ht="30.75" customHeight="1" x14ac:dyDescent="0.5">
      <c r="A187" s="741"/>
      <c r="B187" s="742"/>
      <c r="C187" s="609"/>
      <c r="D187" s="606"/>
      <c r="E187" s="606" t="s">
        <v>207</v>
      </c>
      <c r="F187" s="606"/>
      <c r="G187" s="606"/>
      <c r="H187" s="607"/>
      <c r="I187" s="606"/>
      <c r="J187" s="608"/>
    </row>
  </sheetData>
  <mergeCells count="111"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71:C71"/>
    <mergeCell ref="A72:B72"/>
    <mergeCell ref="A178:B178"/>
    <mergeCell ref="A180:B180"/>
    <mergeCell ref="A172:C172"/>
    <mergeCell ref="A179:B179"/>
    <mergeCell ref="A175:B175"/>
    <mergeCell ref="A176:B176"/>
    <mergeCell ref="A177:B177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2:C132"/>
    <mergeCell ref="A133:C133"/>
    <mergeCell ref="A134:C134"/>
    <mergeCell ref="A135:C135"/>
    <mergeCell ref="A136:J136"/>
    <mergeCell ref="A125:B125"/>
    <mergeCell ref="A126:J126"/>
    <mergeCell ref="A127:B127"/>
    <mergeCell ref="A128:C128"/>
    <mergeCell ref="A131:C131"/>
    <mergeCell ref="A157:J157"/>
    <mergeCell ref="A163:B163"/>
    <mergeCell ref="A164:B164"/>
    <mergeCell ref="A165:B165"/>
    <mergeCell ref="A168:J168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83:B183"/>
    <mergeCell ref="A184:B184"/>
    <mergeCell ref="A185:B185"/>
    <mergeCell ref="A186:B186"/>
    <mergeCell ref="A187:B187"/>
    <mergeCell ref="A169:B169"/>
    <mergeCell ref="A170:B170"/>
    <mergeCell ref="A171:B171"/>
    <mergeCell ref="A173:B173"/>
    <mergeCell ref="A174:B174"/>
    <mergeCell ref="A181:B181"/>
    <mergeCell ref="A182:B182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87"/>
  <sheetViews>
    <sheetView view="pageBreakPreview" topLeftCell="A121" zoomScale="50" zoomScaleNormal="75" zoomScaleSheetLayoutView="50" workbookViewId="0">
      <selection activeCell="D3" sqref="D3"/>
    </sheetView>
  </sheetViews>
  <sheetFormatPr defaultColWidth="22.33203125" defaultRowHeight="32.2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 x14ac:dyDescent="0.65">
      <c r="A1" s="789" t="s">
        <v>115</v>
      </c>
      <c r="B1" s="790"/>
      <c r="C1" s="790"/>
      <c r="D1" s="790"/>
      <c r="E1" s="790"/>
      <c r="F1" s="790"/>
      <c r="G1" s="790"/>
      <c r="H1" s="790"/>
      <c r="I1" s="790"/>
      <c r="J1" s="791"/>
    </row>
    <row r="2" spans="1:15" s="57" customFormat="1" ht="32.25" customHeight="1" x14ac:dyDescent="0.5">
      <c r="A2" s="191" t="s">
        <v>303</v>
      </c>
      <c r="B2" s="266">
        <v>44481</v>
      </c>
      <c r="C2" s="368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 x14ac:dyDescent="0.5">
      <c r="A3" s="189"/>
      <c r="B3" s="221"/>
      <c r="C3" s="368" t="s">
        <v>118</v>
      </c>
      <c r="D3" s="219">
        <v>28</v>
      </c>
      <c r="E3" s="798" t="s">
        <v>119</v>
      </c>
      <c r="F3" s="799"/>
      <c r="G3" s="101"/>
      <c r="H3" s="102"/>
      <c r="I3" s="102"/>
      <c r="J3" s="222"/>
      <c r="K3" s="61"/>
      <c r="L3" s="58"/>
    </row>
    <row r="4" spans="1:15" s="57" customFormat="1" ht="32.25" customHeight="1" x14ac:dyDescent="0.5">
      <c r="A4" s="192"/>
      <c r="B4" s="223"/>
      <c r="C4" s="36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 x14ac:dyDescent="0.4">
      <c r="A6" s="792" t="s">
        <v>128</v>
      </c>
      <c r="B6" s="793"/>
      <c r="C6" s="79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 x14ac:dyDescent="0.45">
      <c r="A7" s="194" t="s">
        <v>129</v>
      </c>
      <c r="B7" s="195"/>
      <c r="C7" s="195"/>
      <c r="D7" s="151" t="s">
        <v>130</v>
      </c>
      <c r="E7" s="95">
        <f>'11'!F7</f>
        <v>225478</v>
      </c>
      <c r="F7" s="95">
        <v>249347</v>
      </c>
      <c r="G7" s="112">
        <f>F7-E7</f>
        <v>23869</v>
      </c>
      <c r="H7" s="99">
        <f>G7+'11'!H7</f>
        <v>282104.59999999992</v>
      </c>
      <c r="I7" s="113">
        <f>'1'!I7</f>
        <v>12000</v>
      </c>
      <c r="J7" s="175">
        <f>H7/DAY(B2)</f>
        <v>23508.71666666666</v>
      </c>
      <c r="K7" s="172">
        <v>1375467</v>
      </c>
      <c r="L7" s="66"/>
      <c r="N7" s="87"/>
      <c r="O7" s="71"/>
    </row>
    <row r="8" spans="1:15" ht="32.25" customHeight="1" thickBot="1" x14ac:dyDescent="0.45">
      <c r="A8" s="196" t="s">
        <v>131</v>
      </c>
      <c r="B8" s="197"/>
      <c r="C8" s="198"/>
      <c r="D8" s="224" t="s">
        <v>24</v>
      </c>
      <c r="E8" s="95">
        <f>'11'!F8</f>
        <v>242871</v>
      </c>
      <c r="F8" s="114">
        <v>267387</v>
      </c>
      <c r="G8" s="115">
        <f>F8-E8</f>
        <v>24516</v>
      </c>
      <c r="H8" s="99">
        <f>G8+'11'!H8</f>
        <v>285669.99999999994</v>
      </c>
      <c r="I8" s="116"/>
      <c r="J8" s="175">
        <f>H8/DAY(B2)</f>
        <v>23805.833333333328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 x14ac:dyDescent="0.4">
      <c r="A9" s="199" t="s">
        <v>132</v>
      </c>
      <c r="B9" s="200"/>
      <c r="C9" s="200"/>
      <c r="D9" s="151" t="s">
        <v>130</v>
      </c>
      <c r="E9" s="95">
        <f>'11'!F9</f>
        <v>958622</v>
      </c>
      <c r="F9" s="117">
        <v>971824</v>
      </c>
      <c r="G9" s="112">
        <f>F9-E9</f>
        <v>13202</v>
      </c>
      <c r="H9" s="99">
        <f>G9+'11'!H9</f>
        <v>241034</v>
      </c>
      <c r="I9" s="124">
        <f>I7-J7</f>
        <v>-11508.71666666666</v>
      </c>
      <c r="J9" s="175">
        <f>H9/DAY(B2)</f>
        <v>20086.166666666668</v>
      </c>
      <c r="K9" s="79">
        <f>K8-100</f>
        <v>1715817</v>
      </c>
      <c r="L9" s="66"/>
      <c r="N9" s="87"/>
      <c r="O9" s="71"/>
    </row>
    <row r="10" spans="1:15" ht="32.25" customHeight="1" x14ac:dyDescent="0.4">
      <c r="A10" s="194" t="s">
        <v>133</v>
      </c>
      <c r="B10" s="195"/>
      <c r="C10" s="195"/>
      <c r="D10" s="151" t="s">
        <v>130</v>
      </c>
      <c r="E10" s="95">
        <f>'11'!F10</f>
        <v>26211</v>
      </c>
      <c r="F10" s="117">
        <v>37870</v>
      </c>
      <c r="G10" s="112">
        <f t="shared" ref="G10:G12" si="0">F10-E10</f>
        <v>11659</v>
      </c>
      <c r="H10" s="99">
        <f>G10+'11'!H10</f>
        <v>37870</v>
      </c>
      <c r="I10" s="286"/>
      <c r="J10" s="175">
        <f>H10/DAY(B2)</f>
        <v>3155.8333333333335</v>
      </c>
      <c r="K10" s="79"/>
      <c r="L10" s="66"/>
      <c r="N10" s="87"/>
      <c r="O10" s="71"/>
    </row>
    <row r="11" spans="1:15" ht="32.25" customHeight="1" x14ac:dyDescent="0.4">
      <c r="A11" s="194" t="s">
        <v>134</v>
      </c>
      <c r="B11" s="195"/>
      <c r="C11" s="195"/>
      <c r="D11" s="151" t="s">
        <v>130</v>
      </c>
      <c r="E11" s="95">
        <f>'11'!F11</f>
        <v>37000</v>
      </c>
      <c r="F11" s="95">
        <v>37000</v>
      </c>
      <c r="G11" s="112">
        <f t="shared" si="0"/>
        <v>0</v>
      </c>
      <c r="H11" s="99">
        <f>G11+'11'!H11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32.25" customHeight="1" x14ac:dyDescent="0.4">
      <c r="A12" s="194" t="s">
        <v>135</v>
      </c>
      <c r="B12" s="195"/>
      <c r="C12" s="195"/>
      <c r="D12" s="151" t="s">
        <v>130</v>
      </c>
      <c r="E12" s="95">
        <f>'11'!F12</f>
        <v>40010</v>
      </c>
      <c r="F12" s="117">
        <v>40010</v>
      </c>
      <c r="G12" s="112">
        <f t="shared" si="0"/>
        <v>0</v>
      </c>
      <c r="H12" s="99">
        <f>G12+'11'!H12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32.2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24861</v>
      </c>
      <c r="H13" s="99">
        <f>G13+'11'!H13</f>
        <v>257358.25</v>
      </c>
      <c r="I13" s="120">
        <f>G7-G13</f>
        <v>-992</v>
      </c>
      <c r="J13" s="175">
        <f>H13/DAY(B2)</f>
        <v>21446.520833333332</v>
      </c>
      <c r="K13" s="79"/>
      <c r="L13" s="66"/>
      <c r="N13" s="87"/>
      <c r="O13" s="71"/>
    </row>
    <row r="14" spans="1:15" ht="32.25" customHeight="1" x14ac:dyDescent="0.5">
      <c r="A14" s="795" t="s">
        <v>137</v>
      </c>
      <c r="B14" s="796"/>
      <c r="C14" s="79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 x14ac:dyDescent="0.5">
      <c r="A15" s="365" t="s">
        <v>138</v>
      </c>
      <c r="B15" s="205"/>
      <c r="C15" s="205"/>
      <c r="D15" s="151" t="s">
        <v>139</v>
      </c>
      <c r="E15" s="95">
        <f>'11'!F15</f>
        <v>1795345</v>
      </c>
      <c r="F15" s="123">
        <v>1796304</v>
      </c>
      <c r="G15" s="112">
        <f>(F15-E15)</f>
        <v>959</v>
      </c>
      <c r="H15" s="99">
        <f>G15+'11'!H15</f>
        <v>12096</v>
      </c>
      <c r="I15" s="113">
        <f>'1'!I15</f>
        <v>800</v>
      </c>
      <c r="J15" s="175">
        <f>H15/DAY(B2)</f>
        <v>1008</v>
      </c>
      <c r="K15" s="79"/>
      <c r="L15" s="66"/>
      <c r="N15" s="87"/>
      <c r="O15" s="71"/>
    </row>
    <row r="16" spans="1:15" ht="32.2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-208</v>
      </c>
      <c r="J16" s="176"/>
      <c r="K16" s="79"/>
      <c r="L16" s="66"/>
      <c r="N16" s="87"/>
      <c r="O16" s="71"/>
    </row>
    <row r="17" spans="1:15" ht="32.25" customHeight="1" x14ac:dyDescent="0.5">
      <c r="A17" s="795" t="s">
        <v>140</v>
      </c>
      <c r="B17" s="796"/>
      <c r="C17" s="79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 x14ac:dyDescent="0.5">
      <c r="A18" s="771" t="s">
        <v>141</v>
      </c>
      <c r="B18" s="772"/>
      <c r="C18" s="773"/>
      <c r="D18" s="151" t="s">
        <v>142</v>
      </c>
      <c r="E18" s="95">
        <f>'11'!F18</f>
        <v>22</v>
      </c>
      <c r="F18" s="122">
        <v>18</v>
      </c>
      <c r="G18" s="119">
        <f>F18*10</f>
        <v>180</v>
      </c>
      <c r="H18" s="99">
        <f>G18+'11'!H18</f>
        <v>2330</v>
      </c>
      <c r="I18" s="113">
        <f>'1'!I18</f>
        <v>65</v>
      </c>
      <c r="J18" s="175">
        <f>H18/DAY(B2)</f>
        <v>194.16666666666666</v>
      </c>
      <c r="K18" s="79"/>
      <c r="L18" s="66"/>
      <c r="N18" s="87"/>
      <c r="O18" s="71"/>
    </row>
    <row r="19" spans="1:15" ht="32.25" customHeight="1" x14ac:dyDescent="0.5">
      <c r="A19" s="771" t="s">
        <v>69</v>
      </c>
      <c r="B19" s="772"/>
      <c r="C19" s="773"/>
      <c r="D19" s="151" t="s">
        <v>142</v>
      </c>
      <c r="E19" s="95">
        <f>'11'!F19</f>
        <v>147747</v>
      </c>
      <c r="F19" s="122">
        <v>147815</v>
      </c>
      <c r="G19" s="112">
        <f t="shared" ref="G19" si="1">F19-E19</f>
        <v>68</v>
      </c>
      <c r="H19" s="99">
        <f>G19+'11'!H19</f>
        <v>703</v>
      </c>
      <c r="I19" s="355"/>
      <c r="J19" s="175">
        <f>H19/DAY(B2)</f>
        <v>58.583333333333336</v>
      </c>
      <c r="K19" s="79"/>
      <c r="L19" s="66"/>
      <c r="N19" s="87"/>
      <c r="O19" s="71"/>
    </row>
    <row r="20" spans="1:15" ht="32.2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248</v>
      </c>
      <c r="H20" s="99">
        <f>G20+'11'!H20</f>
        <v>3033</v>
      </c>
      <c r="I20" s="356">
        <f>I18-J20</f>
        <v>-187.75</v>
      </c>
      <c r="J20" s="175">
        <f>H20/DAY(B2)</f>
        <v>252.75</v>
      </c>
      <c r="K20" s="79"/>
      <c r="L20" s="66"/>
      <c r="N20" s="87"/>
      <c r="O20" s="71"/>
    </row>
    <row r="21" spans="1:15" ht="32.25" customHeight="1" x14ac:dyDescent="0.5">
      <c r="A21" s="795" t="s">
        <v>144</v>
      </c>
      <c r="B21" s="796"/>
      <c r="C21" s="79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 x14ac:dyDescent="0.5">
      <c r="A22" s="36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 x14ac:dyDescent="0.5">
      <c r="A23" s="365" t="s">
        <v>147</v>
      </c>
      <c r="B23" s="205"/>
      <c r="C23" s="205"/>
      <c r="D23" s="151" t="s">
        <v>146</v>
      </c>
      <c r="E23" s="95">
        <f>'11'!F23</f>
        <v>2000</v>
      </c>
      <c r="F23" s="122">
        <v>2000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 x14ac:dyDescent="0.4">
      <c r="A24" s="206" t="s">
        <v>148</v>
      </c>
      <c r="B24" s="207"/>
      <c r="C24" s="207"/>
      <c r="D24" s="146" t="s">
        <v>146</v>
      </c>
      <c r="E24" s="95">
        <f>'11'!F24</f>
        <v>4970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 x14ac:dyDescent="0.35">
      <c r="A25" s="800" t="s">
        <v>149</v>
      </c>
      <c r="B25" s="801"/>
      <c r="C25" s="80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 x14ac:dyDescent="0.5">
      <c r="A27" s="208" t="s">
        <v>5</v>
      </c>
      <c r="B27" s="209"/>
      <c r="C27" s="210"/>
      <c r="D27" s="226" t="s">
        <v>24</v>
      </c>
      <c r="E27" s="135">
        <f>G8</f>
        <v>24516</v>
      </c>
      <c r="F27" s="136">
        <v>9</v>
      </c>
      <c r="G27" s="137">
        <f>E27*F27</f>
        <v>220644</v>
      </c>
      <c r="H27" s="99">
        <f>G27+'11'!H27</f>
        <v>2571029.9999999995</v>
      </c>
      <c r="I27" s="138"/>
      <c r="J27" s="175">
        <f>H27/DAY(B2)</f>
        <v>214252.49999999997</v>
      </c>
      <c r="K27" s="63"/>
      <c r="L27" s="89"/>
      <c r="N27" s="87"/>
      <c r="O27" s="71"/>
    </row>
    <row r="28" spans="1:15" s="88" customFormat="1" ht="32.25" customHeight="1" x14ac:dyDescent="0.5">
      <c r="A28" s="208" t="s">
        <v>152</v>
      </c>
      <c r="B28" s="209"/>
      <c r="C28" s="210"/>
      <c r="D28" s="226" t="s">
        <v>153</v>
      </c>
      <c r="E28" s="139">
        <f>G15</f>
        <v>959</v>
      </c>
      <c r="F28" s="136">
        <v>52</v>
      </c>
      <c r="G28" s="137">
        <f>E28*F28</f>
        <v>49868</v>
      </c>
      <c r="H28" s="99">
        <f>G28+'11'!H28</f>
        <v>628992</v>
      </c>
      <c r="I28" s="140"/>
      <c r="J28" s="175">
        <f>H28/DAY(B2)</f>
        <v>52416</v>
      </c>
      <c r="K28" s="63"/>
      <c r="L28" s="89"/>
      <c r="N28" s="87"/>
      <c r="O28" s="71"/>
    </row>
    <row r="29" spans="1:15" s="88" customFormat="1" ht="32.2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 x14ac:dyDescent="0.5">
      <c r="A30" s="208" t="s">
        <v>156</v>
      </c>
      <c r="B30" s="209"/>
      <c r="C30" s="210"/>
      <c r="D30" s="226" t="s">
        <v>157</v>
      </c>
      <c r="E30" s="141">
        <f>G19</f>
        <v>68</v>
      </c>
      <c r="F30" s="136">
        <v>146</v>
      </c>
      <c r="G30" s="137">
        <f>E30*F30</f>
        <v>9928</v>
      </c>
      <c r="H30" s="99">
        <f>G30+'11'!H30</f>
        <v>102638</v>
      </c>
      <c r="I30" s="140"/>
      <c r="J30" s="175">
        <f>H30/DAY(B2)</f>
        <v>8553.1666666666661</v>
      </c>
      <c r="K30" s="63"/>
      <c r="L30" s="89"/>
      <c r="N30" s="87"/>
      <c r="O30" s="71"/>
    </row>
    <row r="31" spans="1:15" s="88" customFormat="1" ht="32.25" customHeight="1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G31+'11'!H31</f>
        <v>186400</v>
      </c>
      <c r="I31" s="140"/>
      <c r="J31" s="175">
        <f>H31/DAY(B2)</f>
        <v>15533.333333333334</v>
      </c>
      <c r="K31" s="63"/>
      <c r="L31" s="89"/>
      <c r="N31" s="87"/>
      <c r="O31" s="71"/>
    </row>
    <row r="32" spans="1:15" s="88" customFormat="1" ht="32.2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294840</v>
      </c>
      <c r="H32" s="99">
        <f>G32+'11'!H32</f>
        <v>3489060</v>
      </c>
      <c r="I32" s="144"/>
      <c r="J32" s="175">
        <f>H32/DAY(B2)</f>
        <v>290755</v>
      </c>
      <c r="K32" s="63"/>
      <c r="L32" s="89"/>
      <c r="N32" s="87"/>
      <c r="O32" s="71"/>
    </row>
    <row r="33" spans="1:15" ht="32.25" customHeight="1" x14ac:dyDescent="0.35">
      <c r="A33" s="803" t="s">
        <v>331</v>
      </c>
      <c r="B33" s="804"/>
      <c r="C33" s="804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32.2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 x14ac:dyDescent="0.4">
      <c r="A35" s="194" t="s">
        <v>161</v>
      </c>
      <c r="B35" s="195"/>
      <c r="C35" s="195"/>
      <c r="D35" s="151" t="s">
        <v>130</v>
      </c>
      <c r="E35" s="95">
        <f>'11'!F35</f>
        <v>0</v>
      </c>
      <c r="F35" s="145">
        <v>0</v>
      </c>
      <c r="G35" s="112">
        <f t="shared" ref="G35:G46" si="3">F35-E35</f>
        <v>0</v>
      </c>
      <c r="H35" s="99">
        <f>G35+'11'!H35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32.25" customHeight="1" x14ac:dyDescent="0.4">
      <c r="A36" s="194" t="s">
        <v>162</v>
      </c>
      <c r="B36" s="195"/>
      <c r="C36" s="195"/>
      <c r="D36" s="151" t="s">
        <v>130</v>
      </c>
      <c r="E36" s="95">
        <f>'11'!F36</f>
        <v>33309</v>
      </c>
      <c r="F36" s="145">
        <v>34030</v>
      </c>
      <c r="G36" s="112">
        <f t="shared" si="3"/>
        <v>721</v>
      </c>
      <c r="H36" s="99">
        <f>G36+'11'!H36</f>
        <v>10153</v>
      </c>
      <c r="I36" s="95"/>
      <c r="J36" s="175">
        <f>H36/DAY(B2)</f>
        <v>846.08333333333337</v>
      </c>
      <c r="K36" s="79"/>
      <c r="L36" s="66"/>
      <c r="N36" s="87"/>
      <c r="O36" s="364"/>
    </row>
    <row r="37" spans="1:15" ht="32.25" customHeight="1" x14ac:dyDescent="0.4">
      <c r="A37" s="194" t="s">
        <v>163</v>
      </c>
      <c r="B37" s="195"/>
      <c r="C37" s="195"/>
      <c r="D37" s="151" t="s">
        <v>130</v>
      </c>
      <c r="E37" s="95">
        <f>'11'!F37</f>
        <v>73093</v>
      </c>
      <c r="F37" s="145">
        <v>74865</v>
      </c>
      <c r="G37" s="112">
        <f t="shared" si="3"/>
        <v>1772</v>
      </c>
      <c r="H37" s="99">
        <f>G37+'11'!H37</f>
        <v>20702</v>
      </c>
      <c r="I37" s="95"/>
      <c r="J37" s="175">
        <f>H37/DAY(B2)</f>
        <v>1725.1666666666667</v>
      </c>
      <c r="K37" s="79"/>
      <c r="L37" s="66"/>
      <c r="N37" s="87"/>
      <c r="O37" s="234"/>
    </row>
    <row r="38" spans="1:15" ht="32.25" customHeight="1" x14ac:dyDescent="0.4">
      <c r="A38" s="194" t="s">
        <v>164</v>
      </c>
      <c r="B38" s="195"/>
      <c r="C38" s="195"/>
      <c r="D38" s="151" t="s">
        <v>130</v>
      </c>
      <c r="E38" s="95">
        <f>'11'!F38</f>
        <v>78204</v>
      </c>
      <c r="F38" s="108">
        <v>80057</v>
      </c>
      <c r="G38" s="112">
        <f t="shared" si="3"/>
        <v>1853</v>
      </c>
      <c r="H38" s="99">
        <f>G38+'11'!H38</f>
        <v>22931</v>
      </c>
      <c r="I38" s="95"/>
      <c r="J38" s="175">
        <f>H38/DAY(B2)</f>
        <v>1910.9166666666667</v>
      </c>
      <c r="K38" s="79"/>
      <c r="L38" s="66"/>
      <c r="N38" s="87"/>
      <c r="O38" s="71"/>
    </row>
    <row r="39" spans="1:15" ht="32.25" customHeight="1" x14ac:dyDescent="0.4">
      <c r="A39" s="194" t="s">
        <v>165</v>
      </c>
      <c r="B39" s="195"/>
      <c r="C39" s="195"/>
      <c r="D39" s="151" t="s">
        <v>130</v>
      </c>
      <c r="E39" s="95">
        <f>'11'!F39</f>
        <v>169199</v>
      </c>
      <c r="F39" s="145">
        <v>173575</v>
      </c>
      <c r="G39" s="112">
        <f t="shared" si="3"/>
        <v>4376</v>
      </c>
      <c r="H39" s="99">
        <f>G39+'11'!H39</f>
        <v>50684</v>
      </c>
      <c r="I39" s="95"/>
      <c r="J39" s="175">
        <f>H39/DAY(B2)</f>
        <v>4223.666666666667</v>
      </c>
      <c r="K39" s="79"/>
      <c r="L39" s="66"/>
      <c r="N39" s="87"/>
      <c r="O39" s="71"/>
    </row>
    <row r="40" spans="1:15" ht="32.25" customHeight="1" x14ac:dyDescent="0.4">
      <c r="A40" s="215" t="s">
        <v>166</v>
      </c>
      <c r="B40" s="216"/>
      <c r="C40" s="216"/>
      <c r="D40" s="151" t="s">
        <v>130</v>
      </c>
      <c r="E40" s="95">
        <v>0</v>
      </c>
      <c r="F40" s="145">
        <v>0</v>
      </c>
      <c r="G40" s="112">
        <f t="shared" si="3"/>
        <v>0</v>
      </c>
      <c r="H40" s="99">
        <f>G40+'11'!H40</f>
        <v>1.3</v>
      </c>
      <c r="I40" s="95"/>
      <c r="J40" s="175">
        <f>H40/DAY(B2)</f>
        <v>0.10833333333333334</v>
      </c>
      <c r="K40" s="80"/>
      <c r="L40" s="66"/>
      <c r="N40" s="87"/>
      <c r="O40" s="71"/>
    </row>
    <row r="41" spans="1:15" ht="32.25" customHeight="1" x14ac:dyDescent="0.4">
      <c r="A41" s="194" t="s">
        <v>167</v>
      </c>
      <c r="B41" s="195"/>
      <c r="C41" s="195"/>
      <c r="D41" s="151" t="s">
        <v>130</v>
      </c>
      <c r="E41" s="95">
        <f>'11'!F41</f>
        <v>542431</v>
      </c>
      <c r="F41" s="145">
        <v>542431</v>
      </c>
      <c r="G41" s="112">
        <f t="shared" si="3"/>
        <v>0</v>
      </c>
      <c r="H41" s="99">
        <f>G41+'11'!H41</f>
        <v>53211.409999999974</v>
      </c>
      <c r="I41" s="95"/>
      <c r="J41" s="175">
        <f>H41/DAY(B2)</f>
        <v>4434.2841666666645</v>
      </c>
      <c r="K41" s="79"/>
      <c r="L41" s="66"/>
      <c r="N41" s="87"/>
      <c r="O41" s="71"/>
    </row>
    <row r="42" spans="1:15" ht="32.25" customHeight="1" x14ac:dyDescent="0.4">
      <c r="A42" s="194" t="s">
        <v>168</v>
      </c>
      <c r="B42" s="195"/>
      <c r="C42" s="195"/>
      <c r="D42" s="151" t="s">
        <v>130</v>
      </c>
      <c r="E42" s="95">
        <f>'11'!F42</f>
        <v>260796</v>
      </c>
      <c r="F42" s="145">
        <v>262935</v>
      </c>
      <c r="G42" s="112">
        <f t="shared" si="3"/>
        <v>2139</v>
      </c>
      <c r="H42" s="99">
        <f>G42+'11'!H42</f>
        <v>18752</v>
      </c>
      <c r="I42" s="95"/>
      <c r="J42" s="175">
        <f>H42/DAY(B2)</f>
        <v>1562.6666666666667</v>
      </c>
      <c r="K42" s="79"/>
      <c r="L42" s="66"/>
      <c r="N42" s="87"/>
      <c r="O42" s="71"/>
    </row>
    <row r="43" spans="1:15" ht="32.25" customHeight="1" x14ac:dyDescent="0.4">
      <c r="A43" s="194" t="s">
        <v>169</v>
      </c>
      <c r="B43" s="195"/>
      <c r="C43" s="195"/>
      <c r="D43" s="151" t="s">
        <v>130</v>
      </c>
      <c r="E43" s="95">
        <f>'11'!F43</f>
        <v>1391222</v>
      </c>
      <c r="F43" s="145">
        <v>1393957</v>
      </c>
      <c r="G43" s="112">
        <f t="shared" si="3"/>
        <v>2735</v>
      </c>
      <c r="H43" s="99">
        <f>G43+'11'!H43</f>
        <v>29999</v>
      </c>
      <c r="I43" s="95"/>
      <c r="J43" s="175">
        <f>H43/DAY(B2)</f>
        <v>2499.9166666666665</v>
      </c>
      <c r="K43" s="79"/>
      <c r="L43" s="66"/>
      <c r="N43" s="87"/>
      <c r="O43" s="71"/>
    </row>
    <row r="44" spans="1:15" ht="32.25" customHeight="1" x14ac:dyDescent="0.4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 x14ac:dyDescent="0.4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 x14ac:dyDescent="0.4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13596</v>
      </c>
      <c r="H47" s="99">
        <f>G47+'11'!H47</f>
        <v>206433.70999999996</v>
      </c>
      <c r="I47" s="95"/>
      <c r="J47" s="175">
        <f>H47/DAY(B2)</f>
        <v>17202.809166666662</v>
      </c>
      <c r="K47" s="79"/>
      <c r="L47" s="66"/>
      <c r="N47" s="87"/>
      <c r="O47" s="71"/>
    </row>
    <row r="48" spans="1:15" ht="32.2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 x14ac:dyDescent="0.4">
      <c r="A49" s="194" t="s">
        <v>161</v>
      </c>
      <c r="B49" s="217"/>
      <c r="C49" s="217"/>
      <c r="D49" s="151" t="s">
        <v>130</v>
      </c>
      <c r="E49" s="95">
        <f>'11'!F49</f>
        <v>134903</v>
      </c>
      <c r="F49" s="145">
        <v>138217</v>
      </c>
      <c r="G49" s="112">
        <f t="shared" ref="G49:G58" si="4">F49-E49</f>
        <v>3314</v>
      </c>
      <c r="H49" s="99">
        <f>G49+'11'!H49</f>
        <v>47020.619999999995</v>
      </c>
      <c r="I49" s="95"/>
      <c r="J49" s="175">
        <f>H49/DAY(B2)</f>
        <v>3918.3849999999998</v>
      </c>
      <c r="K49" s="79"/>
      <c r="L49" s="66"/>
      <c r="N49" s="87"/>
      <c r="O49" s="71"/>
    </row>
    <row r="50" spans="1:15" ht="32.25" customHeight="1" x14ac:dyDescent="0.4">
      <c r="A50" s="194" t="s">
        <v>175</v>
      </c>
      <c r="B50" s="217"/>
      <c r="C50" s="217"/>
      <c r="D50" s="151" t="s">
        <v>130</v>
      </c>
      <c r="E50" s="95">
        <f>'11'!F50</f>
        <v>657442</v>
      </c>
      <c r="F50" s="145">
        <v>658628</v>
      </c>
      <c r="G50" s="112">
        <f t="shared" si="4"/>
        <v>1186</v>
      </c>
      <c r="H50" s="99">
        <f>G50+'11'!H50</f>
        <v>15138</v>
      </c>
      <c r="I50" s="95"/>
      <c r="J50" s="175">
        <f>H50/DAY(B2)</f>
        <v>1261.5</v>
      </c>
      <c r="K50" s="79"/>
      <c r="L50" s="66"/>
      <c r="N50" s="87"/>
      <c r="O50" s="71"/>
    </row>
    <row r="51" spans="1:15" ht="32.25" customHeight="1" x14ac:dyDescent="0.4">
      <c r="A51" s="194" t="s">
        <v>163</v>
      </c>
      <c r="B51" s="217"/>
      <c r="C51" s="217"/>
      <c r="D51" s="151" t="s">
        <v>130</v>
      </c>
      <c r="E51" s="95">
        <f>'11'!F51</f>
        <v>0</v>
      </c>
      <c r="F51" s="145">
        <v>0</v>
      </c>
      <c r="G51" s="112">
        <f t="shared" si="4"/>
        <v>0</v>
      </c>
      <c r="H51" s="99">
        <f>G51+'11'!H51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2.25" customHeight="1" x14ac:dyDescent="0.4">
      <c r="A52" s="194" t="s">
        <v>176</v>
      </c>
      <c r="B52" s="217"/>
      <c r="C52" s="217"/>
      <c r="D52" s="151" t="s">
        <v>130</v>
      </c>
      <c r="E52" s="95">
        <f>'11'!F52</f>
        <v>0</v>
      </c>
      <c r="F52" s="145">
        <v>0</v>
      </c>
      <c r="G52" s="112">
        <f t="shared" si="4"/>
        <v>0</v>
      </c>
      <c r="H52" s="99">
        <f>G52+'11'!H52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2.25" customHeight="1" x14ac:dyDescent="0.4">
      <c r="A53" s="194" t="s">
        <v>165</v>
      </c>
      <c r="B53" s="217"/>
      <c r="C53" s="217"/>
      <c r="D53" s="151" t="s">
        <v>130</v>
      </c>
      <c r="E53" s="95">
        <f>'11'!F53</f>
        <v>0</v>
      </c>
      <c r="F53" s="145">
        <v>0</v>
      </c>
      <c r="G53" s="112">
        <f t="shared" si="4"/>
        <v>0</v>
      </c>
      <c r="H53" s="99">
        <f>G53+'11'!H53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2.25" customHeight="1" x14ac:dyDescent="0.4">
      <c r="A54" s="194" t="s">
        <v>177</v>
      </c>
      <c r="B54" s="217"/>
      <c r="C54" s="217"/>
      <c r="D54" s="151" t="s">
        <v>130</v>
      </c>
      <c r="E54" s="95">
        <f>'11'!F54</f>
        <v>2776</v>
      </c>
      <c r="F54" s="145">
        <v>2780</v>
      </c>
      <c r="G54" s="112">
        <f t="shared" si="4"/>
        <v>4</v>
      </c>
      <c r="H54" s="99">
        <f>G54+'11'!H54</f>
        <v>48</v>
      </c>
      <c r="I54" s="95"/>
      <c r="J54" s="175">
        <f>H54/DAY(B2)</f>
        <v>4</v>
      </c>
      <c r="K54" s="79"/>
      <c r="L54" s="66"/>
      <c r="N54" s="87"/>
      <c r="O54" s="71"/>
    </row>
    <row r="55" spans="1:15" ht="32.25" customHeight="1" x14ac:dyDescent="0.4">
      <c r="A55" s="194" t="s">
        <v>178</v>
      </c>
      <c r="B55" s="217"/>
      <c r="C55" s="217"/>
      <c r="D55" s="151" t="s">
        <v>130</v>
      </c>
      <c r="E55" s="95">
        <f>'11'!F55</f>
        <v>307299</v>
      </c>
      <c r="F55" s="145">
        <v>307299</v>
      </c>
      <c r="G55" s="112">
        <f t="shared" si="4"/>
        <v>0</v>
      </c>
      <c r="H55" s="99">
        <f>G55+'11'!H55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2.25" customHeight="1" x14ac:dyDescent="0.4">
      <c r="A56" s="194" t="s">
        <v>179</v>
      </c>
      <c r="B56" s="217"/>
      <c r="C56" s="217"/>
      <c r="D56" s="151" t="s">
        <v>180</v>
      </c>
      <c r="E56" s="95">
        <f>'11'!F56</f>
        <v>752726</v>
      </c>
      <c r="F56" s="145">
        <v>757954</v>
      </c>
      <c r="G56" s="112">
        <f t="shared" si="4"/>
        <v>5228</v>
      </c>
      <c r="H56" s="99">
        <f>G56+'11'!H56</f>
        <v>16184</v>
      </c>
      <c r="I56" s="95"/>
      <c r="J56" s="175">
        <f>H56/DAY(B2)</f>
        <v>1348.6666666666667</v>
      </c>
      <c r="K56" s="78"/>
      <c r="L56" s="66"/>
      <c r="N56" s="87"/>
      <c r="O56" s="71"/>
    </row>
    <row r="57" spans="1:15" ht="32.25" customHeight="1" x14ac:dyDescent="0.4">
      <c r="A57" s="194" t="s">
        <v>169</v>
      </c>
      <c r="B57" s="217"/>
      <c r="C57" s="217"/>
      <c r="D57" s="151" t="s">
        <v>130</v>
      </c>
      <c r="E57" s="95">
        <f>'11'!F57</f>
        <v>0</v>
      </c>
      <c r="F57" s="145">
        <v>0</v>
      </c>
      <c r="G57" s="112">
        <f t="shared" si="4"/>
        <v>0</v>
      </c>
      <c r="H57" s="99">
        <f>G57+'11'!H57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2.25" customHeight="1" x14ac:dyDescent="0.4">
      <c r="A58" s="194" t="s">
        <v>181</v>
      </c>
      <c r="B58" s="217"/>
      <c r="C58" s="217"/>
      <c r="D58" s="151" t="s">
        <v>130</v>
      </c>
      <c r="E58" s="95">
        <f>'11'!F58</f>
        <v>74579</v>
      </c>
      <c r="F58" s="145">
        <v>74795</v>
      </c>
      <c r="G58" s="112">
        <f t="shared" si="4"/>
        <v>216</v>
      </c>
      <c r="H58" s="99">
        <f>G58+'11'!H58</f>
        <v>2640</v>
      </c>
      <c r="I58" s="95"/>
      <c r="J58" s="175">
        <f>H58/DAY(B2)</f>
        <v>220</v>
      </c>
      <c r="K58" s="79"/>
      <c r="L58" s="66"/>
      <c r="N58" s="87"/>
      <c r="O58" s="71"/>
    </row>
    <row r="59" spans="1:15" ht="32.2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9948</v>
      </c>
      <c r="H59" s="99">
        <f>G59+'11'!H59</f>
        <v>81030.62</v>
      </c>
      <c r="I59" s="95">
        <f>G7-G60</f>
        <v>325</v>
      </c>
      <c r="J59" s="175">
        <f>H59/DAY(B2)</f>
        <v>6752.5516666666663</v>
      </c>
      <c r="K59" s="79"/>
      <c r="L59" s="66"/>
      <c r="N59" s="87"/>
      <c r="O59" s="71"/>
    </row>
    <row r="60" spans="1:15" ht="32.2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23544</v>
      </c>
      <c r="H60" s="99">
        <f>G60+'11'!H60</f>
        <v>287464.32999999996</v>
      </c>
      <c r="I60" s="95">
        <f>G13-G60</f>
        <v>1317</v>
      </c>
      <c r="J60" s="175">
        <f>H60/DAY(B2)</f>
        <v>23955.360833333329</v>
      </c>
      <c r="K60" s="79"/>
      <c r="L60" s="66"/>
      <c r="N60" s="87"/>
      <c r="O60" s="71"/>
    </row>
    <row r="61" spans="1:15" s="68" customFormat="1" ht="32.25" customHeight="1" x14ac:dyDescent="0.5">
      <c r="A61" s="805" t="s">
        <v>332</v>
      </c>
      <c r="B61" s="806"/>
      <c r="C61" s="807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32.25" customHeight="1" x14ac:dyDescent="0.5">
      <c r="A62" s="771" t="s">
        <v>198</v>
      </c>
      <c r="B62" s="772"/>
      <c r="C62" s="773"/>
      <c r="D62" s="151" t="s">
        <v>142</v>
      </c>
      <c r="E62" s="95">
        <f>'11'!F62</f>
        <v>257581</v>
      </c>
      <c r="F62" s="122">
        <v>257657</v>
      </c>
      <c r="G62" s="112">
        <f t="shared" ref="G62:G63" si="5">F62-E62</f>
        <v>76</v>
      </c>
      <c r="H62" s="99">
        <f>G62+'11'!H62</f>
        <v>1304</v>
      </c>
      <c r="I62" s="118"/>
      <c r="J62" s="175">
        <f>H62/DAY(B2)</f>
        <v>108.66666666666667</v>
      </c>
      <c r="K62" s="80"/>
      <c r="L62" s="66"/>
      <c r="N62" s="87"/>
      <c r="O62" s="71"/>
    </row>
    <row r="63" spans="1:15" ht="32.25" customHeight="1" x14ac:dyDescent="0.5">
      <c r="A63" s="771" t="s">
        <v>199</v>
      </c>
      <c r="B63" s="772"/>
      <c r="C63" s="773"/>
      <c r="D63" s="151" t="s">
        <v>142</v>
      </c>
      <c r="E63" s="95">
        <f>'11'!F63</f>
        <v>204042</v>
      </c>
      <c r="F63" s="122">
        <v>204163</v>
      </c>
      <c r="G63" s="112">
        <f t="shared" si="5"/>
        <v>121</v>
      </c>
      <c r="H63" s="99">
        <f>G63+'11'!H63</f>
        <v>1637</v>
      </c>
      <c r="I63" s="118"/>
      <c r="J63" s="175">
        <f>H63/DAY(B2)</f>
        <v>136.41666666666666</v>
      </c>
      <c r="K63" s="69"/>
      <c r="L63" s="66"/>
      <c r="N63" s="87"/>
      <c r="O63" s="71"/>
    </row>
    <row r="64" spans="1:15" ht="32.25" customHeight="1" x14ac:dyDescent="0.5">
      <c r="A64" s="780" t="s">
        <v>200</v>
      </c>
      <c r="B64" s="781"/>
      <c r="C64" s="782"/>
      <c r="D64" s="151"/>
      <c r="E64" s="95">
        <f>'11'!F64</f>
        <v>0</v>
      </c>
      <c r="F64" s="122"/>
      <c r="G64" s="112">
        <f>G62+G63</f>
        <v>197</v>
      </c>
      <c r="H64" s="99">
        <f>G64+'11'!H64</f>
        <v>2941</v>
      </c>
      <c r="I64" s="118"/>
      <c r="J64" s="175">
        <f>H64/DAY(B2)</f>
        <v>245.08333333333334</v>
      </c>
      <c r="K64" s="69"/>
      <c r="L64" s="66"/>
      <c r="N64" s="87"/>
      <c r="O64" s="71"/>
    </row>
    <row r="65" spans="1:15" ht="32.25" customHeight="1" x14ac:dyDescent="0.5">
      <c r="A65" s="771" t="s">
        <v>201</v>
      </c>
      <c r="B65" s="772"/>
      <c r="C65" s="773"/>
      <c r="D65" s="151" t="s">
        <v>142</v>
      </c>
      <c r="E65" s="95">
        <f>'11'!F65</f>
        <v>424282</v>
      </c>
      <c r="F65" s="122">
        <v>424363</v>
      </c>
      <c r="G65" s="112">
        <f t="shared" ref="G65:G70" si="6">F65-E65</f>
        <v>81</v>
      </c>
      <c r="H65" s="99">
        <f>G65+'11'!H65</f>
        <v>1074</v>
      </c>
      <c r="I65" s="118"/>
      <c r="J65" s="175">
        <f>H65/DAY(B2)</f>
        <v>89.5</v>
      </c>
      <c r="K65" s="69"/>
      <c r="L65" s="66"/>
      <c r="N65" s="87"/>
      <c r="O65" s="71"/>
    </row>
    <row r="66" spans="1:15" ht="32.25" customHeight="1" x14ac:dyDescent="0.5">
      <c r="A66" s="365" t="s">
        <v>202</v>
      </c>
      <c r="B66" s="366"/>
      <c r="C66" s="366"/>
      <c r="D66" s="151" t="s">
        <v>142</v>
      </c>
      <c r="E66" s="95">
        <f>'11'!F66</f>
        <v>105570</v>
      </c>
      <c r="F66" s="122">
        <v>105587</v>
      </c>
      <c r="G66" s="112">
        <f t="shared" si="6"/>
        <v>17</v>
      </c>
      <c r="H66" s="99">
        <f>G66+'11'!H66</f>
        <v>273</v>
      </c>
      <c r="I66" s="118"/>
      <c r="J66" s="175">
        <f>H66/DAY(B2)</f>
        <v>22.75</v>
      </c>
      <c r="K66" s="78"/>
      <c r="L66" s="66"/>
      <c r="N66" s="87"/>
      <c r="O66" s="71"/>
    </row>
    <row r="67" spans="1:15" ht="32.25" customHeight="1" x14ac:dyDescent="0.5">
      <c r="A67" s="365" t="s">
        <v>203</v>
      </c>
      <c r="B67" s="366"/>
      <c r="C67" s="366"/>
      <c r="D67" s="151" t="s">
        <v>142</v>
      </c>
      <c r="E67" s="95">
        <f>'11'!F67</f>
        <v>101601</v>
      </c>
      <c r="F67" s="122">
        <v>101625</v>
      </c>
      <c r="G67" s="112">
        <f t="shared" si="6"/>
        <v>24</v>
      </c>
      <c r="H67" s="99">
        <f>G67+'11'!H67</f>
        <v>341</v>
      </c>
      <c r="I67" s="118"/>
      <c r="J67" s="175">
        <f>H67/DAY(B2)</f>
        <v>28.416666666666668</v>
      </c>
      <c r="K67" s="81"/>
      <c r="L67" s="66"/>
      <c r="N67" s="87"/>
      <c r="O67" s="71"/>
    </row>
    <row r="68" spans="1:15" ht="32.25" customHeight="1" x14ac:dyDescent="0.5">
      <c r="A68" s="365" t="s">
        <v>204</v>
      </c>
      <c r="B68" s="366"/>
      <c r="C68" s="366"/>
      <c r="D68" s="151" t="s">
        <v>142</v>
      </c>
      <c r="E68" s="95">
        <f>'11'!F68</f>
        <v>153599</v>
      </c>
      <c r="F68" s="122">
        <v>153640</v>
      </c>
      <c r="G68" s="112">
        <f t="shared" si="6"/>
        <v>41</v>
      </c>
      <c r="H68" s="99">
        <f>G68+'11'!H68</f>
        <v>527</v>
      </c>
      <c r="I68" s="118"/>
      <c r="J68" s="175">
        <f>H68/DAY(B2)</f>
        <v>43.916666666666664</v>
      </c>
      <c r="K68" s="69"/>
      <c r="L68" s="66"/>
      <c r="N68" s="87"/>
      <c r="O68" s="71"/>
    </row>
    <row r="69" spans="1:15" ht="32.25" customHeight="1" x14ac:dyDescent="0.5">
      <c r="A69" s="365" t="s">
        <v>205</v>
      </c>
      <c r="B69" s="366"/>
      <c r="C69" s="366"/>
      <c r="D69" s="151" t="s">
        <v>142</v>
      </c>
      <c r="E69" s="95">
        <f>'11'!F69</f>
        <v>9208</v>
      </c>
      <c r="F69" s="122">
        <v>9216</v>
      </c>
      <c r="G69" s="112">
        <f t="shared" si="6"/>
        <v>8</v>
      </c>
      <c r="H69" s="99">
        <f>G69+'11'!H69</f>
        <v>159</v>
      </c>
      <c r="I69" s="118"/>
      <c r="J69" s="175">
        <f>H69/DAY(B2)</f>
        <v>13.25</v>
      </c>
      <c r="K69" s="69"/>
      <c r="L69" s="66"/>
      <c r="N69" s="87"/>
      <c r="O69" s="71"/>
    </row>
    <row r="70" spans="1:15" ht="32.25" customHeight="1" x14ac:dyDescent="0.5">
      <c r="A70" s="365" t="s">
        <v>206</v>
      </c>
      <c r="B70" s="366"/>
      <c r="C70" s="366"/>
      <c r="D70" s="151" t="s">
        <v>142</v>
      </c>
      <c r="E70" s="95">
        <f>'11'!F70</f>
        <v>6934</v>
      </c>
      <c r="F70" s="122">
        <v>6941</v>
      </c>
      <c r="G70" s="112">
        <f t="shared" si="6"/>
        <v>7</v>
      </c>
      <c r="H70" s="99">
        <f>G70+'11'!H70</f>
        <v>137</v>
      </c>
      <c r="I70" s="118"/>
      <c r="J70" s="175">
        <f>H70/DAY(B2)</f>
        <v>11.416666666666666</v>
      </c>
      <c r="K70" s="69"/>
      <c r="L70" s="66"/>
      <c r="N70" s="87"/>
      <c r="O70" s="71"/>
    </row>
    <row r="71" spans="1:15" ht="32.25" customHeight="1" x14ac:dyDescent="0.5">
      <c r="A71" s="780" t="s">
        <v>208</v>
      </c>
      <c r="B71" s="781"/>
      <c r="C71" s="782"/>
      <c r="D71" s="152"/>
      <c r="E71" s="152"/>
      <c r="F71" s="152"/>
      <c r="G71" s="153">
        <f>SUM(G65:G70)</f>
        <v>178</v>
      </c>
      <c r="H71" s="99">
        <f>G71+'11'!H71</f>
        <v>2511</v>
      </c>
      <c r="I71" s="154"/>
      <c r="J71" s="175">
        <f>H71/DAY(B2)</f>
        <v>209.25</v>
      </c>
      <c r="K71" s="69"/>
      <c r="L71" s="66"/>
      <c r="N71" s="87"/>
      <c r="O71" s="71"/>
    </row>
    <row r="72" spans="1:15" s="88" customFormat="1" ht="32.25" customHeight="1" x14ac:dyDescent="0.5">
      <c r="A72" s="767"/>
      <c r="B72" s="752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 x14ac:dyDescent="0.5">
      <c r="A73" s="777" t="s">
        <v>333</v>
      </c>
      <c r="B73" s="778"/>
      <c r="C73" s="779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32.25" customHeight="1" x14ac:dyDescent="0.5">
      <c r="A74" s="771" t="s">
        <v>220</v>
      </c>
      <c r="B74" s="772"/>
      <c r="C74" s="773"/>
      <c r="D74" s="151" t="s">
        <v>139</v>
      </c>
      <c r="E74" s="95">
        <f>'11'!F74</f>
        <v>867727</v>
      </c>
      <c r="F74" s="117">
        <v>868006</v>
      </c>
      <c r="G74" s="112">
        <f t="shared" ref="G74:G78" si="7">F74-E74</f>
        <v>279</v>
      </c>
      <c r="H74" s="99">
        <f>G74+'11'!H74</f>
        <v>3498</v>
      </c>
      <c r="I74" s="154"/>
      <c r="J74" s="175">
        <f>H74/DAY(B2)</f>
        <v>291.5</v>
      </c>
      <c r="K74" s="69"/>
      <c r="L74" s="66"/>
      <c r="N74" s="87"/>
      <c r="O74" s="71"/>
    </row>
    <row r="75" spans="1:15" ht="32.25" customHeight="1" x14ac:dyDescent="0.5">
      <c r="A75" s="771" t="s">
        <v>221</v>
      </c>
      <c r="B75" s="772"/>
      <c r="C75" s="773"/>
      <c r="D75" s="151" t="s">
        <v>139</v>
      </c>
      <c r="E75" s="95">
        <f>'11'!F75</f>
        <v>73583.399999999994</v>
      </c>
      <c r="F75" s="123">
        <v>73583.399999999994</v>
      </c>
      <c r="G75" s="112">
        <f t="shared" si="7"/>
        <v>0</v>
      </c>
      <c r="H75" s="99">
        <f>G75+'11'!H75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2.25" customHeight="1" x14ac:dyDescent="0.5">
      <c r="A76" s="768" t="s">
        <v>222</v>
      </c>
      <c r="B76" s="769"/>
      <c r="C76" s="770"/>
      <c r="D76" s="151" t="s">
        <v>139</v>
      </c>
      <c r="E76" s="95">
        <f>'11'!F76</f>
        <v>158016</v>
      </c>
      <c r="F76" s="123">
        <v>158094</v>
      </c>
      <c r="G76" s="112">
        <f t="shared" si="7"/>
        <v>78</v>
      </c>
      <c r="H76" s="99">
        <f>G76+'11'!H76</f>
        <v>1282</v>
      </c>
      <c r="I76" s="154"/>
      <c r="J76" s="175">
        <f>H76/DAY(B2)</f>
        <v>106.83333333333333</v>
      </c>
      <c r="K76" s="69"/>
      <c r="L76" s="66"/>
      <c r="N76" s="87"/>
      <c r="O76" s="71"/>
    </row>
    <row r="77" spans="1:15" ht="32.25" customHeight="1" x14ac:dyDescent="0.5">
      <c r="A77" s="768" t="s">
        <v>223</v>
      </c>
      <c r="B77" s="769"/>
      <c r="C77" s="770"/>
      <c r="D77" s="151" t="s">
        <v>139</v>
      </c>
      <c r="E77" s="95">
        <f>'11'!F77</f>
        <v>36561</v>
      </c>
      <c r="F77" s="123">
        <v>36611</v>
      </c>
      <c r="G77" s="112">
        <f t="shared" si="7"/>
        <v>50</v>
      </c>
      <c r="H77" s="99">
        <f>G77+'11'!H77</f>
        <v>607</v>
      </c>
      <c r="I77" s="154"/>
      <c r="J77" s="175">
        <f>H77/DAY(B2)</f>
        <v>50.583333333333336</v>
      </c>
      <c r="K77" s="69"/>
      <c r="L77" s="66"/>
      <c r="N77" s="87"/>
      <c r="O77" s="71"/>
    </row>
    <row r="78" spans="1:15" ht="32.25" customHeight="1" x14ac:dyDescent="0.5">
      <c r="A78" s="768" t="s">
        <v>224</v>
      </c>
      <c r="B78" s="769"/>
      <c r="C78" s="770"/>
      <c r="D78" s="151" t="s">
        <v>139</v>
      </c>
      <c r="E78" s="95">
        <f>'11'!F78</f>
        <v>9279</v>
      </c>
      <c r="F78" s="123">
        <v>9281</v>
      </c>
      <c r="G78" s="112">
        <f t="shared" si="7"/>
        <v>2</v>
      </c>
      <c r="H78" s="99">
        <f>G78+'11'!H78</f>
        <v>33</v>
      </c>
      <c r="I78" s="118"/>
      <c r="J78" s="175">
        <f>H78/DAY(B2)</f>
        <v>2.75</v>
      </c>
      <c r="K78" s="69"/>
      <c r="L78" s="66"/>
      <c r="N78" s="87"/>
      <c r="O78" s="71"/>
    </row>
    <row r="79" spans="1:15" s="57" customFormat="1" ht="32.25" customHeight="1" x14ac:dyDescent="0.5">
      <c r="A79" s="768" t="s">
        <v>225</v>
      </c>
      <c r="B79" s="769"/>
      <c r="C79" s="770"/>
      <c r="D79" s="151"/>
      <c r="E79" s="95">
        <f>'11'!F79</f>
        <v>0</v>
      </c>
      <c r="F79" s="117"/>
      <c r="G79" s="112">
        <f>G15-SUM(G74:G78)</f>
        <v>550</v>
      </c>
      <c r="H79" s="99">
        <f>G79+'11'!H79</f>
        <v>6676</v>
      </c>
      <c r="I79" s="118"/>
      <c r="J79" s="175">
        <f>H79/DAY(B2)</f>
        <v>556.33333333333337</v>
      </c>
      <c r="K79" s="59"/>
      <c r="L79" s="58"/>
      <c r="N79" s="87"/>
      <c r="O79" s="71"/>
    </row>
    <row r="80" spans="1:15" s="57" customFormat="1" ht="32.25" customHeight="1" x14ac:dyDescent="0.5">
      <c r="A80" s="780" t="s">
        <v>329</v>
      </c>
      <c r="B80" s="781"/>
      <c r="C80" s="782"/>
      <c r="D80" s="151"/>
      <c r="E80" s="117"/>
      <c r="F80" s="117"/>
      <c r="G80" s="112">
        <f>SUM(G74:G79)</f>
        <v>959</v>
      </c>
      <c r="H80" s="99">
        <f>G80+'11'!H80</f>
        <v>959</v>
      </c>
      <c r="I80" s="118"/>
      <c r="J80" s="175">
        <f>H80/DAY(B2)</f>
        <v>79.916666666666671</v>
      </c>
      <c r="K80" s="59"/>
      <c r="L80" s="58"/>
      <c r="N80" s="87"/>
      <c r="O80" s="71"/>
    </row>
    <row r="81" spans="1:15" ht="32.25" customHeight="1" x14ac:dyDescent="0.4">
      <c r="A81" s="785" t="s">
        <v>226</v>
      </c>
      <c r="B81" s="786"/>
      <c r="C81" s="787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 x14ac:dyDescent="0.5">
      <c r="A82" s="365" t="s">
        <v>227</v>
      </c>
      <c r="B82" s="366"/>
      <c r="C82" s="366"/>
      <c r="D82" s="151" t="s">
        <v>228</v>
      </c>
      <c r="E82" s="95">
        <f>'11'!F82</f>
        <v>0</v>
      </c>
      <c r="F82" s="122"/>
      <c r="G82" s="112">
        <f t="shared" ref="G82:G92" si="8">F82-E82</f>
        <v>0</v>
      </c>
      <c r="H82" s="99">
        <f>G82+'11'!H82</f>
        <v>0</v>
      </c>
      <c r="I82" s="118"/>
      <c r="J82" s="175">
        <f>H82/DAY(B2)</f>
        <v>0</v>
      </c>
      <c r="O82" s="71"/>
    </row>
    <row r="83" spans="1:15" ht="32.25" customHeight="1" x14ac:dyDescent="0.5">
      <c r="A83" s="365" t="s">
        <v>229</v>
      </c>
      <c r="B83" s="366"/>
      <c r="C83" s="366"/>
      <c r="D83" s="151" t="s">
        <v>228</v>
      </c>
      <c r="E83" s="95">
        <f>'11'!F83</f>
        <v>0</v>
      </c>
      <c r="F83" s="122"/>
      <c r="G83" s="112">
        <f t="shared" si="8"/>
        <v>0</v>
      </c>
      <c r="H83" s="99">
        <f>G83+'11'!H83</f>
        <v>0</v>
      </c>
      <c r="I83" s="118"/>
      <c r="J83" s="175">
        <f>H83/DAY(B2)</f>
        <v>0</v>
      </c>
      <c r="O83" s="71"/>
    </row>
    <row r="84" spans="1:15" ht="32.25" customHeight="1" x14ac:dyDescent="0.5">
      <c r="A84" s="365" t="s">
        <v>230</v>
      </c>
      <c r="B84" s="366"/>
      <c r="C84" s="366"/>
      <c r="D84" s="151" t="s">
        <v>228</v>
      </c>
      <c r="E84" s="95">
        <f>'11'!F84</f>
        <v>41399</v>
      </c>
      <c r="F84" s="164">
        <v>41399</v>
      </c>
      <c r="G84" s="112">
        <f t="shared" si="8"/>
        <v>0</v>
      </c>
      <c r="H84" s="99">
        <f>G84+'11'!H84</f>
        <v>237</v>
      </c>
      <c r="I84" s="118"/>
      <c r="J84" s="175">
        <f>H84/DAY(B2)</f>
        <v>19.75</v>
      </c>
      <c r="O84" s="71"/>
    </row>
    <row r="85" spans="1:15" ht="32.25" customHeight="1" x14ac:dyDescent="0.5">
      <c r="A85" s="365" t="s">
        <v>231</v>
      </c>
      <c r="B85" s="366"/>
      <c r="C85" s="366"/>
      <c r="D85" s="151" t="s">
        <v>228</v>
      </c>
      <c r="E85" s="95">
        <f>'11'!F85</f>
        <v>1257</v>
      </c>
      <c r="F85" s="164">
        <v>1267</v>
      </c>
      <c r="G85" s="112">
        <f t="shared" si="8"/>
        <v>10</v>
      </c>
      <c r="H85" s="99">
        <f>G85+'11'!H85</f>
        <v>88</v>
      </c>
      <c r="I85" s="118">
        <f>G82+G83+G84+G85</f>
        <v>10</v>
      </c>
      <c r="J85" s="175">
        <f>H85/DAY(B2)</f>
        <v>7.333333333333333</v>
      </c>
      <c r="O85" s="71"/>
    </row>
    <row r="86" spans="1:15" ht="32.25" customHeight="1" x14ac:dyDescent="0.5">
      <c r="A86" s="365" t="s">
        <v>232</v>
      </c>
      <c r="B86" s="366"/>
      <c r="C86" s="366"/>
      <c r="D86" s="151" t="s">
        <v>228</v>
      </c>
      <c r="E86" s="95">
        <f>'11'!F86</f>
        <v>42826.47</v>
      </c>
      <c r="F86" s="164">
        <v>42826.47</v>
      </c>
      <c r="G86" s="112">
        <f t="shared" si="8"/>
        <v>0</v>
      </c>
      <c r="H86" s="99">
        <f>G86+'11'!H86</f>
        <v>0.47000000000116415</v>
      </c>
      <c r="I86" s="118"/>
      <c r="J86" s="175">
        <f>H86/DAY(B2)</f>
        <v>3.9166666666763682E-2</v>
      </c>
      <c r="O86" s="71"/>
    </row>
    <row r="87" spans="1:15" ht="32.25" customHeight="1" x14ac:dyDescent="0.5">
      <c r="A87" s="365" t="s">
        <v>233</v>
      </c>
      <c r="B87" s="366"/>
      <c r="C87" s="366"/>
      <c r="D87" s="151" t="s">
        <v>228</v>
      </c>
      <c r="E87" s="95">
        <f>'11'!F87</f>
        <v>33364</v>
      </c>
      <c r="F87" s="164">
        <v>33388</v>
      </c>
      <c r="G87" s="112">
        <f t="shared" si="8"/>
        <v>24</v>
      </c>
      <c r="H87" s="99">
        <f>G87+'11'!H87</f>
        <v>74</v>
      </c>
      <c r="I87" s="118"/>
      <c r="J87" s="175">
        <f>H87/DAY(B2)</f>
        <v>6.166666666666667</v>
      </c>
      <c r="O87" s="71"/>
    </row>
    <row r="88" spans="1:15" ht="32.25" customHeight="1" x14ac:dyDescent="0.5">
      <c r="A88" s="365" t="s">
        <v>234</v>
      </c>
      <c r="B88" s="366"/>
      <c r="C88" s="366"/>
      <c r="D88" s="151" t="s">
        <v>228</v>
      </c>
      <c r="E88" s="95">
        <f>'11'!F88</f>
        <v>23647</v>
      </c>
      <c r="F88" s="164">
        <v>23655.8</v>
      </c>
      <c r="G88" s="112">
        <f t="shared" si="8"/>
        <v>8.7999999999992724</v>
      </c>
      <c r="H88" s="99">
        <f>G88+'11'!H88</f>
        <v>64.829999999998108</v>
      </c>
      <c r="I88" s="118">
        <f>G86+G87+G88</f>
        <v>32.799999999999272</v>
      </c>
      <c r="J88" s="175">
        <f>H88/DAY(B2)</f>
        <v>5.4024999999998427</v>
      </c>
      <c r="O88" s="71"/>
    </row>
    <row r="89" spans="1:15" ht="32.25" customHeight="1" x14ac:dyDescent="0.5">
      <c r="A89" s="365" t="s">
        <v>235</v>
      </c>
      <c r="B89" s="366"/>
      <c r="C89" s="366"/>
      <c r="D89" s="151" t="s">
        <v>228</v>
      </c>
      <c r="E89" s="95">
        <f>'11'!F89</f>
        <v>25242</v>
      </c>
      <c r="F89" s="164">
        <v>25242.12</v>
      </c>
      <c r="G89" s="112">
        <f t="shared" si="8"/>
        <v>0.11999999999898137</v>
      </c>
      <c r="H89" s="99">
        <f>G89+'11'!H89</f>
        <v>54.75</v>
      </c>
      <c r="I89" s="118"/>
      <c r="J89" s="175">
        <f>H89/DAY(B2)</f>
        <v>4.5625</v>
      </c>
      <c r="O89" s="71"/>
    </row>
    <row r="90" spans="1:15" ht="32.25" customHeight="1" x14ac:dyDescent="0.5">
      <c r="A90" s="365" t="s">
        <v>236</v>
      </c>
      <c r="B90" s="366"/>
      <c r="C90" s="366"/>
      <c r="D90" s="151" t="s">
        <v>228</v>
      </c>
      <c r="E90" s="95">
        <f>'11'!F90</f>
        <v>70566</v>
      </c>
      <c r="F90" s="164">
        <v>70571.5</v>
      </c>
      <c r="G90" s="112">
        <f t="shared" si="8"/>
        <v>5.5</v>
      </c>
      <c r="H90" s="99">
        <f>G90+'11'!H90</f>
        <v>38.520000000004075</v>
      </c>
      <c r="I90" s="118">
        <f>G89+G90</f>
        <v>5.6199999999989814</v>
      </c>
      <c r="J90" s="175">
        <f>H90/DAY(B2)</f>
        <v>3.2100000000003397</v>
      </c>
      <c r="O90" s="71"/>
    </row>
    <row r="91" spans="1:15" ht="32.25" customHeight="1" x14ac:dyDescent="0.5">
      <c r="A91" s="365" t="s">
        <v>237</v>
      </c>
      <c r="B91" s="366"/>
      <c r="C91" s="366"/>
      <c r="D91" s="151" t="s">
        <v>228</v>
      </c>
      <c r="E91" s="95">
        <f>'11'!F91</f>
        <v>3045</v>
      </c>
      <c r="F91" s="122">
        <v>3055.22</v>
      </c>
      <c r="G91" s="112">
        <f t="shared" si="8"/>
        <v>10.2199999999998</v>
      </c>
      <c r="H91" s="99">
        <f>G91+'11'!H91</f>
        <v>129.34999999999991</v>
      </c>
      <c r="I91" s="165"/>
      <c r="J91" s="175">
        <f>H91/DAY(B2)</f>
        <v>10.77916666666666</v>
      </c>
      <c r="O91" s="71"/>
    </row>
    <row r="92" spans="1:15" ht="32.25" customHeight="1" x14ac:dyDescent="0.5">
      <c r="A92" s="365" t="s">
        <v>238</v>
      </c>
      <c r="B92" s="366"/>
      <c r="C92" s="366"/>
      <c r="D92" s="151" t="s">
        <v>228</v>
      </c>
      <c r="E92" s="95">
        <f>'11'!F92</f>
        <v>4758.6000000000004</v>
      </c>
      <c r="F92" s="122">
        <v>4758.6000000000004</v>
      </c>
      <c r="G92" s="112">
        <f t="shared" si="8"/>
        <v>0</v>
      </c>
      <c r="H92" s="99">
        <f>G92+'11'!H92</f>
        <v>0.6000000000003638</v>
      </c>
      <c r="I92" s="165"/>
      <c r="J92" s="175">
        <f>H92/DAY(B2)</f>
        <v>5.0000000000030319E-2</v>
      </c>
      <c r="O92" s="71"/>
    </row>
    <row r="93" spans="1:15" ht="32.25" customHeight="1" x14ac:dyDescent="0.5">
      <c r="A93" s="774" t="s">
        <v>239</v>
      </c>
      <c r="B93" s="775"/>
      <c r="C93" s="77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 x14ac:dyDescent="0.5">
      <c r="A94" s="771" t="s">
        <v>240</v>
      </c>
      <c r="B94" s="772"/>
      <c r="C94" s="773"/>
      <c r="D94" s="151" t="s">
        <v>130</v>
      </c>
      <c r="E94" s="151"/>
      <c r="F94" s="151"/>
      <c r="G94" s="99">
        <f>G35+G43+G49+G57</f>
        <v>6049</v>
      </c>
      <c r="H94" s="99">
        <f>G94+'11'!H94</f>
        <v>77019.62</v>
      </c>
      <c r="I94" s="118"/>
      <c r="J94" s="175">
        <f>H94/DAY(B2)</f>
        <v>6418.3016666666663</v>
      </c>
      <c r="K94" s="69"/>
      <c r="L94" s="66"/>
      <c r="O94" s="71"/>
    </row>
    <row r="95" spans="1:15" ht="32.25" customHeight="1" x14ac:dyDescent="0.5">
      <c r="A95" s="771" t="s">
        <v>241</v>
      </c>
      <c r="B95" s="772"/>
      <c r="C95" s="773"/>
      <c r="D95" s="151" t="s">
        <v>23</v>
      </c>
      <c r="E95" s="146"/>
      <c r="F95" s="146"/>
      <c r="G95" s="166">
        <f>G94/G7</f>
        <v>0.25342494448866731</v>
      </c>
      <c r="H95" s="99">
        <f>G95+'11'!H95</f>
        <v>3.2812552054462092</v>
      </c>
      <c r="I95" s="167"/>
      <c r="J95" s="175">
        <f>H95/DAY(B2)</f>
        <v>0.27343793378718412</v>
      </c>
      <c r="K95" s="69"/>
      <c r="L95" s="66"/>
      <c r="O95" s="71"/>
    </row>
    <row r="96" spans="1:15" ht="32.25" customHeight="1" x14ac:dyDescent="0.5">
      <c r="A96" s="771" t="s">
        <v>242</v>
      </c>
      <c r="B96" s="772"/>
      <c r="C96" s="773"/>
      <c r="D96" s="151" t="s">
        <v>130</v>
      </c>
      <c r="E96" s="95"/>
      <c r="F96" s="95"/>
      <c r="G96" s="99">
        <f>G41+G42+G55+G56</f>
        <v>7367</v>
      </c>
      <c r="H96" s="99">
        <f>G96+'11'!H96</f>
        <v>88147.409999999974</v>
      </c>
      <c r="I96" s="118"/>
      <c r="J96" s="175">
        <f>H96/DAY(B2)</f>
        <v>7345.6174999999976</v>
      </c>
      <c r="K96" s="69"/>
      <c r="L96" s="66"/>
      <c r="O96" s="71"/>
    </row>
    <row r="97" spans="1:15" ht="32.25" customHeight="1" x14ac:dyDescent="0.5">
      <c r="A97" s="771" t="s">
        <v>243</v>
      </c>
      <c r="B97" s="772"/>
      <c r="C97" s="773"/>
      <c r="D97" s="151" t="s">
        <v>23</v>
      </c>
      <c r="E97" s="95"/>
      <c r="F97" s="95"/>
      <c r="G97" s="166">
        <f>G96/G7</f>
        <v>0.30864300976161546</v>
      </c>
      <c r="H97" s="99">
        <f>G97+'11'!H97</f>
        <v>3.7457808055882666</v>
      </c>
      <c r="I97" s="167"/>
      <c r="J97" s="175">
        <f>H97/DAY(B2)</f>
        <v>0.31214840046568887</v>
      </c>
      <c r="K97" s="69"/>
      <c r="L97" s="66"/>
      <c r="O97" s="71"/>
    </row>
    <row r="98" spans="1:15" ht="32.25" customHeight="1" x14ac:dyDescent="0.5">
      <c r="A98" s="771" t="s">
        <v>244</v>
      </c>
      <c r="B98" s="772"/>
      <c r="C98" s="773"/>
      <c r="D98" s="151" t="s">
        <v>130</v>
      </c>
      <c r="E98" s="95"/>
      <c r="F98" s="95"/>
      <c r="G98" s="99">
        <f>G39+G53</f>
        <v>4376</v>
      </c>
      <c r="H98" s="99">
        <f>G98+'11'!H98</f>
        <v>50684</v>
      </c>
      <c r="I98" s="168"/>
      <c r="J98" s="175">
        <f>H98/DAY(B2)</f>
        <v>4223.666666666667</v>
      </c>
      <c r="K98" s="69"/>
      <c r="L98" s="66"/>
      <c r="O98" s="71"/>
    </row>
    <row r="99" spans="1:15" ht="32.25" customHeight="1" x14ac:dyDescent="0.5">
      <c r="A99" s="771" t="s">
        <v>245</v>
      </c>
      <c r="B99" s="772"/>
      <c r="C99" s="773"/>
      <c r="D99" s="151" t="s">
        <v>23</v>
      </c>
      <c r="E99" s="95"/>
      <c r="F99" s="95"/>
      <c r="G99" s="166">
        <f>G98/G7</f>
        <v>0.18333403158909045</v>
      </c>
      <c r="H99" s="99">
        <f>G99+'11'!H99</f>
        <v>2.1573478101097217</v>
      </c>
      <c r="I99" s="168"/>
      <c r="J99" s="175">
        <f>H99/DAY(B2)</f>
        <v>0.17977898417581015</v>
      </c>
      <c r="O99" s="71"/>
    </row>
    <row r="100" spans="1:15" ht="32.25" customHeight="1" x14ac:dyDescent="0.5">
      <c r="A100" s="771" t="s">
        <v>246</v>
      </c>
      <c r="B100" s="772"/>
      <c r="C100" s="773"/>
      <c r="D100" s="151" t="s">
        <v>180</v>
      </c>
      <c r="E100" s="95"/>
      <c r="F100" s="95"/>
      <c r="G100" s="99">
        <f>G38+G52</f>
        <v>1853</v>
      </c>
      <c r="H100" s="99">
        <f>G100+'11'!H100</f>
        <v>22931</v>
      </c>
      <c r="I100" s="118"/>
      <c r="J100" s="175">
        <f>H100/DAY(B2)</f>
        <v>1910.9166666666667</v>
      </c>
      <c r="K100" s="70"/>
      <c r="O100" s="71"/>
    </row>
    <row r="101" spans="1:15" ht="32.25" customHeight="1" x14ac:dyDescent="0.5">
      <c r="A101" s="771" t="s">
        <v>247</v>
      </c>
      <c r="B101" s="772"/>
      <c r="C101" s="773"/>
      <c r="D101" s="151" t="s">
        <v>23</v>
      </c>
      <c r="E101" s="95"/>
      <c r="F101" s="95"/>
      <c r="G101" s="166">
        <f>G100/G7</f>
        <v>7.7632075076459001E-2</v>
      </c>
      <c r="H101" s="99">
        <f>G101+'11'!H101</f>
        <v>0.97625750103814923</v>
      </c>
      <c r="I101" s="168"/>
      <c r="J101" s="175">
        <f>H101/DAY(B2)</f>
        <v>8.1354791753179098E-2</v>
      </c>
      <c r="O101" s="71"/>
    </row>
    <row r="102" spans="1:15" ht="32.25" customHeight="1" x14ac:dyDescent="0.5">
      <c r="A102" s="771" t="s">
        <v>248</v>
      </c>
      <c r="B102" s="772"/>
      <c r="C102" s="773"/>
      <c r="D102" s="151" t="s">
        <v>180</v>
      </c>
      <c r="E102" s="95"/>
      <c r="F102" s="95"/>
      <c r="G102" s="99">
        <f>G36+G50</f>
        <v>1907</v>
      </c>
      <c r="H102" s="99">
        <f>G102+'11'!H102</f>
        <v>25291</v>
      </c>
      <c r="I102" s="168"/>
      <c r="J102" s="175">
        <f>H102/DAY(B2)</f>
        <v>2107.5833333333335</v>
      </c>
      <c r="O102" s="71"/>
    </row>
    <row r="103" spans="1:15" ht="32.25" customHeight="1" x14ac:dyDescent="0.5">
      <c r="A103" s="771" t="s">
        <v>249</v>
      </c>
      <c r="B103" s="772"/>
      <c r="C103" s="773"/>
      <c r="D103" s="151" t="s">
        <v>23</v>
      </c>
      <c r="E103" s="95"/>
      <c r="F103" s="95"/>
      <c r="G103" s="166">
        <f>G102/G7</f>
        <v>7.9894423729523656E-2</v>
      </c>
      <c r="H103" s="99">
        <f>G103+'11'!H103</f>
        <v>1.0743605782383454</v>
      </c>
      <c r="I103" s="118"/>
      <c r="J103" s="175">
        <f>H103/DAY(B2)</f>
        <v>8.9530048186528779E-2</v>
      </c>
      <c r="O103" s="71"/>
    </row>
    <row r="104" spans="1:15" ht="32.25" customHeight="1" x14ac:dyDescent="0.5">
      <c r="A104" s="771" t="s">
        <v>250</v>
      </c>
      <c r="B104" s="772"/>
      <c r="C104" s="773"/>
      <c r="D104" s="151" t="s">
        <v>180</v>
      </c>
      <c r="E104" s="95"/>
      <c r="F104" s="95"/>
      <c r="G104" s="99">
        <f>G37+G51</f>
        <v>1772</v>
      </c>
      <c r="H104" s="99">
        <f>G104+'11'!H104</f>
        <v>20702</v>
      </c>
      <c r="I104" s="118"/>
      <c r="J104" s="175">
        <f>H104/DAY(B2)</f>
        <v>1725.1666666666667</v>
      </c>
      <c r="O104" s="71"/>
    </row>
    <row r="105" spans="1:15" ht="32.25" customHeight="1" thickBot="1" x14ac:dyDescent="0.55000000000000004">
      <c r="A105" s="764" t="s">
        <v>251</v>
      </c>
      <c r="B105" s="765"/>
      <c r="C105" s="766"/>
      <c r="D105" s="231" t="s">
        <v>23</v>
      </c>
      <c r="E105" s="185"/>
      <c r="F105" s="185"/>
      <c r="G105" s="186">
        <f>G104/G7</f>
        <v>7.4238552096862045E-2</v>
      </c>
      <c r="H105" s="99">
        <f>G105+'11'!H105</f>
        <v>0.88183731343908922</v>
      </c>
      <c r="I105" s="187"/>
      <c r="J105" s="188">
        <f>H105/DAY(B2)</f>
        <v>7.3486442786590764E-2</v>
      </c>
      <c r="O105" s="71"/>
    </row>
    <row r="106" spans="1:15" ht="32.2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 x14ac:dyDescent="0.55000000000000004">
      <c r="A108" s="760" t="s">
        <v>324</v>
      </c>
      <c r="B108" s="760"/>
      <c r="C108" s="760"/>
      <c r="D108" s="760"/>
      <c r="E108" s="760"/>
      <c r="F108" s="760"/>
      <c r="G108" s="760"/>
      <c r="H108" s="760"/>
      <c r="I108" s="760"/>
      <c r="J108" s="760"/>
    </row>
    <row r="109" spans="1:15" ht="32.25" customHeight="1" x14ac:dyDescent="0.5">
      <c r="A109" s="788"/>
      <c r="B109" s="788"/>
    </row>
    <row r="110" spans="1:15" ht="32.25" customHeight="1" x14ac:dyDescent="0.5">
      <c r="A110" s="761" t="s">
        <v>165</v>
      </c>
      <c r="B110" s="762"/>
      <c r="C110" s="762"/>
      <c r="D110" s="762"/>
      <c r="E110" s="762"/>
      <c r="F110" s="762"/>
      <c r="G110" s="762"/>
      <c r="H110" s="762"/>
      <c r="I110" s="762"/>
      <c r="J110" s="763"/>
    </row>
    <row r="111" spans="1:15" ht="32.25" customHeight="1" x14ac:dyDescent="0.5">
      <c r="A111" s="753"/>
      <c r="B111" s="754"/>
      <c r="C111" s="755"/>
      <c r="D111" s="165"/>
      <c r="E111" s="165"/>
      <c r="F111" s="165"/>
      <c r="G111" s="165"/>
      <c r="H111" s="156"/>
      <c r="I111" s="165"/>
      <c r="J111" s="347"/>
    </row>
    <row r="112" spans="1:15" ht="32.25" customHeight="1" x14ac:dyDescent="0.5">
      <c r="A112" s="750" t="s">
        <v>252</v>
      </c>
      <c r="B112" s="751"/>
      <c r="C112" s="752"/>
      <c r="D112" s="146" t="s">
        <v>183</v>
      </c>
      <c r="E112" s="95">
        <f>'11'!F112</f>
        <v>49196</v>
      </c>
      <c r="F112" s="237">
        <v>49281</v>
      </c>
      <c r="G112" s="112">
        <f t="shared" ref="G112:G123" si="9">F112-E112</f>
        <v>85</v>
      </c>
      <c r="H112" s="99">
        <f>G112+'11'!H112</f>
        <v>1004</v>
      </c>
      <c r="I112" s="165"/>
      <c r="J112" s="348">
        <f>H112/DAY(B2)</f>
        <v>83.666666666666671</v>
      </c>
    </row>
    <row r="113" spans="1:18" ht="32.25" customHeight="1" x14ac:dyDescent="0.5">
      <c r="A113" s="750" t="s">
        <v>253</v>
      </c>
      <c r="B113" s="751"/>
      <c r="C113" s="752"/>
      <c r="D113" s="146" t="s">
        <v>183</v>
      </c>
      <c r="E113" s="95">
        <f>'11'!F113</f>
        <v>155619</v>
      </c>
      <c r="F113" s="237">
        <v>156080</v>
      </c>
      <c r="G113" s="112">
        <f t="shared" si="9"/>
        <v>461</v>
      </c>
      <c r="H113" s="99">
        <f>G113+'11'!H113</f>
        <v>5549</v>
      </c>
      <c r="I113" s="165"/>
      <c r="J113" s="348">
        <f>H113/DAY(B2)</f>
        <v>462.41666666666669</v>
      </c>
    </row>
    <row r="114" spans="1:18" ht="32.25" customHeight="1" x14ac:dyDescent="0.5">
      <c r="A114" s="750" t="s">
        <v>254</v>
      </c>
      <c r="B114" s="751"/>
      <c r="C114" s="752"/>
      <c r="D114" s="146" t="s">
        <v>183</v>
      </c>
      <c r="E114" s="95">
        <f>'11'!F114</f>
        <v>72614</v>
      </c>
      <c r="F114" s="237">
        <v>72840</v>
      </c>
      <c r="G114" s="112">
        <f t="shared" si="9"/>
        <v>226</v>
      </c>
      <c r="H114" s="99">
        <f>G114+'11'!H114</f>
        <v>2640</v>
      </c>
      <c r="I114" s="165"/>
      <c r="J114" s="348">
        <f>H114/DAY(B2)</f>
        <v>220</v>
      </c>
    </row>
    <row r="115" spans="1:18" ht="32.25" customHeight="1" x14ac:dyDescent="0.5">
      <c r="A115" s="750" t="s">
        <v>255</v>
      </c>
      <c r="B115" s="751"/>
      <c r="C115" s="752"/>
      <c r="D115" s="146" t="s">
        <v>183</v>
      </c>
      <c r="E115" s="95">
        <f>'11'!F115</f>
        <v>7867</v>
      </c>
      <c r="F115" s="237">
        <v>7878</v>
      </c>
      <c r="G115" s="112">
        <f t="shared" si="9"/>
        <v>11</v>
      </c>
      <c r="H115" s="99">
        <f>G115+'11'!H115</f>
        <v>130</v>
      </c>
      <c r="I115" s="165"/>
      <c r="J115" s="348">
        <f>H115/DAY(B2)</f>
        <v>10.833333333333334</v>
      </c>
    </row>
    <row r="116" spans="1:18" ht="32.25" customHeight="1" x14ac:dyDescent="0.5">
      <c r="A116" s="757" t="s">
        <v>96</v>
      </c>
      <c r="B116" s="758"/>
      <c r="C116" s="759"/>
      <c r="D116" s="146" t="s">
        <v>183</v>
      </c>
      <c r="E116" s="95">
        <f>'11'!F116</f>
        <v>0</v>
      </c>
      <c r="F116" s="237">
        <v>0</v>
      </c>
      <c r="G116" s="112">
        <f t="shared" si="9"/>
        <v>0</v>
      </c>
      <c r="H116" s="99">
        <f>G116+'11'!H116</f>
        <v>0</v>
      </c>
      <c r="I116" s="165"/>
      <c r="J116" s="348">
        <f>H116/DAY(B2)</f>
        <v>0</v>
      </c>
      <c r="Q116" s="750" t="s">
        <v>311</v>
      </c>
      <c r="R116" s="752"/>
    </row>
    <row r="117" spans="1:18" ht="32.25" customHeight="1" x14ac:dyDescent="0.5">
      <c r="A117" s="757" t="s">
        <v>184</v>
      </c>
      <c r="B117" s="758"/>
      <c r="C117" s="759"/>
      <c r="D117" s="146" t="s">
        <v>183</v>
      </c>
      <c r="E117" s="95">
        <f>'11'!F117</f>
        <v>665</v>
      </c>
      <c r="F117" s="237">
        <v>686</v>
      </c>
      <c r="G117" s="112">
        <f t="shared" si="9"/>
        <v>21</v>
      </c>
      <c r="H117" s="99">
        <f>G117+'11'!H117</f>
        <v>270</v>
      </c>
      <c r="I117" s="165"/>
      <c r="J117" s="348">
        <f>H117/DAY(B2)</f>
        <v>22.5</v>
      </c>
      <c r="Q117" s="750" t="s">
        <v>312</v>
      </c>
      <c r="R117" s="752"/>
    </row>
    <row r="118" spans="1:18" ht="32.25" customHeight="1" x14ac:dyDescent="0.5">
      <c r="A118" s="749" t="s">
        <v>97</v>
      </c>
      <c r="B118" s="749"/>
      <c r="C118" s="749"/>
      <c r="D118" s="151" t="s">
        <v>183</v>
      </c>
      <c r="E118" s="95">
        <f>'11'!F118</f>
        <v>211014</v>
      </c>
      <c r="F118" s="237">
        <v>211460</v>
      </c>
      <c r="G118" s="112">
        <f t="shared" si="9"/>
        <v>446</v>
      </c>
      <c r="H118" s="99">
        <f>G118+'11'!H118</f>
        <v>4928</v>
      </c>
      <c r="I118" s="165"/>
      <c r="J118" s="348">
        <f>H118/DAY(B2)</f>
        <v>410.66666666666669</v>
      </c>
      <c r="Q118" s="750" t="s">
        <v>311</v>
      </c>
      <c r="R118" s="752"/>
    </row>
    <row r="119" spans="1:18" ht="32.25" customHeight="1" x14ac:dyDescent="0.5">
      <c r="A119" s="749" t="s">
        <v>98</v>
      </c>
      <c r="B119" s="749"/>
      <c r="C119" s="749"/>
      <c r="D119" s="151" t="s">
        <v>183</v>
      </c>
      <c r="E119" s="95">
        <f>'11'!F119</f>
        <v>210507</v>
      </c>
      <c r="F119" s="237">
        <v>210895</v>
      </c>
      <c r="G119" s="112">
        <f t="shared" si="9"/>
        <v>388</v>
      </c>
      <c r="H119" s="99">
        <f>G119+'11'!H119</f>
        <v>4665</v>
      </c>
      <c r="I119" s="165"/>
      <c r="J119" s="348">
        <f>H119/DAY(B2)</f>
        <v>388.75</v>
      </c>
    </row>
    <row r="120" spans="1:18" ht="32.25" customHeight="1" x14ac:dyDescent="0.5">
      <c r="A120" s="749" t="s">
        <v>99</v>
      </c>
      <c r="B120" s="749"/>
      <c r="C120" s="749"/>
      <c r="D120" s="151" t="s">
        <v>183</v>
      </c>
      <c r="E120" s="95">
        <f>'11'!F120</f>
        <v>9998</v>
      </c>
      <c r="F120" s="237">
        <v>10410</v>
      </c>
      <c r="G120" s="112">
        <f t="shared" si="9"/>
        <v>412</v>
      </c>
      <c r="H120" s="99">
        <f>G120+'11'!H120</f>
        <v>4895</v>
      </c>
      <c r="I120" s="165"/>
      <c r="J120" s="348">
        <f>H120/DAY(B2)</f>
        <v>407.91666666666669</v>
      </c>
    </row>
    <row r="121" spans="1:18" ht="32.25" customHeight="1" x14ac:dyDescent="0.5">
      <c r="A121" s="749" t="s">
        <v>100</v>
      </c>
      <c r="B121" s="749"/>
      <c r="C121" s="749"/>
      <c r="D121" s="151" t="s">
        <v>183</v>
      </c>
      <c r="E121" s="95">
        <f>'11'!F121</f>
        <v>317470</v>
      </c>
      <c r="F121" s="237">
        <v>318193</v>
      </c>
      <c r="G121" s="112">
        <f t="shared" si="9"/>
        <v>723</v>
      </c>
      <c r="H121" s="99">
        <f>G121+'11'!H121</f>
        <v>8748.2700000000186</v>
      </c>
      <c r="I121" s="165"/>
      <c r="J121" s="348">
        <f>H121/DAY(B2)</f>
        <v>729.02250000000151</v>
      </c>
    </row>
    <row r="122" spans="1:18" ht="32.25" customHeight="1" x14ac:dyDescent="0.5">
      <c r="A122" s="749" t="s">
        <v>101</v>
      </c>
      <c r="B122" s="749"/>
      <c r="C122" s="749"/>
      <c r="D122" s="151" t="s">
        <v>183</v>
      </c>
      <c r="E122" s="95">
        <f>'11'!F122</f>
        <v>95036</v>
      </c>
      <c r="F122" s="237">
        <v>95389</v>
      </c>
      <c r="G122" s="112">
        <f t="shared" si="9"/>
        <v>353</v>
      </c>
      <c r="H122" s="99">
        <f>G122+'11'!H122</f>
        <v>3767</v>
      </c>
      <c r="I122" s="165"/>
      <c r="J122" s="348">
        <f>H122/DAY(B2)</f>
        <v>313.91666666666669</v>
      </c>
    </row>
    <row r="123" spans="1:18" ht="32.25" customHeight="1" x14ac:dyDescent="0.5">
      <c r="A123" s="749" t="s">
        <v>102</v>
      </c>
      <c r="B123" s="749"/>
      <c r="C123" s="749"/>
      <c r="D123" s="151" t="s">
        <v>183</v>
      </c>
      <c r="E123" s="95">
        <f>'11'!F123</f>
        <v>119195</v>
      </c>
      <c r="F123" s="237">
        <v>119540</v>
      </c>
      <c r="G123" s="112">
        <f t="shared" si="9"/>
        <v>345</v>
      </c>
      <c r="H123" s="99">
        <f>G123+'11'!H123</f>
        <v>3997</v>
      </c>
      <c r="I123" s="165"/>
      <c r="J123" s="348">
        <f>H123/DAY(B2)</f>
        <v>333.08333333333331</v>
      </c>
    </row>
    <row r="124" spans="1:18" ht="32.25" customHeight="1" x14ac:dyDescent="0.5">
      <c r="A124" s="753"/>
      <c r="B124" s="754"/>
      <c r="C124" s="755"/>
      <c r="D124" s="165"/>
      <c r="E124" s="165"/>
      <c r="F124" s="165"/>
      <c r="G124" s="347"/>
      <c r="H124" s="156"/>
      <c r="I124" s="165"/>
      <c r="J124" s="347"/>
    </row>
    <row r="125" spans="1:18" ht="32.25" customHeight="1" x14ac:dyDescent="0.5">
      <c r="A125" s="737"/>
      <c r="B125" s="737"/>
      <c r="C125" s="246"/>
      <c r="D125" s="317"/>
      <c r="E125" s="318"/>
      <c r="F125" s="318"/>
      <c r="G125" s="319"/>
      <c r="H125" s="156"/>
      <c r="I125" s="165"/>
      <c r="J125" s="347"/>
    </row>
    <row r="126" spans="1:18" ht="32.25" customHeight="1" x14ac:dyDescent="0.5">
      <c r="A126" s="756" t="s">
        <v>317</v>
      </c>
      <c r="B126" s="756"/>
      <c r="C126" s="756"/>
      <c r="D126" s="756"/>
      <c r="E126" s="756"/>
      <c r="F126" s="756"/>
      <c r="G126" s="756"/>
      <c r="H126" s="756"/>
      <c r="I126" s="756"/>
      <c r="J126" s="756"/>
    </row>
    <row r="127" spans="1:18" ht="32.25" customHeight="1" x14ac:dyDescent="0.5">
      <c r="A127" s="737"/>
      <c r="B127" s="737"/>
      <c r="C127" s="246"/>
      <c r="D127" s="317"/>
      <c r="E127" s="318"/>
      <c r="F127" s="318"/>
      <c r="G127" s="319"/>
      <c r="H127" s="99">
        <f>G127+'11'!H127</f>
        <v>0</v>
      </c>
      <c r="I127" s="165"/>
      <c r="J127" s="348">
        <f>H127/DAY(B2)</f>
        <v>0</v>
      </c>
    </row>
    <row r="128" spans="1:18" ht="32.25" customHeight="1" x14ac:dyDescent="0.5">
      <c r="A128" s="750" t="s">
        <v>318</v>
      </c>
      <c r="B128" s="751"/>
      <c r="C128" s="752"/>
      <c r="D128" s="151" t="s">
        <v>183</v>
      </c>
      <c r="E128" s="95">
        <f>'11'!F128</f>
        <v>11190</v>
      </c>
      <c r="F128" s="165">
        <v>11585</v>
      </c>
      <c r="G128" s="112">
        <f t="shared" ref="G128:G134" si="10">F128-E128</f>
        <v>395</v>
      </c>
      <c r="H128" s="99">
        <f>G128+'11'!H128</f>
        <v>3974</v>
      </c>
      <c r="I128" s="165"/>
      <c r="J128" s="348">
        <f>H128/DAY(B2)</f>
        <v>331.16666666666669</v>
      </c>
    </row>
    <row r="129" spans="1:15" ht="32.25" customHeight="1" x14ac:dyDescent="0.5">
      <c r="A129" s="349" t="s">
        <v>319</v>
      </c>
      <c r="B129" s="350"/>
      <c r="C129" s="351"/>
      <c r="D129" s="151" t="s">
        <v>183</v>
      </c>
      <c r="E129" s="95">
        <f>'11'!F129</f>
        <v>2374</v>
      </c>
      <c r="F129" s="165">
        <v>2567</v>
      </c>
      <c r="G129" s="112">
        <f t="shared" si="10"/>
        <v>193</v>
      </c>
      <c r="H129" s="99">
        <f>G129+'11'!H129</f>
        <v>2453</v>
      </c>
      <c r="I129" s="165"/>
      <c r="J129" s="348">
        <f>H129/DAY(B2)</f>
        <v>204.41666666666666</v>
      </c>
      <c r="N129" s="240"/>
      <c r="O129" s="241"/>
    </row>
    <row r="130" spans="1:15" ht="32.25" customHeight="1" x14ac:dyDescent="0.5">
      <c r="A130" s="349" t="s">
        <v>320</v>
      </c>
      <c r="B130" s="350"/>
      <c r="C130" s="351"/>
      <c r="D130" s="151" t="s">
        <v>183</v>
      </c>
      <c r="E130" s="95">
        <f>'11'!F130</f>
        <v>2784</v>
      </c>
      <c r="F130" s="165">
        <v>3030</v>
      </c>
      <c r="G130" s="112">
        <f t="shared" si="10"/>
        <v>246</v>
      </c>
      <c r="H130" s="99">
        <f>G130+'11'!H130</f>
        <v>2850</v>
      </c>
      <c r="I130" s="165"/>
      <c r="J130" s="348">
        <f>H130/DAY(B2)</f>
        <v>237.5</v>
      </c>
      <c r="N130" s="240"/>
      <c r="O130" s="241"/>
    </row>
    <row r="131" spans="1:15" ht="32.25" customHeight="1" x14ac:dyDescent="0.5">
      <c r="A131" s="750" t="s">
        <v>321</v>
      </c>
      <c r="B131" s="751"/>
      <c r="C131" s="752"/>
      <c r="D131" s="151" t="s">
        <v>183</v>
      </c>
      <c r="E131" s="95">
        <f>'11'!F131</f>
        <v>1517</v>
      </c>
      <c r="F131" s="165">
        <v>1658</v>
      </c>
      <c r="G131" s="112">
        <f t="shared" si="10"/>
        <v>141</v>
      </c>
      <c r="H131" s="99">
        <f>G131+'11'!H131</f>
        <v>1548</v>
      </c>
      <c r="I131" s="165"/>
      <c r="J131" s="348">
        <f>H131/DAY(B2)</f>
        <v>129</v>
      </c>
      <c r="N131" s="240"/>
      <c r="O131" s="241"/>
    </row>
    <row r="132" spans="1:15" ht="32.25" customHeight="1" x14ac:dyDescent="0.5">
      <c r="A132" s="750" t="s">
        <v>322</v>
      </c>
      <c r="B132" s="751"/>
      <c r="C132" s="752"/>
      <c r="D132" s="151" t="s">
        <v>183</v>
      </c>
      <c r="E132" s="95">
        <f>'11'!F132</f>
        <v>4619</v>
      </c>
      <c r="F132" s="165">
        <v>5021</v>
      </c>
      <c r="G132" s="112">
        <f t="shared" si="10"/>
        <v>402</v>
      </c>
      <c r="H132" s="99">
        <f>G132+'11'!H132</f>
        <v>4700</v>
      </c>
      <c r="I132" s="165"/>
      <c r="J132" s="348">
        <f>H132/DAY(B2)</f>
        <v>391.66666666666669</v>
      </c>
    </row>
    <row r="133" spans="1:15" ht="32.25" customHeight="1" x14ac:dyDescent="0.5">
      <c r="A133" s="750" t="s">
        <v>323</v>
      </c>
      <c r="B133" s="751"/>
      <c r="C133" s="752"/>
      <c r="D133" s="151" t="s">
        <v>183</v>
      </c>
      <c r="E133" s="95">
        <f>'11'!F133</f>
        <v>25082</v>
      </c>
      <c r="F133" s="165">
        <v>25874</v>
      </c>
      <c r="G133" s="112">
        <f t="shared" si="10"/>
        <v>792</v>
      </c>
      <c r="H133" s="99">
        <f>G133+'11'!H133</f>
        <v>9483</v>
      </c>
      <c r="I133" s="165"/>
      <c r="J133" s="348">
        <f>H133/DAY(B2)</f>
        <v>790.25</v>
      </c>
    </row>
    <row r="134" spans="1:15" ht="32.25" customHeight="1" x14ac:dyDescent="0.5">
      <c r="A134" s="750" t="s">
        <v>340</v>
      </c>
      <c r="B134" s="751"/>
      <c r="C134" s="752"/>
      <c r="D134" s="151" t="s">
        <v>183</v>
      </c>
      <c r="E134" s="95">
        <f>'11'!F134</f>
        <v>619480</v>
      </c>
      <c r="F134" s="165">
        <v>620092</v>
      </c>
      <c r="G134" s="112">
        <f t="shared" si="10"/>
        <v>612</v>
      </c>
      <c r="H134" s="99">
        <f>G134+'11'!H134</f>
        <v>5677</v>
      </c>
      <c r="I134" s="165"/>
      <c r="J134" s="348">
        <f>H134/DAY(B2)</f>
        <v>473.08333333333331</v>
      </c>
    </row>
    <row r="135" spans="1:15" ht="32.25" customHeight="1" x14ac:dyDescent="0.5">
      <c r="A135" s="753"/>
      <c r="B135" s="754"/>
      <c r="C135" s="755"/>
      <c r="D135" s="151"/>
      <c r="E135" s="95"/>
      <c r="F135" s="165"/>
      <c r="G135" s="112"/>
      <c r="H135" s="99">
        <f>G135+'10'!H135</f>
        <v>5534.2300000000005</v>
      </c>
      <c r="I135" s="165"/>
      <c r="J135" s="348"/>
    </row>
    <row r="136" spans="1:15" ht="32.25" customHeight="1" x14ac:dyDescent="0.55000000000000004">
      <c r="A136" s="736" t="s">
        <v>325</v>
      </c>
      <c r="B136" s="736"/>
      <c r="C136" s="736"/>
      <c r="D136" s="736"/>
      <c r="E136" s="736"/>
      <c r="F136" s="736"/>
      <c r="G136" s="736"/>
      <c r="H136" s="736"/>
      <c r="I136" s="736"/>
      <c r="J136" s="736"/>
    </row>
    <row r="137" spans="1:15" ht="32.2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32.25" customHeight="1" x14ac:dyDescent="0.5">
      <c r="A138" s="749" t="s">
        <v>185</v>
      </c>
      <c r="B138" s="749"/>
      <c r="C138" s="749"/>
      <c r="D138" s="151" t="s">
        <v>183</v>
      </c>
      <c r="E138" s="95">
        <f>'11'!F138</f>
        <v>858293</v>
      </c>
      <c r="F138" s="147">
        <v>858366</v>
      </c>
      <c r="G138" s="112">
        <f t="shared" ref="G138:G152" si="11">F138-E138</f>
        <v>73</v>
      </c>
      <c r="H138" s="99">
        <f>G138+'11'!H138</f>
        <v>1013</v>
      </c>
      <c r="I138" s="118"/>
      <c r="J138" s="348">
        <f>H138/DAY(B2)</f>
        <v>84.416666666666671</v>
      </c>
    </row>
    <row r="139" spans="1:15" ht="32.25" customHeight="1" x14ac:dyDescent="0.5">
      <c r="A139" s="749" t="s">
        <v>186</v>
      </c>
      <c r="B139" s="749"/>
      <c r="C139" s="749"/>
      <c r="D139" s="151" t="s">
        <v>183</v>
      </c>
      <c r="E139" s="95">
        <f>'11'!F139</f>
        <v>886069</v>
      </c>
      <c r="F139" s="148">
        <v>886069</v>
      </c>
      <c r="G139" s="112">
        <f t="shared" si="11"/>
        <v>0</v>
      </c>
      <c r="H139" s="99">
        <f>G139+'11'!H139</f>
        <v>7</v>
      </c>
      <c r="I139" s="118"/>
      <c r="J139" s="348">
        <f>H139/DAY(B2)</f>
        <v>0.58333333333333337</v>
      </c>
    </row>
    <row r="140" spans="1:15" ht="32.25" customHeight="1" x14ac:dyDescent="0.5">
      <c r="A140" s="749" t="s">
        <v>187</v>
      </c>
      <c r="B140" s="749"/>
      <c r="C140" s="749"/>
      <c r="D140" s="151" t="s">
        <v>183</v>
      </c>
      <c r="E140" s="95">
        <f>'11'!F140</f>
        <v>88797</v>
      </c>
      <c r="F140" s="149">
        <v>88797</v>
      </c>
      <c r="G140" s="112">
        <f t="shared" si="11"/>
        <v>0</v>
      </c>
      <c r="H140" s="99">
        <f>G140+'11'!H140</f>
        <v>-1</v>
      </c>
      <c r="I140" s="118"/>
      <c r="J140" s="348">
        <f>H140/DAY(B2)</f>
        <v>-8.3333333333333329E-2</v>
      </c>
    </row>
    <row r="141" spans="1:15" ht="32.25" customHeight="1" x14ac:dyDescent="0.5">
      <c r="A141" s="728" t="s">
        <v>188</v>
      </c>
      <c r="B141" s="728"/>
      <c r="C141" s="728"/>
      <c r="D141" s="151" t="s">
        <v>183</v>
      </c>
      <c r="E141" s="95">
        <f>'11'!F141</f>
        <v>33555</v>
      </c>
      <c r="F141" s="149">
        <v>33727</v>
      </c>
      <c r="G141" s="112">
        <f t="shared" si="11"/>
        <v>172</v>
      </c>
      <c r="H141" s="99">
        <f>G141+'11'!H141</f>
        <v>2191</v>
      </c>
      <c r="I141" s="118"/>
      <c r="J141" s="348">
        <f>H141/DAY(B2)</f>
        <v>182.58333333333334</v>
      </c>
    </row>
    <row r="142" spans="1:15" ht="32.25" customHeight="1" x14ac:dyDescent="0.5">
      <c r="A142" s="728" t="s">
        <v>189</v>
      </c>
      <c r="B142" s="728"/>
      <c r="C142" s="728"/>
      <c r="D142" s="151" t="s">
        <v>183</v>
      </c>
      <c r="E142" s="95">
        <f>'11'!F142</f>
        <v>16098</v>
      </c>
      <c r="F142" s="148">
        <v>16168</v>
      </c>
      <c r="G142" s="112">
        <f t="shared" si="11"/>
        <v>70</v>
      </c>
      <c r="H142" s="99">
        <f>G142+'11'!H142</f>
        <v>846</v>
      </c>
      <c r="I142" s="140"/>
      <c r="J142" s="348">
        <f>H142/DAY(B2)</f>
        <v>70.5</v>
      </c>
    </row>
    <row r="143" spans="1:15" ht="32.25" customHeight="1" x14ac:dyDescent="0.5">
      <c r="A143" s="749" t="s">
        <v>91</v>
      </c>
      <c r="B143" s="749"/>
      <c r="C143" s="749"/>
      <c r="D143" s="151" t="s">
        <v>183</v>
      </c>
      <c r="E143" s="95">
        <f>'11'!F143</f>
        <v>828</v>
      </c>
      <c r="F143" s="149">
        <v>859</v>
      </c>
      <c r="G143" s="112">
        <f t="shared" si="11"/>
        <v>31</v>
      </c>
      <c r="H143" s="99">
        <f>G143+'11'!H143</f>
        <v>330</v>
      </c>
      <c r="I143" s="140"/>
      <c r="J143" s="348">
        <f>H143/DAY(B2)</f>
        <v>27.5</v>
      </c>
    </row>
    <row r="144" spans="1:15" ht="32.25" customHeight="1" x14ac:dyDescent="0.5">
      <c r="A144" s="728" t="s">
        <v>90</v>
      </c>
      <c r="B144" s="728"/>
      <c r="C144" s="728"/>
      <c r="D144" s="151" t="s">
        <v>183</v>
      </c>
      <c r="E144" s="95">
        <f>'11'!F144</f>
        <v>851870</v>
      </c>
      <c r="F144" s="149">
        <v>852044</v>
      </c>
      <c r="G144" s="112">
        <f t="shared" si="11"/>
        <v>174</v>
      </c>
      <c r="H144" s="99">
        <f>G144+'11'!H144</f>
        <v>2007</v>
      </c>
      <c r="I144" s="140"/>
      <c r="J144" s="348">
        <f>H144/DAY(B2)</f>
        <v>167.25</v>
      </c>
    </row>
    <row r="145" spans="1:10" ht="32.25" customHeight="1" x14ac:dyDescent="0.5">
      <c r="A145" s="749" t="s">
        <v>190</v>
      </c>
      <c r="B145" s="749"/>
      <c r="C145" s="749"/>
      <c r="D145" s="152" t="s">
        <v>183</v>
      </c>
      <c r="E145" s="95">
        <f>'11'!F145</f>
        <v>1434</v>
      </c>
      <c r="F145" s="149">
        <v>1474</v>
      </c>
      <c r="G145" s="112">
        <f t="shared" si="11"/>
        <v>40</v>
      </c>
      <c r="H145" s="99">
        <f>G145+'11'!H145</f>
        <v>520</v>
      </c>
      <c r="I145" s="140"/>
      <c r="J145" s="348">
        <f>H145/DAY(B2)</f>
        <v>43.333333333333336</v>
      </c>
    </row>
    <row r="146" spans="1:10" ht="32.25" customHeight="1" x14ac:dyDescent="0.5">
      <c r="A146" s="784" t="s">
        <v>191</v>
      </c>
      <c r="B146" s="769"/>
      <c r="C146" s="770"/>
      <c r="D146" s="152" t="s">
        <v>183</v>
      </c>
      <c r="E146" s="95">
        <f>'11'!F146</f>
        <v>690834</v>
      </c>
      <c r="F146" s="148">
        <v>691239</v>
      </c>
      <c r="G146" s="112">
        <f t="shared" si="11"/>
        <v>405</v>
      </c>
      <c r="H146" s="99">
        <f>G146+'11'!H146</f>
        <v>4047</v>
      </c>
      <c r="I146" s="140"/>
      <c r="J146" s="348">
        <f>H146/DAY(B2)</f>
        <v>337.25</v>
      </c>
    </row>
    <row r="147" spans="1:10" ht="32.25" customHeight="1" x14ac:dyDescent="0.5">
      <c r="A147" s="728" t="s">
        <v>192</v>
      </c>
      <c r="B147" s="728"/>
      <c r="C147" s="728"/>
      <c r="D147" s="152" t="s">
        <v>183</v>
      </c>
      <c r="E147" s="95">
        <f>'11'!F147</f>
        <v>580618</v>
      </c>
      <c r="F147" s="148">
        <v>581024</v>
      </c>
      <c r="G147" s="112">
        <f t="shared" si="11"/>
        <v>406</v>
      </c>
      <c r="H147" s="99">
        <f>G147+'11'!H147</f>
        <v>4952</v>
      </c>
      <c r="I147" s="140"/>
      <c r="J147" s="348">
        <f>H147/DAY(B2)</f>
        <v>412.66666666666669</v>
      </c>
    </row>
    <row r="148" spans="1:10" ht="32.25" customHeight="1" x14ac:dyDescent="0.5">
      <c r="A148" s="729" t="s">
        <v>193</v>
      </c>
      <c r="B148" s="730"/>
      <c r="C148" s="731"/>
      <c r="D148" s="123" t="s">
        <v>130</v>
      </c>
      <c r="E148" s="95">
        <f>'11'!F148</f>
        <v>660655</v>
      </c>
      <c r="F148" s="150">
        <v>660823</v>
      </c>
      <c r="G148" s="112">
        <f t="shared" si="11"/>
        <v>168</v>
      </c>
      <c r="H148" s="99">
        <f>G148+'11'!H148</f>
        <v>2223</v>
      </c>
      <c r="I148" s="124"/>
      <c r="J148" s="348">
        <f>H148/DAY(B2)</f>
        <v>185.25</v>
      </c>
    </row>
    <row r="149" spans="1:10" ht="32.25" customHeight="1" x14ac:dyDescent="0.5">
      <c r="A149" s="729" t="s">
        <v>336</v>
      </c>
      <c r="B149" s="730"/>
      <c r="C149" s="731"/>
      <c r="D149" s="227" t="s">
        <v>130</v>
      </c>
      <c r="E149" s="95">
        <f>'11'!F149</f>
        <v>78096</v>
      </c>
      <c r="F149" s="146">
        <v>78334</v>
      </c>
      <c r="G149" s="112">
        <f t="shared" si="11"/>
        <v>238</v>
      </c>
      <c r="H149" s="99">
        <f>G149+'11'!H149</f>
        <v>2912</v>
      </c>
      <c r="I149" s="119"/>
      <c r="J149" s="348">
        <f>H149/DAY(B2)</f>
        <v>242.66666666666666</v>
      </c>
    </row>
    <row r="150" spans="1:10" ht="32.25" customHeight="1" x14ac:dyDescent="0.5">
      <c r="A150" s="729" t="s">
        <v>337</v>
      </c>
      <c r="B150" s="730"/>
      <c r="C150" s="731"/>
      <c r="D150" s="117" t="s">
        <v>130</v>
      </c>
      <c r="E150" s="95">
        <f>'11'!F150</f>
        <v>7167232</v>
      </c>
      <c r="F150" s="233">
        <v>7167232</v>
      </c>
      <c r="G150" s="112">
        <f t="shared" si="11"/>
        <v>0</v>
      </c>
      <c r="H150" s="99">
        <f>G150+'11'!H150</f>
        <v>0</v>
      </c>
      <c r="I150" s="119"/>
      <c r="J150" s="348">
        <f>H150/DAY(B2)</f>
        <v>0</v>
      </c>
    </row>
    <row r="151" spans="1:10" ht="32.25" customHeight="1" x14ac:dyDescent="0.5">
      <c r="A151" s="729" t="s">
        <v>338</v>
      </c>
      <c r="B151" s="730"/>
      <c r="C151" s="731"/>
      <c r="D151" s="117" t="s">
        <v>130</v>
      </c>
      <c r="E151" s="95">
        <f>'11'!F151</f>
        <v>56931</v>
      </c>
      <c r="F151" s="233">
        <v>57295</v>
      </c>
      <c r="G151" s="112">
        <f t="shared" si="11"/>
        <v>364</v>
      </c>
      <c r="H151" s="99">
        <f>G151+'11'!H151</f>
        <v>3916</v>
      </c>
      <c r="I151" s="119"/>
      <c r="J151" s="348">
        <f>H151/DAY(B2)</f>
        <v>326.33333333333331</v>
      </c>
    </row>
    <row r="152" spans="1:10" ht="32.25" customHeight="1" x14ac:dyDescent="0.5">
      <c r="A152" s="729" t="s">
        <v>339</v>
      </c>
      <c r="B152" s="730"/>
      <c r="C152" s="731"/>
      <c r="D152" s="117" t="s">
        <v>130</v>
      </c>
      <c r="E152" s="95">
        <f>'11'!F152</f>
        <v>0</v>
      </c>
      <c r="F152" s="233">
        <v>0</v>
      </c>
      <c r="G152" s="112">
        <f t="shared" si="11"/>
        <v>0</v>
      </c>
      <c r="H152" s="99">
        <f>G152+'11'!H152</f>
        <v>0</v>
      </c>
      <c r="I152" s="119"/>
      <c r="J152" s="348">
        <f>H152/DAY(B2)</f>
        <v>0</v>
      </c>
    </row>
    <row r="153" spans="1:10" ht="32.25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2.25" customHeight="1" x14ac:dyDescent="0.55000000000000004">
      <c r="A154" s="736" t="s">
        <v>344</v>
      </c>
      <c r="B154" s="736"/>
      <c r="C154" s="736"/>
      <c r="D154" s="736"/>
      <c r="E154" s="736"/>
      <c r="F154" s="736"/>
      <c r="G154" s="736"/>
      <c r="H154" s="736"/>
      <c r="I154" s="736"/>
      <c r="J154" s="736"/>
    </row>
    <row r="155" spans="1:10" ht="32.25" customHeight="1" x14ac:dyDescent="0.55000000000000004">
      <c r="A155" s="728" t="s">
        <v>345</v>
      </c>
      <c r="B155" s="728"/>
      <c r="C155" s="728"/>
      <c r="D155" s="117" t="s">
        <v>130</v>
      </c>
      <c r="E155" s="95">
        <f>'11'!F155</f>
        <v>77103</v>
      </c>
      <c r="F155" s="397">
        <v>77111</v>
      </c>
      <c r="G155" s="112">
        <f t="shared" ref="G155:G156" si="12">F155-E155</f>
        <v>8</v>
      </c>
      <c r="H155" s="99">
        <f>G155+'11'!H155</f>
        <v>83.100000000005821</v>
      </c>
      <c r="I155" s="385"/>
      <c r="J155" s="348">
        <f>H155/DAY(B2)</f>
        <v>6.9250000000004848</v>
      </c>
    </row>
    <row r="156" spans="1:10" ht="32.25" customHeight="1" x14ac:dyDescent="0.5">
      <c r="A156" s="728" t="s">
        <v>347</v>
      </c>
      <c r="B156" s="728"/>
      <c r="C156" s="728"/>
      <c r="D156" s="117" t="s">
        <v>130</v>
      </c>
      <c r="E156" s="95">
        <f>'11'!F156</f>
        <v>0</v>
      </c>
      <c r="F156" s="165">
        <v>0</v>
      </c>
      <c r="G156" s="112">
        <f t="shared" si="12"/>
        <v>0</v>
      </c>
      <c r="H156" s="99">
        <f>G156+'11'!H156</f>
        <v>0</v>
      </c>
      <c r="I156" s="165"/>
      <c r="J156" s="348">
        <f>H156/DAY(B2)</f>
        <v>0</v>
      </c>
    </row>
    <row r="157" spans="1:10" ht="32.25" customHeight="1" x14ac:dyDescent="0.55000000000000004">
      <c r="A157" s="736" t="s">
        <v>326</v>
      </c>
      <c r="B157" s="736"/>
      <c r="C157" s="736"/>
      <c r="D157" s="736"/>
      <c r="E157" s="736"/>
      <c r="F157" s="736"/>
      <c r="G157" s="736"/>
      <c r="H157" s="736"/>
      <c r="I157" s="736"/>
      <c r="J157" s="736"/>
    </row>
    <row r="158" spans="1:10" ht="32.25" customHeight="1" x14ac:dyDescent="0.5">
      <c r="A158" s="242" t="s">
        <v>92</v>
      </c>
      <c r="B158" s="243"/>
      <c r="C158" s="243"/>
      <c r="D158" s="244" t="s">
        <v>180</v>
      </c>
      <c r="E158" s="95">
        <f>'11'!F158</f>
        <v>466736</v>
      </c>
      <c r="F158" s="235">
        <v>466881</v>
      </c>
      <c r="G158" s="238">
        <f t="shared" ref="G158:G162" si="13">F158-E158</f>
        <v>145</v>
      </c>
      <c r="H158" s="99">
        <f>G158+'11'!H158</f>
        <v>1620</v>
      </c>
      <c r="I158" s="236"/>
      <c r="J158" s="239">
        <f>H158/DAY(B2)</f>
        <v>135</v>
      </c>
    </row>
    <row r="159" spans="1:10" ht="32.25" customHeight="1" x14ac:dyDescent="0.5">
      <c r="A159" s="242" t="s">
        <v>93</v>
      </c>
      <c r="B159" s="243"/>
      <c r="C159" s="243"/>
      <c r="D159" s="244" t="s">
        <v>180</v>
      </c>
      <c r="E159" s="95">
        <f>'11'!F159</f>
        <v>85171</v>
      </c>
      <c r="F159" s="235">
        <v>85203</v>
      </c>
      <c r="G159" s="238">
        <f t="shared" si="13"/>
        <v>32</v>
      </c>
      <c r="H159" s="99">
        <f>G159+'11'!H159</f>
        <v>393</v>
      </c>
      <c r="I159" s="236"/>
      <c r="J159" s="239">
        <f>H159/DAY(B2)</f>
        <v>32.75</v>
      </c>
    </row>
    <row r="160" spans="1:10" ht="32.25" customHeight="1" x14ac:dyDescent="0.5">
      <c r="A160" s="242" t="s">
        <v>197</v>
      </c>
      <c r="B160" s="243"/>
      <c r="C160" s="243"/>
      <c r="D160" s="244" t="s">
        <v>180</v>
      </c>
      <c r="E160" s="95">
        <f>'11'!F160</f>
        <v>71698</v>
      </c>
      <c r="F160" s="235">
        <v>71786</v>
      </c>
      <c r="G160" s="238">
        <f t="shared" si="13"/>
        <v>88</v>
      </c>
      <c r="H160" s="99">
        <f>G160+'11'!H160</f>
        <v>815</v>
      </c>
      <c r="I160" s="236"/>
      <c r="J160" s="239">
        <f>H160/DAY(B2)</f>
        <v>67.916666666666671</v>
      </c>
    </row>
    <row r="161" spans="1:10" ht="32.25" customHeight="1" x14ac:dyDescent="0.5">
      <c r="A161" s="242" t="s">
        <v>197</v>
      </c>
      <c r="B161" s="243"/>
      <c r="C161" s="243"/>
      <c r="D161" s="244" t="s">
        <v>180</v>
      </c>
      <c r="E161" s="95">
        <f>'11'!F161</f>
        <v>3865</v>
      </c>
      <c r="F161" s="235">
        <v>3872</v>
      </c>
      <c r="G161" s="238">
        <f t="shared" si="13"/>
        <v>7</v>
      </c>
      <c r="H161" s="99">
        <f>G161+'11'!H161</f>
        <v>75</v>
      </c>
      <c r="I161" s="236"/>
      <c r="J161" s="239">
        <f>H161/DAY(B2)</f>
        <v>6.25</v>
      </c>
    </row>
    <row r="162" spans="1:10" ht="32.25" customHeight="1" x14ac:dyDescent="0.5">
      <c r="A162" s="242" t="s">
        <v>309</v>
      </c>
      <c r="B162" s="243"/>
      <c r="C162" s="243"/>
      <c r="D162" s="244" t="s">
        <v>180</v>
      </c>
      <c r="E162" s="95">
        <f>'11'!F162</f>
        <v>29050</v>
      </c>
      <c r="F162" s="235">
        <v>29058</v>
      </c>
      <c r="G162" s="238">
        <f t="shared" si="13"/>
        <v>8</v>
      </c>
      <c r="H162" s="99">
        <f>G162+'11'!H162</f>
        <v>86</v>
      </c>
      <c r="I162" s="236"/>
      <c r="J162" s="239">
        <f>H162/DAY(B2)</f>
        <v>7.166666666666667</v>
      </c>
    </row>
    <row r="163" spans="1:10" ht="32.25" customHeight="1" x14ac:dyDescent="0.5">
      <c r="A163" s="737"/>
      <c r="B163" s="737"/>
      <c r="C163" s="247"/>
      <c r="D163" s="244" t="s">
        <v>180</v>
      </c>
      <c r="E163" s="95">
        <f>'11'!F163</f>
        <v>0</v>
      </c>
      <c r="F163" s="165"/>
      <c r="G163" s="165"/>
      <c r="H163" s="99">
        <f>G163+'11'!H163</f>
        <v>0</v>
      </c>
      <c r="I163" s="165"/>
      <c r="J163" s="239">
        <f>H163/DAY(B2)</f>
        <v>0</v>
      </c>
    </row>
    <row r="164" spans="1:10" ht="32.25" customHeight="1" x14ac:dyDescent="0.5">
      <c r="A164" s="737"/>
      <c r="B164" s="737"/>
      <c r="C164" s="247"/>
      <c r="D164" s="244" t="s">
        <v>180</v>
      </c>
      <c r="E164" s="95">
        <f>'11'!F164</f>
        <v>0</v>
      </c>
      <c r="F164" s="165"/>
      <c r="G164" s="165"/>
      <c r="H164" s="99">
        <f>G164+'11'!H164</f>
        <v>0</v>
      </c>
      <c r="I164" s="165"/>
      <c r="J164" s="239">
        <f>H164/DAY(B2)</f>
        <v>0</v>
      </c>
    </row>
    <row r="165" spans="1:10" ht="32.25" customHeight="1" x14ac:dyDescent="0.5">
      <c r="A165" s="737"/>
      <c r="B165" s="737"/>
      <c r="C165" s="247"/>
      <c r="D165" s="244" t="s">
        <v>180</v>
      </c>
      <c r="E165" s="95">
        <f>'11'!F165</f>
        <v>0</v>
      </c>
      <c r="F165" s="165"/>
      <c r="G165" s="165"/>
      <c r="H165" s="99">
        <f>G165+'11'!H165</f>
        <v>0</v>
      </c>
      <c r="I165" s="165"/>
      <c r="J165" s="239">
        <f>H165/DAY(B2)</f>
        <v>0</v>
      </c>
    </row>
    <row r="168" spans="1:10" ht="32.25" customHeight="1" x14ac:dyDescent="0.35">
      <c r="A168" s="738" t="s">
        <v>330</v>
      </c>
      <c r="B168" s="739"/>
      <c r="C168" s="739"/>
      <c r="D168" s="739"/>
      <c r="E168" s="739"/>
      <c r="F168" s="739"/>
      <c r="G168" s="739"/>
      <c r="H168" s="739"/>
      <c r="I168" s="739"/>
      <c r="J168" s="740"/>
    </row>
    <row r="169" spans="1:10" ht="32.25" customHeight="1" x14ac:dyDescent="0.5">
      <c r="A169" s="747"/>
      <c r="B169" s="748"/>
      <c r="C169" s="352"/>
      <c r="D169" s="228"/>
      <c r="E169" s="155"/>
      <c r="F169" s="155"/>
      <c r="G169" s="155"/>
      <c r="H169" s="156"/>
      <c r="I169" s="155"/>
      <c r="J169" s="178"/>
    </row>
    <row r="170" spans="1:10" ht="32.25" customHeight="1" x14ac:dyDescent="0.5">
      <c r="A170" s="743" t="s">
        <v>209</v>
      </c>
      <c r="B170" s="744"/>
      <c r="C170" s="353"/>
      <c r="D170" s="228" t="s">
        <v>142</v>
      </c>
      <c r="E170" s="95">
        <f>'11'!F170</f>
        <v>7898</v>
      </c>
      <c r="F170" s="155">
        <v>7898</v>
      </c>
      <c r="G170" s="155">
        <f>F170-E170</f>
        <v>0</v>
      </c>
      <c r="H170" s="99">
        <f>G170+'11'!H170</f>
        <v>3</v>
      </c>
      <c r="I170" s="155"/>
      <c r="J170" s="178">
        <f>H170/DAY(B2)</f>
        <v>0.25</v>
      </c>
    </row>
    <row r="171" spans="1:10" ht="32.25" customHeight="1" x14ac:dyDescent="0.5">
      <c r="A171" s="743" t="s">
        <v>75</v>
      </c>
      <c r="B171" s="744"/>
      <c r="C171" s="353"/>
      <c r="D171" s="228" t="s">
        <v>142</v>
      </c>
      <c r="E171" s="95">
        <v>37124</v>
      </c>
      <c r="F171" s="157">
        <v>37136</v>
      </c>
      <c r="G171" s="155">
        <f t="shared" ref="G171:G172" si="14">F171-E171</f>
        <v>12</v>
      </c>
      <c r="H171" s="99">
        <f>G171+'11'!H171</f>
        <v>496</v>
      </c>
      <c r="I171" s="155"/>
      <c r="J171" s="178">
        <f>H171/DAY(B2)</f>
        <v>41.333333333333336</v>
      </c>
    </row>
    <row r="172" spans="1:10" ht="32.25" customHeight="1" x14ac:dyDescent="0.5">
      <c r="A172" s="743" t="s">
        <v>76</v>
      </c>
      <c r="B172" s="783"/>
      <c r="C172" s="744"/>
      <c r="D172" s="228" t="s">
        <v>142</v>
      </c>
      <c r="E172" s="95">
        <f>'11'!F172</f>
        <v>20583</v>
      </c>
      <c r="F172" s="155">
        <v>20595</v>
      </c>
      <c r="G172" s="155">
        <f t="shared" si="14"/>
        <v>12</v>
      </c>
      <c r="H172" s="99">
        <f>G172+'11'!H172</f>
        <v>126</v>
      </c>
      <c r="I172" s="155"/>
      <c r="J172" s="178">
        <f>H172/DAY(B2)</f>
        <v>10.5</v>
      </c>
    </row>
    <row r="173" spans="1:10" ht="32.25" customHeight="1" x14ac:dyDescent="0.5">
      <c r="A173" s="732" t="s">
        <v>196</v>
      </c>
      <c r="B173" s="733"/>
      <c r="C173" s="611"/>
      <c r="D173" s="228" t="s">
        <v>142</v>
      </c>
      <c r="E173" s="95"/>
      <c r="F173" s="155"/>
      <c r="G173" s="155">
        <f>SUM(G170:G172)</f>
        <v>24</v>
      </c>
      <c r="H173" s="99">
        <f>G173+'11'!H173</f>
        <v>625</v>
      </c>
      <c r="I173" s="155"/>
      <c r="J173" s="178">
        <f>H173/DAY(B2)</f>
        <v>52.083333333333336</v>
      </c>
    </row>
    <row r="174" spans="1:10" ht="32.25" customHeight="1" x14ac:dyDescent="0.5">
      <c r="A174" s="743" t="s">
        <v>77</v>
      </c>
      <c r="B174" s="744"/>
      <c r="C174" s="353"/>
      <c r="D174" s="228" t="s">
        <v>142</v>
      </c>
      <c r="E174" s="95"/>
      <c r="F174" s="155"/>
      <c r="G174" s="155"/>
      <c r="H174" s="99">
        <f>G174+'11'!H174</f>
        <v>0</v>
      </c>
      <c r="I174" s="155"/>
      <c r="J174" s="178">
        <f>H174/DAY(B2)</f>
        <v>0</v>
      </c>
    </row>
    <row r="175" spans="1:10" ht="32.25" customHeight="1" x14ac:dyDescent="0.5">
      <c r="A175" s="743" t="s">
        <v>210</v>
      </c>
      <c r="B175" s="744"/>
      <c r="C175" s="353"/>
      <c r="D175" s="228" t="s">
        <v>142</v>
      </c>
      <c r="E175" s="95">
        <f>'11'!F175</f>
        <v>72867</v>
      </c>
      <c r="F175" s="155">
        <v>72894</v>
      </c>
      <c r="G175" s="155">
        <f>F175-E175</f>
        <v>27</v>
      </c>
      <c r="H175" s="99">
        <f>G175+'11'!H175</f>
        <v>960</v>
      </c>
      <c r="I175" s="155"/>
      <c r="J175" s="178">
        <f>H175/DAY(B2)</f>
        <v>80</v>
      </c>
    </row>
    <row r="176" spans="1:10" ht="32.25" customHeight="1" x14ac:dyDescent="0.5">
      <c r="A176" s="743" t="s">
        <v>211</v>
      </c>
      <c r="B176" s="744"/>
      <c r="C176" s="353"/>
      <c r="D176" s="228" t="s">
        <v>142</v>
      </c>
      <c r="E176" s="95">
        <f>'11'!F176</f>
        <v>33886</v>
      </c>
      <c r="F176" s="155">
        <v>33886</v>
      </c>
      <c r="G176" s="155">
        <f t="shared" ref="G176:G177" si="15">F176-E176</f>
        <v>0</v>
      </c>
      <c r="H176" s="99">
        <f>G176+'11'!H176</f>
        <v>0</v>
      </c>
      <c r="I176" s="155"/>
      <c r="J176" s="178">
        <f>H176/DAY(B2)</f>
        <v>0</v>
      </c>
    </row>
    <row r="177" spans="1:10" ht="32.25" customHeight="1" x14ac:dyDescent="0.5">
      <c r="A177" s="743" t="s">
        <v>212</v>
      </c>
      <c r="B177" s="744"/>
      <c r="C177" s="353"/>
      <c r="D177" s="228" t="s">
        <v>142</v>
      </c>
      <c r="E177" s="95">
        <f>'11'!F177</f>
        <v>4889</v>
      </c>
      <c r="F177" s="155">
        <v>4897</v>
      </c>
      <c r="G177" s="155">
        <f t="shared" si="15"/>
        <v>8</v>
      </c>
      <c r="H177" s="99">
        <f>G177+'11'!H177</f>
        <v>66</v>
      </c>
      <c r="I177" s="155"/>
      <c r="J177" s="178">
        <f>H177/DAY(B2)</f>
        <v>5.5</v>
      </c>
    </row>
    <row r="178" spans="1:10" ht="32.25" customHeight="1" x14ac:dyDescent="0.5">
      <c r="A178" s="745" t="s">
        <v>108</v>
      </c>
      <c r="B178" s="746"/>
      <c r="C178" s="611"/>
      <c r="D178" s="228" t="s">
        <v>142</v>
      </c>
      <c r="E178" s="95"/>
      <c r="F178" s="155"/>
      <c r="G178" s="155">
        <f>SUM(G175:G177)</f>
        <v>35</v>
      </c>
      <c r="H178" s="99">
        <f>G178+'11'!H178</f>
        <v>1026</v>
      </c>
      <c r="I178" s="155"/>
      <c r="J178" s="178">
        <f>H178/DAY(B2)</f>
        <v>85.5</v>
      </c>
    </row>
    <row r="179" spans="1:10" ht="32.25" customHeight="1" x14ac:dyDescent="0.5">
      <c r="A179" s="743" t="s">
        <v>213</v>
      </c>
      <c r="B179" s="744"/>
      <c r="C179" s="353"/>
      <c r="D179" s="228" t="s">
        <v>142</v>
      </c>
      <c r="E179" s="95"/>
      <c r="F179" s="155"/>
      <c r="G179" s="155"/>
      <c r="H179" s="99">
        <f>G179+'11'!H179</f>
        <v>0</v>
      </c>
      <c r="I179" s="155"/>
      <c r="J179" s="178">
        <f>H179/DAY(B2)</f>
        <v>0</v>
      </c>
    </row>
    <row r="180" spans="1:10" ht="32.25" customHeight="1" x14ac:dyDescent="0.5">
      <c r="A180" s="743" t="s">
        <v>214</v>
      </c>
      <c r="B180" s="744"/>
      <c r="C180" s="354"/>
      <c r="D180" s="228" t="s">
        <v>142</v>
      </c>
      <c r="E180" s="95">
        <f>'11'!F180</f>
        <v>13720</v>
      </c>
      <c r="F180" s="157">
        <v>13729</v>
      </c>
      <c r="G180" s="157">
        <f>F180-E180</f>
        <v>9</v>
      </c>
      <c r="H180" s="99">
        <f>G180+'11'!H180</f>
        <v>192</v>
      </c>
      <c r="I180" s="155"/>
      <c r="J180" s="178">
        <f>H180/DAY(B2)</f>
        <v>16</v>
      </c>
    </row>
    <row r="181" spans="1:10" ht="32.25" customHeight="1" x14ac:dyDescent="0.5">
      <c r="A181" s="743" t="s">
        <v>215</v>
      </c>
      <c r="B181" s="744"/>
      <c r="C181" s="354"/>
      <c r="D181" s="228" t="s">
        <v>142</v>
      </c>
      <c r="E181" s="95">
        <f>'11'!F181</f>
        <v>9548</v>
      </c>
      <c r="F181" s="157">
        <v>9556</v>
      </c>
      <c r="G181" s="157">
        <f t="shared" ref="G181:G182" si="16">F181-E181</f>
        <v>8</v>
      </c>
      <c r="H181" s="99">
        <f>G181+'11'!H181</f>
        <v>108</v>
      </c>
      <c r="I181" s="155"/>
      <c r="J181" s="178">
        <f>H181/DAY(B2)</f>
        <v>9</v>
      </c>
    </row>
    <row r="182" spans="1:10" ht="32.25" customHeight="1" x14ac:dyDescent="0.5">
      <c r="A182" s="743" t="s">
        <v>216</v>
      </c>
      <c r="B182" s="744"/>
      <c r="C182" s="354"/>
      <c r="D182" s="228" t="s">
        <v>142</v>
      </c>
      <c r="E182" s="95">
        <f>'11'!F182</f>
        <v>0</v>
      </c>
      <c r="F182" s="157"/>
      <c r="G182" s="157">
        <f t="shared" si="16"/>
        <v>0</v>
      </c>
      <c r="H182" s="99">
        <f>G182+'11'!H182</f>
        <v>0</v>
      </c>
      <c r="I182" s="155"/>
      <c r="J182" s="178">
        <f>H182/DAY(B2)</f>
        <v>0</v>
      </c>
    </row>
    <row r="183" spans="1:10" ht="32.25" customHeight="1" x14ac:dyDescent="0.5">
      <c r="A183" s="732" t="s">
        <v>196</v>
      </c>
      <c r="B183" s="733"/>
      <c r="C183" s="610"/>
      <c r="D183" s="228" t="s">
        <v>142</v>
      </c>
      <c r="E183" s="95"/>
      <c r="F183" s="157"/>
      <c r="G183" s="157">
        <f>SUM(G180:G182)</f>
        <v>17</v>
      </c>
      <c r="H183" s="99">
        <f>G183+'11'!H183</f>
        <v>300</v>
      </c>
      <c r="I183" s="157"/>
      <c r="J183" s="178">
        <f>H183/DAY(B2)</f>
        <v>25</v>
      </c>
    </row>
    <row r="184" spans="1:10" ht="32.25" customHeight="1" x14ac:dyDescent="0.5">
      <c r="A184" s="734" t="s">
        <v>217</v>
      </c>
      <c r="B184" s="735"/>
      <c r="C184" s="353"/>
      <c r="D184" s="230" t="s">
        <v>142</v>
      </c>
      <c r="E184" s="95"/>
      <c r="F184" s="159"/>
      <c r="G184" s="588">
        <f>G62+G19</f>
        <v>144</v>
      </c>
      <c r="H184" s="99">
        <f>G184+'11'!H184</f>
        <v>2007</v>
      </c>
      <c r="I184" s="158"/>
      <c r="J184" s="179">
        <f>H184/DAY(B2)</f>
        <v>167.25</v>
      </c>
    </row>
    <row r="185" spans="1:10" ht="32.25" customHeight="1" x14ac:dyDescent="0.5">
      <c r="A185" s="734" t="s">
        <v>218</v>
      </c>
      <c r="B185" s="735"/>
      <c r="C185" s="353"/>
      <c r="D185" s="230" t="s">
        <v>142</v>
      </c>
      <c r="E185" s="95"/>
      <c r="F185" s="159"/>
      <c r="G185" s="588">
        <f>G65+G66+G67+G69+G70</f>
        <v>137</v>
      </c>
      <c r="H185" s="99">
        <f>G185+'11'!H185</f>
        <v>1984</v>
      </c>
      <c r="I185" s="158"/>
      <c r="J185" s="179">
        <f>H185/DAY(B2)</f>
        <v>165.33333333333334</v>
      </c>
    </row>
    <row r="186" spans="1:10" ht="32.25" customHeight="1" x14ac:dyDescent="0.5">
      <c r="A186" s="734" t="s">
        <v>219</v>
      </c>
      <c r="B186" s="735"/>
      <c r="C186" s="353"/>
      <c r="D186" s="230" t="s">
        <v>142</v>
      </c>
      <c r="E186" s="95"/>
      <c r="F186" s="157"/>
      <c r="G186" s="585">
        <f>G178</f>
        <v>35</v>
      </c>
      <c r="H186" s="99">
        <f>G186+'11'!H186</f>
        <v>1026</v>
      </c>
      <c r="I186" s="158"/>
      <c r="J186" s="179">
        <f>H186/DAY(B2)</f>
        <v>85.5</v>
      </c>
    </row>
    <row r="187" spans="1:10" ht="32.25" customHeight="1" x14ac:dyDescent="0.5">
      <c r="A187" s="741"/>
      <c r="B187" s="742"/>
      <c r="C187" s="609"/>
      <c r="D187" s="606"/>
      <c r="E187" s="603"/>
      <c r="F187" s="606"/>
      <c r="G187" s="606"/>
      <c r="H187" s="612"/>
      <c r="I187" s="606"/>
      <c r="J187" s="608"/>
    </row>
  </sheetData>
  <mergeCells count="111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61:C61"/>
    <mergeCell ref="A62:C62"/>
    <mergeCell ref="A63:C63"/>
    <mergeCell ref="A71:C71"/>
    <mergeCell ref="A72:B72"/>
    <mergeCell ref="A178:B178"/>
    <mergeCell ref="A180:B180"/>
    <mergeCell ref="A172:C172"/>
    <mergeCell ref="A179:B179"/>
    <mergeCell ref="A174:B174"/>
    <mergeCell ref="A175:B175"/>
    <mergeCell ref="A176:B176"/>
    <mergeCell ref="A177:B177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1:B181"/>
    <mergeCell ref="A182:B182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87"/>
  <sheetViews>
    <sheetView view="pageBreakPreview" topLeftCell="A145" zoomScale="50" zoomScaleSheetLayoutView="50" workbookViewId="0">
      <selection activeCell="F173" sqref="F173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789" t="s">
        <v>115</v>
      </c>
      <c r="B1" s="790"/>
      <c r="C1" s="790"/>
      <c r="D1" s="790"/>
      <c r="E1" s="790"/>
      <c r="F1" s="790"/>
      <c r="G1" s="790"/>
      <c r="H1" s="790"/>
      <c r="I1" s="790"/>
      <c r="J1" s="791"/>
    </row>
    <row r="2" spans="1:15" s="57" customFormat="1" ht="27.75" customHeight="1" x14ac:dyDescent="0.5">
      <c r="A2" s="191" t="s">
        <v>303</v>
      </c>
      <c r="B2" s="266">
        <v>44482</v>
      </c>
      <c r="C2" s="368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68" t="s">
        <v>118</v>
      </c>
      <c r="D3" s="219">
        <v>28</v>
      </c>
      <c r="E3" s="798" t="s">
        <v>119</v>
      </c>
      <c r="F3" s="799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792" t="s">
        <v>128</v>
      </c>
      <c r="B6" s="793"/>
      <c r="C6" s="79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'12'!F7</f>
        <v>249347</v>
      </c>
      <c r="F7" s="95">
        <v>272298</v>
      </c>
      <c r="G7" s="112">
        <f>F7-E7</f>
        <v>22951</v>
      </c>
      <c r="H7" s="99">
        <f>G7+'12'!H7</f>
        <v>305055.59999999992</v>
      </c>
      <c r="I7" s="113">
        <f>'1'!I7</f>
        <v>12000</v>
      </c>
      <c r="J7" s="175">
        <f>H7/DAY(B2)</f>
        <v>23465.81538461538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'12'!F8</f>
        <v>267387</v>
      </c>
      <c r="F8" s="114">
        <v>290992</v>
      </c>
      <c r="G8" s="115">
        <f>F8-E8</f>
        <v>23605</v>
      </c>
      <c r="H8" s="99">
        <f>G8+'12'!H8</f>
        <v>309274.99999999994</v>
      </c>
      <c r="I8" s="116"/>
      <c r="J8" s="175">
        <f>H8/DAY(B2)</f>
        <v>23790.38461538461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'12'!F9</f>
        <v>971824</v>
      </c>
      <c r="F9" s="117">
        <v>984196</v>
      </c>
      <c r="G9" s="112">
        <f>F9-E9</f>
        <v>12372</v>
      </c>
      <c r="H9" s="99">
        <f>G9+'12'!H9</f>
        <v>253406</v>
      </c>
      <c r="I9" s="124">
        <f>I7-J7</f>
        <v>-11465.81538461538</v>
      </c>
      <c r="J9" s="175">
        <f>H9/DAY(B2)</f>
        <v>19492.76923076923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v>32741</v>
      </c>
      <c r="F10" s="117">
        <v>42699</v>
      </c>
      <c r="G10" s="112">
        <f t="shared" ref="G10:G12" si="0">F10-E10</f>
        <v>9958</v>
      </c>
      <c r="H10" s="99">
        <f>G10+'12'!H10</f>
        <v>47828</v>
      </c>
      <c r="I10" s="286"/>
      <c r="J10" s="175">
        <f>H10/DAY(B2)</f>
        <v>3679.0769230769229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'12'!F11</f>
        <v>37000</v>
      </c>
      <c r="F11" s="95">
        <v>37000</v>
      </c>
      <c r="G11" s="112">
        <f t="shared" si="0"/>
        <v>0</v>
      </c>
      <c r="H11" s="99">
        <f>G11+'12'!H11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'12'!F12</f>
        <v>40010</v>
      </c>
      <c r="F12" s="117">
        <v>40010</v>
      </c>
      <c r="G12" s="112">
        <f t="shared" si="0"/>
        <v>0</v>
      </c>
      <c r="H12" s="99">
        <f>G12+'12'!H12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22330</v>
      </c>
      <c r="H13" s="99">
        <f>G13+'12'!H13</f>
        <v>279688.25</v>
      </c>
      <c r="I13" s="120">
        <f>G7-G13</f>
        <v>621</v>
      </c>
      <c r="J13" s="175">
        <f>H13/DAY(B2)</f>
        <v>21514.48076923077</v>
      </c>
      <c r="K13" s="79"/>
      <c r="L13" s="66"/>
      <c r="N13" s="87"/>
      <c r="O13" s="71"/>
    </row>
    <row r="14" spans="1:15" ht="27.75" customHeight="1" x14ac:dyDescent="0.5">
      <c r="A14" s="795" t="s">
        <v>137</v>
      </c>
      <c r="B14" s="796"/>
      <c r="C14" s="79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65" t="s">
        <v>138</v>
      </c>
      <c r="B15" s="205"/>
      <c r="C15" s="205"/>
      <c r="D15" s="151" t="s">
        <v>139</v>
      </c>
      <c r="E15" s="95">
        <f>'12'!F15</f>
        <v>1796304</v>
      </c>
      <c r="F15" s="123">
        <v>1797256</v>
      </c>
      <c r="G15" s="112">
        <f>(F15-E15)</f>
        <v>952</v>
      </c>
      <c r="H15" s="99">
        <f>G15+'12'!H15</f>
        <v>13048</v>
      </c>
      <c r="I15" s="113">
        <f>'1'!I15</f>
        <v>800</v>
      </c>
      <c r="J15" s="175">
        <f>H15/DAY(B2)</f>
        <v>1003.6923076923077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-203.69230769230774</v>
      </c>
      <c r="J16" s="176"/>
      <c r="K16" s="79"/>
      <c r="L16" s="66"/>
      <c r="N16" s="87"/>
      <c r="O16" s="71"/>
    </row>
    <row r="17" spans="1:15" ht="27.75" customHeight="1" x14ac:dyDescent="0.5">
      <c r="A17" s="795" t="s">
        <v>140</v>
      </c>
      <c r="B17" s="796"/>
      <c r="C17" s="79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771" t="s">
        <v>141</v>
      </c>
      <c r="B18" s="772"/>
      <c r="C18" s="773"/>
      <c r="D18" s="151" t="s">
        <v>142</v>
      </c>
      <c r="E18" s="95">
        <f>'12'!F18</f>
        <v>18</v>
      </c>
      <c r="F18" s="122">
        <v>16</v>
      </c>
      <c r="G18" s="119">
        <f>F18*10</f>
        <v>160</v>
      </c>
      <c r="H18" s="99">
        <f>G18+'12'!H18</f>
        <v>2490</v>
      </c>
      <c r="I18" s="113">
        <f>'1'!I18</f>
        <v>65</v>
      </c>
      <c r="J18" s="175">
        <f>H18/DAY(B2)</f>
        <v>191.53846153846155</v>
      </c>
      <c r="K18" s="79"/>
      <c r="L18" s="66"/>
      <c r="N18" s="87"/>
      <c r="O18" s="71"/>
    </row>
    <row r="19" spans="1:15" ht="27.75" customHeight="1" x14ac:dyDescent="0.5">
      <c r="A19" s="771" t="s">
        <v>69</v>
      </c>
      <c r="B19" s="772"/>
      <c r="C19" s="773"/>
      <c r="D19" s="151" t="s">
        <v>142</v>
      </c>
      <c r="E19" s="95">
        <f>'12'!F19</f>
        <v>147815</v>
      </c>
      <c r="F19" s="122">
        <v>147874</v>
      </c>
      <c r="G19" s="112">
        <f t="shared" ref="G19" si="1">F19-E19</f>
        <v>59</v>
      </c>
      <c r="H19" s="99">
        <f>G19+'12'!H19</f>
        <v>762</v>
      </c>
      <c r="I19" s="355"/>
      <c r="J19" s="175">
        <f>H19/DAY(B2)</f>
        <v>58.615384615384613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219</v>
      </c>
      <c r="H20" s="99">
        <f>G20+'12'!H20</f>
        <v>3252</v>
      </c>
      <c r="I20" s="356">
        <f>I18-J20</f>
        <v>-185.15384615384616</v>
      </c>
      <c r="J20" s="175">
        <f>H20/DAY(B2)</f>
        <v>250.15384615384616</v>
      </c>
      <c r="K20" s="79"/>
      <c r="L20" s="66"/>
      <c r="N20" s="87"/>
      <c r="O20" s="71"/>
    </row>
    <row r="21" spans="1:15" ht="27.75" customHeight="1" x14ac:dyDescent="0.5">
      <c r="A21" s="795" t="s">
        <v>144</v>
      </c>
      <c r="B21" s="796"/>
      <c r="C21" s="79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6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65" t="s">
        <v>147</v>
      </c>
      <c r="B23" s="205"/>
      <c r="C23" s="205"/>
      <c r="D23" s="151" t="s">
        <v>146</v>
      </c>
      <c r="E23" s="95">
        <f>'12'!F23</f>
        <v>2000</v>
      </c>
      <c r="F23" s="122">
        <v>2000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4970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00" t="s">
        <v>149</v>
      </c>
      <c r="B25" s="801"/>
      <c r="C25" s="80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23605</v>
      </c>
      <c r="F27" s="136">
        <v>9</v>
      </c>
      <c r="G27" s="137">
        <f>E27*F27</f>
        <v>212445</v>
      </c>
      <c r="H27" s="99">
        <f>G27+'12'!H27</f>
        <v>2783474.9999999995</v>
      </c>
      <c r="I27" s="138"/>
      <c r="J27" s="175">
        <f>H27/DAY(B2)</f>
        <v>214113.4615384615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952</v>
      </c>
      <c r="F28" s="136">
        <v>52</v>
      </c>
      <c r="G28" s="137">
        <f>E28*F28</f>
        <v>49504</v>
      </c>
      <c r="H28" s="99">
        <f>G28+'12'!H28</f>
        <v>678496</v>
      </c>
      <c r="I28" s="140"/>
      <c r="J28" s="175">
        <f>H28/DAY(B2)</f>
        <v>52192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146</v>
      </c>
      <c r="G30" s="137">
        <f>E30*F30</f>
        <v>8614</v>
      </c>
      <c r="H30" s="99">
        <f>G30+'12'!H30</f>
        <v>111252</v>
      </c>
      <c r="I30" s="140"/>
      <c r="J30" s="175">
        <f>H30/DAY(B2)</f>
        <v>8557.8461538461543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G31+'12'!H31</f>
        <v>199200</v>
      </c>
      <c r="I31" s="140"/>
      <c r="J31" s="175">
        <f>H31/DAY(B2)</f>
        <v>15323.076923076924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283363</v>
      </c>
      <c r="H32" s="99">
        <f>G32+'12'!H32</f>
        <v>3772423</v>
      </c>
      <c r="I32" s="144"/>
      <c r="J32" s="175">
        <f>H32/DAY(B2)</f>
        <v>290186.38461538462</v>
      </c>
      <c r="K32" s="63"/>
      <c r="L32" s="89"/>
      <c r="N32" s="87"/>
      <c r="O32" s="71"/>
    </row>
    <row r="33" spans="1:15" ht="27.75" customHeight="1" x14ac:dyDescent="0.35">
      <c r="A33" s="803" t="s">
        <v>331</v>
      </c>
      <c r="B33" s="804"/>
      <c r="C33" s="804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'12'!F35</f>
        <v>0</v>
      </c>
      <c r="F35" s="145">
        <v>0</v>
      </c>
      <c r="G35" s="112">
        <f t="shared" ref="G35:G46" si="3">F35-E35</f>
        <v>0</v>
      </c>
      <c r="H35" s="99">
        <f>G35+'12'!H35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'12'!F36</f>
        <v>34030</v>
      </c>
      <c r="F36" s="145">
        <v>34669</v>
      </c>
      <c r="G36" s="112">
        <f t="shared" si="3"/>
        <v>639</v>
      </c>
      <c r="H36" s="99">
        <f>G36+'12'!H36</f>
        <v>10792</v>
      </c>
      <c r="I36" s="95"/>
      <c r="J36" s="175">
        <f>H36/DAY(B2)</f>
        <v>830.15384615384619</v>
      </c>
      <c r="K36" s="79"/>
      <c r="L36" s="66"/>
      <c r="N36" s="87"/>
      <c r="O36" s="36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'12'!F37</f>
        <v>74865</v>
      </c>
      <c r="F37" s="145">
        <v>76528</v>
      </c>
      <c r="G37" s="112">
        <f t="shared" si="3"/>
        <v>1663</v>
      </c>
      <c r="H37" s="99">
        <f>G37+'12'!H37</f>
        <v>22365</v>
      </c>
      <c r="I37" s="95"/>
      <c r="J37" s="175">
        <f>H37/DAY(B2)</f>
        <v>1720.3846153846155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'12'!F38</f>
        <v>80057</v>
      </c>
      <c r="F38" s="108">
        <v>81902</v>
      </c>
      <c r="G38" s="112">
        <f t="shared" si="3"/>
        <v>1845</v>
      </c>
      <c r="H38" s="99">
        <f>G38+'12'!H38</f>
        <v>24776</v>
      </c>
      <c r="I38" s="95"/>
      <c r="J38" s="175">
        <f>H38/DAY(B2)</f>
        <v>1905.8461538461538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'12'!F39</f>
        <v>173575</v>
      </c>
      <c r="F39" s="145">
        <v>177929</v>
      </c>
      <c r="G39" s="112">
        <f t="shared" si="3"/>
        <v>4354</v>
      </c>
      <c r="H39" s="99">
        <f>G39+'12'!H39</f>
        <v>55038</v>
      </c>
      <c r="I39" s="95"/>
      <c r="J39" s="175">
        <f>H39/DAY(B2)</f>
        <v>4233.6923076923076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'12'!F40</f>
        <v>0</v>
      </c>
      <c r="F40" s="145">
        <v>0</v>
      </c>
      <c r="G40" s="112">
        <f t="shared" si="3"/>
        <v>0</v>
      </c>
      <c r="H40" s="99">
        <f>G40+'12'!H40</f>
        <v>1.3</v>
      </c>
      <c r="I40" s="95"/>
      <c r="J40" s="175">
        <f>H40/DAY(B2)</f>
        <v>0.1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'12'!F41</f>
        <v>542431</v>
      </c>
      <c r="F41" s="145">
        <v>542431</v>
      </c>
      <c r="G41" s="112">
        <f t="shared" si="3"/>
        <v>0</v>
      </c>
      <c r="H41" s="99">
        <f>G41+'12'!H41</f>
        <v>53211.409999999974</v>
      </c>
      <c r="I41" s="95"/>
      <c r="J41" s="175">
        <f>H41/DAY(B2)</f>
        <v>4093.1853846153826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'12'!F42</f>
        <v>262935</v>
      </c>
      <c r="F42" s="145">
        <v>264611</v>
      </c>
      <c r="G42" s="112">
        <f t="shared" si="3"/>
        <v>1676</v>
      </c>
      <c r="H42" s="99">
        <f>G42+'12'!H42</f>
        <v>20428</v>
      </c>
      <c r="I42" s="95"/>
      <c r="J42" s="175">
        <f>H42/DAY(B2)</f>
        <v>1571.3846153846155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'12'!F43</f>
        <v>1393957</v>
      </c>
      <c r="F43" s="145">
        <v>1396535</v>
      </c>
      <c r="G43" s="112">
        <f t="shared" si="3"/>
        <v>2578</v>
      </c>
      <c r="H43" s="99">
        <f>G43+'12'!H43</f>
        <v>32577</v>
      </c>
      <c r="I43" s="95"/>
      <c r="J43" s="175">
        <f>H43/DAY(B2)</f>
        <v>2505.9230769230771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12755</v>
      </c>
      <c r="H47" s="99">
        <f>G47+'12'!H47</f>
        <v>219188.70999999996</v>
      </c>
      <c r="I47" s="95"/>
      <c r="J47" s="175">
        <f>H47/DAY(B2)</f>
        <v>16860.669999999998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'12'!F49</f>
        <v>138217</v>
      </c>
      <c r="F49" s="145">
        <v>141819</v>
      </c>
      <c r="G49" s="112">
        <f t="shared" ref="G49:G58" si="4">F49-E49</f>
        <v>3602</v>
      </c>
      <c r="H49" s="99">
        <f>G49+'12'!H49</f>
        <v>50622.619999999995</v>
      </c>
      <c r="I49" s="95"/>
      <c r="J49" s="175">
        <f>H49/DAY(B2)</f>
        <v>3894.0476923076922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'12'!F50</f>
        <v>658628</v>
      </c>
      <c r="F50" s="145">
        <v>659696</v>
      </c>
      <c r="G50" s="112">
        <f t="shared" si="4"/>
        <v>1068</v>
      </c>
      <c r="H50" s="99">
        <f>G50+'12'!H50</f>
        <v>16206</v>
      </c>
      <c r="I50" s="95"/>
      <c r="J50" s="175">
        <f>H50/DAY(B2)</f>
        <v>1246.6153846153845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'12'!F51</f>
        <v>0</v>
      </c>
      <c r="F51" s="145">
        <v>0</v>
      </c>
      <c r="G51" s="112">
        <f t="shared" si="4"/>
        <v>0</v>
      </c>
      <c r="H51" s="99">
        <f>G51+'12'!H51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'12'!F52</f>
        <v>0</v>
      </c>
      <c r="F52" s="145">
        <v>0</v>
      </c>
      <c r="G52" s="112">
        <f t="shared" si="4"/>
        <v>0</v>
      </c>
      <c r="H52" s="99">
        <f>G52+'12'!H52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'12'!F53</f>
        <v>0</v>
      </c>
      <c r="F53" s="145">
        <v>0</v>
      </c>
      <c r="G53" s="112">
        <f t="shared" si="4"/>
        <v>0</v>
      </c>
      <c r="H53" s="99">
        <f>G53+'12'!H53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'12'!F54</f>
        <v>2780</v>
      </c>
      <c r="F54" s="145">
        <v>2785</v>
      </c>
      <c r="G54" s="112">
        <f t="shared" si="4"/>
        <v>5</v>
      </c>
      <c r="H54" s="99">
        <f>G54+'12'!H54</f>
        <v>53</v>
      </c>
      <c r="I54" s="95"/>
      <c r="J54" s="175">
        <f>H54/DAY(B2)</f>
        <v>4.0769230769230766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'12'!F55</f>
        <v>307299</v>
      </c>
      <c r="F55" s="145">
        <v>307299</v>
      </c>
      <c r="G55" s="112">
        <f t="shared" si="4"/>
        <v>0</v>
      </c>
      <c r="H55" s="99">
        <f>G55+'12'!H55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'12'!F56</f>
        <v>757954</v>
      </c>
      <c r="F56" s="145">
        <v>763319</v>
      </c>
      <c r="G56" s="112">
        <f t="shared" si="4"/>
        <v>5365</v>
      </c>
      <c r="H56" s="99">
        <f>G56+'12'!H56</f>
        <v>21549</v>
      </c>
      <c r="I56" s="95"/>
      <c r="J56" s="175">
        <f>H56/DAY(B2)</f>
        <v>1657.6153846153845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'12'!F57</f>
        <v>0</v>
      </c>
      <c r="F57" s="145">
        <v>0</v>
      </c>
      <c r="G57" s="112">
        <f t="shared" si="4"/>
        <v>0</v>
      </c>
      <c r="H57" s="99">
        <f>G57+'12'!H57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'12'!F58</f>
        <v>74795</v>
      </c>
      <c r="F58" s="145">
        <v>74976</v>
      </c>
      <c r="G58" s="112">
        <f t="shared" si="4"/>
        <v>181</v>
      </c>
      <c r="H58" s="99">
        <f>G58+'12'!H58</f>
        <v>2821</v>
      </c>
      <c r="I58" s="95"/>
      <c r="J58" s="175">
        <f>H58/DAY(B2)</f>
        <v>217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10221</v>
      </c>
      <c r="H59" s="99">
        <f>G59+'12'!H59</f>
        <v>91251.62</v>
      </c>
      <c r="I59" s="95">
        <f>G7-G60</f>
        <v>-25</v>
      </c>
      <c r="J59" s="175">
        <f>H59/DAY(B2)</f>
        <v>7019.3553846153845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22976</v>
      </c>
      <c r="H60" s="99">
        <f>G60+'12'!H60</f>
        <v>310440.32999999996</v>
      </c>
      <c r="I60" s="95">
        <f>G13-G60</f>
        <v>-646</v>
      </c>
      <c r="J60" s="175">
        <f>H60/DAY(B2)</f>
        <v>23880.025384615383</v>
      </c>
      <c r="K60" s="79"/>
      <c r="L60" s="66"/>
      <c r="N60" s="87"/>
      <c r="O60" s="71"/>
    </row>
    <row r="61" spans="1:15" s="68" customFormat="1" ht="27.75" customHeight="1" x14ac:dyDescent="0.5">
      <c r="A61" s="805" t="s">
        <v>332</v>
      </c>
      <c r="B61" s="806"/>
      <c r="C61" s="807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customHeight="1" x14ac:dyDescent="0.5">
      <c r="A62" s="771" t="s">
        <v>198</v>
      </c>
      <c r="B62" s="772"/>
      <c r="C62" s="773"/>
      <c r="D62" s="151" t="s">
        <v>142</v>
      </c>
      <c r="E62" s="95">
        <f>'12'!F62</f>
        <v>257657</v>
      </c>
      <c r="F62" s="122">
        <v>257744</v>
      </c>
      <c r="G62" s="112">
        <f t="shared" ref="G62:G63" si="5">F62-E62</f>
        <v>87</v>
      </c>
      <c r="H62" s="99">
        <f>G62+'12'!H62</f>
        <v>1391</v>
      </c>
      <c r="I62" s="118"/>
      <c r="J62" s="175">
        <f>H62/DAY(B2)</f>
        <v>107</v>
      </c>
      <c r="K62" s="80"/>
      <c r="L62" s="66"/>
      <c r="N62" s="87"/>
      <c r="O62" s="71"/>
    </row>
    <row r="63" spans="1:15" ht="27.75" customHeight="1" x14ac:dyDescent="0.5">
      <c r="A63" s="771" t="s">
        <v>199</v>
      </c>
      <c r="B63" s="772"/>
      <c r="C63" s="773"/>
      <c r="D63" s="151" t="s">
        <v>142</v>
      </c>
      <c r="E63" s="95">
        <f>'12'!F63</f>
        <v>204163</v>
      </c>
      <c r="F63" s="122">
        <v>204259</v>
      </c>
      <c r="G63" s="112">
        <f t="shared" si="5"/>
        <v>96</v>
      </c>
      <c r="H63" s="99">
        <f>G63+'12'!H63</f>
        <v>1733</v>
      </c>
      <c r="I63" s="118"/>
      <c r="J63" s="175">
        <f>H63/DAY(B2)</f>
        <v>133.30769230769232</v>
      </c>
      <c r="K63" s="69"/>
      <c r="L63" s="66"/>
      <c r="N63" s="87"/>
      <c r="O63" s="71"/>
    </row>
    <row r="64" spans="1:15" ht="27.75" customHeight="1" x14ac:dyDescent="0.5">
      <c r="A64" s="780" t="s">
        <v>200</v>
      </c>
      <c r="B64" s="781"/>
      <c r="C64" s="782"/>
      <c r="D64" s="151"/>
      <c r="E64" s="95">
        <f>'12'!F64</f>
        <v>0</v>
      </c>
      <c r="F64" s="122"/>
      <c r="G64" s="112">
        <f>G62+G63</f>
        <v>183</v>
      </c>
      <c r="H64" s="99">
        <f>G64+'12'!H64</f>
        <v>3124</v>
      </c>
      <c r="I64" s="118"/>
      <c r="J64" s="175">
        <f>H64/DAY(B2)</f>
        <v>240.30769230769232</v>
      </c>
      <c r="K64" s="69"/>
      <c r="L64" s="66"/>
      <c r="N64" s="87"/>
      <c r="O64" s="71"/>
    </row>
    <row r="65" spans="1:15" ht="27.75" customHeight="1" x14ac:dyDescent="0.5">
      <c r="A65" s="771" t="s">
        <v>201</v>
      </c>
      <c r="B65" s="772"/>
      <c r="C65" s="773"/>
      <c r="D65" s="151" t="s">
        <v>142</v>
      </c>
      <c r="E65" s="95">
        <f>'12'!F65</f>
        <v>424363</v>
      </c>
      <c r="F65" s="122">
        <v>424453</v>
      </c>
      <c r="G65" s="112">
        <f t="shared" ref="G65:G70" si="6">F65-E65</f>
        <v>90</v>
      </c>
      <c r="H65" s="99">
        <f>G65+'12'!H65</f>
        <v>1164</v>
      </c>
      <c r="I65" s="118"/>
      <c r="J65" s="175">
        <f>H65/DAY(B2)</f>
        <v>89.538461538461533</v>
      </c>
      <c r="K65" s="69"/>
      <c r="L65" s="66"/>
      <c r="N65" s="87"/>
      <c r="O65" s="71"/>
    </row>
    <row r="66" spans="1:15" ht="27.75" customHeight="1" x14ac:dyDescent="0.5">
      <c r="A66" s="365" t="s">
        <v>202</v>
      </c>
      <c r="B66" s="366"/>
      <c r="C66" s="366"/>
      <c r="D66" s="151" t="s">
        <v>142</v>
      </c>
      <c r="E66" s="95">
        <f>'12'!F66</f>
        <v>105587</v>
      </c>
      <c r="F66" s="122">
        <v>105608</v>
      </c>
      <c r="G66" s="112">
        <f t="shared" si="6"/>
        <v>21</v>
      </c>
      <c r="H66" s="99">
        <f>G66+'12'!H66</f>
        <v>294</v>
      </c>
      <c r="I66" s="118"/>
      <c r="J66" s="175">
        <f>H66/DAY(B2)</f>
        <v>22.615384615384617</v>
      </c>
      <c r="K66" s="78"/>
      <c r="L66" s="66"/>
      <c r="N66" s="87"/>
      <c r="O66" s="71"/>
    </row>
    <row r="67" spans="1:15" ht="27.75" customHeight="1" x14ac:dyDescent="0.5">
      <c r="A67" s="365" t="s">
        <v>203</v>
      </c>
      <c r="B67" s="366"/>
      <c r="C67" s="366"/>
      <c r="D67" s="151" t="s">
        <v>142</v>
      </c>
      <c r="E67" s="95">
        <f>'12'!F67</f>
        <v>101625</v>
      </c>
      <c r="F67" s="122">
        <v>101647</v>
      </c>
      <c r="G67" s="112">
        <f t="shared" si="6"/>
        <v>22</v>
      </c>
      <c r="H67" s="99">
        <f>G67+'12'!H67</f>
        <v>363</v>
      </c>
      <c r="I67" s="118"/>
      <c r="J67" s="175">
        <f>H67/DAY(B2)</f>
        <v>27.923076923076923</v>
      </c>
      <c r="K67" s="81"/>
      <c r="L67" s="66"/>
      <c r="N67" s="87"/>
      <c r="O67" s="71"/>
    </row>
    <row r="68" spans="1:15" ht="27.75" customHeight="1" x14ac:dyDescent="0.5">
      <c r="A68" s="365" t="s">
        <v>204</v>
      </c>
      <c r="B68" s="366"/>
      <c r="C68" s="366"/>
      <c r="D68" s="151" t="s">
        <v>142</v>
      </c>
      <c r="E68" s="95">
        <f>'12'!F68</f>
        <v>153640</v>
      </c>
      <c r="F68" s="122">
        <v>153678</v>
      </c>
      <c r="G68" s="112">
        <f t="shared" si="6"/>
        <v>38</v>
      </c>
      <c r="H68" s="99">
        <f>G68+'12'!H68</f>
        <v>565</v>
      </c>
      <c r="I68" s="118"/>
      <c r="J68" s="175">
        <f>H68/DAY(B2)</f>
        <v>43.46153846153846</v>
      </c>
      <c r="K68" s="69"/>
      <c r="L68" s="66"/>
      <c r="N68" s="87"/>
      <c r="O68" s="71"/>
    </row>
    <row r="69" spans="1:15" ht="27.75" customHeight="1" x14ac:dyDescent="0.5">
      <c r="A69" s="365" t="s">
        <v>205</v>
      </c>
      <c r="B69" s="366"/>
      <c r="C69" s="366"/>
      <c r="D69" s="151" t="s">
        <v>142</v>
      </c>
      <c r="E69" s="95">
        <f>'12'!F69</f>
        <v>9216</v>
      </c>
      <c r="F69" s="122">
        <v>9226</v>
      </c>
      <c r="G69" s="112">
        <f t="shared" si="6"/>
        <v>10</v>
      </c>
      <c r="H69" s="99">
        <f>G69+'12'!H69</f>
        <v>169</v>
      </c>
      <c r="I69" s="118"/>
      <c r="J69" s="175">
        <f>H69/DAY(B2)</f>
        <v>13</v>
      </c>
      <c r="K69" s="69"/>
      <c r="L69" s="66"/>
      <c r="N69" s="87"/>
      <c r="O69" s="71"/>
    </row>
    <row r="70" spans="1:15" ht="27.75" customHeight="1" x14ac:dyDescent="0.5">
      <c r="A70" s="365" t="s">
        <v>206</v>
      </c>
      <c r="B70" s="366"/>
      <c r="C70" s="366"/>
      <c r="D70" s="151" t="s">
        <v>142</v>
      </c>
      <c r="E70" s="95">
        <f>'12'!F70</f>
        <v>6941</v>
      </c>
      <c r="F70" s="122">
        <v>6953</v>
      </c>
      <c r="G70" s="112">
        <f t="shared" si="6"/>
        <v>12</v>
      </c>
      <c r="H70" s="99">
        <f>G70+'12'!H70</f>
        <v>149</v>
      </c>
      <c r="I70" s="118"/>
      <c r="J70" s="175">
        <f>H70/DAY(B2)</f>
        <v>11.461538461538462</v>
      </c>
      <c r="K70" s="69"/>
      <c r="L70" s="66"/>
      <c r="N70" s="87"/>
      <c r="O70" s="71"/>
    </row>
    <row r="71" spans="1:15" ht="27.75" customHeight="1" x14ac:dyDescent="0.5">
      <c r="A71" s="780" t="s">
        <v>208</v>
      </c>
      <c r="B71" s="781"/>
      <c r="C71" s="782"/>
      <c r="D71" s="152"/>
      <c r="E71" s="152"/>
      <c r="F71" s="152"/>
      <c r="G71" s="153">
        <f>SUM(G65:G70)</f>
        <v>193</v>
      </c>
      <c r="H71" s="99">
        <f>G71+'12'!H71</f>
        <v>2704</v>
      </c>
      <c r="I71" s="154"/>
      <c r="J71" s="175">
        <f>H71/DAY(B2)</f>
        <v>208</v>
      </c>
      <c r="K71" s="69"/>
      <c r="L71" s="66"/>
      <c r="N71" s="87"/>
      <c r="O71" s="71"/>
    </row>
    <row r="72" spans="1:15" s="88" customFormat="1" ht="27.75" customHeight="1" x14ac:dyDescent="0.5">
      <c r="A72" s="767"/>
      <c r="B72" s="752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777" t="s">
        <v>333</v>
      </c>
      <c r="B73" s="778"/>
      <c r="C73" s="779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customHeight="1" x14ac:dyDescent="0.5">
      <c r="A74" s="771" t="s">
        <v>220</v>
      </c>
      <c r="B74" s="772"/>
      <c r="C74" s="773"/>
      <c r="D74" s="151" t="s">
        <v>139</v>
      </c>
      <c r="E74" s="95">
        <f>'12'!F74</f>
        <v>868006</v>
      </c>
      <c r="F74" s="117">
        <v>868302</v>
      </c>
      <c r="G74" s="112">
        <f t="shared" ref="G74:G78" si="7">F74-E74</f>
        <v>296</v>
      </c>
      <c r="H74" s="99">
        <f>G74+'12'!H74</f>
        <v>3794</v>
      </c>
      <c r="I74" s="154"/>
      <c r="J74" s="175">
        <f>H74/DAY(B2)</f>
        <v>291.84615384615387</v>
      </c>
      <c r="K74" s="69"/>
      <c r="L74" s="66"/>
      <c r="N74" s="87"/>
      <c r="O74" s="71"/>
    </row>
    <row r="75" spans="1:15" ht="27.75" customHeight="1" x14ac:dyDescent="0.5">
      <c r="A75" s="771" t="s">
        <v>221</v>
      </c>
      <c r="B75" s="772"/>
      <c r="C75" s="773"/>
      <c r="D75" s="151" t="s">
        <v>139</v>
      </c>
      <c r="E75" s="95">
        <f>'12'!F75</f>
        <v>73583.399999999994</v>
      </c>
      <c r="F75" s="123">
        <v>73583.399999999994</v>
      </c>
      <c r="G75" s="112">
        <f t="shared" si="7"/>
        <v>0</v>
      </c>
      <c r="H75" s="99">
        <f>G75+'12'!H75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768" t="s">
        <v>222</v>
      </c>
      <c r="B76" s="769"/>
      <c r="C76" s="770"/>
      <c r="D76" s="151" t="s">
        <v>139</v>
      </c>
      <c r="E76" s="95">
        <f>'12'!F76</f>
        <v>158094</v>
      </c>
      <c r="F76" s="123">
        <v>158180</v>
      </c>
      <c r="G76" s="112">
        <f t="shared" si="7"/>
        <v>86</v>
      </c>
      <c r="H76" s="99">
        <f>G76+'12'!H76</f>
        <v>1368</v>
      </c>
      <c r="I76" s="154"/>
      <c r="J76" s="175">
        <f>H76/DAY(B2)</f>
        <v>105.23076923076923</v>
      </c>
      <c r="K76" s="69"/>
      <c r="L76" s="66"/>
      <c r="N76" s="87"/>
      <c r="O76" s="71"/>
    </row>
    <row r="77" spans="1:15" ht="27.75" customHeight="1" x14ac:dyDescent="0.5">
      <c r="A77" s="768" t="s">
        <v>223</v>
      </c>
      <c r="B77" s="769"/>
      <c r="C77" s="770"/>
      <c r="D77" s="151" t="s">
        <v>139</v>
      </c>
      <c r="E77" s="95">
        <f>'12'!F77</f>
        <v>36611</v>
      </c>
      <c r="F77" s="123">
        <v>36654</v>
      </c>
      <c r="G77" s="112">
        <f t="shared" si="7"/>
        <v>43</v>
      </c>
      <c r="H77" s="99">
        <f>G77+'12'!H77</f>
        <v>650</v>
      </c>
      <c r="I77" s="154"/>
      <c r="J77" s="175">
        <f>H77/DAY(B2)</f>
        <v>50</v>
      </c>
      <c r="K77" s="69"/>
      <c r="L77" s="66"/>
      <c r="N77" s="87"/>
      <c r="O77" s="71"/>
    </row>
    <row r="78" spans="1:15" ht="27.75" customHeight="1" x14ac:dyDescent="0.5">
      <c r="A78" s="768" t="s">
        <v>224</v>
      </c>
      <c r="B78" s="769"/>
      <c r="C78" s="770"/>
      <c r="D78" s="151" t="s">
        <v>139</v>
      </c>
      <c r="E78" s="95">
        <f>'12'!F78</f>
        <v>9281</v>
      </c>
      <c r="F78" s="123">
        <v>9283</v>
      </c>
      <c r="G78" s="112">
        <f t="shared" si="7"/>
        <v>2</v>
      </c>
      <c r="H78" s="99">
        <f>G78+'12'!H78</f>
        <v>35</v>
      </c>
      <c r="I78" s="118"/>
      <c r="J78" s="175">
        <f>H78/DAY(B2)</f>
        <v>2.6923076923076925</v>
      </c>
      <c r="K78" s="69"/>
      <c r="L78" s="66"/>
      <c r="N78" s="87"/>
      <c r="O78" s="71"/>
    </row>
    <row r="79" spans="1:15" s="57" customFormat="1" ht="27.75" customHeight="1" x14ac:dyDescent="0.5">
      <c r="A79" s="768" t="s">
        <v>225</v>
      </c>
      <c r="B79" s="769"/>
      <c r="C79" s="770"/>
      <c r="D79" s="151"/>
      <c r="E79" s="95">
        <f>'12'!F79</f>
        <v>0</v>
      </c>
      <c r="F79" s="117"/>
      <c r="G79" s="112">
        <f>G15-SUM(G74:G78)</f>
        <v>525</v>
      </c>
      <c r="H79" s="99">
        <f>G79+'12'!H79</f>
        <v>7201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780" t="s">
        <v>329</v>
      </c>
      <c r="B80" s="781"/>
      <c r="C80" s="782"/>
      <c r="D80" s="151"/>
      <c r="E80" s="117"/>
      <c r="F80" s="117"/>
      <c r="G80" s="112">
        <f>SUM(G74:G79)</f>
        <v>952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785" t="s">
        <v>226</v>
      </c>
      <c r="B81" s="786"/>
      <c r="C81" s="787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65" t="s">
        <v>227</v>
      </c>
      <c r="B82" s="366"/>
      <c r="C82" s="36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65" t="s">
        <v>229</v>
      </c>
      <c r="B83" s="366"/>
      <c r="C83" s="36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65" t="s">
        <v>230</v>
      </c>
      <c r="B84" s="366"/>
      <c r="C84" s="366"/>
      <c r="D84" s="151" t="s">
        <v>228</v>
      </c>
      <c r="E84" s="95">
        <f>'12'!F84</f>
        <v>41399</v>
      </c>
      <c r="F84" s="164">
        <v>41399</v>
      </c>
      <c r="G84" s="112">
        <f t="shared" si="8"/>
        <v>0</v>
      </c>
      <c r="H84" s="99">
        <f>G84+'12'!H84</f>
        <v>237</v>
      </c>
      <c r="I84" s="118"/>
      <c r="J84" s="175">
        <f>H84/DAY(B2)</f>
        <v>18.23076923076923</v>
      </c>
      <c r="O84" s="71"/>
    </row>
    <row r="85" spans="1:15" ht="27.75" customHeight="1" x14ac:dyDescent="0.5">
      <c r="A85" s="365" t="s">
        <v>231</v>
      </c>
      <c r="B85" s="366"/>
      <c r="C85" s="366"/>
      <c r="D85" s="151" t="s">
        <v>228</v>
      </c>
      <c r="E85" s="95">
        <f>'12'!F85</f>
        <v>1267</v>
      </c>
      <c r="F85" s="164">
        <v>1275</v>
      </c>
      <c r="G85" s="112">
        <f t="shared" si="8"/>
        <v>8</v>
      </c>
      <c r="H85" s="99">
        <f>G85+'12'!H85</f>
        <v>96</v>
      </c>
      <c r="I85" s="118">
        <f>G82+G83+G84+G85</f>
        <v>8</v>
      </c>
      <c r="J85" s="175">
        <f>H85/DAY(B2)</f>
        <v>7.384615384615385</v>
      </c>
      <c r="O85" s="71"/>
    </row>
    <row r="86" spans="1:15" ht="27.75" customHeight="1" x14ac:dyDescent="0.5">
      <c r="A86" s="365" t="s">
        <v>232</v>
      </c>
      <c r="B86" s="366"/>
      <c r="C86" s="366"/>
      <c r="D86" s="151" t="s">
        <v>228</v>
      </c>
      <c r="E86" s="95">
        <f>'12'!F86</f>
        <v>42826.47</v>
      </c>
      <c r="F86" s="164">
        <v>42826.47</v>
      </c>
      <c r="G86" s="112">
        <f t="shared" si="8"/>
        <v>0</v>
      </c>
      <c r="H86" s="99">
        <f>G86+'12'!H86</f>
        <v>0.47000000000116415</v>
      </c>
      <c r="I86" s="118"/>
      <c r="J86" s="175">
        <f>H86/DAY(B2)</f>
        <v>3.6153846153935701E-2</v>
      </c>
      <c r="O86" s="71"/>
    </row>
    <row r="87" spans="1:15" ht="27.75" customHeight="1" x14ac:dyDescent="0.5">
      <c r="A87" s="365" t="s">
        <v>233</v>
      </c>
      <c r="B87" s="366"/>
      <c r="C87" s="366"/>
      <c r="D87" s="151" t="s">
        <v>228</v>
      </c>
      <c r="E87" s="95">
        <f>'12'!F87</f>
        <v>33388</v>
      </c>
      <c r="F87" s="164">
        <v>33412</v>
      </c>
      <c r="G87" s="112">
        <f t="shared" si="8"/>
        <v>24</v>
      </c>
      <c r="H87" s="99">
        <f>G87+'12'!H87</f>
        <v>98</v>
      </c>
      <c r="I87" s="118"/>
      <c r="J87" s="175">
        <f>H87/DAY(B2)</f>
        <v>7.5384615384615383</v>
      </c>
      <c r="O87" s="71"/>
    </row>
    <row r="88" spans="1:15" ht="27.75" customHeight="1" x14ac:dyDescent="0.5">
      <c r="A88" s="365" t="s">
        <v>234</v>
      </c>
      <c r="B88" s="366"/>
      <c r="C88" s="366"/>
      <c r="D88" s="151" t="s">
        <v>228</v>
      </c>
      <c r="E88" s="95">
        <f>'12'!F88</f>
        <v>23655.8</v>
      </c>
      <c r="F88" s="164">
        <v>23664.07</v>
      </c>
      <c r="G88" s="112">
        <f t="shared" si="8"/>
        <v>8.2700000000004366</v>
      </c>
      <c r="H88" s="99">
        <f>G88+'12'!H88</f>
        <v>73.099999999998545</v>
      </c>
      <c r="I88" s="118">
        <f>G86+G87+G88</f>
        <v>32.270000000000437</v>
      </c>
      <c r="J88" s="175">
        <f>H88/DAY(B2)</f>
        <v>5.6230769230768107</v>
      </c>
      <c r="O88" s="71"/>
    </row>
    <row r="89" spans="1:15" ht="27.75" customHeight="1" x14ac:dyDescent="0.5">
      <c r="A89" s="365" t="s">
        <v>235</v>
      </c>
      <c r="B89" s="366"/>
      <c r="C89" s="366"/>
      <c r="D89" s="151" t="s">
        <v>228</v>
      </c>
      <c r="E89" s="95">
        <f>'12'!F89</f>
        <v>25242.12</v>
      </c>
      <c r="F89" s="164">
        <v>25242.12</v>
      </c>
      <c r="G89" s="112">
        <f t="shared" si="8"/>
        <v>0</v>
      </c>
      <c r="H89" s="99">
        <f>G89+'12'!H89</f>
        <v>54.75</v>
      </c>
      <c r="I89" s="118"/>
      <c r="J89" s="175">
        <f>H89/DAY(B2)</f>
        <v>4.2115384615384617</v>
      </c>
      <c r="O89" s="71"/>
    </row>
    <row r="90" spans="1:15" ht="27.75" customHeight="1" x14ac:dyDescent="0.5">
      <c r="A90" s="365" t="s">
        <v>236</v>
      </c>
      <c r="B90" s="366"/>
      <c r="C90" s="366"/>
      <c r="D90" s="151" t="s">
        <v>228</v>
      </c>
      <c r="E90" s="95">
        <f>'12'!F90</f>
        <v>70571.5</v>
      </c>
      <c r="F90" s="164">
        <v>70576.69</v>
      </c>
      <c r="G90" s="112">
        <f t="shared" si="8"/>
        <v>5.1900000000023283</v>
      </c>
      <c r="H90" s="99">
        <f>G90+'12'!H90</f>
        <v>43.710000000006403</v>
      </c>
      <c r="I90" s="118">
        <f>G89+G90</f>
        <v>5.1900000000023283</v>
      </c>
      <c r="J90" s="175">
        <f>H90/DAY(B2)</f>
        <v>3.3623076923081849</v>
      </c>
      <c r="O90" s="71"/>
    </row>
    <row r="91" spans="1:15" ht="27.75" customHeight="1" x14ac:dyDescent="0.5">
      <c r="A91" s="365" t="s">
        <v>237</v>
      </c>
      <c r="B91" s="366"/>
      <c r="C91" s="366"/>
      <c r="D91" s="151" t="s">
        <v>228</v>
      </c>
      <c r="E91" s="95">
        <f>'12'!F91</f>
        <v>3055.22</v>
      </c>
      <c r="F91" s="122">
        <v>3066.21</v>
      </c>
      <c r="G91" s="112">
        <f t="shared" si="8"/>
        <v>10.990000000000236</v>
      </c>
      <c r="H91" s="99">
        <f>G91+'12'!H91</f>
        <v>140.34000000000015</v>
      </c>
      <c r="I91" s="165"/>
      <c r="J91" s="175">
        <f>H91/DAY(B2)</f>
        <v>10.795384615384627</v>
      </c>
      <c r="O91" s="71"/>
    </row>
    <row r="92" spans="1:15" ht="27.75" customHeight="1" x14ac:dyDescent="0.5">
      <c r="A92" s="365" t="s">
        <v>238</v>
      </c>
      <c r="B92" s="366"/>
      <c r="C92" s="366"/>
      <c r="D92" s="151" t="s">
        <v>228</v>
      </c>
      <c r="E92" s="95">
        <f>'12'!F92</f>
        <v>4758.6000000000004</v>
      </c>
      <c r="F92" s="122">
        <v>4758.6000000000004</v>
      </c>
      <c r="G92" s="112">
        <f t="shared" si="8"/>
        <v>0</v>
      </c>
      <c r="H92" s="99">
        <f>G92+'12'!H92</f>
        <v>0.6000000000003638</v>
      </c>
      <c r="I92" s="165"/>
      <c r="J92" s="175">
        <f>H92/DAY(B2)</f>
        <v>4.6153846153874141E-2</v>
      </c>
      <c r="O92" s="71"/>
    </row>
    <row r="93" spans="1:15" ht="27.75" customHeight="1" x14ac:dyDescent="0.5">
      <c r="A93" s="774" t="s">
        <v>239</v>
      </c>
      <c r="B93" s="775"/>
      <c r="C93" s="77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771" t="s">
        <v>240</v>
      </c>
      <c r="B94" s="772"/>
      <c r="C94" s="773"/>
      <c r="D94" s="151" t="s">
        <v>130</v>
      </c>
      <c r="E94" s="151"/>
      <c r="F94" s="151"/>
      <c r="G94" s="99">
        <f>G35+G43+G49+G57</f>
        <v>6180</v>
      </c>
      <c r="H94" s="99">
        <f>G94+'12'!H94</f>
        <v>83199.62</v>
      </c>
      <c r="I94" s="118"/>
      <c r="J94" s="175">
        <f>H94/DAY(B2)</f>
        <v>6399.9707692307693</v>
      </c>
      <c r="K94" s="69"/>
      <c r="L94" s="66"/>
      <c r="O94" s="71"/>
    </row>
    <row r="95" spans="1:15" ht="27.75" customHeight="1" x14ac:dyDescent="0.5">
      <c r="A95" s="771" t="s">
        <v>241</v>
      </c>
      <c r="B95" s="772"/>
      <c r="C95" s="773"/>
      <c r="D95" s="151" t="s">
        <v>23</v>
      </c>
      <c r="E95" s="146"/>
      <c r="F95" s="146"/>
      <c r="G95" s="166">
        <f>G94/G7</f>
        <v>0.26926931288397021</v>
      </c>
      <c r="H95" s="99">
        <f>G95+'12'!H95</f>
        <v>3.5505245183301795</v>
      </c>
      <c r="I95" s="167"/>
      <c r="J95" s="175">
        <f>H95/DAY(B2)</f>
        <v>0.27311727064078306</v>
      </c>
      <c r="K95" s="69"/>
      <c r="L95" s="66"/>
      <c r="O95" s="71"/>
    </row>
    <row r="96" spans="1:15" ht="27.75" customHeight="1" x14ac:dyDescent="0.5">
      <c r="A96" s="771" t="s">
        <v>242</v>
      </c>
      <c r="B96" s="772"/>
      <c r="C96" s="773"/>
      <c r="D96" s="151" t="s">
        <v>130</v>
      </c>
      <c r="E96" s="95"/>
      <c r="F96" s="95"/>
      <c r="G96" s="99">
        <f>G41+G42+G55+G56</f>
        <v>7041</v>
      </c>
      <c r="H96" s="99">
        <f>G96+'12'!H96</f>
        <v>95188.409999999974</v>
      </c>
      <c r="I96" s="118"/>
      <c r="J96" s="175">
        <f>H96/DAY(B2)</f>
        <v>7322.1853846153826</v>
      </c>
      <c r="K96" s="69"/>
      <c r="L96" s="66"/>
      <c r="O96" s="71"/>
    </row>
    <row r="97" spans="1:15" ht="27.75" customHeight="1" x14ac:dyDescent="0.5">
      <c r="A97" s="771" t="s">
        <v>243</v>
      </c>
      <c r="B97" s="772"/>
      <c r="C97" s="773"/>
      <c r="D97" s="151" t="s">
        <v>23</v>
      </c>
      <c r="E97" s="95"/>
      <c r="F97" s="95"/>
      <c r="G97" s="166">
        <f>G96/G7</f>
        <v>0.30678401812557188</v>
      </c>
      <c r="H97" s="99">
        <f>G97+'12'!H97</f>
        <v>4.0525648237138387</v>
      </c>
      <c r="I97" s="167"/>
      <c r="J97" s="175">
        <f>H97/DAY(B2)</f>
        <v>0.31173575567029527</v>
      </c>
      <c r="K97" s="69"/>
      <c r="L97" s="66"/>
      <c r="O97" s="71"/>
    </row>
    <row r="98" spans="1:15" ht="27.75" customHeight="1" x14ac:dyDescent="0.5">
      <c r="A98" s="771" t="s">
        <v>244</v>
      </c>
      <c r="B98" s="772"/>
      <c r="C98" s="773"/>
      <c r="D98" s="151" t="s">
        <v>130</v>
      </c>
      <c r="E98" s="95"/>
      <c r="F98" s="95"/>
      <c r="G98" s="99">
        <f>G39+G53</f>
        <v>4354</v>
      </c>
      <c r="H98" s="99">
        <f>G98+'12'!H98</f>
        <v>55038</v>
      </c>
      <c r="I98" s="168"/>
      <c r="J98" s="175">
        <f>H98/DAY(B2)</f>
        <v>4233.6923076923076</v>
      </c>
      <c r="K98" s="69"/>
      <c r="L98" s="66"/>
      <c r="O98" s="71"/>
    </row>
    <row r="99" spans="1:15" ht="27.75" customHeight="1" x14ac:dyDescent="0.5">
      <c r="A99" s="771" t="s">
        <v>245</v>
      </c>
      <c r="B99" s="772"/>
      <c r="C99" s="773"/>
      <c r="D99" s="151" t="s">
        <v>23</v>
      </c>
      <c r="E99" s="95"/>
      <c r="F99" s="95"/>
      <c r="G99" s="166">
        <f>G98/G7</f>
        <v>0.18970850943314016</v>
      </c>
      <c r="H99" s="99">
        <f>G99+'12'!H99</f>
        <v>2.3470563195428618</v>
      </c>
      <c r="I99" s="168"/>
      <c r="J99" s="175">
        <f>H99/DAY(B2)</f>
        <v>0.18054279381098937</v>
      </c>
      <c r="O99" s="71"/>
    </row>
    <row r="100" spans="1:15" ht="27.75" customHeight="1" x14ac:dyDescent="0.5">
      <c r="A100" s="771" t="s">
        <v>246</v>
      </c>
      <c r="B100" s="772"/>
      <c r="C100" s="773"/>
      <c r="D100" s="151" t="s">
        <v>180</v>
      </c>
      <c r="E100" s="95"/>
      <c r="F100" s="95"/>
      <c r="G100" s="99">
        <f>G38+G52</f>
        <v>1845</v>
      </c>
      <c r="H100" s="99">
        <f>G100+'12'!H100</f>
        <v>24776</v>
      </c>
      <c r="I100" s="118"/>
      <c r="J100" s="175">
        <f>H100/DAY(B2)</f>
        <v>1905.8461538461538</v>
      </c>
      <c r="K100" s="70"/>
      <c r="O100" s="71"/>
    </row>
    <row r="101" spans="1:15" ht="27.75" customHeight="1" x14ac:dyDescent="0.5">
      <c r="A101" s="771" t="s">
        <v>247</v>
      </c>
      <c r="B101" s="772"/>
      <c r="C101" s="773"/>
      <c r="D101" s="151" t="s">
        <v>23</v>
      </c>
      <c r="E101" s="95"/>
      <c r="F101" s="95"/>
      <c r="G101" s="166">
        <f>G100/G7</f>
        <v>8.0388654089146444E-2</v>
      </c>
      <c r="H101" s="99">
        <f>G101+'12'!H101</f>
        <v>1.0566461551272956</v>
      </c>
      <c r="I101" s="168"/>
      <c r="J101" s="175">
        <f>H101/DAY(B2)</f>
        <v>8.1280473471330439E-2</v>
      </c>
      <c r="O101" s="71"/>
    </row>
    <row r="102" spans="1:15" ht="27.75" customHeight="1" x14ac:dyDescent="0.5">
      <c r="A102" s="771" t="s">
        <v>248</v>
      </c>
      <c r="B102" s="772"/>
      <c r="C102" s="773"/>
      <c r="D102" s="151" t="s">
        <v>180</v>
      </c>
      <c r="E102" s="95"/>
      <c r="F102" s="95"/>
      <c r="G102" s="99">
        <f>G36+G50</f>
        <v>1707</v>
      </c>
      <c r="H102" s="99">
        <f>G102+'12'!H102</f>
        <v>26998</v>
      </c>
      <c r="I102" s="168"/>
      <c r="J102" s="175">
        <f>H102/DAY(B2)</f>
        <v>2076.7692307692309</v>
      </c>
      <c r="O102" s="71"/>
    </row>
    <row r="103" spans="1:15" ht="27.75" customHeight="1" x14ac:dyDescent="0.5">
      <c r="A103" s="771" t="s">
        <v>249</v>
      </c>
      <c r="B103" s="772"/>
      <c r="C103" s="773"/>
      <c r="D103" s="151" t="s">
        <v>23</v>
      </c>
      <c r="E103" s="95"/>
      <c r="F103" s="95"/>
      <c r="G103" s="166">
        <f>G102/G7</f>
        <v>7.4375844189795648E-2</v>
      </c>
      <c r="H103" s="99">
        <f>G103+'12'!H103</f>
        <v>1.1487364224281411</v>
      </c>
      <c r="I103" s="118"/>
      <c r="J103" s="175">
        <f>H103/DAY(B2)</f>
        <v>8.8364340186780091E-2</v>
      </c>
      <c r="O103" s="71"/>
    </row>
    <row r="104" spans="1:15" ht="27.75" customHeight="1" x14ac:dyDescent="0.5">
      <c r="A104" s="771" t="s">
        <v>250</v>
      </c>
      <c r="B104" s="772"/>
      <c r="C104" s="773"/>
      <c r="D104" s="151" t="s">
        <v>180</v>
      </c>
      <c r="E104" s="95"/>
      <c r="F104" s="95"/>
      <c r="G104" s="99">
        <f>G37+G51</f>
        <v>1663</v>
      </c>
      <c r="H104" s="99">
        <f>G104+'12'!H104</f>
        <v>22365</v>
      </c>
      <c r="I104" s="118"/>
      <c r="J104" s="175">
        <f>H104/DAY(B2)</f>
        <v>1720.3846153846155</v>
      </c>
      <c r="O104" s="71"/>
    </row>
    <row r="105" spans="1:15" ht="27.75" customHeight="1" thickBot="1" x14ac:dyDescent="0.55000000000000004">
      <c r="A105" s="764" t="s">
        <v>251</v>
      </c>
      <c r="B105" s="765"/>
      <c r="C105" s="766"/>
      <c r="D105" s="231" t="s">
        <v>23</v>
      </c>
      <c r="E105" s="185"/>
      <c r="F105" s="185"/>
      <c r="G105" s="186">
        <f>G104/G7</f>
        <v>7.2458716395799747E-2</v>
      </c>
      <c r="H105" s="99">
        <f>G105+'12'!H105</f>
        <v>0.95429602983488893</v>
      </c>
      <c r="I105" s="187"/>
      <c r="J105" s="188">
        <f>H105/DAY(B2)</f>
        <v>7.3407386910376071E-2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760" t="s">
        <v>324</v>
      </c>
      <c r="B108" s="760"/>
      <c r="C108" s="760"/>
      <c r="D108" s="760"/>
      <c r="E108" s="760"/>
      <c r="F108" s="760"/>
      <c r="G108" s="760"/>
      <c r="H108" s="760"/>
      <c r="I108" s="760"/>
      <c r="J108" s="760"/>
    </row>
    <row r="109" spans="1:15" ht="27.75" customHeight="1" x14ac:dyDescent="0.5">
      <c r="A109" s="788"/>
      <c r="B109" s="788"/>
    </row>
    <row r="110" spans="1:15" ht="27.75" customHeight="1" x14ac:dyDescent="0.5">
      <c r="A110" s="761" t="s">
        <v>165</v>
      </c>
      <c r="B110" s="762"/>
      <c r="C110" s="762"/>
      <c r="D110" s="762"/>
      <c r="E110" s="762"/>
      <c r="F110" s="762"/>
      <c r="G110" s="762"/>
      <c r="H110" s="762"/>
      <c r="I110" s="762"/>
      <c r="J110" s="763"/>
    </row>
    <row r="111" spans="1:15" ht="27.75" customHeight="1" x14ac:dyDescent="0.5">
      <c r="A111" s="753"/>
      <c r="B111" s="754"/>
      <c r="C111" s="755"/>
      <c r="D111" s="165"/>
      <c r="E111" s="165"/>
      <c r="F111" s="165"/>
      <c r="G111" s="165"/>
      <c r="H111" s="156"/>
      <c r="I111" s="165"/>
      <c r="J111" s="347"/>
    </row>
    <row r="112" spans="1:15" ht="27.75" customHeight="1" x14ac:dyDescent="0.5">
      <c r="A112" s="750" t="s">
        <v>252</v>
      </c>
      <c r="B112" s="751"/>
      <c r="C112" s="752"/>
      <c r="D112" s="146" t="s">
        <v>183</v>
      </c>
      <c r="E112" s="95">
        <f>'12'!F112</f>
        <v>49281</v>
      </c>
      <c r="F112" s="237">
        <v>49365</v>
      </c>
      <c r="G112" s="112">
        <f t="shared" ref="G112:G123" si="9">F112-E112</f>
        <v>84</v>
      </c>
      <c r="H112" s="99">
        <f>G112+'12'!H112</f>
        <v>1088</v>
      </c>
      <c r="I112" s="165"/>
      <c r="J112" s="348">
        <f>H112/DAY(B2)</f>
        <v>83.692307692307693</v>
      </c>
    </row>
    <row r="113" spans="1:18" ht="27.75" customHeight="1" x14ac:dyDescent="0.5">
      <c r="A113" s="750" t="s">
        <v>253</v>
      </c>
      <c r="B113" s="751"/>
      <c r="C113" s="752"/>
      <c r="D113" s="146" t="s">
        <v>183</v>
      </c>
      <c r="E113" s="95">
        <f>'12'!F113</f>
        <v>156080</v>
      </c>
      <c r="F113" s="237">
        <v>156538</v>
      </c>
      <c r="G113" s="112">
        <f t="shared" si="9"/>
        <v>458</v>
      </c>
      <c r="H113" s="99">
        <f>G113+'12'!H113</f>
        <v>6007</v>
      </c>
      <c r="I113" s="165"/>
      <c r="J113" s="348">
        <f>H113/DAY(B2)</f>
        <v>462.07692307692309</v>
      </c>
    </row>
    <row r="114" spans="1:18" ht="27.75" customHeight="1" x14ac:dyDescent="0.5">
      <c r="A114" s="750" t="s">
        <v>254</v>
      </c>
      <c r="B114" s="751"/>
      <c r="C114" s="752"/>
      <c r="D114" s="146" t="s">
        <v>183</v>
      </c>
      <c r="E114" s="95">
        <f>'12'!F114</f>
        <v>72840</v>
      </c>
      <c r="F114" s="237">
        <v>73067</v>
      </c>
      <c r="G114" s="112">
        <f t="shared" si="9"/>
        <v>227</v>
      </c>
      <c r="H114" s="99">
        <f>G114+'12'!H114</f>
        <v>2867</v>
      </c>
      <c r="I114" s="165"/>
      <c r="J114" s="348">
        <f>H114/DAY(B2)</f>
        <v>220.53846153846155</v>
      </c>
    </row>
    <row r="115" spans="1:18" ht="27.75" customHeight="1" x14ac:dyDescent="0.5">
      <c r="A115" s="750" t="s">
        <v>255</v>
      </c>
      <c r="B115" s="751"/>
      <c r="C115" s="752"/>
      <c r="D115" s="146" t="s">
        <v>183</v>
      </c>
      <c r="E115" s="95">
        <f>'12'!F115</f>
        <v>7878</v>
      </c>
      <c r="F115" s="237">
        <v>7888</v>
      </c>
      <c r="G115" s="112">
        <f t="shared" si="9"/>
        <v>10</v>
      </c>
      <c r="H115" s="99">
        <f>G115+'12'!H115</f>
        <v>140</v>
      </c>
      <c r="I115" s="165"/>
      <c r="J115" s="348">
        <f>H115/DAY(B2)</f>
        <v>10.76923076923077</v>
      </c>
    </row>
    <row r="116" spans="1:18" ht="27.75" customHeight="1" x14ac:dyDescent="0.5">
      <c r="A116" s="757" t="s">
        <v>96</v>
      </c>
      <c r="B116" s="758"/>
      <c r="C116" s="759"/>
      <c r="D116" s="146" t="s">
        <v>183</v>
      </c>
      <c r="E116" s="95">
        <f>'12'!F116</f>
        <v>0</v>
      </c>
      <c r="F116" s="237">
        <v>0</v>
      </c>
      <c r="G116" s="112">
        <f t="shared" si="9"/>
        <v>0</v>
      </c>
      <c r="H116" s="99">
        <f>G116+'12'!H116</f>
        <v>0</v>
      </c>
      <c r="I116" s="165"/>
      <c r="J116" s="348">
        <f>H116/DAY(B2)</f>
        <v>0</v>
      </c>
      <c r="Q116" s="750" t="s">
        <v>311</v>
      </c>
      <c r="R116" s="752"/>
    </row>
    <row r="117" spans="1:18" ht="27.75" customHeight="1" x14ac:dyDescent="0.5">
      <c r="A117" s="757" t="s">
        <v>184</v>
      </c>
      <c r="B117" s="758"/>
      <c r="C117" s="759"/>
      <c r="D117" s="146" t="s">
        <v>183</v>
      </c>
      <c r="E117" s="95">
        <f>'12'!F117</f>
        <v>686</v>
      </c>
      <c r="F117" s="237">
        <v>707</v>
      </c>
      <c r="G117" s="112">
        <f t="shared" si="9"/>
        <v>21</v>
      </c>
      <c r="H117" s="99">
        <f>G117+'12'!H117</f>
        <v>291</v>
      </c>
      <c r="I117" s="165"/>
      <c r="J117" s="348">
        <f>H117/DAY(B2)</f>
        <v>22.384615384615383</v>
      </c>
      <c r="Q117" s="750" t="s">
        <v>312</v>
      </c>
      <c r="R117" s="752"/>
    </row>
    <row r="118" spans="1:18" ht="27.75" customHeight="1" x14ac:dyDescent="0.5">
      <c r="A118" s="749" t="s">
        <v>97</v>
      </c>
      <c r="B118" s="749"/>
      <c r="C118" s="749"/>
      <c r="D118" s="151" t="s">
        <v>183</v>
      </c>
      <c r="E118" s="95">
        <f>'12'!F118</f>
        <v>211460</v>
      </c>
      <c r="F118" s="237">
        <v>211912</v>
      </c>
      <c r="G118" s="112">
        <f t="shared" si="9"/>
        <v>452</v>
      </c>
      <c r="H118" s="99">
        <f>G118+'12'!H118</f>
        <v>5380</v>
      </c>
      <c r="I118" s="165"/>
      <c r="J118" s="348">
        <f>H118/DAY(B2)</f>
        <v>413.84615384615387</v>
      </c>
      <c r="Q118" s="750" t="s">
        <v>311</v>
      </c>
      <c r="R118" s="752"/>
    </row>
    <row r="119" spans="1:18" ht="27.75" customHeight="1" x14ac:dyDescent="0.5">
      <c r="A119" s="749" t="s">
        <v>98</v>
      </c>
      <c r="B119" s="749"/>
      <c r="C119" s="749"/>
      <c r="D119" s="151" t="s">
        <v>183</v>
      </c>
      <c r="E119" s="95">
        <f>'12'!F119</f>
        <v>210895</v>
      </c>
      <c r="F119" s="237">
        <v>211292</v>
      </c>
      <c r="G119" s="112">
        <f t="shared" si="9"/>
        <v>397</v>
      </c>
      <c r="H119" s="99">
        <f>G119+'12'!H119</f>
        <v>5062</v>
      </c>
      <c r="I119" s="165"/>
      <c r="J119" s="348">
        <f>H119/DAY(B2)</f>
        <v>389.38461538461536</v>
      </c>
    </row>
    <row r="120" spans="1:18" ht="27.75" customHeight="1" x14ac:dyDescent="0.5">
      <c r="A120" s="749" t="s">
        <v>99</v>
      </c>
      <c r="B120" s="749"/>
      <c r="C120" s="749"/>
      <c r="D120" s="151" t="s">
        <v>183</v>
      </c>
      <c r="E120" s="95">
        <f>'12'!F120</f>
        <v>10410</v>
      </c>
      <c r="F120" s="237">
        <v>10812</v>
      </c>
      <c r="G120" s="112">
        <f t="shared" si="9"/>
        <v>402</v>
      </c>
      <c r="H120" s="99">
        <f>G120+'12'!H120</f>
        <v>5297</v>
      </c>
      <c r="I120" s="165"/>
      <c r="J120" s="348">
        <f>H120/DAY(B2)</f>
        <v>407.46153846153845</v>
      </c>
    </row>
    <row r="121" spans="1:18" ht="27.75" customHeight="1" x14ac:dyDescent="0.5">
      <c r="A121" s="749" t="s">
        <v>100</v>
      </c>
      <c r="B121" s="749"/>
      <c r="C121" s="749"/>
      <c r="D121" s="151" t="s">
        <v>183</v>
      </c>
      <c r="E121" s="95">
        <f>'12'!F121</f>
        <v>318193</v>
      </c>
      <c r="F121" s="237">
        <v>318900</v>
      </c>
      <c r="G121" s="112">
        <f t="shared" si="9"/>
        <v>707</v>
      </c>
      <c r="H121" s="99">
        <f>G121+'12'!H121</f>
        <v>9455.2700000000186</v>
      </c>
      <c r="I121" s="165"/>
      <c r="J121" s="348">
        <f>H121/DAY(B2)</f>
        <v>727.32846153846299</v>
      </c>
    </row>
    <row r="122" spans="1:18" ht="27.75" customHeight="1" x14ac:dyDescent="0.5">
      <c r="A122" s="749" t="s">
        <v>101</v>
      </c>
      <c r="B122" s="749"/>
      <c r="C122" s="749"/>
      <c r="D122" s="151" t="s">
        <v>183</v>
      </c>
      <c r="E122" s="95">
        <f>'12'!F122</f>
        <v>95389</v>
      </c>
      <c r="F122" s="237">
        <v>95729</v>
      </c>
      <c r="G122" s="112">
        <f t="shared" si="9"/>
        <v>340</v>
      </c>
      <c r="H122" s="99">
        <f>G122+'12'!H122</f>
        <v>4107</v>
      </c>
      <c r="I122" s="165"/>
      <c r="J122" s="348">
        <f>H122/DAY(B2)</f>
        <v>315.92307692307691</v>
      </c>
    </row>
    <row r="123" spans="1:18" ht="27.75" customHeight="1" x14ac:dyDescent="0.5">
      <c r="A123" s="749" t="s">
        <v>102</v>
      </c>
      <c r="B123" s="749"/>
      <c r="C123" s="749"/>
      <c r="D123" s="151" t="s">
        <v>183</v>
      </c>
      <c r="E123" s="95">
        <f>'12'!F123</f>
        <v>119540</v>
      </c>
      <c r="F123" s="237">
        <v>119881</v>
      </c>
      <c r="G123" s="112">
        <f t="shared" si="9"/>
        <v>341</v>
      </c>
      <c r="H123" s="99">
        <f>G123+'12'!H123</f>
        <v>4338</v>
      </c>
      <c r="I123" s="165"/>
      <c r="J123" s="348">
        <f>H123/DAY(B2)</f>
        <v>333.69230769230768</v>
      </c>
    </row>
    <row r="124" spans="1:18" ht="27.75" customHeight="1" x14ac:dyDescent="0.5">
      <c r="A124" s="753"/>
      <c r="B124" s="754"/>
      <c r="C124" s="755"/>
      <c r="D124" s="165"/>
      <c r="E124" s="165"/>
      <c r="F124" s="165"/>
      <c r="G124" s="347"/>
      <c r="H124" s="156"/>
      <c r="I124" s="165"/>
      <c r="J124" s="347"/>
    </row>
    <row r="125" spans="1:18" ht="27.75" customHeight="1" x14ac:dyDescent="0.5">
      <c r="A125" s="737"/>
      <c r="B125" s="737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customHeight="1" x14ac:dyDescent="0.5">
      <c r="A126" s="756" t="s">
        <v>317</v>
      </c>
      <c r="B126" s="756"/>
      <c r="C126" s="756"/>
      <c r="D126" s="756"/>
      <c r="E126" s="756"/>
      <c r="F126" s="756"/>
      <c r="G126" s="756"/>
      <c r="H126" s="756"/>
      <c r="I126" s="756"/>
      <c r="J126" s="756"/>
    </row>
    <row r="127" spans="1:18" ht="27.75" customHeight="1" x14ac:dyDescent="0.5">
      <c r="A127" s="737"/>
      <c r="B127" s="737"/>
      <c r="C127" s="246"/>
      <c r="D127" s="317"/>
      <c r="E127" s="318"/>
      <c r="F127" s="318"/>
      <c r="G127" s="319"/>
      <c r="H127" s="99">
        <f>G127+'12'!H127</f>
        <v>0</v>
      </c>
      <c r="I127" s="165"/>
      <c r="J127" s="348">
        <f>H127/DAY(B2)</f>
        <v>0</v>
      </c>
    </row>
    <row r="128" spans="1:18" ht="27.75" customHeight="1" x14ac:dyDescent="0.5">
      <c r="A128" s="750" t="s">
        <v>318</v>
      </c>
      <c r="B128" s="751"/>
      <c r="C128" s="752"/>
      <c r="D128" s="151" t="s">
        <v>183</v>
      </c>
      <c r="E128" s="95">
        <f>'12'!F128</f>
        <v>11585</v>
      </c>
      <c r="F128" s="165">
        <v>11893</v>
      </c>
      <c r="G128" s="112">
        <f t="shared" ref="G128:G134" si="10">F128-E128</f>
        <v>308</v>
      </c>
      <c r="H128" s="99">
        <f>G128+'12'!H128</f>
        <v>4282</v>
      </c>
      <c r="I128" s="165"/>
      <c r="J128" s="348">
        <f>H128/DAY(B2)</f>
        <v>329.38461538461536</v>
      </c>
    </row>
    <row r="129" spans="1:15" ht="27.75" customHeight="1" x14ac:dyDescent="0.5">
      <c r="A129" s="349" t="s">
        <v>319</v>
      </c>
      <c r="B129" s="350"/>
      <c r="C129" s="351"/>
      <c r="D129" s="151" t="s">
        <v>183</v>
      </c>
      <c r="E129" s="95">
        <f>'12'!F129</f>
        <v>2567</v>
      </c>
      <c r="F129" s="165">
        <v>2780</v>
      </c>
      <c r="G129" s="112">
        <f t="shared" si="10"/>
        <v>213</v>
      </c>
      <c r="H129" s="99">
        <f>G129+'12'!H129</f>
        <v>2666</v>
      </c>
      <c r="I129" s="165"/>
      <c r="J129" s="348">
        <f>H129/DAY(B2)</f>
        <v>205.07692307692307</v>
      </c>
      <c r="N129" s="240"/>
      <c r="O129" s="241"/>
    </row>
    <row r="130" spans="1:15" ht="27.75" customHeight="1" x14ac:dyDescent="0.5">
      <c r="A130" s="349" t="s">
        <v>320</v>
      </c>
      <c r="B130" s="350"/>
      <c r="C130" s="351"/>
      <c r="D130" s="151" t="s">
        <v>183</v>
      </c>
      <c r="E130" s="95">
        <f>'12'!F130</f>
        <v>3030</v>
      </c>
      <c r="F130" s="165">
        <v>3277</v>
      </c>
      <c r="G130" s="112">
        <f t="shared" si="10"/>
        <v>247</v>
      </c>
      <c r="H130" s="99">
        <f>G130+'12'!H130</f>
        <v>3097</v>
      </c>
      <c r="I130" s="165"/>
      <c r="J130" s="348">
        <f>H130/DAY(B2)</f>
        <v>238.23076923076923</v>
      </c>
      <c r="N130" s="240"/>
      <c r="O130" s="241"/>
    </row>
    <row r="131" spans="1:15" ht="27.75" customHeight="1" x14ac:dyDescent="0.5">
      <c r="A131" s="750" t="s">
        <v>321</v>
      </c>
      <c r="B131" s="751"/>
      <c r="C131" s="752"/>
      <c r="D131" s="151" t="s">
        <v>183</v>
      </c>
      <c r="E131" s="95">
        <f>'12'!F131</f>
        <v>1658</v>
      </c>
      <c r="F131" s="165">
        <v>1794</v>
      </c>
      <c r="G131" s="112">
        <f t="shared" si="10"/>
        <v>136</v>
      </c>
      <c r="H131" s="99">
        <f>G131+'12'!H131</f>
        <v>1684</v>
      </c>
      <c r="I131" s="165"/>
      <c r="J131" s="348">
        <f>H131/DAY(B2)</f>
        <v>129.53846153846155</v>
      </c>
      <c r="N131" s="240"/>
      <c r="O131" s="241"/>
    </row>
    <row r="132" spans="1:15" ht="27.75" customHeight="1" x14ac:dyDescent="0.5">
      <c r="A132" s="750" t="s">
        <v>322</v>
      </c>
      <c r="B132" s="751"/>
      <c r="C132" s="752"/>
      <c r="D132" s="151" t="s">
        <v>183</v>
      </c>
      <c r="E132" s="95">
        <f>'12'!F132</f>
        <v>5021</v>
      </c>
      <c r="F132" s="165">
        <v>5420</v>
      </c>
      <c r="G132" s="112">
        <f t="shared" si="10"/>
        <v>399</v>
      </c>
      <c r="H132" s="99">
        <f>G132+'12'!H132</f>
        <v>5099</v>
      </c>
      <c r="I132" s="165"/>
      <c r="J132" s="348">
        <f>H132/DAY(B2)</f>
        <v>392.23076923076923</v>
      </c>
    </row>
    <row r="133" spans="1:15" ht="27.75" customHeight="1" x14ac:dyDescent="0.5">
      <c r="A133" s="750" t="s">
        <v>323</v>
      </c>
      <c r="B133" s="751"/>
      <c r="C133" s="752"/>
      <c r="D133" s="151" t="s">
        <v>183</v>
      </c>
      <c r="E133" s="95">
        <f>'12'!F133</f>
        <v>25874</v>
      </c>
      <c r="F133" s="165">
        <v>26598</v>
      </c>
      <c r="G133" s="112">
        <f t="shared" si="10"/>
        <v>724</v>
      </c>
      <c r="H133" s="99">
        <f>G133+'12'!H133</f>
        <v>10207</v>
      </c>
      <c r="I133" s="165"/>
      <c r="J133" s="348">
        <f>H133/DAY(B2)</f>
        <v>785.15384615384619</v>
      </c>
    </row>
    <row r="134" spans="1:15" ht="27.75" customHeight="1" x14ac:dyDescent="0.5">
      <c r="A134" s="750" t="s">
        <v>340</v>
      </c>
      <c r="B134" s="751"/>
      <c r="C134" s="752"/>
      <c r="D134" s="151" t="s">
        <v>183</v>
      </c>
      <c r="E134" s="95">
        <f>'12'!F134</f>
        <v>620092</v>
      </c>
      <c r="F134" s="165">
        <v>620712</v>
      </c>
      <c r="G134" s="112">
        <f t="shared" si="10"/>
        <v>620</v>
      </c>
      <c r="H134" s="99">
        <f>G134+'12'!H134</f>
        <v>6297</v>
      </c>
      <c r="I134" s="165"/>
      <c r="J134" s="348">
        <f>H134/DAY(B2)</f>
        <v>484.38461538461536</v>
      </c>
    </row>
    <row r="135" spans="1:15" ht="27.75" customHeight="1" x14ac:dyDescent="0.5">
      <c r="A135" s="753"/>
      <c r="B135" s="754"/>
      <c r="C135" s="755"/>
      <c r="D135" s="151"/>
      <c r="E135" s="95"/>
      <c r="F135" s="165"/>
      <c r="G135" s="112"/>
      <c r="H135" s="99">
        <f>G135+'12'!H135</f>
        <v>5534.2300000000005</v>
      </c>
      <c r="I135" s="165"/>
      <c r="J135" s="348">
        <f>H135/DAY(B2)</f>
        <v>425.71000000000004</v>
      </c>
    </row>
    <row r="136" spans="1:15" ht="27.75" customHeight="1" x14ac:dyDescent="0.55000000000000004">
      <c r="A136" s="736" t="s">
        <v>325</v>
      </c>
      <c r="B136" s="736"/>
      <c r="C136" s="736"/>
      <c r="D136" s="736"/>
      <c r="E136" s="736"/>
      <c r="F136" s="736"/>
      <c r="G136" s="736"/>
      <c r="H136" s="736"/>
      <c r="I136" s="736"/>
      <c r="J136" s="736"/>
    </row>
    <row r="137" spans="1:15" ht="27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customHeight="1" x14ac:dyDescent="0.5">
      <c r="A138" s="749" t="s">
        <v>185</v>
      </c>
      <c r="B138" s="749"/>
      <c r="C138" s="749"/>
      <c r="D138" s="151" t="s">
        <v>183</v>
      </c>
      <c r="E138" s="95">
        <f>'12'!F138</f>
        <v>858366</v>
      </c>
      <c r="F138" s="147">
        <v>858434</v>
      </c>
      <c r="G138" s="112">
        <f t="shared" ref="G138:G152" si="11">F138-E138</f>
        <v>68</v>
      </c>
      <c r="H138" s="99">
        <f>G138+'12'!H138</f>
        <v>1081</v>
      </c>
      <c r="I138" s="118"/>
      <c r="J138" s="348">
        <f>H138/DAY(B2)</f>
        <v>83.15384615384616</v>
      </c>
    </row>
    <row r="139" spans="1:15" ht="27.75" customHeight="1" x14ac:dyDescent="0.5">
      <c r="A139" s="749" t="s">
        <v>186</v>
      </c>
      <c r="B139" s="749"/>
      <c r="C139" s="749"/>
      <c r="D139" s="151" t="s">
        <v>183</v>
      </c>
      <c r="E139" s="95">
        <f>'12'!F139</f>
        <v>886069</v>
      </c>
      <c r="F139" s="148">
        <v>886071</v>
      </c>
      <c r="G139" s="112">
        <f t="shared" si="11"/>
        <v>2</v>
      </c>
      <c r="H139" s="99">
        <f>G139+'12'!H139</f>
        <v>9</v>
      </c>
      <c r="I139" s="118"/>
      <c r="J139" s="348">
        <f>H139/DAY(B2)</f>
        <v>0.69230769230769229</v>
      </c>
    </row>
    <row r="140" spans="1:15" ht="27.75" customHeight="1" x14ac:dyDescent="0.5">
      <c r="A140" s="749" t="s">
        <v>187</v>
      </c>
      <c r="B140" s="749"/>
      <c r="C140" s="749"/>
      <c r="D140" s="151" t="s">
        <v>183</v>
      </c>
      <c r="E140" s="95">
        <f>'12'!F140</f>
        <v>88797</v>
      </c>
      <c r="F140" s="149">
        <v>88797</v>
      </c>
      <c r="G140" s="112">
        <f t="shared" si="11"/>
        <v>0</v>
      </c>
      <c r="H140" s="99">
        <f>G140+'12'!H140</f>
        <v>-1</v>
      </c>
      <c r="I140" s="118"/>
      <c r="J140" s="348">
        <f>H140/DAY(B2)</f>
        <v>-7.6923076923076927E-2</v>
      </c>
    </row>
    <row r="141" spans="1:15" ht="27.75" customHeight="1" x14ac:dyDescent="0.5">
      <c r="A141" s="728" t="s">
        <v>188</v>
      </c>
      <c r="B141" s="728"/>
      <c r="C141" s="728"/>
      <c r="D141" s="151" t="s">
        <v>183</v>
      </c>
      <c r="E141" s="95">
        <f>'12'!F141</f>
        <v>33727</v>
      </c>
      <c r="F141" s="149">
        <v>33909</v>
      </c>
      <c r="G141" s="112">
        <f t="shared" si="11"/>
        <v>182</v>
      </c>
      <c r="H141" s="99">
        <f>G141+'12'!H141</f>
        <v>2373</v>
      </c>
      <c r="I141" s="118"/>
      <c r="J141" s="348">
        <f>H141/DAY(B2)</f>
        <v>182.53846153846155</v>
      </c>
    </row>
    <row r="142" spans="1:15" ht="27.75" customHeight="1" x14ac:dyDescent="0.5">
      <c r="A142" s="728" t="s">
        <v>189</v>
      </c>
      <c r="B142" s="728"/>
      <c r="C142" s="728"/>
      <c r="D142" s="151" t="s">
        <v>183</v>
      </c>
      <c r="E142" s="95">
        <f>'12'!F142</f>
        <v>16168</v>
      </c>
      <c r="F142" s="148">
        <v>16241</v>
      </c>
      <c r="G142" s="112">
        <f t="shared" si="11"/>
        <v>73</v>
      </c>
      <c r="H142" s="99">
        <f>G142+'12'!H142</f>
        <v>919</v>
      </c>
      <c r="I142" s="140"/>
      <c r="J142" s="348">
        <f>H142/DAY(B2)</f>
        <v>70.692307692307693</v>
      </c>
    </row>
    <row r="143" spans="1:15" ht="27.75" customHeight="1" x14ac:dyDescent="0.5">
      <c r="A143" s="749" t="s">
        <v>91</v>
      </c>
      <c r="B143" s="749"/>
      <c r="C143" s="749"/>
      <c r="D143" s="151" t="s">
        <v>183</v>
      </c>
      <c r="E143" s="95">
        <f>'12'!F143</f>
        <v>859</v>
      </c>
      <c r="F143" s="149">
        <v>890</v>
      </c>
      <c r="G143" s="112">
        <f t="shared" si="11"/>
        <v>31</v>
      </c>
      <c r="H143" s="99">
        <f>G143+'12'!H143</f>
        <v>361</v>
      </c>
      <c r="I143" s="140"/>
      <c r="J143" s="348">
        <f>H143/DAY(B2)</f>
        <v>27.76923076923077</v>
      </c>
    </row>
    <row r="144" spans="1:15" ht="27.75" customHeight="1" x14ac:dyDescent="0.5">
      <c r="A144" s="728" t="s">
        <v>90</v>
      </c>
      <c r="B144" s="728"/>
      <c r="C144" s="728"/>
      <c r="D144" s="151" t="s">
        <v>183</v>
      </c>
      <c r="E144" s="95">
        <f>'12'!F144</f>
        <v>852044</v>
      </c>
      <c r="F144" s="149">
        <v>852213</v>
      </c>
      <c r="G144" s="112">
        <f t="shared" si="11"/>
        <v>169</v>
      </c>
      <c r="H144" s="99">
        <f>G144+'12'!H144</f>
        <v>2176</v>
      </c>
      <c r="I144" s="140"/>
      <c r="J144" s="348">
        <f>H144/DAY(B2)</f>
        <v>167.38461538461539</v>
      </c>
    </row>
    <row r="145" spans="1:10" ht="27.75" customHeight="1" x14ac:dyDescent="0.5">
      <c r="A145" s="749" t="s">
        <v>190</v>
      </c>
      <c r="B145" s="749"/>
      <c r="C145" s="749"/>
      <c r="D145" s="152" t="s">
        <v>183</v>
      </c>
      <c r="E145" s="95">
        <f>'12'!F145</f>
        <v>1474</v>
      </c>
      <c r="F145" s="149">
        <v>1509</v>
      </c>
      <c r="G145" s="112">
        <f t="shared" si="11"/>
        <v>35</v>
      </c>
      <c r="H145" s="99">
        <f>G145+'12'!H145</f>
        <v>555</v>
      </c>
      <c r="I145" s="140"/>
      <c r="J145" s="348">
        <f>H145/DAY(B2)</f>
        <v>42.692307692307693</v>
      </c>
    </row>
    <row r="146" spans="1:10" ht="27.75" customHeight="1" x14ac:dyDescent="0.5">
      <c r="A146" s="784" t="s">
        <v>191</v>
      </c>
      <c r="B146" s="769"/>
      <c r="C146" s="770"/>
      <c r="D146" s="152" t="s">
        <v>183</v>
      </c>
      <c r="E146" s="95">
        <f>'12'!F146</f>
        <v>691239</v>
      </c>
      <c r="F146" s="148">
        <v>691608</v>
      </c>
      <c r="G146" s="112">
        <f t="shared" si="11"/>
        <v>369</v>
      </c>
      <c r="H146" s="99">
        <f>G146+'12'!H146</f>
        <v>4416</v>
      </c>
      <c r="I146" s="140"/>
      <c r="J146" s="348">
        <f>H146/DAY(B2)</f>
        <v>339.69230769230768</v>
      </c>
    </row>
    <row r="147" spans="1:10" ht="27.75" customHeight="1" x14ac:dyDescent="0.5">
      <c r="A147" s="728" t="s">
        <v>192</v>
      </c>
      <c r="B147" s="728"/>
      <c r="C147" s="728"/>
      <c r="D147" s="152" t="s">
        <v>183</v>
      </c>
      <c r="E147" s="95">
        <f>'12'!F147</f>
        <v>581024</v>
      </c>
      <c r="F147" s="148">
        <v>581416</v>
      </c>
      <c r="G147" s="112">
        <f t="shared" si="11"/>
        <v>392</v>
      </c>
      <c r="H147" s="99">
        <f>G147+'12'!H147</f>
        <v>5344</v>
      </c>
      <c r="I147" s="140"/>
      <c r="J147" s="348">
        <f>H147/DAY(B2)</f>
        <v>411.07692307692309</v>
      </c>
    </row>
    <row r="148" spans="1:10" ht="27.75" customHeight="1" x14ac:dyDescent="0.5">
      <c r="A148" s="729" t="s">
        <v>193</v>
      </c>
      <c r="B148" s="730"/>
      <c r="C148" s="731"/>
      <c r="D148" s="123" t="s">
        <v>130</v>
      </c>
      <c r="E148" s="95">
        <f>'12'!F148</f>
        <v>660823</v>
      </c>
      <c r="F148" s="150">
        <v>660979</v>
      </c>
      <c r="G148" s="112">
        <f t="shared" si="11"/>
        <v>156</v>
      </c>
      <c r="H148" s="99">
        <f>G148+'12'!H148</f>
        <v>2379</v>
      </c>
      <c r="I148" s="124"/>
      <c r="J148" s="348">
        <f>H148/DAY(B2)</f>
        <v>183</v>
      </c>
    </row>
    <row r="149" spans="1:10" ht="27.75" customHeight="1" x14ac:dyDescent="0.5">
      <c r="A149" s="729" t="s">
        <v>336</v>
      </c>
      <c r="B149" s="730"/>
      <c r="C149" s="731"/>
      <c r="D149" s="227" t="s">
        <v>130</v>
      </c>
      <c r="E149" s="95">
        <f>'12'!F149</f>
        <v>78334</v>
      </c>
      <c r="F149" s="146">
        <v>78632</v>
      </c>
      <c r="G149" s="112">
        <f t="shared" si="11"/>
        <v>298</v>
      </c>
      <c r="H149" s="99">
        <f>G149+'12'!H149</f>
        <v>3210</v>
      </c>
      <c r="I149" s="119"/>
      <c r="J149" s="348">
        <f>H149/DAY(B2)</f>
        <v>246.92307692307693</v>
      </c>
    </row>
    <row r="150" spans="1:10" ht="27.75" customHeight="1" x14ac:dyDescent="0.5">
      <c r="A150" s="729" t="s">
        <v>337</v>
      </c>
      <c r="B150" s="730"/>
      <c r="C150" s="731"/>
      <c r="D150" s="117" t="s">
        <v>130</v>
      </c>
      <c r="E150" s="95">
        <f>'12'!F150</f>
        <v>7167232</v>
      </c>
      <c r="F150" s="233">
        <v>7167232</v>
      </c>
      <c r="G150" s="112">
        <f t="shared" si="11"/>
        <v>0</v>
      </c>
      <c r="H150" s="99">
        <f>G150+'12'!H150</f>
        <v>0</v>
      </c>
      <c r="I150" s="119"/>
      <c r="J150" s="348">
        <f>H150/DAY(B2)</f>
        <v>0</v>
      </c>
    </row>
    <row r="151" spans="1:10" ht="27.75" customHeight="1" x14ac:dyDescent="0.5">
      <c r="A151" s="729" t="s">
        <v>338</v>
      </c>
      <c r="B151" s="730"/>
      <c r="C151" s="731"/>
      <c r="D151" s="117" t="s">
        <v>130</v>
      </c>
      <c r="E151" s="95">
        <f>'12'!F151</f>
        <v>57295</v>
      </c>
      <c r="F151" s="233">
        <v>57658</v>
      </c>
      <c r="G151" s="112">
        <f t="shared" si="11"/>
        <v>363</v>
      </c>
      <c r="H151" s="99">
        <f>G151+'12'!H151</f>
        <v>4279</v>
      </c>
      <c r="I151" s="119"/>
      <c r="J151" s="348">
        <f>H151/DAY(B2)</f>
        <v>329.15384615384613</v>
      </c>
    </row>
    <row r="152" spans="1:10" ht="27.75" customHeight="1" x14ac:dyDescent="0.5">
      <c r="A152" s="729" t="s">
        <v>339</v>
      </c>
      <c r="B152" s="730"/>
      <c r="C152" s="731"/>
      <c r="D152" s="117" t="s">
        <v>130</v>
      </c>
      <c r="E152" s="95">
        <f>'12'!F152</f>
        <v>0</v>
      </c>
      <c r="F152" s="233">
        <v>0</v>
      </c>
      <c r="G152" s="112">
        <f t="shared" si="11"/>
        <v>0</v>
      </c>
      <c r="H152" s="99">
        <f>G152+'12'!H152</f>
        <v>0</v>
      </c>
      <c r="I152" s="119"/>
      <c r="J152" s="348">
        <f>H152/DAY(B2)</f>
        <v>0</v>
      </c>
    </row>
    <row r="153" spans="1:10" ht="27.75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27.75" customHeight="1" x14ac:dyDescent="0.55000000000000004">
      <c r="A154" s="736" t="s">
        <v>344</v>
      </c>
      <c r="B154" s="736"/>
      <c r="C154" s="736"/>
      <c r="D154" s="736"/>
      <c r="E154" s="736"/>
      <c r="F154" s="736"/>
      <c r="G154" s="736"/>
      <c r="H154" s="736"/>
      <c r="I154" s="736"/>
      <c r="J154" s="736"/>
    </row>
    <row r="155" spans="1:10" ht="27.75" customHeight="1" x14ac:dyDescent="0.55000000000000004">
      <c r="A155" s="728" t="s">
        <v>345</v>
      </c>
      <c r="B155" s="728"/>
      <c r="C155" s="728"/>
      <c r="D155" s="117" t="s">
        <v>130</v>
      </c>
      <c r="E155" s="95">
        <f>'12'!F155</f>
        <v>77111</v>
      </c>
      <c r="F155" s="397">
        <v>77120</v>
      </c>
      <c r="G155" s="112">
        <f t="shared" ref="G155:G156" si="12">F155-E155</f>
        <v>9</v>
      </c>
      <c r="H155" s="99">
        <f>G155+'12'!H155</f>
        <v>92.100000000005821</v>
      </c>
      <c r="I155" s="385"/>
      <c r="J155" s="348">
        <f>H155/DAY(B2)</f>
        <v>7.084615384615832</v>
      </c>
    </row>
    <row r="156" spans="1:10" ht="27.75" customHeight="1" x14ac:dyDescent="0.5">
      <c r="A156" s="728" t="s">
        <v>347</v>
      </c>
      <c r="B156" s="728"/>
      <c r="C156" s="728"/>
      <c r="D156" s="117" t="s">
        <v>130</v>
      </c>
      <c r="E156" s="95">
        <f>'12'!F156</f>
        <v>0</v>
      </c>
      <c r="F156" s="165">
        <v>0</v>
      </c>
      <c r="G156" s="112">
        <f t="shared" si="12"/>
        <v>0</v>
      </c>
      <c r="H156" s="99">
        <f>G156+'12'!H156</f>
        <v>0</v>
      </c>
      <c r="I156" s="165"/>
      <c r="J156" s="348">
        <f>H156/DAY(B2)</f>
        <v>0</v>
      </c>
    </row>
    <row r="157" spans="1:10" ht="27.75" customHeight="1" x14ac:dyDescent="0.55000000000000004">
      <c r="A157" s="736" t="s">
        <v>326</v>
      </c>
      <c r="B157" s="736"/>
      <c r="C157" s="736"/>
      <c r="D157" s="736"/>
      <c r="E157" s="736"/>
      <c r="F157" s="736"/>
      <c r="G157" s="736"/>
      <c r="H157" s="736"/>
      <c r="I157" s="736"/>
      <c r="J157" s="736"/>
    </row>
    <row r="158" spans="1:10" ht="27.75" customHeight="1" x14ac:dyDescent="0.5">
      <c r="A158" s="242" t="s">
        <v>92</v>
      </c>
      <c r="B158" s="243"/>
      <c r="C158" s="243"/>
      <c r="D158" s="244" t="s">
        <v>180</v>
      </c>
      <c r="E158" s="95">
        <f>'12'!F158</f>
        <v>466881</v>
      </c>
      <c r="F158" s="235">
        <v>466931</v>
      </c>
      <c r="G158" s="238">
        <f t="shared" ref="G158:G162" si="13">F158-E158</f>
        <v>50</v>
      </c>
      <c r="H158" s="99">
        <f>G158+'12'!H158</f>
        <v>1670</v>
      </c>
      <c r="I158" s="236"/>
      <c r="J158" s="239">
        <f>H158/DAY(B2)</f>
        <v>128.46153846153845</v>
      </c>
    </row>
    <row r="159" spans="1:10" ht="27.75" customHeight="1" x14ac:dyDescent="0.5">
      <c r="A159" s="242" t="s">
        <v>93</v>
      </c>
      <c r="B159" s="243"/>
      <c r="C159" s="243"/>
      <c r="D159" s="244" t="s">
        <v>180</v>
      </c>
      <c r="E159" s="95">
        <f>'12'!F159</f>
        <v>85203</v>
      </c>
      <c r="F159" s="235">
        <v>85240</v>
      </c>
      <c r="G159" s="238">
        <f t="shared" si="13"/>
        <v>37</v>
      </c>
      <c r="H159" s="99">
        <f>G159+'12'!H159</f>
        <v>430</v>
      </c>
      <c r="I159" s="236"/>
      <c r="J159" s="239">
        <f>H159/DAY(B2)</f>
        <v>33.07692307692308</v>
      </c>
    </row>
    <row r="160" spans="1:10" ht="27.75" customHeight="1" x14ac:dyDescent="0.5">
      <c r="A160" s="242" t="s">
        <v>197</v>
      </c>
      <c r="B160" s="243"/>
      <c r="C160" s="243"/>
      <c r="D160" s="244" t="s">
        <v>180</v>
      </c>
      <c r="E160" s="95">
        <f>'12'!F160</f>
        <v>71786</v>
      </c>
      <c r="F160" s="235">
        <v>71903</v>
      </c>
      <c r="G160" s="238">
        <f t="shared" si="13"/>
        <v>117</v>
      </c>
      <c r="H160" s="99">
        <f>G160+'12'!H160</f>
        <v>932</v>
      </c>
      <c r="I160" s="236"/>
      <c r="J160" s="239">
        <f>H160/DAY(B2)</f>
        <v>71.692307692307693</v>
      </c>
    </row>
    <row r="161" spans="1:10" ht="27.75" customHeight="1" x14ac:dyDescent="0.5">
      <c r="A161" s="242" t="s">
        <v>197</v>
      </c>
      <c r="B161" s="243"/>
      <c r="C161" s="243"/>
      <c r="D161" s="244" t="s">
        <v>180</v>
      </c>
      <c r="E161" s="95">
        <f>'12'!F161</f>
        <v>3872</v>
      </c>
      <c r="F161" s="235">
        <v>3879</v>
      </c>
      <c r="G161" s="238">
        <f t="shared" si="13"/>
        <v>7</v>
      </c>
      <c r="H161" s="99">
        <f>G161+'12'!H161</f>
        <v>82</v>
      </c>
      <c r="I161" s="236"/>
      <c r="J161" s="239">
        <f>H161/DAY(B2)</f>
        <v>6.3076923076923075</v>
      </c>
    </row>
    <row r="162" spans="1:10" ht="27.75" customHeight="1" x14ac:dyDescent="0.5">
      <c r="A162" s="242" t="s">
        <v>309</v>
      </c>
      <c r="B162" s="243"/>
      <c r="C162" s="243"/>
      <c r="D162" s="244" t="s">
        <v>180</v>
      </c>
      <c r="E162" s="95">
        <f>'12'!F162</f>
        <v>29058</v>
      </c>
      <c r="F162" s="235">
        <v>29070</v>
      </c>
      <c r="G162" s="238">
        <f t="shared" si="13"/>
        <v>12</v>
      </c>
      <c r="H162" s="99">
        <f>G162+'12'!H162</f>
        <v>98</v>
      </c>
      <c r="I162" s="236"/>
      <c r="J162" s="239">
        <f>H162/DAY(B2)</f>
        <v>7.5384615384615383</v>
      </c>
    </row>
    <row r="163" spans="1:10" ht="27.75" customHeight="1" x14ac:dyDescent="0.5">
      <c r="A163" s="737"/>
      <c r="B163" s="737"/>
      <c r="C163" s="247"/>
      <c r="D163" s="244" t="s">
        <v>180</v>
      </c>
      <c r="E163" s="95">
        <f>'12'!F163</f>
        <v>0</v>
      </c>
      <c r="F163" s="165"/>
      <c r="G163" s="165"/>
      <c r="H163" s="99">
        <f>G163+'12'!H163</f>
        <v>0</v>
      </c>
      <c r="I163" s="165"/>
      <c r="J163" s="239">
        <f>H163/DAY(B2)</f>
        <v>0</v>
      </c>
    </row>
    <row r="164" spans="1:10" ht="27.75" customHeight="1" x14ac:dyDescent="0.5">
      <c r="A164" s="737"/>
      <c r="B164" s="737"/>
      <c r="C164" s="247"/>
      <c r="D164" s="244" t="s">
        <v>180</v>
      </c>
      <c r="E164" s="95">
        <f>'12'!F164</f>
        <v>0</v>
      </c>
      <c r="F164" s="165"/>
      <c r="G164" s="165"/>
      <c r="H164" s="99">
        <f>G164+'12'!H164</f>
        <v>0</v>
      </c>
      <c r="I164" s="165"/>
      <c r="J164" s="239">
        <f>H164/DAY(B2)</f>
        <v>0</v>
      </c>
    </row>
    <row r="165" spans="1:10" ht="27.75" customHeight="1" x14ac:dyDescent="0.5">
      <c r="A165" s="737"/>
      <c r="B165" s="737"/>
      <c r="C165" s="247"/>
      <c r="D165" s="244" t="s">
        <v>180</v>
      </c>
      <c r="E165" s="95">
        <f>'12'!F165</f>
        <v>0</v>
      </c>
      <c r="F165" s="165"/>
      <c r="G165" s="165"/>
      <c r="H165" s="99">
        <f>G165+'12'!H165</f>
        <v>0</v>
      </c>
      <c r="I165" s="165"/>
      <c r="J165" s="239">
        <f>H165/DAY(B2)</f>
        <v>0</v>
      </c>
    </row>
    <row r="168" spans="1:10" ht="27.75" customHeight="1" x14ac:dyDescent="0.35">
      <c r="A168" s="738" t="s">
        <v>330</v>
      </c>
      <c r="B168" s="739"/>
      <c r="C168" s="739"/>
      <c r="D168" s="739"/>
      <c r="E168" s="739"/>
      <c r="F168" s="739"/>
      <c r="G168" s="739"/>
      <c r="H168" s="739"/>
      <c r="I168" s="739"/>
      <c r="J168" s="740"/>
    </row>
    <row r="169" spans="1:10" ht="27.75" customHeight="1" x14ac:dyDescent="0.5">
      <c r="A169" s="747"/>
      <c r="B169" s="748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customHeight="1" x14ac:dyDescent="0.5">
      <c r="A170" s="743" t="s">
        <v>209</v>
      </c>
      <c r="B170" s="744"/>
      <c r="C170" s="353"/>
      <c r="D170" s="228" t="s">
        <v>142</v>
      </c>
      <c r="E170" s="95">
        <f>'12'!F170</f>
        <v>7898</v>
      </c>
      <c r="F170" s="155">
        <v>7898</v>
      </c>
      <c r="G170" s="155">
        <f>F170-E170</f>
        <v>0</v>
      </c>
      <c r="H170" s="99">
        <f>G170+'12'!H170</f>
        <v>3</v>
      </c>
      <c r="I170" s="155"/>
      <c r="J170" s="178">
        <f>H170/DAY(B2)</f>
        <v>0.23076923076923078</v>
      </c>
    </row>
    <row r="171" spans="1:10" ht="27.75" customHeight="1" x14ac:dyDescent="0.5">
      <c r="A171" s="743" t="s">
        <v>75</v>
      </c>
      <c r="B171" s="744"/>
      <c r="C171" s="353"/>
      <c r="D171" s="228" t="s">
        <v>142</v>
      </c>
      <c r="E171" s="95">
        <f>'12'!F171</f>
        <v>37136</v>
      </c>
      <c r="F171" s="157">
        <v>37158</v>
      </c>
      <c r="G171" s="155">
        <f t="shared" ref="G171:G172" si="14">F171-E171</f>
        <v>22</v>
      </c>
      <c r="H171" s="99">
        <f>G171+'12'!H171</f>
        <v>518</v>
      </c>
      <c r="I171" s="155"/>
      <c r="J171" s="178">
        <f>H171/DAY(B2)</f>
        <v>39.846153846153847</v>
      </c>
    </row>
    <row r="172" spans="1:10" ht="27.75" customHeight="1" x14ac:dyDescent="0.5">
      <c r="A172" s="743" t="s">
        <v>76</v>
      </c>
      <c r="B172" s="783"/>
      <c r="C172" s="744"/>
      <c r="D172" s="228" t="s">
        <v>142</v>
      </c>
      <c r="E172" s="95">
        <f>'12'!F172</f>
        <v>20595</v>
      </c>
      <c r="F172" s="155">
        <v>20605</v>
      </c>
      <c r="G172" s="155">
        <f t="shared" si="14"/>
        <v>10</v>
      </c>
      <c r="H172" s="99">
        <f>G172+'12'!H172</f>
        <v>136</v>
      </c>
      <c r="I172" s="155"/>
      <c r="J172" s="178">
        <f>H172/DAY(B2)</f>
        <v>10.461538461538462</v>
      </c>
    </row>
    <row r="173" spans="1:10" ht="27.75" customHeight="1" x14ac:dyDescent="0.5">
      <c r="A173" s="732" t="s">
        <v>196</v>
      </c>
      <c r="B173" s="733"/>
      <c r="C173" s="611"/>
      <c r="D173" s="228" t="s">
        <v>142</v>
      </c>
      <c r="E173" s="95"/>
      <c r="F173" s="155"/>
      <c r="G173" s="155">
        <f>SUM(G170:G172)</f>
        <v>32</v>
      </c>
      <c r="H173" s="99">
        <f>G173+'12'!H173</f>
        <v>657</v>
      </c>
      <c r="I173" s="155"/>
      <c r="J173" s="178">
        <f>H173/DAY(B2)</f>
        <v>50.53846153846154</v>
      </c>
    </row>
    <row r="174" spans="1:10" ht="27.75" customHeight="1" x14ac:dyDescent="0.5">
      <c r="A174" s="743" t="s">
        <v>77</v>
      </c>
      <c r="B174" s="744"/>
      <c r="C174" s="353"/>
      <c r="D174" s="228" t="s">
        <v>142</v>
      </c>
      <c r="E174" s="95"/>
      <c r="F174" s="155"/>
      <c r="G174" s="155"/>
      <c r="H174" s="99">
        <f>G174+'12'!H174</f>
        <v>0</v>
      </c>
      <c r="I174" s="155"/>
      <c r="J174" s="178">
        <f>H174/DAY(B2)</f>
        <v>0</v>
      </c>
    </row>
    <row r="175" spans="1:10" ht="27.75" customHeight="1" x14ac:dyDescent="0.5">
      <c r="A175" s="743" t="s">
        <v>210</v>
      </c>
      <c r="B175" s="744"/>
      <c r="C175" s="353"/>
      <c r="D175" s="228" t="s">
        <v>142</v>
      </c>
      <c r="E175" s="95">
        <f>'12'!F175</f>
        <v>72894</v>
      </c>
      <c r="F175" s="155">
        <v>72982</v>
      </c>
      <c r="G175" s="155">
        <f>F175-E175</f>
        <v>88</v>
      </c>
      <c r="H175" s="99">
        <f>G175+'12'!H175</f>
        <v>1048</v>
      </c>
      <c r="I175" s="155"/>
      <c r="J175" s="178">
        <f>H175/DAY(B2)</f>
        <v>80.615384615384613</v>
      </c>
    </row>
    <row r="176" spans="1:10" ht="27.75" customHeight="1" x14ac:dyDescent="0.5">
      <c r="A176" s="743" t="s">
        <v>211</v>
      </c>
      <c r="B176" s="744"/>
      <c r="C176" s="353"/>
      <c r="D176" s="228" t="s">
        <v>142</v>
      </c>
      <c r="E176" s="95">
        <f>'12'!F176</f>
        <v>33886</v>
      </c>
      <c r="F176" s="155">
        <v>33886</v>
      </c>
      <c r="G176" s="155">
        <f t="shared" ref="G176:G177" si="15">F176-E176</f>
        <v>0</v>
      </c>
      <c r="H176" s="99">
        <f>G176+'12'!H176</f>
        <v>0</v>
      </c>
      <c r="I176" s="155"/>
      <c r="J176" s="178">
        <f>H176/DAY(B2)</f>
        <v>0</v>
      </c>
    </row>
    <row r="177" spans="1:10" ht="27.75" customHeight="1" x14ac:dyDescent="0.5">
      <c r="A177" s="743" t="s">
        <v>212</v>
      </c>
      <c r="B177" s="744"/>
      <c r="C177" s="353"/>
      <c r="D177" s="228" t="s">
        <v>142</v>
      </c>
      <c r="E177" s="95">
        <f>'12'!F177</f>
        <v>4897</v>
      </c>
      <c r="F177" s="155">
        <v>4901</v>
      </c>
      <c r="G177" s="155">
        <f t="shared" si="15"/>
        <v>4</v>
      </c>
      <c r="H177" s="99">
        <f>G177+'12'!H177</f>
        <v>70</v>
      </c>
      <c r="I177" s="155"/>
      <c r="J177" s="178">
        <f>H177/DAY(B2)</f>
        <v>5.384615384615385</v>
      </c>
    </row>
    <row r="178" spans="1:10" ht="27.75" customHeight="1" x14ac:dyDescent="0.5">
      <c r="A178" s="745" t="s">
        <v>108</v>
      </c>
      <c r="B178" s="746"/>
      <c r="C178" s="611"/>
      <c r="D178" s="228" t="s">
        <v>142</v>
      </c>
      <c r="E178" s="95"/>
      <c r="F178" s="155"/>
      <c r="G178" s="155">
        <f>SUM(G175:G177)</f>
        <v>92</v>
      </c>
      <c r="H178" s="99">
        <f>G178+'12'!H178</f>
        <v>1118</v>
      </c>
      <c r="I178" s="155"/>
      <c r="J178" s="178">
        <f>H178/DAY(B2)</f>
        <v>86</v>
      </c>
    </row>
    <row r="179" spans="1:10" ht="27.75" customHeight="1" x14ac:dyDescent="0.5">
      <c r="A179" s="743" t="s">
        <v>213</v>
      </c>
      <c r="B179" s="744"/>
      <c r="C179" s="353"/>
      <c r="D179" s="228" t="s">
        <v>142</v>
      </c>
      <c r="E179" s="95"/>
      <c r="F179" s="155"/>
      <c r="G179" s="155"/>
      <c r="H179" s="99">
        <f>G179+'12'!H179</f>
        <v>0</v>
      </c>
      <c r="I179" s="155"/>
      <c r="J179" s="178">
        <f>H179/DAY(B2)</f>
        <v>0</v>
      </c>
    </row>
    <row r="180" spans="1:10" ht="27.75" customHeight="1" x14ac:dyDescent="0.5">
      <c r="A180" s="743" t="s">
        <v>214</v>
      </c>
      <c r="B180" s="744"/>
      <c r="C180" s="354"/>
      <c r="D180" s="228" t="s">
        <v>142</v>
      </c>
      <c r="E180" s="95">
        <f>'12'!F180</f>
        <v>13729</v>
      </c>
      <c r="F180" s="157">
        <v>13743</v>
      </c>
      <c r="G180" s="157">
        <f>F180-E180</f>
        <v>14</v>
      </c>
      <c r="H180" s="99">
        <f>G180+'12'!H180</f>
        <v>206</v>
      </c>
      <c r="I180" s="155"/>
      <c r="J180" s="178">
        <f>H180/DAY(B2)</f>
        <v>15.846153846153847</v>
      </c>
    </row>
    <row r="181" spans="1:10" ht="27.75" customHeight="1" x14ac:dyDescent="0.5">
      <c r="A181" s="743" t="s">
        <v>215</v>
      </c>
      <c r="B181" s="744"/>
      <c r="C181" s="354"/>
      <c r="D181" s="228" t="s">
        <v>142</v>
      </c>
      <c r="E181" s="95">
        <f>'12'!F181</f>
        <v>9556</v>
      </c>
      <c r="F181" s="157">
        <v>9566</v>
      </c>
      <c r="G181" s="157">
        <f t="shared" ref="G181:G182" si="16">F181-E181</f>
        <v>10</v>
      </c>
      <c r="H181" s="99">
        <f>G181+'12'!H181</f>
        <v>118</v>
      </c>
      <c r="I181" s="155"/>
      <c r="J181" s="178">
        <f>H181/DAY(B2)</f>
        <v>9.0769230769230766</v>
      </c>
    </row>
    <row r="182" spans="1:10" ht="27.75" customHeight="1" x14ac:dyDescent="0.5">
      <c r="A182" s="743" t="s">
        <v>216</v>
      </c>
      <c r="B182" s="744"/>
      <c r="C182" s="354"/>
      <c r="D182" s="228" t="s">
        <v>142</v>
      </c>
      <c r="E182" s="95">
        <f>'12'!F182</f>
        <v>0</v>
      </c>
      <c r="F182" s="157"/>
      <c r="G182" s="157">
        <f t="shared" si="16"/>
        <v>0</v>
      </c>
      <c r="H182" s="99">
        <f>G182+'12'!H182</f>
        <v>0</v>
      </c>
      <c r="I182" s="155"/>
      <c r="J182" s="178">
        <f>H182/DAY(B2)</f>
        <v>0</v>
      </c>
    </row>
    <row r="183" spans="1:10" ht="27.75" customHeight="1" x14ac:dyDescent="0.5">
      <c r="A183" s="732" t="s">
        <v>196</v>
      </c>
      <c r="B183" s="733"/>
      <c r="C183" s="610"/>
      <c r="D183" s="228" t="s">
        <v>142</v>
      </c>
      <c r="E183" s="95"/>
      <c r="F183" s="157"/>
      <c r="G183" s="157">
        <f>SUM(G180:G182)</f>
        <v>24</v>
      </c>
      <c r="H183" s="99">
        <f>G183+'12'!H183</f>
        <v>324</v>
      </c>
      <c r="I183" s="157"/>
      <c r="J183" s="178">
        <f>H183/DAY(B2)</f>
        <v>24.923076923076923</v>
      </c>
    </row>
    <row r="184" spans="1:10" ht="27.75" customHeight="1" x14ac:dyDescent="0.5">
      <c r="A184" s="734" t="s">
        <v>217</v>
      </c>
      <c r="B184" s="735"/>
      <c r="C184" s="353"/>
      <c r="D184" s="230" t="s">
        <v>142</v>
      </c>
      <c r="E184" s="95"/>
      <c r="F184" s="159"/>
      <c r="G184" s="588">
        <f>G62+G19</f>
        <v>146</v>
      </c>
      <c r="H184" s="99">
        <f>G184+'12'!H184</f>
        <v>2153</v>
      </c>
      <c r="I184" s="158"/>
      <c r="J184" s="179">
        <f>H184/DAY(B2)</f>
        <v>165.61538461538461</v>
      </c>
    </row>
    <row r="185" spans="1:10" ht="27.75" customHeight="1" x14ac:dyDescent="0.5">
      <c r="A185" s="734" t="s">
        <v>218</v>
      </c>
      <c r="B185" s="735"/>
      <c r="C185" s="353"/>
      <c r="D185" s="230" t="s">
        <v>142</v>
      </c>
      <c r="E185" s="95"/>
      <c r="F185" s="159"/>
      <c r="G185" s="588">
        <f>G65+G66+G67+G69+G70</f>
        <v>155</v>
      </c>
      <c r="H185" s="99" t="s">
        <v>207</v>
      </c>
      <c r="I185" s="158"/>
      <c r="J185" s="179" t="e">
        <f>H185/DAY(B2)</f>
        <v>#VALUE!</v>
      </c>
    </row>
    <row r="186" spans="1:10" ht="27.75" customHeight="1" x14ac:dyDescent="0.5">
      <c r="A186" s="734" t="s">
        <v>219</v>
      </c>
      <c r="B186" s="735"/>
      <c r="C186" s="353"/>
      <c r="D186" s="230" t="s">
        <v>142</v>
      </c>
      <c r="E186" s="95"/>
      <c r="F186" s="157"/>
      <c r="G186" s="585">
        <f>G178</f>
        <v>92</v>
      </c>
      <c r="H186" s="99">
        <f>G186+'12'!H186</f>
        <v>1118</v>
      </c>
      <c r="I186" s="158"/>
      <c r="J186" s="179">
        <f>H186/DAY(B2)</f>
        <v>86</v>
      </c>
    </row>
    <row r="187" spans="1:10" ht="27.75" customHeight="1" x14ac:dyDescent="0.5">
      <c r="A187" s="741"/>
      <c r="B187" s="742"/>
      <c r="C187" s="609"/>
      <c r="D187" s="606"/>
      <c r="E187" s="606" t="s">
        <v>207</v>
      </c>
      <c r="F187" s="606"/>
      <c r="G187" s="606"/>
      <c r="H187" s="607"/>
      <c r="I187" s="606"/>
      <c r="J187" s="608"/>
    </row>
  </sheetData>
  <mergeCells count="111"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5:C135"/>
    <mergeCell ref="A136:J136"/>
    <mergeCell ref="A138:C138"/>
    <mergeCell ref="A139:C139"/>
    <mergeCell ref="A127:B127"/>
    <mergeCell ref="A128:C128"/>
    <mergeCell ref="A131:C131"/>
    <mergeCell ref="A132:C132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133:C133"/>
    <mergeCell ref="A164:B164"/>
    <mergeCell ref="A165:B165"/>
    <mergeCell ref="A168:J168"/>
    <mergeCell ref="A169:B169"/>
    <mergeCell ref="A170:B170"/>
    <mergeCell ref="A140:C140"/>
    <mergeCell ref="A141:C141"/>
    <mergeCell ref="A142:C142"/>
    <mergeCell ref="A157:J157"/>
    <mergeCell ref="A163:B163"/>
    <mergeCell ref="A150:C150"/>
    <mergeCell ref="A151:C151"/>
    <mergeCell ref="A152:C152"/>
    <mergeCell ref="A154:J154"/>
    <mergeCell ref="A155:C155"/>
    <mergeCell ref="A156:C156"/>
    <mergeCell ref="A183:B183"/>
    <mergeCell ref="A184:B184"/>
    <mergeCell ref="A185:B185"/>
    <mergeCell ref="A186:B186"/>
    <mergeCell ref="A187:B187"/>
    <mergeCell ref="A171:B171"/>
    <mergeCell ref="A173:B173"/>
    <mergeCell ref="A174:B174"/>
    <mergeCell ref="A175:B175"/>
    <mergeCell ref="A176:B176"/>
    <mergeCell ref="A178:B178"/>
    <mergeCell ref="A179:B179"/>
    <mergeCell ref="A172:C172"/>
    <mergeCell ref="A180:B180"/>
    <mergeCell ref="A181:B181"/>
    <mergeCell ref="A177:B177"/>
    <mergeCell ref="A182:B182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87"/>
  <sheetViews>
    <sheetView view="pageBreakPreview" topLeftCell="A127" zoomScale="50" zoomScaleSheetLayoutView="50" workbookViewId="0">
      <selection activeCell="G173" sqref="G173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789" t="s">
        <v>115</v>
      </c>
      <c r="B1" s="790"/>
      <c r="C1" s="790"/>
      <c r="D1" s="790"/>
      <c r="E1" s="790"/>
      <c r="F1" s="790"/>
      <c r="G1" s="790"/>
      <c r="H1" s="790"/>
      <c r="I1" s="790"/>
      <c r="J1" s="791"/>
    </row>
    <row r="2" spans="1:15" s="57" customFormat="1" ht="27.75" customHeight="1" x14ac:dyDescent="0.5">
      <c r="A2" s="191" t="s">
        <v>303</v>
      </c>
      <c r="B2" s="266">
        <v>44483</v>
      </c>
      <c r="C2" s="368" t="s">
        <v>67</v>
      </c>
      <c r="D2" s="218">
        <v>0.59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68" t="s">
        <v>118</v>
      </c>
      <c r="D3" s="219">
        <v>29</v>
      </c>
      <c r="E3" s="798" t="s">
        <v>119</v>
      </c>
      <c r="F3" s="799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68" t="s">
        <v>120</v>
      </c>
      <c r="D4" s="218">
        <v>0.85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792" t="s">
        <v>128</v>
      </c>
      <c r="B6" s="793"/>
      <c r="C6" s="79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'13'!F7</f>
        <v>272298</v>
      </c>
      <c r="F7" s="95">
        <v>296357</v>
      </c>
      <c r="G7" s="112">
        <f>F7-E7</f>
        <v>24059</v>
      </c>
      <c r="H7" s="99">
        <f>G7+'13'!H7</f>
        <v>329114.59999999992</v>
      </c>
      <c r="I7" s="113">
        <f>'1'!I7</f>
        <v>12000</v>
      </c>
      <c r="J7" s="175">
        <f>H7/DAY(B2)</f>
        <v>23508.185714285708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'13'!F8</f>
        <v>290992</v>
      </c>
      <c r="F8" s="114">
        <v>315659</v>
      </c>
      <c r="G8" s="115">
        <f>F8-E8</f>
        <v>24667</v>
      </c>
      <c r="H8" s="99">
        <f>G8+'13'!H8</f>
        <v>333941.99999999994</v>
      </c>
      <c r="I8" s="116"/>
      <c r="J8" s="175">
        <f>H8/DAY(B2)</f>
        <v>23852.999999999996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'13'!F9</f>
        <v>984196</v>
      </c>
      <c r="F9" s="117">
        <v>997382</v>
      </c>
      <c r="G9" s="112">
        <f>F9-E9</f>
        <v>13186</v>
      </c>
      <c r="H9" s="99">
        <f>G9+'13'!H9</f>
        <v>266592</v>
      </c>
      <c r="I9" s="124">
        <f>I7-J7</f>
        <v>-11508.185714285708</v>
      </c>
      <c r="J9" s="175">
        <f>H9/DAY(B2)</f>
        <v>19042.285714285714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'13'!F10</f>
        <v>42699</v>
      </c>
      <c r="F10" s="117">
        <v>52950</v>
      </c>
      <c r="G10" s="112">
        <f t="shared" ref="G10:G12" si="0">F10-E10</f>
        <v>10251</v>
      </c>
      <c r="H10" s="99">
        <f>G10+'13'!H10</f>
        <v>58079</v>
      </c>
      <c r="I10" s="286"/>
      <c r="J10" s="175">
        <f>H10/DAY(B2)</f>
        <v>4148.5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'13'!F11</f>
        <v>37000</v>
      </c>
      <c r="F11" s="95">
        <v>37000</v>
      </c>
      <c r="G11" s="112">
        <f t="shared" si="0"/>
        <v>0</v>
      </c>
      <c r="H11" s="99">
        <f>G11+'13'!H11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'13'!F12</f>
        <v>40010</v>
      </c>
      <c r="F12" s="117">
        <v>40010</v>
      </c>
      <c r="G12" s="112">
        <f t="shared" si="0"/>
        <v>0</v>
      </c>
      <c r="H12" s="99">
        <f>G12+'13'!H12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23437</v>
      </c>
      <c r="H13" s="99">
        <f>G13+'13'!H13</f>
        <v>303125.25</v>
      </c>
      <c r="I13" s="120">
        <f>G7-G13</f>
        <v>622</v>
      </c>
      <c r="J13" s="175">
        <f>H13/DAY(B2)</f>
        <v>21651.803571428572</v>
      </c>
      <c r="K13" s="79"/>
      <c r="L13" s="66"/>
      <c r="N13" s="87"/>
      <c r="O13" s="71"/>
    </row>
    <row r="14" spans="1:15" ht="27.75" customHeight="1" x14ac:dyDescent="0.5">
      <c r="A14" s="795" t="s">
        <v>137</v>
      </c>
      <c r="B14" s="796"/>
      <c r="C14" s="79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65" t="s">
        <v>138</v>
      </c>
      <c r="B15" s="205"/>
      <c r="C15" s="205"/>
      <c r="D15" s="151" t="s">
        <v>139</v>
      </c>
      <c r="E15" s="95">
        <f>'13'!F15</f>
        <v>1797256</v>
      </c>
      <c r="F15" s="123">
        <v>1798288</v>
      </c>
      <c r="G15" s="112">
        <f>(F15-E15)</f>
        <v>1032</v>
      </c>
      <c r="H15" s="99">
        <f>G15+'13'!H15</f>
        <v>14080</v>
      </c>
      <c r="I15" s="113">
        <f>'1'!I15</f>
        <v>800</v>
      </c>
      <c r="J15" s="175">
        <f>H15/DAY(B2)</f>
        <v>1005.7142857142857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-205.71428571428567</v>
      </c>
      <c r="J16" s="176"/>
      <c r="K16" s="79"/>
      <c r="L16" s="66"/>
      <c r="N16" s="87"/>
      <c r="O16" s="71"/>
    </row>
    <row r="17" spans="1:15" ht="27.75" customHeight="1" x14ac:dyDescent="0.5">
      <c r="A17" s="795" t="s">
        <v>140</v>
      </c>
      <c r="B17" s="796"/>
      <c r="C17" s="79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771" t="s">
        <v>141</v>
      </c>
      <c r="B18" s="772"/>
      <c r="C18" s="773"/>
      <c r="D18" s="151" t="s">
        <v>142</v>
      </c>
      <c r="E18" s="95">
        <f>'13'!F18</f>
        <v>16</v>
      </c>
      <c r="F18" s="122">
        <v>18</v>
      </c>
      <c r="G18" s="119">
        <f>F18*10</f>
        <v>180</v>
      </c>
      <c r="H18" s="99">
        <f>G18+'13'!H18</f>
        <v>2670</v>
      </c>
      <c r="I18" s="113">
        <f>'1'!I18</f>
        <v>65</v>
      </c>
      <c r="J18" s="175">
        <f>H18/DAY(B2)</f>
        <v>190.71428571428572</v>
      </c>
      <c r="K18" s="79"/>
      <c r="L18" s="66"/>
      <c r="N18" s="87"/>
      <c r="O18" s="71"/>
    </row>
    <row r="19" spans="1:15" ht="27.75" customHeight="1" x14ac:dyDescent="0.5">
      <c r="A19" s="771" t="s">
        <v>69</v>
      </c>
      <c r="B19" s="772"/>
      <c r="C19" s="773"/>
      <c r="D19" s="151" t="s">
        <v>142</v>
      </c>
      <c r="E19" s="95">
        <f>'13'!F19</f>
        <v>147874</v>
      </c>
      <c r="F19" s="122">
        <v>147935</v>
      </c>
      <c r="G19" s="112">
        <f t="shared" ref="G19" si="1">F19-E19</f>
        <v>61</v>
      </c>
      <c r="H19" s="99">
        <f>G19+'13'!H19</f>
        <v>823</v>
      </c>
      <c r="I19" s="355"/>
      <c r="J19" s="175">
        <f>H19/DAY(B2)</f>
        <v>58.785714285714285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241</v>
      </c>
      <c r="H20" s="99">
        <f>G20+'13'!H20</f>
        <v>3493</v>
      </c>
      <c r="I20" s="356">
        <f>I18-J20</f>
        <v>-184.5</v>
      </c>
      <c r="J20" s="175">
        <f>H20/DAY(B2)</f>
        <v>249.5</v>
      </c>
      <c r="K20" s="79"/>
      <c r="L20" s="66"/>
      <c r="N20" s="87"/>
      <c r="O20" s="71"/>
    </row>
    <row r="21" spans="1:15" ht="27.75" customHeight="1" x14ac:dyDescent="0.5">
      <c r="A21" s="795" t="s">
        <v>144</v>
      </c>
      <c r="B21" s="796"/>
      <c r="C21" s="79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6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65" t="s">
        <v>147</v>
      </c>
      <c r="B23" s="205"/>
      <c r="C23" s="205"/>
      <c r="D23" s="151" t="s">
        <v>146</v>
      </c>
      <c r="E23" s="95">
        <f>'13'!F23</f>
        <v>2000</v>
      </c>
      <c r="F23" s="122">
        <v>2000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'13'!F24</f>
        <v>4970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00" t="s">
        <v>149</v>
      </c>
      <c r="B25" s="801"/>
      <c r="C25" s="80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24667</v>
      </c>
      <c r="F27" s="136">
        <v>9</v>
      </c>
      <c r="G27" s="137">
        <f>E27*F27</f>
        <v>222003</v>
      </c>
      <c r="H27" s="99">
        <f>G27+'13'!H27</f>
        <v>3005477.9999999995</v>
      </c>
      <c r="I27" s="138"/>
      <c r="J27" s="175">
        <f>H27/DAY(B2)</f>
        <v>214676.99999999997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1032</v>
      </c>
      <c r="F28" s="136">
        <v>52</v>
      </c>
      <c r="G28" s="137">
        <f>E28*F28</f>
        <v>53664</v>
      </c>
      <c r="H28" s="99">
        <f>G28+'13'!H28</f>
        <v>732160</v>
      </c>
      <c r="I28" s="140"/>
      <c r="J28" s="175">
        <f>H28/DAY(B2)</f>
        <v>52297.142857142855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61</v>
      </c>
      <c r="F30" s="136">
        <v>146</v>
      </c>
      <c r="G30" s="137">
        <f>E30*F30</f>
        <v>8906</v>
      </c>
      <c r="H30" s="99">
        <f>G30+'13'!H30</f>
        <v>120158</v>
      </c>
      <c r="I30" s="140"/>
      <c r="J30" s="175">
        <f>H30/DAY(B2)</f>
        <v>8582.7142857142862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G31+'13'!H31</f>
        <v>213600</v>
      </c>
      <c r="I31" s="140"/>
      <c r="J31" s="175">
        <f>H31/DAY(B2)</f>
        <v>15257.142857142857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298973</v>
      </c>
      <c r="H32" s="99">
        <f>G32+'13'!H32</f>
        <v>4071396</v>
      </c>
      <c r="I32" s="144"/>
      <c r="J32" s="175">
        <f>H32/DAY(B2)</f>
        <v>290814</v>
      </c>
      <c r="K32" s="63"/>
      <c r="L32" s="89"/>
      <c r="N32" s="87"/>
      <c r="O32" s="71"/>
    </row>
    <row r="33" spans="1:15" ht="27.75" customHeight="1" x14ac:dyDescent="0.35">
      <c r="A33" s="803" t="s">
        <v>331</v>
      </c>
      <c r="B33" s="804"/>
      <c r="C33" s="804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'13'!F35</f>
        <v>0</v>
      </c>
      <c r="F35" s="145">
        <v>0</v>
      </c>
      <c r="G35" s="112">
        <f t="shared" ref="G35:G46" si="3">F35-E35</f>
        <v>0</v>
      </c>
      <c r="H35" s="99">
        <f>G35+'13'!H35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'13'!F36</f>
        <v>34669</v>
      </c>
      <c r="F36" s="145">
        <v>35259</v>
      </c>
      <c r="G36" s="112">
        <f t="shared" si="3"/>
        <v>590</v>
      </c>
      <c r="H36" s="99">
        <f>G36+'13'!H36</f>
        <v>11382</v>
      </c>
      <c r="I36" s="95"/>
      <c r="J36" s="175">
        <f>H36/DAY(B2)</f>
        <v>813</v>
      </c>
      <c r="K36" s="79"/>
      <c r="L36" s="66"/>
      <c r="N36" s="87"/>
      <c r="O36" s="36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'13'!F37</f>
        <v>76528</v>
      </c>
      <c r="F37" s="145">
        <v>78224</v>
      </c>
      <c r="G37" s="112">
        <f t="shared" si="3"/>
        <v>1696</v>
      </c>
      <c r="H37" s="99">
        <f>G37+'13'!H37</f>
        <v>24061</v>
      </c>
      <c r="I37" s="95"/>
      <c r="J37" s="175">
        <f>H37/DAY(B2)</f>
        <v>1718.6428571428571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'13'!F38</f>
        <v>81902</v>
      </c>
      <c r="F38" s="108">
        <v>83864</v>
      </c>
      <c r="G38" s="112">
        <f t="shared" si="3"/>
        <v>1962</v>
      </c>
      <c r="H38" s="99">
        <f>G38+'13'!H38</f>
        <v>26738</v>
      </c>
      <c r="I38" s="95"/>
      <c r="J38" s="175">
        <f>H38/DAY(B2)</f>
        <v>1909.8571428571429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'13'!F39</f>
        <v>177929</v>
      </c>
      <c r="F39" s="145">
        <v>182198</v>
      </c>
      <c r="G39" s="112">
        <f t="shared" si="3"/>
        <v>4269</v>
      </c>
      <c r="H39" s="99">
        <f>G39+'13'!H39</f>
        <v>59307</v>
      </c>
      <c r="I39" s="95"/>
      <c r="J39" s="175">
        <f>H39/DAY(B2)</f>
        <v>4236.2142857142853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'13'!F40</f>
        <v>0</v>
      </c>
      <c r="F40" s="145">
        <v>0</v>
      </c>
      <c r="G40" s="112">
        <f t="shared" si="3"/>
        <v>0</v>
      </c>
      <c r="H40" s="99">
        <f>G40+'13'!H40</f>
        <v>1.3</v>
      </c>
      <c r="I40" s="95"/>
      <c r="J40" s="175">
        <f>H40/DAY(B2)</f>
        <v>9.285714285714286E-2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'13'!F41</f>
        <v>542431</v>
      </c>
      <c r="F41" s="145">
        <v>542431</v>
      </c>
      <c r="G41" s="112">
        <f t="shared" si="3"/>
        <v>0</v>
      </c>
      <c r="H41" s="99">
        <f>G41+'13'!H41</f>
        <v>53211.409999999974</v>
      </c>
      <c r="I41" s="95"/>
      <c r="J41" s="175">
        <f>H41/DAY(B2)</f>
        <v>3800.8149999999982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'13'!F42</f>
        <v>264611</v>
      </c>
      <c r="F42" s="145">
        <v>266960</v>
      </c>
      <c r="G42" s="112">
        <f t="shared" si="3"/>
        <v>2349</v>
      </c>
      <c r="H42" s="99">
        <f>G42+'13'!H42</f>
        <v>22777</v>
      </c>
      <c r="I42" s="95"/>
      <c r="J42" s="175">
        <f>H42/DAY(B2)</f>
        <v>1626.9285714285713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'13'!F43</f>
        <v>1396535</v>
      </c>
      <c r="F43" s="145">
        <v>1399240</v>
      </c>
      <c r="G43" s="112">
        <f t="shared" si="3"/>
        <v>2705</v>
      </c>
      <c r="H43" s="99">
        <f>G43+'13'!H43</f>
        <v>35282</v>
      </c>
      <c r="I43" s="95"/>
      <c r="J43" s="175">
        <f>H43/DAY(B2)</f>
        <v>2520.1428571428573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13571</v>
      </c>
      <c r="H47" s="99">
        <f>G47+'13'!H47</f>
        <v>232759.70999999996</v>
      </c>
      <c r="I47" s="95"/>
      <c r="J47" s="175">
        <f>H47/DAY(B2)</f>
        <v>16625.693571428568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'13'!F49</f>
        <v>141819</v>
      </c>
      <c r="F49" s="145">
        <v>145476</v>
      </c>
      <c r="G49" s="112">
        <f t="shared" ref="G49:G58" si="4">F49-E49</f>
        <v>3657</v>
      </c>
      <c r="H49" s="99">
        <f>G49+'13'!H49</f>
        <v>54279.619999999995</v>
      </c>
      <c r="I49" s="95"/>
      <c r="J49" s="175">
        <f>H49/DAY(B2)</f>
        <v>3877.1157142857141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'13'!F50</f>
        <v>659696</v>
      </c>
      <c r="F50" s="145">
        <v>660738</v>
      </c>
      <c r="G50" s="112">
        <f t="shared" si="4"/>
        <v>1042</v>
      </c>
      <c r="H50" s="99">
        <f>G50+'13'!H50</f>
        <v>17248</v>
      </c>
      <c r="I50" s="95"/>
      <c r="J50" s="175">
        <f>H50/DAY(B2)</f>
        <v>1232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'13'!F51</f>
        <v>0</v>
      </c>
      <c r="F51" s="145">
        <v>0</v>
      </c>
      <c r="G51" s="112">
        <f t="shared" si="4"/>
        <v>0</v>
      </c>
      <c r="H51" s="99">
        <f>G51+'13'!H51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'13'!F52</f>
        <v>0</v>
      </c>
      <c r="F52" s="145">
        <v>0</v>
      </c>
      <c r="G52" s="112">
        <f t="shared" si="4"/>
        <v>0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'13'!F53</f>
        <v>0</v>
      </c>
      <c r="F53" s="145">
        <v>0</v>
      </c>
      <c r="G53" s="112">
        <f t="shared" si="4"/>
        <v>0</v>
      </c>
      <c r="H53" s="99">
        <f>G53+'13'!H53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'13'!F54</f>
        <v>2785</v>
      </c>
      <c r="F54" s="145">
        <v>2789</v>
      </c>
      <c r="G54" s="112">
        <f t="shared" si="4"/>
        <v>4</v>
      </c>
      <c r="H54" s="99">
        <f>G54+'13'!H54</f>
        <v>57</v>
      </c>
      <c r="I54" s="95"/>
      <c r="J54" s="175">
        <f>H54/DAY(B2)</f>
        <v>4.0714285714285712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'13'!F55</f>
        <v>307299</v>
      </c>
      <c r="F55" s="145">
        <v>307299</v>
      </c>
      <c r="G55" s="112">
        <f t="shared" si="4"/>
        <v>0</v>
      </c>
      <c r="H55" s="99">
        <f>G55+'13'!H55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'13'!F56</f>
        <v>763319</v>
      </c>
      <c r="F56" s="145">
        <v>768876</v>
      </c>
      <c r="G56" s="112">
        <f t="shared" si="4"/>
        <v>5557</v>
      </c>
      <c r="H56" s="99">
        <f>G56+'13'!H56</f>
        <v>27106</v>
      </c>
      <c r="I56" s="95"/>
      <c r="J56" s="175">
        <f>H56/DAY(B2)</f>
        <v>1936.1428571428571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'13'!F57</f>
        <v>0</v>
      </c>
      <c r="F57" s="145">
        <v>0</v>
      </c>
      <c r="G57" s="112">
        <f t="shared" si="4"/>
        <v>0</v>
      </c>
      <c r="H57" s="99">
        <f>G57+'13'!H57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'13'!F58</f>
        <v>74976</v>
      </c>
      <c r="F58" s="145">
        <v>75231</v>
      </c>
      <c r="G58" s="112">
        <f t="shared" si="4"/>
        <v>255</v>
      </c>
      <c r="H58" s="99">
        <f>G58+'13'!H58</f>
        <v>3076</v>
      </c>
      <c r="I58" s="95"/>
      <c r="J58" s="175">
        <f>H58/DAY(B2)</f>
        <v>219.71428571428572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10515</v>
      </c>
      <c r="H59" s="99">
        <f>G59+'13'!H59</f>
        <v>101766.62</v>
      </c>
      <c r="I59" s="95">
        <f>G7-G60</f>
        <v>-27</v>
      </c>
      <c r="J59" s="175">
        <f>H59/DAY(B2)</f>
        <v>7269.0442857142853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24086</v>
      </c>
      <c r="H60" s="99">
        <f>G60+'13'!H60</f>
        <v>334526.32999999996</v>
      </c>
      <c r="I60" s="95">
        <f>G13-G60</f>
        <v>-649</v>
      </c>
      <c r="J60" s="175">
        <f>H60/DAY(B2)</f>
        <v>23894.737857142853</v>
      </c>
      <c r="K60" s="79"/>
      <c r="L60" s="66"/>
      <c r="N60" s="87"/>
      <c r="O60" s="71"/>
    </row>
    <row r="61" spans="1:15" s="68" customFormat="1" ht="27.75" customHeight="1" x14ac:dyDescent="0.5">
      <c r="A61" s="805" t="s">
        <v>332</v>
      </c>
      <c r="B61" s="806"/>
      <c r="C61" s="807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customHeight="1" x14ac:dyDescent="0.5">
      <c r="A62" s="771" t="s">
        <v>198</v>
      </c>
      <c r="B62" s="772"/>
      <c r="C62" s="773"/>
      <c r="D62" s="151" t="s">
        <v>142</v>
      </c>
      <c r="E62" s="95">
        <f>'13'!F62</f>
        <v>257744</v>
      </c>
      <c r="F62" s="122">
        <v>257836</v>
      </c>
      <c r="G62" s="112">
        <f t="shared" ref="G62:G63" si="5">F62-E62</f>
        <v>92</v>
      </c>
      <c r="H62" s="99">
        <f>G62+'13'!H62</f>
        <v>1483</v>
      </c>
      <c r="I62" s="118"/>
      <c r="J62" s="175">
        <f>H62/DAY(B2)</f>
        <v>105.92857142857143</v>
      </c>
      <c r="K62" s="80"/>
      <c r="L62" s="66"/>
      <c r="N62" s="87"/>
      <c r="O62" s="71"/>
    </row>
    <row r="63" spans="1:15" ht="27.75" customHeight="1" x14ac:dyDescent="0.5">
      <c r="A63" s="771" t="s">
        <v>199</v>
      </c>
      <c r="B63" s="772"/>
      <c r="C63" s="773"/>
      <c r="D63" s="151" t="s">
        <v>142</v>
      </c>
      <c r="E63" s="95">
        <f>'13'!F63</f>
        <v>204259</v>
      </c>
      <c r="F63" s="122">
        <v>204386</v>
      </c>
      <c r="G63" s="112">
        <f t="shared" si="5"/>
        <v>127</v>
      </c>
      <c r="H63" s="99">
        <f>G63+'13'!H63</f>
        <v>1860</v>
      </c>
      <c r="I63" s="118"/>
      <c r="J63" s="175">
        <f>H63/DAY(B2)</f>
        <v>132.85714285714286</v>
      </c>
      <c r="K63" s="69"/>
      <c r="L63" s="66"/>
      <c r="N63" s="87"/>
      <c r="O63" s="71"/>
    </row>
    <row r="64" spans="1:15" ht="27.75" customHeight="1" x14ac:dyDescent="0.5">
      <c r="A64" s="780" t="s">
        <v>200</v>
      </c>
      <c r="B64" s="781"/>
      <c r="C64" s="782"/>
      <c r="D64" s="151"/>
      <c r="E64" s="95">
        <f>'13'!F64</f>
        <v>0</v>
      </c>
      <c r="F64" s="122"/>
      <c r="G64" s="112">
        <f>G62+G63</f>
        <v>219</v>
      </c>
      <c r="H64" s="99">
        <f>G64+'13'!H64</f>
        <v>3343</v>
      </c>
      <c r="I64" s="118"/>
      <c r="J64" s="175">
        <f>H64/DAY(B2)</f>
        <v>238.78571428571428</v>
      </c>
      <c r="K64" s="69"/>
      <c r="L64" s="66"/>
      <c r="N64" s="87"/>
      <c r="O64" s="71"/>
    </row>
    <row r="65" spans="1:15" ht="27.75" customHeight="1" x14ac:dyDescent="0.5">
      <c r="A65" s="771" t="s">
        <v>201</v>
      </c>
      <c r="B65" s="772"/>
      <c r="C65" s="773"/>
      <c r="D65" s="151" t="s">
        <v>142</v>
      </c>
      <c r="E65" s="95">
        <f>'13'!F65</f>
        <v>424453</v>
      </c>
      <c r="F65" s="122">
        <v>424542</v>
      </c>
      <c r="G65" s="112">
        <f t="shared" ref="G65:G70" si="6">F65-E65</f>
        <v>89</v>
      </c>
      <c r="H65" s="99">
        <f>G65+'13'!H65</f>
        <v>1253</v>
      </c>
      <c r="I65" s="118"/>
      <c r="J65" s="175">
        <f>H65/DAY(B2)</f>
        <v>89.5</v>
      </c>
      <c r="K65" s="69"/>
      <c r="L65" s="66"/>
      <c r="N65" s="87"/>
      <c r="O65" s="71"/>
    </row>
    <row r="66" spans="1:15" ht="27.75" customHeight="1" x14ac:dyDescent="0.5">
      <c r="A66" s="365" t="s">
        <v>202</v>
      </c>
      <c r="B66" s="366"/>
      <c r="C66" s="366"/>
      <c r="D66" s="151" t="s">
        <v>142</v>
      </c>
      <c r="E66" s="95">
        <f>'13'!F66</f>
        <v>105608</v>
      </c>
      <c r="F66" s="122">
        <v>105626</v>
      </c>
      <c r="G66" s="112">
        <f t="shared" si="6"/>
        <v>18</v>
      </c>
      <c r="H66" s="99">
        <f>G66+'13'!H66</f>
        <v>312</v>
      </c>
      <c r="I66" s="118"/>
      <c r="J66" s="175">
        <f>H66/DAY(B2)</f>
        <v>22.285714285714285</v>
      </c>
      <c r="K66" s="78"/>
      <c r="L66" s="66"/>
      <c r="N66" s="87"/>
      <c r="O66" s="71"/>
    </row>
    <row r="67" spans="1:15" ht="27.75" customHeight="1" x14ac:dyDescent="0.5">
      <c r="A67" s="365" t="s">
        <v>203</v>
      </c>
      <c r="B67" s="366"/>
      <c r="C67" s="366"/>
      <c r="D67" s="151" t="s">
        <v>142</v>
      </c>
      <c r="E67" s="95">
        <f>'13'!F67</f>
        <v>101647</v>
      </c>
      <c r="F67" s="122">
        <v>101666</v>
      </c>
      <c r="G67" s="112">
        <f t="shared" si="6"/>
        <v>19</v>
      </c>
      <c r="H67" s="99">
        <f>G67+'13'!H67</f>
        <v>382</v>
      </c>
      <c r="I67" s="118"/>
      <c r="J67" s="175">
        <f>H67/DAY(B2)</f>
        <v>27.285714285714285</v>
      </c>
      <c r="K67" s="81"/>
      <c r="L67" s="66"/>
      <c r="N67" s="87"/>
      <c r="O67" s="71"/>
    </row>
    <row r="68" spans="1:15" ht="27.75" customHeight="1" x14ac:dyDescent="0.5">
      <c r="A68" s="365" t="s">
        <v>204</v>
      </c>
      <c r="B68" s="366"/>
      <c r="C68" s="366"/>
      <c r="D68" s="151" t="s">
        <v>142</v>
      </c>
      <c r="E68" s="95">
        <f>'13'!F68</f>
        <v>153678</v>
      </c>
      <c r="F68" s="122">
        <v>153737</v>
      </c>
      <c r="G68" s="112">
        <f t="shared" si="6"/>
        <v>59</v>
      </c>
      <c r="H68" s="99">
        <f>G68+'13'!H68</f>
        <v>624</v>
      </c>
      <c r="I68" s="118"/>
      <c r="J68" s="175">
        <f>H68/DAY(B2)</f>
        <v>44.571428571428569</v>
      </c>
      <c r="K68" s="69"/>
      <c r="L68" s="66"/>
      <c r="N68" s="87"/>
      <c r="O68" s="71"/>
    </row>
    <row r="69" spans="1:15" ht="27.75" customHeight="1" x14ac:dyDescent="0.5">
      <c r="A69" s="365" t="s">
        <v>205</v>
      </c>
      <c r="B69" s="366"/>
      <c r="C69" s="366"/>
      <c r="D69" s="151" t="s">
        <v>142</v>
      </c>
      <c r="E69" s="95">
        <f>'13'!F69</f>
        <v>9226</v>
      </c>
      <c r="F69" s="122">
        <v>9235</v>
      </c>
      <c r="G69" s="112">
        <f t="shared" si="6"/>
        <v>9</v>
      </c>
      <c r="H69" s="99">
        <f>G69+'13'!H69</f>
        <v>178</v>
      </c>
      <c r="I69" s="118"/>
      <c r="J69" s="175">
        <f>H69/DAY(B2)</f>
        <v>12.714285714285714</v>
      </c>
      <c r="K69" s="69"/>
      <c r="L69" s="66"/>
      <c r="N69" s="87"/>
      <c r="O69" s="71"/>
    </row>
    <row r="70" spans="1:15" ht="27.75" customHeight="1" x14ac:dyDescent="0.5">
      <c r="A70" s="365" t="s">
        <v>206</v>
      </c>
      <c r="B70" s="366"/>
      <c r="C70" s="366"/>
      <c r="D70" s="151" t="s">
        <v>142</v>
      </c>
      <c r="E70" s="95">
        <f>'13'!F70</f>
        <v>6953</v>
      </c>
      <c r="F70" s="122">
        <v>6962</v>
      </c>
      <c r="G70" s="112">
        <f t="shared" si="6"/>
        <v>9</v>
      </c>
      <c r="H70" s="99">
        <f>G70+'13'!H70</f>
        <v>158</v>
      </c>
      <c r="I70" s="118"/>
      <c r="J70" s="175">
        <f>H70/DAY(B2)</f>
        <v>11.285714285714286</v>
      </c>
      <c r="K70" s="69"/>
      <c r="L70" s="66"/>
      <c r="N70" s="87"/>
      <c r="O70" s="71"/>
    </row>
    <row r="71" spans="1:15" ht="27.75" customHeight="1" x14ac:dyDescent="0.5">
      <c r="A71" s="780" t="s">
        <v>208</v>
      </c>
      <c r="B71" s="781"/>
      <c r="C71" s="782"/>
      <c r="D71" s="152"/>
      <c r="E71" s="152"/>
      <c r="F71" s="152"/>
      <c r="G71" s="153">
        <f>SUM(G65:G70)</f>
        <v>203</v>
      </c>
      <c r="H71" s="99">
        <f>G71+'13'!H71</f>
        <v>2907</v>
      </c>
      <c r="I71" s="154"/>
      <c r="J71" s="175">
        <f>H71/DAY(B2)</f>
        <v>207.64285714285714</v>
      </c>
      <c r="K71" s="69"/>
      <c r="L71" s="66"/>
      <c r="N71" s="87"/>
      <c r="O71" s="71"/>
    </row>
    <row r="72" spans="1:15" s="88" customFormat="1" ht="27.75" customHeight="1" x14ac:dyDescent="0.5">
      <c r="A72" s="767"/>
      <c r="B72" s="752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777" t="s">
        <v>333</v>
      </c>
      <c r="B73" s="778"/>
      <c r="C73" s="779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customHeight="1" x14ac:dyDescent="0.5">
      <c r="A74" s="771" t="s">
        <v>220</v>
      </c>
      <c r="B74" s="772"/>
      <c r="C74" s="773"/>
      <c r="D74" s="151" t="s">
        <v>139</v>
      </c>
      <c r="E74" s="95">
        <f>'13'!F74</f>
        <v>868302</v>
      </c>
      <c r="F74" s="117">
        <v>868592</v>
      </c>
      <c r="G74" s="112">
        <f t="shared" ref="G74:G78" si="7">F74-E74</f>
        <v>290</v>
      </c>
      <c r="H74" s="99">
        <f>G74+'13'!H74</f>
        <v>4084</v>
      </c>
      <c r="I74" s="154"/>
      <c r="J74" s="175">
        <f>H74/DAY(B2)</f>
        <v>291.71428571428572</v>
      </c>
      <c r="K74" s="69"/>
      <c r="L74" s="66"/>
      <c r="N74" s="87"/>
      <c r="O74" s="71"/>
    </row>
    <row r="75" spans="1:15" ht="27.75" customHeight="1" x14ac:dyDescent="0.5">
      <c r="A75" s="771" t="s">
        <v>221</v>
      </c>
      <c r="B75" s="772"/>
      <c r="C75" s="773"/>
      <c r="D75" s="151" t="s">
        <v>139</v>
      </c>
      <c r="E75" s="95">
        <f>'13'!F75</f>
        <v>73583.399999999994</v>
      </c>
      <c r="F75" s="123">
        <v>73583.399999999994</v>
      </c>
      <c r="G75" s="112">
        <f t="shared" si="7"/>
        <v>0</v>
      </c>
      <c r="H75" s="99">
        <f>G75+'13'!H75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768" t="s">
        <v>222</v>
      </c>
      <c r="B76" s="769"/>
      <c r="C76" s="770"/>
      <c r="D76" s="151" t="s">
        <v>139</v>
      </c>
      <c r="E76" s="95">
        <f>'13'!F76</f>
        <v>158180</v>
      </c>
      <c r="F76" s="123">
        <v>158285</v>
      </c>
      <c r="G76" s="112">
        <f t="shared" si="7"/>
        <v>105</v>
      </c>
      <c r="H76" s="99">
        <f>G76+'13'!H76</f>
        <v>1473</v>
      </c>
      <c r="I76" s="154"/>
      <c r="J76" s="175">
        <f>H76/DAY(B2)</f>
        <v>105.21428571428571</v>
      </c>
      <c r="K76" s="69"/>
      <c r="L76" s="66"/>
      <c r="N76" s="87"/>
      <c r="O76" s="71"/>
    </row>
    <row r="77" spans="1:15" ht="27.75" customHeight="1" x14ac:dyDescent="0.5">
      <c r="A77" s="768" t="s">
        <v>223</v>
      </c>
      <c r="B77" s="769"/>
      <c r="C77" s="770"/>
      <c r="D77" s="151" t="s">
        <v>139</v>
      </c>
      <c r="E77" s="95">
        <f>'13'!F77</f>
        <v>36654</v>
      </c>
      <c r="F77" s="123">
        <v>36700</v>
      </c>
      <c r="G77" s="112">
        <f t="shared" si="7"/>
        <v>46</v>
      </c>
      <c r="H77" s="99">
        <f>G77+'13'!H77</f>
        <v>696</v>
      </c>
      <c r="I77" s="154"/>
      <c r="J77" s="175">
        <f>H77/DAY(B2)</f>
        <v>49.714285714285715</v>
      </c>
      <c r="K77" s="69"/>
      <c r="L77" s="66"/>
      <c r="N77" s="87"/>
      <c r="O77" s="71"/>
    </row>
    <row r="78" spans="1:15" ht="27.75" customHeight="1" x14ac:dyDescent="0.5">
      <c r="A78" s="768" t="s">
        <v>224</v>
      </c>
      <c r="B78" s="769"/>
      <c r="C78" s="770"/>
      <c r="D78" s="151" t="s">
        <v>139</v>
      </c>
      <c r="E78" s="95">
        <f>'13'!F78</f>
        <v>9283</v>
      </c>
      <c r="F78" s="123">
        <v>9285</v>
      </c>
      <c r="G78" s="112">
        <f t="shared" si="7"/>
        <v>2</v>
      </c>
      <c r="H78" s="99">
        <f>G78+'13'!H78</f>
        <v>37</v>
      </c>
      <c r="I78" s="118"/>
      <c r="J78" s="175">
        <f>H78/DAY(B2)</f>
        <v>2.6428571428571428</v>
      </c>
      <c r="K78" s="69"/>
      <c r="L78" s="66"/>
      <c r="N78" s="87"/>
      <c r="O78" s="71"/>
    </row>
    <row r="79" spans="1:15" s="57" customFormat="1" ht="27.75" customHeight="1" x14ac:dyDescent="0.5">
      <c r="A79" s="768" t="s">
        <v>225</v>
      </c>
      <c r="B79" s="769"/>
      <c r="C79" s="770"/>
      <c r="D79" s="151"/>
      <c r="E79" s="95">
        <f>'13'!F79</f>
        <v>0</v>
      </c>
      <c r="F79" s="117"/>
      <c r="G79" s="112">
        <f>G15-SUM(G74:G78)</f>
        <v>589</v>
      </c>
      <c r="H79" s="99">
        <f>G79+'13'!H79</f>
        <v>7790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780" t="s">
        <v>329</v>
      </c>
      <c r="B80" s="781"/>
      <c r="C80" s="782"/>
      <c r="D80" s="151"/>
      <c r="E80" s="117"/>
      <c r="F80" s="117"/>
      <c r="G80" s="112">
        <f>SUM(G74:G79)</f>
        <v>1032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785" t="s">
        <v>226</v>
      </c>
      <c r="B81" s="786"/>
      <c r="C81" s="787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65" t="s">
        <v>227</v>
      </c>
      <c r="B82" s="366"/>
      <c r="C82" s="366"/>
      <c r="D82" s="151" t="s">
        <v>228</v>
      </c>
      <c r="E82" s="95">
        <f>'13'!F82</f>
        <v>0</v>
      </c>
      <c r="F82" s="122"/>
      <c r="G82" s="112">
        <f t="shared" ref="G82:G92" si="8">F82-E82</f>
        <v>0</v>
      </c>
      <c r="H82" s="99">
        <f>G82+'13'!H82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65" t="s">
        <v>229</v>
      </c>
      <c r="B83" s="366"/>
      <c r="C83" s="366"/>
      <c r="D83" s="151" t="s">
        <v>228</v>
      </c>
      <c r="E83" s="95">
        <f>'13'!F83</f>
        <v>0</v>
      </c>
      <c r="F83" s="122"/>
      <c r="G83" s="112">
        <f t="shared" si="8"/>
        <v>0</v>
      </c>
      <c r="H83" s="99">
        <f>G83+'13'!H83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65" t="s">
        <v>230</v>
      </c>
      <c r="B84" s="366"/>
      <c r="C84" s="366"/>
      <c r="D84" s="151" t="s">
        <v>228</v>
      </c>
      <c r="E84" s="95">
        <f>'13'!F84</f>
        <v>41399</v>
      </c>
      <c r="F84" s="164">
        <v>41399</v>
      </c>
      <c r="G84" s="112">
        <f t="shared" si="8"/>
        <v>0</v>
      </c>
      <c r="H84" s="99">
        <f>G84+'13'!H84</f>
        <v>237</v>
      </c>
      <c r="I84" s="118"/>
      <c r="J84" s="175">
        <f>H84/DAY(B2)</f>
        <v>16.928571428571427</v>
      </c>
      <c r="O84" s="71"/>
    </row>
    <row r="85" spans="1:15" ht="27.75" customHeight="1" x14ac:dyDescent="0.5">
      <c r="A85" s="365" t="s">
        <v>231</v>
      </c>
      <c r="B85" s="366"/>
      <c r="C85" s="366"/>
      <c r="D85" s="151" t="s">
        <v>228</v>
      </c>
      <c r="E85" s="95">
        <f>'13'!F85</f>
        <v>1275</v>
      </c>
      <c r="F85" s="164">
        <v>1285</v>
      </c>
      <c r="G85" s="112">
        <f t="shared" si="8"/>
        <v>10</v>
      </c>
      <c r="H85" s="99">
        <f>G85+'13'!H85</f>
        <v>106</v>
      </c>
      <c r="I85" s="118">
        <f>G82+G83+G84+G85</f>
        <v>10</v>
      </c>
      <c r="J85" s="175">
        <f>H85/DAY(B2)</f>
        <v>7.5714285714285712</v>
      </c>
      <c r="O85" s="71"/>
    </row>
    <row r="86" spans="1:15" ht="27.75" customHeight="1" x14ac:dyDescent="0.5">
      <c r="A86" s="365" t="s">
        <v>232</v>
      </c>
      <c r="B86" s="366"/>
      <c r="C86" s="366"/>
      <c r="D86" s="151" t="s">
        <v>228</v>
      </c>
      <c r="E86" s="95">
        <f>'13'!F86</f>
        <v>42826.47</v>
      </c>
      <c r="F86" s="164">
        <v>42826.47</v>
      </c>
      <c r="G86" s="112">
        <f t="shared" si="8"/>
        <v>0</v>
      </c>
      <c r="H86" s="99">
        <f>G86+'13'!H86</f>
        <v>0.47000000000116415</v>
      </c>
      <c r="I86" s="118"/>
      <c r="J86" s="175">
        <f>H86/DAY(B2)</f>
        <v>3.3571428571511727E-2</v>
      </c>
      <c r="O86" s="71"/>
    </row>
    <row r="87" spans="1:15" ht="27.75" customHeight="1" x14ac:dyDescent="0.5">
      <c r="A87" s="365" t="s">
        <v>233</v>
      </c>
      <c r="B87" s="366"/>
      <c r="C87" s="366"/>
      <c r="D87" s="151" t="s">
        <v>228</v>
      </c>
      <c r="E87" s="95">
        <f>'13'!F87</f>
        <v>33412</v>
      </c>
      <c r="F87" s="164">
        <v>33436</v>
      </c>
      <c r="G87" s="112">
        <f t="shared" si="8"/>
        <v>24</v>
      </c>
      <c r="H87" s="99">
        <f>G87+'13'!H87</f>
        <v>122</v>
      </c>
      <c r="I87" s="118"/>
      <c r="J87" s="175">
        <f>H87/DAY(B2)</f>
        <v>8.7142857142857135</v>
      </c>
      <c r="O87" s="71"/>
    </row>
    <row r="88" spans="1:15" ht="27.75" customHeight="1" x14ac:dyDescent="0.5">
      <c r="A88" s="365" t="s">
        <v>234</v>
      </c>
      <c r="B88" s="366"/>
      <c r="C88" s="366"/>
      <c r="D88" s="151" t="s">
        <v>228</v>
      </c>
      <c r="E88" s="95">
        <f>'13'!F88</f>
        <v>23664.07</v>
      </c>
      <c r="F88" s="164">
        <v>23673.47</v>
      </c>
      <c r="G88" s="112">
        <f t="shared" si="8"/>
        <v>9.4000000000014552</v>
      </c>
      <c r="H88" s="99">
        <f>G88+'13'!H88</f>
        <v>82.5</v>
      </c>
      <c r="I88" s="118">
        <f>G86+G87+G88</f>
        <v>33.400000000001455</v>
      </c>
      <c r="J88" s="175">
        <f>H88/DAY(B2)</f>
        <v>5.8928571428571432</v>
      </c>
      <c r="O88" s="71"/>
    </row>
    <row r="89" spans="1:15" ht="27.75" customHeight="1" x14ac:dyDescent="0.5">
      <c r="A89" s="365" t="s">
        <v>235</v>
      </c>
      <c r="B89" s="366"/>
      <c r="C89" s="366"/>
      <c r="D89" s="151" t="s">
        <v>228</v>
      </c>
      <c r="E89" s="95">
        <f>'13'!F89</f>
        <v>25242.12</v>
      </c>
      <c r="F89" s="164">
        <v>25242.12</v>
      </c>
      <c r="G89" s="112">
        <f t="shared" si="8"/>
        <v>0</v>
      </c>
      <c r="H89" s="99">
        <f>G89+'13'!H89</f>
        <v>54.75</v>
      </c>
      <c r="I89" s="118"/>
      <c r="J89" s="175">
        <f>H89/DAY(B2)</f>
        <v>3.9107142857142856</v>
      </c>
      <c r="O89" s="71"/>
    </row>
    <row r="90" spans="1:15" ht="27.75" customHeight="1" x14ac:dyDescent="0.5">
      <c r="A90" s="365" t="s">
        <v>236</v>
      </c>
      <c r="B90" s="366"/>
      <c r="C90" s="366"/>
      <c r="D90" s="151" t="s">
        <v>228</v>
      </c>
      <c r="E90" s="95">
        <f>'13'!F90</f>
        <v>70576.69</v>
      </c>
      <c r="F90" s="164">
        <v>70582.66</v>
      </c>
      <c r="G90" s="112">
        <f t="shared" si="8"/>
        <v>5.9700000000011642</v>
      </c>
      <c r="H90" s="99">
        <f>G90+'13'!H90</f>
        <v>49.680000000007567</v>
      </c>
      <c r="I90" s="118">
        <f>G89+G90</f>
        <v>5.9700000000011642</v>
      </c>
      <c r="J90" s="175">
        <f>H90/DAY(B2)</f>
        <v>3.5485714285719689</v>
      </c>
      <c r="O90" s="71"/>
    </row>
    <row r="91" spans="1:15" ht="27.75" customHeight="1" x14ac:dyDescent="0.5">
      <c r="A91" s="365" t="s">
        <v>237</v>
      </c>
      <c r="B91" s="366"/>
      <c r="C91" s="366"/>
      <c r="D91" s="151" t="s">
        <v>228</v>
      </c>
      <c r="E91" s="95">
        <f>'13'!F91</f>
        <v>3066.21</v>
      </c>
      <c r="F91" s="122">
        <v>3076.93</v>
      </c>
      <c r="G91" s="112">
        <f t="shared" si="8"/>
        <v>10.7199999999998</v>
      </c>
      <c r="H91" s="99">
        <f>G91+'13'!H91</f>
        <v>151.05999999999995</v>
      </c>
      <c r="I91" s="165"/>
      <c r="J91" s="175">
        <f>H91/DAY(B2)</f>
        <v>10.789999999999996</v>
      </c>
      <c r="O91" s="71"/>
    </row>
    <row r="92" spans="1:15" ht="27.75" customHeight="1" x14ac:dyDescent="0.5">
      <c r="A92" s="365" t="s">
        <v>238</v>
      </c>
      <c r="B92" s="366"/>
      <c r="C92" s="366"/>
      <c r="D92" s="151" t="s">
        <v>228</v>
      </c>
      <c r="E92" s="95">
        <f>'13'!F92</f>
        <v>4758.6000000000004</v>
      </c>
      <c r="F92" s="122">
        <v>4758.6000000000004</v>
      </c>
      <c r="G92" s="112">
        <f t="shared" si="8"/>
        <v>0</v>
      </c>
      <c r="H92" s="99">
        <f>G92+'13'!H92</f>
        <v>0.6000000000003638</v>
      </c>
      <c r="I92" s="165"/>
      <c r="J92" s="175">
        <f>H92/DAY(B2)</f>
        <v>4.2857142857168844E-2</v>
      </c>
      <c r="O92" s="71"/>
    </row>
    <row r="93" spans="1:15" ht="27.75" customHeight="1" x14ac:dyDescent="0.5">
      <c r="A93" s="774" t="s">
        <v>239</v>
      </c>
      <c r="B93" s="775"/>
      <c r="C93" s="77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771" t="s">
        <v>240</v>
      </c>
      <c r="B94" s="772"/>
      <c r="C94" s="773"/>
      <c r="D94" s="151" t="s">
        <v>130</v>
      </c>
      <c r="E94" s="151"/>
      <c r="F94" s="151"/>
      <c r="G94" s="99">
        <f>G35+G43+G49+G57</f>
        <v>6362</v>
      </c>
      <c r="H94" s="99">
        <f>G94+'13'!H94</f>
        <v>89561.62</v>
      </c>
      <c r="I94" s="118"/>
      <c r="J94" s="175">
        <f>H94/DAY(B2)</f>
        <v>6397.2585714285715</v>
      </c>
      <c r="K94" s="69"/>
      <c r="L94" s="66"/>
      <c r="O94" s="71"/>
    </row>
    <row r="95" spans="1:15" ht="27.75" customHeight="1" x14ac:dyDescent="0.5">
      <c r="A95" s="771" t="s">
        <v>241</v>
      </c>
      <c r="B95" s="772"/>
      <c r="C95" s="773"/>
      <c r="D95" s="151" t="s">
        <v>23</v>
      </c>
      <c r="E95" s="146"/>
      <c r="F95" s="146"/>
      <c r="G95" s="166">
        <f>G94/G7</f>
        <v>0.26443326821563656</v>
      </c>
      <c r="H95" s="99">
        <f>G95+'13'!H95</f>
        <v>3.8149577865458162</v>
      </c>
      <c r="I95" s="167"/>
      <c r="J95" s="175">
        <f>H95/DAY(B2)</f>
        <v>0.27249698475327261</v>
      </c>
      <c r="K95" s="69"/>
      <c r="L95" s="66"/>
      <c r="O95" s="71"/>
    </row>
    <row r="96" spans="1:15" ht="27.75" customHeight="1" x14ac:dyDescent="0.5">
      <c r="A96" s="771" t="s">
        <v>242</v>
      </c>
      <c r="B96" s="772"/>
      <c r="C96" s="773"/>
      <c r="D96" s="151" t="s">
        <v>130</v>
      </c>
      <c r="E96" s="95"/>
      <c r="F96" s="95"/>
      <c r="G96" s="99">
        <f>G41+G42+G55+G56</f>
        <v>7906</v>
      </c>
      <c r="H96" s="99">
        <f>G96+'13'!H96</f>
        <v>103094.40999999997</v>
      </c>
      <c r="I96" s="118"/>
      <c r="J96" s="175">
        <f>H96/DAY(B2)</f>
        <v>7363.8864285714271</v>
      </c>
      <c r="K96" s="69"/>
      <c r="L96" s="66"/>
      <c r="O96" s="71"/>
    </row>
    <row r="97" spans="1:15" ht="27.75" customHeight="1" x14ac:dyDescent="0.5">
      <c r="A97" s="771" t="s">
        <v>243</v>
      </c>
      <c r="B97" s="772"/>
      <c r="C97" s="773"/>
      <c r="D97" s="151" t="s">
        <v>23</v>
      </c>
      <c r="E97" s="95"/>
      <c r="F97" s="95"/>
      <c r="G97" s="166">
        <f>G96/G7</f>
        <v>0.3286088366100004</v>
      </c>
      <c r="H97" s="99">
        <f>G97+'13'!H97</f>
        <v>4.3811736603238387</v>
      </c>
      <c r="I97" s="167"/>
      <c r="J97" s="175">
        <f>H97/DAY(B2)</f>
        <v>0.31294097573741703</v>
      </c>
      <c r="K97" s="69"/>
      <c r="L97" s="66"/>
      <c r="O97" s="71"/>
    </row>
    <row r="98" spans="1:15" ht="27.75" customHeight="1" x14ac:dyDescent="0.5">
      <c r="A98" s="771" t="s">
        <v>244</v>
      </c>
      <c r="B98" s="772"/>
      <c r="C98" s="773"/>
      <c r="D98" s="151" t="s">
        <v>130</v>
      </c>
      <c r="E98" s="95"/>
      <c r="F98" s="95"/>
      <c r="G98" s="99">
        <f>G39+G53</f>
        <v>4269</v>
      </c>
      <c r="H98" s="99">
        <f>G98+'13'!H98</f>
        <v>59307</v>
      </c>
      <c r="I98" s="168"/>
      <c r="J98" s="175">
        <f>H98/DAY(B2)</f>
        <v>4236.2142857142853</v>
      </c>
      <c r="K98" s="69"/>
      <c r="L98" s="66"/>
      <c r="O98" s="71"/>
    </row>
    <row r="99" spans="1:15" ht="27.75" customHeight="1" x14ac:dyDescent="0.5">
      <c r="A99" s="771" t="s">
        <v>245</v>
      </c>
      <c r="B99" s="772"/>
      <c r="C99" s="773"/>
      <c r="D99" s="151" t="s">
        <v>23</v>
      </c>
      <c r="E99" s="95"/>
      <c r="F99" s="95"/>
      <c r="G99" s="166">
        <f>G98/G7</f>
        <v>0.17743879629244774</v>
      </c>
      <c r="H99" s="99">
        <f>G99+'13'!H99</f>
        <v>2.5244951158353093</v>
      </c>
      <c r="I99" s="168"/>
      <c r="J99" s="175">
        <f>H99/DAY(B2)</f>
        <v>0.18032107970252209</v>
      </c>
      <c r="O99" s="71"/>
    </row>
    <row r="100" spans="1:15" ht="27.75" customHeight="1" x14ac:dyDescent="0.5">
      <c r="A100" s="771" t="s">
        <v>246</v>
      </c>
      <c r="B100" s="772"/>
      <c r="C100" s="773"/>
      <c r="D100" s="151" t="s">
        <v>180</v>
      </c>
      <c r="E100" s="95"/>
      <c r="F100" s="95"/>
      <c r="G100" s="99">
        <f>G38+G52</f>
        <v>1962</v>
      </c>
      <c r="H100" s="99">
        <f>G100+'13'!H100</f>
        <v>26738</v>
      </c>
      <c r="I100" s="118"/>
      <c r="J100" s="175">
        <f>H100/DAY(B2)</f>
        <v>1909.8571428571429</v>
      </c>
      <c r="K100" s="70"/>
      <c r="O100" s="71"/>
    </row>
    <row r="101" spans="1:15" ht="27.75" customHeight="1" x14ac:dyDescent="0.5">
      <c r="A101" s="771" t="s">
        <v>247</v>
      </c>
      <c r="B101" s="772"/>
      <c r="C101" s="773"/>
      <c r="D101" s="151" t="s">
        <v>23</v>
      </c>
      <c r="E101" s="95"/>
      <c r="F101" s="95"/>
      <c r="G101" s="166">
        <f>G100/G7</f>
        <v>8.154952408662039E-2</v>
      </c>
      <c r="H101" s="99">
        <f>G101+'13'!H101</f>
        <v>1.1381956792139161</v>
      </c>
      <c r="I101" s="168"/>
      <c r="J101" s="175">
        <f>H101/DAY(B2)</f>
        <v>8.1299691372422572E-2</v>
      </c>
      <c r="O101" s="71"/>
    </row>
    <row r="102" spans="1:15" ht="27.75" customHeight="1" x14ac:dyDescent="0.5">
      <c r="A102" s="771" t="s">
        <v>248</v>
      </c>
      <c r="B102" s="772"/>
      <c r="C102" s="773"/>
      <c r="D102" s="151" t="s">
        <v>180</v>
      </c>
      <c r="E102" s="95"/>
      <c r="F102" s="95"/>
      <c r="G102" s="99">
        <f>G36+G50</f>
        <v>1632</v>
      </c>
      <c r="H102" s="99">
        <f>G102+'13'!H102</f>
        <v>28630</v>
      </c>
      <c r="I102" s="168"/>
      <c r="J102" s="175">
        <f>H102/DAY(B2)</f>
        <v>2045</v>
      </c>
      <c r="O102" s="71"/>
    </row>
    <row r="103" spans="1:15" ht="27.75" customHeight="1" x14ac:dyDescent="0.5">
      <c r="A103" s="771" t="s">
        <v>249</v>
      </c>
      <c r="B103" s="772"/>
      <c r="C103" s="773"/>
      <c r="D103" s="151" t="s">
        <v>23</v>
      </c>
      <c r="E103" s="95"/>
      <c r="F103" s="95"/>
      <c r="G103" s="166">
        <f>G102/G7</f>
        <v>6.7833243276944177E-2</v>
      </c>
      <c r="H103" s="99">
        <f>G103+'13'!H103</f>
        <v>1.2165696657050853</v>
      </c>
      <c r="I103" s="118"/>
      <c r="J103" s="175">
        <f>H103/DAY(B2)</f>
        <v>8.6897833264648949E-2</v>
      </c>
      <c r="O103" s="71"/>
    </row>
    <row r="104" spans="1:15" ht="27.75" customHeight="1" x14ac:dyDescent="0.5">
      <c r="A104" s="771" t="s">
        <v>250</v>
      </c>
      <c r="B104" s="772"/>
      <c r="C104" s="773"/>
      <c r="D104" s="151" t="s">
        <v>180</v>
      </c>
      <c r="E104" s="95"/>
      <c r="F104" s="95"/>
      <c r="G104" s="99">
        <f>G37+G51</f>
        <v>1696</v>
      </c>
      <c r="H104" s="99">
        <f>G104+'13'!H104</f>
        <v>24061</v>
      </c>
      <c r="I104" s="118"/>
      <c r="J104" s="175">
        <f>H104/DAY(B2)</f>
        <v>1718.6428571428571</v>
      </c>
      <c r="O104" s="71"/>
    </row>
    <row r="105" spans="1:15" ht="27.75" customHeight="1" thickBot="1" x14ac:dyDescent="0.55000000000000004">
      <c r="A105" s="764" t="s">
        <v>251</v>
      </c>
      <c r="B105" s="765"/>
      <c r="C105" s="766"/>
      <c r="D105" s="231" t="s">
        <v>23</v>
      </c>
      <c r="E105" s="185"/>
      <c r="F105" s="185"/>
      <c r="G105" s="186">
        <f>G104/G7</f>
        <v>7.0493370464275326E-2</v>
      </c>
      <c r="H105" s="99">
        <f>G105+'13'!H105</f>
        <v>1.0247894002991642</v>
      </c>
      <c r="I105" s="187"/>
      <c r="J105" s="188">
        <f>H105/DAY(B2)</f>
        <v>7.3199242878511733E-2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760" t="s">
        <v>324</v>
      </c>
      <c r="B108" s="760"/>
      <c r="C108" s="760"/>
      <c r="D108" s="760"/>
      <c r="E108" s="760"/>
      <c r="F108" s="760"/>
      <c r="G108" s="760"/>
      <c r="H108" s="760"/>
      <c r="I108" s="760"/>
      <c r="J108" s="760"/>
    </row>
    <row r="109" spans="1:15" ht="27.75" customHeight="1" x14ac:dyDescent="0.5">
      <c r="A109" s="788"/>
      <c r="B109" s="788"/>
    </row>
    <row r="110" spans="1:15" ht="27.75" customHeight="1" x14ac:dyDescent="0.5">
      <c r="A110" s="761" t="s">
        <v>165</v>
      </c>
      <c r="B110" s="762"/>
      <c r="C110" s="762"/>
      <c r="D110" s="762"/>
      <c r="E110" s="762"/>
      <c r="F110" s="762"/>
      <c r="G110" s="762"/>
      <c r="H110" s="762"/>
      <c r="I110" s="762"/>
      <c r="J110" s="763"/>
    </row>
    <row r="111" spans="1:15" ht="27.75" customHeight="1" x14ac:dyDescent="0.5">
      <c r="A111" s="753"/>
      <c r="B111" s="754"/>
      <c r="C111" s="755"/>
      <c r="D111" s="165"/>
      <c r="E111" s="165"/>
      <c r="F111" s="165"/>
      <c r="G111" s="165"/>
      <c r="H111" s="156"/>
      <c r="I111" s="165"/>
      <c r="J111" s="347"/>
    </row>
    <row r="112" spans="1:15" ht="27.75" customHeight="1" x14ac:dyDescent="0.5">
      <c r="A112" s="750" t="s">
        <v>252</v>
      </c>
      <c r="B112" s="751"/>
      <c r="C112" s="752"/>
      <c r="D112" s="146" t="s">
        <v>183</v>
      </c>
      <c r="E112" s="95">
        <f>'13'!F112</f>
        <v>49365</v>
      </c>
      <c r="F112" s="237">
        <v>49450</v>
      </c>
      <c r="G112" s="112">
        <f t="shared" ref="G112:G123" si="9">F112-E112</f>
        <v>85</v>
      </c>
      <c r="H112" s="99">
        <f>G112+'13'!H112</f>
        <v>1173</v>
      </c>
      <c r="I112" s="165"/>
      <c r="J112" s="348">
        <f>H112/DAY(B2)</f>
        <v>83.785714285714292</v>
      </c>
    </row>
    <row r="113" spans="1:18" ht="27.75" customHeight="1" x14ac:dyDescent="0.5">
      <c r="A113" s="750" t="s">
        <v>253</v>
      </c>
      <c r="B113" s="751"/>
      <c r="C113" s="752"/>
      <c r="D113" s="146" t="s">
        <v>183</v>
      </c>
      <c r="E113" s="95">
        <f>'13'!F113</f>
        <v>156538</v>
      </c>
      <c r="F113" s="237">
        <v>156996</v>
      </c>
      <c r="G113" s="112">
        <f t="shared" si="9"/>
        <v>458</v>
      </c>
      <c r="H113" s="99">
        <f>G113+'13'!H113</f>
        <v>6465</v>
      </c>
      <c r="I113" s="165"/>
      <c r="J113" s="348">
        <f>H113/DAY(B2)</f>
        <v>461.78571428571428</v>
      </c>
    </row>
    <row r="114" spans="1:18" ht="27.75" customHeight="1" x14ac:dyDescent="0.5">
      <c r="A114" s="750" t="s">
        <v>254</v>
      </c>
      <c r="B114" s="751"/>
      <c r="C114" s="752"/>
      <c r="D114" s="146" t="s">
        <v>183</v>
      </c>
      <c r="E114" s="95">
        <f>'13'!F114</f>
        <v>73067</v>
      </c>
      <c r="F114" s="237">
        <v>73291</v>
      </c>
      <c r="G114" s="112">
        <f t="shared" si="9"/>
        <v>224</v>
      </c>
      <c r="H114" s="99">
        <f>G114+'13'!H114</f>
        <v>3091</v>
      </c>
      <c r="I114" s="165"/>
      <c r="J114" s="348">
        <f>H114/DAY(B2)</f>
        <v>220.78571428571428</v>
      </c>
    </row>
    <row r="115" spans="1:18" ht="27.75" customHeight="1" x14ac:dyDescent="0.5">
      <c r="A115" s="750" t="s">
        <v>255</v>
      </c>
      <c r="B115" s="751"/>
      <c r="C115" s="752"/>
      <c r="D115" s="146" t="s">
        <v>183</v>
      </c>
      <c r="E115" s="95">
        <f>'13'!F115</f>
        <v>7888</v>
      </c>
      <c r="F115" s="237">
        <v>7896</v>
      </c>
      <c r="G115" s="112">
        <f t="shared" si="9"/>
        <v>8</v>
      </c>
      <c r="H115" s="99">
        <f>G115+'13'!H115</f>
        <v>148</v>
      </c>
      <c r="I115" s="165"/>
      <c r="J115" s="348">
        <f>H115/DAY(B2)</f>
        <v>10.571428571428571</v>
      </c>
    </row>
    <row r="116" spans="1:18" ht="27.75" customHeight="1" x14ac:dyDescent="0.5">
      <c r="A116" s="757" t="s">
        <v>96</v>
      </c>
      <c r="B116" s="758"/>
      <c r="C116" s="759"/>
      <c r="D116" s="146" t="s">
        <v>183</v>
      </c>
      <c r="E116" s="95">
        <f>'13'!F116</f>
        <v>0</v>
      </c>
      <c r="F116" s="237">
        <v>0</v>
      </c>
      <c r="G116" s="112">
        <f t="shared" si="9"/>
        <v>0</v>
      </c>
      <c r="H116" s="99">
        <f>G116+'13'!H116</f>
        <v>0</v>
      </c>
      <c r="I116" s="165"/>
      <c r="J116" s="348">
        <f>H116/DAY(B2)</f>
        <v>0</v>
      </c>
      <c r="Q116" s="750" t="s">
        <v>311</v>
      </c>
      <c r="R116" s="752"/>
    </row>
    <row r="117" spans="1:18" ht="27.75" customHeight="1" x14ac:dyDescent="0.5">
      <c r="A117" s="757" t="s">
        <v>184</v>
      </c>
      <c r="B117" s="758"/>
      <c r="C117" s="759"/>
      <c r="D117" s="146" t="s">
        <v>183</v>
      </c>
      <c r="E117" s="95">
        <f>'13'!F117</f>
        <v>707</v>
      </c>
      <c r="F117" s="237">
        <v>727</v>
      </c>
      <c r="G117" s="112">
        <f t="shared" si="9"/>
        <v>20</v>
      </c>
      <c r="H117" s="99">
        <f>G117+'13'!H117</f>
        <v>311</v>
      </c>
      <c r="I117" s="165"/>
      <c r="J117" s="348">
        <f>H117/DAY(B2)</f>
        <v>22.214285714285715</v>
      </c>
      <c r="Q117" s="750" t="s">
        <v>312</v>
      </c>
      <c r="R117" s="752"/>
    </row>
    <row r="118" spans="1:18" ht="27.75" customHeight="1" x14ac:dyDescent="0.5">
      <c r="A118" s="749" t="s">
        <v>97</v>
      </c>
      <c r="B118" s="749"/>
      <c r="C118" s="749"/>
      <c r="D118" s="151" t="s">
        <v>183</v>
      </c>
      <c r="E118" s="95">
        <f>'13'!F118</f>
        <v>211912</v>
      </c>
      <c r="F118" s="237">
        <v>212321</v>
      </c>
      <c r="G118" s="112">
        <f t="shared" si="9"/>
        <v>409</v>
      </c>
      <c r="H118" s="99">
        <f>G118+'13'!H118</f>
        <v>5789</v>
      </c>
      <c r="I118" s="165"/>
      <c r="J118" s="348">
        <f>H118/DAY(B2)</f>
        <v>413.5</v>
      </c>
      <c r="Q118" s="750" t="s">
        <v>311</v>
      </c>
      <c r="R118" s="752"/>
    </row>
    <row r="119" spans="1:18" ht="27.75" customHeight="1" x14ac:dyDescent="0.5">
      <c r="A119" s="749" t="s">
        <v>98</v>
      </c>
      <c r="B119" s="749"/>
      <c r="C119" s="749"/>
      <c r="D119" s="151" t="s">
        <v>183</v>
      </c>
      <c r="E119" s="95">
        <f>'13'!F119</f>
        <v>211292</v>
      </c>
      <c r="F119" s="237">
        <v>211695</v>
      </c>
      <c r="G119" s="112">
        <f t="shared" si="9"/>
        <v>403</v>
      </c>
      <c r="H119" s="99">
        <f>G119+'13'!H119</f>
        <v>5465</v>
      </c>
      <c r="I119" s="165"/>
      <c r="J119" s="348">
        <f>H119/DAY(B2)</f>
        <v>390.35714285714283</v>
      </c>
    </row>
    <row r="120" spans="1:18" ht="27.75" customHeight="1" x14ac:dyDescent="0.5">
      <c r="A120" s="749" t="s">
        <v>99</v>
      </c>
      <c r="B120" s="749"/>
      <c r="C120" s="749"/>
      <c r="D120" s="151" t="s">
        <v>183</v>
      </c>
      <c r="E120" s="95">
        <f>'13'!F120</f>
        <v>10812</v>
      </c>
      <c r="F120" s="237">
        <v>11206</v>
      </c>
      <c r="G120" s="112">
        <f t="shared" si="9"/>
        <v>394</v>
      </c>
      <c r="H120" s="99">
        <f>G120+'13'!H120</f>
        <v>5691</v>
      </c>
      <c r="I120" s="165"/>
      <c r="J120" s="348">
        <f>H120/DAY(B2)</f>
        <v>406.5</v>
      </c>
    </row>
    <row r="121" spans="1:18" ht="27.75" customHeight="1" x14ac:dyDescent="0.5">
      <c r="A121" s="749" t="s">
        <v>100</v>
      </c>
      <c r="B121" s="749"/>
      <c r="C121" s="749"/>
      <c r="D121" s="151" t="s">
        <v>183</v>
      </c>
      <c r="E121" s="95">
        <f>'13'!F121</f>
        <v>318900</v>
      </c>
      <c r="F121" s="237">
        <v>319580</v>
      </c>
      <c r="G121" s="112">
        <f t="shared" si="9"/>
        <v>680</v>
      </c>
      <c r="H121" s="99">
        <f>G121+'13'!H121</f>
        <v>10135.270000000019</v>
      </c>
      <c r="I121" s="165"/>
      <c r="J121" s="348">
        <f>H121/DAY(B2)</f>
        <v>723.94785714285842</v>
      </c>
    </row>
    <row r="122" spans="1:18" ht="27.75" customHeight="1" x14ac:dyDescent="0.5">
      <c r="A122" s="749" t="s">
        <v>101</v>
      </c>
      <c r="B122" s="749"/>
      <c r="C122" s="749"/>
      <c r="D122" s="151" t="s">
        <v>183</v>
      </c>
      <c r="E122" s="95">
        <f>'13'!F122</f>
        <v>95729</v>
      </c>
      <c r="F122" s="237">
        <v>96055</v>
      </c>
      <c r="G122" s="112">
        <f t="shared" si="9"/>
        <v>326</v>
      </c>
      <c r="H122" s="99">
        <f>G122+'13'!H122</f>
        <v>4433</v>
      </c>
      <c r="I122" s="165"/>
      <c r="J122" s="348">
        <f>H122/DAY(B2)</f>
        <v>316.64285714285717</v>
      </c>
    </row>
    <row r="123" spans="1:18" ht="27.75" customHeight="1" x14ac:dyDescent="0.5">
      <c r="A123" s="749" t="s">
        <v>102</v>
      </c>
      <c r="B123" s="749"/>
      <c r="C123" s="749"/>
      <c r="D123" s="151" t="s">
        <v>183</v>
      </c>
      <c r="E123" s="95">
        <f>'13'!F123</f>
        <v>119881</v>
      </c>
      <c r="F123" s="237">
        <v>120212</v>
      </c>
      <c r="G123" s="112">
        <f t="shared" si="9"/>
        <v>331</v>
      </c>
      <c r="H123" s="99">
        <f>G123+'13'!H123</f>
        <v>4669</v>
      </c>
      <c r="I123" s="165"/>
      <c r="J123" s="348">
        <f>H123/DAY(B2)</f>
        <v>333.5</v>
      </c>
    </row>
    <row r="124" spans="1:18" ht="27.75" customHeight="1" x14ac:dyDescent="0.5">
      <c r="A124" s="753"/>
      <c r="B124" s="754"/>
      <c r="C124" s="755"/>
      <c r="D124" s="165"/>
      <c r="E124" s="165"/>
      <c r="F124" s="165"/>
      <c r="G124" s="347"/>
      <c r="H124" s="156"/>
      <c r="I124" s="165"/>
      <c r="J124" s="347"/>
    </row>
    <row r="125" spans="1:18" ht="27.75" customHeight="1" x14ac:dyDescent="0.5">
      <c r="A125" s="737"/>
      <c r="B125" s="737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customHeight="1" x14ac:dyDescent="0.5">
      <c r="A126" s="756" t="s">
        <v>317</v>
      </c>
      <c r="B126" s="756"/>
      <c r="C126" s="756"/>
      <c r="D126" s="756"/>
      <c r="E126" s="756"/>
      <c r="F126" s="756"/>
      <c r="G126" s="756"/>
      <c r="H126" s="756"/>
      <c r="I126" s="756"/>
      <c r="J126" s="756"/>
    </row>
    <row r="127" spans="1:18" ht="27.75" customHeight="1" x14ac:dyDescent="0.5">
      <c r="A127" s="737"/>
      <c r="B127" s="737"/>
      <c r="C127" s="246"/>
      <c r="D127" s="317"/>
      <c r="E127" s="318"/>
      <c r="F127" s="318"/>
      <c r="G127" s="319"/>
      <c r="H127" s="99">
        <f>G127+'13'!H127</f>
        <v>0</v>
      </c>
      <c r="I127" s="165"/>
      <c r="J127" s="348">
        <f>H127/DAY(B2)</f>
        <v>0</v>
      </c>
    </row>
    <row r="128" spans="1:18" ht="27.75" customHeight="1" x14ac:dyDescent="0.5">
      <c r="A128" s="750" t="s">
        <v>318</v>
      </c>
      <c r="B128" s="751"/>
      <c r="C128" s="752"/>
      <c r="D128" s="151" t="s">
        <v>183</v>
      </c>
      <c r="E128" s="95">
        <f>'13'!F128</f>
        <v>11893</v>
      </c>
      <c r="F128" s="165">
        <v>12240</v>
      </c>
      <c r="G128" s="112">
        <f t="shared" ref="G128:G134" si="10">F128-E128</f>
        <v>347</v>
      </c>
      <c r="H128" s="99">
        <f>G128+'13'!H128</f>
        <v>4629</v>
      </c>
      <c r="I128" s="165"/>
      <c r="J128" s="348">
        <f>H128/DAY(B2)</f>
        <v>330.64285714285717</v>
      </c>
    </row>
    <row r="129" spans="1:15" ht="27.75" customHeight="1" x14ac:dyDescent="0.5">
      <c r="A129" s="349" t="s">
        <v>319</v>
      </c>
      <c r="B129" s="350"/>
      <c r="C129" s="351"/>
      <c r="D129" s="151" t="s">
        <v>183</v>
      </c>
      <c r="E129" s="95">
        <f>'13'!F129</f>
        <v>2780</v>
      </c>
      <c r="F129" s="165">
        <v>3008</v>
      </c>
      <c r="G129" s="112">
        <f t="shared" si="10"/>
        <v>228</v>
      </c>
      <c r="H129" s="99">
        <f>G129+'13'!H129</f>
        <v>2894</v>
      </c>
      <c r="I129" s="165"/>
      <c r="J129" s="348">
        <f>H129/DAY(B2)</f>
        <v>206.71428571428572</v>
      </c>
      <c r="N129" s="240"/>
      <c r="O129" s="241"/>
    </row>
    <row r="130" spans="1:15" ht="27.75" customHeight="1" x14ac:dyDescent="0.5">
      <c r="A130" s="349" t="s">
        <v>320</v>
      </c>
      <c r="B130" s="350"/>
      <c r="C130" s="351"/>
      <c r="D130" s="151" t="s">
        <v>183</v>
      </c>
      <c r="E130" s="95">
        <f>'13'!F130</f>
        <v>3277</v>
      </c>
      <c r="F130" s="165">
        <v>3509</v>
      </c>
      <c r="G130" s="112">
        <f t="shared" si="10"/>
        <v>232</v>
      </c>
      <c r="H130" s="99">
        <f>G130+'13'!H130</f>
        <v>3329</v>
      </c>
      <c r="I130" s="165"/>
      <c r="J130" s="348">
        <f>H130/DAY(B2)</f>
        <v>237.78571428571428</v>
      </c>
      <c r="N130" s="240"/>
      <c r="O130" s="241"/>
    </row>
    <row r="131" spans="1:15" ht="27.75" customHeight="1" x14ac:dyDescent="0.5">
      <c r="A131" s="750" t="s">
        <v>321</v>
      </c>
      <c r="B131" s="751"/>
      <c r="C131" s="752"/>
      <c r="D131" s="151" t="s">
        <v>183</v>
      </c>
      <c r="E131" s="95">
        <f>'13'!F131</f>
        <v>1794</v>
      </c>
      <c r="F131" s="165">
        <v>1920</v>
      </c>
      <c r="G131" s="112">
        <f t="shared" si="10"/>
        <v>126</v>
      </c>
      <c r="H131" s="99">
        <f>G131+'13'!H131</f>
        <v>1810</v>
      </c>
      <c r="I131" s="165"/>
      <c r="J131" s="348">
        <f>H131/DAY(B2)</f>
        <v>129.28571428571428</v>
      </c>
      <c r="N131" s="240"/>
      <c r="O131" s="241"/>
    </row>
    <row r="132" spans="1:15" ht="27.75" customHeight="1" x14ac:dyDescent="0.5">
      <c r="A132" s="750" t="s">
        <v>322</v>
      </c>
      <c r="B132" s="751"/>
      <c r="C132" s="752"/>
      <c r="D132" s="151" t="s">
        <v>183</v>
      </c>
      <c r="E132" s="95">
        <f>'13'!F132</f>
        <v>5420</v>
      </c>
      <c r="F132" s="165">
        <v>5819</v>
      </c>
      <c r="G132" s="112">
        <f t="shared" si="10"/>
        <v>399</v>
      </c>
      <c r="H132" s="99">
        <f>G132+'13'!H132</f>
        <v>5498</v>
      </c>
      <c r="I132" s="165"/>
      <c r="J132" s="348">
        <f>H132/DAY(B2)</f>
        <v>392.71428571428572</v>
      </c>
    </row>
    <row r="133" spans="1:15" ht="27.75" customHeight="1" x14ac:dyDescent="0.5">
      <c r="A133" s="750" t="s">
        <v>341</v>
      </c>
      <c r="B133" s="751"/>
      <c r="C133" s="752"/>
      <c r="D133" s="151" t="s">
        <v>183</v>
      </c>
      <c r="E133" s="95">
        <f>'13'!F133</f>
        <v>26598</v>
      </c>
      <c r="F133" s="165">
        <v>27349</v>
      </c>
      <c r="G133" s="112">
        <f t="shared" si="10"/>
        <v>751</v>
      </c>
      <c r="H133" s="99">
        <f>G133+'13'!H133</f>
        <v>10958</v>
      </c>
      <c r="I133" s="165"/>
      <c r="J133" s="348">
        <f>H133/DAY(B2)</f>
        <v>782.71428571428567</v>
      </c>
    </row>
    <row r="134" spans="1:15" ht="27.75" customHeight="1" x14ac:dyDescent="0.5">
      <c r="A134" s="750" t="s">
        <v>340</v>
      </c>
      <c r="B134" s="751"/>
      <c r="C134" s="752"/>
      <c r="D134" s="151" t="s">
        <v>183</v>
      </c>
      <c r="E134" s="95">
        <f>'13'!F134</f>
        <v>620712</v>
      </c>
      <c r="F134" s="165">
        <v>621310</v>
      </c>
      <c r="G134" s="112">
        <f t="shared" si="10"/>
        <v>598</v>
      </c>
      <c r="H134" s="99">
        <f>G134+'13'!H134</f>
        <v>6895</v>
      </c>
      <c r="I134" s="165"/>
      <c r="J134" s="348">
        <f>H134/DAY(B2)</f>
        <v>492.5</v>
      </c>
    </row>
    <row r="135" spans="1:15" ht="27.75" customHeight="1" x14ac:dyDescent="0.5">
      <c r="A135" s="753"/>
      <c r="B135" s="754"/>
      <c r="C135" s="755"/>
      <c r="D135" s="151"/>
      <c r="E135" s="95"/>
      <c r="F135" s="165"/>
      <c r="G135" s="112"/>
      <c r="H135" s="119">
        <f>H128+H134</f>
        <v>11524</v>
      </c>
      <c r="I135" s="165"/>
      <c r="J135" s="348">
        <f>H135/DAY(B2)</f>
        <v>823.14285714285711</v>
      </c>
    </row>
    <row r="136" spans="1:15" ht="27.75" customHeight="1" x14ac:dyDescent="0.55000000000000004">
      <c r="A136" s="736" t="s">
        <v>325</v>
      </c>
      <c r="B136" s="736"/>
      <c r="C136" s="736"/>
      <c r="D136" s="736"/>
      <c r="E136" s="736"/>
      <c r="F136" s="736"/>
      <c r="G136" s="736"/>
      <c r="H136" s="736"/>
      <c r="I136" s="736"/>
      <c r="J136" s="736"/>
    </row>
    <row r="137" spans="1:15" ht="27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customHeight="1" x14ac:dyDescent="0.5">
      <c r="A138" s="749" t="s">
        <v>185</v>
      </c>
      <c r="B138" s="749"/>
      <c r="C138" s="749"/>
      <c r="D138" s="151" t="s">
        <v>183</v>
      </c>
      <c r="E138" s="95">
        <f>'13'!F138</f>
        <v>858434</v>
      </c>
      <c r="F138" s="147">
        <v>858512</v>
      </c>
      <c r="G138" s="112">
        <f t="shared" ref="G138:G152" si="11">F138-E138</f>
        <v>78</v>
      </c>
      <c r="H138" s="99">
        <f>G138+'13'!H138</f>
        <v>1159</v>
      </c>
      <c r="I138" s="118"/>
      <c r="J138" s="348">
        <f>H138/DAY(B2)</f>
        <v>82.785714285714292</v>
      </c>
    </row>
    <row r="139" spans="1:15" ht="27.75" customHeight="1" x14ac:dyDescent="0.5">
      <c r="A139" s="749" t="s">
        <v>186</v>
      </c>
      <c r="B139" s="749"/>
      <c r="C139" s="749"/>
      <c r="D139" s="151" t="s">
        <v>183</v>
      </c>
      <c r="E139" s="95">
        <f>'13'!F139</f>
        <v>886071</v>
      </c>
      <c r="F139" s="148">
        <v>886072</v>
      </c>
      <c r="G139" s="112">
        <f t="shared" si="11"/>
        <v>1</v>
      </c>
      <c r="H139" s="99">
        <f>G139+'13'!H139</f>
        <v>10</v>
      </c>
      <c r="I139" s="118"/>
      <c r="J139" s="348">
        <f>H139/DAY(B2)</f>
        <v>0.7142857142857143</v>
      </c>
    </row>
    <row r="140" spans="1:15" ht="27.75" customHeight="1" x14ac:dyDescent="0.5">
      <c r="A140" s="749" t="s">
        <v>187</v>
      </c>
      <c r="B140" s="749"/>
      <c r="C140" s="749"/>
      <c r="D140" s="151" t="s">
        <v>183</v>
      </c>
      <c r="E140" s="95">
        <f>'13'!F140</f>
        <v>88797</v>
      </c>
      <c r="F140" s="149">
        <v>88797</v>
      </c>
      <c r="G140" s="112">
        <f t="shared" si="11"/>
        <v>0</v>
      </c>
      <c r="H140" s="99">
        <f>G140+'13'!H140</f>
        <v>-1</v>
      </c>
      <c r="I140" s="118"/>
      <c r="J140" s="348">
        <f>H140/DAY(B2)</f>
        <v>-7.1428571428571425E-2</v>
      </c>
    </row>
    <row r="141" spans="1:15" ht="27.75" customHeight="1" x14ac:dyDescent="0.5">
      <c r="A141" s="728" t="s">
        <v>188</v>
      </c>
      <c r="B141" s="728"/>
      <c r="C141" s="728"/>
      <c r="D141" s="151" t="s">
        <v>183</v>
      </c>
      <c r="E141" s="95">
        <f>'13'!F141</f>
        <v>33909</v>
      </c>
      <c r="F141" s="149">
        <v>34091</v>
      </c>
      <c r="G141" s="112">
        <f t="shared" si="11"/>
        <v>182</v>
      </c>
      <c r="H141" s="99">
        <f>G141+'13'!H141</f>
        <v>2555</v>
      </c>
      <c r="I141" s="118"/>
      <c r="J141" s="348">
        <f>H141/DAY(B2)</f>
        <v>182.5</v>
      </c>
    </row>
    <row r="142" spans="1:15" ht="27.75" customHeight="1" x14ac:dyDescent="0.5">
      <c r="A142" s="728" t="s">
        <v>189</v>
      </c>
      <c r="B142" s="728"/>
      <c r="C142" s="728"/>
      <c r="D142" s="151" t="s">
        <v>183</v>
      </c>
      <c r="E142" s="95">
        <f>'13'!F142</f>
        <v>16241</v>
      </c>
      <c r="F142" s="148">
        <v>16315</v>
      </c>
      <c r="G142" s="112">
        <f t="shared" si="11"/>
        <v>74</v>
      </c>
      <c r="H142" s="99">
        <f>G142+'13'!H142</f>
        <v>993</v>
      </c>
      <c r="I142" s="140"/>
      <c r="J142" s="348">
        <f>H142/DAY(B2)</f>
        <v>70.928571428571431</v>
      </c>
    </row>
    <row r="143" spans="1:15" ht="27.75" customHeight="1" x14ac:dyDescent="0.5">
      <c r="A143" s="749" t="s">
        <v>91</v>
      </c>
      <c r="B143" s="749"/>
      <c r="C143" s="749"/>
      <c r="D143" s="151" t="s">
        <v>183</v>
      </c>
      <c r="E143" s="95">
        <f>'13'!F143</f>
        <v>890</v>
      </c>
      <c r="F143" s="149">
        <v>918</v>
      </c>
      <c r="G143" s="112">
        <f t="shared" si="11"/>
        <v>28</v>
      </c>
      <c r="H143" s="99">
        <f>G143+'13'!H143</f>
        <v>389</v>
      </c>
      <c r="I143" s="140"/>
      <c r="J143" s="348">
        <f>H143/DAY(B2)</f>
        <v>27.785714285714285</v>
      </c>
    </row>
    <row r="144" spans="1:15" ht="27.75" customHeight="1" x14ac:dyDescent="0.5">
      <c r="A144" s="728" t="s">
        <v>90</v>
      </c>
      <c r="B144" s="728"/>
      <c r="C144" s="728"/>
      <c r="D144" s="151" t="s">
        <v>183</v>
      </c>
      <c r="E144" s="95">
        <f>'13'!F144</f>
        <v>852213</v>
      </c>
      <c r="F144" s="149">
        <v>852391</v>
      </c>
      <c r="G144" s="112">
        <f t="shared" si="11"/>
        <v>178</v>
      </c>
      <c r="H144" s="99">
        <f>G144+'13'!H144</f>
        <v>2354</v>
      </c>
      <c r="I144" s="140"/>
      <c r="J144" s="348">
        <f>H144/DAY(B2)</f>
        <v>168.14285714285714</v>
      </c>
    </row>
    <row r="145" spans="1:10" ht="27.75" customHeight="1" x14ac:dyDescent="0.5">
      <c r="A145" s="749" t="s">
        <v>190</v>
      </c>
      <c r="B145" s="749"/>
      <c r="C145" s="749"/>
      <c r="D145" s="152" t="s">
        <v>183</v>
      </c>
      <c r="E145" s="95">
        <f>'13'!F145</f>
        <v>1509</v>
      </c>
      <c r="F145" s="149">
        <v>1549</v>
      </c>
      <c r="G145" s="112">
        <f t="shared" si="11"/>
        <v>40</v>
      </c>
      <c r="H145" s="99">
        <f>G145+'13'!H145</f>
        <v>595</v>
      </c>
      <c r="I145" s="140"/>
      <c r="J145" s="348">
        <f>H145/DAY(B2)</f>
        <v>42.5</v>
      </c>
    </row>
    <row r="146" spans="1:10" ht="27.75" customHeight="1" x14ac:dyDescent="0.5">
      <c r="A146" s="784" t="s">
        <v>191</v>
      </c>
      <c r="B146" s="769"/>
      <c r="C146" s="770"/>
      <c r="D146" s="152" t="s">
        <v>183</v>
      </c>
      <c r="E146" s="95">
        <f>'13'!F146</f>
        <v>691608</v>
      </c>
      <c r="F146" s="148">
        <v>691991</v>
      </c>
      <c r="G146" s="112">
        <f t="shared" si="11"/>
        <v>383</v>
      </c>
      <c r="H146" s="99">
        <f>G146+'13'!H146</f>
        <v>4799</v>
      </c>
      <c r="I146" s="140"/>
      <c r="J146" s="348">
        <f>H146/DAY(B2)</f>
        <v>342.78571428571428</v>
      </c>
    </row>
    <row r="147" spans="1:10" ht="27.75" customHeight="1" x14ac:dyDescent="0.5">
      <c r="A147" s="728" t="s">
        <v>192</v>
      </c>
      <c r="B147" s="728"/>
      <c r="C147" s="728"/>
      <c r="D147" s="152" t="s">
        <v>183</v>
      </c>
      <c r="E147" s="95">
        <f>'13'!F147</f>
        <v>581416</v>
      </c>
      <c r="F147" s="148">
        <v>581829</v>
      </c>
      <c r="G147" s="112">
        <f t="shared" si="11"/>
        <v>413</v>
      </c>
      <c r="H147" s="99">
        <f>G147+'13'!H147</f>
        <v>5757</v>
      </c>
      <c r="I147" s="140"/>
      <c r="J147" s="348">
        <f>H147/DAY(B2)</f>
        <v>411.21428571428572</v>
      </c>
    </row>
    <row r="148" spans="1:10" ht="27.75" customHeight="1" x14ac:dyDescent="0.5">
      <c r="A148" s="729" t="s">
        <v>193</v>
      </c>
      <c r="B148" s="730"/>
      <c r="C148" s="731"/>
      <c r="D148" s="123" t="s">
        <v>130</v>
      </c>
      <c r="E148" s="95">
        <f>'13'!F148</f>
        <v>660979</v>
      </c>
      <c r="F148" s="150">
        <v>661129</v>
      </c>
      <c r="G148" s="112">
        <f t="shared" si="11"/>
        <v>150</v>
      </c>
      <c r="H148" s="99">
        <f>G148+'13'!H148</f>
        <v>2529</v>
      </c>
      <c r="I148" s="124"/>
      <c r="J148" s="348">
        <f>H148/DAY(B2)</f>
        <v>180.64285714285714</v>
      </c>
    </row>
    <row r="149" spans="1:10" ht="27.75" customHeight="1" x14ac:dyDescent="0.5">
      <c r="A149" s="729" t="s">
        <v>336</v>
      </c>
      <c r="B149" s="730"/>
      <c r="C149" s="731"/>
      <c r="D149" s="227" t="s">
        <v>130</v>
      </c>
      <c r="E149" s="95">
        <f>'13'!F149</f>
        <v>78632</v>
      </c>
      <c r="F149" s="146">
        <v>78940</v>
      </c>
      <c r="G149" s="112">
        <f t="shared" si="11"/>
        <v>308</v>
      </c>
      <c r="H149" s="99">
        <f>G149+'13'!H149</f>
        <v>3518</v>
      </c>
      <c r="I149" s="119"/>
      <c r="J149" s="348">
        <f>H149/DAY(B2)</f>
        <v>251.28571428571428</v>
      </c>
    </row>
    <row r="150" spans="1:10" ht="27.75" customHeight="1" x14ac:dyDescent="0.5">
      <c r="A150" s="729" t="s">
        <v>337</v>
      </c>
      <c r="B150" s="730"/>
      <c r="C150" s="731"/>
      <c r="D150" s="117" t="s">
        <v>130</v>
      </c>
      <c r="E150" s="95">
        <f>'13'!F150</f>
        <v>7167232</v>
      </c>
      <c r="F150" s="233">
        <v>7167232</v>
      </c>
      <c r="G150" s="112">
        <f t="shared" si="11"/>
        <v>0</v>
      </c>
      <c r="H150" s="99">
        <f>G150+'13'!H150</f>
        <v>0</v>
      </c>
      <c r="I150" s="119"/>
      <c r="J150" s="348">
        <f>H150/DAY(B2)</f>
        <v>0</v>
      </c>
    </row>
    <row r="151" spans="1:10" ht="27.75" customHeight="1" x14ac:dyDescent="0.5">
      <c r="A151" s="729" t="s">
        <v>338</v>
      </c>
      <c r="B151" s="730"/>
      <c r="C151" s="731"/>
      <c r="D151" s="117" t="s">
        <v>130</v>
      </c>
      <c r="E151" s="95">
        <f>'13'!F151</f>
        <v>57658</v>
      </c>
      <c r="F151" s="233">
        <v>57985</v>
      </c>
      <c r="G151" s="112">
        <f t="shared" si="11"/>
        <v>327</v>
      </c>
      <c r="H151" s="99">
        <f>G151+'13'!H151</f>
        <v>4606</v>
      </c>
      <c r="I151" s="119"/>
      <c r="J151" s="348">
        <f>H151/DAY(B2)</f>
        <v>329</v>
      </c>
    </row>
    <row r="152" spans="1:10" ht="27.75" customHeight="1" x14ac:dyDescent="0.5">
      <c r="A152" s="729" t="s">
        <v>339</v>
      </c>
      <c r="B152" s="730"/>
      <c r="C152" s="731"/>
      <c r="D152" s="117" t="s">
        <v>130</v>
      </c>
      <c r="E152" s="95">
        <f>'13'!F152</f>
        <v>0</v>
      </c>
      <c r="F152" s="233">
        <v>0</v>
      </c>
      <c r="G152" s="112">
        <f t="shared" si="11"/>
        <v>0</v>
      </c>
      <c r="H152" s="99">
        <f>G152+'13'!H152</f>
        <v>0</v>
      </c>
      <c r="I152" s="119"/>
      <c r="J152" s="348">
        <f>H152/DAY(B2)</f>
        <v>0</v>
      </c>
    </row>
    <row r="153" spans="1:10" ht="27.75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27.75" customHeight="1" x14ac:dyDescent="0.55000000000000004">
      <c r="A154" s="736"/>
      <c r="B154" s="736"/>
      <c r="C154" s="736"/>
      <c r="D154" s="736"/>
      <c r="E154" s="736"/>
      <c r="F154" s="736"/>
      <c r="G154" s="736"/>
      <c r="H154" s="736"/>
      <c r="I154" s="736"/>
      <c r="J154" s="736"/>
    </row>
    <row r="155" spans="1:10" ht="27.75" customHeight="1" x14ac:dyDescent="0.55000000000000004">
      <c r="A155" s="728" t="s">
        <v>345</v>
      </c>
      <c r="B155" s="728"/>
      <c r="C155" s="728"/>
      <c r="D155" s="117" t="s">
        <v>130</v>
      </c>
      <c r="E155" s="95">
        <f>'13'!F155</f>
        <v>77120</v>
      </c>
      <c r="F155" s="397">
        <v>77128</v>
      </c>
      <c r="G155" s="112">
        <f t="shared" ref="G155:G156" si="12">F155-E155</f>
        <v>8</v>
      </c>
      <c r="H155" s="99">
        <f>G155+'13'!H155</f>
        <v>100.10000000000582</v>
      </c>
      <c r="I155" s="385"/>
      <c r="J155" s="348">
        <f>H155/DAY(B2)</f>
        <v>7.150000000000416</v>
      </c>
    </row>
    <row r="156" spans="1:10" ht="27.75" customHeight="1" x14ac:dyDescent="0.5">
      <c r="A156" s="728" t="s">
        <v>347</v>
      </c>
      <c r="B156" s="728"/>
      <c r="C156" s="728"/>
      <c r="D156" s="117" t="s">
        <v>130</v>
      </c>
      <c r="E156" s="95">
        <f>'13'!F156</f>
        <v>0</v>
      </c>
      <c r="F156" s="165">
        <v>0</v>
      </c>
      <c r="G156" s="112">
        <f t="shared" si="12"/>
        <v>0</v>
      </c>
      <c r="H156" s="99">
        <f>G156+'13'!H156</f>
        <v>0</v>
      </c>
      <c r="I156" s="165"/>
      <c r="J156" s="348">
        <f>H156/DAY(B2)</f>
        <v>0</v>
      </c>
    </row>
    <row r="157" spans="1:10" ht="27.75" customHeight="1" x14ac:dyDescent="0.55000000000000004">
      <c r="A157" s="736" t="s">
        <v>326</v>
      </c>
      <c r="B157" s="736"/>
      <c r="C157" s="736"/>
      <c r="D157" s="736"/>
      <c r="E157" s="736"/>
      <c r="F157" s="736"/>
      <c r="G157" s="736"/>
      <c r="H157" s="736"/>
      <c r="I157" s="736"/>
      <c r="J157" s="736"/>
    </row>
    <row r="158" spans="1:10" ht="27.75" customHeight="1" x14ac:dyDescent="0.5">
      <c r="A158" s="242" t="s">
        <v>92</v>
      </c>
      <c r="B158" s="243"/>
      <c r="C158" s="243"/>
      <c r="D158" s="244" t="s">
        <v>180</v>
      </c>
      <c r="E158" s="95">
        <f>'13'!F158</f>
        <v>466931</v>
      </c>
      <c r="F158" s="235">
        <v>466980</v>
      </c>
      <c r="G158" s="238">
        <f t="shared" ref="G158:G162" si="13">F158-E158</f>
        <v>49</v>
      </c>
      <c r="H158" s="99">
        <f>G158+'13'!H158</f>
        <v>1719</v>
      </c>
      <c r="I158" s="236"/>
      <c r="J158" s="239">
        <f>H158/DAY(B2)</f>
        <v>122.78571428571429</v>
      </c>
    </row>
    <row r="159" spans="1:10" ht="27.75" customHeight="1" x14ac:dyDescent="0.5">
      <c r="A159" s="242" t="s">
        <v>93</v>
      </c>
      <c r="B159" s="243"/>
      <c r="C159" s="243"/>
      <c r="D159" s="244" t="s">
        <v>180</v>
      </c>
      <c r="E159" s="95">
        <f>'13'!F159</f>
        <v>85240</v>
      </c>
      <c r="F159" s="235">
        <v>85279</v>
      </c>
      <c r="G159" s="238">
        <f t="shared" si="13"/>
        <v>39</v>
      </c>
      <c r="H159" s="99">
        <f>G159+'13'!H159</f>
        <v>469</v>
      </c>
      <c r="I159" s="236"/>
      <c r="J159" s="239">
        <f>H159/DAY(B2)</f>
        <v>33.5</v>
      </c>
    </row>
    <row r="160" spans="1:10" ht="27.75" customHeight="1" x14ac:dyDescent="0.5">
      <c r="A160" s="242" t="s">
        <v>197</v>
      </c>
      <c r="B160" s="243"/>
      <c r="C160" s="243"/>
      <c r="D160" s="244" t="s">
        <v>180</v>
      </c>
      <c r="E160" s="95">
        <f>'13'!F160</f>
        <v>71903</v>
      </c>
      <c r="F160" s="235">
        <v>71977</v>
      </c>
      <c r="G160" s="238">
        <f t="shared" si="13"/>
        <v>74</v>
      </c>
      <c r="H160" s="99">
        <f>G160+'13'!H160</f>
        <v>1006</v>
      </c>
      <c r="I160" s="236"/>
      <c r="J160" s="239">
        <f>H160/DAY(B2)</f>
        <v>71.857142857142861</v>
      </c>
    </row>
    <row r="161" spans="1:10" ht="27.75" customHeight="1" x14ac:dyDescent="0.5">
      <c r="A161" s="242" t="s">
        <v>197</v>
      </c>
      <c r="B161" s="243"/>
      <c r="C161" s="243"/>
      <c r="D161" s="244" t="s">
        <v>180</v>
      </c>
      <c r="E161" s="95">
        <f>'13'!F161</f>
        <v>3879</v>
      </c>
      <c r="F161" s="235">
        <v>3886</v>
      </c>
      <c r="G161" s="238">
        <f t="shared" si="13"/>
        <v>7</v>
      </c>
      <c r="H161" s="99">
        <f>G161+'13'!H161</f>
        <v>89</v>
      </c>
      <c r="I161" s="236"/>
      <c r="J161" s="239">
        <f>H161/DAY(B2)</f>
        <v>6.3571428571428568</v>
      </c>
    </row>
    <row r="162" spans="1:10" ht="27.75" customHeight="1" x14ac:dyDescent="0.5">
      <c r="A162" s="242" t="s">
        <v>309</v>
      </c>
      <c r="B162" s="243"/>
      <c r="C162" s="243"/>
      <c r="D162" s="244" t="s">
        <v>180</v>
      </c>
      <c r="E162" s="95">
        <f>'13'!F162</f>
        <v>29070</v>
      </c>
      <c r="F162" s="235">
        <v>29079</v>
      </c>
      <c r="G162" s="238">
        <f t="shared" si="13"/>
        <v>9</v>
      </c>
      <c r="H162" s="99">
        <f>G162+'13'!H162</f>
        <v>107</v>
      </c>
      <c r="I162" s="236"/>
      <c r="J162" s="239">
        <f>H162/DAY(B2)</f>
        <v>7.6428571428571432</v>
      </c>
    </row>
    <row r="163" spans="1:10" ht="27.75" customHeight="1" x14ac:dyDescent="0.5">
      <c r="A163" s="737"/>
      <c r="B163" s="737"/>
      <c r="C163" s="247"/>
      <c r="D163" s="244" t="s">
        <v>180</v>
      </c>
      <c r="E163" s="95">
        <f>'13'!F163</f>
        <v>0</v>
      </c>
      <c r="F163" s="165"/>
      <c r="G163" s="165"/>
      <c r="H163" s="99">
        <f>G163+'13'!H163</f>
        <v>0</v>
      </c>
      <c r="I163" s="165"/>
      <c r="J163" s="239">
        <f>H163/DAY(B2)</f>
        <v>0</v>
      </c>
    </row>
    <row r="164" spans="1:10" ht="27.75" customHeight="1" x14ac:dyDescent="0.5">
      <c r="A164" s="737"/>
      <c r="B164" s="737"/>
      <c r="C164" s="247"/>
      <c r="D164" s="244" t="s">
        <v>180</v>
      </c>
      <c r="E164" s="95">
        <f>'13'!F164</f>
        <v>0</v>
      </c>
      <c r="F164" s="165"/>
      <c r="G164" s="165"/>
      <c r="H164" s="99">
        <f>G164+'13'!H164</f>
        <v>0</v>
      </c>
      <c r="I164" s="165"/>
      <c r="J164" s="239">
        <f>H164/DAY(B2)</f>
        <v>0</v>
      </c>
    </row>
    <row r="165" spans="1:10" ht="27.75" customHeight="1" x14ac:dyDescent="0.5">
      <c r="A165" s="737"/>
      <c r="B165" s="737"/>
      <c r="C165" s="247"/>
      <c r="D165" s="244" t="s">
        <v>180</v>
      </c>
      <c r="E165" s="95">
        <f>'13'!F165</f>
        <v>0</v>
      </c>
      <c r="F165" s="165"/>
      <c r="G165" s="165"/>
      <c r="H165" s="99">
        <f>G165+'13'!H165</f>
        <v>0</v>
      </c>
      <c r="I165" s="165"/>
      <c r="J165" s="239">
        <f>H165/DAY(B2)</f>
        <v>0</v>
      </c>
    </row>
    <row r="168" spans="1:10" ht="27.75" customHeight="1" x14ac:dyDescent="0.35">
      <c r="A168" s="738" t="s">
        <v>330</v>
      </c>
      <c r="B168" s="739"/>
      <c r="C168" s="739"/>
      <c r="D168" s="739"/>
      <c r="E168" s="739"/>
      <c r="F168" s="739"/>
      <c r="G168" s="739"/>
      <c r="H168" s="739"/>
      <c r="I168" s="739"/>
      <c r="J168" s="740"/>
    </row>
    <row r="169" spans="1:10" ht="27.75" customHeight="1" x14ac:dyDescent="0.5">
      <c r="A169" s="747"/>
      <c r="B169" s="748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customHeight="1" x14ac:dyDescent="0.5">
      <c r="A170" s="743" t="s">
        <v>209</v>
      </c>
      <c r="B170" s="744"/>
      <c r="C170" s="353"/>
      <c r="D170" s="228" t="s">
        <v>142</v>
      </c>
      <c r="E170" s="95">
        <f>'13'!F170</f>
        <v>7898</v>
      </c>
      <c r="F170" s="155">
        <v>7898</v>
      </c>
      <c r="G170" s="155">
        <f>F170-E170</f>
        <v>0</v>
      </c>
      <c r="H170" s="99">
        <f>G170+'13'!H170</f>
        <v>3</v>
      </c>
      <c r="I170" s="155"/>
      <c r="J170" s="178">
        <f>H170/DAY(B2)</f>
        <v>0.21428571428571427</v>
      </c>
    </row>
    <row r="171" spans="1:10" ht="27.75" customHeight="1" x14ac:dyDescent="0.5">
      <c r="A171" s="743" t="s">
        <v>75</v>
      </c>
      <c r="B171" s="744"/>
      <c r="C171" s="353"/>
      <c r="D171" s="228" t="s">
        <v>142</v>
      </c>
      <c r="E171" s="95">
        <f>'13'!F171</f>
        <v>37158</v>
      </c>
      <c r="F171" s="157">
        <v>37180</v>
      </c>
      <c r="G171" s="155">
        <f t="shared" ref="G171:G172" si="14">F171-E171</f>
        <v>22</v>
      </c>
      <c r="H171" s="99">
        <f>G171+'13'!H171</f>
        <v>540</v>
      </c>
      <c r="I171" s="155"/>
      <c r="J171" s="178">
        <f>H171/DAY(B2)</f>
        <v>38.571428571428569</v>
      </c>
    </row>
    <row r="172" spans="1:10" ht="27.75" customHeight="1" x14ac:dyDescent="0.5">
      <c r="A172" s="743" t="s">
        <v>76</v>
      </c>
      <c r="B172" s="783"/>
      <c r="C172" s="744"/>
      <c r="D172" s="228" t="s">
        <v>142</v>
      </c>
      <c r="E172" s="95">
        <f>'13'!F172</f>
        <v>20605</v>
      </c>
      <c r="F172" s="155">
        <v>20619</v>
      </c>
      <c r="G172" s="155">
        <f t="shared" si="14"/>
        <v>14</v>
      </c>
      <c r="H172" s="99">
        <f>G172+'13'!H172</f>
        <v>150</v>
      </c>
      <c r="I172" s="155"/>
      <c r="J172" s="178">
        <f>H172/DAY(B2)</f>
        <v>10.714285714285714</v>
      </c>
    </row>
    <row r="173" spans="1:10" ht="27.75" customHeight="1" x14ac:dyDescent="0.5">
      <c r="A173" s="732" t="s">
        <v>196</v>
      </c>
      <c r="B173" s="733"/>
      <c r="C173" s="611"/>
      <c r="D173" s="228" t="s">
        <v>142</v>
      </c>
      <c r="E173" s="95"/>
      <c r="F173" s="155"/>
      <c r="G173" s="155">
        <f>SUM(G170:G172)</f>
        <v>36</v>
      </c>
      <c r="H173" s="99">
        <f>G173+'13'!H173</f>
        <v>693</v>
      </c>
      <c r="I173" s="155"/>
      <c r="J173" s="178">
        <f>H173/DAY(B2)</f>
        <v>49.5</v>
      </c>
    </row>
    <row r="174" spans="1:10" ht="27.75" customHeight="1" x14ac:dyDescent="0.5">
      <c r="A174" s="743" t="s">
        <v>77</v>
      </c>
      <c r="B174" s="744"/>
      <c r="C174" s="353"/>
      <c r="D174" s="228" t="s">
        <v>142</v>
      </c>
      <c r="E174" s="95"/>
      <c r="F174" s="155"/>
      <c r="G174" s="155"/>
      <c r="H174" s="99">
        <f>G174+'13'!H174</f>
        <v>0</v>
      </c>
      <c r="I174" s="155"/>
      <c r="J174" s="178">
        <f>H174/DAY(B2)</f>
        <v>0</v>
      </c>
    </row>
    <row r="175" spans="1:10" ht="27.75" customHeight="1" x14ac:dyDescent="0.5">
      <c r="A175" s="743" t="s">
        <v>210</v>
      </c>
      <c r="B175" s="744"/>
      <c r="C175" s="353"/>
      <c r="D175" s="228" t="s">
        <v>142</v>
      </c>
      <c r="E175" s="95">
        <f>'13'!F175</f>
        <v>72982</v>
      </c>
      <c r="F175" s="155">
        <v>73094</v>
      </c>
      <c r="G175" s="155">
        <f>F175-E175</f>
        <v>112</v>
      </c>
      <c r="H175" s="99">
        <f>G175+'13'!H175</f>
        <v>1160</v>
      </c>
      <c r="I175" s="155"/>
      <c r="J175" s="178">
        <f>H175/DAY(B2)</f>
        <v>82.857142857142861</v>
      </c>
    </row>
    <row r="176" spans="1:10" ht="27.75" customHeight="1" x14ac:dyDescent="0.5">
      <c r="A176" s="743" t="s">
        <v>211</v>
      </c>
      <c r="B176" s="744"/>
      <c r="C176" s="353"/>
      <c r="D176" s="228" t="s">
        <v>142</v>
      </c>
      <c r="E176" s="95">
        <f>'13'!F176</f>
        <v>33886</v>
      </c>
      <c r="F176" s="155">
        <v>33886</v>
      </c>
      <c r="G176" s="155">
        <f t="shared" ref="G176:G177" si="15">F176-E176</f>
        <v>0</v>
      </c>
      <c r="H176" s="99">
        <f>G176+'13'!H176</f>
        <v>0</v>
      </c>
      <c r="I176" s="155"/>
      <c r="J176" s="178">
        <f>H176/DAY(B2)</f>
        <v>0</v>
      </c>
    </row>
    <row r="177" spans="1:10" ht="27.75" customHeight="1" x14ac:dyDescent="0.5">
      <c r="A177" s="743" t="s">
        <v>212</v>
      </c>
      <c r="B177" s="744"/>
      <c r="C177" s="353"/>
      <c r="D177" s="228" t="s">
        <v>142</v>
      </c>
      <c r="E177" s="95">
        <f>'13'!F177</f>
        <v>4901</v>
      </c>
      <c r="F177" s="155">
        <v>4910</v>
      </c>
      <c r="G177" s="155">
        <f t="shared" si="15"/>
        <v>9</v>
      </c>
      <c r="H177" s="99">
        <f>G177+'13'!H177</f>
        <v>79</v>
      </c>
      <c r="I177" s="155"/>
      <c r="J177" s="178">
        <f>H177/DAY(B2)</f>
        <v>5.6428571428571432</v>
      </c>
    </row>
    <row r="178" spans="1:10" ht="27.75" customHeight="1" x14ac:dyDescent="0.5">
      <c r="A178" s="745" t="s">
        <v>108</v>
      </c>
      <c r="B178" s="746"/>
      <c r="C178" s="611"/>
      <c r="D178" s="228" t="s">
        <v>142</v>
      </c>
      <c r="E178" s="95"/>
      <c r="F178" s="155"/>
      <c r="G178" s="155">
        <f>SUM(G175:G177)</f>
        <v>121</v>
      </c>
      <c r="H178" s="99">
        <f>G178+'13'!H178</f>
        <v>1239</v>
      </c>
      <c r="I178" s="155"/>
      <c r="J178" s="178">
        <f>H178/DAY(B2)</f>
        <v>88.5</v>
      </c>
    </row>
    <row r="179" spans="1:10" ht="27.75" customHeight="1" x14ac:dyDescent="0.5">
      <c r="A179" s="743" t="s">
        <v>213</v>
      </c>
      <c r="B179" s="744"/>
      <c r="C179" s="353"/>
      <c r="D179" s="228" t="s">
        <v>142</v>
      </c>
      <c r="E179" s="95"/>
      <c r="F179" s="155"/>
      <c r="G179" s="155"/>
      <c r="H179" s="99">
        <f>G179+'13'!H179</f>
        <v>0</v>
      </c>
      <c r="I179" s="155"/>
      <c r="J179" s="178">
        <f>H179/DAY(B2)</f>
        <v>0</v>
      </c>
    </row>
    <row r="180" spans="1:10" ht="27.75" customHeight="1" x14ac:dyDescent="0.5">
      <c r="A180" s="743" t="s">
        <v>214</v>
      </c>
      <c r="B180" s="744"/>
      <c r="C180" s="354"/>
      <c r="D180" s="228" t="s">
        <v>142</v>
      </c>
      <c r="E180" s="95">
        <f>'13'!F180</f>
        <v>13743</v>
      </c>
      <c r="F180" s="157">
        <v>13755</v>
      </c>
      <c r="G180" s="157">
        <f>F180-E180</f>
        <v>12</v>
      </c>
      <c r="H180" s="99">
        <f>G180+'13'!H180</f>
        <v>218</v>
      </c>
      <c r="I180" s="155"/>
      <c r="J180" s="178">
        <f>H180/DAY(B2)</f>
        <v>15.571428571428571</v>
      </c>
    </row>
    <row r="181" spans="1:10" ht="27.75" customHeight="1" x14ac:dyDescent="0.5">
      <c r="A181" s="743" t="s">
        <v>215</v>
      </c>
      <c r="B181" s="744"/>
      <c r="C181" s="354"/>
      <c r="D181" s="228" t="s">
        <v>142</v>
      </c>
      <c r="E181" s="95">
        <f>'13'!F181</f>
        <v>9566</v>
      </c>
      <c r="F181" s="157">
        <v>9571</v>
      </c>
      <c r="G181" s="157">
        <f t="shared" ref="G181:G182" si="16">F181-E181</f>
        <v>5</v>
      </c>
      <c r="H181" s="99">
        <f>G181+'13'!H181</f>
        <v>123</v>
      </c>
      <c r="I181" s="155"/>
      <c r="J181" s="178">
        <f>H181/DAY(B2)</f>
        <v>8.7857142857142865</v>
      </c>
    </row>
    <row r="182" spans="1:10" ht="27.75" customHeight="1" x14ac:dyDescent="0.5">
      <c r="A182" s="743" t="s">
        <v>216</v>
      </c>
      <c r="B182" s="744"/>
      <c r="C182" s="354"/>
      <c r="D182" s="228" t="s">
        <v>142</v>
      </c>
      <c r="E182" s="95">
        <f>'13'!F182</f>
        <v>0</v>
      </c>
      <c r="F182" s="157">
        <v>0</v>
      </c>
      <c r="G182" s="157">
        <f t="shared" si="16"/>
        <v>0</v>
      </c>
      <c r="H182" s="99">
        <f>G182+'13'!H182</f>
        <v>0</v>
      </c>
      <c r="I182" s="155"/>
      <c r="J182" s="178">
        <f>H182/DAY(B2)</f>
        <v>0</v>
      </c>
    </row>
    <row r="183" spans="1:10" ht="27.75" customHeight="1" x14ac:dyDescent="0.5">
      <c r="A183" s="732" t="s">
        <v>196</v>
      </c>
      <c r="B183" s="733"/>
      <c r="C183" s="610"/>
      <c r="D183" s="228" t="s">
        <v>142</v>
      </c>
      <c r="E183" s="95"/>
      <c r="F183" s="157"/>
      <c r="G183" s="157">
        <f>SUM(G180:G182)</f>
        <v>17</v>
      </c>
      <c r="H183" s="99">
        <f>G183+'13'!H183</f>
        <v>341</v>
      </c>
      <c r="I183" s="157"/>
      <c r="J183" s="178">
        <f>H183/DAY(B2)</f>
        <v>24.357142857142858</v>
      </c>
    </row>
    <row r="184" spans="1:10" ht="27.75" customHeight="1" x14ac:dyDescent="0.5">
      <c r="A184" s="734" t="s">
        <v>217</v>
      </c>
      <c r="B184" s="735"/>
      <c r="C184" s="353"/>
      <c r="D184" s="230" t="s">
        <v>142</v>
      </c>
      <c r="E184" s="95"/>
      <c r="F184" s="159"/>
      <c r="G184" s="588">
        <f>G62+G19</f>
        <v>153</v>
      </c>
      <c r="H184" s="99">
        <f>G184+'13'!H184</f>
        <v>2306</v>
      </c>
      <c r="I184" s="158"/>
      <c r="J184" s="179">
        <f>H184/DAY(B2)</f>
        <v>164.71428571428572</v>
      </c>
    </row>
    <row r="185" spans="1:10" ht="27.75" customHeight="1" x14ac:dyDescent="0.5">
      <c r="A185" s="734" t="s">
        <v>218</v>
      </c>
      <c r="B185" s="735"/>
      <c r="C185" s="353"/>
      <c r="D185" s="230" t="s">
        <v>142</v>
      </c>
      <c r="E185" s="95"/>
      <c r="F185" s="159"/>
      <c r="G185" s="588">
        <f>G65+G66+G67+G69+G70</f>
        <v>144</v>
      </c>
      <c r="H185" s="99"/>
      <c r="I185" s="158"/>
      <c r="J185" s="616">
        <f>H185/DAY(B2)</f>
        <v>0</v>
      </c>
    </row>
    <row r="186" spans="1:10" ht="27.75" customHeight="1" x14ac:dyDescent="0.5">
      <c r="A186" s="734" t="s">
        <v>219</v>
      </c>
      <c r="B186" s="735"/>
      <c r="C186" s="353"/>
      <c r="D186" s="230" t="s">
        <v>142</v>
      </c>
      <c r="E186" s="95"/>
      <c r="F186" s="157"/>
      <c r="G186" s="585">
        <f>G178</f>
        <v>121</v>
      </c>
      <c r="H186" s="99">
        <f>G186+'13'!H186</f>
        <v>1239</v>
      </c>
      <c r="I186" s="158"/>
      <c r="J186" s="179">
        <f>H186/DAY(B2)</f>
        <v>88.5</v>
      </c>
    </row>
    <row r="187" spans="1:10" ht="27.75" customHeight="1" x14ac:dyDescent="0.5">
      <c r="A187" s="741"/>
      <c r="B187" s="742"/>
      <c r="C187" s="609"/>
      <c r="D187" s="606"/>
      <c r="E187" s="606" t="s">
        <v>207</v>
      </c>
      <c r="F187" s="606"/>
      <c r="G187" s="606"/>
      <c r="H187" s="607"/>
      <c r="I187" s="606"/>
      <c r="J187" s="608"/>
    </row>
  </sheetData>
  <mergeCells count="111">
    <mergeCell ref="A75:C75"/>
    <mergeCell ref="A76:C76"/>
    <mergeCell ref="A77:C77"/>
    <mergeCell ref="A71:C71"/>
    <mergeCell ref="A72:B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4:C124"/>
    <mergeCell ref="A79:C79"/>
    <mergeCell ref="A80:C80"/>
    <mergeCell ref="A81:C81"/>
    <mergeCell ref="A102:C102"/>
    <mergeCell ref="A95:C95"/>
    <mergeCell ref="A96:C96"/>
    <mergeCell ref="A93:C93"/>
    <mergeCell ref="A94:C94"/>
    <mergeCell ref="A101:C101"/>
    <mergeCell ref="A78:C78"/>
    <mergeCell ref="A97:C97"/>
    <mergeCell ref="A98:C98"/>
    <mergeCell ref="A99:C99"/>
    <mergeCell ref="A100:C100"/>
    <mergeCell ref="A180:B180"/>
    <mergeCell ref="A178:B178"/>
    <mergeCell ref="A179:B179"/>
    <mergeCell ref="A177:B177"/>
    <mergeCell ref="A172:C172"/>
    <mergeCell ref="A175:B175"/>
    <mergeCell ref="A176:B176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23:C123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32:C132"/>
    <mergeCell ref="A133:C133"/>
    <mergeCell ref="A134:C134"/>
    <mergeCell ref="A135:C135"/>
    <mergeCell ref="A136:J136"/>
    <mergeCell ref="A125:B125"/>
    <mergeCell ref="A126:J126"/>
    <mergeCell ref="A127:B127"/>
    <mergeCell ref="A128:C128"/>
    <mergeCell ref="A131:C131"/>
    <mergeCell ref="A157:J157"/>
    <mergeCell ref="A163:B163"/>
    <mergeCell ref="A164:B164"/>
    <mergeCell ref="A165:B165"/>
    <mergeCell ref="A168:J168"/>
    <mergeCell ref="A138:C138"/>
    <mergeCell ref="A139:C139"/>
    <mergeCell ref="A140:C140"/>
    <mergeCell ref="A141:C141"/>
    <mergeCell ref="A142:C142"/>
    <mergeCell ref="A148:C148"/>
    <mergeCell ref="A149:C149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83:B183"/>
    <mergeCell ref="A184:B184"/>
    <mergeCell ref="A185:B185"/>
    <mergeCell ref="A186:B186"/>
    <mergeCell ref="A187:B187"/>
    <mergeCell ref="A169:B169"/>
    <mergeCell ref="A170:B170"/>
    <mergeCell ref="A171:B171"/>
    <mergeCell ref="A173:B173"/>
    <mergeCell ref="A174:B174"/>
    <mergeCell ref="A181:B181"/>
    <mergeCell ref="A182:B182"/>
  </mergeCells>
  <pageMargins left="0.22" right="0.17" top="0.14000000000000001" bottom="0.2" header="0.2" footer="0.2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67"/>
  <sheetViews>
    <sheetView view="pageBreakPreview" topLeftCell="A130" zoomScale="55" zoomScaleNormal="80" zoomScaleSheetLayoutView="55" workbookViewId="0">
      <selection activeCell="G149" sqref="G14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89" t="s">
        <v>115</v>
      </c>
      <c r="B1" s="790"/>
      <c r="C1" s="790"/>
      <c r="D1" s="790"/>
      <c r="E1" s="790"/>
      <c r="F1" s="790"/>
      <c r="G1" s="790"/>
      <c r="H1" s="790"/>
      <c r="I1" s="790"/>
      <c r="J1" s="791"/>
    </row>
    <row r="2" spans="1:15" s="57" customFormat="1" ht="27" x14ac:dyDescent="0.5">
      <c r="A2" s="191" t="s">
        <v>303</v>
      </c>
      <c r="B2" s="266">
        <v>44484</v>
      </c>
      <c r="C2" s="368" t="s">
        <v>67</v>
      </c>
      <c r="D2" s="218">
        <v>0.7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29</v>
      </c>
      <c r="E3" s="798" t="s">
        <v>119</v>
      </c>
      <c r="F3" s="79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0.84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92" t="s">
        <v>128</v>
      </c>
      <c r="B6" s="793"/>
      <c r="C6" s="79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'14'!F7</f>
        <v>296357</v>
      </c>
      <c r="F7" s="95">
        <v>318970</v>
      </c>
      <c r="G7" s="112">
        <f>F7-E7</f>
        <v>22613</v>
      </c>
      <c r="H7" s="99">
        <f>G7+'14'!H7</f>
        <v>351727.59999999992</v>
      </c>
      <c r="I7" s="113">
        <f>'1'!I7</f>
        <v>12000</v>
      </c>
      <c r="J7" s="175">
        <f>H7/DAY(B2)</f>
        <v>23448.506666666661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'14'!F8</f>
        <v>315659</v>
      </c>
      <c r="F8" s="114">
        <v>338852</v>
      </c>
      <c r="G8" s="115">
        <f>F8-E8</f>
        <v>23193</v>
      </c>
      <c r="H8" s="99">
        <f>G8+'14'!H8</f>
        <v>357134.99999999994</v>
      </c>
      <c r="I8" s="116"/>
      <c r="J8" s="175">
        <f>H8/DAY(B2)</f>
        <v>23808.999999999996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'14'!F9</f>
        <v>997382</v>
      </c>
      <c r="F9" s="117">
        <v>1010372</v>
      </c>
      <c r="G9" s="112">
        <f>F9-E9</f>
        <v>12990</v>
      </c>
      <c r="H9" s="99">
        <f>G9+'14'!H9</f>
        <v>279582</v>
      </c>
      <c r="I9" s="124">
        <f>I7-J7</f>
        <v>-11448.506666666661</v>
      </c>
      <c r="J9" s="175">
        <f>H9/DAY(B2)</f>
        <v>18638.8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'14'!F10</f>
        <v>52950</v>
      </c>
      <c r="F10" s="117">
        <v>61956</v>
      </c>
      <c r="G10" s="112">
        <f t="shared" ref="G10:G12" si="0">F10-E10</f>
        <v>9006</v>
      </c>
      <c r="H10" s="99">
        <f>G10+'14'!H10</f>
        <v>67085</v>
      </c>
      <c r="I10" s="286"/>
      <c r="J10" s="175">
        <f>H10/DAY(B2)</f>
        <v>4472.333333333333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'14'!F11</f>
        <v>37000</v>
      </c>
      <c r="F11" s="95">
        <v>37000</v>
      </c>
      <c r="G11" s="112">
        <f t="shared" si="0"/>
        <v>0</v>
      </c>
      <c r="H11" s="99">
        <f>G11+'14'!H11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'14'!F12</f>
        <v>40010</v>
      </c>
      <c r="F12" s="117">
        <v>40010</v>
      </c>
      <c r="G12" s="112">
        <f t="shared" si="0"/>
        <v>0</v>
      </c>
      <c r="H12" s="99">
        <f>G12+'14'!H12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21996</v>
      </c>
      <c r="H13" s="99">
        <f>G13+'14'!H13</f>
        <v>325121.25</v>
      </c>
      <c r="I13" s="120">
        <f>G7-G13</f>
        <v>617</v>
      </c>
      <c r="J13" s="175">
        <f>H13/DAY(B2)</f>
        <v>21674.75</v>
      </c>
      <c r="K13" s="79"/>
      <c r="L13" s="66"/>
      <c r="N13" s="87"/>
      <c r="O13" s="71"/>
    </row>
    <row r="14" spans="1:15" ht="29.25" x14ac:dyDescent="0.5">
      <c r="A14" s="795" t="s">
        <v>137</v>
      </c>
      <c r="B14" s="796"/>
      <c r="C14" s="79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'14'!F15</f>
        <v>1798288</v>
      </c>
      <c r="F15" s="123">
        <v>1799264</v>
      </c>
      <c r="G15" s="112">
        <f>(F15-E15)</f>
        <v>976</v>
      </c>
      <c r="H15" s="99">
        <f>G15+'14'!H15</f>
        <v>15056</v>
      </c>
      <c r="I15" s="113">
        <f>'1'!I15</f>
        <v>800</v>
      </c>
      <c r="J15" s="175">
        <f>H15/DAY(B2)</f>
        <v>1003.7333333333333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-203.73333333333335</v>
      </c>
      <c r="J16" s="176"/>
      <c r="K16" s="79"/>
      <c r="L16" s="66"/>
      <c r="N16" s="87"/>
      <c r="O16" s="71"/>
    </row>
    <row r="17" spans="1:15" ht="29.25" x14ac:dyDescent="0.5">
      <c r="A17" s="795" t="s">
        <v>140</v>
      </c>
      <c r="B17" s="796"/>
      <c r="C17" s="79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1" t="s">
        <v>141</v>
      </c>
      <c r="B18" s="772"/>
      <c r="C18" s="773"/>
      <c r="D18" s="151" t="s">
        <v>142</v>
      </c>
      <c r="E18" s="95">
        <f>'14'!F18</f>
        <v>18</v>
      </c>
      <c r="F18" s="122">
        <v>22</v>
      </c>
      <c r="G18" s="119">
        <f>F18*10</f>
        <v>220</v>
      </c>
      <c r="H18" s="99">
        <f>G18+'14'!H18</f>
        <v>2890</v>
      </c>
      <c r="I18" s="113">
        <f>'1'!I18</f>
        <v>65</v>
      </c>
      <c r="J18" s="175">
        <f>H18/DAY(B2)</f>
        <v>192.66666666666666</v>
      </c>
      <c r="K18" s="79"/>
      <c r="L18" s="66"/>
      <c r="N18" s="87"/>
      <c r="O18" s="71"/>
    </row>
    <row r="19" spans="1:15" ht="27.75" x14ac:dyDescent="0.5">
      <c r="A19" s="771" t="s">
        <v>69</v>
      </c>
      <c r="B19" s="772"/>
      <c r="C19" s="773"/>
      <c r="D19" s="151" t="s">
        <v>142</v>
      </c>
      <c r="E19" s="95">
        <f>'14'!F19</f>
        <v>147935</v>
      </c>
      <c r="F19" s="122">
        <v>147984</v>
      </c>
      <c r="G19" s="112">
        <f t="shared" ref="G19" si="1">F19-E19</f>
        <v>49</v>
      </c>
      <c r="H19" s="99">
        <f>G19+'14'!H19</f>
        <v>872</v>
      </c>
      <c r="I19" s="355"/>
      <c r="J19" s="175">
        <f>H19/DAY(B2)</f>
        <v>58.133333333333333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269</v>
      </c>
      <c r="H20" s="99">
        <f>G20+'14'!H20</f>
        <v>3762</v>
      </c>
      <c r="I20" s="356">
        <f>I18-J20</f>
        <v>-185.8</v>
      </c>
      <c r="J20" s="175">
        <f>H20/DAY(B2)</f>
        <v>250.8</v>
      </c>
      <c r="K20" s="79"/>
      <c r="L20" s="66"/>
      <c r="N20" s="87"/>
      <c r="O20" s="71"/>
    </row>
    <row r="21" spans="1:15" ht="29.25" x14ac:dyDescent="0.5">
      <c r="A21" s="795" t="s">
        <v>144</v>
      </c>
      <c r="B21" s="796"/>
      <c r="C21" s="79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'14'!F23</f>
        <v>2000</v>
      </c>
      <c r="F23" s="122">
        <v>2000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0" t="s">
        <v>149</v>
      </c>
      <c r="B25" s="801"/>
      <c r="C25" s="80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23193</v>
      </c>
      <c r="F27" s="136">
        <v>9</v>
      </c>
      <c r="G27" s="137">
        <f>E27*F27</f>
        <v>208737</v>
      </c>
      <c r="H27" s="99">
        <f>G27+'14'!H27</f>
        <v>3214214.9999999995</v>
      </c>
      <c r="I27" s="138"/>
      <c r="J27" s="175">
        <f>H27/DAY(B2)</f>
        <v>214280.99999999997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976</v>
      </c>
      <c r="F28" s="136">
        <v>52</v>
      </c>
      <c r="G28" s="137">
        <f>E28*F28</f>
        <v>50752</v>
      </c>
      <c r="H28" s="99">
        <f>G28+'14'!H28</f>
        <v>782912</v>
      </c>
      <c r="I28" s="140"/>
      <c r="J28" s="175">
        <f>H28/DAY(B2)</f>
        <v>52194.133333333331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146</v>
      </c>
      <c r="G30" s="137">
        <f>E30*F30</f>
        <v>7154</v>
      </c>
      <c r="H30" s="99">
        <f>G30+'14'!H30</f>
        <v>127312</v>
      </c>
      <c r="I30" s="140"/>
      <c r="J30" s="175">
        <f>H30/DAY(B2)</f>
        <v>8487.4666666666672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G31+'14'!H31</f>
        <v>231200</v>
      </c>
      <c r="I31" s="140"/>
      <c r="J31" s="175">
        <f>H31/DAY(B2)</f>
        <v>15413.333333333334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284243</v>
      </c>
      <c r="H32" s="99">
        <f>G32+'14'!H32</f>
        <v>4355639</v>
      </c>
      <c r="I32" s="144"/>
      <c r="J32" s="175">
        <f>H32/DAY(B2)</f>
        <v>290375.93333333335</v>
      </c>
      <c r="K32" s="63"/>
      <c r="L32" s="89"/>
      <c r="N32" s="87"/>
      <c r="O32" s="71"/>
    </row>
    <row r="33" spans="1:15" ht="25.5" customHeight="1" x14ac:dyDescent="0.35">
      <c r="A33" s="803" t="s">
        <v>331</v>
      </c>
      <c r="B33" s="804"/>
      <c r="C33" s="804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'14'!F35</f>
        <v>0</v>
      </c>
      <c r="F35" s="145">
        <v>0</v>
      </c>
      <c r="G35" s="112">
        <f t="shared" ref="G35:G46" si="3">F35-E35</f>
        <v>0</v>
      </c>
      <c r="H35" s="99">
        <f>G35+'14'!H35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'14'!F36</f>
        <v>35259</v>
      </c>
      <c r="F36" s="145">
        <v>36194</v>
      </c>
      <c r="G36" s="112">
        <f t="shared" si="3"/>
        <v>935</v>
      </c>
      <c r="H36" s="99">
        <f>G36+'14'!H36</f>
        <v>12317</v>
      </c>
      <c r="I36" s="95"/>
      <c r="J36" s="175">
        <f>H36/DAY(B2)</f>
        <v>821.13333333333333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'14'!F37</f>
        <v>78224</v>
      </c>
      <c r="F37" s="145">
        <v>79911</v>
      </c>
      <c r="G37" s="112">
        <f t="shared" si="3"/>
        <v>1687</v>
      </c>
      <c r="H37" s="99">
        <f>G37+'14'!H37</f>
        <v>25748</v>
      </c>
      <c r="I37" s="95"/>
      <c r="J37" s="175">
        <f>H37/DAY(B2)</f>
        <v>1716.5333333333333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'14'!F38</f>
        <v>83864</v>
      </c>
      <c r="F38" s="108">
        <v>85817</v>
      </c>
      <c r="G38" s="112">
        <f t="shared" si="3"/>
        <v>1953</v>
      </c>
      <c r="H38" s="99">
        <f>G38+'14'!H38</f>
        <v>28691</v>
      </c>
      <c r="I38" s="95"/>
      <c r="J38" s="175">
        <f>H38/DAY(B2)</f>
        <v>1912.7333333333333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'14'!F39</f>
        <v>182198</v>
      </c>
      <c r="F39" s="145">
        <v>186410</v>
      </c>
      <c r="G39" s="112">
        <f t="shared" si="3"/>
        <v>4212</v>
      </c>
      <c r="H39" s="99">
        <f>G39+'14'!H39</f>
        <v>63519</v>
      </c>
      <c r="I39" s="95"/>
      <c r="J39" s="175">
        <f>H39/DAY(B2)</f>
        <v>4234.6000000000004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'14'!F40</f>
        <v>0</v>
      </c>
      <c r="F40" s="145">
        <v>7</v>
      </c>
      <c r="G40" s="112">
        <f t="shared" si="3"/>
        <v>7</v>
      </c>
      <c r="H40" s="99">
        <f>G40+'14'!H40</f>
        <v>8.3000000000000007</v>
      </c>
      <c r="I40" s="95"/>
      <c r="J40" s="175">
        <f>H40/DAY(B2)</f>
        <v>0.55333333333333334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'14'!F41</f>
        <v>542431</v>
      </c>
      <c r="F41" s="145">
        <v>544281</v>
      </c>
      <c r="G41" s="112">
        <f t="shared" si="3"/>
        <v>1850</v>
      </c>
      <c r="H41" s="99">
        <f>G41+'14'!H41</f>
        <v>55061.409999999974</v>
      </c>
      <c r="I41" s="95"/>
      <c r="J41" s="175">
        <f>H41/DAY(B2)</f>
        <v>3670.7606666666647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'14'!F42</f>
        <v>266960</v>
      </c>
      <c r="F42" s="145">
        <v>267164</v>
      </c>
      <c r="G42" s="112">
        <f t="shared" si="3"/>
        <v>204</v>
      </c>
      <c r="H42" s="99">
        <f>G42+'14'!H42</f>
        <v>22981</v>
      </c>
      <c r="I42" s="95"/>
      <c r="J42" s="175">
        <f>H42/DAY(B2)</f>
        <v>1532.0666666666666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'14'!F43</f>
        <v>1399240</v>
      </c>
      <c r="F43" s="145">
        <v>1401800</v>
      </c>
      <c r="G43" s="112">
        <f t="shared" si="3"/>
        <v>2560</v>
      </c>
      <c r="H43" s="99">
        <f>G43+'14'!H43</f>
        <v>37842</v>
      </c>
      <c r="I43" s="95"/>
      <c r="J43" s="175">
        <f>H43/DAY(B2)</f>
        <v>2522.8000000000002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13408</v>
      </c>
      <c r="H47" s="99">
        <f>G47+'14'!H47</f>
        <v>246167.70999999996</v>
      </c>
      <c r="I47" s="95"/>
      <c r="J47" s="175">
        <f>H47/DAY(B2)</f>
        <v>16411.180666666663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'14'!F49</f>
        <v>145476</v>
      </c>
      <c r="F49" s="145">
        <v>148856</v>
      </c>
      <c r="G49" s="112">
        <f t="shared" ref="G49:G58" si="4">F49-E49</f>
        <v>3380</v>
      </c>
      <c r="H49" s="99">
        <f>G49+'14'!H49</f>
        <v>57659.619999999995</v>
      </c>
      <c r="I49" s="95"/>
      <c r="J49" s="175">
        <f>H49/DAY(B2)</f>
        <v>3843.9746666666665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'14'!F50</f>
        <v>660738</v>
      </c>
      <c r="F50" s="145">
        <v>661785</v>
      </c>
      <c r="G50" s="112">
        <f t="shared" si="4"/>
        <v>1047</v>
      </c>
      <c r="H50" s="99">
        <f>G50+'14'!H50</f>
        <v>18295</v>
      </c>
      <c r="I50" s="95"/>
      <c r="J50" s="175">
        <f>H50/DAY(B2)</f>
        <v>1219.6666666666667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'14'!F51</f>
        <v>0</v>
      </c>
      <c r="F51" s="145">
        <v>0</v>
      </c>
      <c r="G51" s="112">
        <f t="shared" si="4"/>
        <v>0</v>
      </c>
      <c r="H51" s="99">
        <f>G51+'14'!H51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'14'!F52</f>
        <v>0</v>
      </c>
      <c r="F52" s="145">
        <v>0</v>
      </c>
      <c r="G52" s="112">
        <f t="shared" si="4"/>
        <v>0</v>
      </c>
      <c r="H52" s="99">
        <f>G52+'14'!H52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'14'!F53</f>
        <v>0</v>
      </c>
      <c r="F53" s="145">
        <v>0</v>
      </c>
      <c r="G53" s="112">
        <f t="shared" si="4"/>
        <v>0</v>
      </c>
      <c r="H53" s="99">
        <f>G53+'14'!H53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'14'!F54</f>
        <v>2789</v>
      </c>
      <c r="F54" s="145">
        <v>2793</v>
      </c>
      <c r="G54" s="112">
        <f t="shared" si="4"/>
        <v>4</v>
      </c>
      <c r="H54" s="99">
        <f>G54+'14'!H54</f>
        <v>61</v>
      </c>
      <c r="I54" s="95"/>
      <c r="J54" s="175">
        <f>H54/DAY(B2)</f>
        <v>4.0666666666666664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'14'!F55</f>
        <v>307299</v>
      </c>
      <c r="F55" s="145">
        <v>307299</v>
      </c>
      <c r="G55" s="112">
        <f t="shared" si="4"/>
        <v>0</v>
      </c>
      <c r="H55" s="99">
        <f>G55+'14'!H55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'14'!F56</f>
        <v>768876</v>
      </c>
      <c r="F56" s="145">
        <v>773445</v>
      </c>
      <c r="G56" s="112">
        <f t="shared" si="4"/>
        <v>4569</v>
      </c>
      <c r="H56" s="99">
        <f>G56+'14'!H56</f>
        <v>31675</v>
      </c>
      <c r="I56" s="95"/>
      <c r="J56" s="175">
        <f>H56/DAY(B2)</f>
        <v>2111.6666666666665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'14'!F57</f>
        <v>0</v>
      </c>
      <c r="F57" s="145">
        <v>0</v>
      </c>
      <c r="G57" s="112">
        <f t="shared" si="4"/>
        <v>0</v>
      </c>
      <c r="H57" s="99">
        <f>G57+'14'!H57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'14'!F58</f>
        <v>75231</v>
      </c>
      <c r="F58" s="145">
        <v>75478</v>
      </c>
      <c r="G58" s="112">
        <f t="shared" si="4"/>
        <v>247</v>
      </c>
      <c r="H58" s="99">
        <f>G58+'14'!H58</f>
        <v>3323</v>
      </c>
      <c r="I58" s="95"/>
      <c r="J58" s="175">
        <f>H58/DAY(B2)</f>
        <v>221.53333333333333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9247</v>
      </c>
      <c r="H59" s="99">
        <f>G59+'14'!H59</f>
        <v>111013.62</v>
      </c>
      <c r="I59" s="95">
        <f>G7-G60</f>
        <v>-42</v>
      </c>
      <c r="J59" s="175">
        <f>H59/DAY(B2)</f>
        <v>7400.9079999999994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22655</v>
      </c>
      <c r="H60" s="99">
        <f>G60+'14'!H60</f>
        <v>357181.32999999996</v>
      </c>
      <c r="I60" s="95">
        <f>G13-G60</f>
        <v>-659</v>
      </c>
      <c r="J60" s="175">
        <f>H60/DAY(B2)</f>
        <v>23812.088666666663</v>
      </c>
      <c r="K60" s="79"/>
      <c r="L60" s="66"/>
      <c r="N60" s="87"/>
      <c r="O60" s="71"/>
    </row>
    <row r="61" spans="1:15" s="68" customFormat="1" ht="27.75" x14ac:dyDescent="0.5">
      <c r="A61" s="805" t="s">
        <v>332</v>
      </c>
      <c r="B61" s="806"/>
      <c r="C61" s="807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1" t="s">
        <v>198</v>
      </c>
      <c r="B62" s="772"/>
      <c r="C62" s="773"/>
      <c r="D62" s="151" t="s">
        <v>142</v>
      </c>
      <c r="E62" s="95">
        <f>'14'!F62</f>
        <v>257836</v>
      </c>
      <c r="F62" s="122">
        <v>257969</v>
      </c>
      <c r="G62" s="112">
        <f t="shared" ref="G62:G63" si="5">F62-E62</f>
        <v>133</v>
      </c>
      <c r="H62" s="99">
        <f>G62+'14'!H62</f>
        <v>1616</v>
      </c>
      <c r="I62" s="118"/>
      <c r="J62" s="175">
        <f>H62/DAY(B2)</f>
        <v>107.73333333333333</v>
      </c>
      <c r="K62" s="80"/>
      <c r="L62" s="66"/>
      <c r="N62" s="87"/>
      <c r="O62" s="71"/>
    </row>
    <row r="63" spans="1:15" ht="27.75" x14ac:dyDescent="0.5">
      <c r="A63" s="771" t="s">
        <v>199</v>
      </c>
      <c r="B63" s="772"/>
      <c r="C63" s="773"/>
      <c r="D63" s="151" t="s">
        <v>142</v>
      </c>
      <c r="E63" s="95">
        <f>'14'!F63</f>
        <v>204386</v>
      </c>
      <c r="F63" s="122">
        <v>204536</v>
      </c>
      <c r="G63" s="112">
        <f t="shared" si="5"/>
        <v>150</v>
      </c>
      <c r="H63" s="99">
        <f>G63+'14'!H63</f>
        <v>2010</v>
      </c>
      <c r="I63" s="118"/>
      <c r="J63" s="175">
        <f>H63/DAY(B2)</f>
        <v>134</v>
      </c>
      <c r="K63" s="69"/>
      <c r="L63" s="66"/>
      <c r="N63" s="87"/>
      <c r="O63" s="71"/>
    </row>
    <row r="64" spans="1:15" ht="29.25" x14ac:dyDescent="0.5">
      <c r="A64" s="780" t="s">
        <v>200</v>
      </c>
      <c r="B64" s="781"/>
      <c r="C64" s="782"/>
      <c r="D64" s="151"/>
      <c r="E64" s="95">
        <f>'14'!F64</f>
        <v>0</v>
      </c>
      <c r="F64" s="122"/>
      <c r="G64" s="112">
        <f>G62+G63</f>
        <v>283</v>
      </c>
      <c r="H64" s="99">
        <f>G64+'14'!H64</f>
        <v>3626</v>
      </c>
      <c r="I64" s="118"/>
      <c r="J64" s="175">
        <f>H64/DAY(B2)</f>
        <v>241.73333333333332</v>
      </c>
      <c r="K64" s="69"/>
      <c r="L64" s="66"/>
      <c r="N64" s="87"/>
      <c r="O64" s="71"/>
    </row>
    <row r="65" spans="1:15" ht="27.75" x14ac:dyDescent="0.5">
      <c r="A65" s="771" t="s">
        <v>201</v>
      </c>
      <c r="B65" s="772"/>
      <c r="C65" s="773"/>
      <c r="D65" s="151" t="s">
        <v>142</v>
      </c>
      <c r="E65" s="95">
        <f>'14'!F65</f>
        <v>424542</v>
      </c>
      <c r="F65" s="122">
        <v>424662</v>
      </c>
      <c r="G65" s="112">
        <f t="shared" ref="G65:G70" si="6">F65-E65</f>
        <v>120</v>
      </c>
      <c r="H65" s="99">
        <f>G65+'14'!H65</f>
        <v>1373</v>
      </c>
      <c r="I65" s="118"/>
      <c r="J65" s="175">
        <f>H65/DAY(B2)</f>
        <v>91.533333333333331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'14'!F66</f>
        <v>105626</v>
      </c>
      <c r="F66" s="122">
        <v>105643</v>
      </c>
      <c r="G66" s="112">
        <f t="shared" si="6"/>
        <v>17</v>
      </c>
      <c r="H66" s="99">
        <f>G66+'14'!H66</f>
        <v>329</v>
      </c>
      <c r="I66" s="118"/>
      <c r="J66" s="175">
        <f>H66/DAY(B2)</f>
        <v>21.933333333333334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'14'!F67</f>
        <v>101666</v>
      </c>
      <c r="F67" s="122">
        <v>101695</v>
      </c>
      <c r="G67" s="112">
        <f t="shared" si="6"/>
        <v>29</v>
      </c>
      <c r="H67" s="99">
        <f>G67+'14'!H67</f>
        <v>411</v>
      </c>
      <c r="I67" s="118"/>
      <c r="J67" s="175">
        <f>H67/DAY(B2)</f>
        <v>27.4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'14'!F68</f>
        <v>153737</v>
      </c>
      <c r="F68" s="122">
        <v>153771</v>
      </c>
      <c r="G68" s="112">
        <f t="shared" si="6"/>
        <v>34</v>
      </c>
      <c r="H68" s="99">
        <f>G68+'14'!H68</f>
        <v>658</v>
      </c>
      <c r="I68" s="118"/>
      <c r="J68" s="175">
        <f>H68/DAY(B2)</f>
        <v>43.866666666666667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'14'!F69</f>
        <v>9235</v>
      </c>
      <c r="F69" s="122">
        <v>9244</v>
      </c>
      <c r="G69" s="112">
        <f t="shared" si="6"/>
        <v>9</v>
      </c>
      <c r="H69" s="99">
        <f>G69+'14'!H69</f>
        <v>187</v>
      </c>
      <c r="I69" s="118"/>
      <c r="J69" s="175">
        <f>H69/DAY(B2)</f>
        <v>12.466666666666667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'14'!F70</f>
        <v>6962</v>
      </c>
      <c r="F70" s="122">
        <v>6969</v>
      </c>
      <c r="G70" s="112">
        <f t="shared" si="6"/>
        <v>7</v>
      </c>
      <c r="H70" s="99">
        <f>G70+'14'!H70</f>
        <v>165</v>
      </c>
      <c r="I70" s="118"/>
      <c r="J70" s="175">
        <f>H70/DAY(B2)</f>
        <v>11</v>
      </c>
      <c r="K70" s="69"/>
      <c r="L70" s="66"/>
      <c r="N70" s="87"/>
      <c r="O70" s="71"/>
    </row>
    <row r="71" spans="1:15" ht="29.25" x14ac:dyDescent="0.5">
      <c r="A71" s="780" t="s">
        <v>208</v>
      </c>
      <c r="B71" s="781"/>
      <c r="C71" s="782"/>
      <c r="D71" s="152"/>
      <c r="E71" s="152"/>
      <c r="F71" s="152"/>
      <c r="G71" s="153">
        <f>SUM(G65:G70)</f>
        <v>216</v>
      </c>
      <c r="H71" s="99">
        <f>G71+'14'!H71</f>
        <v>3123</v>
      </c>
      <c r="I71" s="154"/>
      <c r="J71" s="175">
        <f>H71/DAY(B2)</f>
        <v>208.2</v>
      </c>
      <c r="K71" s="69"/>
      <c r="L71" s="66"/>
      <c r="N71" s="87"/>
      <c r="O71" s="71"/>
    </row>
    <row r="72" spans="1:15" s="88" customFormat="1" ht="27.75" x14ac:dyDescent="0.5">
      <c r="A72" s="767"/>
      <c r="B72" s="752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77" t="s">
        <v>333</v>
      </c>
      <c r="B73" s="778"/>
      <c r="C73" s="779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1" t="s">
        <v>220</v>
      </c>
      <c r="B74" s="772"/>
      <c r="C74" s="773"/>
      <c r="D74" s="151" t="s">
        <v>139</v>
      </c>
      <c r="E74" s="95">
        <f>'14'!F74</f>
        <v>868592</v>
      </c>
      <c r="F74" s="123">
        <v>868880</v>
      </c>
      <c r="G74" s="112">
        <f t="shared" ref="G74:G78" si="7">F74-E74</f>
        <v>288</v>
      </c>
      <c r="H74" s="99">
        <f>G74+'14'!H74</f>
        <v>4372</v>
      </c>
      <c r="I74" s="154"/>
      <c r="J74" s="175">
        <f>H74/DAY(B2)</f>
        <v>291.46666666666664</v>
      </c>
      <c r="K74" s="69"/>
      <c r="L74" s="66"/>
      <c r="N74" s="87"/>
      <c r="O74" s="71"/>
    </row>
    <row r="75" spans="1:15" ht="27.75" x14ac:dyDescent="0.5">
      <c r="A75" s="771" t="s">
        <v>221</v>
      </c>
      <c r="B75" s="772"/>
      <c r="C75" s="773"/>
      <c r="D75" s="151" t="s">
        <v>139</v>
      </c>
      <c r="E75" s="95">
        <f>'14'!F75</f>
        <v>73583.399999999994</v>
      </c>
      <c r="F75" s="123">
        <v>73583.399999999994</v>
      </c>
      <c r="G75" s="112">
        <f t="shared" si="7"/>
        <v>0</v>
      </c>
      <c r="H75" s="99">
        <f>G75+'14'!H75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68" t="s">
        <v>222</v>
      </c>
      <c r="B76" s="769"/>
      <c r="C76" s="770"/>
      <c r="D76" s="151" t="s">
        <v>139</v>
      </c>
      <c r="E76" s="95">
        <f>'14'!F76</f>
        <v>158285</v>
      </c>
      <c r="F76" s="123">
        <v>158367</v>
      </c>
      <c r="G76" s="112">
        <f t="shared" si="7"/>
        <v>82</v>
      </c>
      <c r="H76" s="99">
        <f>G76+'14'!H76</f>
        <v>1555</v>
      </c>
      <c r="I76" s="154"/>
      <c r="J76" s="175">
        <f>H76/DAY(B2)</f>
        <v>103.66666666666667</v>
      </c>
      <c r="K76" s="69"/>
      <c r="L76" s="66"/>
      <c r="N76" s="87"/>
      <c r="O76" s="71"/>
    </row>
    <row r="77" spans="1:15" ht="27.75" x14ac:dyDescent="0.5">
      <c r="A77" s="768" t="s">
        <v>223</v>
      </c>
      <c r="B77" s="769"/>
      <c r="C77" s="770"/>
      <c r="D77" s="151" t="s">
        <v>139</v>
      </c>
      <c r="E77" s="95">
        <f>'14'!F77</f>
        <v>36700</v>
      </c>
      <c r="F77" s="123">
        <v>36753</v>
      </c>
      <c r="G77" s="112">
        <f t="shared" si="7"/>
        <v>53</v>
      </c>
      <c r="H77" s="99">
        <f>G77+'14'!H77</f>
        <v>749</v>
      </c>
      <c r="I77" s="154"/>
      <c r="J77" s="175">
        <f>H77/DAY(B2)</f>
        <v>49.93333333333333</v>
      </c>
      <c r="K77" s="69"/>
      <c r="L77" s="66"/>
      <c r="N77" s="87"/>
      <c r="O77" s="71"/>
    </row>
    <row r="78" spans="1:15" ht="27.75" x14ac:dyDescent="0.5">
      <c r="A78" s="768" t="s">
        <v>224</v>
      </c>
      <c r="B78" s="769"/>
      <c r="C78" s="770"/>
      <c r="D78" s="151" t="s">
        <v>139</v>
      </c>
      <c r="E78" s="95">
        <f>'14'!F78</f>
        <v>9285</v>
      </c>
      <c r="F78" s="123">
        <v>9287</v>
      </c>
      <c r="G78" s="112">
        <f t="shared" si="7"/>
        <v>2</v>
      </c>
      <c r="H78" s="99">
        <f>G78+'14'!H78</f>
        <v>39</v>
      </c>
      <c r="I78" s="118"/>
      <c r="J78" s="175">
        <f>H78/DAY(B2)</f>
        <v>2.6</v>
      </c>
      <c r="K78" s="69"/>
      <c r="L78" s="66"/>
      <c r="N78" s="87"/>
      <c r="O78" s="71"/>
    </row>
    <row r="79" spans="1:15" s="57" customFormat="1" ht="27.75" x14ac:dyDescent="0.5">
      <c r="A79" s="768" t="s">
        <v>225</v>
      </c>
      <c r="B79" s="769"/>
      <c r="C79" s="770"/>
      <c r="D79" s="151"/>
      <c r="E79" s="95">
        <f>'14'!F79</f>
        <v>0</v>
      </c>
      <c r="F79" s="123"/>
      <c r="G79" s="112">
        <f>G15-SUM(G74:G78)</f>
        <v>551</v>
      </c>
      <c r="H79" s="99">
        <f>G79+'14'!H79</f>
        <v>8341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0" t="s">
        <v>329</v>
      </c>
      <c r="B80" s="781"/>
      <c r="C80" s="782"/>
      <c r="D80" s="151"/>
      <c r="E80" s="117"/>
      <c r="F80" s="117"/>
      <c r="G80" s="112">
        <f>SUM(G74:G79)</f>
        <v>976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85" t="s">
        <v>226</v>
      </c>
      <c r="B81" s="786"/>
      <c r="C81" s="78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'14'!F82</f>
        <v>0</v>
      </c>
      <c r="F82" s="122"/>
      <c r="G82" s="112">
        <f t="shared" ref="G82:G92" si="8">F82-E82</f>
        <v>0</v>
      </c>
      <c r="H82" s="99">
        <f>G82+'14'!H82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'14'!F83</f>
        <v>0</v>
      </c>
      <c r="F83" s="122"/>
      <c r="G83" s="112">
        <f t="shared" si="8"/>
        <v>0</v>
      </c>
      <c r="H83" s="99">
        <f>G83+'14'!H83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'14'!F84</f>
        <v>41399</v>
      </c>
      <c r="F84" s="164">
        <v>41408</v>
      </c>
      <c r="G84" s="112">
        <f t="shared" si="8"/>
        <v>9</v>
      </c>
      <c r="H84" s="99">
        <f>G84+'14'!H84</f>
        <v>246</v>
      </c>
      <c r="I84" s="118"/>
      <c r="J84" s="175">
        <f>H84/DAY(B2)</f>
        <v>16.399999999999999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'14'!F85</f>
        <v>1285</v>
      </c>
      <c r="F85" s="164">
        <v>1286</v>
      </c>
      <c r="G85" s="112">
        <f t="shared" si="8"/>
        <v>1</v>
      </c>
      <c r="H85" s="99">
        <f>G85+'14'!H85</f>
        <v>107</v>
      </c>
      <c r="I85" s="118">
        <f>G82+G83+G84+G85</f>
        <v>10</v>
      </c>
      <c r="J85" s="175">
        <f>H85/DAY(B2)</f>
        <v>7.1333333333333337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'14'!F86</f>
        <v>42826.47</v>
      </c>
      <c r="F86" s="164">
        <v>42826.47</v>
      </c>
      <c r="G86" s="112">
        <f t="shared" si="8"/>
        <v>0</v>
      </c>
      <c r="H86" s="99">
        <f>G86+'14'!H86</f>
        <v>0.47000000000116415</v>
      </c>
      <c r="I86" s="118"/>
      <c r="J86" s="175">
        <f>H86/DAY(B2)</f>
        <v>3.1333333333410943E-2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'14'!F87</f>
        <v>33436</v>
      </c>
      <c r="F87" s="164">
        <v>33458</v>
      </c>
      <c r="G87" s="112">
        <f t="shared" si="8"/>
        <v>22</v>
      </c>
      <c r="H87" s="99">
        <f>G87+'14'!H87</f>
        <v>144</v>
      </c>
      <c r="I87" s="118"/>
      <c r="J87" s="175">
        <f>H87/DAY(B2)</f>
        <v>9.6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'14'!F88</f>
        <v>23673.47</v>
      </c>
      <c r="F88" s="164">
        <v>23683.19</v>
      </c>
      <c r="G88" s="112">
        <f t="shared" si="8"/>
        <v>9.7199999999975262</v>
      </c>
      <c r="H88" s="99">
        <f>G88+'14'!H88</f>
        <v>92.219999999997526</v>
      </c>
      <c r="I88" s="118">
        <f>G86+G87+G88</f>
        <v>31.719999999997526</v>
      </c>
      <c r="J88" s="175">
        <f>H88/DAY(B2)</f>
        <v>6.1479999999998354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'14'!F89</f>
        <v>25242.12</v>
      </c>
      <c r="F89" s="164">
        <v>25242.12</v>
      </c>
      <c r="G89" s="112">
        <f t="shared" si="8"/>
        <v>0</v>
      </c>
      <c r="H89" s="99">
        <f>G89+'14'!H89</f>
        <v>54.75</v>
      </c>
      <c r="I89" s="118"/>
      <c r="J89" s="175">
        <f>H89/DAY(B2)</f>
        <v>3.65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'14'!F90</f>
        <v>70582.66</v>
      </c>
      <c r="F90" s="164">
        <v>70583.199999999997</v>
      </c>
      <c r="G90" s="112">
        <f t="shared" si="8"/>
        <v>0.53999999999359716</v>
      </c>
      <c r="H90" s="99">
        <f>G90+'14'!H90</f>
        <v>50.220000000001164</v>
      </c>
      <c r="I90" s="118">
        <f>G89+G90</f>
        <v>0.53999999999359716</v>
      </c>
      <c r="J90" s="175">
        <f>H90/DAY(B2)</f>
        <v>3.3480000000000776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'14'!F91</f>
        <v>3076.93</v>
      </c>
      <c r="F91" s="122">
        <v>3087.59</v>
      </c>
      <c r="G91" s="112">
        <f t="shared" si="8"/>
        <v>10.660000000000309</v>
      </c>
      <c r="H91" s="99">
        <f>G91+'14'!H91</f>
        <v>161.72000000000025</v>
      </c>
      <c r="I91" s="165"/>
      <c r="J91" s="175">
        <f>H91/DAY(B2)</f>
        <v>10.78133333333335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'14'!F92</f>
        <v>4758.6000000000004</v>
      </c>
      <c r="F92" s="122">
        <v>4758.6000000000004</v>
      </c>
      <c r="G92" s="112">
        <f t="shared" si="8"/>
        <v>0</v>
      </c>
      <c r="H92" s="99">
        <f>G92+'14'!H92</f>
        <v>0.6000000000003638</v>
      </c>
      <c r="I92" s="165"/>
      <c r="J92" s="175">
        <f>H92/DAY(B2)</f>
        <v>4.0000000000024252E-2</v>
      </c>
      <c r="O92" s="71"/>
    </row>
    <row r="93" spans="1:15" ht="29.25" x14ac:dyDescent="0.5">
      <c r="A93" s="774" t="s">
        <v>239</v>
      </c>
      <c r="B93" s="775"/>
      <c r="C93" s="77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1" t="s">
        <v>240</v>
      </c>
      <c r="B94" s="772"/>
      <c r="C94" s="773"/>
      <c r="D94" s="151" t="s">
        <v>130</v>
      </c>
      <c r="E94" s="151"/>
      <c r="F94" s="151"/>
      <c r="G94" s="99">
        <f>G35+G43+G49+G57</f>
        <v>5940</v>
      </c>
      <c r="H94" s="99">
        <f>G94+'14'!H94</f>
        <v>95501.62</v>
      </c>
      <c r="I94" s="118"/>
      <c r="J94" s="175">
        <f>H94/DAY(B2)</f>
        <v>6366.7746666666662</v>
      </c>
      <c r="K94" s="69"/>
      <c r="L94" s="66"/>
      <c r="O94" s="71"/>
    </row>
    <row r="95" spans="1:15" ht="27.75" x14ac:dyDescent="0.5">
      <c r="A95" s="771" t="s">
        <v>241</v>
      </c>
      <c r="B95" s="772"/>
      <c r="C95" s="773"/>
      <c r="D95" s="151" t="s">
        <v>23</v>
      </c>
      <c r="E95" s="146"/>
      <c r="F95" s="146"/>
      <c r="G95" s="166">
        <f>G94/G7</f>
        <v>0.26268075885552561</v>
      </c>
      <c r="H95" s="99">
        <f>G95+'14'!H95</f>
        <v>4.0776385454013422</v>
      </c>
      <c r="I95" s="167"/>
      <c r="J95" s="175">
        <f>H95/DAY(B2)</f>
        <v>0.2718425696934228</v>
      </c>
      <c r="K95" s="69"/>
      <c r="L95" s="66"/>
      <c r="O95" s="71"/>
    </row>
    <row r="96" spans="1:15" ht="27.75" x14ac:dyDescent="0.5">
      <c r="A96" s="771" t="s">
        <v>242</v>
      </c>
      <c r="B96" s="772"/>
      <c r="C96" s="773"/>
      <c r="D96" s="151" t="s">
        <v>130</v>
      </c>
      <c r="E96" s="95"/>
      <c r="F96" s="95"/>
      <c r="G96" s="99">
        <f>G41+G42+G55+G56</f>
        <v>6623</v>
      </c>
      <c r="H96" s="99">
        <f>G96+'14'!H96</f>
        <v>109717.40999999997</v>
      </c>
      <c r="I96" s="118"/>
      <c r="J96" s="175">
        <f>H96/DAY(B2)</f>
        <v>7314.4939999999979</v>
      </c>
      <c r="K96" s="69"/>
      <c r="L96" s="66"/>
      <c r="O96" s="71"/>
    </row>
    <row r="97" spans="1:15" ht="27.75" x14ac:dyDescent="0.5">
      <c r="A97" s="771" t="s">
        <v>243</v>
      </c>
      <c r="B97" s="772"/>
      <c r="C97" s="773"/>
      <c r="D97" s="151" t="s">
        <v>23</v>
      </c>
      <c r="E97" s="95"/>
      <c r="F97" s="95"/>
      <c r="G97" s="166">
        <f>G96/G7</f>
        <v>0.29288462388891345</v>
      </c>
      <c r="H97" s="99">
        <f>G97+'14'!H97</f>
        <v>4.6740582842127525</v>
      </c>
      <c r="I97" s="167"/>
      <c r="J97" s="175">
        <f>H97/DAY(B2)</f>
        <v>0.31160388561418351</v>
      </c>
      <c r="K97" s="69"/>
      <c r="L97" s="66"/>
      <c r="O97" s="71"/>
    </row>
    <row r="98" spans="1:15" ht="27.75" x14ac:dyDescent="0.5">
      <c r="A98" s="771" t="s">
        <v>244</v>
      </c>
      <c r="B98" s="772"/>
      <c r="C98" s="773"/>
      <c r="D98" s="151" t="s">
        <v>130</v>
      </c>
      <c r="E98" s="95"/>
      <c r="F98" s="95"/>
      <c r="G98" s="99">
        <f>G39+G53</f>
        <v>4212</v>
      </c>
      <c r="H98" s="99">
        <f>G98+'14'!H98</f>
        <v>63519</v>
      </c>
      <c r="I98" s="168"/>
      <c r="J98" s="175">
        <f>H98/DAY(B2)</f>
        <v>4234.6000000000004</v>
      </c>
      <c r="K98" s="69"/>
      <c r="L98" s="66"/>
      <c r="O98" s="71"/>
    </row>
    <row r="99" spans="1:15" ht="27.75" x14ac:dyDescent="0.5">
      <c r="A99" s="771" t="s">
        <v>245</v>
      </c>
      <c r="B99" s="772"/>
      <c r="C99" s="773"/>
      <c r="D99" s="151" t="s">
        <v>23</v>
      </c>
      <c r="E99" s="95"/>
      <c r="F99" s="95"/>
      <c r="G99" s="166">
        <f>G98/G7</f>
        <v>0.1862645380975545</v>
      </c>
      <c r="H99" s="99">
        <f>G99+'14'!H99</f>
        <v>2.7107596539328638</v>
      </c>
      <c r="I99" s="168"/>
      <c r="J99" s="175">
        <f>H99/DAY(B2)</f>
        <v>0.18071731026219093</v>
      </c>
      <c r="O99" s="71"/>
    </row>
    <row r="100" spans="1:15" ht="27.75" x14ac:dyDescent="0.5">
      <c r="A100" s="771" t="s">
        <v>246</v>
      </c>
      <c r="B100" s="772"/>
      <c r="C100" s="773"/>
      <c r="D100" s="151" t="s">
        <v>180</v>
      </c>
      <c r="E100" s="95"/>
      <c r="F100" s="95"/>
      <c r="G100" s="99">
        <f>G38+G52</f>
        <v>1953</v>
      </c>
      <c r="H100" s="99">
        <f>G100+'14'!H100</f>
        <v>28691</v>
      </c>
      <c r="I100" s="118"/>
      <c r="J100" s="175">
        <f>H100/DAY(B2)</f>
        <v>1912.7333333333333</v>
      </c>
      <c r="K100" s="70"/>
      <c r="O100" s="71"/>
    </row>
    <row r="101" spans="1:15" ht="27.75" x14ac:dyDescent="0.5">
      <c r="A101" s="771" t="s">
        <v>247</v>
      </c>
      <c r="B101" s="772"/>
      <c r="C101" s="773"/>
      <c r="D101" s="151" t="s">
        <v>23</v>
      </c>
      <c r="E101" s="95"/>
      <c r="F101" s="95"/>
      <c r="G101" s="166">
        <f>G100/G7</f>
        <v>8.6366249502498563E-2</v>
      </c>
      <c r="H101" s="99">
        <f>G101+'14'!H101</f>
        <v>1.2245619287164147</v>
      </c>
      <c r="I101" s="168"/>
      <c r="J101" s="175">
        <f>H101/DAY(B2)</f>
        <v>8.1637461914427639E-2</v>
      </c>
      <c r="O101" s="71"/>
    </row>
    <row r="102" spans="1:15" ht="27.75" x14ac:dyDescent="0.5">
      <c r="A102" s="771" t="s">
        <v>248</v>
      </c>
      <c r="B102" s="772"/>
      <c r="C102" s="773"/>
      <c r="D102" s="151" t="s">
        <v>180</v>
      </c>
      <c r="E102" s="95"/>
      <c r="F102" s="95"/>
      <c r="G102" s="99">
        <f>G36+G50</f>
        <v>1982</v>
      </c>
      <c r="H102" s="99">
        <f>G102+'14'!H102</f>
        <v>30612</v>
      </c>
      <c r="I102" s="168"/>
      <c r="J102" s="175">
        <f>H102/DAY(B2)</f>
        <v>2040.8</v>
      </c>
      <c r="O102" s="71"/>
    </row>
    <row r="103" spans="1:15" ht="27.75" x14ac:dyDescent="0.5">
      <c r="A103" s="771" t="s">
        <v>249</v>
      </c>
      <c r="B103" s="772"/>
      <c r="C103" s="773"/>
      <c r="D103" s="151" t="s">
        <v>23</v>
      </c>
      <c r="E103" s="95"/>
      <c r="F103" s="95"/>
      <c r="G103" s="166">
        <f>G102/G7</f>
        <v>8.7648697651793214E-2</v>
      </c>
      <c r="H103" s="99">
        <f>G103+'14'!H103</f>
        <v>1.3042183633568785</v>
      </c>
      <c r="I103" s="118"/>
      <c r="J103" s="175">
        <f>H103/DAY(B2)</f>
        <v>8.6947890890458568E-2</v>
      </c>
      <c r="O103" s="71"/>
    </row>
    <row r="104" spans="1:15" ht="27.75" x14ac:dyDescent="0.5">
      <c r="A104" s="771" t="s">
        <v>250</v>
      </c>
      <c r="B104" s="772"/>
      <c r="C104" s="773"/>
      <c r="D104" s="151" t="s">
        <v>180</v>
      </c>
      <c r="E104" s="95"/>
      <c r="F104" s="95"/>
      <c r="G104" s="99">
        <f>G37+G51</f>
        <v>1687</v>
      </c>
      <c r="H104" s="99">
        <f>G104+'14'!H104</f>
        <v>25748</v>
      </c>
      <c r="I104" s="118"/>
      <c r="J104" s="175">
        <f>H104/DAY(B2)</f>
        <v>1716.5333333333333</v>
      </c>
      <c r="O104" s="71"/>
    </row>
    <row r="105" spans="1:15" ht="28.5" thickBot="1" x14ac:dyDescent="0.55000000000000004">
      <c r="A105" s="764" t="s">
        <v>251</v>
      </c>
      <c r="B105" s="765"/>
      <c r="C105" s="766"/>
      <c r="D105" s="231" t="s">
        <v>23</v>
      </c>
      <c r="E105" s="185"/>
      <c r="F105" s="185"/>
      <c r="G105" s="186">
        <f>G104/G7</f>
        <v>7.4603104408968293E-2</v>
      </c>
      <c r="H105" s="99">
        <f>G105+'14'!H105</f>
        <v>1.0993925047081325</v>
      </c>
      <c r="I105" s="187"/>
      <c r="J105" s="188">
        <f>H105/DAY(B2)</f>
        <v>7.329283364720883E-2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0" t="s">
        <v>324</v>
      </c>
      <c r="B108" s="760"/>
      <c r="C108" s="760"/>
      <c r="D108" s="760"/>
      <c r="E108" s="760"/>
      <c r="F108" s="760"/>
      <c r="G108" s="760"/>
      <c r="H108" s="760"/>
      <c r="I108" s="760"/>
      <c r="J108" s="760"/>
    </row>
    <row r="109" spans="1:15" ht="29.25" x14ac:dyDescent="0.5">
      <c r="A109" s="788"/>
      <c r="B109" s="788"/>
    </row>
    <row r="110" spans="1:15" ht="29.25" x14ac:dyDescent="0.5">
      <c r="A110" s="761" t="s">
        <v>165</v>
      </c>
      <c r="B110" s="762"/>
      <c r="C110" s="762"/>
      <c r="D110" s="762"/>
      <c r="E110" s="762"/>
      <c r="F110" s="762"/>
      <c r="G110" s="762"/>
      <c r="H110" s="762"/>
      <c r="I110" s="762"/>
      <c r="J110" s="763"/>
    </row>
    <row r="111" spans="1:15" ht="27.75" x14ac:dyDescent="0.5">
      <c r="A111" s="753"/>
      <c r="B111" s="754"/>
      <c r="C111" s="755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0" t="s">
        <v>252</v>
      </c>
      <c r="B112" s="751"/>
      <c r="C112" s="752"/>
      <c r="D112" s="146" t="s">
        <v>183</v>
      </c>
      <c r="E112" s="95">
        <f>'14'!F112</f>
        <v>49450</v>
      </c>
      <c r="F112" s="237">
        <v>49534</v>
      </c>
      <c r="G112" s="112">
        <f t="shared" ref="G112:G123" si="9">F112-E112</f>
        <v>84</v>
      </c>
      <c r="H112" s="99">
        <f>G112+'14'!H112</f>
        <v>1257</v>
      </c>
      <c r="I112" s="165"/>
      <c r="J112" s="348">
        <f>H112/DAY(B2)</f>
        <v>83.8</v>
      </c>
    </row>
    <row r="113" spans="1:18" ht="29.25" customHeight="1" x14ac:dyDescent="0.5">
      <c r="A113" s="750" t="s">
        <v>253</v>
      </c>
      <c r="B113" s="751"/>
      <c r="C113" s="752"/>
      <c r="D113" s="146" t="s">
        <v>183</v>
      </c>
      <c r="E113" s="95">
        <f>'14'!F113</f>
        <v>156996</v>
      </c>
      <c r="F113" s="237">
        <v>157433</v>
      </c>
      <c r="G113" s="112">
        <f t="shared" si="9"/>
        <v>437</v>
      </c>
      <c r="H113" s="99">
        <f>G113+'14'!H113</f>
        <v>6902</v>
      </c>
      <c r="I113" s="165"/>
      <c r="J113" s="348">
        <f>H113/DAY(B2)</f>
        <v>460.13333333333333</v>
      </c>
    </row>
    <row r="114" spans="1:18" ht="29.25" customHeight="1" x14ac:dyDescent="0.5">
      <c r="A114" s="750" t="s">
        <v>254</v>
      </c>
      <c r="B114" s="751"/>
      <c r="C114" s="752"/>
      <c r="D114" s="146" t="s">
        <v>183</v>
      </c>
      <c r="E114" s="95">
        <f>'14'!F114</f>
        <v>73291</v>
      </c>
      <c r="F114" s="237">
        <v>73506</v>
      </c>
      <c r="G114" s="112">
        <f t="shared" si="9"/>
        <v>215</v>
      </c>
      <c r="H114" s="99">
        <f>G114+'14'!H114</f>
        <v>3306</v>
      </c>
      <c r="I114" s="165"/>
      <c r="J114" s="348">
        <f>H114/DAY(B2)</f>
        <v>220.4</v>
      </c>
    </row>
    <row r="115" spans="1:18" ht="29.25" customHeight="1" x14ac:dyDescent="0.5">
      <c r="A115" s="750" t="s">
        <v>255</v>
      </c>
      <c r="B115" s="751"/>
      <c r="C115" s="752"/>
      <c r="D115" s="146" t="s">
        <v>183</v>
      </c>
      <c r="E115" s="95">
        <f>'14'!F115</f>
        <v>7896</v>
      </c>
      <c r="F115" s="237">
        <v>7918</v>
      </c>
      <c r="G115" s="112">
        <f t="shared" si="9"/>
        <v>22</v>
      </c>
      <c r="H115" s="99">
        <f>G115+'14'!H115</f>
        <v>170</v>
      </c>
      <c r="I115" s="165"/>
      <c r="J115" s="348">
        <f>H115/DAY(B2)</f>
        <v>11.333333333333334</v>
      </c>
    </row>
    <row r="116" spans="1:18" ht="29.25" customHeight="1" x14ac:dyDescent="0.5">
      <c r="A116" s="757" t="s">
        <v>96</v>
      </c>
      <c r="B116" s="758"/>
      <c r="C116" s="759"/>
      <c r="D116" s="146" t="s">
        <v>183</v>
      </c>
      <c r="E116" s="95">
        <f>'14'!F116</f>
        <v>0</v>
      </c>
      <c r="F116" s="237">
        <v>0</v>
      </c>
      <c r="G116" s="112">
        <f t="shared" si="9"/>
        <v>0</v>
      </c>
      <c r="H116" s="99">
        <f>G116+'14'!H116</f>
        <v>0</v>
      </c>
      <c r="I116" s="165"/>
      <c r="J116" s="348">
        <f>H116/DAY(B2)</f>
        <v>0</v>
      </c>
      <c r="Q116" s="750" t="s">
        <v>311</v>
      </c>
      <c r="R116" s="752"/>
    </row>
    <row r="117" spans="1:18" ht="29.25" customHeight="1" x14ac:dyDescent="0.5">
      <c r="A117" s="757" t="s">
        <v>184</v>
      </c>
      <c r="B117" s="758"/>
      <c r="C117" s="759"/>
      <c r="D117" s="146" t="s">
        <v>183</v>
      </c>
      <c r="E117" s="95">
        <f>'14'!F117</f>
        <v>727</v>
      </c>
      <c r="F117" s="237">
        <v>753</v>
      </c>
      <c r="G117" s="112">
        <f t="shared" si="9"/>
        <v>26</v>
      </c>
      <c r="H117" s="99">
        <f>G117+'14'!H117</f>
        <v>337</v>
      </c>
      <c r="I117" s="165"/>
      <c r="J117" s="348">
        <f>H117/DAY(B2)</f>
        <v>22.466666666666665</v>
      </c>
      <c r="Q117" s="750" t="s">
        <v>312</v>
      </c>
      <c r="R117" s="752"/>
    </row>
    <row r="118" spans="1:18" ht="27.75" x14ac:dyDescent="0.5">
      <c r="A118" s="749" t="s">
        <v>97</v>
      </c>
      <c r="B118" s="749"/>
      <c r="C118" s="749"/>
      <c r="D118" s="151" t="s">
        <v>183</v>
      </c>
      <c r="E118" s="95">
        <f>'14'!F118</f>
        <v>212321</v>
      </c>
      <c r="F118" s="237">
        <v>212670</v>
      </c>
      <c r="G118" s="112">
        <f t="shared" si="9"/>
        <v>349</v>
      </c>
      <c r="H118" s="99">
        <f>G118+'14'!H118</f>
        <v>6138</v>
      </c>
      <c r="I118" s="165"/>
      <c r="J118" s="348">
        <f>H118/DAY(B2)</f>
        <v>409.2</v>
      </c>
      <c r="Q118" s="750" t="s">
        <v>311</v>
      </c>
      <c r="R118" s="752"/>
    </row>
    <row r="119" spans="1:18" ht="27.75" x14ac:dyDescent="0.5">
      <c r="A119" s="749" t="s">
        <v>98</v>
      </c>
      <c r="B119" s="749"/>
      <c r="C119" s="749"/>
      <c r="D119" s="151" t="s">
        <v>183</v>
      </c>
      <c r="E119" s="95">
        <f>'14'!F119</f>
        <v>211695</v>
      </c>
      <c r="F119" s="237">
        <v>212126</v>
      </c>
      <c r="G119" s="112">
        <f t="shared" si="9"/>
        <v>431</v>
      </c>
      <c r="H119" s="99">
        <f>G119+'14'!H119</f>
        <v>5896</v>
      </c>
      <c r="I119" s="165"/>
      <c r="J119" s="348">
        <f>H119/DAY(B2)</f>
        <v>393.06666666666666</v>
      </c>
    </row>
    <row r="120" spans="1:18" ht="27.75" x14ac:dyDescent="0.5">
      <c r="A120" s="749" t="s">
        <v>99</v>
      </c>
      <c r="B120" s="749"/>
      <c r="C120" s="749"/>
      <c r="D120" s="151" t="s">
        <v>183</v>
      </c>
      <c r="E120" s="95">
        <f>'14'!F120</f>
        <v>11206</v>
      </c>
      <c r="F120" s="237">
        <v>11606</v>
      </c>
      <c r="G120" s="112">
        <f t="shared" si="9"/>
        <v>400</v>
      </c>
      <c r="H120" s="99">
        <f>G120+'14'!H120</f>
        <v>6091</v>
      </c>
      <c r="I120" s="165"/>
      <c r="J120" s="348">
        <f>H120/DAY(B2)</f>
        <v>406.06666666666666</v>
      </c>
    </row>
    <row r="121" spans="1:18" ht="27.75" x14ac:dyDescent="0.5">
      <c r="A121" s="749" t="s">
        <v>100</v>
      </c>
      <c r="B121" s="749"/>
      <c r="C121" s="749"/>
      <c r="D121" s="151" t="s">
        <v>183</v>
      </c>
      <c r="E121" s="95">
        <f>'14'!F121</f>
        <v>319580</v>
      </c>
      <c r="F121" s="237">
        <v>320244</v>
      </c>
      <c r="G121" s="112">
        <f t="shared" si="9"/>
        <v>664</v>
      </c>
      <c r="H121" s="99">
        <f>G121+'14'!H121</f>
        <v>10799.270000000019</v>
      </c>
      <c r="I121" s="165"/>
      <c r="J121" s="348">
        <f>H121/DAY(B2)</f>
        <v>719.95133333333456</v>
      </c>
    </row>
    <row r="122" spans="1:18" ht="27.75" x14ac:dyDescent="0.5">
      <c r="A122" s="749" t="s">
        <v>101</v>
      </c>
      <c r="B122" s="749"/>
      <c r="C122" s="749"/>
      <c r="D122" s="151" t="s">
        <v>183</v>
      </c>
      <c r="E122" s="95">
        <f>'14'!F122</f>
        <v>96055</v>
      </c>
      <c r="F122" s="237">
        <v>96382</v>
      </c>
      <c r="G122" s="112">
        <f t="shared" si="9"/>
        <v>327</v>
      </c>
      <c r="H122" s="99">
        <f>G122+'14'!H122</f>
        <v>4760</v>
      </c>
      <c r="I122" s="165"/>
      <c r="J122" s="348">
        <f>H122/DAY(B2)</f>
        <v>317.33333333333331</v>
      </c>
    </row>
    <row r="123" spans="1:18" ht="27.75" x14ac:dyDescent="0.5">
      <c r="A123" s="749" t="s">
        <v>102</v>
      </c>
      <c r="B123" s="749"/>
      <c r="C123" s="749"/>
      <c r="D123" s="151" t="s">
        <v>183</v>
      </c>
      <c r="E123" s="95">
        <f>'14'!F123</f>
        <v>120212</v>
      </c>
      <c r="F123" s="237">
        <v>120557</v>
      </c>
      <c r="G123" s="112">
        <f t="shared" si="9"/>
        <v>345</v>
      </c>
      <c r="H123" s="99">
        <f>G123+'14'!H123</f>
        <v>5014</v>
      </c>
      <c r="I123" s="165"/>
      <c r="J123" s="348">
        <f>H123/DAY(B2)</f>
        <v>334.26666666666665</v>
      </c>
    </row>
    <row r="124" spans="1:18" ht="29.25" customHeight="1" x14ac:dyDescent="0.5">
      <c r="A124" s="753"/>
      <c r="B124" s="754"/>
      <c r="C124" s="755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37"/>
      <c r="B125" s="737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56" t="s">
        <v>317</v>
      </c>
      <c r="B126" s="756"/>
      <c r="C126" s="756"/>
      <c r="D126" s="756"/>
      <c r="E126" s="756"/>
      <c r="F126" s="756"/>
      <c r="G126" s="756"/>
      <c r="H126" s="756"/>
      <c r="I126" s="756"/>
      <c r="J126" s="756"/>
    </row>
    <row r="127" spans="1:18" ht="27.75" x14ac:dyDescent="0.5">
      <c r="A127" s="737"/>
      <c r="B127" s="737"/>
      <c r="C127" s="246"/>
      <c r="D127" s="317"/>
      <c r="E127" s="318"/>
      <c r="F127" s="318"/>
      <c r="G127" s="319"/>
      <c r="H127" s="99">
        <f>G127+'14'!H127</f>
        <v>0</v>
      </c>
      <c r="I127" s="165"/>
      <c r="J127" s="348">
        <f>H127/DAY(B2)</f>
        <v>0</v>
      </c>
    </row>
    <row r="128" spans="1:18" ht="29.25" customHeight="1" x14ac:dyDescent="0.5">
      <c r="A128" s="750" t="s">
        <v>318</v>
      </c>
      <c r="B128" s="751"/>
      <c r="C128" s="752"/>
      <c r="D128" s="151" t="s">
        <v>183</v>
      </c>
      <c r="E128" s="95">
        <f>'14'!F128</f>
        <v>12240</v>
      </c>
      <c r="F128" s="165">
        <v>12569</v>
      </c>
      <c r="G128" s="112">
        <f t="shared" ref="G128:G134" si="10">F128-E128</f>
        <v>329</v>
      </c>
      <c r="H128" s="99">
        <f>G128+'14'!H128</f>
        <v>4958</v>
      </c>
      <c r="I128" s="165"/>
      <c r="J128" s="348">
        <f>H128/DAY(B2)</f>
        <v>330.53333333333336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'14'!F129</f>
        <v>3008</v>
      </c>
      <c r="F129" s="165">
        <v>3190</v>
      </c>
      <c r="G129" s="112">
        <f t="shared" si="10"/>
        <v>182</v>
      </c>
      <c r="H129" s="99">
        <f>G129+'14'!H129</f>
        <v>3076</v>
      </c>
      <c r="I129" s="165"/>
      <c r="J129" s="348">
        <f>H129/DAY(B2)</f>
        <v>205.06666666666666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'14'!F130</f>
        <v>3509</v>
      </c>
      <c r="F130" s="165">
        <v>3713</v>
      </c>
      <c r="G130" s="112">
        <f t="shared" si="10"/>
        <v>204</v>
      </c>
      <c r="H130" s="99">
        <f>G130+'14'!H130</f>
        <v>3533</v>
      </c>
      <c r="I130" s="165"/>
      <c r="J130" s="348">
        <f>H130/DAY(B2)</f>
        <v>235.53333333333333</v>
      </c>
      <c r="N130" s="240"/>
      <c r="O130" s="241"/>
    </row>
    <row r="131" spans="1:15" ht="27.75" x14ac:dyDescent="0.5">
      <c r="A131" s="750" t="s">
        <v>321</v>
      </c>
      <c r="B131" s="751"/>
      <c r="C131" s="752"/>
      <c r="D131" s="151" t="s">
        <v>183</v>
      </c>
      <c r="E131" s="95">
        <f>'14'!F131</f>
        <v>1920</v>
      </c>
      <c r="F131" s="165">
        <v>2017</v>
      </c>
      <c r="G131" s="112">
        <f t="shared" si="10"/>
        <v>97</v>
      </c>
      <c r="H131" s="99">
        <f>G131+'14'!H131</f>
        <v>1907</v>
      </c>
      <c r="I131" s="165"/>
      <c r="J131" s="348">
        <f>H131/DAY(B2)</f>
        <v>127.13333333333334</v>
      </c>
      <c r="N131" s="240"/>
      <c r="O131" s="241"/>
    </row>
    <row r="132" spans="1:15" ht="27.75" x14ac:dyDescent="0.5">
      <c r="A132" s="750" t="s">
        <v>322</v>
      </c>
      <c r="B132" s="751"/>
      <c r="C132" s="752"/>
      <c r="D132" s="151" t="s">
        <v>183</v>
      </c>
      <c r="E132" s="95">
        <f>'14'!F132</f>
        <v>5819</v>
      </c>
      <c r="F132" s="165">
        <v>6215</v>
      </c>
      <c r="G132" s="112">
        <f t="shared" si="10"/>
        <v>396</v>
      </c>
      <c r="H132" s="99">
        <f>G132+'14'!H132</f>
        <v>5894</v>
      </c>
      <c r="I132" s="165"/>
      <c r="J132" s="348">
        <f>H132/DAY(B2)</f>
        <v>392.93333333333334</v>
      </c>
    </row>
    <row r="133" spans="1:15" ht="27.75" x14ac:dyDescent="0.5">
      <c r="A133" s="750" t="s">
        <v>323</v>
      </c>
      <c r="B133" s="751"/>
      <c r="C133" s="752"/>
      <c r="D133" s="151" t="s">
        <v>183</v>
      </c>
      <c r="E133" s="95">
        <f>'14'!F133</f>
        <v>27349</v>
      </c>
      <c r="F133" s="165">
        <v>28065</v>
      </c>
      <c r="G133" s="112">
        <f t="shared" si="10"/>
        <v>716</v>
      </c>
      <c r="H133" s="99">
        <f>G133+'14'!H133</f>
        <v>11674</v>
      </c>
      <c r="I133" s="165"/>
      <c r="J133" s="348">
        <f>H133/DAY(B2)</f>
        <v>778.26666666666665</v>
      </c>
    </row>
    <row r="134" spans="1:15" s="620" customFormat="1" ht="27.75" x14ac:dyDescent="0.5">
      <c r="A134" s="822" t="s">
        <v>340</v>
      </c>
      <c r="B134" s="823"/>
      <c r="C134" s="824"/>
      <c r="D134" s="233" t="s">
        <v>183</v>
      </c>
      <c r="E134" s="617">
        <f>'14'!F134</f>
        <v>621310</v>
      </c>
      <c r="F134" s="158">
        <v>621912</v>
      </c>
      <c r="G134" s="236">
        <f t="shared" si="10"/>
        <v>602</v>
      </c>
      <c r="H134" s="238">
        <f>G134+'14'!H134</f>
        <v>7497</v>
      </c>
      <c r="I134" s="158"/>
      <c r="J134" s="619">
        <f>H134/DAY(B2)</f>
        <v>499.8</v>
      </c>
    </row>
    <row r="135" spans="1:15" ht="27.75" x14ac:dyDescent="0.5">
      <c r="A135" s="753"/>
      <c r="B135" s="754"/>
      <c r="C135" s="755"/>
      <c r="D135" s="151"/>
      <c r="E135" s="95"/>
      <c r="F135" s="165"/>
      <c r="G135" s="112"/>
      <c r="H135" s="99">
        <f>G135+'10'!H135</f>
        <v>5534.2300000000005</v>
      </c>
      <c r="I135" s="165"/>
      <c r="J135" s="348"/>
    </row>
    <row r="136" spans="1:15" ht="31.5" x14ac:dyDescent="0.55000000000000004">
      <c r="A136" s="736" t="s">
        <v>325</v>
      </c>
      <c r="B136" s="736"/>
      <c r="C136" s="736"/>
      <c r="D136" s="736"/>
      <c r="E136" s="736"/>
      <c r="F136" s="736"/>
      <c r="G136" s="736"/>
      <c r="H136" s="736"/>
      <c r="I136" s="736"/>
      <c r="J136" s="736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49" t="s">
        <v>185</v>
      </c>
      <c r="B138" s="749"/>
      <c r="C138" s="749"/>
      <c r="D138" s="151" t="s">
        <v>183</v>
      </c>
      <c r="E138" s="95">
        <f>'14'!F138</f>
        <v>858512</v>
      </c>
      <c r="F138" s="147">
        <v>858581</v>
      </c>
      <c r="G138" s="112">
        <f t="shared" ref="G138:G152" si="11">F138-E138</f>
        <v>69</v>
      </c>
      <c r="H138" s="99">
        <f>G138+'14'!H138</f>
        <v>1228</v>
      </c>
      <c r="I138" s="118"/>
      <c r="J138" s="348">
        <f>H138/DAY(B2)</f>
        <v>81.86666666666666</v>
      </c>
    </row>
    <row r="139" spans="1:15" ht="27.75" x14ac:dyDescent="0.5">
      <c r="A139" s="749" t="s">
        <v>186</v>
      </c>
      <c r="B139" s="749"/>
      <c r="C139" s="749"/>
      <c r="D139" s="151" t="s">
        <v>183</v>
      </c>
      <c r="E139" s="95">
        <f>'14'!F139</f>
        <v>886072</v>
      </c>
      <c r="F139" s="148">
        <v>886073</v>
      </c>
      <c r="G139" s="112">
        <f t="shared" si="11"/>
        <v>1</v>
      </c>
      <c r="H139" s="99">
        <f>G139+'14'!H139</f>
        <v>11</v>
      </c>
      <c r="I139" s="118"/>
      <c r="J139" s="348">
        <f>H139/DAY(B2)</f>
        <v>0.73333333333333328</v>
      </c>
    </row>
    <row r="140" spans="1:15" ht="27.75" x14ac:dyDescent="0.5">
      <c r="A140" s="749" t="s">
        <v>187</v>
      </c>
      <c r="B140" s="749"/>
      <c r="C140" s="749"/>
      <c r="D140" s="151" t="s">
        <v>183</v>
      </c>
      <c r="E140" s="95">
        <f>'14'!F140</f>
        <v>88797</v>
      </c>
      <c r="F140" s="149">
        <v>88797</v>
      </c>
      <c r="G140" s="112">
        <f t="shared" si="11"/>
        <v>0</v>
      </c>
      <c r="H140" s="99">
        <f>G140+'14'!H140</f>
        <v>-1</v>
      </c>
      <c r="I140" s="118"/>
      <c r="J140" s="348">
        <f>H140/DAY(B2)</f>
        <v>-6.6666666666666666E-2</v>
      </c>
    </row>
    <row r="141" spans="1:15" ht="27.75" x14ac:dyDescent="0.5">
      <c r="A141" s="728" t="s">
        <v>188</v>
      </c>
      <c r="B141" s="728"/>
      <c r="C141" s="728"/>
      <c r="D141" s="151" t="s">
        <v>183</v>
      </c>
      <c r="E141" s="95">
        <f>'14'!F141</f>
        <v>34091</v>
      </c>
      <c r="F141" s="149">
        <v>34287</v>
      </c>
      <c r="G141" s="112">
        <f t="shared" si="11"/>
        <v>196</v>
      </c>
      <c r="H141" s="99">
        <f>G141+'14'!H141</f>
        <v>2751</v>
      </c>
      <c r="I141" s="118"/>
      <c r="J141" s="348">
        <f>H141/DAY(B2)</f>
        <v>183.4</v>
      </c>
    </row>
    <row r="142" spans="1:15" ht="27.75" x14ac:dyDescent="0.5">
      <c r="A142" s="728" t="s">
        <v>189</v>
      </c>
      <c r="B142" s="728"/>
      <c r="C142" s="728"/>
      <c r="D142" s="151" t="s">
        <v>183</v>
      </c>
      <c r="E142" s="95">
        <f>'14'!F142</f>
        <v>16315</v>
      </c>
      <c r="F142" s="148">
        <v>16396</v>
      </c>
      <c r="G142" s="112">
        <f t="shared" si="11"/>
        <v>81</v>
      </c>
      <c r="H142" s="99">
        <f>G142+'14'!H142</f>
        <v>1074</v>
      </c>
      <c r="I142" s="140"/>
      <c r="J142" s="348">
        <f>H142/DAY(B2)</f>
        <v>71.599999999999994</v>
      </c>
    </row>
    <row r="143" spans="1:15" ht="27.75" x14ac:dyDescent="0.5">
      <c r="A143" s="749" t="s">
        <v>91</v>
      </c>
      <c r="B143" s="749"/>
      <c r="C143" s="749"/>
      <c r="D143" s="151" t="s">
        <v>183</v>
      </c>
      <c r="E143" s="95">
        <f>'14'!F143</f>
        <v>918</v>
      </c>
      <c r="F143" s="149">
        <v>945</v>
      </c>
      <c r="G143" s="112">
        <f t="shared" si="11"/>
        <v>27</v>
      </c>
      <c r="H143" s="99">
        <f>G143+'14'!H143</f>
        <v>416</v>
      </c>
      <c r="I143" s="140"/>
      <c r="J143" s="348">
        <f>H143/DAY(B2)</f>
        <v>27.733333333333334</v>
      </c>
    </row>
    <row r="144" spans="1:15" ht="27.75" x14ac:dyDescent="0.5">
      <c r="A144" s="728" t="s">
        <v>90</v>
      </c>
      <c r="B144" s="728"/>
      <c r="C144" s="728"/>
      <c r="D144" s="151" t="s">
        <v>183</v>
      </c>
      <c r="E144" s="95">
        <f>'14'!F144</f>
        <v>852391</v>
      </c>
      <c r="F144" s="149">
        <v>852568</v>
      </c>
      <c r="G144" s="112">
        <f t="shared" si="11"/>
        <v>177</v>
      </c>
      <c r="H144" s="99">
        <f>G144+'14'!H144</f>
        <v>2531</v>
      </c>
      <c r="I144" s="140"/>
      <c r="J144" s="348">
        <f>H144/DAY(B2)</f>
        <v>168.73333333333332</v>
      </c>
    </row>
    <row r="145" spans="1:10" ht="27.75" x14ac:dyDescent="0.5">
      <c r="A145" s="749" t="s">
        <v>190</v>
      </c>
      <c r="B145" s="749"/>
      <c r="C145" s="749"/>
      <c r="D145" s="152" t="s">
        <v>183</v>
      </c>
      <c r="E145" s="95">
        <f>'14'!F145</f>
        <v>1549</v>
      </c>
      <c r="F145" s="149">
        <v>1591</v>
      </c>
      <c r="G145" s="112">
        <f t="shared" si="11"/>
        <v>42</v>
      </c>
      <c r="H145" s="99">
        <f>G145+'14'!H145</f>
        <v>637</v>
      </c>
      <c r="I145" s="140"/>
      <c r="J145" s="348">
        <f>H145/DAY(B2)</f>
        <v>42.466666666666669</v>
      </c>
    </row>
    <row r="146" spans="1:10" ht="27.75" x14ac:dyDescent="0.5">
      <c r="A146" s="784" t="s">
        <v>191</v>
      </c>
      <c r="B146" s="769"/>
      <c r="C146" s="770"/>
      <c r="D146" s="152" t="s">
        <v>183</v>
      </c>
      <c r="E146" s="95">
        <f>'14'!F146</f>
        <v>691991</v>
      </c>
      <c r="F146" s="148">
        <v>692371</v>
      </c>
      <c r="G146" s="112">
        <f t="shared" si="11"/>
        <v>380</v>
      </c>
      <c r="H146" s="99">
        <f>G146+'14'!H146</f>
        <v>5179</v>
      </c>
      <c r="I146" s="140"/>
      <c r="J146" s="348">
        <f>H146/DAY(B2)</f>
        <v>345.26666666666665</v>
      </c>
    </row>
    <row r="147" spans="1:10" ht="27.75" x14ac:dyDescent="0.5">
      <c r="A147" s="728" t="s">
        <v>192</v>
      </c>
      <c r="B147" s="728"/>
      <c r="C147" s="728"/>
      <c r="D147" s="152" t="s">
        <v>183</v>
      </c>
      <c r="E147" s="95">
        <f>'14'!F147</f>
        <v>581829</v>
      </c>
      <c r="F147" s="148">
        <v>582225</v>
      </c>
      <c r="G147" s="112">
        <f t="shared" si="11"/>
        <v>396</v>
      </c>
      <c r="H147" s="99">
        <f>G147+'14'!H147</f>
        <v>6153</v>
      </c>
      <c r="I147" s="140"/>
      <c r="J147" s="348">
        <f>H147/DAY(B2)</f>
        <v>410.2</v>
      </c>
    </row>
    <row r="148" spans="1:10" ht="27.75" x14ac:dyDescent="0.5">
      <c r="A148" s="729" t="s">
        <v>193</v>
      </c>
      <c r="B148" s="730"/>
      <c r="C148" s="731"/>
      <c r="D148" s="123" t="s">
        <v>130</v>
      </c>
      <c r="E148" s="95">
        <f>'14'!F148</f>
        <v>661129</v>
      </c>
      <c r="F148" s="150">
        <v>661285</v>
      </c>
      <c r="G148" s="112">
        <f t="shared" si="11"/>
        <v>156</v>
      </c>
      <c r="H148" s="99">
        <f>G148+'14'!H148</f>
        <v>2685</v>
      </c>
      <c r="I148" s="124"/>
      <c r="J148" s="348">
        <f>H148/DAY(B2)</f>
        <v>179</v>
      </c>
    </row>
    <row r="149" spans="1:10" ht="27.75" x14ac:dyDescent="0.5">
      <c r="A149" s="729" t="s">
        <v>336</v>
      </c>
      <c r="B149" s="730"/>
      <c r="C149" s="731"/>
      <c r="D149" s="227" t="s">
        <v>130</v>
      </c>
      <c r="E149" s="95">
        <f>'14'!F149</f>
        <v>78940</v>
      </c>
      <c r="F149" s="146">
        <v>79270</v>
      </c>
      <c r="G149" s="112">
        <f t="shared" si="11"/>
        <v>330</v>
      </c>
      <c r="H149" s="99">
        <f>G149+'14'!H149</f>
        <v>3848</v>
      </c>
      <c r="I149" s="119"/>
      <c r="J149" s="348">
        <f>H149/DAY(B2)</f>
        <v>256.53333333333336</v>
      </c>
    </row>
    <row r="150" spans="1:10" ht="27.75" x14ac:dyDescent="0.5">
      <c r="A150" s="729" t="s">
        <v>337</v>
      </c>
      <c r="B150" s="730"/>
      <c r="C150" s="731"/>
      <c r="D150" s="117" t="s">
        <v>130</v>
      </c>
      <c r="E150" s="95">
        <f>'14'!F150</f>
        <v>7167232</v>
      </c>
      <c r="F150" s="233">
        <v>7167232</v>
      </c>
      <c r="G150" s="112">
        <f t="shared" si="11"/>
        <v>0</v>
      </c>
      <c r="H150" s="99">
        <f>G150+'14'!H150</f>
        <v>0</v>
      </c>
      <c r="I150" s="119"/>
      <c r="J150" s="348">
        <f>H150/DAY(B2)</f>
        <v>0</v>
      </c>
    </row>
    <row r="151" spans="1:10" ht="27.75" x14ac:dyDescent="0.5">
      <c r="A151" s="729" t="s">
        <v>338</v>
      </c>
      <c r="B151" s="730"/>
      <c r="C151" s="731"/>
      <c r="D151" s="117" t="s">
        <v>130</v>
      </c>
      <c r="E151" s="95">
        <f>'14'!F151</f>
        <v>57985</v>
      </c>
      <c r="F151" s="233">
        <v>58335</v>
      </c>
      <c r="G151" s="112">
        <f t="shared" si="11"/>
        <v>350</v>
      </c>
      <c r="H151" s="99">
        <f>G151+'14'!H151</f>
        <v>4956</v>
      </c>
      <c r="I151" s="119"/>
      <c r="J151" s="348">
        <f>H151/DAY(B2)</f>
        <v>330.4</v>
      </c>
    </row>
    <row r="152" spans="1:10" ht="27.75" x14ac:dyDescent="0.5">
      <c r="A152" s="729" t="s">
        <v>339</v>
      </c>
      <c r="B152" s="730"/>
      <c r="C152" s="731"/>
      <c r="D152" s="117" t="s">
        <v>130</v>
      </c>
      <c r="E152" s="95">
        <f>'14'!F152</f>
        <v>0</v>
      </c>
      <c r="F152" s="233">
        <v>0</v>
      </c>
      <c r="G152" s="112">
        <f t="shared" si="11"/>
        <v>0</v>
      </c>
      <c r="H152" s="99">
        <f>G152+'14'!H152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36" t="s">
        <v>344</v>
      </c>
      <c r="B154" s="736"/>
      <c r="C154" s="736"/>
      <c r="D154" s="736"/>
      <c r="E154" s="736"/>
      <c r="F154" s="736"/>
      <c r="G154" s="736"/>
      <c r="H154" s="736"/>
      <c r="I154" s="736"/>
      <c r="J154" s="736"/>
    </row>
    <row r="155" spans="1:10" ht="31.5" x14ac:dyDescent="0.55000000000000004">
      <c r="A155" s="728" t="s">
        <v>345</v>
      </c>
      <c r="B155" s="728"/>
      <c r="C155" s="728"/>
      <c r="D155" s="117" t="s">
        <v>130</v>
      </c>
      <c r="E155" s="95">
        <f>'14'!F155</f>
        <v>77128</v>
      </c>
      <c r="F155" s="397">
        <v>77136</v>
      </c>
      <c r="G155" s="112">
        <f t="shared" ref="G155:G156" si="12">F155-E155</f>
        <v>8</v>
      </c>
      <c r="H155" s="99">
        <f>G155+'14'!H155</f>
        <v>108.10000000000582</v>
      </c>
      <c r="I155" s="385"/>
      <c r="J155" s="348">
        <f>H155/DAY(B2)</f>
        <v>7.2066666666670551</v>
      </c>
    </row>
    <row r="156" spans="1:10" ht="27.75" x14ac:dyDescent="0.5">
      <c r="A156" s="728" t="s">
        <v>347</v>
      </c>
      <c r="B156" s="728"/>
      <c r="C156" s="728"/>
      <c r="D156" s="117" t="s">
        <v>130</v>
      </c>
      <c r="E156" s="95">
        <f>'14'!F156</f>
        <v>0</v>
      </c>
      <c r="F156" s="165">
        <v>0</v>
      </c>
      <c r="G156" s="112">
        <f t="shared" si="12"/>
        <v>0</v>
      </c>
      <c r="H156" s="99">
        <f>G156+'14'!H156</f>
        <v>0</v>
      </c>
      <c r="I156" s="165"/>
      <c r="J156" s="348">
        <f>H156/DAY(B2)</f>
        <v>0</v>
      </c>
    </row>
    <row r="157" spans="1:10" ht="31.5" x14ac:dyDescent="0.55000000000000004">
      <c r="A157" s="736" t="s">
        <v>326</v>
      </c>
      <c r="B157" s="736"/>
      <c r="C157" s="736"/>
      <c r="D157" s="736"/>
      <c r="E157" s="736"/>
      <c r="F157" s="736"/>
      <c r="G157" s="736"/>
      <c r="H157" s="736"/>
      <c r="I157" s="736"/>
      <c r="J157" s="736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'14'!F158</f>
        <v>466980</v>
      </c>
      <c r="F158" s="235">
        <v>467020</v>
      </c>
      <c r="G158" s="238">
        <f t="shared" ref="G158:G162" si="13">F158-E158</f>
        <v>40</v>
      </c>
      <c r="H158" s="99">
        <f>G158+'14'!H158</f>
        <v>1759</v>
      </c>
      <c r="I158" s="236"/>
      <c r="J158" s="239">
        <f>H158/DAY(B2)</f>
        <v>117.26666666666667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'14'!F159</f>
        <v>85279</v>
      </c>
      <c r="F159" s="235">
        <v>85297</v>
      </c>
      <c r="G159" s="238">
        <f t="shared" si="13"/>
        <v>18</v>
      </c>
      <c r="H159" s="99">
        <f>G159+'14'!H159</f>
        <v>487</v>
      </c>
      <c r="I159" s="236"/>
      <c r="J159" s="239">
        <f>H159/DAY(B2)</f>
        <v>32.466666666666669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'14'!F160</f>
        <v>71977</v>
      </c>
      <c r="F160" s="235">
        <v>72017</v>
      </c>
      <c r="G160" s="238">
        <f t="shared" si="13"/>
        <v>40</v>
      </c>
      <c r="H160" s="99">
        <f>G160+'14'!H160</f>
        <v>1046</v>
      </c>
      <c r="I160" s="236"/>
      <c r="J160" s="239">
        <f>H160/DAY(B2)</f>
        <v>69.733333333333334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'14'!F161</f>
        <v>3886</v>
      </c>
      <c r="F161" s="235">
        <v>3888</v>
      </c>
      <c r="G161" s="238">
        <f t="shared" si="13"/>
        <v>2</v>
      </c>
      <c r="H161" s="99">
        <f>G161+'14'!H161</f>
        <v>91</v>
      </c>
      <c r="I161" s="236"/>
      <c r="J161" s="239">
        <f>H161/DAY(B2)</f>
        <v>6.0666666666666664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'14'!F162</f>
        <v>29079</v>
      </c>
      <c r="F162" s="235">
        <v>29079</v>
      </c>
      <c r="G162" s="238">
        <f t="shared" si="13"/>
        <v>0</v>
      </c>
      <c r="H162" s="99">
        <f>G162+'14'!H162</f>
        <v>107</v>
      </c>
      <c r="I162" s="236"/>
      <c r="J162" s="239">
        <f>H162/DAY(B2)</f>
        <v>7.1333333333333337</v>
      </c>
    </row>
    <row r="163" spans="1:10" ht="29.25" x14ac:dyDescent="0.5">
      <c r="A163" s="737"/>
      <c r="B163" s="737"/>
      <c r="C163" s="247"/>
      <c r="D163" s="244" t="s">
        <v>180</v>
      </c>
      <c r="E163" s="95">
        <f>'14'!F163</f>
        <v>0</v>
      </c>
      <c r="F163" s="165"/>
      <c r="G163" s="165"/>
      <c r="H163" s="99">
        <f>G163+'14'!H163</f>
        <v>0</v>
      </c>
      <c r="I163" s="165"/>
      <c r="J163" s="239">
        <f>H163/DAY(B2)</f>
        <v>0</v>
      </c>
    </row>
    <row r="164" spans="1:10" ht="29.25" x14ac:dyDescent="0.5">
      <c r="A164" s="737"/>
      <c r="B164" s="737"/>
      <c r="C164" s="247"/>
      <c r="D164" s="244" t="s">
        <v>180</v>
      </c>
      <c r="E164" s="95">
        <f>'14'!F164</f>
        <v>0</v>
      </c>
      <c r="F164" s="165"/>
      <c r="G164" s="165"/>
      <c r="H164" s="99">
        <f>G164+'14'!H164</f>
        <v>0</v>
      </c>
      <c r="I164" s="165"/>
      <c r="J164" s="239">
        <f>H164/DAY(B2)</f>
        <v>0</v>
      </c>
    </row>
    <row r="165" spans="1:10" ht="29.25" x14ac:dyDescent="0.5">
      <c r="A165" s="737"/>
      <c r="B165" s="737"/>
      <c r="C165" s="247"/>
      <c r="D165" s="244" t="s">
        <v>180</v>
      </c>
      <c r="E165" s="95">
        <f>'14'!F165</f>
        <v>0</v>
      </c>
      <c r="F165" s="165"/>
      <c r="G165" s="165"/>
      <c r="H165" s="99">
        <f>G165+'14'!H165</f>
        <v>0</v>
      </c>
      <c r="I165" s="165"/>
      <c r="J165" s="239">
        <f>H165/DAY(B2)</f>
        <v>0</v>
      </c>
    </row>
    <row r="166" spans="1:10" ht="29.25" x14ac:dyDescent="0.5"/>
    <row r="167" spans="1:10" ht="21.75" customHeight="1" x14ac:dyDescent="0.5"/>
    <row r="168" spans="1:10" ht="21.75" customHeight="1" x14ac:dyDescent="0.35">
      <c r="A168" s="738" t="s">
        <v>330</v>
      </c>
      <c r="B168" s="739"/>
      <c r="C168" s="739"/>
      <c r="D168" s="739"/>
      <c r="E168" s="739"/>
      <c r="F168" s="739"/>
      <c r="G168" s="739"/>
      <c r="H168" s="739"/>
      <c r="I168" s="739"/>
      <c r="J168" s="740"/>
    </row>
    <row r="169" spans="1:10" ht="21.75" customHeight="1" x14ac:dyDescent="0.5">
      <c r="A169" s="747"/>
      <c r="B169" s="748"/>
      <c r="C169" s="352"/>
      <c r="D169" s="228"/>
      <c r="E169" s="155"/>
      <c r="F169" s="155"/>
      <c r="G169" s="155"/>
      <c r="H169" s="156"/>
      <c r="I169" s="155"/>
      <c r="J169" s="178"/>
    </row>
    <row r="170" spans="1:10" ht="21.75" customHeight="1" x14ac:dyDescent="0.5">
      <c r="A170" s="743" t="s">
        <v>209</v>
      </c>
      <c r="B170" s="744"/>
      <c r="C170" s="353"/>
      <c r="D170" s="228" t="s">
        <v>142</v>
      </c>
      <c r="E170" s="95">
        <f>'14'!F170</f>
        <v>7898</v>
      </c>
      <c r="F170" s="155">
        <v>7898</v>
      </c>
      <c r="G170" s="155">
        <f>F170-E170</f>
        <v>0</v>
      </c>
      <c r="H170" s="99">
        <f>G170+'14'!H170</f>
        <v>3</v>
      </c>
      <c r="I170" s="155"/>
      <c r="J170" s="178">
        <f>H170/DAY(B2)</f>
        <v>0.2</v>
      </c>
    </row>
    <row r="171" spans="1:10" ht="21.75" customHeight="1" x14ac:dyDescent="0.5">
      <c r="A171" s="743" t="s">
        <v>75</v>
      </c>
      <c r="B171" s="744"/>
      <c r="C171" s="353"/>
      <c r="D171" s="228" t="s">
        <v>142</v>
      </c>
      <c r="E171" s="95">
        <f>'14'!F171</f>
        <v>37180</v>
      </c>
      <c r="F171" s="157">
        <v>37200</v>
      </c>
      <c r="G171" s="155">
        <f t="shared" ref="G171:G172" si="14">F171-E171</f>
        <v>20</v>
      </c>
      <c r="H171" s="99">
        <f>G171+'14'!H171</f>
        <v>560</v>
      </c>
      <c r="I171" s="155"/>
      <c r="J171" s="178">
        <f>H171/DAY(B2)</f>
        <v>37.333333333333336</v>
      </c>
    </row>
    <row r="172" spans="1:10" ht="21.75" customHeight="1" x14ac:dyDescent="0.5">
      <c r="A172" s="743" t="s">
        <v>76</v>
      </c>
      <c r="B172" s="783"/>
      <c r="C172" s="744"/>
      <c r="D172" s="228" t="s">
        <v>142</v>
      </c>
      <c r="E172" s="95">
        <f>'14'!F172</f>
        <v>20619</v>
      </c>
      <c r="F172" s="155">
        <v>20628</v>
      </c>
      <c r="G172" s="155">
        <f t="shared" si="14"/>
        <v>9</v>
      </c>
      <c r="H172" s="99">
        <f>G172+'14'!H172</f>
        <v>159</v>
      </c>
      <c r="I172" s="155"/>
      <c r="J172" s="178">
        <f>H172/DAY(B2)</f>
        <v>10.6</v>
      </c>
    </row>
    <row r="173" spans="1:10" ht="21.75" customHeight="1" x14ac:dyDescent="0.5">
      <c r="A173" s="732" t="s">
        <v>196</v>
      </c>
      <c r="B173" s="733"/>
      <c r="C173" s="353"/>
      <c r="D173" s="228" t="s">
        <v>142</v>
      </c>
      <c r="E173" s="95"/>
      <c r="F173" s="155"/>
      <c r="G173" s="155">
        <f>SUM(G170:G172)</f>
        <v>29</v>
      </c>
      <c r="H173" s="99">
        <f>G173+'14'!H173</f>
        <v>722</v>
      </c>
      <c r="I173" s="155"/>
      <c r="J173" s="178">
        <f>H173/DAY(B2)</f>
        <v>48.133333333333333</v>
      </c>
    </row>
    <row r="174" spans="1:10" ht="21.75" customHeight="1" x14ac:dyDescent="0.5">
      <c r="A174" s="743" t="s">
        <v>77</v>
      </c>
      <c r="B174" s="744"/>
      <c r="C174" s="353"/>
      <c r="D174" s="228" t="s">
        <v>142</v>
      </c>
      <c r="E174" s="95"/>
      <c r="F174" s="155"/>
      <c r="G174" s="155"/>
      <c r="H174" s="99">
        <f>G174+'14'!H174</f>
        <v>0</v>
      </c>
      <c r="I174" s="155"/>
      <c r="J174" s="178">
        <f>H174/DAY(B2)</f>
        <v>0</v>
      </c>
    </row>
    <row r="175" spans="1:10" ht="23.25" customHeight="1" x14ac:dyDescent="0.5">
      <c r="A175" s="743" t="s">
        <v>210</v>
      </c>
      <c r="B175" s="744"/>
      <c r="C175" s="353"/>
      <c r="D175" s="228" t="s">
        <v>142</v>
      </c>
      <c r="E175" s="95">
        <f>'14'!F175</f>
        <v>73094</v>
      </c>
      <c r="F175" s="155">
        <v>73204</v>
      </c>
      <c r="G175" s="155">
        <f>F175-E175</f>
        <v>110</v>
      </c>
      <c r="H175" s="99">
        <f>G175+'14'!H175</f>
        <v>1270</v>
      </c>
      <c r="I175" s="155"/>
      <c r="J175" s="178">
        <f>H175/DAY(B2)</f>
        <v>84.666666666666671</v>
      </c>
    </row>
    <row r="176" spans="1:10" ht="24" customHeight="1" x14ac:dyDescent="0.5">
      <c r="A176" s="743" t="s">
        <v>211</v>
      </c>
      <c r="B176" s="744"/>
      <c r="C176" s="353"/>
      <c r="D176" s="228" t="s">
        <v>142</v>
      </c>
      <c r="E176" s="95">
        <f>'14'!F176</f>
        <v>33886</v>
      </c>
      <c r="F176" s="155">
        <v>33886</v>
      </c>
      <c r="G176" s="155">
        <f t="shared" ref="G176:G177" si="15">F176-E176</f>
        <v>0</v>
      </c>
      <c r="H176" s="99">
        <f>G176+'14'!H176</f>
        <v>0</v>
      </c>
      <c r="I176" s="155"/>
      <c r="J176" s="178">
        <f>H176/DAY(B2)</f>
        <v>0</v>
      </c>
    </row>
    <row r="177" spans="1:10" ht="27.75" x14ac:dyDescent="0.5">
      <c r="A177" s="743" t="s">
        <v>212</v>
      </c>
      <c r="B177" s="744"/>
      <c r="C177" s="353"/>
      <c r="D177" s="228" t="s">
        <v>142</v>
      </c>
      <c r="E177" s="95">
        <f>'14'!F177</f>
        <v>4910</v>
      </c>
      <c r="F177" s="155">
        <v>4921</v>
      </c>
      <c r="G177" s="155">
        <f t="shared" si="15"/>
        <v>11</v>
      </c>
      <c r="H177" s="99">
        <f>G177+'14'!H177</f>
        <v>90</v>
      </c>
      <c r="I177" s="155"/>
      <c r="J177" s="178">
        <f>H177/DAY(B2)</f>
        <v>6</v>
      </c>
    </row>
    <row r="178" spans="1:10" ht="27.75" x14ac:dyDescent="0.5">
      <c r="A178" s="745" t="s">
        <v>108</v>
      </c>
      <c r="B178" s="746"/>
      <c r="C178" s="353"/>
      <c r="D178" s="228" t="s">
        <v>142</v>
      </c>
      <c r="E178" s="95"/>
      <c r="F178" s="155"/>
      <c r="G178" s="155">
        <f>SUM(G175:G177)</f>
        <v>121</v>
      </c>
      <c r="H178" s="99">
        <f>G178+'14'!H178</f>
        <v>1360</v>
      </c>
      <c r="I178" s="155"/>
      <c r="J178" s="178">
        <f>H178/DAY(B2)</f>
        <v>90.666666666666671</v>
      </c>
    </row>
    <row r="179" spans="1:10" ht="27.75" x14ac:dyDescent="0.5">
      <c r="A179" s="743" t="s">
        <v>213</v>
      </c>
      <c r="B179" s="744"/>
      <c r="C179" s="353"/>
      <c r="D179" s="228" t="s">
        <v>142</v>
      </c>
      <c r="E179" s="95"/>
      <c r="F179" s="155"/>
      <c r="G179" s="155"/>
      <c r="H179" s="99">
        <f>G179+'14'!H179</f>
        <v>0</v>
      </c>
      <c r="I179" s="155"/>
      <c r="J179" s="178">
        <f>H179/DAY(B2)</f>
        <v>0</v>
      </c>
    </row>
    <row r="180" spans="1:10" ht="27.75" x14ac:dyDescent="0.5">
      <c r="A180" s="743" t="s">
        <v>214</v>
      </c>
      <c r="B180" s="744"/>
      <c r="C180" s="354"/>
      <c r="D180" s="228" t="s">
        <v>142</v>
      </c>
      <c r="E180" s="95">
        <f>'14'!F180</f>
        <v>13755</v>
      </c>
      <c r="F180" s="157">
        <v>13766</v>
      </c>
      <c r="G180" s="157">
        <f>F180-E180</f>
        <v>11</v>
      </c>
      <c r="H180" s="99">
        <f>G180+'14'!H180</f>
        <v>229</v>
      </c>
      <c r="I180" s="155"/>
      <c r="J180" s="178">
        <f>H180/DAY(B2)</f>
        <v>15.266666666666667</v>
      </c>
    </row>
    <row r="181" spans="1:10" ht="27.75" x14ac:dyDescent="0.5">
      <c r="A181" s="743" t="s">
        <v>215</v>
      </c>
      <c r="B181" s="744"/>
      <c r="C181" s="354"/>
      <c r="D181" s="228" t="s">
        <v>142</v>
      </c>
      <c r="E181" s="95">
        <f>'14'!F181</f>
        <v>9571</v>
      </c>
      <c r="F181" s="157">
        <v>9577</v>
      </c>
      <c r="G181" s="157">
        <f t="shared" ref="G181:G182" si="16">F181-E181</f>
        <v>6</v>
      </c>
      <c r="H181" s="99">
        <f>G181+'14'!H181</f>
        <v>129</v>
      </c>
      <c r="I181" s="155"/>
      <c r="J181" s="178">
        <f>H181/DAY(B2)</f>
        <v>8.6</v>
      </c>
    </row>
    <row r="182" spans="1:10" ht="32.25" customHeight="1" x14ac:dyDescent="0.5">
      <c r="A182" s="743" t="s">
        <v>216</v>
      </c>
      <c r="B182" s="744"/>
      <c r="C182" s="354"/>
      <c r="D182" s="228" t="s">
        <v>142</v>
      </c>
      <c r="E182" s="95">
        <f>'14'!F182</f>
        <v>0</v>
      </c>
      <c r="F182" s="157"/>
      <c r="G182" s="157">
        <f t="shared" si="16"/>
        <v>0</v>
      </c>
      <c r="H182" s="99">
        <f>G182+'14'!H182</f>
        <v>0</v>
      </c>
      <c r="I182" s="155"/>
      <c r="J182" s="178">
        <f>H182/DAY(B2)</f>
        <v>0</v>
      </c>
    </row>
    <row r="183" spans="1:10" ht="27.75" x14ac:dyDescent="0.5">
      <c r="A183" s="732" t="s">
        <v>196</v>
      </c>
      <c r="B183" s="733"/>
      <c r="C183" s="354"/>
      <c r="D183" s="228" t="s">
        <v>142</v>
      </c>
      <c r="E183" s="95"/>
      <c r="F183" s="157"/>
      <c r="G183" s="157">
        <f>SUM(G180:G182)</f>
        <v>17</v>
      </c>
      <c r="H183" s="99">
        <f>G183+'14'!H183</f>
        <v>358</v>
      </c>
      <c r="I183" s="157"/>
      <c r="J183" s="178">
        <f>H183/DAY(B2)</f>
        <v>23.866666666666667</v>
      </c>
    </row>
    <row r="184" spans="1:10" ht="27.75" x14ac:dyDescent="0.5">
      <c r="A184" s="734" t="s">
        <v>217</v>
      </c>
      <c r="B184" s="735"/>
      <c r="C184" s="353"/>
      <c r="D184" s="230" t="s">
        <v>142</v>
      </c>
      <c r="E184" s="95"/>
      <c r="F184" s="159"/>
      <c r="G184" s="588">
        <f>G62+G19</f>
        <v>182</v>
      </c>
      <c r="H184" s="99">
        <f>G184+'14'!H184</f>
        <v>2488</v>
      </c>
      <c r="I184" s="158"/>
      <c r="J184" s="179">
        <f>H184/DAY(B2)</f>
        <v>165.86666666666667</v>
      </c>
    </row>
    <row r="185" spans="1:10" ht="27.75" x14ac:dyDescent="0.5">
      <c r="A185" s="734" t="s">
        <v>218</v>
      </c>
      <c r="B185" s="735"/>
      <c r="C185" s="353"/>
      <c r="D185" s="230" t="s">
        <v>142</v>
      </c>
      <c r="E185" s="95"/>
      <c r="F185" s="159"/>
      <c r="G185" s="588">
        <f>G65+G66+G67+G69+G70</f>
        <v>182</v>
      </c>
      <c r="H185" s="99">
        <f>G185+'14'!H185</f>
        <v>182</v>
      </c>
      <c r="I185" s="158"/>
      <c r="J185" s="179">
        <f>H185/DAY(B2)</f>
        <v>12.133333333333333</v>
      </c>
    </row>
    <row r="186" spans="1:10" ht="27" customHeight="1" x14ac:dyDescent="0.5">
      <c r="A186" s="734" t="s">
        <v>219</v>
      </c>
      <c r="B186" s="735"/>
      <c r="C186" s="353"/>
      <c r="D186" s="230" t="s">
        <v>142</v>
      </c>
      <c r="E186" s="95"/>
      <c r="F186" s="157"/>
      <c r="G186" s="585">
        <f>G178</f>
        <v>121</v>
      </c>
      <c r="H186" s="99">
        <f>G186+'14'!H186</f>
        <v>1360</v>
      </c>
      <c r="I186" s="158"/>
      <c r="J186" s="179">
        <f>H186/DAY(B2)</f>
        <v>90.666666666666671</v>
      </c>
    </row>
    <row r="187" spans="1:10" ht="27" customHeight="1" x14ac:dyDescent="0.5">
      <c r="A187" s="741"/>
      <c r="B187" s="742"/>
      <c r="C187" s="609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7" customHeight="1" x14ac:dyDescent="0.5"/>
    <row r="189" spans="1:10" ht="27" customHeight="1" x14ac:dyDescent="0.5"/>
    <row r="190" spans="1:10" ht="27" customHeight="1" x14ac:dyDescent="0.5"/>
    <row r="191" spans="1:10" ht="27" customHeight="1" x14ac:dyDescent="0.5"/>
    <row r="192" spans="1:10" ht="27" customHeight="1" x14ac:dyDescent="0.5"/>
    <row r="193" ht="27" customHeight="1" x14ac:dyDescent="0.5"/>
    <row r="194" ht="27" customHeight="1" x14ac:dyDescent="0.5"/>
    <row r="195" ht="27" customHeight="1" x14ac:dyDescent="0.5"/>
    <row r="196" ht="27" customHeight="1" x14ac:dyDescent="0.5"/>
    <row r="197" ht="27" customHeight="1" x14ac:dyDescent="0.5"/>
    <row r="198" ht="27" customHeight="1" x14ac:dyDescent="0.5"/>
    <row r="199" ht="27" customHeight="1" x14ac:dyDescent="0.5"/>
    <row r="200" ht="27" customHeight="1" x14ac:dyDescent="0.5"/>
    <row r="201" ht="27" customHeight="1" x14ac:dyDescent="0.5"/>
    <row r="202" ht="27" customHeight="1" x14ac:dyDescent="0.5"/>
    <row r="203" ht="27" customHeight="1" x14ac:dyDescent="0.5"/>
    <row r="204" ht="27" customHeight="1" x14ac:dyDescent="0.5"/>
    <row r="205" ht="27" customHeight="1" x14ac:dyDescent="0.5"/>
    <row r="206" ht="27" customHeight="1" x14ac:dyDescent="0.5"/>
    <row r="207" ht="27" customHeight="1" x14ac:dyDescent="0.5"/>
    <row r="208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  <row r="238" ht="27" customHeight="1" x14ac:dyDescent="0.5"/>
    <row r="239" ht="27" customHeight="1" x14ac:dyDescent="0.5"/>
    <row r="240" ht="27" customHeight="1" x14ac:dyDescent="0.5"/>
    <row r="241" ht="27" customHeight="1" x14ac:dyDescent="0.5"/>
    <row r="242" ht="27" customHeight="1" x14ac:dyDescent="0.5"/>
    <row r="243" ht="27" customHeight="1" x14ac:dyDescent="0.5"/>
    <row r="244" ht="27" customHeight="1" x14ac:dyDescent="0.5"/>
    <row r="245" ht="27" customHeight="1" x14ac:dyDescent="0.5"/>
    <row r="246" ht="27" customHeight="1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  <mergeCell ref="A81:C81"/>
    <mergeCell ref="A78:C78"/>
    <mergeCell ref="A97:C97"/>
    <mergeCell ref="A98:C98"/>
    <mergeCell ref="A99:C99"/>
    <mergeCell ref="A100:C100"/>
    <mergeCell ref="A101:C101"/>
    <mergeCell ref="A111:C111"/>
    <mergeCell ref="A112:C112"/>
    <mergeCell ref="A113:C113"/>
    <mergeCell ref="A114:C114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39:C139"/>
    <mergeCell ref="A140:C140"/>
    <mergeCell ref="A141:C141"/>
    <mergeCell ref="A142:C142"/>
    <mergeCell ref="A157:J157"/>
    <mergeCell ref="A133:C133"/>
    <mergeCell ref="A134:C134"/>
    <mergeCell ref="A135:C135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70:B170"/>
    <mergeCell ref="A171:B171"/>
    <mergeCell ref="A172:C172"/>
    <mergeCell ref="A173:B173"/>
    <mergeCell ref="A174:B174"/>
    <mergeCell ref="A163:B163"/>
    <mergeCell ref="A164:B164"/>
    <mergeCell ref="A165:B165"/>
    <mergeCell ref="A168:J168"/>
    <mergeCell ref="A169:B169"/>
    <mergeCell ref="A183:B183"/>
    <mergeCell ref="A184:B184"/>
    <mergeCell ref="A185:B185"/>
    <mergeCell ref="A186:B186"/>
    <mergeCell ref="A187:B187"/>
    <mergeCell ref="A175:B175"/>
    <mergeCell ref="A176:B176"/>
    <mergeCell ref="A177:B177"/>
    <mergeCell ref="A181:B181"/>
    <mergeCell ref="A182:B182"/>
    <mergeCell ref="A179:B179"/>
    <mergeCell ref="A180:B180"/>
    <mergeCell ref="A178:B178"/>
  </mergeCells>
  <pageMargins left="0.22" right="0.17" top="0.14000000000000001" bottom="0.2" header="0.2" footer="0.2"/>
  <pageSetup paperSize="5" scale="1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R267"/>
  <sheetViews>
    <sheetView view="pageBreakPreview" topLeftCell="A100" zoomScale="55" zoomScaleNormal="90" zoomScaleSheetLayoutView="55" workbookViewId="0">
      <selection activeCell="G114" sqref="G11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626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89" t="s">
        <v>115</v>
      </c>
      <c r="B1" s="790"/>
      <c r="C1" s="790"/>
      <c r="D1" s="790"/>
      <c r="E1" s="790"/>
      <c r="F1" s="790"/>
      <c r="G1" s="790"/>
      <c r="H1" s="790"/>
      <c r="I1" s="790"/>
      <c r="J1" s="791"/>
    </row>
    <row r="2" spans="1:15" s="57" customFormat="1" ht="27" x14ac:dyDescent="0.5">
      <c r="A2" s="191" t="s">
        <v>350</v>
      </c>
      <c r="B2" s="266">
        <v>44485</v>
      </c>
      <c r="C2" s="368" t="s">
        <v>67</v>
      </c>
      <c r="D2" s="218">
        <v>0.51</v>
      </c>
      <c r="E2" s="100"/>
      <c r="F2" s="36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98" t="s">
        <v>119</v>
      </c>
      <c r="F3" s="79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92" t="s">
        <v>128</v>
      </c>
      <c r="B6" s="793"/>
      <c r="C6" s="794"/>
      <c r="D6" s="110"/>
      <c r="E6" s="110"/>
      <c r="F6" s="111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'15'!F7</f>
        <v>318970</v>
      </c>
      <c r="F7" s="95">
        <v>340343.71</v>
      </c>
      <c r="G7" s="112">
        <f>F7-E7</f>
        <v>21373.710000000021</v>
      </c>
      <c r="H7" s="99">
        <f>G7+'15'!H7</f>
        <v>373101.30999999994</v>
      </c>
      <c r="I7" s="113">
        <f>'1'!I7</f>
        <v>12000</v>
      </c>
      <c r="J7" s="175">
        <f>H7/DAY(B2)</f>
        <v>23318.831874999996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'15'!F8</f>
        <v>338852</v>
      </c>
      <c r="F8" s="114">
        <v>360496.71</v>
      </c>
      <c r="G8" s="115">
        <f>F8-E8</f>
        <v>21644.710000000021</v>
      </c>
      <c r="H8" s="99">
        <f>G8+'15'!H8</f>
        <v>378779.70999999996</v>
      </c>
      <c r="I8" s="116"/>
      <c r="J8" s="175">
        <f>H8/DAY(B2)</f>
        <v>23673.731874999998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'15'!F9</f>
        <v>1010372</v>
      </c>
      <c r="F9" s="117">
        <v>1027706.9</v>
      </c>
      <c r="G9" s="112">
        <f>F9-E9</f>
        <v>17334.900000000023</v>
      </c>
      <c r="H9" s="99">
        <f>G9+'15'!H9</f>
        <v>296916.90000000002</v>
      </c>
      <c r="I9" s="124">
        <f>I7-J7</f>
        <v>-11318.831874999996</v>
      </c>
      <c r="J9" s="175">
        <f>H9/DAY(B2)</f>
        <v>18557.306250000001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'15'!F10</f>
        <v>61956</v>
      </c>
      <c r="F10" s="117">
        <v>65384.55</v>
      </c>
      <c r="G10" s="112">
        <f t="shared" ref="G10:G12" si="0">F10-E10</f>
        <v>3428.5500000000029</v>
      </c>
      <c r="H10" s="99">
        <f>G10+'15'!H10</f>
        <v>70513.55</v>
      </c>
      <c r="I10" s="286"/>
      <c r="J10" s="175">
        <f>H10/DAY(B2)</f>
        <v>4407.0968750000002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'15'!F11</f>
        <v>37000</v>
      </c>
      <c r="F11" s="95">
        <v>37000</v>
      </c>
      <c r="G11" s="112">
        <f t="shared" si="0"/>
        <v>0</v>
      </c>
      <c r="H11" s="99">
        <f>G11+'15'!H11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'15'!F12</f>
        <v>40010</v>
      </c>
      <c r="F12" s="117">
        <v>40010</v>
      </c>
      <c r="G12" s="112">
        <f t="shared" si="0"/>
        <v>0</v>
      </c>
      <c r="H12" s="99">
        <f>G12+'15'!H12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20763.450000000026</v>
      </c>
      <c r="H13" s="99">
        <f>G13+'15'!H13</f>
        <v>345884.7</v>
      </c>
      <c r="I13" s="120">
        <f>G7-G13</f>
        <v>610.25999999999476</v>
      </c>
      <c r="J13" s="175">
        <f>H13/DAY(B2)</f>
        <v>21617.793750000001</v>
      </c>
      <c r="K13" s="79"/>
      <c r="L13" s="66"/>
      <c r="N13" s="87"/>
      <c r="O13" s="71"/>
    </row>
    <row r="14" spans="1:15" ht="29.25" x14ac:dyDescent="0.5">
      <c r="A14" s="795" t="s">
        <v>137</v>
      </c>
      <c r="B14" s="796"/>
      <c r="C14" s="79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'15'!F15</f>
        <v>1799264</v>
      </c>
      <c r="F15" s="123">
        <v>1800242.8829999999</v>
      </c>
      <c r="G15" s="112">
        <f>(F15-E15)</f>
        <v>978.88299999991432</v>
      </c>
      <c r="H15" s="99">
        <f>G15+'15'!H15</f>
        <v>16034.882999999914</v>
      </c>
      <c r="I15" s="113">
        <f>'1'!I15</f>
        <v>800</v>
      </c>
      <c r="J15" s="175">
        <f>H15/DAY(B2)</f>
        <v>1002.1801874999946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-202.18018749999464</v>
      </c>
      <c r="J16" s="176"/>
      <c r="K16" s="79"/>
      <c r="L16" s="66"/>
      <c r="N16" s="87"/>
      <c r="O16" s="71"/>
    </row>
    <row r="17" spans="1:15" ht="29.25" x14ac:dyDescent="0.5">
      <c r="A17" s="795" t="s">
        <v>140</v>
      </c>
      <c r="B17" s="796"/>
      <c r="C17" s="79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1" t="s">
        <v>141</v>
      </c>
      <c r="B18" s="772"/>
      <c r="C18" s="773"/>
      <c r="D18" s="151" t="s">
        <v>142</v>
      </c>
      <c r="E18" s="95">
        <f>'15'!F18</f>
        <v>22</v>
      </c>
      <c r="F18" s="122">
        <v>22</v>
      </c>
      <c r="G18" s="119">
        <f>F18*10</f>
        <v>220</v>
      </c>
      <c r="H18" s="99">
        <f>G18+'15'!H18</f>
        <v>3110</v>
      </c>
      <c r="I18" s="113">
        <f>'1'!I18</f>
        <v>65</v>
      </c>
      <c r="J18" s="175">
        <f>H18/DAY(B2)</f>
        <v>194.375</v>
      </c>
      <c r="K18" s="79"/>
      <c r="L18" s="66"/>
      <c r="N18" s="87"/>
      <c r="O18" s="71"/>
    </row>
    <row r="19" spans="1:15" ht="27.75" x14ac:dyDescent="0.5">
      <c r="A19" s="771" t="s">
        <v>69</v>
      </c>
      <c r="B19" s="772"/>
      <c r="C19" s="773"/>
      <c r="D19" s="151" t="s">
        <v>142</v>
      </c>
      <c r="E19" s="95">
        <f>'15'!F19</f>
        <v>147984</v>
      </c>
      <c r="F19" s="122">
        <v>148044</v>
      </c>
      <c r="G19" s="112">
        <f t="shared" ref="G19" si="1">F19-E19</f>
        <v>60</v>
      </c>
      <c r="H19" s="99">
        <f>G19+'15'!H19</f>
        <v>932</v>
      </c>
      <c r="I19" s="355"/>
      <c r="J19" s="175">
        <f>H19/DAY(B2)</f>
        <v>58.25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280</v>
      </c>
      <c r="H20" s="99">
        <f>G20+'15'!H20</f>
        <v>4042</v>
      </c>
      <c r="I20" s="356">
        <f>I18-J20</f>
        <v>-187.625</v>
      </c>
      <c r="J20" s="175">
        <f>H20/DAY(B2)</f>
        <v>252.625</v>
      </c>
      <c r="K20" s="79"/>
      <c r="L20" s="66"/>
      <c r="N20" s="87"/>
      <c r="O20" s="71"/>
    </row>
    <row r="21" spans="1:15" ht="29.25" x14ac:dyDescent="0.5">
      <c r="A21" s="795" t="s">
        <v>144</v>
      </c>
      <c r="B21" s="796"/>
      <c r="C21" s="79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'15'!F23</f>
        <v>2000</v>
      </c>
      <c r="F23" s="122">
        <v>2000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4">
      <c r="A25" s="800" t="s">
        <v>149</v>
      </c>
      <c r="B25" s="801"/>
      <c r="C25" s="802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21644.710000000021</v>
      </c>
      <c r="F27" s="136">
        <v>9</v>
      </c>
      <c r="G27" s="137">
        <f>E27*F27</f>
        <v>194802.39000000019</v>
      </c>
      <c r="H27" s="99">
        <f>G27+'15'!H27</f>
        <v>3409017.3899999997</v>
      </c>
      <c r="I27" s="138"/>
      <c r="J27" s="175">
        <f>H27/DAY(B2)</f>
        <v>213063.58687499998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978.88299999991432</v>
      </c>
      <c r="F28" s="136">
        <v>52</v>
      </c>
      <c r="G28" s="137">
        <f>E28*F28</f>
        <v>50901.915999995545</v>
      </c>
      <c r="H28" s="99">
        <f>G28+'15'!H28</f>
        <v>833813.91599999554</v>
      </c>
      <c r="I28" s="140"/>
      <c r="J28" s="175">
        <f>H28/DAY(B2)</f>
        <v>52113.369749999722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G30+'15'!H30</f>
        <v>136072</v>
      </c>
      <c r="I30" s="140"/>
      <c r="J30" s="175">
        <f>H30/DAY(B2)</f>
        <v>8504.5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G31+'15'!H31</f>
        <v>248800</v>
      </c>
      <c r="I31" s="140"/>
      <c r="J31" s="175">
        <f>H31/DAY(B2)</f>
        <v>15550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272064.30599999573</v>
      </c>
      <c r="H32" s="99">
        <f>G32+'15'!H32</f>
        <v>4627703.3059999961</v>
      </c>
      <c r="I32" s="144"/>
      <c r="J32" s="175">
        <f>H32/DAY(B2)</f>
        <v>289231.45662499976</v>
      </c>
      <c r="K32" s="63"/>
      <c r="L32" s="89"/>
      <c r="N32" s="87"/>
      <c r="O32" s="71"/>
    </row>
    <row r="33" spans="1:15" ht="25.5" customHeight="1" x14ac:dyDescent="0.35">
      <c r="A33" s="803" t="s">
        <v>331</v>
      </c>
      <c r="B33" s="804"/>
      <c r="C33" s="804"/>
      <c r="D33" s="357"/>
      <c r="E33" s="357"/>
      <c r="F33" s="623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'15'!F35</f>
        <v>0</v>
      </c>
      <c r="F35" s="117">
        <v>2667.38</v>
      </c>
      <c r="G35" s="112">
        <f t="shared" ref="G35:G46" si="3">F35-E35</f>
        <v>2667.38</v>
      </c>
      <c r="H35" s="99">
        <f>G35+'15'!H35</f>
        <v>2667.38</v>
      </c>
      <c r="I35" s="95"/>
      <c r="J35" s="175">
        <f>H35/DAY(B2)</f>
        <v>166.71125000000001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'15'!F36</f>
        <v>36194</v>
      </c>
      <c r="F36" s="117">
        <v>36960.800000000003</v>
      </c>
      <c r="G36" s="112">
        <f t="shared" si="3"/>
        <v>766.80000000000291</v>
      </c>
      <c r="H36" s="99">
        <f>G36+'15'!H36</f>
        <v>13083.800000000003</v>
      </c>
      <c r="I36" s="95"/>
      <c r="J36" s="175">
        <f>H36/DAY(B2)</f>
        <v>817.73750000000018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'15'!F37</f>
        <v>79911</v>
      </c>
      <c r="F37" s="117">
        <v>81618.67</v>
      </c>
      <c r="G37" s="112">
        <f t="shared" si="3"/>
        <v>1707.6699999999983</v>
      </c>
      <c r="H37" s="99">
        <f>G37+'15'!H37</f>
        <v>27455.67</v>
      </c>
      <c r="I37" s="95"/>
      <c r="J37" s="175">
        <f>H37/DAY(B2)</f>
        <v>1715.9793749999999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'15'!F38</f>
        <v>85817</v>
      </c>
      <c r="F38" s="95">
        <v>87716.88</v>
      </c>
      <c r="G38" s="112">
        <f t="shared" si="3"/>
        <v>1899.8800000000047</v>
      </c>
      <c r="H38" s="99">
        <f>G38+'15'!H38</f>
        <v>30590.880000000005</v>
      </c>
      <c r="I38" s="95"/>
      <c r="J38" s="175">
        <f>H38/DAY(B2)</f>
        <v>1911.9300000000003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'15'!F39</f>
        <v>186410</v>
      </c>
      <c r="F39" s="117">
        <v>190536.13</v>
      </c>
      <c r="G39" s="112">
        <f t="shared" si="3"/>
        <v>4126.1300000000047</v>
      </c>
      <c r="H39" s="99">
        <f>G39+'15'!H39</f>
        <v>67645.13</v>
      </c>
      <c r="I39" s="95"/>
      <c r="J39" s="175">
        <f>H39/DAY(B2)</f>
        <v>4227.8206250000003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'15'!F40</f>
        <v>7</v>
      </c>
      <c r="F40" s="117">
        <v>7.53</v>
      </c>
      <c r="G40" s="112">
        <f t="shared" si="3"/>
        <v>0.53000000000000025</v>
      </c>
      <c r="H40" s="99">
        <f>G40+'15'!H40</f>
        <v>8.8300000000000018</v>
      </c>
      <c r="I40" s="95"/>
      <c r="J40" s="175">
        <f>H40/DAY(B2)</f>
        <v>0.55187500000000012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'15'!F41</f>
        <v>544281</v>
      </c>
      <c r="F41" s="117">
        <v>549295.18999999994</v>
      </c>
      <c r="G41" s="112">
        <f t="shared" si="3"/>
        <v>5014.1899999999441</v>
      </c>
      <c r="H41" s="99">
        <f>G41+'15'!H41</f>
        <v>60075.599999999919</v>
      </c>
      <c r="I41" s="95"/>
      <c r="J41" s="175">
        <f>H41/DAY(B2)</f>
        <v>3754.7249999999949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'15'!F42</f>
        <v>267164</v>
      </c>
      <c r="F42" s="117">
        <v>267163.51</v>
      </c>
      <c r="G42" s="112">
        <f t="shared" si="3"/>
        <v>-0.48999999999068677</v>
      </c>
      <c r="H42" s="99">
        <f>G42+'15'!H42</f>
        <v>22980.510000000009</v>
      </c>
      <c r="I42" s="95"/>
      <c r="J42" s="175">
        <f>H42/DAY(B2)</f>
        <v>1436.2818750000006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'15'!F43</f>
        <v>1401800</v>
      </c>
      <c r="F43" s="117">
        <v>1404218.5</v>
      </c>
      <c r="G43" s="112">
        <f t="shared" si="3"/>
        <v>2418.5</v>
      </c>
      <c r="H43" s="99">
        <f>G43+'15'!H43</f>
        <v>40260.5</v>
      </c>
      <c r="I43" s="95"/>
      <c r="J43" s="175">
        <f>H43/DAY(B2)</f>
        <v>2516.28125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18600.589999999967</v>
      </c>
      <c r="H47" s="99">
        <f>G47+'15'!H47</f>
        <v>264768.29999999993</v>
      </c>
      <c r="I47" s="95"/>
      <c r="J47" s="175">
        <f>H47/DAY(B2)</f>
        <v>16548.018749999996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'15'!F49</f>
        <v>148856</v>
      </c>
      <c r="F49" s="117">
        <v>150475.76</v>
      </c>
      <c r="G49" s="112">
        <f t="shared" ref="G49:G58" si="4">F49-E49</f>
        <v>1619.7600000000093</v>
      </c>
      <c r="H49" s="99">
        <f>G49+'15'!H49</f>
        <v>59279.380000000005</v>
      </c>
      <c r="I49" s="95"/>
      <c r="J49" s="175">
        <f>H49/DAY(B2)</f>
        <v>3704.9612500000003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'15'!F50</f>
        <v>661785</v>
      </c>
      <c r="F50" s="117">
        <v>662900.23</v>
      </c>
      <c r="G50" s="112">
        <f t="shared" si="4"/>
        <v>1115.2299999999814</v>
      </c>
      <c r="H50" s="99">
        <f>G50+'15'!H50</f>
        <v>19410.229999999981</v>
      </c>
      <c r="I50" s="95"/>
      <c r="J50" s="175">
        <f>H50/DAY(B2)</f>
        <v>1213.1393749999988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'15'!F51</f>
        <v>0</v>
      </c>
      <c r="F51" s="117">
        <v>0</v>
      </c>
      <c r="G51" s="112">
        <f t="shared" si="4"/>
        <v>0</v>
      </c>
      <c r="H51" s="99">
        <f>G51+'15'!H51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'15'!F52</f>
        <v>0</v>
      </c>
      <c r="F52" s="117">
        <v>0</v>
      </c>
      <c r="G52" s="112">
        <f t="shared" si="4"/>
        <v>0</v>
      </c>
      <c r="H52" s="99">
        <f>G52+'15'!H52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'15'!F53</f>
        <v>0</v>
      </c>
      <c r="F53" s="622">
        <v>0</v>
      </c>
      <c r="G53" s="236">
        <f t="shared" si="4"/>
        <v>0</v>
      </c>
      <c r="H53" s="99">
        <f>G53+'15'!H53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'15'!F54</f>
        <v>2793</v>
      </c>
      <c r="F54" s="622">
        <v>2798</v>
      </c>
      <c r="G54" s="236">
        <f t="shared" si="4"/>
        <v>5</v>
      </c>
      <c r="H54" s="99">
        <f>G54+'15'!H54</f>
        <v>66</v>
      </c>
      <c r="I54" s="95"/>
      <c r="J54" s="175">
        <f>H54/DAY(B2)</f>
        <v>4.125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'15'!F55</f>
        <v>307299</v>
      </c>
      <c r="F55" s="622">
        <v>307298.46999999997</v>
      </c>
      <c r="G55" s="236">
        <f t="shared" si="4"/>
        <v>-0.53000000002793968</v>
      </c>
      <c r="H55" s="99">
        <f>G55+'15'!H55</f>
        <v>-0.53000000002793968</v>
      </c>
      <c r="I55" s="95"/>
      <c r="J55" s="175">
        <f>H55/DAY(B2)</f>
        <v>-3.312500000174623E-2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'15'!F56</f>
        <v>773445</v>
      </c>
      <c r="F56" s="117">
        <v>774281.35</v>
      </c>
      <c r="G56" s="112">
        <f t="shared" si="4"/>
        <v>836.34999999997672</v>
      </c>
      <c r="H56" s="99">
        <f>G56+'15'!H56</f>
        <v>32511.349999999977</v>
      </c>
      <c r="I56" s="95"/>
      <c r="J56" s="175">
        <f>H56/DAY(B2)</f>
        <v>2031.9593749999985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'15'!F57</f>
        <v>0</v>
      </c>
      <c r="F57" s="117">
        <v>0</v>
      </c>
      <c r="G57" s="112">
        <f t="shared" si="4"/>
        <v>0</v>
      </c>
      <c r="H57" s="99">
        <f>G57+'15'!H57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'15'!F58</f>
        <v>75478</v>
      </c>
      <c r="F58" s="117">
        <v>75694.259999999995</v>
      </c>
      <c r="G58" s="112">
        <f t="shared" si="4"/>
        <v>216.25999999999476</v>
      </c>
      <c r="H58" s="99">
        <f>G58+'15'!H58</f>
        <v>3539.2599999999948</v>
      </c>
      <c r="I58" s="95"/>
      <c r="J58" s="175">
        <f>H58/DAY(B2)</f>
        <v>221.20374999999967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3792.0699999999342</v>
      </c>
      <c r="H59" s="99">
        <f>G59+'15'!H59</f>
        <v>114805.68999999993</v>
      </c>
      <c r="I59" s="95">
        <f>G7-G60</f>
        <v>-1018.9499999998807</v>
      </c>
      <c r="J59" s="175">
        <f>H59/DAY(B2)</f>
        <v>7175.3556249999956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51"/>
      <c r="G60" s="119">
        <f>G47+G59</f>
        <v>22392.659999999902</v>
      </c>
      <c r="H60" s="99">
        <f>G60+'15'!H60</f>
        <v>379573.98999999987</v>
      </c>
      <c r="I60" s="95">
        <f>G13-G60</f>
        <v>-1629.2099999998754</v>
      </c>
      <c r="J60" s="175">
        <f>H60/DAY(B2)</f>
        <v>23723.374374999992</v>
      </c>
      <c r="K60" s="79"/>
      <c r="L60" s="66"/>
      <c r="N60" s="87"/>
      <c r="O60" s="71"/>
    </row>
    <row r="61" spans="1:15" s="68" customFormat="1" ht="27.75" x14ac:dyDescent="0.5">
      <c r="A61" s="805" t="s">
        <v>332</v>
      </c>
      <c r="B61" s="806"/>
      <c r="C61" s="807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1" t="s">
        <v>198</v>
      </c>
      <c r="B62" s="772"/>
      <c r="C62" s="773"/>
      <c r="D62" s="151" t="s">
        <v>142</v>
      </c>
      <c r="E62" s="95">
        <f>'15'!F62</f>
        <v>257969</v>
      </c>
      <c r="F62" s="122">
        <v>258085</v>
      </c>
      <c r="G62" s="112">
        <f t="shared" ref="G62:G63" si="5">F62-E62</f>
        <v>116</v>
      </c>
      <c r="H62" s="99">
        <f>G62+'15'!H62</f>
        <v>1732</v>
      </c>
      <c r="I62" s="118"/>
      <c r="J62" s="175">
        <f>H62/DAY(B2)</f>
        <v>108.25</v>
      </c>
      <c r="K62" s="80"/>
      <c r="L62" s="66"/>
      <c r="N62" s="87"/>
      <c r="O62" s="71"/>
    </row>
    <row r="63" spans="1:15" ht="27.75" x14ac:dyDescent="0.5">
      <c r="A63" s="771" t="s">
        <v>199</v>
      </c>
      <c r="B63" s="772"/>
      <c r="C63" s="773"/>
      <c r="D63" s="151" t="s">
        <v>142</v>
      </c>
      <c r="E63" s="95">
        <f>'15'!F63</f>
        <v>204536</v>
      </c>
      <c r="F63" s="122">
        <v>204670</v>
      </c>
      <c r="G63" s="112">
        <f t="shared" si="5"/>
        <v>134</v>
      </c>
      <c r="H63" s="99">
        <f>G63+'15'!H63</f>
        <v>2144</v>
      </c>
      <c r="I63" s="118"/>
      <c r="J63" s="175">
        <f>H63/DAY(B2)</f>
        <v>134</v>
      </c>
      <c r="K63" s="69"/>
      <c r="L63" s="66"/>
      <c r="N63" s="87"/>
      <c r="O63" s="71"/>
    </row>
    <row r="64" spans="1:15" ht="29.25" x14ac:dyDescent="0.5">
      <c r="A64" s="780" t="s">
        <v>200</v>
      </c>
      <c r="B64" s="781"/>
      <c r="C64" s="782"/>
      <c r="D64" s="151"/>
      <c r="E64" s="95">
        <v>0</v>
      </c>
      <c r="F64" s="122"/>
      <c r="G64" s="112">
        <f>G62+G63</f>
        <v>250</v>
      </c>
      <c r="H64" s="99">
        <f>G64+'15'!H64</f>
        <v>3876</v>
      </c>
      <c r="I64" s="118"/>
      <c r="J64" s="175">
        <f>H64/DAY(B2)</f>
        <v>242.25</v>
      </c>
      <c r="K64" s="69"/>
      <c r="L64" s="66"/>
      <c r="N64" s="87"/>
      <c r="O64" s="71"/>
    </row>
    <row r="65" spans="1:15" ht="27.75" x14ac:dyDescent="0.5">
      <c r="A65" s="771" t="s">
        <v>201</v>
      </c>
      <c r="B65" s="772"/>
      <c r="C65" s="773"/>
      <c r="D65" s="151" t="s">
        <v>142</v>
      </c>
      <c r="E65" s="95">
        <f>'15'!F65</f>
        <v>424662</v>
      </c>
      <c r="F65" s="122">
        <v>424751</v>
      </c>
      <c r="G65" s="112">
        <f t="shared" ref="G65:G70" si="6">F65-E65</f>
        <v>89</v>
      </c>
      <c r="H65" s="99">
        <f>G65+'15'!H65</f>
        <v>1462</v>
      </c>
      <c r="I65" s="118"/>
      <c r="J65" s="175">
        <f>H65/DAY(B2)</f>
        <v>91.375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'15'!F66</f>
        <v>105643</v>
      </c>
      <c r="F66" s="122">
        <v>105663</v>
      </c>
      <c r="G66" s="112">
        <f t="shared" si="6"/>
        <v>20</v>
      </c>
      <c r="H66" s="99">
        <f>G66+'15'!H66</f>
        <v>349</v>
      </c>
      <c r="I66" s="118"/>
      <c r="J66" s="175">
        <f>H66/DAY(B2)</f>
        <v>21.8125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'15'!F67</f>
        <v>101695</v>
      </c>
      <c r="F67" s="122">
        <v>101731</v>
      </c>
      <c r="G67" s="112">
        <f t="shared" si="6"/>
        <v>36</v>
      </c>
      <c r="H67" s="99">
        <f>G67+'15'!H67</f>
        <v>447</v>
      </c>
      <c r="I67" s="118"/>
      <c r="J67" s="175">
        <f>H67/DAY(B2)</f>
        <v>27.9375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'15'!F68</f>
        <v>153771</v>
      </c>
      <c r="F68" s="122">
        <v>153822</v>
      </c>
      <c r="G68" s="112">
        <f t="shared" si="6"/>
        <v>51</v>
      </c>
      <c r="H68" s="99">
        <f>G68+'15'!H68</f>
        <v>709</v>
      </c>
      <c r="I68" s="118"/>
      <c r="J68" s="175">
        <f>H68/DAY(B2)</f>
        <v>44.3125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'15'!F69</f>
        <v>9244</v>
      </c>
      <c r="F69" s="122">
        <v>9252</v>
      </c>
      <c r="G69" s="112">
        <f t="shared" si="6"/>
        <v>8</v>
      </c>
      <c r="H69" s="99">
        <f>G69+'15'!H69</f>
        <v>195</v>
      </c>
      <c r="I69" s="118"/>
      <c r="J69" s="175">
        <f>H69/DAY(B2)</f>
        <v>12.1875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'15'!F70</f>
        <v>6969</v>
      </c>
      <c r="F70" s="122">
        <v>6985</v>
      </c>
      <c r="G70" s="112">
        <f t="shared" si="6"/>
        <v>16</v>
      </c>
      <c r="H70" s="99">
        <f>G70+'15'!H70</f>
        <v>181</v>
      </c>
      <c r="I70" s="118"/>
      <c r="J70" s="175">
        <f>H70/DAY(B2)</f>
        <v>11.3125</v>
      </c>
      <c r="K70" s="69"/>
      <c r="L70" s="66"/>
      <c r="N70" s="87"/>
      <c r="O70" s="71"/>
    </row>
    <row r="71" spans="1:15" ht="29.25" x14ac:dyDescent="0.5">
      <c r="A71" s="780" t="s">
        <v>208</v>
      </c>
      <c r="B71" s="781"/>
      <c r="C71" s="782"/>
      <c r="D71" s="152"/>
      <c r="E71" s="152"/>
      <c r="F71" s="152"/>
      <c r="G71" s="153">
        <f>SUM(G65:G70)</f>
        <v>220</v>
      </c>
      <c r="H71" s="99">
        <f>G71+'15'!H71</f>
        <v>3343</v>
      </c>
      <c r="I71" s="154"/>
      <c r="J71" s="175">
        <f>H71/DAY(B2)</f>
        <v>208.9375</v>
      </c>
      <c r="K71" s="69"/>
      <c r="L71" s="66"/>
      <c r="N71" s="87"/>
      <c r="O71" s="71"/>
    </row>
    <row r="72" spans="1:15" s="88" customFormat="1" ht="27.75" x14ac:dyDescent="0.5">
      <c r="A72" s="767"/>
      <c r="B72" s="752"/>
      <c r="C72" s="367"/>
      <c r="D72" s="180"/>
      <c r="E72" s="180" t="s">
        <v>207</v>
      </c>
      <c r="F72" s="624"/>
      <c r="G72" s="180"/>
      <c r="H72" s="181"/>
      <c r="I72" s="180"/>
      <c r="J72" s="182"/>
      <c r="N72" s="87"/>
      <c r="O72" s="71"/>
    </row>
    <row r="73" spans="1:15" ht="29.25" x14ac:dyDescent="0.5">
      <c r="A73" s="777" t="s">
        <v>333</v>
      </c>
      <c r="B73" s="778"/>
      <c r="C73" s="779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1" t="s">
        <v>220</v>
      </c>
      <c r="B74" s="772"/>
      <c r="C74" s="773"/>
      <c r="D74" s="151" t="s">
        <v>139</v>
      </c>
      <c r="E74" s="95">
        <f>'15'!F74</f>
        <v>868880</v>
      </c>
      <c r="F74" s="117">
        <v>869170.61</v>
      </c>
      <c r="G74" s="112">
        <f t="shared" ref="G74:G78" si="7">F74-E74</f>
        <v>290.60999999998603</v>
      </c>
      <c r="H74" s="99">
        <f>G74+'15'!H74</f>
        <v>4662.609999999986</v>
      </c>
      <c r="I74" s="154"/>
      <c r="J74" s="175">
        <f>H74/DAY(B2)</f>
        <v>291.41312499999913</v>
      </c>
      <c r="K74" s="69"/>
      <c r="L74" s="66"/>
      <c r="N74" s="87"/>
      <c r="O74" s="71"/>
    </row>
    <row r="75" spans="1:15" ht="27.75" x14ac:dyDescent="0.5">
      <c r="A75" s="771" t="s">
        <v>221</v>
      </c>
      <c r="B75" s="772"/>
      <c r="C75" s="773"/>
      <c r="D75" s="151" t="s">
        <v>139</v>
      </c>
      <c r="E75" s="95">
        <f>'15'!F75</f>
        <v>73583.399999999994</v>
      </c>
      <c r="F75" s="123">
        <v>73583.399999999994</v>
      </c>
      <c r="G75" s="112">
        <f t="shared" si="7"/>
        <v>0</v>
      </c>
      <c r="H75" s="99">
        <f>G75+'15'!H75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68" t="s">
        <v>222</v>
      </c>
      <c r="B76" s="769"/>
      <c r="C76" s="770"/>
      <c r="D76" s="151" t="s">
        <v>139</v>
      </c>
      <c r="E76" s="95">
        <f>'15'!F76</f>
        <v>158367</v>
      </c>
      <c r="F76" s="123">
        <v>158486.17800000001</v>
      </c>
      <c r="G76" s="112">
        <f t="shared" si="7"/>
        <v>119.17800000001444</v>
      </c>
      <c r="H76" s="99">
        <f>G76+'15'!H76</f>
        <v>1674.1780000000144</v>
      </c>
      <c r="I76" s="154"/>
      <c r="J76" s="175">
        <f>H76/DAY(B2)</f>
        <v>104.6361250000009</v>
      </c>
      <c r="K76" s="69"/>
      <c r="L76" s="66"/>
      <c r="N76" s="87"/>
      <c r="O76" s="71"/>
    </row>
    <row r="77" spans="1:15" ht="27.75" x14ac:dyDescent="0.5">
      <c r="A77" s="768" t="s">
        <v>223</v>
      </c>
      <c r="B77" s="769"/>
      <c r="C77" s="770"/>
      <c r="D77" s="151" t="s">
        <v>139</v>
      </c>
      <c r="E77" s="95">
        <f>'15'!F77</f>
        <v>36753</v>
      </c>
      <c r="F77" s="123">
        <v>36804.15</v>
      </c>
      <c r="G77" s="112">
        <f t="shared" si="7"/>
        <v>51.150000000001455</v>
      </c>
      <c r="H77" s="99">
        <f>G77+'15'!H77</f>
        <v>800.15000000000146</v>
      </c>
      <c r="I77" s="154"/>
      <c r="J77" s="175">
        <f>H77/DAY(B2)</f>
        <v>50.009375000000091</v>
      </c>
      <c r="K77" s="69"/>
      <c r="L77" s="66"/>
      <c r="N77" s="87"/>
      <c r="O77" s="71"/>
    </row>
    <row r="78" spans="1:15" ht="27.75" x14ac:dyDescent="0.5">
      <c r="A78" s="768" t="s">
        <v>224</v>
      </c>
      <c r="B78" s="769"/>
      <c r="C78" s="770"/>
      <c r="D78" s="151" t="s">
        <v>139</v>
      </c>
      <c r="E78" s="95">
        <f>'15'!F78</f>
        <v>9287</v>
      </c>
      <c r="F78" s="123">
        <v>9290.6</v>
      </c>
      <c r="G78" s="112">
        <f t="shared" si="7"/>
        <v>3.6000000000003638</v>
      </c>
      <c r="H78" s="99">
        <f>G78+'15'!H78</f>
        <v>42.600000000000364</v>
      </c>
      <c r="I78" s="118"/>
      <c r="J78" s="175">
        <f>H78/DAY(B2)</f>
        <v>2.6625000000000227</v>
      </c>
      <c r="K78" s="69"/>
      <c r="L78" s="66"/>
      <c r="N78" s="87"/>
      <c r="O78" s="71"/>
    </row>
    <row r="79" spans="1:15" s="57" customFormat="1" ht="27.75" x14ac:dyDescent="0.5">
      <c r="A79" s="768" t="s">
        <v>225</v>
      </c>
      <c r="B79" s="769"/>
      <c r="C79" s="770"/>
      <c r="D79" s="151"/>
      <c r="E79" s="95">
        <f>'15'!F79</f>
        <v>0</v>
      </c>
      <c r="F79" s="123"/>
      <c r="G79" s="112">
        <f>G15-SUM(G74:G78)</f>
        <v>514.34499999991203</v>
      </c>
      <c r="H79" s="99">
        <f>G79+'15'!H79</f>
        <v>8855.344999999912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0" t="s">
        <v>329</v>
      </c>
      <c r="B80" s="781"/>
      <c r="C80" s="782"/>
      <c r="D80" s="151"/>
      <c r="E80" s="117"/>
      <c r="F80" s="117"/>
      <c r="G80" s="112">
        <f>SUM(G74:G79)</f>
        <v>978.88299999991432</v>
      </c>
      <c r="H80" s="99">
        <f>G80+'15'!H80</f>
        <v>978.88299999991432</v>
      </c>
      <c r="I80" s="118"/>
      <c r="J80" s="175"/>
      <c r="K80" s="59"/>
      <c r="L80" s="58"/>
      <c r="N80" s="87"/>
      <c r="O80" s="71"/>
    </row>
    <row r="81" spans="1:15" ht="27" x14ac:dyDescent="0.4">
      <c r="A81" s="785" t="s">
        <v>226</v>
      </c>
      <c r="B81" s="786"/>
      <c r="C81" s="787"/>
      <c r="D81" s="110"/>
      <c r="E81" s="110"/>
      <c r="F81" s="111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'15'!F82</f>
        <v>0</v>
      </c>
      <c r="F82" s="122"/>
      <c r="G82" s="112">
        <f t="shared" ref="G82:G92" si="8">F82-E82</f>
        <v>0</v>
      </c>
      <c r="H82" s="99">
        <f>G82+'15'!H82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'15'!F83</f>
        <v>0</v>
      </c>
      <c r="F83" s="122"/>
      <c r="G83" s="112">
        <f t="shared" si="8"/>
        <v>0</v>
      </c>
      <c r="H83" s="99">
        <f>G83+'15'!H83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'15'!F84</f>
        <v>41408</v>
      </c>
      <c r="F84" s="164">
        <v>41432.269999999997</v>
      </c>
      <c r="G84" s="112">
        <f t="shared" si="8"/>
        <v>24.269999999996799</v>
      </c>
      <c r="H84" s="99">
        <f>G84+'15'!H84</f>
        <v>270.2699999999968</v>
      </c>
      <c r="I84" s="118"/>
      <c r="J84" s="175">
        <f>H84/DAY(B2)</f>
        <v>16.8918749999998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'15'!F85</f>
        <v>1286</v>
      </c>
      <c r="F85" s="164">
        <v>1286.5899999999999</v>
      </c>
      <c r="G85" s="112">
        <f t="shared" si="8"/>
        <v>0.58999999999991815</v>
      </c>
      <c r="H85" s="99">
        <f>G85+'15'!H85</f>
        <v>107.58999999999992</v>
      </c>
      <c r="I85" s="118">
        <f>G82+G83+G84+G85</f>
        <v>24.859999999996717</v>
      </c>
      <c r="J85" s="175">
        <f>H85/DAY(B2)</f>
        <v>6.7243749999999949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'15'!F86</f>
        <v>42826.47</v>
      </c>
      <c r="F86" s="164">
        <v>42826.47</v>
      </c>
      <c r="G86" s="112">
        <f t="shared" si="8"/>
        <v>0</v>
      </c>
      <c r="H86" s="99">
        <f>G86+'15'!H86</f>
        <v>0.47000000000116415</v>
      </c>
      <c r="I86" s="118"/>
      <c r="J86" s="175">
        <f>H86/DAY(B2)</f>
        <v>2.937500000007276E-2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'15'!F87</f>
        <v>33458</v>
      </c>
      <c r="F87" s="164">
        <v>33463.230000000003</v>
      </c>
      <c r="G87" s="112">
        <f t="shared" si="8"/>
        <v>5.2300000000032014</v>
      </c>
      <c r="H87" s="99">
        <f>G87+'15'!H87</f>
        <v>149.2300000000032</v>
      </c>
      <c r="I87" s="118"/>
      <c r="J87" s="175">
        <f>H87/DAY(B2)</f>
        <v>9.3268750000002001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'15'!F88</f>
        <v>23683.19</v>
      </c>
      <c r="F88" s="164">
        <v>23692.85</v>
      </c>
      <c r="G88" s="112">
        <f t="shared" si="8"/>
        <v>9.6599999999998545</v>
      </c>
      <c r="H88" s="99">
        <f>G88+'15'!H88</f>
        <v>101.87999999999738</v>
      </c>
      <c r="I88" s="118">
        <f>G86+G87+G88</f>
        <v>14.890000000003056</v>
      </c>
      <c r="J88" s="175">
        <f>H88/DAY(B2)</f>
        <v>6.3674999999998363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'15'!F89</f>
        <v>25242.12</v>
      </c>
      <c r="F89" s="164">
        <v>25242.12</v>
      </c>
      <c r="G89" s="112">
        <f t="shared" si="8"/>
        <v>0</v>
      </c>
      <c r="H89" s="99">
        <f>G89+'15'!H89</f>
        <v>54.75</v>
      </c>
      <c r="I89" s="118"/>
      <c r="J89" s="175">
        <f>H89/DAY(B2)</f>
        <v>3.421875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'15'!F90</f>
        <v>70583.199999999997</v>
      </c>
      <c r="F90" s="164">
        <v>70585.7</v>
      </c>
      <c r="G90" s="112">
        <f t="shared" si="8"/>
        <v>2.5</v>
      </c>
      <c r="H90" s="99">
        <f>G90+'15'!H90</f>
        <v>52.720000000001164</v>
      </c>
      <c r="I90" s="118">
        <f>G89+G90</f>
        <v>2.5</v>
      </c>
      <c r="J90" s="175">
        <f>H90/DAY(B2)</f>
        <v>3.2950000000000728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'15'!F91</f>
        <v>3087.59</v>
      </c>
      <c r="F91" s="122">
        <v>3098.26</v>
      </c>
      <c r="G91" s="112">
        <f t="shared" si="8"/>
        <v>10.670000000000073</v>
      </c>
      <c r="H91" s="99">
        <f>G91+'15'!H91</f>
        <v>172.39000000000033</v>
      </c>
      <c r="I91" s="165"/>
      <c r="J91" s="175">
        <f>H91/DAY(B2)</f>
        <v>10.77437500000002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'15'!F92</f>
        <v>4758.6000000000004</v>
      </c>
      <c r="F92" s="122">
        <v>4758.46</v>
      </c>
      <c r="G92" s="112">
        <f t="shared" si="8"/>
        <v>-0.14000000000032742</v>
      </c>
      <c r="H92" s="99">
        <f>G92+'15'!H92</f>
        <v>0.46000000000003638</v>
      </c>
      <c r="I92" s="165"/>
      <c r="J92" s="175">
        <f>H92/DAY(B2)</f>
        <v>2.8750000000002274E-2</v>
      </c>
      <c r="O92" s="71"/>
    </row>
    <row r="93" spans="1:15" ht="29.25" x14ac:dyDescent="0.5">
      <c r="A93" s="774" t="s">
        <v>239</v>
      </c>
      <c r="B93" s="775"/>
      <c r="C93" s="77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1" t="s">
        <v>240</v>
      </c>
      <c r="B94" s="772"/>
      <c r="C94" s="773"/>
      <c r="D94" s="151" t="s">
        <v>130</v>
      </c>
      <c r="E94" s="151"/>
      <c r="F94" s="151"/>
      <c r="G94" s="99">
        <f>G35+G43+G49+G57</f>
        <v>6705.6400000000094</v>
      </c>
      <c r="H94" s="99">
        <f>G94+'15'!H94</f>
        <v>102207.26000000001</v>
      </c>
      <c r="I94" s="118"/>
      <c r="J94" s="175">
        <f>H94/DAY(B2)</f>
        <v>6387.9537500000006</v>
      </c>
      <c r="K94" s="69"/>
      <c r="L94" s="66"/>
      <c r="O94" s="71"/>
    </row>
    <row r="95" spans="1:15" ht="27.75" x14ac:dyDescent="0.5">
      <c r="A95" s="771" t="s">
        <v>241</v>
      </c>
      <c r="B95" s="772"/>
      <c r="C95" s="773"/>
      <c r="D95" s="151" t="s">
        <v>23</v>
      </c>
      <c r="E95" s="146"/>
      <c r="F95" s="151"/>
      <c r="G95" s="166">
        <f>G94/G7</f>
        <v>0.31373308611373518</v>
      </c>
      <c r="H95" s="99">
        <f>G95+'15'!H95</f>
        <v>4.391371631515077</v>
      </c>
      <c r="I95" s="167"/>
      <c r="J95" s="175">
        <f>H95/DAY(B2)</f>
        <v>0.27446072696969231</v>
      </c>
      <c r="K95" s="69"/>
      <c r="L95" s="66"/>
      <c r="O95" s="71"/>
    </row>
    <row r="96" spans="1:15" ht="27.75" x14ac:dyDescent="0.5">
      <c r="A96" s="771" t="s">
        <v>242</v>
      </c>
      <c r="B96" s="772"/>
      <c r="C96" s="773"/>
      <c r="D96" s="151" t="s">
        <v>130</v>
      </c>
      <c r="E96" s="95"/>
      <c r="F96" s="95"/>
      <c r="G96" s="99">
        <f>G41+G42+G55+G56</f>
        <v>5849.5199999999022</v>
      </c>
      <c r="H96" s="99">
        <f>G96+'15'!H96</f>
        <v>115566.92999999988</v>
      </c>
      <c r="I96" s="118"/>
      <c r="J96" s="175">
        <f>H96/DAY(B2)</f>
        <v>7222.9331249999923</v>
      </c>
      <c r="K96" s="69"/>
      <c r="L96" s="66"/>
      <c r="O96" s="71"/>
    </row>
    <row r="97" spans="1:15" ht="27.75" x14ac:dyDescent="0.5">
      <c r="A97" s="771" t="s">
        <v>243</v>
      </c>
      <c r="B97" s="772"/>
      <c r="C97" s="773"/>
      <c r="D97" s="151" t="s">
        <v>23</v>
      </c>
      <c r="E97" s="95"/>
      <c r="F97" s="95"/>
      <c r="G97" s="166">
        <f>G96/G7</f>
        <v>0.27367827110969017</v>
      </c>
      <c r="H97" s="99">
        <f>G97+'15'!H97</f>
        <v>4.9477365553224431</v>
      </c>
      <c r="I97" s="167"/>
      <c r="J97" s="175">
        <f>H97/DAY(B2)</f>
        <v>0.30923353470765269</v>
      </c>
      <c r="K97" s="69"/>
      <c r="L97" s="66"/>
      <c r="O97" s="71"/>
    </row>
    <row r="98" spans="1:15" ht="27.75" x14ac:dyDescent="0.5">
      <c r="A98" s="771" t="s">
        <v>244</v>
      </c>
      <c r="B98" s="772"/>
      <c r="C98" s="773"/>
      <c r="D98" s="151" t="s">
        <v>130</v>
      </c>
      <c r="E98" s="95"/>
      <c r="F98" s="95"/>
      <c r="G98" s="99">
        <f>G39+G53</f>
        <v>4126.1300000000047</v>
      </c>
      <c r="H98" s="99">
        <f>G98+'15'!H98</f>
        <v>67645.13</v>
      </c>
      <c r="I98" s="168"/>
      <c r="J98" s="175">
        <f>H98/DAY(B2)</f>
        <v>4227.8206250000003</v>
      </c>
      <c r="K98" s="69"/>
      <c r="L98" s="66"/>
      <c r="O98" s="71"/>
    </row>
    <row r="99" spans="1:15" ht="27.75" x14ac:dyDescent="0.5">
      <c r="A99" s="771" t="s">
        <v>245</v>
      </c>
      <c r="B99" s="772"/>
      <c r="C99" s="773"/>
      <c r="D99" s="151" t="s">
        <v>23</v>
      </c>
      <c r="E99" s="95"/>
      <c r="F99" s="95"/>
      <c r="G99" s="166">
        <f>G98/G7</f>
        <v>0.19304697219153813</v>
      </c>
      <c r="H99" s="99">
        <f>G99+'15'!H99</f>
        <v>2.903806626124402</v>
      </c>
      <c r="I99" s="168"/>
      <c r="J99" s="175">
        <f>H99/DAY(B2)</f>
        <v>0.18148791413277512</v>
      </c>
      <c r="O99" s="71"/>
    </row>
    <row r="100" spans="1:15" ht="27.75" x14ac:dyDescent="0.5">
      <c r="A100" s="771" t="s">
        <v>246</v>
      </c>
      <c r="B100" s="772"/>
      <c r="C100" s="773"/>
      <c r="D100" s="151" t="s">
        <v>180</v>
      </c>
      <c r="E100" s="95"/>
      <c r="F100" s="95"/>
      <c r="G100" s="99">
        <f>G38+G52</f>
        <v>1899.8800000000047</v>
      </c>
      <c r="H100" s="99">
        <f>G100+'15'!H100</f>
        <v>30590.880000000005</v>
      </c>
      <c r="I100" s="118"/>
      <c r="J100" s="175">
        <f>H100/DAY(B2)</f>
        <v>1911.9300000000003</v>
      </c>
      <c r="K100" s="70"/>
      <c r="O100" s="71"/>
    </row>
    <row r="101" spans="1:15" ht="27.75" x14ac:dyDescent="0.5">
      <c r="A101" s="771" t="s">
        <v>247</v>
      </c>
      <c r="B101" s="772"/>
      <c r="C101" s="773"/>
      <c r="D101" s="151" t="s">
        <v>23</v>
      </c>
      <c r="E101" s="95"/>
      <c r="F101" s="95"/>
      <c r="G101" s="166">
        <f>G100/G7</f>
        <v>8.8888639361159233E-2</v>
      </c>
      <c r="H101" s="99">
        <f>G101+'15'!H101</f>
        <v>1.3134505680775739</v>
      </c>
      <c r="I101" s="168"/>
      <c r="J101" s="175">
        <f>H101/DAY(B2)</f>
        <v>8.2090660504848367E-2</v>
      </c>
      <c r="O101" s="71"/>
    </row>
    <row r="102" spans="1:15" ht="27.75" x14ac:dyDescent="0.5">
      <c r="A102" s="771" t="s">
        <v>248</v>
      </c>
      <c r="B102" s="772"/>
      <c r="C102" s="773"/>
      <c r="D102" s="151" t="s">
        <v>180</v>
      </c>
      <c r="E102" s="95"/>
      <c r="F102" s="95"/>
      <c r="G102" s="99">
        <f>G36+G50</f>
        <v>1882.0299999999843</v>
      </c>
      <c r="H102" s="99">
        <f>G102+'15'!H102</f>
        <v>32494.029999999984</v>
      </c>
      <c r="I102" s="168"/>
      <c r="J102" s="175">
        <f>H102/DAY(B2)</f>
        <v>2030.876874999999</v>
      </c>
      <c r="O102" s="71"/>
    </row>
    <row r="103" spans="1:15" ht="27.75" x14ac:dyDescent="0.5">
      <c r="A103" s="771" t="s">
        <v>249</v>
      </c>
      <c r="B103" s="772"/>
      <c r="C103" s="773"/>
      <c r="D103" s="151" t="s">
        <v>23</v>
      </c>
      <c r="E103" s="95"/>
      <c r="F103" s="95"/>
      <c r="G103" s="166">
        <f>G102/G7</f>
        <v>8.8053501240541884E-2</v>
      </c>
      <c r="H103" s="99">
        <f>G103+'15'!H103</f>
        <v>1.3922718645974204</v>
      </c>
      <c r="I103" s="118"/>
      <c r="J103" s="175">
        <f>H103/DAY(B2)</f>
        <v>8.7016991537338773E-2</v>
      </c>
      <c r="O103" s="71"/>
    </row>
    <row r="104" spans="1:15" ht="27.75" x14ac:dyDescent="0.5">
      <c r="A104" s="771" t="s">
        <v>250</v>
      </c>
      <c r="B104" s="772"/>
      <c r="C104" s="773"/>
      <c r="D104" s="151" t="s">
        <v>180</v>
      </c>
      <c r="E104" s="95"/>
      <c r="F104" s="95"/>
      <c r="G104" s="99">
        <f>G37+G51</f>
        <v>1707.6699999999983</v>
      </c>
      <c r="H104" s="99">
        <f>G104+'15'!H104</f>
        <v>27455.67</v>
      </c>
      <c r="I104" s="118"/>
      <c r="J104" s="175">
        <f>H104/DAY(B2)</f>
        <v>1715.9793749999999</v>
      </c>
      <c r="O104" s="71"/>
    </row>
    <row r="105" spans="1:15" ht="28.5" thickBot="1" x14ac:dyDescent="0.55000000000000004">
      <c r="A105" s="764" t="s">
        <v>251</v>
      </c>
      <c r="B105" s="765"/>
      <c r="C105" s="766"/>
      <c r="D105" s="231" t="s">
        <v>23</v>
      </c>
      <c r="E105" s="185"/>
      <c r="F105" s="185"/>
      <c r="G105" s="186">
        <f>G104/G7</f>
        <v>7.9895815934622333E-2</v>
      </c>
      <c r="H105" s="99">
        <f>G105+'15'!H105</f>
        <v>1.1792883206427549</v>
      </c>
      <c r="I105" s="187"/>
      <c r="J105" s="188">
        <f>H105/DAY(B2)</f>
        <v>7.3705520040172182E-2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625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0" t="s">
        <v>324</v>
      </c>
      <c r="B108" s="760"/>
      <c r="C108" s="760"/>
      <c r="D108" s="760"/>
      <c r="E108" s="760"/>
      <c r="F108" s="760"/>
      <c r="G108" s="760"/>
      <c r="H108" s="760"/>
      <c r="I108" s="760"/>
      <c r="J108" s="760"/>
    </row>
    <row r="109" spans="1:15" ht="29.25" x14ac:dyDescent="0.5">
      <c r="A109" s="788"/>
      <c r="B109" s="788"/>
    </row>
    <row r="110" spans="1:15" ht="29.25" x14ac:dyDescent="0.5">
      <c r="A110" s="761" t="s">
        <v>165</v>
      </c>
      <c r="B110" s="762"/>
      <c r="C110" s="762"/>
      <c r="D110" s="762"/>
      <c r="E110" s="762"/>
      <c r="F110" s="762"/>
      <c r="G110" s="762"/>
      <c r="H110" s="762"/>
      <c r="I110" s="762"/>
      <c r="J110" s="763"/>
    </row>
    <row r="111" spans="1:15" ht="27.75" x14ac:dyDescent="0.5">
      <c r="A111" s="753"/>
      <c r="B111" s="754"/>
      <c r="C111" s="755"/>
      <c r="D111" s="165"/>
      <c r="E111" s="165"/>
      <c r="F111" s="155"/>
      <c r="G111" s="165"/>
      <c r="H111" s="156"/>
      <c r="I111" s="165"/>
      <c r="J111" s="347"/>
    </row>
    <row r="112" spans="1:15" ht="27.75" x14ac:dyDescent="0.5">
      <c r="A112" s="750" t="s">
        <v>252</v>
      </c>
      <c r="B112" s="751"/>
      <c r="C112" s="752"/>
      <c r="D112" s="146" t="s">
        <v>183</v>
      </c>
      <c r="E112" s="95">
        <f>'15'!F112</f>
        <v>49534</v>
      </c>
      <c r="F112" s="237">
        <v>49615.9</v>
      </c>
      <c r="G112" s="112">
        <f t="shared" ref="G112:G123" si="9">F112-E112</f>
        <v>81.900000000001455</v>
      </c>
      <c r="H112" s="99">
        <f>G112+'15'!H112</f>
        <v>1338.9000000000015</v>
      </c>
      <c r="I112" s="165"/>
      <c r="J112" s="348">
        <f>H112/DAY(B2)</f>
        <v>83.681250000000091</v>
      </c>
    </row>
    <row r="113" spans="1:18" ht="29.25" customHeight="1" x14ac:dyDescent="0.5">
      <c r="A113" s="750" t="s">
        <v>253</v>
      </c>
      <c r="B113" s="751"/>
      <c r="C113" s="752"/>
      <c r="D113" s="146" t="s">
        <v>183</v>
      </c>
      <c r="E113" s="95">
        <f>'15'!F113</f>
        <v>157433</v>
      </c>
      <c r="F113" s="237">
        <v>157885.57999999999</v>
      </c>
      <c r="G113" s="112">
        <f t="shared" si="9"/>
        <v>452.57999999998719</v>
      </c>
      <c r="H113" s="99">
        <f>G113+'15'!H113</f>
        <v>7354.5799999999872</v>
      </c>
      <c r="I113" s="165"/>
      <c r="J113" s="348">
        <f>H113/DAY(B2)</f>
        <v>459.6612499999992</v>
      </c>
    </row>
    <row r="114" spans="1:18" ht="29.25" customHeight="1" x14ac:dyDescent="0.5">
      <c r="A114" s="750" t="s">
        <v>254</v>
      </c>
      <c r="B114" s="751"/>
      <c r="C114" s="752"/>
      <c r="D114" s="146" t="s">
        <v>183</v>
      </c>
      <c r="E114" s="95">
        <f>'15'!F114</f>
        <v>73506</v>
      </c>
      <c r="F114" s="237">
        <v>12690</v>
      </c>
      <c r="G114" s="112">
        <v>126.9</v>
      </c>
      <c r="H114" s="99">
        <f>G114+'15'!H114</f>
        <v>3432.9</v>
      </c>
      <c r="I114" s="165"/>
      <c r="J114" s="348">
        <f>H114/DAY(B2)</f>
        <v>214.55625000000001</v>
      </c>
    </row>
    <row r="115" spans="1:18" ht="29.25" customHeight="1" x14ac:dyDescent="0.5">
      <c r="A115" s="750" t="s">
        <v>255</v>
      </c>
      <c r="B115" s="751"/>
      <c r="C115" s="752"/>
      <c r="D115" s="146" t="s">
        <v>183</v>
      </c>
      <c r="E115" s="95">
        <f>'15'!F115</f>
        <v>7918</v>
      </c>
      <c r="F115" s="237">
        <v>7927.85</v>
      </c>
      <c r="G115" s="112">
        <f t="shared" si="9"/>
        <v>9.8500000000003638</v>
      </c>
      <c r="H115" s="99">
        <f>G115+'15'!H115</f>
        <v>179.85000000000036</v>
      </c>
      <c r="I115" s="165"/>
      <c r="J115" s="348">
        <f>H115/DAY(B2)</f>
        <v>11.240625000000023</v>
      </c>
    </row>
    <row r="116" spans="1:18" ht="29.25" customHeight="1" x14ac:dyDescent="0.5">
      <c r="A116" s="757" t="s">
        <v>96</v>
      </c>
      <c r="B116" s="758"/>
      <c r="C116" s="759"/>
      <c r="D116" s="146" t="s">
        <v>183</v>
      </c>
      <c r="E116" s="95">
        <f>'15'!F116</f>
        <v>0</v>
      </c>
      <c r="F116" s="237">
        <v>0</v>
      </c>
      <c r="G116" s="112">
        <f t="shared" si="9"/>
        <v>0</v>
      </c>
      <c r="H116" s="99">
        <f>G116+'15'!H116</f>
        <v>0</v>
      </c>
      <c r="I116" s="165"/>
      <c r="J116" s="348">
        <f>H116/DAY(B2)</f>
        <v>0</v>
      </c>
      <c r="Q116" s="750" t="s">
        <v>311</v>
      </c>
      <c r="R116" s="752"/>
    </row>
    <row r="117" spans="1:18" ht="29.25" customHeight="1" x14ac:dyDescent="0.5">
      <c r="A117" s="757" t="s">
        <v>184</v>
      </c>
      <c r="B117" s="758"/>
      <c r="C117" s="759"/>
      <c r="D117" s="146" t="s">
        <v>183</v>
      </c>
      <c r="E117" s="95">
        <f>'15'!F117</f>
        <v>753</v>
      </c>
      <c r="F117" s="237">
        <v>794.1</v>
      </c>
      <c r="G117" s="112">
        <f t="shared" si="9"/>
        <v>41.100000000000023</v>
      </c>
      <c r="H117" s="99">
        <f>G117+'15'!H117</f>
        <v>378.1</v>
      </c>
      <c r="I117" s="165"/>
      <c r="J117" s="348">
        <f>H117/DAY(B2)</f>
        <v>23.631250000000001</v>
      </c>
      <c r="Q117" s="750" t="s">
        <v>312</v>
      </c>
      <c r="R117" s="752"/>
    </row>
    <row r="118" spans="1:18" ht="27.75" x14ac:dyDescent="0.5">
      <c r="A118" s="749" t="s">
        <v>97</v>
      </c>
      <c r="B118" s="749"/>
      <c r="C118" s="749"/>
      <c r="D118" s="151" t="s">
        <v>183</v>
      </c>
      <c r="E118" s="95">
        <f>'15'!F118</f>
        <v>212670</v>
      </c>
      <c r="F118" s="237">
        <v>213022.57</v>
      </c>
      <c r="G118" s="112">
        <f t="shared" si="9"/>
        <v>352.57000000000698</v>
      </c>
      <c r="H118" s="99">
        <f>G118+'15'!H118</f>
        <v>6490.570000000007</v>
      </c>
      <c r="I118" s="165"/>
      <c r="J118" s="348">
        <f>H118/DAY(B2)</f>
        <v>405.66062500000044</v>
      </c>
      <c r="Q118" s="750" t="s">
        <v>311</v>
      </c>
      <c r="R118" s="752"/>
    </row>
    <row r="119" spans="1:18" ht="27.75" x14ac:dyDescent="0.5">
      <c r="A119" s="749" t="s">
        <v>98</v>
      </c>
      <c r="B119" s="749"/>
      <c r="C119" s="749"/>
      <c r="D119" s="151" t="s">
        <v>183</v>
      </c>
      <c r="E119" s="95">
        <f>'15'!F119</f>
        <v>212126</v>
      </c>
      <c r="F119" s="237">
        <v>212535.5</v>
      </c>
      <c r="G119" s="112">
        <f t="shared" si="9"/>
        <v>409.5</v>
      </c>
      <c r="H119" s="99">
        <f>G119+'15'!H119</f>
        <v>6305.5</v>
      </c>
      <c r="I119" s="165"/>
      <c r="J119" s="348">
        <f>H119/DAY(B2)</f>
        <v>394.09375</v>
      </c>
    </row>
    <row r="120" spans="1:18" ht="27.75" x14ac:dyDescent="0.5">
      <c r="A120" s="749" t="s">
        <v>99</v>
      </c>
      <c r="B120" s="749"/>
      <c r="C120" s="749"/>
      <c r="D120" s="151" t="s">
        <v>183</v>
      </c>
      <c r="E120" s="95">
        <f>'15'!F120</f>
        <v>11606</v>
      </c>
      <c r="F120" s="237">
        <v>12015.98</v>
      </c>
      <c r="G120" s="112">
        <f t="shared" si="9"/>
        <v>409.97999999999956</v>
      </c>
      <c r="H120" s="99">
        <f>G120+'15'!H120</f>
        <v>6500.98</v>
      </c>
      <c r="I120" s="165"/>
      <c r="J120" s="348">
        <f>H120/DAY(B2)</f>
        <v>406.31124999999997</v>
      </c>
    </row>
    <row r="121" spans="1:18" ht="27.75" x14ac:dyDescent="0.5">
      <c r="A121" s="749" t="s">
        <v>100</v>
      </c>
      <c r="B121" s="749"/>
      <c r="C121" s="749"/>
      <c r="D121" s="151" t="s">
        <v>183</v>
      </c>
      <c r="E121" s="95">
        <f>'15'!F121</f>
        <v>320244</v>
      </c>
      <c r="F121" s="237">
        <v>320881.84999999998</v>
      </c>
      <c r="G121" s="112">
        <f t="shared" si="9"/>
        <v>637.84999999997672</v>
      </c>
      <c r="H121" s="99">
        <f>G121+'15'!H121</f>
        <v>11437.119999999995</v>
      </c>
      <c r="I121" s="165"/>
      <c r="J121" s="348">
        <f>H121/DAY(B2)</f>
        <v>714.81999999999971</v>
      </c>
    </row>
    <row r="122" spans="1:18" ht="27.75" x14ac:dyDescent="0.5">
      <c r="A122" s="749" t="s">
        <v>101</v>
      </c>
      <c r="B122" s="749"/>
      <c r="C122" s="749"/>
      <c r="D122" s="151" t="s">
        <v>183</v>
      </c>
      <c r="E122" s="95">
        <f>'15'!F122</f>
        <v>96382</v>
      </c>
      <c r="F122" s="237">
        <v>96676.350999999995</v>
      </c>
      <c r="G122" s="112">
        <f t="shared" si="9"/>
        <v>294.35099999999511</v>
      </c>
      <c r="H122" s="99">
        <f>G122+'15'!H122</f>
        <v>5054.3509999999951</v>
      </c>
      <c r="I122" s="165"/>
      <c r="J122" s="348">
        <f>H122/DAY(B2)</f>
        <v>315.89693749999969</v>
      </c>
    </row>
    <row r="123" spans="1:18" ht="27.75" x14ac:dyDescent="0.5">
      <c r="A123" s="749" t="s">
        <v>102</v>
      </c>
      <c r="B123" s="749"/>
      <c r="C123" s="749"/>
      <c r="D123" s="151" t="s">
        <v>183</v>
      </c>
      <c r="E123" s="95">
        <f>'15'!F123</f>
        <v>120557</v>
      </c>
      <c r="F123" s="237">
        <v>120895.97</v>
      </c>
      <c r="G123" s="112">
        <f t="shared" si="9"/>
        <v>338.97000000000116</v>
      </c>
      <c r="H123" s="99">
        <f>G123+'15'!H123</f>
        <v>5352.9700000000012</v>
      </c>
      <c r="I123" s="165"/>
      <c r="J123" s="348">
        <f>H123/DAY(B2)</f>
        <v>334.56062500000007</v>
      </c>
    </row>
    <row r="124" spans="1:18" ht="29.25" customHeight="1" x14ac:dyDescent="0.5">
      <c r="A124" s="753"/>
      <c r="B124" s="754"/>
      <c r="C124" s="755"/>
      <c r="D124" s="165"/>
      <c r="E124" s="165"/>
      <c r="F124" s="155"/>
      <c r="G124" s="347"/>
      <c r="H124" s="156"/>
      <c r="I124" s="165"/>
      <c r="J124" s="347"/>
    </row>
    <row r="125" spans="1:18" ht="27.75" x14ac:dyDescent="0.5">
      <c r="A125" s="737"/>
      <c r="B125" s="737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56" t="s">
        <v>317</v>
      </c>
      <c r="B126" s="756"/>
      <c r="C126" s="756"/>
      <c r="D126" s="756"/>
      <c r="E126" s="756"/>
      <c r="F126" s="756"/>
      <c r="G126" s="756"/>
      <c r="H126" s="756"/>
      <c r="I126" s="756"/>
      <c r="J126" s="756"/>
    </row>
    <row r="127" spans="1:18" ht="27.75" x14ac:dyDescent="0.5">
      <c r="A127" s="737"/>
      <c r="B127" s="737"/>
      <c r="C127" s="246"/>
      <c r="D127" s="317"/>
      <c r="E127" s="318"/>
      <c r="F127" s="318"/>
      <c r="G127" s="319"/>
      <c r="H127" s="99">
        <f>G127+'15'!H127</f>
        <v>0</v>
      </c>
      <c r="I127" s="165"/>
      <c r="J127" s="348">
        <f>H127/DAY(B2)</f>
        <v>0</v>
      </c>
    </row>
    <row r="128" spans="1:18" ht="29.25" customHeight="1" x14ac:dyDescent="0.5">
      <c r="A128" s="750" t="s">
        <v>318</v>
      </c>
      <c r="B128" s="751"/>
      <c r="C128" s="752"/>
      <c r="D128" s="151" t="s">
        <v>183</v>
      </c>
      <c r="E128" s="95">
        <f>'15'!F128</f>
        <v>12569</v>
      </c>
      <c r="F128" s="155">
        <v>12870.04</v>
      </c>
      <c r="G128" s="112">
        <f t="shared" ref="G128:G134" si="10">F128-E128</f>
        <v>301.04000000000087</v>
      </c>
      <c r="H128" s="99">
        <f>G128+'15'!H128</f>
        <v>5259.0400000000009</v>
      </c>
      <c r="I128" s="165"/>
      <c r="J128" s="348">
        <f>H128/DAY(B2)</f>
        <v>328.69000000000005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'15'!F129</f>
        <v>3190</v>
      </c>
      <c r="F129" s="155">
        <v>3368.24</v>
      </c>
      <c r="G129" s="112">
        <f t="shared" si="10"/>
        <v>178.23999999999978</v>
      </c>
      <c r="H129" s="99">
        <f>G129+'15'!H129</f>
        <v>3254.24</v>
      </c>
      <c r="I129" s="165"/>
      <c r="J129" s="348">
        <f>H129/DAY(B2)</f>
        <v>203.39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'15'!F130</f>
        <v>3713</v>
      </c>
      <c r="F130" s="155">
        <v>3963.15</v>
      </c>
      <c r="G130" s="112">
        <f t="shared" si="10"/>
        <v>250.15000000000009</v>
      </c>
      <c r="H130" s="99">
        <f>G130+'15'!H130</f>
        <v>3783.15</v>
      </c>
      <c r="I130" s="165"/>
      <c r="J130" s="348">
        <f>H130/DAY(B2)</f>
        <v>236.44687500000001</v>
      </c>
      <c r="N130" s="240"/>
      <c r="O130" s="241"/>
    </row>
    <row r="131" spans="1:15" ht="27.75" x14ac:dyDescent="0.5">
      <c r="A131" s="750" t="s">
        <v>321</v>
      </c>
      <c r="B131" s="751"/>
      <c r="C131" s="752"/>
      <c r="D131" s="151" t="s">
        <v>183</v>
      </c>
      <c r="E131" s="95">
        <f>'15'!F131</f>
        <v>2017</v>
      </c>
      <c r="F131" s="155">
        <v>2114.62</v>
      </c>
      <c r="G131" s="112">
        <f t="shared" si="10"/>
        <v>97.619999999999891</v>
      </c>
      <c r="H131" s="99">
        <f>G131+'15'!H131</f>
        <v>2004.62</v>
      </c>
      <c r="I131" s="165"/>
      <c r="J131" s="348">
        <f>H131/DAY(B2)</f>
        <v>125.28874999999999</v>
      </c>
      <c r="N131" s="240"/>
      <c r="O131" s="241"/>
    </row>
    <row r="132" spans="1:15" ht="27.75" x14ac:dyDescent="0.5">
      <c r="A132" s="750" t="s">
        <v>322</v>
      </c>
      <c r="B132" s="751"/>
      <c r="C132" s="752"/>
      <c r="D132" s="151" t="s">
        <v>183</v>
      </c>
      <c r="E132" s="95">
        <f>'15'!F132</f>
        <v>6215</v>
      </c>
      <c r="F132" s="155">
        <v>6570.59</v>
      </c>
      <c r="G132" s="112">
        <f t="shared" si="10"/>
        <v>355.59000000000015</v>
      </c>
      <c r="H132" s="99">
        <f>G132+'15'!H132</f>
        <v>6249.59</v>
      </c>
      <c r="I132" s="165"/>
      <c r="J132" s="348">
        <f>H132/DAY(B2)</f>
        <v>390.59937500000001</v>
      </c>
    </row>
    <row r="133" spans="1:15" ht="27.75" x14ac:dyDescent="0.5">
      <c r="A133" s="750" t="s">
        <v>323</v>
      </c>
      <c r="B133" s="751"/>
      <c r="C133" s="752"/>
      <c r="D133" s="151" t="s">
        <v>183</v>
      </c>
      <c r="E133" s="95">
        <f>'15'!F133</f>
        <v>28065</v>
      </c>
      <c r="F133" s="155">
        <v>28784.400000000001</v>
      </c>
      <c r="G133" s="112">
        <f t="shared" si="10"/>
        <v>719.40000000000146</v>
      </c>
      <c r="H133" s="99">
        <f>G133+'15'!H133</f>
        <v>12393.400000000001</v>
      </c>
      <c r="I133" s="165"/>
      <c r="J133" s="348">
        <f>H133/DAY(B2)</f>
        <v>774.58750000000009</v>
      </c>
    </row>
    <row r="134" spans="1:15" s="620" customFormat="1" ht="27.75" x14ac:dyDescent="0.5">
      <c r="A134" s="822" t="s">
        <v>340</v>
      </c>
      <c r="B134" s="823"/>
      <c r="C134" s="824"/>
      <c r="D134" s="233" t="s">
        <v>183</v>
      </c>
      <c r="E134" s="617">
        <f>'15'!F134</f>
        <v>621912</v>
      </c>
      <c r="F134" s="157">
        <v>622793</v>
      </c>
      <c r="G134" s="236">
        <f t="shared" si="10"/>
        <v>881</v>
      </c>
      <c r="H134" s="238">
        <f>G134+'15'!H134</f>
        <v>8378</v>
      </c>
      <c r="I134" s="158"/>
      <c r="J134" s="619">
        <f>H134/DAY(B2)</f>
        <v>523.625</v>
      </c>
    </row>
    <row r="135" spans="1:15" ht="27.75" x14ac:dyDescent="0.5">
      <c r="A135" s="753"/>
      <c r="B135" s="754"/>
      <c r="C135" s="755"/>
      <c r="D135" s="151"/>
      <c r="E135" s="95"/>
      <c r="F135" s="155"/>
      <c r="G135" s="112"/>
      <c r="H135" s="99">
        <f>G135+'10'!H135</f>
        <v>5534.2300000000005</v>
      </c>
      <c r="I135" s="165"/>
      <c r="J135" s="348"/>
    </row>
    <row r="136" spans="1:15" ht="31.5" x14ac:dyDescent="0.55000000000000004">
      <c r="A136" s="736" t="s">
        <v>325</v>
      </c>
      <c r="B136" s="736"/>
      <c r="C136" s="736"/>
      <c r="D136" s="736"/>
      <c r="E136" s="736"/>
      <c r="F136" s="736"/>
      <c r="G136" s="736"/>
      <c r="H136" s="736"/>
      <c r="I136" s="736"/>
      <c r="J136" s="736"/>
    </row>
    <row r="137" spans="1:15" ht="29.25" x14ac:dyDescent="0.5">
      <c r="A137" s="246"/>
      <c r="B137" s="247"/>
      <c r="C137" s="247"/>
      <c r="D137" s="165"/>
      <c r="E137" s="165"/>
      <c r="F137" s="155"/>
      <c r="G137" s="165"/>
      <c r="H137" s="156"/>
      <c r="I137" s="165"/>
      <c r="J137" s="347"/>
    </row>
    <row r="138" spans="1:15" s="620" customFormat="1" ht="27.75" x14ac:dyDescent="0.5">
      <c r="A138" s="825" t="s">
        <v>185</v>
      </c>
      <c r="B138" s="825"/>
      <c r="C138" s="825"/>
      <c r="D138" s="233" t="s">
        <v>183</v>
      </c>
      <c r="E138" s="617">
        <f>'15'!F138</f>
        <v>858581</v>
      </c>
      <c r="F138" s="148">
        <v>858663</v>
      </c>
      <c r="G138" s="236">
        <f t="shared" ref="G138:G152" si="11">F138-E138</f>
        <v>82</v>
      </c>
      <c r="H138" s="238">
        <f>G138+'15'!H138</f>
        <v>1310</v>
      </c>
      <c r="I138" s="618"/>
      <c r="J138" s="619">
        <f>H138/DAY(B2)</f>
        <v>81.875</v>
      </c>
    </row>
    <row r="139" spans="1:15" ht="27.75" x14ac:dyDescent="0.5">
      <c r="A139" s="749" t="s">
        <v>186</v>
      </c>
      <c r="B139" s="749"/>
      <c r="C139" s="749"/>
      <c r="D139" s="151" t="s">
        <v>183</v>
      </c>
      <c r="E139" s="95">
        <f>'15'!F139</f>
        <v>886073</v>
      </c>
      <c r="F139" s="148">
        <v>886074</v>
      </c>
      <c r="G139" s="112">
        <f t="shared" si="11"/>
        <v>1</v>
      </c>
      <c r="H139" s="99">
        <f>G139+'15'!H139</f>
        <v>12</v>
      </c>
      <c r="I139" s="118"/>
      <c r="J139" s="348">
        <f>H139/DAY(B2)</f>
        <v>0.75</v>
      </c>
    </row>
    <row r="140" spans="1:15" ht="27.75" x14ac:dyDescent="0.5">
      <c r="A140" s="749" t="s">
        <v>187</v>
      </c>
      <c r="B140" s="749"/>
      <c r="C140" s="749"/>
      <c r="D140" s="151" t="s">
        <v>183</v>
      </c>
      <c r="E140" s="95">
        <f>'15'!F140</f>
        <v>88797</v>
      </c>
      <c r="F140" s="149">
        <v>88797.4</v>
      </c>
      <c r="G140" s="112">
        <f t="shared" si="11"/>
        <v>0.39999999999417923</v>
      </c>
      <c r="H140" s="99">
        <f>G140+'15'!H140</f>
        <v>-0.60000000000582077</v>
      </c>
      <c r="I140" s="118"/>
      <c r="J140" s="348">
        <f>H140/DAY(B2)</f>
        <v>-3.7500000000363798E-2</v>
      </c>
    </row>
    <row r="141" spans="1:15" ht="27.75" x14ac:dyDescent="0.5">
      <c r="A141" s="728" t="s">
        <v>188</v>
      </c>
      <c r="B141" s="728"/>
      <c r="C141" s="728"/>
      <c r="D141" s="151" t="s">
        <v>183</v>
      </c>
      <c r="E141" s="95">
        <f>'15'!F141</f>
        <v>34287</v>
      </c>
      <c r="F141" s="149">
        <v>34474.800000000003</v>
      </c>
      <c r="G141" s="112">
        <f t="shared" si="11"/>
        <v>187.80000000000291</v>
      </c>
      <c r="H141" s="99">
        <f>G141+'15'!H141</f>
        <v>2938.8000000000029</v>
      </c>
      <c r="I141" s="118"/>
      <c r="J141" s="348">
        <f>H141/DAY(B2)</f>
        <v>183.67500000000018</v>
      </c>
    </row>
    <row r="142" spans="1:15" ht="27.75" x14ac:dyDescent="0.5">
      <c r="A142" s="728" t="s">
        <v>189</v>
      </c>
      <c r="B142" s="728"/>
      <c r="C142" s="728"/>
      <c r="D142" s="151" t="s">
        <v>183</v>
      </c>
      <c r="E142" s="95">
        <f>'15'!F142</f>
        <v>16396</v>
      </c>
      <c r="F142" s="148">
        <v>16469.490000000002</v>
      </c>
      <c r="G142" s="112">
        <f t="shared" si="11"/>
        <v>73.490000000001601</v>
      </c>
      <c r="H142" s="99">
        <f>G142+'15'!H142</f>
        <v>1147.4900000000016</v>
      </c>
      <c r="I142" s="140"/>
      <c r="J142" s="348">
        <f>H142/DAY(B2)</f>
        <v>71.7181250000001</v>
      </c>
    </row>
    <row r="143" spans="1:15" ht="27.75" x14ac:dyDescent="0.5">
      <c r="A143" s="749" t="s">
        <v>91</v>
      </c>
      <c r="B143" s="749"/>
      <c r="C143" s="749"/>
      <c r="D143" s="151" t="s">
        <v>183</v>
      </c>
      <c r="E143" s="95">
        <f>'15'!F143</f>
        <v>945</v>
      </c>
      <c r="F143" s="149">
        <v>975.58</v>
      </c>
      <c r="G143" s="112">
        <f t="shared" si="11"/>
        <v>30.580000000000041</v>
      </c>
      <c r="H143" s="99">
        <f>G143+'15'!H143</f>
        <v>446.58000000000004</v>
      </c>
      <c r="I143" s="140"/>
      <c r="J143" s="348">
        <f>H143/DAY(B2)</f>
        <v>27.911250000000003</v>
      </c>
    </row>
    <row r="144" spans="1:15" ht="27.75" x14ac:dyDescent="0.5">
      <c r="A144" s="728" t="s">
        <v>90</v>
      </c>
      <c r="B144" s="728"/>
      <c r="C144" s="728"/>
      <c r="D144" s="151" t="s">
        <v>183</v>
      </c>
      <c r="E144" s="95">
        <f>'15'!F144</f>
        <v>852568</v>
      </c>
      <c r="F144" s="149">
        <v>852745</v>
      </c>
      <c r="G144" s="112">
        <f t="shared" si="11"/>
        <v>177</v>
      </c>
      <c r="H144" s="99">
        <f>G144+'15'!H144</f>
        <v>2708</v>
      </c>
      <c r="I144" s="140"/>
      <c r="J144" s="348">
        <f>H144/DAY(B2)</f>
        <v>169.25</v>
      </c>
    </row>
    <row r="145" spans="1:10" ht="27.75" x14ac:dyDescent="0.5">
      <c r="A145" s="749" t="s">
        <v>190</v>
      </c>
      <c r="B145" s="749"/>
      <c r="C145" s="749"/>
      <c r="D145" s="152" t="s">
        <v>183</v>
      </c>
      <c r="E145" s="95">
        <f>'15'!F145</f>
        <v>1591</v>
      </c>
      <c r="F145" s="148">
        <v>1634</v>
      </c>
      <c r="G145" s="112">
        <f t="shared" si="11"/>
        <v>43</v>
      </c>
      <c r="H145" s="99">
        <f>G145+'15'!H145</f>
        <v>680</v>
      </c>
      <c r="I145" s="140"/>
      <c r="J145" s="348">
        <f>H145/DAY(B2)</f>
        <v>42.5</v>
      </c>
    </row>
    <row r="146" spans="1:10" ht="27.75" x14ac:dyDescent="0.5">
      <c r="A146" s="784" t="s">
        <v>191</v>
      </c>
      <c r="B146" s="769"/>
      <c r="C146" s="770"/>
      <c r="D146" s="152" t="s">
        <v>183</v>
      </c>
      <c r="E146" s="95">
        <f>'15'!F146</f>
        <v>692371</v>
      </c>
      <c r="F146" s="148">
        <v>692713</v>
      </c>
      <c r="G146" s="112">
        <f t="shared" si="11"/>
        <v>342</v>
      </c>
      <c r="H146" s="99">
        <f>G146+'15'!H146</f>
        <v>5521</v>
      </c>
      <c r="I146" s="140"/>
      <c r="J146" s="348">
        <f>H146/DAY(B2)</f>
        <v>345.0625</v>
      </c>
    </row>
    <row r="147" spans="1:10" ht="27.75" x14ac:dyDescent="0.5">
      <c r="A147" s="728" t="s">
        <v>192</v>
      </c>
      <c r="B147" s="728"/>
      <c r="C147" s="728"/>
      <c r="D147" s="152" t="s">
        <v>183</v>
      </c>
      <c r="E147" s="95">
        <f>'15'!F147</f>
        <v>582225</v>
      </c>
      <c r="F147" s="148">
        <v>582643.04</v>
      </c>
      <c r="G147" s="112">
        <f t="shared" si="11"/>
        <v>418.04000000003725</v>
      </c>
      <c r="H147" s="99">
        <f>G147+'15'!H147</f>
        <v>6571.0400000000373</v>
      </c>
      <c r="I147" s="140"/>
      <c r="J147" s="348">
        <f>H147/DAY(B2)</f>
        <v>410.69000000000233</v>
      </c>
    </row>
    <row r="148" spans="1:10" ht="27.75" x14ac:dyDescent="0.5">
      <c r="A148" s="729" t="s">
        <v>193</v>
      </c>
      <c r="B148" s="730"/>
      <c r="C148" s="731"/>
      <c r="D148" s="123" t="s">
        <v>130</v>
      </c>
      <c r="E148" s="95">
        <f>'15'!F148</f>
        <v>661285</v>
      </c>
      <c r="F148" s="164">
        <v>661506.12</v>
      </c>
      <c r="G148" s="112">
        <f t="shared" si="11"/>
        <v>221.11999999999534</v>
      </c>
      <c r="H148" s="99">
        <f>G148+'15'!H148</f>
        <v>2906.1199999999953</v>
      </c>
      <c r="I148" s="124"/>
      <c r="J148" s="348">
        <f>H148/DAY(B2)</f>
        <v>181.63249999999971</v>
      </c>
    </row>
    <row r="149" spans="1:10" ht="27.75" x14ac:dyDescent="0.5">
      <c r="A149" s="729" t="s">
        <v>336</v>
      </c>
      <c r="B149" s="730"/>
      <c r="C149" s="731"/>
      <c r="D149" s="227" t="s">
        <v>130</v>
      </c>
      <c r="E149" s="95">
        <f>'15'!F149</f>
        <v>79270</v>
      </c>
      <c r="F149" s="233">
        <v>79725</v>
      </c>
      <c r="G149" s="112">
        <f t="shared" si="11"/>
        <v>455</v>
      </c>
      <c r="H149" s="99">
        <f>G149+'15'!H149</f>
        <v>4303</v>
      </c>
      <c r="I149" s="119"/>
      <c r="J149" s="348">
        <f>H149/DAY(B2)</f>
        <v>268.9375</v>
      </c>
    </row>
    <row r="150" spans="1:10" ht="27.75" x14ac:dyDescent="0.5">
      <c r="A150" s="729" t="s">
        <v>337</v>
      </c>
      <c r="B150" s="730"/>
      <c r="C150" s="731"/>
      <c r="D150" s="117" t="s">
        <v>130</v>
      </c>
      <c r="E150" s="95">
        <f>'15'!F150</f>
        <v>7167232</v>
      </c>
      <c r="F150" s="233">
        <v>7167232</v>
      </c>
      <c r="G150" s="112">
        <f t="shared" si="11"/>
        <v>0</v>
      </c>
      <c r="H150" s="99">
        <f>G150+'15'!H150</f>
        <v>0</v>
      </c>
      <c r="I150" s="119"/>
      <c r="J150" s="348">
        <f>H150/DAY(B2)</f>
        <v>0</v>
      </c>
    </row>
    <row r="151" spans="1:10" ht="27.75" x14ac:dyDescent="0.5">
      <c r="A151" s="729" t="s">
        <v>338</v>
      </c>
      <c r="B151" s="730"/>
      <c r="C151" s="731"/>
      <c r="D151" s="117" t="s">
        <v>130</v>
      </c>
      <c r="E151" s="95">
        <f>'15'!F151</f>
        <v>58335</v>
      </c>
      <c r="F151" s="233">
        <v>58683</v>
      </c>
      <c r="G151" s="112">
        <f t="shared" si="11"/>
        <v>348</v>
      </c>
      <c r="H151" s="99">
        <f>G151+'15'!H151</f>
        <v>5304</v>
      </c>
      <c r="I151" s="119"/>
      <c r="J151" s="348">
        <f>H151/DAY(B2)</f>
        <v>331.5</v>
      </c>
    </row>
    <row r="152" spans="1:10" ht="27.75" x14ac:dyDescent="0.5">
      <c r="A152" s="729" t="s">
        <v>339</v>
      </c>
      <c r="B152" s="730"/>
      <c r="C152" s="731"/>
      <c r="D152" s="117" t="s">
        <v>130</v>
      </c>
      <c r="E152" s="95">
        <f>'15'!F152</f>
        <v>0</v>
      </c>
      <c r="F152" s="233">
        <v>0</v>
      </c>
      <c r="G152" s="112">
        <f t="shared" si="11"/>
        <v>0</v>
      </c>
      <c r="H152" s="99">
        <f>G152+'15'!H152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36" t="s">
        <v>344</v>
      </c>
      <c r="B154" s="736"/>
      <c r="C154" s="736"/>
      <c r="D154" s="736"/>
      <c r="E154" s="736"/>
      <c r="F154" s="736"/>
      <c r="G154" s="736"/>
      <c r="H154" s="736"/>
      <c r="I154" s="736"/>
      <c r="J154" s="736"/>
    </row>
    <row r="155" spans="1:10" ht="31.5" x14ac:dyDescent="0.55000000000000004">
      <c r="A155" s="728" t="s">
        <v>345</v>
      </c>
      <c r="B155" s="728"/>
      <c r="C155" s="728"/>
      <c r="D155" s="117" t="s">
        <v>130</v>
      </c>
      <c r="E155" s="95">
        <f>'15'!F155</f>
        <v>77136</v>
      </c>
      <c r="F155" s="621">
        <v>77143</v>
      </c>
      <c r="G155" s="112">
        <f t="shared" ref="G155:G156" si="12">F155-E155</f>
        <v>7</v>
      </c>
      <c r="H155" s="99">
        <f>G155+'15'!H155</f>
        <v>115.10000000000582</v>
      </c>
      <c r="I155" s="385"/>
      <c r="J155" s="348">
        <f>H155/DAY(B2)</f>
        <v>7.1937500000003638</v>
      </c>
    </row>
    <row r="156" spans="1:10" ht="27.75" x14ac:dyDescent="0.5">
      <c r="A156" s="728" t="s">
        <v>347</v>
      </c>
      <c r="B156" s="728"/>
      <c r="C156" s="728"/>
      <c r="D156" s="117" t="s">
        <v>130</v>
      </c>
      <c r="E156" s="95">
        <f>'15'!F156</f>
        <v>0</v>
      </c>
      <c r="F156" s="155">
        <v>0</v>
      </c>
      <c r="G156" s="112">
        <f t="shared" si="12"/>
        <v>0</v>
      </c>
      <c r="H156" s="99">
        <f>G156+'15'!H156</f>
        <v>0</v>
      </c>
      <c r="I156" s="165"/>
      <c r="J156" s="348">
        <f>H156/DAY(B2)</f>
        <v>0</v>
      </c>
    </row>
    <row r="157" spans="1:10" ht="31.5" x14ac:dyDescent="0.55000000000000004">
      <c r="A157" s="736" t="s">
        <v>326</v>
      </c>
      <c r="B157" s="736"/>
      <c r="C157" s="736"/>
      <c r="D157" s="736"/>
      <c r="E157" s="736"/>
      <c r="F157" s="736"/>
      <c r="G157" s="736"/>
      <c r="H157" s="736"/>
      <c r="I157" s="736"/>
      <c r="J157" s="736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'15'!F158</f>
        <v>467020</v>
      </c>
      <c r="F158" s="235">
        <v>467092.44</v>
      </c>
      <c r="G158" s="238">
        <f t="shared" ref="G158:G162" si="13">F158-E158</f>
        <v>72.440000000002328</v>
      </c>
      <c r="H158" s="99">
        <f>G158+'15'!H158</f>
        <v>1831.4400000000023</v>
      </c>
      <c r="I158" s="236"/>
      <c r="J158" s="239">
        <f>H158/DAY(B2)</f>
        <v>114.46500000000015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'15'!F159</f>
        <v>85297</v>
      </c>
      <c r="F159" s="235">
        <v>85322.1</v>
      </c>
      <c r="G159" s="238">
        <f t="shared" si="13"/>
        <v>25.100000000005821</v>
      </c>
      <c r="H159" s="99">
        <f>G159+'15'!H159</f>
        <v>512.10000000000582</v>
      </c>
      <c r="I159" s="236"/>
      <c r="J159" s="239">
        <f>H159/DAY(B2)</f>
        <v>32.006250000000364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'15'!F160</f>
        <v>72017</v>
      </c>
      <c r="F160" s="235">
        <v>72058.8</v>
      </c>
      <c r="G160" s="238">
        <f t="shared" si="13"/>
        <v>41.80000000000291</v>
      </c>
      <c r="H160" s="99">
        <f>G160+'15'!H160</f>
        <v>1087.8000000000029</v>
      </c>
      <c r="I160" s="236"/>
      <c r="J160" s="239">
        <f>H160/DAY(B2)</f>
        <v>67.987500000000182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'15'!F161</f>
        <v>3888</v>
      </c>
      <c r="F161" s="235">
        <v>3889.3</v>
      </c>
      <c r="G161" s="238">
        <f t="shared" si="13"/>
        <v>1.3000000000001819</v>
      </c>
      <c r="H161" s="99">
        <f>G161+'15'!H161</f>
        <v>92.300000000000182</v>
      </c>
      <c r="I161" s="236"/>
      <c r="J161" s="239">
        <f>H161/DAY(B2)</f>
        <v>5.7687500000000114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'15'!F162</f>
        <v>29079</v>
      </c>
      <c r="F162" s="235">
        <v>29086.009600000001</v>
      </c>
      <c r="G162" s="238">
        <f t="shared" si="13"/>
        <v>7.0096000000012282</v>
      </c>
      <c r="H162" s="99">
        <f>G162+'15'!H162</f>
        <v>114.00960000000123</v>
      </c>
      <c r="I162" s="236"/>
      <c r="J162" s="239">
        <f>H162/DAY(B2)</f>
        <v>7.1256000000000768</v>
      </c>
    </row>
    <row r="163" spans="1:10" ht="29.25" x14ac:dyDescent="0.5">
      <c r="A163" s="737"/>
      <c r="B163" s="737"/>
      <c r="C163" s="247"/>
      <c r="D163" s="244" t="s">
        <v>180</v>
      </c>
      <c r="E163" s="95">
        <f>'15'!F163</f>
        <v>0</v>
      </c>
      <c r="F163" s="155"/>
      <c r="G163" s="165"/>
      <c r="H163" s="99">
        <f>G163+'15'!H163</f>
        <v>0</v>
      </c>
      <c r="I163" s="165"/>
      <c r="J163" s="239">
        <f>H163/DAY(B2)</f>
        <v>0</v>
      </c>
    </row>
    <row r="164" spans="1:10" ht="29.25" x14ac:dyDescent="0.5">
      <c r="A164" s="737"/>
      <c r="B164" s="737"/>
      <c r="C164" s="247"/>
      <c r="D164" s="244" t="s">
        <v>180</v>
      </c>
      <c r="E164" s="95">
        <f>'15'!F164</f>
        <v>0</v>
      </c>
      <c r="F164" s="155"/>
      <c r="G164" s="165"/>
      <c r="H164" s="99">
        <f>G164+'15'!H164</f>
        <v>0</v>
      </c>
      <c r="I164" s="165"/>
      <c r="J164" s="239">
        <f>H164/DAY(B2)</f>
        <v>0</v>
      </c>
    </row>
    <row r="165" spans="1:10" ht="29.25" x14ac:dyDescent="0.5">
      <c r="A165" s="737"/>
      <c r="B165" s="737"/>
      <c r="C165" s="247"/>
      <c r="D165" s="244" t="s">
        <v>180</v>
      </c>
      <c r="E165" s="95">
        <f>'15'!F165</f>
        <v>0</v>
      </c>
      <c r="F165" s="155"/>
      <c r="G165" s="165"/>
      <c r="H165" s="99">
        <f>G165+'15'!H165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38" t="s">
        <v>330</v>
      </c>
      <c r="B168" s="739"/>
      <c r="C168" s="739"/>
      <c r="D168" s="739"/>
      <c r="E168" s="739"/>
      <c r="F168" s="739"/>
      <c r="G168" s="739"/>
      <c r="H168" s="739"/>
      <c r="I168" s="739"/>
      <c r="J168" s="740"/>
    </row>
    <row r="169" spans="1:10" ht="27.75" x14ac:dyDescent="0.5">
      <c r="A169" s="747"/>
      <c r="B169" s="748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43" t="s">
        <v>209</v>
      </c>
      <c r="B170" s="744"/>
      <c r="C170" s="353"/>
      <c r="D170" s="228" t="s">
        <v>142</v>
      </c>
      <c r="E170" s="95">
        <f>'15'!F170</f>
        <v>7898</v>
      </c>
      <c r="F170" s="155">
        <v>7898</v>
      </c>
      <c r="G170" s="155">
        <f>F170-E170</f>
        <v>0</v>
      </c>
      <c r="H170" s="99">
        <f>G170+'15'!H170</f>
        <v>3</v>
      </c>
      <c r="I170" s="155"/>
      <c r="J170" s="178">
        <f>H170/DAY(B2)</f>
        <v>0.1875</v>
      </c>
    </row>
    <row r="171" spans="1:10" ht="27.75" x14ac:dyDescent="0.5">
      <c r="A171" s="743" t="s">
        <v>75</v>
      </c>
      <c r="B171" s="744"/>
      <c r="C171" s="353"/>
      <c r="D171" s="228" t="s">
        <v>142</v>
      </c>
      <c r="E171" s="95">
        <f>'15'!F171</f>
        <v>37200</v>
      </c>
      <c r="F171" s="157">
        <v>37211</v>
      </c>
      <c r="G171" s="155">
        <f t="shared" ref="G171:G172" si="14">F171-E171</f>
        <v>11</v>
      </c>
      <c r="H171" s="99">
        <f>G171+'15'!H171</f>
        <v>571</v>
      </c>
      <c r="I171" s="155"/>
      <c r="J171" s="178">
        <f>H171/DAY(B2)</f>
        <v>35.6875</v>
      </c>
    </row>
    <row r="172" spans="1:10" ht="27.75" x14ac:dyDescent="0.5">
      <c r="A172" s="743" t="s">
        <v>76</v>
      </c>
      <c r="B172" s="783"/>
      <c r="C172" s="744"/>
      <c r="D172" s="228" t="s">
        <v>142</v>
      </c>
      <c r="E172" s="95">
        <f>'15'!F172</f>
        <v>20628</v>
      </c>
      <c r="F172" s="155">
        <v>20637</v>
      </c>
      <c r="G172" s="155">
        <f t="shared" si="14"/>
        <v>9</v>
      </c>
      <c r="H172" s="99">
        <f>G172+'15'!H172</f>
        <v>168</v>
      </c>
      <c r="I172" s="155"/>
      <c r="J172" s="178">
        <f>H172/DAY(B2)</f>
        <v>10.5</v>
      </c>
    </row>
    <row r="173" spans="1:10" ht="27.75" x14ac:dyDescent="0.5">
      <c r="A173" s="732" t="s">
        <v>196</v>
      </c>
      <c r="B173" s="733"/>
      <c r="C173" s="353"/>
      <c r="D173" s="228" t="s">
        <v>142</v>
      </c>
      <c r="E173" s="95">
        <f>'15'!F173</f>
        <v>0</v>
      </c>
      <c r="F173" s="155"/>
      <c r="G173" s="155">
        <f>SUM(G170:G172)</f>
        <v>20</v>
      </c>
      <c r="H173" s="99">
        <f>G173+'15'!H173</f>
        <v>742</v>
      </c>
      <c r="I173" s="155"/>
      <c r="J173" s="178">
        <f>H173/DAY(B2)</f>
        <v>46.375</v>
      </c>
    </row>
    <row r="174" spans="1:10" ht="27.75" x14ac:dyDescent="0.5">
      <c r="A174" s="743" t="s">
        <v>77</v>
      </c>
      <c r="B174" s="744"/>
      <c r="C174" s="353"/>
      <c r="D174" s="228" t="s">
        <v>142</v>
      </c>
      <c r="E174" s="95">
        <f>'15'!F174</f>
        <v>0</v>
      </c>
      <c r="F174" s="155"/>
      <c r="G174" s="155"/>
      <c r="H174" s="99">
        <f>G174+'15'!H174</f>
        <v>0</v>
      </c>
      <c r="I174" s="155"/>
      <c r="J174" s="178">
        <f>H174/DAY(B2)</f>
        <v>0</v>
      </c>
    </row>
    <row r="175" spans="1:10" ht="27.75" x14ac:dyDescent="0.5">
      <c r="A175" s="743" t="s">
        <v>210</v>
      </c>
      <c r="B175" s="744"/>
      <c r="C175" s="353"/>
      <c r="D175" s="228" t="s">
        <v>142</v>
      </c>
      <c r="E175" s="95">
        <f>'15'!F175</f>
        <v>73204</v>
      </c>
      <c r="F175" s="155">
        <v>73311</v>
      </c>
      <c r="G175" s="155">
        <f>F175-E175</f>
        <v>107</v>
      </c>
      <c r="H175" s="99">
        <f>G175+'15'!H175</f>
        <v>1377</v>
      </c>
      <c r="I175" s="155"/>
      <c r="J175" s="178">
        <f>H175/DAY(B2)</f>
        <v>86.0625</v>
      </c>
    </row>
    <row r="176" spans="1:10" ht="27.75" x14ac:dyDescent="0.5">
      <c r="A176" s="743" t="s">
        <v>211</v>
      </c>
      <c r="B176" s="744"/>
      <c r="C176" s="353"/>
      <c r="D176" s="228" t="s">
        <v>142</v>
      </c>
      <c r="E176" s="95">
        <f>'15'!F176</f>
        <v>33886</v>
      </c>
      <c r="F176" s="155">
        <v>33886</v>
      </c>
      <c r="G176" s="155">
        <f t="shared" ref="G176:G177" si="15">F176-E176</f>
        <v>0</v>
      </c>
      <c r="H176" s="99">
        <f>G176+'15'!H176</f>
        <v>0</v>
      </c>
      <c r="I176" s="155"/>
      <c r="J176" s="178">
        <f>H176/DAY(B2)</f>
        <v>0</v>
      </c>
    </row>
    <row r="177" spans="1:10" ht="27.75" x14ac:dyDescent="0.5">
      <c r="A177" s="743" t="s">
        <v>212</v>
      </c>
      <c r="B177" s="744"/>
      <c r="C177" s="353"/>
      <c r="D177" s="228" t="s">
        <v>142</v>
      </c>
      <c r="E177" s="95">
        <f>'15'!F177</f>
        <v>4921</v>
      </c>
      <c r="F177" s="155">
        <v>7935</v>
      </c>
      <c r="G177" s="155">
        <f t="shared" si="15"/>
        <v>3014</v>
      </c>
      <c r="H177" s="99">
        <f>G177+'15'!H177</f>
        <v>3104</v>
      </c>
      <c r="I177" s="155"/>
      <c r="J177" s="178">
        <f>H177/DAY(B2)</f>
        <v>194</v>
      </c>
    </row>
    <row r="178" spans="1:10" ht="27.75" x14ac:dyDescent="0.5">
      <c r="A178" s="745" t="s">
        <v>108</v>
      </c>
      <c r="B178" s="746"/>
      <c r="C178" s="353"/>
      <c r="D178" s="228" t="s">
        <v>142</v>
      </c>
      <c r="E178" s="95">
        <f>'15'!F178</f>
        <v>0</v>
      </c>
      <c r="F178" s="155"/>
      <c r="G178" s="155">
        <f>SUM(G175:G177)</f>
        <v>3121</v>
      </c>
      <c r="H178" s="99">
        <f>G178+'15'!H178</f>
        <v>4481</v>
      </c>
      <c r="I178" s="155"/>
      <c r="J178" s="178">
        <f>H178/DAY(B2)</f>
        <v>280.0625</v>
      </c>
    </row>
    <row r="179" spans="1:10" ht="27.75" x14ac:dyDescent="0.5">
      <c r="A179" s="743" t="s">
        <v>213</v>
      </c>
      <c r="B179" s="744"/>
      <c r="C179" s="353"/>
      <c r="D179" s="228" t="s">
        <v>142</v>
      </c>
      <c r="E179" s="95">
        <f>'15'!F179</f>
        <v>0</v>
      </c>
      <c r="F179" s="155"/>
      <c r="G179" s="155"/>
      <c r="H179" s="99">
        <f>G179+'15'!H179</f>
        <v>0</v>
      </c>
      <c r="I179" s="155"/>
      <c r="J179" s="178">
        <f>H179/DAY(B2)</f>
        <v>0</v>
      </c>
    </row>
    <row r="180" spans="1:10" ht="27.75" x14ac:dyDescent="0.5">
      <c r="A180" s="743" t="s">
        <v>214</v>
      </c>
      <c r="B180" s="744"/>
      <c r="C180" s="354"/>
      <c r="D180" s="228" t="s">
        <v>142</v>
      </c>
      <c r="E180" s="95">
        <f>'15'!F180</f>
        <v>13766</v>
      </c>
      <c r="F180" s="157">
        <v>13776</v>
      </c>
      <c r="G180" s="157">
        <f>F180-E180</f>
        <v>10</v>
      </c>
      <c r="H180" s="99">
        <f>G180+'15'!H180</f>
        <v>239</v>
      </c>
      <c r="I180" s="155"/>
      <c r="J180" s="178">
        <f>H180/DAY(B2)</f>
        <v>14.9375</v>
      </c>
    </row>
    <row r="181" spans="1:10" ht="27.75" x14ac:dyDescent="0.5">
      <c r="A181" s="743" t="s">
        <v>215</v>
      </c>
      <c r="B181" s="744"/>
      <c r="C181" s="354"/>
      <c r="D181" s="228" t="s">
        <v>142</v>
      </c>
      <c r="E181" s="95">
        <f>'15'!F181</f>
        <v>9577</v>
      </c>
      <c r="F181" s="157">
        <v>9589</v>
      </c>
      <c r="G181" s="157">
        <f t="shared" ref="G181:G182" si="16">F181-E181</f>
        <v>12</v>
      </c>
      <c r="H181" s="99">
        <f>G181+'15'!H181</f>
        <v>141</v>
      </c>
      <c r="I181" s="155"/>
      <c r="J181" s="178">
        <f>H181/DAY(B2)</f>
        <v>8.8125</v>
      </c>
    </row>
    <row r="182" spans="1:10" ht="32.25" customHeight="1" x14ac:dyDescent="0.5">
      <c r="A182" s="743" t="s">
        <v>216</v>
      </c>
      <c r="B182" s="744"/>
      <c r="C182" s="354"/>
      <c r="D182" s="228" t="s">
        <v>142</v>
      </c>
      <c r="E182" s="95">
        <f>'15'!F182</f>
        <v>0</v>
      </c>
      <c r="F182" s="157"/>
      <c r="G182" s="157">
        <f t="shared" si="16"/>
        <v>0</v>
      </c>
      <c r="H182" s="99">
        <f>G182+'15'!H182</f>
        <v>0</v>
      </c>
      <c r="I182" s="155"/>
      <c r="J182" s="178">
        <f>H182/DAY(B2)</f>
        <v>0</v>
      </c>
    </row>
    <row r="183" spans="1:10" ht="27.75" x14ac:dyDescent="0.5">
      <c r="A183" s="732" t="s">
        <v>196</v>
      </c>
      <c r="B183" s="733"/>
      <c r="C183" s="354"/>
      <c r="D183" s="228" t="s">
        <v>142</v>
      </c>
      <c r="E183" s="95">
        <f>'15'!F183</f>
        <v>0</v>
      </c>
      <c r="F183" s="157"/>
      <c r="G183" s="157">
        <f>SUM(G180:G182)</f>
        <v>22</v>
      </c>
      <c r="H183" s="99">
        <f>G183+'15'!H183</f>
        <v>380</v>
      </c>
      <c r="I183" s="157"/>
      <c r="J183" s="178">
        <f>H183/DAY(B2)</f>
        <v>23.75</v>
      </c>
    </row>
    <row r="184" spans="1:10" ht="27.75" x14ac:dyDescent="0.5">
      <c r="A184" s="734" t="s">
        <v>217</v>
      </c>
      <c r="B184" s="735"/>
      <c r="C184" s="353"/>
      <c r="D184" s="230" t="s">
        <v>142</v>
      </c>
      <c r="E184" s="95">
        <f>'15'!F184</f>
        <v>0</v>
      </c>
      <c r="F184" s="159"/>
      <c r="G184" s="588">
        <f>G62+G19</f>
        <v>176</v>
      </c>
      <c r="H184" s="99">
        <f>G184+'15'!H184</f>
        <v>2664</v>
      </c>
      <c r="I184" s="158"/>
      <c r="J184" s="179">
        <f>H184/DAY(B2)</f>
        <v>166.5</v>
      </c>
    </row>
    <row r="185" spans="1:10" ht="27.75" x14ac:dyDescent="0.5">
      <c r="A185" s="734" t="s">
        <v>218</v>
      </c>
      <c r="B185" s="735"/>
      <c r="C185" s="353"/>
      <c r="D185" s="230" t="s">
        <v>142</v>
      </c>
      <c r="E185" s="95">
        <f>'15'!F185</f>
        <v>0</v>
      </c>
      <c r="F185" s="159"/>
      <c r="G185" s="588">
        <f>G65+G66+G67+G69+G70</f>
        <v>169</v>
      </c>
      <c r="H185" s="99">
        <f>G185+'15'!H185</f>
        <v>351</v>
      </c>
      <c r="I185" s="158"/>
      <c r="J185" s="179">
        <f>H185/DAY(B2)</f>
        <v>21.9375</v>
      </c>
    </row>
    <row r="186" spans="1:10" ht="23.25" customHeight="1" x14ac:dyDescent="0.5">
      <c r="A186" s="734" t="s">
        <v>219</v>
      </c>
      <c r="B186" s="735"/>
      <c r="C186" s="353"/>
      <c r="D186" s="230" t="s">
        <v>142</v>
      </c>
      <c r="E186" s="95">
        <f>'15'!F186</f>
        <v>0</v>
      </c>
      <c r="F186" s="157"/>
      <c r="G186" s="585">
        <f>G178</f>
        <v>3121</v>
      </c>
      <c r="H186" s="99">
        <f>G186+'15'!H186</f>
        <v>4481</v>
      </c>
      <c r="I186" s="158"/>
      <c r="J186" s="179">
        <f>H186/DAY(B2)</f>
        <v>280.0625</v>
      </c>
    </row>
    <row r="187" spans="1:10" ht="23.25" customHeight="1" x14ac:dyDescent="0.5">
      <c r="A187" s="741"/>
      <c r="B187" s="742"/>
      <c r="C187" s="609"/>
      <c r="D187" s="606"/>
      <c r="E187" s="606" t="s">
        <v>207</v>
      </c>
      <c r="F187" s="627"/>
      <c r="G187" s="606"/>
      <c r="H187" s="607"/>
      <c r="I187" s="606"/>
      <c r="J187" s="608"/>
    </row>
    <row r="188" spans="1:10" ht="23.25" customHeight="1" x14ac:dyDescent="0.5"/>
    <row r="189" spans="1:10" ht="23.25" customHeight="1" x14ac:dyDescent="0.5"/>
    <row r="190" spans="1:10" ht="23.25" customHeight="1" x14ac:dyDescent="0.5"/>
    <row r="191" spans="1:10" ht="23.25" customHeight="1" x14ac:dyDescent="0.5"/>
    <row r="192" spans="1:10" ht="23.25" customHeight="1" x14ac:dyDescent="0.5"/>
    <row r="193" ht="23.25" customHeight="1" x14ac:dyDescent="0.5"/>
    <row r="194" ht="23.25" customHeight="1" x14ac:dyDescent="0.5"/>
    <row r="195" ht="23.25" customHeight="1" x14ac:dyDescent="0.5"/>
    <row r="196" ht="23.25" customHeight="1" x14ac:dyDescent="0.5"/>
    <row r="197" ht="23.25" customHeight="1" x14ac:dyDescent="0.5"/>
    <row r="198" ht="23.25" customHeight="1" x14ac:dyDescent="0.5"/>
    <row r="199" ht="23.25" customHeight="1" x14ac:dyDescent="0.5"/>
    <row r="200" ht="23.25" customHeight="1" x14ac:dyDescent="0.5"/>
    <row r="201" ht="23.25" customHeight="1" x14ac:dyDescent="0.5"/>
    <row r="202" ht="23.25" customHeight="1" x14ac:dyDescent="0.5"/>
    <row r="203" ht="23.25" customHeight="1" x14ac:dyDescent="0.5"/>
    <row r="204" ht="23.25" customHeight="1" x14ac:dyDescent="0.5"/>
    <row r="205" ht="23.25" customHeight="1" x14ac:dyDescent="0.5"/>
    <row r="206" ht="23.25" customHeight="1" x14ac:dyDescent="0.5"/>
    <row r="207" ht="23.25" customHeight="1" x14ac:dyDescent="0.5"/>
    <row r="208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  <row r="239" ht="23.25" customHeight="1" x14ac:dyDescent="0.5"/>
    <row r="240" ht="23.25" customHeight="1" x14ac:dyDescent="0.5"/>
    <row r="241" ht="23.25" customHeight="1" x14ac:dyDescent="0.5"/>
    <row r="242" ht="23.25" customHeight="1" x14ac:dyDescent="0.5"/>
    <row r="243" ht="23.25" customHeight="1" x14ac:dyDescent="0.5"/>
    <row r="244" ht="23.25" customHeight="1" x14ac:dyDescent="0.5"/>
    <row r="245" ht="23.25" customHeight="1" x14ac:dyDescent="0.5"/>
    <row r="246" ht="23.25" customHeight="1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147:C147"/>
    <mergeCell ref="A148:C148"/>
    <mergeCell ref="A112:C112"/>
    <mergeCell ref="A113:C113"/>
    <mergeCell ref="A114:C114"/>
    <mergeCell ref="A152:C152"/>
    <mergeCell ref="A103:C103"/>
    <mergeCell ref="A144:C144"/>
    <mergeCell ref="A145:C145"/>
    <mergeCell ref="A146:C146"/>
    <mergeCell ref="A150:C150"/>
    <mergeCell ref="A151:C151"/>
    <mergeCell ref="A115:C115"/>
    <mergeCell ref="A116:C116"/>
    <mergeCell ref="A104:C104"/>
    <mergeCell ref="A139:C139"/>
    <mergeCell ref="A140:C140"/>
    <mergeCell ref="A141:C141"/>
    <mergeCell ref="A142:C142"/>
    <mergeCell ref="A149:C149"/>
    <mergeCell ref="A143:C143"/>
    <mergeCell ref="A165:B165"/>
    <mergeCell ref="A95:C95"/>
    <mergeCell ref="A96:C96"/>
    <mergeCell ref="A99:C99"/>
    <mergeCell ref="A121:C12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54:J154"/>
    <mergeCell ref="A155:C155"/>
    <mergeCell ref="A138:C138"/>
    <mergeCell ref="A102:C102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35:C135"/>
    <mergeCell ref="A125:B125"/>
    <mergeCell ref="A126:J126"/>
    <mergeCell ref="A127:B127"/>
    <mergeCell ref="A128:C128"/>
    <mergeCell ref="A131:C131"/>
    <mergeCell ref="A156:C156"/>
    <mergeCell ref="A157:J157"/>
    <mergeCell ref="A186:B186"/>
    <mergeCell ref="A187:B187"/>
    <mergeCell ref="A178:B178"/>
    <mergeCell ref="A182:B182"/>
    <mergeCell ref="A183:B183"/>
    <mergeCell ref="A184:B184"/>
    <mergeCell ref="A185:B185"/>
    <mergeCell ref="A169:B169"/>
    <mergeCell ref="A170:B170"/>
    <mergeCell ref="A171:B171"/>
    <mergeCell ref="A173:B173"/>
    <mergeCell ref="A174:B174"/>
    <mergeCell ref="A180:B180"/>
    <mergeCell ref="A181:B181"/>
    <mergeCell ref="A179:B179"/>
    <mergeCell ref="A176:B176"/>
    <mergeCell ref="A177:B177"/>
    <mergeCell ref="A175:B175"/>
    <mergeCell ref="A172:C172"/>
    <mergeCell ref="A168:J168"/>
    <mergeCell ref="A163:B163"/>
    <mergeCell ref="A164:B164"/>
  </mergeCells>
  <pageMargins left="0.22" right="0.17" top="0.14000000000000001" bottom="0.2" header="0.2" footer="0.2"/>
  <pageSetup paperSize="5" scale="1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87"/>
  <sheetViews>
    <sheetView view="pageBreakPreview" zoomScale="55" zoomScaleSheetLayoutView="55" zoomScalePageLayoutView="60" workbookViewId="0">
      <selection activeCell="F114" sqref="F114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789" t="s">
        <v>115</v>
      </c>
      <c r="B1" s="790"/>
      <c r="C1" s="790"/>
      <c r="D1" s="790"/>
      <c r="E1" s="790"/>
      <c r="F1" s="790"/>
      <c r="G1" s="790"/>
      <c r="H1" s="790"/>
      <c r="I1" s="790"/>
      <c r="J1" s="791"/>
    </row>
    <row r="2" spans="1:15" s="57" customFormat="1" ht="27.75" customHeight="1" x14ac:dyDescent="0.5">
      <c r="A2" s="191" t="s">
        <v>350</v>
      </c>
      <c r="B2" s="266">
        <v>44486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68" t="s">
        <v>118</v>
      </c>
      <c r="D3" s="219">
        <v>28</v>
      </c>
      <c r="E3" s="798" t="s">
        <v>119</v>
      </c>
      <c r="F3" s="799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792" t="s">
        <v>128</v>
      </c>
      <c r="B6" s="793"/>
      <c r="C6" s="79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'16'!F7</f>
        <v>340343.71</v>
      </c>
      <c r="F7" s="95">
        <v>363179.47</v>
      </c>
      <c r="G7" s="112">
        <f>F7-E7</f>
        <v>22835.759999999951</v>
      </c>
      <c r="H7" s="99">
        <f>G7+'16'!H7</f>
        <v>395937.06999999989</v>
      </c>
      <c r="I7" s="113">
        <f>'1'!I7</f>
        <v>12000</v>
      </c>
      <c r="J7" s="175">
        <f>H7/DAY(B2)</f>
        <v>23290.415882352936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'16'!F8</f>
        <v>360496.71</v>
      </c>
      <c r="F8" s="114">
        <v>383529.75</v>
      </c>
      <c r="G8" s="115">
        <f>F8-E8</f>
        <v>23033.039999999979</v>
      </c>
      <c r="H8" s="99">
        <f>G8+'16'!H8</f>
        <v>401812.74999999994</v>
      </c>
      <c r="I8" s="116"/>
      <c r="J8" s="175">
        <f>H8/DAY(B2)</f>
        <v>23636.044117647056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'16'!F9</f>
        <v>1027706.9</v>
      </c>
      <c r="F9" s="117">
        <v>1046976.9</v>
      </c>
      <c r="G9" s="112">
        <f>F9-E9</f>
        <v>19270</v>
      </c>
      <c r="H9" s="99">
        <f>G9+'16'!H9</f>
        <v>316186.90000000002</v>
      </c>
      <c r="I9" s="124">
        <f>I7-J7</f>
        <v>-11290.415882352936</v>
      </c>
      <c r="J9" s="175">
        <f>H9/DAY(B2)</f>
        <v>18599.229411764707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'16'!F10</f>
        <v>65384.55</v>
      </c>
      <c r="F10" s="117">
        <v>68309</v>
      </c>
      <c r="G10" s="112">
        <f t="shared" ref="G10:G12" si="0">F10-E10</f>
        <v>2924.4499999999971</v>
      </c>
      <c r="H10" s="99">
        <f>G10+'16'!H10</f>
        <v>73438</v>
      </c>
      <c r="I10" s="286"/>
      <c r="J10" s="175">
        <f>H10/DAY(B2)</f>
        <v>4319.8823529411766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'16'!F11</f>
        <v>37000</v>
      </c>
      <c r="F11" s="95">
        <v>37000</v>
      </c>
      <c r="G11" s="112">
        <f t="shared" si="0"/>
        <v>0</v>
      </c>
      <c r="H11" s="99">
        <f>G11+'16'!H11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'16'!F12</f>
        <v>40010</v>
      </c>
      <c r="F12" s="117">
        <v>40010</v>
      </c>
      <c r="G12" s="112">
        <f t="shared" si="0"/>
        <v>0</v>
      </c>
      <c r="H12" s="99">
        <f>G12+'16'!H12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22194.449999999997</v>
      </c>
      <c r="H13" s="99">
        <f>G13+'16'!H13</f>
        <v>368079.15</v>
      </c>
      <c r="I13" s="120">
        <f>G7-G13</f>
        <v>641.30999999995402</v>
      </c>
      <c r="J13" s="175">
        <f>H13/DAY(B2)</f>
        <v>21651.714705882354</v>
      </c>
      <c r="K13" s="79"/>
      <c r="L13" s="66"/>
      <c r="N13" s="87"/>
      <c r="O13" s="71"/>
    </row>
    <row r="14" spans="1:15" ht="27.75" customHeight="1" x14ac:dyDescent="0.5">
      <c r="A14" s="795" t="s">
        <v>137</v>
      </c>
      <c r="B14" s="796"/>
      <c r="C14" s="79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65" t="s">
        <v>138</v>
      </c>
      <c r="B15" s="205"/>
      <c r="C15" s="205"/>
      <c r="D15" s="151" t="s">
        <v>139</v>
      </c>
      <c r="E15" s="95">
        <f>'16'!F15</f>
        <v>1800242.8829999999</v>
      </c>
      <c r="F15" s="123">
        <f>E15+875</f>
        <v>1801117.8829999999</v>
      </c>
      <c r="G15" s="112">
        <f>(F15-E15)</f>
        <v>875</v>
      </c>
      <c r="H15" s="99">
        <f>G15+'16'!H15</f>
        <v>16909.882999999914</v>
      </c>
      <c r="I15" s="113">
        <f>'1'!I15</f>
        <v>800</v>
      </c>
      <c r="J15" s="175">
        <f>H15/DAY(B2)</f>
        <v>994.69899999999495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-194.69899999999495</v>
      </c>
      <c r="J16" s="176"/>
      <c r="K16" s="79"/>
      <c r="L16" s="66"/>
      <c r="N16" s="87"/>
      <c r="O16" s="71"/>
    </row>
    <row r="17" spans="1:15" ht="27.75" customHeight="1" x14ac:dyDescent="0.5">
      <c r="A17" s="795" t="s">
        <v>140</v>
      </c>
      <c r="B17" s="796"/>
      <c r="C17" s="79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771" t="s">
        <v>141</v>
      </c>
      <c r="B18" s="772"/>
      <c r="C18" s="773"/>
      <c r="D18" s="151" t="s">
        <v>142</v>
      </c>
      <c r="E18" s="95">
        <f>'16'!F18</f>
        <v>22</v>
      </c>
      <c r="F18" s="122">
        <v>21</v>
      </c>
      <c r="G18" s="119">
        <f>F18*10</f>
        <v>210</v>
      </c>
      <c r="H18" s="99">
        <f>G18+'16'!H18</f>
        <v>3320</v>
      </c>
      <c r="I18" s="113">
        <f>'1'!I18</f>
        <v>65</v>
      </c>
      <c r="J18" s="175">
        <f>H18/DAY(B2)</f>
        <v>195.29411764705881</v>
      </c>
      <c r="K18" s="79"/>
      <c r="L18" s="66"/>
      <c r="N18" s="87"/>
      <c r="O18" s="71"/>
    </row>
    <row r="19" spans="1:15" ht="27.75" customHeight="1" x14ac:dyDescent="0.5">
      <c r="A19" s="771" t="s">
        <v>69</v>
      </c>
      <c r="B19" s="772"/>
      <c r="C19" s="773"/>
      <c r="D19" s="151" t="s">
        <v>142</v>
      </c>
      <c r="E19" s="95">
        <f>'16'!F19</f>
        <v>148044</v>
      </c>
      <c r="F19" s="122">
        <v>148105</v>
      </c>
      <c r="G19" s="112">
        <f t="shared" ref="G19" si="1">F19-E19</f>
        <v>61</v>
      </c>
      <c r="H19" s="99">
        <f>G19+'16'!H19</f>
        <v>993</v>
      </c>
      <c r="I19" s="355"/>
      <c r="J19" s="175">
        <f>H19/DAY(B2)</f>
        <v>58.411764705882355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271</v>
      </c>
      <c r="H20" s="99">
        <f>G20+'16'!H20</f>
        <v>4313</v>
      </c>
      <c r="I20" s="356">
        <f>I18-J20</f>
        <v>-188.70588235294119</v>
      </c>
      <c r="J20" s="175">
        <f>H20/DAY(B2)</f>
        <v>253.70588235294119</v>
      </c>
      <c r="K20" s="79"/>
      <c r="L20" s="66"/>
      <c r="N20" s="87"/>
      <c r="O20" s="71"/>
    </row>
    <row r="21" spans="1:15" ht="27.75" customHeight="1" x14ac:dyDescent="0.5">
      <c r="A21" s="795" t="s">
        <v>144</v>
      </c>
      <c r="B21" s="796"/>
      <c r="C21" s="79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6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119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65" t="s">
        <v>147</v>
      </c>
      <c r="B23" s="205"/>
      <c r="C23" s="205"/>
      <c r="D23" s="151" t="s">
        <v>146</v>
      </c>
      <c r="E23" s="95">
        <f>'16'!F23</f>
        <v>2000</v>
      </c>
      <c r="F23" s="122">
        <v>2000</v>
      </c>
      <c r="G23" s="119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119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00" t="s">
        <v>149</v>
      </c>
      <c r="B25" s="801"/>
      <c r="C25" s="80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23033.039999999979</v>
      </c>
      <c r="F27" s="136">
        <v>9</v>
      </c>
      <c r="G27" s="137">
        <f>E27*F27</f>
        <v>207297.35999999981</v>
      </c>
      <c r="H27" s="99">
        <f>G27+'16'!H27</f>
        <v>3616314.7499999995</v>
      </c>
      <c r="I27" s="138"/>
      <c r="J27" s="175">
        <f>H27/DAY(B2)</f>
        <v>212724.3970588235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875</v>
      </c>
      <c r="F28" s="136">
        <v>52</v>
      </c>
      <c r="G28" s="137">
        <f>E28*F28</f>
        <v>45500</v>
      </c>
      <c r="H28" s="99">
        <f>G28+'16'!H28</f>
        <v>879313.91599999554</v>
      </c>
      <c r="I28" s="140"/>
      <c r="J28" s="175">
        <f>H28/DAY(B2)</f>
        <v>51724.347999999736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61</v>
      </c>
      <c r="F30" s="136">
        <v>146</v>
      </c>
      <c r="G30" s="137">
        <f>E30*F30</f>
        <v>8906</v>
      </c>
      <c r="H30" s="99">
        <f>G30+'16'!H30</f>
        <v>144978</v>
      </c>
      <c r="I30" s="140"/>
      <c r="J30" s="175">
        <f>H30/DAY(B2)</f>
        <v>8528.1176470588234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G31+'16'!H31</f>
        <v>265600</v>
      </c>
      <c r="I31" s="140"/>
      <c r="J31" s="175">
        <f>H31/DAY(B2)</f>
        <v>15623.529411764706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278503.35999999981</v>
      </c>
      <c r="H32" s="99">
        <f>G32+'16'!H32</f>
        <v>4906206.6659999955</v>
      </c>
      <c r="I32" s="144"/>
      <c r="J32" s="175">
        <f>H32/DAY(B2)</f>
        <v>288600.39211764681</v>
      </c>
      <c r="K32" s="63"/>
      <c r="L32" s="89"/>
      <c r="N32" s="87"/>
      <c r="O32" s="71"/>
    </row>
    <row r="33" spans="1:15" ht="27.75" customHeight="1" x14ac:dyDescent="0.35">
      <c r="A33" s="803" t="s">
        <v>331</v>
      </c>
      <c r="B33" s="804"/>
      <c r="C33" s="804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'16'!F35</f>
        <v>2667.38</v>
      </c>
      <c r="F35" s="145">
        <v>5508.4</v>
      </c>
      <c r="G35" s="112">
        <f t="shared" ref="G35:G46" si="3">F35-E35</f>
        <v>2841.0199999999995</v>
      </c>
      <c r="H35" s="99">
        <f>G35+'16'!H35</f>
        <v>5508.4</v>
      </c>
      <c r="I35" s="95"/>
      <c r="J35" s="175">
        <f>H35/DAY(B2)</f>
        <v>324.02352941176468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'16'!F36</f>
        <v>36960.800000000003</v>
      </c>
      <c r="F36" s="145">
        <v>37703.1</v>
      </c>
      <c r="G36" s="112">
        <f t="shared" si="3"/>
        <v>742.29999999999563</v>
      </c>
      <c r="H36" s="99">
        <f>G36+'16'!H36</f>
        <v>13826.099999999999</v>
      </c>
      <c r="I36" s="95"/>
      <c r="J36" s="175">
        <f>H36/DAY(B2)</f>
        <v>813.3</v>
      </c>
      <c r="K36" s="79"/>
      <c r="L36" s="66"/>
      <c r="N36" s="87"/>
      <c r="O36" s="36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'16'!F37</f>
        <v>81618.67</v>
      </c>
      <c r="F37" s="145">
        <v>83253.87</v>
      </c>
      <c r="G37" s="112">
        <f t="shared" si="3"/>
        <v>1635.1999999999971</v>
      </c>
      <c r="H37" s="99">
        <f>G37+'16'!H37</f>
        <v>29090.869999999995</v>
      </c>
      <c r="I37" s="95"/>
      <c r="J37" s="175">
        <f>H37/DAY(B2)</f>
        <v>1711.2276470588233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'16'!F38</f>
        <v>87716.88</v>
      </c>
      <c r="F38" s="108">
        <v>89597.6</v>
      </c>
      <c r="G38" s="112">
        <f t="shared" si="3"/>
        <v>1880.7200000000012</v>
      </c>
      <c r="H38" s="99">
        <f>G38+'16'!H38</f>
        <v>32471.600000000006</v>
      </c>
      <c r="I38" s="95"/>
      <c r="J38" s="175">
        <f>H38/DAY(B2)</f>
        <v>1910.0941176470592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'16'!F39</f>
        <v>190536.13</v>
      </c>
      <c r="F39" s="145">
        <v>194704.03</v>
      </c>
      <c r="G39" s="112">
        <f t="shared" si="3"/>
        <v>4167.8999999999942</v>
      </c>
      <c r="H39" s="99">
        <f>G39+'16'!H39</f>
        <v>71813.03</v>
      </c>
      <c r="I39" s="95"/>
      <c r="J39" s="175">
        <f>H39/DAY(B2)</f>
        <v>4224.2958823529407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'16'!F40</f>
        <v>7.53</v>
      </c>
      <c r="F40" s="145">
        <v>7.53</v>
      </c>
      <c r="G40" s="112">
        <f t="shared" si="3"/>
        <v>0</v>
      </c>
      <c r="H40" s="99">
        <f>G40+'16'!H40</f>
        <v>8.8300000000000018</v>
      </c>
      <c r="I40" s="95"/>
      <c r="J40" s="175">
        <f>H40/DAY(B2)</f>
        <v>0.51941176470588246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'16'!F41</f>
        <v>549295.18999999994</v>
      </c>
      <c r="F41" s="145">
        <v>554578.67000000004</v>
      </c>
      <c r="G41" s="112">
        <f t="shared" si="3"/>
        <v>5283.4800000000978</v>
      </c>
      <c r="H41" s="99">
        <f>G41+'16'!H41</f>
        <v>65359.080000000016</v>
      </c>
      <c r="I41" s="95"/>
      <c r="J41" s="175">
        <f>H41/DAY(B2)</f>
        <v>3844.6517647058831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'16'!F42</f>
        <v>267163.51</v>
      </c>
      <c r="F42" s="145">
        <v>268664.49</v>
      </c>
      <c r="G42" s="112">
        <f t="shared" si="3"/>
        <v>1500.9799999999814</v>
      </c>
      <c r="H42" s="99">
        <f>G42+'16'!H42</f>
        <v>24481.489999999991</v>
      </c>
      <c r="I42" s="95"/>
      <c r="J42" s="175">
        <f>H42/DAY(B2)</f>
        <v>1440.087647058823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'16'!F43</f>
        <v>1404218.5</v>
      </c>
      <c r="F43" s="145">
        <v>1406783.2</v>
      </c>
      <c r="G43" s="112">
        <f t="shared" si="3"/>
        <v>2564.6999999999534</v>
      </c>
      <c r="H43" s="99">
        <f>G43+'16'!H43</f>
        <v>42825.199999999953</v>
      </c>
      <c r="I43" s="95"/>
      <c r="J43" s="175">
        <f>H43/DAY(B2)</f>
        <v>2519.129411764703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112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112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112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20616.300000000021</v>
      </c>
      <c r="H47" s="99">
        <f>G47+'16'!H47</f>
        <v>285384.59999999998</v>
      </c>
      <c r="I47" s="95"/>
      <c r="J47" s="175">
        <f>H47/DAY(B2)</f>
        <v>16787.329411764706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'16'!F49</f>
        <v>150475.76</v>
      </c>
      <c r="F49" s="145">
        <v>151798.06</v>
      </c>
      <c r="G49" s="112">
        <f t="shared" ref="G49:G58" si="4">F49-E49</f>
        <v>1322.2999999999884</v>
      </c>
      <c r="H49" s="99">
        <f>G49+'16'!H49</f>
        <v>60601.679999999993</v>
      </c>
      <c r="I49" s="95"/>
      <c r="J49" s="175">
        <f>H49/DAY(B2)</f>
        <v>3564.8047058823527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'16'!F50</f>
        <v>662900.23</v>
      </c>
      <c r="F50" s="145">
        <v>664151.94999999995</v>
      </c>
      <c r="G50" s="112">
        <f t="shared" si="4"/>
        <v>1251.7199999999721</v>
      </c>
      <c r="H50" s="99">
        <f>G50+'16'!H50</f>
        <v>20661.949999999953</v>
      </c>
      <c r="I50" s="95"/>
      <c r="J50" s="175">
        <f>H50/DAY(B2)</f>
        <v>1215.4088235294091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'16'!F51</f>
        <v>0</v>
      </c>
      <c r="F51" s="145">
        <v>0</v>
      </c>
      <c r="G51" s="112">
        <f t="shared" si="4"/>
        <v>0</v>
      </c>
      <c r="H51" s="99">
        <f>G51+'16'!H51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'16'!F52</f>
        <v>0</v>
      </c>
      <c r="F52" s="145">
        <v>0</v>
      </c>
      <c r="G52" s="112">
        <f t="shared" si="4"/>
        <v>0</v>
      </c>
      <c r="H52" s="99">
        <f>G52+'16'!H52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'16'!F53</f>
        <v>0</v>
      </c>
      <c r="F53" s="145">
        <v>0</v>
      </c>
      <c r="G53" s="112">
        <f t="shared" si="4"/>
        <v>0</v>
      </c>
      <c r="H53" s="99">
        <f>G53+'16'!H53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'16'!F54</f>
        <v>2798</v>
      </c>
      <c r="F54" s="145">
        <v>2802.23</v>
      </c>
      <c r="G54" s="112">
        <f t="shared" si="4"/>
        <v>4.2300000000000182</v>
      </c>
      <c r="H54" s="99">
        <f>G54+'16'!H54</f>
        <v>70.230000000000018</v>
      </c>
      <c r="I54" s="95"/>
      <c r="J54" s="175">
        <f>H54/DAY(B2)</f>
        <v>4.1311764705882368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'16'!F55</f>
        <v>307298.46999999997</v>
      </c>
      <c r="F55" s="145">
        <v>307298.46999999997</v>
      </c>
      <c r="G55" s="112">
        <f t="shared" si="4"/>
        <v>0</v>
      </c>
      <c r="H55" s="99">
        <f>G55+'16'!H55</f>
        <v>-0.53000000002793968</v>
      </c>
      <c r="I55" s="95"/>
      <c r="J55" s="175">
        <f>H55/DAY(B2)</f>
        <v>-3.1176470589878803E-2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'16'!F56</f>
        <v>774281.35</v>
      </c>
      <c r="F56" s="145">
        <v>774300.55</v>
      </c>
      <c r="G56" s="112">
        <f t="shared" si="4"/>
        <v>19.200000000069849</v>
      </c>
      <c r="H56" s="99">
        <f>G56+'16'!H56</f>
        <v>32530.550000000047</v>
      </c>
      <c r="I56" s="95"/>
      <c r="J56" s="175">
        <f>H56/DAY(B2)</f>
        <v>1913.561764705885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'16'!F57</f>
        <v>0</v>
      </c>
      <c r="F57" s="145">
        <v>0</v>
      </c>
      <c r="G57" s="112">
        <f t="shared" si="4"/>
        <v>0</v>
      </c>
      <c r="H57" s="99">
        <f>G57+'16'!H57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'16'!F58</f>
        <v>75694.259999999995</v>
      </c>
      <c r="F58" s="145">
        <v>75933.8</v>
      </c>
      <c r="G58" s="112">
        <f t="shared" si="4"/>
        <v>239.54000000000815</v>
      </c>
      <c r="H58" s="99">
        <f>G58+'16'!H58</f>
        <v>3778.8000000000029</v>
      </c>
      <c r="I58" s="95"/>
      <c r="J58" s="175">
        <f>H58/DAY(B2)</f>
        <v>222.28235294117664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2836.9900000000384</v>
      </c>
      <c r="H59" s="99">
        <f>G59+'16'!H59</f>
        <v>117642.67999999996</v>
      </c>
      <c r="I59" s="95">
        <f>G7-G60</f>
        <v>-617.53000000010798</v>
      </c>
      <c r="J59" s="175">
        <f>H59/DAY(B2)</f>
        <v>6920.1576470588216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23453.290000000059</v>
      </c>
      <c r="H60" s="99">
        <f>G60+'16'!H60</f>
        <v>403027.27999999991</v>
      </c>
      <c r="I60" s="95">
        <f>G13-G60</f>
        <v>-1258.840000000062</v>
      </c>
      <c r="J60" s="175">
        <f>H60/DAY(B2)</f>
        <v>23707.487058823524</v>
      </c>
      <c r="K60" s="79"/>
      <c r="L60" s="66"/>
      <c r="N60" s="87"/>
      <c r="O60" s="71"/>
    </row>
    <row r="61" spans="1:15" s="68" customFormat="1" ht="27.75" customHeight="1" x14ac:dyDescent="0.5">
      <c r="A61" s="805" t="s">
        <v>332</v>
      </c>
      <c r="B61" s="806"/>
      <c r="C61" s="807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customHeight="1" x14ac:dyDescent="0.5">
      <c r="A62" s="771" t="s">
        <v>198</v>
      </c>
      <c r="B62" s="772"/>
      <c r="C62" s="773"/>
      <c r="D62" s="151" t="s">
        <v>142</v>
      </c>
      <c r="E62" s="95">
        <f>'16'!F62</f>
        <v>258085</v>
      </c>
      <c r="F62" s="122">
        <v>258206</v>
      </c>
      <c r="G62" s="112">
        <f t="shared" ref="G62:G63" si="5">F62-E62</f>
        <v>121</v>
      </c>
      <c r="H62" s="99">
        <f>G62+'16'!H62</f>
        <v>1853</v>
      </c>
      <c r="I62" s="118"/>
      <c r="J62" s="175">
        <f>H62/DAY(B2)</f>
        <v>109</v>
      </c>
      <c r="K62" s="80"/>
      <c r="L62" s="66"/>
      <c r="N62" s="87"/>
      <c r="O62" s="71"/>
    </row>
    <row r="63" spans="1:15" ht="27.75" customHeight="1" x14ac:dyDescent="0.5">
      <c r="A63" s="771" t="s">
        <v>199</v>
      </c>
      <c r="B63" s="772"/>
      <c r="C63" s="773"/>
      <c r="D63" s="151" t="s">
        <v>142</v>
      </c>
      <c r="E63" s="95">
        <f>'16'!F63</f>
        <v>204670</v>
      </c>
      <c r="F63" s="122">
        <v>204762</v>
      </c>
      <c r="G63" s="112">
        <f t="shared" si="5"/>
        <v>92</v>
      </c>
      <c r="H63" s="99">
        <f>G63+'16'!H63</f>
        <v>2236</v>
      </c>
      <c r="I63" s="118"/>
      <c r="J63" s="175">
        <f>H63/DAY(B2)</f>
        <v>131.52941176470588</v>
      </c>
      <c r="K63" s="69"/>
      <c r="L63" s="66"/>
      <c r="N63" s="87"/>
      <c r="O63" s="71"/>
    </row>
    <row r="64" spans="1:15" ht="27.75" customHeight="1" x14ac:dyDescent="0.5">
      <c r="A64" s="780" t="s">
        <v>200</v>
      </c>
      <c r="B64" s="781"/>
      <c r="C64" s="782"/>
      <c r="D64" s="151"/>
      <c r="E64" s="95">
        <f>'16'!F64</f>
        <v>0</v>
      </c>
      <c r="F64" s="122"/>
      <c r="G64" s="112">
        <f>G62+G63</f>
        <v>213</v>
      </c>
      <c r="H64" s="99">
        <f>G64+'16'!H64</f>
        <v>4089</v>
      </c>
      <c r="I64" s="118"/>
      <c r="J64" s="175">
        <f>H64/DAY(B2)</f>
        <v>240.52941176470588</v>
      </c>
      <c r="K64" s="69"/>
      <c r="L64" s="66"/>
      <c r="N64" s="87"/>
      <c r="O64" s="71"/>
    </row>
    <row r="65" spans="1:15" ht="27.75" customHeight="1" x14ac:dyDescent="0.5">
      <c r="A65" s="771" t="s">
        <v>201</v>
      </c>
      <c r="B65" s="772"/>
      <c r="C65" s="773"/>
      <c r="D65" s="151" t="s">
        <v>142</v>
      </c>
      <c r="E65" s="95">
        <f>'16'!F65</f>
        <v>424751</v>
      </c>
      <c r="F65" s="122">
        <v>424849</v>
      </c>
      <c r="G65" s="112">
        <f t="shared" ref="G65:G70" si="6">F65-E65</f>
        <v>98</v>
      </c>
      <c r="H65" s="99">
        <f>G65+'16'!H65</f>
        <v>1560</v>
      </c>
      <c r="I65" s="118"/>
      <c r="J65" s="175">
        <f>H65/DAY(B2)</f>
        <v>91.764705882352942</v>
      </c>
      <c r="K65" s="69"/>
      <c r="L65" s="66"/>
      <c r="N65" s="87"/>
      <c r="O65" s="71"/>
    </row>
    <row r="66" spans="1:15" ht="27.75" customHeight="1" x14ac:dyDescent="0.5">
      <c r="A66" s="365" t="s">
        <v>202</v>
      </c>
      <c r="B66" s="366"/>
      <c r="C66" s="366"/>
      <c r="D66" s="151" t="s">
        <v>142</v>
      </c>
      <c r="E66" s="95">
        <f>'16'!F66</f>
        <v>105663</v>
      </c>
      <c r="F66" s="122">
        <v>105690</v>
      </c>
      <c r="G66" s="112">
        <f t="shared" si="6"/>
        <v>27</v>
      </c>
      <c r="H66" s="99">
        <f>G66+'16'!H66</f>
        <v>376</v>
      </c>
      <c r="I66" s="118"/>
      <c r="J66" s="175">
        <f>H66/DAY(B2)</f>
        <v>22.117647058823529</v>
      </c>
      <c r="K66" s="78"/>
      <c r="L66" s="66"/>
      <c r="N66" s="87"/>
      <c r="O66" s="71"/>
    </row>
    <row r="67" spans="1:15" ht="27.75" customHeight="1" x14ac:dyDescent="0.5">
      <c r="A67" s="365" t="s">
        <v>203</v>
      </c>
      <c r="B67" s="366"/>
      <c r="C67" s="366"/>
      <c r="D67" s="151" t="s">
        <v>142</v>
      </c>
      <c r="E67" s="95">
        <f>'16'!F67</f>
        <v>101731</v>
      </c>
      <c r="F67" s="122">
        <v>101764</v>
      </c>
      <c r="G67" s="112">
        <f t="shared" si="6"/>
        <v>33</v>
      </c>
      <c r="H67" s="99">
        <f>G67+'16'!H67</f>
        <v>480</v>
      </c>
      <c r="I67" s="118"/>
      <c r="J67" s="175">
        <f>H67/DAY(B2)</f>
        <v>28.235294117647058</v>
      </c>
      <c r="K67" s="81"/>
      <c r="L67" s="66"/>
      <c r="N67" s="87"/>
      <c r="O67" s="71"/>
    </row>
    <row r="68" spans="1:15" ht="27.75" customHeight="1" x14ac:dyDescent="0.5">
      <c r="A68" s="365" t="s">
        <v>204</v>
      </c>
      <c r="B68" s="366"/>
      <c r="C68" s="366"/>
      <c r="D68" s="151" t="s">
        <v>142</v>
      </c>
      <c r="E68" s="95">
        <f>'16'!F68</f>
        <v>153822</v>
      </c>
      <c r="F68" s="122">
        <v>153872</v>
      </c>
      <c r="G68" s="112">
        <f t="shared" si="6"/>
        <v>50</v>
      </c>
      <c r="H68" s="99">
        <f>G68+'16'!H68</f>
        <v>759</v>
      </c>
      <c r="I68" s="118"/>
      <c r="J68" s="175">
        <f>H68/DAY(B2)</f>
        <v>44.647058823529413</v>
      </c>
      <c r="K68" s="69"/>
      <c r="L68" s="66"/>
      <c r="N68" s="87"/>
      <c r="O68" s="71"/>
    </row>
    <row r="69" spans="1:15" ht="27.75" customHeight="1" x14ac:dyDescent="0.5">
      <c r="A69" s="365" t="s">
        <v>205</v>
      </c>
      <c r="B69" s="366"/>
      <c r="C69" s="366"/>
      <c r="D69" s="151" t="s">
        <v>142</v>
      </c>
      <c r="E69" s="95">
        <f>'16'!F69</f>
        <v>9252</v>
      </c>
      <c r="F69" s="122">
        <v>9265</v>
      </c>
      <c r="G69" s="112">
        <f t="shared" si="6"/>
        <v>13</v>
      </c>
      <c r="H69" s="99">
        <f>G69+'16'!H69</f>
        <v>208</v>
      </c>
      <c r="I69" s="118"/>
      <c r="J69" s="175">
        <f>H69/DAY(B2)</f>
        <v>12.235294117647058</v>
      </c>
      <c r="K69" s="69"/>
      <c r="L69" s="66"/>
      <c r="N69" s="87"/>
      <c r="O69" s="71"/>
    </row>
    <row r="70" spans="1:15" ht="27.75" customHeight="1" x14ac:dyDescent="0.5">
      <c r="A70" s="365" t="s">
        <v>206</v>
      </c>
      <c r="B70" s="366"/>
      <c r="C70" s="366"/>
      <c r="D70" s="151" t="s">
        <v>142</v>
      </c>
      <c r="E70" s="95">
        <f>'16'!F70</f>
        <v>6985</v>
      </c>
      <c r="F70" s="122">
        <v>7001</v>
      </c>
      <c r="G70" s="112">
        <f t="shared" si="6"/>
        <v>16</v>
      </c>
      <c r="H70" s="99">
        <f>G70+'16'!H70</f>
        <v>197</v>
      </c>
      <c r="I70" s="118"/>
      <c r="J70" s="175">
        <f>H70/DAY(B2)</f>
        <v>11.588235294117647</v>
      </c>
      <c r="K70" s="69"/>
      <c r="L70" s="66"/>
      <c r="N70" s="87"/>
      <c r="O70" s="71"/>
    </row>
    <row r="71" spans="1:15" ht="27.75" customHeight="1" x14ac:dyDescent="0.5">
      <c r="A71" s="780" t="s">
        <v>208</v>
      </c>
      <c r="B71" s="781"/>
      <c r="C71" s="782"/>
      <c r="D71" s="152"/>
      <c r="E71" s="152"/>
      <c r="F71" s="152"/>
      <c r="G71" s="153">
        <f>SUM(G65:G70)</f>
        <v>237</v>
      </c>
      <c r="H71" s="99">
        <f>G71+'16'!H71</f>
        <v>3580</v>
      </c>
      <c r="I71" s="154"/>
      <c r="J71" s="175">
        <f>H71/DAY(B2)</f>
        <v>210.58823529411765</v>
      </c>
      <c r="K71" s="69"/>
      <c r="L71" s="66"/>
      <c r="N71" s="87"/>
      <c r="O71" s="71"/>
    </row>
    <row r="72" spans="1:15" s="88" customFormat="1" ht="27.75" customHeight="1" x14ac:dyDescent="0.5">
      <c r="A72" s="767"/>
      <c r="B72" s="752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777" t="s">
        <v>333</v>
      </c>
      <c r="B73" s="778"/>
      <c r="C73" s="779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customHeight="1" x14ac:dyDescent="0.5">
      <c r="A74" s="771" t="s">
        <v>220</v>
      </c>
      <c r="B74" s="772"/>
      <c r="C74" s="773"/>
      <c r="D74" s="151" t="s">
        <v>139</v>
      </c>
      <c r="E74" s="95">
        <f>'16'!F74</f>
        <v>869170.61</v>
      </c>
      <c r="F74" s="117">
        <v>869473.87</v>
      </c>
      <c r="G74" s="112">
        <f t="shared" ref="G74:G78" si="7">F74-E74</f>
        <v>303.26000000000931</v>
      </c>
      <c r="H74" s="99">
        <f>G74+'16'!H74</f>
        <v>4965.8699999999953</v>
      </c>
      <c r="I74" s="154"/>
      <c r="J74" s="175">
        <f>H74/DAY(B2)</f>
        <v>292.10999999999973</v>
      </c>
      <c r="K74" s="69"/>
      <c r="L74" s="66"/>
      <c r="N74" s="87"/>
      <c r="O74" s="71"/>
    </row>
    <row r="75" spans="1:15" ht="27.75" customHeight="1" x14ac:dyDescent="0.5">
      <c r="A75" s="771" t="s">
        <v>221</v>
      </c>
      <c r="B75" s="772"/>
      <c r="C75" s="773"/>
      <c r="D75" s="151" t="s">
        <v>139</v>
      </c>
      <c r="E75" s="95">
        <f>'16'!F75</f>
        <v>73583.399999999994</v>
      </c>
      <c r="F75" s="123">
        <v>73583.399999999994</v>
      </c>
      <c r="G75" s="112">
        <f t="shared" si="7"/>
        <v>0</v>
      </c>
      <c r="H75" s="99">
        <f>G75+'16'!H75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768" t="s">
        <v>222</v>
      </c>
      <c r="B76" s="769"/>
      <c r="C76" s="770"/>
      <c r="D76" s="151" t="s">
        <v>139</v>
      </c>
      <c r="E76" s="95">
        <f>'16'!F76</f>
        <v>158486.17800000001</v>
      </c>
      <c r="F76" s="123">
        <v>158579.92000000001</v>
      </c>
      <c r="G76" s="112">
        <f t="shared" si="7"/>
        <v>93.74199999999837</v>
      </c>
      <c r="H76" s="99">
        <f>G76+'16'!H76</f>
        <v>1767.9200000000128</v>
      </c>
      <c r="I76" s="154"/>
      <c r="J76" s="175">
        <f>H76/DAY(B2)</f>
        <v>103.99529411764782</v>
      </c>
      <c r="K76" s="69"/>
      <c r="L76" s="66"/>
      <c r="N76" s="87"/>
      <c r="O76" s="71"/>
    </row>
    <row r="77" spans="1:15" ht="27.75" customHeight="1" x14ac:dyDescent="0.5">
      <c r="A77" s="768" t="s">
        <v>223</v>
      </c>
      <c r="B77" s="769"/>
      <c r="C77" s="770"/>
      <c r="D77" s="151" t="s">
        <v>139</v>
      </c>
      <c r="E77" s="95">
        <f>'16'!F77</f>
        <v>36804.15</v>
      </c>
      <c r="F77" s="123">
        <v>36850.800000000003</v>
      </c>
      <c r="G77" s="112">
        <f t="shared" si="7"/>
        <v>46.650000000001455</v>
      </c>
      <c r="H77" s="99">
        <f>G77+'16'!H77</f>
        <v>846.80000000000291</v>
      </c>
      <c r="I77" s="154"/>
      <c r="J77" s="175">
        <f>H77/DAY(B2)</f>
        <v>49.811764705882524</v>
      </c>
      <c r="K77" s="69"/>
      <c r="L77" s="66"/>
      <c r="N77" s="87"/>
      <c r="O77" s="71"/>
    </row>
    <row r="78" spans="1:15" ht="27.75" customHeight="1" x14ac:dyDescent="0.5">
      <c r="A78" s="768" t="s">
        <v>224</v>
      </c>
      <c r="B78" s="769"/>
      <c r="C78" s="770"/>
      <c r="D78" s="151" t="s">
        <v>139</v>
      </c>
      <c r="E78" s="95">
        <f>'16'!F78</f>
        <v>9290.6</v>
      </c>
      <c r="F78" s="123">
        <v>9292.6</v>
      </c>
      <c r="G78" s="112">
        <f t="shared" si="7"/>
        <v>2</v>
      </c>
      <c r="H78" s="99">
        <f>G78+'16'!H78</f>
        <v>44.600000000000364</v>
      </c>
      <c r="I78" s="118"/>
      <c r="J78" s="175">
        <f>H78/DAY(B2)</f>
        <v>2.6235294117647272</v>
      </c>
      <c r="K78" s="69"/>
      <c r="L78" s="66"/>
      <c r="N78" s="87"/>
      <c r="O78" s="71"/>
    </row>
    <row r="79" spans="1:15" s="57" customFormat="1" ht="27.75" customHeight="1" x14ac:dyDescent="0.5">
      <c r="A79" s="768" t="s">
        <v>225</v>
      </c>
      <c r="B79" s="769"/>
      <c r="C79" s="770"/>
      <c r="D79" s="151"/>
      <c r="E79" s="95">
        <f>'16'!F79</f>
        <v>0</v>
      </c>
      <c r="F79" s="123"/>
      <c r="G79" s="112">
        <f>G15-SUM(G74:G78)</f>
        <v>429.34799999999086</v>
      </c>
      <c r="H79" s="99">
        <f>G79+'16'!H79</f>
        <v>9284.6929999999029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780" t="s">
        <v>329</v>
      </c>
      <c r="B80" s="781"/>
      <c r="C80" s="782"/>
      <c r="D80" s="151"/>
      <c r="E80" s="117"/>
      <c r="F80" s="117"/>
      <c r="G80" s="112">
        <f>SUM(G74:G79)</f>
        <v>875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785" t="s">
        <v>226</v>
      </c>
      <c r="B81" s="786"/>
      <c r="C81" s="787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65" t="s">
        <v>227</v>
      </c>
      <c r="B82" s="366"/>
      <c r="C82" s="366"/>
      <c r="D82" s="151" t="s">
        <v>228</v>
      </c>
      <c r="E82" s="95">
        <f>'16'!F82</f>
        <v>0</v>
      </c>
      <c r="F82" s="122"/>
      <c r="G82" s="112">
        <f t="shared" ref="G82:G92" si="8">F82-E82</f>
        <v>0</v>
      </c>
      <c r="H82" s="99">
        <f>G82+'16'!H82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65" t="s">
        <v>229</v>
      </c>
      <c r="B83" s="366"/>
      <c r="C83" s="366"/>
      <c r="D83" s="151" t="s">
        <v>228</v>
      </c>
      <c r="E83" s="95">
        <f>'16'!F83</f>
        <v>0</v>
      </c>
      <c r="F83" s="122"/>
      <c r="G83" s="112">
        <f t="shared" si="8"/>
        <v>0</v>
      </c>
      <c r="H83" s="99">
        <f>G83+'16'!H83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65" t="s">
        <v>230</v>
      </c>
      <c r="B84" s="366"/>
      <c r="C84" s="366"/>
      <c r="D84" s="151" t="s">
        <v>228</v>
      </c>
      <c r="E84" s="95">
        <f>'16'!F84</f>
        <v>41432.269999999997</v>
      </c>
      <c r="F84" s="164">
        <v>41456.19</v>
      </c>
      <c r="G84" s="112">
        <f t="shared" si="8"/>
        <v>23.92000000000553</v>
      </c>
      <c r="H84" s="99">
        <f>G84+'16'!H84</f>
        <v>294.19000000000233</v>
      </c>
      <c r="I84" s="118"/>
      <c r="J84" s="175">
        <f>H84/DAY(B2)</f>
        <v>17.305294117647197</v>
      </c>
      <c r="O84" s="71"/>
    </row>
    <row r="85" spans="1:15" ht="27.75" customHeight="1" x14ac:dyDescent="0.5">
      <c r="A85" s="365" t="s">
        <v>231</v>
      </c>
      <c r="B85" s="366"/>
      <c r="C85" s="366"/>
      <c r="D85" s="151" t="s">
        <v>228</v>
      </c>
      <c r="E85" s="95">
        <f>'16'!F85</f>
        <v>1286.5899999999999</v>
      </c>
      <c r="F85" s="164">
        <v>1294.45</v>
      </c>
      <c r="G85" s="112">
        <f t="shared" si="8"/>
        <v>7.8600000000001273</v>
      </c>
      <c r="H85" s="99">
        <f>G85+'16'!H85</f>
        <v>115.45000000000005</v>
      </c>
      <c r="I85" s="118">
        <f>G82+G83+G84+G85</f>
        <v>31.780000000005657</v>
      </c>
      <c r="J85" s="175">
        <f>H85/DAY(B2)</f>
        <v>6.7911764705882378</v>
      </c>
      <c r="O85" s="71"/>
    </row>
    <row r="86" spans="1:15" ht="27.75" customHeight="1" x14ac:dyDescent="0.5">
      <c r="A86" s="365" t="s">
        <v>232</v>
      </c>
      <c r="B86" s="366"/>
      <c r="C86" s="366"/>
      <c r="D86" s="151" t="s">
        <v>228</v>
      </c>
      <c r="E86" s="95">
        <f>'16'!F86</f>
        <v>42826.47</v>
      </c>
      <c r="F86" s="164">
        <v>42826.47</v>
      </c>
      <c r="G86" s="112">
        <f t="shared" si="8"/>
        <v>0</v>
      </c>
      <c r="H86" s="99">
        <f>G86+'16'!H86</f>
        <v>0.47000000000116415</v>
      </c>
      <c r="I86" s="118"/>
      <c r="J86" s="175">
        <f>H86/DAY(B2)</f>
        <v>2.764705882359789E-2</v>
      </c>
      <c r="O86" s="71"/>
    </row>
    <row r="87" spans="1:15" ht="27.75" customHeight="1" x14ac:dyDescent="0.5">
      <c r="A87" s="365" t="s">
        <v>233</v>
      </c>
      <c r="B87" s="366"/>
      <c r="C87" s="366"/>
      <c r="D87" s="151" t="s">
        <v>228</v>
      </c>
      <c r="E87" s="95">
        <f>'16'!F87</f>
        <v>33463.230000000003</v>
      </c>
      <c r="F87" s="164">
        <v>33463.230000000003</v>
      </c>
      <c r="G87" s="112">
        <f t="shared" si="8"/>
        <v>0</v>
      </c>
      <c r="H87" s="99">
        <f>G87+'16'!H87</f>
        <v>149.2300000000032</v>
      </c>
      <c r="I87" s="118"/>
      <c r="J87" s="175">
        <f>H87/DAY(B2)</f>
        <v>8.7782352941178345</v>
      </c>
      <c r="O87" s="71"/>
    </row>
    <row r="88" spans="1:15" ht="27.75" customHeight="1" x14ac:dyDescent="0.5">
      <c r="A88" s="365" t="s">
        <v>234</v>
      </c>
      <c r="B88" s="366"/>
      <c r="C88" s="366"/>
      <c r="D88" s="151" t="s">
        <v>228</v>
      </c>
      <c r="E88" s="95">
        <f>'16'!F88</f>
        <v>23692.85</v>
      </c>
      <c r="F88" s="164">
        <v>23702.23</v>
      </c>
      <c r="G88" s="112">
        <f t="shared" si="8"/>
        <v>9.3800000000010186</v>
      </c>
      <c r="H88" s="99">
        <f>G88+'16'!H88</f>
        <v>111.2599999999984</v>
      </c>
      <c r="I88" s="118">
        <f>G86+G87+G88</f>
        <v>9.3800000000010186</v>
      </c>
      <c r="J88" s="175">
        <f>H88/DAY(B2)</f>
        <v>6.5447058823528472</v>
      </c>
      <c r="O88" s="71"/>
    </row>
    <row r="89" spans="1:15" ht="27.75" customHeight="1" x14ac:dyDescent="0.5">
      <c r="A89" s="365" t="s">
        <v>235</v>
      </c>
      <c r="B89" s="366"/>
      <c r="C89" s="366"/>
      <c r="D89" s="151" t="s">
        <v>228</v>
      </c>
      <c r="E89" s="95">
        <f>'16'!F89</f>
        <v>25242.12</v>
      </c>
      <c r="F89" s="164">
        <v>25242.123</v>
      </c>
      <c r="G89" s="112">
        <f t="shared" si="8"/>
        <v>3.0000000006111804E-3</v>
      </c>
      <c r="H89" s="99">
        <f>G89+'16'!H89</f>
        <v>54.753000000000611</v>
      </c>
      <c r="I89" s="118"/>
      <c r="J89" s="175">
        <f>H89/DAY(B2)</f>
        <v>3.2207647058823889</v>
      </c>
      <c r="O89" s="71"/>
    </row>
    <row r="90" spans="1:15" ht="27.75" customHeight="1" x14ac:dyDescent="0.5">
      <c r="A90" s="365" t="s">
        <v>236</v>
      </c>
      <c r="B90" s="366"/>
      <c r="C90" s="366"/>
      <c r="D90" s="151" t="s">
        <v>228</v>
      </c>
      <c r="E90" s="95">
        <f>'16'!F90</f>
        <v>70585.7</v>
      </c>
      <c r="F90" s="164">
        <v>70588.23</v>
      </c>
      <c r="G90" s="112">
        <f t="shared" si="8"/>
        <v>2.5299999999988358</v>
      </c>
      <c r="H90" s="99">
        <f>G90+'16'!H90</f>
        <v>55.25</v>
      </c>
      <c r="I90" s="118">
        <f>G89+G90</f>
        <v>2.532999999999447</v>
      </c>
      <c r="J90" s="175">
        <f>H90/DAY(B2)</f>
        <v>3.25</v>
      </c>
      <c r="O90" s="71"/>
    </row>
    <row r="91" spans="1:15" ht="27.75" customHeight="1" x14ac:dyDescent="0.5">
      <c r="A91" s="365" t="s">
        <v>237</v>
      </c>
      <c r="B91" s="366"/>
      <c r="C91" s="366"/>
      <c r="D91" s="151" t="s">
        <v>228</v>
      </c>
      <c r="E91" s="95">
        <f>'16'!F91</f>
        <v>3098.26</v>
      </c>
      <c r="F91" s="122">
        <v>3109.47</v>
      </c>
      <c r="G91" s="112">
        <f t="shared" si="8"/>
        <v>11.209999999999582</v>
      </c>
      <c r="H91" s="99">
        <f>G91+'16'!H91</f>
        <v>183.59999999999991</v>
      </c>
      <c r="I91" s="165"/>
      <c r="J91" s="175">
        <f>H91/DAY(B2)</f>
        <v>10.799999999999995</v>
      </c>
      <c r="O91" s="71"/>
    </row>
    <row r="92" spans="1:15" ht="27.75" customHeight="1" x14ac:dyDescent="0.5">
      <c r="A92" s="365" t="s">
        <v>238</v>
      </c>
      <c r="B92" s="366"/>
      <c r="C92" s="366"/>
      <c r="D92" s="151" t="s">
        <v>228</v>
      </c>
      <c r="E92" s="95">
        <f>'16'!F92</f>
        <v>4758.46</v>
      </c>
      <c r="F92" s="122">
        <v>4758.46</v>
      </c>
      <c r="G92" s="112">
        <f t="shared" si="8"/>
        <v>0</v>
      </c>
      <c r="H92" s="99">
        <f>G92+'16'!H92</f>
        <v>0.46000000000003638</v>
      </c>
      <c r="I92" s="165"/>
      <c r="J92" s="175">
        <f>H92/DAY(B2)</f>
        <v>2.7058823529413904E-2</v>
      </c>
      <c r="O92" s="71"/>
    </row>
    <row r="93" spans="1:15" ht="27.75" customHeight="1" x14ac:dyDescent="0.5">
      <c r="A93" s="774" t="s">
        <v>239</v>
      </c>
      <c r="B93" s="775"/>
      <c r="C93" s="77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771" t="s">
        <v>240</v>
      </c>
      <c r="B94" s="772"/>
      <c r="C94" s="773"/>
      <c r="D94" s="151" t="s">
        <v>130</v>
      </c>
      <c r="E94" s="151"/>
      <c r="F94" s="151"/>
      <c r="G94" s="99">
        <f>G35+G43+G49+G57</f>
        <v>6728.0199999999413</v>
      </c>
      <c r="H94" s="99">
        <f>G94+'16'!H94</f>
        <v>108935.27999999996</v>
      </c>
      <c r="I94" s="118"/>
      <c r="J94" s="175">
        <f>H94/DAY(B2)</f>
        <v>6407.9576470588208</v>
      </c>
      <c r="K94" s="69"/>
      <c r="L94" s="66"/>
      <c r="O94" s="71"/>
    </row>
    <row r="95" spans="1:15" ht="27.75" customHeight="1" x14ac:dyDescent="0.5">
      <c r="A95" s="771" t="s">
        <v>241</v>
      </c>
      <c r="B95" s="772"/>
      <c r="C95" s="773"/>
      <c r="D95" s="151" t="s">
        <v>23</v>
      </c>
      <c r="E95" s="146"/>
      <c r="F95" s="146"/>
      <c r="G95" s="166">
        <f>G94/G7</f>
        <v>0.2946264980889603</v>
      </c>
      <c r="H95" s="99">
        <f>G95+'16'!H95</f>
        <v>4.6859981296040374</v>
      </c>
      <c r="I95" s="167"/>
      <c r="J95" s="175">
        <f>H95/DAY(B2)</f>
        <v>0.27564694880023749</v>
      </c>
      <c r="K95" s="69"/>
      <c r="L95" s="66"/>
      <c r="O95" s="71"/>
    </row>
    <row r="96" spans="1:15" ht="27.75" customHeight="1" x14ac:dyDescent="0.5">
      <c r="A96" s="771" t="s">
        <v>242</v>
      </c>
      <c r="B96" s="772"/>
      <c r="C96" s="773"/>
      <c r="D96" s="151" t="s">
        <v>130</v>
      </c>
      <c r="E96" s="95"/>
      <c r="F96" s="95"/>
      <c r="G96" s="99">
        <f>G41+G42+G55+G56</f>
        <v>6803.660000000149</v>
      </c>
      <c r="H96" s="99">
        <f>G96+'16'!H96</f>
        <v>122370.59000000003</v>
      </c>
      <c r="I96" s="118"/>
      <c r="J96" s="175">
        <f>H96/DAY(B2)</f>
        <v>7198.2700000000013</v>
      </c>
      <c r="K96" s="69"/>
      <c r="L96" s="66"/>
      <c r="O96" s="71"/>
    </row>
    <row r="97" spans="1:15" ht="27.75" customHeight="1" x14ac:dyDescent="0.5">
      <c r="A97" s="771" t="s">
        <v>243</v>
      </c>
      <c r="B97" s="772"/>
      <c r="C97" s="773"/>
      <c r="D97" s="151" t="s">
        <v>23</v>
      </c>
      <c r="E97" s="95"/>
      <c r="F97" s="95"/>
      <c r="G97" s="166">
        <f>G96/G7</f>
        <v>0.29793884679118032</v>
      </c>
      <c r="H97" s="99">
        <f>G97+'16'!H97</f>
        <v>5.2456754021136236</v>
      </c>
      <c r="I97" s="167"/>
      <c r="J97" s="175">
        <f>H97/DAY(B2)</f>
        <v>0.30856914130080138</v>
      </c>
      <c r="K97" s="69"/>
      <c r="L97" s="66"/>
      <c r="O97" s="71"/>
    </row>
    <row r="98" spans="1:15" ht="27.75" customHeight="1" x14ac:dyDescent="0.5">
      <c r="A98" s="771" t="s">
        <v>244</v>
      </c>
      <c r="B98" s="772"/>
      <c r="C98" s="773"/>
      <c r="D98" s="151" t="s">
        <v>130</v>
      </c>
      <c r="E98" s="95"/>
      <c r="F98" s="95"/>
      <c r="G98" s="99">
        <f>G39+G53</f>
        <v>4167.8999999999942</v>
      </c>
      <c r="H98" s="99">
        <f>G98+'16'!H98</f>
        <v>71813.03</v>
      </c>
      <c r="I98" s="168"/>
      <c r="J98" s="175">
        <f>H98/DAY(B2)</f>
        <v>4224.2958823529407</v>
      </c>
      <c r="K98" s="69"/>
      <c r="L98" s="66"/>
      <c r="O98" s="71"/>
    </row>
    <row r="99" spans="1:15" ht="27.75" customHeight="1" x14ac:dyDescent="0.5">
      <c r="A99" s="771" t="s">
        <v>245</v>
      </c>
      <c r="B99" s="772"/>
      <c r="C99" s="773"/>
      <c r="D99" s="151" t="s">
        <v>23</v>
      </c>
      <c r="E99" s="95"/>
      <c r="F99" s="95"/>
      <c r="G99" s="166">
        <f>G98/G7</f>
        <v>0.18251636906325883</v>
      </c>
      <c r="H99" s="99">
        <f>G99+'16'!H99</f>
        <v>3.0863229951876607</v>
      </c>
      <c r="I99" s="168"/>
      <c r="J99" s="175">
        <f>H99/DAY(B2)</f>
        <v>0.18154841148162709</v>
      </c>
      <c r="O99" s="71"/>
    </row>
    <row r="100" spans="1:15" ht="27.75" customHeight="1" x14ac:dyDescent="0.5">
      <c r="A100" s="771" t="s">
        <v>246</v>
      </c>
      <c r="B100" s="772"/>
      <c r="C100" s="773"/>
      <c r="D100" s="151" t="s">
        <v>180</v>
      </c>
      <c r="E100" s="95"/>
      <c r="F100" s="95"/>
      <c r="G100" s="99">
        <f>G38+G52</f>
        <v>1880.7200000000012</v>
      </c>
      <c r="H100" s="99">
        <f>G100+'16'!H100</f>
        <v>32471.600000000006</v>
      </c>
      <c r="I100" s="118"/>
      <c r="J100" s="175">
        <f>H100/DAY(B2)</f>
        <v>1910.0941176470592</v>
      </c>
      <c r="K100" s="70"/>
      <c r="O100" s="71"/>
    </row>
    <row r="101" spans="1:15" ht="27.75" customHeight="1" x14ac:dyDescent="0.5">
      <c r="A101" s="771" t="s">
        <v>247</v>
      </c>
      <c r="B101" s="772"/>
      <c r="C101" s="773"/>
      <c r="D101" s="151" t="s">
        <v>23</v>
      </c>
      <c r="E101" s="95"/>
      <c r="F101" s="95"/>
      <c r="G101" s="166">
        <f>G100/G7</f>
        <v>8.2358546420176301E-2</v>
      </c>
      <c r="H101" s="99">
        <f>G101+'16'!H101</f>
        <v>1.3958091144977502</v>
      </c>
      <c r="I101" s="168"/>
      <c r="J101" s="175">
        <f>H101/DAY(B2)</f>
        <v>8.2106418499867662E-2</v>
      </c>
      <c r="O101" s="71"/>
    </row>
    <row r="102" spans="1:15" ht="27.75" customHeight="1" x14ac:dyDescent="0.5">
      <c r="A102" s="771" t="s">
        <v>248</v>
      </c>
      <c r="B102" s="772"/>
      <c r="C102" s="773"/>
      <c r="D102" s="151" t="s">
        <v>180</v>
      </c>
      <c r="E102" s="95"/>
      <c r="F102" s="95"/>
      <c r="G102" s="99">
        <f>G36+G50</f>
        <v>1994.0199999999677</v>
      </c>
      <c r="H102" s="99">
        <f>G102+'16'!H102</f>
        <v>34488.049999999952</v>
      </c>
      <c r="I102" s="168"/>
      <c r="J102" s="175">
        <f>H102/DAY(B2)</f>
        <v>2028.7088235294088</v>
      </c>
      <c r="O102" s="71"/>
    </row>
    <row r="103" spans="1:15" ht="27.75" customHeight="1" x14ac:dyDescent="0.5">
      <c r="A103" s="771" t="s">
        <v>249</v>
      </c>
      <c r="B103" s="772"/>
      <c r="C103" s="773"/>
      <c r="D103" s="151" t="s">
        <v>23</v>
      </c>
      <c r="E103" s="95"/>
      <c r="F103" s="95"/>
      <c r="G103" s="166">
        <f>G102/G7</f>
        <v>8.7320062918859367E-2</v>
      </c>
      <c r="H103" s="99">
        <f>G103+'16'!H103</f>
        <v>1.4795919275162797</v>
      </c>
      <c r="I103" s="118"/>
      <c r="J103" s="175">
        <f>H103/DAY(B2)</f>
        <v>8.7034819265663504E-2</v>
      </c>
      <c r="O103" s="71"/>
    </row>
    <row r="104" spans="1:15" ht="27.75" customHeight="1" x14ac:dyDescent="0.5">
      <c r="A104" s="771" t="s">
        <v>250</v>
      </c>
      <c r="B104" s="772"/>
      <c r="C104" s="773"/>
      <c r="D104" s="151" t="s">
        <v>180</v>
      </c>
      <c r="E104" s="95"/>
      <c r="F104" s="95"/>
      <c r="G104" s="99">
        <f>G37+G51</f>
        <v>1635.1999999999971</v>
      </c>
      <c r="H104" s="99">
        <f>G104+'16'!H104</f>
        <v>29090.869999999995</v>
      </c>
      <c r="I104" s="118"/>
      <c r="J104" s="175">
        <f>H104/DAY(B2)</f>
        <v>1711.2276470588233</v>
      </c>
      <c r="O104" s="71"/>
    </row>
    <row r="105" spans="1:15" ht="27.75" customHeight="1" thickBot="1" x14ac:dyDescent="0.55000000000000004">
      <c r="A105" s="764" t="s">
        <v>251</v>
      </c>
      <c r="B105" s="765"/>
      <c r="C105" s="766"/>
      <c r="D105" s="231" t="s">
        <v>23</v>
      </c>
      <c r="E105" s="185"/>
      <c r="F105" s="185"/>
      <c r="G105" s="186">
        <f>G104/G7</f>
        <v>7.1606988337589841E-2</v>
      </c>
      <c r="H105" s="99">
        <f>G105+'16'!H105</f>
        <v>1.2508953089803447</v>
      </c>
      <c r="I105" s="187"/>
      <c r="J105" s="188">
        <f>H105/DAY(B2)</f>
        <v>7.3582076998843809E-2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760" t="s">
        <v>324</v>
      </c>
      <c r="B108" s="760"/>
      <c r="C108" s="760"/>
      <c r="D108" s="760"/>
      <c r="E108" s="760"/>
      <c r="F108" s="760"/>
      <c r="G108" s="760"/>
      <c r="H108" s="760"/>
      <c r="I108" s="760"/>
      <c r="J108" s="760"/>
    </row>
    <row r="109" spans="1:15" ht="27.75" customHeight="1" x14ac:dyDescent="0.5">
      <c r="A109" s="788"/>
      <c r="B109" s="788"/>
    </row>
    <row r="110" spans="1:15" ht="27.75" customHeight="1" x14ac:dyDescent="0.5">
      <c r="A110" s="761" t="s">
        <v>165</v>
      </c>
      <c r="B110" s="762"/>
      <c r="C110" s="762"/>
      <c r="D110" s="762"/>
      <c r="E110" s="762"/>
      <c r="F110" s="762"/>
      <c r="G110" s="762"/>
      <c r="H110" s="762"/>
      <c r="I110" s="762"/>
      <c r="J110" s="763"/>
    </row>
    <row r="111" spans="1:15" ht="27.75" customHeight="1" x14ac:dyDescent="0.5">
      <c r="A111" s="753"/>
      <c r="B111" s="754"/>
      <c r="C111" s="755"/>
      <c r="D111" s="165"/>
      <c r="E111" s="165"/>
      <c r="F111" s="165"/>
      <c r="G111" s="165"/>
      <c r="H111" s="156"/>
      <c r="I111" s="165"/>
      <c r="J111" s="347"/>
    </row>
    <row r="112" spans="1:15" ht="27.75" customHeight="1" x14ac:dyDescent="0.5">
      <c r="A112" s="750" t="s">
        <v>252</v>
      </c>
      <c r="B112" s="751"/>
      <c r="C112" s="752"/>
      <c r="D112" s="146" t="s">
        <v>183</v>
      </c>
      <c r="E112" s="95">
        <f>'16'!F112</f>
        <v>49615.9</v>
      </c>
      <c r="F112" s="237">
        <v>49698.82</v>
      </c>
      <c r="G112" s="112">
        <f t="shared" ref="G112:G123" si="9">F112-E112</f>
        <v>82.919999999998254</v>
      </c>
      <c r="H112" s="99">
        <f>G112+'16'!H112</f>
        <v>1421.8199999999997</v>
      </c>
      <c r="I112" s="165"/>
      <c r="J112" s="348">
        <f>H112/DAY(B2)</f>
        <v>83.636470588235284</v>
      </c>
    </row>
    <row r="113" spans="1:18" ht="27.75" customHeight="1" x14ac:dyDescent="0.5">
      <c r="A113" s="750" t="s">
        <v>253</v>
      </c>
      <c r="B113" s="751"/>
      <c r="C113" s="752"/>
      <c r="D113" s="146" t="s">
        <v>183</v>
      </c>
      <c r="E113" s="95">
        <f>'16'!F113</f>
        <v>157885.57999999999</v>
      </c>
      <c r="F113" s="237">
        <v>158306.45000000001</v>
      </c>
      <c r="G113" s="112">
        <f t="shared" si="9"/>
        <v>420.87000000002445</v>
      </c>
      <c r="H113" s="99">
        <f>G113+'16'!H113</f>
        <v>7775.4500000000116</v>
      </c>
      <c r="I113" s="165"/>
      <c r="J113" s="348">
        <f>H113/DAY(B2)</f>
        <v>457.37941176470656</v>
      </c>
    </row>
    <row r="114" spans="1:18" ht="27.75" customHeight="1" x14ac:dyDescent="0.5">
      <c r="A114" s="750" t="s">
        <v>254</v>
      </c>
      <c r="B114" s="751"/>
      <c r="C114" s="752"/>
      <c r="D114" s="146" t="s">
        <v>183</v>
      </c>
      <c r="E114" s="95">
        <v>127</v>
      </c>
      <c r="F114" s="630">
        <v>428</v>
      </c>
      <c r="G114" s="112">
        <f t="shared" si="9"/>
        <v>301</v>
      </c>
      <c r="H114" s="99">
        <f>G114+'16'!H114</f>
        <v>3733.9</v>
      </c>
      <c r="I114" s="165"/>
      <c r="J114" s="348">
        <f>H114/DAY(B2)</f>
        <v>219.64117647058825</v>
      </c>
    </row>
    <row r="115" spans="1:18" ht="27.75" customHeight="1" x14ac:dyDescent="0.5">
      <c r="A115" s="750" t="s">
        <v>255</v>
      </c>
      <c r="B115" s="751"/>
      <c r="C115" s="752"/>
      <c r="D115" s="146" t="s">
        <v>183</v>
      </c>
      <c r="E115" s="95">
        <f>'16'!F115</f>
        <v>7927.85</v>
      </c>
      <c r="F115" s="237">
        <v>7933.44</v>
      </c>
      <c r="G115" s="112">
        <f t="shared" si="9"/>
        <v>5.589999999999236</v>
      </c>
      <c r="H115" s="99">
        <f>G115+'16'!H115</f>
        <v>185.4399999999996</v>
      </c>
      <c r="I115" s="165"/>
      <c r="J115" s="348">
        <f>H115/DAY(B2)</f>
        <v>10.908235294117624</v>
      </c>
    </row>
    <row r="116" spans="1:18" ht="27.75" customHeight="1" x14ac:dyDescent="0.5">
      <c r="A116" s="757" t="s">
        <v>96</v>
      </c>
      <c r="B116" s="758"/>
      <c r="C116" s="759"/>
      <c r="D116" s="146" t="s">
        <v>183</v>
      </c>
      <c r="E116" s="95">
        <f>'16'!F116</f>
        <v>0</v>
      </c>
      <c r="F116" s="237">
        <v>0</v>
      </c>
      <c r="G116" s="112">
        <f t="shared" si="9"/>
        <v>0</v>
      </c>
      <c r="H116" s="99">
        <f>G116+'16'!H116</f>
        <v>0</v>
      </c>
      <c r="I116" s="165"/>
      <c r="J116" s="348">
        <f>H116/DAY(B2)</f>
        <v>0</v>
      </c>
      <c r="Q116" s="750" t="s">
        <v>311</v>
      </c>
      <c r="R116" s="752"/>
    </row>
    <row r="117" spans="1:18" ht="27.75" customHeight="1" x14ac:dyDescent="0.5">
      <c r="A117" s="757" t="s">
        <v>184</v>
      </c>
      <c r="B117" s="758"/>
      <c r="C117" s="759"/>
      <c r="D117" s="146" t="s">
        <v>183</v>
      </c>
      <c r="E117" s="95">
        <f>'16'!F117</f>
        <v>794.1</v>
      </c>
      <c r="F117" s="237">
        <v>824.02</v>
      </c>
      <c r="G117" s="112">
        <f t="shared" si="9"/>
        <v>29.919999999999959</v>
      </c>
      <c r="H117" s="99">
        <f>G117+'16'!H117</f>
        <v>408.02</v>
      </c>
      <c r="I117" s="165"/>
      <c r="J117" s="348">
        <f>H117/DAY(B2)</f>
        <v>24.001176470588234</v>
      </c>
      <c r="Q117" s="750" t="s">
        <v>312</v>
      </c>
      <c r="R117" s="752"/>
    </row>
    <row r="118" spans="1:18" ht="27.75" customHeight="1" x14ac:dyDescent="0.5">
      <c r="A118" s="749" t="s">
        <v>97</v>
      </c>
      <c r="B118" s="749"/>
      <c r="C118" s="749"/>
      <c r="D118" s="151" t="s">
        <v>183</v>
      </c>
      <c r="E118" s="95">
        <f>'16'!F118</f>
        <v>213022.57</v>
      </c>
      <c r="F118" s="237">
        <v>213367.39</v>
      </c>
      <c r="G118" s="112">
        <f t="shared" si="9"/>
        <v>344.82000000000698</v>
      </c>
      <c r="H118" s="99">
        <f>G118+'16'!H118</f>
        <v>6835.390000000014</v>
      </c>
      <c r="I118" s="165"/>
      <c r="J118" s="348">
        <f>H118/DAY(B2)</f>
        <v>402.08176470588319</v>
      </c>
      <c r="Q118" s="750" t="s">
        <v>311</v>
      </c>
      <c r="R118" s="752"/>
    </row>
    <row r="119" spans="1:18" ht="27.75" customHeight="1" x14ac:dyDescent="0.5">
      <c r="A119" s="749" t="s">
        <v>98</v>
      </c>
      <c r="B119" s="749"/>
      <c r="C119" s="749"/>
      <c r="D119" s="151" t="s">
        <v>183</v>
      </c>
      <c r="E119" s="95">
        <f>'16'!F119</f>
        <v>212535.5</v>
      </c>
      <c r="F119" s="237">
        <v>212951.05</v>
      </c>
      <c r="G119" s="112">
        <f t="shared" si="9"/>
        <v>415.54999999998836</v>
      </c>
      <c r="H119" s="99">
        <f>G119+'16'!H119</f>
        <v>6721.0499999999884</v>
      </c>
      <c r="I119" s="165"/>
      <c r="J119" s="348">
        <f>H119/DAY(B2)</f>
        <v>395.35588235294051</v>
      </c>
    </row>
    <row r="120" spans="1:18" ht="27.75" customHeight="1" x14ac:dyDescent="0.5">
      <c r="A120" s="749" t="s">
        <v>99</v>
      </c>
      <c r="B120" s="749"/>
      <c r="C120" s="749"/>
      <c r="D120" s="151" t="s">
        <v>183</v>
      </c>
      <c r="E120" s="95">
        <f>'16'!F120</f>
        <v>12015.98</v>
      </c>
      <c r="F120" s="237">
        <v>12423.49</v>
      </c>
      <c r="G120" s="112">
        <f t="shared" si="9"/>
        <v>407.51000000000022</v>
      </c>
      <c r="H120" s="99">
        <f>G120+'16'!H120</f>
        <v>6908.49</v>
      </c>
      <c r="I120" s="165"/>
      <c r="J120" s="348">
        <f>H120/DAY(B2)</f>
        <v>406.38176470588235</v>
      </c>
    </row>
    <row r="121" spans="1:18" ht="27.75" customHeight="1" x14ac:dyDescent="0.5">
      <c r="A121" s="749" t="s">
        <v>100</v>
      </c>
      <c r="B121" s="749"/>
      <c r="C121" s="749"/>
      <c r="D121" s="151" t="s">
        <v>183</v>
      </c>
      <c r="E121" s="95">
        <f>'16'!F121</f>
        <v>320881.84999999998</v>
      </c>
      <c r="F121" s="237">
        <v>321527.90000000002</v>
      </c>
      <c r="G121" s="112">
        <f t="shared" si="9"/>
        <v>646.05000000004657</v>
      </c>
      <c r="H121" s="99">
        <f>G121+'16'!H121</f>
        <v>12083.170000000042</v>
      </c>
      <c r="I121" s="165"/>
      <c r="J121" s="348">
        <f>H121/DAY(B2)</f>
        <v>710.77470588235542</v>
      </c>
    </row>
    <row r="122" spans="1:18" ht="27.75" customHeight="1" x14ac:dyDescent="0.5">
      <c r="A122" s="749" t="s">
        <v>101</v>
      </c>
      <c r="B122" s="749"/>
      <c r="C122" s="749"/>
      <c r="D122" s="151" t="s">
        <v>183</v>
      </c>
      <c r="E122" s="95">
        <f>'16'!F122</f>
        <v>96676.350999999995</v>
      </c>
      <c r="F122" s="237">
        <v>96989.64</v>
      </c>
      <c r="G122" s="112">
        <f t="shared" si="9"/>
        <v>313.28900000000431</v>
      </c>
      <c r="H122" s="99">
        <f>G122+'16'!H122</f>
        <v>5367.6399999999994</v>
      </c>
      <c r="I122" s="165"/>
      <c r="J122" s="348">
        <f>H122/DAY(B2)</f>
        <v>315.74352941176465</v>
      </c>
    </row>
    <row r="123" spans="1:18" ht="27.75" customHeight="1" x14ac:dyDescent="0.5">
      <c r="A123" s="749" t="s">
        <v>102</v>
      </c>
      <c r="B123" s="749"/>
      <c r="C123" s="749"/>
      <c r="D123" s="151" t="s">
        <v>183</v>
      </c>
      <c r="E123" s="95">
        <f>'16'!F123</f>
        <v>120895.97</v>
      </c>
      <c r="F123" s="237">
        <v>121240.34</v>
      </c>
      <c r="G123" s="112">
        <f t="shared" si="9"/>
        <v>344.36999999999534</v>
      </c>
      <c r="H123" s="99">
        <f>G123+'16'!H123</f>
        <v>5697.3399999999965</v>
      </c>
      <c r="I123" s="165"/>
      <c r="J123" s="348">
        <f>H123/DAY(B2)</f>
        <v>335.13764705882335</v>
      </c>
    </row>
    <row r="124" spans="1:18" ht="27.75" customHeight="1" x14ac:dyDescent="0.5">
      <c r="A124" s="753"/>
      <c r="B124" s="754"/>
      <c r="C124" s="755"/>
      <c r="D124" s="165"/>
      <c r="E124" s="95">
        <f>'16'!F124</f>
        <v>0</v>
      </c>
      <c r="F124" s="165"/>
      <c r="G124" s="347"/>
      <c r="H124" s="99">
        <f>G124+'16'!H124</f>
        <v>0</v>
      </c>
      <c r="I124" s="165"/>
      <c r="J124" s="347"/>
    </row>
    <row r="125" spans="1:18" ht="27.75" customHeight="1" x14ac:dyDescent="0.5">
      <c r="A125" s="737"/>
      <c r="B125" s="737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customHeight="1" x14ac:dyDescent="0.5">
      <c r="A126" s="756" t="s">
        <v>317</v>
      </c>
      <c r="B126" s="756"/>
      <c r="C126" s="756"/>
      <c r="D126" s="756"/>
      <c r="E126" s="756"/>
      <c r="F126" s="756"/>
      <c r="G126" s="756"/>
      <c r="H126" s="756"/>
      <c r="I126" s="756"/>
      <c r="J126" s="756"/>
    </row>
    <row r="127" spans="1:18" ht="27.75" customHeight="1" x14ac:dyDescent="0.5">
      <c r="A127" s="737"/>
      <c r="B127" s="737"/>
      <c r="C127" s="246"/>
      <c r="D127" s="317"/>
      <c r="E127" s="318"/>
      <c r="F127" s="318"/>
      <c r="G127" s="319"/>
      <c r="H127" s="99">
        <f>G127+'16'!H127</f>
        <v>0</v>
      </c>
      <c r="I127" s="165"/>
      <c r="J127" s="348">
        <f>H127/DAY(B2)</f>
        <v>0</v>
      </c>
    </row>
    <row r="128" spans="1:18" ht="27.75" customHeight="1" x14ac:dyDescent="0.5">
      <c r="A128" s="750" t="s">
        <v>318</v>
      </c>
      <c r="B128" s="751"/>
      <c r="C128" s="752"/>
      <c r="D128" s="151" t="s">
        <v>183</v>
      </c>
      <c r="E128" s="95">
        <f>'16'!F128</f>
        <v>12870.04</v>
      </c>
      <c r="F128" s="165">
        <v>13226.4</v>
      </c>
      <c r="G128" s="112">
        <f t="shared" ref="G128:G133" si="10">F128-E128</f>
        <v>356.35999999999876</v>
      </c>
      <c r="H128" s="99">
        <f>G128+'16'!H128</f>
        <v>5615.4</v>
      </c>
      <c r="I128" s="165"/>
      <c r="J128" s="348">
        <f>H128/DAY(B2)</f>
        <v>330.31764705882352</v>
      </c>
    </row>
    <row r="129" spans="1:15" ht="27.75" customHeight="1" x14ac:dyDescent="0.5">
      <c r="A129" s="349" t="s">
        <v>319</v>
      </c>
      <c r="B129" s="350"/>
      <c r="C129" s="351"/>
      <c r="D129" s="151" t="s">
        <v>183</v>
      </c>
      <c r="E129" s="95">
        <f>'16'!F129</f>
        <v>3368.24</v>
      </c>
      <c r="F129" s="165">
        <v>3653.84</v>
      </c>
      <c r="G129" s="112">
        <f t="shared" si="10"/>
        <v>285.60000000000036</v>
      </c>
      <c r="H129" s="99">
        <f>G129+'16'!H129</f>
        <v>3539.84</v>
      </c>
      <c r="I129" s="165"/>
      <c r="J129" s="348">
        <f>H129/DAY(B2)</f>
        <v>208.2258823529412</v>
      </c>
      <c r="N129" s="240"/>
      <c r="O129" s="241"/>
    </row>
    <row r="130" spans="1:15" ht="27.75" customHeight="1" x14ac:dyDescent="0.5">
      <c r="A130" s="349" t="s">
        <v>320</v>
      </c>
      <c r="B130" s="350"/>
      <c r="C130" s="351"/>
      <c r="D130" s="151" t="s">
        <v>183</v>
      </c>
      <c r="E130" s="95">
        <f>'16'!F130</f>
        <v>3963.15</v>
      </c>
      <c r="F130" s="165">
        <v>4259.2299999999996</v>
      </c>
      <c r="G130" s="112">
        <f t="shared" si="10"/>
        <v>296.07999999999947</v>
      </c>
      <c r="H130" s="99">
        <f>G130+'16'!H130</f>
        <v>4079.2299999999996</v>
      </c>
      <c r="I130" s="165"/>
      <c r="J130" s="348">
        <f>H130/DAY(B2)</f>
        <v>239.95470588235293</v>
      </c>
      <c r="N130" s="240"/>
      <c r="O130" s="241"/>
    </row>
    <row r="131" spans="1:15" ht="27.75" customHeight="1" x14ac:dyDescent="0.5">
      <c r="A131" s="750" t="s">
        <v>321</v>
      </c>
      <c r="B131" s="751"/>
      <c r="C131" s="752"/>
      <c r="D131" s="151" t="s">
        <v>183</v>
      </c>
      <c r="E131" s="95">
        <f>'16'!F131</f>
        <v>2114.62</v>
      </c>
      <c r="F131" s="165">
        <v>2201.35</v>
      </c>
      <c r="G131" s="112">
        <f t="shared" si="10"/>
        <v>86.730000000000018</v>
      </c>
      <c r="H131" s="99">
        <f>G131+'16'!H131</f>
        <v>2091.35</v>
      </c>
      <c r="I131" s="165"/>
      <c r="J131" s="348">
        <f>H131/DAY(B2)</f>
        <v>123.02058823529411</v>
      </c>
      <c r="N131" s="240"/>
      <c r="O131" s="241"/>
    </row>
    <row r="132" spans="1:15" ht="27.75" customHeight="1" x14ac:dyDescent="0.5">
      <c r="A132" s="750" t="s">
        <v>322</v>
      </c>
      <c r="B132" s="751"/>
      <c r="C132" s="752"/>
      <c r="D132" s="151" t="s">
        <v>183</v>
      </c>
      <c r="E132" s="95">
        <f>'16'!F132</f>
        <v>6570.59</v>
      </c>
      <c r="F132" s="165">
        <v>6925.7</v>
      </c>
      <c r="G132" s="112">
        <f t="shared" si="10"/>
        <v>355.10999999999967</v>
      </c>
      <c r="H132" s="99">
        <f>G132+'16'!H132</f>
        <v>6604.7</v>
      </c>
      <c r="I132" s="165"/>
      <c r="J132" s="348">
        <f>H132/DAY(B2)</f>
        <v>388.51176470588234</v>
      </c>
    </row>
    <row r="133" spans="1:15" ht="27.75" customHeight="1" x14ac:dyDescent="0.5">
      <c r="A133" s="750" t="s">
        <v>323</v>
      </c>
      <c r="B133" s="751"/>
      <c r="C133" s="752"/>
      <c r="D133" s="151" t="s">
        <v>183</v>
      </c>
      <c r="E133" s="95">
        <f>'16'!F133</f>
        <v>28784.400000000001</v>
      </c>
      <c r="F133" s="165">
        <v>29556.5</v>
      </c>
      <c r="G133" s="112">
        <f t="shared" si="10"/>
        <v>772.09999999999854</v>
      </c>
      <c r="H133" s="99">
        <f>G133+'16'!H133</f>
        <v>13165.5</v>
      </c>
      <c r="I133" s="165"/>
      <c r="J133" s="348">
        <f>H133/DAY(B2)</f>
        <v>774.44117647058829</v>
      </c>
    </row>
    <row r="134" spans="1:15" ht="27.75" customHeight="1" x14ac:dyDescent="0.5">
      <c r="A134" s="750" t="s">
        <v>340</v>
      </c>
      <c r="B134" s="751"/>
      <c r="C134" s="752"/>
      <c r="D134" s="151" t="s">
        <v>183</v>
      </c>
      <c r="E134" s="95">
        <f>'16'!F134</f>
        <v>622793</v>
      </c>
      <c r="F134" s="165">
        <v>623291</v>
      </c>
      <c r="G134" s="112">
        <f>F134-E134</f>
        <v>498</v>
      </c>
      <c r="H134" s="99">
        <f>G134+'16'!H134</f>
        <v>8876</v>
      </c>
      <c r="I134" s="165"/>
      <c r="J134" s="348">
        <f>H134/DAY(B2)</f>
        <v>522.11764705882354</v>
      </c>
    </row>
    <row r="135" spans="1:15" ht="27.75" customHeight="1" x14ac:dyDescent="0.5">
      <c r="A135" s="753"/>
      <c r="B135" s="754"/>
      <c r="C135" s="755"/>
      <c r="D135" s="151"/>
      <c r="E135" s="95"/>
      <c r="F135" s="165"/>
      <c r="G135" s="112"/>
      <c r="H135" s="99">
        <f>G135+'10'!H135</f>
        <v>5534.2300000000005</v>
      </c>
      <c r="I135" s="165"/>
      <c r="J135" s="348"/>
    </row>
    <row r="136" spans="1:15" ht="27.75" customHeight="1" x14ac:dyDescent="0.55000000000000004">
      <c r="A136" s="736" t="s">
        <v>325</v>
      </c>
      <c r="B136" s="736"/>
      <c r="C136" s="736"/>
      <c r="D136" s="736"/>
      <c r="E136" s="736"/>
      <c r="F136" s="736"/>
      <c r="G136" s="736"/>
      <c r="H136" s="736"/>
      <c r="I136" s="736"/>
      <c r="J136" s="736"/>
    </row>
    <row r="137" spans="1:15" ht="27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customHeight="1" x14ac:dyDescent="0.5">
      <c r="A138" s="749" t="s">
        <v>185</v>
      </c>
      <c r="B138" s="749"/>
      <c r="C138" s="749"/>
      <c r="D138" s="151" t="s">
        <v>183</v>
      </c>
      <c r="E138" s="95">
        <f>'16'!F138</f>
        <v>858663</v>
      </c>
      <c r="F138" s="147">
        <v>858737</v>
      </c>
      <c r="G138" s="112">
        <f t="shared" ref="G138:G152" si="11">F138-E138</f>
        <v>74</v>
      </c>
      <c r="H138" s="99">
        <f>G138+'16'!H138</f>
        <v>1384</v>
      </c>
      <c r="I138" s="118"/>
      <c r="J138" s="348">
        <f>H138/DAY(B2)</f>
        <v>81.411764705882348</v>
      </c>
    </row>
    <row r="139" spans="1:15" ht="27.75" customHeight="1" x14ac:dyDescent="0.5">
      <c r="A139" s="749" t="s">
        <v>186</v>
      </c>
      <c r="B139" s="749"/>
      <c r="C139" s="749"/>
      <c r="D139" s="151" t="s">
        <v>183</v>
      </c>
      <c r="E139" s="95">
        <f>'16'!F139</f>
        <v>886074</v>
      </c>
      <c r="F139" s="148">
        <v>886073</v>
      </c>
      <c r="G139" s="112">
        <f t="shared" si="11"/>
        <v>-1</v>
      </c>
      <c r="H139" s="99">
        <f>G139+'16'!H139</f>
        <v>11</v>
      </c>
      <c r="I139" s="118"/>
      <c r="J139" s="348">
        <f>H139/DAY(B2)</f>
        <v>0.6470588235294118</v>
      </c>
    </row>
    <row r="140" spans="1:15" ht="27.75" customHeight="1" x14ac:dyDescent="0.5">
      <c r="A140" s="749" t="s">
        <v>187</v>
      </c>
      <c r="B140" s="749"/>
      <c r="C140" s="749"/>
      <c r="D140" s="151" t="s">
        <v>183</v>
      </c>
      <c r="E140" s="95">
        <f>'16'!F140</f>
        <v>88797.4</v>
      </c>
      <c r="F140" s="149">
        <v>88801.1</v>
      </c>
      <c r="G140" s="112">
        <f t="shared" si="11"/>
        <v>3.7000000000116415</v>
      </c>
      <c r="H140" s="99">
        <f>G140+'16'!H140</f>
        <v>3.1000000000058208</v>
      </c>
      <c r="I140" s="118"/>
      <c r="J140" s="348">
        <f>H140/DAY(B2)</f>
        <v>0.182352941176813</v>
      </c>
    </row>
    <row r="141" spans="1:15" ht="27.75" customHeight="1" x14ac:dyDescent="0.5">
      <c r="A141" s="728" t="s">
        <v>188</v>
      </c>
      <c r="B141" s="728"/>
      <c r="C141" s="728"/>
      <c r="D141" s="151" t="s">
        <v>183</v>
      </c>
      <c r="E141" s="95">
        <f>'16'!F141</f>
        <v>34474.800000000003</v>
      </c>
      <c r="F141" s="149">
        <v>34653.5</v>
      </c>
      <c r="G141" s="112">
        <f t="shared" si="11"/>
        <v>178.69999999999709</v>
      </c>
      <c r="H141" s="99">
        <f>G141+'16'!H141</f>
        <v>3117.5</v>
      </c>
      <c r="I141" s="118"/>
      <c r="J141" s="348">
        <f>H141/DAY(B2)</f>
        <v>183.38235294117646</v>
      </c>
    </row>
    <row r="142" spans="1:15" ht="27.75" customHeight="1" x14ac:dyDescent="0.5">
      <c r="A142" s="728" t="s">
        <v>189</v>
      </c>
      <c r="B142" s="728"/>
      <c r="C142" s="728"/>
      <c r="D142" s="151" t="s">
        <v>183</v>
      </c>
      <c r="E142" s="95">
        <f>'16'!F142</f>
        <v>16469.490000000002</v>
      </c>
      <c r="F142" s="148">
        <v>16538.3</v>
      </c>
      <c r="G142" s="112">
        <f t="shared" si="11"/>
        <v>68.809999999997672</v>
      </c>
      <c r="H142" s="99">
        <f>G142+'16'!H142</f>
        <v>1216.2999999999993</v>
      </c>
      <c r="I142" s="140"/>
      <c r="J142" s="348">
        <f>H142/DAY(B2)</f>
        <v>71.547058823529369</v>
      </c>
    </row>
    <row r="143" spans="1:15" ht="27.75" customHeight="1" x14ac:dyDescent="0.5">
      <c r="A143" s="749" t="s">
        <v>91</v>
      </c>
      <c r="B143" s="749"/>
      <c r="C143" s="749"/>
      <c r="D143" s="151" t="s">
        <v>183</v>
      </c>
      <c r="E143" s="95">
        <f>'16'!F143</f>
        <v>975.58</v>
      </c>
      <c r="F143" s="149">
        <v>1002.35</v>
      </c>
      <c r="G143" s="112">
        <f t="shared" si="11"/>
        <v>26.769999999999982</v>
      </c>
      <c r="H143" s="99">
        <f>G143+'16'!H143</f>
        <v>473.35</v>
      </c>
      <c r="I143" s="140"/>
      <c r="J143" s="348">
        <f>H143/DAY(B2)</f>
        <v>27.844117647058823</v>
      </c>
    </row>
    <row r="144" spans="1:15" ht="27.75" customHeight="1" x14ac:dyDescent="0.5">
      <c r="A144" s="728" t="s">
        <v>90</v>
      </c>
      <c r="B144" s="728"/>
      <c r="C144" s="728"/>
      <c r="D144" s="151" t="s">
        <v>183</v>
      </c>
      <c r="E144" s="95">
        <f>'16'!F144</f>
        <v>852745</v>
      </c>
      <c r="F144" s="149">
        <v>852910</v>
      </c>
      <c r="G144" s="112">
        <f t="shared" si="11"/>
        <v>165</v>
      </c>
      <c r="H144" s="99">
        <f>G144+'16'!H144</f>
        <v>2873</v>
      </c>
      <c r="I144" s="140"/>
      <c r="J144" s="348">
        <f>H144/DAY(B2)</f>
        <v>169</v>
      </c>
    </row>
    <row r="145" spans="1:10" ht="27.75" customHeight="1" x14ac:dyDescent="0.5">
      <c r="A145" s="749" t="s">
        <v>190</v>
      </c>
      <c r="B145" s="749"/>
      <c r="C145" s="749"/>
      <c r="D145" s="152" t="s">
        <v>183</v>
      </c>
      <c r="E145" s="95">
        <f>'16'!F145</f>
        <v>1634</v>
      </c>
      <c r="F145" s="149">
        <v>1664.4</v>
      </c>
      <c r="G145" s="112">
        <f t="shared" si="11"/>
        <v>30.400000000000091</v>
      </c>
      <c r="H145" s="99">
        <f>G145+'16'!H145</f>
        <v>710.40000000000009</v>
      </c>
      <c r="I145" s="140"/>
      <c r="J145" s="348">
        <f>H145/DAY(B2)</f>
        <v>41.788235294117655</v>
      </c>
    </row>
    <row r="146" spans="1:10" ht="27.75" customHeight="1" x14ac:dyDescent="0.5">
      <c r="A146" s="784" t="s">
        <v>191</v>
      </c>
      <c r="B146" s="769"/>
      <c r="C146" s="770"/>
      <c r="D146" s="152" t="s">
        <v>183</v>
      </c>
      <c r="E146" s="95">
        <f>'16'!F146</f>
        <v>692713</v>
      </c>
      <c r="F146" s="148">
        <v>693059</v>
      </c>
      <c r="G146" s="112">
        <f t="shared" si="11"/>
        <v>346</v>
      </c>
      <c r="H146" s="99">
        <f>G146+'16'!H146</f>
        <v>5867</v>
      </c>
      <c r="I146" s="140"/>
      <c r="J146" s="348">
        <f>H146/DAY(B2)</f>
        <v>345.11764705882354</v>
      </c>
    </row>
    <row r="147" spans="1:10" ht="27.75" customHeight="1" x14ac:dyDescent="0.5">
      <c r="A147" s="728" t="s">
        <v>192</v>
      </c>
      <c r="B147" s="728"/>
      <c r="C147" s="728"/>
      <c r="D147" s="152" t="s">
        <v>183</v>
      </c>
      <c r="E147" s="95">
        <f>'16'!F147</f>
        <v>582643.04</v>
      </c>
      <c r="F147" s="148">
        <v>583077.72</v>
      </c>
      <c r="G147" s="112">
        <f t="shared" si="11"/>
        <v>434.67999999993481</v>
      </c>
      <c r="H147" s="99">
        <f>G147+'16'!H147</f>
        <v>7005.7199999999721</v>
      </c>
      <c r="I147" s="140"/>
      <c r="J147" s="348">
        <f>H147/DAY(B2)</f>
        <v>412.10117647058661</v>
      </c>
    </row>
    <row r="148" spans="1:10" ht="27.75" customHeight="1" x14ac:dyDescent="0.5">
      <c r="A148" s="729" t="s">
        <v>193</v>
      </c>
      <c r="B148" s="730"/>
      <c r="C148" s="731"/>
      <c r="D148" s="123" t="s">
        <v>130</v>
      </c>
      <c r="E148" s="95">
        <f>'16'!F148</f>
        <v>661506.12</v>
      </c>
      <c r="F148" s="150">
        <v>661750.54</v>
      </c>
      <c r="G148" s="112">
        <f t="shared" si="11"/>
        <v>244.42000000004191</v>
      </c>
      <c r="H148" s="99">
        <f>G148+'16'!H148</f>
        <v>3150.5400000000373</v>
      </c>
      <c r="I148" s="124"/>
      <c r="J148" s="348">
        <f>H148/DAY(B2)</f>
        <v>185.32588235294338</v>
      </c>
    </row>
    <row r="149" spans="1:10" ht="27.75" customHeight="1" x14ac:dyDescent="0.5">
      <c r="A149" s="729" t="s">
        <v>336</v>
      </c>
      <c r="B149" s="730"/>
      <c r="C149" s="731"/>
      <c r="D149" s="227" t="s">
        <v>130</v>
      </c>
      <c r="E149" s="95">
        <f>'16'!F149</f>
        <v>79725</v>
      </c>
      <c r="F149" s="629">
        <v>80083</v>
      </c>
      <c r="G149" s="112">
        <f t="shared" si="11"/>
        <v>358</v>
      </c>
      <c r="H149" s="99">
        <f>G149+'16'!H149</f>
        <v>4661</v>
      </c>
      <c r="I149" s="119"/>
      <c r="J149" s="348">
        <f>H149/DAY(B2)</f>
        <v>274.1764705882353</v>
      </c>
    </row>
    <row r="150" spans="1:10" ht="27.75" customHeight="1" x14ac:dyDescent="0.5">
      <c r="A150" s="729" t="s">
        <v>337</v>
      </c>
      <c r="B150" s="730"/>
      <c r="C150" s="731"/>
      <c r="D150" s="117" t="s">
        <v>130</v>
      </c>
      <c r="E150" s="95">
        <f>'16'!F150</f>
        <v>7167232</v>
      </c>
      <c r="F150" s="233">
        <v>7167232</v>
      </c>
      <c r="G150" s="112">
        <f t="shared" si="11"/>
        <v>0</v>
      </c>
      <c r="H150" s="99">
        <f>G150+'16'!H150</f>
        <v>0</v>
      </c>
      <c r="I150" s="119"/>
      <c r="J150" s="348">
        <f>H150/DAY(B2)</f>
        <v>0</v>
      </c>
    </row>
    <row r="151" spans="1:10" ht="27.75" customHeight="1" x14ac:dyDescent="0.5">
      <c r="A151" s="729" t="s">
        <v>338</v>
      </c>
      <c r="B151" s="730"/>
      <c r="C151" s="731"/>
      <c r="D151" s="117" t="s">
        <v>130</v>
      </c>
      <c r="E151" s="95">
        <f>'16'!F151</f>
        <v>58683</v>
      </c>
      <c r="F151" s="233">
        <v>59040</v>
      </c>
      <c r="G151" s="112">
        <f t="shared" si="11"/>
        <v>357</v>
      </c>
      <c r="H151" s="99">
        <f>G151+'16'!H151</f>
        <v>5661</v>
      </c>
      <c r="I151" s="119"/>
      <c r="J151" s="348">
        <f>H151/DAY(B2)</f>
        <v>333</v>
      </c>
    </row>
    <row r="152" spans="1:10" ht="27.75" customHeight="1" x14ac:dyDescent="0.5">
      <c r="A152" s="729" t="s">
        <v>339</v>
      </c>
      <c r="B152" s="730"/>
      <c r="C152" s="731"/>
      <c r="D152" s="117" t="s">
        <v>130</v>
      </c>
      <c r="E152" s="95">
        <f>'16'!F152</f>
        <v>0</v>
      </c>
      <c r="F152" s="233">
        <v>0</v>
      </c>
      <c r="G152" s="112">
        <f t="shared" si="11"/>
        <v>0</v>
      </c>
      <c r="H152" s="99">
        <f>G152+'16'!H152</f>
        <v>0</v>
      </c>
      <c r="I152" s="119"/>
      <c r="J152" s="348">
        <f>H152/DAY(B2)</f>
        <v>0</v>
      </c>
    </row>
    <row r="153" spans="1:10" ht="27.75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27.75" customHeight="1" x14ac:dyDescent="0.55000000000000004">
      <c r="A154" s="736" t="s">
        <v>344</v>
      </c>
      <c r="B154" s="736"/>
      <c r="C154" s="736"/>
      <c r="D154" s="736"/>
      <c r="E154" s="736"/>
      <c r="F154" s="736"/>
      <c r="G154" s="736"/>
      <c r="H154" s="736"/>
      <c r="I154" s="736"/>
      <c r="J154" s="736"/>
    </row>
    <row r="155" spans="1:10" ht="27.75" customHeight="1" x14ac:dyDescent="0.55000000000000004">
      <c r="A155" s="728" t="s">
        <v>345</v>
      </c>
      <c r="B155" s="728"/>
      <c r="C155" s="728"/>
      <c r="D155" s="117" t="s">
        <v>130</v>
      </c>
      <c r="E155" s="95">
        <f>'16'!F155</f>
        <v>77143</v>
      </c>
      <c r="F155" s="628">
        <v>77150.2</v>
      </c>
      <c r="G155" s="112">
        <f t="shared" ref="G155:G156" si="12">F155-E155</f>
        <v>7.1999999999970896</v>
      </c>
      <c r="H155" s="99">
        <f>G155+'16'!H155</f>
        <v>122.30000000000291</v>
      </c>
      <c r="I155" s="385"/>
      <c r="J155" s="348">
        <f>H155/DAY(B2)</f>
        <v>7.1941176470589951</v>
      </c>
    </row>
    <row r="156" spans="1:10" ht="27.75" customHeight="1" x14ac:dyDescent="0.5">
      <c r="A156" s="728" t="s">
        <v>347</v>
      </c>
      <c r="B156" s="728"/>
      <c r="C156" s="728"/>
      <c r="D156" s="117" t="s">
        <v>130</v>
      </c>
      <c r="E156" s="95">
        <f>'16'!F156</f>
        <v>0</v>
      </c>
      <c r="F156" s="165">
        <v>0</v>
      </c>
      <c r="G156" s="112">
        <f t="shared" si="12"/>
        <v>0</v>
      </c>
      <c r="H156" s="99">
        <f>G156+'16'!H156</f>
        <v>0</v>
      </c>
      <c r="I156" s="165"/>
      <c r="J156" s="348">
        <f>H156/DAY(B2)</f>
        <v>0</v>
      </c>
    </row>
    <row r="157" spans="1:10" ht="27.75" customHeight="1" x14ac:dyDescent="0.55000000000000004">
      <c r="A157" s="736" t="s">
        <v>326</v>
      </c>
      <c r="B157" s="736"/>
      <c r="C157" s="736"/>
      <c r="D157" s="736"/>
      <c r="E157" s="736"/>
      <c r="F157" s="736"/>
      <c r="G157" s="736"/>
      <c r="H157" s="736"/>
      <c r="I157" s="736"/>
      <c r="J157" s="736"/>
    </row>
    <row r="158" spans="1:10" ht="27.75" customHeight="1" x14ac:dyDescent="0.5">
      <c r="A158" s="242" t="s">
        <v>92</v>
      </c>
      <c r="B158" s="243"/>
      <c r="C158" s="243"/>
      <c r="D158" s="244" t="s">
        <v>180</v>
      </c>
      <c r="E158" s="95">
        <f>'16'!F158</f>
        <v>467092.44</v>
      </c>
      <c r="F158" s="235">
        <v>467133.4</v>
      </c>
      <c r="G158" s="238">
        <f t="shared" ref="G158:G162" si="13">F158-E158</f>
        <v>40.960000000020955</v>
      </c>
      <c r="H158" s="99">
        <f>G158+'16'!H158</f>
        <v>1872.4000000000233</v>
      </c>
      <c r="I158" s="236"/>
      <c r="J158" s="239">
        <f>H158/DAY(B2)</f>
        <v>110.1411764705896</v>
      </c>
    </row>
    <row r="159" spans="1:10" ht="27.75" customHeight="1" x14ac:dyDescent="0.5">
      <c r="A159" s="242" t="s">
        <v>93</v>
      </c>
      <c r="B159" s="243"/>
      <c r="C159" s="243"/>
      <c r="D159" s="244" t="s">
        <v>180</v>
      </c>
      <c r="E159" s="95">
        <f>'16'!F159</f>
        <v>85322.1</v>
      </c>
      <c r="F159" s="235">
        <v>85339.4</v>
      </c>
      <c r="G159" s="238">
        <f t="shared" si="13"/>
        <v>17.299999999988358</v>
      </c>
      <c r="H159" s="99">
        <f>G159+'16'!H159</f>
        <v>529.39999999999418</v>
      </c>
      <c r="I159" s="236"/>
      <c r="J159" s="239">
        <f>H159/DAY(B2)</f>
        <v>31.141176470587894</v>
      </c>
    </row>
    <row r="160" spans="1:10" ht="27.75" customHeight="1" x14ac:dyDescent="0.5">
      <c r="A160" s="242" t="s">
        <v>197</v>
      </c>
      <c r="B160" s="243"/>
      <c r="C160" s="243"/>
      <c r="D160" s="244" t="s">
        <v>180</v>
      </c>
      <c r="E160" s="95">
        <f>'16'!F160</f>
        <v>72058.8</v>
      </c>
      <c r="F160" s="235">
        <v>72101.2</v>
      </c>
      <c r="G160" s="238">
        <f t="shared" si="13"/>
        <v>42.399999999994179</v>
      </c>
      <c r="H160" s="99">
        <f>G160+'16'!H160</f>
        <v>1130.1999999999971</v>
      </c>
      <c r="I160" s="236"/>
      <c r="J160" s="239">
        <f>H160/DAY(B2)</f>
        <v>66.482352941176302</v>
      </c>
    </row>
    <row r="161" spans="1:10" ht="27.75" customHeight="1" x14ac:dyDescent="0.5">
      <c r="A161" s="242" t="s">
        <v>197</v>
      </c>
      <c r="B161" s="243"/>
      <c r="C161" s="243"/>
      <c r="D161" s="244" t="s">
        <v>180</v>
      </c>
      <c r="E161" s="95">
        <f>'16'!F161</f>
        <v>3889.3</v>
      </c>
      <c r="F161" s="235">
        <v>3980.3</v>
      </c>
      <c r="G161" s="238">
        <f t="shared" si="13"/>
        <v>91</v>
      </c>
      <c r="H161" s="99">
        <f>G161+'16'!H161</f>
        <v>183.30000000000018</v>
      </c>
      <c r="I161" s="236"/>
      <c r="J161" s="239">
        <f>H161/DAY(B2)</f>
        <v>10.782352941176482</v>
      </c>
    </row>
    <row r="162" spans="1:10" ht="27.75" customHeight="1" x14ac:dyDescent="0.5">
      <c r="A162" s="242" t="s">
        <v>309</v>
      </c>
      <c r="B162" s="243"/>
      <c r="C162" s="243"/>
      <c r="D162" s="244" t="s">
        <v>180</v>
      </c>
      <c r="E162" s="95">
        <f>'16'!F162</f>
        <v>29086.009600000001</v>
      </c>
      <c r="F162" s="235">
        <v>29086.74</v>
      </c>
      <c r="G162" s="238">
        <f t="shared" si="13"/>
        <v>0.73040000000037253</v>
      </c>
      <c r="H162" s="99">
        <f>G162+'16'!H162</f>
        <v>114.7400000000016</v>
      </c>
      <c r="I162" s="236"/>
      <c r="J162" s="239">
        <f>H162/DAY(B2)</f>
        <v>6.7494117647059761</v>
      </c>
    </row>
    <row r="163" spans="1:10" ht="27.75" customHeight="1" x14ac:dyDescent="0.5">
      <c r="A163" s="737"/>
      <c r="B163" s="737"/>
      <c r="C163" s="247"/>
      <c r="D163" s="244" t="s">
        <v>180</v>
      </c>
      <c r="E163" s="95">
        <f>'16'!F163</f>
        <v>0</v>
      </c>
      <c r="F163" s="165"/>
      <c r="G163" s="165"/>
      <c r="H163" s="99">
        <f>G163+'16'!H163</f>
        <v>0</v>
      </c>
      <c r="I163" s="165"/>
      <c r="J163" s="239">
        <f>H163/DAY(B2)</f>
        <v>0</v>
      </c>
    </row>
    <row r="164" spans="1:10" ht="27.75" customHeight="1" x14ac:dyDescent="0.5">
      <c r="A164" s="737"/>
      <c r="B164" s="737"/>
      <c r="C164" s="247"/>
      <c r="D164" s="244" t="s">
        <v>180</v>
      </c>
      <c r="E164" s="95">
        <f>'16'!F164</f>
        <v>0</v>
      </c>
      <c r="F164" s="165"/>
      <c r="G164" s="165"/>
      <c r="H164" s="99">
        <f>G164+'16'!H164</f>
        <v>0</v>
      </c>
      <c r="I164" s="165"/>
      <c r="J164" s="239">
        <f>H164/DAY(B2)</f>
        <v>0</v>
      </c>
    </row>
    <row r="165" spans="1:10" ht="27.75" customHeight="1" x14ac:dyDescent="0.5">
      <c r="A165" s="737"/>
      <c r="B165" s="737"/>
      <c r="C165" s="247"/>
      <c r="D165" s="244" t="s">
        <v>180</v>
      </c>
      <c r="E165" s="95">
        <f>'16'!F165</f>
        <v>0</v>
      </c>
      <c r="F165" s="165"/>
      <c r="G165" s="165"/>
      <c r="H165" s="99">
        <f>G165+'16'!H165</f>
        <v>0</v>
      </c>
      <c r="I165" s="165"/>
      <c r="J165" s="239">
        <f>H165/DAY(B2)</f>
        <v>0</v>
      </c>
    </row>
    <row r="168" spans="1:10" ht="27.75" customHeight="1" x14ac:dyDescent="0.35">
      <c r="A168" s="738" t="s">
        <v>330</v>
      </c>
      <c r="B168" s="739"/>
      <c r="C168" s="739"/>
      <c r="D168" s="739"/>
      <c r="E168" s="739"/>
      <c r="F168" s="739"/>
      <c r="G168" s="739"/>
      <c r="H168" s="739"/>
      <c r="I168" s="739"/>
      <c r="J168" s="740"/>
    </row>
    <row r="169" spans="1:10" ht="27.75" customHeight="1" x14ac:dyDescent="0.5">
      <c r="A169" s="747"/>
      <c r="B169" s="748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customHeight="1" x14ac:dyDescent="0.5">
      <c r="A170" s="743" t="s">
        <v>209</v>
      </c>
      <c r="B170" s="744"/>
      <c r="C170" s="353"/>
      <c r="D170" s="228" t="s">
        <v>142</v>
      </c>
      <c r="E170" s="95">
        <f>'16'!F170</f>
        <v>7898</v>
      </c>
      <c r="F170" s="157">
        <v>7898</v>
      </c>
      <c r="G170" s="155">
        <f>F170-E170</f>
        <v>0</v>
      </c>
      <c r="H170" s="99">
        <f>G170+'16'!H170</f>
        <v>3</v>
      </c>
      <c r="I170" s="155"/>
      <c r="J170" s="178">
        <f>H170/DAY(B2)</f>
        <v>0.17647058823529413</v>
      </c>
    </row>
    <row r="171" spans="1:10" ht="27.75" customHeight="1" x14ac:dyDescent="0.5">
      <c r="A171" s="743" t="s">
        <v>75</v>
      </c>
      <c r="B171" s="744"/>
      <c r="C171" s="353"/>
      <c r="D171" s="228" t="s">
        <v>142</v>
      </c>
      <c r="E171" s="95">
        <f>'16'!F171</f>
        <v>37211</v>
      </c>
      <c r="F171" s="157">
        <v>37222</v>
      </c>
      <c r="G171" s="155">
        <f t="shared" ref="G171:G172" si="14">F171-E171</f>
        <v>11</v>
      </c>
      <c r="H171" s="99">
        <f>G171+'16'!H171</f>
        <v>582</v>
      </c>
      <c r="I171" s="155"/>
      <c r="J171" s="178">
        <f>H171/DAY(B2)</f>
        <v>34.235294117647058</v>
      </c>
    </row>
    <row r="172" spans="1:10" ht="27.75" customHeight="1" x14ac:dyDescent="0.5">
      <c r="A172" s="743" t="s">
        <v>76</v>
      </c>
      <c r="B172" s="783"/>
      <c r="C172" s="744"/>
      <c r="D172" s="228" t="s">
        <v>142</v>
      </c>
      <c r="E172" s="95">
        <f>'16'!F172</f>
        <v>20637</v>
      </c>
      <c r="F172" s="155">
        <v>20646</v>
      </c>
      <c r="G172" s="155">
        <f t="shared" si="14"/>
        <v>9</v>
      </c>
      <c r="H172" s="99">
        <f>G172+'16'!H172</f>
        <v>177</v>
      </c>
      <c r="I172" s="155"/>
      <c r="J172" s="178">
        <f>H172/DAY(B2)</f>
        <v>10.411764705882353</v>
      </c>
    </row>
    <row r="173" spans="1:10" ht="27.75" customHeight="1" x14ac:dyDescent="0.5">
      <c r="A173" s="732" t="s">
        <v>196</v>
      </c>
      <c r="B173" s="733"/>
      <c r="C173" s="353"/>
      <c r="D173" s="228" t="s">
        <v>142</v>
      </c>
      <c r="E173" s="95"/>
      <c r="F173" s="155"/>
      <c r="G173" s="155">
        <f>SUM(G170:G172)</f>
        <v>20</v>
      </c>
      <c r="H173" s="99">
        <f>G173+'16'!H173</f>
        <v>762</v>
      </c>
      <c r="I173" s="155"/>
      <c r="J173" s="178">
        <f>H173/DAY(B2)</f>
        <v>44.823529411764703</v>
      </c>
    </row>
    <row r="174" spans="1:10" ht="27.75" customHeight="1" x14ac:dyDescent="0.5">
      <c r="A174" s="743" t="s">
        <v>77</v>
      </c>
      <c r="B174" s="744"/>
      <c r="C174" s="353"/>
      <c r="D174" s="228" t="s">
        <v>142</v>
      </c>
      <c r="E174" s="95"/>
      <c r="F174" s="155"/>
      <c r="G174" s="155"/>
      <c r="H174" s="99">
        <f>G174+'16'!H174</f>
        <v>0</v>
      </c>
      <c r="I174" s="155"/>
      <c r="J174" s="178">
        <f>H174/DAY(B2)</f>
        <v>0</v>
      </c>
    </row>
    <row r="175" spans="1:10" ht="27.75" customHeight="1" x14ac:dyDescent="0.5">
      <c r="A175" s="743" t="s">
        <v>210</v>
      </c>
      <c r="B175" s="744"/>
      <c r="C175" s="353"/>
      <c r="D175" s="228" t="s">
        <v>142</v>
      </c>
      <c r="E175" s="95">
        <f>'16'!F175</f>
        <v>73311</v>
      </c>
      <c r="F175" s="155">
        <v>73417</v>
      </c>
      <c r="G175" s="155">
        <f>F175-E175</f>
        <v>106</v>
      </c>
      <c r="H175" s="99">
        <f>G175+'16'!H175</f>
        <v>1483</v>
      </c>
      <c r="I175" s="155"/>
      <c r="J175" s="178">
        <f>H175/DAY(B2)</f>
        <v>87.235294117647058</v>
      </c>
    </row>
    <row r="176" spans="1:10" ht="27.75" customHeight="1" x14ac:dyDescent="0.5">
      <c r="A176" s="743" t="s">
        <v>211</v>
      </c>
      <c r="B176" s="744"/>
      <c r="C176" s="353"/>
      <c r="D176" s="228" t="s">
        <v>142</v>
      </c>
      <c r="E176" s="95">
        <f>'16'!F176</f>
        <v>33886</v>
      </c>
      <c r="F176" s="155">
        <v>33886</v>
      </c>
      <c r="G176" s="155">
        <f t="shared" ref="G176:G177" si="15">F176-E176</f>
        <v>0</v>
      </c>
      <c r="H176" s="99">
        <f>G176+'16'!H176</f>
        <v>0</v>
      </c>
      <c r="I176" s="155"/>
      <c r="J176" s="178">
        <f>H176/DAY(B2)</f>
        <v>0</v>
      </c>
    </row>
    <row r="177" spans="1:10" ht="27.75" customHeight="1" x14ac:dyDescent="0.5">
      <c r="A177" s="743" t="s">
        <v>212</v>
      </c>
      <c r="B177" s="744"/>
      <c r="C177" s="353"/>
      <c r="D177" s="228" t="s">
        <v>142</v>
      </c>
      <c r="E177" s="95">
        <f>'16'!F177</f>
        <v>7935</v>
      </c>
      <c r="F177" s="155">
        <v>7935</v>
      </c>
      <c r="G177" s="155">
        <f t="shared" si="15"/>
        <v>0</v>
      </c>
      <c r="H177" s="99">
        <f>G177+'16'!H177</f>
        <v>3104</v>
      </c>
      <c r="I177" s="155"/>
      <c r="J177" s="178">
        <f>H177/DAY(B2)</f>
        <v>182.58823529411765</v>
      </c>
    </row>
    <row r="178" spans="1:10" ht="27.75" customHeight="1" x14ac:dyDescent="0.5">
      <c r="A178" s="745" t="s">
        <v>108</v>
      </c>
      <c r="B178" s="746"/>
      <c r="C178" s="353"/>
      <c r="D178" s="228" t="s">
        <v>142</v>
      </c>
      <c r="E178" s="95"/>
      <c r="F178" s="155"/>
      <c r="G178" s="155">
        <f>SUM(G175:G177)</f>
        <v>106</v>
      </c>
      <c r="H178" s="99">
        <f>G178+'16'!H178</f>
        <v>4587</v>
      </c>
      <c r="I178" s="155"/>
      <c r="J178" s="178">
        <f>H178/DAY(B2)</f>
        <v>269.8235294117647</v>
      </c>
    </row>
    <row r="179" spans="1:10" ht="27.75" customHeight="1" x14ac:dyDescent="0.5">
      <c r="A179" s="743" t="s">
        <v>213</v>
      </c>
      <c r="B179" s="744"/>
      <c r="C179" s="353"/>
      <c r="D179" s="228" t="s">
        <v>142</v>
      </c>
      <c r="E179" s="95"/>
      <c r="F179" s="155"/>
      <c r="G179" s="155"/>
      <c r="H179" s="99">
        <f>G179+'16'!H179</f>
        <v>0</v>
      </c>
      <c r="I179" s="155"/>
      <c r="J179" s="178">
        <f>H179/DAY(B2)</f>
        <v>0</v>
      </c>
    </row>
    <row r="180" spans="1:10" ht="27.75" customHeight="1" x14ac:dyDescent="0.5">
      <c r="A180" s="743" t="s">
        <v>214</v>
      </c>
      <c r="B180" s="744"/>
      <c r="C180" s="354"/>
      <c r="D180" s="228" t="s">
        <v>142</v>
      </c>
      <c r="E180" s="95">
        <f>'16'!F180</f>
        <v>13776</v>
      </c>
      <c r="F180" s="157">
        <v>13792</v>
      </c>
      <c r="G180" s="157">
        <f>F180-E180</f>
        <v>16</v>
      </c>
      <c r="H180" s="99">
        <f>G180+'16'!H180</f>
        <v>255</v>
      </c>
      <c r="I180" s="155"/>
      <c r="J180" s="178">
        <f>H180/DAY(B2)</f>
        <v>15</v>
      </c>
    </row>
    <row r="181" spans="1:10" ht="27.75" customHeight="1" x14ac:dyDescent="0.5">
      <c r="A181" s="743" t="s">
        <v>215</v>
      </c>
      <c r="B181" s="744"/>
      <c r="C181" s="354"/>
      <c r="D181" s="228" t="s">
        <v>142</v>
      </c>
      <c r="E181" s="95">
        <f>'16'!F181</f>
        <v>9589</v>
      </c>
      <c r="F181" s="157">
        <v>9598</v>
      </c>
      <c r="G181" s="157">
        <f t="shared" ref="G181:G182" si="16">F181-E181</f>
        <v>9</v>
      </c>
      <c r="H181" s="99">
        <f>G181+'16'!H181</f>
        <v>150</v>
      </c>
      <c r="I181" s="155"/>
      <c r="J181" s="178">
        <f>H181/DAY(B2)</f>
        <v>8.8235294117647065</v>
      </c>
    </row>
    <row r="182" spans="1:10" ht="27.75" customHeight="1" x14ac:dyDescent="0.5">
      <c r="A182" s="743" t="s">
        <v>216</v>
      </c>
      <c r="B182" s="744"/>
      <c r="C182" s="354"/>
      <c r="D182" s="228" t="s">
        <v>142</v>
      </c>
      <c r="E182" s="95">
        <f>'16'!F182</f>
        <v>0</v>
      </c>
      <c r="F182" s="157"/>
      <c r="G182" s="157">
        <f t="shared" si="16"/>
        <v>0</v>
      </c>
      <c r="H182" s="99">
        <f>G182+'16'!H182</f>
        <v>0</v>
      </c>
      <c r="I182" s="155"/>
      <c r="J182" s="178">
        <f>H182/DAY(B2)</f>
        <v>0</v>
      </c>
    </row>
    <row r="183" spans="1:10" ht="27.75" customHeight="1" x14ac:dyDescent="0.5">
      <c r="A183" s="732" t="s">
        <v>196</v>
      </c>
      <c r="B183" s="733"/>
      <c r="C183" s="354"/>
      <c r="D183" s="228" t="s">
        <v>142</v>
      </c>
      <c r="E183" s="95"/>
      <c r="F183" s="157"/>
      <c r="G183" s="157">
        <f>SUM(G180:G182)</f>
        <v>25</v>
      </c>
      <c r="H183" s="99">
        <f>G183+'16'!H183</f>
        <v>405</v>
      </c>
      <c r="I183" s="157"/>
      <c r="J183" s="178">
        <f>H183/DAY(B2)</f>
        <v>23.823529411764707</v>
      </c>
    </row>
    <row r="184" spans="1:10" ht="27.75" customHeight="1" x14ac:dyDescent="0.5">
      <c r="A184" s="734" t="s">
        <v>217</v>
      </c>
      <c r="B184" s="735"/>
      <c r="C184" s="353"/>
      <c r="D184" s="228" t="s">
        <v>142</v>
      </c>
      <c r="E184" s="95"/>
      <c r="F184" s="159"/>
      <c r="G184" s="588">
        <f>G62+G19</f>
        <v>182</v>
      </c>
      <c r="H184" s="99">
        <f>G184+'16'!H184</f>
        <v>2846</v>
      </c>
      <c r="I184" s="158"/>
      <c r="J184" s="179">
        <f>H184/DAY(B2)</f>
        <v>167.41176470588235</v>
      </c>
    </row>
    <row r="185" spans="1:10" ht="27.75" customHeight="1" x14ac:dyDescent="0.5">
      <c r="A185" s="734" t="s">
        <v>218</v>
      </c>
      <c r="B185" s="735"/>
      <c r="C185" s="353"/>
      <c r="D185" s="230" t="s">
        <v>142</v>
      </c>
      <c r="E185" s="95"/>
      <c r="F185" s="159"/>
      <c r="G185" s="588">
        <f>G65+G66+G67+G69+G70</f>
        <v>187</v>
      </c>
      <c r="H185" s="99">
        <f>G185+'16'!H185</f>
        <v>538</v>
      </c>
      <c r="I185" s="158"/>
      <c r="J185" s="179">
        <f>H185/DAY(B2)</f>
        <v>31.647058823529413</v>
      </c>
    </row>
    <row r="186" spans="1:10" ht="27.75" customHeight="1" x14ac:dyDescent="0.5">
      <c r="A186" s="734" t="s">
        <v>219</v>
      </c>
      <c r="B186" s="735"/>
      <c r="C186" s="353"/>
      <c r="D186" s="230" t="s">
        <v>142</v>
      </c>
      <c r="E186" s="95"/>
      <c r="F186" s="157"/>
      <c r="G186" s="585">
        <f>G178</f>
        <v>106</v>
      </c>
      <c r="H186" s="99">
        <f>G186+'16'!H186</f>
        <v>4587</v>
      </c>
      <c r="I186" s="158"/>
      <c r="J186" s="179">
        <f>H186/DAY(B2)</f>
        <v>269.8235294117647</v>
      </c>
    </row>
    <row r="187" spans="1:10" ht="27.75" customHeight="1" x14ac:dyDescent="0.5">
      <c r="A187" s="741"/>
      <c r="B187" s="742"/>
      <c r="C187" s="609"/>
      <c r="D187" s="606"/>
      <c r="E187" s="606"/>
      <c r="F187" s="606"/>
      <c r="G187" s="606"/>
      <c r="H187" s="607"/>
      <c r="I187" s="606"/>
      <c r="J187" s="608"/>
    </row>
  </sheetData>
  <mergeCells count="111">
    <mergeCell ref="A33:C33"/>
    <mergeCell ref="A64:C64"/>
    <mergeCell ref="A65:C65"/>
    <mergeCell ref="A75:C75"/>
    <mergeCell ref="A76:C76"/>
    <mergeCell ref="A77:C77"/>
    <mergeCell ref="A73:C73"/>
    <mergeCell ref="A74:C74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61:C61"/>
    <mergeCell ref="A62:C62"/>
    <mergeCell ref="A63:C63"/>
    <mergeCell ref="A71:C71"/>
    <mergeCell ref="A72:B72"/>
    <mergeCell ref="A134:C134"/>
    <mergeCell ref="A135:C135"/>
    <mergeCell ref="A142:C142"/>
    <mergeCell ref="A179:B179"/>
    <mergeCell ref="A180:B180"/>
    <mergeCell ref="A181:B181"/>
    <mergeCell ref="A177:B177"/>
    <mergeCell ref="A178:B178"/>
    <mergeCell ref="A172:C172"/>
    <mergeCell ref="A174:B174"/>
    <mergeCell ref="A175:B175"/>
    <mergeCell ref="A176:B176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79:C79"/>
    <mergeCell ref="A80:C80"/>
    <mergeCell ref="A94:C94"/>
    <mergeCell ref="A95:C95"/>
    <mergeCell ref="A96:C96"/>
    <mergeCell ref="A81:C81"/>
    <mergeCell ref="A93:C93"/>
    <mergeCell ref="A115:C115"/>
    <mergeCell ref="A116:C116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50:C150"/>
    <mergeCell ref="A151:C151"/>
    <mergeCell ref="A152:C152"/>
    <mergeCell ref="A154:J154"/>
    <mergeCell ref="A155:C155"/>
    <mergeCell ref="A156:C156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87"/>
  <sheetViews>
    <sheetView view="pageBreakPreview" topLeftCell="A154" zoomScale="55" zoomScaleNormal="68" zoomScaleSheetLayoutView="55" workbookViewId="0">
      <selection activeCell="A183" sqref="A183:C183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789" t="s">
        <v>115</v>
      </c>
      <c r="B1" s="790"/>
      <c r="C1" s="790"/>
      <c r="D1" s="790"/>
      <c r="E1" s="790"/>
      <c r="F1" s="790"/>
      <c r="G1" s="790"/>
      <c r="H1" s="790"/>
      <c r="I1" s="790"/>
      <c r="J1" s="791"/>
    </row>
    <row r="2" spans="1:15" s="57" customFormat="1" ht="27.75" customHeight="1" x14ac:dyDescent="0.5">
      <c r="A2" s="191" t="s">
        <v>303</v>
      </c>
      <c r="B2" s="266">
        <v>44487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68" t="s">
        <v>118</v>
      </c>
      <c r="D3" s="219">
        <v>28</v>
      </c>
      <c r="E3" s="798" t="s">
        <v>119</v>
      </c>
      <c r="F3" s="799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792" t="s">
        <v>128</v>
      </c>
      <c r="B6" s="793"/>
      <c r="C6" s="79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'17'!F7</f>
        <v>363179.47</v>
      </c>
      <c r="F7" s="95">
        <f>E7+23000</f>
        <v>386179.47</v>
      </c>
      <c r="G7" s="112">
        <f>F7-E7</f>
        <v>23000</v>
      </c>
      <c r="H7" s="99">
        <f>G7+'17'!H7</f>
        <v>418937.06999999989</v>
      </c>
      <c r="I7" s="113">
        <f>'1'!I7</f>
        <v>12000</v>
      </c>
      <c r="J7" s="175">
        <f>H7/DAY(B2)</f>
        <v>23274.281666666662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'17'!F8</f>
        <v>383529.75</v>
      </c>
      <c r="F8" s="114">
        <f>E8+23050</f>
        <v>406579.75</v>
      </c>
      <c r="G8" s="115">
        <f>F8-E8</f>
        <v>23050</v>
      </c>
      <c r="H8" s="99">
        <f>G8+'17'!H8</f>
        <v>424862.74999999994</v>
      </c>
      <c r="I8" s="116"/>
      <c r="J8" s="175">
        <f>H8/DAY(B2)</f>
        <v>23603.486111111109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'17'!F9</f>
        <v>1046976.9</v>
      </c>
      <c r="F9" s="117">
        <f>E9+23000</f>
        <v>1069976.8999999999</v>
      </c>
      <c r="G9" s="112">
        <f>F9-E9</f>
        <v>22999.999999999884</v>
      </c>
      <c r="H9" s="99">
        <f>G9+'17'!H9</f>
        <v>339186.89999999991</v>
      </c>
      <c r="I9" s="124">
        <f>I7-J7</f>
        <v>-11274.281666666662</v>
      </c>
      <c r="J9" s="175">
        <f>H9/DAY(B2)</f>
        <v>18843.71666666666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'17'!F10</f>
        <v>68309</v>
      </c>
      <c r="F10" s="117">
        <v>2607</v>
      </c>
      <c r="G10" s="112">
        <f t="shared" ref="G10:G12" si="0">F10-E10</f>
        <v>-65702</v>
      </c>
      <c r="H10" s="99">
        <f>G10+'17'!H10</f>
        <v>7736</v>
      </c>
      <c r="I10" s="286"/>
      <c r="J10" s="175">
        <f>H10/DAY(B2)</f>
        <v>429.77777777777777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'17'!F11</f>
        <v>37000</v>
      </c>
      <c r="F11" s="95">
        <v>37000</v>
      </c>
      <c r="G11" s="112">
        <f t="shared" si="0"/>
        <v>0</v>
      </c>
      <c r="H11" s="99">
        <f>G11+'17'!H11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'17'!F12</f>
        <v>40010</v>
      </c>
      <c r="F12" s="117">
        <v>40010</v>
      </c>
      <c r="G12" s="112">
        <f t="shared" si="0"/>
        <v>0</v>
      </c>
      <c r="H12" s="99">
        <f>G12+'17'!H12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-42702.000000000116</v>
      </c>
      <c r="H13" s="99">
        <f>G13+'17'!H13</f>
        <v>325377.14999999991</v>
      </c>
      <c r="I13" s="120">
        <f>G7-G13</f>
        <v>65702.000000000116</v>
      </c>
      <c r="J13" s="175">
        <f>H13/DAY(B2)</f>
        <v>18076.508333333328</v>
      </c>
      <c r="K13" s="79"/>
      <c r="L13" s="66"/>
      <c r="N13" s="87"/>
      <c r="O13" s="71"/>
    </row>
    <row r="14" spans="1:15" ht="27.75" customHeight="1" x14ac:dyDescent="0.5">
      <c r="A14" s="795" t="s">
        <v>137</v>
      </c>
      <c r="B14" s="796"/>
      <c r="C14" s="79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65" t="s">
        <v>138</v>
      </c>
      <c r="B15" s="205"/>
      <c r="C15" s="205"/>
      <c r="D15" s="151" t="s">
        <v>139</v>
      </c>
      <c r="E15" s="95">
        <f>'17'!F15</f>
        <v>1801117.8829999999</v>
      </c>
      <c r="F15" s="123">
        <f>E15+875</f>
        <v>1801992.8829999999</v>
      </c>
      <c r="G15" s="112">
        <f>(F15-E15)</f>
        <v>875</v>
      </c>
      <c r="H15" s="99">
        <f>G15+'17'!H15</f>
        <v>17784.882999999914</v>
      </c>
      <c r="I15" s="113">
        <f>'1'!I15</f>
        <v>800</v>
      </c>
      <c r="J15" s="175">
        <f>H15/DAY(B2)</f>
        <v>988.04905555555081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-188.04905555555081</v>
      </c>
      <c r="J16" s="176"/>
      <c r="K16" s="79"/>
      <c r="L16" s="66"/>
      <c r="N16" s="87"/>
      <c r="O16" s="71"/>
    </row>
    <row r="17" spans="1:15" ht="27.75" customHeight="1" x14ac:dyDescent="0.5">
      <c r="A17" s="795" t="s">
        <v>140</v>
      </c>
      <c r="B17" s="796"/>
      <c r="C17" s="79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771" t="s">
        <v>141</v>
      </c>
      <c r="B18" s="772"/>
      <c r="C18" s="773"/>
      <c r="D18" s="151" t="s">
        <v>142</v>
      </c>
      <c r="E18" s="95">
        <f>'17'!F18</f>
        <v>21</v>
      </c>
      <c r="F18" s="122">
        <v>14</v>
      </c>
      <c r="G18" s="119">
        <f>F18*10</f>
        <v>140</v>
      </c>
      <c r="H18" s="99">
        <f>G18+'17'!H18</f>
        <v>3460</v>
      </c>
      <c r="I18" s="113">
        <f>'1'!I18</f>
        <v>65</v>
      </c>
      <c r="J18" s="175">
        <f>H18/DAY(B2)</f>
        <v>192.22222222222223</v>
      </c>
      <c r="K18" s="79"/>
      <c r="L18" s="66"/>
      <c r="N18" s="87"/>
      <c r="O18" s="71"/>
    </row>
    <row r="19" spans="1:15" ht="27.75" customHeight="1" x14ac:dyDescent="0.5">
      <c r="A19" s="771" t="s">
        <v>69</v>
      </c>
      <c r="B19" s="772"/>
      <c r="C19" s="773"/>
      <c r="D19" s="151" t="s">
        <v>142</v>
      </c>
      <c r="E19" s="95">
        <f>'17'!F19</f>
        <v>148105</v>
      </c>
      <c r="F19" s="122">
        <f>E19+60</f>
        <v>148165</v>
      </c>
      <c r="G19" s="112">
        <f t="shared" ref="G19" si="1">F19-E19</f>
        <v>60</v>
      </c>
      <c r="H19" s="99">
        <f>G19+'17'!H19</f>
        <v>1053</v>
      </c>
      <c r="I19" s="355"/>
      <c r="J19" s="175">
        <f>H19/DAY(B2)</f>
        <v>58.5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200</v>
      </c>
      <c r="H20" s="99">
        <f>G20+'17'!H20</f>
        <v>4513</v>
      </c>
      <c r="I20" s="356">
        <f>I18-J20</f>
        <v>-185.72222222222223</v>
      </c>
      <c r="J20" s="175">
        <f>H20/DAY(B2)</f>
        <v>250.72222222222223</v>
      </c>
      <c r="K20" s="79"/>
      <c r="L20" s="66"/>
      <c r="N20" s="87"/>
      <c r="O20" s="71"/>
    </row>
    <row r="21" spans="1:15" ht="27.75" customHeight="1" x14ac:dyDescent="0.5">
      <c r="A21" s="795" t="s">
        <v>144</v>
      </c>
      <c r="B21" s="796"/>
      <c r="C21" s="79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6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119">
        <f t="shared" ref="G22" si="2"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65" t="s">
        <v>147</v>
      </c>
      <c r="B23" s="205"/>
      <c r="C23" s="205"/>
      <c r="D23" s="151" t="s">
        <v>146</v>
      </c>
      <c r="E23" s="95">
        <f>'17'!F23</f>
        <v>2000</v>
      </c>
      <c r="F23" s="122">
        <v>2000</v>
      </c>
      <c r="G23" s="119">
        <v>0</v>
      </c>
      <c r="H23" s="99">
        <f>G23+'17'!H23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'17'!F24</f>
        <v>4970</v>
      </c>
      <c r="F24" s="128">
        <v>4970</v>
      </c>
      <c r="G24" s="119">
        <v>0</v>
      </c>
      <c r="H24" s="99">
        <f>G24+'17'!H24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00" t="s">
        <v>149</v>
      </c>
      <c r="B25" s="801"/>
      <c r="C25" s="80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23050</v>
      </c>
      <c r="F27" s="136">
        <v>9</v>
      </c>
      <c r="G27" s="137">
        <f>E27*F27</f>
        <v>207450</v>
      </c>
      <c r="H27" s="99">
        <f>G27+'17'!H27</f>
        <v>3823764.7499999995</v>
      </c>
      <c r="I27" s="138"/>
      <c r="J27" s="175">
        <f>H27/DAY(B2)</f>
        <v>212431.37499999997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875</v>
      </c>
      <c r="F28" s="136">
        <v>52</v>
      </c>
      <c r="G28" s="137">
        <f>E28*F28</f>
        <v>45500</v>
      </c>
      <c r="H28" s="99">
        <f>G28+'17'!H28</f>
        <v>924813.91599999554</v>
      </c>
      <c r="I28" s="140"/>
      <c r="J28" s="175">
        <f>H28/DAY(B2)</f>
        <v>51378.55088888864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G30+'17'!H30</f>
        <v>153738</v>
      </c>
      <c r="I30" s="140"/>
      <c r="J30" s="175">
        <f>H30/DAY(B2)</f>
        <v>8541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G31+'17'!H31</f>
        <v>276800</v>
      </c>
      <c r="I31" s="140"/>
      <c r="J31" s="175">
        <f>H31/DAY(B2)</f>
        <v>15377.777777777777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272910</v>
      </c>
      <c r="H32" s="99">
        <f>G32+'17'!H32</f>
        <v>5179116.6659999955</v>
      </c>
      <c r="I32" s="144"/>
      <c r="J32" s="175">
        <f>H32/DAY(B2)</f>
        <v>287728.70366666641</v>
      </c>
      <c r="K32" s="63"/>
      <c r="L32" s="89"/>
      <c r="N32" s="87"/>
      <c r="O32" s="71"/>
    </row>
    <row r="33" spans="1:15" ht="27.75" customHeight="1" x14ac:dyDescent="0.35">
      <c r="A33" s="803" t="s">
        <v>331</v>
      </c>
      <c r="B33" s="804"/>
      <c r="C33" s="804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'17'!F35</f>
        <v>5508.4</v>
      </c>
      <c r="F35" s="145">
        <v>1058597</v>
      </c>
      <c r="G35" s="112">
        <f t="shared" ref="G35:G46" si="3">F35-E35</f>
        <v>1053088.6000000001</v>
      </c>
      <c r="H35" s="99">
        <f>G35+'17'!H35</f>
        <v>1058597</v>
      </c>
      <c r="I35" s="95"/>
      <c r="J35" s="175">
        <f>H35/DAY(B2)</f>
        <v>58810.944444444445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'17'!F36</f>
        <v>37703.1</v>
      </c>
      <c r="F36" s="145">
        <v>1833</v>
      </c>
      <c r="G36" s="112">
        <f t="shared" si="3"/>
        <v>-35870.1</v>
      </c>
      <c r="H36" s="99">
        <f>G36+'17'!H36</f>
        <v>-22044</v>
      </c>
      <c r="I36" s="95"/>
      <c r="J36" s="175">
        <f>H36/DAY(B2)</f>
        <v>-1224.6666666666667</v>
      </c>
      <c r="K36" s="79"/>
      <c r="L36" s="66"/>
      <c r="N36" s="87"/>
      <c r="O36" s="36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'17'!F37</f>
        <v>83253.87</v>
      </c>
      <c r="F37" s="145">
        <v>2775</v>
      </c>
      <c r="G37" s="112">
        <f t="shared" si="3"/>
        <v>-80478.87</v>
      </c>
      <c r="H37" s="99">
        <f>G37+'17'!H37</f>
        <v>-51388</v>
      </c>
      <c r="I37" s="95"/>
      <c r="J37" s="175">
        <f>H37/DAY(B2)</f>
        <v>-2854.8888888888887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'17'!F38</f>
        <v>89597.6</v>
      </c>
      <c r="F38" s="108">
        <v>4823</v>
      </c>
      <c r="G38" s="112">
        <f t="shared" si="3"/>
        <v>-84774.6</v>
      </c>
      <c r="H38" s="99">
        <f>G38+'17'!H38</f>
        <v>-52303</v>
      </c>
      <c r="I38" s="95"/>
      <c r="J38" s="175">
        <f>H38/DAY(B2)</f>
        <v>-2905.7222222222222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'17'!F39</f>
        <v>194704.03</v>
      </c>
      <c r="F39" s="145">
        <v>637915</v>
      </c>
      <c r="G39" s="112">
        <f t="shared" si="3"/>
        <v>443210.97</v>
      </c>
      <c r="H39" s="99">
        <f>G39+'17'!H39</f>
        <v>515024</v>
      </c>
      <c r="I39" s="95"/>
      <c r="J39" s="175">
        <f>H39/DAY(B2)</f>
        <v>28612.444444444445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'17'!F40</f>
        <v>7.53</v>
      </c>
      <c r="F40" s="145">
        <v>34599</v>
      </c>
      <c r="G40" s="112">
        <f t="shared" si="3"/>
        <v>34591.47</v>
      </c>
      <c r="H40" s="99">
        <f>G40+'17'!H40</f>
        <v>34600.300000000003</v>
      </c>
      <c r="I40" s="95"/>
      <c r="J40" s="175">
        <f>H40/DAY(B2)</f>
        <v>1922.2388888888891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'17'!F41</f>
        <v>554578.67000000004</v>
      </c>
      <c r="F41" s="145">
        <v>433281.79</v>
      </c>
      <c r="G41" s="112">
        <f t="shared" si="3"/>
        <v>-121296.88000000006</v>
      </c>
      <c r="H41" s="99">
        <f>G41+'17'!H41</f>
        <v>-55937.800000000047</v>
      </c>
      <c r="I41" s="95"/>
      <c r="J41" s="175">
        <f>H41/DAY(B2)</f>
        <v>-3107.6555555555583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'17'!F42</f>
        <v>268664.49</v>
      </c>
      <c r="F42" s="145">
        <v>175112</v>
      </c>
      <c r="G42" s="112">
        <f t="shared" si="3"/>
        <v>-93552.489999999991</v>
      </c>
      <c r="H42" s="99">
        <f>G42+'17'!H42</f>
        <v>-69071</v>
      </c>
      <c r="I42" s="95"/>
      <c r="J42" s="175">
        <f>H42/DAY(B2)</f>
        <v>-3837.2777777777778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'17'!F43</f>
        <v>1406783.2</v>
      </c>
      <c r="F43" s="145">
        <v>1289745</v>
      </c>
      <c r="G43" s="112">
        <f t="shared" si="3"/>
        <v>-117038.19999999995</v>
      </c>
      <c r="H43" s="99">
        <f>G43+'17'!H43</f>
        <v>-74213</v>
      </c>
      <c r="I43" s="95"/>
      <c r="J43" s="175">
        <f>H43/DAY(B2)</f>
        <v>-4122.9444444444443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112">
        <f t="shared" si="3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614</v>
      </c>
      <c r="G45" s="112">
        <f t="shared" si="3"/>
        <v>614</v>
      </c>
      <c r="H45" s="99">
        <f>G45+'17'!H45</f>
        <v>614</v>
      </c>
      <c r="I45" s="95"/>
      <c r="J45" s="175">
        <f>H45/DAY(B2)</f>
        <v>34.111111111111114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187</v>
      </c>
      <c r="G46" s="112">
        <f t="shared" si="3"/>
        <v>187</v>
      </c>
      <c r="H46" s="99">
        <f>G46+'17'!H46</f>
        <v>187</v>
      </c>
      <c r="I46" s="95"/>
      <c r="J46" s="175">
        <f>H46/DAY(B2)</f>
        <v>10.388888888888889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998680.89999999991</v>
      </c>
      <c r="H47" s="99">
        <f>G47+'17'!H47</f>
        <v>1284065.5</v>
      </c>
      <c r="I47" s="95"/>
      <c r="J47" s="175">
        <f>H47/DAY(B2)</f>
        <v>71336.972222222219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'17'!F49</f>
        <v>151798.06</v>
      </c>
      <c r="F49" s="145">
        <v>419822</v>
      </c>
      <c r="G49" s="112">
        <f t="shared" ref="G49:G58" si="4">F49-E49</f>
        <v>268023.94</v>
      </c>
      <c r="H49" s="99">
        <f>G49+'17'!H49</f>
        <v>328625.62</v>
      </c>
      <c r="I49" s="95"/>
      <c r="J49" s="175">
        <f>H49/DAY(B2)</f>
        <v>18256.978888888887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'17'!F50</f>
        <v>664151.94999999995</v>
      </c>
      <c r="F50" s="145">
        <v>607298</v>
      </c>
      <c r="G50" s="112">
        <f t="shared" si="4"/>
        <v>-56853.949999999953</v>
      </c>
      <c r="H50" s="99">
        <f>G50+'17'!H50</f>
        <v>-36192</v>
      </c>
      <c r="I50" s="95"/>
      <c r="J50" s="175">
        <f>H50/DAY(B2)</f>
        <v>-2010.6666666666667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'17'!F51</f>
        <v>0</v>
      </c>
      <c r="F51" s="145">
        <v>144640</v>
      </c>
      <c r="G51" s="112">
        <f t="shared" si="4"/>
        <v>144640</v>
      </c>
      <c r="H51" s="99">
        <f>G51+'17'!H51</f>
        <v>144640</v>
      </c>
      <c r="I51" s="95"/>
      <c r="J51" s="175">
        <f>H51/DAY(B2)</f>
        <v>8035.5555555555557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'17'!F52</f>
        <v>0</v>
      </c>
      <c r="F52" s="145">
        <v>539606</v>
      </c>
      <c r="G52" s="112">
        <f t="shared" si="4"/>
        <v>539606</v>
      </c>
      <c r="H52" s="99">
        <f>G52+'17'!H52</f>
        <v>539606</v>
      </c>
      <c r="I52" s="95"/>
      <c r="J52" s="175">
        <f>H52/DAY(B2)</f>
        <v>29978.111111111109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'17'!F53</f>
        <v>0</v>
      </c>
      <c r="F53" s="145">
        <v>434232</v>
      </c>
      <c r="G53" s="112">
        <f t="shared" si="4"/>
        <v>434232</v>
      </c>
      <c r="H53" s="99">
        <f>G53+'17'!H53</f>
        <v>434232</v>
      </c>
      <c r="I53" s="95"/>
      <c r="J53" s="175">
        <f>H53/DAY(B2)</f>
        <v>24124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'17'!F54</f>
        <v>2802.23</v>
      </c>
      <c r="F54" s="145">
        <v>14967</v>
      </c>
      <c r="G54" s="112">
        <f t="shared" si="4"/>
        <v>12164.77</v>
      </c>
      <c r="H54" s="99">
        <f>G54+'17'!H54</f>
        <v>12235</v>
      </c>
      <c r="I54" s="95"/>
      <c r="J54" s="175">
        <f>H54/DAY(B2)</f>
        <v>679.72222222222217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'17'!F55</f>
        <v>307298.46999999997</v>
      </c>
      <c r="F55" s="145">
        <v>306268.99</v>
      </c>
      <c r="G55" s="112">
        <f t="shared" si="4"/>
        <v>-1029.4799999999814</v>
      </c>
      <c r="H55" s="99">
        <f>G55+'17'!H55</f>
        <v>-1030.0100000000093</v>
      </c>
      <c r="I55" s="95"/>
      <c r="J55" s="175">
        <f>H55/DAY(B2)</f>
        <v>-57.222777777778298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'17'!F56</f>
        <v>774300.55</v>
      </c>
      <c r="F56" s="145">
        <v>661019</v>
      </c>
      <c r="G56" s="112">
        <f t="shared" si="4"/>
        <v>-113281.55000000005</v>
      </c>
      <c r="H56" s="99">
        <f>G56+'17'!H56</f>
        <v>-80751</v>
      </c>
      <c r="I56" s="95"/>
      <c r="J56" s="175">
        <f>H56/DAY(B2)</f>
        <v>-4486.166666666667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'17'!F57</f>
        <v>0</v>
      </c>
      <c r="F57" s="145">
        <v>7711</v>
      </c>
      <c r="G57" s="112">
        <f t="shared" si="4"/>
        <v>7711</v>
      </c>
      <c r="H57" s="99">
        <f>G57+'17'!H57</f>
        <v>7711</v>
      </c>
      <c r="I57" s="95"/>
      <c r="J57" s="175">
        <f>H57/DAY(B2)</f>
        <v>428.38888888888891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'17'!F58</f>
        <v>75933.8</v>
      </c>
      <c r="F58" s="145">
        <v>66014</v>
      </c>
      <c r="G58" s="112">
        <f t="shared" si="4"/>
        <v>-9919.8000000000029</v>
      </c>
      <c r="H58" s="99">
        <f>G58+'17'!H58</f>
        <v>-6141</v>
      </c>
      <c r="I58" s="95"/>
      <c r="J58" s="175">
        <f>H58/DAY(B2)</f>
        <v>-341.16666666666669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1225292.93</v>
      </c>
      <c r="H59" s="99">
        <f>G59+'17'!H59</f>
        <v>1342935.6099999999</v>
      </c>
      <c r="I59" s="95">
        <f>G7-G60</f>
        <v>-2200973.83</v>
      </c>
      <c r="J59" s="175">
        <f>H59/DAY(B2)</f>
        <v>74607.53388888888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2223973.83</v>
      </c>
      <c r="H60" s="99">
        <f>G60+'17'!H60</f>
        <v>2627001.11</v>
      </c>
      <c r="I60" s="95">
        <f>G13-G60</f>
        <v>-2266675.83</v>
      </c>
      <c r="J60" s="175">
        <f>H60/DAY(B2)</f>
        <v>145944.50611111111</v>
      </c>
      <c r="K60" s="79"/>
      <c r="L60" s="66"/>
      <c r="N60" s="87"/>
      <c r="O60" s="71"/>
    </row>
    <row r="61" spans="1:15" s="68" customFormat="1" ht="27.75" customHeight="1" x14ac:dyDescent="0.5">
      <c r="A61" s="805" t="s">
        <v>332</v>
      </c>
      <c r="B61" s="806"/>
      <c r="C61" s="807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customHeight="1" x14ac:dyDescent="0.5">
      <c r="A62" s="771" t="s">
        <v>198</v>
      </c>
      <c r="B62" s="772"/>
      <c r="C62" s="773"/>
      <c r="D62" s="151" t="s">
        <v>142</v>
      </c>
      <c r="E62" s="95">
        <f>'17'!F62</f>
        <v>258206</v>
      </c>
      <c r="F62" s="122">
        <v>253452</v>
      </c>
      <c r="G62" s="112">
        <f t="shared" ref="G62:G63" si="5">F62-E62</f>
        <v>-4754</v>
      </c>
      <c r="H62" s="99">
        <f>G62+'17'!H62</f>
        <v>-2901</v>
      </c>
      <c r="I62" s="118"/>
      <c r="J62" s="175">
        <f>H62/DAY(B2)</f>
        <v>-161.16666666666666</v>
      </c>
      <c r="K62" s="80"/>
      <c r="L62" s="66"/>
      <c r="N62" s="87"/>
      <c r="O62" s="71"/>
    </row>
    <row r="63" spans="1:15" ht="27.75" customHeight="1" x14ac:dyDescent="0.5">
      <c r="A63" s="771" t="s">
        <v>199</v>
      </c>
      <c r="B63" s="772"/>
      <c r="C63" s="773"/>
      <c r="D63" s="151" t="s">
        <v>142</v>
      </c>
      <c r="E63" s="95">
        <f>'17'!F63</f>
        <v>204762</v>
      </c>
      <c r="F63" s="122">
        <v>197659</v>
      </c>
      <c r="G63" s="112">
        <f t="shared" si="5"/>
        <v>-7103</v>
      </c>
      <c r="H63" s="99">
        <f>G63+'17'!H63</f>
        <v>-4867</v>
      </c>
      <c r="I63" s="118"/>
      <c r="J63" s="175">
        <f>H63/DAY(B2)</f>
        <v>-270.38888888888891</v>
      </c>
      <c r="K63" s="69"/>
      <c r="L63" s="66"/>
      <c r="N63" s="87"/>
      <c r="O63" s="71"/>
    </row>
    <row r="64" spans="1:15" ht="27.75" customHeight="1" x14ac:dyDescent="0.5">
      <c r="A64" s="780" t="s">
        <v>200</v>
      </c>
      <c r="B64" s="781"/>
      <c r="C64" s="782"/>
      <c r="D64" s="151"/>
      <c r="E64" s="95">
        <f>'17'!F64</f>
        <v>0</v>
      </c>
      <c r="F64" s="122"/>
      <c r="G64" s="112">
        <f>G62+G63</f>
        <v>-11857</v>
      </c>
      <c r="H64" s="99">
        <f>G64+'17'!H64</f>
        <v>-7768</v>
      </c>
      <c r="I64" s="118"/>
      <c r="J64" s="175">
        <f>H64/DAY(B2)</f>
        <v>-431.55555555555554</v>
      </c>
      <c r="K64" s="69"/>
      <c r="L64" s="66"/>
      <c r="N64" s="87"/>
      <c r="O64" s="71"/>
    </row>
    <row r="65" spans="1:15" ht="27.75" customHeight="1" x14ac:dyDescent="0.5">
      <c r="A65" s="771" t="s">
        <v>201</v>
      </c>
      <c r="B65" s="772"/>
      <c r="C65" s="773"/>
      <c r="D65" s="151" t="s">
        <v>142</v>
      </c>
      <c r="E65" s="95">
        <f>'17'!F65</f>
        <v>424849</v>
      </c>
      <c r="F65" s="122">
        <v>421019</v>
      </c>
      <c r="G65" s="112">
        <f t="shared" ref="G65:G70" si="6">F65-E65</f>
        <v>-3830</v>
      </c>
      <c r="H65" s="99">
        <f>G65+'17'!H65</f>
        <v>-2270</v>
      </c>
      <c r="I65" s="118"/>
      <c r="J65" s="175">
        <f>H65/DAY(B2)</f>
        <v>-126.11111111111111</v>
      </c>
      <c r="K65" s="69"/>
      <c r="L65" s="66"/>
      <c r="N65" s="87"/>
      <c r="O65" s="71"/>
    </row>
    <row r="66" spans="1:15" ht="27.75" customHeight="1" x14ac:dyDescent="0.5">
      <c r="A66" s="365" t="s">
        <v>202</v>
      </c>
      <c r="B66" s="366"/>
      <c r="C66" s="366"/>
      <c r="D66" s="151" t="s">
        <v>142</v>
      </c>
      <c r="E66" s="95">
        <f>'17'!F66</f>
        <v>105690</v>
      </c>
      <c r="F66" s="122">
        <v>104636</v>
      </c>
      <c r="G66" s="112">
        <f t="shared" si="6"/>
        <v>-1054</v>
      </c>
      <c r="H66" s="99">
        <f>G66+'17'!H66</f>
        <v>-678</v>
      </c>
      <c r="I66" s="118"/>
      <c r="J66" s="175">
        <f>H66/DAY(B2)</f>
        <v>-37.666666666666664</v>
      </c>
      <c r="K66" s="78"/>
      <c r="L66" s="66"/>
      <c r="N66" s="87"/>
      <c r="O66" s="71"/>
    </row>
    <row r="67" spans="1:15" ht="27.75" customHeight="1" x14ac:dyDescent="0.5">
      <c r="A67" s="365" t="s">
        <v>203</v>
      </c>
      <c r="B67" s="366"/>
      <c r="C67" s="366"/>
      <c r="D67" s="151" t="s">
        <v>142</v>
      </c>
      <c r="E67" s="95">
        <f>'17'!F67</f>
        <v>101764</v>
      </c>
      <c r="F67" s="122">
        <v>100370</v>
      </c>
      <c r="G67" s="112">
        <f t="shared" si="6"/>
        <v>-1394</v>
      </c>
      <c r="H67" s="99">
        <f>G67+'17'!H67</f>
        <v>-914</v>
      </c>
      <c r="I67" s="118"/>
      <c r="J67" s="175">
        <f>H67/DAY(B2)</f>
        <v>-50.777777777777779</v>
      </c>
      <c r="K67" s="81"/>
      <c r="L67" s="66"/>
      <c r="N67" s="87"/>
      <c r="O67" s="71"/>
    </row>
    <row r="68" spans="1:15" ht="27.75" customHeight="1" x14ac:dyDescent="0.5">
      <c r="A68" s="365" t="s">
        <v>204</v>
      </c>
      <c r="B68" s="366"/>
      <c r="C68" s="366"/>
      <c r="D68" s="151" t="s">
        <v>142</v>
      </c>
      <c r="E68" s="95">
        <f>'17'!F68</f>
        <v>153872</v>
      </c>
      <c r="F68" s="122">
        <v>152135</v>
      </c>
      <c r="G68" s="112">
        <f t="shared" si="6"/>
        <v>-1737</v>
      </c>
      <c r="H68" s="99">
        <f>G68+'17'!H68</f>
        <v>-978</v>
      </c>
      <c r="I68" s="118"/>
      <c r="J68" s="175">
        <f>H68/DAY(B2)</f>
        <v>-54.333333333333336</v>
      </c>
      <c r="K68" s="69"/>
      <c r="L68" s="66"/>
      <c r="N68" s="87"/>
      <c r="O68" s="71"/>
    </row>
    <row r="69" spans="1:15" ht="27.75" customHeight="1" x14ac:dyDescent="0.5">
      <c r="A69" s="365" t="s">
        <v>205</v>
      </c>
      <c r="B69" s="366"/>
      <c r="C69" s="366"/>
      <c r="D69" s="151" t="s">
        <v>142</v>
      </c>
      <c r="E69" s="95">
        <f>'17'!F69</f>
        <v>9265</v>
      </c>
      <c r="F69" s="122">
        <v>8645</v>
      </c>
      <c r="G69" s="112">
        <f t="shared" si="6"/>
        <v>-620</v>
      </c>
      <c r="H69" s="99">
        <f>G69+'17'!H69</f>
        <v>-412</v>
      </c>
      <c r="I69" s="118"/>
      <c r="J69" s="175">
        <f>H69/DAY(B2)</f>
        <v>-22.888888888888889</v>
      </c>
      <c r="K69" s="69"/>
      <c r="L69" s="66"/>
      <c r="N69" s="87"/>
      <c r="O69" s="71"/>
    </row>
    <row r="70" spans="1:15" ht="27.75" customHeight="1" x14ac:dyDescent="0.5">
      <c r="A70" s="365" t="s">
        <v>206</v>
      </c>
      <c r="B70" s="366"/>
      <c r="C70" s="366"/>
      <c r="D70" s="151" t="s">
        <v>142</v>
      </c>
      <c r="E70" s="95">
        <f>'17'!F70</f>
        <v>7001</v>
      </c>
      <c r="F70" s="122">
        <v>6373</v>
      </c>
      <c r="G70" s="112">
        <f t="shared" si="6"/>
        <v>-628</v>
      </c>
      <c r="H70" s="99">
        <f>G70+'17'!H70</f>
        <v>-431</v>
      </c>
      <c r="I70" s="118"/>
      <c r="J70" s="175">
        <f>H70/DAY(B2)</f>
        <v>-23.944444444444443</v>
      </c>
      <c r="K70" s="69"/>
      <c r="L70" s="66"/>
      <c r="N70" s="87"/>
      <c r="O70" s="71"/>
    </row>
    <row r="71" spans="1:15" ht="27.75" customHeight="1" x14ac:dyDescent="0.5">
      <c r="A71" s="780" t="s">
        <v>208</v>
      </c>
      <c r="B71" s="781"/>
      <c r="C71" s="782"/>
      <c r="D71" s="152"/>
      <c r="E71" s="152"/>
      <c r="F71" s="152"/>
      <c r="G71" s="153">
        <f>SUM(G65:G70)</f>
        <v>-9263</v>
      </c>
      <c r="H71" s="99">
        <f>G71+'17'!H71</f>
        <v>-5683</v>
      </c>
      <c r="I71" s="154"/>
      <c r="J71" s="175">
        <f>H71/DAY(B2)</f>
        <v>-315.72222222222223</v>
      </c>
      <c r="K71" s="69"/>
      <c r="L71" s="66"/>
      <c r="N71" s="87"/>
      <c r="O71" s="71"/>
    </row>
    <row r="72" spans="1:15" s="88" customFormat="1" ht="27.75" customHeight="1" x14ac:dyDescent="0.5">
      <c r="A72" s="767"/>
      <c r="B72" s="752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777" t="s">
        <v>333</v>
      </c>
      <c r="B73" s="778"/>
      <c r="C73" s="779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customHeight="1" x14ac:dyDescent="0.5">
      <c r="A74" s="771" t="s">
        <v>220</v>
      </c>
      <c r="B74" s="772"/>
      <c r="C74" s="773"/>
      <c r="D74" s="151" t="s">
        <v>139</v>
      </c>
      <c r="E74" s="95">
        <f>'17'!F74</f>
        <v>869473.87</v>
      </c>
      <c r="F74" s="123">
        <v>856352</v>
      </c>
      <c r="G74" s="112">
        <f t="shared" ref="G74:G78" si="7">F74-E74</f>
        <v>-13121.869999999995</v>
      </c>
      <c r="H74" s="99">
        <f>G74+'17'!H74</f>
        <v>-8156</v>
      </c>
      <c r="I74" s="154"/>
      <c r="J74" s="175">
        <f>H74/DAY(B2)</f>
        <v>-453.11111111111109</v>
      </c>
      <c r="K74" s="69"/>
      <c r="L74" s="66"/>
      <c r="N74" s="87"/>
      <c r="O74" s="71"/>
    </row>
    <row r="75" spans="1:15" ht="27.75" customHeight="1" x14ac:dyDescent="0.5">
      <c r="A75" s="771" t="s">
        <v>221</v>
      </c>
      <c r="B75" s="772"/>
      <c r="C75" s="773"/>
      <c r="D75" s="151" t="s">
        <v>139</v>
      </c>
      <c r="E75" s="95">
        <f>'17'!F75</f>
        <v>73583.399999999994</v>
      </c>
      <c r="F75" s="123">
        <v>73583.399999999994</v>
      </c>
      <c r="G75" s="112">
        <f t="shared" si="7"/>
        <v>0</v>
      </c>
      <c r="H75" s="99">
        <f>G75+'17'!H75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768" t="s">
        <v>222</v>
      </c>
      <c r="B76" s="769"/>
      <c r="C76" s="770"/>
      <c r="D76" s="151" t="s">
        <v>139</v>
      </c>
      <c r="E76" s="95">
        <f>'17'!F76</f>
        <v>158579.92000000001</v>
      </c>
      <c r="F76" s="123">
        <v>154077</v>
      </c>
      <c r="G76" s="112">
        <f t="shared" si="7"/>
        <v>-4502.9200000000128</v>
      </c>
      <c r="H76" s="99">
        <f>G76+'17'!H76</f>
        <v>-2735</v>
      </c>
      <c r="I76" s="154"/>
      <c r="J76" s="175">
        <f>H76/DAY(B2)</f>
        <v>-151.94444444444446</v>
      </c>
      <c r="K76" s="69"/>
      <c r="L76" s="66"/>
      <c r="N76" s="87"/>
      <c r="O76" s="71"/>
    </row>
    <row r="77" spans="1:15" ht="27.75" customHeight="1" x14ac:dyDescent="0.5">
      <c r="A77" s="768" t="s">
        <v>223</v>
      </c>
      <c r="B77" s="769"/>
      <c r="C77" s="770"/>
      <c r="D77" s="151" t="s">
        <v>139</v>
      </c>
      <c r="E77" s="95">
        <f>'17'!F77</f>
        <v>36850.800000000003</v>
      </c>
      <c r="F77" s="123">
        <v>34629</v>
      </c>
      <c r="G77" s="112">
        <f t="shared" si="7"/>
        <v>-2221.8000000000029</v>
      </c>
      <c r="H77" s="99">
        <f>G77+'17'!H77</f>
        <v>-1375</v>
      </c>
      <c r="I77" s="154"/>
      <c r="J77" s="175">
        <f>H77/DAY(B2)</f>
        <v>-76.388888888888886</v>
      </c>
      <c r="K77" s="69"/>
      <c r="L77" s="66"/>
      <c r="N77" s="87"/>
      <c r="O77" s="71"/>
    </row>
    <row r="78" spans="1:15" ht="27.75" customHeight="1" x14ac:dyDescent="0.5">
      <c r="A78" s="768" t="s">
        <v>224</v>
      </c>
      <c r="B78" s="769"/>
      <c r="C78" s="770"/>
      <c r="D78" s="151" t="s">
        <v>139</v>
      </c>
      <c r="E78" s="95">
        <f>'17'!F78</f>
        <v>9292.6</v>
      </c>
      <c r="F78" s="123">
        <v>9180</v>
      </c>
      <c r="G78" s="112">
        <f t="shared" si="7"/>
        <v>-112.60000000000036</v>
      </c>
      <c r="H78" s="99">
        <f>G78+'17'!H78</f>
        <v>-68</v>
      </c>
      <c r="I78" s="118"/>
      <c r="J78" s="175">
        <f>H78/DAY(B2)</f>
        <v>-3.7777777777777777</v>
      </c>
      <c r="K78" s="69"/>
      <c r="L78" s="66"/>
      <c r="N78" s="87"/>
      <c r="O78" s="71"/>
    </row>
    <row r="79" spans="1:15" s="57" customFormat="1" ht="27.75" customHeight="1" x14ac:dyDescent="0.5">
      <c r="A79" s="768" t="s">
        <v>225</v>
      </c>
      <c r="B79" s="769"/>
      <c r="C79" s="770"/>
      <c r="D79" s="151"/>
      <c r="E79" s="95">
        <f>'17'!F79</f>
        <v>0</v>
      </c>
      <c r="F79" s="123"/>
      <c r="G79" s="112">
        <f>G15-SUM(G74:G78)</f>
        <v>20834.19000000001</v>
      </c>
      <c r="H79" s="99">
        <f>G79+'17'!H79</f>
        <v>30118.882999999914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780" t="s">
        <v>329</v>
      </c>
      <c r="B80" s="781"/>
      <c r="C80" s="782"/>
      <c r="D80" s="151"/>
      <c r="E80" s="117"/>
      <c r="F80" s="117"/>
      <c r="G80" s="112">
        <f>SUM(G74:G79)</f>
        <v>875</v>
      </c>
      <c r="H80" s="99">
        <f>G80+'17'!H80</f>
        <v>875</v>
      </c>
      <c r="I80" s="118"/>
      <c r="J80" s="175"/>
      <c r="K80" s="59"/>
      <c r="L80" s="58"/>
      <c r="N80" s="87"/>
      <c r="O80" s="71"/>
    </row>
    <row r="81" spans="1:15" ht="27.75" customHeight="1" x14ac:dyDescent="0.4">
      <c r="A81" s="785" t="s">
        <v>226</v>
      </c>
      <c r="B81" s="786"/>
      <c r="C81" s="787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65" t="s">
        <v>227</v>
      </c>
      <c r="B82" s="366"/>
      <c r="C82" s="366"/>
      <c r="D82" s="151" t="s">
        <v>228</v>
      </c>
      <c r="E82" s="95">
        <f>'17'!F82</f>
        <v>0</v>
      </c>
      <c r="F82" s="122"/>
      <c r="G82" s="112">
        <f t="shared" ref="G82:G92" si="8">F82-E82</f>
        <v>0</v>
      </c>
      <c r="H82" s="99">
        <f>G82+'17'!H82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65" t="s">
        <v>229</v>
      </c>
      <c r="B83" s="366"/>
      <c r="C83" s="366"/>
      <c r="D83" s="151" t="s">
        <v>228</v>
      </c>
      <c r="E83" s="95">
        <f>'17'!F83</f>
        <v>0</v>
      </c>
      <c r="F83" s="122"/>
      <c r="G83" s="112">
        <f t="shared" si="8"/>
        <v>0</v>
      </c>
      <c r="H83" s="99">
        <f>G83+'17'!H83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65" t="s">
        <v>230</v>
      </c>
      <c r="B84" s="366"/>
      <c r="C84" s="366"/>
      <c r="D84" s="151" t="s">
        <v>228</v>
      </c>
      <c r="E84" s="95">
        <f>'17'!F84</f>
        <v>41456.19</v>
      </c>
      <c r="F84" s="164">
        <v>40922</v>
      </c>
      <c r="G84" s="112">
        <f t="shared" si="8"/>
        <v>-534.19000000000233</v>
      </c>
      <c r="H84" s="99">
        <f>G84+'17'!H84</f>
        <v>-240</v>
      </c>
      <c r="I84" s="118"/>
      <c r="J84" s="175">
        <f>H84/DAY(B2)</f>
        <v>-13.333333333333334</v>
      </c>
      <c r="O84" s="71"/>
    </row>
    <row r="85" spans="1:15" ht="27.75" customHeight="1" x14ac:dyDescent="0.5">
      <c r="A85" s="365" t="s">
        <v>231</v>
      </c>
      <c r="B85" s="366"/>
      <c r="C85" s="366"/>
      <c r="D85" s="151" t="s">
        <v>228</v>
      </c>
      <c r="E85" s="95">
        <f>'17'!F85</f>
        <v>1294.45</v>
      </c>
      <c r="F85" s="164">
        <v>856</v>
      </c>
      <c r="G85" s="112">
        <f t="shared" si="8"/>
        <v>-438.45000000000005</v>
      </c>
      <c r="H85" s="99">
        <f>G85+'17'!H85</f>
        <v>-323</v>
      </c>
      <c r="I85" s="118">
        <f>G82+G83+G84+G85</f>
        <v>-972.64000000000237</v>
      </c>
      <c r="J85" s="175">
        <f>H85/DAY(B2)</f>
        <v>-17.944444444444443</v>
      </c>
      <c r="O85" s="71"/>
    </row>
    <row r="86" spans="1:15" ht="27.75" customHeight="1" x14ac:dyDescent="0.5">
      <c r="A86" s="365" t="s">
        <v>232</v>
      </c>
      <c r="B86" s="366"/>
      <c r="C86" s="366"/>
      <c r="D86" s="151" t="s">
        <v>228</v>
      </c>
      <c r="E86" s="95">
        <f>'17'!F86</f>
        <v>42826.47</v>
      </c>
      <c r="F86" s="164">
        <v>42822</v>
      </c>
      <c r="G86" s="112">
        <f t="shared" si="8"/>
        <v>-4.4700000000011642</v>
      </c>
      <c r="H86" s="99">
        <f>G86+'17'!H86</f>
        <v>-4</v>
      </c>
      <c r="I86" s="118"/>
      <c r="J86" s="175">
        <f>H86/DAY(B2)</f>
        <v>-0.22222222222222221</v>
      </c>
      <c r="O86" s="71"/>
    </row>
    <row r="87" spans="1:15" ht="27.75" customHeight="1" x14ac:dyDescent="0.5">
      <c r="A87" s="365" t="s">
        <v>233</v>
      </c>
      <c r="B87" s="366"/>
      <c r="C87" s="366"/>
      <c r="D87" s="151" t="s">
        <v>228</v>
      </c>
      <c r="E87" s="95">
        <f>'17'!F87</f>
        <v>33463.230000000003</v>
      </c>
      <c r="F87" s="164">
        <v>32928</v>
      </c>
      <c r="G87" s="112">
        <f t="shared" si="8"/>
        <v>-535.2300000000032</v>
      </c>
      <c r="H87" s="99">
        <f>G87+'17'!H87</f>
        <v>-386</v>
      </c>
      <c r="I87" s="118"/>
      <c r="J87" s="175">
        <f>H87/DAY(B2)</f>
        <v>-21.444444444444443</v>
      </c>
      <c r="O87" s="71"/>
    </row>
    <row r="88" spans="1:15" ht="27.75" customHeight="1" x14ac:dyDescent="0.5">
      <c r="A88" s="365" t="s">
        <v>234</v>
      </c>
      <c r="B88" s="366"/>
      <c r="C88" s="366"/>
      <c r="D88" s="151" t="s">
        <v>228</v>
      </c>
      <c r="E88" s="95">
        <f>'17'!F88</f>
        <v>23702.23</v>
      </c>
      <c r="F88" s="164">
        <v>23356.43</v>
      </c>
      <c r="G88" s="112">
        <f t="shared" si="8"/>
        <v>-345.79999999999927</v>
      </c>
      <c r="H88" s="99">
        <f>G88+'17'!H88</f>
        <v>-234.54000000000087</v>
      </c>
      <c r="I88" s="118">
        <f>G86+G87+G88</f>
        <v>-885.50000000000364</v>
      </c>
      <c r="J88" s="175">
        <f>H88/DAY(B2)</f>
        <v>-13.030000000000049</v>
      </c>
      <c r="O88" s="71"/>
    </row>
    <row r="89" spans="1:15" ht="27.75" customHeight="1" x14ac:dyDescent="0.5">
      <c r="A89" s="365" t="s">
        <v>235</v>
      </c>
      <c r="B89" s="366"/>
      <c r="C89" s="366"/>
      <c r="D89" s="151" t="s">
        <v>228</v>
      </c>
      <c r="E89" s="95">
        <f>'17'!F89</f>
        <v>25242.123</v>
      </c>
      <c r="F89" s="164">
        <v>25132.959999999999</v>
      </c>
      <c r="G89" s="112">
        <f t="shared" si="8"/>
        <v>-109.16300000000047</v>
      </c>
      <c r="H89" s="99">
        <f>G89+'17'!H89</f>
        <v>-54.409999999999854</v>
      </c>
      <c r="I89" s="118"/>
      <c r="J89" s="175">
        <f>H89/DAY(B2)</f>
        <v>-3.0227777777777698</v>
      </c>
      <c r="O89" s="71"/>
    </row>
    <row r="90" spans="1:15" ht="27.75" customHeight="1" x14ac:dyDescent="0.5">
      <c r="A90" s="365" t="s">
        <v>236</v>
      </c>
      <c r="B90" s="366"/>
      <c r="C90" s="366"/>
      <c r="D90" s="151" t="s">
        <v>228</v>
      </c>
      <c r="E90" s="95">
        <f>'17'!F90</f>
        <v>70588.23</v>
      </c>
      <c r="F90" s="164">
        <v>70524.55</v>
      </c>
      <c r="G90" s="112">
        <f t="shared" si="8"/>
        <v>-63.679999999993015</v>
      </c>
      <c r="H90" s="99">
        <f>G90+'17'!H90</f>
        <v>-8.4299999999930151</v>
      </c>
      <c r="I90" s="118">
        <f>G89+G90</f>
        <v>-172.84299999999348</v>
      </c>
      <c r="J90" s="175">
        <f>H90/DAY(B2)</f>
        <v>-0.4683333333329453</v>
      </c>
      <c r="O90" s="71"/>
    </row>
    <row r="91" spans="1:15" ht="27.75" customHeight="1" x14ac:dyDescent="0.5">
      <c r="A91" s="365" t="s">
        <v>237</v>
      </c>
      <c r="B91" s="366"/>
      <c r="C91" s="366"/>
      <c r="D91" s="151" t="s">
        <v>228</v>
      </c>
      <c r="E91" s="95">
        <f>'17'!F91</f>
        <v>3109.47</v>
      </c>
      <c r="F91" s="122">
        <v>2627.98</v>
      </c>
      <c r="G91" s="112">
        <f t="shared" si="8"/>
        <v>-481.48999999999978</v>
      </c>
      <c r="H91" s="99">
        <f>G91+'17'!H91</f>
        <v>-297.88999999999987</v>
      </c>
      <c r="I91" s="165"/>
      <c r="J91" s="175">
        <f>H91/DAY(B2)</f>
        <v>-16.549444444444436</v>
      </c>
      <c r="O91" s="71"/>
    </row>
    <row r="92" spans="1:15" ht="27.75" customHeight="1" x14ac:dyDescent="0.5">
      <c r="A92" s="365" t="s">
        <v>238</v>
      </c>
      <c r="B92" s="366"/>
      <c r="C92" s="366"/>
      <c r="D92" s="151" t="s">
        <v>228</v>
      </c>
      <c r="E92" s="95">
        <f>'17'!F92</f>
        <v>4758.46</v>
      </c>
      <c r="F92" s="122">
        <v>4754</v>
      </c>
      <c r="G92" s="112">
        <f t="shared" si="8"/>
        <v>-4.4600000000000364</v>
      </c>
      <c r="H92" s="99">
        <f>G92+'17'!H92</f>
        <v>-4</v>
      </c>
      <c r="I92" s="165"/>
      <c r="J92" s="175">
        <f>H92/DAY(B2)</f>
        <v>-0.22222222222222221</v>
      </c>
      <c r="O92" s="71"/>
    </row>
    <row r="93" spans="1:15" ht="27.75" customHeight="1" x14ac:dyDescent="0.5">
      <c r="A93" s="774" t="s">
        <v>239</v>
      </c>
      <c r="B93" s="775"/>
      <c r="C93" s="77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771" t="s">
        <v>240</v>
      </c>
      <c r="B94" s="772"/>
      <c r="C94" s="773"/>
      <c r="D94" s="151" t="s">
        <v>130</v>
      </c>
      <c r="E94" s="151"/>
      <c r="F94" s="151"/>
      <c r="G94" s="99">
        <f>G35+G43+G49+G57</f>
        <v>1211785.3400000001</v>
      </c>
      <c r="H94" s="99">
        <f>G94+'17'!H94</f>
        <v>1320720.6200000001</v>
      </c>
      <c r="I94" s="118"/>
      <c r="J94" s="175">
        <f>H94/DAY(B2)</f>
        <v>73373.367777777778</v>
      </c>
      <c r="K94" s="69"/>
      <c r="L94" s="66"/>
      <c r="O94" s="71"/>
    </row>
    <row r="95" spans="1:15" ht="27.75" customHeight="1" x14ac:dyDescent="0.5">
      <c r="A95" s="771" t="s">
        <v>241</v>
      </c>
      <c r="B95" s="772"/>
      <c r="C95" s="773"/>
      <c r="D95" s="151" t="s">
        <v>23</v>
      </c>
      <c r="E95" s="146"/>
      <c r="F95" s="146"/>
      <c r="G95" s="166">
        <f>G94/G7</f>
        <v>52.686319130434789</v>
      </c>
      <c r="H95" s="99">
        <f>G95+'17'!H95</f>
        <v>57.372317260038827</v>
      </c>
      <c r="I95" s="167"/>
      <c r="J95" s="175">
        <f>H95/DAY(B2)</f>
        <v>3.187350958891046</v>
      </c>
      <c r="K95" s="69"/>
      <c r="L95" s="66"/>
      <c r="O95" s="71"/>
    </row>
    <row r="96" spans="1:15" ht="27.75" customHeight="1" x14ac:dyDescent="0.5">
      <c r="A96" s="771" t="s">
        <v>242</v>
      </c>
      <c r="B96" s="772"/>
      <c r="C96" s="773"/>
      <c r="D96" s="151" t="s">
        <v>130</v>
      </c>
      <c r="E96" s="95"/>
      <c r="F96" s="95"/>
      <c r="G96" s="99">
        <f>G41+G42+G55+G56</f>
        <v>-329160.40000000008</v>
      </c>
      <c r="H96" s="99">
        <f>G96+'17'!H96</f>
        <v>-206789.81000000006</v>
      </c>
      <c r="I96" s="118"/>
      <c r="J96" s="175">
        <f>H96/DAY(B2)</f>
        <v>-11488.322777777781</v>
      </c>
      <c r="K96" s="69"/>
      <c r="L96" s="66"/>
      <c r="O96" s="71"/>
    </row>
    <row r="97" spans="1:15" ht="27.75" customHeight="1" x14ac:dyDescent="0.5">
      <c r="A97" s="771" t="s">
        <v>243</v>
      </c>
      <c r="B97" s="772"/>
      <c r="C97" s="773"/>
      <c r="D97" s="151" t="s">
        <v>23</v>
      </c>
      <c r="E97" s="95"/>
      <c r="F97" s="95"/>
      <c r="G97" s="166">
        <f>G96/G7</f>
        <v>-14.311321739130438</v>
      </c>
      <c r="H97" s="99">
        <f>G97+'17'!H97</f>
        <v>-9.0656463370168154</v>
      </c>
      <c r="I97" s="167"/>
      <c r="J97" s="175">
        <f>H97/DAY(B2)</f>
        <v>-0.50364701872315643</v>
      </c>
      <c r="K97" s="69"/>
      <c r="L97" s="66"/>
      <c r="O97" s="71"/>
    </row>
    <row r="98" spans="1:15" ht="27.75" customHeight="1" x14ac:dyDescent="0.5">
      <c r="A98" s="771" t="s">
        <v>244</v>
      </c>
      <c r="B98" s="772"/>
      <c r="C98" s="773"/>
      <c r="D98" s="151" t="s">
        <v>130</v>
      </c>
      <c r="E98" s="95"/>
      <c r="F98" s="95"/>
      <c r="G98" s="99">
        <f>G39+G53</f>
        <v>877442.97</v>
      </c>
      <c r="H98" s="99">
        <f>G98+'17'!H98</f>
        <v>949256</v>
      </c>
      <c r="I98" s="168"/>
      <c r="J98" s="175">
        <f>H98/DAY(B2)</f>
        <v>52736.444444444445</v>
      </c>
      <c r="K98" s="69"/>
      <c r="L98" s="66"/>
      <c r="O98" s="71"/>
    </row>
    <row r="99" spans="1:15" ht="27.75" customHeight="1" x14ac:dyDescent="0.5">
      <c r="A99" s="771" t="s">
        <v>245</v>
      </c>
      <c r="B99" s="772"/>
      <c r="C99" s="773"/>
      <c r="D99" s="151" t="s">
        <v>23</v>
      </c>
      <c r="E99" s="95"/>
      <c r="F99" s="95"/>
      <c r="G99" s="166">
        <f>G98/G7</f>
        <v>38.149694347826085</v>
      </c>
      <c r="H99" s="99">
        <f>G99+'17'!H99</f>
        <v>41.236017343013742</v>
      </c>
      <c r="I99" s="168"/>
      <c r="J99" s="175">
        <f>H99/DAY(B2)</f>
        <v>2.2908898523896521</v>
      </c>
      <c r="O99" s="71"/>
    </row>
    <row r="100" spans="1:15" ht="27.75" customHeight="1" x14ac:dyDescent="0.5">
      <c r="A100" s="771" t="s">
        <v>246</v>
      </c>
      <c r="B100" s="772"/>
      <c r="C100" s="773"/>
      <c r="D100" s="151" t="s">
        <v>180</v>
      </c>
      <c r="E100" s="95"/>
      <c r="F100" s="95"/>
      <c r="G100" s="99">
        <f>G38+G52</f>
        <v>454831.4</v>
      </c>
      <c r="H100" s="99">
        <f>G100+'17'!H100</f>
        <v>487303</v>
      </c>
      <c r="I100" s="118"/>
      <c r="J100" s="175">
        <f>H100/DAY(B2)</f>
        <v>27072.388888888891</v>
      </c>
      <c r="K100" s="70"/>
      <c r="O100" s="71"/>
    </row>
    <row r="101" spans="1:15" ht="27.75" customHeight="1" x14ac:dyDescent="0.5">
      <c r="A101" s="771" t="s">
        <v>247</v>
      </c>
      <c r="B101" s="772"/>
      <c r="C101" s="773"/>
      <c r="D101" s="151" t="s">
        <v>23</v>
      </c>
      <c r="E101" s="95"/>
      <c r="F101" s="95"/>
      <c r="G101" s="166">
        <f>G100/G7</f>
        <v>19.775278260869566</v>
      </c>
      <c r="H101" s="99">
        <f>G101+'17'!H101</f>
        <v>21.171087375367318</v>
      </c>
      <c r="I101" s="168"/>
      <c r="J101" s="175">
        <f>H101/DAY(B2)</f>
        <v>1.1761715208537398</v>
      </c>
      <c r="O101" s="71"/>
    </row>
    <row r="102" spans="1:15" ht="27.75" customHeight="1" x14ac:dyDescent="0.5">
      <c r="A102" s="771" t="s">
        <v>248</v>
      </c>
      <c r="B102" s="772"/>
      <c r="C102" s="773"/>
      <c r="D102" s="151" t="s">
        <v>180</v>
      </c>
      <c r="E102" s="95"/>
      <c r="F102" s="95"/>
      <c r="G102" s="99">
        <f>G36+G50</f>
        <v>-92724.049999999959</v>
      </c>
      <c r="H102" s="99">
        <f>G102+'17'!H102</f>
        <v>-58236.000000000007</v>
      </c>
      <c r="I102" s="168"/>
      <c r="J102" s="175">
        <f>H102/DAY(B2)</f>
        <v>-3235.3333333333339</v>
      </c>
      <c r="O102" s="71"/>
    </row>
    <row r="103" spans="1:15" ht="27.75" customHeight="1" x14ac:dyDescent="0.5">
      <c r="A103" s="771" t="s">
        <v>249</v>
      </c>
      <c r="B103" s="772"/>
      <c r="C103" s="773"/>
      <c r="D103" s="151" t="s">
        <v>23</v>
      </c>
      <c r="E103" s="95"/>
      <c r="F103" s="95"/>
      <c r="G103" s="166">
        <f>G102/G7</f>
        <v>-4.0314804347826065</v>
      </c>
      <c r="H103" s="99">
        <f>G103+'17'!H103</f>
        <v>-2.5518885072663267</v>
      </c>
      <c r="I103" s="118"/>
      <c r="J103" s="175">
        <f>H103/DAY(B2)</f>
        <v>-0.14177158373701815</v>
      </c>
      <c r="O103" s="71"/>
    </row>
    <row r="104" spans="1:15" ht="27.75" customHeight="1" x14ac:dyDescent="0.5">
      <c r="A104" s="771" t="s">
        <v>250</v>
      </c>
      <c r="B104" s="772"/>
      <c r="C104" s="773"/>
      <c r="D104" s="151" t="s">
        <v>180</v>
      </c>
      <c r="E104" s="95"/>
      <c r="F104" s="95"/>
      <c r="G104" s="99">
        <f>G37+G51</f>
        <v>64161.130000000005</v>
      </c>
      <c r="H104" s="99">
        <f>G104+'17'!H104</f>
        <v>93252</v>
      </c>
      <c r="I104" s="118"/>
      <c r="J104" s="175">
        <f>H104/DAY(B2)</f>
        <v>5180.666666666667</v>
      </c>
      <c r="O104" s="71"/>
    </row>
    <row r="105" spans="1:15" ht="27.75" customHeight="1" thickBot="1" x14ac:dyDescent="0.55000000000000004">
      <c r="A105" s="764" t="s">
        <v>251</v>
      </c>
      <c r="B105" s="765"/>
      <c r="C105" s="766"/>
      <c r="D105" s="231" t="s">
        <v>23</v>
      </c>
      <c r="E105" s="185"/>
      <c r="F105" s="185"/>
      <c r="G105" s="186">
        <f>G104/G7</f>
        <v>2.7896143478260873</v>
      </c>
      <c r="H105" s="99">
        <f>G105+'17'!H105</f>
        <v>4.0405096568064316</v>
      </c>
      <c r="I105" s="187"/>
      <c r="J105" s="188">
        <f>H105/DAY(B2)</f>
        <v>0.22447275871146843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760" t="s">
        <v>324</v>
      </c>
      <c r="B108" s="760"/>
      <c r="C108" s="760"/>
      <c r="D108" s="760"/>
      <c r="E108" s="760"/>
      <c r="F108" s="760"/>
      <c r="G108" s="760"/>
      <c r="H108" s="760"/>
      <c r="I108" s="760"/>
      <c r="J108" s="760"/>
    </row>
    <row r="109" spans="1:15" ht="27.75" customHeight="1" x14ac:dyDescent="0.5">
      <c r="A109" s="788"/>
      <c r="B109" s="788"/>
    </row>
    <row r="110" spans="1:15" ht="27.75" customHeight="1" x14ac:dyDescent="0.5">
      <c r="A110" s="761" t="s">
        <v>165</v>
      </c>
      <c r="B110" s="762"/>
      <c r="C110" s="762"/>
      <c r="D110" s="762"/>
      <c r="E110" s="762"/>
      <c r="F110" s="762"/>
      <c r="G110" s="762"/>
      <c r="H110" s="762"/>
      <c r="I110" s="762"/>
      <c r="J110" s="763"/>
    </row>
    <row r="111" spans="1:15" ht="27.75" customHeight="1" x14ac:dyDescent="0.5">
      <c r="A111" s="753"/>
      <c r="B111" s="754"/>
      <c r="C111" s="755"/>
      <c r="D111" s="165"/>
      <c r="E111" s="165"/>
      <c r="F111" s="165"/>
      <c r="G111" s="165"/>
      <c r="H111" s="156"/>
      <c r="I111" s="165"/>
      <c r="J111" s="347"/>
    </row>
    <row r="112" spans="1:15" ht="27.75" customHeight="1" x14ac:dyDescent="0.5">
      <c r="A112" s="750" t="s">
        <v>252</v>
      </c>
      <c r="B112" s="751"/>
      <c r="C112" s="752"/>
      <c r="D112" s="146" t="s">
        <v>183</v>
      </c>
      <c r="E112" s="95">
        <f>'17'!F112</f>
        <v>49698.82</v>
      </c>
      <c r="F112" s="237">
        <v>38434</v>
      </c>
      <c r="G112" s="112">
        <f t="shared" ref="G112:G123" si="9">F112-E112</f>
        <v>-11264.82</v>
      </c>
      <c r="H112" s="99">
        <f>G112+'17'!H112</f>
        <v>-9843</v>
      </c>
      <c r="I112" s="165"/>
      <c r="J112" s="348">
        <f>H112/DAY(B2)</f>
        <v>-546.83333333333337</v>
      </c>
    </row>
    <row r="113" spans="1:18" ht="27.75" customHeight="1" x14ac:dyDescent="0.5">
      <c r="A113" s="750" t="s">
        <v>253</v>
      </c>
      <c r="B113" s="751"/>
      <c r="C113" s="752"/>
      <c r="D113" s="146" t="s">
        <v>183</v>
      </c>
      <c r="E113" s="95">
        <f>'17'!F113</f>
        <v>158306.45000000001</v>
      </c>
      <c r="F113" s="237">
        <v>94790</v>
      </c>
      <c r="G113" s="112">
        <f t="shared" si="9"/>
        <v>-63516.450000000012</v>
      </c>
      <c r="H113" s="99">
        <f>G113+'17'!H113</f>
        <v>-55741</v>
      </c>
      <c r="I113" s="165"/>
      <c r="J113" s="348">
        <f>H113/DAY(B2)</f>
        <v>-3096.7222222222222</v>
      </c>
    </row>
    <row r="114" spans="1:18" ht="27.75" customHeight="1" x14ac:dyDescent="0.5">
      <c r="A114" s="750" t="s">
        <v>254</v>
      </c>
      <c r="B114" s="751"/>
      <c r="C114" s="752"/>
      <c r="D114" s="146" t="s">
        <v>183</v>
      </c>
      <c r="E114" s="95">
        <f>'17'!F114</f>
        <v>428</v>
      </c>
      <c r="F114" s="237">
        <v>44933</v>
      </c>
      <c r="G114" s="112">
        <f t="shared" si="9"/>
        <v>44505</v>
      </c>
      <c r="H114" s="99">
        <f>G114+'17'!H114</f>
        <v>48238.9</v>
      </c>
      <c r="I114" s="165"/>
      <c r="J114" s="348">
        <f>H114/DAY(B2)</f>
        <v>2679.9388888888889</v>
      </c>
    </row>
    <row r="115" spans="1:18" ht="27.75" customHeight="1" x14ac:dyDescent="0.5">
      <c r="A115" s="750" t="s">
        <v>255</v>
      </c>
      <c r="B115" s="751"/>
      <c r="C115" s="752"/>
      <c r="D115" s="146" t="s">
        <v>183</v>
      </c>
      <c r="E115" s="95">
        <f>'17'!F115</f>
        <v>7933.44</v>
      </c>
      <c r="F115" s="237">
        <v>6560</v>
      </c>
      <c r="G115" s="112">
        <f t="shared" si="9"/>
        <v>-1373.4399999999996</v>
      </c>
      <c r="H115" s="99">
        <f>G115+'17'!H115</f>
        <v>-1188</v>
      </c>
      <c r="I115" s="165"/>
      <c r="J115" s="348">
        <f>H115/DAY(B2)</f>
        <v>-66</v>
      </c>
    </row>
    <row r="116" spans="1:18" ht="27.75" customHeight="1" x14ac:dyDescent="0.5">
      <c r="A116" s="757" t="s">
        <v>96</v>
      </c>
      <c r="B116" s="758"/>
      <c r="C116" s="759"/>
      <c r="D116" s="146" t="s">
        <v>183</v>
      </c>
      <c r="E116" s="95">
        <f>'17'!F116</f>
        <v>0</v>
      </c>
      <c r="F116" s="237">
        <v>44933</v>
      </c>
      <c r="G116" s="112">
        <f t="shared" si="9"/>
        <v>44933</v>
      </c>
      <c r="H116" s="99">
        <f>G116+'17'!H116</f>
        <v>44933</v>
      </c>
      <c r="I116" s="165"/>
      <c r="J116" s="348">
        <f>H116/DAY(B2)</f>
        <v>2496.2777777777778</v>
      </c>
      <c r="Q116" s="750" t="s">
        <v>311</v>
      </c>
      <c r="R116" s="752"/>
    </row>
    <row r="117" spans="1:18" ht="27.75" customHeight="1" x14ac:dyDescent="0.5">
      <c r="A117" s="757" t="s">
        <v>184</v>
      </c>
      <c r="B117" s="758"/>
      <c r="C117" s="759"/>
      <c r="D117" s="146" t="s">
        <v>183</v>
      </c>
      <c r="E117" s="95">
        <f>'17'!F117</f>
        <v>824.02</v>
      </c>
      <c r="F117" s="237">
        <v>44933</v>
      </c>
      <c r="G117" s="112">
        <f t="shared" si="9"/>
        <v>44108.98</v>
      </c>
      <c r="H117" s="99">
        <f>G117+'17'!H117</f>
        <v>44517</v>
      </c>
      <c r="I117" s="165"/>
      <c r="J117" s="348">
        <f>H117/DAY(B2)</f>
        <v>2473.1666666666665</v>
      </c>
      <c r="Q117" s="750" t="s">
        <v>312</v>
      </c>
      <c r="R117" s="752"/>
    </row>
    <row r="118" spans="1:18" ht="27.75" customHeight="1" x14ac:dyDescent="0.5">
      <c r="A118" s="749" t="s">
        <v>97</v>
      </c>
      <c r="B118" s="749"/>
      <c r="C118" s="749"/>
      <c r="D118" s="151" t="s">
        <v>183</v>
      </c>
      <c r="E118" s="95">
        <f>'17'!F118</f>
        <v>213367.39</v>
      </c>
      <c r="F118" s="237">
        <v>44933</v>
      </c>
      <c r="G118" s="112">
        <f t="shared" si="9"/>
        <v>-168434.39</v>
      </c>
      <c r="H118" s="99">
        <f>G118+'17'!H118</f>
        <v>-161599</v>
      </c>
      <c r="I118" s="165"/>
      <c r="J118" s="348">
        <f>H118/DAY(B2)</f>
        <v>-8977.7222222222226</v>
      </c>
      <c r="Q118" s="750" t="s">
        <v>311</v>
      </c>
      <c r="R118" s="752"/>
    </row>
    <row r="119" spans="1:18" ht="27.75" customHeight="1" x14ac:dyDescent="0.5">
      <c r="A119" s="749" t="s">
        <v>98</v>
      </c>
      <c r="B119" s="749"/>
      <c r="C119" s="749"/>
      <c r="D119" s="151" t="s">
        <v>183</v>
      </c>
      <c r="E119" s="95">
        <f>'17'!F119</f>
        <v>212951.05</v>
      </c>
      <c r="F119" s="237">
        <v>44933</v>
      </c>
      <c r="G119" s="112">
        <f t="shared" si="9"/>
        <v>-168018.05</v>
      </c>
      <c r="H119" s="99">
        <f>G119+'17'!H119</f>
        <v>-161297</v>
      </c>
      <c r="I119" s="165"/>
      <c r="J119" s="348">
        <f>H119/DAY(B2)</f>
        <v>-8960.9444444444453</v>
      </c>
    </row>
    <row r="120" spans="1:18" ht="27.75" customHeight="1" x14ac:dyDescent="0.5">
      <c r="A120" s="749" t="s">
        <v>99</v>
      </c>
      <c r="B120" s="749"/>
      <c r="C120" s="749"/>
      <c r="D120" s="151" t="s">
        <v>183</v>
      </c>
      <c r="E120" s="95">
        <f>'17'!F120</f>
        <v>12423.49</v>
      </c>
      <c r="F120" s="237">
        <v>44933</v>
      </c>
      <c r="G120" s="112">
        <f t="shared" si="9"/>
        <v>32509.510000000002</v>
      </c>
      <c r="H120" s="99">
        <f>G120+'17'!H120</f>
        <v>39418</v>
      </c>
      <c r="I120" s="165"/>
      <c r="J120" s="348">
        <f>H120/DAY(B2)</f>
        <v>2189.8888888888887</v>
      </c>
    </row>
    <row r="121" spans="1:18" ht="27.75" customHeight="1" x14ac:dyDescent="0.5">
      <c r="A121" s="749" t="s">
        <v>100</v>
      </c>
      <c r="B121" s="749"/>
      <c r="C121" s="749"/>
      <c r="D121" s="151" t="s">
        <v>183</v>
      </c>
      <c r="E121" s="95">
        <f>'17'!F121</f>
        <v>321527.90000000002</v>
      </c>
      <c r="F121" s="237">
        <v>44933</v>
      </c>
      <c r="G121" s="112">
        <f t="shared" si="9"/>
        <v>-276594.90000000002</v>
      </c>
      <c r="H121" s="99">
        <f>G121+'17'!H121</f>
        <v>-264511.73</v>
      </c>
      <c r="I121" s="165"/>
      <c r="J121" s="348">
        <f>H121/DAY(B2)</f>
        <v>-14695.09611111111</v>
      </c>
    </row>
    <row r="122" spans="1:18" ht="27.75" customHeight="1" x14ac:dyDescent="0.5">
      <c r="A122" s="749" t="s">
        <v>101</v>
      </c>
      <c r="B122" s="749"/>
      <c r="C122" s="749"/>
      <c r="D122" s="151" t="s">
        <v>183</v>
      </c>
      <c r="E122" s="95">
        <f>'17'!F122</f>
        <v>96989.64</v>
      </c>
      <c r="F122" s="237">
        <v>44933</v>
      </c>
      <c r="G122" s="112">
        <f t="shared" si="9"/>
        <v>-52056.639999999999</v>
      </c>
      <c r="H122" s="99">
        <f>G122+'17'!H122</f>
        <v>-46689</v>
      </c>
      <c r="I122" s="165"/>
      <c r="J122" s="348">
        <f>H122/DAY(B2)</f>
        <v>-2593.8333333333335</v>
      </c>
    </row>
    <row r="123" spans="1:18" ht="27.75" customHeight="1" x14ac:dyDescent="0.5">
      <c r="A123" s="749" t="s">
        <v>102</v>
      </c>
      <c r="B123" s="749"/>
      <c r="C123" s="749"/>
      <c r="D123" s="151" t="s">
        <v>183</v>
      </c>
      <c r="E123" s="95">
        <f>'17'!F123</f>
        <v>121240.34</v>
      </c>
      <c r="F123" s="237">
        <v>44933</v>
      </c>
      <c r="G123" s="112">
        <f t="shared" si="9"/>
        <v>-76307.34</v>
      </c>
      <c r="H123" s="99">
        <f>G123+'17'!H123</f>
        <v>-70610</v>
      </c>
      <c r="I123" s="165"/>
      <c r="J123" s="348">
        <f>H123/DAY(B2)</f>
        <v>-3922.7777777777778</v>
      </c>
    </row>
    <row r="124" spans="1:18" ht="27.75" customHeight="1" x14ac:dyDescent="0.5">
      <c r="A124" s="753"/>
      <c r="B124" s="754"/>
      <c r="C124" s="755"/>
      <c r="D124" s="165"/>
      <c r="E124" s="95">
        <f>'17'!F124</f>
        <v>0</v>
      </c>
      <c r="F124" s="165"/>
      <c r="G124" s="347"/>
      <c r="H124" s="99">
        <f>G124+'17'!H124</f>
        <v>0</v>
      </c>
      <c r="I124" s="165"/>
      <c r="J124" s="347"/>
    </row>
    <row r="125" spans="1:18" ht="27.75" customHeight="1" x14ac:dyDescent="0.5">
      <c r="A125" s="737"/>
      <c r="B125" s="737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customHeight="1" x14ac:dyDescent="0.5">
      <c r="A126" s="756" t="s">
        <v>317</v>
      </c>
      <c r="B126" s="756"/>
      <c r="C126" s="756"/>
      <c r="D126" s="756"/>
      <c r="E126" s="756"/>
      <c r="F126" s="756"/>
      <c r="G126" s="756"/>
      <c r="H126" s="756"/>
      <c r="I126" s="756"/>
      <c r="J126" s="756"/>
    </row>
    <row r="127" spans="1:18" ht="27.75" customHeight="1" x14ac:dyDescent="0.5">
      <c r="A127" s="737"/>
      <c r="B127" s="737"/>
      <c r="C127" s="246"/>
      <c r="D127" s="317"/>
      <c r="E127" s="318"/>
      <c r="F127" s="318"/>
      <c r="G127" s="319"/>
      <c r="H127" s="99">
        <f>G127+'17'!H127</f>
        <v>0</v>
      </c>
      <c r="I127" s="165"/>
      <c r="J127" s="348">
        <f>H127/DAY(B2)</f>
        <v>0</v>
      </c>
    </row>
    <row r="128" spans="1:18" ht="27.75" customHeight="1" x14ac:dyDescent="0.5">
      <c r="A128" s="750" t="s">
        <v>318</v>
      </c>
      <c r="B128" s="751"/>
      <c r="C128" s="752"/>
      <c r="D128" s="151" t="s">
        <v>183</v>
      </c>
      <c r="E128" s="95">
        <f>'17'!F128</f>
        <v>13226.4</v>
      </c>
      <c r="F128" s="165"/>
      <c r="G128" s="112">
        <f t="shared" ref="G128:G134" si="10">F128-E128</f>
        <v>-13226.4</v>
      </c>
      <c r="H128" s="99">
        <f>G128+'17'!H128</f>
        <v>-7611</v>
      </c>
      <c r="I128" s="165"/>
      <c r="J128" s="348">
        <f>H128/DAY(B2)</f>
        <v>-422.83333333333331</v>
      </c>
    </row>
    <row r="129" spans="1:15" ht="27.75" customHeight="1" x14ac:dyDescent="0.5">
      <c r="A129" s="349" t="s">
        <v>319</v>
      </c>
      <c r="B129" s="350"/>
      <c r="C129" s="351"/>
      <c r="D129" s="151" t="s">
        <v>183</v>
      </c>
      <c r="E129" s="95">
        <f>'17'!F129</f>
        <v>3653.84</v>
      </c>
      <c r="F129" s="165"/>
      <c r="G129" s="112">
        <f t="shared" si="10"/>
        <v>-3653.84</v>
      </c>
      <c r="H129" s="99">
        <f>G129+'17'!H129</f>
        <v>-114</v>
      </c>
      <c r="I129" s="165"/>
      <c r="J129" s="348">
        <f>H129/DAY(B2)</f>
        <v>-6.333333333333333</v>
      </c>
      <c r="N129" s="240"/>
      <c r="O129" s="241"/>
    </row>
    <row r="130" spans="1:15" ht="27.75" customHeight="1" x14ac:dyDescent="0.5">
      <c r="A130" s="349" t="s">
        <v>320</v>
      </c>
      <c r="B130" s="350"/>
      <c r="C130" s="351"/>
      <c r="D130" s="151" t="s">
        <v>183</v>
      </c>
      <c r="E130" s="95">
        <f>'17'!F130</f>
        <v>4259.2299999999996</v>
      </c>
      <c r="F130" s="165"/>
      <c r="G130" s="112">
        <f t="shared" si="10"/>
        <v>-4259.2299999999996</v>
      </c>
      <c r="H130" s="99">
        <f>G130+'17'!H130</f>
        <v>-180</v>
      </c>
      <c r="I130" s="165"/>
      <c r="J130" s="348">
        <f>H130/DAY(B2)</f>
        <v>-10</v>
      </c>
      <c r="N130" s="240"/>
      <c r="O130" s="241"/>
    </row>
    <row r="131" spans="1:15" ht="27.75" customHeight="1" x14ac:dyDescent="0.5">
      <c r="A131" s="750" t="s">
        <v>321</v>
      </c>
      <c r="B131" s="751"/>
      <c r="C131" s="752"/>
      <c r="D131" s="151" t="s">
        <v>183</v>
      </c>
      <c r="E131" s="95">
        <f>'17'!F131</f>
        <v>2201.35</v>
      </c>
      <c r="F131" s="165"/>
      <c r="G131" s="112">
        <f t="shared" si="10"/>
        <v>-2201.35</v>
      </c>
      <c r="H131" s="99">
        <f>G131+'17'!H131</f>
        <v>-110</v>
      </c>
      <c r="I131" s="165"/>
      <c r="J131" s="348">
        <f>H131/DAY(B2)</f>
        <v>-6.1111111111111107</v>
      </c>
      <c r="N131" s="240"/>
      <c r="O131" s="241"/>
    </row>
    <row r="132" spans="1:15" ht="27.75" customHeight="1" x14ac:dyDescent="0.5">
      <c r="A132" s="750" t="s">
        <v>322</v>
      </c>
      <c r="B132" s="751"/>
      <c r="C132" s="752"/>
      <c r="D132" s="151" t="s">
        <v>183</v>
      </c>
      <c r="E132" s="95">
        <f>'17'!F132</f>
        <v>6925.7</v>
      </c>
      <c r="F132" s="165"/>
      <c r="G132" s="112">
        <f t="shared" si="10"/>
        <v>-6925.7</v>
      </c>
      <c r="H132" s="99">
        <f>G132+'17'!H132</f>
        <v>-321</v>
      </c>
      <c r="I132" s="165"/>
      <c r="J132" s="348">
        <f>H132/DAY(B2)</f>
        <v>-17.833333333333332</v>
      </c>
    </row>
    <row r="133" spans="1:15" ht="27.75" customHeight="1" x14ac:dyDescent="0.5">
      <c r="A133" s="750" t="s">
        <v>323</v>
      </c>
      <c r="B133" s="751"/>
      <c r="C133" s="752"/>
      <c r="D133" s="151" t="s">
        <v>183</v>
      </c>
      <c r="E133" s="95">
        <f>'17'!F133</f>
        <v>29556.5</v>
      </c>
      <c r="F133" s="165"/>
      <c r="G133" s="112">
        <f t="shared" si="10"/>
        <v>-29556.5</v>
      </c>
      <c r="H133" s="99">
        <f>G133+'17'!H133</f>
        <v>-16391</v>
      </c>
      <c r="I133" s="165"/>
      <c r="J133" s="348">
        <f>H133/DAY(B2)</f>
        <v>-910.61111111111109</v>
      </c>
    </row>
    <row r="134" spans="1:15" ht="27.75" customHeight="1" x14ac:dyDescent="0.5">
      <c r="A134" s="750" t="s">
        <v>340</v>
      </c>
      <c r="B134" s="751"/>
      <c r="C134" s="752"/>
      <c r="D134" s="151" t="s">
        <v>183</v>
      </c>
      <c r="E134" s="95">
        <f>'17'!F134</f>
        <v>623291</v>
      </c>
      <c r="F134" s="165"/>
      <c r="G134" s="112">
        <f t="shared" si="10"/>
        <v>-623291</v>
      </c>
      <c r="H134" s="99">
        <f>G134+'17'!H134</f>
        <v>-614415</v>
      </c>
      <c r="I134" s="165"/>
      <c r="J134" s="348">
        <f>H134/DAY(B2)</f>
        <v>-34134.166666666664</v>
      </c>
    </row>
    <row r="135" spans="1:15" ht="27.75" customHeight="1" x14ac:dyDescent="0.5">
      <c r="A135" s="753"/>
      <c r="B135" s="754"/>
      <c r="C135" s="755"/>
      <c r="D135" s="151"/>
      <c r="E135" s="95"/>
      <c r="F135" s="165"/>
      <c r="G135" s="112"/>
      <c r="H135" s="99">
        <f>G135+'10'!H135</f>
        <v>5534.2300000000005</v>
      </c>
      <c r="I135" s="165"/>
      <c r="J135" s="348"/>
    </row>
    <row r="136" spans="1:15" ht="27.75" customHeight="1" x14ac:dyDescent="0.55000000000000004">
      <c r="A136" s="736" t="s">
        <v>325</v>
      </c>
      <c r="B136" s="736"/>
      <c r="C136" s="736"/>
      <c r="D136" s="736"/>
      <c r="E136" s="736"/>
      <c r="F136" s="736"/>
      <c r="G136" s="736"/>
      <c r="H136" s="736"/>
      <c r="I136" s="736"/>
      <c r="J136" s="736"/>
    </row>
    <row r="137" spans="1:15" ht="27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customHeight="1" x14ac:dyDescent="0.5">
      <c r="A138" s="749" t="s">
        <v>185</v>
      </c>
      <c r="B138" s="749"/>
      <c r="C138" s="749"/>
      <c r="D138" s="151" t="s">
        <v>183</v>
      </c>
      <c r="E138" s="95">
        <f>'17'!F138</f>
        <v>858737</v>
      </c>
      <c r="F138" s="147">
        <v>857022</v>
      </c>
      <c r="G138" s="112">
        <f t="shared" ref="G138:G152" si="11">F138-E138</f>
        <v>-1715</v>
      </c>
      <c r="H138" s="99">
        <f>G138+'17'!H138</f>
        <v>-331</v>
      </c>
      <c r="I138" s="118"/>
      <c r="J138" s="348">
        <f>H138/DAY(B2)</f>
        <v>-18.388888888888889</v>
      </c>
    </row>
    <row r="139" spans="1:15" ht="27.75" customHeight="1" x14ac:dyDescent="0.5">
      <c r="A139" s="749" t="s">
        <v>186</v>
      </c>
      <c r="B139" s="749"/>
      <c r="C139" s="749"/>
      <c r="D139" s="151" t="s">
        <v>183</v>
      </c>
      <c r="E139" s="95">
        <f>'17'!F139</f>
        <v>886073</v>
      </c>
      <c r="F139" s="148">
        <v>886051</v>
      </c>
      <c r="G139" s="112">
        <f t="shared" si="11"/>
        <v>-22</v>
      </c>
      <c r="H139" s="99">
        <f>G139+'17'!H139</f>
        <v>-11</v>
      </c>
      <c r="I139" s="118"/>
      <c r="J139" s="348">
        <f>H139/DAY(B2)</f>
        <v>-0.61111111111111116</v>
      </c>
    </row>
    <row r="140" spans="1:15" ht="27.75" customHeight="1" x14ac:dyDescent="0.5">
      <c r="A140" s="749" t="s">
        <v>187</v>
      </c>
      <c r="B140" s="749"/>
      <c r="C140" s="749"/>
      <c r="D140" s="151" t="s">
        <v>183</v>
      </c>
      <c r="E140" s="95">
        <f>'17'!F140</f>
        <v>88801.1</v>
      </c>
      <c r="F140" s="149">
        <v>88776</v>
      </c>
      <c r="G140" s="112">
        <f t="shared" si="11"/>
        <v>-25.100000000005821</v>
      </c>
      <c r="H140" s="99">
        <f>G140+'17'!H140</f>
        <v>-22</v>
      </c>
      <c r="I140" s="118"/>
      <c r="J140" s="348">
        <f>H140/DAY(B2)</f>
        <v>-1.2222222222222223</v>
      </c>
    </row>
    <row r="141" spans="1:15" ht="27.75" customHeight="1" x14ac:dyDescent="0.5">
      <c r="A141" s="728" t="s">
        <v>188</v>
      </c>
      <c r="B141" s="728"/>
      <c r="C141" s="728"/>
      <c r="D141" s="151" t="s">
        <v>183</v>
      </c>
      <c r="E141" s="95">
        <f>'17'!F141</f>
        <v>34653.5</v>
      </c>
      <c r="F141" s="149">
        <v>26308</v>
      </c>
      <c r="G141" s="112">
        <f t="shared" si="11"/>
        <v>-8345.5</v>
      </c>
      <c r="H141" s="99">
        <f>G141+'17'!H141</f>
        <v>-5228</v>
      </c>
      <c r="I141" s="118"/>
      <c r="J141" s="348">
        <f>H141/DAY(B2)</f>
        <v>-290.44444444444446</v>
      </c>
    </row>
    <row r="142" spans="1:15" ht="27.75" customHeight="1" x14ac:dyDescent="0.5">
      <c r="A142" s="728" t="s">
        <v>189</v>
      </c>
      <c r="B142" s="728"/>
      <c r="C142" s="728"/>
      <c r="D142" s="151" t="s">
        <v>183</v>
      </c>
      <c r="E142" s="95">
        <f>'17'!F142</f>
        <v>16538.3</v>
      </c>
      <c r="F142" s="148">
        <v>13277</v>
      </c>
      <c r="G142" s="112">
        <f t="shared" si="11"/>
        <v>-3261.2999999999993</v>
      </c>
      <c r="H142" s="99">
        <f>G142+'17'!H142</f>
        <v>-2045</v>
      </c>
      <c r="I142" s="140"/>
      <c r="J142" s="348">
        <f>H142/DAY(B2)</f>
        <v>-113.61111111111111</v>
      </c>
    </row>
    <row r="143" spans="1:15" ht="27.75" customHeight="1" x14ac:dyDescent="0.5">
      <c r="A143" s="749" t="s">
        <v>91</v>
      </c>
      <c r="B143" s="749"/>
      <c r="C143" s="749"/>
      <c r="D143" s="151" t="s">
        <v>183</v>
      </c>
      <c r="E143" s="95">
        <f>'17'!F143</f>
        <v>1002.35</v>
      </c>
      <c r="F143" s="149"/>
      <c r="G143" s="112">
        <f t="shared" si="11"/>
        <v>-1002.35</v>
      </c>
      <c r="H143" s="99">
        <f>G143+'17'!H143</f>
        <v>-529</v>
      </c>
      <c r="I143" s="140"/>
      <c r="J143" s="348">
        <f>H143/DAY(B2)</f>
        <v>-29.388888888888889</v>
      </c>
    </row>
    <row r="144" spans="1:15" ht="27.75" customHeight="1" x14ac:dyDescent="0.5">
      <c r="A144" s="728" t="s">
        <v>90</v>
      </c>
      <c r="B144" s="728"/>
      <c r="C144" s="728"/>
      <c r="D144" s="151" t="s">
        <v>183</v>
      </c>
      <c r="E144" s="95">
        <f>'17'!F144</f>
        <v>852910</v>
      </c>
      <c r="F144" s="149"/>
      <c r="G144" s="112">
        <f t="shared" si="11"/>
        <v>-852910</v>
      </c>
      <c r="H144" s="99">
        <f>G144+'17'!H144</f>
        <v>-850037</v>
      </c>
      <c r="I144" s="140"/>
      <c r="J144" s="348">
        <f>H144/DAY(B2)</f>
        <v>-47224.277777777781</v>
      </c>
    </row>
    <row r="145" spans="1:10" ht="27.75" customHeight="1" x14ac:dyDescent="0.5">
      <c r="A145" s="749" t="s">
        <v>190</v>
      </c>
      <c r="B145" s="749"/>
      <c r="C145" s="749"/>
      <c r="D145" s="152" t="s">
        <v>183</v>
      </c>
      <c r="E145" s="95">
        <f>'17'!F145</f>
        <v>1664.4</v>
      </c>
      <c r="F145" s="149"/>
      <c r="G145" s="112">
        <f t="shared" si="11"/>
        <v>-1664.4</v>
      </c>
      <c r="H145" s="99">
        <f>G145+'17'!H145</f>
        <v>-954</v>
      </c>
      <c r="I145" s="140"/>
      <c r="J145" s="348">
        <f>H145/DAY(B2)</f>
        <v>-53</v>
      </c>
    </row>
    <row r="146" spans="1:10" ht="27.75" customHeight="1" x14ac:dyDescent="0.5">
      <c r="A146" s="784" t="s">
        <v>191</v>
      </c>
      <c r="B146" s="769"/>
      <c r="C146" s="770"/>
      <c r="D146" s="152" t="s">
        <v>183</v>
      </c>
      <c r="E146" s="95">
        <f>'17'!F146</f>
        <v>693059</v>
      </c>
      <c r="F146" s="148"/>
      <c r="G146" s="112">
        <f t="shared" si="11"/>
        <v>-693059</v>
      </c>
      <c r="H146" s="99">
        <f>G146+'17'!H146</f>
        <v>-687192</v>
      </c>
      <c r="I146" s="140"/>
      <c r="J146" s="348">
        <f>H146/DAY(B2)</f>
        <v>-38177.333333333336</v>
      </c>
    </row>
    <row r="147" spans="1:10" ht="27.75" customHeight="1" x14ac:dyDescent="0.5">
      <c r="A147" s="728" t="s">
        <v>192</v>
      </c>
      <c r="B147" s="728"/>
      <c r="C147" s="728"/>
      <c r="D147" s="152" t="s">
        <v>183</v>
      </c>
      <c r="E147" s="95">
        <f>'17'!F147</f>
        <v>583077.72</v>
      </c>
      <c r="F147" s="148"/>
      <c r="G147" s="112">
        <f t="shared" si="11"/>
        <v>-583077.72</v>
      </c>
      <c r="H147" s="99">
        <f>G147+'17'!H147</f>
        <v>-576072</v>
      </c>
      <c r="I147" s="140"/>
      <c r="J147" s="348">
        <f>H147/DAY(B2)</f>
        <v>-32004</v>
      </c>
    </row>
    <row r="148" spans="1:10" ht="27.75" customHeight="1" x14ac:dyDescent="0.5">
      <c r="A148" s="729" t="s">
        <v>193</v>
      </c>
      <c r="B148" s="730"/>
      <c r="C148" s="731"/>
      <c r="D148" s="123" t="s">
        <v>130</v>
      </c>
      <c r="E148" s="95">
        <f>'17'!F148</f>
        <v>661750.54</v>
      </c>
      <c r="F148" s="150"/>
      <c r="G148" s="112">
        <f t="shared" si="11"/>
        <v>-661750.54</v>
      </c>
      <c r="H148" s="99">
        <f>G148+'17'!H148</f>
        <v>-658600</v>
      </c>
      <c r="I148" s="124"/>
      <c r="J148" s="348">
        <f>H148/DAY(B2)</f>
        <v>-36588.888888888891</v>
      </c>
    </row>
    <row r="149" spans="1:10" ht="27.75" customHeight="1" x14ac:dyDescent="0.5">
      <c r="A149" s="729" t="s">
        <v>336</v>
      </c>
      <c r="B149" s="730"/>
      <c r="C149" s="731"/>
      <c r="D149" s="227" t="s">
        <v>130</v>
      </c>
      <c r="E149" s="95">
        <f>'17'!F149</f>
        <v>80083</v>
      </c>
      <c r="F149" s="146"/>
      <c r="G149" s="112">
        <f t="shared" si="11"/>
        <v>-80083</v>
      </c>
      <c r="H149" s="99">
        <f>G149+'17'!H149</f>
        <v>-75422</v>
      </c>
      <c r="I149" s="119"/>
      <c r="J149" s="348">
        <f>H149/DAY(B2)</f>
        <v>-4190.1111111111113</v>
      </c>
    </row>
    <row r="150" spans="1:10" ht="27.75" customHeight="1" x14ac:dyDescent="0.5">
      <c r="A150" s="729" t="s">
        <v>337</v>
      </c>
      <c r="B150" s="730"/>
      <c r="C150" s="731"/>
      <c r="D150" s="117" t="s">
        <v>130</v>
      </c>
      <c r="E150" s="95">
        <f>'17'!F150</f>
        <v>7167232</v>
      </c>
      <c r="F150" s="233"/>
      <c r="G150" s="112">
        <f t="shared" si="11"/>
        <v>-7167232</v>
      </c>
      <c r="H150" s="99">
        <f>G150+'17'!H150</f>
        <v>-7167232</v>
      </c>
      <c r="I150" s="119"/>
      <c r="J150" s="348">
        <f>H150/DAY(B2)</f>
        <v>-398179.55555555556</v>
      </c>
    </row>
    <row r="151" spans="1:10" ht="27.75" customHeight="1" x14ac:dyDescent="0.5">
      <c r="A151" s="729" t="s">
        <v>338</v>
      </c>
      <c r="B151" s="730"/>
      <c r="C151" s="731"/>
      <c r="D151" s="117" t="s">
        <v>130</v>
      </c>
      <c r="E151" s="95">
        <f>'17'!F151</f>
        <v>59040</v>
      </c>
      <c r="F151" s="233"/>
      <c r="G151" s="112">
        <f t="shared" si="11"/>
        <v>-59040</v>
      </c>
      <c r="H151" s="99">
        <f>G151+'17'!H151</f>
        <v>-53379</v>
      </c>
      <c r="I151" s="119"/>
      <c r="J151" s="348">
        <f>H151/DAY(B2)</f>
        <v>-2965.5</v>
      </c>
    </row>
    <row r="152" spans="1:10" ht="27.75" customHeight="1" x14ac:dyDescent="0.5">
      <c r="A152" s="729" t="s">
        <v>339</v>
      </c>
      <c r="B152" s="730"/>
      <c r="C152" s="731"/>
      <c r="D152" s="117" t="s">
        <v>130</v>
      </c>
      <c r="E152" s="95">
        <f>'17'!F152</f>
        <v>0</v>
      </c>
      <c r="F152" s="233"/>
      <c r="G152" s="112">
        <f t="shared" si="11"/>
        <v>0</v>
      </c>
      <c r="H152" s="99">
        <f>G152+'17'!H152</f>
        <v>0</v>
      </c>
      <c r="I152" s="119"/>
      <c r="J152" s="348">
        <f>H152/DAY(B2)</f>
        <v>0</v>
      </c>
    </row>
    <row r="153" spans="1:10" ht="27.75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27.75" customHeight="1" x14ac:dyDescent="0.55000000000000004">
      <c r="A154" s="736" t="s">
        <v>344</v>
      </c>
      <c r="B154" s="736"/>
      <c r="C154" s="736"/>
      <c r="D154" s="736"/>
      <c r="E154" s="736"/>
      <c r="F154" s="736"/>
      <c r="G154" s="736"/>
      <c r="H154" s="736"/>
      <c r="I154" s="736"/>
      <c r="J154" s="736"/>
    </row>
    <row r="155" spans="1:10" ht="27.75" customHeight="1" x14ac:dyDescent="0.55000000000000004">
      <c r="A155" s="728" t="s">
        <v>345</v>
      </c>
      <c r="B155" s="728"/>
      <c r="C155" s="728"/>
      <c r="D155" s="117" t="s">
        <v>130</v>
      </c>
      <c r="E155" s="95">
        <f>'17'!F155</f>
        <v>77150.2</v>
      </c>
      <c r="F155" s="385"/>
      <c r="G155" s="112">
        <f t="shared" ref="G155:G156" si="12">F155-E155</f>
        <v>-77150.2</v>
      </c>
      <c r="H155" s="99">
        <f>G155+'17'!H155</f>
        <v>-77027.899999999994</v>
      </c>
      <c r="I155" s="385"/>
      <c r="J155" s="348">
        <f>H155/DAY(B2)</f>
        <v>-4279.3277777777776</v>
      </c>
    </row>
    <row r="156" spans="1:10" ht="27.75" customHeight="1" x14ac:dyDescent="0.5">
      <c r="A156" s="728" t="s">
        <v>347</v>
      </c>
      <c r="B156" s="728"/>
      <c r="C156" s="728"/>
      <c r="D156" s="117" t="s">
        <v>130</v>
      </c>
      <c r="E156" s="95">
        <f>'17'!F156</f>
        <v>0</v>
      </c>
      <c r="F156" s="165"/>
      <c r="G156" s="112">
        <f t="shared" si="12"/>
        <v>0</v>
      </c>
      <c r="H156" s="99">
        <f>G156+'17'!H156</f>
        <v>0</v>
      </c>
      <c r="I156" s="165"/>
      <c r="J156" s="348">
        <f>H156/DAY(B2)</f>
        <v>0</v>
      </c>
    </row>
    <row r="157" spans="1:10" ht="27.75" customHeight="1" x14ac:dyDescent="0.55000000000000004">
      <c r="A157" s="736" t="s">
        <v>326</v>
      </c>
      <c r="B157" s="736"/>
      <c r="C157" s="736"/>
      <c r="D157" s="736"/>
      <c r="E157" s="736"/>
      <c r="F157" s="736"/>
      <c r="G157" s="736"/>
      <c r="H157" s="736"/>
      <c r="I157" s="736"/>
      <c r="J157" s="736"/>
    </row>
    <row r="158" spans="1:10" ht="27.75" customHeight="1" x14ac:dyDescent="0.5">
      <c r="A158" s="242" t="s">
        <v>92</v>
      </c>
      <c r="B158" s="243"/>
      <c r="C158" s="243"/>
      <c r="D158" s="244" t="s">
        <v>180</v>
      </c>
      <c r="E158" s="95">
        <f>'17'!F158</f>
        <v>467133.4</v>
      </c>
      <c r="F158" s="235">
        <v>463315</v>
      </c>
      <c r="G158" s="238">
        <f t="shared" ref="G158:G162" si="13">F158-E158</f>
        <v>-3818.4000000000233</v>
      </c>
      <c r="H158" s="99">
        <f>G158+'17'!H158</f>
        <v>-1946</v>
      </c>
      <c r="I158" s="236"/>
      <c r="J158" s="239">
        <f>H158/DAY(B2)</f>
        <v>-108.11111111111111</v>
      </c>
    </row>
    <row r="159" spans="1:10" ht="27.75" customHeight="1" x14ac:dyDescent="0.5">
      <c r="A159" s="242" t="s">
        <v>93</v>
      </c>
      <c r="B159" s="243"/>
      <c r="C159" s="243"/>
      <c r="D159" s="244" t="s">
        <v>180</v>
      </c>
      <c r="E159" s="95">
        <f>'17'!F159</f>
        <v>85339.4</v>
      </c>
      <c r="F159" s="235">
        <v>83899</v>
      </c>
      <c r="G159" s="238">
        <f t="shared" si="13"/>
        <v>-1440.3999999999942</v>
      </c>
      <c r="H159" s="99">
        <f>G159+'17'!H159</f>
        <v>-911</v>
      </c>
      <c r="I159" s="236"/>
      <c r="J159" s="239">
        <f>H159/DAY(B2)</f>
        <v>-50.611111111111114</v>
      </c>
    </row>
    <row r="160" spans="1:10" ht="27.75" customHeight="1" x14ac:dyDescent="0.5">
      <c r="A160" s="242" t="s">
        <v>197</v>
      </c>
      <c r="B160" s="243"/>
      <c r="C160" s="243"/>
      <c r="D160" s="244" t="s">
        <v>180</v>
      </c>
      <c r="E160" s="95">
        <f>'17'!F160</f>
        <v>72101.2</v>
      </c>
      <c r="F160" s="235">
        <v>69089</v>
      </c>
      <c r="G160" s="238">
        <f t="shared" si="13"/>
        <v>-3012.1999999999971</v>
      </c>
      <c r="H160" s="99">
        <f>G160+'17'!H160</f>
        <v>-1882</v>
      </c>
      <c r="I160" s="236"/>
      <c r="J160" s="239">
        <f>H160/DAY(B2)</f>
        <v>-104.55555555555556</v>
      </c>
    </row>
    <row r="161" spans="1:10" ht="27.75" customHeight="1" x14ac:dyDescent="0.5">
      <c r="A161" s="242" t="s">
        <v>197</v>
      </c>
      <c r="B161" s="243"/>
      <c r="C161" s="243"/>
      <c r="D161" s="244" t="s">
        <v>180</v>
      </c>
      <c r="E161" s="95">
        <f>'17'!F161</f>
        <v>3980.3</v>
      </c>
      <c r="F161" s="235">
        <v>3611</v>
      </c>
      <c r="G161" s="238">
        <f t="shared" si="13"/>
        <v>-369.30000000000018</v>
      </c>
      <c r="H161" s="99">
        <f>G161+'17'!H161</f>
        <v>-186</v>
      </c>
      <c r="I161" s="236"/>
      <c r="J161" s="239">
        <f>H161/DAY(B2)</f>
        <v>-10.333333333333334</v>
      </c>
    </row>
    <row r="162" spans="1:10" ht="27.75" customHeight="1" x14ac:dyDescent="0.5">
      <c r="A162" s="242" t="s">
        <v>309</v>
      </c>
      <c r="B162" s="243"/>
      <c r="C162" s="243"/>
      <c r="D162" s="244" t="s">
        <v>180</v>
      </c>
      <c r="E162" s="95">
        <f>'17'!F162</f>
        <v>29086.74</v>
      </c>
      <c r="F162" s="235">
        <v>28746</v>
      </c>
      <c r="G162" s="238">
        <f t="shared" si="13"/>
        <v>-340.7400000000016</v>
      </c>
      <c r="H162" s="99">
        <f>G162+'17'!H162</f>
        <v>-226</v>
      </c>
      <c r="I162" s="236"/>
      <c r="J162" s="239">
        <f>H162/DAY(B2)</f>
        <v>-12.555555555555555</v>
      </c>
    </row>
    <row r="163" spans="1:10" ht="27.75" customHeight="1" x14ac:dyDescent="0.5">
      <c r="A163" s="737"/>
      <c r="B163" s="737"/>
      <c r="C163" s="247"/>
      <c r="D163" s="244" t="s">
        <v>180</v>
      </c>
      <c r="E163" s="95">
        <f>'17'!F163</f>
        <v>0</v>
      </c>
      <c r="F163" s="165"/>
      <c r="G163" s="165"/>
      <c r="H163" s="99">
        <f>G163+'17'!H163</f>
        <v>0</v>
      </c>
      <c r="I163" s="165"/>
      <c r="J163" s="239">
        <f>H163/DAY(B2)</f>
        <v>0</v>
      </c>
    </row>
    <row r="164" spans="1:10" ht="27.75" customHeight="1" x14ac:dyDescent="0.5">
      <c r="A164" s="737"/>
      <c r="B164" s="737"/>
      <c r="C164" s="247"/>
      <c r="D164" s="244" t="s">
        <v>180</v>
      </c>
      <c r="E164" s="95">
        <f>'17'!F164</f>
        <v>0</v>
      </c>
      <c r="F164" s="165"/>
      <c r="G164" s="165"/>
      <c r="H164" s="99">
        <f>G164+'17'!H164</f>
        <v>0</v>
      </c>
      <c r="I164" s="165"/>
      <c r="J164" s="239">
        <f>H164/DAY(B2)</f>
        <v>0</v>
      </c>
    </row>
    <row r="165" spans="1:10" ht="27.75" customHeight="1" x14ac:dyDescent="0.5">
      <c r="A165" s="737"/>
      <c r="B165" s="737"/>
      <c r="C165" s="247"/>
      <c r="D165" s="244" t="s">
        <v>180</v>
      </c>
      <c r="E165" s="95">
        <f>'17'!F165</f>
        <v>0</v>
      </c>
      <c r="F165" s="165"/>
      <c r="G165" s="165"/>
      <c r="H165" s="99">
        <f>G165+'17'!H165</f>
        <v>0</v>
      </c>
      <c r="I165" s="165"/>
      <c r="J165" s="239">
        <f>H165/DAY(B2)</f>
        <v>0</v>
      </c>
    </row>
    <row r="168" spans="1:10" ht="27.75" customHeight="1" x14ac:dyDescent="0.35">
      <c r="A168" s="738" t="s">
        <v>330</v>
      </c>
      <c r="B168" s="739"/>
      <c r="C168" s="739"/>
      <c r="D168" s="739"/>
      <c r="E168" s="739"/>
      <c r="F168" s="739"/>
      <c r="G168" s="739"/>
      <c r="H168" s="739"/>
      <c r="I168" s="739"/>
      <c r="J168" s="740"/>
    </row>
    <row r="169" spans="1:10" ht="27.75" customHeight="1" x14ac:dyDescent="0.5">
      <c r="A169" s="747"/>
      <c r="B169" s="748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customHeight="1" x14ac:dyDescent="0.5">
      <c r="A170" s="743" t="s">
        <v>209</v>
      </c>
      <c r="B170" s="744"/>
      <c r="C170" s="353"/>
      <c r="D170" s="228" t="s">
        <v>142</v>
      </c>
      <c r="E170" s="95">
        <f>'17'!F170</f>
        <v>7898</v>
      </c>
      <c r="F170" s="155">
        <v>7961</v>
      </c>
      <c r="G170" s="155">
        <f>F170-E170</f>
        <v>63</v>
      </c>
      <c r="H170" s="99">
        <f>G170+'17'!H170</f>
        <v>66</v>
      </c>
      <c r="I170" s="155"/>
      <c r="J170" s="178">
        <f>H170/DAY(B2)</f>
        <v>3.6666666666666665</v>
      </c>
    </row>
    <row r="171" spans="1:10" ht="27.75" customHeight="1" x14ac:dyDescent="0.5">
      <c r="A171" s="743" t="s">
        <v>75</v>
      </c>
      <c r="B171" s="744"/>
      <c r="C171" s="353"/>
      <c r="D171" s="228" t="s">
        <v>142</v>
      </c>
      <c r="E171" s="95">
        <f>'17'!F171</f>
        <v>37222</v>
      </c>
      <c r="F171" s="157">
        <v>36765</v>
      </c>
      <c r="G171" s="155">
        <f t="shared" ref="G171:G172" si="14">F171-E171</f>
        <v>-457</v>
      </c>
      <c r="H171" s="99">
        <f>G171+'17'!H171</f>
        <v>125</v>
      </c>
      <c r="I171" s="155"/>
      <c r="J171" s="178">
        <f>H171/DAY(B2)</f>
        <v>6.9444444444444446</v>
      </c>
    </row>
    <row r="172" spans="1:10" ht="27.75" customHeight="1" x14ac:dyDescent="0.5">
      <c r="A172" s="743" t="s">
        <v>76</v>
      </c>
      <c r="B172" s="783"/>
      <c r="C172" s="744"/>
      <c r="D172" s="228" t="s">
        <v>142</v>
      </c>
      <c r="E172" s="95">
        <f>'17'!F172</f>
        <v>20646</v>
      </c>
      <c r="F172" s="155">
        <v>20214</v>
      </c>
      <c r="G172" s="155">
        <f t="shared" si="14"/>
        <v>-432</v>
      </c>
      <c r="H172" s="99">
        <f>G172+'17'!H172</f>
        <v>-255</v>
      </c>
      <c r="I172" s="155"/>
      <c r="J172" s="178">
        <f>H172/DAY(B2)</f>
        <v>-14.166666666666666</v>
      </c>
    </row>
    <row r="173" spans="1:10" ht="27.75" customHeight="1" x14ac:dyDescent="0.5">
      <c r="A173" s="732" t="s">
        <v>196</v>
      </c>
      <c r="B173" s="733"/>
      <c r="C173" s="611"/>
      <c r="D173" s="228" t="s">
        <v>142</v>
      </c>
      <c r="E173" s="95"/>
      <c r="F173" s="155"/>
      <c r="G173" s="155">
        <f>SUM(G170:G172)</f>
        <v>-826</v>
      </c>
      <c r="H173" s="99">
        <f>G173+'17'!H173</f>
        <v>-64</v>
      </c>
      <c r="I173" s="155"/>
      <c r="J173" s="178">
        <f>H173/DAY(B2)</f>
        <v>-3.5555555555555554</v>
      </c>
    </row>
    <row r="174" spans="1:10" ht="27.75" customHeight="1" x14ac:dyDescent="0.5">
      <c r="A174" s="743" t="s">
        <v>77</v>
      </c>
      <c r="B174" s="744"/>
      <c r="C174" s="353"/>
      <c r="D174" s="228" t="s">
        <v>142</v>
      </c>
      <c r="E174" s="95"/>
      <c r="F174" s="155"/>
      <c r="G174" s="155"/>
      <c r="H174" s="99">
        <f>G174+'17'!H174</f>
        <v>0</v>
      </c>
      <c r="I174" s="155"/>
      <c r="J174" s="178">
        <f>H174/DAY(B2)</f>
        <v>0</v>
      </c>
    </row>
    <row r="175" spans="1:10" ht="27.75" customHeight="1" x14ac:dyDescent="0.5">
      <c r="A175" s="743" t="s">
        <v>210</v>
      </c>
      <c r="B175" s="744"/>
      <c r="C175" s="353"/>
      <c r="D175" s="228" t="s">
        <v>142</v>
      </c>
      <c r="E175" s="95">
        <f>'17'!F175</f>
        <v>73417</v>
      </c>
      <c r="F175" s="155">
        <v>69524</v>
      </c>
      <c r="G175" s="155">
        <f>F175-E175</f>
        <v>-3893</v>
      </c>
      <c r="H175" s="99">
        <f>G175+'17'!H175</f>
        <v>-2410</v>
      </c>
      <c r="I175" s="155"/>
      <c r="J175" s="178">
        <f>H175/DAY(B2)</f>
        <v>-133.88888888888889</v>
      </c>
    </row>
    <row r="176" spans="1:10" ht="27.75" customHeight="1" x14ac:dyDescent="0.5">
      <c r="A176" s="743" t="s">
        <v>211</v>
      </c>
      <c r="B176" s="744"/>
      <c r="C176" s="353"/>
      <c r="D176" s="228" t="s">
        <v>142</v>
      </c>
      <c r="E176" s="95">
        <f>'17'!F176</f>
        <v>33886</v>
      </c>
      <c r="F176" s="155">
        <v>33886</v>
      </c>
      <c r="G176" s="155">
        <f t="shared" ref="G176:G177" si="15">F176-E176</f>
        <v>0</v>
      </c>
      <c r="H176" s="99">
        <f>G176+'17'!H176</f>
        <v>0</v>
      </c>
      <c r="I176" s="155"/>
      <c r="J176" s="178">
        <f>H176/DAY(B2)</f>
        <v>0</v>
      </c>
    </row>
    <row r="177" spans="1:10" ht="27.75" customHeight="1" x14ac:dyDescent="0.5">
      <c r="A177" s="743" t="s">
        <v>212</v>
      </c>
      <c r="B177" s="744"/>
      <c r="C177" s="353"/>
      <c r="D177" s="228" t="s">
        <v>142</v>
      </c>
      <c r="E177" s="95">
        <f>'17'!F177</f>
        <v>7935</v>
      </c>
      <c r="F177" s="155">
        <v>4788</v>
      </c>
      <c r="G177" s="155">
        <f t="shared" si="15"/>
        <v>-3147</v>
      </c>
      <c r="H177" s="99">
        <f>G177+'17'!H177</f>
        <v>-43</v>
      </c>
      <c r="I177" s="155"/>
      <c r="J177" s="178">
        <f>H177/DAY(B2)</f>
        <v>-2.3888888888888888</v>
      </c>
    </row>
    <row r="178" spans="1:10" ht="27.75" customHeight="1" x14ac:dyDescent="0.5">
      <c r="A178" s="745" t="s">
        <v>108</v>
      </c>
      <c r="B178" s="746"/>
      <c r="C178" s="611"/>
      <c r="D178" s="228" t="s">
        <v>142</v>
      </c>
      <c r="E178" s="95"/>
      <c r="F178" s="155"/>
      <c r="G178" s="155">
        <f>SUM(G175:G177)</f>
        <v>-7040</v>
      </c>
      <c r="H178" s="99">
        <f>G178+'17'!H178</f>
        <v>-2453</v>
      </c>
      <c r="I178" s="155"/>
      <c r="J178" s="178">
        <f>H178/DAY(B2)</f>
        <v>-136.27777777777777</v>
      </c>
    </row>
    <row r="179" spans="1:10" ht="27.75" customHeight="1" x14ac:dyDescent="0.5">
      <c r="A179" s="743" t="s">
        <v>213</v>
      </c>
      <c r="B179" s="744"/>
      <c r="C179" s="353"/>
      <c r="D179" s="228" t="s">
        <v>142</v>
      </c>
      <c r="E179" s="95"/>
      <c r="F179" s="155"/>
      <c r="G179" s="155"/>
      <c r="H179" s="99">
        <f>G179+'17'!H179</f>
        <v>0</v>
      </c>
      <c r="I179" s="155"/>
      <c r="J179" s="178">
        <f>H179/DAY(B2)</f>
        <v>0</v>
      </c>
    </row>
    <row r="180" spans="1:10" ht="27.75" customHeight="1" x14ac:dyDescent="0.5">
      <c r="A180" s="743" t="s">
        <v>214</v>
      </c>
      <c r="B180" s="744"/>
      <c r="C180" s="354"/>
      <c r="D180" s="228" t="s">
        <v>142</v>
      </c>
      <c r="E180" s="95">
        <f>'17'!F180</f>
        <v>13792</v>
      </c>
      <c r="F180" s="157">
        <v>13038</v>
      </c>
      <c r="G180" s="157">
        <f>F180-E180</f>
        <v>-754</v>
      </c>
      <c r="H180" s="99">
        <f>G180+'17'!H180</f>
        <v>-499</v>
      </c>
      <c r="I180" s="155"/>
      <c r="J180" s="178">
        <f>H180/DAY(B2)</f>
        <v>-27.722222222222221</v>
      </c>
    </row>
    <row r="181" spans="1:10" ht="27.75" customHeight="1" x14ac:dyDescent="0.5">
      <c r="A181" s="743" t="s">
        <v>215</v>
      </c>
      <c r="B181" s="744"/>
      <c r="C181" s="354"/>
      <c r="D181" s="228" t="s">
        <v>142</v>
      </c>
      <c r="E181" s="95">
        <f>'17'!F181</f>
        <v>9598</v>
      </c>
      <c r="F181" s="157">
        <v>9126</v>
      </c>
      <c r="G181" s="157">
        <f t="shared" ref="G181:G182" si="16">F181-E181</f>
        <v>-472</v>
      </c>
      <c r="H181" s="99">
        <f>G181+'17'!H181</f>
        <v>-322</v>
      </c>
      <c r="I181" s="155"/>
      <c r="J181" s="178">
        <f>H181/DAY(B2)</f>
        <v>-17.888888888888889</v>
      </c>
    </row>
    <row r="182" spans="1:10" ht="27.75" customHeight="1" x14ac:dyDescent="0.5">
      <c r="A182" s="743" t="s">
        <v>216</v>
      </c>
      <c r="B182" s="744"/>
      <c r="C182" s="354"/>
      <c r="D182" s="228" t="s">
        <v>142</v>
      </c>
      <c r="E182" s="95">
        <f>'17'!F182</f>
        <v>0</v>
      </c>
      <c r="F182" s="157"/>
      <c r="G182" s="157">
        <f t="shared" si="16"/>
        <v>0</v>
      </c>
      <c r="H182" s="99">
        <f>G182+'17'!H182</f>
        <v>0</v>
      </c>
      <c r="I182" s="155"/>
      <c r="J182" s="178">
        <f>H182/DAY(B2)</f>
        <v>0</v>
      </c>
    </row>
    <row r="183" spans="1:10" ht="27.75" customHeight="1" x14ac:dyDescent="0.5">
      <c r="A183" s="732" t="s">
        <v>196</v>
      </c>
      <c r="B183" s="733"/>
      <c r="C183" s="610"/>
      <c r="D183" s="228" t="s">
        <v>142</v>
      </c>
      <c r="E183" s="95"/>
      <c r="F183" s="157"/>
      <c r="G183" s="157">
        <f>SUM(G180:G182)</f>
        <v>-1226</v>
      </c>
      <c r="H183" s="99">
        <f>G183+'17'!H183</f>
        <v>-821</v>
      </c>
      <c r="I183" s="157"/>
      <c r="J183" s="178">
        <f>H183/DAY(B2)</f>
        <v>-45.611111111111114</v>
      </c>
    </row>
    <row r="184" spans="1:10" ht="27.75" customHeight="1" x14ac:dyDescent="0.5">
      <c r="A184" s="734" t="s">
        <v>217</v>
      </c>
      <c r="B184" s="735"/>
      <c r="C184" s="353"/>
      <c r="D184" s="230" t="s">
        <v>142</v>
      </c>
      <c r="E184" s="95"/>
      <c r="F184" s="159"/>
      <c r="G184" s="588">
        <f>G62+G19</f>
        <v>-4694</v>
      </c>
      <c r="H184" s="99">
        <f>G184+'17'!H184</f>
        <v>-1848</v>
      </c>
      <c r="I184" s="158"/>
      <c r="J184" s="179">
        <f>H184/DAY(B2)</f>
        <v>-102.66666666666667</v>
      </c>
    </row>
    <row r="185" spans="1:10" ht="27.75" customHeight="1" x14ac:dyDescent="0.5">
      <c r="A185" s="734" t="s">
        <v>218</v>
      </c>
      <c r="B185" s="735"/>
      <c r="C185" s="353"/>
      <c r="D185" s="230" t="s">
        <v>142</v>
      </c>
      <c r="E185" s="95"/>
      <c r="F185" s="159"/>
      <c r="G185" s="588">
        <f>G65+G66+G67+G69+G70</f>
        <v>-7526</v>
      </c>
      <c r="H185" s="99">
        <f>G185+'17'!H185</f>
        <v>-6988</v>
      </c>
      <c r="I185" s="158"/>
      <c r="J185" s="179">
        <f>H185/DAY(B2)</f>
        <v>-388.22222222222223</v>
      </c>
    </row>
    <row r="186" spans="1:10" ht="27.75" customHeight="1" x14ac:dyDescent="0.5">
      <c r="A186" s="734" t="s">
        <v>219</v>
      </c>
      <c r="B186" s="735"/>
      <c r="C186" s="353"/>
      <c r="D186" s="230" t="s">
        <v>142</v>
      </c>
      <c r="E186" s="95"/>
      <c r="F186" s="157"/>
      <c r="G186" s="585">
        <f>G178</f>
        <v>-7040</v>
      </c>
      <c r="H186" s="99">
        <f>G186+'17'!H186</f>
        <v>-2453</v>
      </c>
      <c r="I186" s="158"/>
      <c r="J186" s="179">
        <f>H186/DAY(B2)</f>
        <v>-136.27777777777777</v>
      </c>
    </row>
    <row r="187" spans="1:10" ht="27.75" customHeight="1" x14ac:dyDescent="0.5">
      <c r="A187" s="741"/>
      <c r="B187" s="742"/>
      <c r="C187" s="609"/>
      <c r="D187" s="606"/>
      <c r="E187" s="606" t="s">
        <v>207</v>
      </c>
      <c r="F187" s="606"/>
      <c r="G187" s="606"/>
      <c r="H187" s="607"/>
      <c r="I187" s="606"/>
      <c r="J187" s="608"/>
    </row>
  </sheetData>
  <mergeCells count="111">
    <mergeCell ref="A75:C75"/>
    <mergeCell ref="A76:C76"/>
    <mergeCell ref="A77:C77"/>
    <mergeCell ref="A71:C71"/>
    <mergeCell ref="A72:B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14:C114"/>
    <mergeCell ref="A115:C115"/>
    <mergeCell ref="A116:C116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C135"/>
    <mergeCell ref="A168:J168"/>
    <mergeCell ref="A169:B169"/>
    <mergeCell ref="A170:B170"/>
    <mergeCell ref="A171:B171"/>
    <mergeCell ref="A173:B173"/>
    <mergeCell ref="A142:C142"/>
    <mergeCell ref="A157:J157"/>
    <mergeCell ref="A163:B163"/>
    <mergeCell ref="A164:B164"/>
    <mergeCell ref="A165:B165"/>
    <mergeCell ref="A172:C172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85:B185"/>
    <mergeCell ref="A186:B186"/>
    <mergeCell ref="A187:B187"/>
    <mergeCell ref="A179:B179"/>
    <mergeCell ref="A180:B180"/>
    <mergeCell ref="A182:B182"/>
    <mergeCell ref="A183:B183"/>
    <mergeCell ref="A184:B184"/>
    <mergeCell ref="A174:B174"/>
    <mergeCell ref="A175:B175"/>
    <mergeCell ref="A176:B176"/>
    <mergeCell ref="A177:B177"/>
    <mergeCell ref="A178:B178"/>
    <mergeCell ref="A181:B181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67"/>
  <sheetViews>
    <sheetView view="pageBreakPreview" topLeftCell="A160" zoomScale="55" zoomScaleNormal="40" zoomScaleSheetLayoutView="55" zoomScalePageLayoutView="60" workbookViewId="0">
      <selection activeCell="A187" sqref="A187:J187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89" t="s">
        <v>115</v>
      </c>
      <c r="B1" s="790"/>
      <c r="C1" s="790"/>
      <c r="D1" s="790"/>
      <c r="E1" s="790"/>
      <c r="F1" s="790"/>
      <c r="G1" s="790"/>
      <c r="H1" s="790"/>
      <c r="I1" s="790"/>
      <c r="J1" s="791"/>
    </row>
    <row r="2" spans="1:15" s="57" customFormat="1" ht="27" x14ac:dyDescent="0.5">
      <c r="A2" s="191" t="s">
        <v>303</v>
      </c>
      <c r="B2" s="266">
        <v>44488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98" t="s">
        <v>119</v>
      </c>
      <c r="F3" s="79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92" t="s">
        <v>128</v>
      </c>
      <c r="B6" s="793"/>
      <c r="C6" s="79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'18 '!E7</f>
        <v>363179.47</v>
      </c>
      <c r="F7" s="95">
        <f>E7+23000</f>
        <v>386179.47</v>
      </c>
      <c r="G7" s="112">
        <f>F7-E7</f>
        <v>23000</v>
      </c>
      <c r="H7" s="99">
        <f>G7+'18 '!H7</f>
        <v>441937.06999999989</v>
      </c>
      <c r="I7" s="113">
        <f>'1'!I7</f>
        <v>12000</v>
      </c>
      <c r="J7" s="175">
        <f>H7/DAY(B2)</f>
        <v>23259.845789473678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'18 '!E8</f>
        <v>383529.75</v>
      </c>
      <c r="F8" s="114">
        <f>E8+23050</f>
        <v>406579.75</v>
      </c>
      <c r="G8" s="115">
        <f>F8-E8</f>
        <v>23050</v>
      </c>
      <c r="H8" s="99">
        <f>G8+'18 '!H8</f>
        <v>447912.74999999994</v>
      </c>
      <c r="I8" s="116"/>
      <c r="J8" s="175">
        <f>H8/DAY(B2)</f>
        <v>23574.355263157893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'18 '!E9</f>
        <v>1046976.9</v>
      </c>
      <c r="F9" s="117">
        <f>E9+23000</f>
        <v>1069976.8999999999</v>
      </c>
      <c r="G9" s="112">
        <f>F9-E9</f>
        <v>22999.999999999884</v>
      </c>
      <c r="H9" s="99">
        <f>G9+'18 '!H9</f>
        <v>362186.89999999979</v>
      </c>
      <c r="I9" s="124">
        <f>I7-J7</f>
        <v>-11259.845789473678</v>
      </c>
      <c r="J9" s="175">
        <f>H9/DAY(B2)</f>
        <v>19062.468421052621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'18 '!E10</f>
        <v>68309</v>
      </c>
      <c r="F10" s="117">
        <v>2607</v>
      </c>
      <c r="G10" s="112">
        <f t="shared" ref="G10:G12" si="0">F10-E10</f>
        <v>-65702</v>
      </c>
      <c r="H10" s="99">
        <f>G10+'18 '!H10</f>
        <v>-57966</v>
      </c>
      <c r="I10" s="286"/>
      <c r="J10" s="175">
        <f>H10/DAY(B2)</f>
        <v>-3050.8421052631579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'18 '!E11</f>
        <v>37000</v>
      </c>
      <c r="F11" s="95">
        <v>37000</v>
      </c>
      <c r="G11" s="112">
        <f t="shared" si="0"/>
        <v>0</v>
      </c>
      <c r="H11" s="99">
        <f>G11+'18 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'18 '!E12</f>
        <v>40010</v>
      </c>
      <c r="F12" s="117">
        <v>40010</v>
      </c>
      <c r="G12" s="112">
        <f t="shared" si="0"/>
        <v>0</v>
      </c>
      <c r="H12" s="99">
        <f>G12+'18 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-42702.000000000116</v>
      </c>
      <c r="H13" s="99">
        <f>G13+'18 '!H13</f>
        <v>282675.14999999979</v>
      </c>
      <c r="I13" s="120">
        <f>G7-G13</f>
        <v>65702.000000000116</v>
      </c>
      <c r="J13" s="175">
        <f>H13/DAY(B2)</f>
        <v>14877.639473684199</v>
      </c>
      <c r="K13" s="79"/>
      <c r="L13" s="66"/>
      <c r="N13" s="87"/>
      <c r="O13" s="71"/>
    </row>
    <row r="14" spans="1:15" ht="29.25" x14ac:dyDescent="0.5">
      <c r="A14" s="795" t="s">
        <v>137</v>
      </c>
      <c r="B14" s="796"/>
      <c r="C14" s="79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'18 '!E15</f>
        <v>1801117.8829999999</v>
      </c>
      <c r="F15" s="123">
        <f>E15+875</f>
        <v>1801992.8829999999</v>
      </c>
      <c r="G15" s="112">
        <f>(F15-E15)</f>
        <v>875</v>
      </c>
      <c r="H15" s="99">
        <f>G15+'18 '!H15</f>
        <v>18659.882999999914</v>
      </c>
      <c r="I15" s="113">
        <f>'1'!I15</f>
        <v>800</v>
      </c>
      <c r="J15" s="175">
        <f>H15/DAY(B2)</f>
        <v>982.09910526315343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-182.09910526315343</v>
      </c>
      <c r="J16" s="176"/>
      <c r="K16" s="79"/>
      <c r="L16" s="66"/>
      <c r="N16" s="87"/>
      <c r="O16" s="71"/>
    </row>
    <row r="17" spans="1:15" ht="29.25" x14ac:dyDescent="0.5">
      <c r="A17" s="795" t="s">
        <v>140</v>
      </c>
      <c r="B17" s="796"/>
      <c r="C17" s="79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1" t="s">
        <v>141</v>
      </c>
      <c r="B18" s="772"/>
      <c r="C18" s="773"/>
      <c r="D18" s="151" t="s">
        <v>142</v>
      </c>
      <c r="E18" s="95">
        <f>'18 '!E18</f>
        <v>21</v>
      </c>
      <c r="F18" s="122">
        <v>14</v>
      </c>
      <c r="G18" s="119">
        <f>F18*10</f>
        <v>140</v>
      </c>
      <c r="H18" s="99">
        <f>G18+'18 '!H18</f>
        <v>3600</v>
      </c>
      <c r="I18" s="113">
        <f>'1'!I18</f>
        <v>65</v>
      </c>
      <c r="J18" s="175">
        <f>H18/DAY(B2)</f>
        <v>189.47368421052633</v>
      </c>
      <c r="K18" s="79"/>
      <c r="L18" s="66"/>
      <c r="N18" s="87"/>
      <c r="O18" s="71"/>
    </row>
    <row r="19" spans="1:15" ht="27.75" x14ac:dyDescent="0.5">
      <c r="A19" s="771" t="s">
        <v>69</v>
      </c>
      <c r="B19" s="772"/>
      <c r="C19" s="773"/>
      <c r="D19" s="151" t="s">
        <v>142</v>
      </c>
      <c r="E19" s="95">
        <f>'18 '!E19</f>
        <v>148105</v>
      </c>
      <c r="F19" s="122">
        <f>E19+60</f>
        <v>148165</v>
      </c>
      <c r="G19" s="112">
        <f t="shared" ref="G19" si="1">F19-E19</f>
        <v>60</v>
      </c>
      <c r="H19" s="99">
        <f>G19+'18 '!H19</f>
        <v>1113</v>
      </c>
      <c r="I19" s="355"/>
      <c r="J19" s="175">
        <f>H19/DAY(B2)</f>
        <v>58.578947368421055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200</v>
      </c>
      <c r="H20" s="99">
        <f>G20+'18 '!H20</f>
        <v>4713</v>
      </c>
      <c r="I20" s="356">
        <f>I18-J20</f>
        <v>-183.05263157894737</v>
      </c>
      <c r="J20" s="175">
        <f>H20/DAY(B2)</f>
        <v>248.05263157894737</v>
      </c>
      <c r="K20" s="79"/>
      <c r="L20" s="66"/>
      <c r="N20" s="87"/>
      <c r="O20" s="71"/>
    </row>
    <row r="21" spans="1:15" ht="29.25" x14ac:dyDescent="0.5">
      <c r="A21" s="795" t="s">
        <v>144</v>
      </c>
      <c r="B21" s="796"/>
      <c r="C21" s="79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'18 '!E22</f>
        <v>2970</v>
      </c>
      <c r="F22" s="122">
        <v>2970</v>
      </c>
      <c r="G22" s="119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'18 '!E23</f>
        <v>2000</v>
      </c>
      <c r="F23" s="122">
        <v>2000</v>
      </c>
      <c r="G23" s="119">
        <v>0</v>
      </c>
      <c r="H23" s="99">
        <f>G23+'18 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'18 '!E24</f>
        <v>4970</v>
      </c>
      <c r="F24" s="128">
        <v>4970</v>
      </c>
      <c r="G24" s="119">
        <v>0</v>
      </c>
      <c r="H24" s="99">
        <f>G24+'18 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0" t="s">
        <v>149</v>
      </c>
      <c r="B25" s="801"/>
      <c r="C25" s="80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23050</v>
      </c>
      <c r="F27" s="136">
        <v>9</v>
      </c>
      <c r="G27" s="137">
        <f>E27*F27</f>
        <v>207450</v>
      </c>
      <c r="H27" s="99">
        <f>G27+'18 '!H27</f>
        <v>4031214.7499999995</v>
      </c>
      <c r="I27" s="138"/>
      <c r="J27" s="175">
        <f>H27/DAY(B2)</f>
        <v>212169.19736842104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875</v>
      </c>
      <c r="F28" s="136">
        <v>52</v>
      </c>
      <c r="G28" s="137">
        <f>E28*F28</f>
        <v>45500</v>
      </c>
      <c r="H28" s="99">
        <f>G28+'18 '!H28</f>
        <v>970313.91599999554</v>
      </c>
      <c r="I28" s="140"/>
      <c r="J28" s="175">
        <f>H28/DAY(B2)</f>
        <v>51069.153473683975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G29+'18 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G30+'18 '!H30</f>
        <v>162498</v>
      </c>
      <c r="I30" s="140"/>
      <c r="J30" s="175">
        <f>H30/DAY(B2)</f>
        <v>8552.5263157894733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G31+'18 '!H31</f>
        <v>288000</v>
      </c>
      <c r="I31" s="140"/>
      <c r="J31" s="175">
        <f>H31/DAY(B2)</f>
        <v>15157.894736842105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272910</v>
      </c>
      <c r="H32" s="99">
        <f>G32+'18 '!H32</f>
        <v>5452026.6659999955</v>
      </c>
      <c r="I32" s="144"/>
      <c r="J32" s="175">
        <f>H32/DAY(B2)</f>
        <v>286948.77189473662</v>
      </c>
      <c r="K32" s="63"/>
      <c r="L32" s="89"/>
      <c r="N32" s="87"/>
      <c r="O32" s="71"/>
    </row>
    <row r="33" spans="1:15" ht="25.5" customHeight="1" x14ac:dyDescent="0.35">
      <c r="A33" s="803" t="s">
        <v>331</v>
      </c>
      <c r="B33" s="804"/>
      <c r="C33" s="804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'18 '!E35</f>
        <v>5508.4</v>
      </c>
      <c r="F35" s="145">
        <v>1058597</v>
      </c>
      <c r="G35" s="112">
        <f t="shared" ref="G35:G46" si="3">F35-E35</f>
        <v>1053088.6000000001</v>
      </c>
      <c r="H35" s="99">
        <f>G35+'18 '!H35</f>
        <v>2111685.6</v>
      </c>
      <c r="I35" s="95"/>
      <c r="J35" s="175">
        <f>H35/DAY(B2)</f>
        <v>111141.34736842106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'18 '!E36</f>
        <v>37703.1</v>
      </c>
      <c r="F36" s="145">
        <v>1833</v>
      </c>
      <c r="G36" s="112">
        <f t="shared" si="3"/>
        <v>-35870.1</v>
      </c>
      <c r="H36" s="99">
        <f>G36+'18 '!H36</f>
        <v>-57914.1</v>
      </c>
      <c r="I36" s="95"/>
      <c r="J36" s="175">
        <f>H36/DAY(B2)</f>
        <v>-3048.1105263157892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'18 '!E37</f>
        <v>83253.87</v>
      </c>
      <c r="F37" s="145">
        <v>2775</v>
      </c>
      <c r="G37" s="112">
        <f t="shared" si="3"/>
        <v>-80478.87</v>
      </c>
      <c r="H37" s="99">
        <f>G37+'18 '!H37</f>
        <v>-131866.87</v>
      </c>
      <c r="I37" s="95"/>
      <c r="J37" s="175">
        <f>H37/DAY(B2)</f>
        <v>-6940.3615789473679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'18 '!E38</f>
        <v>89597.6</v>
      </c>
      <c r="F38" s="108">
        <v>4823</v>
      </c>
      <c r="G38" s="112">
        <f t="shared" si="3"/>
        <v>-84774.6</v>
      </c>
      <c r="H38" s="99">
        <f>G38+'18 '!H38</f>
        <v>-137077.6</v>
      </c>
      <c r="I38" s="95"/>
      <c r="J38" s="175">
        <f>H38/DAY(B2)</f>
        <v>-7214.6105263157897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'18 '!E39</f>
        <v>194704.03</v>
      </c>
      <c r="F39" s="145">
        <v>637915</v>
      </c>
      <c r="G39" s="112">
        <f t="shared" si="3"/>
        <v>443210.97</v>
      </c>
      <c r="H39" s="99">
        <f>G39+'18 '!H39</f>
        <v>958234.97</v>
      </c>
      <c r="I39" s="95"/>
      <c r="J39" s="175">
        <f>H39/DAY(B2)</f>
        <v>50433.419473684211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'18 '!E40</f>
        <v>7.53</v>
      </c>
      <c r="F40" s="145">
        <v>34599</v>
      </c>
      <c r="G40" s="112">
        <f t="shared" si="3"/>
        <v>34591.47</v>
      </c>
      <c r="H40" s="99">
        <f>G40+'18 '!H40</f>
        <v>69191.77</v>
      </c>
      <c r="I40" s="95"/>
      <c r="J40" s="175">
        <f>H40/DAY(B2)</f>
        <v>3641.6721052631583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'18 '!E41</f>
        <v>554578.67000000004</v>
      </c>
      <c r="F41" s="145">
        <v>433281.79</v>
      </c>
      <c r="G41" s="112">
        <f t="shared" si="3"/>
        <v>-121296.88000000006</v>
      </c>
      <c r="H41" s="99">
        <f>G41+'18 '!H41</f>
        <v>-177234.68000000011</v>
      </c>
      <c r="I41" s="95"/>
      <c r="J41" s="175">
        <f>H41/DAY(B2)</f>
        <v>-9328.1410526315849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'18 '!E42</f>
        <v>268664.49</v>
      </c>
      <c r="F42" s="145">
        <v>175112</v>
      </c>
      <c r="G42" s="112">
        <f t="shared" si="3"/>
        <v>-93552.489999999991</v>
      </c>
      <c r="H42" s="99">
        <f>G42+'18 '!H42</f>
        <v>-162623.49</v>
      </c>
      <c r="I42" s="95"/>
      <c r="J42" s="175">
        <f>H42/DAY(B2)</f>
        <v>-8559.1310526315792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'18 '!E43</f>
        <v>1406783.2</v>
      </c>
      <c r="F43" s="145">
        <v>1289745</v>
      </c>
      <c r="G43" s="112">
        <f t="shared" si="3"/>
        <v>-117038.19999999995</v>
      </c>
      <c r="H43" s="99">
        <f>G43+'18 '!H43</f>
        <v>-191251.19999999995</v>
      </c>
      <c r="I43" s="95"/>
      <c r="J43" s="175">
        <f>H43/DAY(B2)</f>
        <v>-10065.852631578944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'18 '!E44</f>
        <v>0</v>
      </c>
      <c r="F44" s="145">
        <v>0</v>
      </c>
      <c r="G44" s="112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'18 '!E45</f>
        <v>0</v>
      </c>
      <c r="F45" s="145">
        <v>614</v>
      </c>
      <c r="G45" s="112">
        <f t="shared" si="3"/>
        <v>614</v>
      </c>
      <c r="H45" s="99">
        <f>G45+'18 '!H45</f>
        <v>1228</v>
      </c>
      <c r="I45" s="95"/>
      <c r="J45" s="175">
        <f>H45/DAY(B2)</f>
        <v>64.631578947368425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'18 '!E46</f>
        <v>0</v>
      </c>
      <c r="F46" s="145">
        <v>187</v>
      </c>
      <c r="G46" s="112">
        <f t="shared" si="3"/>
        <v>187</v>
      </c>
      <c r="H46" s="99">
        <f>G46+'18 '!H46</f>
        <v>374</v>
      </c>
      <c r="I46" s="95"/>
      <c r="J46" s="175">
        <f>H46/DAY(B2)</f>
        <v>19.684210526315791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998680.89999999991</v>
      </c>
      <c r="H47" s="99">
        <f>G47+'18 '!H47</f>
        <v>2282746.4</v>
      </c>
      <c r="I47" s="95"/>
      <c r="J47" s="175">
        <f>H47/DAY(B2)</f>
        <v>120144.54736842104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'18 '!E49</f>
        <v>151798.06</v>
      </c>
      <c r="F49" s="145">
        <v>419822</v>
      </c>
      <c r="G49" s="112">
        <f t="shared" ref="G49:G58" si="4">F49-E49</f>
        <v>268023.94</v>
      </c>
      <c r="H49" s="99">
        <f>G49+'18 '!H49</f>
        <v>596649.56000000006</v>
      </c>
      <c r="I49" s="95"/>
      <c r="J49" s="175">
        <f>H49/DAY(B2)</f>
        <v>31402.608421052635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'18 '!E50</f>
        <v>664151.94999999995</v>
      </c>
      <c r="F50" s="145">
        <v>607298</v>
      </c>
      <c r="G50" s="112">
        <f t="shared" si="4"/>
        <v>-56853.949999999953</v>
      </c>
      <c r="H50" s="99">
        <f>G50+'18 '!H50</f>
        <v>-93045.949999999953</v>
      </c>
      <c r="I50" s="95"/>
      <c r="J50" s="175">
        <f>H50/DAY(B2)</f>
        <v>-4897.1552631578925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'18 '!E51</f>
        <v>0</v>
      </c>
      <c r="F51" s="145">
        <v>144640</v>
      </c>
      <c r="G51" s="112">
        <f t="shared" si="4"/>
        <v>144640</v>
      </c>
      <c r="H51" s="99">
        <f>G51+'18 '!H51</f>
        <v>289280</v>
      </c>
      <c r="I51" s="95"/>
      <c r="J51" s="175">
        <f>H51/DAY(B2)</f>
        <v>15225.263157894737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'18 '!E52</f>
        <v>0</v>
      </c>
      <c r="F52" s="145">
        <v>539606</v>
      </c>
      <c r="G52" s="112">
        <f t="shared" si="4"/>
        <v>539606</v>
      </c>
      <c r="H52" s="99">
        <f>G52+'18 '!H52</f>
        <v>1079212</v>
      </c>
      <c r="I52" s="95"/>
      <c r="J52" s="175">
        <f>H52/DAY(B2)</f>
        <v>56800.631578947367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'18 '!E53</f>
        <v>0</v>
      </c>
      <c r="F53" s="145">
        <v>434232</v>
      </c>
      <c r="G53" s="112">
        <f t="shared" si="4"/>
        <v>434232</v>
      </c>
      <c r="H53" s="99">
        <f>G53+'18 '!H53</f>
        <v>868464</v>
      </c>
      <c r="I53" s="95"/>
      <c r="J53" s="175">
        <f>H53/DAY(B2)</f>
        <v>45708.631578947367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'18 '!E54</f>
        <v>2802.23</v>
      </c>
      <c r="F54" s="145">
        <v>14967</v>
      </c>
      <c r="G54" s="112">
        <f t="shared" si="4"/>
        <v>12164.77</v>
      </c>
      <c r="H54" s="99">
        <f>G54+'18 '!H54</f>
        <v>24399.77</v>
      </c>
      <c r="I54" s="95"/>
      <c r="J54" s="175">
        <f>H54/DAY(B2)</f>
        <v>1284.1984210526316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'18 '!E55</f>
        <v>307298.46999999997</v>
      </c>
      <c r="F55" s="145">
        <v>306268.99</v>
      </c>
      <c r="G55" s="112">
        <f t="shared" si="4"/>
        <v>-1029.4799999999814</v>
      </c>
      <c r="H55" s="99">
        <f>G55+'18 '!H55</f>
        <v>-2059.4899999999907</v>
      </c>
      <c r="I55" s="95"/>
      <c r="J55" s="175">
        <f>H55/DAY(B2)</f>
        <v>-108.39421052631531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'18 '!E56</f>
        <v>774300.55</v>
      </c>
      <c r="F56" s="145">
        <v>661019</v>
      </c>
      <c r="G56" s="112">
        <f t="shared" si="4"/>
        <v>-113281.55000000005</v>
      </c>
      <c r="H56" s="99">
        <f>G56+'18 '!H56</f>
        <v>-194032.55000000005</v>
      </c>
      <c r="I56" s="95"/>
      <c r="J56" s="175">
        <f>H56/DAY(B2)</f>
        <v>-10212.239473684212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'18 '!E57</f>
        <v>0</v>
      </c>
      <c r="F57" s="145">
        <v>7711</v>
      </c>
      <c r="G57" s="112">
        <f t="shared" si="4"/>
        <v>7711</v>
      </c>
      <c r="H57" s="99">
        <f>G57+'18 '!H57</f>
        <v>15422</v>
      </c>
      <c r="I57" s="95"/>
      <c r="J57" s="175">
        <f>H57/DAY(B2)</f>
        <v>811.68421052631584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'18 '!E58</f>
        <v>75933.8</v>
      </c>
      <c r="F58" s="145">
        <v>66014</v>
      </c>
      <c r="G58" s="112">
        <f t="shared" si="4"/>
        <v>-9919.8000000000029</v>
      </c>
      <c r="H58" s="99">
        <f>G58+'18 '!H58</f>
        <v>-16060.800000000003</v>
      </c>
      <c r="I58" s="95"/>
      <c r="J58" s="175">
        <f>H58/DAY(B2)</f>
        <v>-845.30526315789484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1225292.93</v>
      </c>
      <c r="H59" s="99">
        <f>G59+'18 '!H59</f>
        <v>2568228.54</v>
      </c>
      <c r="I59" s="95">
        <f>G7-G60</f>
        <v>-2200973.83</v>
      </c>
      <c r="J59" s="175">
        <f>H59/DAY(B2)</f>
        <v>135169.92315789475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2223973.83</v>
      </c>
      <c r="H60" s="99">
        <f>G60+'18 '!H60</f>
        <v>4850974.9399999995</v>
      </c>
      <c r="I60" s="95">
        <f>G13-G60</f>
        <v>-2266675.83</v>
      </c>
      <c r="J60" s="175">
        <f>H60/DAY(B2)</f>
        <v>255314.47052631577</v>
      </c>
      <c r="K60" s="79"/>
      <c r="L60" s="66"/>
      <c r="N60" s="87"/>
      <c r="O60" s="71"/>
    </row>
    <row r="61" spans="1:15" s="68" customFormat="1" ht="27.75" x14ac:dyDescent="0.5">
      <c r="A61" s="805" t="s">
        <v>332</v>
      </c>
      <c r="B61" s="806"/>
      <c r="C61" s="807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1" t="s">
        <v>198</v>
      </c>
      <c r="B62" s="772"/>
      <c r="C62" s="773"/>
      <c r="D62" s="151" t="s">
        <v>142</v>
      </c>
      <c r="E62" s="95">
        <f>'18 '!E62</f>
        <v>258206</v>
      </c>
      <c r="F62" s="122">
        <v>253452</v>
      </c>
      <c r="G62" s="112">
        <f t="shared" ref="G62:G63" si="5">F62-E62</f>
        <v>-4754</v>
      </c>
      <c r="H62" s="99">
        <f>G62+'18 '!H62</f>
        <v>-7655</v>
      </c>
      <c r="I62" s="118"/>
      <c r="J62" s="175">
        <f>H62/DAY(B2)</f>
        <v>-402.89473684210526</v>
      </c>
      <c r="K62" s="80"/>
      <c r="L62" s="66"/>
      <c r="N62" s="87"/>
      <c r="O62" s="71"/>
    </row>
    <row r="63" spans="1:15" ht="27.75" x14ac:dyDescent="0.5">
      <c r="A63" s="771" t="s">
        <v>199</v>
      </c>
      <c r="B63" s="772"/>
      <c r="C63" s="773"/>
      <c r="D63" s="151" t="s">
        <v>142</v>
      </c>
      <c r="E63" s="95">
        <f>'18 '!E63</f>
        <v>204762</v>
      </c>
      <c r="F63" s="122">
        <v>197659</v>
      </c>
      <c r="G63" s="112">
        <f t="shared" si="5"/>
        <v>-7103</v>
      </c>
      <c r="H63" s="99">
        <f>G63+'18 '!H63</f>
        <v>-11970</v>
      </c>
      <c r="I63" s="118"/>
      <c r="J63" s="175">
        <f>H63/DAY(B2)</f>
        <v>-630</v>
      </c>
      <c r="K63" s="69"/>
      <c r="L63" s="66"/>
      <c r="N63" s="87"/>
      <c r="O63" s="71"/>
    </row>
    <row r="64" spans="1:15" ht="29.25" x14ac:dyDescent="0.5">
      <c r="A64" s="780" t="s">
        <v>200</v>
      </c>
      <c r="B64" s="781"/>
      <c r="C64" s="782"/>
      <c r="D64" s="151"/>
      <c r="E64" s="95">
        <f>'18 '!E64</f>
        <v>0</v>
      </c>
      <c r="F64" s="122"/>
      <c r="G64" s="112">
        <f>G62+G63</f>
        <v>-11857</v>
      </c>
      <c r="H64" s="99">
        <f>G64+'18 '!H64</f>
        <v>-19625</v>
      </c>
      <c r="I64" s="118"/>
      <c r="J64" s="175">
        <f>H64/DAY(B2)</f>
        <v>-1032.8947368421052</v>
      </c>
      <c r="K64" s="69"/>
      <c r="L64" s="66"/>
      <c r="N64" s="87"/>
      <c r="O64" s="71"/>
    </row>
    <row r="65" spans="1:15" ht="27.75" x14ac:dyDescent="0.5">
      <c r="A65" s="771" t="s">
        <v>201</v>
      </c>
      <c r="B65" s="772"/>
      <c r="C65" s="773"/>
      <c r="D65" s="151" t="s">
        <v>142</v>
      </c>
      <c r="E65" s="95">
        <f>'18 '!E65</f>
        <v>424849</v>
      </c>
      <c r="F65" s="122">
        <v>421019</v>
      </c>
      <c r="G65" s="112">
        <f t="shared" ref="G65:G70" si="6">F65-E65</f>
        <v>-3830</v>
      </c>
      <c r="H65" s="99">
        <f>G65+'18 '!H65</f>
        <v>-6100</v>
      </c>
      <c r="I65" s="118"/>
      <c r="J65" s="175">
        <f>H65/DAY(B2)</f>
        <v>-321.05263157894734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'18 '!E66</f>
        <v>105690</v>
      </c>
      <c r="F66" s="122">
        <v>104636</v>
      </c>
      <c r="G66" s="112">
        <f t="shared" si="6"/>
        <v>-1054</v>
      </c>
      <c r="H66" s="99">
        <f>G66+'18 '!H66</f>
        <v>-1732</v>
      </c>
      <c r="I66" s="118"/>
      <c r="J66" s="175">
        <f>H66/DAY(B2)</f>
        <v>-91.15789473684211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'18 '!E67</f>
        <v>101764</v>
      </c>
      <c r="F67" s="122">
        <v>100370</v>
      </c>
      <c r="G67" s="112">
        <f t="shared" si="6"/>
        <v>-1394</v>
      </c>
      <c r="H67" s="99">
        <f>G67+'18 '!H67</f>
        <v>-2308</v>
      </c>
      <c r="I67" s="118"/>
      <c r="J67" s="175">
        <f>H67/DAY(B2)</f>
        <v>-121.47368421052632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'18 '!E68</f>
        <v>153872</v>
      </c>
      <c r="F68" s="122">
        <v>152135</v>
      </c>
      <c r="G68" s="112">
        <f t="shared" si="6"/>
        <v>-1737</v>
      </c>
      <c r="H68" s="99">
        <f>G68+'18 '!H68</f>
        <v>-2715</v>
      </c>
      <c r="I68" s="118"/>
      <c r="J68" s="175">
        <f>H68/DAY(B2)</f>
        <v>-142.89473684210526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'18 '!E69</f>
        <v>9265</v>
      </c>
      <c r="F69" s="122">
        <v>8645</v>
      </c>
      <c r="G69" s="112">
        <f t="shared" si="6"/>
        <v>-620</v>
      </c>
      <c r="H69" s="99">
        <f>G69+'18 '!H69</f>
        <v>-1032</v>
      </c>
      <c r="I69" s="118"/>
      <c r="J69" s="175">
        <f>H69/DAY(B2)</f>
        <v>-54.315789473684212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'18 '!E70</f>
        <v>7001</v>
      </c>
      <c r="F70" s="122">
        <v>6373</v>
      </c>
      <c r="G70" s="112">
        <f t="shared" si="6"/>
        <v>-628</v>
      </c>
      <c r="H70" s="99">
        <f>G70+'18 '!H70</f>
        <v>-1059</v>
      </c>
      <c r="I70" s="118"/>
      <c r="J70" s="175">
        <f>H70/DAY(B2)</f>
        <v>-55.736842105263158</v>
      </c>
      <c r="K70" s="69"/>
      <c r="L70" s="66"/>
      <c r="N70" s="87"/>
      <c r="O70" s="71"/>
    </row>
    <row r="71" spans="1:15" ht="29.25" x14ac:dyDescent="0.5">
      <c r="A71" s="780" t="s">
        <v>208</v>
      </c>
      <c r="B71" s="781"/>
      <c r="C71" s="782"/>
      <c r="D71" s="152"/>
      <c r="E71" s="95">
        <f>'18 '!E71</f>
        <v>0</v>
      </c>
      <c r="F71" s="152"/>
      <c r="G71" s="153">
        <f>SUM(G65:G70)</f>
        <v>-9263</v>
      </c>
      <c r="H71" s="99">
        <f>G71+'18 '!H71</f>
        <v>-14946</v>
      </c>
      <c r="I71" s="154"/>
      <c r="J71" s="175">
        <f>H71/DAY(B2)</f>
        <v>-786.63157894736844</v>
      </c>
      <c r="K71" s="69"/>
      <c r="L71" s="66"/>
      <c r="N71" s="87"/>
      <c r="O71" s="71"/>
    </row>
    <row r="72" spans="1:15" s="88" customFormat="1" ht="27.75" x14ac:dyDescent="0.5">
      <c r="A72" s="767"/>
      <c r="B72" s="752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77" t="s">
        <v>333</v>
      </c>
      <c r="B73" s="778"/>
      <c r="C73" s="779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1" t="s">
        <v>220</v>
      </c>
      <c r="B74" s="772"/>
      <c r="C74" s="773"/>
      <c r="D74" s="151" t="s">
        <v>139</v>
      </c>
      <c r="E74" s="95">
        <f>'18 '!E74</f>
        <v>869473.87</v>
      </c>
      <c r="F74" s="117">
        <v>856352</v>
      </c>
      <c r="G74" s="112">
        <f t="shared" ref="G74:G78" si="7">F74-E74</f>
        <v>-13121.869999999995</v>
      </c>
      <c r="H74" s="99">
        <f>G74+'18 '!H74</f>
        <v>-21277.869999999995</v>
      </c>
      <c r="I74" s="154"/>
      <c r="J74" s="175">
        <f>H74/DAY(B2)</f>
        <v>-1119.8878947368419</v>
      </c>
      <c r="K74" s="69"/>
      <c r="L74" s="66"/>
      <c r="N74" s="87"/>
      <c r="O74" s="71"/>
    </row>
    <row r="75" spans="1:15" ht="27.75" x14ac:dyDescent="0.5">
      <c r="A75" s="771" t="s">
        <v>221</v>
      </c>
      <c r="B75" s="772"/>
      <c r="C75" s="773"/>
      <c r="D75" s="151" t="s">
        <v>139</v>
      </c>
      <c r="E75" s="95">
        <f>'18 '!E75</f>
        <v>73583.399999999994</v>
      </c>
      <c r="F75" s="123">
        <v>73583.399999999994</v>
      </c>
      <c r="G75" s="112">
        <f t="shared" si="7"/>
        <v>0</v>
      </c>
      <c r="H75" s="99">
        <f>G75+'18 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68" t="s">
        <v>222</v>
      </c>
      <c r="B76" s="769"/>
      <c r="C76" s="770"/>
      <c r="D76" s="151" t="s">
        <v>139</v>
      </c>
      <c r="E76" s="95">
        <f>'18 '!E76</f>
        <v>158579.92000000001</v>
      </c>
      <c r="F76" s="123">
        <v>154077</v>
      </c>
      <c r="G76" s="112">
        <f t="shared" si="7"/>
        <v>-4502.9200000000128</v>
      </c>
      <c r="H76" s="99">
        <f>G76+'18 '!H76</f>
        <v>-7237.9200000000128</v>
      </c>
      <c r="I76" s="154"/>
      <c r="J76" s="175">
        <f>H76/DAY(B2)</f>
        <v>-380.94315789473751</v>
      </c>
      <c r="K76" s="69"/>
      <c r="L76" s="66"/>
      <c r="N76" s="87"/>
      <c r="O76" s="71"/>
    </row>
    <row r="77" spans="1:15" ht="27.75" x14ac:dyDescent="0.5">
      <c r="A77" s="768" t="s">
        <v>223</v>
      </c>
      <c r="B77" s="769"/>
      <c r="C77" s="770"/>
      <c r="D77" s="151" t="s">
        <v>139</v>
      </c>
      <c r="E77" s="95">
        <f>'18 '!E77</f>
        <v>36850.800000000003</v>
      </c>
      <c r="F77" s="123">
        <v>34629</v>
      </c>
      <c r="G77" s="112">
        <f t="shared" si="7"/>
        <v>-2221.8000000000029</v>
      </c>
      <c r="H77" s="99">
        <f>G77+'18 '!H77</f>
        <v>-3596.8000000000029</v>
      </c>
      <c r="I77" s="154"/>
      <c r="J77" s="175">
        <f>H77/DAY(B2)</f>
        <v>-189.3052631578949</v>
      </c>
      <c r="K77" s="69"/>
      <c r="L77" s="66"/>
      <c r="N77" s="87"/>
      <c r="O77" s="71"/>
    </row>
    <row r="78" spans="1:15" ht="27.75" x14ac:dyDescent="0.5">
      <c r="A78" s="768" t="s">
        <v>224</v>
      </c>
      <c r="B78" s="769"/>
      <c r="C78" s="770"/>
      <c r="D78" s="151" t="s">
        <v>139</v>
      </c>
      <c r="E78" s="95">
        <f>'18 '!E78</f>
        <v>9292.6</v>
      </c>
      <c r="F78" s="123">
        <v>9180</v>
      </c>
      <c r="G78" s="112">
        <f t="shared" si="7"/>
        <v>-112.60000000000036</v>
      </c>
      <c r="H78" s="99">
        <f>G78+'18 '!H78</f>
        <v>-180.60000000000036</v>
      </c>
      <c r="I78" s="118"/>
      <c r="J78" s="175">
        <f>H78/DAY(B2)</f>
        <v>-9.5052631578947562</v>
      </c>
      <c r="K78" s="69"/>
      <c r="L78" s="66"/>
      <c r="N78" s="87"/>
      <c r="O78" s="71"/>
    </row>
    <row r="79" spans="1:15" s="57" customFormat="1" ht="27.75" x14ac:dyDescent="0.5">
      <c r="A79" s="768" t="s">
        <v>225</v>
      </c>
      <c r="B79" s="769"/>
      <c r="C79" s="770"/>
      <c r="D79" s="151"/>
      <c r="E79" s="95">
        <f>'18 '!E79</f>
        <v>0</v>
      </c>
      <c r="F79" s="123"/>
      <c r="G79" s="112">
        <f>G15-SUM(G74:G78)</f>
        <v>20834.19000000001</v>
      </c>
      <c r="H79" s="99">
        <f>G79+'18 '!H79</f>
        <v>50953.072999999924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0" t="s">
        <v>329</v>
      </c>
      <c r="B80" s="781"/>
      <c r="C80" s="782"/>
      <c r="D80" s="151"/>
      <c r="E80" s="117"/>
      <c r="F80" s="117"/>
      <c r="G80" s="112">
        <f>SUM(G74:G79)</f>
        <v>875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85" t="s">
        <v>226</v>
      </c>
      <c r="B81" s="786"/>
      <c r="C81" s="78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'18 '!E82</f>
        <v>0</v>
      </c>
      <c r="F82" s="122"/>
      <c r="G82" s="112">
        <f t="shared" ref="G82:G92" si="8">F82-E82</f>
        <v>0</v>
      </c>
      <c r="H82" s="99">
        <f>G82+'18 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'18 '!E83</f>
        <v>0</v>
      </c>
      <c r="F83" s="122"/>
      <c r="G83" s="112">
        <f t="shared" si="8"/>
        <v>0</v>
      </c>
      <c r="H83" s="99">
        <f>G83+'18 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'18 '!E84</f>
        <v>41456.19</v>
      </c>
      <c r="F84" s="164">
        <v>40922</v>
      </c>
      <c r="G84" s="112">
        <f t="shared" si="8"/>
        <v>-534.19000000000233</v>
      </c>
      <c r="H84" s="99">
        <f>G84+'18 '!H84</f>
        <v>-774.19000000000233</v>
      </c>
      <c r="I84" s="118"/>
      <c r="J84" s="175">
        <f>H84/DAY(B2)</f>
        <v>-40.746842105263283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'18 '!E85</f>
        <v>1294.45</v>
      </c>
      <c r="F85" s="164">
        <v>856</v>
      </c>
      <c r="G85" s="112">
        <f t="shared" si="8"/>
        <v>-438.45000000000005</v>
      </c>
      <c r="H85" s="99">
        <f>G85+'18 '!H85</f>
        <v>-761.45</v>
      </c>
      <c r="I85" s="118">
        <f>G82+G83+G84+G85</f>
        <v>-972.64000000000237</v>
      </c>
      <c r="J85" s="175">
        <f>H85/DAY(B2)</f>
        <v>-40.076315789473689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'18 '!E86</f>
        <v>42826.47</v>
      </c>
      <c r="F86" s="164">
        <v>42822</v>
      </c>
      <c r="G86" s="112">
        <f t="shared" si="8"/>
        <v>-4.4700000000011642</v>
      </c>
      <c r="H86" s="99">
        <f>G86+'18 '!H86</f>
        <v>-8.4700000000011642</v>
      </c>
      <c r="I86" s="118"/>
      <c r="J86" s="175">
        <f>H86/DAY(B2)</f>
        <v>-0.4457894736842718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'18 '!E87</f>
        <v>33463.230000000003</v>
      </c>
      <c r="F87" s="164">
        <v>32928</v>
      </c>
      <c r="G87" s="112">
        <f t="shared" si="8"/>
        <v>-535.2300000000032</v>
      </c>
      <c r="H87" s="99">
        <f>G87+'18 '!H87</f>
        <v>-921.2300000000032</v>
      </c>
      <c r="I87" s="118"/>
      <c r="J87" s="175">
        <f>H87/DAY(B2)</f>
        <v>-48.485789473684378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'18 '!E88</f>
        <v>23702.23</v>
      </c>
      <c r="F88" s="164">
        <v>23356.43</v>
      </c>
      <c r="G88" s="112">
        <f t="shared" si="8"/>
        <v>-345.79999999999927</v>
      </c>
      <c r="H88" s="99">
        <f>G88+'18 '!H88</f>
        <v>-580.34000000000015</v>
      </c>
      <c r="I88" s="118">
        <f>G86+G87+G88</f>
        <v>-885.50000000000364</v>
      </c>
      <c r="J88" s="175">
        <f>H88/DAY(B2)</f>
        <v>-30.544210526315798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'18 '!E89</f>
        <v>25242.123</v>
      </c>
      <c r="F89" s="164">
        <v>25132.959999999999</v>
      </c>
      <c r="G89" s="112">
        <f t="shared" si="8"/>
        <v>-109.16300000000047</v>
      </c>
      <c r="H89" s="99">
        <f>G89+'18 '!H89</f>
        <v>-163.57300000000032</v>
      </c>
      <c r="I89" s="118"/>
      <c r="J89" s="175">
        <f>H89/DAY(B2)</f>
        <v>-8.609105263157911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'18 '!E90</f>
        <v>70588.23</v>
      </c>
      <c r="F90" s="164">
        <v>70524.55</v>
      </c>
      <c r="G90" s="112">
        <f t="shared" si="8"/>
        <v>-63.679999999993015</v>
      </c>
      <c r="H90" s="99">
        <f>G90+'18 '!H90</f>
        <v>-72.10999999998603</v>
      </c>
      <c r="I90" s="118">
        <f>G89+G90</f>
        <v>-172.84299999999348</v>
      </c>
      <c r="J90" s="175">
        <f>H90/DAY(B2)</f>
        <v>-3.7952631578940017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'18 '!E91</f>
        <v>3109.47</v>
      </c>
      <c r="F91" s="122">
        <v>2627.98</v>
      </c>
      <c r="G91" s="112">
        <f t="shared" si="8"/>
        <v>-481.48999999999978</v>
      </c>
      <c r="H91" s="99">
        <f>G91+'18 '!H91</f>
        <v>-779.37999999999965</v>
      </c>
      <c r="I91" s="165"/>
      <c r="J91" s="175">
        <f>H91/DAY(B2)</f>
        <v>-41.019999999999982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'18 '!E92</f>
        <v>4758.46</v>
      </c>
      <c r="F92" s="122">
        <v>4754</v>
      </c>
      <c r="G92" s="112">
        <f t="shared" si="8"/>
        <v>-4.4600000000000364</v>
      </c>
      <c r="H92" s="99">
        <f>G92+'18 '!H92</f>
        <v>-8.4600000000000364</v>
      </c>
      <c r="I92" s="165"/>
      <c r="J92" s="175">
        <f>H92/DAY(B2)</f>
        <v>-0.44526315789473875</v>
      </c>
      <c r="O92" s="71"/>
    </row>
    <row r="93" spans="1:15" ht="29.25" x14ac:dyDescent="0.5">
      <c r="A93" s="774" t="s">
        <v>239</v>
      </c>
      <c r="B93" s="775"/>
      <c r="C93" s="77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1" t="s">
        <v>240</v>
      </c>
      <c r="B94" s="772"/>
      <c r="C94" s="773"/>
      <c r="D94" s="151" t="s">
        <v>130</v>
      </c>
      <c r="E94" s="151"/>
      <c r="F94" s="151"/>
      <c r="G94" s="99">
        <f>G35+G43+G49+G57</f>
        <v>1211785.3400000001</v>
      </c>
      <c r="H94" s="99">
        <f>G94+'18 '!H94</f>
        <v>2532505.96</v>
      </c>
      <c r="I94" s="118"/>
      <c r="J94" s="175">
        <f>H94/DAY(B2)</f>
        <v>133289.78736842106</v>
      </c>
      <c r="K94" s="69"/>
      <c r="L94" s="66"/>
      <c r="O94" s="71"/>
    </row>
    <row r="95" spans="1:15" ht="27.75" x14ac:dyDescent="0.5">
      <c r="A95" s="771" t="s">
        <v>241</v>
      </c>
      <c r="B95" s="772"/>
      <c r="C95" s="773"/>
      <c r="D95" s="151" t="s">
        <v>23</v>
      </c>
      <c r="E95" s="146"/>
      <c r="F95" s="146"/>
      <c r="G95" s="166">
        <f>G94/G7</f>
        <v>52.686319130434789</v>
      </c>
      <c r="H95" s="99">
        <f>G95+'18 '!H95</f>
        <v>110.05863639047362</v>
      </c>
      <c r="I95" s="167"/>
      <c r="J95" s="175">
        <f>H95/DAY(B2)</f>
        <v>5.7925598100249278</v>
      </c>
      <c r="K95" s="69"/>
      <c r="L95" s="66"/>
      <c r="O95" s="71"/>
    </row>
    <row r="96" spans="1:15" ht="27.75" x14ac:dyDescent="0.5">
      <c r="A96" s="771" t="s">
        <v>242</v>
      </c>
      <c r="B96" s="772"/>
      <c r="C96" s="773"/>
      <c r="D96" s="151" t="s">
        <v>130</v>
      </c>
      <c r="E96" s="95"/>
      <c r="F96" s="95"/>
      <c r="G96" s="99">
        <f>G41+G42+G55+G56</f>
        <v>-329160.40000000008</v>
      </c>
      <c r="H96" s="99">
        <f>G96+'18 '!H96</f>
        <v>-535950.2100000002</v>
      </c>
      <c r="I96" s="118"/>
      <c r="J96" s="175">
        <f>H96/DAY(B2)</f>
        <v>-28207.905789473694</v>
      </c>
      <c r="K96" s="69"/>
      <c r="L96" s="66"/>
      <c r="O96" s="71"/>
    </row>
    <row r="97" spans="1:15" ht="27.75" x14ac:dyDescent="0.5">
      <c r="A97" s="771" t="s">
        <v>243</v>
      </c>
      <c r="B97" s="772"/>
      <c r="C97" s="773"/>
      <c r="D97" s="151" t="s">
        <v>23</v>
      </c>
      <c r="E97" s="95"/>
      <c r="F97" s="95"/>
      <c r="G97" s="166">
        <f>G96/G7</f>
        <v>-14.311321739130438</v>
      </c>
      <c r="H97" s="99">
        <f>G97+'18 '!H97</f>
        <v>-23.376968076147254</v>
      </c>
      <c r="I97" s="167"/>
      <c r="J97" s="175">
        <f>H97/DAY(B2)</f>
        <v>-1.2303667408498555</v>
      </c>
      <c r="K97" s="69"/>
      <c r="L97" s="66"/>
      <c r="O97" s="71"/>
    </row>
    <row r="98" spans="1:15" ht="27.75" x14ac:dyDescent="0.5">
      <c r="A98" s="771" t="s">
        <v>244</v>
      </c>
      <c r="B98" s="772"/>
      <c r="C98" s="773"/>
      <c r="D98" s="151" t="s">
        <v>130</v>
      </c>
      <c r="E98" s="95"/>
      <c r="F98" s="95"/>
      <c r="G98" s="99">
        <f>G39+G53</f>
        <v>877442.97</v>
      </c>
      <c r="H98" s="99">
        <f>G98+'18 '!H98</f>
        <v>1826698.97</v>
      </c>
      <c r="I98" s="168"/>
      <c r="J98" s="175">
        <f>H98/DAY(B2)</f>
        <v>96142.051052631577</v>
      </c>
      <c r="K98" s="69"/>
      <c r="L98" s="66"/>
      <c r="O98" s="71"/>
    </row>
    <row r="99" spans="1:15" ht="27.75" x14ac:dyDescent="0.5">
      <c r="A99" s="771" t="s">
        <v>245</v>
      </c>
      <c r="B99" s="772"/>
      <c r="C99" s="773"/>
      <c r="D99" s="151" t="s">
        <v>23</v>
      </c>
      <c r="E99" s="95"/>
      <c r="F99" s="95"/>
      <c r="G99" s="166">
        <f>G98/G7</f>
        <v>38.149694347826085</v>
      </c>
      <c r="H99" s="99">
        <f>G99+'18 '!H99</f>
        <v>79.385711690839827</v>
      </c>
      <c r="I99" s="168"/>
      <c r="J99" s="175">
        <f>H99/DAY(B2)</f>
        <v>4.1781953521494648</v>
      </c>
      <c r="O99" s="71"/>
    </row>
    <row r="100" spans="1:15" ht="27.75" x14ac:dyDescent="0.5">
      <c r="A100" s="771" t="s">
        <v>246</v>
      </c>
      <c r="B100" s="772"/>
      <c r="C100" s="773"/>
      <c r="D100" s="151" t="s">
        <v>180</v>
      </c>
      <c r="E100" s="95"/>
      <c r="F100" s="95"/>
      <c r="G100" s="99">
        <f>G38+G52</f>
        <v>454831.4</v>
      </c>
      <c r="H100" s="99">
        <f>G100+'18 '!H100</f>
        <v>942134.4</v>
      </c>
      <c r="I100" s="118"/>
      <c r="J100" s="175">
        <f>H100/DAY(B2)</f>
        <v>49586.021052631579</v>
      </c>
      <c r="K100" s="70"/>
      <c r="O100" s="71"/>
    </row>
    <row r="101" spans="1:15" ht="27.75" x14ac:dyDescent="0.5">
      <c r="A101" s="771" t="s">
        <v>247</v>
      </c>
      <c r="B101" s="772"/>
      <c r="C101" s="773"/>
      <c r="D101" s="151" t="s">
        <v>23</v>
      </c>
      <c r="E101" s="95"/>
      <c r="F101" s="95"/>
      <c r="G101" s="166">
        <f>G100/G7</f>
        <v>19.775278260869566</v>
      </c>
      <c r="H101" s="99">
        <f>G101+'18 '!H101</f>
        <v>40.946365636236884</v>
      </c>
      <c r="I101" s="168"/>
      <c r="J101" s="175">
        <f>H101/DAY(B2)</f>
        <v>2.1550718755914149</v>
      </c>
      <c r="O101" s="71"/>
    </row>
    <row r="102" spans="1:15" ht="27.75" x14ac:dyDescent="0.5">
      <c r="A102" s="771" t="s">
        <v>248</v>
      </c>
      <c r="B102" s="772"/>
      <c r="C102" s="773"/>
      <c r="D102" s="151" t="s">
        <v>180</v>
      </c>
      <c r="E102" s="95"/>
      <c r="F102" s="95"/>
      <c r="G102" s="99">
        <f>G36+G50</f>
        <v>-92724.049999999959</v>
      </c>
      <c r="H102" s="99">
        <f>G102+'18 '!H102</f>
        <v>-150960.04999999996</v>
      </c>
      <c r="I102" s="168"/>
      <c r="J102" s="175">
        <f>H102/DAY(B2)</f>
        <v>-7945.2657894736822</v>
      </c>
      <c r="O102" s="71"/>
    </row>
    <row r="103" spans="1:15" ht="27.75" x14ac:dyDescent="0.5">
      <c r="A103" s="771" t="s">
        <v>249</v>
      </c>
      <c r="B103" s="772"/>
      <c r="C103" s="773"/>
      <c r="D103" s="151" t="s">
        <v>23</v>
      </c>
      <c r="E103" s="95"/>
      <c r="F103" s="95"/>
      <c r="G103" s="166">
        <f>G102/G7</f>
        <v>-4.0314804347826065</v>
      </c>
      <c r="H103" s="99">
        <f>G103+'18 '!H103</f>
        <v>-6.5833689420489332</v>
      </c>
      <c r="I103" s="118"/>
      <c r="J103" s="175">
        <f>H103/DAY(B2)</f>
        <v>-0.34649310221310176</v>
      </c>
      <c r="O103" s="71"/>
    </row>
    <row r="104" spans="1:15" ht="27.75" x14ac:dyDescent="0.5">
      <c r="A104" s="771" t="s">
        <v>250</v>
      </c>
      <c r="B104" s="772"/>
      <c r="C104" s="773"/>
      <c r="D104" s="151" t="s">
        <v>180</v>
      </c>
      <c r="E104" s="95"/>
      <c r="F104" s="95"/>
      <c r="G104" s="99">
        <f>G37+G51</f>
        <v>64161.130000000005</v>
      </c>
      <c r="H104" s="99">
        <f>G104+'18 '!H104</f>
        <v>157413.13</v>
      </c>
      <c r="I104" s="118"/>
      <c r="J104" s="175">
        <f>H104/DAY(B2)</f>
        <v>8284.9015789473688</v>
      </c>
      <c r="O104" s="71"/>
    </row>
    <row r="105" spans="1:15" ht="28.5" thickBot="1" x14ac:dyDescent="0.55000000000000004">
      <c r="A105" s="764" t="s">
        <v>251</v>
      </c>
      <c r="B105" s="765"/>
      <c r="C105" s="766"/>
      <c r="D105" s="231" t="s">
        <v>23</v>
      </c>
      <c r="E105" s="185"/>
      <c r="F105" s="185"/>
      <c r="G105" s="186">
        <f>G104/G7</f>
        <v>2.7896143478260873</v>
      </c>
      <c r="H105" s="99">
        <f>G105+'18 '!H105</f>
        <v>6.8301240046325189</v>
      </c>
      <c r="I105" s="187"/>
      <c r="J105" s="188">
        <f>H105/DAY(B2)</f>
        <v>0.35948021077013259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0" t="s">
        <v>324</v>
      </c>
      <c r="B108" s="760"/>
      <c r="C108" s="760"/>
      <c r="D108" s="760"/>
      <c r="E108" s="760"/>
      <c r="F108" s="760"/>
      <c r="G108" s="760"/>
      <c r="H108" s="760"/>
      <c r="I108" s="760"/>
      <c r="J108" s="760"/>
    </row>
    <row r="109" spans="1:15" ht="29.25" x14ac:dyDescent="0.5">
      <c r="A109" s="788"/>
      <c r="B109" s="788"/>
    </row>
    <row r="110" spans="1:15" ht="29.25" x14ac:dyDescent="0.5">
      <c r="A110" s="761" t="s">
        <v>165</v>
      </c>
      <c r="B110" s="762"/>
      <c r="C110" s="762"/>
      <c r="D110" s="762"/>
      <c r="E110" s="762"/>
      <c r="F110" s="762"/>
      <c r="G110" s="762"/>
      <c r="H110" s="762"/>
      <c r="I110" s="762"/>
      <c r="J110" s="763"/>
    </row>
    <row r="111" spans="1:15" ht="27.75" x14ac:dyDescent="0.5">
      <c r="A111" s="753"/>
      <c r="B111" s="754"/>
      <c r="C111" s="755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0" t="s">
        <v>252</v>
      </c>
      <c r="B112" s="751"/>
      <c r="C112" s="752"/>
      <c r="D112" s="146" t="s">
        <v>183</v>
      </c>
      <c r="E112" s="95">
        <f>'18 '!E112</f>
        <v>49698.82</v>
      </c>
      <c r="F112" s="237">
        <v>38434</v>
      </c>
      <c r="G112" s="112">
        <f t="shared" ref="G112:G123" si="9">F112-E112</f>
        <v>-11264.82</v>
      </c>
      <c r="H112" s="99">
        <f>G112+'18 '!H112</f>
        <v>-21107.82</v>
      </c>
      <c r="I112" s="165"/>
      <c r="J112" s="348">
        <f>H112/DAY(B2)</f>
        <v>-1110.9378947368421</v>
      </c>
    </row>
    <row r="113" spans="1:18" ht="29.25" customHeight="1" x14ac:dyDescent="0.5">
      <c r="A113" s="750" t="s">
        <v>253</v>
      </c>
      <c r="B113" s="751"/>
      <c r="C113" s="752"/>
      <c r="D113" s="146" t="s">
        <v>183</v>
      </c>
      <c r="E113" s="95">
        <f>'18 '!E113</f>
        <v>158306.45000000001</v>
      </c>
      <c r="F113" s="237">
        <v>94790</v>
      </c>
      <c r="G113" s="112">
        <f t="shared" si="9"/>
        <v>-63516.450000000012</v>
      </c>
      <c r="H113" s="99">
        <f>G113+'18 '!H113</f>
        <v>-119257.45000000001</v>
      </c>
      <c r="I113" s="165"/>
      <c r="J113" s="348">
        <f>H113/DAY(B2)</f>
        <v>-6276.7078947368427</v>
      </c>
    </row>
    <row r="114" spans="1:18" ht="29.25" customHeight="1" x14ac:dyDescent="0.5">
      <c r="A114" s="750" t="s">
        <v>254</v>
      </c>
      <c r="B114" s="751"/>
      <c r="C114" s="752"/>
      <c r="D114" s="146" t="s">
        <v>183</v>
      </c>
      <c r="E114" s="95">
        <f>'18 '!E114</f>
        <v>428</v>
      </c>
      <c r="F114" s="237">
        <v>44933</v>
      </c>
      <c r="G114" s="112">
        <f t="shared" si="9"/>
        <v>44505</v>
      </c>
      <c r="H114" s="99">
        <f>G114+'18 '!H114</f>
        <v>92743.9</v>
      </c>
      <c r="I114" s="165"/>
      <c r="J114" s="348">
        <f>H114/DAY(B2)</f>
        <v>4881.257894736842</v>
      </c>
    </row>
    <row r="115" spans="1:18" ht="29.25" customHeight="1" x14ac:dyDescent="0.5">
      <c r="A115" s="750" t="s">
        <v>255</v>
      </c>
      <c r="B115" s="751"/>
      <c r="C115" s="752"/>
      <c r="D115" s="146" t="s">
        <v>183</v>
      </c>
      <c r="E115" s="95">
        <f>'18 '!E115</f>
        <v>7933.44</v>
      </c>
      <c r="F115" s="237">
        <v>6560</v>
      </c>
      <c r="G115" s="112">
        <f t="shared" si="9"/>
        <v>-1373.4399999999996</v>
      </c>
      <c r="H115" s="99">
        <f>G115+'18 '!H115</f>
        <v>-2561.4399999999996</v>
      </c>
      <c r="I115" s="165"/>
      <c r="J115" s="348">
        <f>H115/DAY(B2)</f>
        <v>-134.81263157894736</v>
      </c>
    </row>
    <row r="116" spans="1:18" ht="29.25" customHeight="1" x14ac:dyDescent="0.5">
      <c r="A116" s="757" t="s">
        <v>96</v>
      </c>
      <c r="B116" s="758"/>
      <c r="C116" s="759"/>
      <c r="D116" s="146" t="s">
        <v>183</v>
      </c>
      <c r="E116" s="95">
        <f>'18 '!E116</f>
        <v>0</v>
      </c>
      <c r="F116" s="237">
        <v>44933</v>
      </c>
      <c r="G116" s="112">
        <f t="shared" si="9"/>
        <v>44933</v>
      </c>
      <c r="H116" s="99">
        <f>G116+'18 '!H116</f>
        <v>89866</v>
      </c>
      <c r="I116" s="165"/>
      <c r="J116" s="348">
        <f>H116/DAY(B2)</f>
        <v>4729.7894736842109</v>
      </c>
      <c r="Q116" s="750" t="s">
        <v>311</v>
      </c>
      <c r="R116" s="752"/>
    </row>
    <row r="117" spans="1:18" ht="29.25" customHeight="1" x14ac:dyDescent="0.5">
      <c r="A117" s="757" t="s">
        <v>184</v>
      </c>
      <c r="B117" s="758"/>
      <c r="C117" s="759"/>
      <c r="D117" s="146" t="s">
        <v>183</v>
      </c>
      <c r="E117" s="95">
        <f>'18 '!E117</f>
        <v>824.02</v>
      </c>
      <c r="F117" s="237">
        <v>44933</v>
      </c>
      <c r="G117" s="112">
        <f t="shared" si="9"/>
        <v>44108.98</v>
      </c>
      <c r="H117" s="99">
        <f>G117+'18 '!H117</f>
        <v>88625.98000000001</v>
      </c>
      <c r="I117" s="165"/>
      <c r="J117" s="348">
        <f>H117/DAY(B2)</f>
        <v>4664.5252631578951</v>
      </c>
      <c r="Q117" s="750" t="s">
        <v>312</v>
      </c>
      <c r="R117" s="752"/>
    </row>
    <row r="118" spans="1:18" ht="27.75" x14ac:dyDescent="0.5">
      <c r="A118" s="749" t="s">
        <v>97</v>
      </c>
      <c r="B118" s="749"/>
      <c r="C118" s="749"/>
      <c r="D118" s="151" t="s">
        <v>183</v>
      </c>
      <c r="E118" s="95">
        <f>'18 '!E118</f>
        <v>213367.39</v>
      </c>
      <c r="F118" s="237">
        <v>44933</v>
      </c>
      <c r="G118" s="112">
        <f t="shared" si="9"/>
        <v>-168434.39</v>
      </c>
      <c r="H118" s="99">
        <f>G118+'18 '!H118</f>
        <v>-330033.39</v>
      </c>
      <c r="I118" s="165"/>
      <c r="J118" s="348">
        <f>H118/DAY(B2)</f>
        <v>-17370.178421052631</v>
      </c>
      <c r="Q118" s="750" t="s">
        <v>311</v>
      </c>
      <c r="R118" s="752"/>
    </row>
    <row r="119" spans="1:18" ht="27.75" x14ac:dyDescent="0.5">
      <c r="A119" s="749" t="s">
        <v>98</v>
      </c>
      <c r="B119" s="749"/>
      <c r="C119" s="749"/>
      <c r="D119" s="151" t="s">
        <v>183</v>
      </c>
      <c r="E119" s="95">
        <f>'18 '!E119</f>
        <v>212951.05</v>
      </c>
      <c r="F119" s="237">
        <v>44933</v>
      </c>
      <c r="G119" s="112">
        <f t="shared" si="9"/>
        <v>-168018.05</v>
      </c>
      <c r="H119" s="99">
        <f>G119+'18 '!H119</f>
        <v>-329315.05</v>
      </c>
      <c r="I119" s="165"/>
      <c r="J119" s="348">
        <f>H119/DAY(B2)</f>
        <v>-17332.371052631577</v>
      </c>
    </row>
    <row r="120" spans="1:18" ht="27.75" x14ac:dyDescent="0.5">
      <c r="A120" s="749" t="s">
        <v>99</v>
      </c>
      <c r="B120" s="749"/>
      <c r="C120" s="749"/>
      <c r="D120" s="151" t="s">
        <v>183</v>
      </c>
      <c r="E120" s="95">
        <f>'18 '!E120</f>
        <v>12423.49</v>
      </c>
      <c r="F120" s="237">
        <v>44933</v>
      </c>
      <c r="G120" s="112">
        <f t="shared" si="9"/>
        <v>32509.510000000002</v>
      </c>
      <c r="H120" s="99">
        <f>G120+'18 '!H120</f>
        <v>71927.510000000009</v>
      </c>
      <c r="I120" s="165"/>
      <c r="J120" s="348">
        <f>H120/DAY(B2)</f>
        <v>3785.6584210526321</v>
      </c>
    </row>
    <row r="121" spans="1:18" ht="27.75" x14ac:dyDescent="0.5">
      <c r="A121" s="749" t="s">
        <v>100</v>
      </c>
      <c r="B121" s="749"/>
      <c r="C121" s="749"/>
      <c r="D121" s="151" t="s">
        <v>183</v>
      </c>
      <c r="E121" s="95">
        <f>'18 '!E121</f>
        <v>321527.90000000002</v>
      </c>
      <c r="F121" s="237">
        <v>44933</v>
      </c>
      <c r="G121" s="112">
        <f t="shared" si="9"/>
        <v>-276594.90000000002</v>
      </c>
      <c r="H121" s="99">
        <f>G121+'18 '!H121</f>
        <v>-541106.63</v>
      </c>
      <c r="I121" s="165"/>
      <c r="J121" s="348">
        <f>H121/DAY(B2)</f>
        <v>-28479.296315789474</v>
      </c>
    </row>
    <row r="122" spans="1:18" ht="27.75" x14ac:dyDescent="0.5">
      <c r="A122" s="749" t="s">
        <v>101</v>
      </c>
      <c r="B122" s="749"/>
      <c r="C122" s="749"/>
      <c r="D122" s="151" t="s">
        <v>183</v>
      </c>
      <c r="E122" s="95">
        <f>'18 '!E122</f>
        <v>96989.64</v>
      </c>
      <c r="F122" s="237">
        <v>44933</v>
      </c>
      <c r="G122" s="112">
        <f t="shared" si="9"/>
        <v>-52056.639999999999</v>
      </c>
      <c r="H122" s="99">
        <f>G122+'18 '!H122</f>
        <v>-98745.64</v>
      </c>
      <c r="I122" s="165"/>
      <c r="J122" s="348">
        <f>H122/DAY(B2)</f>
        <v>-5197.1389473684212</v>
      </c>
    </row>
    <row r="123" spans="1:18" ht="27.75" x14ac:dyDescent="0.5">
      <c r="A123" s="749" t="s">
        <v>102</v>
      </c>
      <c r="B123" s="749"/>
      <c r="C123" s="749"/>
      <c r="D123" s="151" t="s">
        <v>183</v>
      </c>
      <c r="E123" s="95">
        <f>'18 '!E123</f>
        <v>121240.34</v>
      </c>
      <c r="F123" s="237">
        <v>44933</v>
      </c>
      <c r="G123" s="112">
        <f t="shared" si="9"/>
        <v>-76307.34</v>
      </c>
      <c r="H123" s="99">
        <f>G123+'18 '!H123</f>
        <v>-146917.34</v>
      </c>
      <c r="I123" s="165"/>
      <c r="J123" s="348">
        <f>H123/DAY(B2)</f>
        <v>-7732.491578947368</v>
      </c>
    </row>
    <row r="124" spans="1:18" ht="29.25" customHeight="1" x14ac:dyDescent="0.5">
      <c r="A124" s="753"/>
      <c r="B124" s="754"/>
      <c r="C124" s="755"/>
      <c r="D124" s="165"/>
      <c r="E124" s="95">
        <f>'18 '!E124</f>
        <v>0</v>
      </c>
      <c r="F124" s="165"/>
      <c r="G124" s="347"/>
      <c r="H124" s="156"/>
      <c r="I124" s="165"/>
      <c r="J124" s="347"/>
    </row>
    <row r="125" spans="1:18" ht="27.75" x14ac:dyDescent="0.5">
      <c r="A125" s="737"/>
      <c r="B125" s="737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56" t="s">
        <v>317</v>
      </c>
      <c r="B126" s="756"/>
      <c r="C126" s="756"/>
      <c r="D126" s="756"/>
      <c r="E126" s="756"/>
      <c r="F126" s="756"/>
      <c r="G126" s="756"/>
      <c r="H126" s="756"/>
      <c r="I126" s="756"/>
      <c r="J126" s="756"/>
    </row>
    <row r="127" spans="1:18" ht="27.75" x14ac:dyDescent="0.5">
      <c r="A127" s="737"/>
      <c r="B127" s="737"/>
      <c r="C127" s="246"/>
      <c r="D127" s="317"/>
      <c r="E127" s="318"/>
      <c r="F127" s="318"/>
      <c r="G127" s="319"/>
      <c r="H127" s="99">
        <f>G127+'18 '!H127</f>
        <v>0</v>
      </c>
      <c r="I127" s="165"/>
      <c r="J127" s="348">
        <f>H127/DAY(B2)</f>
        <v>0</v>
      </c>
    </row>
    <row r="128" spans="1:18" ht="29.25" customHeight="1" x14ac:dyDescent="0.5">
      <c r="A128" s="750" t="s">
        <v>318</v>
      </c>
      <c r="B128" s="751"/>
      <c r="C128" s="752"/>
      <c r="D128" s="151" t="s">
        <v>183</v>
      </c>
      <c r="E128" s="95">
        <f>'18 '!E128</f>
        <v>13226.4</v>
      </c>
      <c r="F128" s="165"/>
      <c r="G128" s="112">
        <f t="shared" ref="G128:G134" si="10">F128-E128</f>
        <v>-13226.4</v>
      </c>
      <c r="H128" s="99">
        <f>G128+'18 '!H128</f>
        <v>-20837.400000000001</v>
      </c>
      <c r="I128" s="165"/>
      <c r="J128" s="348">
        <f>H128/DAY(B2)</f>
        <v>-1096.7052631578947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'18 '!E129</f>
        <v>3653.84</v>
      </c>
      <c r="F129" s="165"/>
      <c r="G129" s="112">
        <f t="shared" si="10"/>
        <v>-3653.84</v>
      </c>
      <c r="H129" s="99">
        <f>G129+'18 '!H129</f>
        <v>-3767.84</v>
      </c>
      <c r="I129" s="165"/>
      <c r="J129" s="348">
        <f>H129/DAY(B2)</f>
        <v>-198.30736842105264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'18 '!E130</f>
        <v>4259.2299999999996</v>
      </c>
      <c r="F130" s="165"/>
      <c r="G130" s="112">
        <f t="shared" si="10"/>
        <v>-4259.2299999999996</v>
      </c>
      <c r="H130" s="99">
        <f>G130+'18 '!H130</f>
        <v>-4439.2299999999996</v>
      </c>
      <c r="I130" s="165"/>
      <c r="J130" s="348">
        <f>H130/DAY(B2)</f>
        <v>-233.64368421052629</v>
      </c>
      <c r="N130" s="240"/>
      <c r="O130" s="241"/>
    </row>
    <row r="131" spans="1:15" ht="27.75" x14ac:dyDescent="0.5">
      <c r="A131" s="750" t="s">
        <v>321</v>
      </c>
      <c r="B131" s="751"/>
      <c r="C131" s="752"/>
      <c r="D131" s="151" t="s">
        <v>183</v>
      </c>
      <c r="E131" s="95">
        <f>'18 '!E131</f>
        <v>2201.35</v>
      </c>
      <c r="F131" s="165"/>
      <c r="G131" s="112">
        <f t="shared" si="10"/>
        <v>-2201.35</v>
      </c>
      <c r="H131" s="99">
        <f>G131+'18 '!H131</f>
        <v>-2311.35</v>
      </c>
      <c r="I131" s="165"/>
      <c r="J131" s="348">
        <f>H131/DAY(B2)</f>
        <v>-121.64999999999999</v>
      </c>
      <c r="N131" s="240"/>
      <c r="O131" s="241"/>
    </row>
    <row r="132" spans="1:15" ht="27.75" x14ac:dyDescent="0.5">
      <c r="A132" s="750" t="s">
        <v>322</v>
      </c>
      <c r="B132" s="751"/>
      <c r="C132" s="752"/>
      <c r="D132" s="151" t="s">
        <v>183</v>
      </c>
      <c r="E132" s="95">
        <f>'18 '!E132</f>
        <v>6925.7</v>
      </c>
      <c r="F132" s="165"/>
      <c r="G132" s="112">
        <f t="shared" si="10"/>
        <v>-6925.7</v>
      </c>
      <c r="H132" s="99">
        <f>G132+'18 '!H132</f>
        <v>-7246.7</v>
      </c>
      <c r="I132" s="165"/>
      <c r="J132" s="348">
        <f>H132/DAY(B2)</f>
        <v>-381.40526315789475</v>
      </c>
    </row>
    <row r="133" spans="1:15" ht="27.75" x14ac:dyDescent="0.5">
      <c r="A133" s="750" t="s">
        <v>323</v>
      </c>
      <c r="B133" s="751"/>
      <c r="C133" s="752"/>
      <c r="D133" s="151" t="s">
        <v>183</v>
      </c>
      <c r="E133" s="95">
        <f>'18 '!E133</f>
        <v>29556.5</v>
      </c>
      <c r="F133" s="165"/>
      <c r="G133" s="112">
        <f t="shared" si="10"/>
        <v>-29556.5</v>
      </c>
      <c r="H133" s="99">
        <f>G133+'18 '!H133</f>
        <v>-45947.5</v>
      </c>
      <c r="I133" s="165"/>
      <c r="J133" s="348">
        <f>H133/DAY(B2)</f>
        <v>-2418.2894736842104</v>
      </c>
    </row>
    <row r="134" spans="1:15" ht="27.75" x14ac:dyDescent="0.5">
      <c r="A134" s="750" t="s">
        <v>340</v>
      </c>
      <c r="B134" s="751"/>
      <c r="C134" s="752"/>
      <c r="D134" s="151" t="s">
        <v>183</v>
      </c>
      <c r="E134" s="95">
        <f>'18 '!E134</f>
        <v>623291</v>
      </c>
      <c r="F134" s="165"/>
      <c r="G134" s="112">
        <f t="shared" si="10"/>
        <v>-623291</v>
      </c>
      <c r="H134" s="99">
        <f>G134+'18 '!H134</f>
        <v>-1237706</v>
      </c>
      <c r="I134" s="165"/>
      <c r="J134" s="348">
        <f>H134/DAY(B2)</f>
        <v>-65142.42105263158</v>
      </c>
    </row>
    <row r="135" spans="1:15" ht="27.75" x14ac:dyDescent="0.5">
      <c r="A135" s="753"/>
      <c r="B135" s="754"/>
      <c r="C135" s="755"/>
      <c r="D135" s="151"/>
      <c r="E135" s="95"/>
      <c r="F135" s="165"/>
      <c r="G135" s="112"/>
      <c r="H135" s="99">
        <f>G135+'10'!H135</f>
        <v>5534.2300000000005</v>
      </c>
      <c r="I135" s="165"/>
      <c r="J135" s="348"/>
    </row>
    <row r="136" spans="1:15" ht="31.5" x14ac:dyDescent="0.55000000000000004">
      <c r="A136" s="736" t="s">
        <v>325</v>
      </c>
      <c r="B136" s="736"/>
      <c r="C136" s="736"/>
      <c r="D136" s="736"/>
      <c r="E136" s="736"/>
      <c r="F136" s="736"/>
      <c r="G136" s="736"/>
      <c r="H136" s="736"/>
      <c r="I136" s="736"/>
      <c r="J136" s="736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49" t="s">
        <v>185</v>
      </c>
      <c r="B138" s="749"/>
      <c r="C138" s="749"/>
      <c r="D138" s="151" t="s">
        <v>183</v>
      </c>
      <c r="E138" s="95">
        <f>'18 '!E138</f>
        <v>858737</v>
      </c>
      <c r="F138" s="147">
        <v>857022</v>
      </c>
      <c r="G138" s="112">
        <f t="shared" ref="G138:G152" si="11">F138-E138</f>
        <v>-1715</v>
      </c>
      <c r="H138" s="99">
        <f>G138+'18 '!H138</f>
        <v>-2046</v>
      </c>
      <c r="I138" s="118"/>
      <c r="J138" s="348">
        <f>H138/DAY(B2)</f>
        <v>-107.68421052631579</v>
      </c>
    </row>
    <row r="139" spans="1:15" ht="27.75" x14ac:dyDescent="0.5">
      <c r="A139" s="749" t="s">
        <v>186</v>
      </c>
      <c r="B139" s="749"/>
      <c r="C139" s="749"/>
      <c r="D139" s="151" t="s">
        <v>183</v>
      </c>
      <c r="E139" s="95">
        <f>'18 '!E139</f>
        <v>886073</v>
      </c>
      <c r="F139" s="148">
        <v>886051</v>
      </c>
      <c r="G139" s="112">
        <f t="shared" si="11"/>
        <v>-22</v>
      </c>
      <c r="H139" s="99">
        <f>G139+'18 '!H139</f>
        <v>-33</v>
      </c>
      <c r="I139" s="118"/>
      <c r="J139" s="348">
        <f>H139/DAY(B2)</f>
        <v>-1.736842105263158</v>
      </c>
    </row>
    <row r="140" spans="1:15" ht="27.75" x14ac:dyDescent="0.5">
      <c r="A140" s="749" t="s">
        <v>187</v>
      </c>
      <c r="B140" s="749"/>
      <c r="C140" s="749"/>
      <c r="D140" s="151" t="s">
        <v>183</v>
      </c>
      <c r="E140" s="95">
        <f>'18 '!E140</f>
        <v>88801.1</v>
      </c>
      <c r="F140" s="149">
        <v>88776</v>
      </c>
      <c r="G140" s="112">
        <f t="shared" si="11"/>
        <v>-25.100000000005821</v>
      </c>
      <c r="H140" s="99">
        <f>G140+'18 '!H140</f>
        <v>-47.100000000005821</v>
      </c>
      <c r="I140" s="118"/>
      <c r="J140" s="348">
        <f>H140/DAY(B2)</f>
        <v>-2.478947368421359</v>
      </c>
    </row>
    <row r="141" spans="1:15" ht="27.75" x14ac:dyDescent="0.5">
      <c r="A141" s="728" t="s">
        <v>188</v>
      </c>
      <c r="B141" s="728"/>
      <c r="C141" s="728"/>
      <c r="D141" s="151" t="s">
        <v>183</v>
      </c>
      <c r="E141" s="95">
        <f>'18 '!E141</f>
        <v>34653.5</v>
      </c>
      <c r="F141" s="149">
        <v>26308</v>
      </c>
      <c r="G141" s="112">
        <f t="shared" si="11"/>
        <v>-8345.5</v>
      </c>
      <c r="H141" s="99">
        <f>G141+'18 '!H141</f>
        <v>-13573.5</v>
      </c>
      <c r="I141" s="118"/>
      <c r="J141" s="348">
        <f>H141/DAY(B2)</f>
        <v>-714.39473684210532</v>
      </c>
    </row>
    <row r="142" spans="1:15" ht="27.75" x14ac:dyDescent="0.5">
      <c r="A142" s="728" t="s">
        <v>189</v>
      </c>
      <c r="B142" s="728"/>
      <c r="C142" s="728"/>
      <c r="D142" s="151" t="s">
        <v>183</v>
      </c>
      <c r="E142" s="95">
        <f>'18 '!E142</f>
        <v>16538.3</v>
      </c>
      <c r="F142" s="148">
        <v>13277</v>
      </c>
      <c r="G142" s="112">
        <f t="shared" si="11"/>
        <v>-3261.2999999999993</v>
      </c>
      <c r="H142" s="99">
        <f>G142+'18 '!H142</f>
        <v>-5306.2999999999993</v>
      </c>
      <c r="I142" s="140"/>
      <c r="J142" s="348">
        <f>H142/DAY(B2)</f>
        <v>-279.27894736842103</v>
      </c>
    </row>
    <row r="143" spans="1:15" ht="27.75" x14ac:dyDescent="0.5">
      <c r="A143" s="749" t="s">
        <v>91</v>
      </c>
      <c r="B143" s="749"/>
      <c r="C143" s="749"/>
      <c r="D143" s="151" t="s">
        <v>183</v>
      </c>
      <c r="E143" s="95">
        <f>'18 '!E143</f>
        <v>1002.35</v>
      </c>
      <c r="F143" s="149"/>
      <c r="G143" s="112">
        <f t="shared" si="11"/>
        <v>-1002.35</v>
      </c>
      <c r="H143" s="99">
        <f>G143+'18 '!H143</f>
        <v>-1531.35</v>
      </c>
      <c r="I143" s="140"/>
      <c r="J143" s="348">
        <f>H143/DAY(B2)</f>
        <v>-80.597368421052622</v>
      </c>
    </row>
    <row r="144" spans="1:15" ht="27.75" x14ac:dyDescent="0.5">
      <c r="A144" s="728" t="s">
        <v>90</v>
      </c>
      <c r="B144" s="728"/>
      <c r="C144" s="728"/>
      <c r="D144" s="151" t="s">
        <v>183</v>
      </c>
      <c r="E144" s="95">
        <f>'18 '!E144</f>
        <v>852910</v>
      </c>
      <c r="F144" s="149"/>
      <c r="G144" s="112">
        <f t="shared" si="11"/>
        <v>-852910</v>
      </c>
      <c r="H144" s="99">
        <f>G144+'18 '!H144</f>
        <v>-1702947</v>
      </c>
      <c r="I144" s="140"/>
      <c r="J144" s="348">
        <f>H144/DAY(B2)</f>
        <v>-89628.789473684214</v>
      </c>
    </row>
    <row r="145" spans="1:10" ht="27.75" x14ac:dyDescent="0.5">
      <c r="A145" s="749" t="s">
        <v>190</v>
      </c>
      <c r="B145" s="749"/>
      <c r="C145" s="749"/>
      <c r="D145" s="152" t="s">
        <v>183</v>
      </c>
      <c r="E145" s="95">
        <f>'18 '!E145</f>
        <v>1664.4</v>
      </c>
      <c r="F145" s="149"/>
      <c r="G145" s="112">
        <f t="shared" si="11"/>
        <v>-1664.4</v>
      </c>
      <c r="H145" s="99">
        <f>G145+'18 '!H145</f>
        <v>-2618.4</v>
      </c>
      <c r="I145" s="140"/>
      <c r="J145" s="348">
        <f>H145/DAY(B2)</f>
        <v>-137.81052631578947</v>
      </c>
    </row>
    <row r="146" spans="1:10" ht="27.75" x14ac:dyDescent="0.5">
      <c r="A146" s="784" t="s">
        <v>191</v>
      </c>
      <c r="B146" s="769"/>
      <c r="C146" s="770"/>
      <c r="D146" s="152" t="s">
        <v>183</v>
      </c>
      <c r="E146" s="95">
        <f>'18 '!E146</f>
        <v>693059</v>
      </c>
      <c r="F146" s="148"/>
      <c r="G146" s="112">
        <f t="shared" si="11"/>
        <v>-693059</v>
      </c>
      <c r="H146" s="99">
        <f>G146+'18 '!H146</f>
        <v>-1380251</v>
      </c>
      <c r="I146" s="140"/>
      <c r="J146" s="348">
        <f>H146/DAY(B2)</f>
        <v>-72644.789473684214</v>
      </c>
    </row>
    <row r="147" spans="1:10" ht="27.75" x14ac:dyDescent="0.5">
      <c r="A147" s="728" t="s">
        <v>192</v>
      </c>
      <c r="B147" s="728"/>
      <c r="C147" s="728"/>
      <c r="D147" s="152" t="s">
        <v>183</v>
      </c>
      <c r="E147" s="95">
        <f>'18 '!E147</f>
        <v>583077.72</v>
      </c>
      <c r="F147" s="148"/>
      <c r="G147" s="112">
        <f t="shared" si="11"/>
        <v>-583077.72</v>
      </c>
      <c r="H147" s="99">
        <f>G147+'18 '!H147</f>
        <v>-1159149.72</v>
      </c>
      <c r="I147" s="140"/>
      <c r="J147" s="348">
        <f>H147/DAY(B2)</f>
        <v>-61007.88</v>
      </c>
    </row>
    <row r="148" spans="1:10" ht="27.75" x14ac:dyDescent="0.5">
      <c r="A148" s="729" t="s">
        <v>193</v>
      </c>
      <c r="B148" s="730"/>
      <c r="C148" s="731"/>
      <c r="D148" s="123" t="s">
        <v>130</v>
      </c>
      <c r="E148" s="95">
        <f>'18 '!E148</f>
        <v>661750.54</v>
      </c>
      <c r="F148" s="150"/>
      <c r="G148" s="112">
        <f t="shared" si="11"/>
        <v>-661750.54</v>
      </c>
      <c r="H148" s="99">
        <f>G148+'18 '!H148</f>
        <v>-1320350.54</v>
      </c>
      <c r="I148" s="124"/>
      <c r="J148" s="348">
        <f>H148/DAY(B2)</f>
        <v>-69492.133684210523</v>
      </c>
    </row>
    <row r="149" spans="1:10" ht="27.75" x14ac:dyDescent="0.5">
      <c r="A149" s="729" t="s">
        <v>336</v>
      </c>
      <c r="B149" s="730"/>
      <c r="C149" s="731"/>
      <c r="D149" s="227" t="s">
        <v>130</v>
      </c>
      <c r="E149" s="95">
        <f>'18 '!E149</f>
        <v>80083</v>
      </c>
      <c r="F149" s="146"/>
      <c r="G149" s="112">
        <f t="shared" si="11"/>
        <v>-80083</v>
      </c>
      <c r="H149" s="99">
        <f>G149+'18 '!H149</f>
        <v>-155505</v>
      </c>
      <c r="I149" s="119"/>
      <c r="J149" s="348">
        <f>H149/DAY(B2)</f>
        <v>-8184.4736842105267</v>
      </c>
    </row>
    <row r="150" spans="1:10" ht="27.75" x14ac:dyDescent="0.5">
      <c r="A150" s="729" t="s">
        <v>337</v>
      </c>
      <c r="B150" s="730"/>
      <c r="C150" s="731"/>
      <c r="D150" s="117" t="s">
        <v>130</v>
      </c>
      <c r="E150" s="95">
        <f>'18 '!E150</f>
        <v>7167232</v>
      </c>
      <c r="F150" s="233"/>
      <c r="G150" s="112">
        <f t="shared" si="11"/>
        <v>-7167232</v>
      </c>
      <c r="H150" s="99">
        <f>G150+'18 '!H150</f>
        <v>-14334464</v>
      </c>
      <c r="I150" s="119"/>
      <c r="J150" s="348">
        <f>H150/DAY(B2)</f>
        <v>-754445.47368421056</v>
      </c>
    </row>
    <row r="151" spans="1:10" ht="27.75" x14ac:dyDescent="0.5">
      <c r="A151" s="729" t="s">
        <v>338</v>
      </c>
      <c r="B151" s="730"/>
      <c r="C151" s="731"/>
      <c r="D151" s="117" t="s">
        <v>130</v>
      </c>
      <c r="E151" s="95">
        <f>'18 '!E151</f>
        <v>59040</v>
      </c>
      <c r="F151" s="233"/>
      <c r="G151" s="112">
        <f t="shared" si="11"/>
        <v>-59040</v>
      </c>
      <c r="H151" s="99">
        <f>G151+'18 '!H151</f>
        <v>-112419</v>
      </c>
      <c r="I151" s="119"/>
      <c r="J151" s="348">
        <f>H151/DAY(B2)</f>
        <v>-5916.7894736842109</v>
      </c>
    </row>
    <row r="152" spans="1:10" ht="27.75" x14ac:dyDescent="0.5">
      <c r="A152" s="729" t="s">
        <v>339</v>
      </c>
      <c r="B152" s="730"/>
      <c r="C152" s="731"/>
      <c r="D152" s="117" t="s">
        <v>130</v>
      </c>
      <c r="E152" s="95">
        <f>'18 '!E152</f>
        <v>0</v>
      </c>
      <c r="F152" s="233"/>
      <c r="G152" s="112">
        <f t="shared" si="11"/>
        <v>0</v>
      </c>
      <c r="H152" s="99">
        <f>G152+'18 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36" t="s">
        <v>344</v>
      </c>
      <c r="B154" s="736"/>
      <c r="C154" s="736"/>
      <c r="D154" s="736"/>
      <c r="E154" s="736"/>
      <c r="F154" s="736"/>
      <c r="G154" s="736"/>
      <c r="H154" s="736"/>
      <c r="I154" s="736"/>
      <c r="J154" s="736"/>
    </row>
    <row r="155" spans="1:10" ht="31.5" x14ac:dyDescent="0.55000000000000004">
      <c r="A155" s="728" t="s">
        <v>345</v>
      </c>
      <c r="B155" s="728"/>
      <c r="C155" s="728"/>
      <c r="D155" s="117" t="s">
        <v>130</v>
      </c>
      <c r="E155" s="95">
        <f>'18 '!E155</f>
        <v>77150.2</v>
      </c>
      <c r="F155" s="385"/>
      <c r="G155" s="112">
        <f t="shared" ref="G155:G156" si="12">F155-E155</f>
        <v>-77150.2</v>
      </c>
      <c r="H155" s="99">
        <f>G155+'18 '!H155</f>
        <v>-154178.09999999998</v>
      </c>
      <c r="I155" s="385"/>
      <c r="J155" s="348">
        <f>H155/DAY(B2)</f>
        <v>-8114.6368421052621</v>
      </c>
    </row>
    <row r="156" spans="1:10" ht="27.75" x14ac:dyDescent="0.5">
      <c r="A156" s="728" t="s">
        <v>347</v>
      </c>
      <c r="B156" s="728"/>
      <c r="C156" s="728"/>
      <c r="D156" s="117" t="s">
        <v>130</v>
      </c>
      <c r="E156" s="95">
        <f>'18 '!E156</f>
        <v>0</v>
      </c>
      <c r="F156" s="165"/>
      <c r="G156" s="112">
        <f t="shared" si="12"/>
        <v>0</v>
      </c>
      <c r="H156" s="99">
        <f>G156+'18 '!H156</f>
        <v>0</v>
      </c>
      <c r="I156" s="165"/>
      <c r="J156" s="348">
        <f>H156/DAY(B2)</f>
        <v>0</v>
      </c>
    </row>
    <row r="157" spans="1:10" ht="31.5" x14ac:dyDescent="0.55000000000000004">
      <c r="A157" s="736" t="s">
        <v>326</v>
      </c>
      <c r="B157" s="736"/>
      <c r="C157" s="736"/>
      <c r="D157" s="736"/>
      <c r="E157" s="736"/>
      <c r="F157" s="736"/>
      <c r="G157" s="736"/>
      <c r="H157" s="736"/>
      <c r="I157" s="736"/>
      <c r="J157" s="736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'18 '!E158</f>
        <v>467133.4</v>
      </c>
      <c r="F158" s="235">
        <v>463315</v>
      </c>
      <c r="G158" s="238">
        <f t="shared" ref="G158:G162" si="13">F158-E158</f>
        <v>-3818.4000000000233</v>
      </c>
      <c r="H158" s="99">
        <f>G158+'18 '!H158</f>
        <v>-5764.4000000000233</v>
      </c>
      <c r="I158" s="236"/>
      <c r="J158" s="239">
        <f>H158/DAY(B2)</f>
        <v>-303.38947368421174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'18 '!E159</f>
        <v>85339.4</v>
      </c>
      <c r="F159" s="235">
        <v>83899</v>
      </c>
      <c r="G159" s="238">
        <f t="shared" si="13"/>
        <v>-1440.3999999999942</v>
      </c>
      <c r="H159" s="99">
        <f>G159+'18 '!H159</f>
        <v>-2351.3999999999942</v>
      </c>
      <c r="I159" s="236"/>
      <c r="J159" s="239">
        <f>H159/DAY(B2)</f>
        <v>-123.75789473684181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'18 '!E160</f>
        <v>72101.2</v>
      </c>
      <c r="F160" s="235">
        <v>69089</v>
      </c>
      <c r="G160" s="238">
        <f t="shared" si="13"/>
        <v>-3012.1999999999971</v>
      </c>
      <c r="H160" s="99">
        <f>G160+'18 '!H160</f>
        <v>-4894.1999999999971</v>
      </c>
      <c r="I160" s="236"/>
      <c r="J160" s="239">
        <f>H160/DAY(B2)</f>
        <v>-257.58947368421036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'18 '!E161</f>
        <v>3980.3</v>
      </c>
      <c r="F161" s="235">
        <v>3611</v>
      </c>
      <c r="G161" s="238">
        <f t="shared" si="13"/>
        <v>-369.30000000000018</v>
      </c>
      <c r="H161" s="99">
        <f>G161+'18 '!H161</f>
        <v>-555.30000000000018</v>
      </c>
      <c r="I161" s="236"/>
      <c r="J161" s="239">
        <f>H161/DAY(B2)</f>
        <v>-29.226315789473695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'18 '!E162</f>
        <v>29086.74</v>
      </c>
      <c r="F162" s="235">
        <v>28746</v>
      </c>
      <c r="G162" s="238">
        <f t="shared" si="13"/>
        <v>-340.7400000000016</v>
      </c>
      <c r="H162" s="99">
        <f>G162+'18 '!H162</f>
        <v>-566.7400000000016</v>
      </c>
      <c r="I162" s="236"/>
      <c r="J162" s="239">
        <f>H162/DAY(B2)</f>
        <v>-29.828421052631665</v>
      </c>
    </row>
    <row r="163" spans="1:10" ht="29.25" x14ac:dyDescent="0.5">
      <c r="A163" s="737"/>
      <c r="B163" s="737"/>
      <c r="C163" s="247"/>
      <c r="D163" s="244" t="s">
        <v>180</v>
      </c>
      <c r="E163" s="95">
        <f>'18 '!E163</f>
        <v>0</v>
      </c>
      <c r="F163" s="165"/>
      <c r="G163" s="165"/>
      <c r="H163" s="99">
        <f>G163+'18 '!H163</f>
        <v>0</v>
      </c>
      <c r="I163" s="165"/>
      <c r="J163" s="239">
        <f>H163/DAY(B2)</f>
        <v>0</v>
      </c>
    </row>
    <row r="164" spans="1:10" ht="29.25" x14ac:dyDescent="0.5">
      <c r="A164" s="737"/>
      <c r="B164" s="737"/>
      <c r="C164" s="247"/>
      <c r="D164" s="244" t="s">
        <v>180</v>
      </c>
      <c r="E164" s="95">
        <f>'18 '!E164</f>
        <v>0</v>
      </c>
      <c r="F164" s="165"/>
      <c r="G164" s="165"/>
      <c r="H164" s="99">
        <f>G164+'18 '!H164</f>
        <v>0</v>
      </c>
      <c r="I164" s="165"/>
      <c r="J164" s="239">
        <f>H164/DAY(B2)</f>
        <v>0</v>
      </c>
    </row>
    <row r="165" spans="1:10" ht="29.25" x14ac:dyDescent="0.5">
      <c r="A165" s="737"/>
      <c r="B165" s="737"/>
      <c r="C165" s="247"/>
      <c r="D165" s="244" t="s">
        <v>180</v>
      </c>
      <c r="E165" s="95">
        <f>'18 '!E165</f>
        <v>0</v>
      </c>
      <c r="F165" s="165"/>
      <c r="G165" s="165"/>
      <c r="H165" s="99">
        <f>G165+'18 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38" t="s">
        <v>330</v>
      </c>
      <c r="B168" s="739"/>
      <c r="C168" s="739"/>
      <c r="D168" s="739"/>
      <c r="E168" s="739"/>
      <c r="F168" s="739"/>
      <c r="G168" s="739"/>
      <c r="H168" s="739"/>
      <c r="I168" s="739"/>
      <c r="J168" s="740"/>
    </row>
    <row r="169" spans="1:10" ht="27.75" x14ac:dyDescent="0.5">
      <c r="A169" s="747"/>
      <c r="B169" s="748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43" t="s">
        <v>209</v>
      </c>
      <c r="B170" s="744"/>
      <c r="C170" s="353"/>
      <c r="D170" s="228" t="s">
        <v>142</v>
      </c>
      <c r="E170" s="95">
        <f>'18 '!E170</f>
        <v>7898</v>
      </c>
      <c r="F170" s="155">
        <v>7961</v>
      </c>
      <c r="G170" s="155">
        <f>F170-E170</f>
        <v>63</v>
      </c>
      <c r="H170" s="99">
        <f>G170+'18 '!H170</f>
        <v>129</v>
      </c>
      <c r="I170" s="155"/>
      <c r="J170" s="178">
        <f>H170/DAY(B2)</f>
        <v>6.7894736842105265</v>
      </c>
    </row>
    <row r="171" spans="1:10" ht="27.75" x14ac:dyDescent="0.5">
      <c r="A171" s="743" t="s">
        <v>75</v>
      </c>
      <c r="B171" s="744"/>
      <c r="C171" s="353"/>
      <c r="D171" s="228" t="s">
        <v>142</v>
      </c>
      <c r="E171" s="95">
        <f>'18 '!E171</f>
        <v>37222</v>
      </c>
      <c r="F171" s="157">
        <v>36765</v>
      </c>
      <c r="G171" s="155">
        <f t="shared" ref="G171:G172" si="14">F171-E171</f>
        <v>-457</v>
      </c>
      <c r="H171" s="99">
        <f>G171+'18 '!H171</f>
        <v>-332</v>
      </c>
      <c r="I171" s="155"/>
      <c r="J171" s="178">
        <f>H171/DAY(B2)</f>
        <v>-17.473684210526315</v>
      </c>
    </row>
    <row r="172" spans="1:10" ht="27.75" x14ac:dyDescent="0.5">
      <c r="A172" s="743" t="s">
        <v>76</v>
      </c>
      <c r="B172" s="783"/>
      <c r="C172" s="744"/>
      <c r="D172" s="228" t="s">
        <v>142</v>
      </c>
      <c r="E172" s="95">
        <f>'18 '!E172</f>
        <v>20646</v>
      </c>
      <c r="F172" s="155">
        <v>20214</v>
      </c>
      <c r="G172" s="155">
        <f t="shared" si="14"/>
        <v>-432</v>
      </c>
      <c r="H172" s="99">
        <f>G172+'18 '!H172</f>
        <v>-687</v>
      </c>
      <c r="I172" s="155"/>
      <c r="J172" s="178">
        <f>H172/DAY(B2)</f>
        <v>-36.157894736842103</v>
      </c>
    </row>
    <row r="173" spans="1:10" ht="27.75" x14ac:dyDescent="0.5">
      <c r="A173" s="732" t="s">
        <v>196</v>
      </c>
      <c r="B173" s="733"/>
      <c r="C173" s="611"/>
      <c r="D173" s="228" t="s">
        <v>142</v>
      </c>
      <c r="E173" s="95"/>
      <c r="F173" s="155"/>
      <c r="G173" s="155">
        <f>SUM(G170:G172)</f>
        <v>-826</v>
      </c>
      <c r="H173" s="99">
        <f>G173+'18 '!H173</f>
        <v>-890</v>
      </c>
      <c r="I173" s="155"/>
      <c r="J173" s="178">
        <f>H173/DAY(B2)</f>
        <v>-46.842105263157897</v>
      </c>
    </row>
    <row r="174" spans="1:10" ht="27.75" x14ac:dyDescent="0.5">
      <c r="A174" s="743" t="s">
        <v>77</v>
      </c>
      <c r="B174" s="744"/>
      <c r="C174" s="353"/>
      <c r="D174" s="228" t="s">
        <v>142</v>
      </c>
      <c r="E174" s="95"/>
      <c r="F174" s="155"/>
      <c r="G174" s="155"/>
      <c r="H174" s="99">
        <f>G174+'18 '!H174</f>
        <v>0</v>
      </c>
      <c r="I174" s="155"/>
      <c r="J174" s="178">
        <f>H174/DAY(B2)</f>
        <v>0</v>
      </c>
    </row>
    <row r="175" spans="1:10" ht="27.75" x14ac:dyDescent="0.5">
      <c r="A175" s="743" t="s">
        <v>210</v>
      </c>
      <c r="B175" s="744"/>
      <c r="C175" s="353"/>
      <c r="D175" s="228" t="s">
        <v>142</v>
      </c>
      <c r="E175" s="95">
        <f>'18 '!E175</f>
        <v>73417</v>
      </c>
      <c r="F175" s="155">
        <v>69524</v>
      </c>
      <c r="G175" s="155">
        <f>F175-E175</f>
        <v>-3893</v>
      </c>
      <c r="H175" s="99">
        <f>G175+'18 '!H175</f>
        <v>-6303</v>
      </c>
      <c r="I175" s="155"/>
      <c r="J175" s="178">
        <f>H175/DAY(B2)</f>
        <v>-331.73684210526318</v>
      </c>
    </row>
    <row r="176" spans="1:10" ht="27.75" x14ac:dyDescent="0.5">
      <c r="A176" s="743" t="s">
        <v>211</v>
      </c>
      <c r="B176" s="744"/>
      <c r="C176" s="353"/>
      <c r="D176" s="228" t="s">
        <v>142</v>
      </c>
      <c r="E176" s="95">
        <f>'18 '!E176</f>
        <v>33886</v>
      </c>
      <c r="F176" s="155">
        <v>33886</v>
      </c>
      <c r="G176" s="155">
        <f t="shared" ref="G176:G177" si="15">F176-E176</f>
        <v>0</v>
      </c>
      <c r="H176" s="99">
        <f>G176+'18 '!H176</f>
        <v>0</v>
      </c>
      <c r="I176" s="155"/>
      <c r="J176" s="178">
        <f>H176/DAY(B2)</f>
        <v>0</v>
      </c>
    </row>
    <row r="177" spans="1:10" ht="27.75" x14ac:dyDescent="0.5">
      <c r="A177" s="743" t="s">
        <v>212</v>
      </c>
      <c r="B177" s="744"/>
      <c r="C177" s="353"/>
      <c r="D177" s="228" t="s">
        <v>142</v>
      </c>
      <c r="E177" s="95">
        <f>'18 '!E177</f>
        <v>7935</v>
      </c>
      <c r="F177" s="155">
        <v>4788</v>
      </c>
      <c r="G177" s="155">
        <f t="shared" si="15"/>
        <v>-3147</v>
      </c>
      <c r="H177" s="99">
        <f>G177+'18 '!H177</f>
        <v>-3190</v>
      </c>
      <c r="I177" s="155"/>
      <c r="J177" s="178">
        <f>H177/DAY(B2)</f>
        <v>-167.89473684210526</v>
      </c>
    </row>
    <row r="178" spans="1:10" ht="27.75" x14ac:dyDescent="0.5">
      <c r="A178" s="745" t="s">
        <v>108</v>
      </c>
      <c r="B178" s="746"/>
      <c r="C178" s="611"/>
      <c r="D178" s="228" t="s">
        <v>142</v>
      </c>
      <c r="E178" s="95"/>
      <c r="F178" s="155"/>
      <c r="G178" s="155">
        <f>SUM(G175:G177)</f>
        <v>-7040</v>
      </c>
      <c r="H178" s="99">
        <f>G178+'18 '!H178</f>
        <v>-9493</v>
      </c>
      <c r="I178" s="155"/>
      <c r="J178" s="178">
        <f>H178/DAY(B2)</f>
        <v>-499.63157894736844</v>
      </c>
    </row>
    <row r="179" spans="1:10" ht="27.75" x14ac:dyDescent="0.5">
      <c r="A179" s="743" t="s">
        <v>213</v>
      </c>
      <c r="B179" s="744"/>
      <c r="C179" s="353"/>
      <c r="D179" s="228" t="s">
        <v>142</v>
      </c>
      <c r="E179" s="95"/>
      <c r="F179" s="155"/>
      <c r="G179" s="155"/>
      <c r="H179" s="99">
        <f>G179+'18 '!H179</f>
        <v>0</v>
      </c>
      <c r="I179" s="155"/>
      <c r="J179" s="178">
        <f>H179/DAY(B2)</f>
        <v>0</v>
      </c>
    </row>
    <row r="180" spans="1:10" ht="27.75" x14ac:dyDescent="0.5">
      <c r="A180" s="743" t="s">
        <v>214</v>
      </c>
      <c r="B180" s="744"/>
      <c r="C180" s="354"/>
      <c r="D180" s="228" t="s">
        <v>142</v>
      </c>
      <c r="E180" s="95">
        <f>'18 '!E180</f>
        <v>13792</v>
      </c>
      <c r="F180" s="157">
        <v>13038</v>
      </c>
      <c r="G180" s="157">
        <f>F180-E180</f>
        <v>-754</v>
      </c>
      <c r="H180" s="99">
        <f>G180+'18 '!H180</f>
        <v>-1253</v>
      </c>
      <c r="I180" s="155"/>
      <c r="J180" s="178">
        <f>H180/DAY(B2)</f>
        <v>-65.94736842105263</v>
      </c>
    </row>
    <row r="181" spans="1:10" ht="27.75" x14ac:dyDescent="0.5">
      <c r="A181" s="743" t="s">
        <v>215</v>
      </c>
      <c r="B181" s="744"/>
      <c r="C181" s="354"/>
      <c r="D181" s="228" t="s">
        <v>142</v>
      </c>
      <c r="E181" s="95">
        <f>'18 '!E181</f>
        <v>9598</v>
      </c>
      <c r="F181" s="157">
        <v>9126</v>
      </c>
      <c r="G181" s="157">
        <f t="shared" ref="G181:G182" si="16">F181-E181</f>
        <v>-472</v>
      </c>
      <c r="H181" s="99">
        <f>G181+'18 '!H181</f>
        <v>-794</v>
      </c>
      <c r="I181" s="155"/>
      <c r="J181" s="178">
        <f>H181/DAY(B2)</f>
        <v>-41.789473684210527</v>
      </c>
    </row>
    <row r="182" spans="1:10" ht="30.75" customHeight="1" x14ac:dyDescent="0.5">
      <c r="A182" s="743" t="s">
        <v>216</v>
      </c>
      <c r="B182" s="744"/>
      <c r="C182" s="354"/>
      <c r="D182" s="228" t="s">
        <v>142</v>
      </c>
      <c r="E182" s="95">
        <f>'18 '!E182</f>
        <v>0</v>
      </c>
      <c r="F182" s="157"/>
      <c r="G182" s="157">
        <f t="shared" si="16"/>
        <v>0</v>
      </c>
      <c r="H182" s="99">
        <f>G182+'18 '!H182</f>
        <v>0</v>
      </c>
      <c r="I182" s="155"/>
      <c r="J182" s="178">
        <f>H182/DAY(B2)</f>
        <v>0</v>
      </c>
    </row>
    <row r="183" spans="1:10" ht="27.75" x14ac:dyDescent="0.5">
      <c r="A183" s="732" t="s">
        <v>196</v>
      </c>
      <c r="B183" s="733"/>
      <c r="C183" s="610"/>
      <c r="D183" s="228" t="s">
        <v>142</v>
      </c>
      <c r="E183" s="95"/>
      <c r="F183" s="157"/>
      <c r="G183" s="157">
        <f>SUM(G180:G182)</f>
        <v>-1226</v>
      </c>
      <c r="H183" s="99">
        <f>G183+'18 '!H183</f>
        <v>-2047</v>
      </c>
      <c r="I183" s="157"/>
      <c r="J183" s="178">
        <f>H183/DAY(B2)</f>
        <v>-107.73684210526316</v>
      </c>
    </row>
    <row r="184" spans="1:10" ht="27.75" x14ac:dyDescent="0.5">
      <c r="A184" s="734" t="s">
        <v>217</v>
      </c>
      <c r="B184" s="735"/>
      <c r="C184" s="353"/>
      <c r="D184" s="230" t="s">
        <v>142</v>
      </c>
      <c r="E184" s="95"/>
      <c r="F184" s="159"/>
      <c r="G184" s="588">
        <f>G62+G19</f>
        <v>-4694</v>
      </c>
      <c r="H184" s="99">
        <f>G184+'18 '!H184</f>
        <v>-6542</v>
      </c>
      <c r="I184" s="158"/>
      <c r="J184" s="179">
        <f>H184/DAY(B2)</f>
        <v>-344.31578947368422</v>
      </c>
    </row>
    <row r="185" spans="1:10" ht="27.75" x14ac:dyDescent="0.5">
      <c r="A185" s="734" t="s">
        <v>218</v>
      </c>
      <c r="B185" s="735"/>
      <c r="C185" s="353"/>
      <c r="D185" s="230" t="s">
        <v>142</v>
      </c>
      <c r="E185" s="95"/>
      <c r="F185" s="159"/>
      <c r="G185" s="588">
        <f>G65+G66+G67+G69+G70</f>
        <v>-7526</v>
      </c>
      <c r="H185" s="99">
        <f>G185+'18 '!H185</f>
        <v>-14514</v>
      </c>
      <c r="I185" s="158"/>
      <c r="J185" s="179">
        <f>H185/DAY(B2)</f>
        <v>-763.89473684210532</v>
      </c>
    </row>
    <row r="186" spans="1:10" ht="27.75" x14ac:dyDescent="0.5">
      <c r="A186" s="734" t="s">
        <v>219</v>
      </c>
      <c r="B186" s="735"/>
      <c r="C186" s="353"/>
      <c r="D186" s="230" t="s">
        <v>142</v>
      </c>
      <c r="E186" s="95"/>
      <c r="F186" s="157"/>
      <c r="G186" s="585">
        <f>G178</f>
        <v>-7040</v>
      </c>
      <c r="H186" s="99">
        <f>G186+'30'!H235</f>
        <v>-7040</v>
      </c>
      <c r="I186" s="158"/>
      <c r="J186" s="179">
        <f>H186/DAY(B2)</f>
        <v>-370.5263157894737</v>
      </c>
    </row>
    <row r="187" spans="1:10" ht="27.75" x14ac:dyDescent="0.5">
      <c r="A187" s="741"/>
      <c r="B187" s="742"/>
      <c r="C187" s="609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75:C75"/>
    <mergeCell ref="A76:C76"/>
    <mergeCell ref="A77:C77"/>
    <mergeCell ref="A71:C71"/>
    <mergeCell ref="A72:B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93:C93"/>
    <mergeCell ref="A94:C94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78:C78"/>
    <mergeCell ref="A97:C97"/>
    <mergeCell ref="A98:C98"/>
    <mergeCell ref="A99:C99"/>
    <mergeCell ref="A100:C100"/>
    <mergeCell ref="A180:B180"/>
    <mergeCell ref="A181:B181"/>
    <mergeCell ref="A177:B177"/>
    <mergeCell ref="A178:B178"/>
    <mergeCell ref="A179:B179"/>
    <mergeCell ref="A172:C172"/>
    <mergeCell ref="A174:B174"/>
    <mergeCell ref="A175:B175"/>
    <mergeCell ref="A176:B176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12:C112"/>
    <mergeCell ref="A113:C113"/>
    <mergeCell ref="A102:C102"/>
    <mergeCell ref="A128:C128"/>
    <mergeCell ref="A142:C14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</mergeCells>
  <pageMargins left="0.22" right="0.17" top="0.14000000000000001" bottom="0.2" header="0.2" footer="0.2"/>
  <pageSetup paperSize="5" scale="1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698"/>
  <sheetViews>
    <sheetView view="pageBreakPreview" topLeftCell="A160" zoomScale="60" zoomScalePageLayoutView="78" workbookViewId="0">
      <selection activeCell="E185" sqref="E18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89" t="s">
        <v>115</v>
      </c>
      <c r="B1" s="790"/>
      <c r="C1" s="790"/>
      <c r="D1" s="790"/>
      <c r="E1" s="790"/>
      <c r="F1" s="790"/>
      <c r="G1" s="790"/>
      <c r="H1" s="790"/>
      <c r="I1" s="790"/>
      <c r="J1" s="791"/>
    </row>
    <row r="2" spans="1:15" s="57" customFormat="1" ht="27" x14ac:dyDescent="0.5">
      <c r="A2" s="191" t="s">
        <v>303</v>
      </c>
      <c r="B2" s="266">
        <v>44489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98" t="s">
        <v>119</v>
      </c>
      <c r="F3" s="79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92" t="s">
        <v>128</v>
      </c>
      <c r="B6" s="793"/>
      <c r="C6" s="79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'19'!F7</f>
        <v>386179.47</v>
      </c>
      <c r="F7" s="95">
        <f>E7+23000</f>
        <v>409179.47</v>
      </c>
      <c r="G7" s="112">
        <f>F7-E7</f>
        <v>23000</v>
      </c>
      <c r="H7" s="99">
        <f>G7+'19'!H7</f>
        <v>464937.06999999989</v>
      </c>
      <c r="I7" s="113">
        <f>'1'!I7</f>
        <v>12000</v>
      </c>
      <c r="J7" s="175">
        <f>H7/DAY(B2)</f>
        <v>23246.853499999994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'19'!F8</f>
        <v>406579.75</v>
      </c>
      <c r="F8" s="114">
        <f>E8+23050</f>
        <v>429629.75</v>
      </c>
      <c r="G8" s="115">
        <f>F8-E8</f>
        <v>23050</v>
      </c>
      <c r="H8" s="99">
        <f>G8+'19'!H8</f>
        <v>470962.74999999994</v>
      </c>
      <c r="I8" s="116"/>
      <c r="J8" s="175">
        <f>H8/DAY(B2)</f>
        <v>23548.137499999997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'19'!F9</f>
        <v>1069976.8999999999</v>
      </c>
      <c r="F9" s="117">
        <f>E9+23000</f>
        <v>1092976.8999999999</v>
      </c>
      <c r="G9" s="112">
        <f>F9-E9</f>
        <v>23000</v>
      </c>
      <c r="H9" s="99">
        <f>G9+'19'!H9</f>
        <v>385186.89999999979</v>
      </c>
      <c r="I9" s="124">
        <f>I7-J7</f>
        <v>-11246.853499999994</v>
      </c>
      <c r="J9" s="175">
        <f>H9/DAY(B2)</f>
        <v>19259.34499999999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'19'!F10</f>
        <v>2607</v>
      </c>
      <c r="F10" s="117">
        <v>2607</v>
      </c>
      <c r="G10" s="112">
        <f t="shared" ref="G10:G12" si="0">F10-E10</f>
        <v>0</v>
      </c>
      <c r="H10" s="99">
        <f>G10+'19'!H10</f>
        <v>-57966</v>
      </c>
      <c r="I10" s="286"/>
      <c r="J10" s="175">
        <f>H10/DAY(B2)</f>
        <v>-2898.3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'19'!F11</f>
        <v>37000</v>
      </c>
      <c r="F11" s="95">
        <v>37000</v>
      </c>
      <c r="G11" s="112">
        <f t="shared" si="0"/>
        <v>0</v>
      </c>
      <c r="H11" s="99">
        <f>G11+'19'!H11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'19'!F12</f>
        <v>40010</v>
      </c>
      <c r="F12" s="117">
        <v>40010</v>
      </c>
      <c r="G12" s="112">
        <f t="shared" si="0"/>
        <v>0</v>
      </c>
      <c r="H12" s="99">
        <f>G12+'19'!H12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23000</v>
      </c>
      <c r="H13" s="99">
        <f>G13+'19'!H13</f>
        <v>305675.14999999979</v>
      </c>
      <c r="I13" s="120">
        <f>G7-G13</f>
        <v>0</v>
      </c>
      <c r="J13" s="175">
        <f>H13/DAY(B2)</f>
        <v>15283.757499999989</v>
      </c>
      <c r="K13" s="79"/>
      <c r="L13" s="66"/>
      <c r="N13" s="87"/>
      <c r="O13" s="71"/>
    </row>
    <row r="14" spans="1:15" ht="29.25" x14ac:dyDescent="0.5">
      <c r="A14" s="795" t="s">
        <v>137</v>
      </c>
      <c r="B14" s="796"/>
      <c r="C14" s="79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'19'!F15</f>
        <v>1801992.8829999999</v>
      </c>
      <c r="F15" s="123">
        <f>E15+875</f>
        <v>1802867.8829999999</v>
      </c>
      <c r="G15" s="112">
        <f>(F15-E15)</f>
        <v>875</v>
      </c>
      <c r="H15" s="99">
        <f>G15+'19'!H15</f>
        <v>19534.882999999914</v>
      </c>
      <c r="I15" s="113">
        <f>'1'!I15</f>
        <v>800</v>
      </c>
      <c r="J15" s="175">
        <f>H15/DAY(B2)</f>
        <v>976.74414999999567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-176.74414999999567</v>
      </c>
      <c r="J16" s="176"/>
      <c r="K16" s="79"/>
      <c r="L16" s="66"/>
      <c r="N16" s="87"/>
      <c r="O16" s="71"/>
    </row>
    <row r="17" spans="1:15" ht="29.25" x14ac:dyDescent="0.5">
      <c r="A17" s="795" t="s">
        <v>140</v>
      </c>
      <c r="B17" s="796"/>
      <c r="C17" s="79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1" t="s">
        <v>141</v>
      </c>
      <c r="B18" s="772"/>
      <c r="C18" s="773"/>
      <c r="D18" s="151" t="s">
        <v>142</v>
      </c>
      <c r="E18" s="95">
        <f>'19'!F18</f>
        <v>14</v>
      </c>
      <c r="F18" s="122">
        <v>14</v>
      </c>
      <c r="G18" s="119">
        <f>F18*10</f>
        <v>140</v>
      </c>
      <c r="H18" s="99">
        <f>G18+'19'!H18</f>
        <v>3740</v>
      </c>
      <c r="I18" s="113">
        <f>'1'!I18</f>
        <v>65</v>
      </c>
      <c r="J18" s="175">
        <f>H18/DAY(B2)</f>
        <v>187</v>
      </c>
      <c r="K18" s="79"/>
      <c r="L18" s="66"/>
      <c r="N18" s="87"/>
      <c r="O18" s="71"/>
    </row>
    <row r="19" spans="1:15" ht="27.75" x14ac:dyDescent="0.5">
      <c r="A19" s="771" t="s">
        <v>69</v>
      </c>
      <c r="B19" s="772"/>
      <c r="C19" s="773"/>
      <c r="D19" s="151" t="s">
        <v>142</v>
      </c>
      <c r="E19" s="95">
        <f>'19'!F19</f>
        <v>148165</v>
      </c>
      <c r="F19" s="122">
        <f>E19+60</f>
        <v>148225</v>
      </c>
      <c r="G19" s="112">
        <f t="shared" ref="G19" si="1">F19-E19</f>
        <v>60</v>
      </c>
      <c r="H19" s="99">
        <f>G19+'19'!H19</f>
        <v>1173</v>
      </c>
      <c r="I19" s="355"/>
      <c r="J19" s="175">
        <f>H19/DAY(B2)</f>
        <v>58.65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200</v>
      </c>
      <c r="H20" s="99">
        <f>G20+'19'!H20</f>
        <v>4913</v>
      </c>
      <c r="I20" s="356">
        <f>I18-J20</f>
        <v>-180.65</v>
      </c>
      <c r="J20" s="175">
        <f>H20/DAY(B2)</f>
        <v>245.65</v>
      </c>
      <c r="K20" s="79"/>
      <c r="L20" s="66"/>
      <c r="N20" s="87"/>
      <c r="O20" s="71"/>
    </row>
    <row r="21" spans="1:15" ht="29.25" x14ac:dyDescent="0.5">
      <c r="A21" s="795" t="s">
        <v>144</v>
      </c>
      <c r="B21" s="796"/>
      <c r="C21" s="79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'19'!F23</f>
        <v>2000</v>
      </c>
      <c r="F23" s="122">
        <v>2000</v>
      </c>
      <c r="G23" s="119">
        <v>0</v>
      </c>
      <c r="H23" s="99">
        <f>G23+'19'!H23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'19'!F24</f>
        <v>4970</v>
      </c>
      <c r="F24" s="128">
        <v>4970</v>
      </c>
      <c r="G24" s="119">
        <v>0</v>
      </c>
      <c r="H24" s="99">
        <f>G24+'19'!H24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0" t="s">
        <v>149</v>
      </c>
      <c r="B25" s="801"/>
      <c r="C25" s="80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23050</v>
      </c>
      <c r="F27" s="136">
        <v>9</v>
      </c>
      <c r="G27" s="137">
        <f>E27*F27</f>
        <v>207450</v>
      </c>
      <c r="H27" s="99">
        <f>G27+'19'!H27</f>
        <v>4238664.75</v>
      </c>
      <c r="I27" s="138"/>
      <c r="J27" s="175">
        <f>H27/DAY(B2)</f>
        <v>211933.23749999999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875</v>
      </c>
      <c r="F28" s="136">
        <v>52</v>
      </c>
      <c r="G28" s="137">
        <f>E28*F28</f>
        <v>45500</v>
      </c>
      <c r="H28" s="99">
        <f>G28+'19'!H28</f>
        <v>1015813.9159999955</v>
      </c>
      <c r="I28" s="140"/>
      <c r="J28" s="175">
        <f>H28/DAY(B2)</f>
        <v>50790.695799999776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G30+'19'!H30</f>
        <v>171258</v>
      </c>
      <c r="I30" s="140"/>
      <c r="J30" s="175">
        <f>H30/DAY(B2)</f>
        <v>8562.9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G31+'19'!H31</f>
        <v>299200</v>
      </c>
      <c r="I31" s="140"/>
      <c r="J31" s="175">
        <f>H31/DAY(B2)</f>
        <v>14960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272910</v>
      </c>
      <c r="H32" s="99">
        <f>G32+'19'!H32</f>
        <v>5724936.6659999955</v>
      </c>
      <c r="I32" s="144"/>
      <c r="J32" s="175">
        <f>H32/DAY(B2)</f>
        <v>286246.83329999977</v>
      </c>
      <c r="K32" s="63"/>
      <c r="L32" s="89"/>
      <c r="N32" s="87"/>
      <c r="O32" s="71"/>
    </row>
    <row r="33" spans="1:15" ht="25.5" customHeight="1" x14ac:dyDescent="0.35">
      <c r="A33" s="803" t="s">
        <v>331</v>
      </c>
      <c r="B33" s="804"/>
      <c r="C33" s="804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'19'!F35</f>
        <v>1058597</v>
      </c>
      <c r="F35" s="145">
        <v>1058597</v>
      </c>
      <c r="G35" s="112">
        <f t="shared" ref="G35:G46" si="3">F35-E35</f>
        <v>0</v>
      </c>
      <c r="H35" s="99">
        <f>G35+'19'!H35</f>
        <v>2111685.6</v>
      </c>
      <c r="I35" s="95"/>
      <c r="J35" s="175">
        <f>H35/DAY(B2)</f>
        <v>105584.28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'19'!F36</f>
        <v>1833</v>
      </c>
      <c r="F36" s="145">
        <v>1833</v>
      </c>
      <c r="G36" s="112">
        <f t="shared" si="3"/>
        <v>0</v>
      </c>
      <c r="H36" s="99">
        <f>G36+'19'!H36</f>
        <v>-57914.1</v>
      </c>
      <c r="I36" s="95"/>
      <c r="J36" s="175">
        <f>H36/DAY(B2)</f>
        <v>-2895.7049999999999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'19'!F37</f>
        <v>2775</v>
      </c>
      <c r="F37" s="145">
        <v>2775</v>
      </c>
      <c r="G37" s="112">
        <f t="shared" si="3"/>
        <v>0</v>
      </c>
      <c r="H37" s="99">
        <f>G37+'19'!H37</f>
        <v>-131866.87</v>
      </c>
      <c r="I37" s="95"/>
      <c r="J37" s="175">
        <f>H37/DAY(B2)</f>
        <v>-6593.3434999999999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'19'!F38</f>
        <v>4823</v>
      </c>
      <c r="F38" s="108">
        <v>4823</v>
      </c>
      <c r="G38" s="112">
        <f t="shared" si="3"/>
        <v>0</v>
      </c>
      <c r="H38" s="99">
        <f>G38+'19'!H38</f>
        <v>-137077.6</v>
      </c>
      <c r="I38" s="95"/>
      <c r="J38" s="175">
        <f>H38/DAY(B2)</f>
        <v>-6853.88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'19'!F39</f>
        <v>637915</v>
      </c>
      <c r="F39" s="145">
        <v>637915</v>
      </c>
      <c r="G39" s="112">
        <f t="shared" si="3"/>
        <v>0</v>
      </c>
      <c r="H39" s="99">
        <f>G39+'19'!H39</f>
        <v>958234.97</v>
      </c>
      <c r="I39" s="95"/>
      <c r="J39" s="175">
        <f>H39/DAY(B2)</f>
        <v>47911.748500000002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'19'!F40</f>
        <v>34599</v>
      </c>
      <c r="F40" s="145">
        <v>34599</v>
      </c>
      <c r="G40" s="112">
        <f t="shared" si="3"/>
        <v>0</v>
      </c>
      <c r="H40" s="99">
        <f>G40+'19'!H40</f>
        <v>69191.77</v>
      </c>
      <c r="I40" s="95"/>
      <c r="J40" s="175">
        <f>H40/DAY(B2)</f>
        <v>3459.5885000000003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'19'!F41</f>
        <v>433281.79</v>
      </c>
      <c r="F41" s="145">
        <v>433281.79</v>
      </c>
      <c r="G41" s="112">
        <f t="shared" si="3"/>
        <v>0</v>
      </c>
      <c r="H41" s="99">
        <f>G41+'19'!H41</f>
        <v>-177234.68000000011</v>
      </c>
      <c r="I41" s="95"/>
      <c r="J41" s="175">
        <f>H41/DAY(B2)</f>
        <v>-8861.7340000000058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'19'!F42</f>
        <v>175112</v>
      </c>
      <c r="F42" s="145">
        <v>175112</v>
      </c>
      <c r="G42" s="112">
        <f t="shared" si="3"/>
        <v>0</v>
      </c>
      <c r="H42" s="99">
        <f>G42+'19'!H42</f>
        <v>-162623.49</v>
      </c>
      <c r="I42" s="95"/>
      <c r="J42" s="175">
        <f>H42/DAY(B2)</f>
        <v>-8131.1744999999992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'19'!F43</f>
        <v>1289745</v>
      </c>
      <c r="F43" s="145">
        <v>1289745</v>
      </c>
      <c r="G43" s="112">
        <f t="shared" si="3"/>
        <v>0</v>
      </c>
      <c r="H43" s="99">
        <f>G43+'19'!H43</f>
        <v>-191251.19999999995</v>
      </c>
      <c r="I43" s="95"/>
      <c r="J43" s="175">
        <f>H43/DAY(B2)</f>
        <v>-9562.5599999999977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'19'!F45</f>
        <v>614</v>
      </c>
      <c r="F45" s="145">
        <v>614</v>
      </c>
      <c r="G45" s="112">
        <f t="shared" si="3"/>
        <v>0</v>
      </c>
      <c r="H45" s="99">
        <f>G45+'19'!H45</f>
        <v>1228</v>
      </c>
      <c r="I45" s="95"/>
      <c r="J45" s="175">
        <f>H45/DAY(B2)</f>
        <v>61.4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'19'!F46</f>
        <v>187</v>
      </c>
      <c r="F46" s="145">
        <v>187</v>
      </c>
      <c r="G46" s="112">
        <f t="shared" si="3"/>
        <v>0</v>
      </c>
      <c r="H46" s="99">
        <f>G46+'19'!H46</f>
        <v>374</v>
      </c>
      <c r="I46" s="95"/>
      <c r="J46" s="175">
        <f>H46/DAY(B2)</f>
        <v>18.7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0</v>
      </c>
      <c r="H47" s="99">
        <f>G47+'19'!H47</f>
        <v>2282746.4</v>
      </c>
      <c r="I47" s="95"/>
      <c r="J47" s="175">
        <f>H47/DAY(B2)</f>
        <v>114137.31999999999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'19'!F49</f>
        <v>419822</v>
      </c>
      <c r="F49" s="145">
        <v>419822</v>
      </c>
      <c r="G49" s="112">
        <f t="shared" ref="G49:G58" si="4">F49-E49</f>
        <v>0</v>
      </c>
      <c r="H49" s="99">
        <f>G49+'19'!H49</f>
        <v>596649.56000000006</v>
      </c>
      <c r="I49" s="95"/>
      <c r="J49" s="175">
        <f>H49/DAY(B2)</f>
        <v>29832.478000000003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'19'!F50</f>
        <v>607298</v>
      </c>
      <c r="F50" s="145">
        <v>607298</v>
      </c>
      <c r="G50" s="112">
        <f t="shared" si="4"/>
        <v>0</v>
      </c>
      <c r="H50" s="99">
        <f>G50+'19'!H50</f>
        <v>-93045.949999999953</v>
      </c>
      <c r="I50" s="95"/>
      <c r="J50" s="175">
        <f>H50/DAY(B2)</f>
        <v>-4652.2974999999979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'19'!F51</f>
        <v>144640</v>
      </c>
      <c r="F51" s="145">
        <v>144640</v>
      </c>
      <c r="G51" s="112">
        <f t="shared" si="4"/>
        <v>0</v>
      </c>
      <c r="H51" s="99">
        <f>G51+'19'!H51</f>
        <v>289280</v>
      </c>
      <c r="I51" s="95"/>
      <c r="J51" s="175">
        <f>H51/DAY(B2)</f>
        <v>14464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'19'!F52</f>
        <v>539606</v>
      </c>
      <c r="F52" s="145">
        <v>539606</v>
      </c>
      <c r="G52" s="112">
        <f t="shared" si="4"/>
        <v>0</v>
      </c>
      <c r="H52" s="99">
        <f>G52+'19'!H52</f>
        <v>1079212</v>
      </c>
      <c r="I52" s="95"/>
      <c r="J52" s="175">
        <f>H52/DAY(B2)</f>
        <v>53960.6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'19'!F53</f>
        <v>434232</v>
      </c>
      <c r="F53" s="145">
        <v>434232</v>
      </c>
      <c r="G53" s="112">
        <f t="shared" si="4"/>
        <v>0</v>
      </c>
      <c r="H53" s="99">
        <f>G53+'19'!H53</f>
        <v>868464</v>
      </c>
      <c r="I53" s="95"/>
      <c r="J53" s="175">
        <f>H53/DAY(B2)</f>
        <v>43423.199999999997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'19'!F54</f>
        <v>14967</v>
      </c>
      <c r="F54" s="145">
        <v>14967</v>
      </c>
      <c r="G54" s="112">
        <f t="shared" si="4"/>
        <v>0</v>
      </c>
      <c r="H54" s="99">
        <f>G54+'19'!H54</f>
        <v>24399.77</v>
      </c>
      <c r="I54" s="95"/>
      <c r="J54" s="175">
        <f>H54/DAY(B2)</f>
        <v>1219.9884999999999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'19'!F55</f>
        <v>306268.99</v>
      </c>
      <c r="F55" s="145">
        <v>306268.99</v>
      </c>
      <c r="G55" s="112">
        <f t="shared" si="4"/>
        <v>0</v>
      </c>
      <c r="H55" s="99">
        <f>G55+'19'!H55</f>
        <v>-2059.4899999999907</v>
      </c>
      <c r="I55" s="95"/>
      <c r="J55" s="175">
        <f>H55/DAY(B2)</f>
        <v>-102.97449999999954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'19'!F56</f>
        <v>661019</v>
      </c>
      <c r="F56" s="145">
        <v>661019</v>
      </c>
      <c r="G56" s="112">
        <f t="shared" si="4"/>
        <v>0</v>
      </c>
      <c r="H56" s="99">
        <f>G56+'19'!H56</f>
        <v>-194032.55000000005</v>
      </c>
      <c r="I56" s="95"/>
      <c r="J56" s="175">
        <f>H56/DAY(B2)</f>
        <v>-9701.6275000000023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'19'!F57</f>
        <v>7711</v>
      </c>
      <c r="F57" s="145">
        <v>7711</v>
      </c>
      <c r="G57" s="112">
        <f t="shared" si="4"/>
        <v>0</v>
      </c>
      <c r="H57" s="99">
        <f>G57+'19'!H57</f>
        <v>15422</v>
      </c>
      <c r="I57" s="95"/>
      <c r="J57" s="175">
        <f>H57/DAY(B2)</f>
        <v>771.1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'19'!F58</f>
        <v>66014</v>
      </c>
      <c r="F58" s="145">
        <v>66014</v>
      </c>
      <c r="G58" s="112">
        <f t="shared" si="4"/>
        <v>0</v>
      </c>
      <c r="H58" s="99">
        <f>G58+'19'!H58</f>
        <v>-16060.800000000003</v>
      </c>
      <c r="I58" s="95"/>
      <c r="J58" s="175">
        <f>H58/DAY(B2)</f>
        <v>-803.04000000000019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0</v>
      </c>
      <c r="H59" s="99">
        <f>G59+'19'!H59</f>
        <v>2568228.54</v>
      </c>
      <c r="I59" s="95">
        <f>G7-G60</f>
        <v>23000</v>
      </c>
      <c r="J59" s="175">
        <f>H59/DAY(B2)</f>
        <v>128411.427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0</v>
      </c>
      <c r="H60" s="99">
        <f>G60+'19'!H60</f>
        <v>4850974.9399999995</v>
      </c>
      <c r="I60" s="95">
        <f>G13-G60</f>
        <v>23000</v>
      </c>
      <c r="J60" s="175">
        <f>H60/DAY(B2)</f>
        <v>242548.74699999997</v>
      </c>
      <c r="K60" s="79"/>
      <c r="L60" s="66"/>
      <c r="N60" s="87"/>
      <c r="O60" s="71"/>
    </row>
    <row r="61" spans="1:15" s="68" customFormat="1" ht="27.75" x14ac:dyDescent="0.5">
      <c r="A61" s="805" t="s">
        <v>332</v>
      </c>
      <c r="B61" s="806"/>
      <c r="C61" s="807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1" t="s">
        <v>198</v>
      </c>
      <c r="B62" s="772"/>
      <c r="C62" s="773"/>
      <c r="D62" s="151" t="s">
        <v>142</v>
      </c>
      <c r="E62" s="95">
        <f>'19'!F62</f>
        <v>253452</v>
      </c>
      <c r="F62" s="122">
        <v>253452</v>
      </c>
      <c r="G62" s="112">
        <f t="shared" ref="G62:G63" si="5">F62-E62</f>
        <v>0</v>
      </c>
      <c r="H62" s="99">
        <f>G62+'19'!H62</f>
        <v>-7655</v>
      </c>
      <c r="I62" s="118"/>
      <c r="J62" s="175">
        <f>H62/DAY(B2)</f>
        <v>-382.75</v>
      </c>
      <c r="K62" s="80"/>
      <c r="L62" s="66"/>
      <c r="N62" s="87"/>
      <c r="O62" s="71"/>
    </row>
    <row r="63" spans="1:15" ht="27.75" x14ac:dyDescent="0.5">
      <c r="A63" s="771" t="s">
        <v>199</v>
      </c>
      <c r="B63" s="772"/>
      <c r="C63" s="773"/>
      <c r="D63" s="151" t="s">
        <v>142</v>
      </c>
      <c r="E63" s="95">
        <f>'19'!F63</f>
        <v>197659</v>
      </c>
      <c r="F63" s="122">
        <v>197659</v>
      </c>
      <c r="G63" s="112">
        <f t="shared" si="5"/>
        <v>0</v>
      </c>
      <c r="H63" s="99">
        <f>G63+'19'!H63</f>
        <v>-11970</v>
      </c>
      <c r="I63" s="118"/>
      <c r="J63" s="175">
        <f>H63/DAY(B2)</f>
        <v>-598.5</v>
      </c>
      <c r="K63" s="69"/>
      <c r="L63" s="66"/>
      <c r="N63" s="87"/>
      <c r="O63" s="71"/>
    </row>
    <row r="64" spans="1:15" ht="29.25" x14ac:dyDescent="0.5">
      <c r="A64" s="780" t="s">
        <v>200</v>
      </c>
      <c r="B64" s="781"/>
      <c r="C64" s="782"/>
      <c r="D64" s="151"/>
      <c r="E64" s="95">
        <f>'19'!F64</f>
        <v>0</v>
      </c>
      <c r="F64" s="122"/>
      <c r="G64" s="112">
        <f>G62+G63</f>
        <v>0</v>
      </c>
      <c r="H64" s="99">
        <f>G64+'19'!H64</f>
        <v>-19625</v>
      </c>
      <c r="I64" s="118"/>
      <c r="J64" s="175">
        <f>H64/DAY(B2)</f>
        <v>-981.25</v>
      </c>
      <c r="K64" s="69"/>
      <c r="L64" s="66"/>
      <c r="N64" s="87"/>
      <c r="O64" s="71"/>
    </row>
    <row r="65" spans="1:15" ht="27.75" x14ac:dyDescent="0.5">
      <c r="A65" s="771" t="s">
        <v>201</v>
      </c>
      <c r="B65" s="772"/>
      <c r="C65" s="773"/>
      <c r="D65" s="151" t="s">
        <v>142</v>
      </c>
      <c r="E65" s="95">
        <f>'19'!F65</f>
        <v>421019</v>
      </c>
      <c r="F65" s="122">
        <v>421019</v>
      </c>
      <c r="G65" s="112">
        <f t="shared" ref="G65:G70" si="6">F65-E65</f>
        <v>0</v>
      </c>
      <c r="H65" s="99">
        <f>G65+'19'!H65</f>
        <v>-6100</v>
      </c>
      <c r="I65" s="118"/>
      <c r="J65" s="175">
        <f>H65/DAY(B2)</f>
        <v>-305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'19'!F66</f>
        <v>104636</v>
      </c>
      <c r="F66" s="122">
        <v>104636</v>
      </c>
      <c r="G66" s="112">
        <f t="shared" si="6"/>
        <v>0</v>
      </c>
      <c r="H66" s="99">
        <f>G66+'19'!H66</f>
        <v>-1732</v>
      </c>
      <c r="I66" s="118"/>
      <c r="J66" s="175">
        <f>H66/DAY(B2)</f>
        <v>-86.6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'19'!F67</f>
        <v>100370</v>
      </c>
      <c r="F67" s="122">
        <v>100370</v>
      </c>
      <c r="G67" s="112">
        <f t="shared" si="6"/>
        <v>0</v>
      </c>
      <c r="H67" s="99">
        <f>G67+'19'!H67</f>
        <v>-2308</v>
      </c>
      <c r="I67" s="118"/>
      <c r="J67" s="175">
        <f>H67/DAY(B2)</f>
        <v>-115.4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'19'!F68</f>
        <v>152135</v>
      </c>
      <c r="F68" s="122">
        <v>152135</v>
      </c>
      <c r="G68" s="112">
        <f t="shared" si="6"/>
        <v>0</v>
      </c>
      <c r="H68" s="99">
        <f>G68+'19'!H68</f>
        <v>-2715</v>
      </c>
      <c r="I68" s="118"/>
      <c r="J68" s="175">
        <f>H68/DAY(B2)</f>
        <v>-135.75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'19'!F69</f>
        <v>8645</v>
      </c>
      <c r="F69" s="122">
        <v>8645</v>
      </c>
      <c r="G69" s="112">
        <f t="shared" si="6"/>
        <v>0</v>
      </c>
      <c r="H69" s="99">
        <f>G69+'19'!H69</f>
        <v>-1032</v>
      </c>
      <c r="I69" s="118"/>
      <c r="J69" s="175">
        <f>H69/DAY(B2)</f>
        <v>-51.6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'19'!F70</f>
        <v>6373</v>
      </c>
      <c r="F70" s="122">
        <v>6373</v>
      </c>
      <c r="G70" s="112">
        <f t="shared" si="6"/>
        <v>0</v>
      </c>
      <c r="H70" s="99">
        <f>G70+'19'!H70</f>
        <v>-1059</v>
      </c>
      <c r="I70" s="118"/>
      <c r="J70" s="175">
        <f>H70/DAY(B2)</f>
        <v>-52.95</v>
      </c>
      <c r="K70" s="69"/>
      <c r="L70" s="66"/>
      <c r="N70" s="87"/>
      <c r="O70" s="71"/>
    </row>
    <row r="71" spans="1:15" ht="29.25" x14ac:dyDescent="0.5">
      <c r="A71" s="780" t="s">
        <v>208</v>
      </c>
      <c r="B71" s="781"/>
      <c r="C71" s="782"/>
      <c r="D71" s="152"/>
      <c r="E71" s="152"/>
      <c r="F71" s="152"/>
      <c r="G71" s="153">
        <f>SUM(G65:G70)</f>
        <v>0</v>
      </c>
      <c r="H71" s="99">
        <f>G71+'19'!H71</f>
        <v>-14946</v>
      </c>
      <c r="I71" s="154"/>
      <c r="J71" s="175">
        <f>H71/DAY(B2)</f>
        <v>-747.3</v>
      </c>
      <c r="K71" s="69"/>
      <c r="L71" s="66"/>
      <c r="N71" s="87"/>
      <c r="O71" s="71"/>
    </row>
    <row r="72" spans="1:15" s="88" customFormat="1" ht="27.75" x14ac:dyDescent="0.5">
      <c r="A72" s="767"/>
      <c r="B72" s="752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77" t="s">
        <v>333</v>
      </c>
      <c r="B73" s="778"/>
      <c r="C73" s="779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1" t="s">
        <v>220</v>
      </c>
      <c r="B74" s="772"/>
      <c r="C74" s="773"/>
      <c r="D74" s="151" t="s">
        <v>139</v>
      </c>
      <c r="E74" s="95">
        <f>'19'!F74</f>
        <v>856352</v>
      </c>
      <c r="F74" s="117">
        <v>856352</v>
      </c>
      <c r="G74" s="112">
        <f t="shared" ref="G74:G78" si="7">F74-E74</f>
        <v>0</v>
      </c>
      <c r="H74" s="99">
        <f>G74+'19'!H74</f>
        <v>-21277.869999999995</v>
      </c>
      <c r="I74" s="154"/>
      <c r="J74" s="175">
        <f>H74/DAY(B2)</f>
        <v>-1063.8934999999997</v>
      </c>
      <c r="K74" s="69"/>
      <c r="L74" s="66"/>
      <c r="N74" s="87"/>
      <c r="O74" s="71"/>
    </row>
    <row r="75" spans="1:15" ht="27.75" x14ac:dyDescent="0.5">
      <c r="A75" s="771" t="s">
        <v>221</v>
      </c>
      <c r="B75" s="772"/>
      <c r="C75" s="773"/>
      <c r="D75" s="151" t="s">
        <v>139</v>
      </c>
      <c r="E75" s="95">
        <f>'19'!F75</f>
        <v>73583.399999999994</v>
      </c>
      <c r="F75" s="123">
        <v>73583.399999999994</v>
      </c>
      <c r="G75" s="112">
        <f t="shared" si="7"/>
        <v>0</v>
      </c>
      <c r="H75" s="99">
        <f>G75+'19'!H75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68" t="s">
        <v>222</v>
      </c>
      <c r="B76" s="769"/>
      <c r="C76" s="770"/>
      <c r="D76" s="151" t="s">
        <v>139</v>
      </c>
      <c r="E76" s="95">
        <f>'19'!F76</f>
        <v>154077</v>
      </c>
      <c r="F76" s="123">
        <v>154077</v>
      </c>
      <c r="G76" s="112">
        <f t="shared" si="7"/>
        <v>0</v>
      </c>
      <c r="H76" s="99">
        <f>G76+'19'!H76</f>
        <v>-7237.9200000000128</v>
      </c>
      <c r="I76" s="154"/>
      <c r="J76" s="175">
        <f>H76/DAY(B2)</f>
        <v>-361.89600000000064</v>
      </c>
      <c r="K76" s="69"/>
      <c r="L76" s="66"/>
      <c r="N76" s="87"/>
      <c r="O76" s="71"/>
    </row>
    <row r="77" spans="1:15" ht="27.75" x14ac:dyDescent="0.5">
      <c r="A77" s="768" t="s">
        <v>223</v>
      </c>
      <c r="B77" s="769"/>
      <c r="C77" s="770"/>
      <c r="D77" s="151" t="s">
        <v>139</v>
      </c>
      <c r="E77" s="95">
        <f>'19'!F77</f>
        <v>34629</v>
      </c>
      <c r="F77" s="123">
        <v>34629</v>
      </c>
      <c r="G77" s="112">
        <f t="shared" si="7"/>
        <v>0</v>
      </c>
      <c r="H77" s="99">
        <f>G77+'19'!H77</f>
        <v>-3596.8000000000029</v>
      </c>
      <c r="I77" s="154"/>
      <c r="J77" s="175">
        <f>H77/DAY(B2)</f>
        <v>-179.84000000000015</v>
      </c>
      <c r="K77" s="69"/>
      <c r="L77" s="66"/>
      <c r="N77" s="87"/>
      <c r="O77" s="71"/>
    </row>
    <row r="78" spans="1:15" ht="27.75" x14ac:dyDescent="0.5">
      <c r="A78" s="768" t="s">
        <v>224</v>
      </c>
      <c r="B78" s="769"/>
      <c r="C78" s="770"/>
      <c r="D78" s="151" t="s">
        <v>139</v>
      </c>
      <c r="E78" s="95">
        <f>'19'!F78</f>
        <v>9180</v>
      </c>
      <c r="F78" s="123">
        <v>9180</v>
      </c>
      <c r="G78" s="112">
        <f t="shared" si="7"/>
        <v>0</v>
      </c>
      <c r="H78" s="99">
        <f>G78+'19'!H78</f>
        <v>-180.60000000000036</v>
      </c>
      <c r="I78" s="118"/>
      <c r="J78" s="175">
        <f>H78/DAY(B2)</f>
        <v>-9.0300000000000189</v>
      </c>
      <c r="K78" s="69"/>
      <c r="L78" s="66"/>
      <c r="N78" s="87"/>
      <c r="O78" s="71"/>
    </row>
    <row r="79" spans="1:15" s="57" customFormat="1" ht="27.75" x14ac:dyDescent="0.5">
      <c r="A79" s="768" t="s">
        <v>225</v>
      </c>
      <c r="B79" s="769"/>
      <c r="C79" s="770"/>
      <c r="D79" s="151"/>
      <c r="E79" s="95">
        <f>'19'!F79</f>
        <v>0</v>
      </c>
      <c r="F79" s="117"/>
      <c r="G79" s="112">
        <f>G15-SUM(G74:G78)</f>
        <v>875</v>
      </c>
      <c r="H79" s="99">
        <f>G79+'19'!H79</f>
        <v>51828.072999999924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0" t="s">
        <v>329</v>
      </c>
      <c r="B80" s="781"/>
      <c r="C80" s="782"/>
      <c r="D80" s="151"/>
      <c r="E80" s="117"/>
      <c r="F80" s="117"/>
      <c r="G80" s="112">
        <f>SUM(G74:G79)</f>
        <v>875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85" t="s">
        <v>226</v>
      </c>
      <c r="B81" s="786"/>
      <c r="C81" s="78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'19'!F82</f>
        <v>0</v>
      </c>
      <c r="F82" s="122"/>
      <c r="G82" s="112">
        <f t="shared" ref="G82:G92" si="8">F82-E82</f>
        <v>0</v>
      </c>
      <c r="H82" s="99">
        <f>G82+'19'!H82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'19'!F83</f>
        <v>0</v>
      </c>
      <c r="F83" s="122"/>
      <c r="G83" s="112">
        <f t="shared" si="8"/>
        <v>0</v>
      </c>
      <c r="H83" s="99">
        <f>G83+'19'!H83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'19'!F84</f>
        <v>40922</v>
      </c>
      <c r="F84" s="164">
        <v>40922</v>
      </c>
      <c r="G84" s="112">
        <f t="shared" si="8"/>
        <v>0</v>
      </c>
      <c r="H84" s="99">
        <f>G84+'19'!H84</f>
        <v>-774.19000000000233</v>
      </c>
      <c r="I84" s="118"/>
      <c r="J84" s="175">
        <f>H84/DAY(B2)</f>
        <v>-38.709500000000119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'19'!F85</f>
        <v>856</v>
      </c>
      <c r="F85" s="164">
        <v>856</v>
      </c>
      <c r="G85" s="112">
        <f t="shared" si="8"/>
        <v>0</v>
      </c>
      <c r="H85" s="99">
        <f>G85+'19'!H85</f>
        <v>-761.45</v>
      </c>
      <c r="I85" s="118">
        <f>G82+G83+G84+G85</f>
        <v>0</v>
      </c>
      <c r="J85" s="175">
        <f>H85/DAY(B2)</f>
        <v>-38.072500000000005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'19'!F86</f>
        <v>42822</v>
      </c>
      <c r="F86" s="164">
        <v>42822</v>
      </c>
      <c r="G86" s="112">
        <f t="shared" si="8"/>
        <v>0</v>
      </c>
      <c r="H86" s="99">
        <f>G86+'19'!H86</f>
        <v>-8.4700000000011642</v>
      </c>
      <c r="I86" s="118"/>
      <c r="J86" s="175">
        <f>H86/DAY(B2)</f>
        <v>-0.42350000000005822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'19'!F87</f>
        <v>32928</v>
      </c>
      <c r="F87" s="164">
        <v>32928</v>
      </c>
      <c r="G87" s="112">
        <f t="shared" si="8"/>
        <v>0</v>
      </c>
      <c r="H87" s="99">
        <f>G87+'19'!H87</f>
        <v>-921.2300000000032</v>
      </c>
      <c r="I87" s="118"/>
      <c r="J87" s="175">
        <f>H87/DAY(B2)</f>
        <v>-46.061500000000159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'19'!F88</f>
        <v>23356.43</v>
      </c>
      <c r="F88" s="164">
        <v>23356.43</v>
      </c>
      <c r="G88" s="112">
        <f t="shared" si="8"/>
        <v>0</v>
      </c>
      <c r="H88" s="99">
        <f>G88+'19'!H88</f>
        <v>-580.34000000000015</v>
      </c>
      <c r="I88" s="118">
        <f>G86+G87+G88</f>
        <v>0</v>
      </c>
      <c r="J88" s="175">
        <f>H88/DAY(B2)</f>
        <v>-29.017000000000007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'19'!F89</f>
        <v>25132.959999999999</v>
      </c>
      <c r="F89" s="164">
        <v>25132.959999999999</v>
      </c>
      <c r="G89" s="112">
        <f t="shared" si="8"/>
        <v>0</v>
      </c>
      <c r="H89" s="99">
        <f>G89+'19'!H89</f>
        <v>-163.57300000000032</v>
      </c>
      <c r="I89" s="118"/>
      <c r="J89" s="175">
        <f>H89/DAY(B2)</f>
        <v>-8.1786500000000153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'19'!F90</f>
        <v>70524.55</v>
      </c>
      <c r="F90" s="164">
        <v>70524.55</v>
      </c>
      <c r="G90" s="112">
        <f t="shared" si="8"/>
        <v>0</v>
      </c>
      <c r="H90" s="99">
        <f>G90+'19'!H90</f>
        <v>-72.10999999998603</v>
      </c>
      <c r="I90" s="118">
        <f>G89+G90</f>
        <v>0</v>
      </c>
      <c r="J90" s="175">
        <f>H90/DAY(B2)</f>
        <v>-3.6054999999993016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'19'!F91</f>
        <v>2627.98</v>
      </c>
      <c r="F91" s="122">
        <v>2627.98</v>
      </c>
      <c r="G91" s="112">
        <f t="shared" si="8"/>
        <v>0</v>
      </c>
      <c r="H91" s="99">
        <f>G91+'19'!H91</f>
        <v>-779.37999999999965</v>
      </c>
      <c r="I91" s="165"/>
      <c r="J91" s="175">
        <f>H91/DAY(B2)</f>
        <v>-38.96899999999998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'19'!F92</f>
        <v>4754</v>
      </c>
      <c r="F92" s="122">
        <v>4754</v>
      </c>
      <c r="G92" s="112">
        <f t="shared" si="8"/>
        <v>0</v>
      </c>
      <c r="H92" s="99">
        <f>G92+'19'!H92</f>
        <v>-8.4600000000000364</v>
      </c>
      <c r="I92" s="165"/>
      <c r="J92" s="175">
        <f>H92/DAY(B2)</f>
        <v>-0.42300000000000182</v>
      </c>
      <c r="O92" s="71"/>
    </row>
    <row r="93" spans="1:15" ht="29.25" x14ac:dyDescent="0.5">
      <c r="A93" s="774" t="s">
        <v>239</v>
      </c>
      <c r="B93" s="775"/>
      <c r="C93" s="77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1" t="s">
        <v>240</v>
      </c>
      <c r="B94" s="772"/>
      <c r="C94" s="773"/>
      <c r="D94" s="151" t="s">
        <v>130</v>
      </c>
      <c r="E94" s="151"/>
      <c r="F94" s="151"/>
      <c r="G94" s="99">
        <f>G35+G43+G49+G57</f>
        <v>0</v>
      </c>
      <c r="H94" s="99">
        <f>G94+'19'!H94</f>
        <v>2532505.96</v>
      </c>
      <c r="I94" s="118"/>
      <c r="J94" s="175">
        <f>H94/DAY(B2)</f>
        <v>126625.298</v>
      </c>
      <c r="K94" s="69"/>
      <c r="L94" s="66"/>
      <c r="O94" s="71"/>
    </row>
    <row r="95" spans="1:15" ht="27.75" x14ac:dyDescent="0.5">
      <c r="A95" s="771" t="s">
        <v>241</v>
      </c>
      <c r="B95" s="772"/>
      <c r="C95" s="773"/>
      <c r="D95" s="151" t="s">
        <v>23</v>
      </c>
      <c r="E95" s="146"/>
      <c r="F95" s="146"/>
      <c r="G95" s="166">
        <f>G94/G7</f>
        <v>0</v>
      </c>
      <c r="H95" s="99">
        <f>G95+'19'!H95</f>
        <v>110.05863639047362</v>
      </c>
      <c r="I95" s="167"/>
      <c r="J95" s="175">
        <f>H95/DAY(B2)</f>
        <v>5.5029318195236812</v>
      </c>
      <c r="K95" s="69"/>
      <c r="L95" s="66"/>
      <c r="O95" s="71"/>
    </row>
    <row r="96" spans="1:15" ht="27.75" x14ac:dyDescent="0.5">
      <c r="A96" s="771" t="s">
        <v>242</v>
      </c>
      <c r="B96" s="772"/>
      <c r="C96" s="773"/>
      <c r="D96" s="151" t="s">
        <v>130</v>
      </c>
      <c r="E96" s="95"/>
      <c r="F96" s="95"/>
      <c r="G96" s="99">
        <f>G41+G42+G55+G56</f>
        <v>0</v>
      </c>
      <c r="H96" s="99">
        <f>G96+'19'!H96</f>
        <v>-535950.2100000002</v>
      </c>
      <c r="I96" s="118"/>
      <c r="J96" s="175">
        <f>H96/DAY(B2)</f>
        <v>-26797.510500000011</v>
      </c>
      <c r="K96" s="69"/>
      <c r="L96" s="66"/>
      <c r="O96" s="71"/>
    </row>
    <row r="97" spans="1:15" ht="27.75" x14ac:dyDescent="0.5">
      <c r="A97" s="771" t="s">
        <v>243</v>
      </c>
      <c r="B97" s="772"/>
      <c r="C97" s="773"/>
      <c r="D97" s="151" t="s">
        <v>23</v>
      </c>
      <c r="E97" s="95"/>
      <c r="F97" s="95"/>
      <c r="G97" s="166">
        <f>G96/G7</f>
        <v>0</v>
      </c>
      <c r="H97" s="99">
        <f>G97+'19'!H97</f>
        <v>-23.376968076147254</v>
      </c>
      <c r="I97" s="167"/>
      <c r="J97" s="175">
        <f>H97/DAY(B2)</f>
        <v>-1.1688484038073628</v>
      </c>
      <c r="K97" s="69"/>
      <c r="L97" s="66"/>
      <c r="O97" s="71"/>
    </row>
    <row r="98" spans="1:15" ht="27.75" x14ac:dyDescent="0.5">
      <c r="A98" s="771" t="s">
        <v>244</v>
      </c>
      <c r="B98" s="772"/>
      <c r="C98" s="773"/>
      <c r="D98" s="151" t="s">
        <v>130</v>
      </c>
      <c r="E98" s="95"/>
      <c r="F98" s="95"/>
      <c r="G98" s="99">
        <f>G39+G53</f>
        <v>0</v>
      </c>
      <c r="H98" s="99">
        <f>G98+'19'!H98</f>
        <v>1826698.97</v>
      </c>
      <c r="I98" s="168"/>
      <c r="J98" s="175">
        <f>H98/DAY(B2)</f>
        <v>91334.948499999999</v>
      </c>
      <c r="K98" s="69"/>
      <c r="L98" s="66"/>
      <c r="O98" s="71"/>
    </row>
    <row r="99" spans="1:15" ht="27.75" x14ac:dyDescent="0.5">
      <c r="A99" s="771" t="s">
        <v>245</v>
      </c>
      <c r="B99" s="772"/>
      <c r="C99" s="773"/>
      <c r="D99" s="151" t="s">
        <v>23</v>
      </c>
      <c r="E99" s="95"/>
      <c r="F99" s="95"/>
      <c r="G99" s="166">
        <f>G98/G7</f>
        <v>0</v>
      </c>
      <c r="H99" s="99">
        <f>G99+'19'!H99</f>
        <v>79.385711690839827</v>
      </c>
      <c r="I99" s="168"/>
      <c r="J99" s="175">
        <f>H99/DAY(B2)</f>
        <v>3.9692855845419914</v>
      </c>
      <c r="O99" s="71"/>
    </row>
    <row r="100" spans="1:15" ht="27.75" x14ac:dyDescent="0.5">
      <c r="A100" s="771" t="s">
        <v>246</v>
      </c>
      <c r="B100" s="772"/>
      <c r="C100" s="773"/>
      <c r="D100" s="151" t="s">
        <v>180</v>
      </c>
      <c r="E100" s="95"/>
      <c r="F100" s="95"/>
      <c r="G100" s="99">
        <f>G38+G52</f>
        <v>0</v>
      </c>
      <c r="H100" s="99">
        <f>G100+'19'!H100</f>
        <v>942134.4</v>
      </c>
      <c r="I100" s="118"/>
      <c r="J100" s="175">
        <f>H100/DAY(B2)</f>
        <v>47106.720000000001</v>
      </c>
      <c r="K100" s="70"/>
      <c r="O100" s="71"/>
    </row>
    <row r="101" spans="1:15" ht="27.75" x14ac:dyDescent="0.5">
      <c r="A101" s="771" t="s">
        <v>247</v>
      </c>
      <c r="B101" s="772"/>
      <c r="C101" s="773"/>
      <c r="D101" s="151" t="s">
        <v>23</v>
      </c>
      <c r="E101" s="95"/>
      <c r="F101" s="95"/>
      <c r="G101" s="166">
        <f>G100/G7</f>
        <v>0</v>
      </c>
      <c r="H101" s="99">
        <f>G101+'19'!H101</f>
        <v>40.946365636236884</v>
      </c>
      <c r="I101" s="168"/>
      <c r="J101" s="175">
        <f>H101/DAY(B2)</f>
        <v>2.0473182818118443</v>
      </c>
      <c r="O101" s="71"/>
    </row>
    <row r="102" spans="1:15" ht="27.75" x14ac:dyDescent="0.5">
      <c r="A102" s="771" t="s">
        <v>248</v>
      </c>
      <c r="B102" s="772"/>
      <c r="C102" s="773"/>
      <c r="D102" s="151" t="s">
        <v>180</v>
      </c>
      <c r="E102" s="95"/>
      <c r="F102" s="95"/>
      <c r="G102" s="99">
        <f>G36+G50</f>
        <v>0</v>
      </c>
      <c r="H102" s="99">
        <f>G102+'19'!H102</f>
        <v>-150960.04999999996</v>
      </c>
      <c r="I102" s="168"/>
      <c r="J102" s="175">
        <f>H102/DAY(B2)</f>
        <v>-7548.0024999999978</v>
      </c>
      <c r="O102" s="71"/>
    </row>
    <row r="103" spans="1:15" ht="27.75" x14ac:dyDescent="0.5">
      <c r="A103" s="771" t="s">
        <v>249</v>
      </c>
      <c r="B103" s="772"/>
      <c r="C103" s="773"/>
      <c r="D103" s="151" t="s">
        <v>23</v>
      </c>
      <c r="E103" s="95"/>
      <c r="F103" s="95"/>
      <c r="G103" s="166">
        <f>G102/G7</f>
        <v>0</v>
      </c>
      <c r="H103" s="99">
        <f>G103+'19'!H103</f>
        <v>-6.5833689420489332</v>
      </c>
      <c r="I103" s="118"/>
      <c r="J103" s="175">
        <f>H103/DAY(B2)</f>
        <v>-0.32916844710244664</v>
      </c>
      <c r="O103" s="71"/>
    </row>
    <row r="104" spans="1:15" ht="27.75" x14ac:dyDescent="0.5">
      <c r="A104" s="771" t="s">
        <v>250</v>
      </c>
      <c r="B104" s="772"/>
      <c r="C104" s="773"/>
      <c r="D104" s="151" t="s">
        <v>180</v>
      </c>
      <c r="E104" s="95"/>
      <c r="F104" s="95"/>
      <c r="G104" s="99">
        <f>G37+G51</f>
        <v>0</v>
      </c>
      <c r="H104" s="99">
        <f>G104+'19'!H104</f>
        <v>157413.13</v>
      </c>
      <c r="I104" s="118"/>
      <c r="J104" s="175">
        <f>H104/DAY(B2)</f>
        <v>7870.6565000000001</v>
      </c>
      <c r="O104" s="71"/>
    </row>
    <row r="105" spans="1:15" ht="28.5" thickBot="1" x14ac:dyDescent="0.55000000000000004">
      <c r="A105" s="764" t="s">
        <v>251</v>
      </c>
      <c r="B105" s="765"/>
      <c r="C105" s="766"/>
      <c r="D105" s="231" t="s">
        <v>23</v>
      </c>
      <c r="E105" s="185"/>
      <c r="F105" s="185"/>
      <c r="G105" s="186">
        <f>G104/G7</f>
        <v>0</v>
      </c>
      <c r="H105" s="99">
        <f>G105+'19'!H105</f>
        <v>6.8301240046325189</v>
      </c>
      <c r="I105" s="187"/>
      <c r="J105" s="188">
        <f>H105/DAY(B2)</f>
        <v>0.34150620023162592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0" t="s">
        <v>324</v>
      </c>
      <c r="B108" s="760"/>
      <c r="C108" s="760"/>
      <c r="D108" s="760"/>
      <c r="E108" s="760"/>
      <c r="F108" s="760"/>
      <c r="G108" s="760"/>
      <c r="H108" s="760"/>
      <c r="I108" s="760"/>
      <c r="J108" s="760"/>
    </row>
    <row r="109" spans="1:15" ht="29.25" x14ac:dyDescent="0.5">
      <c r="A109" s="788"/>
      <c r="B109" s="788"/>
    </row>
    <row r="110" spans="1:15" ht="29.25" x14ac:dyDescent="0.5">
      <c r="A110" s="761" t="s">
        <v>165</v>
      </c>
      <c r="B110" s="762"/>
      <c r="C110" s="762"/>
      <c r="D110" s="762"/>
      <c r="E110" s="762"/>
      <c r="F110" s="762"/>
      <c r="G110" s="762"/>
      <c r="H110" s="762"/>
      <c r="I110" s="762"/>
      <c r="J110" s="763"/>
    </row>
    <row r="111" spans="1:15" ht="27.75" x14ac:dyDescent="0.5">
      <c r="A111" s="753"/>
      <c r="B111" s="754"/>
      <c r="C111" s="755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0" t="s">
        <v>252</v>
      </c>
      <c r="B112" s="751"/>
      <c r="C112" s="752"/>
      <c r="D112" s="146" t="s">
        <v>183</v>
      </c>
      <c r="E112" s="95">
        <f>'19'!F112</f>
        <v>38434</v>
      </c>
      <c r="F112" s="237">
        <v>38434</v>
      </c>
      <c r="G112" s="112">
        <f t="shared" ref="G112:G123" si="9">F112-E112</f>
        <v>0</v>
      </c>
      <c r="H112" s="99">
        <f>G112+'19'!H112</f>
        <v>-21107.82</v>
      </c>
      <c r="I112" s="165"/>
      <c r="J112" s="348">
        <f>H112/DAY(B2)</f>
        <v>-1055.3910000000001</v>
      </c>
    </row>
    <row r="113" spans="1:18" ht="29.25" customHeight="1" x14ac:dyDescent="0.5">
      <c r="A113" s="750" t="s">
        <v>253</v>
      </c>
      <c r="B113" s="751"/>
      <c r="C113" s="752"/>
      <c r="D113" s="146" t="s">
        <v>183</v>
      </c>
      <c r="E113" s="95">
        <f>'19'!F113</f>
        <v>94790</v>
      </c>
      <c r="F113" s="237">
        <v>94790</v>
      </c>
      <c r="G113" s="112">
        <f t="shared" si="9"/>
        <v>0</v>
      </c>
      <c r="H113" s="99">
        <f>G113+'19'!H113</f>
        <v>-119257.45000000001</v>
      </c>
      <c r="I113" s="165"/>
      <c r="J113" s="348">
        <f>H113/DAY(B2)</f>
        <v>-5962.8725000000004</v>
      </c>
    </row>
    <row r="114" spans="1:18" ht="29.25" customHeight="1" x14ac:dyDescent="0.5">
      <c r="A114" s="750" t="s">
        <v>254</v>
      </c>
      <c r="B114" s="751"/>
      <c r="C114" s="752"/>
      <c r="D114" s="146" t="s">
        <v>183</v>
      </c>
      <c r="E114" s="95">
        <f>'19'!F114</f>
        <v>44933</v>
      </c>
      <c r="F114" s="237">
        <v>44933</v>
      </c>
      <c r="G114" s="112">
        <f t="shared" si="9"/>
        <v>0</v>
      </c>
      <c r="H114" s="99">
        <f>G114+'19'!H114</f>
        <v>92743.9</v>
      </c>
      <c r="I114" s="165"/>
      <c r="J114" s="348">
        <f>H114/DAY(B2)</f>
        <v>4637.1949999999997</v>
      </c>
    </row>
    <row r="115" spans="1:18" ht="29.25" customHeight="1" x14ac:dyDescent="0.5">
      <c r="A115" s="750" t="s">
        <v>255</v>
      </c>
      <c r="B115" s="751"/>
      <c r="C115" s="752"/>
      <c r="D115" s="146" t="s">
        <v>183</v>
      </c>
      <c r="E115" s="95">
        <f>'19'!F115</f>
        <v>6560</v>
      </c>
      <c r="F115" s="237">
        <v>6560</v>
      </c>
      <c r="G115" s="112">
        <f t="shared" si="9"/>
        <v>0</v>
      </c>
      <c r="H115" s="99">
        <f>G115+'19'!H115</f>
        <v>-2561.4399999999996</v>
      </c>
      <c r="I115" s="165"/>
      <c r="J115" s="348">
        <f>H115/DAY(B2)</f>
        <v>-128.07199999999997</v>
      </c>
    </row>
    <row r="116" spans="1:18" ht="29.25" customHeight="1" x14ac:dyDescent="0.5">
      <c r="A116" s="757" t="s">
        <v>96</v>
      </c>
      <c r="B116" s="758"/>
      <c r="C116" s="759"/>
      <c r="D116" s="146" t="s">
        <v>183</v>
      </c>
      <c r="E116" s="95">
        <f>'19'!F116</f>
        <v>44933</v>
      </c>
      <c r="F116" s="237">
        <v>44933</v>
      </c>
      <c r="G116" s="112">
        <f t="shared" si="9"/>
        <v>0</v>
      </c>
      <c r="H116" s="99">
        <f>G116+'19'!H116</f>
        <v>89866</v>
      </c>
      <c r="I116" s="165"/>
      <c r="J116" s="348">
        <f>H116/DAY(B2)</f>
        <v>4493.3</v>
      </c>
      <c r="Q116" s="750" t="s">
        <v>311</v>
      </c>
      <c r="R116" s="752"/>
    </row>
    <row r="117" spans="1:18" ht="29.25" customHeight="1" x14ac:dyDescent="0.5">
      <c r="A117" s="757" t="s">
        <v>184</v>
      </c>
      <c r="B117" s="758"/>
      <c r="C117" s="759"/>
      <c r="D117" s="146" t="s">
        <v>183</v>
      </c>
      <c r="E117" s="95">
        <f>'19'!F117</f>
        <v>44933</v>
      </c>
      <c r="F117" s="237">
        <v>44933</v>
      </c>
      <c r="G117" s="112">
        <f t="shared" si="9"/>
        <v>0</v>
      </c>
      <c r="H117" s="99">
        <f>G117+'19'!H117</f>
        <v>88625.98000000001</v>
      </c>
      <c r="I117" s="165"/>
      <c r="J117" s="348">
        <f>H117/DAY(B2)</f>
        <v>4431.2990000000009</v>
      </c>
      <c r="Q117" s="750" t="s">
        <v>312</v>
      </c>
      <c r="R117" s="752"/>
    </row>
    <row r="118" spans="1:18" ht="27.75" x14ac:dyDescent="0.5">
      <c r="A118" s="749" t="s">
        <v>97</v>
      </c>
      <c r="B118" s="749"/>
      <c r="C118" s="749"/>
      <c r="D118" s="151" t="s">
        <v>183</v>
      </c>
      <c r="E118" s="95">
        <f>'19'!F118</f>
        <v>44933</v>
      </c>
      <c r="F118" s="237">
        <v>44933</v>
      </c>
      <c r="G118" s="112">
        <f t="shared" si="9"/>
        <v>0</v>
      </c>
      <c r="H118" s="99">
        <f>G118+'19'!H118</f>
        <v>-330033.39</v>
      </c>
      <c r="I118" s="165"/>
      <c r="J118" s="348">
        <f>H118/DAY(B2)</f>
        <v>-16501.6695</v>
      </c>
      <c r="Q118" s="750" t="s">
        <v>311</v>
      </c>
      <c r="R118" s="752"/>
    </row>
    <row r="119" spans="1:18" ht="27.75" x14ac:dyDescent="0.5">
      <c r="A119" s="749" t="s">
        <v>98</v>
      </c>
      <c r="B119" s="749"/>
      <c r="C119" s="749"/>
      <c r="D119" s="151" t="s">
        <v>183</v>
      </c>
      <c r="E119" s="95">
        <f>'19'!F119</f>
        <v>44933</v>
      </c>
      <c r="F119" s="237">
        <v>44933</v>
      </c>
      <c r="G119" s="112">
        <f t="shared" si="9"/>
        <v>0</v>
      </c>
      <c r="H119" s="99">
        <f>G119+'19'!H119</f>
        <v>-329315.05</v>
      </c>
      <c r="I119" s="165"/>
      <c r="J119" s="348">
        <f>H119/DAY(B2)</f>
        <v>-16465.752499999999</v>
      </c>
    </row>
    <row r="120" spans="1:18" ht="27.75" x14ac:dyDescent="0.5">
      <c r="A120" s="749" t="s">
        <v>99</v>
      </c>
      <c r="B120" s="749"/>
      <c r="C120" s="749"/>
      <c r="D120" s="151" t="s">
        <v>183</v>
      </c>
      <c r="E120" s="95">
        <f>'19'!F120</f>
        <v>44933</v>
      </c>
      <c r="F120" s="237">
        <v>44933</v>
      </c>
      <c r="G120" s="112">
        <f t="shared" si="9"/>
        <v>0</v>
      </c>
      <c r="H120" s="99">
        <f>G120+'19'!H120</f>
        <v>71927.510000000009</v>
      </c>
      <c r="I120" s="165"/>
      <c r="J120" s="348">
        <f>H120/DAY(B2)</f>
        <v>3596.3755000000006</v>
      </c>
    </row>
    <row r="121" spans="1:18" ht="27.75" x14ac:dyDescent="0.5">
      <c r="A121" s="749" t="s">
        <v>100</v>
      </c>
      <c r="B121" s="749"/>
      <c r="C121" s="749"/>
      <c r="D121" s="151" t="s">
        <v>183</v>
      </c>
      <c r="E121" s="95">
        <f>'19'!F121</f>
        <v>44933</v>
      </c>
      <c r="F121" s="237">
        <v>44933</v>
      </c>
      <c r="G121" s="112">
        <f t="shared" si="9"/>
        <v>0</v>
      </c>
      <c r="H121" s="99">
        <f>G121+'19'!H121</f>
        <v>-541106.63</v>
      </c>
      <c r="I121" s="165"/>
      <c r="J121" s="348">
        <f>H121/DAY(B2)</f>
        <v>-27055.3315</v>
      </c>
    </row>
    <row r="122" spans="1:18" ht="27.75" x14ac:dyDescent="0.5">
      <c r="A122" s="749" t="s">
        <v>101</v>
      </c>
      <c r="B122" s="749"/>
      <c r="C122" s="749"/>
      <c r="D122" s="151" t="s">
        <v>183</v>
      </c>
      <c r="E122" s="95">
        <f>'19'!F122</f>
        <v>44933</v>
      </c>
      <c r="F122" s="237">
        <v>44933</v>
      </c>
      <c r="G122" s="112">
        <f t="shared" si="9"/>
        <v>0</v>
      </c>
      <c r="H122" s="99">
        <f>G122+'19'!H122</f>
        <v>-98745.64</v>
      </c>
      <c r="I122" s="165"/>
      <c r="J122" s="348">
        <f>H122/DAY(B2)</f>
        <v>-4937.2820000000002</v>
      </c>
    </row>
    <row r="123" spans="1:18" ht="27.75" x14ac:dyDescent="0.5">
      <c r="A123" s="749" t="s">
        <v>102</v>
      </c>
      <c r="B123" s="749"/>
      <c r="C123" s="749"/>
      <c r="D123" s="151" t="s">
        <v>183</v>
      </c>
      <c r="E123" s="95">
        <f>'19'!F123</f>
        <v>44933</v>
      </c>
      <c r="F123" s="237">
        <v>44933</v>
      </c>
      <c r="G123" s="112">
        <f t="shared" si="9"/>
        <v>0</v>
      </c>
      <c r="H123" s="99">
        <f>G123+'19'!H123</f>
        <v>-146917.34</v>
      </c>
      <c r="I123" s="165"/>
      <c r="J123" s="348">
        <f>H123/DAY(B2)</f>
        <v>-7345.8670000000002</v>
      </c>
    </row>
    <row r="124" spans="1:18" ht="29.25" customHeight="1" x14ac:dyDescent="0.5">
      <c r="A124" s="753"/>
      <c r="B124" s="754"/>
      <c r="C124" s="755"/>
      <c r="D124" s="165"/>
      <c r="E124" s="95">
        <f>'19'!F124</f>
        <v>0</v>
      </c>
      <c r="F124" s="165"/>
      <c r="G124" s="347"/>
      <c r="H124" s="99">
        <f>G124+'19'!H124</f>
        <v>0</v>
      </c>
      <c r="I124" s="165"/>
      <c r="J124" s="347"/>
    </row>
    <row r="125" spans="1:18" ht="27.75" x14ac:dyDescent="0.5">
      <c r="A125" s="737"/>
      <c r="B125" s="737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56" t="s">
        <v>317</v>
      </c>
      <c r="B126" s="756"/>
      <c r="C126" s="756"/>
      <c r="D126" s="756"/>
      <c r="E126" s="756"/>
      <c r="F126" s="756"/>
      <c r="G126" s="756"/>
      <c r="H126" s="756"/>
      <c r="I126" s="756"/>
      <c r="J126" s="756"/>
    </row>
    <row r="127" spans="1:18" ht="27.75" x14ac:dyDescent="0.5">
      <c r="A127" s="737"/>
      <c r="B127" s="737"/>
      <c r="C127" s="246"/>
      <c r="D127" s="317"/>
      <c r="E127" s="318"/>
      <c r="F127" s="318"/>
      <c r="G127" s="319"/>
      <c r="H127" s="99">
        <f>G127+'19'!H127</f>
        <v>0</v>
      </c>
      <c r="I127" s="165"/>
      <c r="J127" s="348">
        <f>H127/DAY(B2)</f>
        <v>0</v>
      </c>
    </row>
    <row r="128" spans="1:18" ht="29.25" customHeight="1" x14ac:dyDescent="0.5">
      <c r="A128" s="750" t="s">
        <v>318</v>
      </c>
      <c r="B128" s="751"/>
      <c r="C128" s="752"/>
      <c r="D128" s="151" t="s">
        <v>183</v>
      </c>
      <c r="E128" s="95">
        <f>'19'!F128</f>
        <v>0</v>
      </c>
      <c r="F128" s="165"/>
      <c r="G128" s="112">
        <f t="shared" ref="G128:G134" si="10">F128-E128</f>
        <v>0</v>
      </c>
      <c r="H128" s="99">
        <f>G128+'19'!H128</f>
        <v>-20837.400000000001</v>
      </c>
      <c r="I128" s="165"/>
      <c r="J128" s="348">
        <f>H128/DAY(B2)</f>
        <v>-1041.8700000000001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'19'!F129</f>
        <v>0</v>
      </c>
      <c r="F129" s="165"/>
      <c r="G129" s="112">
        <f t="shared" si="10"/>
        <v>0</v>
      </c>
      <c r="H129" s="99">
        <f>G129+'19'!H129</f>
        <v>-3767.84</v>
      </c>
      <c r="I129" s="165"/>
      <c r="J129" s="348">
        <f>H129/DAY(B2)</f>
        <v>-188.392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'19'!F130</f>
        <v>0</v>
      </c>
      <c r="F130" s="165"/>
      <c r="G130" s="112">
        <f t="shared" si="10"/>
        <v>0</v>
      </c>
      <c r="H130" s="99">
        <f>G130+'19'!H130</f>
        <v>-4439.2299999999996</v>
      </c>
      <c r="I130" s="165"/>
      <c r="J130" s="348">
        <f>H130/DAY(B2)</f>
        <v>-221.96149999999997</v>
      </c>
      <c r="N130" s="240"/>
      <c r="O130" s="241"/>
    </row>
    <row r="131" spans="1:15" ht="27.75" x14ac:dyDescent="0.5">
      <c r="A131" s="750" t="s">
        <v>321</v>
      </c>
      <c r="B131" s="751"/>
      <c r="C131" s="752"/>
      <c r="D131" s="151" t="s">
        <v>183</v>
      </c>
      <c r="E131" s="95">
        <f>'19'!F131</f>
        <v>0</v>
      </c>
      <c r="F131" s="165"/>
      <c r="G131" s="112">
        <f t="shared" si="10"/>
        <v>0</v>
      </c>
      <c r="H131" s="99">
        <f>G131+'19'!H131</f>
        <v>-2311.35</v>
      </c>
      <c r="I131" s="165"/>
      <c r="J131" s="348">
        <f>H131/DAY(B2)</f>
        <v>-115.5675</v>
      </c>
      <c r="N131" s="240"/>
      <c r="O131" s="241"/>
    </row>
    <row r="132" spans="1:15" ht="27.75" x14ac:dyDescent="0.5">
      <c r="A132" s="750" t="s">
        <v>322</v>
      </c>
      <c r="B132" s="751"/>
      <c r="C132" s="752"/>
      <c r="D132" s="151" t="s">
        <v>183</v>
      </c>
      <c r="E132" s="95">
        <f>'19'!F132</f>
        <v>0</v>
      </c>
      <c r="F132" s="165"/>
      <c r="G132" s="112">
        <f t="shared" si="10"/>
        <v>0</v>
      </c>
      <c r="H132" s="99">
        <f>G132+'19'!H132</f>
        <v>-7246.7</v>
      </c>
      <c r="I132" s="165"/>
      <c r="J132" s="348">
        <f>H132/DAY(B2)</f>
        <v>-362.33499999999998</v>
      </c>
    </row>
    <row r="133" spans="1:15" ht="27.75" x14ac:dyDescent="0.5">
      <c r="A133" s="750" t="s">
        <v>323</v>
      </c>
      <c r="B133" s="751"/>
      <c r="C133" s="752"/>
      <c r="D133" s="151" t="s">
        <v>183</v>
      </c>
      <c r="E133" s="95">
        <f>'19'!F133</f>
        <v>0</v>
      </c>
      <c r="F133" s="165"/>
      <c r="G133" s="112">
        <f t="shared" si="10"/>
        <v>0</v>
      </c>
      <c r="H133" s="99">
        <f>G133+'19'!H133</f>
        <v>-45947.5</v>
      </c>
      <c r="I133" s="165"/>
      <c r="J133" s="348">
        <f>H133/DAY(B2)</f>
        <v>-2297.375</v>
      </c>
    </row>
    <row r="134" spans="1:15" ht="27.75" x14ac:dyDescent="0.5">
      <c r="A134" s="750" t="s">
        <v>340</v>
      </c>
      <c r="B134" s="751"/>
      <c r="C134" s="752"/>
      <c r="D134" s="151" t="s">
        <v>183</v>
      </c>
      <c r="E134" s="95">
        <f>'19'!F134</f>
        <v>0</v>
      </c>
      <c r="F134" s="165"/>
      <c r="G134" s="112">
        <f t="shared" si="10"/>
        <v>0</v>
      </c>
      <c r="H134" s="99">
        <f>G134+'19'!H134</f>
        <v>-1237706</v>
      </c>
      <c r="I134" s="165"/>
      <c r="J134" s="348">
        <f>H134/DAY(B2)</f>
        <v>-61885.3</v>
      </c>
    </row>
    <row r="135" spans="1:15" ht="27.75" x14ac:dyDescent="0.5">
      <c r="A135" s="753"/>
      <c r="B135" s="754"/>
      <c r="C135" s="755"/>
      <c r="D135" s="151"/>
      <c r="E135" s="95"/>
      <c r="F135" s="165"/>
      <c r="G135" s="112"/>
      <c r="H135" s="99">
        <f>G135+'10'!H135</f>
        <v>5534.2300000000005</v>
      </c>
      <c r="I135" s="165"/>
      <c r="J135" s="348"/>
    </row>
    <row r="136" spans="1:15" ht="31.5" x14ac:dyDescent="0.55000000000000004">
      <c r="A136" s="736" t="s">
        <v>325</v>
      </c>
      <c r="B136" s="736"/>
      <c r="C136" s="736"/>
      <c r="D136" s="736"/>
      <c r="E136" s="736"/>
      <c r="F136" s="736"/>
      <c r="G136" s="736"/>
      <c r="H136" s="736"/>
      <c r="I136" s="736"/>
      <c r="J136" s="736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49" t="s">
        <v>185</v>
      </c>
      <c r="B138" s="749"/>
      <c r="C138" s="749"/>
      <c r="D138" s="151" t="s">
        <v>183</v>
      </c>
      <c r="E138" s="95">
        <f>'19'!F138</f>
        <v>857022</v>
      </c>
      <c r="F138" s="147">
        <v>857022</v>
      </c>
      <c r="G138" s="112">
        <f t="shared" ref="G138:G152" si="11">F138-E138</f>
        <v>0</v>
      </c>
      <c r="H138" s="99">
        <f>G138+'19'!H138</f>
        <v>-2046</v>
      </c>
      <c r="I138" s="118"/>
      <c r="J138" s="348">
        <f>H138/DAY(B2)</f>
        <v>-102.3</v>
      </c>
    </row>
    <row r="139" spans="1:15" ht="27.75" x14ac:dyDescent="0.5">
      <c r="A139" s="749" t="s">
        <v>186</v>
      </c>
      <c r="B139" s="749"/>
      <c r="C139" s="749"/>
      <c r="D139" s="151" t="s">
        <v>183</v>
      </c>
      <c r="E139" s="95">
        <f>'19'!F139</f>
        <v>886051</v>
      </c>
      <c r="F139" s="148">
        <v>886051</v>
      </c>
      <c r="G139" s="112">
        <f t="shared" si="11"/>
        <v>0</v>
      </c>
      <c r="H139" s="99">
        <f>G139+'19'!H139</f>
        <v>-33</v>
      </c>
      <c r="I139" s="118"/>
      <c r="J139" s="348">
        <f>H139/DAY(B2)</f>
        <v>-1.65</v>
      </c>
    </row>
    <row r="140" spans="1:15" ht="27.75" x14ac:dyDescent="0.5">
      <c r="A140" s="749" t="s">
        <v>187</v>
      </c>
      <c r="B140" s="749"/>
      <c r="C140" s="749"/>
      <c r="D140" s="151" t="s">
        <v>183</v>
      </c>
      <c r="E140" s="95">
        <f>'19'!F140</f>
        <v>88776</v>
      </c>
      <c r="F140" s="149">
        <v>88776</v>
      </c>
      <c r="G140" s="112">
        <f>F140-E140</f>
        <v>0</v>
      </c>
      <c r="H140" s="99">
        <f>G140+'19'!H140</f>
        <v>-47.100000000005821</v>
      </c>
      <c r="I140" s="118"/>
      <c r="J140" s="348">
        <f>H140/DAY(B2)</f>
        <v>-2.3550000000002909</v>
      </c>
    </row>
    <row r="141" spans="1:15" ht="27.75" x14ac:dyDescent="0.5">
      <c r="A141" s="728" t="s">
        <v>188</v>
      </c>
      <c r="B141" s="728"/>
      <c r="C141" s="728"/>
      <c r="D141" s="151" t="s">
        <v>183</v>
      </c>
      <c r="E141" s="95">
        <f>'19'!F141</f>
        <v>26308</v>
      </c>
      <c r="F141" s="149">
        <v>26308</v>
      </c>
      <c r="G141" s="112">
        <f t="shared" si="11"/>
        <v>0</v>
      </c>
      <c r="H141" s="99">
        <f>G141+'19'!H141</f>
        <v>-13573.5</v>
      </c>
      <c r="I141" s="118"/>
      <c r="J141" s="348">
        <f>H141/DAY(B2)</f>
        <v>-678.67499999999995</v>
      </c>
    </row>
    <row r="142" spans="1:15" ht="27.75" x14ac:dyDescent="0.5">
      <c r="A142" s="728" t="s">
        <v>189</v>
      </c>
      <c r="B142" s="728"/>
      <c r="C142" s="728"/>
      <c r="D142" s="151" t="s">
        <v>183</v>
      </c>
      <c r="E142" s="95">
        <f>'19'!F142</f>
        <v>13277</v>
      </c>
      <c r="F142" s="148">
        <v>13277</v>
      </c>
      <c r="G142" s="112">
        <f t="shared" si="11"/>
        <v>0</v>
      </c>
      <c r="H142" s="99">
        <f>G142+'19'!H142</f>
        <v>-5306.2999999999993</v>
      </c>
      <c r="I142" s="140"/>
      <c r="J142" s="348">
        <f>H142/DAY(B2)</f>
        <v>-265.31499999999994</v>
      </c>
    </row>
    <row r="143" spans="1:15" ht="27.75" x14ac:dyDescent="0.5">
      <c r="A143" s="749" t="s">
        <v>91</v>
      </c>
      <c r="B143" s="749"/>
      <c r="C143" s="749"/>
      <c r="D143" s="151" t="s">
        <v>183</v>
      </c>
      <c r="E143" s="95">
        <f>'19'!F143</f>
        <v>0</v>
      </c>
      <c r="F143" s="149"/>
      <c r="G143" s="112">
        <f t="shared" si="11"/>
        <v>0</v>
      </c>
      <c r="H143" s="99">
        <f>G143+'19'!H143</f>
        <v>-1531.35</v>
      </c>
      <c r="I143" s="140"/>
      <c r="J143" s="348">
        <f>H143/DAY(B2)</f>
        <v>-76.567499999999995</v>
      </c>
    </row>
    <row r="144" spans="1:15" ht="27.75" x14ac:dyDescent="0.5">
      <c r="A144" s="728" t="s">
        <v>90</v>
      </c>
      <c r="B144" s="728"/>
      <c r="C144" s="728"/>
      <c r="D144" s="151" t="s">
        <v>183</v>
      </c>
      <c r="E144" s="95">
        <f>'19'!F144</f>
        <v>0</v>
      </c>
      <c r="F144" s="149"/>
      <c r="G144" s="112">
        <f t="shared" si="11"/>
        <v>0</v>
      </c>
      <c r="H144" s="99">
        <f>G144+'19'!H144</f>
        <v>-1702947</v>
      </c>
      <c r="I144" s="140"/>
      <c r="J144" s="348">
        <f>H144/DAY(B2)</f>
        <v>-85147.35</v>
      </c>
    </row>
    <row r="145" spans="1:10" ht="27.75" x14ac:dyDescent="0.5">
      <c r="A145" s="749" t="s">
        <v>190</v>
      </c>
      <c r="B145" s="749"/>
      <c r="C145" s="749"/>
      <c r="D145" s="152" t="s">
        <v>183</v>
      </c>
      <c r="E145" s="95">
        <f>'19'!F145</f>
        <v>0</v>
      </c>
      <c r="F145" s="149"/>
      <c r="G145" s="112">
        <f t="shared" si="11"/>
        <v>0</v>
      </c>
      <c r="H145" s="99">
        <f>G145+'19'!H145</f>
        <v>-2618.4</v>
      </c>
      <c r="I145" s="140"/>
      <c r="J145" s="348">
        <f>H145/DAY(B2)</f>
        <v>-130.92000000000002</v>
      </c>
    </row>
    <row r="146" spans="1:10" ht="27.75" x14ac:dyDescent="0.5">
      <c r="A146" s="784" t="s">
        <v>191</v>
      </c>
      <c r="B146" s="769"/>
      <c r="C146" s="770"/>
      <c r="D146" s="152" t="s">
        <v>183</v>
      </c>
      <c r="E146" s="95">
        <f>'19'!F146</f>
        <v>0</v>
      </c>
      <c r="F146" s="148"/>
      <c r="G146" s="112">
        <f t="shared" si="11"/>
        <v>0</v>
      </c>
      <c r="H146" s="99">
        <f>G146+'19'!H146</f>
        <v>-1380251</v>
      </c>
      <c r="I146" s="140"/>
      <c r="J146" s="348">
        <f>H146/DAY(B2)</f>
        <v>-69012.55</v>
      </c>
    </row>
    <row r="147" spans="1:10" ht="27.75" x14ac:dyDescent="0.5">
      <c r="A147" s="728" t="s">
        <v>192</v>
      </c>
      <c r="B147" s="728"/>
      <c r="C147" s="728"/>
      <c r="D147" s="152" t="s">
        <v>183</v>
      </c>
      <c r="E147" s="95">
        <f>'19'!F147</f>
        <v>0</v>
      </c>
      <c r="F147" s="148"/>
      <c r="G147" s="112">
        <f t="shared" si="11"/>
        <v>0</v>
      </c>
      <c r="H147" s="99">
        <f>G147+'19'!H147</f>
        <v>-1159149.72</v>
      </c>
      <c r="I147" s="140"/>
      <c r="J147" s="348">
        <f>H147/DAY(B2)</f>
        <v>-57957.485999999997</v>
      </c>
    </row>
    <row r="148" spans="1:10" ht="27.75" x14ac:dyDescent="0.5">
      <c r="A148" s="729" t="s">
        <v>193</v>
      </c>
      <c r="B148" s="730"/>
      <c r="C148" s="731"/>
      <c r="D148" s="123" t="s">
        <v>130</v>
      </c>
      <c r="E148" s="95">
        <f>'19'!F148</f>
        <v>0</v>
      </c>
      <c r="F148" s="150"/>
      <c r="G148" s="112">
        <f t="shared" si="11"/>
        <v>0</v>
      </c>
      <c r="H148" s="99">
        <f>G148+'19'!H148</f>
        <v>-1320350.54</v>
      </c>
      <c r="I148" s="124"/>
      <c r="J148" s="348">
        <f>H148/DAY(B2)</f>
        <v>-66017.527000000002</v>
      </c>
    </row>
    <row r="149" spans="1:10" ht="27.75" x14ac:dyDescent="0.5">
      <c r="A149" s="729" t="s">
        <v>336</v>
      </c>
      <c r="B149" s="730"/>
      <c r="C149" s="731"/>
      <c r="D149" s="227" t="s">
        <v>130</v>
      </c>
      <c r="E149" s="95">
        <f>'19'!F149</f>
        <v>0</v>
      </c>
      <c r="F149" s="146"/>
      <c r="G149" s="112">
        <f t="shared" si="11"/>
        <v>0</v>
      </c>
      <c r="H149" s="99">
        <f>G149+'19'!H149</f>
        <v>-155505</v>
      </c>
      <c r="I149" s="119"/>
      <c r="J149" s="348">
        <f>H149/DAY(B2)</f>
        <v>-7775.25</v>
      </c>
    </row>
    <row r="150" spans="1:10" ht="27.75" x14ac:dyDescent="0.5">
      <c r="A150" s="729" t="s">
        <v>337</v>
      </c>
      <c r="B150" s="730"/>
      <c r="C150" s="731"/>
      <c r="D150" s="117" t="s">
        <v>130</v>
      </c>
      <c r="E150" s="95">
        <f>'19'!F150</f>
        <v>0</v>
      </c>
      <c r="F150" s="233"/>
      <c r="G150" s="112">
        <f t="shared" si="11"/>
        <v>0</v>
      </c>
      <c r="H150" s="99">
        <f>G150+'19'!H150</f>
        <v>-14334464</v>
      </c>
      <c r="I150" s="119"/>
      <c r="J150" s="348">
        <f>H150/DAY(B2)</f>
        <v>-716723.19999999995</v>
      </c>
    </row>
    <row r="151" spans="1:10" ht="27.75" x14ac:dyDescent="0.5">
      <c r="A151" s="729" t="s">
        <v>338</v>
      </c>
      <c r="B151" s="730"/>
      <c r="C151" s="731"/>
      <c r="D151" s="117" t="s">
        <v>130</v>
      </c>
      <c r="E151" s="95">
        <f>'19'!F151</f>
        <v>0</v>
      </c>
      <c r="F151" s="233"/>
      <c r="G151" s="112">
        <f t="shared" si="11"/>
        <v>0</v>
      </c>
      <c r="H151" s="99">
        <f>G151+'19'!H151</f>
        <v>-112419</v>
      </c>
      <c r="I151" s="119"/>
      <c r="J151" s="348">
        <f>H151/DAY(B2)</f>
        <v>-5620.95</v>
      </c>
    </row>
    <row r="152" spans="1:10" ht="27.75" x14ac:dyDescent="0.5">
      <c r="A152" s="729" t="s">
        <v>339</v>
      </c>
      <c r="B152" s="730"/>
      <c r="C152" s="731"/>
      <c r="D152" s="117" t="s">
        <v>130</v>
      </c>
      <c r="E152" s="95">
        <f>'19'!F152</f>
        <v>0</v>
      </c>
      <c r="F152" s="233"/>
      <c r="G152" s="112">
        <f t="shared" si="11"/>
        <v>0</v>
      </c>
      <c r="H152" s="99">
        <f>G152+'19'!H152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36" t="s">
        <v>344</v>
      </c>
      <c r="B154" s="736"/>
      <c r="C154" s="736"/>
      <c r="D154" s="736"/>
      <c r="E154" s="736"/>
      <c r="F154" s="736"/>
      <c r="G154" s="736"/>
      <c r="H154" s="736"/>
      <c r="I154" s="736"/>
      <c r="J154" s="736"/>
    </row>
    <row r="155" spans="1:10" ht="31.5" x14ac:dyDescent="0.55000000000000004">
      <c r="A155" s="728" t="s">
        <v>345</v>
      </c>
      <c r="B155" s="728"/>
      <c r="C155" s="728"/>
      <c r="D155" s="117" t="s">
        <v>130</v>
      </c>
      <c r="E155" s="95">
        <f>'19'!F155</f>
        <v>0</v>
      </c>
      <c r="F155" s="385"/>
      <c r="G155" s="112">
        <f t="shared" ref="G155:G156" si="12">F155-E155</f>
        <v>0</v>
      </c>
      <c r="H155" s="99">
        <f>G155+'19'!H155</f>
        <v>-154178.09999999998</v>
      </c>
      <c r="I155" s="385"/>
      <c r="J155" s="348">
        <f>H155/DAY(B2)</f>
        <v>-7708.9049999999988</v>
      </c>
    </row>
    <row r="156" spans="1:10" ht="27.75" x14ac:dyDescent="0.5">
      <c r="A156" s="728" t="s">
        <v>347</v>
      </c>
      <c r="B156" s="728"/>
      <c r="C156" s="728"/>
      <c r="D156" s="117" t="s">
        <v>130</v>
      </c>
      <c r="E156" s="95">
        <f>'19'!F156</f>
        <v>0</v>
      </c>
      <c r="F156" s="165"/>
      <c r="G156" s="112">
        <f t="shared" si="12"/>
        <v>0</v>
      </c>
      <c r="H156" s="99">
        <f>G156+'19'!H156</f>
        <v>0</v>
      </c>
      <c r="I156" s="165"/>
      <c r="J156" s="348">
        <f>H156/DAY(B2)</f>
        <v>0</v>
      </c>
    </row>
    <row r="157" spans="1:10" ht="31.5" x14ac:dyDescent="0.55000000000000004">
      <c r="A157" s="736" t="s">
        <v>326</v>
      </c>
      <c r="B157" s="736"/>
      <c r="C157" s="736"/>
      <c r="D157" s="736"/>
      <c r="E157" s="736"/>
      <c r="F157" s="736"/>
      <c r="G157" s="736"/>
      <c r="H157" s="736"/>
      <c r="I157" s="736"/>
      <c r="J157" s="736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'19'!F158</f>
        <v>463315</v>
      </c>
      <c r="F158" s="235">
        <v>463315</v>
      </c>
      <c r="G158" s="238">
        <f t="shared" ref="G158:G162" si="13">F158-E158</f>
        <v>0</v>
      </c>
      <c r="H158" s="99">
        <f>G158+'19'!H158</f>
        <v>-5764.4000000000233</v>
      </c>
      <c r="I158" s="236"/>
      <c r="J158" s="239">
        <f>H158/DAY(B2)</f>
        <v>-288.22000000000116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'19'!F159</f>
        <v>83899</v>
      </c>
      <c r="F159" s="235">
        <v>83899</v>
      </c>
      <c r="G159" s="238">
        <f t="shared" si="13"/>
        <v>0</v>
      </c>
      <c r="H159" s="99">
        <f>G159+'19'!H159</f>
        <v>-2351.3999999999942</v>
      </c>
      <c r="I159" s="236"/>
      <c r="J159" s="239">
        <f>H159/DAY(B2)</f>
        <v>-117.56999999999971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'19'!F160</f>
        <v>69089</v>
      </c>
      <c r="F160" s="235">
        <v>69089</v>
      </c>
      <c r="G160" s="238">
        <f t="shared" si="13"/>
        <v>0</v>
      </c>
      <c r="H160" s="99">
        <f>G160+'19'!H160</f>
        <v>-4894.1999999999971</v>
      </c>
      <c r="I160" s="236"/>
      <c r="J160" s="239">
        <f>H160/DAY(B2)</f>
        <v>-244.70999999999987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'19'!F161</f>
        <v>3611</v>
      </c>
      <c r="F161" s="235">
        <v>3611</v>
      </c>
      <c r="G161" s="238">
        <f t="shared" si="13"/>
        <v>0</v>
      </c>
      <c r="H161" s="99">
        <f>G161+'19'!H161</f>
        <v>-555.30000000000018</v>
      </c>
      <c r="I161" s="236"/>
      <c r="J161" s="239">
        <f>H161/DAY(B2)</f>
        <v>-27.765000000000008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'19'!F162</f>
        <v>28746</v>
      </c>
      <c r="F162" s="235">
        <v>28746</v>
      </c>
      <c r="G162" s="238">
        <f t="shared" si="13"/>
        <v>0</v>
      </c>
      <c r="H162" s="99">
        <f>G162+'19'!H162</f>
        <v>-566.7400000000016</v>
      </c>
      <c r="I162" s="236"/>
      <c r="J162" s="239">
        <f>H162/DAY(B2)</f>
        <v>-28.337000000000081</v>
      </c>
    </row>
    <row r="163" spans="1:10" ht="29.25" x14ac:dyDescent="0.5">
      <c r="A163" s="737"/>
      <c r="B163" s="737"/>
      <c r="C163" s="247"/>
      <c r="D163" s="244" t="s">
        <v>180</v>
      </c>
      <c r="E163" s="95">
        <f>'19'!F163</f>
        <v>0</v>
      </c>
      <c r="F163" s="165"/>
      <c r="G163" s="165"/>
      <c r="H163" s="99">
        <f>G163+'19'!H163</f>
        <v>0</v>
      </c>
      <c r="I163" s="165"/>
      <c r="J163" s="239">
        <f>H163/DAY(B2)</f>
        <v>0</v>
      </c>
    </row>
    <row r="164" spans="1:10" ht="29.25" x14ac:dyDescent="0.5">
      <c r="A164" s="737"/>
      <c r="B164" s="737"/>
      <c r="C164" s="247"/>
      <c r="D164" s="244" t="s">
        <v>180</v>
      </c>
      <c r="E164" s="95">
        <f>'19'!F164</f>
        <v>0</v>
      </c>
      <c r="F164" s="165"/>
      <c r="G164" s="165"/>
      <c r="H164" s="99">
        <f>G164+'19'!H164</f>
        <v>0</v>
      </c>
      <c r="I164" s="165"/>
      <c r="J164" s="239">
        <f>H164/DAY(B2)</f>
        <v>0</v>
      </c>
    </row>
    <row r="165" spans="1:10" ht="29.25" x14ac:dyDescent="0.5">
      <c r="A165" s="737"/>
      <c r="B165" s="737"/>
      <c r="C165" s="247"/>
      <c r="D165" s="244" t="s">
        <v>180</v>
      </c>
      <c r="E165" s="95">
        <f>'19'!F165</f>
        <v>0</v>
      </c>
      <c r="F165" s="165"/>
      <c r="G165" s="165"/>
      <c r="H165" s="99">
        <f>G165+'19'!H165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38" t="s">
        <v>330</v>
      </c>
      <c r="B168" s="739"/>
      <c r="C168" s="739"/>
      <c r="D168" s="739"/>
      <c r="E168" s="739"/>
      <c r="F168" s="739"/>
      <c r="G168" s="739"/>
      <c r="H168" s="739"/>
      <c r="I168" s="739"/>
      <c r="J168" s="740"/>
    </row>
    <row r="169" spans="1:10" ht="27.75" x14ac:dyDescent="0.5">
      <c r="A169" s="747"/>
      <c r="B169" s="748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43" t="s">
        <v>209</v>
      </c>
      <c r="B170" s="744"/>
      <c r="C170" s="353"/>
      <c r="D170" s="228" t="s">
        <v>142</v>
      </c>
      <c r="E170" s="95">
        <f>'19'!F170</f>
        <v>7961</v>
      </c>
      <c r="F170" s="155">
        <v>7961</v>
      </c>
      <c r="G170" s="155">
        <f>F170-E170</f>
        <v>0</v>
      </c>
      <c r="H170" s="99">
        <f>G170+'19'!H170</f>
        <v>129</v>
      </c>
      <c r="I170" s="155"/>
      <c r="J170" s="178">
        <f>H170/DAY(B2)</f>
        <v>6.45</v>
      </c>
    </row>
    <row r="171" spans="1:10" ht="27.75" x14ac:dyDescent="0.5">
      <c r="A171" s="743" t="s">
        <v>75</v>
      </c>
      <c r="B171" s="744"/>
      <c r="C171" s="353"/>
      <c r="D171" s="228" t="s">
        <v>142</v>
      </c>
      <c r="E171" s="95">
        <f>'19'!F171</f>
        <v>36765</v>
      </c>
      <c r="F171" s="157">
        <v>36765</v>
      </c>
      <c r="G171" s="155">
        <f t="shared" ref="G171:G172" si="14">F171-E171</f>
        <v>0</v>
      </c>
      <c r="H171" s="99">
        <f>G171+'19'!H171</f>
        <v>-332</v>
      </c>
      <c r="I171" s="155"/>
      <c r="J171" s="178">
        <f>H171/DAY(B2)</f>
        <v>-16.600000000000001</v>
      </c>
    </row>
    <row r="172" spans="1:10" ht="27.75" x14ac:dyDescent="0.5">
      <c r="A172" s="743" t="s">
        <v>76</v>
      </c>
      <c r="B172" s="783"/>
      <c r="C172" s="744"/>
      <c r="D172" s="228" t="s">
        <v>142</v>
      </c>
      <c r="E172" s="95">
        <f>'19'!F172</f>
        <v>20214</v>
      </c>
      <c r="F172" s="155">
        <v>20214</v>
      </c>
      <c r="G172" s="155">
        <f t="shared" si="14"/>
        <v>0</v>
      </c>
      <c r="H172" s="99">
        <f>G172+'19'!H172</f>
        <v>-687</v>
      </c>
      <c r="I172" s="155"/>
      <c r="J172" s="178">
        <f>H172/DAY(B2)</f>
        <v>-34.35</v>
      </c>
    </row>
    <row r="173" spans="1:10" ht="27.75" x14ac:dyDescent="0.5">
      <c r="A173" s="732" t="s">
        <v>196</v>
      </c>
      <c r="B173" s="733"/>
      <c r="C173" s="611"/>
      <c r="D173" s="228" t="s">
        <v>142</v>
      </c>
      <c r="E173" s="95"/>
      <c r="F173" s="155"/>
      <c r="G173" s="155">
        <f>SUM(G170:G172)</f>
        <v>0</v>
      </c>
      <c r="H173" s="99">
        <f>G173+'19'!H173</f>
        <v>-890</v>
      </c>
      <c r="I173" s="155"/>
      <c r="J173" s="178">
        <f>H173/DAY(B2)</f>
        <v>-44.5</v>
      </c>
    </row>
    <row r="174" spans="1:10" ht="27.75" x14ac:dyDescent="0.5">
      <c r="A174" s="743" t="s">
        <v>77</v>
      </c>
      <c r="B174" s="744"/>
      <c r="C174" s="353"/>
      <c r="D174" s="228" t="s">
        <v>142</v>
      </c>
      <c r="E174" s="95"/>
      <c r="F174" s="155"/>
      <c r="G174" s="155"/>
      <c r="H174" s="99">
        <f>G174+'19'!H174</f>
        <v>0</v>
      </c>
      <c r="I174" s="155"/>
      <c r="J174" s="178">
        <f>H174/DAY(B2)</f>
        <v>0</v>
      </c>
    </row>
    <row r="175" spans="1:10" ht="27.75" x14ac:dyDescent="0.5">
      <c r="A175" s="743" t="s">
        <v>210</v>
      </c>
      <c r="B175" s="744"/>
      <c r="C175" s="353"/>
      <c r="D175" s="228" t="s">
        <v>142</v>
      </c>
      <c r="E175" s="95">
        <f>'19'!F175</f>
        <v>69524</v>
      </c>
      <c r="F175" s="155">
        <v>69524</v>
      </c>
      <c r="G175" s="155">
        <f>F175-E175</f>
        <v>0</v>
      </c>
      <c r="H175" s="99">
        <f>G175+'19'!H175</f>
        <v>-6303</v>
      </c>
      <c r="I175" s="155"/>
      <c r="J175" s="178">
        <f>H175/DAY(B2)</f>
        <v>-315.14999999999998</v>
      </c>
    </row>
    <row r="176" spans="1:10" ht="27.75" x14ac:dyDescent="0.5">
      <c r="A176" s="743" t="s">
        <v>211</v>
      </c>
      <c r="B176" s="744"/>
      <c r="C176" s="353"/>
      <c r="D176" s="228" t="s">
        <v>142</v>
      </c>
      <c r="E176" s="95">
        <f>'19'!F176</f>
        <v>33886</v>
      </c>
      <c r="F176" s="155">
        <v>33886</v>
      </c>
      <c r="G176" s="155">
        <f t="shared" ref="G176:G177" si="15">F176-E176</f>
        <v>0</v>
      </c>
      <c r="H176" s="99">
        <f>G176+'19'!H176</f>
        <v>0</v>
      </c>
      <c r="I176" s="155"/>
      <c r="J176" s="178">
        <f>H176/DAY(B2)</f>
        <v>0</v>
      </c>
    </row>
    <row r="177" spans="1:10" ht="27.75" x14ac:dyDescent="0.5">
      <c r="A177" s="743" t="s">
        <v>212</v>
      </c>
      <c r="B177" s="744"/>
      <c r="C177" s="353"/>
      <c r="D177" s="228" t="s">
        <v>142</v>
      </c>
      <c r="E177" s="95">
        <f>'19'!F177</f>
        <v>4788</v>
      </c>
      <c r="F177" s="155">
        <v>4788</v>
      </c>
      <c r="G177" s="155">
        <f t="shared" si="15"/>
        <v>0</v>
      </c>
      <c r="H177" s="99">
        <f>G177+'19'!H177</f>
        <v>-3190</v>
      </c>
      <c r="I177" s="155"/>
      <c r="J177" s="178">
        <f>H177/DAY(B2)</f>
        <v>-159.5</v>
      </c>
    </row>
    <row r="178" spans="1:10" ht="24.75" customHeight="1" x14ac:dyDescent="0.5">
      <c r="A178" s="745" t="s">
        <v>108</v>
      </c>
      <c r="B178" s="746"/>
      <c r="C178" s="611"/>
      <c r="D178" s="228" t="s">
        <v>142</v>
      </c>
      <c r="E178" s="95"/>
      <c r="F178" s="155"/>
      <c r="G178" s="155">
        <f>SUM(G175:G177)</f>
        <v>0</v>
      </c>
      <c r="H178" s="99">
        <f>G178+'19'!H178</f>
        <v>-9493</v>
      </c>
      <c r="I178" s="155"/>
      <c r="J178" s="178">
        <f>H178/DAY(B2)</f>
        <v>-474.65</v>
      </c>
    </row>
    <row r="179" spans="1:10" ht="24.75" customHeight="1" x14ac:dyDescent="0.5">
      <c r="A179" s="743" t="s">
        <v>213</v>
      </c>
      <c r="B179" s="744"/>
      <c r="C179" s="353"/>
      <c r="D179" s="228" t="s">
        <v>142</v>
      </c>
      <c r="E179" s="95"/>
      <c r="F179" s="155"/>
      <c r="G179" s="155"/>
      <c r="H179" s="99">
        <f>G179+'19'!H179</f>
        <v>0</v>
      </c>
      <c r="I179" s="155"/>
      <c r="J179" s="178">
        <f>H179/DAY(B2)</f>
        <v>0</v>
      </c>
    </row>
    <row r="180" spans="1:10" ht="24.75" customHeight="1" x14ac:dyDescent="0.5">
      <c r="A180" s="743" t="s">
        <v>214</v>
      </c>
      <c r="B180" s="744"/>
      <c r="C180" s="354"/>
      <c r="D180" s="228" t="s">
        <v>142</v>
      </c>
      <c r="E180" s="95">
        <f>'19'!F180</f>
        <v>13038</v>
      </c>
      <c r="F180" s="157">
        <v>13038</v>
      </c>
      <c r="G180" s="157">
        <f>F180-E180</f>
        <v>0</v>
      </c>
      <c r="H180" s="99">
        <f>G180+'19'!H180</f>
        <v>-1253</v>
      </c>
      <c r="I180" s="155"/>
      <c r="J180" s="178">
        <f>H180/DAY(B2)</f>
        <v>-62.65</v>
      </c>
    </row>
    <row r="181" spans="1:10" ht="24.75" customHeight="1" x14ac:dyDescent="0.5">
      <c r="A181" s="743" t="s">
        <v>215</v>
      </c>
      <c r="B181" s="744"/>
      <c r="C181" s="354"/>
      <c r="D181" s="228" t="s">
        <v>142</v>
      </c>
      <c r="E181" s="95">
        <f>'19'!F181</f>
        <v>9126</v>
      </c>
      <c r="F181" s="157">
        <v>9126</v>
      </c>
      <c r="G181" s="157">
        <f t="shared" ref="G181:G182" si="16">F181-E181</f>
        <v>0</v>
      </c>
      <c r="H181" s="99">
        <f>G181+'19'!H181</f>
        <v>-794</v>
      </c>
      <c r="I181" s="155"/>
      <c r="J181" s="178">
        <f>H181/DAY(B2)</f>
        <v>-39.700000000000003</v>
      </c>
    </row>
    <row r="182" spans="1:10" ht="24.75" customHeight="1" x14ac:dyDescent="0.5">
      <c r="A182" s="743" t="s">
        <v>216</v>
      </c>
      <c r="B182" s="744"/>
      <c r="C182" s="354"/>
      <c r="D182" s="228" t="s">
        <v>142</v>
      </c>
      <c r="E182" s="95">
        <f>'19'!F182</f>
        <v>0</v>
      </c>
      <c r="F182" s="157"/>
      <c r="G182" s="157">
        <f t="shared" si="16"/>
        <v>0</v>
      </c>
      <c r="H182" s="99">
        <f>G182+'19'!H182</f>
        <v>0</v>
      </c>
      <c r="I182" s="155"/>
      <c r="J182" s="178">
        <f>H182/DAY(B2)</f>
        <v>0</v>
      </c>
    </row>
    <row r="183" spans="1:10" ht="27.75" x14ac:dyDescent="0.5">
      <c r="A183" s="732" t="s">
        <v>196</v>
      </c>
      <c r="B183" s="733"/>
      <c r="C183" s="610"/>
      <c r="D183" s="228" t="s">
        <v>142</v>
      </c>
      <c r="E183" s="95"/>
      <c r="F183" s="157"/>
      <c r="G183" s="157">
        <f>SUM(G180:G182)</f>
        <v>0</v>
      </c>
      <c r="H183" s="99">
        <f>G183+'19'!H183</f>
        <v>-2047</v>
      </c>
      <c r="I183" s="157"/>
      <c r="J183" s="178">
        <f>H183/DAY(B2)</f>
        <v>-102.35</v>
      </c>
    </row>
    <row r="184" spans="1:10" ht="27.75" x14ac:dyDescent="0.5">
      <c r="A184" s="734" t="s">
        <v>217</v>
      </c>
      <c r="B184" s="735"/>
      <c r="C184" s="353"/>
      <c r="D184" s="230" t="s">
        <v>142</v>
      </c>
      <c r="E184" s="95"/>
      <c r="F184" s="159"/>
      <c r="G184" s="588">
        <f>G62+G19</f>
        <v>60</v>
      </c>
      <c r="H184" s="99">
        <f>G184+'19'!H184</f>
        <v>-6482</v>
      </c>
      <c r="I184" s="158"/>
      <c r="J184" s="179">
        <f>H184/DAY(B2)</f>
        <v>-324.10000000000002</v>
      </c>
    </row>
    <row r="185" spans="1:10" ht="27.75" x14ac:dyDescent="0.5">
      <c r="A185" s="734" t="s">
        <v>218</v>
      </c>
      <c r="B185" s="735"/>
      <c r="C185" s="353"/>
      <c r="D185" s="230" t="s">
        <v>142</v>
      </c>
      <c r="E185" s="95"/>
      <c r="F185" s="159"/>
      <c r="G185" s="588">
        <f>G65+G66+G67+G69+G70</f>
        <v>0</v>
      </c>
      <c r="H185" s="99">
        <f>G185+'19'!H185</f>
        <v>-14514</v>
      </c>
      <c r="I185" s="158"/>
      <c r="J185" s="179">
        <f>H185/DAY(B2)</f>
        <v>-725.7</v>
      </c>
    </row>
    <row r="186" spans="1:10" ht="27.75" x14ac:dyDescent="0.5">
      <c r="A186" s="734" t="s">
        <v>219</v>
      </c>
      <c r="B186" s="735"/>
      <c r="C186" s="353"/>
      <c r="D186" s="230" t="s">
        <v>142</v>
      </c>
      <c r="E186" s="95"/>
      <c r="F186" s="157"/>
      <c r="G186" s="585">
        <f>G178</f>
        <v>0</v>
      </c>
      <c r="H186" s="99">
        <f>G186+'19'!H186</f>
        <v>-7040</v>
      </c>
      <c r="I186" s="158"/>
      <c r="J186" s="179">
        <f>H186/DAY(B2)</f>
        <v>-352</v>
      </c>
    </row>
    <row r="187" spans="1:10" ht="27.75" x14ac:dyDescent="0.5">
      <c r="A187" s="741"/>
      <c r="B187" s="742"/>
      <c r="C187" s="609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1"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80:B180"/>
    <mergeCell ref="A181:B181"/>
    <mergeCell ref="A177:B177"/>
    <mergeCell ref="A178:B178"/>
    <mergeCell ref="A179:B179"/>
    <mergeCell ref="A172:C172"/>
    <mergeCell ref="A174:B174"/>
    <mergeCell ref="A175:B175"/>
    <mergeCell ref="A176:B176"/>
  </mergeCells>
  <pageMargins left="0.22" right="0.17" top="0.14000000000000001" bottom="0.2" header="0.2" footer="0.2"/>
  <pageSetup paperSize="5" scale="1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698"/>
  <sheetViews>
    <sheetView view="pageBreakPreview" topLeftCell="A164" zoomScale="50" zoomScaleNormal="60" zoomScaleSheetLayoutView="50" zoomScalePageLayoutView="20" workbookViewId="0">
      <selection activeCell="E184" sqref="E184:E18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89" t="s">
        <v>115</v>
      </c>
      <c r="B1" s="790"/>
      <c r="C1" s="790"/>
      <c r="D1" s="790"/>
      <c r="E1" s="790"/>
      <c r="F1" s="790"/>
      <c r="G1" s="790"/>
      <c r="H1" s="790"/>
      <c r="I1" s="790"/>
      <c r="J1" s="791"/>
    </row>
    <row r="2" spans="1:15" s="57" customFormat="1" ht="27" x14ac:dyDescent="0.5">
      <c r="A2" s="191" t="s">
        <v>303</v>
      </c>
      <c r="B2" s="266">
        <v>44439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98" t="s">
        <v>119</v>
      </c>
      <c r="F3" s="79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92" t="s">
        <v>128</v>
      </c>
      <c r="B6" s="793"/>
      <c r="C6" s="79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'20'!F7</f>
        <v>409179.47</v>
      </c>
      <c r="F7" s="95">
        <f>E7+23000</f>
        <v>432179.47</v>
      </c>
      <c r="G7" s="112">
        <f>F7-E7</f>
        <v>23000</v>
      </c>
      <c r="H7" s="99">
        <f>G7+'20'!H7</f>
        <v>487937.06999999989</v>
      </c>
      <c r="I7" s="113">
        <f>'1'!I7</f>
        <v>12000</v>
      </c>
      <c r="J7" s="175">
        <f>H7/DAY(B2)</f>
        <v>15739.905483870964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'20'!F8</f>
        <v>429629.75</v>
      </c>
      <c r="F8" s="114">
        <f>E8+23050</f>
        <v>452679.75</v>
      </c>
      <c r="G8" s="115">
        <f>F8-E8</f>
        <v>23050</v>
      </c>
      <c r="H8" s="99">
        <f>G8+'20'!H8</f>
        <v>494012.74999999994</v>
      </c>
      <c r="I8" s="116"/>
      <c r="J8" s="175">
        <f>H8/DAY(B2)</f>
        <v>15935.89516129032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'20'!F9</f>
        <v>1092976.8999999999</v>
      </c>
      <c r="F9" s="117">
        <f>E9+23000</f>
        <v>1115976.8999999999</v>
      </c>
      <c r="G9" s="112">
        <f>F9-E9</f>
        <v>23000</v>
      </c>
      <c r="H9" s="99">
        <f>G9+'20'!H9</f>
        <v>408186.89999999979</v>
      </c>
      <c r="I9" s="124">
        <f>I7-J7</f>
        <v>-3739.9054838709635</v>
      </c>
      <c r="J9" s="175">
        <f>H9/DAY(B2)</f>
        <v>13167.319354838703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'20'!F10</f>
        <v>2607</v>
      </c>
      <c r="F10" s="117">
        <v>2607</v>
      </c>
      <c r="G10" s="112">
        <f t="shared" ref="G10:G12" si="0">F10-E10</f>
        <v>0</v>
      </c>
      <c r="H10" s="99">
        <f>G10+'20'!H10</f>
        <v>-57966</v>
      </c>
      <c r="I10" s="286"/>
      <c r="J10" s="175">
        <f>H10/DAY(B2)</f>
        <v>-1869.8709677419354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'20'!F11</f>
        <v>37000</v>
      </c>
      <c r="F11" s="95">
        <v>37000</v>
      </c>
      <c r="G11" s="112">
        <f t="shared" si="0"/>
        <v>0</v>
      </c>
      <c r="H11" s="99">
        <f>G11+'20'!H11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'20'!F12</f>
        <v>40010</v>
      </c>
      <c r="F12" s="117">
        <v>40010</v>
      </c>
      <c r="G12" s="112">
        <f t="shared" si="0"/>
        <v>0</v>
      </c>
      <c r="H12" s="99">
        <f>G12+'20'!H12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23000</v>
      </c>
      <c r="H13" s="99">
        <f>G13+'20'!H13</f>
        <v>328675.14999999979</v>
      </c>
      <c r="I13" s="120">
        <f>G7-G13</f>
        <v>0</v>
      </c>
      <c r="J13" s="175">
        <f>H13/DAY(B2)</f>
        <v>10602.424193548381</v>
      </c>
      <c r="K13" s="79"/>
      <c r="L13" s="66"/>
      <c r="N13" s="87"/>
      <c r="O13" s="71"/>
    </row>
    <row r="14" spans="1:15" ht="29.25" x14ac:dyDescent="0.5">
      <c r="A14" s="795" t="s">
        <v>137</v>
      </c>
      <c r="B14" s="796"/>
      <c r="C14" s="79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'20'!F15</f>
        <v>1802867.8829999999</v>
      </c>
      <c r="F15" s="123">
        <f>E15+875</f>
        <v>1803742.8829999999</v>
      </c>
      <c r="G15" s="112">
        <f>(F15-E15)</f>
        <v>875</v>
      </c>
      <c r="H15" s="99">
        <f>G15+'20'!H15</f>
        <v>20409.882999999914</v>
      </c>
      <c r="I15" s="113">
        <f>'1'!I15</f>
        <v>800</v>
      </c>
      <c r="J15" s="175">
        <f>H15/DAY(B2)</f>
        <v>658.38332258064236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141.61667741935764</v>
      </c>
      <c r="J16" s="176"/>
      <c r="K16" s="79"/>
      <c r="L16" s="66"/>
      <c r="N16" s="87"/>
      <c r="O16" s="71"/>
    </row>
    <row r="17" spans="1:15" ht="29.25" x14ac:dyDescent="0.5">
      <c r="A17" s="795" t="s">
        <v>140</v>
      </c>
      <c r="B17" s="796"/>
      <c r="C17" s="79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1" t="s">
        <v>141</v>
      </c>
      <c r="B18" s="772"/>
      <c r="C18" s="773"/>
      <c r="D18" s="151" t="s">
        <v>142</v>
      </c>
      <c r="E18" s="95">
        <f>'20'!F18</f>
        <v>14</v>
      </c>
      <c r="F18" s="122">
        <v>14</v>
      </c>
      <c r="G18" s="119">
        <f>F18*10</f>
        <v>140</v>
      </c>
      <c r="H18" s="99">
        <f>G18+'20'!H18</f>
        <v>3880</v>
      </c>
      <c r="I18" s="113">
        <f>'1'!I18</f>
        <v>65</v>
      </c>
      <c r="J18" s="175">
        <f>H18/DAY(B2)</f>
        <v>125.16129032258064</v>
      </c>
      <c r="K18" s="79"/>
      <c r="L18" s="66"/>
      <c r="N18" s="87"/>
      <c r="O18" s="71"/>
    </row>
    <row r="19" spans="1:15" ht="27.75" x14ac:dyDescent="0.5">
      <c r="A19" s="771" t="s">
        <v>69</v>
      </c>
      <c r="B19" s="772"/>
      <c r="C19" s="773"/>
      <c r="D19" s="151" t="s">
        <v>142</v>
      </c>
      <c r="E19" s="95">
        <f>'20'!F19</f>
        <v>148225</v>
      </c>
      <c r="F19" s="122">
        <f>E19+60</f>
        <v>148285</v>
      </c>
      <c r="G19" s="112">
        <f t="shared" ref="G19" si="1">F19-E19</f>
        <v>60</v>
      </c>
      <c r="H19" s="99">
        <f>G19+'20'!H19</f>
        <v>1233</v>
      </c>
      <c r="I19" s="355"/>
      <c r="J19" s="175">
        <f>H19/DAY(B2)</f>
        <v>39.774193548387096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200</v>
      </c>
      <c r="H20" s="99">
        <f>G20+'20'!H20</f>
        <v>5113</v>
      </c>
      <c r="I20" s="356">
        <f>I18-J20</f>
        <v>-99.935483870967744</v>
      </c>
      <c r="J20" s="175">
        <f>H20/DAY(B2)</f>
        <v>164.93548387096774</v>
      </c>
      <c r="K20" s="79"/>
      <c r="L20" s="66"/>
      <c r="N20" s="87"/>
      <c r="O20" s="71"/>
    </row>
    <row r="21" spans="1:15" ht="29.25" x14ac:dyDescent="0.5">
      <c r="A21" s="795" t="s">
        <v>144</v>
      </c>
      <c r="B21" s="796"/>
      <c r="C21" s="79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'20'!F23</f>
        <v>2000</v>
      </c>
      <c r="F23" s="122">
        <v>2000</v>
      </c>
      <c r="G23" s="119">
        <v>0</v>
      </c>
      <c r="H23" s="99">
        <f>G23+'20'!H23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'20'!F24</f>
        <v>4970</v>
      </c>
      <c r="F24" s="128">
        <v>4970</v>
      </c>
      <c r="G24" s="119">
        <v>0</v>
      </c>
      <c r="H24" s="99">
        <f>G24+'20'!H24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0" t="s">
        <v>149</v>
      </c>
      <c r="B25" s="801"/>
      <c r="C25" s="80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23050</v>
      </c>
      <c r="F27" s="136">
        <v>9</v>
      </c>
      <c r="G27" s="137">
        <f>E27*F27</f>
        <v>207450</v>
      </c>
      <c r="H27" s="99">
        <f>G27+'20'!H27</f>
        <v>4446114.75</v>
      </c>
      <c r="I27" s="138"/>
      <c r="J27" s="175">
        <f>H27/DAY(B2)</f>
        <v>143423.05645161291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875</v>
      </c>
      <c r="F28" s="136">
        <v>52</v>
      </c>
      <c r="G28" s="137">
        <f>E28*F28</f>
        <v>45500</v>
      </c>
      <c r="H28" s="99">
        <f>G28+'20'!H28</f>
        <v>1061313.9159999955</v>
      </c>
      <c r="I28" s="140"/>
      <c r="J28" s="175">
        <f>H28/DAY(B2)</f>
        <v>34235.932774193403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G30+'20'!H30</f>
        <v>180018</v>
      </c>
      <c r="I30" s="140"/>
      <c r="J30" s="175">
        <f>H30/DAY(B2)</f>
        <v>5807.0322580645161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G31+'20'!H31</f>
        <v>310400</v>
      </c>
      <c r="I31" s="140"/>
      <c r="J31" s="175">
        <f>H31/DAY(B2)</f>
        <v>10012.903225806451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272910</v>
      </c>
      <c r="H32" s="99">
        <f>G32+'20'!H32</f>
        <v>5997846.6659999955</v>
      </c>
      <c r="I32" s="144"/>
      <c r="J32" s="175">
        <f>H32/DAY(B2)</f>
        <v>193478.92470967729</v>
      </c>
      <c r="K32" s="63"/>
      <c r="L32" s="89"/>
      <c r="N32" s="87"/>
      <c r="O32" s="71"/>
    </row>
    <row r="33" spans="1:15" ht="25.5" customHeight="1" x14ac:dyDescent="0.35">
      <c r="A33" s="803" t="s">
        <v>331</v>
      </c>
      <c r="B33" s="804"/>
      <c r="C33" s="804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'20'!F35</f>
        <v>1058597</v>
      </c>
      <c r="F35" s="145">
        <v>1058597</v>
      </c>
      <c r="G35" s="112">
        <f t="shared" ref="G35:G46" si="3">F35-E35</f>
        <v>0</v>
      </c>
      <c r="H35" s="99">
        <f>G35+'20'!H35</f>
        <v>2111685.6</v>
      </c>
      <c r="I35" s="95"/>
      <c r="J35" s="175">
        <f>H35/DAY(B2)</f>
        <v>68118.890322580643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'20'!F36</f>
        <v>1833</v>
      </c>
      <c r="F36" s="145">
        <v>1833</v>
      </c>
      <c r="G36" s="112">
        <f t="shared" si="3"/>
        <v>0</v>
      </c>
      <c r="H36" s="99">
        <f>G36+'20'!H36</f>
        <v>-57914.1</v>
      </c>
      <c r="I36" s="95"/>
      <c r="J36" s="175">
        <f>H36/DAY(B2)</f>
        <v>-1868.1967741935484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'20'!F37</f>
        <v>2775</v>
      </c>
      <c r="F37" s="145">
        <v>2775</v>
      </c>
      <c r="G37" s="112">
        <f t="shared" si="3"/>
        <v>0</v>
      </c>
      <c r="H37" s="99">
        <f>G37+'20'!H37</f>
        <v>-131866.87</v>
      </c>
      <c r="I37" s="95"/>
      <c r="J37" s="175">
        <f>H37/DAY(B2)</f>
        <v>-4253.7699999999995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'20'!F38</f>
        <v>4823</v>
      </c>
      <c r="F38" s="108">
        <v>4823</v>
      </c>
      <c r="G38" s="112">
        <f t="shared" si="3"/>
        <v>0</v>
      </c>
      <c r="H38" s="99">
        <f>G38+'20'!H38</f>
        <v>-137077.6</v>
      </c>
      <c r="I38" s="95"/>
      <c r="J38" s="175">
        <f>H38/DAY(B2)</f>
        <v>-4421.8580645161292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'20'!F39</f>
        <v>637915</v>
      </c>
      <c r="F39" s="145">
        <v>637915</v>
      </c>
      <c r="G39" s="112">
        <f t="shared" si="3"/>
        <v>0</v>
      </c>
      <c r="H39" s="99">
        <f>G39+'20'!H39</f>
        <v>958234.97</v>
      </c>
      <c r="I39" s="95"/>
      <c r="J39" s="175">
        <f>H39/DAY(B2)</f>
        <v>30910.805483870969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'20'!F40</f>
        <v>34599</v>
      </c>
      <c r="F40" s="145">
        <v>34599</v>
      </c>
      <c r="G40" s="112">
        <f t="shared" si="3"/>
        <v>0</v>
      </c>
      <c r="H40" s="99">
        <f>G40+'20'!H40</f>
        <v>69191.77</v>
      </c>
      <c r="I40" s="95"/>
      <c r="J40" s="175">
        <f>H40/DAY(B2)</f>
        <v>2231.9925806451615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'20'!F41</f>
        <v>433281.79</v>
      </c>
      <c r="F41" s="145">
        <v>433281.79</v>
      </c>
      <c r="G41" s="112">
        <f t="shared" si="3"/>
        <v>0</v>
      </c>
      <c r="H41" s="99">
        <f>G41+'20'!H41</f>
        <v>-177234.68000000011</v>
      </c>
      <c r="I41" s="95"/>
      <c r="J41" s="175">
        <f>H41/DAY(B2)</f>
        <v>-5717.2477419354873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'20'!F42</f>
        <v>175112</v>
      </c>
      <c r="F42" s="145">
        <v>175112</v>
      </c>
      <c r="G42" s="112">
        <f t="shared" si="3"/>
        <v>0</v>
      </c>
      <c r="H42" s="99">
        <f>G42+'20'!H42</f>
        <v>-162623.49</v>
      </c>
      <c r="I42" s="95"/>
      <c r="J42" s="175">
        <f>H42/DAY(B2)</f>
        <v>-5245.9190322580644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'20'!F43</f>
        <v>1289745</v>
      </c>
      <c r="F43" s="145">
        <v>1289745</v>
      </c>
      <c r="G43" s="112">
        <f t="shared" si="3"/>
        <v>0</v>
      </c>
      <c r="H43" s="99">
        <f>G43+'20'!H43</f>
        <v>-191251.19999999995</v>
      </c>
      <c r="I43" s="95"/>
      <c r="J43" s="175">
        <f>H43/DAY(B2)</f>
        <v>-6169.3935483870955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'20'!F45</f>
        <v>614</v>
      </c>
      <c r="F45" s="145">
        <v>614</v>
      </c>
      <c r="G45" s="112">
        <f t="shared" si="3"/>
        <v>0</v>
      </c>
      <c r="H45" s="99">
        <f>G45+'20'!H45</f>
        <v>1228</v>
      </c>
      <c r="I45" s="95"/>
      <c r="J45" s="175">
        <f>H45/DAY(B2)</f>
        <v>39.612903225806448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'20'!F46</f>
        <v>187</v>
      </c>
      <c r="F46" s="145">
        <v>187</v>
      </c>
      <c r="G46" s="112">
        <f t="shared" si="3"/>
        <v>0</v>
      </c>
      <c r="H46" s="99">
        <f>G46+'20'!H46</f>
        <v>374</v>
      </c>
      <c r="I46" s="95"/>
      <c r="J46" s="175">
        <f>H46/DAY(B2)</f>
        <v>12.064516129032258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0</v>
      </c>
      <c r="H47" s="99">
        <f>G47+'20'!H47</f>
        <v>2282746.4</v>
      </c>
      <c r="I47" s="95"/>
      <c r="J47" s="175">
        <f>H47/DAY(B2)</f>
        <v>73636.980645161282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'20'!F49</f>
        <v>419822</v>
      </c>
      <c r="F49" s="145">
        <v>419822</v>
      </c>
      <c r="G49" s="112">
        <f t="shared" ref="G49:G58" si="4">F49-E49</f>
        <v>0</v>
      </c>
      <c r="H49" s="99">
        <f>G49+'20'!H49</f>
        <v>596649.56000000006</v>
      </c>
      <c r="I49" s="95"/>
      <c r="J49" s="175">
        <f>H49/DAY(B2)</f>
        <v>19246.760000000002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'20'!F50</f>
        <v>607298</v>
      </c>
      <c r="F50" s="145">
        <v>607298</v>
      </c>
      <c r="G50" s="112">
        <f t="shared" si="4"/>
        <v>0</v>
      </c>
      <c r="H50" s="99">
        <f>G50+'20'!H50</f>
        <v>-93045.949999999953</v>
      </c>
      <c r="I50" s="95"/>
      <c r="J50" s="175">
        <f>H50/DAY(B2)</f>
        <v>-3001.4822580645146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'20'!F51</f>
        <v>144640</v>
      </c>
      <c r="F51" s="145">
        <v>144640</v>
      </c>
      <c r="G51" s="112">
        <f t="shared" si="4"/>
        <v>0</v>
      </c>
      <c r="H51" s="99">
        <f>G51+'20'!H51</f>
        <v>289280</v>
      </c>
      <c r="I51" s="95"/>
      <c r="J51" s="175">
        <f>H51/DAY(B2)</f>
        <v>9331.6129032258068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'20'!F52</f>
        <v>539606</v>
      </c>
      <c r="F52" s="145">
        <v>539606</v>
      </c>
      <c r="G52" s="112">
        <f t="shared" si="4"/>
        <v>0</v>
      </c>
      <c r="H52" s="99">
        <f>G52+'20'!H52</f>
        <v>1079212</v>
      </c>
      <c r="I52" s="95"/>
      <c r="J52" s="175">
        <f>H52/DAY(B2)</f>
        <v>34813.290322580644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'20'!F53</f>
        <v>434232</v>
      </c>
      <c r="F53" s="145">
        <v>434232</v>
      </c>
      <c r="G53" s="112">
        <f t="shared" si="4"/>
        <v>0</v>
      </c>
      <c r="H53" s="99">
        <f>G53+'20'!H53</f>
        <v>868464</v>
      </c>
      <c r="I53" s="95"/>
      <c r="J53" s="175">
        <f>H53/DAY(B2)</f>
        <v>28014.967741935485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'20'!F54</f>
        <v>14967</v>
      </c>
      <c r="F54" s="145">
        <v>14967</v>
      </c>
      <c r="G54" s="112">
        <f t="shared" si="4"/>
        <v>0</v>
      </c>
      <c r="H54" s="99">
        <f>G54+'20'!H54</f>
        <v>24399.77</v>
      </c>
      <c r="I54" s="95"/>
      <c r="J54" s="175">
        <f>H54/DAY(B2)</f>
        <v>787.08935483870971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'20'!F55</f>
        <v>306268.99</v>
      </c>
      <c r="F55" s="145">
        <v>306268.99</v>
      </c>
      <c r="G55" s="112">
        <f t="shared" si="4"/>
        <v>0</v>
      </c>
      <c r="H55" s="99">
        <f>G55+'20'!H55</f>
        <v>-2059.4899999999907</v>
      </c>
      <c r="I55" s="95"/>
      <c r="J55" s="175">
        <f>H55/DAY(B2)</f>
        <v>-66.435161290322284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'20'!F56</f>
        <v>661019</v>
      </c>
      <c r="F56" s="145">
        <v>661019</v>
      </c>
      <c r="G56" s="112">
        <f t="shared" si="4"/>
        <v>0</v>
      </c>
      <c r="H56" s="99">
        <f>G56+'20'!H56</f>
        <v>-194032.55000000005</v>
      </c>
      <c r="I56" s="95"/>
      <c r="J56" s="175">
        <f>H56/DAY(B2)</f>
        <v>-6259.1145161290342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'20'!F57</f>
        <v>7711</v>
      </c>
      <c r="F57" s="145">
        <v>7711</v>
      </c>
      <c r="G57" s="112">
        <f t="shared" si="4"/>
        <v>0</v>
      </c>
      <c r="H57" s="99">
        <f>G57+'20'!H57</f>
        <v>15422</v>
      </c>
      <c r="I57" s="95"/>
      <c r="J57" s="175">
        <f>H57/DAY(B2)</f>
        <v>497.48387096774195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'20'!F58</f>
        <v>66014</v>
      </c>
      <c r="F58" s="145">
        <v>66014</v>
      </c>
      <c r="G58" s="112">
        <f t="shared" si="4"/>
        <v>0</v>
      </c>
      <c r="H58" s="99">
        <f>G58+'20'!H58</f>
        <v>-16060.800000000003</v>
      </c>
      <c r="I58" s="95"/>
      <c r="J58" s="175">
        <f>H58/DAY(B2)</f>
        <v>-518.09032258064531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0</v>
      </c>
      <c r="H59" s="99">
        <f>G59+'20'!H59</f>
        <v>2568228.54</v>
      </c>
      <c r="I59" s="95">
        <f>G7-G60</f>
        <v>23000</v>
      </c>
      <c r="J59" s="175">
        <f>H59/DAY(B2)</f>
        <v>82846.081935483875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0</v>
      </c>
      <c r="H60" s="99">
        <f>G60+'20'!H60</f>
        <v>4850974.9399999995</v>
      </c>
      <c r="I60" s="95">
        <f>G13-G60</f>
        <v>23000</v>
      </c>
      <c r="J60" s="175">
        <f>H60/DAY(B2)</f>
        <v>156483.06258064514</v>
      </c>
      <c r="K60" s="79"/>
      <c r="L60" s="66"/>
      <c r="N60" s="87"/>
      <c r="O60" s="71"/>
    </row>
    <row r="61" spans="1:15" s="68" customFormat="1" ht="27.75" x14ac:dyDescent="0.5">
      <c r="A61" s="805" t="s">
        <v>332</v>
      </c>
      <c r="B61" s="806"/>
      <c r="C61" s="807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1" t="s">
        <v>198</v>
      </c>
      <c r="B62" s="772"/>
      <c r="C62" s="773"/>
      <c r="D62" s="151" t="s">
        <v>142</v>
      </c>
      <c r="E62" s="95">
        <f>'20'!F62</f>
        <v>253452</v>
      </c>
      <c r="F62" s="122">
        <v>253452</v>
      </c>
      <c r="G62" s="112">
        <f t="shared" ref="G62:G63" si="5">F62-E62</f>
        <v>0</v>
      </c>
      <c r="H62" s="99">
        <f>G62+'20'!H62</f>
        <v>-7655</v>
      </c>
      <c r="I62" s="118"/>
      <c r="J62" s="175">
        <f>H62/DAY(B2)</f>
        <v>-246.93548387096774</v>
      </c>
      <c r="K62" s="80"/>
      <c r="L62" s="66"/>
      <c r="N62" s="87"/>
      <c r="O62" s="71"/>
    </row>
    <row r="63" spans="1:15" ht="27.75" x14ac:dyDescent="0.5">
      <c r="A63" s="771" t="s">
        <v>199</v>
      </c>
      <c r="B63" s="772"/>
      <c r="C63" s="773"/>
      <c r="D63" s="151" t="s">
        <v>142</v>
      </c>
      <c r="E63" s="95">
        <f>'20'!F63</f>
        <v>197659</v>
      </c>
      <c r="F63" s="122">
        <v>197659</v>
      </c>
      <c r="G63" s="112">
        <f t="shared" si="5"/>
        <v>0</v>
      </c>
      <c r="H63" s="99">
        <f>G63+'20'!H63</f>
        <v>-11970</v>
      </c>
      <c r="I63" s="118"/>
      <c r="J63" s="175">
        <f>H63/DAY(B2)</f>
        <v>-386.12903225806451</v>
      </c>
      <c r="K63" s="69"/>
      <c r="L63" s="66"/>
      <c r="N63" s="87"/>
      <c r="O63" s="71"/>
    </row>
    <row r="64" spans="1:15" ht="29.25" x14ac:dyDescent="0.5">
      <c r="A64" s="780" t="s">
        <v>200</v>
      </c>
      <c r="B64" s="781"/>
      <c r="C64" s="782"/>
      <c r="D64" s="151"/>
      <c r="E64" s="95">
        <f>'20'!F64</f>
        <v>0</v>
      </c>
      <c r="F64" s="122"/>
      <c r="G64" s="112">
        <f>G62+G63</f>
        <v>0</v>
      </c>
      <c r="H64" s="99">
        <f>G64+'20'!H64</f>
        <v>-19625</v>
      </c>
      <c r="I64" s="118"/>
      <c r="J64" s="175">
        <f>H64/DAY(B2)</f>
        <v>-633.06451612903231</v>
      </c>
      <c r="K64" s="69"/>
      <c r="L64" s="66"/>
      <c r="N64" s="87"/>
      <c r="O64" s="71"/>
    </row>
    <row r="65" spans="1:15" ht="27.75" x14ac:dyDescent="0.5">
      <c r="A65" s="771" t="s">
        <v>201</v>
      </c>
      <c r="B65" s="772"/>
      <c r="C65" s="773"/>
      <c r="D65" s="151" t="s">
        <v>142</v>
      </c>
      <c r="E65" s="95">
        <f>'20'!F65</f>
        <v>421019</v>
      </c>
      <c r="F65" s="122">
        <v>421019</v>
      </c>
      <c r="G65" s="112">
        <f t="shared" ref="G65:G70" si="6">F65-E65</f>
        <v>0</v>
      </c>
      <c r="H65" s="99">
        <f>G65+'20'!H65</f>
        <v>-6100</v>
      </c>
      <c r="I65" s="118"/>
      <c r="J65" s="175">
        <f>H65/DAY(B2)</f>
        <v>-196.7741935483871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'20'!F66</f>
        <v>104636</v>
      </c>
      <c r="F66" s="122">
        <v>104636</v>
      </c>
      <c r="G66" s="112">
        <f t="shared" si="6"/>
        <v>0</v>
      </c>
      <c r="H66" s="99">
        <f>G66+'20'!H66</f>
        <v>-1732</v>
      </c>
      <c r="I66" s="118"/>
      <c r="J66" s="175">
        <f>H66/DAY(B2)</f>
        <v>-55.87096774193548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'20'!F67</f>
        <v>100370</v>
      </c>
      <c r="F67" s="122">
        <v>100370</v>
      </c>
      <c r="G67" s="112">
        <f t="shared" si="6"/>
        <v>0</v>
      </c>
      <c r="H67" s="99">
        <f>G67+'20'!H67</f>
        <v>-2308</v>
      </c>
      <c r="I67" s="118"/>
      <c r="J67" s="175">
        <f>H67/DAY(B2)</f>
        <v>-74.451612903225808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'20'!F68</f>
        <v>152135</v>
      </c>
      <c r="F68" s="122">
        <v>152135</v>
      </c>
      <c r="G68" s="112">
        <f t="shared" si="6"/>
        <v>0</v>
      </c>
      <c r="H68" s="99">
        <f>G68+'20'!H68</f>
        <v>-2715</v>
      </c>
      <c r="I68" s="118"/>
      <c r="J68" s="175">
        <f>H68/DAY(B2)</f>
        <v>-87.58064516129032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'20'!F69</f>
        <v>8645</v>
      </c>
      <c r="F69" s="122">
        <v>8645</v>
      </c>
      <c r="G69" s="112">
        <f t="shared" si="6"/>
        <v>0</v>
      </c>
      <c r="H69" s="99">
        <f>G69+'20'!H69</f>
        <v>-1032</v>
      </c>
      <c r="I69" s="118"/>
      <c r="J69" s="175">
        <f>H69/DAY(B2)</f>
        <v>-33.29032258064516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'20'!F70</f>
        <v>6373</v>
      </c>
      <c r="F70" s="122">
        <v>6373</v>
      </c>
      <c r="G70" s="112">
        <f t="shared" si="6"/>
        <v>0</v>
      </c>
      <c r="H70" s="99">
        <f>G70+'20'!H70</f>
        <v>-1059</v>
      </c>
      <c r="I70" s="118"/>
      <c r="J70" s="175">
        <f>H70/DAY(B2)</f>
        <v>-34.161290322580648</v>
      </c>
      <c r="K70" s="69"/>
      <c r="L70" s="66"/>
      <c r="N70" s="87"/>
      <c r="O70" s="71"/>
    </row>
    <row r="71" spans="1:15" ht="29.25" x14ac:dyDescent="0.5">
      <c r="A71" s="780" t="s">
        <v>208</v>
      </c>
      <c r="B71" s="781"/>
      <c r="C71" s="782"/>
      <c r="D71" s="152"/>
      <c r="E71" s="152"/>
      <c r="F71" s="152"/>
      <c r="G71" s="153">
        <f>SUM(G65:G70)</f>
        <v>0</v>
      </c>
      <c r="H71" s="99">
        <f>G71+'20'!H71</f>
        <v>-14946</v>
      </c>
      <c r="I71" s="154"/>
      <c r="J71" s="175">
        <f>H71/DAY(B2)</f>
        <v>-482.12903225806451</v>
      </c>
      <c r="K71" s="69"/>
      <c r="L71" s="66"/>
      <c r="N71" s="87"/>
      <c r="O71" s="71"/>
    </row>
    <row r="72" spans="1:15" s="88" customFormat="1" ht="27.75" x14ac:dyDescent="0.5">
      <c r="A72" s="767"/>
      <c r="B72" s="752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77" t="s">
        <v>333</v>
      </c>
      <c r="B73" s="778"/>
      <c r="C73" s="779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1" t="s">
        <v>220</v>
      </c>
      <c r="B74" s="772"/>
      <c r="C74" s="773"/>
      <c r="D74" s="151" t="s">
        <v>139</v>
      </c>
      <c r="E74" s="95">
        <f>'20'!F74</f>
        <v>856352</v>
      </c>
      <c r="F74" s="123">
        <v>856352</v>
      </c>
      <c r="G74" s="112">
        <f t="shared" ref="G74:G78" si="7">F74-E74</f>
        <v>0</v>
      </c>
      <c r="H74" s="99">
        <f>G74+'20'!H74</f>
        <v>-21277.869999999995</v>
      </c>
      <c r="I74" s="154"/>
      <c r="J74" s="175">
        <f>H74/DAY(B2)</f>
        <v>-686.38290322580633</v>
      </c>
      <c r="K74" s="69"/>
      <c r="L74" s="66"/>
      <c r="N74" s="87"/>
      <c r="O74" s="71"/>
    </row>
    <row r="75" spans="1:15" ht="27.75" x14ac:dyDescent="0.5">
      <c r="A75" s="771" t="s">
        <v>221</v>
      </c>
      <c r="B75" s="772"/>
      <c r="C75" s="773"/>
      <c r="D75" s="151" t="s">
        <v>139</v>
      </c>
      <c r="E75" s="95">
        <f>'20'!F75</f>
        <v>73583.399999999994</v>
      </c>
      <c r="F75" s="123">
        <v>73583.399999999994</v>
      </c>
      <c r="G75" s="112">
        <f t="shared" si="7"/>
        <v>0</v>
      </c>
      <c r="H75" s="99">
        <f>G75+'20'!H75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68" t="s">
        <v>222</v>
      </c>
      <c r="B76" s="769"/>
      <c r="C76" s="770"/>
      <c r="D76" s="151" t="s">
        <v>139</v>
      </c>
      <c r="E76" s="95">
        <f>'20'!F76</f>
        <v>154077</v>
      </c>
      <c r="F76" s="123">
        <v>154077</v>
      </c>
      <c r="G76" s="112">
        <f t="shared" si="7"/>
        <v>0</v>
      </c>
      <c r="H76" s="99">
        <f>G76+'20'!H76</f>
        <v>-7237.9200000000128</v>
      </c>
      <c r="I76" s="154"/>
      <c r="J76" s="175">
        <f>H76/DAY(B2)</f>
        <v>-233.48129032258106</v>
      </c>
      <c r="K76" s="69"/>
      <c r="L76" s="66"/>
      <c r="N76" s="87"/>
      <c r="O76" s="71"/>
    </row>
    <row r="77" spans="1:15" ht="27.75" x14ac:dyDescent="0.5">
      <c r="A77" s="768" t="s">
        <v>223</v>
      </c>
      <c r="B77" s="769"/>
      <c r="C77" s="770"/>
      <c r="D77" s="151" t="s">
        <v>139</v>
      </c>
      <c r="E77" s="95">
        <f>'20'!F77</f>
        <v>34629</v>
      </c>
      <c r="F77" s="123">
        <v>34629</v>
      </c>
      <c r="G77" s="112">
        <f t="shared" si="7"/>
        <v>0</v>
      </c>
      <c r="H77" s="99">
        <f>G77+'20'!H77</f>
        <v>-3596.8000000000029</v>
      </c>
      <c r="I77" s="154"/>
      <c r="J77" s="175">
        <f>H77/DAY(B2)</f>
        <v>-116.02580645161299</v>
      </c>
      <c r="K77" s="69"/>
      <c r="L77" s="66"/>
      <c r="N77" s="87"/>
      <c r="O77" s="71"/>
    </row>
    <row r="78" spans="1:15" ht="27.75" x14ac:dyDescent="0.5">
      <c r="A78" s="768" t="s">
        <v>224</v>
      </c>
      <c r="B78" s="769"/>
      <c r="C78" s="770"/>
      <c r="D78" s="151" t="s">
        <v>139</v>
      </c>
      <c r="E78" s="95">
        <f>'20'!F78</f>
        <v>9180</v>
      </c>
      <c r="F78" s="123">
        <v>9180</v>
      </c>
      <c r="G78" s="112">
        <f t="shared" si="7"/>
        <v>0</v>
      </c>
      <c r="H78" s="99">
        <f>G78+'20'!H78</f>
        <v>-180.60000000000036</v>
      </c>
      <c r="I78" s="118"/>
      <c r="J78" s="175">
        <f>H78/DAY(B2)</f>
        <v>-5.8258064516129151</v>
      </c>
      <c r="K78" s="69"/>
      <c r="L78" s="66"/>
      <c r="N78" s="87"/>
      <c r="O78" s="71"/>
    </row>
    <row r="79" spans="1:15" s="57" customFormat="1" ht="27.75" x14ac:dyDescent="0.5">
      <c r="A79" s="768" t="s">
        <v>225</v>
      </c>
      <c r="B79" s="769"/>
      <c r="C79" s="770"/>
      <c r="D79" s="151"/>
      <c r="E79" s="95">
        <f>'20'!F79</f>
        <v>0</v>
      </c>
      <c r="F79" s="123"/>
      <c r="G79" s="112">
        <f>G15-SUM(G74:G78)</f>
        <v>875</v>
      </c>
      <c r="H79" s="99">
        <f>G79+'20'!H79</f>
        <v>52703.072999999924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0" t="s">
        <v>329</v>
      </c>
      <c r="B80" s="781"/>
      <c r="C80" s="782"/>
      <c r="D80" s="151"/>
      <c r="E80" s="117"/>
      <c r="F80" s="117"/>
      <c r="G80" s="112">
        <f>SUM(G74:G79)</f>
        <v>875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85" t="s">
        <v>226</v>
      </c>
      <c r="B81" s="786"/>
      <c r="C81" s="78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'20'!F82</f>
        <v>0</v>
      </c>
      <c r="F82" s="122"/>
      <c r="G82" s="112">
        <f t="shared" ref="G82:G92" si="8">F82-E82</f>
        <v>0</v>
      </c>
      <c r="H82" s="99">
        <f>G82+'20'!H82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'20'!F83</f>
        <v>0</v>
      </c>
      <c r="F83" s="122"/>
      <c r="G83" s="112">
        <f t="shared" si="8"/>
        <v>0</v>
      </c>
      <c r="H83" s="99">
        <f>G83+'20'!H83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'20'!F84</f>
        <v>40922</v>
      </c>
      <c r="F84" s="164">
        <v>40922</v>
      </c>
      <c r="G84" s="112">
        <f t="shared" si="8"/>
        <v>0</v>
      </c>
      <c r="H84" s="99">
        <f>G84+'20'!H84</f>
        <v>-774.19000000000233</v>
      </c>
      <c r="I84" s="118"/>
      <c r="J84" s="175">
        <f>H84/DAY(B2)</f>
        <v>-24.973870967742009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'20'!F85</f>
        <v>856</v>
      </c>
      <c r="F85" s="164">
        <v>856</v>
      </c>
      <c r="G85" s="112">
        <f t="shared" si="8"/>
        <v>0</v>
      </c>
      <c r="H85" s="99">
        <f>G85+'20'!H85</f>
        <v>-761.45</v>
      </c>
      <c r="I85" s="118">
        <f>G82+G83+G84+G85</f>
        <v>0</v>
      </c>
      <c r="J85" s="175">
        <f>H85/DAY(B2)</f>
        <v>-24.562903225806455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'20'!F86</f>
        <v>42822</v>
      </c>
      <c r="F86" s="164">
        <v>42822</v>
      </c>
      <c r="G86" s="112">
        <f t="shared" si="8"/>
        <v>0</v>
      </c>
      <c r="H86" s="99">
        <f>G86+'20'!H86</f>
        <v>-8.4700000000011642</v>
      </c>
      <c r="I86" s="118"/>
      <c r="J86" s="175">
        <f>H86/DAY(B2)</f>
        <v>-0.27322580645165045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'20'!F87</f>
        <v>32928</v>
      </c>
      <c r="F87" s="164">
        <v>32928</v>
      </c>
      <c r="G87" s="112">
        <f t="shared" si="8"/>
        <v>0</v>
      </c>
      <c r="H87" s="99">
        <f>G87+'20'!H87</f>
        <v>-921.2300000000032</v>
      </c>
      <c r="I87" s="118"/>
      <c r="J87" s="175">
        <f>H87/DAY(B2)</f>
        <v>-29.717096774193653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'20'!F88</f>
        <v>23356.43</v>
      </c>
      <c r="F88" s="164">
        <v>23356.43</v>
      </c>
      <c r="G88" s="112">
        <f t="shared" si="8"/>
        <v>0</v>
      </c>
      <c r="H88" s="99">
        <f>G88+'20'!H88</f>
        <v>-580.34000000000015</v>
      </c>
      <c r="I88" s="118">
        <f>G86+G87+G88</f>
        <v>0</v>
      </c>
      <c r="J88" s="175">
        <f>H88/DAY(B2)</f>
        <v>-18.720645161290328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'20'!F89</f>
        <v>25132.959999999999</v>
      </c>
      <c r="F89" s="164">
        <v>25132.959999999999</v>
      </c>
      <c r="G89" s="112">
        <f t="shared" si="8"/>
        <v>0</v>
      </c>
      <c r="H89" s="99">
        <f>G89+'20'!H89</f>
        <v>-163.57300000000032</v>
      </c>
      <c r="I89" s="118"/>
      <c r="J89" s="175">
        <f>H89/DAY(B2)</f>
        <v>-5.2765483870967849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'20'!F90</f>
        <v>70524.55</v>
      </c>
      <c r="F90" s="164">
        <v>70524.55</v>
      </c>
      <c r="G90" s="112">
        <f t="shared" si="8"/>
        <v>0</v>
      </c>
      <c r="H90" s="99">
        <f>G90+'20'!H90</f>
        <v>-72.10999999998603</v>
      </c>
      <c r="I90" s="118">
        <f>G89+G90</f>
        <v>0</v>
      </c>
      <c r="J90" s="175">
        <f>H90/DAY(B2)</f>
        <v>-2.3261290322576138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'20'!F91</f>
        <v>2627.98</v>
      </c>
      <c r="F91" s="122">
        <v>2627.98</v>
      </c>
      <c r="G91" s="112">
        <f t="shared" si="8"/>
        <v>0</v>
      </c>
      <c r="H91" s="99">
        <f>G91+'20'!H91</f>
        <v>-779.37999999999965</v>
      </c>
      <c r="I91" s="165"/>
      <c r="J91" s="175">
        <f>H91/DAY(B2)</f>
        <v>-25.141290322580634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'20'!F92</f>
        <v>4754</v>
      </c>
      <c r="F92" s="122">
        <v>4754</v>
      </c>
      <c r="G92" s="112">
        <f t="shared" si="8"/>
        <v>0</v>
      </c>
      <c r="H92" s="99">
        <f>G92+'20'!H92</f>
        <v>-8.4600000000000364</v>
      </c>
      <c r="I92" s="165"/>
      <c r="J92" s="175">
        <f>H92/DAY(B2)</f>
        <v>-0.27290322580645276</v>
      </c>
      <c r="O92" s="71"/>
    </row>
    <row r="93" spans="1:15" ht="29.25" x14ac:dyDescent="0.5">
      <c r="A93" s="774" t="s">
        <v>239</v>
      </c>
      <c r="B93" s="775"/>
      <c r="C93" s="77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1" t="s">
        <v>240</v>
      </c>
      <c r="B94" s="772"/>
      <c r="C94" s="773"/>
      <c r="D94" s="151" t="s">
        <v>130</v>
      </c>
      <c r="E94" s="151"/>
      <c r="F94" s="151"/>
      <c r="G94" s="99">
        <f>G35+G43+G49+G57</f>
        <v>0</v>
      </c>
      <c r="H94" s="99">
        <f>G94+'20'!H94</f>
        <v>2532505.96</v>
      </c>
      <c r="I94" s="118"/>
      <c r="J94" s="175">
        <f>H94/DAY(B2)</f>
        <v>81693.740645161291</v>
      </c>
      <c r="K94" s="69"/>
      <c r="L94" s="66"/>
      <c r="O94" s="71"/>
    </row>
    <row r="95" spans="1:15" ht="27.75" x14ac:dyDescent="0.5">
      <c r="A95" s="771" t="s">
        <v>241</v>
      </c>
      <c r="B95" s="772"/>
      <c r="C95" s="773"/>
      <c r="D95" s="151" t="s">
        <v>23</v>
      </c>
      <c r="E95" s="146"/>
      <c r="F95" s="146"/>
      <c r="G95" s="166">
        <f>G94/G7</f>
        <v>0</v>
      </c>
      <c r="H95" s="99">
        <f>G95+'20'!H95</f>
        <v>110.05863639047362</v>
      </c>
      <c r="I95" s="167"/>
      <c r="J95" s="175">
        <f>H95/DAY(B2)</f>
        <v>3.5502785932410847</v>
      </c>
      <c r="K95" s="69"/>
      <c r="L95" s="66"/>
      <c r="O95" s="71"/>
    </row>
    <row r="96" spans="1:15" ht="27.75" x14ac:dyDescent="0.5">
      <c r="A96" s="771" t="s">
        <v>242</v>
      </c>
      <c r="B96" s="772"/>
      <c r="C96" s="773"/>
      <c r="D96" s="151" t="s">
        <v>130</v>
      </c>
      <c r="E96" s="95"/>
      <c r="F96" s="95"/>
      <c r="G96" s="99">
        <f>G41+G42+G55+G56</f>
        <v>0</v>
      </c>
      <c r="H96" s="99">
        <f>G96+'20'!H96</f>
        <v>-535950.2100000002</v>
      </c>
      <c r="I96" s="118"/>
      <c r="J96" s="175">
        <f>H96/DAY(B2)</f>
        <v>-17288.716451612909</v>
      </c>
      <c r="K96" s="69"/>
      <c r="L96" s="66"/>
      <c r="O96" s="71"/>
    </row>
    <row r="97" spans="1:15" ht="27.75" x14ac:dyDescent="0.5">
      <c r="A97" s="771" t="s">
        <v>243</v>
      </c>
      <c r="B97" s="772"/>
      <c r="C97" s="773"/>
      <c r="D97" s="151" t="s">
        <v>23</v>
      </c>
      <c r="E97" s="95"/>
      <c r="F97" s="95"/>
      <c r="G97" s="166">
        <f>G96/G7</f>
        <v>0</v>
      </c>
      <c r="H97" s="99">
        <f>G97+'20'!H97</f>
        <v>-23.376968076147254</v>
      </c>
      <c r="I97" s="167"/>
      <c r="J97" s="175">
        <f>H97/DAY(B2)</f>
        <v>-0.7540957443918469</v>
      </c>
      <c r="K97" s="69"/>
      <c r="L97" s="66"/>
      <c r="O97" s="71"/>
    </row>
    <row r="98" spans="1:15" ht="27.75" x14ac:dyDescent="0.5">
      <c r="A98" s="771" t="s">
        <v>244</v>
      </c>
      <c r="B98" s="772"/>
      <c r="C98" s="773"/>
      <c r="D98" s="151" t="s">
        <v>130</v>
      </c>
      <c r="E98" s="95"/>
      <c r="F98" s="95"/>
      <c r="G98" s="99">
        <f>G39+G53</f>
        <v>0</v>
      </c>
      <c r="H98" s="99">
        <f>G98+'20'!H98</f>
        <v>1826698.97</v>
      </c>
      <c r="I98" s="168"/>
      <c r="J98" s="175">
        <f>H98/DAY(B2)</f>
        <v>58925.77322580645</v>
      </c>
      <c r="K98" s="69"/>
      <c r="L98" s="66"/>
      <c r="O98" s="71"/>
    </row>
    <row r="99" spans="1:15" ht="27.75" x14ac:dyDescent="0.5">
      <c r="A99" s="771" t="s">
        <v>245</v>
      </c>
      <c r="B99" s="772"/>
      <c r="C99" s="773"/>
      <c r="D99" s="151" t="s">
        <v>23</v>
      </c>
      <c r="E99" s="95"/>
      <c r="F99" s="95"/>
      <c r="G99" s="166">
        <f>G98/G7</f>
        <v>0</v>
      </c>
      <c r="H99" s="99">
        <f>G99+'20'!H99</f>
        <v>79.385711690839827</v>
      </c>
      <c r="I99" s="168"/>
      <c r="J99" s="175">
        <f>H99/DAY(B2)</f>
        <v>2.5608294093819297</v>
      </c>
      <c r="O99" s="71"/>
    </row>
    <row r="100" spans="1:15" ht="27.75" x14ac:dyDescent="0.5">
      <c r="A100" s="771" t="s">
        <v>246</v>
      </c>
      <c r="B100" s="772"/>
      <c r="C100" s="773"/>
      <c r="D100" s="151" t="s">
        <v>180</v>
      </c>
      <c r="E100" s="95"/>
      <c r="F100" s="95"/>
      <c r="G100" s="99">
        <f>G38+G52</f>
        <v>0</v>
      </c>
      <c r="H100" s="99">
        <f>G100+'20'!H100</f>
        <v>942134.4</v>
      </c>
      <c r="I100" s="118"/>
      <c r="J100" s="175">
        <f>H100/DAY(B2)</f>
        <v>30391.432258064517</v>
      </c>
      <c r="K100" s="70"/>
      <c r="O100" s="71"/>
    </row>
    <row r="101" spans="1:15" ht="27.75" x14ac:dyDescent="0.5">
      <c r="A101" s="771" t="s">
        <v>247</v>
      </c>
      <c r="B101" s="772"/>
      <c r="C101" s="773"/>
      <c r="D101" s="151" t="s">
        <v>23</v>
      </c>
      <c r="E101" s="95"/>
      <c r="F101" s="95"/>
      <c r="G101" s="166">
        <f>G100/G7</f>
        <v>0</v>
      </c>
      <c r="H101" s="99">
        <f>G101+'20'!H101</f>
        <v>40.946365636236884</v>
      </c>
      <c r="I101" s="168"/>
      <c r="J101" s="175">
        <f>H101/DAY(B2)</f>
        <v>1.3208505043947383</v>
      </c>
      <c r="O101" s="71"/>
    </row>
    <row r="102" spans="1:15" ht="27.75" x14ac:dyDescent="0.5">
      <c r="A102" s="771" t="s">
        <v>248</v>
      </c>
      <c r="B102" s="772"/>
      <c r="C102" s="773"/>
      <c r="D102" s="151" t="s">
        <v>180</v>
      </c>
      <c r="E102" s="95"/>
      <c r="F102" s="95"/>
      <c r="G102" s="99">
        <f>G36+G50</f>
        <v>0</v>
      </c>
      <c r="H102" s="99">
        <f>G102+'20'!H102</f>
        <v>-150960.04999999996</v>
      </c>
      <c r="I102" s="168"/>
      <c r="J102" s="175">
        <f>H102/DAY(B2)</f>
        <v>-4869.6790322580628</v>
      </c>
      <c r="O102" s="71"/>
    </row>
    <row r="103" spans="1:15" ht="27.75" x14ac:dyDescent="0.5">
      <c r="A103" s="771" t="s">
        <v>249</v>
      </c>
      <c r="B103" s="772"/>
      <c r="C103" s="773"/>
      <c r="D103" s="151" t="s">
        <v>23</v>
      </c>
      <c r="E103" s="95"/>
      <c r="F103" s="95"/>
      <c r="G103" s="166">
        <f>G102/G7</f>
        <v>0</v>
      </c>
      <c r="H103" s="99">
        <f>G103+'20'!H103</f>
        <v>-6.5833689420489332</v>
      </c>
      <c r="I103" s="118"/>
      <c r="J103" s="175">
        <f>H103/DAY(B2)</f>
        <v>-0.21236674006609463</v>
      </c>
      <c r="O103" s="71"/>
    </row>
    <row r="104" spans="1:15" ht="27.75" x14ac:dyDescent="0.5">
      <c r="A104" s="771" t="s">
        <v>250</v>
      </c>
      <c r="B104" s="772"/>
      <c r="C104" s="773"/>
      <c r="D104" s="151" t="s">
        <v>180</v>
      </c>
      <c r="E104" s="95"/>
      <c r="F104" s="95"/>
      <c r="G104" s="99">
        <f>G37+G51</f>
        <v>0</v>
      </c>
      <c r="H104" s="99">
        <f>G104+'20'!H104</f>
        <v>157413.13</v>
      </c>
      <c r="I104" s="118"/>
      <c r="J104" s="175">
        <f>H104/DAY(B2)</f>
        <v>5077.8429032258064</v>
      </c>
      <c r="O104" s="71"/>
    </row>
    <row r="105" spans="1:15" ht="28.5" thickBot="1" x14ac:dyDescent="0.55000000000000004">
      <c r="A105" s="764" t="s">
        <v>251</v>
      </c>
      <c r="B105" s="765"/>
      <c r="C105" s="766"/>
      <c r="D105" s="231" t="s">
        <v>23</v>
      </c>
      <c r="E105" s="185"/>
      <c r="F105" s="185"/>
      <c r="G105" s="186">
        <f>G104/G7</f>
        <v>0</v>
      </c>
      <c r="H105" s="99">
        <f>G105+'20'!H105</f>
        <v>6.8301240046325189</v>
      </c>
      <c r="I105" s="187"/>
      <c r="J105" s="188">
        <f>H105/DAY(B2)</f>
        <v>0.22032658079459738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0" t="s">
        <v>324</v>
      </c>
      <c r="B108" s="760"/>
      <c r="C108" s="760"/>
      <c r="D108" s="760"/>
      <c r="E108" s="760"/>
      <c r="F108" s="760"/>
      <c r="G108" s="760"/>
      <c r="H108" s="760"/>
      <c r="I108" s="760"/>
      <c r="J108" s="760"/>
    </row>
    <row r="109" spans="1:15" ht="29.25" x14ac:dyDescent="0.5">
      <c r="A109" s="788"/>
      <c r="B109" s="788"/>
    </row>
    <row r="110" spans="1:15" ht="29.25" x14ac:dyDescent="0.5">
      <c r="A110" s="761" t="s">
        <v>165</v>
      </c>
      <c r="B110" s="762"/>
      <c r="C110" s="762"/>
      <c r="D110" s="762"/>
      <c r="E110" s="762"/>
      <c r="F110" s="762"/>
      <c r="G110" s="762"/>
      <c r="H110" s="762"/>
      <c r="I110" s="762"/>
      <c r="J110" s="763"/>
    </row>
    <row r="111" spans="1:15" ht="27.75" x14ac:dyDescent="0.5">
      <c r="A111" s="753"/>
      <c r="B111" s="754"/>
      <c r="C111" s="755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0" t="s">
        <v>252</v>
      </c>
      <c r="B112" s="751"/>
      <c r="C112" s="752"/>
      <c r="D112" s="146" t="s">
        <v>183</v>
      </c>
      <c r="E112" s="95">
        <f>'20'!F112</f>
        <v>38434</v>
      </c>
      <c r="F112" s="237">
        <v>38434</v>
      </c>
      <c r="G112" s="112">
        <f t="shared" ref="G112:G123" si="9">F112-E112</f>
        <v>0</v>
      </c>
      <c r="H112" s="99">
        <f>G112+'20'!H112</f>
        <v>-21107.82</v>
      </c>
      <c r="I112" s="165"/>
      <c r="J112" s="348">
        <f>H112/DAY(B2)</f>
        <v>-680.89741935483869</v>
      </c>
    </row>
    <row r="113" spans="1:18" ht="29.25" customHeight="1" x14ac:dyDescent="0.5">
      <c r="A113" s="750" t="s">
        <v>253</v>
      </c>
      <c r="B113" s="751"/>
      <c r="C113" s="752"/>
      <c r="D113" s="146" t="s">
        <v>183</v>
      </c>
      <c r="E113" s="95">
        <f>'20'!F113</f>
        <v>94790</v>
      </c>
      <c r="F113" s="237">
        <v>94790</v>
      </c>
      <c r="G113" s="112">
        <f t="shared" si="9"/>
        <v>0</v>
      </c>
      <c r="H113" s="99">
        <f>G113+'20'!H113</f>
        <v>-119257.45000000001</v>
      </c>
      <c r="I113" s="165"/>
      <c r="J113" s="348">
        <f>H113/DAY(B2)</f>
        <v>-3847.0145161290325</v>
      </c>
    </row>
    <row r="114" spans="1:18" ht="29.25" customHeight="1" x14ac:dyDescent="0.5">
      <c r="A114" s="750" t="s">
        <v>254</v>
      </c>
      <c r="B114" s="751"/>
      <c r="C114" s="752"/>
      <c r="D114" s="146" t="s">
        <v>183</v>
      </c>
      <c r="E114" s="95">
        <f>'20'!F114</f>
        <v>44933</v>
      </c>
      <c r="F114" s="237">
        <v>44933</v>
      </c>
      <c r="G114" s="112">
        <f t="shared" si="9"/>
        <v>0</v>
      </c>
      <c r="H114" s="99">
        <f>G114+'20'!H114</f>
        <v>92743.9</v>
      </c>
      <c r="I114" s="165"/>
      <c r="J114" s="348">
        <f>H114/DAY(B2)</f>
        <v>2991.7387096774191</v>
      </c>
    </row>
    <row r="115" spans="1:18" ht="29.25" customHeight="1" x14ac:dyDescent="0.5">
      <c r="A115" s="750" t="s">
        <v>255</v>
      </c>
      <c r="B115" s="751"/>
      <c r="C115" s="752"/>
      <c r="D115" s="146" t="s">
        <v>183</v>
      </c>
      <c r="E115" s="95">
        <f>'20'!F115</f>
        <v>6560</v>
      </c>
      <c r="F115" s="237">
        <v>6560</v>
      </c>
      <c r="G115" s="112">
        <f t="shared" si="9"/>
        <v>0</v>
      </c>
      <c r="H115" s="99">
        <f>G115+'20'!H115</f>
        <v>-2561.4399999999996</v>
      </c>
      <c r="I115" s="165"/>
      <c r="J115" s="348">
        <f>H115/DAY(B2)</f>
        <v>-82.627096774193532</v>
      </c>
    </row>
    <row r="116" spans="1:18" ht="29.25" customHeight="1" x14ac:dyDescent="0.5">
      <c r="A116" s="757" t="s">
        <v>96</v>
      </c>
      <c r="B116" s="758"/>
      <c r="C116" s="759"/>
      <c r="D116" s="146" t="s">
        <v>183</v>
      </c>
      <c r="E116" s="95">
        <f>'20'!F116</f>
        <v>44933</v>
      </c>
      <c r="F116" s="237">
        <v>44933</v>
      </c>
      <c r="G116" s="112">
        <f t="shared" si="9"/>
        <v>0</v>
      </c>
      <c r="H116" s="99">
        <f>G116+'20'!H116</f>
        <v>89866</v>
      </c>
      <c r="I116" s="165"/>
      <c r="J116" s="348">
        <f>H116/DAY(B2)</f>
        <v>2898.9032258064517</v>
      </c>
      <c r="Q116" s="750" t="s">
        <v>311</v>
      </c>
      <c r="R116" s="752"/>
    </row>
    <row r="117" spans="1:18" ht="29.25" customHeight="1" x14ac:dyDescent="0.5">
      <c r="A117" s="757" t="s">
        <v>184</v>
      </c>
      <c r="B117" s="758"/>
      <c r="C117" s="759"/>
      <c r="D117" s="146" t="s">
        <v>183</v>
      </c>
      <c r="E117" s="95">
        <f>'20'!F117</f>
        <v>44933</v>
      </c>
      <c r="F117" s="237">
        <v>44933</v>
      </c>
      <c r="G117" s="112">
        <f t="shared" si="9"/>
        <v>0</v>
      </c>
      <c r="H117" s="99">
        <f>G117+'20'!H117</f>
        <v>88625.98000000001</v>
      </c>
      <c r="I117" s="165"/>
      <c r="J117" s="348">
        <f>H117/DAY(B2)</f>
        <v>2858.9025806451618</v>
      </c>
      <c r="Q117" s="750" t="s">
        <v>312</v>
      </c>
      <c r="R117" s="752"/>
    </row>
    <row r="118" spans="1:18" ht="27.75" x14ac:dyDescent="0.5">
      <c r="A118" s="749" t="s">
        <v>97</v>
      </c>
      <c r="B118" s="749"/>
      <c r="C118" s="749"/>
      <c r="D118" s="151" t="s">
        <v>183</v>
      </c>
      <c r="E118" s="95">
        <f>'20'!F118</f>
        <v>44933</v>
      </c>
      <c r="F118" s="237">
        <v>44933</v>
      </c>
      <c r="G118" s="112">
        <f t="shared" si="9"/>
        <v>0</v>
      </c>
      <c r="H118" s="99">
        <f>G118+'20'!H118</f>
        <v>-330033.39</v>
      </c>
      <c r="I118" s="165"/>
      <c r="J118" s="348">
        <f>H118/DAY(B2)</f>
        <v>-10646.238387096775</v>
      </c>
      <c r="Q118" s="750" t="s">
        <v>311</v>
      </c>
      <c r="R118" s="752"/>
    </row>
    <row r="119" spans="1:18" ht="27.75" x14ac:dyDescent="0.5">
      <c r="A119" s="749" t="s">
        <v>98</v>
      </c>
      <c r="B119" s="749"/>
      <c r="C119" s="749"/>
      <c r="D119" s="151" t="s">
        <v>183</v>
      </c>
      <c r="E119" s="95">
        <f>'20'!F119</f>
        <v>44933</v>
      </c>
      <c r="F119" s="237">
        <v>44933</v>
      </c>
      <c r="G119" s="112">
        <f t="shared" si="9"/>
        <v>0</v>
      </c>
      <c r="H119" s="99">
        <f>G119+'20'!H119</f>
        <v>-329315.05</v>
      </c>
      <c r="I119" s="165"/>
      <c r="J119" s="348">
        <f>H119/DAY(B2)</f>
        <v>-10623.066129032257</v>
      </c>
    </row>
    <row r="120" spans="1:18" ht="27.75" x14ac:dyDescent="0.5">
      <c r="A120" s="749" t="s">
        <v>99</v>
      </c>
      <c r="B120" s="749"/>
      <c r="C120" s="749"/>
      <c r="D120" s="151" t="s">
        <v>183</v>
      </c>
      <c r="E120" s="95">
        <f>'20'!F120</f>
        <v>44933</v>
      </c>
      <c r="F120" s="237">
        <v>44933</v>
      </c>
      <c r="G120" s="112">
        <f t="shared" si="9"/>
        <v>0</v>
      </c>
      <c r="H120" s="99">
        <f>G120+'20'!H120</f>
        <v>71927.510000000009</v>
      </c>
      <c r="I120" s="165"/>
      <c r="J120" s="348">
        <f>H120/DAY(B2)</f>
        <v>2320.2422580645166</v>
      </c>
    </row>
    <row r="121" spans="1:18" ht="27.75" x14ac:dyDescent="0.5">
      <c r="A121" s="749" t="s">
        <v>100</v>
      </c>
      <c r="B121" s="749"/>
      <c r="C121" s="749"/>
      <c r="D121" s="151" t="s">
        <v>183</v>
      </c>
      <c r="E121" s="95">
        <f>'20'!F121</f>
        <v>44933</v>
      </c>
      <c r="F121" s="237">
        <v>44933</v>
      </c>
      <c r="G121" s="112">
        <f t="shared" si="9"/>
        <v>0</v>
      </c>
      <c r="H121" s="99">
        <f>G121+'20'!H121</f>
        <v>-541106.63</v>
      </c>
      <c r="I121" s="165"/>
      <c r="J121" s="348">
        <f>H121/DAY(B2)</f>
        <v>-17455.052580645162</v>
      </c>
    </row>
    <row r="122" spans="1:18" ht="27.75" x14ac:dyDescent="0.5">
      <c r="A122" s="749" t="s">
        <v>101</v>
      </c>
      <c r="B122" s="749"/>
      <c r="C122" s="749"/>
      <c r="D122" s="151" t="s">
        <v>183</v>
      </c>
      <c r="E122" s="95">
        <f>'20'!F122</f>
        <v>44933</v>
      </c>
      <c r="F122" s="237">
        <v>44933</v>
      </c>
      <c r="G122" s="112">
        <f t="shared" si="9"/>
        <v>0</v>
      </c>
      <c r="H122" s="99">
        <f>G122+'20'!H122</f>
        <v>-98745.64</v>
      </c>
      <c r="I122" s="165"/>
      <c r="J122" s="348">
        <f>H122/DAY(B2)</f>
        <v>-3185.3432258064518</v>
      </c>
    </row>
    <row r="123" spans="1:18" ht="27.75" x14ac:dyDescent="0.5">
      <c r="A123" s="749" t="s">
        <v>102</v>
      </c>
      <c r="B123" s="749"/>
      <c r="C123" s="749"/>
      <c r="D123" s="151" t="s">
        <v>183</v>
      </c>
      <c r="E123" s="95">
        <f>'20'!F123</f>
        <v>44933</v>
      </c>
      <c r="F123" s="237">
        <v>44933</v>
      </c>
      <c r="G123" s="112">
        <f t="shared" si="9"/>
        <v>0</v>
      </c>
      <c r="H123" s="99">
        <f>G123+'20'!H123</f>
        <v>-146917.34</v>
      </c>
      <c r="I123" s="165"/>
      <c r="J123" s="348">
        <f>H123/DAY(B2)</f>
        <v>-4739.2690322580647</v>
      </c>
    </row>
    <row r="124" spans="1:18" ht="29.25" customHeight="1" x14ac:dyDescent="0.5">
      <c r="A124" s="753"/>
      <c r="B124" s="754"/>
      <c r="C124" s="755"/>
      <c r="D124" s="165"/>
      <c r="E124" s="165"/>
      <c r="F124" s="165"/>
      <c r="G124" s="347"/>
      <c r="H124" s="99">
        <f>G124+'20'!H124</f>
        <v>0</v>
      </c>
      <c r="I124" s="165"/>
      <c r="J124" s="347"/>
    </row>
    <row r="125" spans="1:18" ht="27.75" x14ac:dyDescent="0.5">
      <c r="A125" s="737"/>
      <c r="B125" s="737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56" t="s">
        <v>317</v>
      </c>
      <c r="B126" s="756"/>
      <c r="C126" s="756"/>
      <c r="D126" s="756"/>
      <c r="E126" s="756"/>
      <c r="F126" s="756"/>
      <c r="G126" s="756"/>
      <c r="H126" s="756"/>
      <c r="I126" s="756"/>
      <c r="J126" s="756"/>
    </row>
    <row r="127" spans="1:18" ht="27.75" x14ac:dyDescent="0.5">
      <c r="A127" s="737"/>
      <c r="B127" s="737"/>
      <c r="C127" s="246"/>
      <c r="D127" s="317"/>
      <c r="E127" s="318"/>
      <c r="F127" s="318"/>
      <c r="G127" s="319"/>
      <c r="H127" s="99">
        <f>G127+'20'!H127</f>
        <v>0</v>
      </c>
      <c r="I127" s="165"/>
      <c r="J127" s="348">
        <f>H127/DAY(B2)</f>
        <v>0</v>
      </c>
    </row>
    <row r="128" spans="1:18" ht="29.25" customHeight="1" x14ac:dyDescent="0.5">
      <c r="A128" s="750" t="s">
        <v>318</v>
      </c>
      <c r="B128" s="751"/>
      <c r="C128" s="752"/>
      <c r="D128" s="151" t="s">
        <v>183</v>
      </c>
      <c r="E128" s="95">
        <f>'20'!F128</f>
        <v>0</v>
      </c>
      <c r="F128" s="165"/>
      <c r="G128" s="112">
        <f t="shared" ref="G128:G134" si="10">F128-E128</f>
        <v>0</v>
      </c>
      <c r="H128" s="99">
        <f>G128+'20'!H128</f>
        <v>-20837.400000000001</v>
      </c>
      <c r="I128" s="165"/>
      <c r="J128" s="348">
        <f>H128/DAY(B2)</f>
        <v>-672.17419354838717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'20'!F129</f>
        <v>0</v>
      </c>
      <c r="F129" s="165"/>
      <c r="G129" s="112">
        <f t="shared" si="10"/>
        <v>0</v>
      </c>
      <c r="H129" s="99">
        <f>G129+'20'!H129</f>
        <v>-3767.84</v>
      </c>
      <c r="I129" s="165"/>
      <c r="J129" s="348">
        <f>H129/DAY(B2)</f>
        <v>-121.54322580645162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'20'!F130</f>
        <v>0</v>
      </c>
      <c r="F130" s="165"/>
      <c r="G130" s="112">
        <f t="shared" si="10"/>
        <v>0</v>
      </c>
      <c r="H130" s="99">
        <f>G130+'20'!H130</f>
        <v>-4439.2299999999996</v>
      </c>
      <c r="I130" s="165"/>
      <c r="J130" s="348">
        <f>H130/DAY(B2)</f>
        <v>-143.20096774193547</v>
      </c>
      <c r="N130" s="240"/>
      <c r="O130" s="241"/>
    </row>
    <row r="131" spans="1:15" ht="27.75" x14ac:dyDescent="0.5">
      <c r="A131" s="750" t="s">
        <v>321</v>
      </c>
      <c r="B131" s="751"/>
      <c r="C131" s="752"/>
      <c r="D131" s="151" t="s">
        <v>183</v>
      </c>
      <c r="E131" s="95">
        <f>'20'!F131</f>
        <v>0</v>
      </c>
      <c r="F131" s="165"/>
      <c r="G131" s="112">
        <f t="shared" si="10"/>
        <v>0</v>
      </c>
      <c r="H131" s="99">
        <f>G131+'20'!H131</f>
        <v>-2311.35</v>
      </c>
      <c r="I131" s="165"/>
      <c r="J131" s="348">
        <f>H131/DAY(B2)</f>
        <v>-74.559677419354841</v>
      </c>
      <c r="N131" s="240"/>
      <c r="O131" s="241"/>
    </row>
    <row r="132" spans="1:15" ht="27.75" x14ac:dyDescent="0.5">
      <c r="A132" s="750" t="s">
        <v>322</v>
      </c>
      <c r="B132" s="751"/>
      <c r="C132" s="752"/>
      <c r="D132" s="151" t="s">
        <v>183</v>
      </c>
      <c r="E132" s="95">
        <f>'20'!F132</f>
        <v>0</v>
      </c>
      <c r="F132" s="165"/>
      <c r="G132" s="112">
        <f t="shared" si="10"/>
        <v>0</v>
      </c>
      <c r="H132" s="99">
        <f>G132+'20'!H132</f>
        <v>-7246.7</v>
      </c>
      <c r="I132" s="165"/>
      <c r="J132" s="348">
        <f>H132/DAY(B2)</f>
        <v>-233.76451612903224</v>
      </c>
    </row>
    <row r="133" spans="1:15" ht="27.75" x14ac:dyDescent="0.5">
      <c r="A133" s="750" t="s">
        <v>323</v>
      </c>
      <c r="B133" s="751"/>
      <c r="C133" s="752"/>
      <c r="D133" s="151" t="s">
        <v>183</v>
      </c>
      <c r="E133" s="95">
        <f>'20'!F133</f>
        <v>0</v>
      </c>
      <c r="F133" s="165"/>
      <c r="G133" s="112">
        <f t="shared" si="10"/>
        <v>0</v>
      </c>
      <c r="H133" s="99">
        <f>G133+'20'!H133</f>
        <v>-45947.5</v>
      </c>
      <c r="I133" s="165"/>
      <c r="J133" s="348">
        <f>H133/DAY(B2)</f>
        <v>-1482.1774193548388</v>
      </c>
    </row>
    <row r="134" spans="1:15" ht="27.75" x14ac:dyDescent="0.5">
      <c r="A134" s="750" t="s">
        <v>340</v>
      </c>
      <c r="B134" s="751"/>
      <c r="C134" s="752"/>
      <c r="D134" s="151" t="s">
        <v>183</v>
      </c>
      <c r="E134" s="95">
        <f>'20'!F134</f>
        <v>0</v>
      </c>
      <c r="F134" s="165"/>
      <c r="G134" s="112">
        <f t="shared" si="10"/>
        <v>0</v>
      </c>
      <c r="H134" s="99">
        <f>G134+'20'!H134</f>
        <v>-1237706</v>
      </c>
      <c r="I134" s="165"/>
      <c r="J134" s="348">
        <f>H134/DAY(B2)</f>
        <v>-39926</v>
      </c>
    </row>
    <row r="135" spans="1:15" ht="27.75" x14ac:dyDescent="0.5">
      <c r="A135" s="753"/>
      <c r="B135" s="754"/>
      <c r="C135" s="755"/>
      <c r="D135" s="151"/>
      <c r="E135" s="95"/>
      <c r="F135" s="165"/>
      <c r="G135" s="112"/>
      <c r="H135" s="99">
        <f>G135+'10'!H135</f>
        <v>5534.2300000000005</v>
      </c>
      <c r="I135" s="165"/>
      <c r="J135" s="348"/>
    </row>
    <row r="136" spans="1:15" ht="31.5" x14ac:dyDescent="0.55000000000000004">
      <c r="A136" s="736" t="s">
        <v>325</v>
      </c>
      <c r="B136" s="736"/>
      <c r="C136" s="736"/>
      <c r="D136" s="736"/>
      <c r="E136" s="736"/>
      <c r="F136" s="736"/>
      <c r="G136" s="736"/>
      <c r="H136" s="736"/>
      <c r="I136" s="736"/>
      <c r="J136" s="736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49" t="s">
        <v>185</v>
      </c>
      <c r="B138" s="749"/>
      <c r="C138" s="749"/>
      <c r="D138" s="151" t="s">
        <v>183</v>
      </c>
      <c r="E138" s="95">
        <f>'20'!F138</f>
        <v>857022</v>
      </c>
      <c r="F138" s="147">
        <v>857022</v>
      </c>
      <c r="G138" s="112">
        <f t="shared" ref="G138:G152" si="11">F138-E138</f>
        <v>0</v>
      </c>
      <c r="H138" s="99">
        <f>G138+'20'!H138</f>
        <v>-2046</v>
      </c>
      <c r="I138" s="118"/>
      <c r="J138" s="348">
        <f>H138/DAY(B2)</f>
        <v>-66</v>
      </c>
    </row>
    <row r="139" spans="1:15" ht="27.75" x14ac:dyDescent="0.5">
      <c r="A139" s="749" t="s">
        <v>186</v>
      </c>
      <c r="B139" s="749"/>
      <c r="C139" s="749"/>
      <c r="D139" s="151" t="s">
        <v>183</v>
      </c>
      <c r="E139" s="95">
        <f>'20'!F139</f>
        <v>886051</v>
      </c>
      <c r="F139" s="148">
        <v>886051</v>
      </c>
      <c r="G139" s="112">
        <f t="shared" si="11"/>
        <v>0</v>
      </c>
      <c r="H139" s="99">
        <f>G139+'20'!H139</f>
        <v>-33</v>
      </c>
      <c r="I139" s="118"/>
      <c r="J139" s="348">
        <f>H139/DAY(B2)</f>
        <v>-1.064516129032258</v>
      </c>
    </row>
    <row r="140" spans="1:15" ht="27.75" x14ac:dyDescent="0.5">
      <c r="A140" s="749" t="s">
        <v>187</v>
      </c>
      <c r="B140" s="749"/>
      <c r="C140" s="749"/>
      <c r="D140" s="151" t="s">
        <v>183</v>
      </c>
      <c r="E140" s="95">
        <f>'20'!F140</f>
        <v>88776</v>
      </c>
      <c r="F140" s="149">
        <v>88776</v>
      </c>
      <c r="G140" s="112">
        <f t="shared" si="11"/>
        <v>0</v>
      </c>
      <c r="H140" s="99">
        <f>G140+'20'!H140</f>
        <v>-47.100000000005821</v>
      </c>
      <c r="I140" s="118"/>
      <c r="J140" s="348">
        <f>H140/DAY(B2)</f>
        <v>-1.5193548387098652</v>
      </c>
    </row>
    <row r="141" spans="1:15" ht="27.75" x14ac:dyDescent="0.5">
      <c r="A141" s="728" t="s">
        <v>188</v>
      </c>
      <c r="B141" s="728"/>
      <c r="C141" s="728"/>
      <c r="D141" s="151" t="s">
        <v>183</v>
      </c>
      <c r="E141" s="95">
        <f>'20'!F141</f>
        <v>26308</v>
      </c>
      <c r="F141" s="149">
        <v>26308</v>
      </c>
      <c r="G141" s="112">
        <f t="shared" si="11"/>
        <v>0</v>
      </c>
      <c r="H141" s="99">
        <f>G141+'20'!H141</f>
        <v>-13573.5</v>
      </c>
      <c r="I141" s="118"/>
      <c r="J141" s="348">
        <f>H141/DAY(B2)</f>
        <v>-437.85483870967744</v>
      </c>
    </row>
    <row r="142" spans="1:15" ht="27.75" x14ac:dyDescent="0.5">
      <c r="A142" s="728" t="s">
        <v>189</v>
      </c>
      <c r="B142" s="728"/>
      <c r="C142" s="728"/>
      <c r="D142" s="151" t="s">
        <v>183</v>
      </c>
      <c r="E142" s="95">
        <f>'20'!F142</f>
        <v>13277</v>
      </c>
      <c r="F142" s="148">
        <v>13277</v>
      </c>
      <c r="G142" s="112">
        <f t="shared" si="11"/>
        <v>0</v>
      </c>
      <c r="H142" s="99">
        <f>G142+'20'!H142</f>
        <v>-5306.2999999999993</v>
      </c>
      <c r="I142" s="140"/>
      <c r="J142" s="348">
        <f>H142/DAY(B2)</f>
        <v>-171.17096774193547</v>
      </c>
    </row>
    <row r="143" spans="1:15" ht="27.75" x14ac:dyDescent="0.5">
      <c r="A143" s="749" t="s">
        <v>91</v>
      </c>
      <c r="B143" s="749"/>
      <c r="C143" s="749"/>
      <c r="D143" s="151" t="s">
        <v>183</v>
      </c>
      <c r="E143" s="95">
        <f>'20'!F143</f>
        <v>0</v>
      </c>
      <c r="F143" s="149"/>
      <c r="G143" s="112">
        <f t="shared" si="11"/>
        <v>0</v>
      </c>
      <c r="H143" s="99">
        <f>G143+'20'!H143</f>
        <v>-1531.35</v>
      </c>
      <c r="I143" s="140"/>
      <c r="J143" s="348">
        <f>H143/DAY(B2)</f>
        <v>-49.398387096774194</v>
      </c>
    </row>
    <row r="144" spans="1:15" ht="27.75" x14ac:dyDescent="0.5">
      <c r="A144" s="728" t="s">
        <v>90</v>
      </c>
      <c r="B144" s="728"/>
      <c r="C144" s="728"/>
      <c r="D144" s="151" t="s">
        <v>183</v>
      </c>
      <c r="E144" s="95">
        <f>'20'!F144</f>
        <v>0</v>
      </c>
      <c r="F144" s="149"/>
      <c r="G144" s="112">
        <f t="shared" si="11"/>
        <v>0</v>
      </c>
      <c r="H144" s="99">
        <f>G144+'20'!H144</f>
        <v>-1702947</v>
      </c>
      <c r="I144" s="140"/>
      <c r="J144" s="348">
        <f>H144/DAY(B2)</f>
        <v>-54933.774193548386</v>
      </c>
    </row>
    <row r="145" spans="1:10" ht="27.75" x14ac:dyDescent="0.5">
      <c r="A145" s="749" t="s">
        <v>190</v>
      </c>
      <c r="B145" s="749"/>
      <c r="C145" s="749"/>
      <c r="D145" s="152" t="s">
        <v>183</v>
      </c>
      <c r="E145" s="95">
        <f>'20'!F145</f>
        <v>0</v>
      </c>
      <c r="F145" s="149"/>
      <c r="G145" s="112">
        <f t="shared" si="11"/>
        <v>0</v>
      </c>
      <c r="H145" s="99">
        <f>G145+'20'!H145</f>
        <v>-2618.4</v>
      </c>
      <c r="I145" s="140"/>
      <c r="J145" s="348">
        <f>H145/DAY(B2)</f>
        <v>-84.464516129032262</v>
      </c>
    </row>
    <row r="146" spans="1:10" ht="27.75" x14ac:dyDescent="0.5">
      <c r="A146" s="784" t="s">
        <v>191</v>
      </c>
      <c r="B146" s="769"/>
      <c r="C146" s="770"/>
      <c r="D146" s="152" t="s">
        <v>183</v>
      </c>
      <c r="E146" s="95">
        <f>'20'!F146</f>
        <v>0</v>
      </c>
      <c r="F146" s="148"/>
      <c r="G146" s="112">
        <f t="shared" si="11"/>
        <v>0</v>
      </c>
      <c r="H146" s="99">
        <f>G146+'20'!H146</f>
        <v>-1380251</v>
      </c>
      <c r="I146" s="140"/>
      <c r="J146" s="348">
        <f>H146/DAY(B2)</f>
        <v>-44524.225806451614</v>
      </c>
    </row>
    <row r="147" spans="1:10" ht="27.75" x14ac:dyDescent="0.5">
      <c r="A147" s="728" t="s">
        <v>192</v>
      </c>
      <c r="B147" s="728"/>
      <c r="C147" s="728"/>
      <c r="D147" s="152" t="s">
        <v>183</v>
      </c>
      <c r="E147" s="95">
        <f>'20'!F147</f>
        <v>0</v>
      </c>
      <c r="F147" s="148"/>
      <c r="G147" s="112">
        <f t="shared" si="11"/>
        <v>0</v>
      </c>
      <c r="H147" s="99">
        <f>G147+'20'!H147</f>
        <v>-1159149.72</v>
      </c>
      <c r="I147" s="140"/>
      <c r="J147" s="348">
        <f>H147/DAY(B2)</f>
        <v>-37391.926451612904</v>
      </c>
    </row>
    <row r="148" spans="1:10" ht="27.75" x14ac:dyDescent="0.5">
      <c r="A148" s="729" t="s">
        <v>193</v>
      </c>
      <c r="B148" s="730"/>
      <c r="C148" s="731"/>
      <c r="D148" s="123" t="s">
        <v>130</v>
      </c>
      <c r="E148" s="95">
        <f>'20'!F148</f>
        <v>0</v>
      </c>
      <c r="F148" s="150"/>
      <c r="G148" s="112">
        <f t="shared" si="11"/>
        <v>0</v>
      </c>
      <c r="H148" s="99">
        <f>G148+'20'!H148</f>
        <v>-1320350.54</v>
      </c>
      <c r="I148" s="124"/>
      <c r="J148" s="348">
        <f>H148/DAY(B2)</f>
        <v>-42591.952903225807</v>
      </c>
    </row>
    <row r="149" spans="1:10" ht="27.75" x14ac:dyDescent="0.5">
      <c r="A149" s="729" t="s">
        <v>336</v>
      </c>
      <c r="B149" s="730"/>
      <c r="C149" s="731"/>
      <c r="D149" s="227" t="s">
        <v>130</v>
      </c>
      <c r="E149" s="95">
        <f>'20'!F149</f>
        <v>0</v>
      </c>
      <c r="F149" s="146"/>
      <c r="G149" s="112">
        <f t="shared" si="11"/>
        <v>0</v>
      </c>
      <c r="H149" s="99">
        <f>G149+'20'!H149</f>
        <v>-155505</v>
      </c>
      <c r="I149" s="119"/>
      <c r="J149" s="348">
        <f>H149/DAY(B2)</f>
        <v>-5016.2903225806449</v>
      </c>
    </row>
    <row r="150" spans="1:10" ht="27.75" x14ac:dyDescent="0.5">
      <c r="A150" s="729" t="s">
        <v>337</v>
      </c>
      <c r="B150" s="730"/>
      <c r="C150" s="731"/>
      <c r="D150" s="117" t="s">
        <v>130</v>
      </c>
      <c r="E150" s="95">
        <f>'20'!F150</f>
        <v>0</v>
      </c>
      <c r="F150" s="233"/>
      <c r="G150" s="112">
        <f t="shared" si="11"/>
        <v>0</v>
      </c>
      <c r="H150" s="99">
        <f>G150+'20'!H150</f>
        <v>-14334464</v>
      </c>
      <c r="I150" s="119"/>
      <c r="J150" s="348">
        <f>H150/DAY(B2)</f>
        <v>-462402.06451612903</v>
      </c>
    </row>
    <row r="151" spans="1:10" ht="27.75" x14ac:dyDescent="0.5">
      <c r="A151" s="729" t="s">
        <v>338</v>
      </c>
      <c r="B151" s="730"/>
      <c r="C151" s="731"/>
      <c r="D151" s="117" t="s">
        <v>130</v>
      </c>
      <c r="E151" s="95">
        <f>'20'!F151</f>
        <v>0</v>
      </c>
      <c r="F151" s="233"/>
      <c r="G151" s="112">
        <f t="shared" si="11"/>
        <v>0</v>
      </c>
      <c r="H151" s="99">
        <f>G151+'20'!H151</f>
        <v>-112419</v>
      </c>
      <c r="I151" s="119"/>
      <c r="J151" s="348">
        <f>H151/DAY(B2)</f>
        <v>-3626.4193548387098</v>
      </c>
    </row>
    <row r="152" spans="1:10" ht="27.75" x14ac:dyDescent="0.5">
      <c r="A152" s="729" t="s">
        <v>339</v>
      </c>
      <c r="B152" s="730"/>
      <c r="C152" s="731"/>
      <c r="D152" s="117" t="s">
        <v>130</v>
      </c>
      <c r="E152" s="95">
        <f>'20'!F152</f>
        <v>0</v>
      </c>
      <c r="F152" s="233"/>
      <c r="G152" s="112">
        <f t="shared" si="11"/>
        <v>0</v>
      </c>
      <c r="H152" s="99">
        <f>G152+'20'!H152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36" t="s">
        <v>344</v>
      </c>
      <c r="B154" s="736"/>
      <c r="C154" s="736"/>
      <c r="D154" s="736"/>
      <c r="E154" s="736"/>
      <c r="F154" s="736"/>
      <c r="G154" s="736"/>
      <c r="H154" s="736"/>
      <c r="I154" s="736"/>
      <c r="J154" s="736"/>
    </row>
    <row r="155" spans="1:10" ht="31.5" x14ac:dyDescent="0.55000000000000004">
      <c r="A155" s="728" t="s">
        <v>345</v>
      </c>
      <c r="B155" s="728"/>
      <c r="C155" s="728"/>
      <c r="D155" s="117" t="s">
        <v>130</v>
      </c>
      <c r="E155" s="95">
        <f>'20'!F155</f>
        <v>0</v>
      </c>
      <c r="F155" s="385"/>
      <c r="G155" s="112">
        <f t="shared" ref="G155:G156" si="12">F155-E155</f>
        <v>0</v>
      </c>
      <c r="H155" s="99">
        <f>G155+'20'!H155</f>
        <v>-154178.09999999998</v>
      </c>
      <c r="I155" s="385"/>
      <c r="J155" s="348">
        <f>H155/DAY(B2)</f>
        <v>-4973.4870967741927</v>
      </c>
    </row>
    <row r="156" spans="1:10" ht="27.75" x14ac:dyDescent="0.5">
      <c r="A156" s="728" t="s">
        <v>347</v>
      </c>
      <c r="B156" s="728"/>
      <c r="C156" s="728"/>
      <c r="D156" s="117" t="s">
        <v>130</v>
      </c>
      <c r="E156" s="95">
        <f>'20'!F156</f>
        <v>0</v>
      </c>
      <c r="F156" s="165"/>
      <c r="G156" s="112">
        <f t="shared" si="12"/>
        <v>0</v>
      </c>
      <c r="H156" s="99">
        <f>G156+'20'!H156</f>
        <v>0</v>
      </c>
      <c r="I156" s="165"/>
      <c r="J156" s="348">
        <f>H156/DAY(B2)</f>
        <v>0</v>
      </c>
    </row>
    <row r="157" spans="1:10" ht="31.5" x14ac:dyDescent="0.55000000000000004">
      <c r="A157" s="736" t="s">
        <v>326</v>
      </c>
      <c r="B157" s="736"/>
      <c r="C157" s="736"/>
      <c r="D157" s="736"/>
      <c r="E157" s="736"/>
      <c r="F157" s="736"/>
      <c r="G157" s="736"/>
      <c r="H157" s="736"/>
      <c r="I157" s="736"/>
      <c r="J157" s="736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'20'!F158</f>
        <v>463315</v>
      </c>
      <c r="F158" s="235">
        <v>463315</v>
      </c>
      <c r="G158" s="238">
        <f t="shared" ref="G158:G162" si="13">F158-E158</f>
        <v>0</v>
      </c>
      <c r="H158" s="99">
        <f>G158+'20'!H158</f>
        <v>-5764.4000000000233</v>
      </c>
      <c r="I158" s="236"/>
      <c r="J158" s="239">
        <f>H158/DAY(B2)</f>
        <v>-185.94838709677495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'20'!F159</f>
        <v>83899</v>
      </c>
      <c r="F159" s="235">
        <v>83899</v>
      </c>
      <c r="G159" s="238">
        <f t="shared" si="13"/>
        <v>0</v>
      </c>
      <c r="H159" s="99">
        <f>G159+'20'!H159</f>
        <v>-2351.3999999999942</v>
      </c>
      <c r="I159" s="236"/>
      <c r="J159" s="239">
        <f>H159/DAY(B2)</f>
        <v>-75.851612903225615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'20'!F160</f>
        <v>69089</v>
      </c>
      <c r="F160" s="235">
        <v>69089</v>
      </c>
      <c r="G160" s="238">
        <f t="shared" si="13"/>
        <v>0</v>
      </c>
      <c r="H160" s="99">
        <f>G160+'20'!H160</f>
        <v>-4894.1999999999971</v>
      </c>
      <c r="I160" s="236"/>
      <c r="J160" s="239">
        <f>H160/DAY(B2)</f>
        <v>-157.87741935483862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'20'!F161</f>
        <v>3611</v>
      </c>
      <c r="F161" s="235">
        <v>3611</v>
      </c>
      <c r="G161" s="238">
        <f t="shared" si="13"/>
        <v>0</v>
      </c>
      <c r="H161" s="99">
        <f>G161+'20'!H161</f>
        <v>-555.30000000000018</v>
      </c>
      <c r="I161" s="236"/>
      <c r="J161" s="239">
        <f>H161/DAY(B2)</f>
        <v>-17.912903225806456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'20'!F162</f>
        <v>28746</v>
      </c>
      <c r="F162" s="235">
        <v>28746</v>
      </c>
      <c r="G162" s="238">
        <f t="shared" si="13"/>
        <v>0</v>
      </c>
      <c r="H162" s="99">
        <f>G162+'20'!H162</f>
        <v>-566.7400000000016</v>
      </c>
      <c r="I162" s="236"/>
      <c r="J162" s="239">
        <f>H162/DAY(B2)</f>
        <v>-18.28193548387102</v>
      </c>
    </row>
    <row r="163" spans="1:10" ht="29.25" x14ac:dyDescent="0.5">
      <c r="A163" s="737"/>
      <c r="B163" s="737"/>
      <c r="C163" s="247"/>
      <c r="D163" s="244" t="s">
        <v>180</v>
      </c>
      <c r="E163" s="95">
        <f>'20'!F163</f>
        <v>0</v>
      </c>
      <c r="F163" s="165"/>
      <c r="G163" s="165"/>
      <c r="H163" s="99">
        <f>G163+'20'!H163</f>
        <v>0</v>
      </c>
      <c r="I163" s="165"/>
      <c r="J163" s="239">
        <f>H163/DAY(B2)</f>
        <v>0</v>
      </c>
    </row>
    <row r="164" spans="1:10" ht="29.25" x14ac:dyDescent="0.5">
      <c r="A164" s="737"/>
      <c r="B164" s="737"/>
      <c r="C164" s="247"/>
      <c r="D164" s="244" t="s">
        <v>180</v>
      </c>
      <c r="E164" s="95">
        <f>'20'!F164</f>
        <v>0</v>
      </c>
      <c r="F164" s="165"/>
      <c r="G164" s="165"/>
      <c r="H164" s="99">
        <f>G164+'20'!H164</f>
        <v>0</v>
      </c>
      <c r="I164" s="165"/>
      <c r="J164" s="239">
        <f>H164/DAY(B2)</f>
        <v>0</v>
      </c>
    </row>
    <row r="165" spans="1:10" ht="29.25" x14ac:dyDescent="0.5">
      <c r="A165" s="737"/>
      <c r="B165" s="737"/>
      <c r="C165" s="247"/>
      <c r="D165" s="244" t="s">
        <v>180</v>
      </c>
      <c r="E165" s="95">
        <f>'20'!F165</f>
        <v>0</v>
      </c>
      <c r="F165" s="165"/>
      <c r="G165" s="165"/>
      <c r="H165" s="99">
        <f>G165+'20'!H165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38" t="s">
        <v>330</v>
      </c>
      <c r="B168" s="739"/>
      <c r="C168" s="739"/>
      <c r="D168" s="739"/>
      <c r="E168" s="739"/>
      <c r="F168" s="739"/>
      <c r="G168" s="739"/>
      <c r="H168" s="739"/>
      <c r="I168" s="739"/>
      <c r="J168" s="740"/>
    </row>
    <row r="169" spans="1:10" ht="27.75" x14ac:dyDescent="0.5">
      <c r="A169" s="747"/>
      <c r="B169" s="748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43" t="s">
        <v>209</v>
      </c>
      <c r="B170" s="744"/>
      <c r="C170" s="353"/>
      <c r="D170" s="228" t="s">
        <v>142</v>
      </c>
      <c r="E170" s="95">
        <f>'20'!F170</f>
        <v>7961</v>
      </c>
      <c r="F170" s="155">
        <v>7961</v>
      </c>
      <c r="G170" s="155">
        <f>F170-E170</f>
        <v>0</v>
      </c>
      <c r="H170" s="99">
        <f>G170+'20'!H170</f>
        <v>129</v>
      </c>
      <c r="I170" s="155"/>
      <c r="J170" s="178">
        <f>H170/DAY(B2)</f>
        <v>4.161290322580645</v>
      </c>
    </row>
    <row r="171" spans="1:10" ht="27.75" x14ac:dyDescent="0.5">
      <c r="A171" s="743" t="s">
        <v>75</v>
      </c>
      <c r="B171" s="744"/>
      <c r="C171" s="353"/>
      <c r="D171" s="228" t="s">
        <v>142</v>
      </c>
      <c r="E171" s="95">
        <f>'20'!F171</f>
        <v>36765</v>
      </c>
      <c r="F171" s="157">
        <v>36765</v>
      </c>
      <c r="G171" s="155">
        <f t="shared" ref="G171:G172" si="14">F171-E171</f>
        <v>0</v>
      </c>
      <c r="H171" s="99">
        <f>G171+'20'!H171</f>
        <v>-332</v>
      </c>
      <c r="I171" s="155"/>
      <c r="J171" s="178">
        <f>H171/DAY(B2)</f>
        <v>-10.709677419354838</v>
      </c>
    </row>
    <row r="172" spans="1:10" ht="27.75" x14ac:dyDescent="0.5">
      <c r="A172" s="743" t="s">
        <v>76</v>
      </c>
      <c r="B172" s="783"/>
      <c r="C172" s="744"/>
      <c r="D172" s="228" t="s">
        <v>142</v>
      </c>
      <c r="E172" s="95">
        <f>'20'!F172</f>
        <v>20214</v>
      </c>
      <c r="F172" s="155">
        <v>20214</v>
      </c>
      <c r="G172" s="155">
        <f t="shared" si="14"/>
        <v>0</v>
      </c>
      <c r="H172" s="99">
        <f>G172+'20'!H172</f>
        <v>-687</v>
      </c>
      <c r="I172" s="155"/>
      <c r="J172" s="178">
        <f>H172/DAY(B2)</f>
        <v>-22.161290322580644</v>
      </c>
    </row>
    <row r="173" spans="1:10" ht="27.75" x14ac:dyDescent="0.5">
      <c r="A173" s="732" t="s">
        <v>196</v>
      </c>
      <c r="B173" s="733"/>
      <c r="C173" s="611"/>
      <c r="D173" s="228" t="s">
        <v>142</v>
      </c>
      <c r="E173" s="95"/>
      <c r="F173" s="155"/>
      <c r="G173" s="155">
        <f>SUM(G170:G172)</f>
        <v>0</v>
      </c>
      <c r="H173" s="99">
        <f>G173+'20'!H173</f>
        <v>-890</v>
      </c>
      <c r="I173" s="155"/>
      <c r="J173" s="178">
        <f>H173/DAY(B2)</f>
        <v>-28.70967741935484</v>
      </c>
    </row>
    <row r="174" spans="1:10" ht="27.75" x14ac:dyDescent="0.5">
      <c r="A174" s="743" t="s">
        <v>77</v>
      </c>
      <c r="B174" s="744"/>
      <c r="C174" s="353"/>
      <c r="D174" s="228" t="s">
        <v>142</v>
      </c>
      <c r="E174" s="95"/>
      <c r="F174" s="155"/>
      <c r="G174" s="155"/>
      <c r="H174" s="99">
        <f>G174+'20'!H174</f>
        <v>0</v>
      </c>
      <c r="I174" s="155"/>
      <c r="J174" s="178">
        <f>H174/DAY(B2)</f>
        <v>0</v>
      </c>
    </row>
    <row r="175" spans="1:10" ht="27.75" x14ac:dyDescent="0.5">
      <c r="A175" s="743" t="s">
        <v>210</v>
      </c>
      <c r="B175" s="744"/>
      <c r="C175" s="353"/>
      <c r="D175" s="228" t="s">
        <v>142</v>
      </c>
      <c r="E175" s="95">
        <f>'20'!F175</f>
        <v>69524</v>
      </c>
      <c r="F175" s="155">
        <v>69524</v>
      </c>
      <c r="G175" s="155">
        <f>F175-E175</f>
        <v>0</v>
      </c>
      <c r="H175" s="99">
        <f>G175+'20'!H175</f>
        <v>-6303</v>
      </c>
      <c r="I175" s="155"/>
      <c r="J175" s="178">
        <f>H175/DAY(B2)</f>
        <v>-203.32258064516128</v>
      </c>
    </row>
    <row r="176" spans="1:10" ht="27.75" x14ac:dyDescent="0.5">
      <c r="A176" s="743" t="s">
        <v>211</v>
      </c>
      <c r="B176" s="744"/>
      <c r="C176" s="353"/>
      <c r="D176" s="228" t="s">
        <v>142</v>
      </c>
      <c r="E176" s="95">
        <f>'20'!F176</f>
        <v>33886</v>
      </c>
      <c r="F176" s="155">
        <v>33886</v>
      </c>
      <c r="G176" s="155">
        <f t="shared" ref="G176:G177" si="15">F176-E176</f>
        <v>0</v>
      </c>
      <c r="H176" s="99">
        <f>G176+'20'!H176</f>
        <v>0</v>
      </c>
      <c r="I176" s="155"/>
      <c r="J176" s="178">
        <f>H176/DAY(B2)</f>
        <v>0</v>
      </c>
    </row>
    <row r="177" spans="1:10" ht="27.75" x14ac:dyDescent="0.5">
      <c r="A177" s="743" t="s">
        <v>212</v>
      </c>
      <c r="B177" s="744"/>
      <c r="C177" s="353"/>
      <c r="D177" s="228" t="s">
        <v>142</v>
      </c>
      <c r="E177" s="95">
        <f>'20'!F177</f>
        <v>4788</v>
      </c>
      <c r="F177" s="155">
        <v>4788</v>
      </c>
      <c r="G177" s="155">
        <f t="shared" si="15"/>
        <v>0</v>
      </c>
      <c r="H177" s="99">
        <f>G177+'20'!H177</f>
        <v>-3190</v>
      </c>
      <c r="I177" s="155"/>
      <c r="J177" s="178">
        <f>H177/DAY(B2)</f>
        <v>-102.90322580645162</v>
      </c>
    </row>
    <row r="178" spans="1:10" ht="27.75" x14ac:dyDescent="0.5">
      <c r="A178" s="745" t="s">
        <v>108</v>
      </c>
      <c r="B178" s="746"/>
      <c r="C178" s="611"/>
      <c r="D178" s="228" t="s">
        <v>142</v>
      </c>
      <c r="E178" s="95"/>
      <c r="F178" s="155"/>
      <c r="G178" s="155">
        <f>SUM(G175:G177)</f>
        <v>0</v>
      </c>
      <c r="H178" s="99">
        <f>G178+'20'!H178</f>
        <v>-9493</v>
      </c>
      <c r="I178" s="155"/>
      <c r="J178" s="178">
        <f>H178/DAY(B2)</f>
        <v>-306.22580645161293</v>
      </c>
    </row>
    <row r="179" spans="1:10" ht="27.75" x14ac:dyDescent="0.5">
      <c r="A179" s="743" t="s">
        <v>213</v>
      </c>
      <c r="B179" s="744"/>
      <c r="C179" s="353"/>
      <c r="D179" s="228" t="s">
        <v>142</v>
      </c>
      <c r="E179" s="95"/>
      <c r="F179" s="155"/>
      <c r="G179" s="155"/>
      <c r="H179" s="99">
        <f>G179+'20'!H179</f>
        <v>0</v>
      </c>
      <c r="I179" s="155"/>
      <c r="J179" s="178">
        <f>H179/DAY(B2)</f>
        <v>0</v>
      </c>
    </row>
    <row r="180" spans="1:10" ht="27.75" x14ac:dyDescent="0.5">
      <c r="A180" s="743" t="s">
        <v>214</v>
      </c>
      <c r="B180" s="744"/>
      <c r="C180" s="354"/>
      <c r="D180" s="228" t="s">
        <v>142</v>
      </c>
      <c r="E180" s="95">
        <f>'20'!F180</f>
        <v>13038</v>
      </c>
      <c r="F180" s="157">
        <v>13038</v>
      </c>
      <c r="G180" s="157">
        <f>F180-E180</f>
        <v>0</v>
      </c>
      <c r="H180" s="99">
        <f>G180+'20'!H180</f>
        <v>-1253</v>
      </c>
      <c r="I180" s="155"/>
      <c r="J180" s="178">
        <f>H180/DAY(B2)</f>
        <v>-40.41935483870968</v>
      </c>
    </row>
    <row r="181" spans="1:10" ht="27.75" x14ac:dyDescent="0.5">
      <c r="A181" s="743" t="s">
        <v>215</v>
      </c>
      <c r="B181" s="744"/>
      <c r="C181" s="354"/>
      <c r="D181" s="228" t="s">
        <v>142</v>
      </c>
      <c r="E181" s="95">
        <f>'20'!F181</f>
        <v>9126</v>
      </c>
      <c r="F181" s="157">
        <v>9126</v>
      </c>
      <c r="G181" s="157">
        <f t="shared" ref="G181:G182" si="16">F181-E181</f>
        <v>0</v>
      </c>
      <c r="H181" s="99">
        <f>G181+'20'!H181</f>
        <v>-794</v>
      </c>
      <c r="I181" s="155"/>
      <c r="J181" s="178">
        <f>H181/DAY(B2)</f>
        <v>-25.612903225806452</v>
      </c>
    </row>
    <row r="182" spans="1:10" ht="32.25" customHeight="1" x14ac:dyDescent="0.5">
      <c r="A182" s="743" t="s">
        <v>216</v>
      </c>
      <c r="B182" s="744"/>
      <c r="C182" s="354"/>
      <c r="D182" s="228" t="s">
        <v>142</v>
      </c>
      <c r="E182" s="95">
        <f>'20'!F182</f>
        <v>0</v>
      </c>
      <c r="F182" s="157"/>
      <c r="G182" s="157">
        <f t="shared" si="16"/>
        <v>0</v>
      </c>
      <c r="H182" s="99">
        <f>G182+'20'!H182</f>
        <v>0</v>
      </c>
      <c r="I182" s="155"/>
      <c r="J182" s="178">
        <f>H182/DAY(B2)</f>
        <v>0</v>
      </c>
    </row>
    <row r="183" spans="1:10" ht="27.75" x14ac:dyDescent="0.5">
      <c r="A183" s="732" t="s">
        <v>196</v>
      </c>
      <c r="B183" s="733"/>
      <c r="C183" s="610"/>
      <c r="D183" s="228" t="s">
        <v>142</v>
      </c>
      <c r="E183" s="95"/>
      <c r="F183" s="157"/>
      <c r="G183" s="157">
        <f>SUM(G180:G182)</f>
        <v>0</v>
      </c>
      <c r="H183" s="99">
        <f>G183+'20'!H183</f>
        <v>-2047</v>
      </c>
      <c r="I183" s="157"/>
      <c r="J183" s="178">
        <f>H183/DAY(B2)</f>
        <v>-66.032258064516128</v>
      </c>
    </row>
    <row r="184" spans="1:10" ht="27.75" x14ac:dyDescent="0.5">
      <c r="A184" s="734" t="s">
        <v>217</v>
      </c>
      <c r="B184" s="735"/>
      <c r="C184" s="353"/>
      <c r="D184" s="230" t="s">
        <v>142</v>
      </c>
      <c r="E184" s="95"/>
      <c r="F184" s="159"/>
      <c r="G184" s="588">
        <f>G62+G19</f>
        <v>60</v>
      </c>
      <c r="H184" s="99">
        <f>G184+'20'!H184</f>
        <v>-6422</v>
      </c>
      <c r="I184" s="158"/>
      <c r="J184" s="179">
        <f>H184/DAY(B2)</f>
        <v>-207.16129032258064</v>
      </c>
    </row>
    <row r="185" spans="1:10" ht="27.75" x14ac:dyDescent="0.5">
      <c r="A185" s="734" t="s">
        <v>218</v>
      </c>
      <c r="B185" s="735"/>
      <c r="C185" s="353"/>
      <c r="D185" s="230" t="s">
        <v>142</v>
      </c>
      <c r="E185" s="95"/>
      <c r="F185" s="159"/>
      <c r="G185" s="588">
        <f>G65+G66+G67+G69+G70</f>
        <v>0</v>
      </c>
      <c r="H185" s="99">
        <f>G185+'20'!H185</f>
        <v>-14514</v>
      </c>
      <c r="I185" s="158"/>
      <c r="J185" s="179">
        <f>H185/DAY(B2)</f>
        <v>-468.19354838709677</v>
      </c>
    </row>
    <row r="186" spans="1:10" ht="21" customHeight="1" x14ac:dyDescent="0.5">
      <c r="A186" s="734" t="s">
        <v>219</v>
      </c>
      <c r="B186" s="735"/>
      <c r="C186" s="353"/>
      <c r="D186" s="230" t="s">
        <v>142</v>
      </c>
      <c r="E186" s="95"/>
      <c r="F186" s="157"/>
      <c r="G186" s="585">
        <f>G178</f>
        <v>0</v>
      </c>
      <c r="H186" s="99">
        <f>G186+'20'!H186</f>
        <v>-7040</v>
      </c>
      <c r="I186" s="158"/>
      <c r="J186" s="179">
        <f>H186/DAY(B2)</f>
        <v>-227.09677419354838</v>
      </c>
    </row>
    <row r="187" spans="1:10" ht="27.75" x14ac:dyDescent="0.5">
      <c r="A187" s="741"/>
      <c r="B187" s="742"/>
      <c r="C187" s="609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1" customHeight="1" x14ac:dyDescent="0.5"/>
    <row r="311" ht="21" customHeight="1" x14ac:dyDescent="0.5"/>
    <row r="312" ht="21" customHeight="1" x14ac:dyDescent="0.5"/>
    <row r="313" ht="21" customHeight="1" x14ac:dyDescent="0.5"/>
    <row r="314" ht="21" customHeight="1" x14ac:dyDescent="0.5"/>
    <row r="315" ht="21" customHeight="1" x14ac:dyDescent="0.5"/>
    <row r="316" ht="21" customHeight="1" x14ac:dyDescent="0.5"/>
    <row r="317" ht="21" customHeight="1" x14ac:dyDescent="0.5"/>
    <row r="318" ht="21" customHeight="1" x14ac:dyDescent="0.5"/>
    <row r="319" ht="21" customHeight="1" x14ac:dyDescent="0.5"/>
    <row r="320" ht="21" customHeight="1" x14ac:dyDescent="0.5"/>
    <row r="321" ht="21" customHeight="1" x14ac:dyDescent="0.5"/>
    <row r="322" ht="21" customHeight="1" x14ac:dyDescent="0.5"/>
    <row r="323" ht="21" customHeight="1" x14ac:dyDescent="0.5"/>
    <row r="324" ht="21" customHeight="1" x14ac:dyDescent="0.5"/>
    <row r="325" ht="21" customHeight="1" x14ac:dyDescent="0.5"/>
    <row r="326" ht="21" customHeight="1" x14ac:dyDescent="0.5"/>
    <row r="327" ht="21" customHeight="1" x14ac:dyDescent="0.5"/>
    <row r="328" ht="21" customHeight="1" x14ac:dyDescent="0.5"/>
    <row r="329" ht="21" customHeight="1" x14ac:dyDescent="0.5"/>
    <row r="330" ht="21" customHeight="1" x14ac:dyDescent="0.5"/>
    <row r="331" ht="21" customHeight="1" x14ac:dyDescent="0.5"/>
    <row r="332" ht="21" customHeight="1" x14ac:dyDescent="0.5"/>
    <row r="333" ht="21" customHeight="1" x14ac:dyDescent="0.5"/>
    <row r="334" ht="21" customHeight="1" x14ac:dyDescent="0.5"/>
    <row r="335" ht="21" customHeight="1" x14ac:dyDescent="0.5"/>
    <row r="336" ht="21" customHeight="1" x14ac:dyDescent="0.5"/>
    <row r="337" ht="21" customHeight="1" x14ac:dyDescent="0.5"/>
    <row r="338" ht="21" customHeight="1" x14ac:dyDescent="0.5"/>
    <row r="339" ht="21" customHeight="1" x14ac:dyDescent="0.5"/>
    <row r="340" ht="21" customHeight="1" x14ac:dyDescent="0.5"/>
    <row r="341" ht="21" customHeight="1" x14ac:dyDescent="0.5"/>
    <row r="342" ht="21" customHeight="1" x14ac:dyDescent="0.5"/>
    <row r="343" ht="21" customHeight="1" x14ac:dyDescent="0.5"/>
    <row r="344" ht="21" customHeight="1" x14ac:dyDescent="0.5"/>
    <row r="345" ht="21" customHeight="1" x14ac:dyDescent="0.5"/>
    <row r="346" ht="21" customHeight="1" x14ac:dyDescent="0.5"/>
    <row r="347" ht="21" customHeight="1" x14ac:dyDescent="0.5"/>
    <row r="348" ht="21" customHeight="1" x14ac:dyDescent="0.5"/>
    <row r="349" ht="21" customHeight="1" x14ac:dyDescent="0.5"/>
    <row r="350" ht="21" customHeight="1" x14ac:dyDescent="0.5"/>
    <row r="351" ht="21" customHeight="1" x14ac:dyDescent="0.5"/>
    <row r="352" ht="21" customHeight="1" x14ac:dyDescent="0.5"/>
    <row r="353" ht="21" customHeight="1" x14ac:dyDescent="0.5"/>
    <row r="354" ht="21" customHeight="1" x14ac:dyDescent="0.5"/>
    <row r="355" ht="21" customHeight="1" x14ac:dyDescent="0.5"/>
    <row r="356" ht="21" customHeight="1" x14ac:dyDescent="0.5"/>
    <row r="357" ht="21" customHeight="1" x14ac:dyDescent="0.5"/>
    <row r="358" ht="21" customHeight="1" x14ac:dyDescent="0.5"/>
    <row r="359" ht="21" customHeight="1" x14ac:dyDescent="0.5"/>
    <row r="360" ht="21" customHeight="1" x14ac:dyDescent="0.5"/>
    <row r="361" ht="21" customHeight="1" x14ac:dyDescent="0.5"/>
    <row r="362" ht="21" customHeight="1" x14ac:dyDescent="0.5"/>
    <row r="363" ht="21" customHeight="1" x14ac:dyDescent="0.5"/>
    <row r="364" ht="21" customHeight="1" x14ac:dyDescent="0.5"/>
    <row r="365" ht="21" customHeight="1" x14ac:dyDescent="0.5"/>
    <row r="366" ht="21" customHeight="1" x14ac:dyDescent="0.5"/>
    <row r="367" ht="21" customHeight="1" x14ac:dyDescent="0.5"/>
    <row r="368" ht="21" customHeight="1" x14ac:dyDescent="0.5"/>
    <row r="369" ht="21" customHeight="1" x14ac:dyDescent="0.5"/>
    <row r="370" ht="21" customHeight="1" x14ac:dyDescent="0.5"/>
    <row r="371" ht="21" customHeight="1" x14ac:dyDescent="0.5"/>
    <row r="372" ht="21" customHeight="1" x14ac:dyDescent="0.5"/>
    <row r="373" ht="21" customHeight="1" x14ac:dyDescent="0.5"/>
    <row r="374" ht="21" customHeight="1" x14ac:dyDescent="0.5"/>
    <row r="375" ht="21" customHeight="1" x14ac:dyDescent="0.5"/>
    <row r="376" ht="21" customHeight="1" x14ac:dyDescent="0.5"/>
    <row r="377" ht="21" customHeight="1" x14ac:dyDescent="0.5"/>
    <row r="378" ht="21" customHeight="1" x14ac:dyDescent="0.5"/>
    <row r="379" ht="21" customHeight="1" x14ac:dyDescent="0.5"/>
    <row r="380" ht="21" customHeight="1" x14ac:dyDescent="0.5"/>
    <row r="381" ht="21" customHeight="1" x14ac:dyDescent="0.5"/>
    <row r="382" ht="21" customHeight="1" x14ac:dyDescent="0.5"/>
    <row r="383" ht="21" customHeight="1" x14ac:dyDescent="0.5"/>
    <row r="384" ht="21" customHeight="1" x14ac:dyDescent="0.5"/>
    <row r="385" ht="21" customHeight="1" x14ac:dyDescent="0.5"/>
    <row r="386" ht="21" customHeight="1" x14ac:dyDescent="0.5"/>
    <row r="387" ht="21" customHeight="1" x14ac:dyDescent="0.5"/>
    <row r="388" ht="21" customHeight="1" x14ac:dyDescent="0.5"/>
    <row r="389" ht="21" customHeight="1" x14ac:dyDescent="0.5"/>
    <row r="390" ht="21" customHeight="1" x14ac:dyDescent="0.5"/>
    <row r="391" ht="21" customHeight="1" x14ac:dyDescent="0.5"/>
    <row r="392" ht="21" customHeight="1" x14ac:dyDescent="0.5"/>
    <row r="393" ht="21" customHeight="1" x14ac:dyDescent="0.5"/>
    <row r="394" ht="21" customHeight="1" x14ac:dyDescent="0.5"/>
    <row r="395" ht="21" customHeight="1" x14ac:dyDescent="0.5"/>
    <row r="396" ht="21" customHeight="1" x14ac:dyDescent="0.5"/>
    <row r="397" ht="21" customHeight="1" x14ac:dyDescent="0.5"/>
    <row r="398" ht="21" customHeight="1" x14ac:dyDescent="0.5"/>
    <row r="399" ht="21" customHeight="1" x14ac:dyDescent="0.5"/>
    <row r="400" ht="21" customHeight="1" x14ac:dyDescent="0.5"/>
    <row r="401" ht="21" customHeight="1" x14ac:dyDescent="0.5"/>
    <row r="402" ht="21" customHeight="1" x14ac:dyDescent="0.5"/>
    <row r="403" ht="21" customHeight="1" x14ac:dyDescent="0.5"/>
    <row r="404" ht="21" customHeight="1" x14ac:dyDescent="0.5"/>
    <row r="405" ht="21" customHeight="1" x14ac:dyDescent="0.5"/>
    <row r="406" ht="21" customHeight="1" x14ac:dyDescent="0.5"/>
    <row r="407" ht="21" customHeight="1" x14ac:dyDescent="0.5"/>
    <row r="408" ht="21" customHeight="1" x14ac:dyDescent="0.5"/>
    <row r="409" ht="21" customHeight="1" x14ac:dyDescent="0.5"/>
    <row r="410" ht="21" customHeight="1" x14ac:dyDescent="0.5"/>
    <row r="411" ht="21" customHeight="1" x14ac:dyDescent="0.5"/>
    <row r="412" ht="21" customHeight="1" x14ac:dyDescent="0.5"/>
    <row r="413" ht="21" customHeight="1" x14ac:dyDescent="0.5"/>
    <row r="414" ht="21" customHeight="1" x14ac:dyDescent="0.5"/>
    <row r="415" ht="21" customHeight="1" x14ac:dyDescent="0.5"/>
    <row r="416" ht="21" customHeight="1" x14ac:dyDescent="0.5"/>
    <row r="417" ht="21" customHeight="1" x14ac:dyDescent="0.5"/>
    <row r="418" ht="21" customHeight="1" x14ac:dyDescent="0.5"/>
    <row r="419" ht="21" customHeight="1" x14ac:dyDescent="0.5"/>
    <row r="420" ht="21" customHeight="1" x14ac:dyDescent="0.5"/>
    <row r="421" ht="21" customHeight="1" x14ac:dyDescent="0.5"/>
    <row r="422" ht="21" customHeight="1" x14ac:dyDescent="0.5"/>
    <row r="423" ht="21" customHeight="1" x14ac:dyDescent="0.5"/>
    <row r="424" ht="21" customHeight="1" x14ac:dyDescent="0.5"/>
    <row r="425" ht="21" customHeight="1" x14ac:dyDescent="0.5"/>
    <row r="426" ht="21" customHeight="1" x14ac:dyDescent="0.5"/>
    <row r="427" ht="21" customHeight="1" x14ac:dyDescent="0.5"/>
    <row r="428" ht="21" customHeight="1" x14ac:dyDescent="0.5"/>
    <row r="429" ht="21" customHeight="1" x14ac:dyDescent="0.5"/>
    <row r="430" ht="21" customHeight="1" x14ac:dyDescent="0.5"/>
    <row r="431" ht="21" customHeight="1" x14ac:dyDescent="0.5"/>
    <row r="432" ht="21" customHeight="1" x14ac:dyDescent="0.5"/>
    <row r="433" ht="21" customHeight="1" x14ac:dyDescent="0.5"/>
    <row r="434" ht="21" customHeight="1" x14ac:dyDescent="0.5"/>
    <row r="435" ht="21" customHeight="1" x14ac:dyDescent="0.5"/>
    <row r="436" ht="21" customHeight="1" x14ac:dyDescent="0.5"/>
    <row r="437" ht="21" customHeight="1" x14ac:dyDescent="0.5"/>
    <row r="438" ht="21" customHeight="1" x14ac:dyDescent="0.5"/>
    <row r="439" ht="21" customHeight="1" x14ac:dyDescent="0.5"/>
    <row r="440" ht="21" customHeight="1" x14ac:dyDescent="0.5"/>
    <row r="441" ht="21" customHeight="1" x14ac:dyDescent="0.5"/>
    <row r="442" ht="21" customHeight="1" x14ac:dyDescent="0.5"/>
    <row r="443" ht="21" customHeight="1" x14ac:dyDescent="0.5"/>
    <row r="444" ht="21" customHeight="1" x14ac:dyDescent="0.5"/>
    <row r="445" ht="21" customHeight="1" x14ac:dyDescent="0.5"/>
    <row r="446" ht="21" customHeight="1" x14ac:dyDescent="0.5"/>
    <row r="447" ht="21" customHeight="1" x14ac:dyDescent="0.5"/>
    <row r="448" ht="21" customHeight="1" x14ac:dyDescent="0.5"/>
    <row r="449" ht="21" customHeight="1" x14ac:dyDescent="0.5"/>
    <row r="450" ht="21" customHeight="1" x14ac:dyDescent="0.5"/>
    <row r="451" ht="21" customHeight="1" x14ac:dyDescent="0.5"/>
    <row r="452" ht="21" customHeight="1" x14ac:dyDescent="0.5"/>
    <row r="453" ht="21" customHeight="1" x14ac:dyDescent="0.5"/>
    <row r="454" ht="21" customHeight="1" x14ac:dyDescent="0.5"/>
    <row r="455" ht="21" customHeight="1" x14ac:dyDescent="0.5"/>
    <row r="456" ht="21" customHeight="1" x14ac:dyDescent="0.5"/>
    <row r="457" ht="21" customHeight="1" x14ac:dyDescent="0.5"/>
    <row r="458" ht="21" customHeight="1" x14ac:dyDescent="0.5"/>
    <row r="459" ht="21" customHeight="1" x14ac:dyDescent="0.5"/>
    <row r="460" ht="21" customHeight="1" x14ac:dyDescent="0.5"/>
    <row r="461" ht="21" customHeight="1" x14ac:dyDescent="0.5"/>
    <row r="462" ht="21" customHeight="1" x14ac:dyDescent="0.5"/>
    <row r="463" ht="21" customHeight="1" x14ac:dyDescent="0.5"/>
    <row r="464" ht="21" customHeight="1" x14ac:dyDescent="0.5"/>
    <row r="465" ht="21" customHeight="1" x14ac:dyDescent="0.5"/>
    <row r="466" ht="21" customHeight="1" x14ac:dyDescent="0.5"/>
    <row r="467" ht="21" customHeight="1" x14ac:dyDescent="0.5"/>
    <row r="468" ht="21" customHeight="1" x14ac:dyDescent="0.5"/>
    <row r="469" ht="21" customHeight="1" x14ac:dyDescent="0.5"/>
    <row r="470" ht="21" customHeight="1" x14ac:dyDescent="0.5"/>
    <row r="471" ht="21" customHeight="1" x14ac:dyDescent="0.5"/>
    <row r="472" ht="21" customHeight="1" x14ac:dyDescent="0.5"/>
    <row r="473" ht="21" customHeight="1" x14ac:dyDescent="0.5"/>
    <row r="474" ht="21" customHeight="1" x14ac:dyDescent="0.5"/>
    <row r="475" ht="21" customHeight="1" x14ac:dyDescent="0.5"/>
    <row r="476" ht="21" customHeight="1" x14ac:dyDescent="0.5"/>
    <row r="477" ht="21" customHeight="1" x14ac:dyDescent="0.5"/>
    <row r="478" ht="21" customHeight="1" x14ac:dyDescent="0.5"/>
    <row r="479" ht="21" customHeight="1" x14ac:dyDescent="0.5"/>
    <row r="480" ht="21" customHeight="1" x14ac:dyDescent="0.5"/>
    <row r="481" ht="21" customHeight="1" x14ac:dyDescent="0.5"/>
    <row r="482" ht="21" customHeight="1" x14ac:dyDescent="0.5"/>
    <row r="483" ht="21" customHeight="1" x14ac:dyDescent="0.5"/>
    <row r="484" ht="21" customHeight="1" x14ac:dyDescent="0.5"/>
    <row r="485" ht="21" customHeight="1" x14ac:dyDescent="0.5"/>
    <row r="486" ht="21" customHeight="1" x14ac:dyDescent="0.5"/>
    <row r="487" ht="21" customHeight="1" x14ac:dyDescent="0.5"/>
    <row r="488" ht="21" customHeight="1" x14ac:dyDescent="0.5"/>
    <row r="489" ht="21" customHeight="1" x14ac:dyDescent="0.5"/>
    <row r="490" ht="21" customHeight="1" x14ac:dyDescent="0.5"/>
    <row r="491" ht="21" customHeight="1" x14ac:dyDescent="0.5"/>
    <row r="492" ht="21" customHeight="1" x14ac:dyDescent="0.5"/>
    <row r="493" ht="21" customHeight="1" x14ac:dyDescent="0.5"/>
    <row r="494" ht="21" customHeight="1" x14ac:dyDescent="0.5"/>
    <row r="495" ht="21" customHeight="1" x14ac:dyDescent="0.5"/>
    <row r="496" ht="21" customHeight="1" x14ac:dyDescent="0.5"/>
    <row r="497" ht="21" customHeight="1" x14ac:dyDescent="0.5"/>
    <row r="498" ht="21" customHeight="1" x14ac:dyDescent="0.5"/>
    <row r="499" ht="21" customHeight="1" x14ac:dyDescent="0.5"/>
    <row r="500" ht="21" customHeight="1" x14ac:dyDescent="0.5"/>
    <row r="501" ht="21" customHeight="1" x14ac:dyDescent="0.5"/>
    <row r="502" ht="21" customHeight="1" x14ac:dyDescent="0.5"/>
    <row r="503" ht="21" customHeight="1" x14ac:dyDescent="0.5"/>
    <row r="504" ht="21" customHeight="1" x14ac:dyDescent="0.5"/>
    <row r="505" ht="21" customHeight="1" x14ac:dyDescent="0.5"/>
    <row r="506" ht="21" customHeight="1" x14ac:dyDescent="0.5"/>
    <row r="507" ht="21" customHeight="1" x14ac:dyDescent="0.5"/>
    <row r="508" ht="21" customHeight="1" x14ac:dyDescent="0.5"/>
    <row r="509" ht="21" customHeight="1" x14ac:dyDescent="0.5"/>
    <row r="510" ht="21" customHeight="1" x14ac:dyDescent="0.5"/>
    <row r="511" ht="21" customHeight="1" x14ac:dyDescent="0.5"/>
    <row r="512" ht="21" customHeight="1" x14ac:dyDescent="0.5"/>
    <row r="513" ht="21" customHeight="1" x14ac:dyDescent="0.5"/>
    <row r="514" ht="21" customHeight="1" x14ac:dyDescent="0.5"/>
    <row r="515" ht="21" customHeight="1" x14ac:dyDescent="0.5"/>
    <row r="516" ht="21" customHeight="1" x14ac:dyDescent="0.5"/>
    <row r="517" ht="21" customHeight="1" x14ac:dyDescent="0.5"/>
    <row r="518" ht="21" customHeight="1" x14ac:dyDescent="0.5"/>
    <row r="519" ht="21" customHeight="1" x14ac:dyDescent="0.5"/>
    <row r="520" ht="21" customHeight="1" x14ac:dyDescent="0.5"/>
    <row r="521" ht="21" customHeight="1" x14ac:dyDescent="0.5"/>
    <row r="522" ht="21" customHeight="1" x14ac:dyDescent="0.5"/>
    <row r="523" ht="21" customHeight="1" x14ac:dyDescent="0.5"/>
    <row r="524" ht="21" customHeight="1" x14ac:dyDescent="0.5"/>
    <row r="525" ht="21" customHeight="1" x14ac:dyDescent="0.5"/>
    <row r="526" ht="21" customHeight="1" x14ac:dyDescent="0.5"/>
    <row r="527" ht="21" customHeight="1" x14ac:dyDescent="0.5"/>
    <row r="528" ht="21" customHeight="1" x14ac:dyDescent="0.5"/>
    <row r="529" ht="21" customHeight="1" x14ac:dyDescent="0.5"/>
    <row r="530" ht="21" customHeight="1" x14ac:dyDescent="0.5"/>
    <row r="531" ht="21" customHeight="1" x14ac:dyDescent="0.5"/>
    <row r="532" ht="21" customHeight="1" x14ac:dyDescent="0.5"/>
    <row r="533" ht="21" customHeight="1" x14ac:dyDescent="0.5"/>
    <row r="534" ht="21" customHeight="1" x14ac:dyDescent="0.5"/>
    <row r="535" ht="21" customHeight="1" x14ac:dyDescent="0.5"/>
    <row r="536" ht="21" customHeight="1" x14ac:dyDescent="0.5"/>
    <row r="537" ht="21" customHeight="1" x14ac:dyDescent="0.5"/>
    <row r="538" ht="21" customHeight="1" x14ac:dyDescent="0.5"/>
    <row r="539" ht="21" customHeight="1" x14ac:dyDescent="0.5"/>
    <row r="540" ht="21" customHeight="1" x14ac:dyDescent="0.5"/>
    <row r="541" ht="21" customHeight="1" x14ac:dyDescent="0.5"/>
    <row r="542" ht="21" customHeight="1" x14ac:dyDescent="0.5"/>
    <row r="543" ht="21" customHeight="1" x14ac:dyDescent="0.5"/>
    <row r="544" ht="21" customHeight="1" x14ac:dyDescent="0.5"/>
    <row r="545" ht="21" customHeight="1" x14ac:dyDescent="0.5"/>
    <row r="546" ht="21" customHeight="1" x14ac:dyDescent="0.5"/>
    <row r="547" ht="21" customHeight="1" x14ac:dyDescent="0.5"/>
    <row r="548" ht="21" customHeight="1" x14ac:dyDescent="0.5"/>
    <row r="549" ht="21" customHeight="1" x14ac:dyDescent="0.5"/>
    <row r="550" ht="21" customHeight="1" x14ac:dyDescent="0.5"/>
    <row r="551" ht="21" customHeight="1" x14ac:dyDescent="0.5"/>
    <row r="552" ht="21" customHeight="1" x14ac:dyDescent="0.5"/>
    <row r="553" ht="21" customHeight="1" x14ac:dyDescent="0.5"/>
    <row r="554" ht="21" customHeight="1" x14ac:dyDescent="0.5"/>
    <row r="555" ht="21" customHeight="1" x14ac:dyDescent="0.5"/>
    <row r="556" ht="21" customHeight="1" x14ac:dyDescent="0.5"/>
    <row r="557" ht="21" customHeight="1" x14ac:dyDescent="0.5"/>
    <row r="558" ht="21" customHeight="1" x14ac:dyDescent="0.5"/>
    <row r="559" ht="21" customHeight="1" x14ac:dyDescent="0.5"/>
    <row r="560" ht="21" customHeight="1" x14ac:dyDescent="0.5"/>
    <row r="561" ht="21" customHeight="1" x14ac:dyDescent="0.5"/>
    <row r="562" ht="21" customHeight="1" x14ac:dyDescent="0.5"/>
    <row r="563" ht="21" customHeight="1" x14ac:dyDescent="0.5"/>
    <row r="564" ht="21" customHeight="1" x14ac:dyDescent="0.5"/>
    <row r="565" ht="21" customHeight="1" x14ac:dyDescent="0.5"/>
    <row r="566" ht="21" customHeight="1" x14ac:dyDescent="0.5"/>
    <row r="567" ht="21" customHeight="1" x14ac:dyDescent="0.5"/>
    <row r="568" ht="21" customHeight="1" x14ac:dyDescent="0.5"/>
    <row r="569" ht="21" customHeight="1" x14ac:dyDescent="0.5"/>
    <row r="570" ht="21" customHeight="1" x14ac:dyDescent="0.5"/>
    <row r="571" ht="21" customHeight="1" x14ac:dyDescent="0.5"/>
    <row r="572" ht="21" customHeight="1" x14ac:dyDescent="0.5"/>
    <row r="573" ht="21" customHeight="1" x14ac:dyDescent="0.5"/>
    <row r="574" ht="21" customHeight="1" x14ac:dyDescent="0.5"/>
    <row r="575" ht="21" customHeight="1" x14ac:dyDescent="0.5"/>
    <row r="576" ht="21" customHeight="1" x14ac:dyDescent="0.5"/>
    <row r="577" ht="21" customHeight="1" x14ac:dyDescent="0.5"/>
    <row r="578" ht="21" customHeight="1" x14ac:dyDescent="0.5"/>
    <row r="579" ht="21" customHeight="1" x14ac:dyDescent="0.5"/>
    <row r="580" ht="21" customHeight="1" x14ac:dyDescent="0.5"/>
    <row r="581" ht="21" customHeight="1" x14ac:dyDescent="0.5"/>
    <row r="582" ht="21" customHeight="1" x14ac:dyDescent="0.5"/>
    <row r="583" ht="21" customHeight="1" x14ac:dyDescent="0.5"/>
    <row r="584" ht="21" customHeight="1" x14ac:dyDescent="0.5"/>
    <row r="585" ht="21" customHeight="1" x14ac:dyDescent="0.5"/>
    <row r="586" ht="21" customHeight="1" x14ac:dyDescent="0.5"/>
    <row r="587" ht="21" customHeight="1" x14ac:dyDescent="0.5"/>
    <row r="588" ht="21" customHeight="1" x14ac:dyDescent="0.5"/>
    <row r="589" ht="21" customHeight="1" x14ac:dyDescent="0.5"/>
    <row r="590" ht="21" customHeight="1" x14ac:dyDescent="0.5"/>
    <row r="591" ht="21" customHeight="1" x14ac:dyDescent="0.5"/>
    <row r="592" ht="21" customHeight="1" x14ac:dyDescent="0.5"/>
    <row r="593" ht="21" customHeight="1" x14ac:dyDescent="0.5"/>
    <row r="594" ht="21" customHeight="1" x14ac:dyDescent="0.5"/>
    <row r="595" ht="21" customHeight="1" x14ac:dyDescent="0.5"/>
    <row r="596" ht="21" customHeight="1" x14ac:dyDescent="0.5"/>
    <row r="597" ht="21" customHeight="1" x14ac:dyDescent="0.5"/>
    <row r="598" ht="21" customHeight="1" x14ac:dyDescent="0.5"/>
    <row r="599" ht="21" customHeight="1" x14ac:dyDescent="0.5"/>
    <row r="600" ht="21" customHeight="1" x14ac:dyDescent="0.5"/>
    <row r="601" ht="21" customHeight="1" x14ac:dyDescent="0.5"/>
    <row r="602" ht="21" customHeight="1" x14ac:dyDescent="0.5"/>
    <row r="603" ht="21" customHeight="1" x14ac:dyDescent="0.5"/>
    <row r="604" ht="21" customHeight="1" x14ac:dyDescent="0.5"/>
    <row r="605" ht="21" customHeight="1" x14ac:dyDescent="0.5"/>
    <row r="606" ht="21" customHeight="1" x14ac:dyDescent="0.5"/>
    <row r="607" ht="21" customHeight="1" x14ac:dyDescent="0.5"/>
    <row r="608" ht="21" customHeight="1" x14ac:dyDescent="0.5"/>
    <row r="609" ht="21" customHeight="1" x14ac:dyDescent="0.5"/>
    <row r="610" ht="21" customHeight="1" x14ac:dyDescent="0.5"/>
    <row r="611" ht="21" customHeight="1" x14ac:dyDescent="0.5"/>
    <row r="612" ht="21" customHeight="1" x14ac:dyDescent="0.5"/>
    <row r="613" ht="21" customHeight="1" x14ac:dyDescent="0.5"/>
    <row r="614" ht="21" customHeight="1" x14ac:dyDescent="0.5"/>
    <row r="615" ht="21" customHeight="1" x14ac:dyDescent="0.5"/>
    <row r="616" ht="21" customHeight="1" x14ac:dyDescent="0.5"/>
    <row r="617" ht="21" customHeight="1" x14ac:dyDescent="0.5"/>
    <row r="618" ht="21" customHeight="1" x14ac:dyDescent="0.5"/>
    <row r="619" ht="21" customHeight="1" x14ac:dyDescent="0.5"/>
    <row r="620" ht="21" customHeight="1" x14ac:dyDescent="0.5"/>
    <row r="621" ht="21" customHeight="1" x14ac:dyDescent="0.5"/>
    <row r="622" ht="21" customHeight="1" x14ac:dyDescent="0.5"/>
    <row r="623" ht="21" customHeight="1" x14ac:dyDescent="0.5"/>
    <row r="624" ht="21" customHeight="1" x14ac:dyDescent="0.5"/>
    <row r="625" ht="21" customHeight="1" x14ac:dyDescent="0.5"/>
    <row r="626" ht="21" customHeight="1" x14ac:dyDescent="0.5"/>
    <row r="627" ht="21" customHeight="1" x14ac:dyDescent="0.5"/>
    <row r="628" ht="21" customHeight="1" x14ac:dyDescent="0.5"/>
    <row r="629" ht="21" customHeight="1" x14ac:dyDescent="0.5"/>
    <row r="630" ht="21" customHeight="1" x14ac:dyDescent="0.5"/>
    <row r="631" ht="21" customHeight="1" x14ac:dyDescent="0.5"/>
    <row r="632" ht="21" customHeight="1" x14ac:dyDescent="0.5"/>
    <row r="633" ht="21" customHeight="1" x14ac:dyDescent="0.5"/>
    <row r="634" ht="21" customHeight="1" x14ac:dyDescent="0.5"/>
    <row r="635" ht="21" customHeight="1" x14ac:dyDescent="0.5"/>
    <row r="636" ht="21" customHeight="1" x14ac:dyDescent="0.5"/>
    <row r="637" ht="21" customHeight="1" x14ac:dyDescent="0.5"/>
    <row r="638" ht="21" customHeight="1" x14ac:dyDescent="0.5"/>
    <row r="639" ht="21" customHeight="1" x14ac:dyDescent="0.5"/>
    <row r="640" ht="21" customHeight="1" x14ac:dyDescent="0.5"/>
    <row r="641" ht="21" customHeight="1" x14ac:dyDescent="0.5"/>
    <row r="642" ht="21" customHeight="1" x14ac:dyDescent="0.5"/>
    <row r="643" ht="21" customHeight="1" x14ac:dyDescent="0.5"/>
    <row r="644" ht="21" customHeight="1" x14ac:dyDescent="0.5"/>
    <row r="645" ht="21" customHeight="1" x14ac:dyDescent="0.5"/>
    <row r="646" ht="21" customHeight="1" x14ac:dyDescent="0.5"/>
    <row r="647" ht="21" customHeight="1" x14ac:dyDescent="0.5"/>
    <row r="648" ht="21" customHeight="1" x14ac:dyDescent="0.5"/>
    <row r="649" ht="21" customHeight="1" x14ac:dyDescent="0.5"/>
    <row r="650" ht="21" customHeight="1" x14ac:dyDescent="0.5"/>
    <row r="651" ht="21" customHeight="1" x14ac:dyDescent="0.5"/>
    <row r="652" ht="21" customHeight="1" x14ac:dyDescent="0.5"/>
    <row r="653" ht="21" customHeight="1" x14ac:dyDescent="0.5"/>
    <row r="654" ht="21" customHeight="1" x14ac:dyDescent="0.5"/>
    <row r="655" ht="21" customHeight="1" x14ac:dyDescent="0.5"/>
    <row r="656" ht="21" customHeight="1" x14ac:dyDescent="0.5"/>
    <row r="657" ht="21" customHeight="1" x14ac:dyDescent="0.5"/>
    <row r="658" ht="21" customHeight="1" x14ac:dyDescent="0.5"/>
    <row r="659" ht="21" customHeight="1" x14ac:dyDescent="0.5"/>
    <row r="660" ht="21" customHeight="1" x14ac:dyDescent="0.5"/>
    <row r="661" ht="21" customHeight="1" x14ac:dyDescent="0.5"/>
    <row r="662" ht="21" customHeight="1" x14ac:dyDescent="0.5"/>
    <row r="663" ht="21" customHeight="1" x14ac:dyDescent="0.5"/>
    <row r="664" ht="21" customHeight="1" x14ac:dyDescent="0.5"/>
    <row r="665" ht="21" customHeight="1" x14ac:dyDescent="0.5"/>
    <row r="666" ht="21" customHeight="1" x14ac:dyDescent="0.5"/>
    <row r="667" ht="21" customHeight="1" x14ac:dyDescent="0.5"/>
    <row r="668" ht="21" customHeight="1" x14ac:dyDescent="0.5"/>
    <row r="669" ht="21" customHeight="1" x14ac:dyDescent="0.5"/>
    <row r="670" ht="21" customHeight="1" x14ac:dyDescent="0.5"/>
    <row r="671" ht="21" customHeight="1" x14ac:dyDescent="0.5"/>
    <row r="672" ht="21" customHeight="1" x14ac:dyDescent="0.5"/>
    <row r="673" ht="21" customHeight="1" x14ac:dyDescent="0.5"/>
    <row r="674" ht="21" customHeight="1" x14ac:dyDescent="0.5"/>
    <row r="675" ht="21" customHeight="1" x14ac:dyDescent="0.5"/>
    <row r="676" ht="21" customHeight="1" x14ac:dyDescent="0.5"/>
    <row r="677" ht="21" customHeight="1" x14ac:dyDescent="0.5"/>
    <row r="678" ht="21" customHeight="1" x14ac:dyDescent="0.5"/>
    <row r="679" ht="21" customHeight="1" x14ac:dyDescent="0.5"/>
    <row r="680" ht="21" customHeight="1" x14ac:dyDescent="0.5"/>
    <row r="681" ht="21" customHeight="1" x14ac:dyDescent="0.5"/>
    <row r="682" ht="21" customHeight="1" x14ac:dyDescent="0.5"/>
    <row r="683" ht="21" customHeight="1" x14ac:dyDescent="0.5"/>
    <row r="684" ht="21" customHeight="1" x14ac:dyDescent="0.5"/>
    <row r="685" ht="21" customHeight="1" x14ac:dyDescent="0.5"/>
    <row r="686" ht="21" customHeight="1" x14ac:dyDescent="0.5"/>
    <row r="687" ht="21" customHeight="1" x14ac:dyDescent="0.5"/>
    <row r="688" ht="21" customHeight="1" x14ac:dyDescent="0.5"/>
    <row r="689" ht="21" customHeight="1" x14ac:dyDescent="0.5"/>
    <row r="690" ht="21" customHeight="1" x14ac:dyDescent="0.5"/>
    <row r="691" ht="21" customHeight="1" x14ac:dyDescent="0.5"/>
    <row r="692" ht="21" customHeight="1" x14ac:dyDescent="0.5"/>
    <row r="693" ht="21" customHeight="1" x14ac:dyDescent="0.5"/>
    <row r="694" ht="21" customHeight="1" x14ac:dyDescent="0.5"/>
    <row r="695" ht="21" customHeight="1" x14ac:dyDescent="0.5"/>
    <row r="696" ht="21" customHeight="1" x14ac:dyDescent="0.5"/>
    <row r="697" ht="21" customHeight="1" x14ac:dyDescent="0.5"/>
    <row r="698" ht="21" customHeight="1" x14ac:dyDescent="0.5"/>
    <row r="699" ht="21" customHeight="1" x14ac:dyDescent="0.5"/>
    <row r="700" ht="21" customHeight="1" x14ac:dyDescent="0.5"/>
    <row r="701" ht="21" customHeight="1" x14ac:dyDescent="0.5"/>
    <row r="702" ht="21" customHeight="1" x14ac:dyDescent="0.5"/>
    <row r="703" ht="21" customHeight="1" x14ac:dyDescent="0.5"/>
    <row r="704" ht="21" customHeight="1" x14ac:dyDescent="0.5"/>
    <row r="705" ht="21" customHeight="1" x14ac:dyDescent="0.5"/>
    <row r="706" ht="21" customHeight="1" x14ac:dyDescent="0.5"/>
    <row r="707" ht="21" customHeight="1" x14ac:dyDescent="0.5"/>
    <row r="708" ht="21" customHeight="1" x14ac:dyDescent="0.5"/>
    <row r="709" ht="21" customHeight="1" x14ac:dyDescent="0.5"/>
    <row r="710" ht="21" customHeight="1" x14ac:dyDescent="0.5"/>
    <row r="711" ht="21" customHeight="1" x14ac:dyDescent="0.5"/>
    <row r="712" ht="21" customHeight="1" x14ac:dyDescent="0.5"/>
    <row r="713" ht="21" customHeight="1" x14ac:dyDescent="0.5"/>
    <row r="714" ht="21" customHeight="1" x14ac:dyDescent="0.5"/>
    <row r="715" ht="21" customHeight="1" x14ac:dyDescent="0.5"/>
    <row r="716" ht="21" customHeight="1" x14ac:dyDescent="0.5"/>
    <row r="717" ht="21" customHeight="1" x14ac:dyDescent="0.5"/>
    <row r="718" ht="21" customHeight="1" x14ac:dyDescent="0.5"/>
    <row r="719" ht="21" customHeight="1" x14ac:dyDescent="0.5"/>
    <row r="720" ht="21" customHeight="1" x14ac:dyDescent="0.5"/>
    <row r="721" ht="21" customHeight="1" x14ac:dyDescent="0.5"/>
    <row r="722" ht="21" customHeight="1" x14ac:dyDescent="0.5"/>
    <row r="723" ht="21" customHeight="1" x14ac:dyDescent="0.5"/>
    <row r="724" ht="21" customHeight="1" x14ac:dyDescent="0.5"/>
    <row r="725" ht="21" customHeight="1" x14ac:dyDescent="0.5"/>
    <row r="726" ht="21" customHeight="1" x14ac:dyDescent="0.5"/>
    <row r="727" ht="21" customHeight="1" x14ac:dyDescent="0.5"/>
    <row r="728" ht="21" customHeight="1" x14ac:dyDescent="0.5"/>
    <row r="729" ht="21" customHeight="1" x14ac:dyDescent="0.5"/>
    <row r="730" ht="21" customHeight="1" x14ac:dyDescent="0.5"/>
    <row r="731" ht="21" customHeight="1" x14ac:dyDescent="0.5"/>
    <row r="732" ht="21" customHeight="1" x14ac:dyDescent="0.5"/>
    <row r="733" ht="21" customHeight="1" x14ac:dyDescent="0.5"/>
    <row r="734" ht="21" customHeight="1" x14ac:dyDescent="0.5"/>
    <row r="735" ht="21" customHeight="1" x14ac:dyDescent="0.5"/>
    <row r="736" ht="21" customHeight="1" x14ac:dyDescent="0.5"/>
    <row r="737" ht="21" customHeight="1" x14ac:dyDescent="0.5"/>
    <row r="738" ht="21" customHeight="1" x14ac:dyDescent="0.5"/>
    <row r="739" ht="21" customHeight="1" x14ac:dyDescent="0.5"/>
    <row r="740" ht="21" customHeight="1" x14ac:dyDescent="0.5"/>
    <row r="741" ht="21" customHeight="1" x14ac:dyDescent="0.5"/>
    <row r="742" ht="21" customHeight="1" x14ac:dyDescent="0.5"/>
    <row r="743" ht="21" customHeight="1" x14ac:dyDescent="0.5"/>
    <row r="744" ht="21" customHeight="1" x14ac:dyDescent="0.5"/>
    <row r="745" ht="21" customHeight="1" x14ac:dyDescent="0.5"/>
    <row r="746" ht="21" customHeight="1" x14ac:dyDescent="0.5"/>
    <row r="747" ht="21" customHeight="1" x14ac:dyDescent="0.5"/>
    <row r="748" ht="21" customHeight="1" x14ac:dyDescent="0.5"/>
    <row r="749" ht="21" customHeight="1" x14ac:dyDescent="0.5"/>
    <row r="750" ht="21" customHeight="1" x14ac:dyDescent="0.5"/>
    <row r="751" ht="21" customHeight="1" x14ac:dyDescent="0.5"/>
    <row r="752" ht="21" customHeight="1" x14ac:dyDescent="0.5"/>
    <row r="753" ht="21" customHeight="1" x14ac:dyDescent="0.5"/>
    <row r="754" ht="21" customHeight="1" x14ac:dyDescent="0.5"/>
    <row r="755" ht="21" customHeight="1" x14ac:dyDescent="0.5"/>
    <row r="756" ht="21" customHeight="1" x14ac:dyDescent="0.5"/>
    <row r="757" ht="21" customHeight="1" x14ac:dyDescent="0.5"/>
    <row r="758" ht="21" customHeight="1" x14ac:dyDescent="0.5"/>
    <row r="759" ht="21" customHeight="1" x14ac:dyDescent="0.5"/>
    <row r="760" ht="21" customHeight="1" x14ac:dyDescent="0.5"/>
    <row r="761" ht="21" customHeight="1" x14ac:dyDescent="0.5"/>
    <row r="762" ht="21" customHeight="1" x14ac:dyDescent="0.5"/>
    <row r="763" ht="21" customHeight="1" x14ac:dyDescent="0.5"/>
    <row r="764" ht="21" customHeight="1" x14ac:dyDescent="0.5"/>
    <row r="765" ht="21" customHeight="1" x14ac:dyDescent="0.5"/>
    <row r="766" ht="21" customHeight="1" x14ac:dyDescent="0.5"/>
    <row r="767" ht="21" customHeight="1" x14ac:dyDescent="0.5"/>
    <row r="768" ht="21" customHeight="1" x14ac:dyDescent="0.5"/>
    <row r="769" ht="21" customHeight="1" x14ac:dyDescent="0.5"/>
    <row r="770" ht="21" customHeight="1" x14ac:dyDescent="0.5"/>
    <row r="771" ht="21" customHeight="1" x14ac:dyDescent="0.5"/>
    <row r="772" ht="21" customHeight="1" x14ac:dyDescent="0.5"/>
    <row r="773" ht="21" customHeight="1" x14ac:dyDescent="0.5"/>
    <row r="774" ht="21" customHeight="1" x14ac:dyDescent="0.5"/>
    <row r="775" ht="21" customHeight="1" x14ac:dyDescent="0.5"/>
    <row r="776" ht="21" customHeight="1" x14ac:dyDescent="0.5"/>
    <row r="777" ht="21" customHeight="1" x14ac:dyDescent="0.5"/>
    <row r="778" ht="21" customHeight="1" x14ac:dyDescent="0.5"/>
    <row r="779" ht="21" customHeight="1" x14ac:dyDescent="0.5"/>
    <row r="780" ht="21" customHeight="1" x14ac:dyDescent="0.5"/>
    <row r="781" ht="21" customHeight="1" x14ac:dyDescent="0.5"/>
    <row r="782" ht="21" customHeight="1" x14ac:dyDescent="0.5"/>
    <row r="783" ht="21" customHeight="1" x14ac:dyDescent="0.5"/>
    <row r="784" ht="21" customHeight="1" x14ac:dyDescent="0.5"/>
    <row r="785" ht="21" customHeight="1" x14ac:dyDescent="0.5"/>
    <row r="786" ht="21" customHeight="1" x14ac:dyDescent="0.5"/>
    <row r="787" ht="21" customHeight="1" x14ac:dyDescent="0.5"/>
    <row r="788" ht="21" customHeight="1" x14ac:dyDescent="0.5"/>
    <row r="789" ht="21" customHeight="1" x14ac:dyDescent="0.5"/>
    <row r="790" ht="21" customHeight="1" x14ac:dyDescent="0.5"/>
    <row r="791" ht="21" customHeight="1" x14ac:dyDescent="0.5"/>
    <row r="792" ht="21" customHeight="1" x14ac:dyDescent="0.5"/>
    <row r="793" ht="21" customHeight="1" x14ac:dyDescent="0.5"/>
    <row r="794" ht="21" customHeight="1" x14ac:dyDescent="0.5"/>
    <row r="795" ht="21" customHeight="1" x14ac:dyDescent="0.5"/>
    <row r="796" ht="21" customHeight="1" x14ac:dyDescent="0.5"/>
    <row r="797" ht="21" customHeight="1" x14ac:dyDescent="0.5"/>
    <row r="798" ht="21" customHeight="1" x14ac:dyDescent="0.5"/>
    <row r="799" ht="21" customHeight="1" x14ac:dyDescent="0.5"/>
    <row r="800" ht="21" customHeight="1" x14ac:dyDescent="0.5"/>
    <row r="801" ht="21" customHeight="1" x14ac:dyDescent="0.5"/>
    <row r="802" ht="21" customHeight="1" x14ac:dyDescent="0.5"/>
    <row r="803" ht="21" customHeight="1" x14ac:dyDescent="0.5"/>
    <row r="804" ht="21" customHeight="1" x14ac:dyDescent="0.5"/>
    <row r="805" ht="21" customHeight="1" x14ac:dyDescent="0.5"/>
    <row r="806" ht="21" customHeight="1" x14ac:dyDescent="0.5"/>
    <row r="807" ht="21" customHeight="1" x14ac:dyDescent="0.5"/>
    <row r="808" ht="21" customHeight="1" x14ac:dyDescent="0.5"/>
    <row r="809" ht="21" customHeight="1" x14ac:dyDescent="0.5"/>
    <row r="810" ht="21" customHeight="1" x14ac:dyDescent="0.5"/>
    <row r="811" ht="21" customHeight="1" x14ac:dyDescent="0.5"/>
    <row r="812" ht="21" customHeight="1" x14ac:dyDescent="0.5"/>
    <row r="813" ht="21" customHeight="1" x14ac:dyDescent="0.5"/>
    <row r="814" ht="21" customHeight="1" x14ac:dyDescent="0.5"/>
    <row r="815" ht="21" customHeight="1" x14ac:dyDescent="0.5"/>
    <row r="816" ht="21" customHeight="1" x14ac:dyDescent="0.5"/>
    <row r="817" ht="21" customHeight="1" x14ac:dyDescent="0.5"/>
    <row r="818" ht="21" customHeight="1" x14ac:dyDescent="0.5"/>
    <row r="819" ht="21" customHeight="1" x14ac:dyDescent="0.5"/>
    <row r="820" ht="21" customHeight="1" x14ac:dyDescent="0.5"/>
    <row r="821" ht="21" customHeight="1" x14ac:dyDescent="0.5"/>
    <row r="822" ht="21" customHeight="1" x14ac:dyDescent="0.5"/>
    <row r="823" ht="21" customHeight="1" x14ac:dyDescent="0.5"/>
    <row r="824" ht="21" customHeight="1" x14ac:dyDescent="0.5"/>
    <row r="825" ht="21" customHeight="1" x14ac:dyDescent="0.5"/>
    <row r="826" ht="21" customHeight="1" x14ac:dyDescent="0.5"/>
    <row r="827" ht="21" customHeight="1" x14ac:dyDescent="0.5"/>
    <row r="828" ht="21" customHeight="1" x14ac:dyDescent="0.5"/>
    <row r="829" ht="21" customHeight="1" x14ac:dyDescent="0.5"/>
    <row r="830" ht="21" customHeight="1" x14ac:dyDescent="0.5"/>
    <row r="831" ht="21" customHeight="1" x14ac:dyDescent="0.5"/>
    <row r="832" ht="21" customHeight="1" x14ac:dyDescent="0.5"/>
    <row r="833" ht="21" customHeight="1" x14ac:dyDescent="0.5"/>
    <row r="834" ht="21" customHeight="1" x14ac:dyDescent="0.5"/>
    <row r="835" ht="21" customHeight="1" x14ac:dyDescent="0.5"/>
    <row r="836" ht="21" customHeight="1" x14ac:dyDescent="0.5"/>
    <row r="837" ht="21" customHeight="1" x14ac:dyDescent="0.5"/>
    <row r="838" ht="21" customHeight="1" x14ac:dyDescent="0.5"/>
    <row r="839" ht="21" customHeight="1" x14ac:dyDescent="0.5"/>
    <row r="840" ht="21" customHeight="1" x14ac:dyDescent="0.5"/>
    <row r="841" ht="21" customHeight="1" x14ac:dyDescent="0.5"/>
    <row r="842" ht="21" customHeight="1" x14ac:dyDescent="0.5"/>
    <row r="843" ht="21" customHeight="1" x14ac:dyDescent="0.5"/>
    <row r="844" ht="21" customHeight="1" x14ac:dyDescent="0.5"/>
    <row r="845" ht="21" customHeight="1" x14ac:dyDescent="0.5"/>
    <row r="846" ht="21" customHeight="1" x14ac:dyDescent="0.5"/>
    <row r="847" ht="21" customHeight="1" x14ac:dyDescent="0.5"/>
    <row r="848" ht="21" customHeight="1" x14ac:dyDescent="0.5"/>
    <row r="849" ht="21" customHeight="1" x14ac:dyDescent="0.5"/>
    <row r="850" ht="21" customHeight="1" x14ac:dyDescent="0.5"/>
    <row r="851" ht="21" customHeight="1" x14ac:dyDescent="0.5"/>
    <row r="852" ht="21" customHeight="1" x14ac:dyDescent="0.5"/>
    <row r="853" ht="21" customHeight="1" x14ac:dyDescent="0.5"/>
    <row r="854" ht="21" customHeight="1" x14ac:dyDescent="0.5"/>
    <row r="855" ht="21" customHeight="1" x14ac:dyDescent="0.5"/>
    <row r="856" ht="21" customHeight="1" x14ac:dyDescent="0.5"/>
    <row r="857" ht="21" customHeight="1" x14ac:dyDescent="0.5"/>
    <row r="858" ht="21" customHeight="1" x14ac:dyDescent="0.5"/>
    <row r="859" ht="21" customHeight="1" x14ac:dyDescent="0.5"/>
    <row r="860" ht="21" customHeight="1" x14ac:dyDescent="0.5"/>
    <row r="861" ht="21" customHeight="1" x14ac:dyDescent="0.5"/>
    <row r="862" ht="21" customHeight="1" x14ac:dyDescent="0.5"/>
    <row r="863" ht="21" customHeight="1" x14ac:dyDescent="0.5"/>
    <row r="864" ht="21" customHeight="1" x14ac:dyDescent="0.5"/>
    <row r="865" ht="21" customHeight="1" x14ac:dyDescent="0.5"/>
    <row r="866" ht="21" customHeight="1" x14ac:dyDescent="0.5"/>
    <row r="867" ht="21" customHeight="1" x14ac:dyDescent="0.5"/>
    <row r="868" ht="21" customHeight="1" x14ac:dyDescent="0.5"/>
    <row r="869" ht="21" customHeight="1" x14ac:dyDescent="0.5"/>
    <row r="870" ht="21" customHeight="1" x14ac:dyDescent="0.5"/>
    <row r="871" ht="21" customHeight="1" x14ac:dyDescent="0.5"/>
    <row r="872" ht="21" customHeight="1" x14ac:dyDescent="0.5"/>
    <row r="873" ht="21" customHeight="1" x14ac:dyDescent="0.5"/>
    <row r="874" ht="21" customHeight="1" x14ac:dyDescent="0.5"/>
    <row r="875" ht="21" customHeight="1" x14ac:dyDescent="0.5"/>
    <row r="876" ht="21" customHeight="1" x14ac:dyDescent="0.5"/>
    <row r="877" ht="21" customHeight="1" x14ac:dyDescent="0.5"/>
    <row r="878" ht="21" customHeight="1" x14ac:dyDescent="0.5"/>
    <row r="879" ht="21" customHeight="1" x14ac:dyDescent="0.5"/>
    <row r="880" ht="21" customHeight="1" x14ac:dyDescent="0.5"/>
    <row r="881" ht="21" customHeight="1" x14ac:dyDescent="0.5"/>
    <row r="882" ht="21" customHeight="1" x14ac:dyDescent="0.5"/>
    <row r="883" ht="21" customHeight="1" x14ac:dyDescent="0.5"/>
    <row r="884" ht="21" customHeight="1" x14ac:dyDescent="0.5"/>
    <row r="885" ht="21" customHeight="1" x14ac:dyDescent="0.5"/>
    <row r="886" ht="21" customHeight="1" x14ac:dyDescent="0.5"/>
    <row r="887" ht="21" customHeight="1" x14ac:dyDescent="0.5"/>
    <row r="888" ht="21" customHeight="1" x14ac:dyDescent="0.5"/>
    <row r="889" ht="21" customHeight="1" x14ac:dyDescent="0.5"/>
    <row r="890" ht="21" customHeight="1" x14ac:dyDescent="0.5"/>
    <row r="891" ht="21" customHeight="1" x14ac:dyDescent="0.5"/>
    <row r="892" ht="21" customHeight="1" x14ac:dyDescent="0.5"/>
    <row r="893" ht="21" customHeight="1" x14ac:dyDescent="0.5"/>
    <row r="894" ht="21" customHeight="1" x14ac:dyDescent="0.5"/>
    <row r="895" ht="21" customHeight="1" x14ac:dyDescent="0.5"/>
    <row r="896" ht="21" customHeight="1" x14ac:dyDescent="0.5"/>
    <row r="897" ht="21" customHeight="1" x14ac:dyDescent="0.5"/>
    <row r="898" ht="21" customHeight="1" x14ac:dyDescent="0.5"/>
    <row r="899" ht="21" customHeight="1" x14ac:dyDescent="0.5"/>
    <row r="900" ht="21" customHeight="1" x14ac:dyDescent="0.5"/>
    <row r="901" ht="21" customHeight="1" x14ac:dyDescent="0.5"/>
    <row r="902" ht="21" customHeight="1" x14ac:dyDescent="0.5"/>
    <row r="903" ht="21" customHeight="1" x14ac:dyDescent="0.5"/>
    <row r="904" ht="21" customHeight="1" x14ac:dyDescent="0.5"/>
    <row r="905" ht="21" customHeight="1" x14ac:dyDescent="0.5"/>
    <row r="906" ht="21" customHeight="1" x14ac:dyDescent="0.5"/>
    <row r="907" ht="21" customHeight="1" x14ac:dyDescent="0.5"/>
    <row r="908" ht="21" customHeight="1" x14ac:dyDescent="0.5"/>
    <row r="909" ht="21" customHeight="1" x14ac:dyDescent="0.5"/>
    <row r="910" ht="21" customHeight="1" x14ac:dyDescent="0.5"/>
    <row r="911" ht="21" customHeight="1" x14ac:dyDescent="0.5"/>
    <row r="912" ht="21" customHeight="1" x14ac:dyDescent="0.5"/>
    <row r="913" ht="21" customHeight="1" x14ac:dyDescent="0.5"/>
    <row r="914" ht="21" customHeight="1" x14ac:dyDescent="0.5"/>
    <row r="915" ht="21" customHeight="1" x14ac:dyDescent="0.5"/>
    <row r="916" ht="21" customHeight="1" x14ac:dyDescent="0.5"/>
    <row r="917" ht="21" customHeight="1" x14ac:dyDescent="0.5"/>
    <row r="918" ht="21" customHeight="1" x14ac:dyDescent="0.5"/>
    <row r="919" ht="21" customHeight="1" x14ac:dyDescent="0.5"/>
    <row r="920" ht="21" customHeight="1" x14ac:dyDescent="0.5"/>
    <row r="921" ht="21" customHeight="1" x14ac:dyDescent="0.5"/>
    <row r="922" ht="21" customHeight="1" x14ac:dyDescent="0.5"/>
    <row r="923" ht="21" customHeight="1" x14ac:dyDescent="0.5"/>
    <row r="924" ht="21" customHeight="1" x14ac:dyDescent="0.5"/>
    <row r="925" ht="21" customHeight="1" x14ac:dyDescent="0.5"/>
    <row r="926" ht="21" customHeight="1" x14ac:dyDescent="0.5"/>
    <row r="927" ht="21" customHeight="1" x14ac:dyDescent="0.5"/>
    <row r="928" ht="21" customHeight="1" x14ac:dyDescent="0.5"/>
    <row r="929" ht="21" customHeight="1" x14ac:dyDescent="0.5"/>
    <row r="930" ht="21" customHeight="1" x14ac:dyDescent="0.5"/>
    <row r="931" ht="21" customHeight="1" x14ac:dyDescent="0.5"/>
    <row r="932" ht="21" customHeight="1" x14ac:dyDescent="0.5"/>
    <row r="933" ht="21" customHeight="1" x14ac:dyDescent="0.5"/>
    <row r="934" ht="21" customHeight="1" x14ac:dyDescent="0.5"/>
    <row r="935" ht="21" customHeight="1" x14ac:dyDescent="0.5"/>
    <row r="936" ht="21" customHeight="1" x14ac:dyDescent="0.5"/>
    <row r="937" ht="21" customHeight="1" x14ac:dyDescent="0.5"/>
    <row r="938" ht="21" customHeight="1" x14ac:dyDescent="0.5"/>
    <row r="939" ht="21" customHeight="1" x14ac:dyDescent="0.5"/>
    <row r="940" ht="21" customHeight="1" x14ac:dyDescent="0.5"/>
    <row r="941" ht="21" customHeight="1" x14ac:dyDescent="0.5"/>
    <row r="942" ht="21" customHeight="1" x14ac:dyDescent="0.5"/>
    <row r="943" ht="21" customHeight="1" x14ac:dyDescent="0.5"/>
    <row r="944" ht="21" customHeight="1" x14ac:dyDescent="0.5"/>
    <row r="945" ht="21" customHeight="1" x14ac:dyDescent="0.5"/>
    <row r="946" ht="21" customHeight="1" x14ac:dyDescent="0.5"/>
    <row r="947" ht="21" customHeight="1" x14ac:dyDescent="0.5"/>
    <row r="948" ht="21" customHeight="1" x14ac:dyDescent="0.5"/>
    <row r="949" ht="21" customHeight="1" x14ac:dyDescent="0.5"/>
    <row r="950" ht="21" customHeight="1" x14ac:dyDescent="0.5"/>
    <row r="951" ht="21" customHeight="1" x14ac:dyDescent="0.5"/>
    <row r="952" ht="21" customHeight="1" x14ac:dyDescent="0.5"/>
    <row r="953" ht="21" customHeight="1" x14ac:dyDescent="0.5"/>
    <row r="954" ht="21" customHeight="1" x14ac:dyDescent="0.5"/>
    <row r="955" ht="21" customHeight="1" x14ac:dyDescent="0.5"/>
    <row r="956" ht="21" customHeight="1" x14ac:dyDescent="0.5"/>
    <row r="957" ht="21" customHeight="1" x14ac:dyDescent="0.5"/>
    <row r="958" ht="21" customHeight="1" x14ac:dyDescent="0.5"/>
    <row r="959" ht="21" customHeight="1" x14ac:dyDescent="0.5"/>
    <row r="960" ht="21" customHeight="1" x14ac:dyDescent="0.5"/>
    <row r="961" ht="21" customHeight="1" x14ac:dyDescent="0.5"/>
    <row r="962" ht="21" customHeight="1" x14ac:dyDescent="0.5"/>
    <row r="963" ht="21" customHeight="1" x14ac:dyDescent="0.5"/>
    <row r="964" ht="21" customHeight="1" x14ac:dyDescent="0.5"/>
    <row r="965" ht="21" customHeight="1" x14ac:dyDescent="0.5"/>
    <row r="966" ht="21" customHeight="1" x14ac:dyDescent="0.5"/>
    <row r="967" ht="21" customHeight="1" x14ac:dyDescent="0.5"/>
    <row r="968" ht="21" customHeight="1" x14ac:dyDescent="0.5"/>
    <row r="969" ht="21" customHeight="1" x14ac:dyDescent="0.5"/>
    <row r="970" ht="21" customHeight="1" x14ac:dyDescent="0.5"/>
    <row r="971" ht="21" customHeight="1" x14ac:dyDescent="0.5"/>
    <row r="972" ht="21" customHeight="1" x14ac:dyDescent="0.5"/>
    <row r="973" ht="21" customHeight="1" x14ac:dyDescent="0.5"/>
    <row r="974" ht="21" customHeight="1" x14ac:dyDescent="0.5"/>
    <row r="975" ht="21" customHeight="1" x14ac:dyDescent="0.5"/>
    <row r="976" ht="21" customHeight="1" x14ac:dyDescent="0.5"/>
    <row r="977" ht="21" customHeight="1" x14ac:dyDescent="0.5"/>
    <row r="978" ht="21" customHeight="1" x14ac:dyDescent="0.5"/>
    <row r="979" ht="21" customHeight="1" x14ac:dyDescent="0.5"/>
    <row r="980" ht="21" customHeight="1" x14ac:dyDescent="0.5"/>
    <row r="981" ht="21" customHeight="1" x14ac:dyDescent="0.5"/>
    <row r="982" ht="21" customHeight="1" x14ac:dyDescent="0.5"/>
    <row r="983" ht="21" customHeight="1" x14ac:dyDescent="0.5"/>
    <row r="984" ht="21" customHeight="1" x14ac:dyDescent="0.5"/>
    <row r="985" ht="21" customHeight="1" x14ac:dyDescent="0.5"/>
    <row r="986" ht="21" customHeight="1" x14ac:dyDescent="0.5"/>
    <row r="987" ht="21" customHeight="1" x14ac:dyDescent="0.5"/>
    <row r="988" ht="21" customHeight="1" x14ac:dyDescent="0.5"/>
    <row r="989" ht="21" customHeight="1" x14ac:dyDescent="0.5"/>
    <row r="990" ht="21" customHeight="1" x14ac:dyDescent="0.5"/>
    <row r="991" ht="21" customHeight="1" x14ac:dyDescent="0.5"/>
    <row r="992" ht="21" customHeight="1" x14ac:dyDescent="0.5"/>
    <row r="993" ht="21" customHeight="1" x14ac:dyDescent="0.5"/>
    <row r="994" ht="21" customHeight="1" x14ac:dyDescent="0.5"/>
    <row r="995" ht="21" customHeight="1" x14ac:dyDescent="0.5"/>
    <row r="996" ht="21" customHeight="1" x14ac:dyDescent="0.5"/>
    <row r="997" ht="21" customHeight="1" x14ac:dyDescent="0.5"/>
    <row r="998" ht="21" customHeight="1" x14ac:dyDescent="0.5"/>
    <row r="999" ht="21" customHeight="1" x14ac:dyDescent="0.5"/>
    <row r="1000" ht="21" customHeight="1" x14ac:dyDescent="0.5"/>
    <row r="1001" ht="21" customHeight="1" x14ac:dyDescent="0.5"/>
    <row r="1002" ht="21" customHeight="1" x14ac:dyDescent="0.5"/>
    <row r="1003" ht="21" customHeight="1" x14ac:dyDescent="0.5"/>
    <row r="1004" ht="21" customHeight="1" x14ac:dyDescent="0.5"/>
    <row r="1005" ht="21" customHeight="1" x14ac:dyDescent="0.5"/>
    <row r="1006" ht="21" customHeight="1" x14ac:dyDescent="0.5"/>
    <row r="1007" ht="21" customHeight="1" x14ac:dyDescent="0.5"/>
    <row r="1008" ht="21" customHeight="1" x14ac:dyDescent="0.5"/>
    <row r="1009" ht="21" customHeight="1" x14ac:dyDescent="0.5"/>
    <row r="1010" ht="21" customHeight="1" x14ac:dyDescent="0.5"/>
    <row r="1011" ht="21" customHeight="1" x14ac:dyDescent="0.5"/>
    <row r="1012" ht="21" customHeight="1" x14ac:dyDescent="0.5"/>
    <row r="1013" ht="21" customHeight="1" x14ac:dyDescent="0.5"/>
    <row r="1014" ht="21" customHeight="1" x14ac:dyDescent="0.5"/>
    <row r="1015" ht="21" customHeight="1" x14ac:dyDescent="0.5"/>
    <row r="1016" ht="21" customHeight="1" x14ac:dyDescent="0.5"/>
    <row r="1017" ht="21" customHeight="1" x14ac:dyDescent="0.5"/>
    <row r="1018" ht="21" customHeight="1" x14ac:dyDescent="0.5"/>
    <row r="1019" ht="21" customHeight="1" x14ac:dyDescent="0.5"/>
    <row r="1020" ht="21" customHeight="1" x14ac:dyDescent="0.5"/>
    <row r="1021" ht="21" customHeight="1" x14ac:dyDescent="0.5"/>
    <row r="1022" ht="21" customHeight="1" x14ac:dyDescent="0.5"/>
    <row r="1023" ht="21" customHeight="1" x14ac:dyDescent="0.5"/>
    <row r="1024" ht="21" customHeight="1" x14ac:dyDescent="0.5"/>
    <row r="1025" ht="21" customHeight="1" x14ac:dyDescent="0.5"/>
    <row r="1026" ht="21" customHeight="1" x14ac:dyDescent="0.5"/>
    <row r="1027" ht="21" customHeight="1" x14ac:dyDescent="0.5"/>
    <row r="1028" ht="21" customHeight="1" x14ac:dyDescent="0.5"/>
    <row r="1029" ht="21" customHeight="1" x14ac:dyDescent="0.5"/>
    <row r="1030" ht="21" customHeight="1" x14ac:dyDescent="0.5"/>
    <row r="1031" ht="21" customHeight="1" x14ac:dyDescent="0.5"/>
    <row r="1032" ht="21" customHeight="1" x14ac:dyDescent="0.5"/>
    <row r="1033" ht="21" customHeight="1" x14ac:dyDescent="0.5"/>
    <row r="1034" ht="21" customHeight="1" x14ac:dyDescent="0.5"/>
    <row r="1035" ht="21" customHeight="1" x14ac:dyDescent="0.5"/>
    <row r="1036" ht="21" customHeight="1" x14ac:dyDescent="0.5"/>
    <row r="1037" ht="21" customHeight="1" x14ac:dyDescent="0.5"/>
    <row r="1038" ht="21" customHeight="1" x14ac:dyDescent="0.5"/>
    <row r="1039" ht="21" customHeight="1" x14ac:dyDescent="0.5"/>
    <row r="1040" ht="21" customHeight="1" x14ac:dyDescent="0.5"/>
    <row r="1041" ht="21" customHeight="1" x14ac:dyDescent="0.5"/>
    <row r="1042" ht="21" customHeight="1" x14ac:dyDescent="0.5"/>
    <row r="1043" ht="21" customHeight="1" x14ac:dyDescent="0.5"/>
    <row r="1044" ht="21" customHeight="1" x14ac:dyDescent="0.5"/>
    <row r="1045" ht="21" customHeight="1" x14ac:dyDescent="0.5"/>
    <row r="1046" ht="21" customHeight="1" x14ac:dyDescent="0.5"/>
    <row r="1047" ht="21" customHeight="1" x14ac:dyDescent="0.5"/>
    <row r="1048" ht="21" customHeight="1" x14ac:dyDescent="0.5"/>
    <row r="1049" ht="21" customHeight="1" x14ac:dyDescent="0.5"/>
    <row r="1050" ht="21" customHeight="1" x14ac:dyDescent="0.5"/>
    <row r="1051" ht="21" customHeight="1" x14ac:dyDescent="0.5"/>
    <row r="1052" ht="21" customHeight="1" x14ac:dyDescent="0.5"/>
    <row r="1053" ht="21" customHeight="1" x14ac:dyDescent="0.5"/>
    <row r="1054" ht="21" customHeight="1" x14ac:dyDescent="0.5"/>
    <row r="1055" ht="21" customHeight="1" x14ac:dyDescent="0.5"/>
    <row r="1056" ht="21" customHeight="1" x14ac:dyDescent="0.5"/>
    <row r="1057" ht="21" customHeight="1" x14ac:dyDescent="0.5"/>
    <row r="1058" ht="21" customHeight="1" x14ac:dyDescent="0.5"/>
    <row r="1059" ht="21" customHeight="1" x14ac:dyDescent="0.5"/>
    <row r="1060" ht="21" customHeight="1" x14ac:dyDescent="0.5"/>
    <row r="1061" ht="21" customHeight="1" x14ac:dyDescent="0.5"/>
    <row r="1062" ht="21" customHeight="1" x14ac:dyDescent="0.5"/>
    <row r="1063" ht="21" customHeight="1" x14ac:dyDescent="0.5"/>
    <row r="1064" ht="21" customHeight="1" x14ac:dyDescent="0.5"/>
    <row r="1065" ht="21" customHeight="1" x14ac:dyDescent="0.5"/>
    <row r="1066" ht="21" customHeight="1" x14ac:dyDescent="0.5"/>
    <row r="1067" ht="21" customHeight="1" x14ac:dyDescent="0.5"/>
    <row r="1068" ht="21" customHeight="1" x14ac:dyDescent="0.5"/>
    <row r="1069" ht="21" customHeight="1" x14ac:dyDescent="0.5"/>
    <row r="1070" ht="21" customHeight="1" x14ac:dyDescent="0.5"/>
    <row r="1071" ht="21" customHeight="1" x14ac:dyDescent="0.5"/>
    <row r="1072" ht="21" customHeight="1" x14ac:dyDescent="0.5"/>
    <row r="1073" ht="21" customHeight="1" x14ac:dyDescent="0.5"/>
    <row r="1074" ht="21" customHeight="1" x14ac:dyDescent="0.5"/>
    <row r="1075" ht="21" customHeight="1" x14ac:dyDescent="0.5"/>
    <row r="1076" ht="21" customHeight="1" x14ac:dyDescent="0.5"/>
    <row r="1077" ht="21" customHeight="1" x14ac:dyDescent="0.5"/>
    <row r="1078" ht="21" customHeight="1" x14ac:dyDescent="0.5"/>
    <row r="1079" ht="21" customHeight="1" x14ac:dyDescent="0.5"/>
    <row r="1080" ht="21" customHeight="1" x14ac:dyDescent="0.5"/>
    <row r="1081" ht="21" customHeight="1" x14ac:dyDescent="0.5"/>
    <row r="1082" ht="21" customHeight="1" x14ac:dyDescent="0.5"/>
    <row r="1083" ht="21" customHeight="1" x14ac:dyDescent="0.5"/>
    <row r="1084" ht="21" customHeight="1" x14ac:dyDescent="0.5"/>
    <row r="1085" ht="21" customHeight="1" x14ac:dyDescent="0.5"/>
    <row r="1086" ht="21" customHeight="1" x14ac:dyDescent="0.5"/>
    <row r="1087" ht="21" customHeight="1" x14ac:dyDescent="0.5"/>
    <row r="1088" ht="21" customHeight="1" x14ac:dyDescent="0.5"/>
    <row r="1089" ht="21" customHeight="1" x14ac:dyDescent="0.5"/>
    <row r="1090" ht="21" customHeight="1" x14ac:dyDescent="0.5"/>
    <row r="1091" ht="21" customHeight="1" x14ac:dyDescent="0.5"/>
    <row r="1092" ht="21" customHeight="1" x14ac:dyDescent="0.5"/>
    <row r="1093" ht="21" customHeight="1" x14ac:dyDescent="0.5"/>
    <row r="1094" ht="21" customHeight="1" x14ac:dyDescent="0.5"/>
    <row r="1095" ht="21" customHeight="1" x14ac:dyDescent="0.5"/>
    <row r="1096" ht="21" customHeight="1" x14ac:dyDescent="0.5"/>
    <row r="1097" ht="21" customHeight="1" x14ac:dyDescent="0.5"/>
    <row r="1098" ht="21" customHeight="1" x14ac:dyDescent="0.5"/>
    <row r="1099" ht="21" customHeight="1" x14ac:dyDescent="0.5"/>
    <row r="1100" ht="21" customHeight="1" x14ac:dyDescent="0.5"/>
    <row r="1101" ht="21" customHeight="1" x14ac:dyDescent="0.5"/>
    <row r="1102" ht="21" customHeight="1" x14ac:dyDescent="0.5"/>
    <row r="1103" ht="21" customHeight="1" x14ac:dyDescent="0.5"/>
    <row r="1104" ht="21" customHeight="1" x14ac:dyDescent="0.5"/>
    <row r="1105" ht="21" customHeight="1" x14ac:dyDescent="0.5"/>
    <row r="1106" ht="21" customHeight="1" x14ac:dyDescent="0.5"/>
    <row r="1107" ht="21" customHeight="1" x14ac:dyDescent="0.5"/>
    <row r="1108" ht="21" customHeight="1" x14ac:dyDescent="0.5"/>
    <row r="1109" ht="21" customHeight="1" x14ac:dyDescent="0.5"/>
    <row r="1110" ht="21" customHeight="1" x14ac:dyDescent="0.5"/>
    <row r="1111" ht="21" customHeight="1" x14ac:dyDescent="0.5"/>
    <row r="1112" ht="21" customHeight="1" x14ac:dyDescent="0.5"/>
    <row r="1113" ht="21" customHeight="1" x14ac:dyDescent="0.5"/>
    <row r="1114" ht="21" customHeight="1" x14ac:dyDescent="0.5"/>
    <row r="1115" ht="21" customHeight="1" x14ac:dyDescent="0.5"/>
    <row r="1116" ht="21" customHeight="1" x14ac:dyDescent="0.5"/>
    <row r="1117" ht="21" customHeight="1" x14ac:dyDescent="0.5"/>
    <row r="1118" ht="21" customHeight="1" x14ac:dyDescent="0.5"/>
    <row r="1119" ht="21" customHeight="1" x14ac:dyDescent="0.5"/>
    <row r="1120" ht="21" customHeight="1" x14ac:dyDescent="0.5"/>
    <row r="1121" ht="21" customHeight="1" x14ac:dyDescent="0.5"/>
    <row r="1122" ht="21" customHeight="1" x14ac:dyDescent="0.5"/>
    <row r="1123" ht="21" customHeight="1" x14ac:dyDescent="0.5"/>
    <row r="1124" ht="21" customHeight="1" x14ac:dyDescent="0.5"/>
    <row r="1125" ht="21" customHeight="1" x14ac:dyDescent="0.5"/>
    <row r="1126" ht="21" customHeight="1" x14ac:dyDescent="0.5"/>
    <row r="1127" ht="21" customHeight="1" x14ac:dyDescent="0.5"/>
    <row r="1128" ht="21" customHeight="1" x14ac:dyDescent="0.5"/>
    <row r="1129" ht="21" customHeight="1" x14ac:dyDescent="0.5"/>
    <row r="1130" ht="21" customHeight="1" x14ac:dyDescent="0.5"/>
    <row r="1131" ht="21" customHeight="1" x14ac:dyDescent="0.5"/>
    <row r="1132" ht="21" customHeight="1" x14ac:dyDescent="0.5"/>
    <row r="1133" ht="21" customHeight="1" x14ac:dyDescent="0.5"/>
    <row r="1134" ht="21" customHeight="1" x14ac:dyDescent="0.5"/>
    <row r="1135" ht="21" customHeight="1" x14ac:dyDescent="0.5"/>
    <row r="1136" ht="21" customHeight="1" x14ac:dyDescent="0.5"/>
    <row r="1137" ht="21" customHeight="1" x14ac:dyDescent="0.5"/>
    <row r="1138" ht="21" customHeight="1" x14ac:dyDescent="0.5"/>
    <row r="1139" ht="21" customHeight="1" x14ac:dyDescent="0.5"/>
    <row r="1140" ht="21" customHeight="1" x14ac:dyDescent="0.5"/>
    <row r="1141" ht="21" customHeight="1" x14ac:dyDescent="0.5"/>
    <row r="1142" ht="21" customHeight="1" x14ac:dyDescent="0.5"/>
    <row r="1143" ht="21" customHeight="1" x14ac:dyDescent="0.5"/>
    <row r="1144" ht="21" customHeight="1" x14ac:dyDescent="0.5"/>
    <row r="1145" ht="21" customHeight="1" x14ac:dyDescent="0.5"/>
    <row r="1146" ht="21" customHeight="1" x14ac:dyDescent="0.5"/>
    <row r="1147" ht="21" customHeight="1" x14ac:dyDescent="0.5"/>
    <row r="1148" ht="21" customHeight="1" x14ac:dyDescent="0.5"/>
    <row r="1149" ht="21" customHeight="1" x14ac:dyDescent="0.5"/>
    <row r="1150" ht="21" customHeight="1" x14ac:dyDescent="0.5"/>
    <row r="1151" ht="21" customHeight="1" x14ac:dyDescent="0.5"/>
    <row r="1152" ht="21" customHeight="1" x14ac:dyDescent="0.5"/>
    <row r="1153" ht="21" customHeight="1" x14ac:dyDescent="0.5"/>
    <row r="1154" ht="21" customHeight="1" x14ac:dyDescent="0.5"/>
    <row r="1155" ht="21" customHeight="1" x14ac:dyDescent="0.5"/>
    <row r="1156" ht="21" customHeight="1" x14ac:dyDescent="0.5"/>
    <row r="1157" ht="21" customHeight="1" x14ac:dyDescent="0.5"/>
    <row r="1158" ht="21" customHeight="1" x14ac:dyDescent="0.5"/>
    <row r="1159" ht="21" customHeight="1" x14ac:dyDescent="0.5"/>
    <row r="1160" ht="21" customHeight="1" x14ac:dyDescent="0.5"/>
    <row r="1161" ht="21" customHeight="1" x14ac:dyDescent="0.5"/>
    <row r="1162" ht="21" customHeight="1" x14ac:dyDescent="0.5"/>
    <row r="1163" ht="21" customHeight="1" x14ac:dyDescent="0.5"/>
    <row r="1164" ht="21" customHeight="1" x14ac:dyDescent="0.5"/>
    <row r="1165" ht="21" customHeight="1" x14ac:dyDescent="0.5"/>
    <row r="1166" ht="21" customHeight="1" x14ac:dyDescent="0.5"/>
    <row r="1167" ht="21" customHeight="1" x14ac:dyDescent="0.5"/>
    <row r="1168" ht="21" customHeight="1" x14ac:dyDescent="0.5"/>
    <row r="1169" ht="21" customHeight="1" x14ac:dyDescent="0.5"/>
    <row r="1170" ht="21" customHeight="1" x14ac:dyDescent="0.5"/>
    <row r="1171" ht="21" customHeight="1" x14ac:dyDescent="0.5"/>
    <row r="1172" ht="21" customHeight="1" x14ac:dyDescent="0.5"/>
    <row r="1173" ht="21" customHeight="1" x14ac:dyDescent="0.5"/>
    <row r="1174" ht="21" customHeight="1" x14ac:dyDescent="0.5"/>
    <row r="1175" ht="21" customHeight="1" x14ac:dyDescent="0.5"/>
    <row r="1176" ht="21" customHeight="1" x14ac:dyDescent="0.5"/>
    <row r="1177" ht="21" customHeight="1" x14ac:dyDescent="0.5"/>
    <row r="1178" ht="21" customHeight="1" x14ac:dyDescent="0.5"/>
    <row r="1179" ht="21" customHeight="1" x14ac:dyDescent="0.5"/>
    <row r="1180" ht="21" customHeight="1" x14ac:dyDescent="0.5"/>
    <row r="1181" ht="21" customHeight="1" x14ac:dyDescent="0.5"/>
    <row r="1182" ht="21" customHeight="1" x14ac:dyDescent="0.5"/>
    <row r="1183" ht="21" customHeight="1" x14ac:dyDescent="0.5"/>
    <row r="1184" ht="21" customHeight="1" x14ac:dyDescent="0.5"/>
    <row r="1185" ht="21" customHeight="1" x14ac:dyDescent="0.5"/>
    <row r="1186" ht="21" customHeight="1" x14ac:dyDescent="0.5"/>
    <row r="1187" ht="21" customHeight="1" x14ac:dyDescent="0.5"/>
    <row r="1188" ht="21" customHeight="1" x14ac:dyDescent="0.5"/>
    <row r="1189" ht="21" customHeight="1" x14ac:dyDescent="0.5"/>
    <row r="1190" ht="21" customHeight="1" x14ac:dyDescent="0.5"/>
    <row r="1191" ht="21" customHeight="1" x14ac:dyDescent="0.5"/>
    <row r="1192" ht="21" customHeight="1" x14ac:dyDescent="0.5"/>
    <row r="1193" ht="21" customHeight="1" x14ac:dyDescent="0.5"/>
    <row r="1194" ht="21" customHeight="1" x14ac:dyDescent="0.5"/>
    <row r="1195" ht="21" customHeight="1" x14ac:dyDescent="0.5"/>
    <row r="1196" ht="21" customHeight="1" x14ac:dyDescent="0.5"/>
    <row r="1197" ht="21" customHeight="1" x14ac:dyDescent="0.5"/>
    <row r="1198" ht="21" customHeight="1" x14ac:dyDescent="0.5"/>
    <row r="1199" ht="21" customHeight="1" x14ac:dyDescent="0.5"/>
    <row r="1200" ht="21" customHeight="1" x14ac:dyDescent="0.5"/>
    <row r="1201" ht="21" customHeight="1" x14ac:dyDescent="0.5"/>
    <row r="1202" ht="21" customHeight="1" x14ac:dyDescent="0.5"/>
    <row r="1203" ht="21" customHeight="1" x14ac:dyDescent="0.5"/>
    <row r="1204" ht="21" customHeight="1" x14ac:dyDescent="0.5"/>
    <row r="1205" ht="21" customHeight="1" x14ac:dyDescent="0.5"/>
    <row r="1206" ht="21" customHeight="1" x14ac:dyDescent="0.5"/>
    <row r="1207" ht="21" customHeight="1" x14ac:dyDescent="0.5"/>
    <row r="1208" ht="21" customHeight="1" x14ac:dyDescent="0.5"/>
    <row r="1209" ht="21" customHeight="1" x14ac:dyDescent="0.5"/>
    <row r="1210" ht="21" customHeight="1" x14ac:dyDescent="0.5"/>
    <row r="1211" ht="21" customHeight="1" x14ac:dyDescent="0.5"/>
    <row r="1212" ht="21" customHeight="1" x14ac:dyDescent="0.5"/>
    <row r="1213" ht="21" customHeight="1" x14ac:dyDescent="0.5"/>
    <row r="1214" ht="21" customHeight="1" x14ac:dyDescent="0.5"/>
    <row r="1215" ht="21" customHeight="1" x14ac:dyDescent="0.5"/>
    <row r="1216" ht="21" customHeight="1" x14ac:dyDescent="0.5"/>
    <row r="1217" ht="21" customHeight="1" x14ac:dyDescent="0.5"/>
    <row r="1218" ht="21" customHeight="1" x14ac:dyDescent="0.5"/>
    <row r="1219" ht="21" customHeight="1" x14ac:dyDescent="0.5"/>
    <row r="1220" ht="21" customHeight="1" x14ac:dyDescent="0.5"/>
    <row r="1221" ht="21" customHeight="1" x14ac:dyDescent="0.5"/>
    <row r="1222" ht="21" customHeight="1" x14ac:dyDescent="0.5"/>
    <row r="1223" ht="21" customHeight="1" x14ac:dyDescent="0.5"/>
    <row r="1224" ht="21" customHeight="1" x14ac:dyDescent="0.5"/>
    <row r="1225" ht="21" customHeight="1" x14ac:dyDescent="0.5"/>
    <row r="1226" ht="21" customHeight="1" x14ac:dyDescent="0.5"/>
    <row r="1227" ht="21" customHeight="1" x14ac:dyDescent="0.5"/>
    <row r="1228" ht="21" customHeight="1" x14ac:dyDescent="0.5"/>
    <row r="1229" ht="21" customHeight="1" x14ac:dyDescent="0.5"/>
    <row r="1230" ht="21" customHeight="1" x14ac:dyDescent="0.5"/>
    <row r="1231" ht="21" customHeight="1" x14ac:dyDescent="0.5"/>
    <row r="1232" ht="21" customHeight="1" x14ac:dyDescent="0.5"/>
    <row r="1233" ht="21" customHeight="1" x14ac:dyDescent="0.5"/>
    <row r="1234" ht="21" customHeight="1" x14ac:dyDescent="0.5"/>
    <row r="1235" ht="21" customHeight="1" x14ac:dyDescent="0.5"/>
    <row r="1236" ht="21" customHeight="1" x14ac:dyDescent="0.5"/>
    <row r="1237" ht="21" customHeight="1" x14ac:dyDescent="0.5"/>
    <row r="1238" ht="21" customHeight="1" x14ac:dyDescent="0.5"/>
    <row r="1239" ht="21" customHeight="1" x14ac:dyDescent="0.5"/>
    <row r="1240" ht="21" customHeight="1" x14ac:dyDescent="0.5"/>
    <row r="1241" ht="21" customHeight="1" x14ac:dyDescent="0.5"/>
    <row r="1242" ht="21" customHeight="1" x14ac:dyDescent="0.5"/>
    <row r="1243" ht="21" customHeight="1" x14ac:dyDescent="0.5"/>
    <row r="1244" ht="21" customHeight="1" x14ac:dyDescent="0.5"/>
    <row r="1245" ht="21" customHeight="1" x14ac:dyDescent="0.5"/>
    <row r="1246" ht="21" customHeight="1" x14ac:dyDescent="0.5"/>
    <row r="1247" ht="21" customHeight="1" x14ac:dyDescent="0.5"/>
    <row r="1248" ht="21" customHeight="1" x14ac:dyDescent="0.5"/>
    <row r="1249" ht="21" customHeight="1" x14ac:dyDescent="0.5"/>
    <row r="1250" ht="21" customHeight="1" x14ac:dyDescent="0.5"/>
    <row r="1251" ht="21" customHeight="1" x14ac:dyDescent="0.5"/>
    <row r="1252" ht="21" customHeight="1" x14ac:dyDescent="0.5"/>
    <row r="1253" ht="21" customHeight="1" x14ac:dyDescent="0.5"/>
    <row r="1254" ht="21" customHeight="1" x14ac:dyDescent="0.5"/>
    <row r="1255" ht="21" customHeight="1" x14ac:dyDescent="0.5"/>
    <row r="1256" ht="21" customHeight="1" x14ac:dyDescent="0.5"/>
    <row r="1257" ht="21" customHeight="1" x14ac:dyDescent="0.5"/>
    <row r="1258" ht="21" customHeight="1" x14ac:dyDescent="0.5"/>
    <row r="1259" ht="21" customHeight="1" x14ac:dyDescent="0.5"/>
    <row r="1260" ht="21" customHeight="1" x14ac:dyDescent="0.5"/>
    <row r="1261" ht="21" customHeight="1" x14ac:dyDescent="0.5"/>
    <row r="1262" ht="21" customHeight="1" x14ac:dyDescent="0.5"/>
    <row r="1263" ht="21" customHeight="1" x14ac:dyDescent="0.5"/>
    <row r="1264" ht="21" customHeight="1" x14ac:dyDescent="0.5"/>
    <row r="1265" ht="21" customHeight="1" x14ac:dyDescent="0.5"/>
    <row r="1266" ht="21" customHeight="1" x14ac:dyDescent="0.5"/>
    <row r="1267" ht="21" customHeight="1" x14ac:dyDescent="0.5"/>
    <row r="1268" ht="21" customHeight="1" x14ac:dyDescent="0.5"/>
    <row r="1269" ht="21" customHeight="1" x14ac:dyDescent="0.5"/>
    <row r="1270" ht="21" customHeight="1" x14ac:dyDescent="0.5"/>
    <row r="1271" ht="21" customHeight="1" x14ac:dyDescent="0.5"/>
    <row r="1272" ht="21" customHeight="1" x14ac:dyDescent="0.5"/>
    <row r="1273" ht="21" customHeight="1" x14ac:dyDescent="0.5"/>
    <row r="1274" ht="21" customHeight="1" x14ac:dyDescent="0.5"/>
    <row r="1275" ht="21" customHeight="1" x14ac:dyDescent="0.5"/>
    <row r="1276" ht="21" customHeight="1" x14ac:dyDescent="0.5"/>
    <row r="1277" ht="21" customHeight="1" x14ac:dyDescent="0.5"/>
    <row r="1278" ht="21" customHeight="1" x14ac:dyDescent="0.5"/>
    <row r="1279" ht="21" customHeight="1" x14ac:dyDescent="0.5"/>
    <row r="1280" ht="21" customHeight="1" x14ac:dyDescent="0.5"/>
    <row r="1281" ht="21" customHeight="1" x14ac:dyDescent="0.5"/>
    <row r="1282" ht="21" customHeight="1" x14ac:dyDescent="0.5"/>
    <row r="1283" ht="21" customHeight="1" x14ac:dyDescent="0.5"/>
    <row r="1284" ht="21" customHeight="1" x14ac:dyDescent="0.5"/>
    <row r="1285" ht="21" customHeight="1" x14ac:dyDescent="0.5"/>
    <row r="1286" ht="21" customHeight="1" x14ac:dyDescent="0.5"/>
    <row r="1287" ht="21" customHeight="1" x14ac:dyDescent="0.5"/>
    <row r="1288" ht="21" customHeight="1" x14ac:dyDescent="0.5"/>
    <row r="1289" ht="21" customHeight="1" x14ac:dyDescent="0.5"/>
    <row r="1290" ht="21" customHeight="1" x14ac:dyDescent="0.5"/>
    <row r="1291" ht="21" customHeight="1" x14ac:dyDescent="0.5"/>
    <row r="1292" ht="21" customHeight="1" x14ac:dyDescent="0.5"/>
    <row r="1293" ht="21" customHeight="1" x14ac:dyDescent="0.5"/>
    <row r="1294" ht="21" customHeight="1" x14ac:dyDescent="0.5"/>
    <row r="1295" ht="21" customHeight="1" x14ac:dyDescent="0.5"/>
    <row r="1296" ht="21" customHeight="1" x14ac:dyDescent="0.5"/>
    <row r="1297" ht="21" customHeight="1" x14ac:dyDescent="0.5"/>
    <row r="1298" ht="21" customHeight="1" x14ac:dyDescent="0.5"/>
    <row r="1299" ht="21" customHeight="1" x14ac:dyDescent="0.5"/>
    <row r="1300" ht="21" customHeight="1" x14ac:dyDescent="0.5"/>
    <row r="1301" ht="21" customHeight="1" x14ac:dyDescent="0.5"/>
    <row r="1302" ht="21" customHeight="1" x14ac:dyDescent="0.5"/>
    <row r="1303" ht="21" customHeight="1" x14ac:dyDescent="0.5"/>
    <row r="1304" ht="21" customHeight="1" x14ac:dyDescent="0.5"/>
    <row r="1305" ht="21" customHeight="1" x14ac:dyDescent="0.5"/>
    <row r="1306" ht="21" customHeight="1" x14ac:dyDescent="0.5"/>
    <row r="1307" ht="21" customHeight="1" x14ac:dyDescent="0.5"/>
    <row r="1308" ht="21" customHeight="1" x14ac:dyDescent="0.5"/>
    <row r="1309" ht="21" customHeight="1" x14ac:dyDescent="0.5"/>
    <row r="1310" ht="21" customHeight="1" x14ac:dyDescent="0.5"/>
    <row r="1311" ht="21" customHeight="1" x14ac:dyDescent="0.5"/>
    <row r="1312" ht="21" customHeight="1" x14ac:dyDescent="0.5"/>
    <row r="1313" ht="21" customHeight="1" x14ac:dyDescent="0.5"/>
    <row r="1314" ht="21" customHeight="1" x14ac:dyDescent="0.5"/>
    <row r="1315" ht="21" customHeight="1" x14ac:dyDescent="0.5"/>
    <row r="1316" ht="21" customHeight="1" x14ac:dyDescent="0.5"/>
    <row r="1317" ht="21" customHeight="1" x14ac:dyDescent="0.5"/>
    <row r="1318" ht="21" customHeight="1" x14ac:dyDescent="0.5"/>
    <row r="1319" ht="21" customHeight="1" x14ac:dyDescent="0.5"/>
    <row r="1320" ht="21" customHeight="1" x14ac:dyDescent="0.5"/>
    <row r="1321" ht="21" customHeight="1" x14ac:dyDescent="0.5"/>
    <row r="1322" ht="21" customHeight="1" x14ac:dyDescent="0.5"/>
    <row r="1323" ht="21" customHeight="1" x14ac:dyDescent="0.5"/>
    <row r="1324" ht="21" customHeight="1" x14ac:dyDescent="0.5"/>
    <row r="1325" ht="21" customHeight="1" x14ac:dyDescent="0.5"/>
    <row r="1326" ht="21" customHeight="1" x14ac:dyDescent="0.5"/>
    <row r="1327" ht="21" customHeight="1" x14ac:dyDescent="0.5"/>
    <row r="1328" ht="21" customHeight="1" x14ac:dyDescent="0.5"/>
    <row r="1329" ht="21" customHeight="1" x14ac:dyDescent="0.5"/>
    <row r="1330" ht="21" customHeight="1" x14ac:dyDescent="0.5"/>
    <row r="1331" ht="21" customHeight="1" x14ac:dyDescent="0.5"/>
    <row r="1332" ht="21" customHeight="1" x14ac:dyDescent="0.5"/>
    <row r="1333" ht="21" customHeight="1" x14ac:dyDescent="0.5"/>
    <row r="1334" ht="21" customHeight="1" x14ac:dyDescent="0.5"/>
    <row r="1335" ht="21" customHeight="1" x14ac:dyDescent="0.5"/>
    <row r="1336" ht="21" customHeight="1" x14ac:dyDescent="0.5"/>
    <row r="1337" ht="21" customHeight="1" x14ac:dyDescent="0.5"/>
    <row r="1338" ht="21" customHeight="1" x14ac:dyDescent="0.5"/>
    <row r="1339" ht="21" customHeight="1" x14ac:dyDescent="0.5"/>
    <row r="1340" ht="21" customHeight="1" x14ac:dyDescent="0.5"/>
    <row r="1341" ht="21" customHeight="1" x14ac:dyDescent="0.5"/>
    <row r="1342" ht="21" customHeight="1" x14ac:dyDescent="0.5"/>
    <row r="1343" ht="21" customHeight="1" x14ac:dyDescent="0.5"/>
    <row r="1344" ht="21" customHeight="1" x14ac:dyDescent="0.5"/>
    <row r="1345" ht="21" customHeight="1" x14ac:dyDescent="0.5"/>
    <row r="1346" ht="21" customHeight="1" x14ac:dyDescent="0.5"/>
    <row r="1347" ht="21" customHeight="1" x14ac:dyDescent="0.5"/>
    <row r="1348" ht="21" customHeight="1" x14ac:dyDescent="0.5"/>
    <row r="1349" ht="21" customHeight="1" x14ac:dyDescent="0.5"/>
    <row r="1350" ht="21" customHeight="1" x14ac:dyDescent="0.5"/>
    <row r="1351" ht="21" customHeight="1" x14ac:dyDescent="0.5"/>
    <row r="1352" ht="21" customHeight="1" x14ac:dyDescent="0.5"/>
    <row r="1353" ht="21" customHeight="1" x14ac:dyDescent="0.5"/>
    <row r="1354" ht="21" customHeight="1" x14ac:dyDescent="0.5"/>
    <row r="1355" ht="21" customHeight="1" x14ac:dyDescent="0.5"/>
    <row r="1356" ht="21" customHeight="1" x14ac:dyDescent="0.5"/>
    <row r="1357" ht="21" customHeight="1" x14ac:dyDescent="0.5"/>
    <row r="1358" ht="21" customHeight="1" x14ac:dyDescent="0.5"/>
    <row r="1359" ht="21" customHeight="1" x14ac:dyDescent="0.5"/>
    <row r="1360" ht="21" customHeight="1" x14ac:dyDescent="0.5"/>
    <row r="1361" ht="21" customHeight="1" x14ac:dyDescent="0.5"/>
    <row r="1362" ht="21" customHeight="1" x14ac:dyDescent="0.5"/>
    <row r="1363" ht="21" customHeight="1" x14ac:dyDescent="0.5"/>
    <row r="1364" ht="21" customHeight="1" x14ac:dyDescent="0.5"/>
    <row r="1365" ht="21" customHeight="1" x14ac:dyDescent="0.5"/>
    <row r="1366" ht="21" customHeight="1" x14ac:dyDescent="0.5"/>
    <row r="1367" ht="21" customHeight="1" x14ac:dyDescent="0.5"/>
    <row r="1368" ht="21" customHeight="1" x14ac:dyDescent="0.5"/>
    <row r="1369" ht="21" customHeight="1" x14ac:dyDescent="0.5"/>
    <row r="1370" ht="21" customHeight="1" x14ac:dyDescent="0.5"/>
    <row r="1371" ht="21" customHeight="1" x14ac:dyDescent="0.5"/>
    <row r="1372" ht="21" customHeight="1" x14ac:dyDescent="0.5"/>
    <row r="1373" ht="21" customHeight="1" x14ac:dyDescent="0.5"/>
    <row r="1374" ht="21" customHeight="1" x14ac:dyDescent="0.5"/>
    <row r="1375" ht="21" customHeight="1" x14ac:dyDescent="0.5"/>
    <row r="1376" ht="21" customHeight="1" x14ac:dyDescent="0.5"/>
    <row r="1377" ht="21" customHeight="1" x14ac:dyDescent="0.5"/>
    <row r="1378" ht="21" customHeight="1" x14ac:dyDescent="0.5"/>
    <row r="1379" ht="21" customHeight="1" x14ac:dyDescent="0.5"/>
    <row r="1380" ht="21" customHeight="1" x14ac:dyDescent="0.5"/>
    <row r="1381" ht="21" customHeight="1" x14ac:dyDescent="0.5"/>
    <row r="1382" ht="21" customHeight="1" x14ac:dyDescent="0.5"/>
    <row r="1383" ht="21" customHeight="1" x14ac:dyDescent="0.5"/>
    <row r="1384" ht="21" customHeight="1" x14ac:dyDescent="0.5"/>
    <row r="1385" ht="21" customHeight="1" x14ac:dyDescent="0.5"/>
    <row r="1386" ht="21" customHeight="1" x14ac:dyDescent="0.5"/>
    <row r="1387" ht="21" customHeight="1" x14ac:dyDescent="0.5"/>
    <row r="1388" ht="21" customHeight="1" x14ac:dyDescent="0.5"/>
    <row r="1389" ht="21" customHeight="1" x14ac:dyDescent="0.5"/>
    <row r="1390" ht="21" customHeight="1" x14ac:dyDescent="0.5"/>
    <row r="1391" ht="21" customHeight="1" x14ac:dyDescent="0.5"/>
    <row r="1392" ht="21" customHeight="1" x14ac:dyDescent="0.5"/>
    <row r="1393" ht="21" customHeight="1" x14ac:dyDescent="0.5"/>
    <row r="1394" ht="21" customHeight="1" x14ac:dyDescent="0.5"/>
    <row r="1395" ht="21" customHeight="1" x14ac:dyDescent="0.5"/>
    <row r="1396" ht="21" customHeight="1" x14ac:dyDescent="0.5"/>
    <row r="1397" ht="21" customHeight="1" x14ac:dyDescent="0.5"/>
    <row r="1398" ht="21" customHeight="1" x14ac:dyDescent="0.5"/>
    <row r="1399" ht="21" customHeight="1" x14ac:dyDescent="0.5"/>
    <row r="1400" ht="21" customHeight="1" x14ac:dyDescent="0.5"/>
    <row r="1401" ht="21" customHeight="1" x14ac:dyDescent="0.5"/>
    <row r="1402" ht="21" customHeight="1" x14ac:dyDescent="0.5"/>
    <row r="1403" ht="21" customHeight="1" x14ac:dyDescent="0.5"/>
    <row r="1404" ht="21" customHeight="1" x14ac:dyDescent="0.5"/>
    <row r="1405" ht="21" customHeight="1" x14ac:dyDescent="0.5"/>
    <row r="1406" ht="21" customHeight="1" x14ac:dyDescent="0.5"/>
    <row r="1407" ht="21" customHeight="1" x14ac:dyDescent="0.5"/>
    <row r="1408" ht="21" customHeight="1" x14ac:dyDescent="0.5"/>
    <row r="1409" ht="21" customHeight="1" x14ac:dyDescent="0.5"/>
    <row r="1410" ht="21" customHeight="1" x14ac:dyDescent="0.5"/>
    <row r="1411" ht="21" customHeight="1" x14ac:dyDescent="0.5"/>
    <row r="1412" ht="21" customHeight="1" x14ac:dyDescent="0.5"/>
    <row r="1413" ht="21" customHeight="1" x14ac:dyDescent="0.5"/>
    <row r="1414" ht="21" customHeight="1" x14ac:dyDescent="0.5"/>
    <row r="1415" ht="21" customHeight="1" x14ac:dyDescent="0.5"/>
    <row r="1416" ht="21" customHeight="1" x14ac:dyDescent="0.5"/>
    <row r="1417" ht="21" customHeight="1" x14ac:dyDescent="0.5"/>
    <row r="1418" ht="21" customHeight="1" x14ac:dyDescent="0.5"/>
    <row r="1419" ht="21" customHeight="1" x14ac:dyDescent="0.5"/>
    <row r="1420" ht="21" customHeight="1" x14ac:dyDescent="0.5"/>
    <row r="1421" ht="21" customHeight="1" x14ac:dyDescent="0.5"/>
    <row r="1422" ht="21" customHeight="1" x14ac:dyDescent="0.5"/>
    <row r="1423" ht="21" customHeight="1" x14ac:dyDescent="0.5"/>
    <row r="1424" ht="21" customHeight="1" x14ac:dyDescent="0.5"/>
    <row r="1425" ht="21" customHeight="1" x14ac:dyDescent="0.5"/>
    <row r="1426" ht="21" customHeight="1" x14ac:dyDescent="0.5"/>
    <row r="1427" ht="21" customHeight="1" x14ac:dyDescent="0.5"/>
    <row r="1428" ht="21" customHeight="1" x14ac:dyDescent="0.5"/>
    <row r="1429" ht="21" customHeight="1" x14ac:dyDescent="0.5"/>
    <row r="1430" ht="21" customHeight="1" x14ac:dyDescent="0.5"/>
    <row r="1431" ht="21" customHeight="1" x14ac:dyDescent="0.5"/>
    <row r="1432" ht="21" customHeight="1" x14ac:dyDescent="0.5"/>
    <row r="1433" ht="21" customHeight="1" x14ac:dyDescent="0.5"/>
    <row r="1434" ht="21" customHeight="1" x14ac:dyDescent="0.5"/>
    <row r="1435" ht="21" customHeight="1" x14ac:dyDescent="0.5"/>
    <row r="1436" ht="21" customHeight="1" x14ac:dyDescent="0.5"/>
    <row r="1437" ht="21" customHeight="1" x14ac:dyDescent="0.5"/>
    <row r="1438" ht="21" customHeight="1" x14ac:dyDescent="0.5"/>
    <row r="1439" ht="21" customHeight="1" x14ac:dyDescent="0.5"/>
    <row r="1440" ht="21" customHeight="1" x14ac:dyDescent="0.5"/>
    <row r="1441" ht="21" customHeight="1" x14ac:dyDescent="0.5"/>
    <row r="1442" ht="21" customHeight="1" x14ac:dyDescent="0.5"/>
    <row r="1443" ht="21" customHeight="1" x14ac:dyDescent="0.5"/>
    <row r="1444" ht="21" customHeight="1" x14ac:dyDescent="0.5"/>
    <row r="1445" ht="21" customHeight="1" x14ac:dyDescent="0.5"/>
    <row r="1446" ht="21" customHeight="1" x14ac:dyDescent="0.5"/>
    <row r="1447" ht="21" customHeight="1" x14ac:dyDescent="0.5"/>
    <row r="1448" ht="21" customHeight="1" x14ac:dyDescent="0.5"/>
    <row r="1449" ht="21" customHeight="1" x14ac:dyDescent="0.5"/>
    <row r="1450" ht="21" customHeight="1" x14ac:dyDescent="0.5"/>
    <row r="1451" ht="21" customHeight="1" x14ac:dyDescent="0.5"/>
    <row r="1452" ht="21" customHeight="1" x14ac:dyDescent="0.5"/>
    <row r="1453" ht="21" customHeight="1" x14ac:dyDescent="0.5"/>
    <row r="1454" ht="21" customHeight="1" x14ac:dyDescent="0.5"/>
    <row r="1455" ht="21" customHeight="1" x14ac:dyDescent="0.5"/>
    <row r="1456" ht="21" customHeight="1" x14ac:dyDescent="0.5"/>
    <row r="1457" ht="21" customHeight="1" x14ac:dyDescent="0.5"/>
    <row r="1458" ht="21" customHeight="1" x14ac:dyDescent="0.5"/>
    <row r="1459" ht="21" customHeight="1" x14ac:dyDescent="0.5"/>
    <row r="1460" ht="21" customHeight="1" x14ac:dyDescent="0.5"/>
    <row r="1461" ht="21" customHeight="1" x14ac:dyDescent="0.5"/>
    <row r="1462" ht="21" customHeight="1" x14ac:dyDescent="0.5"/>
    <row r="1463" ht="21" customHeight="1" x14ac:dyDescent="0.5"/>
    <row r="1464" ht="21" customHeight="1" x14ac:dyDescent="0.5"/>
    <row r="1465" ht="21" customHeight="1" x14ac:dyDescent="0.5"/>
    <row r="1466" ht="21" customHeight="1" x14ac:dyDescent="0.5"/>
    <row r="1467" ht="21" customHeight="1" x14ac:dyDescent="0.5"/>
    <row r="1468" ht="21" customHeight="1" x14ac:dyDescent="0.5"/>
    <row r="1469" ht="21" customHeight="1" x14ac:dyDescent="0.5"/>
    <row r="1470" ht="21" customHeight="1" x14ac:dyDescent="0.5"/>
    <row r="1471" ht="21" customHeight="1" x14ac:dyDescent="0.5"/>
    <row r="1472" ht="21" customHeight="1" x14ac:dyDescent="0.5"/>
    <row r="1473" ht="21" customHeight="1" x14ac:dyDescent="0.5"/>
    <row r="1474" ht="21" customHeight="1" x14ac:dyDescent="0.5"/>
    <row r="1475" ht="21" customHeight="1" x14ac:dyDescent="0.5"/>
    <row r="1476" ht="21" customHeight="1" x14ac:dyDescent="0.5"/>
    <row r="1477" ht="21" customHeight="1" x14ac:dyDescent="0.5"/>
    <row r="1478" ht="21" customHeight="1" x14ac:dyDescent="0.5"/>
    <row r="1479" ht="21" customHeight="1" x14ac:dyDescent="0.5"/>
    <row r="1480" ht="21" customHeight="1" x14ac:dyDescent="0.5"/>
    <row r="1481" ht="21" customHeight="1" x14ac:dyDescent="0.5"/>
    <row r="1482" ht="21" customHeight="1" x14ac:dyDescent="0.5"/>
    <row r="1483" ht="21" customHeight="1" x14ac:dyDescent="0.5"/>
    <row r="1484" ht="21" customHeight="1" x14ac:dyDescent="0.5"/>
    <row r="1485" ht="21" customHeight="1" x14ac:dyDescent="0.5"/>
    <row r="1486" ht="21" customHeight="1" x14ac:dyDescent="0.5"/>
    <row r="1487" ht="21" customHeight="1" x14ac:dyDescent="0.5"/>
    <row r="1488" ht="21" customHeight="1" x14ac:dyDescent="0.5"/>
    <row r="1489" ht="21" customHeight="1" x14ac:dyDescent="0.5"/>
    <row r="1490" ht="21" customHeight="1" x14ac:dyDescent="0.5"/>
    <row r="1491" ht="21" customHeight="1" x14ac:dyDescent="0.5"/>
    <row r="1492" ht="21" customHeight="1" x14ac:dyDescent="0.5"/>
    <row r="1493" ht="21" customHeight="1" x14ac:dyDescent="0.5"/>
    <row r="1494" ht="21" customHeight="1" x14ac:dyDescent="0.5"/>
    <row r="1495" ht="21" customHeight="1" x14ac:dyDescent="0.5"/>
    <row r="1496" ht="21" customHeight="1" x14ac:dyDescent="0.5"/>
    <row r="1497" ht="21" customHeight="1" x14ac:dyDescent="0.5"/>
    <row r="1498" ht="21" customHeight="1" x14ac:dyDescent="0.5"/>
    <row r="1499" ht="21" customHeight="1" x14ac:dyDescent="0.5"/>
    <row r="1500" ht="21" customHeight="1" x14ac:dyDescent="0.5"/>
    <row r="1501" ht="21" customHeight="1" x14ac:dyDescent="0.5"/>
    <row r="1502" ht="21" customHeight="1" x14ac:dyDescent="0.5"/>
    <row r="1503" ht="21" customHeight="1" x14ac:dyDescent="0.5"/>
    <row r="1504" ht="21" customHeight="1" x14ac:dyDescent="0.5"/>
    <row r="1505" ht="21" customHeight="1" x14ac:dyDescent="0.5"/>
    <row r="1506" ht="21" customHeight="1" x14ac:dyDescent="0.5"/>
    <row r="1507" ht="21" customHeight="1" x14ac:dyDescent="0.5"/>
    <row r="1508" ht="21" customHeight="1" x14ac:dyDescent="0.5"/>
    <row r="1509" ht="21" customHeight="1" x14ac:dyDescent="0.5"/>
    <row r="1510" ht="21" customHeight="1" x14ac:dyDescent="0.5"/>
    <row r="1511" ht="21" customHeight="1" x14ac:dyDescent="0.5"/>
    <row r="1512" ht="21" customHeight="1" x14ac:dyDescent="0.5"/>
    <row r="1513" ht="21" customHeight="1" x14ac:dyDescent="0.5"/>
    <row r="1514" ht="21" customHeight="1" x14ac:dyDescent="0.5"/>
    <row r="1515" ht="21" customHeight="1" x14ac:dyDescent="0.5"/>
    <row r="1516" ht="21" customHeight="1" x14ac:dyDescent="0.5"/>
    <row r="1517" ht="21" customHeight="1" x14ac:dyDescent="0.5"/>
    <row r="1518" ht="21" customHeight="1" x14ac:dyDescent="0.5"/>
    <row r="1519" ht="21" customHeight="1" x14ac:dyDescent="0.5"/>
    <row r="1520" ht="21" customHeight="1" x14ac:dyDescent="0.5"/>
    <row r="1521" ht="21" customHeight="1" x14ac:dyDescent="0.5"/>
    <row r="1522" ht="21" customHeight="1" x14ac:dyDescent="0.5"/>
    <row r="1523" ht="21" customHeight="1" x14ac:dyDescent="0.5"/>
    <row r="1524" ht="21" customHeight="1" x14ac:dyDescent="0.5"/>
    <row r="1525" ht="21" customHeight="1" x14ac:dyDescent="0.5"/>
    <row r="1526" ht="21" customHeight="1" x14ac:dyDescent="0.5"/>
    <row r="1527" ht="21" customHeight="1" x14ac:dyDescent="0.5"/>
    <row r="1528" ht="21" customHeight="1" x14ac:dyDescent="0.5"/>
    <row r="1529" ht="21" customHeight="1" x14ac:dyDescent="0.5"/>
    <row r="1530" ht="21" customHeight="1" x14ac:dyDescent="0.5"/>
    <row r="1531" ht="21" customHeight="1" x14ac:dyDescent="0.5"/>
    <row r="1532" ht="21" customHeight="1" x14ac:dyDescent="0.5"/>
    <row r="1533" ht="21" customHeight="1" x14ac:dyDescent="0.5"/>
    <row r="1534" ht="21" customHeight="1" x14ac:dyDescent="0.5"/>
    <row r="1535" ht="21" customHeight="1" x14ac:dyDescent="0.5"/>
    <row r="1536" ht="21" customHeight="1" x14ac:dyDescent="0.5"/>
    <row r="1537" ht="21" customHeight="1" x14ac:dyDescent="0.5"/>
    <row r="1538" ht="21" customHeight="1" x14ac:dyDescent="0.5"/>
    <row r="1539" ht="21" customHeight="1" x14ac:dyDescent="0.5"/>
    <row r="1540" ht="21" customHeight="1" x14ac:dyDescent="0.5"/>
    <row r="1541" ht="21" customHeight="1" x14ac:dyDescent="0.5"/>
    <row r="1542" ht="21" customHeight="1" x14ac:dyDescent="0.5"/>
    <row r="1543" ht="21" customHeight="1" x14ac:dyDescent="0.5"/>
    <row r="1544" ht="21" customHeight="1" x14ac:dyDescent="0.5"/>
    <row r="1545" ht="21" customHeight="1" x14ac:dyDescent="0.5"/>
    <row r="1546" ht="21" customHeight="1" x14ac:dyDescent="0.5"/>
    <row r="1547" ht="21" customHeight="1" x14ac:dyDescent="0.5"/>
    <row r="1548" ht="21" customHeight="1" x14ac:dyDescent="0.5"/>
    <row r="1549" ht="21" customHeight="1" x14ac:dyDescent="0.5"/>
    <row r="1550" ht="21" customHeight="1" x14ac:dyDescent="0.5"/>
    <row r="1551" ht="21" customHeight="1" x14ac:dyDescent="0.5"/>
    <row r="1552" ht="21" customHeight="1" x14ac:dyDescent="0.5"/>
    <row r="1553" ht="21" customHeight="1" x14ac:dyDescent="0.5"/>
    <row r="1554" ht="21" customHeight="1" x14ac:dyDescent="0.5"/>
    <row r="1555" ht="21" customHeight="1" x14ac:dyDescent="0.5"/>
    <row r="1556" ht="21" customHeight="1" x14ac:dyDescent="0.5"/>
    <row r="1557" ht="21" customHeight="1" x14ac:dyDescent="0.5"/>
    <row r="1558" ht="21" customHeight="1" x14ac:dyDescent="0.5"/>
    <row r="1559" ht="21" customHeight="1" x14ac:dyDescent="0.5"/>
    <row r="1560" ht="21" customHeight="1" x14ac:dyDescent="0.5"/>
    <row r="1561" ht="21" customHeight="1" x14ac:dyDescent="0.5"/>
    <row r="1562" ht="21" customHeight="1" x14ac:dyDescent="0.5"/>
    <row r="1563" ht="21" customHeight="1" x14ac:dyDescent="0.5"/>
    <row r="1564" ht="21" customHeight="1" x14ac:dyDescent="0.5"/>
    <row r="1565" ht="21" customHeight="1" x14ac:dyDescent="0.5"/>
    <row r="1566" ht="21" customHeight="1" x14ac:dyDescent="0.5"/>
    <row r="1567" ht="21" customHeight="1" x14ac:dyDescent="0.5"/>
    <row r="1568" ht="21" customHeight="1" x14ac:dyDescent="0.5"/>
    <row r="1569" ht="21" customHeight="1" x14ac:dyDescent="0.5"/>
    <row r="1570" ht="21" customHeight="1" x14ac:dyDescent="0.5"/>
    <row r="1571" ht="21" customHeight="1" x14ac:dyDescent="0.5"/>
    <row r="1572" ht="21" customHeight="1" x14ac:dyDescent="0.5"/>
    <row r="1573" ht="21" customHeight="1" x14ac:dyDescent="0.5"/>
    <row r="1574" ht="21" customHeight="1" x14ac:dyDescent="0.5"/>
    <row r="1575" ht="21" customHeight="1" x14ac:dyDescent="0.5"/>
    <row r="1576" ht="21" customHeight="1" x14ac:dyDescent="0.5"/>
    <row r="1577" ht="21" customHeight="1" x14ac:dyDescent="0.5"/>
    <row r="1578" ht="21" customHeight="1" x14ac:dyDescent="0.5"/>
    <row r="1579" ht="21" customHeight="1" x14ac:dyDescent="0.5"/>
    <row r="1580" ht="21" customHeight="1" x14ac:dyDescent="0.5"/>
    <row r="1581" ht="21" customHeight="1" x14ac:dyDescent="0.5"/>
    <row r="1582" ht="21" customHeight="1" x14ac:dyDescent="0.5"/>
    <row r="1583" ht="21" customHeight="1" x14ac:dyDescent="0.5"/>
    <row r="1584" ht="21" customHeight="1" x14ac:dyDescent="0.5"/>
    <row r="1585" ht="21" customHeight="1" x14ac:dyDescent="0.5"/>
    <row r="1586" ht="21" customHeight="1" x14ac:dyDescent="0.5"/>
    <row r="1587" ht="21" customHeight="1" x14ac:dyDescent="0.5"/>
    <row r="1588" ht="21" customHeight="1" x14ac:dyDescent="0.5"/>
    <row r="1589" ht="21" customHeight="1" x14ac:dyDescent="0.5"/>
    <row r="1590" ht="21" customHeight="1" x14ac:dyDescent="0.5"/>
    <row r="1591" ht="21" customHeight="1" x14ac:dyDescent="0.5"/>
    <row r="1592" ht="21" customHeight="1" x14ac:dyDescent="0.5"/>
    <row r="1593" ht="21" customHeight="1" x14ac:dyDescent="0.5"/>
    <row r="1594" ht="21" customHeight="1" x14ac:dyDescent="0.5"/>
    <row r="1595" ht="21" customHeight="1" x14ac:dyDescent="0.5"/>
    <row r="1596" ht="21" customHeight="1" x14ac:dyDescent="0.5"/>
    <row r="1597" ht="21" customHeight="1" x14ac:dyDescent="0.5"/>
    <row r="1598" ht="21" customHeight="1" x14ac:dyDescent="0.5"/>
    <row r="1599" ht="21" customHeight="1" x14ac:dyDescent="0.5"/>
    <row r="1600" ht="21" customHeight="1" x14ac:dyDescent="0.5"/>
    <row r="1601" ht="21" customHeight="1" x14ac:dyDescent="0.5"/>
    <row r="1602" ht="21" customHeight="1" x14ac:dyDescent="0.5"/>
    <row r="1603" ht="21" customHeight="1" x14ac:dyDescent="0.5"/>
    <row r="1604" ht="21" customHeight="1" x14ac:dyDescent="0.5"/>
    <row r="1605" ht="21" customHeight="1" x14ac:dyDescent="0.5"/>
    <row r="1606" ht="21" customHeight="1" x14ac:dyDescent="0.5"/>
    <row r="1607" ht="21" customHeight="1" x14ac:dyDescent="0.5"/>
    <row r="1608" ht="21" customHeight="1" x14ac:dyDescent="0.5"/>
    <row r="1609" ht="21" customHeight="1" x14ac:dyDescent="0.5"/>
    <row r="1610" ht="21" customHeight="1" x14ac:dyDescent="0.5"/>
    <row r="1611" ht="21" customHeight="1" x14ac:dyDescent="0.5"/>
    <row r="1612" ht="21" customHeight="1" x14ac:dyDescent="0.5"/>
    <row r="1613" ht="21" customHeight="1" x14ac:dyDescent="0.5"/>
    <row r="1614" ht="21" customHeight="1" x14ac:dyDescent="0.5"/>
    <row r="1615" ht="21" customHeight="1" x14ac:dyDescent="0.5"/>
    <row r="1616" ht="21" customHeight="1" x14ac:dyDescent="0.5"/>
    <row r="1617" ht="21" customHeight="1" x14ac:dyDescent="0.5"/>
    <row r="1618" ht="21" customHeight="1" x14ac:dyDescent="0.5"/>
    <row r="1619" ht="21" customHeight="1" x14ac:dyDescent="0.5"/>
    <row r="1620" ht="21" customHeight="1" x14ac:dyDescent="0.5"/>
    <row r="1621" ht="21" customHeight="1" x14ac:dyDescent="0.5"/>
    <row r="1622" ht="21" customHeight="1" x14ac:dyDescent="0.5"/>
    <row r="1623" ht="21" customHeight="1" x14ac:dyDescent="0.5"/>
    <row r="1624" ht="21" customHeight="1" x14ac:dyDescent="0.5"/>
    <row r="1625" ht="21" customHeight="1" x14ac:dyDescent="0.5"/>
    <row r="1626" ht="21" customHeight="1" x14ac:dyDescent="0.5"/>
    <row r="1627" ht="21" customHeight="1" x14ac:dyDescent="0.5"/>
    <row r="1628" ht="21" customHeight="1" x14ac:dyDescent="0.5"/>
    <row r="1629" ht="21" customHeight="1" x14ac:dyDescent="0.5"/>
    <row r="1630" ht="21" customHeight="1" x14ac:dyDescent="0.5"/>
    <row r="1631" ht="21" customHeight="1" x14ac:dyDescent="0.5"/>
    <row r="1632" ht="21" customHeight="1" x14ac:dyDescent="0.5"/>
    <row r="1633" ht="21" customHeight="1" x14ac:dyDescent="0.5"/>
    <row r="1634" ht="21" customHeight="1" x14ac:dyDescent="0.5"/>
    <row r="1635" ht="21" customHeight="1" x14ac:dyDescent="0.5"/>
    <row r="1636" ht="21" customHeight="1" x14ac:dyDescent="0.5"/>
    <row r="1637" ht="21" customHeight="1" x14ac:dyDescent="0.5"/>
    <row r="1638" ht="21" customHeight="1" x14ac:dyDescent="0.5"/>
    <row r="1639" ht="21" customHeight="1" x14ac:dyDescent="0.5"/>
    <row r="1640" ht="21" customHeight="1" x14ac:dyDescent="0.5"/>
    <row r="1641" ht="21" customHeight="1" x14ac:dyDescent="0.5"/>
    <row r="1642" ht="21" customHeight="1" x14ac:dyDescent="0.5"/>
    <row r="1643" ht="21" customHeight="1" x14ac:dyDescent="0.5"/>
    <row r="1644" ht="21" customHeight="1" x14ac:dyDescent="0.5"/>
    <row r="1645" ht="21" customHeight="1" x14ac:dyDescent="0.5"/>
    <row r="1646" ht="21" customHeight="1" x14ac:dyDescent="0.5"/>
    <row r="1647" ht="21" customHeight="1" x14ac:dyDescent="0.5"/>
    <row r="1648" ht="21" customHeight="1" x14ac:dyDescent="0.5"/>
    <row r="1649" ht="21" customHeight="1" x14ac:dyDescent="0.5"/>
    <row r="1650" ht="21" customHeight="1" x14ac:dyDescent="0.5"/>
    <row r="1651" ht="21" customHeight="1" x14ac:dyDescent="0.5"/>
    <row r="1652" ht="21" customHeight="1" x14ac:dyDescent="0.5"/>
    <row r="1653" ht="21" customHeight="1" x14ac:dyDescent="0.5"/>
    <row r="1654" ht="21" customHeight="1" x14ac:dyDescent="0.5"/>
    <row r="1655" ht="21" customHeight="1" x14ac:dyDescent="0.5"/>
    <row r="1656" ht="21" customHeight="1" x14ac:dyDescent="0.5"/>
    <row r="1657" ht="21" customHeight="1" x14ac:dyDescent="0.5"/>
    <row r="1658" ht="21" customHeight="1" x14ac:dyDescent="0.5"/>
    <row r="1659" ht="21" customHeight="1" x14ac:dyDescent="0.5"/>
    <row r="1660" ht="21" customHeight="1" x14ac:dyDescent="0.5"/>
    <row r="1661" ht="21" customHeight="1" x14ac:dyDescent="0.5"/>
    <row r="1662" ht="21" customHeight="1" x14ac:dyDescent="0.5"/>
    <row r="1663" ht="21" customHeight="1" x14ac:dyDescent="0.5"/>
    <row r="1664" ht="21" customHeight="1" x14ac:dyDescent="0.5"/>
    <row r="1665" ht="21" customHeight="1" x14ac:dyDescent="0.5"/>
    <row r="1666" ht="21" customHeight="1" x14ac:dyDescent="0.5"/>
    <row r="1667" ht="21" customHeight="1" x14ac:dyDescent="0.5"/>
    <row r="1668" ht="21" customHeight="1" x14ac:dyDescent="0.5"/>
    <row r="1669" ht="21" customHeight="1" x14ac:dyDescent="0.5"/>
    <row r="1670" ht="21" customHeight="1" x14ac:dyDescent="0.5"/>
    <row r="1671" ht="21" customHeight="1" x14ac:dyDescent="0.5"/>
    <row r="1672" ht="21" customHeight="1" x14ac:dyDescent="0.5"/>
    <row r="1673" ht="21" customHeight="1" x14ac:dyDescent="0.5"/>
    <row r="1674" ht="21" customHeight="1" x14ac:dyDescent="0.5"/>
    <row r="1675" ht="21" customHeight="1" x14ac:dyDescent="0.5"/>
    <row r="1676" ht="21" customHeight="1" x14ac:dyDescent="0.5"/>
    <row r="1677" ht="21" customHeight="1" x14ac:dyDescent="0.5"/>
    <row r="1678" ht="21" customHeight="1" x14ac:dyDescent="0.5"/>
    <row r="1679" ht="21" customHeight="1" x14ac:dyDescent="0.5"/>
    <row r="1680" ht="21" customHeight="1" x14ac:dyDescent="0.5"/>
    <row r="1681" ht="21" customHeight="1" x14ac:dyDescent="0.5"/>
    <row r="1682" ht="21" customHeight="1" x14ac:dyDescent="0.5"/>
    <row r="1683" ht="21" customHeight="1" x14ac:dyDescent="0.5"/>
    <row r="1684" ht="21" customHeight="1" x14ac:dyDescent="0.5"/>
    <row r="1685" ht="21" customHeight="1" x14ac:dyDescent="0.5"/>
    <row r="1686" ht="21" customHeight="1" x14ac:dyDescent="0.5"/>
    <row r="1687" ht="21" customHeight="1" x14ac:dyDescent="0.5"/>
    <row r="1688" ht="21" customHeight="1" x14ac:dyDescent="0.5"/>
    <row r="1689" ht="21" customHeight="1" x14ac:dyDescent="0.5"/>
    <row r="1690" ht="21" customHeight="1" x14ac:dyDescent="0.5"/>
    <row r="1691" ht="21" customHeight="1" x14ac:dyDescent="0.5"/>
    <row r="1692" ht="21" customHeight="1" x14ac:dyDescent="0.5"/>
    <row r="1693" ht="21" customHeight="1" x14ac:dyDescent="0.5"/>
    <row r="1694" ht="21" customHeight="1" x14ac:dyDescent="0.5"/>
    <row r="1695" ht="21" customHeight="1" x14ac:dyDescent="0.5"/>
    <row r="1696" ht="21" customHeight="1" x14ac:dyDescent="0.5"/>
    <row r="1697" ht="21" customHeight="1" x14ac:dyDescent="0.5"/>
    <row r="1698" ht="21" customHeight="1" x14ac:dyDescent="0.5"/>
  </sheetData>
  <mergeCells count="111">
    <mergeCell ref="A75:C75"/>
    <mergeCell ref="A76:C76"/>
    <mergeCell ref="A77:C77"/>
    <mergeCell ref="A71:C71"/>
    <mergeCell ref="A72:B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93:C93"/>
    <mergeCell ref="A94:C94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78:C78"/>
    <mergeCell ref="A97:C97"/>
    <mergeCell ref="A98:C98"/>
    <mergeCell ref="A99:C99"/>
    <mergeCell ref="A100:C100"/>
    <mergeCell ref="A180:B180"/>
    <mergeCell ref="A181:B181"/>
    <mergeCell ref="A177:B177"/>
    <mergeCell ref="A178:B178"/>
    <mergeCell ref="A179:B179"/>
    <mergeCell ref="A172:C172"/>
    <mergeCell ref="A174:B174"/>
    <mergeCell ref="A175:B175"/>
    <mergeCell ref="A176:B176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12:C112"/>
    <mergeCell ref="A113:C113"/>
    <mergeCell ref="A102:C102"/>
    <mergeCell ref="A128:C128"/>
    <mergeCell ref="A142:C14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</mergeCells>
  <pageMargins left="0.22" right="0.17" top="0.14000000000000001" bottom="0.2" header="0.2" footer="0.2"/>
  <pageSetup paperSize="5" scale="1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89"/>
  <sheetViews>
    <sheetView view="pageBreakPreview" topLeftCell="A160" zoomScale="50" zoomScaleNormal="71" zoomScaleSheetLayoutView="50" workbookViewId="0">
      <selection activeCell="E184" sqref="E184:E18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89" t="s">
        <v>115</v>
      </c>
      <c r="B1" s="790"/>
      <c r="C1" s="790"/>
      <c r="D1" s="790"/>
      <c r="E1" s="790"/>
      <c r="F1" s="790"/>
      <c r="G1" s="790"/>
      <c r="H1" s="790"/>
      <c r="I1" s="790"/>
      <c r="J1" s="791"/>
    </row>
    <row r="2" spans="1:15" s="57" customFormat="1" ht="27" x14ac:dyDescent="0.5">
      <c r="A2" s="191" t="s">
        <v>303</v>
      </c>
      <c r="B2" s="266">
        <v>44491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98" t="s">
        <v>119</v>
      </c>
      <c r="F3" s="79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92" t="s">
        <v>128</v>
      </c>
      <c r="B6" s="793"/>
      <c r="C6" s="79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'21'!F7</f>
        <v>432179.47</v>
      </c>
      <c r="F7" s="95">
        <f>E7+23000</f>
        <v>455179.47</v>
      </c>
      <c r="G7" s="112">
        <f>F7-E7</f>
        <v>23000</v>
      </c>
      <c r="H7" s="99">
        <f>G7+'21'!H7</f>
        <v>510937.06999999989</v>
      </c>
      <c r="I7" s="113">
        <f>'1'!I7</f>
        <v>12000</v>
      </c>
      <c r="J7" s="175">
        <f>H7/DAY(B2)</f>
        <v>23224.412272727266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'21'!F8</f>
        <v>452679.75</v>
      </c>
      <c r="F8" s="114">
        <f>E8+23050</f>
        <v>475729.75</v>
      </c>
      <c r="G8" s="115">
        <f>F8-E8</f>
        <v>23050</v>
      </c>
      <c r="H8" s="99">
        <f>G8+'21'!H8</f>
        <v>517062.74999999994</v>
      </c>
      <c r="I8" s="116"/>
      <c r="J8" s="175">
        <f>H8/DAY(B2)</f>
        <v>23502.852272727268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'21'!F9</f>
        <v>1115976.8999999999</v>
      </c>
      <c r="F9" s="117">
        <f>E9+23000</f>
        <v>1138976.8999999999</v>
      </c>
      <c r="G9" s="112">
        <f>F9-E9</f>
        <v>23000</v>
      </c>
      <c r="H9" s="99">
        <f>G9+'21'!H9</f>
        <v>431186.89999999979</v>
      </c>
      <c r="I9" s="124">
        <f>I7-J7</f>
        <v>-11224.412272727266</v>
      </c>
      <c r="J9" s="175">
        <f>H9/DAY(B2)</f>
        <v>19599.404545454538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'21'!F10</f>
        <v>2607</v>
      </c>
      <c r="F10" s="117">
        <v>2607</v>
      </c>
      <c r="G10" s="112">
        <f t="shared" ref="G10:G12" si="0">F10-E10</f>
        <v>0</v>
      </c>
      <c r="H10" s="99">
        <f>G10+'21'!H10</f>
        <v>-57966</v>
      </c>
      <c r="I10" s="286"/>
      <c r="J10" s="175">
        <f>H10/DAY(B2)</f>
        <v>-2634.818181818182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'21'!F11</f>
        <v>37000</v>
      </c>
      <c r="F11" s="95">
        <v>37000</v>
      </c>
      <c r="G11" s="112">
        <f t="shared" si="0"/>
        <v>0</v>
      </c>
      <c r="H11" s="99">
        <f>G11+'21'!H11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'21'!F12</f>
        <v>40010</v>
      </c>
      <c r="F12" s="117">
        <v>40010</v>
      </c>
      <c r="G12" s="112">
        <f t="shared" si="0"/>
        <v>0</v>
      </c>
      <c r="H12" s="99">
        <f>G12+'21'!H12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23000</v>
      </c>
      <c r="H13" s="99">
        <f>G13+'21'!H13</f>
        <v>351675.14999999979</v>
      </c>
      <c r="I13" s="120">
        <f>G7-G13</f>
        <v>0</v>
      </c>
      <c r="J13" s="175">
        <f>H13/DAY(B2)</f>
        <v>15985.234090909082</v>
      </c>
      <c r="K13" s="79"/>
      <c r="L13" s="66"/>
      <c r="N13" s="87"/>
      <c r="O13" s="71"/>
    </row>
    <row r="14" spans="1:15" ht="29.25" x14ac:dyDescent="0.5">
      <c r="A14" s="795" t="s">
        <v>137</v>
      </c>
      <c r="B14" s="796"/>
      <c r="C14" s="79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'21'!F15</f>
        <v>1803742.8829999999</v>
      </c>
      <c r="F15" s="123">
        <f>E15+875</f>
        <v>1804617.8829999999</v>
      </c>
      <c r="G15" s="112">
        <f>(F15-E15)</f>
        <v>875</v>
      </c>
      <c r="H15" s="99">
        <f>G15+'21'!H15</f>
        <v>21284.882999999914</v>
      </c>
      <c r="I15" s="113">
        <f>'1'!I15</f>
        <v>800</v>
      </c>
      <c r="J15" s="175">
        <f>H15/DAY(B2)</f>
        <v>967.49468181817792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-167.49468181817792</v>
      </c>
      <c r="J16" s="176"/>
      <c r="K16" s="79"/>
      <c r="L16" s="66"/>
      <c r="N16" s="87"/>
      <c r="O16" s="71"/>
    </row>
    <row r="17" spans="1:15" ht="29.25" x14ac:dyDescent="0.5">
      <c r="A17" s="795" t="s">
        <v>140</v>
      </c>
      <c r="B17" s="796"/>
      <c r="C17" s="79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1" t="s">
        <v>141</v>
      </c>
      <c r="B18" s="772"/>
      <c r="C18" s="773"/>
      <c r="D18" s="151" t="s">
        <v>142</v>
      </c>
      <c r="E18" s="95">
        <f>'21'!F18</f>
        <v>14</v>
      </c>
      <c r="F18" s="122">
        <v>14</v>
      </c>
      <c r="G18" s="119">
        <f>F18*10</f>
        <v>140</v>
      </c>
      <c r="H18" s="99">
        <f>G18+'21'!H18</f>
        <v>4020</v>
      </c>
      <c r="I18" s="113">
        <f>'1'!I18</f>
        <v>65</v>
      </c>
      <c r="J18" s="175">
        <f>H18/DAY(B2)</f>
        <v>182.72727272727272</v>
      </c>
      <c r="K18" s="79"/>
      <c r="L18" s="66"/>
      <c r="N18" s="87"/>
      <c r="O18" s="71"/>
    </row>
    <row r="19" spans="1:15" ht="27.75" x14ac:dyDescent="0.5">
      <c r="A19" s="771" t="s">
        <v>69</v>
      </c>
      <c r="B19" s="772"/>
      <c r="C19" s="773"/>
      <c r="D19" s="151" t="s">
        <v>142</v>
      </c>
      <c r="E19" s="95">
        <f>'21'!F19</f>
        <v>148285</v>
      </c>
      <c r="F19" s="122">
        <f>E19+60</f>
        <v>148345</v>
      </c>
      <c r="G19" s="112">
        <f t="shared" ref="G19" si="1">F19-E19</f>
        <v>60</v>
      </c>
      <c r="H19" s="99">
        <f>G19+'21'!H19</f>
        <v>1293</v>
      </c>
      <c r="I19" s="355"/>
      <c r="J19" s="175">
        <f>H19/DAY(B2)</f>
        <v>58.772727272727273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200</v>
      </c>
      <c r="H20" s="99">
        <f>G20+'21'!H20</f>
        <v>5313</v>
      </c>
      <c r="I20" s="356">
        <f>I18-J20</f>
        <v>-176.5</v>
      </c>
      <c r="J20" s="175">
        <f>H20/DAY(B2)</f>
        <v>241.5</v>
      </c>
      <c r="K20" s="79"/>
      <c r="L20" s="66"/>
      <c r="N20" s="87"/>
      <c r="O20" s="71"/>
    </row>
    <row r="21" spans="1:15" ht="29.25" x14ac:dyDescent="0.5">
      <c r="A21" s="795" t="s">
        <v>144</v>
      </c>
      <c r="B21" s="796"/>
      <c r="C21" s="79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'21'!F23</f>
        <v>2000</v>
      </c>
      <c r="F23" s="122">
        <v>2000</v>
      </c>
      <c r="G23" s="119">
        <v>0</v>
      </c>
      <c r="H23" s="99">
        <f>G23+'21'!H23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'21'!F24</f>
        <v>4970</v>
      </c>
      <c r="F24" s="128">
        <v>4970</v>
      </c>
      <c r="G24" s="119">
        <v>0</v>
      </c>
      <c r="H24" s="99">
        <f>G24+'21'!H24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0" t="s">
        <v>149</v>
      </c>
      <c r="B25" s="801"/>
      <c r="C25" s="80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23050</v>
      </c>
      <c r="F27" s="136">
        <v>9</v>
      </c>
      <c r="G27" s="137">
        <f>E27*F27</f>
        <v>207450</v>
      </c>
      <c r="H27" s="99">
        <f>G27+'21'!H27</f>
        <v>4653564.75</v>
      </c>
      <c r="I27" s="138"/>
      <c r="J27" s="175">
        <f>H27/DAY(B2)</f>
        <v>211525.67045454544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875</v>
      </c>
      <c r="F28" s="136">
        <v>52</v>
      </c>
      <c r="G28" s="137">
        <f>E28*F28</f>
        <v>45500</v>
      </c>
      <c r="H28" s="99">
        <f>G28+'21'!H28</f>
        <v>1106813.9159999955</v>
      </c>
      <c r="I28" s="140"/>
      <c r="J28" s="175">
        <f>H28/DAY(B2)</f>
        <v>50309.723454545252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G30+'21'!H30</f>
        <v>188778</v>
      </c>
      <c r="I30" s="140"/>
      <c r="J30" s="175">
        <f>H30/DAY(B2)</f>
        <v>8580.818181818182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G31+'21'!H31</f>
        <v>321600</v>
      </c>
      <c r="I31" s="140"/>
      <c r="J31" s="175">
        <f>H31/DAY(B2)</f>
        <v>14618.181818181818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272910</v>
      </c>
      <c r="H32" s="99">
        <f>G32+'21'!H32</f>
        <v>6270756.6659999955</v>
      </c>
      <c r="I32" s="144"/>
      <c r="J32" s="175">
        <f>H32/DAY(B2)</f>
        <v>285034.39390909072</v>
      </c>
      <c r="K32" s="63"/>
      <c r="L32" s="89"/>
      <c r="N32" s="87"/>
      <c r="O32" s="71"/>
    </row>
    <row r="33" spans="1:15" ht="25.5" customHeight="1" x14ac:dyDescent="0.35">
      <c r="A33" s="803" t="s">
        <v>331</v>
      </c>
      <c r="B33" s="804"/>
      <c r="C33" s="804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'21'!F35</f>
        <v>1058597</v>
      </c>
      <c r="F35" s="145">
        <v>1058597</v>
      </c>
      <c r="G35" s="112">
        <f t="shared" ref="G35:G46" si="3">F35-E35</f>
        <v>0</v>
      </c>
      <c r="H35" s="99">
        <f>G35+'21'!H35</f>
        <v>2111685.6</v>
      </c>
      <c r="I35" s="95"/>
      <c r="J35" s="175">
        <f>H35/DAY(B2)</f>
        <v>95985.709090909091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'21'!F36</f>
        <v>1833</v>
      </c>
      <c r="F36" s="145">
        <v>1833</v>
      </c>
      <c r="G36" s="112">
        <f t="shared" si="3"/>
        <v>0</v>
      </c>
      <c r="H36" s="99">
        <f>G36+'21'!H36</f>
        <v>-57914.1</v>
      </c>
      <c r="I36" s="95"/>
      <c r="J36" s="175">
        <f>H36/DAY(B2)</f>
        <v>-2632.4590909090907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'21'!F37</f>
        <v>2775</v>
      </c>
      <c r="F37" s="145">
        <v>2775</v>
      </c>
      <c r="G37" s="112">
        <f t="shared" si="3"/>
        <v>0</v>
      </c>
      <c r="H37" s="99">
        <f>G37+'21'!H37</f>
        <v>-131866.87</v>
      </c>
      <c r="I37" s="95"/>
      <c r="J37" s="175">
        <f>H37/DAY(B2)</f>
        <v>-5993.9486363636361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'21'!F38</f>
        <v>4823</v>
      </c>
      <c r="F38" s="108">
        <v>4823</v>
      </c>
      <c r="G38" s="112">
        <f t="shared" si="3"/>
        <v>0</v>
      </c>
      <c r="H38" s="99">
        <f>G38+'21'!H38</f>
        <v>-137077.6</v>
      </c>
      <c r="I38" s="95"/>
      <c r="J38" s="175">
        <f>H38/DAY(B2)</f>
        <v>-6230.8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'21'!F39</f>
        <v>637915</v>
      </c>
      <c r="F39" s="145">
        <v>637915</v>
      </c>
      <c r="G39" s="112">
        <f t="shared" si="3"/>
        <v>0</v>
      </c>
      <c r="H39" s="99">
        <f>G39+'21'!H39</f>
        <v>958234.97</v>
      </c>
      <c r="I39" s="95"/>
      <c r="J39" s="175">
        <f>H39/DAY(B2)</f>
        <v>43556.135000000002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'21'!F40</f>
        <v>34599</v>
      </c>
      <c r="F40" s="145">
        <v>34599</v>
      </c>
      <c r="G40" s="112">
        <f t="shared" si="3"/>
        <v>0</v>
      </c>
      <c r="H40" s="99">
        <f>G40+'21'!H40</f>
        <v>69191.77</v>
      </c>
      <c r="I40" s="95"/>
      <c r="J40" s="175">
        <f>H40/DAY(B2)</f>
        <v>3145.0804545454548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'21'!F41</f>
        <v>433281.79</v>
      </c>
      <c r="F41" s="145">
        <v>433281.79</v>
      </c>
      <c r="G41" s="112">
        <f t="shared" si="3"/>
        <v>0</v>
      </c>
      <c r="H41" s="99">
        <f>G41+'21'!H41</f>
        <v>-177234.68000000011</v>
      </c>
      <c r="I41" s="95"/>
      <c r="J41" s="175">
        <f>H41/DAY(B2)</f>
        <v>-8056.1218181818231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'21'!F42</f>
        <v>175112</v>
      </c>
      <c r="F42" s="145">
        <v>175112</v>
      </c>
      <c r="G42" s="112">
        <f t="shared" si="3"/>
        <v>0</v>
      </c>
      <c r="H42" s="99">
        <f>G42+'21'!H42</f>
        <v>-162623.49</v>
      </c>
      <c r="I42" s="95"/>
      <c r="J42" s="175">
        <f>H42/DAY(B2)</f>
        <v>-7391.9768181818181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'21'!F43</f>
        <v>1289745</v>
      </c>
      <c r="F43" s="145">
        <v>1289745</v>
      </c>
      <c r="G43" s="112">
        <f t="shared" si="3"/>
        <v>0</v>
      </c>
      <c r="H43" s="99">
        <f>G43+'21'!H43</f>
        <v>-191251.19999999995</v>
      </c>
      <c r="I43" s="95"/>
      <c r="J43" s="175">
        <f>H43/DAY(B2)</f>
        <v>-8693.2363636363607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'21'!F45</f>
        <v>614</v>
      </c>
      <c r="F45" s="145">
        <v>614</v>
      </c>
      <c r="G45" s="112">
        <f t="shared" si="3"/>
        <v>0</v>
      </c>
      <c r="H45" s="99">
        <f>G45+'21'!H45</f>
        <v>1228</v>
      </c>
      <c r="I45" s="95"/>
      <c r="J45" s="175">
        <f>H45/DAY(B2)</f>
        <v>55.81818181818182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'21'!F46</f>
        <v>187</v>
      </c>
      <c r="F46" s="145">
        <v>187</v>
      </c>
      <c r="G46" s="112">
        <f t="shared" si="3"/>
        <v>0</v>
      </c>
      <c r="H46" s="99">
        <f>G46+'21'!H46</f>
        <v>374</v>
      </c>
      <c r="I46" s="95"/>
      <c r="J46" s="175">
        <f>H46/DAY(B2)</f>
        <v>17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0</v>
      </c>
      <c r="H47" s="99">
        <f>G47+'21'!H47</f>
        <v>2282746.4</v>
      </c>
      <c r="I47" s="95"/>
      <c r="J47" s="175">
        <f>H47/DAY(B2)</f>
        <v>103761.2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'21'!F49</f>
        <v>419822</v>
      </c>
      <c r="F49" s="145">
        <v>419822</v>
      </c>
      <c r="G49" s="112">
        <f t="shared" ref="G49:G58" si="4">F49-E49</f>
        <v>0</v>
      </c>
      <c r="H49" s="99">
        <f>G49+'21'!H49</f>
        <v>596649.56000000006</v>
      </c>
      <c r="I49" s="95"/>
      <c r="J49" s="175">
        <f>H49/DAY(B2)</f>
        <v>27120.434545454547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'21'!F50</f>
        <v>607298</v>
      </c>
      <c r="F50" s="145">
        <v>607298</v>
      </c>
      <c r="G50" s="112">
        <f t="shared" si="4"/>
        <v>0</v>
      </c>
      <c r="H50" s="99">
        <f>G50+'21'!H50</f>
        <v>-93045.949999999953</v>
      </c>
      <c r="I50" s="95"/>
      <c r="J50" s="175">
        <f>H50/DAY(B2)</f>
        <v>-4229.3613636363616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'21'!F51</f>
        <v>144640</v>
      </c>
      <c r="F51" s="145">
        <v>144640</v>
      </c>
      <c r="G51" s="112">
        <f t="shared" si="4"/>
        <v>0</v>
      </c>
      <c r="H51" s="99">
        <f>G51+'21'!H51</f>
        <v>289280</v>
      </c>
      <c r="I51" s="95"/>
      <c r="J51" s="175">
        <f>H51/DAY(B2)</f>
        <v>13149.09090909091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'21'!F52</f>
        <v>539606</v>
      </c>
      <c r="F52" s="145">
        <v>539606</v>
      </c>
      <c r="G52" s="112">
        <f t="shared" si="4"/>
        <v>0</v>
      </c>
      <c r="H52" s="99">
        <f>G52+'21'!H52</f>
        <v>1079212</v>
      </c>
      <c r="I52" s="95"/>
      <c r="J52" s="175">
        <f>H52/DAY(B2)</f>
        <v>49055.090909090912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'21'!F53</f>
        <v>434232</v>
      </c>
      <c r="F53" s="145">
        <v>434232</v>
      </c>
      <c r="G53" s="112">
        <f t="shared" si="4"/>
        <v>0</v>
      </c>
      <c r="H53" s="99">
        <f>G53+'21'!H53</f>
        <v>868464</v>
      </c>
      <c r="I53" s="95"/>
      <c r="J53" s="175">
        <f>H53/DAY(B2)</f>
        <v>39475.63636363636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'21'!F54</f>
        <v>14967</v>
      </c>
      <c r="F54" s="145">
        <v>14967</v>
      </c>
      <c r="G54" s="112">
        <f t="shared" si="4"/>
        <v>0</v>
      </c>
      <c r="H54" s="99">
        <f>G54+'21'!H54</f>
        <v>24399.77</v>
      </c>
      <c r="I54" s="95"/>
      <c r="J54" s="175">
        <f>H54/DAY(B2)</f>
        <v>1109.0804545454546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'21'!F55</f>
        <v>306268.99</v>
      </c>
      <c r="F55" s="145">
        <v>306268.99</v>
      </c>
      <c r="G55" s="112">
        <f t="shared" si="4"/>
        <v>0</v>
      </c>
      <c r="H55" s="99">
        <f>G55+'21'!H55</f>
        <v>-2059.4899999999907</v>
      </c>
      <c r="I55" s="95"/>
      <c r="J55" s="175">
        <f>H55/DAY(B2)</f>
        <v>-93.613181818181388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'21'!F56</f>
        <v>661019</v>
      </c>
      <c r="F56" s="145">
        <v>661019</v>
      </c>
      <c r="G56" s="112">
        <f t="shared" si="4"/>
        <v>0</v>
      </c>
      <c r="H56" s="99">
        <f>G56+'21'!H56</f>
        <v>-194032.55000000005</v>
      </c>
      <c r="I56" s="95"/>
      <c r="J56" s="175">
        <f>H56/DAY(B2)</f>
        <v>-8819.6613636363654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'21'!F57</f>
        <v>7711</v>
      </c>
      <c r="F57" s="145">
        <v>7711</v>
      </c>
      <c r="G57" s="112">
        <f t="shared" si="4"/>
        <v>0</v>
      </c>
      <c r="H57" s="99">
        <f>G57+'21'!H57</f>
        <v>15422</v>
      </c>
      <c r="I57" s="95"/>
      <c r="J57" s="175">
        <f>H57/DAY(B2)</f>
        <v>701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'21'!F58</f>
        <v>66014</v>
      </c>
      <c r="F58" s="145">
        <v>66014</v>
      </c>
      <c r="G58" s="112">
        <f t="shared" si="4"/>
        <v>0</v>
      </c>
      <c r="H58" s="99">
        <f>G58+'21'!H58</f>
        <v>-16060.800000000003</v>
      </c>
      <c r="I58" s="95"/>
      <c r="J58" s="175">
        <f>H58/DAY(B2)</f>
        <v>-730.03636363636372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0</v>
      </c>
      <c r="H59" s="99">
        <f>G59+'21'!H59</f>
        <v>2568228.54</v>
      </c>
      <c r="I59" s="95">
        <f>G7-G60</f>
        <v>23000</v>
      </c>
      <c r="J59" s="175">
        <f>H59/DAY(B2)</f>
        <v>116737.6609090909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0</v>
      </c>
      <c r="H60" s="99">
        <f>G60+'21'!H60</f>
        <v>4850974.9399999995</v>
      </c>
      <c r="I60" s="95">
        <f>G13-G60</f>
        <v>23000</v>
      </c>
      <c r="J60" s="175">
        <f>H60/DAY(B2)</f>
        <v>220498.86090909087</v>
      </c>
      <c r="K60" s="79"/>
      <c r="L60" s="66"/>
      <c r="N60" s="87"/>
      <c r="O60" s="71"/>
    </row>
    <row r="61" spans="1:15" s="68" customFormat="1" ht="27.75" x14ac:dyDescent="0.5">
      <c r="A61" s="805" t="s">
        <v>332</v>
      </c>
      <c r="B61" s="806"/>
      <c r="C61" s="807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1" t="s">
        <v>198</v>
      </c>
      <c r="B62" s="772"/>
      <c r="C62" s="773"/>
      <c r="D62" s="151" t="s">
        <v>142</v>
      </c>
      <c r="E62" s="95">
        <f>'21'!F62</f>
        <v>253452</v>
      </c>
      <c r="F62" s="122">
        <v>253452</v>
      </c>
      <c r="G62" s="112">
        <f t="shared" ref="G62:G63" si="5">F62-E62</f>
        <v>0</v>
      </c>
      <c r="H62" s="99">
        <f>G62+'21'!H62</f>
        <v>-7655</v>
      </c>
      <c r="I62" s="118"/>
      <c r="J62" s="175">
        <f>H62/DAY(B2)</f>
        <v>-347.95454545454544</v>
      </c>
      <c r="K62" s="80"/>
      <c r="L62" s="66"/>
      <c r="N62" s="87"/>
      <c r="O62" s="71"/>
    </row>
    <row r="63" spans="1:15" ht="27.75" x14ac:dyDescent="0.5">
      <c r="A63" s="771" t="s">
        <v>199</v>
      </c>
      <c r="B63" s="772"/>
      <c r="C63" s="773"/>
      <c r="D63" s="151" t="s">
        <v>142</v>
      </c>
      <c r="E63" s="95">
        <f>'21'!F63</f>
        <v>197659</v>
      </c>
      <c r="F63" s="122">
        <v>197659</v>
      </c>
      <c r="G63" s="112">
        <f t="shared" si="5"/>
        <v>0</v>
      </c>
      <c r="H63" s="99">
        <f>G63+'21'!H63</f>
        <v>-11970</v>
      </c>
      <c r="I63" s="118"/>
      <c r="J63" s="175">
        <f>H63/DAY(B2)</f>
        <v>-544.09090909090912</v>
      </c>
      <c r="K63" s="69"/>
      <c r="L63" s="66"/>
      <c r="N63" s="87"/>
      <c r="O63" s="71"/>
    </row>
    <row r="64" spans="1:15" ht="29.25" x14ac:dyDescent="0.5">
      <c r="A64" s="780" t="s">
        <v>200</v>
      </c>
      <c r="B64" s="781"/>
      <c r="C64" s="782"/>
      <c r="D64" s="151"/>
      <c r="E64" s="95">
        <f>'21'!F64</f>
        <v>0</v>
      </c>
      <c r="F64" s="122"/>
      <c r="G64" s="112">
        <f>G62+G63</f>
        <v>0</v>
      </c>
      <c r="H64" s="99">
        <f>G64+'21'!H64</f>
        <v>-19625</v>
      </c>
      <c r="I64" s="118"/>
      <c r="J64" s="175">
        <f>H64/DAY(B2)</f>
        <v>-892.0454545454545</v>
      </c>
      <c r="K64" s="69"/>
      <c r="L64" s="66"/>
      <c r="N64" s="87"/>
      <c r="O64" s="71"/>
    </row>
    <row r="65" spans="1:15" ht="27.75" x14ac:dyDescent="0.5">
      <c r="A65" s="771" t="s">
        <v>201</v>
      </c>
      <c r="B65" s="772"/>
      <c r="C65" s="773"/>
      <c r="D65" s="151" t="s">
        <v>142</v>
      </c>
      <c r="E65" s="95">
        <f>'21'!F65</f>
        <v>421019</v>
      </c>
      <c r="F65" s="122">
        <v>421019</v>
      </c>
      <c r="G65" s="112">
        <f t="shared" ref="G65:G70" si="6">F65-E65</f>
        <v>0</v>
      </c>
      <c r="H65" s="99">
        <f>G65+'21'!H65</f>
        <v>-6100</v>
      </c>
      <c r="I65" s="118"/>
      <c r="J65" s="175">
        <f>H65/DAY(B2)</f>
        <v>-277.27272727272725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'21'!F66</f>
        <v>104636</v>
      </c>
      <c r="F66" s="122">
        <v>104636</v>
      </c>
      <c r="G66" s="112">
        <f t="shared" si="6"/>
        <v>0</v>
      </c>
      <c r="H66" s="99">
        <f>G66+'21'!H66</f>
        <v>-1732</v>
      </c>
      <c r="I66" s="118"/>
      <c r="J66" s="175">
        <f>H66/DAY(B2)</f>
        <v>-78.727272727272734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'21'!F67</f>
        <v>100370</v>
      </c>
      <c r="F67" s="122">
        <v>100370</v>
      </c>
      <c r="G67" s="112">
        <f t="shared" si="6"/>
        <v>0</v>
      </c>
      <c r="H67" s="99">
        <f>G67+'21'!H67</f>
        <v>-2308</v>
      </c>
      <c r="I67" s="118"/>
      <c r="J67" s="175">
        <f>H67/DAY(B2)</f>
        <v>-104.90909090909091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'21'!F68</f>
        <v>152135</v>
      </c>
      <c r="F68" s="122">
        <v>152135</v>
      </c>
      <c r="G68" s="112">
        <f t="shared" si="6"/>
        <v>0</v>
      </c>
      <c r="H68" s="99">
        <f>G68+'21'!H68</f>
        <v>-2715</v>
      </c>
      <c r="I68" s="118"/>
      <c r="J68" s="175">
        <f>H68/DAY(B2)</f>
        <v>-123.40909090909091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'21'!F69</f>
        <v>8645</v>
      </c>
      <c r="F69" s="122">
        <v>8645</v>
      </c>
      <c r="G69" s="112">
        <f t="shared" si="6"/>
        <v>0</v>
      </c>
      <c r="H69" s="99">
        <f>G69+'21'!H69</f>
        <v>-1032</v>
      </c>
      <c r="I69" s="118"/>
      <c r="J69" s="175">
        <f>H69/DAY(B2)</f>
        <v>-46.909090909090907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'21'!F70</f>
        <v>6373</v>
      </c>
      <c r="F70" s="122">
        <v>6373</v>
      </c>
      <c r="G70" s="112">
        <f t="shared" si="6"/>
        <v>0</v>
      </c>
      <c r="H70" s="99">
        <f>G70+'21'!H70</f>
        <v>-1059</v>
      </c>
      <c r="I70" s="118"/>
      <c r="J70" s="175">
        <f>H70/DAY(B2)</f>
        <v>-48.136363636363633</v>
      </c>
      <c r="K70" s="69"/>
      <c r="L70" s="66"/>
      <c r="N70" s="87"/>
      <c r="O70" s="71"/>
    </row>
    <row r="71" spans="1:15" ht="29.25" x14ac:dyDescent="0.5">
      <c r="A71" s="780" t="s">
        <v>208</v>
      </c>
      <c r="B71" s="781"/>
      <c r="C71" s="782"/>
      <c r="D71" s="152"/>
      <c r="E71" s="152"/>
      <c r="F71" s="152"/>
      <c r="G71" s="153">
        <f>SUM(G65:G70)</f>
        <v>0</v>
      </c>
      <c r="H71" s="99">
        <f>G71+'21'!H71</f>
        <v>-14946</v>
      </c>
      <c r="I71" s="154"/>
      <c r="J71" s="175">
        <f>H71/DAY(B2)</f>
        <v>-679.36363636363637</v>
      </c>
      <c r="K71" s="69"/>
      <c r="L71" s="66"/>
      <c r="N71" s="87"/>
      <c r="O71" s="71"/>
    </row>
    <row r="72" spans="1:15" s="88" customFormat="1" ht="27.75" x14ac:dyDescent="0.5">
      <c r="A72" s="767"/>
      <c r="B72" s="752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77" t="s">
        <v>333</v>
      </c>
      <c r="B73" s="778"/>
      <c r="C73" s="779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1" t="s">
        <v>220</v>
      </c>
      <c r="B74" s="772"/>
      <c r="C74" s="773"/>
      <c r="D74" s="151" t="s">
        <v>139</v>
      </c>
      <c r="E74" s="95">
        <f>'21'!F74</f>
        <v>856352</v>
      </c>
      <c r="F74" s="123">
        <v>856352</v>
      </c>
      <c r="G74" s="112">
        <f t="shared" ref="G74:G78" si="7">F74-E74</f>
        <v>0</v>
      </c>
      <c r="H74" s="99">
        <f>G74+'21'!H74</f>
        <v>-21277.869999999995</v>
      </c>
      <c r="I74" s="154"/>
      <c r="J74" s="175">
        <f>H74/DAY(B2)</f>
        <v>-967.17590909090893</v>
      </c>
      <c r="K74" s="69"/>
      <c r="L74" s="66"/>
      <c r="N74" s="87"/>
      <c r="O74" s="71"/>
    </row>
    <row r="75" spans="1:15" ht="27.75" x14ac:dyDescent="0.5">
      <c r="A75" s="771" t="s">
        <v>221</v>
      </c>
      <c r="B75" s="772"/>
      <c r="C75" s="773"/>
      <c r="D75" s="151" t="s">
        <v>139</v>
      </c>
      <c r="E75" s="95">
        <f>'21'!F75</f>
        <v>73583.399999999994</v>
      </c>
      <c r="F75" s="123">
        <v>73583.399999999994</v>
      </c>
      <c r="G75" s="112">
        <f t="shared" si="7"/>
        <v>0</v>
      </c>
      <c r="H75" s="99">
        <f>G75+'21'!H75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68" t="s">
        <v>222</v>
      </c>
      <c r="B76" s="769"/>
      <c r="C76" s="770"/>
      <c r="D76" s="151" t="s">
        <v>139</v>
      </c>
      <c r="E76" s="95">
        <f>'21'!F76</f>
        <v>154077</v>
      </c>
      <c r="F76" s="123">
        <v>154077</v>
      </c>
      <c r="G76" s="112">
        <f t="shared" si="7"/>
        <v>0</v>
      </c>
      <c r="H76" s="99">
        <f>G76+'21'!H76</f>
        <v>-7237.9200000000128</v>
      </c>
      <c r="I76" s="154"/>
      <c r="J76" s="175">
        <f>H76/DAY(B2)</f>
        <v>-328.99636363636421</v>
      </c>
      <c r="K76" s="69"/>
      <c r="L76" s="66"/>
      <c r="N76" s="87"/>
      <c r="O76" s="71"/>
    </row>
    <row r="77" spans="1:15" ht="27.75" x14ac:dyDescent="0.5">
      <c r="A77" s="768" t="s">
        <v>223</v>
      </c>
      <c r="B77" s="769"/>
      <c r="C77" s="770"/>
      <c r="D77" s="151" t="s">
        <v>139</v>
      </c>
      <c r="E77" s="95">
        <f>'21'!F77</f>
        <v>34629</v>
      </c>
      <c r="F77" s="123">
        <v>34629</v>
      </c>
      <c r="G77" s="112">
        <f t="shared" si="7"/>
        <v>0</v>
      </c>
      <c r="H77" s="99">
        <f>G77+'21'!H77</f>
        <v>-3596.8000000000029</v>
      </c>
      <c r="I77" s="154"/>
      <c r="J77" s="175">
        <f>H77/DAY(B2)</f>
        <v>-163.49090909090921</v>
      </c>
      <c r="K77" s="69"/>
      <c r="L77" s="66"/>
      <c r="N77" s="87"/>
      <c r="O77" s="71"/>
    </row>
    <row r="78" spans="1:15" ht="27.75" x14ac:dyDescent="0.5">
      <c r="A78" s="768" t="s">
        <v>224</v>
      </c>
      <c r="B78" s="769"/>
      <c r="C78" s="770"/>
      <c r="D78" s="151" t="s">
        <v>139</v>
      </c>
      <c r="E78" s="95">
        <f>'21'!F78</f>
        <v>9180</v>
      </c>
      <c r="F78" s="123">
        <v>9180</v>
      </c>
      <c r="G78" s="112">
        <f t="shared" si="7"/>
        <v>0</v>
      </c>
      <c r="H78" s="99">
        <f>G78+'21'!H78</f>
        <v>-180.60000000000036</v>
      </c>
      <c r="I78" s="118"/>
      <c r="J78" s="175">
        <f>H78/DAY(B2)</f>
        <v>-8.209090909090925</v>
      </c>
      <c r="K78" s="69"/>
      <c r="L78" s="66"/>
      <c r="N78" s="87"/>
      <c r="O78" s="71"/>
    </row>
    <row r="79" spans="1:15" s="57" customFormat="1" ht="27.75" x14ac:dyDescent="0.5">
      <c r="A79" s="768" t="s">
        <v>225</v>
      </c>
      <c r="B79" s="769"/>
      <c r="C79" s="770"/>
      <c r="D79" s="151"/>
      <c r="E79" s="95">
        <f>'21'!F79</f>
        <v>0</v>
      </c>
      <c r="F79" s="123"/>
      <c r="G79" s="112">
        <f>G15-SUM(G74:G78)</f>
        <v>875</v>
      </c>
      <c r="H79" s="99">
        <f>G79+'21'!H79</f>
        <v>53578.072999999924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0" t="s">
        <v>329</v>
      </c>
      <c r="B80" s="781"/>
      <c r="C80" s="782"/>
      <c r="D80" s="151"/>
      <c r="E80" s="117"/>
      <c r="F80" s="117"/>
      <c r="G80" s="112">
        <f>SUM(G74:G79)</f>
        <v>875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85" t="s">
        <v>226</v>
      </c>
      <c r="B81" s="786"/>
      <c r="C81" s="78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'21'!F82</f>
        <v>0</v>
      </c>
      <c r="F82" s="122"/>
      <c r="G82" s="112">
        <f t="shared" ref="G82:G92" si="8">F82-E82</f>
        <v>0</v>
      </c>
      <c r="H82" s="99">
        <f>G82+'21'!H82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'21'!F83</f>
        <v>0</v>
      </c>
      <c r="F83" s="122"/>
      <c r="G83" s="112">
        <f t="shared" si="8"/>
        <v>0</v>
      </c>
      <c r="H83" s="99">
        <f>G83+'21'!H83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'21'!F84</f>
        <v>40922</v>
      </c>
      <c r="F84" s="164">
        <v>40922</v>
      </c>
      <c r="G84" s="112">
        <f t="shared" si="8"/>
        <v>0</v>
      </c>
      <c r="H84" s="99">
        <f>G84+'21'!H84</f>
        <v>-774.19000000000233</v>
      </c>
      <c r="I84" s="118"/>
      <c r="J84" s="175">
        <f>H84/DAY(B2)</f>
        <v>-35.190454545454649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'21'!F85</f>
        <v>856</v>
      </c>
      <c r="F85" s="164">
        <v>856</v>
      </c>
      <c r="G85" s="112">
        <f t="shared" si="8"/>
        <v>0</v>
      </c>
      <c r="H85" s="99">
        <f>G85+'21'!H85</f>
        <v>-761.45</v>
      </c>
      <c r="I85" s="118">
        <f>G82+G83+G84+G85</f>
        <v>0</v>
      </c>
      <c r="J85" s="175">
        <f>H85/DAY(B2)</f>
        <v>-34.611363636363642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'21'!F86</f>
        <v>42822</v>
      </c>
      <c r="F86" s="164">
        <v>42822</v>
      </c>
      <c r="G86" s="112">
        <f t="shared" si="8"/>
        <v>0</v>
      </c>
      <c r="H86" s="99">
        <f>G86+'21'!H86</f>
        <v>-8.4700000000011642</v>
      </c>
      <c r="I86" s="118"/>
      <c r="J86" s="175">
        <f>H86/DAY(B2)</f>
        <v>-0.38500000000005291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'21'!F87</f>
        <v>32928</v>
      </c>
      <c r="F87" s="164">
        <v>32928</v>
      </c>
      <c r="G87" s="112">
        <f t="shared" si="8"/>
        <v>0</v>
      </c>
      <c r="H87" s="99">
        <f>G87+'21'!H87</f>
        <v>-921.2300000000032</v>
      </c>
      <c r="I87" s="118"/>
      <c r="J87" s="175">
        <f>H87/DAY(B2)</f>
        <v>-41.874090909091052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'21'!F88</f>
        <v>23356.43</v>
      </c>
      <c r="F88" s="164">
        <v>23356.43</v>
      </c>
      <c r="G88" s="112">
        <f t="shared" si="8"/>
        <v>0</v>
      </c>
      <c r="H88" s="99">
        <f>G88+'21'!H88</f>
        <v>-580.34000000000015</v>
      </c>
      <c r="I88" s="118">
        <f>G86+G87+G88</f>
        <v>0</v>
      </c>
      <c r="J88" s="175">
        <f>H88/DAY(B2)</f>
        <v>-26.379090909090916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'21'!F89</f>
        <v>25132.959999999999</v>
      </c>
      <c r="F89" s="164">
        <v>25132.959999999999</v>
      </c>
      <c r="G89" s="112">
        <f t="shared" si="8"/>
        <v>0</v>
      </c>
      <c r="H89" s="99">
        <f>G89+'21'!H89</f>
        <v>-163.57300000000032</v>
      </c>
      <c r="I89" s="118"/>
      <c r="J89" s="175">
        <f>H89/DAY(B2)</f>
        <v>-7.4351363636363779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'21'!F90</f>
        <v>70524.55</v>
      </c>
      <c r="F90" s="164">
        <v>70524.55</v>
      </c>
      <c r="G90" s="112">
        <f t="shared" si="8"/>
        <v>0</v>
      </c>
      <c r="H90" s="99">
        <f>G90+'21'!H90</f>
        <v>-72.10999999998603</v>
      </c>
      <c r="I90" s="118">
        <f>G89+G90</f>
        <v>0</v>
      </c>
      <c r="J90" s="175">
        <f>H90/DAY(B2)</f>
        <v>-3.2777272727266378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'21'!F91</f>
        <v>2627.98</v>
      </c>
      <c r="F91" s="122">
        <v>2627.98</v>
      </c>
      <c r="G91" s="112">
        <f t="shared" si="8"/>
        <v>0</v>
      </c>
      <c r="H91" s="99">
        <f>G91+'21'!H91</f>
        <v>-779.37999999999965</v>
      </c>
      <c r="I91" s="165"/>
      <c r="J91" s="175">
        <f>H91/DAY(B2)</f>
        <v>-35.426363636363618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'21'!F92</f>
        <v>4754</v>
      </c>
      <c r="F92" s="122">
        <v>4754</v>
      </c>
      <c r="G92" s="112">
        <f t="shared" si="8"/>
        <v>0</v>
      </c>
      <c r="H92" s="99">
        <f>G92+'21'!H92</f>
        <v>-8.4600000000000364</v>
      </c>
      <c r="I92" s="165"/>
      <c r="J92" s="175">
        <f>H92/DAY(B2)</f>
        <v>-0.38454545454545619</v>
      </c>
      <c r="O92" s="71"/>
    </row>
    <row r="93" spans="1:15" ht="29.25" x14ac:dyDescent="0.5">
      <c r="A93" s="774" t="s">
        <v>239</v>
      </c>
      <c r="B93" s="775"/>
      <c r="C93" s="77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1" t="s">
        <v>240</v>
      </c>
      <c r="B94" s="772"/>
      <c r="C94" s="773"/>
      <c r="D94" s="151" t="s">
        <v>130</v>
      </c>
      <c r="E94" s="151"/>
      <c r="F94" s="151"/>
      <c r="G94" s="99">
        <f>G35+G43+G49+G57</f>
        <v>0</v>
      </c>
      <c r="H94" s="99">
        <f>G94+'21'!H94</f>
        <v>2532505.96</v>
      </c>
      <c r="I94" s="118"/>
      <c r="J94" s="175">
        <f>H94/DAY(B2)</f>
        <v>115113.90727272727</v>
      </c>
      <c r="K94" s="69"/>
      <c r="L94" s="66"/>
      <c r="O94" s="71"/>
    </row>
    <row r="95" spans="1:15" ht="27.75" x14ac:dyDescent="0.5">
      <c r="A95" s="771" t="s">
        <v>241</v>
      </c>
      <c r="B95" s="772"/>
      <c r="C95" s="773"/>
      <c r="D95" s="151" t="s">
        <v>23</v>
      </c>
      <c r="E95" s="146"/>
      <c r="F95" s="146"/>
      <c r="G95" s="166">
        <f>G94/G7</f>
        <v>0</v>
      </c>
      <c r="H95" s="99">
        <f>G95+'21'!H95</f>
        <v>110.05863639047362</v>
      </c>
      <c r="I95" s="167"/>
      <c r="J95" s="175">
        <f>H95/DAY(B2)</f>
        <v>5.0026652904760738</v>
      </c>
      <c r="K95" s="69"/>
      <c r="L95" s="66"/>
      <c r="O95" s="71"/>
    </row>
    <row r="96" spans="1:15" ht="27.75" x14ac:dyDescent="0.5">
      <c r="A96" s="771" t="s">
        <v>242</v>
      </c>
      <c r="B96" s="772"/>
      <c r="C96" s="773"/>
      <c r="D96" s="151" t="s">
        <v>130</v>
      </c>
      <c r="E96" s="95"/>
      <c r="F96" s="95"/>
      <c r="G96" s="99">
        <f>G41+G42+G55+G56</f>
        <v>0</v>
      </c>
      <c r="H96" s="99">
        <f>G96+'21'!H96</f>
        <v>-535950.2100000002</v>
      </c>
      <c r="I96" s="118"/>
      <c r="J96" s="175">
        <f>H96/DAY(B2)</f>
        <v>-24361.373181818191</v>
      </c>
      <c r="K96" s="69"/>
      <c r="L96" s="66"/>
      <c r="O96" s="71"/>
    </row>
    <row r="97" spans="1:15" ht="27.75" x14ac:dyDescent="0.5">
      <c r="A97" s="771" t="s">
        <v>243</v>
      </c>
      <c r="B97" s="772"/>
      <c r="C97" s="773"/>
      <c r="D97" s="151" t="s">
        <v>23</v>
      </c>
      <c r="E97" s="95"/>
      <c r="F97" s="95"/>
      <c r="G97" s="166">
        <f>G96/G7</f>
        <v>0</v>
      </c>
      <c r="H97" s="99">
        <f>G97+'21'!H97</f>
        <v>-23.376968076147254</v>
      </c>
      <c r="I97" s="167"/>
      <c r="J97" s="175">
        <f>H97/DAY(B2)</f>
        <v>-1.0625894580066932</v>
      </c>
      <c r="K97" s="69"/>
      <c r="L97" s="66"/>
      <c r="O97" s="71"/>
    </row>
    <row r="98" spans="1:15" ht="27.75" x14ac:dyDescent="0.5">
      <c r="A98" s="771" t="s">
        <v>244</v>
      </c>
      <c r="B98" s="772"/>
      <c r="C98" s="773"/>
      <c r="D98" s="151" t="s">
        <v>130</v>
      </c>
      <c r="E98" s="95"/>
      <c r="F98" s="95"/>
      <c r="G98" s="99">
        <f>G39+G53</f>
        <v>0</v>
      </c>
      <c r="H98" s="99">
        <f>G98+'21'!H98</f>
        <v>1826698.97</v>
      </c>
      <c r="I98" s="168"/>
      <c r="J98" s="175">
        <f>H98/DAY(B2)</f>
        <v>83031.771363636362</v>
      </c>
      <c r="K98" s="69"/>
      <c r="L98" s="66"/>
      <c r="O98" s="71"/>
    </row>
    <row r="99" spans="1:15" ht="27.75" x14ac:dyDescent="0.5">
      <c r="A99" s="771" t="s">
        <v>245</v>
      </c>
      <c r="B99" s="772"/>
      <c r="C99" s="773"/>
      <c r="D99" s="151" t="s">
        <v>23</v>
      </c>
      <c r="E99" s="95"/>
      <c r="F99" s="95"/>
      <c r="G99" s="166">
        <f>G98/G7</f>
        <v>0</v>
      </c>
      <c r="H99" s="99">
        <f>G99+'21'!H99</f>
        <v>79.385711690839827</v>
      </c>
      <c r="I99" s="168"/>
      <c r="J99" s="175">
        <f>H99/DAY(B2)</f>
        <v>3.6084414404927192</v>
      </c>
      <c r="O99" s="71"/>
    </row>
    <row r="100" spans="1:15" ht="27.75" x14ac:dyDescent="0.5">
      <c r="A100" s="771" t="s">
        <v>246</v>
      </c>
      <c r="B100" s="772"/>
      <c r="C100" s="773"/>
      <c r="D100" s="151" t="s">
        <v>180</v>
      </c>
      <c r="E100" s="95"/>
      <c r="F100" s="95"/>
      <c r="G100" s="99">
        <f>G38+G52</f>
        <v>0</v>
      </c>
      <c r="H100" s="99">
        <f>G100+'21'!H100</f>
        <v>942134.4</v>
      </c>
      <c r="I100" s="118"/>
      <c r="J100" s="175">
        <f>H100/DAY(B2)</f>
        <v>42824.290909090909</v>
      </c>
      <c r="K100" s="70"/>
      <c r="O100" s="71"/>
    </row>
    <row r="101" spans="1:15" ht="27.75" x14ac:dyDescent="0.5">
      <c r="A101" s="771" t="s">
        <v>247</v>
      </c>
      <c r="B101" s="772"/>
      <c r="C101" s="773"/>
      <c r="D101" s="151" t="s">
        <v>23</v>
      </c>
      <c r="E101" s="95"/>
      <c r="F101" s="95"/>
      <c r="G101" s="166">
        <f>G100/G7</f>
        <v>0</v>
      </c>
      <c r="H101" s="99">
        <f>G101+'21'!H101</f>
        <v>40.946365636236884</v>
      </c>
      <c r="I101" s="168"/>
      <c r="J101" s="175">
        <f>H101/DAY(B2)</f>
        <v>1.8611984380107673</v>
      </c>
      <c r="O101" s="71"/>
    </row>
    <row r="102" spans="1:15" ht="27.75" x14ac:dyDescent="0.5">
      <c r="A102" s="771" t="s">
        <v>248</v>
      </c>
      <c r="B102" s="772"/>
      <c r="C102" s="773"/>
      <c r="D102" s="151" t="s">
        <v>180</v>
      </c>
      <c r="E102" s="95"/>
      <c r="F102" s="95"/>
      <c r="G102" s="99">
        <f>G36+G50</f>
        <v>0</v>
      </c>
      <c r="H102" s="99">
        <f>G102+'21'!H102</f>
        <v>-150960.04999999996</v>
      </c>
      <c r="I102" s="168"/>
      <c r="J102" s="175">
        <f>H102/DAY(B2)</f>
        <v>-6861.8204545454528</v>
      </c>
      <c r="O102" s="71"/>
    </row>
    <row r="103" spans="1:15" ht="27.75" x14ac:dyDescent="0.5">
      <c r="A103" s="771" t="s">
        <v>249</v>
      </c>
      <c r="B103" s="772"/>
      <c r="C103" s="773"/>
      <c r="D103" s="151" t="s">
        <v>23</v>
      </c>
      <c r="E103" s="95"/>
      <c r="F103" s="95"/>
      <c r="G103" s="166">
        <f>G102/G7</f>
        <v>0</v>
      </c>
      <c r="H103" s="99">
        <f>G103+'21'!H103</f>
        <v>-6.5833689420489332</v>
      </c>
      <c r="I103" s="118"/>
      <c r="J103" s="175">
        <f>H103/DAY(B2)</f>
        <v>-0.29924404282040606</v>
      </c>
      <c r="O103" s="71"/>
    </row>
    <row r="104" spans="1:15" ht="27.75" x14ac:dyDescent="0.5">
      <c r="A104" s="771" t="s">
        <v>250</v>
      </c>
      <c r="B104" s="772"/>
      <c r="C104" s="773"/>
      <c r="D104" s="151" t="s">
        <v>180</v>
      </c>
      <c r="E104" s="95"/>
      <c r="F104" s="95"/>
      <c r="G104" s="99">
        <f>G37+G51</f>
        <v>0</v>
      </c>
      <c r="H104" s="99">
        <f>G104+'21'!H104</f>
        <v>157413.13</v>
      </c>
      <c r="I104" s="118"/>
      <c r="J104" s="175">
        <f>H104/DAY(B2)</f>
        <v>7155.1422727272729</v>
      </c>
      <c r="O104" s="71"/>
    </row>
    <row r="105" spans="1:15" ht="28.5" thickBot="1" x14ac:dyDescent="0.55000000000000004">
      <c r="A105" s="764" t="s">
        <v>251</v>
      </c>
      <c r="B105" s="765"/>
      <c r="C105" s="766"/>
      <c r="D105" s="231" t="s">
        <v>23</v>
      </c>
      <c r="E105" s="185"/>
      <c r="F105" s="185"/>
      <c r="G105" s="186">
        <f>G104/G7</f>
        <v>0</v>
      </c>
      <c r="H105" s="99">
        <f>G105+'21'!H105</f>
        <v>6.8301240046325189</v>
      </c>
      <c r="I105" s="187"/>
      <c r="J105" s="188">
        <f>H105/DAY(B2)</f>
        <v>0.31046018202875086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0" t="s">
        <v>324</v>
      </c>
      <c r="B108" s="760"/>
      <c r="C108" s="760"/>
      <c r="D108" s="760"/>
      <c r="E108" s="760"/>
      <c r="F108" s="760"/>
      <c r="G108" s="760"/>
      <c r="H108" s="760"/>
      <c r="I108" s="760"/>
      <c r="J108" s="760"/>
    </row>
    <row r="109" spans="1:15" ht="29.25" x14ac:dyDescent="0.5">
      <c r="A109" s="788"/>
      <c r="B109" s="788"/>
    </row>
    <row r="110" spans="1:15" ht="29.25" x14ac:dyDescent="0.5">
      <c r="A110" s="761" t="s">
        <v>165</v>
      </c>
      <c r="B110" s="762"/>
      <c r="C110" s="762"/>
      <c r="D110" s="762"/>
      <c r="E110" s="762"/>
      <c r="F110" s="762"/>
      <c r="G110" s="762"/>
      <c r="H110" s="762"/>
      <c r="I110" s="762"/>
      <c r="J110" s="763"/>
    </row>
    <row r="111" spans="1:15" ht="27.75" x14ac:dyDescent="0.5">
      <c r="A111" s="753"/>
      <c r="B111" s="754"/>
      <c r="C111" s="755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0" t="s">
        <v>252</v>
      </c>
      <c r="B112" s="751"/>
      <c r="C112" s="752"/>
      <c r="D112" s="146" t="s">
        <v>183</v>
      </c>
      <c r="E112" s="95">
        <f>'21'!F112</f>
        <v>38434</v>
      </c>
      <c r="F112" s="237">
        <v>38434</v>
      </c>
      <c r="G112" s="112">
        <f t="shared" ref="G112:G123" si="9">F112-E112</f>
        <v>0</v>
      </c>
      <c r="H112" s="99">
        <f>G112+'21'!H112</f>
        <v>-21107.82</v>
      </c>
      <c r="I112" s="165"/>
      <c r="J112" s="348">
        <f>H112/DAY(B2)</f>
        <v>-959.44636363636357</v>
      </c>
    </row>
    <row r="113" spans="1:18" ht="29.25" customHeight="1" x14ac:dyDescent="0.5">
      <c r="A113" s="750" t="s">
        <v>253</v>
      </c>
      <c r="B113" s="751"/>
      <c r="C113" s="752"/>
      <c r="D113" s="146" t="s">
        <v>183</v>
      </c>
      <c r="E113" s="95">
        <f>'21'!F113</f>
        <v>94790</v>
      </c>
      <c r="F113" s="237">
        <v>94790</v>
      </c>
      <c r="G113" s="112">
        <f t="shared" si="9"/>
        <v>0</v>
      </c>
      <c r="H113" s="99">
        <f>G113+'21'!H113</f>
        <v>-119257.45000000001</v>
      </c>
      <c r="I113" s="165"/>
      <c r="J113" s="348">
        <f>H113/DAY(B2)</f>
        <v>-5420.7931818181823</v>
      </c>
    </row>
    <row r="114" spans="1:18" ht="29.25" customHeight="1" x14ac:dyDescent="0.5">
      <c r="A114" s="750" t="s">
        <v>254</v>
      </c>
      <c r="B114" s="751"/>
      <c r="C114" s="752"/>
      <c r="D114" s="146" t="s">
        <v>183</v>
      </c>
      <c r="E114" s="95">
        <f>'21'!F114</f>
        <v>44933</v>
      </c>
      <c r="F114" s="237">
        <v>44933</v>
      </c>
      <c r="G114" s="112">
        <f t="shared" si="9"/>
        <v>0</v>
      </c>
      <c r="H114" s="99">
        <f>G114+'21'!H114</f>
        <v>92743.9</v>
      </c>
      <c r="I114" s="165"/>
      <c r="J114" s="348">
        <f>H114/DAY(B2)</f>
        <v>4215.6318181818178</v>
      </c>
    </row>
    <row r="115" spans="1:18" ht="29.25" customHeight="1" x14ac:dyDescent="0.5">
      <c r="A115" s="750" t="s">
        <v>255</v>
      </c>
      <c r="B115" s="751"/>
      <c r="C115" s="752"/>
      <c r="D115" s="146" t="s">
        <v>183</v>
      </c>
      <c r="E115" s="95">
        <f>'21'!F115</f>
        <v>6560</v>
      </c>
      <c r="F115" s="237">
        <v>6560</v>
      </c>
      <c r="G115" s="112">
        <f t="shared" si="9"/>
        <v>0</v>
      </c>
      <c r="H115" s="99">
        <f>G115+'21'!H115</f>
        <v>-2561.4399999999996</v>
      </c>
      <c r="I115" s="165"/>
      <c r="J115" s="348">
        <f>H115/DAY(B2)</f>
        <v>-116.42909090909089</v>
      </c>
    </row>
    <row r="116" spans="1:18" ht="29.25" customHeight="1" x14ac:dyDescent="0.5">
      <c r="A116" s="757" t="s">
        <v>96</v>
      </c>
      <c r="B116" s="758"/>
      <c r="C116" s="759"/>
      <c r="D116" s="146" t="s">
        <v>183</v>
      </c>
      <c r="E116" s="95">
        <f>'21'!F116</f>
        <v>44933</v>
      </c>
      <c r="F116" s="237">
        <v>44933</v>
      </c>
      <c r="G116" s="112">
        <f t="shared" si="9"/>
        <v>0</v>
      </c>
      <c r="H116" s="99">
        <f>G116+'21'!H116</f>
        <v>89866</v>
      </c>
      <c r="I116" s="165"/>
      <c r="J116" s="348">
        <f>H116/DAY(B2)</f>
        <v>4084.818181818182</v>
      </c>
      <c r="Q116" s="750"/>
      <c r="R116" s="752"/>
    </row>
    <row r="117" spans="1:18" ht="29.25" customHeight="1" x14ac:dyDescent="0.5">
      <c r="A117" s="757" t="s">
        <v>184</v>
      </c>
      <c r="B117" s="758"/>
      <c r="C117" s="759"/>
      <c r="D117" s="146" t="s">
        <v>183</v>
      </c>
      <c r="E117" s="95">
        <f>'21'!F117</f>
        <v>44933</v>
      </c>
      <c r="F117" s="237">
        <v>44933</v>
      </c>
      <c r="G117" s="112">
        <f t="shared" si="9"/>
        <v>0</v>
      </c>
      <c r="H117" s="99">
        <f>G117+'21'!H117</f>
        <v>88625.98000000001</v>
      </c>
      <c r="I117" s="165"/>
      <c r="J117" s="348">
        <f>H117/DAY(B2)</f>
        <v>4028.4536363636366</v>
      </c>
      <c r="Q117" s="750"/>
      <c r="R117" s="752"/>
    </row>
    <row r="118" spans="1:18" ht="27.75" x14ac:dyDescent="0.5">
      <c r="A118" s="749" t="s">
        <v>97</v>
      </c>
      <c r="B118" s="749"/>
      <c r="C118" s="749"/>
      <c r="D118" s="151" t="s">
        <v>183</v>
      </c>
      <c r="E118" s="95">
        <f>'21'!F118</f>
        <v>44933</v>
      </c>
      <c r="F118" s="237">
        <v>44933</v>
      </c>
      <c r="G118" s="112">
        <f t="shared" si="9"/>
        <v>0</v>
      </c>
      <c r="H118" s="99">
        <f>G118+'21'!H118</f>
        <v>-330033.39</v>
      </c>
      <c r="I118" s="165"/>
      <c r="J118" s="348">
        <f>H118/DAY(B2)</f>
        <v>-15001.517727272729</v>
      </c>
      <c r="Q118" s="750"/>
      <c r="R118" s="752"/>
    </row>
    <row r="119" spans="1:18" ht="27.75" x14ac:dyDescent="0.5">
      <c r="A119" s="749" t="s">
        <v>98</v>
      </c>
      <c r="B119" s="749"/>
      <c r="C119" s="749"/>
      <c r="D119" s="151" t="s">
        <v>183</v>
      </c>
      <c r="E119" s="95">
        <f>'21'!F119</f>
        <v>44933</v>
      </c>
      <c r="F119" s="237">
        <v>44933</v>
      </c>
      <c r="G119" s="112">
        <f t="shared" si="9"/>
        <v>0</v>
      </c>
      <c r="H119" s="99">
        <f>G119+'21'!H119</f>
        <v>-329315.05</v>
      </c>
      <c r="I119" s="165"/>
      <c r="J119" s="348">
        <f>H119/DAY(B2)</f>
        <v>-14968.865909090908</v>
      </c>
    </row>
    <row r="120" spans="1:18" ht="27.75" x14ac:dyDescent="0.5">
      <c r="A120" s="749" t="s">
        <v>99</v>
      </c>
      <c r="B120" s="749"/>
      <c r="C120" s="749"/>
      <c r="D120" s="151" t="s">
        <v>183</v>
      </c>
      <c r="E120" s="95">
        <f>'21'!F120</f>
        <v>44933</v>
      </c>
      <c r="F120" s="237">
        <v>44933</v>
      </c>
      <c r="G120" s="112">
        <f t="shared" si="9"/>
        <v>0</v>
      </c>
      <c r="H120" s="99">
        <f>G120+'21'!H120</f>
        <v>71927.510000000009</v>
      </c>
      <c r="I120" s="165"/>
      <c r="J120" s="348">
        <f>H120/DAY(B2)</f>
        <v>3269.4322727272734</v>
      </c>
    </row>
    <row r="121" spans="1:18" ht="27.75" x14ac:dyDescent="0.5">
      <c r="A121" s="749" t="s">
        <v>100</v>
      </c>
      <c r="B121" s="749"/>
      <c r="C121" s="749"/>
      <c r="D121" s="151" t="s">
        <v>183</v>
      </c>
      <c r="E121" s="95">
        <f>'21'!F121</f>
        <v>44933</v>
      </c>
      <c r="F121" s="237">
        <v>44933</v>
      </c>
      <c r="G121" s="112">
        <f t="shared" si="9"/>
        <v>0</v>
      </c>
      <c r="H121" s="99">
        <f>G121+'21'!H121</f>
        <v>-541106.63</v>
      </c>
      <c r="I121" s="165"/>
      <c r="J121" s="348">
        <f>H121/DAY(B2)</f>
        <v>-24595.755909090909</v>
      </c>
    </row>
    <row r="122" spans="1:18" ht="27.75" x14ac:dyDescent="0.5">
      <c r="A122" s="749" t="s">
        <v>101</v>
      </c>
      <c r="B122" s="749"/>
      <c r="C122" s="749"/>
      <c r="D122" s="151" t="s">
        <v>183</v>
      </c>
      <c r="E122" s="95">
        <f>'21'!F122</f>
        <v>44933</v>
      </c>
      <c r="F122" s="237">
        <v>44933</v>
      </c>
      <c r="G122" s="112">
        <f t="shared" si="9"/>
        <v>0</v>
      </c>
      <c r="H122" s="99">
        <f>G122+'21'!H122</f>
        <v>-98745.64</v>
      </c>
      <c r="I122" s="165"/>
      <c r="J122" s="348">
        <f>H122/DAY(B2)</f>
        <v>-4488.4381818181819</v>
      </c>
    </row>
    <row r="123" spans="1:18" ht="27.75" x14ac:dyDescent="0.5">
      <c r="A123" s="749" t="s">
        <v>102</v>
      </c>
      <c r="B123" s="749"/>
      <c r="C123" s="749"/>
      <c r="D123" s="151" t="s">
        <v>183</v>
      </c>
      <c r="E123" s="95">
        <f>'21'!F123</f>
        <v>44933</v>
      </c>
      <c r="F123" s="237">
        <v>44933</v>
      </c>
      <c r="G123" s="112">
        <f t="shared" si="9"/>
        <v>0</v>
      </c>
      <c r="H123" s="99">
        <f>G123+'21'!H123</f>
        <v>-146917.34</v>
      </c>
      <c r="I123" s="165"/>
      <c r="J123" s="348">
        <f>H123/DAY(B2)</f>
        <v>-6678.0609090909093</v>
      </c>
    </row>
    <row r="124" spans="1:18" ht="29.25" customHeight="1" x14ac:dyDescent="0.5">
      <c r="A124" s="753"/>
      <c r="B124" s="754"/>
      <c r="C124" s="755"/>
      <c r="D124" s="165"/>
      <c r="E124" s="95">
        <f>'21'!F124</f>
        <v>0</v>
      </c>
      <c r="F124" s="165"/>
      <c r="G124" s="347"/>
      <c r="H124" s="99">
        <f>G124+'21'!H124</f>
        <v>0</v>
      </c>
      <c r="I124" s="165"/>
      <c r="J124" s="347"/>
    </row>
    <row r="125" spans="1:18" ht="27.75" x14ac:dyDescent="0.5">
      <c r="A125" s="737"/>
      <c r="B125" s="737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56" t="s">
        <v>317</v>
      </c>
      <c r="B126" s="756"/>
      <c r="C126" s="756"/>
      <c r="D126" s="756"/>
      <c r="E126" s="756"/>
      <c r="F126" s="756"/>
      <c r="G126" s="756"/>
      <c r="H126" s="756"/>
      <c r="I126" s="756"/>
      <c r="J126" s="756"/>
    </row>
    <row r="127" spans="1:18" ht="27.75" x14ac:dyDescent="0.5">
      <c r="A127" s="737"/>
      <c r="B127" s="737"/>
      <c r="C127" s="246"/>
      <c r="D127" s="317"/>
      <c r="E127" s="318"/>
      <c r="F127" s="318"/>
      <c r="G127" s="319"/>
      <c r="H127" s="99">
        <f>G127+'21'!H127</f>
        <v>0</v>
      </c>
      <c r="I127" s="165"/>
      <c r="J127" s="348">
        <f>H127/DAY(B2)</f>
        <v>0</v>
      </c>
    </row>
    <row r="128" spans="1:18" ht="29.25" customHeight="1" x14ac:dyDescent="0.5">
      <c r="A128" s="750" t="s">
        <v>318</v>
      </c>
      <c r="B128" s="751"/>
      <c r="C128" s="752"/>
      <c r="D128" s="151" t="s">
        <v>183</v>
      </c>
      <c r="E128" s="95">
        <f>'21'!F128</f>
        <v>0</v>
      </c>
      <c r="F128" s="165"/>
      <c r="G128" s="112">
        <f t="shared" ref="G128:G134" si="10">F128-E128</f>
        <v>0</v>
      </c>
      <c r="H128" s="99">
        <f>G128+'21'!H128</f>
        <v>-20837.400000000001</v>
      </c>
      <c r="I128" s="165"/>
      <c r="J128" s="348">
        <f>H128/DAY(B2)</f>
        <v>-947.15454545454554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'21'!F129</f>
        <v>0</v>
      </c>
      <c r="F129" s="165"/>
      <c r="G129" s="112">
        <f t="shared" si="10"/>
        <v>0</v>
      </c>
      <c r="H129" s="99">
        <f>G129+'21'!H129</f>
        <v>-3767.84</v>
      </c>
      <c r="I129" s="165"/>
      <c r="J129" s="348">
        <f>H129/DAY(B2)</f>
        <v>-171.26545454545456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'21'!F130</f>
        <v>0</v>
      </c>
      <c r="F130" s="165"/>
      <c r="G130" s="112">
        <f t="shared" si="10"/>
        <v>0</v>
      </c>
      <c r="H130" s="99">
        <f>G130+'21'!H130</f>
        <v>-4439.2299999999996</v>
      </c>
      <c r="I130" s="165"/>
      <c r="J130" s="348">
        <f>H130/DAY(B2)</f>
        <v>-201.78318181818179</v>
      </c>
      <c r="N130" s="240"/>
      <c r="O130" s="241"/>
    </row>
    <row r="131" spans="1:15" ht="27.75" x14ac:dyDescent="0.5">
      <c r="A131" s="750" t="s">
        <v>321</v>
      </c>
      <c r="B131" s="751"/>
      <c r="C131" s="752"/>
      <c r="D131" s="151" t="s">
        <v>183</v>
      </c>
      <c r="E131" s="95">
        <f>'21'!F131</f>
        <v>0</v>
      </c>
      <c r="F131" s="165"/>
      <c r="G131" s="112">
        <f t="shared" si="10"/>
        <v>0</v>
      </c>
      <c r="H131" s="99">
        <f>G131+'21'!H131</f>
        <v>-2311.35</v>
      </c>
      <c r="I131" s="165"/>
      <c r="J131" s="348">
        <f>H131/DAY(B2)</f>
        <v>-105.06136363636364</v>
      </c>
      <c r="N131" s="240"/>
      <c r="O131" s="241"/>
    </row>
    <row r="132" spans="1:15" ht="27.75" x14ac:dyDescent="0.5">
      <c r="A132" s="750" t="s">
        <v>322</v>
      </c>
      <c r="B132" s="751"/>
      <c r="C132" s="752"/>
      <c r="D132" s="151" t="s">
        <v>183</v>
      </c>
      <c r="E132" s="95">
        <f>'21'!F132</f>
        <v>0</v>
      </c>
      <c r="F132" s="165"/>
      <c r="G132" s="112">
        <f t="shared" si="10"/>
        <v>0</v>
      </c>
      <c r="H132" s="99">
        <f>G132+'21'!H132</f>
        <v>-7246.7</v>
      </c>
      <c r="I132" s="165"/>
      <c r="J132" s="348">
        <f>H132/DAY(B2)</f>
        <v>-329.39545454545453</v>
      </c>
    </row>
    <row r="133" spans="1:15" ht="27.75" x14ac:dyDescent="0.5">
      <c r="A133" s="750" t="s">
        <v>323</v>
      </c>
      <c r="B133" s="751"/>
      <c r="C133" s="752"/>
      <c r="D133" s="151" t="s">
        <v>183</v>
      </c>
      <c r="E133" s="95">
        <f>'21'!F133</f>
        <v>0</v>
      </c>
      <c r="F133" s="165"/>
      <c r="G133" s="112">
        <f t="shared" si="10"/>
        <v>0</v>
      </c>
      <c r="H133" s="99">
        <f>G133+'21'!H133</f>
        <v>-45947.5</v>
      </c>
      <c r="I133" s="165"/>
      <c r="J133" s="348">
        <f>H133/DAY(B2)</f>
        <v>-2088.5227272727275</v>
      </c>
    </row>
    <row r="134" spans="1:15" ht="27.75" x14ac:dyDescent="0.5">
      <c r="A134" s="750" t="s">
        <v>340</v>
      </c>
      <c r="B134" s="751"/>
      <c r="C134" s="752"/>
      <c r="D134" s="151" t="s">
        <v>183</v>
      </c>
      <c r="E134" s="95">
        <f>'21'!F134</f>
        <v>0</v>
      </c>
      <c r="F134" s="165"/>
      <c r="G134" s="112">
        <f t="shared" si="10"/>
        <v>0</v>
      </c>
      <c r="H134" s="99">
        <f>G134+'21'!H134</f>
        <v>-1237706</v>
      </c>
      <c r="I134" s="165"/>
      <c r="J134" s="348">
        <f>H134/DAY(B2)</f>
        <v>-56259.36363636364</v>
      </c>
    </row>
    <row r="135" spans="1:15" ht="27.75" x14ac:dyDescent="0.5">
      <c r="A135" s="753"/>
      <c r="B135" s="754"/>
      <c r="C135" s="755"/>
      <c r="D135" s="151"/>
      <c r="E135" s="95"/>
      <c r="F135" s="165"/>
      <c r="G135" s="112"/>
      <c r="H135" s="99">
        <f>G135+'10'!H135</f>
        <v>5534.2300000000005</v>
      </c>
      <c r="I135" s="165"/>
      <c r="J135" s="348"/>
    </row>
    <row r="136" spans="1:15" ht="31.5" x14ac:dyDescent="0.55000000000000004">
      <c r="A136" s="736" t="s">
        <v>325</v>
      </c>
      <c r="B136" s="736"/>
      <c r="C136" s="736"/>
      <c r="D136" s="736"/>
      <c r="E136" s="736"/>
      <c r="F136" s="736"/>
      <c r="G136" s="736"/>
      <c r="H136" s="736"/>
      <c r="I136" s="736"/>
      <c r="J136" s="736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49" t="s">
        <v>185</v>
      </c>
      <c r="B138" s="749"/>
      <c r="C138" s="749"/>
      <c r="D138" s="151" t="s">
        <v>183</v>
      </c>
      <c r="E138" s="95">
        <f>'21'!F138</f>
        <v>857022</v>
      </c>
      <c r="F138" s="147">
        <v>857022</v>
      </c>
      <c r="G138" s="112">
        <f t="shared" ref="G138:G152" si="11">F138-E138</f>
        <v>0</v>
      </c>
      <c r="H138" s="99">
        <f>G138+'21'!H138</f>
        <v>-2046</v>
      </c>
      <c r="I138" s="118"/>
      <c r="J138" s="348">
        <f>H138/DAY(B2)</f>
        <v>-93</v>
      </c>
    </row>
    <row r="139" spans="1:15" ht="27.75" x14ac:dyDescent="0.5">
      <c r="A139" s="749" t="s">
        <v>186</v>
      </c>
      <c r="B139" s="749"/>
      <c r="C139" s="749"/>
      <c r="D139" s="151" t="s">
        <v>183</v>
      </c>
      <c r="E139" s="95">
        <f>'21'!F139</f>
        <v>886051</v>
      </c>
      <c r="F139" s="148">
        <v>886051</v>
      </c>
      <c r="G139" s="112">
        <f t="shared" si="11"/>
        <v>0</v>
      </c>
      <c r="H139" s="99">
        <f>G139+'21'!H139</f>
        <v>-33</v>
      </c>
      <c r="I139" s="118"/>
      <c r="J139" s="348">
        <f>H139/DAY(B2)</f>
        <v>-1.5</v>
      </c>
    </row>
    <row r="140" spans="1:15" ht="27.75" x14ac:dyDescent="0.5">
      <c r="A140" s="749" t="s">
        <v>187</v>
      </c>
      <c r="B140" s="749"/>
      <c r="C140" s="749"/>
      <c r="D140" s="151" t="s">
        <v>183</v>
      </c>
      <c r="E140" s="95">
        <f>'21'!F140</f>
        <v>88776</v>
      </c>
      <c r="F140" s="149">
        <v>88776</v>
      </c>
      <c r="G140" s="112">
        <f t="shared" si="11"/>
        <v>0</v>
      </c>
      <c r="H140" s="99">
        <f>G140+'21'!H140</f>
        <v>-47.100000000005821</v>
      </c>
      <c r="I140" s="118"/>
      <c r="J140" s="348">
        <f>H140/DAY(B2)</f>
        <v>-2.1409090909093553</v>
      </c>
    </row>
    <row r="141" spans="1:15" ht="27.75" x14ac:dyDescent="0.5">
      <c r="A141" s="728" t="s">
        <v>188</v>
      </c>
      <c r="B141" s="728"/>
      <c r="C141" s="728"/>
      <c r="D141" s="151" t="s">
        <v>183</v>
      </c>
      <c r="E141" s="95">
        <f>'21'!F141</f>
        <v>26308</v>
      </c>
      <c r="F141" s="149">
        <v>26308</v>
      </c>
      <c r="G141" s="112">
        <f t="shared" si="11"/>
        <v>0</v>
      </c>
      <c r="H141" s="99">
        <f>G141+'21'!H141</f>
        <v>-13573.5</v>
      </c>
      <c r="I141" s="118"/>
      <c r="J141" s="348">
        <f>H141/DAY(B2)</f>
        <v>-616.97727272727275</v>
      </c>
    </row>
    <row r="142" spans="1:15" ht="27.75" x14ac:dyDescent="0.5">
      <c r="A142" s="728" t="s">
        <v>189</v>
      </c>
      <c r="B142" s="728"/>
      <c r="C142" s="728"/>
      <c r="D142" s="151" t="s">
        <v>183</v>
      </c>
      <c r="E142" s="95">
        <f>'21'!F142</f>
        <v>13277</v>
      </c>
      <c r="F142" s="148">
        <v>13277</v>
      </c>
      <c r="G142" s="112">
        <f t="shared" si="11"/>
        <v>0</v>
      </c>
      <c r="H142" s="99">
        <f>G142+'21'!H142</f>
        <v>-5306.2999999999993</v>
      </c>
      <c r="I142" s="140"/>
      <c r="J142" s="348">
        <f>H142/DAY(B2)</f>
        <v>-241.19545454545451</v>
      </c>
    </row>
    <row r="143" spans="1:15" ht="27.75" x14ac:dyDescent="0.5">
      <c r="A143" s="749" t="s">
        <v>91</v>
      </c>
      <c r="B143" s="749"/>
      <c r="C143" s="749"/>
      <c r="D143" s="151" t="s">
        <v>183</v>
      </c>
      <c r="E143" s="95">
        <f>'21'!F143</f>
        <v>0</v>
      </c>
      <c r="F143" s="149"/>
      <c r="G143" s="112">
        <f t="shared" si="11"/>
        <v>0</v>
      </c>
      <c r="H143" s="99">
        <f>G143+'21'!H143</f>
        <v>-1531.35</v>
      </c>
      <c r="I143" s="140"/>
      <c r="J143" s="348">
        <f>H143/DAY(B2)</f>
        <v>-69.606818181818184</v>
      </c>
    </row>
    <row r="144" spans="1:15" ht="27.75" x14ac:dyDescent="0.5">
      <c r="A144" s="728" t="s">
        <v>90</v>
      </c>
      <c r="B144" s="728"/>
      <c r="C144" s="728"/>
      <c r="D144" s="151" t="s">
        <v>183</v>
      </c>
      <c r="E144" s="95">
        <f>'21'!F144</f>
        <v>0</v>
      </c>
      <c r="F144" s="149"/>
      <c r="G144" s="112">
        <f t="shared" si="11"/>
        <v>0</v>
      </c>
      <c r="H144" s="99">
        <f>G144+'21'!H144</f>
        <v>-1702947</v>
      </c>
      <c r="I144" s="140"/>
      <c r="J144" s="348">
        <f>H144/DAY(B2)</f>
        <v>-77406.681818181823</v>
      </c>
    </row>
    <row r="145" spans="1:10" ht="27.75" x14ac:dyDescent="0.5">
      <c r="A145" s="749" t="s">
        <v>190</v>
      </c>
      <c r="B145" s="749"/>
      <c r="C145" s="749"/>
      <c r="D145" s="152" t="s">
        <v>183</v>
      </c>
      <c r="E145" s="95">
        <f>'21'!F145</f>
        <v>0</v>
      </c>
      <c r="F145" s="149"/>
      <c r="G145" s="112">
        <f t="shared" si="11"/>
        <v>0</v>
      </c>
      <c r="H145" s="99">
        <f>G145+'21'!H145</f>
        <v>-2618.4</v>
      </c>
      <c r="I145" s="140"/>
      <c r="J145" s="348">
        <f>H145/DAY(B2)</f>
        <v>-119.01818181818182</v>
      </c>
    </row>
    <row r="146" spans="1:10" ht="27.75" x14ac:dyDescent="0.5">
      <c r="A146" s="784" t="s">
        <v>191</v>
      </c>
      <c r="B146" s="769"/>
      <c r="C146" s="770"/>
      <c r="D146" s="152" t="s">
        <v>183</v>
      </c>
      <c r="E146" s="95">
        <f>'21'!F146</f>
        <v>0</v>
      </c>
      <c r="F146" s="148"/>
      <c r="G146" s="112">
        <f t="shared" si="11"/>
        <v>0</v>
      </c>
      <c r="H146" s="99">
        <f>G146+'21'!H146</f>
        <v>-1380251</v>
      </c>
      <c r="I146" s="140"/>
      <c r="J146" s="348">
        <f>H146/DAY(B2)</f>
        <v>-62738.681818181816</v>
      </c>
    </row>
    <row r="147" spans="1:10" ht="27.75" x14ac:dyDescent="0.5">
      <c r="A147" s="728" t="s">
        <v>192</v>
      </c>
      <c r="B147" s="728"/>
      <c r="C147" s="728"/>
      <c r="D147" s="152" t="s">
        <v>183</v>
      </c>
      <c r="E147" s="95">
        <f>'21'!F147</f>
        <v>0</v>
      </c>
      <c r="F147" s="148"/>
      <c r="G147" s="112">
        <f t="shared" si="11"/>
        <v>0</v>
      </c>
      <c r="H147" s="99">
        <f>G147+'21'!H147</f>
        <v>-1159149.72</v>
      </c>
      <c r="I147" s="140"/>
      <c r="J147" s="348">
        <f>H147/DAY(B2)</f>
        <v>-52688.623636363634</v>
      </c>
    </row>
    <row r="148" spans="1:10" ht="27.75" x14ac:dyDescent="0.5">
      <c r="A148" s="729" t="s">
        <v>193</v>
      </c>
      <c r="B148" s="730"/>
      <c r="C148" s="731"/>
      <c r="D148" s="123" t="s">
        <v>130</v>
      </c>
      <c r="E148" s="95">
        <f>'21'!F148</f>
        <v>0</v>
      </c>
      <c r="F148" s="150"/>
      <c r="G148" s="112">
        <f t="shared" si="11"/>
        <v>0</v>
      </c>
      <c r="H148" s="99">
        <f>G148+'21'!H148</f>
        <v>-1320350.54</v>
      </c>
      <c r="I148" s="124"/>
      <c r="J148" s="348">
        <f>H148/DAY(B2)</f>
        <v>-60015.933636363639</v>
      </c>
    </row>
    <row r="149" spans="1:10" ht="27.75" x14ac:dyDescent="0.5">
      <c r="A149" s="729" t="s">
        <v>336</v>
      </c>
      <c r="B149" s="730"/>
      <c r="C149" s="731"/>
      <c r="D149" s="227" t="s">
        <v>130</v>
      </c>
      <c r="E149" s="95">
        <f>'21'!F149</f>
        <v>0</v>
      </c>
      <c r="F149" s="146"/>
      <c r="G149" s="112">
        <f t="shared" si="11"/>
        <v>0</v>
      </c>
      <c r="H149" s="99">
        <f>G149+'21'!H149</f>
        <v>-155505</v>
      </c>
      <c r="I149" s="119"/>
      <c r="J149" s="348">
        <f>H149/DAY(B2)</f>
        <v>-7068.409090909091</v>
      </c>
    </row>
    <row r="150" spans="1:10" ht="27.75" x14ac:dyDescent="0.5">
      <c r="A150" s="729" t="s">
        <v>337</v>
      </c>
      <c r="B150" s="730"/>
      <c r="C150" s="731"/>
      <c r="D150" s="117" t="s">
        <v>130</v>
      </c>
      <c r="E150" s="95">
        <f>'21'!F150</f>
        <v>0</v>
      </c>
      <c r="F150" s="233"/>
      <c r="G150" s="112">
        <f t="shared" si="11"/>
        <v>0</v>
      </c>
      <c r="H150" s="99">
        <f>G150+'21'!H150</f>
        <v>-14334464</v>
      </c>
      <c r="I150" s="119"/>
      <c r="J150" s="348">
        <f>H150/DAY(B2)</f>
        <v>-651566.54545454541</v>
      </c>
    </row>
    <row r="151" spans="1:10" ht="27.75" x14ac:dyDescent="0.5">
      <c r="A151" s="729" t="s">
        <v>338</v>
      </c>
      <c r="B151" s="730"/>
      <c r="C151" s="731"/>
      <c r="D151" s="117" t="s">
        <v>130</v>
      </c>
      <c r="E151" s="95">
        <f>'21'!F151</f>
        <v>0</v>
      </c>
      <c r="F151" s="233"/>
      <c r="G151" s="112">
        <f t="shared" si="11"/>
        <v>0</v>
      </c>
      <c r="H151" s="99">
        <f>G151+'21'!H151</f>
        <v>-112419</v>
      </c>
      <c r="I151" s="119"/>
      <c r="J151" s="348">
        <f>H151/DAY(B2)</f>
        <v>-5109.954545454545</v>
      </c>
    </row>
    <row r="152" spans="1:10" ht="27.75" x14ac:dyDescent="0.5">
      <c r="A152" s="729" t="s">
        <v>339</v>
      </c>
      <c r="B152" s="730"/>
      <c r="C152" s="731"/>
      <c r="D152" s="117" t="s">
        <v>130</v>
      </c>
      <c r="E152" s="95">
        <f>'21'!F152</f>
        <v>0</v>
      </c>
      <c r="F152" s="233"/>
      <c r="G152" s="112">
        <f t="shared" si="11"/>
        <v>0</v>
      </c>
      <c r="H152" s="99">
        <f>G152+'21'!H152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36" t="s">
        <v>344</v>
      </c>
      <c r="B154" s="736"/>
      <c r="C154" s="736"/>
      <c r="D154" s="736"/>
      <c r="E154" s="736"/>
      <c r="F154" s="736"/>
      <c r="G154" s="736"/>
      <c r="H154" s="736"/>
      <c r="I154" s="736"/>
      <c r="J154" s="736"/>
    </row>
    <row r="155" spans="1:10" ht="31.5" x14ac:dyDescent="0.55000000000000004">
      <c r="A155" s="728" t="s">
        <v>345</v>
      </c>
      <c r="B155" s="728"/>
      <c r="C155" s="728"/>
      <c r="D155" s="117" t="s">
        <v>130</v>
      </c>
      <c r="E155" s="95">
        <f>'21'!F155</f>
        <v>0</v>
      </c>
      <c r="F155" s="385"/>
      <c r="G155" s="112">
        <f t="shared" ref="G155:G156" si="12">F155-E155</f>
        <v>0</v>
      </c>
      <c r="H155" s="99">
        <f>G155+'21'!H155</f>
        <v>-154178.09999999998</v>
      </c>
      <c r="I155" s="385"/>
      <c r="J155" s="348">
        <f>H155/DAY(B2)</f>
        <v>-7008.0954545454533</v>
      </c>
    </row>
    <row r="156" spans="1:10" ht="27.75" x14ac:dyDescent="0.5">
      <c r="A156" s="728" t="s">
        <v>347</v>
      </c>
      <c r="B156" s="728"/>
      <c r="C156" s="728"/>
      <c r="D156" s="117" t="s">
        <v>130</v>
      </c>
      <c r="E156" s="95">
        <f>'21'!F156</f>
        <v>0</v>
      </c>
      <c r="F156" s="165"/>
      <c r="G156" s="112">
        <f t="shared" si="12"/>
        <v>0</v>
      </c>
      <c r="H156" s="99">
        <f>G156+'21'!H156</f>
        <v>0</v>
      </c>
      <c r="I156" s="165"/>
      <c r="J156" s="348">
        <f>H156/DAY(B2)</f>
        <v>0</v>
      </c>
    </row>
    <row r="157" spans="1:10" ht="31.5" x14ac:dyDescent="0.55000000000000004">
      <c r="A157" s="736" t="s">
        <v>326</v>
      </c>
      <c r="B157" s="736"/>
      <c r="C157" s="736"/>
      <c r="D157" s="736"/>
      <c r="E157" s="736"/>
      <c r="F157" s="736"/>
      <c r="G157" s="736"/>
      <c r="H157" s="736"/>
      <c r="I157" s="736"/>
      <c r="J157" s="736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'21'!F158</f>
        <v>463315</v>
      </c>
      <c r="F158" s="235">
        <v>463315</v>
      </c>
      <c r="G158" s="238">
        <f t="shared" ref="G158:G162" si="13">F158-E158</f>
        <v>0</v>
      </c>
      <c r="H158" s="99">
        <f>G158+'21'!H158</f>
        <v>-5764.4000000000233</v>
      </c>
      <c r="I158" s="236"/>
      <c r="J158" s="239">
        <f>H158/DAY(B2)</f>
        <v>-262.01818181818288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'21'!F159</f>
        <v>83899</v>
      </c>
      <c r="F159" s="235">
        <v>83899</v>
      </c>
      <c r="G159" s="238">
        <f t="shared" si="13"/>
        <v>0</v>
      </c>
      <c r="H159" s="99">
        <f>G159+'21'!H159</f>
        <v>-2351.3999999999942</v>
      </c>
      <c r="I159" s="236"/>
      <c r="J159" s="239">
        <f>H159/DAY(B2)</f>
        <v>-106.88181818181792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'21'!F160</f>
        <v>69089</v>
      </c>
      <c r="F160" s="235">
        <v>69089</v>
      </c>
      <c r="G160" s="238">
        <f t="shared" si="13"/>
        <v>0</v>
      </c>
      <c r="H160" s="99">
        <f>G160+'21'!H160</f>
        <v>-4894.1999999999971</v>
      </c>
      <c r="I160" s="236"/>
      <c r="J160" s="239">
        <f>H160/DAY(B2)</f>
        <v>-222.46363636363623</v>
      </c>
    </row>
    <row r="161" spans="1:10" ht="21.95" customHeight="1" x14ac:dyDescent="0.5">
      <c r="A161" s="242" t="s">
        <v>197</v>
      </c>
      <c r="B161" s="243"/>
      <c r="C161" s="243"/>
      <c r="D161" s="244" t="s">
        <v>180</v>
      </c>
      <c r="E161" s="95">
        <f>'21'!F161</f>
        <v>3611</v>
      </c>
      <c r="F161" s="235">
        <v>3611</v>
      </c>
      <c r="G161" s="238">
        <f t="shared" si="13"/>
        <v>0</v>
      </c>
      <c r="H161" s="99">
        <f>G161+'21'!H161</f>
        <v>-555.30000000000018</v>
      </c>
      <c r="I161" s="236"/>
      <c r="J161" s="239">
        <f>H161/DAY(B2)</f>
        <v>-25.240909090909099</v>
      </c>
    </row>
    <row r="162" spans="1:10" ht="21.95" customHeight="1" x14ac:dyDescent="0.5">
      <c r="A162" s="242" t="s">
        <v>309</v>
      </c>
      <c r="B162" s="243"/>
      <c r="C162" s="243"/>
      <c r="D162" s="244" t="s">
        <v>180</v>
      </c>
      <c r="E162" s="95">
        <f>'21'!F162</f>
        <v>28746</v>
      </c>
      <c r="F162" s="235">
        <v>28746</v>
      </c>
      <c r="G162" s="238">
        <f t="shared" si="13"/>
        <v>0</v>
      </c>
      <c r="H162" s="99">
        <f>G162+'21'!H162</f>
        <v>-566.7400000000016</v>
      </c>
      <c r="I162" s="236"/>
      <c r="J162" s="239">
        <f>H162/DAY(B2)</f>
        <v>-25.760909090909163</v>
      </c>
    </row>
    <row r="163" spans="1:10" ht="21.95" customHeight="1" x14ac:dyDescent="0.5">
      <c r="A163" s="737"/>
      <c r="B163" s="737"/>
      <c r="C163" s="247"/>
      <c r="D163" s="244" t="s">
        <v>180</v>
      </c>
      <c r="E163" s="95">
        <f>'21'!F163</f>
        <v>0</v>
      </c>
      <c r="F163" s="165"/>
      <c r="G163" s="165"/>
      <c r="H163" s="99">
        <f>G163+'21'!H163</f>
        <v>0</v>
      </c>
      <c r="I163" s="165"/>
      <c r="J163" s="239">
        <f>H163/DAY(B2)</f>
        <v>0</v>
      </c>
    </row>
    <row r="164" spans="1:10" ht="21.95" customHeight="1" x14ac:dyDescent="0.5">
      <c r="A164" s="737"/>
      <c r="B164" s="737"/>
      <c r="C164" s="247"/>
      <c r="D164" s="244" t="s">
        <v>180</v>
      </c>
      <c r="E164" s="95">
        <f>'21'!F164</f>
        <v>0</v>
      </c>
      <c r="F164" s="165"/>
      <c r="G164" s="165"/>
      <c r="H164" s="99">
        <f>G164+'21'!H164</f>
        <v>0</v>
      </c>
      <c r="I164" s="165"/>
      <c r="J164" s="239">
        <f>H164/DAY(B2)</f>
        <v>0</v>
      </c>
    </row>
    <row r="165" spans="1:10" ht="21.95" customHeight="1" x14ac:dyDescent="0.5">
      <c r="A165" s="737"/>
      <c r="B165" s="737"/>
      <c r="C165" s="247"/>
      <c r="D165" s="244" t="s">
        <v>180</v>
      </c>
      <c r="E165" s="95">
        <f>'21'!F165</f>
        <v>0</v>
      </c>
      <c r="F165" s="165"/>
      <c r="G165" s="165"/>
      <c r="H165" s="99">
        <f>G165+'21'!H165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38" t="s">
        <v>330</v>
      </c>
      <c r="B168" s="739"/>
      <c r="C168" s="739"/>
      <c r="D168" s="739"/>
      <c r="E168" s="739"/>
      <c r="F168" s="739"/>
      <c r="G168" s="739"/>
      <c r="H168" s="739"/>
      <c r="I168" s="739"/>
      <c r="J168" s="740"/>
    </row>
    <row r="169" spans="1:10" ht="27.75" x14ac:dyDescent="0.5">
      <c r="A169" s="747"/>
      <c r="B169" s="748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43" t="s">
        <v>209</v>
      </c>
      <c r="B170" s="744"/>
      <c r="C170" s="353"/>
      <c r="D170" s="228" t="s">
        <v>142</v>
      </c>
      <c r="E170" s="95">
        <f>'21'!F170</f>
        <v>7961</v>
      </c>
      <c r="F170" s="155">
        <v>7961</v>
      </c>
      <c r="G170" s="155">
        <f>F170-E170</f>
        <v>0</v>
      </c>
      <c r="H170" s="99">
        <f>G170+'21'!H170</f>
        <v>129</v>
      </c>
      <c r="I170" s="155"/>
      <c r="J170" s="178">
        <f>H170/DAY(B2)</f>
        <v>5.8636363636363633</v>
      </c>
    </row>
    <row r="171" spans="1:10" ht="27.75" x14ac:dyDescent="0.5">
      <c r="A171" s="743" t="s">
        <v>75</v>
      </c>
      <c r="B171" s="744"/>
      <c r="C171" s="353"/>
      <c r="D171" s="228" t="s">
        <v>142</v>
      </c>
      <c r="E171" s="95">
        <f>'21'!F171</f>
        <v>36765</v>
      </c>
      <c r="F171" s="157">
        <v>36765</v>
      </c>
      <c r="G171" s="155">
        <f t="shared" ref="G171:G172" si="14">F171-E171</f>
        <v>0</v>
      </c>
      <c r="H171" s="99">
        <f>G171+'21'!H171</f>
        <v>-332</v>
      </c>
      <c r="I171" s="155"/>
      <c r="J171" s="178">
        <f>H171/DAY(B2)</f>
        <v>-15.090909090909092</v>
      </c>
    </row>
    <row r="172" spans="1:10" ht="27.75" x14ac:dyDescent="0.5">
      <c r="A172" s="743" t="s">
        <v>76</v>
      </c>
      <c r="B172" s="783"/>
      <c r="C172" s="744"/>
      <c r="D172" s="228" t="s">
        <v>142</v>
      </c>
      <c r="E172" s="95">
        <f>'21'!F172</f>
        <v>20214</v>
      </c>
      <c r="F172" s="155">
        <v>20214</v>
      </c>
      <c r="G172" s="155">
        <f t="shared" si="14"/>
        <v>0</v>
      </c>
      <c r="H172" s="99">
        <f>G172+'21'!H172</f>
        <v>-687</v>
      </c>
      <c r="I172" s="155"/>
      <c r="J172" s="178">
        <f>H172/DAY(B2)</f>
        <v>-31.227272727272727</v>
      </c>
    </row>
    <row r="173" spans="1:10" ht="27.75" x14ac:dyDescent="0.5">
      <c r="A173" s="732" t="s">
        <v>196</v>
      </c>
      <c r="B173" s="733"/>
      <c r="C173" s="611"/>
      <c r="D173" s="228" t="s">
        <v>142</v>
      </c>
      <c r="E173" s="95"/>
      <c r="F173" s="155"/>
      <c r="G173" s="155">
        <f>SUM(G170:G172)</f>
        <v>0</v>
      </c>
      <c r="H173" s="99">
        <f>G173+'21'!H173</f>
        <v>-890</v>
      </c>
      <c r="I173" s="155"/>
      <c r="J173" s="178">
        <f>H173/DAY(B2)</f>
        <v>-40.454545454545453</v>
      </c>
    </row>
    <row r="174" spans="1:10" ht="27.75" x14ac:dyDescent="0.5">
      <c r="A174" s="743" t="s">
        <v>77</v>
      </c>
      <c r="B174" s="744"/>
      <c r="C174" s="353"/>
      <c r="D174" s="228" t="s">
        <v>142</v>
      </c>
      <c r="E174" s="95"/>
      <c r="F174" s="155"/>
      <c r="G174" s="155"/>
      <c r="H174" s="99">
        <f>G174+'21'!H174</f>
        <v>0</v>
      </c>
      <c r="I174" s="155"/>
      <c r="J174" s="178">
        <f>H174/DAY(B2)</f>
        <v>0</v>
      </c>
    </row>
    <row r="175" spans="1:10" ht="27.75" x14ac:dyDescent="0.5">
      <c r="A175" s="743" t="s">
        <v>210</v>
      </c>
      <c r="B175" s="744"/>
      <c r="C175" s="353"/>
      <c r="D175" s="228" t="s">
        <v>142</v>
      </c>
      <c r="E175" s="95">
        <f>'21'!F175</f>
        <v>69524</v>
      </c>
      <c r="F175" s="155">
        <v>69524</v>
      </c>
      <c r="G175" s="155">
        <f>F175-E175</f>
        <v>0</v>
      </c>
      <c r="H175" s="99">
        <f>G175+'21'!H175</f>
        <v>-6303</v>
      </c>
      <c r="I175" s="155"/>
      <c r="J175" s="178">
        <f>H175/DAY(B2)</f>
        <v>-286.5</v>
      </c>
    </row>
    <row r="176" spans="1:10" ht="27.75" x14ac:dyDescent="0.5">
      <c r="A176" s="743" t="s">
        <v>211</v>
      </c>
      <c r="B176" s="744"/>
      <c r="C176" s="353"/>
      <c r="D176" s="228" t="s">
        <v>142</v>
      </c>
      <c r="E176" s="95">
        <f>'21'!F176</f>
        <v>33886</v>
      </c>
      <c r="F176" s="155">
        <v>33886</v>
      </c>
      <c r="G176" s="155">
        <f t="shared" ref="G176:G177" si="15">F176-E176</f>
        <v>0</v>
      </c>
      <c r="H176" s="99">
        <f>G176+'21'!H176</f>
        <v>0</v>
      </c>
      <c r="I176" s="155"/>
      <c r="J176" s="178">
        <f>H176/DAY(B2)</f>
        <v>0</v>
      </c>
    </row>
    <row r="177" spans="1:10" ht="27.75" x14ac:dyDescent="0.5">
      <c r="A177" s="743" t="s">
        <v>212</v>
      </c>
      <c r="B177" s="744"/>
      <c r="C177" s="353"/>
      <c r="D177" s="228" t="s">
        <v>142</v>
      </c>
      <c r="E177" s="95">
        <f>'21'!F177</f>
        <v>4788</v>
      </c>
      <c r="F177" s="155">
        <v>4788</v>
      </c>
      <c r="G177" s="155">
        <f t="shared" si="15"/>
        <v>0</v>
      </c>
      <c r="H177" s="99">
        <f>G177+'21'!H177</f>
        <v>-3190</v>
      </c>
      <c r="I177" s="155"/>
      <c r="J177" s="178">
        <f>H177/DAY(B2)</f>
        <v>-145</v>
      </c>
    </row>
    <row r="178" spans="1:10" ht="27.75" customHeight="1" x14ac:dyDescent="0.5">
      <c r="A178" s="745" t="s">
        <v>108</v>
      </c>
      <c r="B178" s="746"/>
      <c r="C178" s="611"/>
      <c r="D178" s="228" t="s">
        <v>142</v>
      </c>
      <c r="E178" s="95"/>
      <c r="F178" s="155"/>
      <c r="G178" s="155">
        <f>SUM(G175:G177)</f>
        <v>0</v>
      </c>
      <c r="H178" s="99">
        <f>G178+'21'!H178</f>
        <v>-9493</v>
      </c>
      <c r="I178" s="155"/>
      <c r="J178" s="178">
        <f>H178/DAY(B2)</f>
        <v>-431.5</v>
      </c>
    </row>
    <row r="179" spans="1:10" ht="27.75" x14ac:dyDescent="0.5">
      <c r="A179" s="743" t="s">
        <v>213</v>
      </c>
      <c r="B179" s="744"/>
      <c r="C179" s="353"/>
      <c r="D179" s="228" t="s">
        <v>142</v>
      </c>
      <c r="E179" s="95"/>
      <c r="F179" s="155"/>
      <c r="G179" s="155"/>
      <c r="H179" s="99">
        <f>G179+'21'!H179</f>
        <v>0</v>
      </c>
      <c r="I179" s="155"/>
      <c r="J179" s="178">
        <f>H179/DAY(B2)</f>
        <v>0</v>
      </c>
    </row>
    <row r="180" spans="1:10" ht="27.75" x14ac:dyDescent="0.5">
      <c r="A180" s="743" t="s">
        <v>214</v>
      </c>
      <c r="B180" s="744"/>
      <c r="C180" s="354"/>
      <c r="D180" s="228" t="s">
        <v>142</v>
      </c>
      <c r="E180" s="95">
        <f>'21'!F180</f>
        <v>13038</v>
      </c>
      <c r="F180" s="157">
        <v>13038</v>
      </c>
      <c r="G180" s="157">
        <f>F180-E180</f>
        <v>0</v>
      </c>
      <c r="H180" s="99">
        <f>G180+'21'!H180</f>
        <v>-1253</v>
      </c>
      <c r="I180" s="155"/>
      <c r="J180" s="178">
        <f>H180/DAY(B2)</f>
        <v>-56.954545454545453</v>
      </c>
    </row>
    <row r="181" spans="1:10" ht="27.75" x14ac:dyDescent="0.5">
      <c r="A181" s="743" t="s">
        <v>215</v>
      </c>
      <c r="B181" s="744"/>
      <c r="C181" s="354"/>
      <c r="D181" s="228" t="s">
        <v>142</v>
      </c>
      <c r="E181" s="95">
        <f>'21'!F181</f>
        <v>9126</v>
      </c>
      <c r="F181" s="157">
        <v>9126</v>
      </c>
      <c r="G181" s="157">
        <f t="shared" ref="G181:G182" si="16">F181-E181</f>
        <v>0</v>
      </c>
      <c r="H181" s="99">
        <f>G181+'21'!H181</f>
        <v>-794</v>
      </c>
      <c r="I181" s="155"/>
      <c r="J181" s="178">
        <f>H181/DAY(B2)</f>
        <v>-36.090909090909093</v>
      </c>
    </row>
    <row r="182" spans="1:10" ht="27.75" x14ac:dyDescent="0.5">
      <c r="A182" s="743" t="s">
        <v>216</v>
      </c>
      <c r="B182" s="744"/>
      <c r="C182" s="354"/>
      <c r="D182" s="228" t="s">
        <v>142</v>
      </c>
      <c r="E182" s="95">
        <f>'21'!F182</f>
        <v>0</v>
      </c>
      <c r="F182" s="157"/>
      <c r="G182" s="157">
        <f t="shared" si="16"/>
        <v>0</v>
      </c>
      <c r="H182" s="99">
        <f>G182+'21'!H182</f>
        <v>0</v>
      </c>
      <c r="I182" s="155"/>
      <c r="J182" s="178">
        <f>H182/DAY(B2)</f>
        <v>0</v>
      </c>
    </row>
    <row r="183" spans="1:10" ht="27.75" x14ac:dyDescent="0.5">
      <c r="A183" s="732" t="s">
        <v>196</v>
      </c>
      <c r="B183" s="733"/>
      <c r="C183" s="610"/>
      <c r="D183" s="228" t="s">
        <v>142</v>
      </c>
      <c r="E183" s="95"/>
      <c r="F183" s="157"/>
      <c r="G183" s="157">
        <f>SUM(G180:G182)</f>
        <v>0</v>
      </c>
      <c r="H183" s="99">
        <f>G183+'21'!H183</f>
        <v>-2047</v>
      </c>
      <c r="I183" s="157"/>
      <c r="J183" s="178">
        <f>H183/DAY(B2)</f>
        <v>-93.045454545454547</v>
      </c>
    </row>
    <row r="184" spans="1:10" ht="27.75" x14ac:dyDescent="0.5">
      <c r="A184" s="734" t="s">
        <v>217</v>
      </c>
      <c r="B184" s="735"/>
      <c r="C184" s="353"/>
      <c r="D184" s="230" t="s">
        <v>142</v>
      </c>
      <c r="E184" s="95"/>
      <c r="F184" s="159"/>
      <c r="G184" s="588">
        <f>G62+G19</f>
        <v>60</v>
      </c>
      <c r="H184" s="99">
        <f>G184+'21'!H184</f>
        <v>-6362</v>
      </c>
      <c r="I184" s="158"/>
      <c r="J184" s="179">
        <f>H184/DAY(B2)</f>
        <v>-289.18181818181819</v>
      </c>
    </row>
    <row r="185" spans="1:10" ht="27.75" x14ac:dyDescent="0.5">
      <c r="A185" s="734" t="s">
        <v>218</v>
      </c>
      <c r="B185" s="735"/>
      <c r="C185" s="353"/>
      <c r="D185" s="230" t="s">
        <v>142</v>
      </c>
      <c r="E185" s="95"/>
      <c r="F185" s="159"/>
      <c r="G185" s="588">
        <f>G65+G66+G67+G69+G70</f>
        <v>0</v>
      </c>
      <c r="H185" s="99">
        <f>G185+'21'!H185</f>
        <v>-14514</v>
      </c>
      <c r="I185" s="158"/>
      <c r="J185" s="179">
        <f>H185/DAY(B2)</f>
        <v>-659.72727272727275</v>
      </c>
    </row>
    <row r="186" spans="1:10" ht="27.75" x14ac:dyDescent="0.5">
      <c r="A186" s="734" t="s">
        <v>219</v>
      </c>
      <c r="B186" s="735"/>
      <c r="C186" s="353"/>
      <c r="D186" s="230" t="s">
        <v>142</v>
      </c>
      <c r="E186" s="95"/>
      <c r="F186" s="157"/>
      <c r="G186" s="585">
        <f>G178</f>
        <v>0</v>
      </c>
      <c r="H186" s="99">
        <f>G186+'21'!H186</f>
        <v>-7040</v>
      </c>
      <c r="I186" s="158"/>
      <c r="J186" s="179">
        <f>H186/DAY(B2)</f>
        <v>-320</v>
      </c>
    </row>
    <row r="187" spans="1:10" ht="27.75" x14ac:dyDescent="0.5">
      <c r="A187" s="741"/>
      <c r="B187" s="742"/>
      <c r="C187" s="609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</sheetData>
  <mergeCells count="111">
    <mergeCell ref="A104:C104"/>
    <mergeCell ref="A135:C135"/>
    <mergeCell ref="A124:C124"/>
    <mergeCell ref="A125:B125"/>
    <mergeCell ref="A126:J126"/>
    <mergeCell ref="A127:B127"/>
    <mergeCell ref="A128:C128"/>
    <mergeCell ref="A131:C131"/>
    <mergeCell ref="A132:C132"/>
    <mergeCell ref="A133:C133"/>
    <mergeCell ref="A134:C134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80:C80"/>
    <mergeCell ref="A81:C81"/>
    <mergeCell ref="A123:C123"/>
    <mergeCell ref="A93:C93"/>
    <mergeCell ref="A94:C94"/>
    <mergeCell ref="A95:C95"/>
    <mergeCell ref="A96:C96"/>
    <mergeCell ref="A109:B109"/>
    <mergeCell ref="A79:C79"/>
    <mergeCell ref="A119:C119"/>
    <mergeCell ref="A120:C120"/>
    <mergeCell ref="A121:C121"/>
    <mergeCell ref="A122:C122"/>
    <mergeCell ref="A116:C116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50:C150"/>
    <mergeCell ref="A151:C151"/>
    <mergeCell ref="A152:C152"/>
    <mergeCell ref="A154:J154"/>
    <mergeCell ref="A155:C155"/>
    <mergeCell ref="A156:C156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80:B180"/>
    <mergeCell ref="A181:B181"/>
    <mergeCell ref="A177:B177"/>
    <mergeCell ref="A178:B178"/>
    <mergeCell ref="A179:B179"/>
    <mergeCell ref="A172:C172"/>
    <mergeCell ref="A174:B174"/>
    <mergeCell ref="A175:B175"/>
    <mergeCell ref="A176:B176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87"/>
  <sheetViews>
    <sheetView view="pageBreakPreview" topLeftCell="A159" zoomScale="50" zoomScaleNormal="80" zoomScaleSheetLayoutView="50" workbookViewId="0">
      <selection activeCell="E184" sqref="E184:E186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789" t="s">
        <v>115</v>
      </c>
      <c r="B1" s="790"/>
      <c r="C1" s="790"/>
      <c r="D1" s="790"/>
      <c r="E1" s="790"/>
      <c r="F1" s="790"/>
      <c r="G1" s="790"/>
      <c r="H1" s="790"/>
      <c r="I1" s="790"/>
      <c r="J1" s="791"/>
    </row>
    <row r="2" spans="1:15" s="57" customFormat="1" ht="30.75" customHeight="1" x14ac:dyDescent="0.5">
      <c r="A2" s="191" t="s">
        <v>303</v>
      </c>
      <c r="B2" s="266">
        <v>44492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68" t="s">
        <v>118</v>
      </c>
      <c r="D3" s="219">
        <v>28</v>
      </c>
      <c r="E3" s="798" t="s">
        <v>119</v>
      </c>
      <c r="F3" s="799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792" t="s">
        <v>128</v>
      </c>
      <c r="B6" s="793"/>
      <c r="C6" s="79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'22'!F7</f>
        <v>455179.47</v>
      </c>
      <c r="F7" s="95">
        <f>E7+23000</f>
        <v>478179.47</v>
      </c>
      <c r="G7" s="112">
        <f>F7-E7</f>
        <v>23000</v>
      </c>
      <c r="H7" s="99">
        <f>G7+'22'!H7</f>
        <v>533937.06999999983</v>
      </c>
      <c r="I7" s="113">
        <f>'1'!I7</f>
        <v>12000</v>
      </c>
      <c r="J7" s="175">
        <f>H7/DAY(B2)</f>
        <v>23214.655217391297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'22'!F8</f>
        <v>475729.75</v>
      </c>
      <c r="F8" s="114">
        <f>E8+23050</f>
        <v>498779.75</v>
      </c>
      <c r="G8" s="115">
        <f>F8-E8</f>
        <v>23050</v>
      </c>
      <c r="H8" s="99">
        <f>G8+'22'!H8</f>
        <v>540112.75</v>
      </c>
      <c r="I8" s="116"/>
      <c r="J8" s="175">
        <f>H8/DAY(B2)</f>
        <v>23483.16304347826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'22'!F9</f>
        <v>1138976.8999999999</v>
      </c>
      <c r="F9" s="117">
        <f>E9+23000</f>
        <v>1161976.8999999999</v>
      </c>
      <c r="G9" s="112">
        <f>F9-E9</f>
        <v>23000</v>
      </c>
      <c r="H9" s="99">
        <f>G9+'22'!H9</f>
        <v>454186.89999999979</v>
      </c>
      <c r="I9" s="124">
        <f>I7-J7</f>
        <v>-11214.655217391297</v>
      </c>
      <c r="J9" s="175">
        <f>H9/DAY(B2)</f>
        <v>19747.25652173912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'22'!F10</f>
        <v>2607</v>
      </c>
      <c r="F10" s="117">
        <v>2607</v>
      </c>
      <c r="G10" s="112">
        <f t="shared" ref="G10:G12" si="0">F10-E10</f>
        <v>0</v>
      </c>
      <c r="H10" s="99">
        <f>G10+'22'!H10</f>
        <v>-57966</v>
      </c>
      <c r="I10" s="286"/>
      <c r="J10" s="175">
        <f>H10/DAY(B2)</f>
        <v>-2520.2608695652175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'22'!F11</f>
        <v>37000</v>
      </c>
      <c r="F11" s="95">
        <v>37000</v>
      </c>
      <c r="G11" s="112">
        <f t="shared" si="0"/>
        <v>0</v>
      </c>
      <c r="H11" s="99">
        <f>G11+'22'!H11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'22'!F12</f>
        <v>40010</v>
      </c>
      <c r="F12" s="117">
        <v>40010</v>
      </c>
      <c r="G12" s="112">
        <f t="shared" si="0"/>
        <v>0</v>
      </c>
      <c r="H12" s="99">
        <f>G12+'22'!H12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23000</v>
      </c>
      <c r="H13" s="99">
        <f>G13+'22'!H13</f>
        <v>374675.14999999979</v>
      </c>
      <c r="I13" s="120">
        <f>G7-G13</f>
        <v>0</v>
      </c>
      <c r="J13" s="175">
        <f>H13/DAY(B2)</f>
        <v>16290.22391304347</v>
      </c>
      <c r="K13" s="79"/>
      <c r="L13" s="66"/>
      <c r="N13" s="87"/>
      <c r="O13" s="71"/>
    </row>
    <row r="14" spans="1:15" ht="30.75" customHeight="1" x14ac:dyDescent="0.5">
      <c r="A14" s="795" t="s">
        <v>137</v>
      </c>
      <c r="B14" s="796"/>
      <c r="C14" s="79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65" t="s">
        <v>138</v>
      </c>
      <c r="B15" s="205"/>
      <c r="C15" s="205"/>
      <c r="D15" s="151" t="s">
        <v>139</v>
      </c>
      <c r="E15" s="95">
        <f>'22'!F15</f>
        <v>1804617.8829999999</v>
      </c>
      <c r="F15" s="123">
        <f>E15+875</f>
        <v>1805492.8829999999</v>
      </c>
      <c r="G15" s="112">
        <f>(F15-E15)</f>
        <v>875</v>
      </c>
      <c r="H15" s="99">
        <f>G15+'22'!H15</f>
        <v>22159.882999999914</v>
      </c>
      <c r="I15" s="113">
        <f>'1'!I15</f>
        <v>800</v>
      </c>
      <c r="J15" s="175">
        <f>H15/DAY(B2)</f>
        <v>963.47317391303977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-163.47317391303977</v>
      </c>
      <c r="J16" s="176"/>
      <c r="K16" s="79"/>
      <c r="L16" s="66"/>
      <c r="N16" s="87"/>
      <c r="O16" s="71"/>
    </row>
    <row r="17" spans="1:15" ht="30.75" customHeight="1" x14ac:dyDescent="0.5">
      <c r="A17" s="795" t="s">
        <v>140</v>
      </c>
      <c r="B17" s="796"/>
      <c r="C17" s="79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771" t="s">
        <v>141</v>
      </c>
      <c r="B18" s="772"/>
      <c r="C18" s="773"/>
      <c r="D18" s="151" t="s">
        <v>142</v>
      </c>
      <c r="E18" s="95">
        <f>'22'!F18</f>
        <v>14</v>
      </c>
      <c r="F18" s="122">
        <v>14</v>
      </c>
      <c r="G18" s="119">
        <f>F18*10</f>
        <v>140</v>
      </c>
      <c r="H18" s="99">
        <f>G18+'22'!H18</f>
        <v>4160</v>
      </c>
      <c r="I18" s="113">
        <f>'1'!I18</f>
        <v>65</v>
      </c>
      <c r="J18" s="175">
        <f>H18/DAY(B2)</f>
        <v>180.86956521739131</v>
      </c>
      <c r="K18" s="79"/>
      <c r="L18" s="66"/>
      <c r="N18" s="87"/>
      <c r="O18" s="71"/>
    </row>
    <row r="19" spans="1:15" ht="30.75" customHeight="1" x14ac:dyDescent="0.5">
      <c r="A19" s="771" t="s">
        <v>69</v>
      </c>
      <c r="B19" s="772"/>
      <c r="C19" s="773"/>
      <c r="D19" s="151" t="s">
        <v>142</v>
      </c>
      <c r="E19" s="95">
        <f>'22'!F19</f>
        <v>148345</v>
      </c>
      <c r="F19" s="122">
        <f>E19+60</f>
        <v>148405</v>
      </c>
      <c r="G19" s="112">
        <f t="shared" ref="G19" si="1">F19-E19</f>
        <v>60</v>
      </c>
      <c r="H19" s="99">
        <f>G19+'22'!H19</f>
        <v>1353</v>
      </c>
      <c r="I19" s="355"/>
      <c r="J19" s="175">
        <f>H19/DAY(B2)</f>
        <v>58.826086956521742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200</v>
      </c>
      <c r="H20" s="99">
        <f>G20+'22'!H20</f>
        <v>5513</v>
      </c>
      <c r="I20" s="356">
        <f>I18-J20</f>
        <v>-174.69565217391303</v>
      </c>
      <c r="J20" s="175">
        <f>H20/DAY(B2)</f>
        <v>239.69565217391303</v>
      </c>
      <c r="K20" s="79"/>
      <c r="L20" s="66"/>
      <c r="N20" s="87"/>
      <c r="O20" s="71"/>
    </row>
    <row r="21" spans="1:15" ht="30.75" customHeight="1" x14ac:dyDescent="0.5">
      <c r="A21" s="795" t="s">
        <v>144</v>
      </c>
      <c r="B21" s="796"/>
      <c r="C21" s="79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6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65" t="s">
        <v>147</v>
      </c>
      <c r="B23" s="205"/>
      <c r="C23" s="205"/>
      <c r="D23" s="151" t="s">
        <v>146</v>
      </c>
      <c r="E23" s="95">
        <f>'22'!F23</f>
        <v>2000</v>
      </c>
      <c r="F23" s="122">
        <v>2000</v>
      </c>
      <c r="G23" s="119">
        <v>0</v>
      </c>
      <c r="H23" s="99">
        <f>G23+'22'!H23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'22'!F24</f>
        <v>4970</v>
      </c>
      <c r="F24" s="128">
        <v>4970</v>
      </c>
      <c r="G24" s="119">
        <v>0</v>
      </c>
      <c r="H24" s="99">
        <f>G24+'22'!H24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800" t="s">
        <v>149</v>
      </c>
      <c r="B25" s="801"/>
      <c r="C25" s="80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23050</v>
      </c>
      <c r="F27" s="136">
        <v>9</v>
      </c>
      <c r="G27" s="137">
        <f>E27*F27</f>
        <v>207450</v>
      </c>
      <c r="H27" s="99">
        <f>G27+'22'!H27</f>
        <v>4861014.75</v>
      </c>
      <c r="I27" s="138"/>
      <c r="J27" s="175">
        <f>H27/DAY(B2)</f>
        <v>211348.46739130435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875</v>
      </c>
      <c r="F28" s="136">
        <v>52</v>
      </c>
      <c r="G28" s="137">
        <f>E28*F28</f>
        <v>45500</v>
      </c>
      <c r="H28" s="99">
        <f>G28+'22'!H28</f>
        <v>1152313.9159999955</v>
      </c>
      <c r="I28" s="140"/>
      <c r="J28" s="175">
        <f>H28/DAY(B2)</f>
        <v>50100.60504347807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G30+'22'!H30</f>
        <v>197538</v>
      </c>
      <c r="I30" s="140"/>
      <c r="J30" s="175">
        <f>H30/DAY(B2)</f>
        <v>8588.608695652174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G31+'22'!H31</f>
        <v>332800</v>
      </c>
      <c r="I31" s="140"/>
      <c r="J31" s="175">
        <f>H31/DAY(B2)</f>
        <v>14469.565217391304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272910</v>
      </c>
      <c r="H32" s="99">
        <f>G32+'22'!H32</f>
        <v>6543666.6659999955</v>
      </c>
      <c r="I32" s="144"/>
      <c r="J32" s="175">
        <f>H32/DAY(B2)</f>
        <v>284507.24634782592</v>
      </c>
      <c r="K32" s="63"/>
      <c r="L32" s="89"/>
      <c r="N32" s="87"/>
      <c r="O32" s="71"/>
    </row>
    <row r="33" spans="1:15" ht="30.75" customHeight="1" x14ac:dyDescent="0.35">
      <c r="A33" s="803" t="s">
        <v>331</v>
      </c>
      <c r="B33" s="804"/>
      <c r="C33" s="804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'22'!F35</f>
        <v>1058597</v>
      </c>
      <c r="F35" s="145">
        <v>1058597</v>
      </c>
      <c r="G35" s="112">
        <f t="shared" ref="G35:G46" si="3">F35-E35</f>
        <v>0</v>
      </c>
      <c r="H35" s="99">
        <f>G35+'22'!H35</f>
        <v>2111685.6</v>
      </c>
      <c r="I35" s="95"/>
      <c r="J35" s="175">
        <f>H35/DAY(B2)</f>
        <v>91812.417391304349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'22'!F36</f>
        <v>1833</v>
      </c>
      <c r="F36" s="145">
        <v>1833</v>
      </c>
      <c r="G36" s="112">
        <f t="shared" si="3"/>
        <v>0</v>
      </c>
      <c r="H36" s="99">
        <f>G36+'22'!H36</f>
        <v>-57914.1</v>
      </c>
      <c r="I36" s="95"/>
      <c r="J36" s="175">
        <f>H36/DAY(B2)</f>
        <v>-2518.0043478260868</v>
      </c>
      <c r="K36" s="79"/>
      <c r="L36" s="66"/>
      <c r="N36" s="87"/>
      <c r="O36" s="36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'22'!F37</f>
        <v>2775</v>
      </c>
      <c r="F37" s="145">
        <v>2775</v>
      </c>
      <c r="G37" s="112">
        <f t="shared" si="3"/>
        <v>0</v>
      </c>
      <c r="H37" s="99">
        <f>G37+'22'!H37</f>
        <v>-131866.87</v>
      </c>
      <c r="I37" s="95"/>
      <c r="J37" s="175">
        <f>H37/DAY(B2)</f>
        <v>-5733.3421739130436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'22'!F38</f>
        <v>4823</v>
      </c>
      <c r="F38" s="108">
        <v>4823</v>
      </c>
      <c r="G38" s="112">
        <f t="shared" si="3"/>
        <v>0</v>
      </c>
      <c r="H38" s="99">
        <f>G38+'22'!H38</f>
        <v>-137077.6</v>
      </c>
      <c r="I38" s="95"/>
      <c r="J38" s="175">
        <f>H38/DAY(B2)</f>
        <v>-5959.8956521739137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'22'!F39</f>
        <v>637915</v>
      </c>
      <c r="F39" s="145">
        <v>637915</v>
      </c>
      <c r="G39" s="112">
        <f t="shared" si="3"/>
        <v>0</v>
      </c>
      <c r="H39" s="99">
        <f>G39+'22'!H39</f>
        <v>958234.97</v>
      </c>
      <c r="I39" s="95"/>
      <c r="J39" s="175">
        <f>H39/DAY(B2)</f>
        <v>41662.39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'22'!F40</f>
        <v>34599</v>
      </c>
      <c r="F40" s="145">
        <v>34599</v>
      </c>
      <c r="G40" s="112">
        <f t="shared" si="3"/>
        <v>0</v>
      </c>
      <c r="H40" s="99">
        <f>G40+'22'!H40</f>
        <v>69191.77</v>
      </c>
      <c r="I40" s="95"/>
      <c r="J40" s="175">
        <f>H40/DAY(B2)</f>
        <v>3008.3378260869567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'22'!F41</f>
        <v>433281.79</v>
      </c>
      <c r="F41" s="145">
        <v>433281.79</v>
      </c>
      <c r="G41" s="112">
        <f t="shared" si="3"/>
        <v>0</v>
      </c>
      <c r="H41" s="99">
        <f>G41+'22'!H41</f>
        <v>-177234.68000000011</v>
      </c>
      <c r="I41" s="95"/>
      <c r="J41" s="175">
        <f>H41/DAY(B2)</f>
        <v>-7705.8556521739174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'22'!F42</f>
        <v>175112</v>
      </c>
      <c r="F42" s="145">
        <v>175112</v>
      </c>
      <c r="G42" s="112">
        <f t="shared" si="3"/>
        <v>0</v>
      </c>
      <c r="H42" s="99">
        <f>G42+'22'!H42</f>
        <v>-162623.49</v>
      </c>
      <c r="I42" s="95"/>
      <c r="J42" s="175">
        <f>H42/DAY(B2)</f>
        <v>-7070.5865217391301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'22'!F43</f>
        <v>1289745</v>
      </c>
      <c r="F43" s="145">
        <v>1289745</v>
      </c>
      <c r="G43" s="112">
        <f t="shared" si="3"/>
        <v>0</v>
      </c>
      <c r="H43" s="99">
        <f>G43+'22'!H43</f>
        <v>-191251.19999999995</v>
      </c>
      <c r="I43" s="95"/>
      <c r="J43" s="175">
        <f>H43/DAY(B2)</f>
        <v>-8315.2695652173898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'22'!F45</f>
        <v>614</v>
      </c>
      <c r="F45" s="145">
        <v>614</v>
      </c>
      <c r="G45" s="112">
        <f t="shared" si="3"/>
        <v>0</v>
      </c>
      <c r="H45" s="99">
        <f>G45+'22'!H45</f>
        <v>1228</v>
      </c>
      <c r="I45" s="95"/>
      <c r="J45" s="175">
        <f>H45/DAY(B2)</f>
        <v>53.391304347826086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'22'!F46</f>
        <v>187</v>
      </c>
      <c r="F46" s="145">
        <v>187</v>
      </c>
      <c r="G46" s="112">
        <f t="shared" si="3"/>
        <v>0</v>
      </c>
      <c r="H46" s="99">
        <f>G46+'22'!H46</f>
        <v>374</v>
      </c>
      <c r="I46" s="95"/>
      <c r="J46" s="175">
        <f>H46/DAY(B2)</f>
        <v>16.260869565217391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0</v>
      </c>
      <c r="H47" s="99">
        <f>G47+'22'!H47</f>
        <v>2282746.4</v>
      </c>
      <c r="I47" s="95"/>
      <c r="J47" s="175">
        <f>H47/DAY(B2)</f>
        <v>99249.843478260867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'22'!F49</f>
        <v>419822</v>
      </c>
      <c r="F49" s="145">
        <v>419822</v>
      </c>
      <c r="G49" s="112">
        <f t="shared" ref="G49:G58" si="4">F49-E49</f>
        <v>0</v>
      </c>
      <c r="H49" s="99">
        <f>G49+'22'!H49</f>
        <v>596649.56000000006</v>
      </c>
      <c r="I49" s="95"/>
      <c r="J49" s="175">
        <f>H49/DAY(B2)</f>
        <v>25941.285217391305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'22'!F50</f>
        <v>607298</v>
      </c>
      <c r="F50" s="145">
        <v>607298</v>
      </c>
      <c r="G50" s="112">
        <f t="shared" si="4"/>
        <v>0</v>
      </c>
      <c r="H50" s="99">
        <f>G50+'22'!H50</f>
        <v>-93045.949999999953</v>
      </c>
      <c r="I50" s="95"/>
      <c r="J50" s="175">
        <f>H50/DAY(B2)</f>
        <v>-4045.4760869565198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'22'!F51</f>
        <v>144640</v>
      </c>
      <c r="F51" s="145">
        <v>144640</v>
      </c>
      <c r="G51" s="112">
        <f t="shared" si="4"/>
        <v>0</v>
      </c>
      <c r="H51" s="99">
        <f>G51+'22'!H51</f>
        <v>289280</v>
      </c>
      <c r="I51" s="95"/>
      <c r="J51" s="175">
        <f>H51/DAY(B2)</f>
        <v>12577.391304347826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'22'!F52</f>
        <v>539606</v>
      </c>
      <c r="F52" s="145">
        <v>539606</v>
      </c>
      <c r="G52" s="112">
        <f t="shared" si="4"/>
        <v>0</v>
      </c>
      <c r="H52" s="99">
        <f>G52+'22'!H52</f>
        <v>1079212</v>
      </c>
      <c r="I52" s="95"/>
      <c r="J52" s="175">
        <f>H52/DAY(B2)</f>
        <v>46922.260869565216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'22'!F53</f>
        <v>434232</v>
      </c>
      <c r="F53" s="145">
        <v>434232</v>
      </c>
      <c r="G53" s="112">
        <f t="shared" si="4"/>
        <v>0</v>
      </c>
      <c r="H53" s="99">
        <f>G53+'22'!H53</f>
        <v>868464</v>
      </c>
      <c r="I53" s="95"/>
      <c r="J53" s="175">
        <f>H53/DAY(B2)</f>
        <v>37759.304347826088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'22'!F54</f>
        <v>14967</v>
      </c>
      <c r="F54" s="145">
        <v>14967</v>
      </c>
      <c r="G54" s="112">
        <f t="shared" si="4"/>
        <v>0</v>
      </c>
      <c r="H54" s="99">
        <f>G54+'22'!H54</f>
        <v>24399.77</v>
      </c>
      <c r="I54" s="95"/>
      <c r="J54" s="175">
        <f>H54/DAY(B2)</f>
        <v>1060.8595652173913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'22'!F55</f>
        <v>306268.99</v>
      </c>
      <c r="F55" s="145">
        <v>306268.99</v>
      </c>
      <c r="G55" s="112">
        <f t="shared" si="4"/>
        <v>0</v>
      </c>
      <c r="H55" s="99">
        <f>G55+'22'!H55</f>
        <v>-2059.4899999999907</v>
      </c>
      <c r="I55" s="95"/>
      <c r="J55" s="175">
        <f>H55/DAY(B2)</f>
        <v>-89.543043478260458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'22'!F56</f>
        <v>661019</v>
      </c>
      <c r="F56" s="145">
        <v>661019</v>
      </c>
      <c r="G56" s="112">
        <f t="shared" si="4"/>
        <v>0</v>
      </c>
      <c r="H56" s="99">
        <f>G56+'22'!H56</f>
        <v>-194032.55000000005</v>
      </c>
      <c r="I56" s="95"/>
      <c r="J56" s="175">
        <f>H56/DAY(B2)</f>
        <v>-8436.1978260869582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'22'!F57</f>
        <v>7711</v>
      </c>
      <c r="F57" s="145">
        <v>7711</v>
      </c>
      <c r="G57" s="112">
        <f t="shared" si="4"/>
        <v>0</v>
      </c>
      <c r="H57" s="99">
        <f>G57+'22'!H57</f>
        <v>15422</v>
      </c>
      <c r="I57" s="95"/>
      <c r="J57" s="175">
        <f>H57/DAY(B2)</f>
        <v>670.52173913043475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'22'!F58</f>
        <v>66014</v>
      </c>
      <c r="F58" s="145">
        <v>66014</v>
      </c>
      <c r="G58" s="112">
        <f t="shared" si="4"/>
        <v>0</v>
      </c>
      <c r="H58" s="99">
        <f>G58+'22'!H58</f>
        <v>-16060.800000000003</v>
      </c>
      <c r="I58" s="95"/>
      <c r="J58" s="175">
        <f>H58/DAY(B2)</f>
        <v>-698.29565217391314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0</v>
      </c>
      <c r="H59" s="99">
        <f>G59+'22'!H59</f>
        <v>2568228.54</v>
      </c>
      <c r="I59" s="95">
        <f>G7-G60</f>
        <v>23000</v>
      </c>
      <c r="J59" s="175">
        <f>H59/DAY(B2)</f>
        <v>111662.1104347826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0</v>
      </c>
      <c r="H60" s="99">
        <f>G60+'22'!H60</f>
        <v>4850974.9399999995</v>
      </c>
      <c r="I60" s="95">
        <f>G13-G60</f>
        <v>23000</v>
      </c>
      <c r="J60" s="175">
        <f>H60/DAY(B2)</f>
        <v>210911.95391304346</v>
      </c>
      <c r="K60" s="79"/>
      <c r="L60" s="66"/>
      <c r="N60" s="87"/>
      <c r="O60" s="71"/>
    </row>
    <row r="61" spans="1:15" s="68" customFormat="1" ht="30.75" customHeight="1" x14ac:dyDescent="0.5">
      <c r="A61" s="805" t="s">
        <v>332</v>
      </c>
      <c r="B61" s="806"/>
      <c r="C61" s="807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30.75" customHeight="1" x14ac:dyDescent="0.5">
      <c r="A62" s="771" t="s">
        <v>198</v>
      </c>
      <c r="B62" s="772"/>
      <c r="C62" s="773"/>
      <c r="D62" s="151" t="s">
        <v>142</v>
      </c>
      <c r="E62" s="95">
        <f>'22'!F62</f>
        <v>253452</v>
      </c>
      <c r="F62" s="122">
        <v>253452</v>
      </c>
      <c r="G62" s="112">
        <f t="shared" ref="G62:G63" si="5">F62-E62</f>
        <v>0</v>
      </c>
      <c r="H62" s="99">
        <f>G62+'22'!H62</f>
        <v>-7655</v>
      </c>
      <c r="I62" s="118"/>
      <c r="J62" s="175">
        <f>H62/DAY(B2)</f>
        <v>-332.82608695652175</v>
      </c>
      <c r="K62" s="80"/>
      <c r="L62" s="66"/>
      <c r="N62" s="87"/>
      <c r="O62" s="71"/>
    </row>
    <row r="63" spans="1:15" ht="30.75" customHeight="1" x14ac:dyDescent="0.5">
      <c r="A63" s="771" t="s">
        <v>199</v>
      </c>
      <c r="B63" s="772"/>
      <c r="C63" s="773"/>
      <c r="D63" s="151" t="s">
        <v>142</v>
      </c>
      <c r="E63" s="95">
        <f>'22'!F63</f>
        <v>197659</v>
      </c>
      <c r="F63" s="122">
        <v>197659</v>
      </c>
      <c r="G63" s="112">
        <f t="shared" si="5"/>
        <v>0</v>
      </c>
      <c r="H63" s="99">
        <f>G63+'22'!H63</f>
        <v>-11970</v>
      </c>
      <c r="I63" s="118"/>
      <c r="J63" s="175">
        <f>H63/DAY(B2)</f>
        <v>-520.43478260869563</v>
      </c>
      <c r="K63" s="69"/>
      <c r="L63" s="66"/>
      <c r="N63" s="87"/>
      <c r="O63" s="71"/>
    </row>
    <row r="64" spans="1:15" ht="30.75" customHeight="1" x14ac:dyDescent="0.5">
      <c r="A64" s="780" t="s">
        <v>200</v>
      </c>
      <c r="B64" s="781"/>
      <c r="C64" s="782"/>
      <c r="D64" s="151"/>
      <c r="E64" s="95">
        <f>'22'!F64</f>
        <v>0</v>
      </c>
      <c r="F64" s="122"/>
      <c r="G64" s="112">
        <f>G62+G63</f>
        <v>0</v>
      </c>
      <c r="H64" s="99">
        <f>G64+'22'!H64</f>
        <v>-19625</v>
      </c>
      <c r="I64" s="118"/>
      <c r="J64" s="175">
        <f>H64/DAY(B2)</f>
        <v>-853.26086956521738</v>
      </c>
      <c r="K64" s="69"/>
      <c r="L64" s="66"/>
      <c r="N64" s="87"/>
      <c r="O64" s="71"/>
    </row>
    <row r="65" spans="1:15" ht="30.75" customHeight="1" x14ac:dyDescent="0.5">
      <c r="A65" s="771" t="s">
        <v>201</v>
      </c>
      <c r="B65" s="772"/>
      <c r="C65" s="773"/>
      <c r="D65" s="151" t="s">
        <v>142</v>
      </c>
      <c r="E65" s="95">
        <f>'22'!F65</f>
        <v>421019</v>
      </c>
      <c r="F65" s="122">
        <v>421019</v>
      </c>
      <c r="G65" s="112">
        <f t="shared" ref="G65:G70" si="6">F65-E65</f>
        <v>0</v>
      </c>
      <c r="H65" s="99">
        <f>G65+'22'!H65</f>
        <v>-6100</v>
      </c>
      <c r="I65" s="118"/>
      <c r="J65" s="175">
        <f>H65/DAY(B2)</f>
        <v>-265.21739130434781</v>
      </c>
      <c r="K65" s="69"/>
      <c r="L65" s="66"/>
      <c r="N65" s="87"/>
      <c r="O65" s="71"/>
    </row>
    <row r="66" spans="1:15" ht="30.75" customHeight="1" x14ac:dyDescent="0.5">
      <c r="A66" s="365" t="s">
        <v>202</v>
      </c>
      <c r="B66" s="366"/>
      <c r="C66" s="366"/>
      <c r="D66" s="151" t="s">
        <v>142</v>
      </c>
      <c r="E66" s="95">
        <f>'22'!F66</f>
        <v>104636</v>
      </c>
      <c r="F66" s="122">
        <v>104636</v>
      </c>
      <c r="G66" s="112">
        <f t="shared" si="6"/>
        <v>0</v>
      </c>
      <c r="H66" s="99">
        <f>G66+'22'!H66</f>
        <v>-1732</v>
      </c>
      <c r="I66" s="118"/>
      <c r="J66" s="175">
        <f>H66/DAY(B2)</f>
        <v>-75.304347826086953</v>
      </c>
      <c r="K66" s="78"/>
      <c r="L66" s="66"/>
      <c r="N66" s="87"/>
      <c r="O66" s="71"/>
    </row>
    <row r="67" spans="1:15" ht="30.75" customHeight="1" x14ac:dyDescent="0.5">
      <c r="A67" s="365" t="s">
        <v>203</v>
      </c>
      <c r="B67" s="366"/>
      <c r="C67" s="366"/>
      <c r="D67" s="151" t="s">
        <v>142</v>
      </c>
      <c r="E67" s="95">
        <f>'22'!F67</f>
        <v>100370</v>
      </c>
      <c r="F67" s="122">
        <v>100370</v>
      </c>
      <c r="G67" s="112">
        <f t="shared" si="6"/>
        <v>0</v>
      </c>
      <c r="H67" s="99">
        <f>G67+'22'!H67</f>
        <v>-2308</v>
      </c>
      <c r="I67" s="118"/>
      <c r="J67" s="175">
        <f>H67/DAY(B2)</f>
        <v>-100.34782608695652</v>
      </c>
      <c r="K67" s="81"/>
      <c r="L67" s="66"/>
      <c r="N67" s="87"/>
      <c r="O67" s="71"/>
    </row>
    <row r="68" spans="1:15" ht="30.75" customHeight="1" x14ac:dyDescent="0.5">
      <c r="A68" s="365" t="s">
        <v>204</v>
      </c>
      <c r="B68" s="366"/>
      <c r="C68" s="366"/>
      <c r="D68" s="151" t="s">
        <v>142</v>
      </c>
      <c r="E68" s="95">
        <f>'22'!F68</f>
        <v>152135</v>
      </c>
      <c r="F68" s="122">
        <v>152135</v>
      </c>
      <c r="G68" s="112">
        <f t="shared" si="6"/>
        <v>0</v>
      </c>
      <c r="H68" s="99">
        <f>G68+'22'!H68</f>
        <v>-2715</v>
      </c>
      <c r="I68" s="118"/>
      <c r="J68" s="175">
        <f>H68/DAY(B2)</f>
        <v>-118.04347826086956</v>
      </c>
      <c r="K68" s="69"/>
      <c r="L68" s="66"/>
      <c r="N68" s="87"/>
      <c r="O68" s="71"/>
    </row>
    <row r="69" spans="1:15" ht="30.75" customHeight="1" x14ac:dyDescent="0.5">
      <c r="A69" s="365" t="s">
        <v>205</v>
      </c>
      <c r="B69" s="366"/>
      <c r="C69" s="366"/>
      <c r="D69" s="151" t="s">
        <v>142</v>
      </c>
      <c r="E69" s="95">
        <f>'22'!F69</f>
        <v>8645</v>
      </c>
      <c r="F69" s="122">
        <v>8645</v>
      </c>
      <c r="G69" s="112">
        <f t="shared" si="6"/>
        <v>0</v>
      </c>
      <c r="H69" s="99">
        <f>G69+'22'!H69</f>
        <v>-1032</v>
      </c>
      <c r="I69" s="118"/>
      <c r="J69" s="175">
        <f>H69/DAY(B2)</f>
        <v>-44.869565217391305</v>
      </c>
      <c r="K69" s="69"/>
      <c r="L69" s="66"/>
      <c r="N69" s="87"/>
      <c r="O69" s="71"/>
    </row>
    <row r="70" spans="1:15" ht="30.75" customHeight="1" x14ac:dyDescent="0.5">
      <c r="A70" s="365" t="s">
        <v>206</v>
      </c>
      <c r="B70" s="366"/>
      <c r="C70" s="366"/>
      <c r="D70" s="151" t="s">
        <v>142</v>
      </c>
      <c r="E70" s="95">
        <f>'22'!F70</f>
        <v>6373</v>
      </c>
      <c r="F70" s="122">
        <v>6373</v>
      </c>
      <c r="G70" s="112">
        <f t="shared" si="6"/>
        <v>0</v>
      </c>
      <c r="H70" s="99">
        <f>G70+'22'!H70</f>
        <v>-1059</v>
      </c>
      <c r="I70" s="118"/>
      <c r="J70" s="175">
        <f>H70/DAY(B2)</f>
        <v>-46.043478260869563</v>
      </c>
      <c r="K70" s="69"/>
      <c r="L70" s="66"/>
      <c r="N70" s="87"/>
      <c r="O70" s="71"/>
    </row>
    <row r="71" spans="1:15" ht="30.75" customHeight="1" x14ac:dyDescent="0.5">
      <c r="A71" s="780" t="s">
        <v>208</v>
      </c>
      <c r="B71" s="781"/>
      <c r="C71" s="782"/>
      <c r="D71" s="152"/>
      <c r="E71" s="152"/>
      <c r="F71" s="152"/>
      <c r="G71" s="153">
        <f>SUM(G65:G70)</f>
        <v>0</v>
      </c>
      <c r="H71" s="99">
        <f>G71+'22'!H71</f>
        <v>-14946</v>
      </c>
      <c r="I71" s="154"/>
      <c r="J71" s="175">
        <f>H71/DAY(B2)</f>
        <v>-649.82608695652175</v>
      </c>
      <c r="K71" s="69"/>
      <c r="L71" s="66"/>
      <c r="N71" s="87"/>
      <c r="O71" s="71"/>
    </row>
    <row r="72" spans="1:15" s="88" customFormat="1" ht="30.75" customHeight="1" x14ac:dyDescent="0.5">
      <c r="A72" s="767"/>
      <c r="B72" s="752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777" t="s">
        <v>333</v>
      </c>
      <c r="B73" s="778"/>
      <c r="C73" s="779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30.75" customHeight="1" x14ac:dyDescent="0.5">
      <c r="A74" s="771" t="s">
        <v>220</v>
      </c>
      <c r="B74" s="772"/>
      <c r="C74" s="773"/>
      <c r="D74" s="151" t="s">
        <v>139</v>
      </c>
      <c r="E74" s="95">
        <f>'22'!F74</f>
        <v>856352</v>
      </c>
      <c r="F74" s="117">
        <v>856352</v>
      </c>
      <c r="G74" s="112">
        <f t="shared" ref="G74:G78" si="7">F74-E74</f>
        <v>0</v>
      </c>
      <c r="H74" s="99">
        <f>G74+'22'!H74</f>
        <v>-21277.869999999995</v>
      </c>
      <c r="I74" s="154"/>
      <c r="J74" s="175">
        <f>H74/DAY(B2)</f>
        <v>-925.12478260869545</v>
      </c>
      <c r="K74" s="69"/>
      <c r="L74" s="66"/>
      <c r="N74" s="87"/>
      <c r="O74" s="71"/>
    </row>
    <row r="75" spans="1:15" ht="30.75" customHeight="1" x14ac:dyDescent="0.5">
      <c r="A75" s="771" t="s">
        <v>221</v>
      </c>
      <c r="B75" s="772"/>
      <c r="C75" s="773"/>
      <c r="D75" s="151" t="s">
        <v>139</v>
      </c>
      <c r="E75" s="95">
        <f>'22'!F75</f>
        <v>73583.399999999994</v>
      </c>
      <c r="F75" s="123">
        <v>73583.399999999994</v>
      </c>
      <c r="G75" s="112">
        <f t="shared" si="7"/>
        <v>0</v>
      </c>
      <c r="H75" s="99">
        <f>G75+'22'!H75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768" t="s">
        <v>222</v>
      </c>
      <c r="B76" s="769"/>
      <c r="C76" s="770"/>
      <c r="D76" s="151" t="s">
        <v>139</v>
      </c>
      <c r="E76" s="95">
        <f>'22'!F76</f>
        <v>154077</v>
      </c>
      <c r="F76" s="123">
        <v>154077</v>
      </c>
      <c r="G76" s="112">
        <f t="shared" si="7"/>
        <v>0</v>
      </c>
      <c r="H76" s="99">
        <f>G76+'22'!H76</f>
        <v>-7237.9200000000128</v>
      </c>
      <c r="I76" s="154"/>
      <c r="J76" s="175">
        <f>H76/DAY(B2)</f>
        <v>-314.69217391304403</v>
      </c>
      <c r="K76" s="69"/>
      <c r="L76" s="66"/>
      <c r="N76" s="87"/>
      <c r="O76" s="71"/>
    </row>
    <row r="77" spans="1:15" ht="30.75" customHeight="1" x14ac:dyDescent="0.5">
      <c r="A77" s="768" t="s">
        <v>223</v>
      </c>
      <c r="B77" s="769"/>
      <c r="C77" s="770"/>
      <c r="D77" s="151" t="s">
        <v>139</v>
      </c>
      <c r="E77" s="95">
        <f>'22'!F77</f>
        <v>34629</v>
      </c>
      <c r="F77" s="123">
        <v>34629</v>
      </c>
      <c r="G77" s="112">
        <f t="shared" si="7"/>
        <v>0</v>
      </c>
      <c r="H77" s="99">
        <f>G77+'22'!H77</f>
        <v>-3596.8000000000029</v>
      </c>
      <c r="I77" s="154"/>
      <c r="J77" s="175">
        <f>H77/DAY(B2)</f>
        <v>-156.38260869565229</v>
      </c>
      <c r="K77" s="69"/>
      <c r="L77" s="66"/>
      <c r="N77" s="87"/>
      <c r="O77" s="71"/>
    </row>
    <row r="78" spans="1:15" ht="30.75" customHeight="1" x14ac:dyDescent="0.5">
      <c r="A78" s="768" t="s">
        <v>224</v>
      </c>
      <c r="B78" s="769"/>
      <c r="C78" s="770"/>
      <c r="D78" s="151" t="s">
        <v>139</v>
      </c>
      <c r="E78" s="95">
        <f>'22'!F78</f>
        <v>9180</v>
      </c>
      <c r="F78" s="123">
        <v>9180</v>
      </c>
      <c r="G78" s="112">
        <f t="shared" si="7"/>
        <v>0</v>
      </c>
      <c r="H78" s="99">
        <f>G78+'22'!H78</f>
        <v>-180.60000000000036</v>
      </c>
      <c r="I78" s="118"/>
      <c r="J78" s="175">
        <f>H78/DAY(B2)</f>
        <v>-7.8521739130434938</v>
      </c>
      <c r="K78" s="69"/>
      <c r="L78" s="66"/>
      <c r="N78" s="87"/>
      <c r="O78" s="71"/>
    </row>
    <row r="79" spans="1:15" s="57" customFormat="1" ht="30.75" customHeight="1" x14ac:dyDescent="0.5">
      <c r="A79" s="768" t="s">
        <v>225</v>
      </c>
      <c r="B79" s="769"/>
      <c r="C79" s="770"/>
      <c r="D79" s="151"/>
      <c r="E79" s="95">
        <f>'22'!F79</f>
        <v>0</v>
      </c>
      <c r="F79" s="123"/>
      <c r="G79" s="112">
        <f>G15-SUM(G74:G78)</f>
        <v>875</v>
      </c>
      <c r="H79" s="99">
        <f>G79+'22'!H79</f>
        <v>54453.072999999924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780" t="s">
        <v>329</v>
      </c>
      <c r="B80" s="781"/>
      <c r="C80" s="782"/>
      <c r="D80" s="151"/>
      <c r="E80" s="117"/>
      <c r="F80" s="117"/>
      <c r="G80" s="112">
        <f>SUM(G74:G79)</f>
        <v>875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785" t="s">
        <v>226</v>
      </c>
      <c r="B81" s="786"/>
      <c r="C81" s="787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65" t="s">
        <v>227</v>
      </c>
      <c r="B82" s="366"/>
      <c r="C82" s="366"/>
      <c r="D82" s="151" t="s">
        <v>228</v>
      </c>
      <c r="E82" s="95">
        <f>'22'!F82</f>
        <v>0</v>
      </c>
      <c r="F82" s="122"/>
      <c r="G82" s="112">
        <f t="shared" ref="G82:G92" si="8">F82-E82</f>
        <v>0</v>
      </c>
      <c r="H82" s="99">
        <f>G82+'22'!H82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65" t="s">
        <v>229</v>
      </c>
      <c r="B83" s="366"/>
      <c r="C83" s="366"/>
      <c r="D83" s="151" t="s">
        <v>228</v>
      </c>
      <c r="E83" s="95">
        <f>'22'!F83</f>
        <v>0</v>
      </c>
      <c r="F83" s="122"/>
      <c r="G83" s="112">
        <f t="shared" si="8"/>
        <v>0</v>
      </c>
      <c r="H83" s="99">
        <f>G83+'22'!H83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65" t="s">
        <v>230</v>
      </c>
      <c r="B84" s="366"/>
      <c r="C84" s="366"/>
      <c r="D84" s="151" t="s">
        <v>228</v>
      </c>
      <c r="E84" s="95">
        <f>'22'!F84</f>
        <v>40922</v>
      </c>
      <c r="F84" s="164">
        <v>40922</v>
      </c>
      <c r="G84" s="112">
        <f t="shared" si="8"/>
        <v>0</v>
      </c>
      <c r="H84" s="99">
        <f>G84+'22'!H84</f>
        <v>-774.19000000000233</v>
      </c>
      <c r="I84" s="118"/>
      <c r="J84" s="175">
        <f>H84/DAY(B2)</f>
        <v>-33.660434782608796</v>
      </c>
      <c r="O84" s="71"/>
    </row>
    <row r="85" spans="1:15" ht="30.75" customHeight="1" x14ac:dyDescent="0.5">
      <c r="A85" s="365" t="s">
        <v>231</v>
      </c>
      <c r="B85" s="366"/>
      <c r="C85" s="366"/>
      <c r="D85" s="151" t="s">
        <v>228</v>
      </c>
      <c r="E85" s="95">
        <f>'22'!F85</f>
        <v>856</v>
      </c>
      <c r="F85" s="164">
        <v>856</v>
      </c>
      <c r="G85" s="112">
        <f t="shared" si="8"/>
        <v>0</v>
      </c>
      <c r="H85" s="99">
        <f>G85+'22'!H85</f>
        <v>-761.45</v>
      </c>
      <c r="I85" s="118">
        <f>G82+G83+G84+G85</f>
        <v>0</v>
      </c>
      <c r="J85" s="175">
        <f>H85/DAY(B2)</f>
        <v>-33.106521739130436</v>
      </c>
      <c r="O85" s="71"/>
    </row>
    <row r="86" spans="1:15" ht="30.75" customHeight="1" x14ac:dyDescent="0.5">
      <c r="A86" s="365" t="s">
        <v>232</v>
      </c>
      <c r="B86" s="366"/>
      <c r="C86" s="366"/>
      <c r="D86" s="151" t="s">
        <v>228</v>
      </c>
      <c r="E86" s="95">
        <f>'22'!F86</f>
        <v>42822</v>
      </c>
      <c r="F86" s="164">
        <v>42822</v>
      </c>
      <c r="G86" s="112">
        <f t="shared" si="8"/>
        <v>0</v>
      </c>
      <c r="H86" s="99">
        <f>G86+'22'!H86</f>
        <v>-8.4700000000011642</v>
      </c>
      <c r="I86" s="118"/>
      <c r="J86" s="175">
        <f>H86/DAY(B2)</f>
        <v>-0.36826086956526799</v>
      </c>
      <c r="O86" s="71"/>
    </row>
    <row r="87" spans="1:15" ht="30.75" customHeight="1" x14ac:dyDescent="0.5">
      <c r="A87" s="365" t="s">
        <v>233</v>
      </c>
      <c r="B87" s="366"/>
      <c r="C87" s="366"/>
      <c r="D87" s="151" t="s">
        <v>228</v>
      </c>
      <c r="E87" s="95">
        <f>'22'!F87</f>
        <v>32928</v>
      </c>
      <c r="F87" s="164">
        <v>32928</v>
      </c>
      <c r="G87" s="112">
        <f t="shared" si="8"/>
        <v>0</v>
      </c>
      <c r="H87" s="99">
        <f>G87+'22'!H87</f>
        <v>-921.2300000000032</v>
      </c>
      <c r="I87" s="118"/>
      <c r="J87" s="175">
        <f>H87/DAY(B2)</f>
        <v>-40.053478260869703</v>
      </c>
      <c r="O87" s="71"/>
    </row>
    <row r="88" spans="1:15" ht="30.75" customHeight="1" x14ac:dyDescent="0.5">
      <c r="A88" s="365" t="s">
        <v>234</v>
      </c>
      <c r="B88" s="366"/>
      <c r="C88" s="366"/>
      <c r="D88" s="151" t="s">
        <v>228</v>
      </c>
      <c r="E88" s="95">
        <f>'22'!F88</f>
        <v>23356.43</v>
      </c>
      <c r="F88" s="164">
        <v>23356.43</v>
      </c>
      <c r="G88" s="112">
        <f t="shared" si="8"/>
        <v>0</v>
      </c>
      <c r="H88" s="99">
        <f>G88+'22'!H88</f>
        <v>-580.34000000000015</v>
      </c>
      <c r="I88" s="118">
        <f>G86+G87+G88</f>
        <v>0</v>
      </c>
      <c r="J88" s="175">
        <f>H88/DAY(B2)</f>
        <v>-25.232173913043486</v>
      </c>
      <c r="O88" s="71"/>
    </row>
    <row r="89" spans="1:15" ht="30.75" customHeight="1" x14ac:dyDescent="0.5">
      <c r="A89" s="365" t="s">
        <v>235</v>
      </c>
      <c r="B89" s="366"/>
      <c r="C89" s="366"/>
      <c r="D89" s="151" t="s">
        <v>228</v>
      </c>
      <c r="E89" s="95">
        <f>'22'!F89</f>
        <v>25132.959999999999</v>
      </c>
      <c r="F89" s="164">
        <v>25132.959999999999</v>
      </c>
      <c r="G89" s="112">
        <f t="shared" si="8"/>
        <v>0</v>
      </c>
      <c r="H89" s="99">
        <f>G89+'22'!H89</f>
        <v>-163.57300000000032</v>
      </c>
      <c r="I89" s="118"/>
      <c r="J89" s="175">
        <f>H89/DAY(B2)</f>
        <v>-7.1118695652174049</v>
      </c>
      <c r="O89" s="71"/>
    </row>
    <row r="90" spans="1:15" ht="30.75" customHeight="1" x14ac:dyDescent="0.5">
      <c r="A90" s="365" t="s">
        <v>236</v>
      </c>
      <c r="B90" s="366"/>
      <c r="C90" s="366"/>
      <c r="D90" s="151" t="s">
        <v>228</v>
      </c>
      <c r="E90" s="95">
        <f>'22'!F90</f>
        <v>70524.55</v>
      </c>
      <c r="F90" s="164">
        <v>70524.55</v>
      </c>
      <c r="G90" s="112">
        <f t="shared" si="8"/>
        <v>0</v>
      </c>
      <c r="H90" s="99">
        <f>G90+'22'!H90</f>
        <v>-72.10999999998603</v>
      </c>
      <c r="I90" s="118">
        <f>G89+G90</f>
        <v>0</v>
      </c>
      <c r="J90" s="175">
        <f>H90/DAY(B2)</f>
        <v>-3.1352173913037404</v>
      </c>
      <c r="O90" s="71"/>
    </row>
    <row r="91" spans="1:15" ht="30.75" customHeight="1" x14ac:dyDescent="0.5">
      <c r="A91" s="365" t="s">
        <v>237</v>
      </c>
      <c r="B91" s="366"/>
      <c r="C91" s="366"/>
      <c r="D91" s="151" t="s">
        <v>228</v>
      </c>
      <c r="E91" s="95">
        <f>'22'!F91</f>
        <v>2627.98</v>
      </c>
      <c r="F91" s="122">
        <v>2627.98</v>
      </c>
      <c r="G91" s="112">
        <f t="shared" si="8"/>
        <v>0</v>
      </c>
      <c r="H91" s="99">
        <f>G91+'22'!H91</f>
        <v>-779.37999999999965</v>
      </c>
      <c r="I91" s="165"/>
      <c r="J91" s="175">
        <f>H91/DAY(B2)</f>
        <v>-33.886086956521723</v>
      </c>
      <c r="O91" s="71"/>
    </row>
    <row r="92" spans="1:15" ht="30.75" customHeight="1" x14ac:dyDescent="0.5">
      <c r="A92" s="365" t="s">
        <v>238</v>
      </c>
      <c r="B92" s="366"/>
      <c r="C92" s="366"/>
      <c r="D92" s="151" t="s">
        <v>228</v>
      </c>
      <c r="E92" s="95">
        <f>'22'!F92</f>
        <v>4754</v>
      </c>
      <c r="F92" s="122">
        <v>4754</v>
      </c>
      <c r="G92" s="112">
        <f t="shared" si="8"/>
        <v>0</v>
      </c>
      <c r="H92" s="99">
        <f>G92+'22'!H92</f>
        <v>-8.4600000000000364</v>
      </c>
      <c r="I92" s="165"/>
      <c r="J92" s="175">
        <f>H92/DAY(B2)</f>
        <v>-0.3678260869565233</v>
      </c>
      <c r="O92" s="71"/>
    </row>
    <row r="93" spans="1:15" ht="30.75" customHeight="1" x14ac:dyDescent="0.5">
      <c r="A93" s="774" t="s">
        <v>239</v>
      </c>
      <c r="B93" s="775"/>
      <c r="C93" s="77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771" t="s">
        <v>240</v>
      </c>
      <c r="B94" s="772"/>
      <c r="C94" s="773"/>
      <c r="D94" s="151" t="s">
        <v>130</v>
      </c>
      <c r="E94" s="151"/>
      <c r="F94" s="151"/>
      <c r="G94" s="99">
        <f>G35+G43+G49+G57</f>
        <v>0</v>
      </c>
      <c r="H94" s="99">
        <f>G94+'22'!H94</f>
        <v>2532505.96</v>
      </c>
      <c r="I94" s="118"/>
      <c r="J94" s="175">
        <f>H94/DAY(B2)</f>
        <v>110108.95478260869</v>
      </c>
      <c r="K94" s="69"/>
      <c r="L94" s="66"/>
      <c r="O94" s="71"/>
    </row>
    <row r="95" spans="1:15" ht="30.75" customHeight="1" x14ac:dyDescent="0.5">
      <c r="A95" s="771" t="s">
        <v>241</v>
      </c>
      <c r="B95" s="772"/>
      <c r="C95" s="773"/>
      <c r="D95" s="151" t="s">
        <v>23</v>
      </c>
      <c r="E95" s="146"/>
      <c r="F95" s="146"/>
      <c r="G95" s="166">
        <f>G94/G7</f>
        <v>0</v>
      </c>
      <c r="H95" s="99">
        <f>G95+'22'!H95</f>
        <v>110.05863639047362</v>
      </c>
      <c r="I95" s="167"/>
      <c r="J95" s="175">
        <f>H95/DAY(B2)</f>
        <v>4.7851581039336359</v>
      </c>
      <c r="K95" s="69"/>
      <c r="L95" s="66"/>
      <c r="O95" s="71"/>
    </row>
    <row r="96" spans="1:15" ht="30.75" customHeight="1" x14ac:dyDescent="0.5">
      <c r="A96" s="771" t="s">
        <v>242</v>
      </c>
      <c r="B96" s="772"/>
      <c r="C96" s="773"/>
      <c r="D96" s="151" t="s">
        <v>130</v>
      </c>
      <c r="E96" s="95"/>
      <c r="F96" s="95"/>
      <c r="G96" s="99">
        <f>G41+G42+G55+G56</f>
        <v>0</v>
      </c>
      <c r="H96" s="99">
        <f>G96+'22'!H96</f>
        <v>-535950.2100000002</v>
      </c>
      <c r="I96" s="118"/>
      <c r="J96" s="175">
        <f>H96/DAY(B2)</f>
        <v>-23302.183043478268</v>
      </c>
      <c r="K96" s="69"/>
      <c r="L96" s="66"/>
      <c r="O96" s="71"/>
    </row>
    <row r="97" spans="1:15" ht="30.75" customHeight="1" x14ac:dyDescent="0.5">
      <c r="A97" s="771" t="s">
        <v>243</v>
      </c>
      <c r="B97" s="772"/>
      <c r="C97" s="773"/>
      <c r="D97" s="151" t="s">
        <v>23</v>
      </c>
      <c r="E97" s="95"/>
      <c r="F97" s="95"/>
      <c r="G97" s="166">
        <f>G96/G7</f>
        <v>0</v>
      </c>
      <c r="H97" s="99">
        <f>G97+'22'!H97</f>
        <v>-23.376968076147254</v>
      </c>
      <c r="I97" s="167"/>
      <c r="J97" s="175">
        <f>H97/DAY(B2)</f>
        <v>-1.0163899163542285</v>
      </c>
      <c r="K97" s="69"/>
      <c r="L97" s="66"/>
      <c r="O97" s="71"/>
    </row>
    <row r="98" spans="1:15" ht="30.75" customHeight="1" x14ac:dyDescent="0.5">
      <c r="A98" s="771" t="s">
        <v>244</v>
      </c>
      <c r="B98" s="772"/>
      <c r="C98" s="773"/>
      <c r="D98" s="151" t="s">
        <v>130</v>
      </c>
      <c r="E98" s="95"/>
      <c r="F98" s="95"/>
      <c r="G98" s="99">
        <f>G39+G53</f>
        <v>0</v>
      </c>
      <c r="H98" s="99">
        <f>G98+'22'!H98</f>
        <v>1826698.97</v>
      </c>
      <c r="I98" s="168"/>
      <c r="J98" s="175">
        <f>H98/DAY(B2)</f>
        <v>79421.69434782608</v>
      </c>
      <c r="K98" s="69"/>
      <c r="L98" s="66"/>
      <c r="O98" s="71"/>
    </row>
    <row r="99" spans="1:15" ht="30.75" customHeight="1" x14ac:dyDescent="0.5">
      <c r="A99" s="771" t="s">
        <v>245</v>
      </c>
      <c r="B99" s="772"/>
      <c r="C99" s="773"/>
      <c r="D99" s="151" t="s">
        <v>23</v>
      </c>
      <c r="E99" s="95"/>
      <c r="F99" s="95"/>
      <c r="G99" s="166">
        <f>G98/G7</f>
        <v>0</v>
      </c>
      <c r="H99" s="99">
        <f>G99+'22'!H99</f>
        <v>79.385711690839827</v>
      </c>
      <c r="I99" s="168"/>
      <c r="J99" s="175">
        <f>H99/DAY(B2)</f>
        <v>3.4515526822104272</v>
      </c>
      <c r="O99" s="71"/>
    </row>
    <row r="100" spans="1:15" ht="30.75" customHeight="1" x14ac:dyDescent="0.5">
      <c r="A100" s="771" t="s">
        <v>246</v>
      </c>
      <c r="B100" s="772"/>
      <c r="C100" s="773"/>
      <c r="D100" s="151" t="s">
        <v>180</v>
      </c>
      <c r="E100" s="95"/>
      <c r="F100" s="95"/>
      <c r="G100" s="99">
        <f>G38+G52</f>
        <v>0</v>
      </c>
      <c r="H100" s="99">
        <f>G100+'22'!H100</f>
        <v>942134.4</v>
      </c>
      <c r="I100" s="118"/>
      <c r="J100" s="175">
        <f>H100/DAY(B2)</f>
        <v>40962.365217391307</v>
      </c>
      <c r="K100" s="70"/>
      <c r="O100" s="71"/>
    </row>
    <row r="101" spans="1:15" ht="30.75" customHeight="1" x14ac:dyDescent="0.5">
      <c r="A101" s="771" t="s">
        <v>247</v>
      </c>
      <c r="B101" s="772"/>
      <c r="C101" s="773"/>
      <c r="D101" s="151" t="s">
        <v>23</v>
      </c>
      <c r="E101" s="95"/>
      <c r="F101" s="95"/>
      <c r="G101" s="166">
        <f>G100/G7</f>
        <v>0</v>
      </c>
      <c r="H101" s="99">
        <f>G101+'22'!H101</f>
        <v>40.946365636236884</v>
      </c>
      <c r="I101" s="168"/>
      <c r="J101" s="175">
        <f>H101/DAY(B2)</f>
        <v>1.780276766792908</v>
      </c>
      <c r="O101" s="71"/>
    </row>
    <row r="102" spans="1:15" ht="30.75" customHeight="1" x14ac:dyDescent="0.5">
      <c r="A102" s="771" t="s">
        <v>248</v>
      </c>
      <c r="B102" s="772"/>
      <c r="C102" s="773"/>
      <c r="D102" s="151" t="s">
        <v>180</v>
      </c>
      <c r="E102" s="95"/>
      <c r="F102" s="95"/>
      <c r="G102" s="99">
        <f>G36+G50</f>
        <v>0</v>
      </c>
      <c r="H102" s="99">
        <f>G102+'22'!H102</f>
        <v>-150960.04999999996</v>
      </c>
      <c r="I102" s="168"/>
      <c r="J102" s="175">
        <f>H102/DAY(B2)</f>
        <v>-6563.4804347826066</v>
      </c>
      <c r="O102" s="71"/>
    </row>
    <row r="103" spans="1:15" ht="30.75" customHeight="1" x14ac:dyDescent="0.5">
      <c r="A103" s="771" t="s">
        <v>249</v>
      </c>
      <c r="B103" s="772"/>
      <c r="C103" s="773"/>
      <c r="D103" s="151" t="s">
        <v>23</v>
      </c>
      <c r="E103" s="95"/>
      <c r="F103" s="95"/>
      <c r="G103" s="166">
        <f>G102/G7</f>
        <v>0</v>
      </c>
      <c r="H103" s="99">
        <f>G103+'22'!H103</f>
        <v>-6.5833689420489332</v>
      </c>
      <c r="I103" s="118"/>
      <c r="J103" s="175">
        <f>H103/DAY(B2)</f>
        <v>-0.28623343226299708</v>
      </c>
      <c r="O103" s="71"/>
    </row>
    <row r="104" spans="1:15" ht="30.75" customHeight="1" x14ac:dyDescent="0.5">
      <c r="A104" s="771" t="s">
        <v>250</v>
      </c>
      <c r="B104" s="772"/>
      <c r="C104" s="773"/>
      <c r="D104" s="151" t="s">
        <v>180</v>
      </c>
      <c r="E104" s="95"/>
      <c r="F104" s="95"/>
      <c r="G104" s="99">
        <f>G37+G51</f>
        <v>0</v>
      </c>
      <c r="H104" s="99">
        <f>G104+'22'!H104</f>
        <v>157413.13</v>
      </c>
      <c r="I104" s="118"/>
      <c r="J104" s="175">
        <f>H104/DAY(B2)</f>
        <v>6844.0491304347825</v>
      </c>
      <c r="O104" s="71"/>
    </row>
    <row r="105" spans="1:15" ht="30.75" customHeight="1" thickBot="1" x14ac:dyDescent="0.55000000000000004">
      <c r="A105" s="764" t="s">
        <v>251</v>
      </c>
      <c r="B105" s="765"/>
      <c r="C105" s="766"/>
      <c r="D105" s="231" t="s">
        <v>23</v>
      </c>
      <c r="E105" s="185"/>
      <c r="F105" s="185"/>
      <c r="G105" s="186">
        <f>G104/G7</f>
        <v>0</v>
      </c>
      <c r="H105" s="99">
        <f>G105+'22'!H105</f>
        <v>6.8301240046325189</v>
      </c>
      <c r="I105" s="187"/>
      <c r="J105" s="188">
        <f>H105/DAY(B2)</f>
        <v>0.29696191324489213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760" t="s">
        <v>324</v>
      </c>
      <c r="B108" s="760"/>
      <c r="C108" s="760"/>
      <c r="D108" s="760"/>
      <c r="E108" s="760"/>
      <c r="F108" s="760"/>
      <c r="G108" s="760"/>
      <c r="H108" s="760"/>
      <c r="I108" s="760"/>
      <c r="J108" s="760"/>
    </row>
    <row r="109" spans="1:15" ht="30.75" customHeight="1" x14ac:dyDescent="0.5">
      <c r="A109" s="788"/>
      <c r="B109" s="788"/>
    </row>
    <row r="110" spans="1:15" ht="30.75" customHeight="1" x14ac:dyDescent="0.5">
      <c r="A110" s="761" t="s">
        <v>165</v>
      </c>
      <c r="B110" s="762"/>
      <c r="C110" s="762"/>
      <c r="D110" s="762"/>
      <c r="E110" s="762"/>
      <c r="F110" s="762"/>
      <c r="G110" s="762"/>
      <c r="H110" s="762"/>
      <c r="I110" s="762"/>
      <c r="J110" s="763"/>
    </row>
    <row r="111" spans="1:15" ht="30.75" customHeight="1" x14ac:dyDescent="0.5">
      <c r="A111" s="753"/>
      <c r="B111" s="754"/>
      <c r="C111" s="755"/>
      <c r="D111" s="165"/>
      <c r="E111" s="165"/>
      <c r="F111" s="165"/>
      <c r="G111" s="165"/>
      <c r="H111" s="156"/>
      <c r="I111" s="165"/>
      <c r="J111" s="347"/>
    </row>
    <row r="112" spans="1:15" ht="30.75" customHeight="1" x14ac:dyDescent="0.5">
      <c r="A112" s="750" t="s">
        <v>252</v>
      </c>
      <c r="B112" s="751"/>
      <c r="C112" s="752"/>
      <c r="D112" s="146" t="s">
        <v>183</v>
      </c>
      <c r="E112" s="95">
        <f>'22'!F112</f>
        <v>38434</v>
      </c>
      <c r="F112" s="237">
        <v>38434</v>
      </c>
      <c r="G112" s="112">
        <f t="shared" ref="G112:G123" si="9">F112-E112</f>
        <v>0</v>
      </c>
      <c r="H112" s="99">
        <f>G112+'22'!H112</f>
        <v>-21107.82</v>
      </c>
      <c r="I112" s="165"/>
      <c r="J112" s="348">
        <f>H112/DAY(B2)</f>
        <v>-917.73130434782604</v>
      </c>
    </row>
    <row r="113" spans="1:18" ht="30.75" customHeight="1" x14ac:dyDescent="0.5">
      <c r="A113" s="750" t="s">
        <v>253</v>
      </c>
      <c r="B113" s="751"/>
      <c r="C113" s="752"/>
      <c r="D113" s="146" t="s">
        <v>183</v>
      </c>
      <c r="E113" s="95">
        <f>'22'!F113</f>
        <v>94790</v>
      </c>
      <c r="F113" s="237">
        <v>94790</v>
      </c>
      <c r="G113" s="112">
        <f t="shared" si="9"/>
        <v>0</v>
      </c>
      <c r="H113" s="99">
        <f>G113+'22'!H113</f>
        <v>-119257.45000000001</v>
      </c>
      <c r="I113" s="165"/>
      <c r="J113" s="348">
        <f>H113/DAY(B2)</f>
        <v>-5185.1065217391306</v>
      </c>
    </row>
    <row r="114" spans="1:18" ht="30.75" customHeight="1" x14ac:dyDescent="0.5">
      <c r="A114" s="750" t="s">
        <v>254</v>
      </c>
      <c r="B114" s="751"/>
      <c r="C114" s="752"/>
      <c r="D114" s="146" t="s">
        <v>183</v>
      </c>
      <c r="E114" s="95">
        <f>'22'!F114</f>
        <v>44933</v>
      </c>
      <c r="F114" s="237">
        <v>44933</v>
      </c>
      <c r="G114" s="112">
        <f t="shared" si="9"/>
        <v>0</v>
      </c>
      <c r="H114" s="99">
        <f>G114+'22'!H114</f>
        <v>92743.9</v>
      </c>
      <c r="I114" s="165"/>
      <c r="J114" s="348">
        <f>H114/DAY(B2)</f>
        <v>4032.3434782608692</v>
      </c>
    </row>
    <row r="115" spans="1:18" ht="30.75" customHeight="1" x14ac:dyDescent="0.5">
      <c r="A115" s="750" t="s">
        <v>255</v>
      </c>
      <c r="B115" s="751"/>
      <c r="C115" s="752"/>
      <c r="D115" s="146" t="s">
        <v>183</v>
      </c>
      <c r="E115" s="95">
        <f>'22'!F115</f>
        <v>6560</v>
      </c>
      <c r="F115" s="237">
        <v>6560</v>
      </c>
      <c r="G115" s="112">
        <f t="shared" si="9"/>
        <v>0</v>
      </c>
      <c r="H115" s="99">
        <f>G115+'22'!H115</f>
        <v>-2561.4399999999996</v>
      </c>
      <c r="I115" s="165"/>
      <c r="J115" s="348">
        <f>H115/DAY(B2)</f>
        <v>-111.36695652173911</v>
      </c>
    </row>
    <row r="116" spans="1:18" ht="30.75" customHeight="1" x14ac:dyDescent="0.5">
      <c r="A116" s="757" t="s">
        <v>96</v>
      </c>
      <c r="B116" s="758"/>
      <c r="C116" s="759"/>
      <c r="D116" s="146" t="s">
        <v>183</v>
      </c>
      <c r="E116" s="95">
        <f>'22'!F116</f>
        <v>44933</v>
      </c>
      <c r="F116" s="237">
        <v>44933</v>
      </c>
      <c r="G116" s="112">
        <f t="shared" si="9"/>
        <v>0</v>
      </c>
      <c r="H116" s="99">
        <f>G116+'22'!H116</f>
        <v>89866</v>
      </c>
      <c r="I116" s="165"/>
      <c r="J116" s="348">
        <f>H116/DAY(B2)</f>
        <v>3907.217391304348</v>
      </c>
      <c r="Q116" s="750" t="s">
        <v>311</v>
      </c>
      <c r="R116" s="752"/>
    </row>
    <row r="117" spans="1:18" ht="30.75" customHeight="1" x14ac:dyDescent="0.5">
      <c r="A117" s="757" t="s">
        <v>184</v>
      </c>
      <c r="B117" s="758"/>
      <c r="C117" s="759"/>
      <c r="D117" s="146" t="s">
        <v>183</v>
      </c>
      <c r="E117" s="95">
        <f>'22'!F117</f>
        <v>44933</v>
      </c>
      <c r="F117" s="237">
        <v>44933</v>
      </c>
      <c r="G117" s="112">
        <f t="shared" si="9"/>
        <v>0</v>
      </c>
      <c r="H117" s="99">
        <f>G117+'22'!H117</f>
        <v>88625.98000000001</v>
      </c>
      <c r="I117" s="165"/>
      <c r="J117" s="348">
        <f>H117/DAY(B2)</f>
        <v>3853.3034782608702</v>
      </c>
      <c r="Q117" s="750" t="s">
        <v>312</v>
      </c>
      <c r="R117" s="752"/>
    </row>
    <row r="118" spans="1:18" ht="30.75" customHeight="1" x14ac:dyDescent="0.5">
      <c r="A118" s="749" t="s">
        <v>97</v>
      </c>
      <c r="B118" s="749"/>
      <c r="C118" s="749"/>
      <c r="D118" s="151" t="s">
        <v>183</v>
      </c>
      <c r="E118" s="95">
        <f>'22'!F118</f>
        <v>44933</v>
      </c>
      <c r="F118" s="237">
        <v>44933</v>
      </c>
      <c r="G118" s="112">
        <f t="shared" si="9"/>
        <v>0</v>
      </c>
      <c r="H118" s="99">
        <f>G118+'22'!H118</f>
        <v>-330033.39</v>
      </c>
      <c r="I118" s="165"/>
      <c r="J118" s="348">
        <f>H118/DAY(B2)</f>
        <v>-14349.277826086956</v>
      </c>
      <c r="Q118" s="750" t="s">
        <v>311</v>
      </c>
      <c r="R118" s="752"/>
    </row>
    <row r="119" spans="1:18" ht="30.75" customHeight="1" x14ac:dyDescent="0.5">
      <c r="A119" s="749" t="s">
        <v>98</v>
      </c>
      <c r="B119" s="749"/>
      <c r="C119" s="749"/>
      <c r="D119" s="151" t="s">
        <v>183</v>
      </c>
      <c r="E119" s="95">
        <f>'22'!F119</f>
        <v>44933</v>
      </c>
      <c r="F119" s="237">
        <v>44933</v>
      </c>
      <c r="G119" s="112">
        <f t="shared" si="9"/>
        <v>0</v>
      </c>
      <c r="H119" s="99">
        <f>G119+'22'!H119</f>
        <v>-329315.05</v>
      </c>
      <c r="I119" s="165"/>
      <c r="J119" s="348">
        <f>H119/DAY(B2)</f>
        <v>-14318.045652173912</v>
      </c>
    </row>
    <row r="120" spans="1:18" ht="30.75" customHeight="1" x14ac:dyDescent="0.5">
      <c r="A120" s="749" t="s">
        <v>99</v>
      </c>
      <c r="B120" s="749"/>
      <c r="C120" s="749"/>
      <c r="D120" s="151" t="s">
        <v>183</v>
      </c>
      <c r="E120" s="95">
        <f>'22'!F120</f>
        <v>44933</v>
      </c>
      <c r="F120" s="237">
        <v>44933</v>
      </c>
      <c r="G120" s="112">
        <f t="shared" si="9"/>
        <v>0</v>
      </c>
      <c r="H120" s="99">
        <f>G120+'22'!H120</f>
        <v>71927.510000000009</v>
      </c>
      <c r="I120" s="165"/>
      <c r="J120" s="348">
        <f>H120/DAY(B2)</f>
        <v>3127.2830434782613</v>
      </c>
    </row>
    <row r="121" spans="1:18" ht="30.75" customHeight="1" x14ac:dyDescent="0.5">
      <c r="A121" s="749" t="s">
        <v>100</v>
      </c>
      <c r="B121" s="749"/>
      <c r="C121" s="749"/>
      <c r="D121" s="151" t="s">
        <v>183</v>
      </c>
      <c r="E121" s="95">
        <f>'22'!F121</f>
        <v>44933</v>
      </c>
      <c r="F121" s="237">
        <v>44933</v>
      </c>
      <c r="G121" s="112">
        <f t="shared" si="9"/>
        <v>0</v>
      </c>
      <c r="H121" s="99">
        <f>G121+'22'!H121</f>
        <v>-541106.63</v>
      </c>
      <c r="I121" s="165"/>
      <c r="J121" s="348">
        <f>H121/DAY(B2)</f>
        <v>-23526.375217391305</v>
      </c>
    </row>
    <row r="122" spans="1:18" ht="30.75" customHeight="1" x14ac:dyDescent="0.5">
      <c r="A122" s="749" t="s">
        <v>101</v>
      </c>
      <c r="B122" s="749"/>
      <c r="C122" s="749"/>
      <c r="D122" s="151" t="s">
        <v>183</v>
      </c>
      <c r="E122" s="95">
        <f>'22'!F122</f>
        <v>44933</v>
      </c>
      <c r="F122" s="237">
        <v>44933</v>
      </c>
      <c r="G122" s="112">
        <f t="shared" si="9"/>
        <v>0</v>
      </c>
      <c r="H122" s="99">
        <f>G122+'22'!H122</f>
        <v>-98745.64</v>
      </c>
      <c r="I122" s="165"/>
      <c r="J122" s="348">
        <f>H122/DAY(B2)</f>
        <v>-4293.2886956521743</v>
      </c>
    </row>
    <row r="123" spans="1:18" ht="30.75" customHeight="1" x14ac:dyDescent="0.5">
      <c r="A123" s="749" t="s">
        <v>102</v>
      </c>
      <c r="B123" s="749"/>
      <c r="C123" s="749"/>
      <c r="D123" s="151" t="s">
        <v>183</v>
      </c>
      <c r="E123" s="95">
        <f>'22'!F123</f>
        <v>44933</v>
      </c>
      <c r="F123" s="237">
        <v>44933</v>
      </c>
      <c r="G123" s="112">
        <f t="shared" si="9"/>
        <v>0</v>
      </c>
      <c r="H123" s="99">
        <f>G123+'22'!H123</f>
        <v>-146917.34</v>
      </c>
      <c r="I123" s="165"/>
      <c r="J123" s="348">
        <f>H123/DAY(B2)</f>
        <v>-6387.7104347826089</v>
      </c>
    </row>
    <row r="124" spans="1:18" ht="30.75" customHeight="1" x14ac:dyDescent="0.5">
      <c r="A124" s="753"/>
      <c r="B124" s="754"/>
      <c r="C124" s="755"/>
      <c r="D124" s="165"/>
      <c r="E124" s="95">
        <f>'22'!F124</f>
        <v>0</v>
      </c>
      <c r="F124" s="165"/>
      <c r="G124" s="347"/>
      <c r="H124" s="99">
        <f>G124+'22'!H124</f>
        <v>0</v>
      </c>
      <c r="I124" s="165"/>
      <c r="J124" s="347"/>
    </row>
    <row r="125" spans="1:18" ht="30.75" customHeight="1" x14ac:dyDescent="0.5">
      <c r="A125" s="737"/>
      <c r="B125" s="737"/>
      <c r="C125" s="246"/>
      <c r="D125" s="317"/>
      <c r="E125" s="318"/>
      <c r="F125" s="318"/>
      <c r="G125" s="319"/>
      <c r="H125" s="156"/>
      <c r="I125" s="165"/>
      <c r="J125" s="347"/>
    </row>
    <row r="126" spans="1:18" ht="30.75" customHeight="1" x14ac:dyDescent="0.5">
      <c r="A126" s="756" t="s">
        <v>317</v>
      </c>
      <c r="B126" s="756"/>
      <c r="C126" s="756"/>
      <c r="D126" s="756"/>
      <c r="E126" s="756"/>
      <c r="F126" s="756"/>
      <c r="G126" s="756"/>
      <c r="H126" s="756"/>
      <c r="I126" s="756"/>
      <c r="J126" s="756"/>
    </row>
    <row r="127" spans="1:18" ht="30.75" customHeight="1" x14ac:dyDescent="0.5">
      <c r="A127" s="737"/>
      <c r="B127" s="737"/>
      <c r="C127" s="246"/>
      <c r="D127" s="317"/>
      <c r="E127" s="318"/>
      <c r="F127" s="318"/>
      <c r="G127" s="319"/>
      <c r="H127" s="99">
        <f>G127+'22'!H127</f>
        <v>0</v>
      </c>
      <c r="I127" s="165"/>
      <c r="J127" s="348">
        <f>H127/DAY(B2)</f>
        <v>0</v>
      </c>
    </row>
    <row r="128" spans="1:18" ht="30.75" customHeight="1" x14ac:dyDescent="0.5">
      <c r="A128" s="750" t="s">
        <v>318</v>
      </c>
      <c r="B128" s="751"/>
      <c r="C128" s="752"/>
      <c r="D128" s="151" t="s">
        <v>183</v>
      </c>
      <c r="E128" s="95">
        <f>'22'!F128</f>
        <v>0</v>
      </c>
      <c r="F128" s="165"/>
      <c r="G128" s="112">
        <f t="shared" ref="G128:G134" si="10">F128-E128</f>
        <v>0</v>
      </c>
      <c r="H128" s="99">
        <f>G128+'22'!H128</f>
        <v>-20837.400000000001</v>
      </c>
      <c r="I128" s="165"/>
      <c r="J128" s="348">
        <f>H128/DAY(B2)</f>
        <v>-905.97391304347832</v>
      </c>
    </row>
    <row r="129" spans="1:15" ht="30.75" customHeight="1" x14ac:dyDescent="0.5">
      <c r="A129" s="349" t="s">
        <v>319</v>
      </c>
      <c r="B129" s="350"/>
      <c r="C129" s="351"/>
      <c r="D129" s="151" t="s">
        <v>183</v>
      </c>
      <c r="E129" s="95">
        <f>'22'!F129</f>
        <v>0</v>
      </c>
      <c r="F129" s="165"/>
      <c r="G129" s="112">
        <f t="shared" si="10"/>
        <v>0</v>
      </c>
      <c r="H129" s="99">
        <f>G129+'22'!H129</f>
        <v>-3767.84</v>
      </c>
      <c r="I129" s="165"/>
      <c r="J129" s="348">
        <f>H129/DAY(B2)</f>
        <v>-163.81913043478261</v>
      </c>
      <c r="N129" s="240"/>
      <c r="O129" s="241"/>
    </row>
    <row r="130" spans="1:15" ht="30.75" customHeight="1" x14ac:dyDescent="0.5">
      <c r="A130" s="349" t="s">
        <v>320</v>
      </c>
      <c r="B130" s="350"/>
      <c r="C130" s="351"/>
      <c r="D130" s="151" t="s">
        <v>183</v>
      </c>
      <c r="E130" s="95">
        <f>'22'!F130</f>
        <v>0</v>
      </c>
      <c r="F130" s="165"/>
      <c r="G130" s="112">
        <f t="shared" si="10"/>
        <v>0</v>
      </c>
      <c r="H130" s="99">
        <f>G130+'22'!H130</f>
        <v>-4439.2299999999996</v>
      </c>
      <c r="I130" s="165"/>
      <c r="J130" s="348">
        <f>H130/DAY(B2)</f>
        <v>-193.01</v>
      </c>
      <c r="N130" s="240"/>
      <c r="O130" s="241"/>
    </row>
    <row r="131" spans="1:15" ht="30.75" customHeight="1" x14ac:dyDescent="0.5">
      <c r="A131" s="750" t="s">
        <v>321</v>
      </c>
      <c r="B131" s="751"/>
      <c r="C131" s="752"/>
      <c r="D131" s="151" t="s">
        <v>183</v>
      </c>
      <c r="E131" s="95">
        <f>'22'!F131</f>
        <v>0</v>
      </c>
      <c r="F131" s="165"/>
      <c r="G131" s="112">
        <f t="shared" si="10"/>
        <v>0</v>
      </c>
      <c r="H131" s="99">
        <f>G131+'22'!H131</f>
        <v>-2311.35</v>
      </c>
      <c r="I131" s="165"/>
      <c r="J131" s="348">
        <f>H131/DAY(B2)</f>
        <v>-100.49347826086957</v>
      </c>
      <c r="N131" s="240"/>
      <c r="O131" s="241"/>
    </row>
    <row r="132" spans="1:15" ht="30.75" customHeight="1" x14ac:dyDescent="0.5">
      <c r="A132" s="750" t="s">
        <v>322</v>
      </c>
      <c r="B132" s="751"/>
      <c r="C132" s="752"/>
      <c r="D132" s="151" t="s">
        <v>183</v>
      </c>
      <c r="E132" s="95">
        <f>'22'!F132</f>
        <v>0</v>
      </c>
      <c r="F132" s="165"/>
      <c r="G132" s="112">
        <f t="shared" si="10"/>
        <v>0</v>
      </c>
      <c r="H132" s="99">
        <f>G132+'22'!H132</f>
        <v>-7246.7</v>
      </c>
      <c r="I132" s="165"/>
      <c r="J132" s="348">
        <f>H132/DAY(B2)</f>
        <v>-315.07391304347823</v>
      </c>
    </row>
    <row r="133" spans="1:15" ht="30.75" customHeight="1" x14ac:dyDescent="0.5">
      <c r="A133" s="750" t="s">
        <v>323</v>
      </c>
      <c r="B133" s="751"/>
      <c r="C133" s="752"/>
      <c r="D133" s="151" t="s">
        <v>183</v>
      </c>
      <c r="E133" s="95">
        <f>'22'!F133</f>
        <v>0</v>
      </c>
      <c r="F133" s="165"/>
      <c r="G133" s="112">
        <f t="shared" si="10"/>
        <v>0</v>
      </c>
      <c r="H133" s="99">
        <f>G133+'22'!H133</f>
        <v>-45947.5</v>
      </c>
      <c r="I133" s="165"/>
      <c r="J133" s="348">
        <f>H133/DAY(B2)</f>
        <v>-1997.7173913043478</v>
      </c>
    </row>
    <row r="134" spans="1:15" ht="30.75" customHeight="1" x14ac:dyDescent="0.5">
      <c r="A134" s="750" t="s">
        <v>340</v>
      </c>
      <c r="B134" s="751"/>
      <c r="C134" s="752"/>
      <c r="D134" s="151" t="s">
        <v>183</v>
      </c>
      <c r="E134" s="95">
        <f>'22'!F134</f>
        <v>0</v>
      </c>
      <c r="F134" s="165"/>
      <c r="G134" s="112">
        <f t="shared" si="10"/>
        <v>0</v>
      </c>
      <c r="H134" s="99">
        <f>G134+'22'!H134</f>
        <v>-1237706</v>
      </c>
      <c r="I134" s="165"/>
      <c r="J134" s="348">
        <f>H134/DAY(B2)</f>
        <v>-53813.304347826088</v>
      </c>
    </row>
    <row r="135" spans="1:15" ht="30.75" customHeight="1" x14ac:dyDescent="0.5">
      <c r="A135" s="753"/>
      <c r="B135" s="754"/>
      <c r="C135" s="755"/>
      <c r="D135" s="151"/>
      <c r="E135" s="95"/>
      <c r="F135" s="165"/>
      <c r="G135" s="112"/>
      <c r="H135" s="99">
        <f>G135+'10'!H135</f>
        <v>5534.2300000000005</v>
      </c>
      <c r="I135" s="165"/>
      <c r="J135" s="348"/>
    </row>
    <row r="136" spans="1:15" ht="30.75" customHeight="1" x14ac:dyDescent="0.55000000000000004">
      <c r="A136" s="736" t="s">
        <v>325</v>
      </c>
      <c r="B136" s="736"/>
      <c r="C136" s="736"/>
      <c r="D136" s="736"/>
      <c r="E136" s="736"/>
      <c r="F136" s="736"/>
      <c r="G136" s="736"/>
      <c r="H136" s="736"/>
      <c r="I136" s="736"/>
      <c r="J136" s="736"/>
    </row>
    <row r="137" spans="1:15" ht="30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30.75" customHeight="1" x14ac:dyDescent="0.5">
      <c r="A138" s="749" t="s">
        <v>185</v>
      </c>
      <c r="B138" s="749"/>
      <c r="C138" s="749"/>
      <c r="D138" s="151" t="s">
        <v>183</v>
      </c>
      <c r="E138" s="95">
        <f>'22'!F138</f>
        <v>857022</v>
      </c>
      <c r="F138" s="147">
        <v>857022</v>
      </c>
      <c r="G138" s="112">
        <f t="shared" ref="G138:G152" si="11">F138-E138</f>
        <v>0</v>
      </c>
      <c r="H138" s="99">
        <f>G138+'22'!H138</f>
        <v>-2046</v>
      </c>
      <c r="I138" s="118"/>
      <c r="J138" s="348">
        <f>H138/DAY(B2)</f>
        <v>-88.956521739130437</v>
      </c>
    </row>
    <row r="139" spans="1:15" ht="30.75" customHeight="1" x14ac:dyDescent="0.5">
      <c r="A139" s="749" t="s">
        <v>186</v>
      </c>
      <c r="B139" s="749"/>
      <c r="C139" s="749"/>
      <c r="D139" s="151" t="s">
        <v>183</v>
      </c>
      <c r="E139" s="95">
        <f>'22'!F139</f>
        <v>886051</v>
      </c>
      <c r="F139" s="148">
        <v>886051</v>
      </c>
      <c r="G139" s="112">
        <f t="shared" si="11"/>
        <v>0</v>
      </c>
      <c r="H139" s="99">
        <f>G139+'22'!H139</f>
        <v>-33</v>
      </c>
      <c r="I139" s="118"/>
      <c r="J139" s="348">
        <f>H139/DAY(B2)</f>
        <v>-1.4347826086956521</v>
      </c>
    </row>
    <row r="140" spans="1:15" ht="30.75" customHeight="1" x14ac:dyDescent="0.5">
      <c r="A140" s="749" t="s">
        <v>187</v>
      </c>
      <c r="B140" s="749"/>
      <c r="C140" s="749"/>
      <c r="D140" s="151" t="s">
        <v>183</v>
      </c>
      <c r="E140" s="95">
        <f>'22'!F140</f>
        <v>88776</v>
      </c>
      <c r="F140" s="149">
        <v>88776</v>
      </c>
      <c r="G140" s="112">
        <f t="shared" si="11"/>
        <v>0</v>
      </c>
      <c r="H140" s="99">
        <f>G140+'22'!H140</f>
        <v>-47.100000000005821</v>
      </c>
      <c r="I140" s="118"/>
      <c r="J140" s="348">
        <f>H140/DAY(B2)</f>
        <v>-2.0478260869567748</v>
      </c>
    </row>
    <row r="141" spans="1:15" ht="30.75" customHeight="1" x14ac:dyDescent="0.5">
      <c r="A141" s="728" t="s">
        <v>188</v>
      </c>
      <c r="B141" s="728"/>
      <c r="C141" s="728"/>
      <c r="D141" s="151" t="s">
        <v>183</v>
      </c>
      <c r="E141" s="95">
        <f>'22'!F141</f>
        <v>26308</v>
      </c>
      <c r="F141" s="149">
        <v>26308</v>
      </c>
      <c r="G141" s="112">
        <f t="shared" si="11"/>
        <v>0</v>
      </c>
      <c r="H141" s="99">
        <f>G141+'22'!H141</f>
        <v>-13573.5</v>
      </c>
      <c r="I141" s="118"/>
      <c r="J141" s="348">
        <f>H141/DAY(B2)</f>
        <v>-590.1521739130435</v>
      </c>
    </row>
    <row r="142" spans="1:15" ht="30.75" customHeight="1" x14ac:dyDescent="0.5">
      <c r="A142" s="728" t="s">
        <v>189</v>
      </c>
      <c r="B142" s="728"/>
      <c r="C142" s="728"/>
      <c r="D142" s="151" t="s">
        <v>183</v>
      </c>
      <c r="E142" s="95">
        <f>'22'!F142</f>
        <v>13277</v>
      </c>
      <c r="F142" s="148">
        <v>13277</v>
      </c>
      <c r="G142" s="112">
        <f t="shared" si="11"/>
        <v>0</v>
      </c>
      <c r="H142" s="99">
        <f>G142+'22'!H142</f>
        <v>-5306.2999999999993</v>
      </c>
      <c r="I142" s="140"/>
      <c r="J142" s="348">
        <f>H142/DAY(B2)</f>
        <v>-230.70869565217387</v>
      </c>
    </row>
    <row r="143" spans="1:15" ht="30.75" customHeight="1" x14ac:dyDescent="0.5">
      <c r="A143" s="749" t="s">
        <v>91</v>
      </c>
      <c r="B143" s="749"/>
      <c r="C143" s="749"/>
      <c r="D143" s="151" t="s">
        <v>183</v>
      </c>
      <c r="E143" s="95">
        <f>'22'!F143</f>
        <v>0</v>
      </c>
      <c r="F143" s="149"/>
      <c r="G143" s="112">
        <f t="shared" si="11"/>
        <v>0</v>
      </c>
      <c r="H143" s="99">
        <f>G143+'22'!H143</f>
        <v>-1531.35</v>
      </c>
      <c r="I143" s="140"/>
      <c r="J143" s="348">
        <f>H143/DAY(B2)</f>
        <v>-66.580434782608691</v>
      </c>
    </row>
    <row r="144" spans="1:15" ht="30.75" customHeight="1" x14ac:dyDescent="0.5">
      <c r="A144" s="728" t="s">
        <v>90</v>
      </c>
      <c r="B144" s="728"/>
      <c r="C144" s="728"/>
      <c r="D144" s="151" t="s">
        <v>183</v>
      </c>
      <c r="E144" s="95">
        <f>'22'!F144</f>
        <v>0</v>
      </c>
      <c r="F144" s="149"/>
      <c r="G144" s="112">
        <f t="shared" si="11"/>
        <v>0</v>
      </c>
      <c r="H144" s="99">
        <f>G144+'22'!H144</f>
        <v>-1702947</v>
      </c>
      <c r="I144" s="140"/>
      <c r="J144" s="348">
        <f>H144/DAY(B2)</f>
        <v>-74041.173913043473</v>
      </c>
    </row>
    <row r="145" spans="1:10" ht="30.75" customHeight="1" x14ac:dyDescent="0.5">
      <c r="A145" s="749" t="s">
        <v>190</v>
      </c>
      <c r="B145" s="749"/>
      <c r="C145" s="749"/>
      <c r="D145" s="152" t="s">
        <v>183</v>
      </c>
      <c r="E145" s="95">
        <f>'22'!F145</f>
        <v>0</v>
      </c>
      <c r="F145" s="149"/>
      <c r="G145" s="112">
        <f t="shared" si="11"/>
        <v>0</v>
      </c>
      <c r="H145" s="99">
        <f>G145+'22'!H145</f>
        <v>-2618.4</v>
      </c>
      <c r="I145" s="140"/>
      <c r="J145" s="348">
        <f>H145/DAY(B2)</f>
        <v>-113.84347826086957</v>
      </c>
    </row>
    <row r="146" spans="1:10" ht="30.75" customHeight="1" x14ac:dyDescent="0.5">
      <c r="A146" s="784" t="s">
        <v>191</v>
      </c>
      <c r="B146" s="769"/>
      <c r="C146" s="770"/>
      <c r="D146" s="152" t="s">
        <v>183</v>
      </c>
      <c r="E146" s="95">
        <f>'22'!F146</f>
        <v>0</v>
      </c>
      <c r="F146" s="148"/>
      <c r="G146" s="112">
        <f t="shared" si="11"/>
        <v>0</v>
      </c>
      <c r="H146" s="99">
        <f>G146+'22'!H146</f>
        <v>-1380251</v>
      </c>
      <c r="I146" s="140"/>
      <c r="J146" s="348">
        <f>H146/DAY(B2)</f>
        <v>-60010.913043478264</v>
      </c>
    </row>
    <row r="147" spans="1:10" ht="30.75" customHeight="1" x14ac:dyDescent="0.5">
      <c r="A147" s="728" t="s">
        <v>192</v>
      </c>
      <c r="B147" s="728"/>
      <c r="C147" s="728"/>
      <c r="D147" s="152" t="s">
        <v>183</v>
      </c>
      <c r="E147" s="95">
        <f>'22'!F147</f>
        <v>0</v>
      </c>
      <c r="F147" s="148"/>
      <c r="G147" s="112">
        <f t="shared" si="11"/>
        <v>0</v>
      </c>
      <c r="H147" s="99">
        <f>G147+'22'!H147</f>
        <v>-1159149.72</v>
      </c>
      <c r="I147" s="140"/>
      <c r="J147" s="348">
        <f>H147/DAY(B2)</f>
        <v>-50397.813913043479</v>
      </c>
    </row>
    <row r="148" spans="1:10" ht="30.75" customHeight="1" x14ac:dyDescent="0.5">
      <c r="A148" s="729" t="s">
        <v>193</v>
      </c>
      <c r="B148" s="730"/>
      <c r="C148" s="731"/>
      <c r="D148" s="123" t="s">
        <v>130</v>
      </c>
      <c r="E148" s="95">
        <f>'22'!F148</f>
        <v>0</v>
      </c>
      <c r="F148" s="150"/>
      <c r="G148" s="112">
        <f t="shared" si="11"/>
        <v>0</v>
      </c>
      <c r="H148" s="99">
        <f>G148+'22'!H148</f>
        <v>-1320350.54</v>
      </c>
      <c r="I148" s="124"/>
      <c r="J148" s="348">
        <f>H148/DAY(B2)</f>
        <v>-57406.545217391307</v>
      </c>
    </row>
    <row r="149" spans="1:10" ht="30.75" customHeight="1" x14ac:dyDescent="0.5">
      <c r="A149" s="729" t="s">
        <v>336</v>
      </c>
      <c r="B149" s="730"/>
      <c r="C149" s="731"/>
      <c r="D149" s="227" t="s">
        <v>130</v>
      </c>
      <c r="E149" s="95">
        <f>'22'!F149</f>
        <v>0</v>
      </c>
      <c r="F149" s="146"/>
      <c r="G149" s="112">
        <f t="shared" si="11"/>
        <v>0</v>
      </c>
      <c r="H149" s="99">
        <f>G149+'22'!H149</f>
        <v>-155505</v>
      </c>
      <c r="I149" s="119"/>
      <c r="J149" s="348">
        <f>H149/DAY(B2)</f>
        <v>-6761.086956521739</v>
      </c>
    </row>
    <row r="150" spans="1:10" ht="30.75" customHeight="1" x14ac:dyDescent="0.5">
      <c r="A150" s="729" t="s">
        <v>337</v>
      </c>
      <c r="B150" s="730"/>
      <c r="C150" s="731"/>
      <c r="D150" s="117" t="s">
        <v>130</v>
      </c>
      <c r="E150" s="95">
        <f>'22'!F150</f>
        <v>0</v>
      </c>
      <c r="F150" s="233"/>
      <c r="G150" s="112">
        <f t="shared" si="11"/>
        <v>0</v>
      </c>
      <c r="H150" s="99">
        <f>G150+'22'!H150</f>
        <v>-14334464</v>
      </c>
      <c r="I150" s="119"/>
      <c r="J150" s="348">
        <f>H150/DAY(B2)</f>
        <v>-623237.56521739135</v>
      </c>
    </row>
    <row r="151" spans="1:10" ht="30.75" customHeight="1" x14ac:dyDescent="0.5">
      <c r="A151" s="729" t="s">
        <v>338</v>
      </c>
      <c r="B151" s="730"/>
      <c r="C151" s="731"/>
      <c r="D151" s="117" t="s">
        <v>130</v>
      </c>
      <c r="E151" s="95">
        <f>'22'!F151</f>
        <v>0</v>
      </c>
      <c r="F151" s="233"/>
      <c r="G151" s="112">
        <f t="shared" si="11"/>
        <v>0</v>
      </c>
      <c r="H151" s="99">
        <f>G151+'22'!H151</f>
        <v>-112419</v>
      </c>
      <c r="I151" s="119"/>
      <c r="J151" s="348">
        <f>H151/DAY(B2)</f>
        <v>-4887.782608695652</v>
      </c>
    </row>
    <row r="152" spans="1:10" ht="30.75" customHeight="1" x14ac:dyDescent="0.5">
      <c r="A152" s="729" t="s">
        <v>339</v>
      </c>
      <c r="B152" s="730"/>
      <c r="C152" s="731"/>
      <c r="D152" s="117" t="s">
        <v>130</v>
      </c>
      <c r="E152" s="95">
        <f>'22'!F152</f>
        <v>0</v>
      </c>
      <c r="F152" s="233"/>
      <c r="G152" s="112">
        <f t="shared" si="11"/>
        <v>0</v>
      </c>
      <c r="H152" s="99">
        <f>G152+'22'!H152</f>
        <v>0</v>
      </c>
      <c r="I152" s="119"/>
      <c r="J152" s="348">
        <f>H152/DAY(B2)</f>
        <v>0</v>
      </c>
    </row>
    <row r="153" spans="1:10" ht="30.75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0.75" customHeight="1" x14ac:dyDescent="0.55000000000000004">
      <c r="A154" s="736" t="s">
        <v>344</v>
      </c>
      <c r="B154" s="736"/>
      <c r="C154" s="736"/>
      <c r="D154" s="736"/>
      <c r="E154" s="736"/>
      <c r="F154" s="736"/>
      <c r="G154" s="736"/>
      <c r="H154" s="736"/>
      <c r="I154" s="736"/>
      <c r="J154" s="736"/>
    </row>
    <row r="155" spans="1:10" ht="30.75" customHeight="1" x14ac:dyDescent="0.55000000000000004">
      <c r="A155" s="728" t="s">
        <v>345</v>
      </c>
      <c r="B155" s="728"/>
      <c r="C155" s="728"/>
      <c r="D155" s="117" t="s">
        <v>130</v>
      </c>
      <c r="E155" s="95">
        <f>'22'!F155</f>
        <v>0</v>
      </c>
      <c r="F155" s="385"/>
      <c r="G155" s="112">
        <f t="shared" ref="G155:G156" si="12">F155-E155</f>
        <v>0</v>
      </c>
      <c r="H155" s="99">
        <f>G155+'22'!H155</f>
        <v>-154178.09999999998</v>
      </c>
      <c r="I155" s="385"/>
      <c r="J155" s="348">
        <f>H155/DAY(B2)</f>
        <v>-6703.3956521739119</v>
      </c>
    </row>
    <row r="156" spans="1:10" ht="30.75" customHeight="1" x14ac:dyDescent="0.5">
      <c r="A156" s="728" t="s">
        <v>347</v>
      </c>
      <c r="B156" s="728"/>
      <c r="C156" s="728"/>
      <c r="D156" s="117" t="s">
        <v>130</v>
      </c>
      <c r="E156" s="95">
        <f>'22'!F156</f>
        <v>0</v>
      </c>
      <c r="F156" s="165"/>
      <c r="G156" s="112">
        <f t="shared" si="12"/>
        <v>0</v>
      </c>
      <c r="H156" s="99">
        <f>G156+'22'!H156</f>
        <v>0</v>
      </c>
      <c r="I156" s="165"/>
      <c r="J156" s="348">
        <f>H156/DAY(B2)</f>
        <v>0</v>
      </c>
    </row>
    <row r="157" spans="1:10" ht="30.75" customHeight="1" x14ac:dyDescent="0.55000000000000004">
      <c r="A157" s="736" t="s">
        <v>326</v>
      </c>
      <c r="B157" s="736"/>
      <c r="C157" s="736"/>
      <c r="D157" s="736"/>
      <c r="E157" s="736"/>
      <c r="F157" s="736"/>
      <c r="G157" s="736"/>
      <c r="H157" s="736"/>
      <c r="I157" s="736"/>
      <c r="J157" s="736"/>
    </row>
    <row r="158" spans="1:10" ht="30.75" customHeight="1" x14ac:dyDescent="0.5">
      <c r="A158" s="242" t="s">
        <v>92</v>
      </c>
      <c r="B158" s="243"/>
      <c r="C158" s="243"/>
      <c r="D158" s="244" t="s">
        <v>180</v>
      </c>
      <c r="E158" s="95">
        <f>'22'!F158</f>
        <v>463315</v>
      </c>
      <c r="F158" s="235">
        <v>463315</v>
      </c>
      <c r="G158" s="238">
        <f t="shared" ref="G158:G162" si="13">F158-E158</f>
        <v>0</v>
      </c>
      <c r="H158" s="99">
        <f>G158+'22'!H158</f>
        <v>-5764.4000000000233</v>
      </c>
      <c r="I158" s="236"/>
      <c r="J158" s="239">
        <f>H158/DAY(B2)</f>
        <v>-250.62608695652276</v>
      </c>
    </row>
    <row r="159" spans="1:10" ht="30.75" customHeight="1" x14ac:dyDescent="0.5">
      <c r="A159" s="242" t="s">
        <v>93</v>
      </c>
      <c r="B159" s="243"/>
      <c r="C159" s="243"/>
      <c r="D159" s="244" t="s">
        <v>180</v>
      </c>
      <c r="E159" s="95">
        <f>'22'!F159</f>
        <v>83899</v>
      </c>
      <c r="F159" s="235">
        <v>83899</v>
      </c>
      <c r="G159" s="238">
        <f t="shared" si="13"/>
        <v>0</v>
      </c>
      <c r="H159" s="99">
        <f>G159+'22'!H159</f>
        <v>-2351.3999999999942</v>
      </c>
      <c r="I159" s="236"/>
      <c r="J159" s="239">
        <f>H159/DAY(B2)</f>
        <v>-102.2347826086954</v>
      </c>
    </row>
    <row r="160" spans="1:10" ht="30.75" customHeight="1" x14ac:dyDescent="0.5">
      <c r="A160" s="242" t="s">
        <v>197</v>
      </c>
      <c r="B160" s="243"/>
      <c r="C160" s="243"/>
      <c r="D160" s="244" t="s">
        <v>180</v>
      </c>
      <c r="E160" s="95">
        <f>'22'!F160</f>
        <v>69089</v>
      </c>
      <c r="F160" s="235">
        <v>69089</v>
      </c>
      <c r="G160" s="238">
        <f t="shared" si="13"/>
        <v>0</v>
      </c>
      <c r="H160" s="99">
        <f>G160+'22'!H160</f>
        <v>-4894.1999999999971</v>
      </c>
      <c r="I160" s="236"/>
      <c r="J160" s="239">
        <f>H160/DAY(B2)</f>
        <v>-212.79130434782596</v>
      </c>
    </row>
    <row r="161" spans="1:10" ht="30.75" customHeight="1" x14ac:dyDescent="0.5">
      <c r="A161" s="242" t="s">
        <v>197</v>
      </c>
      <c r="B161" s="243"/>
      <c r="C161" s="243"/>
      <c r="D161" s="244" t="s">
        <v>180</v>
      </c>
      <c r="E161" s="95">
        <f>'22'!F161</f>
        <v>3611</v>
      </c>
      <c r="F161" s="235">
        <v>3611</v>
      </c>
      <c r="G161" s="238">
        <f t="shared" si="13"/>
        <v>0</v>
      </c>
      <c r="H161" s="99">
        <f>G161+'22'!H161</f>
        <v>-555.30000000000018</v>
      </c>
      <c r="I161" s="236"/>
      <c r="J161" s="239">
        <f>H161/DAY(B2)</f>
        <v>-24.143478260869575</v>
      </c>
    </row>
    <row r="162" spans="1:10" ht="30.75" customHeight="1" x14ac:dyDescent="0.5">
      <c r="A162" s="242" t="s">
        <v>309</v>
      </c>
      <c r="B162" s="243"/>
      <c r="C162" s="243"/>
      <c r="D162" s="244" t="s">
        <v>180</v>
      </c>
      <c r="E162" s="95">
        <f>'22'!F162</f>
        <v>28746</v>
      </c>
      <c r="F162" s="235">
        <v>28746</v>
      </c>
      <c r="G162" s="238">
        <f t="shared" si="13"/>
        <v>0</v>
      </c>
      <c r="H162" s="99">
        <f>G162+'22'!H162</f>
        <v>-566.7400000000016</v>
      </c>
      <c r="I162" s="236"/>
      <c r="J162" s="239">
        <f>H162/DAY(B2)</f>
        <v>-24.640869565217461</v>
      </c>
    </row>
    <row r="163" spans="1:10" ht="30.75" customHeight="1" x14ac:dyDescent="0.5">
      <c r="A163" s="737"/>
      <c r="B163" s="737"/>
      <c r="C163" s="247"/>
      <c r="D163" s="244" t="s">
        <v>180</v>
      </c>
      <c r="E163" s="95">
        <f>'22'!F163</f>
        <v>0</v>
      </c>
      <c r="F163" s="165"/>
      <c r="G163" s="165"/>
      <c r="H163" s="99">
        <f>G163+'22'!H163</f>
        <v>0</v>
      </c>
      <c r="I163" s="165"/>
      <c r="J163" s="239">
        <f>H163/DAY(B2)</f>
        <v>0</v>
      </c>
    </row>
    <row r="164" spans="1:10" ht="30.75" customHeight="1" x14ac:dyDescent="0.5">
      <c r="A164" s="737"/>
      <c r="B164" s="737"/>
      <c r="C164" s="247"/>
      <c r="D164" s="244" t="s">
        <v>180</v>
      </c>
      <c r="E164" s="95">
        <f>'22'!F164</f>
        <v>0</v>
      </c>
      <c r="F164" s="165"/>
      <c r="G164" s="165"/>
      <c r="H164" s="99">
        <f>G164+'22'!H164</f>
        <v>0</v>
      </c>
      <c r="I164" s="165"/>
      <c r="J164" s="239">
        <f>H164/DAY(B2)</f>
        <v>0</v>
      </c>
    </row>
    <row r="165" spans="1:10" ht="30.75" customHeight="1" x14ac:dyDescent="0.5">
      <c r="A165" s="737"/>
      <c r="B165" s="737"/>
      <c r="C165" s="247"/>
      <c r="D165" s="244" t="s">
        <v>180</v>
      </c>
      <c r="E165" s="95">
        <f>'22'!F165</f>
        <v>0</v>
      </c>
      <c r="F165" s="165"/>
      <c r="G165" s="165"/>
      <c r="H165" s="99">
        <f>G165+'22'!H165</f>
        <v>0</v>
      </c>
      <c r="I165" s="165"/>
      <c r="J165" s="239">
        <f>H165/DAY(B2)</f>
        <v>0</v>
      </c>
    </row>
    <row r="168" spans="1:10" ht="30.75" customHeight="1" x14ac:dyDescent="0.35">
      <c r="A168" s="738" t="s">
        <v>330</v>
      </c>
      <c r="B168" s="739"/>
      <c r="C168" s="739"/>
      <c r="D168" s="739"/>
      <c r="E168" s="739"/>
      <c r="F168" s="739"/>
      <c r="G168" s="739"/>
      <c r="H168" s="739"/>
      <c r="I168" s="739"/>
      <c r="J168" s="740"/>
    </row>
    <row r="169" spans="1:10" ht="30.75" customHeight="1" x14ac:dyDescent="0.5">
      <c r="A169" s="747"/>
      <c r="B169" s="748"/>
      <c r="C169" s="352"/>
      <c r="D169" s="228"/>
      <c r="E169" s="155"/>
      <c r="F169" s="155"/>
      <c r="G169" s="155"/>
      <c r="H169" s="156"/>
      <c r="I169" s="155"/>
      <c r="J169" s="178"/>
    </row>
    <row r="170" spans="1:10" ht="30.75" customHeight="1" x14ac:dyDescent="0.5">
      <c r="A170" s="743" t="s">
        <v>209</v>
      </c>
      <c r="B170" s="744"/>
      <c r="C170" s="353"/>
      <c r="D170" s="228" t="s">
        <v>142</v>
      </c>
      <c r="E170" s="95">
        <f>'22'!F170</f>
        <v>7961</v>
      </c>
      <c r="F170" s="155">
        <v>7961</v>
      </c>
      <c r="G170" s="155">
        <f>F170-E170</f>
        <v>0</v>
      </c>
      <c r="H170" s="99">
        <f>G170+'22'!H170</f>
        <v>129</v>
      </c>
      <c r="I170" s="155"/>
      <c r="J170" s="178">
        <f>H170/DAY(B2)</f>
        <v>5.6086956521739131</v>
      </c>
    </row>
    <row r="171" spans="1:10" ht="30.75" customHeight="1" x14ac:dyDescent="0.5">
      <c r="A171" s="743" t="s">
        <v>75</v>
      </c>
      <c r="B171" s="744"/>
      <c r="C171" s="353"/>
      <c r="D171" s="228" t="s">
        <v>142</v>
      </c>
      <c r="E171" s="95">
        <f>'22'!F171</f>
        <v>36765</v>
      </c>
      <c r="F171" s="157">
        <v>36765</v>
      </c>
      <c r="G171" s="155">
        <f t="shared" ref="G171:G172" si="14">F171-E171</f>
        <v>0</v>
      </c>
      <c r="H171" s="99">
        <f>G171+'22'!H171</f>
        <v>-332</v>
      </c>
      <c r="I171" s="155"/>
      <c r="J171" s="178">
        <f>H171/DAY(B2)</f>
        <v>-14.434782608695652</v>
      </c>
    </row>
    <row r="172" spans="1:10" ht="30.75" customHeight="1" x14ac:dyDescent="0.5">
      <c r="A172" s="743" t="s">
        <v>76</v>
      </c>
      <c r="B172" s="783"/>
      <c r="C172" s="744"/>
      <c r="D172" s="228" t="s">
        <v>142</v>
      </c>
      <c r="E172" s="95">
        <f>'22'!F172</f>
        <v>20214</v>
      </c>
      <c r="F172" s="155">
        <v>20214</v>
      </c>
      <c r="G172" s="155">
        <f t="shared" si="14"/>
        <v>0</v>
      </c>
      <c r="H172" s="99">
        <f>G172+'22'!H172</f>
        <v>-687</v>
      </c>
      <c r="I172" s="155"/>
      <c r="J172" s="178">
        <f>H172/DAY(B2)</f>
        <v>-29.869565217391305</v>
      </c>
    </row>
    <row r="173" spans="1:10" ht="30.75" customHeight="1" x14ac:dyDescent="0.5">
      <c r="A173" s="732" t="s">
        <v>196</v>
      </c>
      <c r="B173" s="733"/>
      <c r="C173" s="611"/>
      <c r="D173" s="228"/>
      <c r="E173" s="95"/>
      <c r="F173" s="155"/>
      <c r="G173" s="155">
        <f>SUM(G170:G172)</f>
        <v>0</v>
      </c>
      <c r="H173" s="99">
        <f>G173+'22'!H173</f>
        <v>-890</v>
      </c>
      <c r="I173" s="155"/>
      <c r="J173" s="178">
        <f>H173/DAY(B2)</f>
        <v>-38.695652173913047</v>
      </c>
    </row>
    <row r="174" spans="1:10" ht="30.75" customHeight="1" x14ac:dyDescent="0.5">
      <c r="A174" s="743" t="s">
        <v>77</v>
      </c>
      <c r="B174" s="744"/>
      <c r="C174" s="353"/>
      <c r="D174" s="228" t="s">
        <v>142</v>
      </c>
      <c r="E174" s="95"/>
      <c r="F174" s="155"/>
      <c r="G174" s="155"/>
      <c r="H174" s="99">
        <f>G174+'22'!H174</f>
        <v>0</v>
      </c>
      <c r="I174" s="155"/>
      <c r="J174" s="178">
        <f>H174/DAY(B2)</f>
        <v>0</v>
      </c>
    </row>
    <row r="175" spans="1:10" ht="30.75" customHeight="1" x14ac:dyDescent="0.5">
      <c r="A175" s="743" t="s">
        <v>210</v>
      </c>
      <c r="B175" s="744"/>
      <c r="C175" s="353"/>
      <c r="D175" s="228" t="s">
        <v>142</v>
      </c>
      <c r="E175" s="95">
        <f>'22'!F175</f>
        <v>69524</v>
      </c>
      <c r="F175" s="155">
        <v>69524</v>
      </c>
      <c r="G175" s="155">
        <f>F175-E175</f>
        <v>0</v>
      </c>
      <c r="H175" s="99">
        <f>G175+'22'!H175</f>
        <v>-6303</v>
      </c>
      <c r="I175" s="155"/>
      <c r="J175" s="178">
        <f>H175/DAY(B2)</f>
        <v>-274.04347826086956</v>
      </c>
    </row>
    <row r="176" spans="1:10" ht="30.75" customHeight="1" x14ac:dyDescent="0.5">
      <c r="A176" s="743" t="s">
        <v>211</v>
      </c>
      <c r="B176" s="744"/>
      <c r="C176" s="353"/>
      <c r="D176" s="228" t="s">
        <v>142</v>
      </c>
      <c r="E176" s="95">
        <f>'22'!F176</f>
        <v>33886</v>
      </c>
      <c r="F176" s="155">
        <v>33886</v>
      </c>
      <c r="G176" s="155">
        <f t="shared" ref="G176:G177" si="15">F176-E176</f>
        <v>0</v>
      </c>
      <c r="H176" s="99">
        <f>G176+'22'!H176</f>
        <v>0</v>
      </c>
      <c r="I176" s="155"/>
      <c r="J176" s="178">
        <f>H176/DAY(B2)</f>
        <v>0</v>
      </c>
    </row>
    <row r="177" spans="1:10" ht="30.75" customHeight="1" x14ac:dyDescent="0.5">
      <c r="A177" s="743" t="s">
        <v>212</v>
      </c>
      <c r="B177" s="744"/>
      <c r="C177" s="353"/>
      <c r="D177" s="228" t="s">
        <v>142</v>
      </c>
      <c r="E177" s="95">
        <f>'22'!F177</f>
        <v>4788</v>
      </c>
      <c r="F177" s="155">
        <v>4788</v>
      </c>
      <c r="G177" s="155">
        <f t="shared" si="15"/>
        <v>0</v>
      </c>
      <c r="H177" s="99">
        <f>G177+'22'!H177</f>
        <v>-3190</v>
      </c>
      <c r="I177" s="155"/>
      <c r="J177" s="178">
        <f>H177/DAY(B2)</f>
        <v>-138.69565217391303</v>
      </c>
    </row>
    <row r="178" spans="1:10" ht="30.75" customHeight="1" x14ac:dyDescent="0.5">
      <c r="A178" s="745" t="s">
        <v>108</v>
      </c>
      <c r="B178" s="746"/>
      <c r="C178" s="611"/>
      <c r="D178" s="228"/>
      <c r="E178" s="95"/>
      <c r="F178" s="155"/>
      <c r="G178" s="155">
        <f>SUM(G175:G177)</f>
        <v>0</v>
      </c>
      <c r="H178" s="99">
        <f>G178+'22'!H178</f>
        <v>-9493</v>
      </c>
      <c r="I178" s="155"/>
      <c r="J178" s="178">
        <f>H178/DAY(B2)</f>
        <v>-412.73913043478262</v>
      </c>
    </row>
    <row r="179" spans="1:10" ht="30.75" customHeight="1" x14ac:dyDescent="0.5">
      <c r="A179" s="743" t="s">
        <v>213</v>
      </c>
      <c r="B179" s="744"/>
      <c r="C179" s="353"/>
      <c r="D179" s="228"/>
      <c r="E179" s="95"/>
      <c r="F179" s="155"/>
      <c r="G179" s="155"/>
      <c r="H179" s="99">
        <f>G179+'22'!H179</f>
        <v>0</v>
      </c>
      <c r="I179" s="155"/>
      <c r="J179" s="178">
        <f>H179/DAY(B2)</f>
        <v>0</v>
      </c>
    </row>
    <row r="180" spans="1:10" ht="30.75" customHeight="1" x14ac:dyDescent="0.5">
      <c r="A180" s="743" t="s">
        <v>214</v>
      </c>
      <c r="B180" s="744"/>
      <c r="C180" s="354"/>
      <c r="D180" s="228" t="s">
        <v>142</v>
      </c>
      <c r="E180" s="95">
        <f>'22'!F180</f>
        <v>13038</v>
      </c>
      <c r="F180" s="157">
        <v>13038</v>
      </c>
      <c r="G180" s="157">
        <f>F180-E180</f>
        <v>0</v>
      </c>
      <c r="H180" s="99">
        <f>G180+'22'!H180</f>
        <v>-1253</v>
      </c>
      <c r="I180" s="155"/>
      <c r="J180" s="178">
        <f>H180/DAY(B2)</f>
        <v>-54.478260869565219</v>
      </c>
    </row>
    <row r="181" spans="1:10" ht="30.75" customHeight="1" x14ac:dyDescent="0.5">
      <c r="A181" s="743" t="s">
        <v>215</v>
      </c>
      <c r="B181" s="744"/>
      <c r="C181" s="354"/>
      <c r="D181" s="228" t="s">
        <v>142</v>
      </c>
      <c r="E181" s="95">
        <f>'22'!F181</f>
        <v>9126</v>
      </c>
      <c r="F181" s="157">
        <v>9126</v>
      </c>
      <c r="G181" s="157">
        <f t="shared" ref="G181:G182" si="16">F181-E181</f>
        <v>0</v>
      </c>
      <c r="H181" s="99">
        <f>G181+'22'!H181</f>
        <v>-794</v>
      </c>
      <c r="I181" s="155"/>
      <c r="J181" s="178">
        <f>H181/DAY(B2)</f>
        <v>-34.521739130434781</v>
      </c>
    </row>
    <row r="182" spans="1:10" ht="30.75" customHeight="1" x14ac:dyDescent="0.5">
      <c r="A182" s="743" t="s">
        <v>216</v>
      </c>
      <c r="B182" s="744"/>
      <c r="C182" s="354"/>
      <c r="D182" s="228" t="s">
        <v>142</v>
      </c>
      <c r="E182" s="95">
        <f>'22'!F182</f>
        <v>0</v>
      </c>
      <c r="F182" s="157"/>
      <c r="G182" s="157">
        <f t="shared" si="16"/>
        <v>0</v>
      </c>
      <c r="H182" s="99">
        <f>G182+'22'!H182</f>
        <v>0</v>
      </c>
      <c r="I182" s="155"/>
      <c r="J182" s="178">
        <f>H182/DAY(B2)</f>
        <v>0</v>
      </c>
    </row>
    <row r="183" spans="1:10" ht="30.75" customHeight="1" x14ac:dyDescent="0.5">
      <c r="A183" s="732" t="s">
        <v>196</v>
      </c>
      <c r="B183" s="733"/>
      <c r="C183" s="610"/>
      <c r="D183" s="229"/>
      <c r="E183" s="95"/>
      <c r="F183" s="157"/>
      <c r="G183" s="157">
        <f>SUM(G180:G182)</f>
        <v>0</v>
      </c>
      <c r="H183" s="99">
        <f>G183+'22'!H183</f>
        <v>-2047</v>
      </c>
      <c r="I183" s="157"/>
      <c r="J183" s="178">
        <f>H183/DAY(B2)</f>
        <v>-89</v>
      </c>
    </row>
    <row r="184" spans="1:10" ht="30.75" customHeight="1" x14ac:dyDescent="0.5">
      <c r="A184" s="734" t="s">
        <v>217</v>
      </c>
      <c r="B184" s="735"/>
      <c r="C184" s="353"/>
      <c r="D184" s="230" t="s">
        <v>142</v>
      </c>
      <c r="E184" s="95"/>
      <c r="F184" s="159"/>
      <c r="G184" s="588">
        <f>G62+G19</f>
        <v>60</v>
      </c>
      <c r="H184" s="99">
        <f>G184+'22'!H184</f>
        <v>-6302</v>
      </c>
      <c r="I184" s="158"/>
      <c r="J184" s="179">
        <f>H184/DAY(B2)</f>
        <v>-274</v>
      </c>
    </row>
    <row r="185" spans="1:10" ht="30.75" customHeight="1" x14ac:dyDescent="0.5">
      <c r="A185" s="734" t="s">
        <v>218</v>
      </c>
      <c r="B185" s="735"/>
      <c r="C185" s="353"/>
      <c r="D185" s="230" t="s">
        <v>142</v>
      </c>
      <c r="E185" s="95"/>
      <c r="F185" s="159"/>
      <c r="G185" s="588">
        <f>G65+G66+G67+G69+G70</f>
        <v>0</v>
      </c>
      <c r="H185" s="99">
        <f>G185+'22'!H185</f>
        <v>-14514</v>
      </c>
      <c r="I185" s="158"/>
      <c r="J185" s="179">
        <f>H185/DAY(B2)</f>
        <v>-631.04347826086962</v>
      </c>
    </row>
    <row r="186" spans="1:10" ht="30.75" customHeight="1" x14ac:dyDescent="0.5">
      <c r="A186" s="734" t="s">
        <v>219</v>
      </c>
      <c r="B186" s="735"/>
      <c r="C186" s="353"/>
      <c r="D186" s="230" t="s">
        <v>142</v>
      </c>
      <c r="E186" s="95"/>
      <c r="F186" s="157"/>
      <c r="G186" s="585">
        <f>G178</f>
        <v>0</v>
      </c>
      <c r="H186" s="99">
        <f>G186+'22'!H186</f>
        <v>-7040</v>
      </c>
      <c r="I186" s="158"/>
      <c r="J186" s="179">
        <f>H186/DAY(B2)</f>
        <v>-306.08695652173913</v>
      </c>
    </row>
    <row r="187" spans="1:10" ht="30.75" customHeight="1" x14ac:dyDescent="0.5">
      <c r="A187" s="741"/>
      <c r="B187" s="742"/>
      <c r="C187" s="609"/>
      <c r="D187" s="606"/>
      <c r="E187" s="606" t="s">
        <v>207</v>
      </c>
      <c r="F187" s="606"/>
      <c r="G187" s="606"/>
      <c r="H187" s="607"/>
      <c r="I187" s="606"/>
      <c r="J187" s="608"/>
    </row>
  </sheetData>
  <mergeCells count="111"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97:C97"/>
    <mergeCell ref="A98:C98"/>
    <mergeCell ref="A99:C99"/>
    <mergeCell ref="A100:C100"/>
    <mergeCell ref="A101:C101"/>
    <mergeCell ref="A181:B181"/>
    <mergeCell ref="A180:B180"/>
    <mergeCell ref="A172:C172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A140:C140"/>
    <mergeCell ref="A141:C141"/>
    <mergeCell ref="A142:C142"/>
    <mergeCell ref="A157:J157"/>
    <mergeCell ref="A163:B163"/>
    <mergeCell ref="A134:C134"/>
    <mergeCell ref="A135:C135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71:B171"/>
    <mergeCell ref="A173:B173"/>
    <mergeCell ref="A174:B174"/>
    <mergeCell ref="A175:B175"/>
    <mergeCell ref="A176:B176"/>
    <mergeCell ref="A164:B164"/>
    <mergeCell ref="A165:B165"/>
    <mergeCell ref="A168:J168"/>
    <mergeCell ref="A169:B169"/>
    <mergeCell ref="A170:B170"/>
    <mergeCell ref="A184:B184"/>
    <mergeCell ref="A185:B185"/>
    <mergeCell ref="A186:B186"/>
    <mergeCell ref="A187:B187"/>
    <mergeCell ref="A177:B177"/>
    <mergeCell ref="A178:B178"/>
    <mergeCell ref="A179:B179"/>
    <mergeCell ref="A182:B182"/>
    <mergeCell ref="A183:B183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698"/>
  <sheetViews>
    <sheetView view="pageBreakPreview" topLeftCell="A160" zoomScale="60" zoomScaleNormal="44" workbookViewId="0">
      <selection activeCell="C180" sqref="C180"/>
    </sheetView>
  </sheetViews>
  <sheetFormatPr defaultColWidth="22.33203125" defaultRowHeight="21.95" customHeight="1" x14ac:dyDescent="0.5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89" t="s">
        <v>115</v>
      </c>
      <c r="B1" s="790"/>
      <c r="C1" s="790"/>
      <c r="D1" s="790"/>
      <c r="E1" s="790"/>
      <c r="F1" s="790"/>
      <c r="G1" s="790"/>
      <c r="H1" s="790"/>
      <c r="I1" s="790"/>
      <c r="J1" s="791"/>
    </row>
    <row r="2" spans="1:15" s="57" customFormat="1" ht="27" x14ac:dyDescent="0.5">
      <c r="A2" s="191" t="s">
        <v>303</v>
      </c>
      <c r="B2" s="266">
        <v>44492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98" t="s">
        <v>119</v>
      </c>
      <c r="F3" s="79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92" t="s">
        <v>128</v>
      </c>
      <c r="B6" s="793"/>
      <c r="C6" s="79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'23'!F7</f>
        <v>478179.47</v>
      </c>
      <c r="F7" s="95">
        <f>E7+23000</f>
        <v>501179.47</v>
      </c>
      <c r="G7" s="112">
        <f>F7-E7</f>
        <v>23000</v>
      </c>
      <c r="H7" s="99">
        <f>G7+'23'!H7</f>
        <v>556937.06999999983</v>
      </c>
      <c r="I7" s="113">
        <f>'1'!I7</f>
        <v>12000</v>
      </c>
      <c r="J7" s="175">
        <f>H7/DAY(B2)</f>
        <v>24214.655217391297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'23'!F8</f>
        <v>498779.75</v>
      </c>
      <c r="F8" s="114">
        <f>E8+23050</f>
        <v>521829.75</v>
      </c>
      <c r="G8" s="115">
        <f>F8-E8</f>
        <v>23050</v>
      </c>
      <c r="H8" s="99">
        <f>G8+'23'!H8</f>
        <v>563162.75</v>
      </c>
      <c r="I8" s="116"/>
      <c r="J8" s="175">
        <f>H8/DAY(B2)</f>
        <v>24485.33695652174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'23'!F9</f>
        <v>1161976.8999999999</v>
      </c>
      <c r="F9" s="117">
        <f>E9+23000</f>
        <v>1184976.8999999999</v>
      </c>
      <c r="G9" s="112">
        <f>F9-E9</f>
        <v>23000</v>
      </c>
      <c r="H9" s="99">
        <f>G9+'23'!H9</f>
        <v>477186.89999999979</v>
      </c>
      <c r="I9" s="124">
        <f>I7-J7</f>
        <v>-12214.655217391297</v>
      </c>
      <c r="J9" s="175">
        <f>H9/DAY(B2)</f>
        <v>20747.25652173912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'23'!F10</f>
        <v>2607</v>
      </c>
      <c r="F10" s="117">
        <v>2607</v>
      </c>
      <c r="G10" s="112">
        <f t="shared" ref="G10:G12" si="0">F10-E10</f>
        <v>0</v>
      </c>
      <c r="H10" s="99">
        <f>G10+'23'!H10</f>
        <v>-57966</v>
      </c>
      <c r="I10" s="286"/>
      <c r="J10" s="175">
        <f>H10/DAY(B2)</f>
        <v>-2520.2608695652175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'23'!F11</f>
        <v>37000</v>
      </c>
      <c r="F11" s="95">
        <v>37000</v>
      </c>
      <c r="G11" s="112">
        <f t="shared" si="0"/>
        <v>0</v>
      </c>
      <c r="H11" s="99">
        <f>G11+'23'!H11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'23'!F12</f>
        <v>40010</v>
      </c>
      <c r="F12" s="117">
        <v>40010</v>
      </c>
      <c r="G12" s="112">
        <f t="shared" si="0"/>
        <v>0</v>
      </c>
      <c r="H12" s="99">
        <f>G12+'23'!H12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23000</v>
      </c>
      <c r="H13" s="99">
        <f>G13+'23'!H13</f>
        <v>397675.14999999979</v>
      </c>
      <c r="I13" s="120">
        <f>G7-G13</f>
        <v>0</v>
      </c>
      <c r="J13" s="175">
        <f>H13/DAY(B2)</f>
        <v>17290.223913043468</v>
      </c>
      <c r="K13" s="79"/>
      <c r="L13" s="66"/>
      <c r="N13" s="87"/>
      <c r="O13" s="71"/>
    </row>
    <row r="14" spans="1:15" ht="29.25" x14ac:dyDescent="0.5">
      <c r="A14" s="795" t="s">
        <v>137</v>
      </c>
      <c r="B14" s="796"/>
      <c r="C14" s="79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'23'!F15</f>
        <v>1805492.8829999999</v>
      </c>
      <c r="F15" s="123">
        <f>E15+875</f>
        <v>1806367.8829999999</v>
      </c>
      <c r="G15" s="112">
        <f>(F15-E15)</f>
        <v>875</v>
      </c>
      <c r="H15" s="99">
        <f>G15+'23'!H15</f>
        <v>23034.882999999914</v>
      </c>
      <c r="I15" s="113">
        <f>'1'!I15</f>
        <v>800</v>
      </c>
      <c r="J15" s="175">
        <f>H15/DAY(B2)</f>
        <v>1001.5166521739093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-201.51665217390928</v>
      </c>
      <c r="J16" s="176"/>
      <c r="K16" s="79"/>
      <c r="L16" s="66"/>
      <c r="N16" s="87"/>
      <c r="O16" s="71"/>
    </row>
    <row r="17" spans="1:15" ht="29.25" x14ac:dyDescent="0.5">
      <c r="A17" s="795" t="s">
        <v>140</v>
      </c>
      <c r="B17" s="796"/>
      <c r="C17" s="79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1" t="s">
        <v>141</v>
      </c>
      <c r="B18" s="772"/>
      <c r="C18" s="773"/>
      <c r="D18" s="151" t="s">
        <v>142</v>
      </c>
      <c r="E18" s="95">
        <f>'23'!F18</f>
        <v>14</v>
      </c>
      <c r="F18" s="122">
        <v>14</v>
      </c>
      <c r="G18" s="119">
        <f>F18*10</f>
        <v>140</v>
      </c>
      <c r="H18" s="99">
        <f>G18+'23'!H18</f>
        <v>4300</v>
      </c>
      <c r="I18" s="113">
        <f>'1'!I18</f>
        <v>65</v>
      </c>
      <c r="J18" s="175">
        <f>H18/DAY(B2)</f>
        <v>186.95652173913044</v>
      </c>
      <c r="K18" s="79"/>
      <c r="L18" s="66"/>
      <c r="N18" s="87"/>
      <c r="O18" s="71"/>
    </row>
    <row r="19" spans="1:15" ht="27.75" x14ac:dyDescent="0.5">
      <c r="A19" s="771" t="s">
        <v>69</v>
      </c>
      <c r="B19" s="772"/>
      <c r="C19" s="773"/>
      <c r="D19" s="151" t="s">
        <v>142</v>
      </c>
      <c r="E19" s="95">
        <f>'23'!F19</f>
        <v>148405</v>
      </c>
      <c r="F19" s="122">
        <f>E19+60</f>
        <v>148465</v>
      </c>
      <c r="G19" s="112">
        <f t="shared" ref="G19" si="1">F19-E19</f>
        <v>60</v>
      </c>
      <c r="H19" s="99">
        <f>G19+'23'!H19</f>
        <v>1413</v>
      </c>
      <c r="I19" s="355"/>
      <c r="J19" s="175">
        <f>H19/DAY(B2)</f>
        <v>61.434782608695649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200</v>
      </c>
      <c r="H20" s="99">
        <f>G20+'23'!H20</f>
        <v>5713</v>
      </c>
      <c r="I20" s="356">
        <f>I18-J20</f>
        <v>-183.39130434782609</v>
      </c>
      <c r="J20" s="175">
        <f>H20/DAY(B2)</f>
        <v>248.39130434782609</v>
      </c>
      <c r="K20" s="79"/>
      <c r="L20" s="66"/>
      <c r="N20" s="87"/>
      <c r="O20" s="71"/>
    </row>
    <row r="21" spans="1:15" ht="29.25" x14ac:dyDescent="0.5">
      <c r="A21" s="795" t="s">
        <v>144</v>
      </c>
      <c r="B21" s="796"/>
      <c r="C21" s="79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'23'!F23</f>
        <v>2000</v>
      </c>
      <c r="F23" s="122">
        <v>2000</v>
      </c>
      <c r="G23" s="119">
        <v>0</v>
      </c>
      <c r="H23" s="99">
        <f>G23+'23'!H23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'23'!F24</f>
        <v>4970</v>
      </c>
      <c r="F24" s="128">
        <v>4970</v>
      </c>
      <c r="G24" s="119">
        <v>0</v>
      </c>
      <c r="H24" s="99">
        <f>G24+'23'!H24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0" t="s">
        <v>149</v>
      </c>
      <c r="B25" s="801"/>
      <c r="C25" s="80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23050</v>
      </c>
      <c r="F27" s="136">
        <v>9</v>
      </c>
      <c r="G27" s="137">
        <f>E27*F27</f>
        <v>207450</v>
      </c>
      <c r="H27" s="99">
        <f>G27+'23'!H27</f>
        <v>5068464.75</v>
      </c>
      <c r="I27" s="138"/>
      <c r="J27" s="175">
        <f>H27/DAY(B2)</f>
        <v>220368.03260869565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875</v>
      </c>
      <c r="F28" s="136">
        <v>52</v>
      </c>
      <c r="G28" s="137">
        <f>E28*F28</f>
        <v>45500</v>
      </c>
      <c r="H28" s="99">
        <f>G28+'23'!H28</f>
        <v>1197813.9159999955</v>
      </c>
      <c r="I28" s="140"/>
      <c r="J28" s="175">
        <f>H28/DAY(B2)</f>
        <v>52078.865913043286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G30+'23'!H30</f>
        <v>206298</v>
      </c>
      <c r="I30" s="140"/>
      <c r="J30" s="175">
        <f>H30/DAY(B2)</f>
        <v>8969.4782608695659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G31+'23'!H31</f>
        <v>344000</v>
      </c>
      <c r="I31" s="140"/>
      <c r="J31" s="175">
        <f>H31/DAY(B2)</f>
        <v>14956.521739130434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272910</v>
      </c>
      <c r="H32" s="99">
        <f>G32+'23'!H32</f>
        <v>6816576.6659999955</v>
      </c>
      <c r="I32" s="144"/>
      <c r="J32" s="175">
        <f>H32/DAY(B2)</f>
        <v>296372.89852173894</v>
      </c>
      <c r="K32" s="63"/>
      <c r="L32" s="89"/>
      <c r="N32" s="87"/>
      <c r="O32" s="71"/>
    </row>
    <row r="33" spans="1:15" ht="25.5" x14ac:dyDescent="0.35">
      <c r="A33" s="803" t="s">
        <v>331</v>
      </c>
      <c r="B33" s="804"/>
      <c r="C33" s="804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'23'!F35</f>
        <v>1058597</v>
      </c>
      <c r="F35" s="145">
        <v>1058597</v>
      </c>
      <c r="G35" s="112">
        <f t="shared" ref="G35:G46" si="3">F35-E35</f>
        <v>0</v>
      </c>
      <c r="H35" s="99">
        <f>G35+'23'!H35</f>
        <v>2111685.6</v>
      </c>
      <c r="I35" s="95"/>
      <c r="J35" s="175">
        <f>H35/DAY(B2)</f>
        <v>91812.417391304349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'23'!F36</f>
        <v>1833</v>
      </c>
      <c r="F36" s="145">
        <v>1833</v>
      </c>
      <c r="G36" s="112">
        <f t="shared" si="3"/>
        <v>0</v>
      </c>
      <c r="H36" s="99">
        <f>G36+'23'!H36</f>
        <v>-57914.1</v>
      </c>
      <c r="I36" s="95"/>
      <c r="J36" s="175">
        <f>H36/DAY(B2)</f>
        <v>-2518.0043478260868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'23'!F37</f>
        <v>2775</v>
      </c>
      <c r="F37" s="145">
        <v>2775</v>
      </c>
      <c r="G37" s="112">
        <f t="shared" si="3"/>
        <v>0</v>
      </c>
      <c r="H37" s="99">
        <f>G37+'23'!H37</f>
        <v>-131866.87</v>
      </c>
      <c r="I37" s="95"/>
      <c r="J37" s="175">
        <f>H37/DAY(B2)</f>
        <v>-5733.3421739130436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'23'!F38</f>
        <v>4823</v>
      </c>
      <c r="F38" s="108">
        <v>4823</v>
      </c>
      <c r="G38" s="112">
        <f t="shared" si="3"/>
        <v>0</v>
      </c>
      <c r="H38" s="99">
        <f>G38+'23'!H38</f>
        <v>-137077.6</v>
      </c>
      <c r="I38" s="95"/>
      <c r="J38" s="175">
        <f>H38/DAY(B2)</f>
        <v>-5959.8956521739137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'23'!F39</f>
        <v>637915</v>
      </c>
      <c r="F39" s="145">
        <v>637915</v>
      </c>
      <c r="G39" s="112">
        <f t="shared" si="3"/>
        <v>0</v>
      </c>
      <c r="H39" s="99">
        <f>G39+'23'!H39</f>
        <v>958234.97</v>
      </c>
      <c r="I39" s="95"/>
      <c r="J39" s="175">
        <f>H39/DAY(B2)</f>
        <v>41662.39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'23'!F40</f>
        <v>34599</v>
      </c>
      <c r="F40" s="145">
        <v>34599</v>
      </c>
      <c r="G40" s="112">
        <f t="shared" si="3"/>
        <v>0</v>
      </c>
      <c r="H40" s="99">
        <f>G40+'23'!H40</f>
        <v>69191.77</v>
      </c>
      <c r="I40" s="95"/>
      <c r="J40" s="175">
        <f>H40/DAY(B2)</f>
        <v>3008.3378260869567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'23'!F41</f>
        <v>433281.79</v>
      </c>
      <c r="F41" s="145">
        <v>433281.79</v>
      </c>
      <c r="G41" s="112">
        <f t="shared" si="3"/>
        <v>0</v>
      </c>
      <c r="H41" s="99">
        <f>G41+'23'!H41</f>
        <v>-177234.68000000011</v>
      </c>
      <c r="I41" s="95"/>
      <c r="J41" s="175">
        <f>H41/DAY(B2)</f>
        <v>-7705.8556521739174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'23'!F42</f>
        <v>175112</v>
      </c>
      <c r="F42" s="145">
        <v>175112</v>
      </c>
      <c r="G42" s="112">
        <f t="shared" si="3"/>
        <v>0</v>
      </c>
      <c r="H42" s="99">
        <f>G42+'23'!H42</f>
        <v>-162623.49</v>
      </c>
      <c r="I42" s="95"/>
      <c r="J42" s="175">
        <f>H42/DAY(B2)</f>
        <v>-7070.5865217391301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'23'!F43</f>
        <v>1289745</v>
      </c>
      <c r="F43" s="145">
        <v>1289745</v>
      </c>
      <c r="G43" s="112">
        <f t="shared" si="3"/>
        <v>0</v>
      </c>
      <c r="H43" s="99">
        <f>G43+'23'!H43</f>
        <v>-191251.19999999995</v>
      </c>
      <c r="I43" s="95"/>
      <c r="J43" s="175">
        <f>H43/DAY(B2)</f>
        <v>-8315.2695652173898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'23'!F45</f>
        <v>614</v>
      </c>
      <c r="F45" s="145">
        <v>614</v>
      </c>
      <c r="G45" s="112">
        <f t="shared" si="3"/>
        <v>0</v>
      </c>
      <c r="H45" s="99">
        <f>G45+'23'!H45</f>
        <v>1228</v>
      </c>
      <c r="I45" s="95"/>
      <c r="J45" s="175">
        <f>H45/DAY(B2)</f>
        <v>53.391304347826086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'23'!F46</f>
        <v>187</v>
      </c>
      <c r="F46" s="145">
        <v>187</v>
      </c>
      <c r="G46" s="112">
        <f t="shared" si="3"/>
        <v>0</v>
      </c>
      <c r="H46" s="99">
        <f>G46+'23'!H46</f>
        <v>374</v>
      </c>
      <c r="I46" s="95"/>
      <c r="J46" s="175">
        <f>H46/DAY(B2)</f>
        <v>16.260869565217391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0</v>
      </c>
      <c r="H47" s="99">
        <f>G47+'23'!H47</f>
        <v>2282746.4</v>
      </c>
      <c r="I47" s="95"/>
      <c r="J47" s="175">
        <f>H47/DAY(B2)</f>
        <v>99249.843478260867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'23'!F49</f>
        <v>419822</v>
      </c>
      <c r="F49" s="145">
        <v>419822</v>
      </c>
      <c r="G49" s="112">
        <f t="shared" ref="G49:G58" si="4">F49-E49</f>
        <v>0</v>
      </c>
      <c r="H49" s="99">
        <f>G49+'23'!H49</f>
        <v>596649.56000000006</v>
      </c>
      <c r="I49" s="95"/>
      <c r="J49" s="175">
        <f>H49/DAY(B2)</f>
        <v>25941.285217391305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'23'!F50</f>
        <v>607298</v>
      </c>
      <c r="F50" s="145">
        <v>607298</v>
      </c>
      <c r="G50" s="112">
        <f t="shared" si="4"/>
        <v>0</v>
      </c>
      <c r="H50" s="99">
        <f>G50+'23'!H50</f>
        <v>-93045.949999999953</v>
      </c>
      <c r="I50" s="95"/>
      <c r="J50" s="175">
        <f>H50/DAY(B2)</f>
        <v>-4045.4760869565198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'23'!F51</f>
        <v>144640</v>
      </c>
      <c r="F51" s="145">
        <v>144640</v>
      </c>
      <c r="G51" s="112">
        <f t="shared" si="4"/>
        <v>0</v>
      </c>
      <c r="H51" s="99">
        <f>G51+'23'!H51</f>
        <v>289280</v>
      </c>
      <c r="I51" s="95"/>
      <c r="J51" s="175">
        <f>H51/DAY(B2)</f>
        <v>12577.391304347826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'23'!F52</f>
        <v>539606</v>
      </c>
      <c r="F52" s="145">
        <v>539606</v>
      </c>
      <c r="G52" s="112">
        <f t="shared" si="4"/>
        <v>0</v>
      </c>
      <c r="H52" s="99">
        <f>G52+'23'!H52</f>
        <v>1079212</v>
      </c>
      <c r="I52" s="95"/>
      <c r="J52" s="175">
        <f>H52/DAY(B2)</f>
        <v>46922.260869565216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'23'!F53</f>
        <v>434232</v>
      </c>
      <c r="F53" s="145">
        <v>434232</v>
      </c>
      <c r="G53" s="112">
        <f t="shared" si="4"/>
        <v>0</v>
      </c>
      <c r="H53" s="99">
        <f>G53+'23'!H53</f>
        <v>868464</v>
      </c>
      <c r="I53" s="95"/>
      <c r="J53" s="175">
        <f>H53/DAY(B2)</f>
        <v>37759.304347826088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'23'!F54</f>
        <v>14967</v>
      </c>
      <c r="F54" s="145">
        <v>14967</v>
      </c>
      <c r="G54" s="112">
        <f t="shared" si="4"/>
        <v>0</v>
      </c>
      <c r="H54" s="99">
        <f>G54+'23'!H54</f>
        <v>24399.77</v>
      </c>
      <c r="I54" s="95"/>
      <c r="J54" s="175">
        <f>H54/DAY(B2)</f>
        <v>1060.8595652173913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'23'!F55</f>
        <v>306268.99</v>
      </c>
      <c r="F55" s="145">
        <v>306268.99</v>
      </c>
      <c r="G55" s="112">
        <f t="shared" si="4"/>
        <v>0</v>
      </c>
      <c r="H55" s="99">
        <f>G55+'23'!H55</f>
        <v>-2059.4899999999907</v>
      </c>
      <c r="I55" s="95"/>
      <c r="J55" s="175">
        <f>H55/DAY(B2)</f>
        <v>-89.543043478260458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'23'!F56</f>
        <v>661019</v>
      </c>
      <c r="F56" s="145">
        <v>661019</v>
      </c>
      <c r="G56" s="112">
        <f t="shared" si="4"/>
        <v>0</v>
      </c>
      <c r="H56" s="99">
        <f>G56+'23'!H56</f>
        <v>-194032.55000000005</v>
      </c>
      <c r="I56" s="95"/>
      <c r="J56" s="175">
        <f>H56/DAY(B2)</f>
        <v>-8436.1978260869582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'23'!F57</f>
        <v>7711</v>
      </c>
      <c r="F57" s="145">
        <v>7711</v>
      </c>
      <c r="G57" s="112">
        <f t="shared" si="4"/>
        <v>0</v>
      </c>
      <c r="H57" s="99">
        <f>G57+'23'!H57</f>
        <v>15422</v>
      </c>
      <c r="I57" s="95"/>
      <c r="J57" s="175">
        <f>H57/DAY(B2)</f>
        <v>670.52173913043475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'23'!F58</f>
        <v>66014</v>
      </c>
      <c r="F58" s="145">
        <v>66014</v>
      </c>
      <c r="G58" s="112">
        <f t="shared" si="4"/>
        <v>0</v>
      </c>
      <c r="H58" s="99">
        <f>G58+'23'!H58</f>
        <v>-16060.800000000003</v>
      </c>
      <c r="I58" s="95"/>
      <c r="J58" s="175">
        <f>H58/DAY(B2)</f>
        <v>-698.29565217391314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0</v>
      </c>
      <c r="H59" s="99">
        <f>G59+'23'!H59</f>
        <v>2568228.54</v>
      </c>
      <c r="I59" s="95">
        <f>G7-G60</f>
        <v>23000</v>
      </c>
      <c r="J59" s="175">
        <f>H59/DAY(B2)</f>
        <v>111662.1104347826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0</v>
      </c>
      <c r="H60" s="99">
        <f>G60+'23'!H60</f>
        <v>4850974.9399999995</v>
      </c>
      <c r="I60" s="95">
        <f>G13-G60</f>
        <v>23000</v>
      </c>
      <c r="J60" s="175">
        <f>H60/DAY(B2)</f>
        <v>210911.95391304346</v>
      </c>
      <c r="K60" s="79"/>
      <c r="L60" s="66"/>
      <c r="N60" s="87"/>
      <c r="O60" s="71"/>
    </row>
    <row r="61" spans="1:15" s="68" customFormat="1" ht="27.75" x14ac:dyDescent="0.5">
      <c r="A61" s="805" t="s">
        <v>332</v>
      </c>
      <c r="B61" s="806"/>
      <c r="C61" s="807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1" t="s">
        <v>198</v>
      </c>
      <c r="B62" s="772"/>
      <c r="C62" s="773"/>
      <c r="D62" s="151" t="s">
        <v>142</v>
      </c>
      <c r="E62" s="95">
        <f>'23'!F62</f>
        <v>253452</v>
      </c>
      <c r="F62" s="122">
        <v>253452</v>
      </c>
      <c r="G62" s="112">
        <f t="shared" ref="G62:G63" si="5">F62-E62</f>
        <v>0</v>
      </c>
      <c r="H62" s="99">
        <f>G62+'23'!H62</f>
        <v>-7655</v>
      </c>
      <c r="I62" s="118"/>
      <c r="J62" s="175">
        <f>H62/DAY(B2)</f>
        <v>-332.82608695652175</v>
      </c>
      <c r="K62" s="80"/>
      <c r="L62" s="66"/>
      <c r="N62" s="87"/>
      <c r="O62" s="71"/>
    </row>
    <row r="63" spans="1:15" ht="27.75" x14ac:dyDescent="0.5">
      <c r="A63" s="771" t="s">
        <v>199</v>
      </c>
      <c r="B63" s="772"/>
      <c r="C63" s="773"/>
      <c r="D63" s="151" t="s">
        <v>142</v>
      </c>
      <c r="E63" s="95">
        <f>'23'!F63</f>
        <v>197659</v>
      </c>
      <c r="F63" s="122">
        <v>197659</v>
      </c>
      <c r="G63" s="112">
        <f t="shared" si="5"/>
        <v>0</v>
      </c>
      <c r="H63" s="99">
        <f>G63+'23'!H63</f>
        <v>-11970</v>
      </c>
      <c r="I63" s="118"/>
      <c r="J63" s="175">
        <f>H63/DAY(B2)</f>
        <v>-520.43478260869563</v>
      </c>
      <c r="K63" s="69"/>
      <c r="L63" s="66"/>
      <c r="N63" s="87"/>
      <c r="O63" s="71"/>
    </row>
    <row r="64" spans="1:15" ht="29.25" x14ac:dyDescent="0.5">
      <c r="A64" s="780" t="s">
        <v>200</v>
      </c>
      <c r="B64" s="781"/>
      <c r="C64" s="782"/>
      <c r="D64" s="151"/>
      <c r="E64" s="95">
        <f>'23'!F64</f>
        <v>0</v>
      </c>
      <c r="F64" s="122"/>
      <c r="G64" s="112">
        <f>G62+G63</f>
        <v>0</v>
      </c>
      <c r="H64" s="99">
        <f>G64+'23'!H64</f>
        <v>-19625</v>
      </c>
      <c r="I64" s="118"/>
      <c r="J64" s="175">
        <f>H64/DAY(B2)</f>
        <v>-853.26086956521738</v>
      </c>
      <c r="K64" s="69"/>
      <c r="L64" s="66"/>
      <c r="N64" s="87"/>
      <c r="O64" s="71"/>
    </row>
    <row r="65" spans="1:15" ht="27.75" x14ac:dyDescent="0.5">
      <c r="A65" s="771" t="s">
        <v>201</v>
      </c>
      <c r="B65" s="772"/>
      <c r="C65" s="773"/>
      <c r="D65" s="151" t="s">
        <v>142</v>
      </c>
      <c r="E65" s="95">
        <f>'23'!F65</f>
        <v>421019</v>
      </c>
      <c r="F65" s="122">
        <v>421019</v>
      </c>
      <c r="G65" s="112">
        <f t="shared" ref="G65:G70" si="6">F65-E65</f>
        <v>0</v>
      </c>
      <c r="H65" s="99">
        <f>G65+'23'!H65</f>
        <v>-6100</v>
      </c>
      <c r="I65" s="118"/>
      <c r="J65" s="175">
        <f>H65/DAY(B2)</f>
        <v>-265.21739130434781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'23'!F66</f>
        <v>104636</v>
      </c>
      <c r="F66" s="122">
        <v>104636</v>
      </c>
      <c r="G66" s="112">
        <f t="shared" si="6"/>
        <v>0</v>
      </c>
      <c r="H66" s="99">
        <f>G66+'23'!H66</f>
        <v>-1732</v>
      </c>
      <c r="I66" s="118"/>
      <c r="J66" s="175">
        <f>H66/DAY(B2)</f>
        <v>-75.304347826086953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'23'!F67</f>
        <v>100370</v>
      </c>
      <c r="F67" s="122">
        <v>100370</v>
      </c>
      <c r="G67" s="112">
        <f t="shared" si="6"/>
        <v>0</v>
      </c>
      <c r="H67" s="99">
        <f>G67+'23'!H67</f>
        <v>-2308</v>
      </c>
      <c r="I67" s="118"/>
      <c r="J67" s="175">
        <f>H67/DAY(B2)</f>
        <v>-100.34782608695652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'23'!F68</f>
        <v>152135</v>
      </c>
      <c r="F68" s="122">
        <v>152135</v>
      </c>
      <c r="G68" s="112">
        <f t="shared" si="6"/>
        <v>0</v>
      </c>
      <c r="H68" s="99">
        <f>G68+'23'!H68</f>
        <v>-2715</v>
      </c>
      <c r="I68" s="118"/>
      <c r="J68" s="175">
        <f>H68/DAY(B2)</f>
        <v>-118.04347826086956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'23'!F69</f>
        <v>8645</v>
      </c>
      <c r="F69" s="122">
        <v>8645</v>
      </c>
      <c r="G69" s="112">
        <f t="shared" si="6"/>
        <v>0</v>
      </c>
      <c r="H69" s="99">
        <f>G69+'23'!H69</f>
        <v>-1032</v>
      </c>
      <c r="I69" s="118"/>
      <c r="J69" s="175">
        <f>H69/DAY(B2)</f>
        <v>-44.869565217391305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'23'!F70</f>
        <v>6373</v>
      </c>
      <c r="F70" s="122">
        <v>6373</v>
      </c>
      <c r="G70" s="112">
        <f t="shared" si="6"/>
        <v>0</v>
      </c>
      <c r="H70" s="99">
        <f>G70+'23'!H70</f>
        <v>-1059</v>
      </c>
      <c r="I70" s="118"/>
      <c r="J70" s="175">
        <f>H70/DAY(B2)</f>
        <v>-46.043478260869563</v>
      </c>
      <c r="K70" s="69"/>
      <c r="L70" s="66"/>
      <c r="N70" s="87"/>
      <c r="O70" s="71"/>
    </row>
    <row r="71" spans="1:15" ht="29.25" x14ac:dyDescent="0.5">
      <c r="A71" s="780" t="s">
        <v>208</v>
      </c>
      <c r="B71" s="781"/>
      <c r="C71" s="782"/>
      <c r="D71" s="152"/>
      <c r="E71" s="152"/>
      <c r="F71" s="152"/>
      <c r="G71" s="153">
        <f>SUM(G65:G70)</f>
        <v>0</v>
      </c>
      <c r="H71" s="99">
        <f>G71+'23'!H71</f>
        <v>-14946</v>
      </c>
      <c r="I71" s="154"/>
      <c r="J71" s="175">
        <f>H71/DAY(B2)</f>
        <v>-649.82608695652175</v>
      </c>
      <c r="K71" s="69"/>
      <c r="L71" s="66"/>
      <c r="N71" s="87"/>
      <c r="O71" s="71"/>
    </row>
    <row r="72" spans="1:15" s="88" customFormat="1" ht="27.75" x14ac:dyDescent="0.5">
      <c r="A72" s="767"/>
      <c r="B72" s="752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77" t="s">
        <v>333</v>
      </c>
      <c r="B73" s="778"/>
      <c r="C73" s="779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1" t="s">
        <v>220</v>
      </c>
      <c r="B74" s="772"/>
      <c r="C74" s="773"/>
      <c r="D74" s="151" t="s">
        <v>139</v>
      </c>
      <c r="E74" s="95">
        <f>'23'!F74</f>
        <v>856352</v>
      </c>
      <c r="F74" s="117">
        <v>856352</v>
      </c>
      <c r="G74" s="112">
        <f t="shared" ref="G74:G78" si="7">F74-E74</f>
        <v>0</v>
      </c>
      <c r="H74" s="99">
        <f>G74+'23'!H74</f>
        <v>-21277.869999999995</v>
      </c>
      <c r="I74" s="154"/>
      <c r="J74" s="175">
        <f>H74/DAY(B2)</f>
        <v>-925.12478260869545</v>
      </c>
      <c r="K74" s="69"/>
      <c r="L74" s="66"/>
      <c r="N74" s="87"/>
      <c r="O74" s="71"/>
    </row>
    <row r="75" spans="1:15" ht="27.75" x14ac:dyDescent="0.5">
      <c r="A75" s="771" t="s">
        <v>221</v>
      </c>
      <c r="B75" s="772"/>
      <c r="C75" s="773"/>
      <c r="D75" s="151" t="s">
        <v>139</v>
      </c>
      <c r="E75" s="95">
        <f>'23'!F75</f>
        <v>73583.399999999994</v>
      </c>
      <c r="F75" s="123">
        <v>73583.399999999994</v>
      </c>
      <c r="G75" s="112">
        <f t="shared" si="7"/>
        <v>0</v>
      </c>
      <c r="H75" s="99">
        <f>G75+'23'!H75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68" t="s">
        <v>222</v>
      </c>
      <c r="B76" s="769"/>
      <c r="C76" s="770"/>
      <c r="D76" s="151" t="s">
        <v>139</v>
      </c>
      <c r="E76" s="95">
        <f>'23'!F76</f>
        <v>154077</v>
      </c>
      <c r="F76" s="123">
        <v>154077</v>
      </c>
      <c r="G76" s="112">
        <f t="shared" si="7"/>
        <v>0</v>
      </c>
      <c r="H76" s="99">
        <f>G76+'23'!H76</f>
        <v>-7237.9200000000128</v>
      </c>
      <c r="I76" s="154"/>
      <c r="J76" s="175">
        <f>H76/DAY(B2)</f>
        <v>-314.69217391304403</v>
      </c>
      <c r="K76" s="69"/>
      <c r="L76" s="66"/>
      <c r="N76" s="87"/>
      <c r="O76" s="71"/>
    </row>
    <row r="77" spans="1:15" ht="27.75" x14ac:dyDescent="0.5">
      <c r="A77" s="768" t="s">
        <v>223</v>
      </c>
      <c r="B77" s="769"/>
      <c r="C77" s="770"/>
      <c r="D77" s="151" t="s">
        <v>139</v>
      </c>
      <c r="E77" s="95">
        <f>'23'!F77</f>
        <v>34629</v>
      </c>
      <c r="F77" s="123">
        <v>34629</v>
      </c>
      <c r="G77" s="112">
        <f t="shared" si="7"/>
        <v>0</v>
      </c>
      <c r="H77" s="99">
        <f>G77+'23'!H77</f>
        <v>-3596.8000000000029</v>
      </c>
      <c r="I77" s="154"/>
      <c r="J77" s="175">
        <f>H77/DAY(B2)</f>
        <v>-156.38260869565229</v>
      </c>
      <c r="K77" s="69"/>
      <c r="L77" s="66"/>
      <c r="N77" s="87"/>
      <c r="O77" s="71"/>
    </row>
    <row r="78" spans="1:15" ht="27.75" x14ac:dyDescent="0.5">
      <c r="A78" s="768" t="s">
        <v>224</v>
      </c>
      <c r="B78" s="769"/>
      <c r="C78" s="770"/>
      <c r="D78" s="151" t="s">
        <v>139</v>
      </c>
      <c r="E78" s="95">
        <f>'23'!F78</f>
        <v>9180</v>
      </c>
      <c r="F78" s="123">
        <v>9180</v>
      </c>
      <c r="G78" s="112">
        <f t="shared" si="7"/>
        <v>0</v>
      </c>
      <c r="H78" s="99">
        <f>G78+'23'!H78</f>
        <v>-180.60000000000036</v>
      </c>
      <c r="I78" s="118"/>
      <c r="J78" s="175">
        <f>H78/DAY(B2)</f>
        <v>-7.8521739130434938</v>
      </c>
      <c r="K78" s="69"/>
      <c r="L78" s="66"/>
      <c r="N78" s="87"/>
      <c r="O78" s="71"/>
    </row>
    <row r="79" spans="1:15" s="57" customFormat="1" ht="27.75" x14ac:dyDescent="0.5">
      <c r="A79" s="768" t="s">
        <v>225</v>
      </c>
      <c r="B79" s="769"/>
      <c r="C79" s="770"/>
      <c r="D79" s="151"/>
      <c r="E79" s="95">
        <f>'23'!F79</f>
        <v>0</v>
      </c>
      <c r="F79" s="117"/>
      <c r="G79" s="112">
        <f>G15-SUM(G74:G78)</f>
        <v>875</v>
      </c>
      <c r="H79" s="99">
        <f>G79+'23'!H79</f>
        <v>55328.072999999924</v>
      </c>
      <c r="I79" s="118"/>
      <c r="J79" s="175">
        <f>H79/DAY(B2)</f>
        <v>2405.5683913043445</v>
      </c>
      <c r="K79" s="59"/>
      <c r="L79" s="58"/>
      <c r="N79" s="87"/>
      <c r="O79" s="71"/>
    </row>
    <row r="80" spans="1:15" s="57" customFormat="1" ht="29.25" x14ac:dyDescent="0.5">
      <c r="A80" s="780" t="s">
        <v>329</v>
      </c>
      <c r="B80" s="781"/>
      <c r="C80" s="782"/>
      <c r="D80" s="151"/>
      <c r="E80" s="117"/>
      <c r="F80" s="117"/>
      <c r="G80" s="112">
        <f>SUM(G74:G79)</f>
        <v>875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85" t="s">
        <v>226</v>
      </c>
      <c r="B81" s="786"/>
      <c r="C81" s="78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'23'!F82</f>
        <v>0</v>
      </c>
      <c r="F82" s="122"/>
      <c r="G82" s="112">
        <f t="shared" ref="G82:G92" si="8">F82-E82</f>
        <v>0</v>
      </c>
      <c r="H82" s="99">
        <f>G82+'23'!H82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'23'!F83</f>
        <v>0</v>
      </c>
      <c r="F83" s="122"/>
      <c r="G83" s="112">
        <f t="shared" si="8"/>
        <v>0</v>
      </c>
      <c r="H83" s="99">
        <f>G83+'23'!H83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'23'!F84</f>
        <v>40922</v>
      </c>
      <c r="F84" s="164">
        <v>40922</v>
      </c>
      <c r="G84" s="112">
        <f t="shared" si="8"/>
        <v>0</v>
      </c>
      <c r="H84" s="99">
        <f>G84+'23'!H84</f>
        <v>-774.19000000000233</v>
      </c>
      <c r="I84" s="118"/>
      <c r="J84" s="175">
        <f>H84/DAY(B2)</f>
        <v>-33.660434782608796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'23'!F85</f>
        <v>856</v>
      </c>
      <c r="F85" s="164">
        <v>856</v>
      </c>
      <c r="G85" s="112">
        <f t="shared" si="8"/>
        <v>0</v>
      </c>
      <c r="H85" s="99">
        <f>G85+'23'!H85</f>
        <v>-761.45</v>
      </c>
      <c r="I85" s="118">
        <f>G82+G83+G84+G85</f>
        <v>0</v>
      </c>
      <c r="J85" s="175">
        <f>H85/DAY(B2)</f>
        <v>-33.106521739130436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'23'!F86</f>
        <v>42822</v>
      </c>
      <c r="F86" s="164">
        <v>42822</v>
      </c>
      <c r="G86" s="112">
        <f t="shared" si="8"/>
        <v>0</v>
      </c>
      <c r="H86" s="99">
        <f>G86+'23'!H86</f>
        <v>-8.4700000000011642</v>
      </c>
      <c r="I86" s="118"/>
      <c r="J86" s="175">
        <f>H86/DAY(B2)</f>
        <v>-0.36826086956526799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'23'!F87</f>
        <v>32928</v>
      </c>
      <c r="F87" s="164">
        <v>32928</v>
      </c>
      <c r="G87" s="112">
        <f t="shared" si="8"/>
        <v>0</v>
      </c>
      <c r="H87" s="99">
        <f>G87+'23'!H87</f>
        <v>-921.2300000000032</v>
      </c>
      <c r="I87" s="118"/>
      <c r="J87" s="175">
        <f>H87/DAY(B2)</f>
        <v>-40.053478260869703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'23'!F88</f>
        <v>23356.43</v>
      </c>
      <c r="F88" s="164">
        <v>23356.43</v>
      </c>
      <c r="G88" s="112">
        <f t="shared" si="8"/>
        <v>0</v>
      </c>
      <c r="H88" s="99">
        <f>G88+'23'!H88</f>
        <v>-580.34000000000015</v>
      </c>
      <c r="I88" s="118">
        <f>G86+G87+G88</f>
        <v>0</v>
      </c>
      <c r="J88" s="175">
        <f>H88/DAY(B2)</f>
        <v>-25.232173913043486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'23'!F89</f>
        <v>25132.959999999999</v>
      </c>
      <c r="F89" s="164">
        <v>25132.959999999999</v>
      </c>
      <c r="G89" s="112">
        <f t="shared" si="8"/>
        <v>0</v>
      </c>
      <c r="H89" s="99">
        <f>G89+'23'!H89</f>
        <v>-163.57300000000032</v>
      </c>
      <c r="I89" s="118"/>
      <c r="J89" s="175">
        <f>H89/DAY(B2)</f>
        <v>-7.1118695652174049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'23'!F90</f>
        <v>70524.55</v>
      </c>
      <c r="F90" s="164">
        <v>70524.55</v>
      </c>
      <c r="G90" s="112">
        <f t="shared" si="8"/>
        <v>0</v>
      </c>
      <c r="H90" s="99">
        <f>G90+'23'!H90</f>
        <v>-72.10999999998603</v>
      </c>
      <c r="I90" s="118">
        <f>G89+G90</f>
        <v>0</v>
      </c>
      <c r="J90" s="175">
        <f>H90/DAY(B2)</f>
        <v>-3.1352173913037404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'23'!F91</f>
        <v>2627.98</v>
      </c>
      <c r="F91" s="122">
        <v>2627.98</v>
      </c>
      <c r="G91" s="112">
        <f t="shared" si="8"/>
        <v>0</v>
      </c>
      <c r="H91" s="99">
        <f>G91+'23'!H91</f>
        <v>-779.37999999999965</v>
      </c>
      <c r="I91" s="165"/>
      <c r="J91" s="175">
        <f>H91/DAY(B2)</f>
        <v>-33.886086956521723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'23'!F92</f>
        <v>4754</v>
      </c>
      <c r="F92" s="122">
        <v>4754</v>
      </c>
      <c r="G92" s="112">
        <f t="shared" si="8"/>
        <v>0</v>
      </c>
      <c r="H92" s="99">
        <f>G92+'23'!H92</f>
        <v>-8.4600000000000364</v>
      </c>
      <c r="I92" s="165"/>
      <c r="J92" s="175">
        <f>H92/DAY(B2)</f>
        <v>-0.3678260869565233</v>
      </c>
      <c r="O92" s="71"/>
    </row>
    <row r="93" spans="1:15" ht="29.25" x14ac:dyDescent="0.5">
      <c r="A93" s="774" t="s">
        <v>239</v>
      </c>
      <c r="B93" s="775"/>
      <c r="C93" s="77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1" t="s">
        <v>240</v>
      </c>
      <c r="B94" s="772"/>
      <c r="C94" s="773"/>
      <c r="D94" s="151" t="s">
        <v>130</v>
      </c>
      <c r="E94" s="151"/>
      <c r="F94" s="151"/>
      <c r="G94" s="99">
        <f>G35+G43+G49+G57</f>
        <v>0</v>
      </c>
      <c r="H94" s="99">
        <f>G94+'23'!H94</f>
        <v>2532505.96</v>
      </c>
      <c r="I94" s="118"/>
      <c r="J94" s="175">
        <f>H94/DAY(B2)</f>
        <v>110108.95478260869</v>
      </c>
      <c r="K94" s="69"/>
      <c r="L94" s="66"/>
      <c r="O94" s="71"/>
    </row>
    <row r="95" spans="1:15" ht="27.75" x14ac:dyDescent="0.5">
      <c r="A95" s="771" t="s">
        <v>241</v>
      </c>
      <c r="B95" s="772"/>
      <c r="C95" s="773"/>
      <c r="D95" s="151" t="s">
        <v>23</v>
      </c>
      <c r="E95" s="146"/>
      <c r="F95" s="146"/>
      <c r="G95" s="166">
        <f>G94/G7</f>
        <v>0</v>
      </c>
      <c r="H95" s="99">
        <f>G95+'23'!H95</f>
        <v>110.05863639047362</v>
      </c>
      <c r="I95" s="167"/>
      <c r="J95" s="175">
        <f>H95/DAY(B2)</f>
        <v>4.7851581039336359</v>
      </c>
      <c r="K95" s="69"/>
      <c r="L95" s="66"/>
      <c r="O95" s="71"/>
    </row>
    <row r="96" spans="1:15" ht="27.75" x14ac:dyDescent="0.5">
      <c r="A96" s="771" t="s">
        <v>242</v>
      </c>
      <c r="B96" s="772"/>
      <c r="C96" s="773"/>
      <c r="D96" s="151" t="s">
        <v>130</v>
      </c>
      <c r="E96" s="95"/>
      <c r="F96" s="95"/>
      <c r="G96" s="99">
        <f>G41+G42+G55+G56</f>
        <v>0</v>
      </c>
      <c r="H96" s="99">
        <f>G96+'23'!H96</f>
        <v>-535950.2100000002</v>
      </c>
      <c r="I96" s="118"/>
      <c r="J96" s="175">
        <f>H96/DAY(B2)</f>
        <v>-23302.183043478268</v>
      </c>
      <c r="K96" s="69"/>
      <c r="L96" s="66"/>
      <c r="O96" s="71"/>
    </row>
    <row r="97" spans="1:15" ht="27.75" x14ac:dyDescent="0.5">
      <c r="A97" s="771" t="s">
        <v>243</v>
      </c>
      <c r="B97" s="772"/>
      <c r="C97" s="773"/>
      <c r="D97" s="151" t="s">
        <v>23</v>
      </c>
      <c r="E97" s="95"/>
      <c r="F97" s="95"/>
      <c r="G97" s="166">
        <f>G96/G7</f>
        <v>0</v>
      </c>
      <c r="H97" s="99">
        <f>G97+'23'!H97</f>
        <v>-23.376968076147254</v>
      </c>
      <c r="I97" s="167"/>
      <c r="J97" s="175">
        <f>H97/DAY(B2)</f>
        <v>-1.0163899163542285</v>
      </c>
      <c r="K97" s="69"/>
      <c r="L97" s="66"/>
      <c r="O97" s="71"/>
    </row>
    <row r="98" spans="1:15" ht="27.75" x14ac:dyDescent="0.5">
      <c r="A98" s="771" t="s">
        <v>244</v>
      </c>
      <c r="B98" s="772"/>
      <c r="C98" s="773"/>
      <c r="D98" s="151" t="s">
        <v>130</v>
      </c>
      <c r="E98" s="95"/>
      <c r="F98" s="95"/>
      <c r="G98" s="99">
        <f>G39+G53</f>
        <v>0</v>
      </c>
      <c r="H98" s="99">
        <f>G98+'23'!H98</f>
        <v>1826698.97</v>
      </c>
      <c r="I98" s="168"/>
      <c r="J98" s="175">
        <f>H98/DAY(B2)</f>
        <v>79421.69434782608</v>
      </c>
      <c r="K98" s="69"/>
      <c r="L98" s="66"/>
      <c r="O98" s="71"/>
    </row>
    <row r="99" spans="1:15" ht="27.75" x14ac:dyDescent="0.5">
      <c r="A99" s="771" t="s">
        <v>245</v>
      </c>
      <c r="B99" s="772"/>
      <c r="C99" s="773"/>
      <c r="D99" s="151" t="s">
        <v>23</v>
      </c>
      <c r="E99" s="95"/>
      <c r="F99" s="95"/>
      <c r="G99" s="166">
        <f>G98/G7</f>
        <v>0</v>
      </c>
      <c r="H99" s="99">
        <f>G99+'23'!H99</f>
        <v>79.385711690839827</v>
      </c>
      <c r="I99" s="168"/>
      <c r="J99" s="175">
        <f>H99/DAY(B2)</f>
        <v>3.4515526822104272</v>
      </c>
      <c r="O99" s="71"/>
    </row>
    <row r="100" spans="1:15" ht="27.75" x14ac:dyDescent="0.5">
      <c r="A100" s="771" t="s">
        <v>246</v>
      </c>
      <c r="B100" s="772"/>
      <c r="C100" s="773"/>
      <c r="D100" s="151" t="s">
        <v>180</v>
      </c>
      <c r="E100" s="95"/>
      <c r="F100" s="95"/>
      <c r="G100" s="99">
        <f>G38+G52</f>
        <v>0</v>
      </c>
      <c r="H100" s="99">
        <f>G100+'23'!H100</f>
        <v>942134.4</v>
      </c>
      <c r="I100" s="118"/>
      <c r="J100" s="175">
        <f>H100/DAY(B2)</f>
        <v>40962.365217391307</v>
      </c>
      <c r="K100" s="70"/>
      <c r="O100" s="71"/>
    </row>
    <row r="101" spans="1:15" ht="27.75" x14ac:dyDescent="0.5">
      <c r="A101" s="771" t="s">
        <v>247</v>
      </c>
      <c r="B101" s="772"/>
      <c r="C101" s="773"/>
      <c r="D101" s="151" t="s">
        <v>23</v>
      </c>
      <c r="E101" s="95"/>
      <c r="F101" s="95"/>
      <c r="G101" s="166">
        <f>G100/G7</f>
        <v>0</v>
      </c>
      <c r="H101" s="99">
        <f>G101+'23'!H101</f>
        <v>40.946365636236884</v>
      </c>
      <c r="I101" s="168"/>
      <c r="J101" s="175">
        <f>H101/DAY(B2)</f>
        <v>1.780276766792908</v>
      </c>
      <c r="O101" s="71"/>
    </row>
    <row r="102" spans="1:15" ht="27.75" x14ac:dyDescent="0.5">
      <c r="A102" s="771" t="s">
        <v>248</v>
      </c>
      <c r="B102" s="772"/>
      <c r="C102" s="773"/>
      <c r="D102" s="151" t="s">
        <v>180</v>
      </c>
      <c r="E102" s="95"/>
      <c r="F102" s="95"/>
      <c r="G102" s="99">
        <f>G36+G50</f>
        <v>0</v>
      </c>
      <c r="H102" s="99">
        <f>G102+'23'!H102</f>
        <v>-150960.04999999996</v>
      </c>
      <c r="I102" s="168"/>
      <c r="J102" s="175">
        <f>H102/DAY(B2)</f>
        <v>-6563.4804347826066</v>
      </c>
      <c r="O102" s="71"/>
    </row>
    <row r="103" spans="1:15" ht="27.75" x14ac:dyDescent="0.5">
      <c r="A103" s="771" t="s">
        <v>249</v>
      </c>
      <c r="B103" s="772"/>
      <c r="C103" s="773"/>
      <c r="D103" s="151" t="s">
        <v>23</v>
      </c>
      <c r="E103" s="95"/>
      <c r="F103" s="95"/>
      <c r="G103" s="166">
        <f>G102/G7</f>
        <v>0</v>
      </c>
      <c r="H103" s="99">
        <f>G103+'23'!H103</f>
        <v>-6.5833689420489332</v>
      </c>
      <c r="I103" s="118"/>
      <c r="J103" s="175">
        <f>H103/DAY(B2)</f>
        <v>-0.28623343226299708</v>
      </c>
      <c r="O103" s="71"/>
    </row>
    <row r="104" spans="1:15" ht="27.75" x14ac:dyDescent="0.5">
      <c r="A104" s="771" t="s">
        <v>250</v>
      </c>
      <c r="B104" s="772"/>
      <c r="C104" s="773"/>
      <c r="D104" s="151" t="s">
        <v>180</v>
      </c>
      <c r="E104" s="95"/>
      <c r="F104" s="95"/>
      <c r="G104" s="99">
        <f>G37+G51</f>
        <v>0</v>
      </c>
      <c r="H104" s="99">
        <f>G104+'23'!H104</f>
        <v>157413.13</v>
      </c>
      <c r="I104" s="118"/>
      <c r="J104" s="175">
        <f>H104/DAY(B2)</f>
        <v>6844.0491304347825</v>
      </c>
      <c r="O104" s="71"/>
    </row>
    <row r="105" spans="1:15" ht="28.5" thickBot="1" x14ac:dyDescent="0.55000000000000004">
      <c r="A105" s="764" t="s">
        <v>251</v>
      </c>
      <c r="B105" s="765"/>
      <c r="C105" s="766"/>
      <c r="D105" s="231" t="s">
        <v>23</v>
      </c>
      <c r="E105" s="185"/>
      <c r="F105" s="185"/>
      <c r="G105" s="186">
        <f>G104/G7</f>
        <v>0</v>
      </c>
      <c r="H105" s="99">
        <f>G105+'23'!H105</f>
        <v>6.8301240046325189</v>
      </c>
      <c r="I105" s="187"/>
      <c r="J105" s="188">
        <f>H105/DAY(B2)</f>
        <v>0.29696191324489213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0" t="s">
        <v>324</v>
      </c>
      <c r="B108" s="760"/>
      <c r="C108" s="760"/>
      <c r="D108" s="760"/>
      <c r="E108" s="760"/>
      <c r="F108" s="760"/>
      <c r="G108" s="760"/>
      <c r="H108" s="760"/>
      <c r="I108" s="760"/>
      <c r="J108" s="760"/>
    </row>
    <row r="109" spans="1:15" ht="29.25" x14ac:dyDescent="0.5">
      <c r="A109" s="788"/>
      <c r="B109" s="788"/>
    </row>
    <row r="110" spans="1:15" ht="29.25" x14ac:dyDescent="0.5">
      <c r="A110" s="761" t="s">
        <v>165</v>
      </c>
      <c r="B110" s="762"/>
      <c r="C110" s="762"/>
      <c r="D110" s="762"/>
      <c r="E110" s="762"/>
      <c r="F110" s="762"/>
      <c r="G110" s="762"/>
      <c r="H110" s="762"/>
      <c r="I110" s="762"/>
      <c r="J110" s="763"/>
    </row>
    <row r="111" spans="1:15" ht="27.75" x14ac:dyDescent="0.5">
      <c r="A111" s="753"/>
      <c r="B111" s="754"/>
      <c r="C111" s="755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0" t="s">
        <v>252</v>
      </c>
      <c r="B112" s="751"/>
      <c r="C112" s="752"/>
      <c r="D112" s="146" t="s">
        <v>183</v>
      </c>
      <c r="E112" s="95">
        <f>'23'!F112</f>
        <v>38434</v>
      </c>
      <c r="F112" s="237">
        <v>38434</v>
      </c>
      <c r="G112" s="112">
        <f t="shared" ref="G112:G123" si="9">F112-E112</f>
        <v>0</v>
      </c>
      <c r="H112" s="99">
        <f>G112+'23'!H112</f>
        <v>-21107.82</v>
      </c>
      <c r="I112" s="165"/>
      <c r="J112" s="348">
        <f>H112/DAY(B2)</f>
        <v>-917.73130434782604</v>
      </c>
    </row>
    <row r="113" spans="1:18" ht="29.25" customHeight="1" x14ac:dyDescent="0.5">
      <c r="A113" s="750" t="s">
        <v>253</v>
      </c>
      <c r="B113" s="751"/>
      <c r="C113" s="752"/>
      <c r="D113" s="146" t="s">
        <v>183</v>
      </c>
      <c r="E113" s="95">
        <f>'23'!F113</f>
        <v>94790</v>
      </c>
      <c r="F113" s="237">
        <v>94790</v>
      </c>
      <c r="G113" s="112">
        <f t="shared" si="9"/>
        <v>0</v>
      </c>
      <c r="H113" s="99">
        <f>G113+'23'!H113</f>
        <v>-119257.45000000001</v>
      </c>
      <c r="I113" s="165"/>
      <c r="J113" s="348">
        <f>H113/DAY(B2)</f>
        <v>-5185.1065217391306</v>
      </c>
    </row>
    <row r="114" spans="1:18" ht="29.25" customHeight="1" x14ac:dyDescent="0.5">
      <c r="A114" s="750" t="s">
        <v>254</v>
      </c>
      <c r="B114" s="751"/>
      <c r="C114" s="752"/>
      <c r="D114" s="146" t="s">
        <v>183</v>
      </c>
      <c r="E114" s="95">
        <f>'23'!F114</f>
        <v>44933</v>
      </c>
      <c r="F114" s="237">
        <v>44933</v>
      </c>
      <c r="G114" s="112">
        <f t="shared" si="9"/>
        <v>0</v>
      </c>
      <c r="H114" s="99">
        <f>G114+'23'!H114</f>
        <v>92743.9</v>
      </c>
      <c r="I114" s="165"/>
      <c r="J114" s="348">
        <f>H114/DAY(B2)</f>
        <v>4032.3434782608692</v>
      </c>
    </row>
    <row r="115" spans="1:18" ht="29.25" customHeight="1" x14ac:dyDescent="0.5">
      <c r="A115" s="750" t="s">
        <v>255</v>
      </c>
      <c r="B115" s="751"/>
      <c r="C115" s="752"/>
      <c r="D115" s="146" t="s">
        <v>183</v>
      </c>
      <c r="E115" s="95">
        <f>'23'!F115</f>
        <v>6560</v>
      </c>
      <c r="F115" s="237">
        <v>6560</v>
      </c>
      <c r="G115" s="112">
        <f t="shared" si="9"/>
        <v>0</v>
      </c>
      <c r="H115" s="99">
        <f>G115+'23'!H115</f>
        <v>-2561.4399999999996</v>
      </c>
      <c r="I115" s="165"/>
      <c r="J115" s="348">
        <f>H115/DAY(B2)</f>
        <v>-111.36695652173911</v>
      </c>
    </row>
    <row r="116" spans="1:18" ht="29.25" customHeight="1" x14ac:dyDescent="0.5">
      <c r="A116" s="757" t="s">
        <v>96</v>
      </c>
      <c r="B116" s="758"/>
      <c r="C116" s="759"/>
      <c r="D116" s="146" t="s">
        <v>183</v>
      </c>
      <c r="E116" s="95">
        <f>'23'!F116</f>
        <v>44933</v>
      </c>
      <c r="F116" s="237">
        <v>44933</v>
      </c>
      <c r="G116" s="112">
        <f t="shared" si="9"/>
        <v>0</v>
      </c>
      <c r="H116" s="99">
        <f>G116+'23'!H116</f>
        <v>89866</v>
      </c>
      <c r="I116" s="165"/>
      <c r="J116" s="348">
        <f>H116/DAY(B2)</f>
        <v>3907.217391304348</v>
      </c>
      <c r="Q116" s="750" t="s">
        <v>311</v>
      </c>
      <c r="R116" s="752"/>
    </row>
    <row r="117" spans="1:18" ht="29.25" customHeight="1" x14ac:dyDescent="0.5">
      <c r="A117" s="757" t="s">
        <v>184</v>
      </c>
      <c r="B117" s="758"/>
      <c r="C117" s="759"/>
      <c r="D117" s="146" t="s">
        <v>183</v>
      </c>
      <c r="E117" s="95">
        <f>'23'!F117</f>
        <v>44933</v>
      </c>
      <c r="F117" s="237">
        <v>44933</v>
      </c>
      <c r="G117" s="112">
        <f t="shared" si="9"/>
        <v>0</v>
      </c>
      <c r="H117" s="99">
        <f>G117+'23'!H117</f>
        <v>88625.98000000001</v>
      </c>
      <c r="I117" s="165"/>
      <c r="J117" s="348">
        <f>H117/DAY(B2)</f>
        <v>3853.3034782608702</v>
      </c>
      <c r="Q117" s="750" t="s">
        <v>312</v>
      </c>
      <c r="R117" s="752"/>
    </row>
    <row r="118" spans="1:18" ht="27.75" x14ac:dyDescent="0.5">
      <c r="A118" s="749" t="s">
        <v>97</v>
      </c>
      <c r="B118" s="749"/>
      <c r="C118" s="749"/>
      <c r="D118" s="151" t="s">
        <v>183</v>
      </c>
      <c r="E118" s="95">
        <f>'23'!F118</f>
        <v>44933</v>
      </c>
      <c r="F118" s="237">
        <v>44933</v>
      </c>
      <c r="G118" s="112">
        <f t="shared" si="9"/>
        <v>0</v>
      </c>
      <c r="H118" s="99">
        <f>G118+'23'!H118</f>
        <v>-330033.39</v>
      </c>
      <c r="I118" s="165"/>
      <c r="J118" s="348">
        <f>H118/DAY(B2)</f>
        <v>-14349.277826086956</v>
      </c>
      <c r="Q118" s="750" t="s">
        <v>311</v>
      </c>
      <c r="R118" s="752"/>
    </row>
    <row r="119" spans="1:18" ht="27.75" x14ac:dyDescent="0.5">
      <c r="A119" s="749" t="s">
        <v>98</v>
      </c>
      <c r="B119" s="749"/>
      <c r="C119" s="749"/>
      <c r="D119" s="151" t="s">
        <v>183</v>
      </c>
      <c r="E119" s="95">
        <f>'23'!F119</f>
        <v>44933</v>
      </c>
      <c r="F119" s="237">
        <v>44933</v>
      </c>
      <c r="G119" s="112">
        <f t="shared" si="9"/>
        <v>0</v>
      </c>
      <c r="H119" s="99">
        <f>G119+'23'!H119</f>
        <v>-329315.05</v>
      </c>
      <c r="I119" s="165"/>
      <c r="J119" s="348">
        <f>H119/DAY(B2)</f>
        <v>-14318.045652173912</v>
      </c>
    </row>
    <row r="120" spans="1:18" ht="27.75" x14ac:dyDescent="0.5">
      <c r="A120" s="749" t="s">
        <v>99</v>
      </c>
      <c r="B120" s="749"/>
      <c r="C120" s="749"/>
      <c r="D120" s="151" t="s">
        <v>183</v>
      </c>
      <c r="E120" s="95">
        <f>'23'!F120</f>
        <v>44933</v>
      </c>
      <c r="F120" s="237">
        <v>44933</v>
      </c>
      <c r="G120" s="112">
        <f t="shared" si="9"/>
        <v>0</v>
      </c>
      <c r="H120" s="99">
        <f>G120+'23'!H120</f>
        <v>71927.510000000009</v>
      </c>
      <c r="I120" s="165"/>
      <c r="J120" s="348">
        <f>H120/DAY(B2)</f>
        <v>3127.2830434782613</v>
      </c>
    </row>
    <row r="121" spans="1:18" ht="27.75" x14ac:dyDescent="0.5">
      <c r="A121" s="749" t="s">
        <v>100</v>
      </c>
      <c r="B121" s="749"/>
      <c r="C121" s="749"/>
      <c r="D121" s="151" t="s">
        <v>183</v>
      </c>
      <c r="E121" s="95">
        <f>'23'!F121</f>
        <v>44933</v>
      </c>
      <c r="F121" s="237">
        <v>44933</v>
      </c>
      <c r="G121" s="112">
        <f t="shared" si="9"/>
        <v>0</v>
      </c>
      <c r="H121" s="99">
        <f>G121+'23'!H121</f>
        <v>-541106.63</v>
      </c>
      <c r="I121" s="165"/>
      <c r="J121" s="348">
        <f>H121/DAY(B2)</f>
        <v>-23526.375217391305</v>
      </c>
    </row>
    <row r="122" spans="1:18" ht="27.75" x14ac:dyDescent="0.5">
      <c r="A122" s="749" t="s">
        <v>101</v>
      </c>
      <c r="B122" s="749"/>
      <c r="C122" s="749"/>
      <c r="D122" s="151" t="s">
        <v>183</v>
      </c>
      <c r="E122" s="95">
        <f>'23'!F122</f>
        <v>44933</v>
      </c>
      <c r="F122" s="237">
        <v>44933</v>
      </c>
      <c r="G122" s="112">
        <f t="shared" si="9"/>
        <v>0</v>
      </c>
      <c r="H122" s="99">
        <f>G122+'23'!H122</f>
        <v>-98745.64</v>
      </c>
      <c r="I122" s="165"/>
      <c r="J122" s="348">
        <f>H122/DAY(B2)</f>
        <v>-4293.2886956521743</v>
      </c>
    </row>
    <row r="123" spans="1:18" ht="27.75" x14ac:dyDescent="0.5">
      <c r="A123" s="749" t="s">
        <v>102</v>
      </c>
      <c r="B123" s="749"/>
      <c r="C123" s="749"/>
      <c r="D123" s="151" t="s">
        <v>183</v>
      </c>
      <c r="E123" s="95">
        <f>'23'!F123</f>
        <v>44933</v>
      </c>
      <c r="F123" s="237">
        <v>44933</v>
      </c>
      <c r="G123" s="112">
        <f t="shared" si="9"/>
        <v>0</v>
      </c>
      <c r="H123" s="99">
        <f>G123+'23'!H123</f>
        <v>-146917.34</v>
      </c>
      <c r="I123" s="165"/>
      <c r="J123" s="348">
        <f>H123/DAY(B2)</f>
        <v>-6387.7104347826089</v>
      </c>
    </row>
    <row r="124" spans="1:18" ht="29.25" customHeight="1" x14ac:dyDescent="0.5">
      <c r="A124" s="753"/>
      <c r="B124" s="754"/>
      <c r="C124" s="755"/>
      <c r="D124" s="165"/>
      <c r="E124" s="95">
        <f>'23'!F124</f>
        <v>0</v>
      </c>
      <c r="F124" s="165"/>
      <c r="G124" s="347"/>
      <c r="H124" s="156"/>
      <c r="I124" s="165"/>
      <c r="J124" s="347"/>
    </row>
    <row r="125" spans="1:18" ht="27.75" x14ac:dyDescent="0.5">
      <c r="A125" s="737"/>
      <c r="B125" s="737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56" t="s">
        <v>317</v>
      </c>
      <c r="B126" s="756"/>
      <c r="C126" s="756"/>
      <c r="D126" s="756"/>
      <c r="E126" s="756"/>
      <c r="F126" s="756"/>
      <c r="G126" s="756"/>
      <c r="H126" s="756"/>
      <c r="I126" s="756"/>
      <c r="J126" s="756"/>
    </row>
    <row r="127" spans="1:18" ht="27.75" x14ac:dyDescent="0.5">
      <c r="A127" s="737"/>
      <c r="B127" s="737"/>
      <c r="C127" s="246"/>
      <c r="D127" s="317"/>
      <c r="E127" s="318"/>
      <c r="F127" s="318"/>
      <c r="G127" s="319"/>
      <c r="H127" s="99">
        <f>G127+'23'!H127</f>
        <v>0</v>
      </c>
      <c r="I127" s="165"/>
      <c r="J127" s="348">
        <f>H127/DAY(B2)</f>
        <v>0</v>
      </c>
    </row>
    <row r="128" spans="1:18" ht="29.25" customHeight="1" x14ac:dyDescent="0.5">
      <c r="A128" s="750" t="s">
        <v>318</v>
      </c>
      <c r="B128" s="751"/>
      <c r="C128" s="752"/>
      <c r="D128" s="151" t="s">
        <v>183</v>
      </c>
      <c r="E128" s="95">
        <f>'23'!F128</f>
        <v>0</v>
      </c>
      <c r="F128" s="165"/>
      <c r="G128" s="112">
        <f t="shared" ref="G128:G134" si="10">F128-E128</f>
        <v>0</v>
      </c>
      <c r="H128" s="99">
        <f>G128+'23'!H128</f>
        <v>-20837.400000000001</v>
      </c>
      <c r="I128" s="165"/>
      <c r="J128" s="348">
        <f>H128/DAY(B2)</f>
        <v>-905.97391304347832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'23'!F129</f>
        <v>0</v>
      </c>
      <c r="F129" s="165"/>
      <c r="G129" s="112">
        <f t="shared" si="10"/>
        <v>0</v>
      </c>
      <c r="H129" s="99">
        <f>G129+'23'!H129</f>
        <v>-3767.84</v>
      </c>
      <c r="I129" s="165"/>
      <c r="J129" s="348">
        <f>H129/DAY(B2)</f>
        <v>-163.81913043478261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'23'!F130</f>
        <v>0</v>
      </c>
      <c r="F130" s="165"/>
      <c r="G130" s="112">
        <f t="shared" si="10"/>
        <v>0</v>
      </c>
      <c r="H130" s="99">
        <f>G130+'23'!H130</f>
        <v>-4439.2299999999996</v>
      </c>
      <c r="I130" s="165"/>
      <c r="J130" s="348">
        <f>H130/DAY(B2)</f>
        <v>-193.01</v>
      </c>
      <c r="N130" s="240"/>
      <c r="O130" s="241"/>
    </row>
    <row r="131" spans="1:15" ht="27.75" x14ac:dyDescent="0.5">
      <c r="A131" s="750" t="s">
        <v>321</v>
      </c>
      <c r="B131" s="751"/>
      <c r="C131" s="752"/>
      <c r="D131" s="151" t="s">
        <v>183</v>
      </c>
      <c r="E131" s="95">
        <f>'23'!F131</f>
        <v>0</v>
      </c>
      <c r="F131" s="165"/>
      <c r="G131" s="112">
        <f t="shared" si="10"/>
        <v>0</v>
      </c>
      <c r="H131" s="99">
        <f>G131+'23'!H131</f>
        <v>-2311.35</v>
      </c>
      <c r="I131" s="165"/>
      <c r="J131" s="348">
        <f>H131/DAY(B2)</f>
        <v>-100.49347826086957</v>
      </c>
      <c r="N131" s="240"/>
      <c r="O131" s="241"/>
    </row>
    <row r="132" spans="1:15" ht="27.75" x14ac:dyDescent="0.5">
      <c r="A132" s="750" t="s">
        <v>322</v>
      </c>
      <c r="B132" s="751"/>
      <c r="C132" s="752"/>
      <c r="D132" s="151" t="s">
        <v>183</v>
      </c>
      <c r="E132" s="95">
        <f>'23'!F132</f>
        <v>0</v>
      </c>
      <c r="F132" s="165"/>
      <c r="G132" s="112">
        <f t="shared" si="10"/>
        <v>0</v>
      </c>
      <c r="H132" s="99">
        <f>G132+'23'!H132</f>
        <v>-7246.7</v>
      </c>
      <c r="I132" s="165"/>
      <c r="J132" s="348">
        <f>H132/DAY(B2)</f>
        <v>-315.07391304347823</v>
      </c>
    </row>
    <row r="133" spans="1:15" ht="27.75" x14ac:dyDescent="0.5">
      <c r="A133" s="750" t="s">
        <v>323</v>
      </c>
      <c r="B133" s="751"/>
      <c r="C133" s="752"/>
      <c r="D133" s="151" t="s">
        <v>183</v>
      </c>
      <c r="E133" s="95">
        <f>'23'!F133</f>
        <v>0</v>
      </c>
      <c r="F133" s="165"/>
      <c r="G133" s="112">
        <f t="shared" si="10"/>
        <v>0</v>
      </c>
      <c r="H133" s="99">
        <f>G133+'23'!H133</f>
        <v>-45947.5</v>
      </c>
      <c r="I133" s="165"/>
      <c r="J133" s="348">
        <f>H133/DAY(B2)</f>
        <v>-1997.7173913043478</v>
      </c>
    </row>
    <row r="134" spans="1:15" ht="27.75" x14ac:dyDescent="0.5">
      <c r="A134" s="750" t="s">
        <v>340</v>
      </c>
      <c r="B134" s="751"/>
      <c r="C134" s="752"/>
      <c r="D134" s="151" t="s">
        <v>183</v>
      </c>
      <c r="E134" s="95">
        <f>'23'!F134</f>
        <v>0</v>
      </c>
      <c r="F134" s="165"/>
      <c r="G134" s="112">
        <f t="shared" si="10"/>
        <v>0</v>
      </c>
      <c r="H134" s="99">
        <f>G134+'23'!H134</f>
        <v>-1237706</v>
      </c>
      <c r="I134" s="165"/>
      <c r="J134" s="348">
        <f>H134/DAY(B2)</f>
        <v>-53813.304347826088</v>
      </c>
    </row>
    <row r="135" spans="1:15" ht="27.75" x14ac:dyDescent="0.5">
      <c r="A135" s="753"/>
      <c r="B135" s="754"/>
      <c r="C135" s="755"/>
      <c r="D135" s="151"/>
      <c r="E135" s="95"/>
      <c r="F135" s="165"/>
      <c r="G135" s="112"/>
      <c r="H135" s="99">
        <f>G135+'23'!H135</f>
        <v>5534.2300000000005</v>
      </c>
      <c r="I135" s="165"/>
      <c r="J135" s="348"/>
    </row>
    <row r="136" spans="1:15" ht="31.5" x14ac:dyDescent="0.55000000000000004">
      <c r="A136" s="736" t="s">
        <v>325</v>
      </c>
      <c r="B136" s="736"/>
      <c r="C136" s="736"/>
      <c r="D136" s="736"/>
      <c r="E136" s="736"/>
      <c r="F136" s="736"/>
      <c r="G136" s="736"/>
      <c r="H136" s="736"/>
      <c r="I136" s="736"/>
      <c r="J136" s="736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49" t="s">
        <v>185</v>
      </c>
      <c r="B138" s="749"/>
      <c r="C138" s="749"/>
      <c r="D138" s="151" t="s">
        <v>183</v>
      </c>
      <c r="E138" s="95">
        <f>'23'!F138</f>
        <v>857022</v>
      </c>
      <c r="F138" s="147">
        <v>857022</v>
      </c>
      <c r="G138" s="112">
        <f t="shared" ref="G138:G152" si="11">F138-E138</f>
        <v>0</v>
      </c>
      <c r="H138" s="99">
        <f>G138+'23'!H138</f>
        <v>-2046</v>
      </c>
      <c r="I138" s="118"/>
      <c r="J138" s="348">
        <f>H138/DAY(B2)</f>
        <v>-88.956521739130437</v>
      </c>
    </row>
    <row r="139" spans="1:15" ht="27.75" x14ac:dyDescent="0.5">
      <c r="A139" s="749" t="s">
        <v>186</v>
      </c>
      <c r="B139" s="749"/>
      <c r="C139" s="749"/>
      <c r="D139" s="151" t="s">
        <v>183</v>
      </c>
      <c r="E139" s="95">
        <f>'23'!F139</f>
        <v>886051</v>
      </c>
      <c r="F139" s="148">
        <v>886051</v>
      </c>
      <c r="G139" s="112">
        <f t="shared" si="11"/>
        <v>0</v>
      </c>
      <c r="H139" s="99">
        <f>G139+'23'!H139</f>
        <v>-33</v>
      </c>
      <c r="I139" s="118"/>
      <c r="J139" s="348">
        <f>H139/DAY(B2)</f>
        <v>-1.4347826086956521</v>
      </c>
    </row>
    <row r="140" spans="1:15" ht="27.75" x14ac:dyDescent="0.5">
      <c r="A140" s="749" t="s">
        <v>187</v>
      </c>
      <c r="B140" s="749"/>
      <c r="C140" s="749"/>
      <c r="D140" s="151" t="s">
        <v>183</v>
      </c>
      <c r="E140" s="95">
        <f>'23'!F140</f>
        <v>88776</v>
      </c>
      <c r="F140" s="149">
        <v>88776</v>
      </c>
      <c r="G140" s="112">
        <f t="shared" si="11"/>
        <v>0</v>
      </c>
      <c r="H140" s="99">
        <f>G140+'23'!H140</f>
        <v>-47.100000000005821</v>
      </c>
      <c r="I140" s="118"/>
      <c r="J140" s="348">
        <f>H140/DAY(B2)</f>
        <v>-2.0478260869567748</v>
      </c>
    </row>
    <row r="141" spans="1:15" ht="27.75" x14ac:dyDescent="0.5">
      <c r="A141" s="728" t="s">
        <v>188</v>
      </c>
      <c r="B141" s="728"/>
      <c r="C141" s="728"/>
      <c r="D141" s="151" t="s">
        <v>183</v>
      </c>
      <c r="E141" s="95">
        <f>'23'!F141</f>
        <v>26308</v>
      </c>
      <c r="F141" s="149">
        <v>26308</v>
      </c>
      <c r="G141" s="112">
        <f t="shared" si="11"/>
        <v>0</v>
      </c>
      <c r="H141" s="99">
        <f>G141+'23'!H141</f>
        <v>-13573.5</v>
      </c>
      <c r="I141" s="118"/>
      <c r="J141" s="348">
        <f>H141/DAY(B2)</f>
        <v>-590.1521739130435</v>
      </c>
    </row>
    <row r="142" spans="1:15" ht="27.75" x14ac:dyDescent="0.5">
      <c r="A142" s="728" t="s">
        <v>189</v>
      </c>
      <c r="B142" s="728"/>
      <c r="C142" s="728"/>
      <c r="D142" s="151" t="s">
        <v>183</v>
      </c>
      <c r="E142" s="95">
        <f>'23'!F142</f>
        <v>13277</v>
      </c>
      <c r="F142" s="148">
        <v>13277</v>
      </c>
      <c r="G142" s="112">
        <f t="shared" si="11"/>
        <v>0</v>
      </c>
      <c r="H142" s="99">
        <f>G142+'23'!H142</f>
        <v>-5306.2999999999993</v>
      </c>
      <c r="I142" s="140"/>
      <c r="J142" s="348">
        <f>H142/DAY(B2)</f>
        <v>-230.70869565217387</v>
      </c>
    </row>
    <row r="143" spans="1:15" ht="27.75" x14ac:dyDescent="0.5">
      <c r="A143" s="749" t="s">
        <v>91</v>
      </c>
      <c r="B143" s="749"/>
      <c r="C143" s="749"/>
      <c r="D143" s="151" t="s">
        <v>183</v>
      </c>
      <c r="E143" s="95">
        <f>'23'!F143</f>
        <v>0</v>
      </c>
      <c r="F143" s="149"/>
      <c r="G143" s="112">
        <f t="shared" si="11"/>
        <v>0</v>
      </c>
      <c r="H143" s="99">
        <f>G143+'23'!H143</f>
        <v>-1531.35</v>
      </c>
      <c r="I143" s="140"/>
      <c r="J143" s="348">
        <f>H143/DAY(B2)</f>
        <v>-66.580434782608691</v>
      </c>
    </row>
    <row r="144" spans="1:15" ht="27.75" x14ac:dyDescent="0.5">
      <c r="A144" s="728" t="s">
        <v>90</v>
      </c>
      <c r="B144" s="728"/>
      <c r="C144" s="728"/>
      <c r="D144" s="151" t="s">
        <v>183</v>
      </c>
      <c r="E144" s="95">
        <f>'23'!F144</f>
        <v>0</v>
      </c>
      <c r="F144" s="149"/>
      <c r="G144" s="112">
        <f t="shared" si="11"/>
        <v>0</v>
      </c>
      <c r="H144" s="99">
        <f>G144+'23'!H144</f>
        <v>-1702947</v>
      </c>
      <c r="I144" s="140"/>
      <c r="J144" s="348">
        <f>H144/DAY(B2)</f>
        <v>-74041.173913043473</v>
      </c>
    </row>
    <row r="145" spans="1:10" ht="27.75" x14ac:dyDescent="0.5">
      <c r="A145" s="749" t="s">
        <v>190</v>
      </c>
      <c r="B145" s="749"/>
      <c r="C145" s="749"/>
      <c r="D145" s="152" t="s">
        <v>183</v>
      </c>
      <c r="E145" s="95">
        <f>'23'!F145</f>
        <v>0</v>
      </c>
      <c r="F145" s="149"/>
      <c r="G145" s="112">
        <f t="shared" si="11"/>
        <v>0</v>
      </c>
      <c r="H145" s="99">
        <f>G145+'23'!H145</f>
        <v>-2618.4</v>
      </c>
      <c r="I145" s="140"/>
      <c r="J145" s="348">
        <f>H145/DAY(B2)</f>
        <v>-113.84347826086957</v>
      </c>
    </row>
    <row r="146" spans="1:10" ht="27.75" x14ac:dyDescent="0.5">
      <c r="A146" s="784" t="s">
        <v>191</v>
      </c>
      <c r="B146" s="769"/>
      <c r="C146" s="770"/>
      <c r="D146" s="152" t="s">
        <v>183</v>
      </c>
      <c r="E146" s="95">
        <f>'23'!F146</f>
        <v>0</v>
      </c>
      <c r="F146" s="148"/>
      <c r="G146" s="112">
        <f t="shared" si="11"/>
        <v>0</v>
      </c>
      <c r="H146" s="99">
        <f>G146+'23'!H146</f>
        <v>-1380251</v>
      </c>
      <c r="I146" s="140"/>
      <c r="J146" s="348">
        <f>H146/DAY(B2)</f>
        <v>-60010.913043478264</v>
      </c>
    </row>
    <row r="147" spans="1:10" ht="27.75" x14ac:dyDescent="0.5">
      <c r="A147" s="728" t="s">
        <v>192</v>
      </c>
      <c r="B147" s="728"/>
      <c r="C147" s="728"/>
      <c r="D147" s="152" t="s">
        <v>183</v>
      </c>
      <c r="E147" s="95">
        <f>'23'!F147</f>
        <v>0</v>
      </c>
      <c r="F147" s="148"/>
      <c r="G147" s="112">
        <f t="shared" si="11"/>
        <v>0</v>
      </c>
      <c r="H147" s="99">
        <f>G147+'23'!H147</f>
        <v>-1159149.72</v>
      </c>
      <c r="I147" s="140"/>
      <c r="J147" s="348">
        <f>H147/DAY(B2)</f>
        <v>-50397.813913043479</v>
      </c>
    </row>
    <row r="148" spans="1:10" ht="27.75" x14ac:dyDescent="0.5">
      <c r="A148" s="729" t="s">
        <v>193</v>
      </c>
      <c r="B148" s="730"/>
      <c r="C148" s="731"/>
      <c r="D148" s="123" t="s">
        <v>130</v>
      </c>
      <c r="E148" s="95">
        <f>'23'!F148</f>
        <v>0</v>
      </c>
      <c r="F148" s="150"/>
      <c r="G148" s="112">
        <f t="shared" si="11"/>
        <v>0</v>
      </c>
      <c r="H148" s="99">
        <f>G148+'23'!H148</f>
        <v>-1320350.54</v>
      </c>
      <c r="I148" s="124"/>
      <c r="J148" s="348">
        <f>H148/DAY(B2)</f>
        <v>-57406.545217391307</v>
      </c>
    </row>
    <row r="149" spans="1:10" ht="27.75" x14ac:dyDescent="0.5">
      <c r="A149" s="729" t="s">
        <v>336</v>
      </c>
      <c r="B149" s="730"/>
      <c r="C149" s="731"/>
      <c r="D149" s="227" t="s">
        <v>130</v>
      </c>
      <c r="E149" s="95">
        <f>'23'!F149</f>
        <v>0</v>
      </c>
      <c r="F149" s="146"/>
      <c r="G149" s="112">
        <f t="shared" si="11"/>
        <v>0</v>
      </c>
      <c r="H149" s="99">
        <f>G149+'23'!H149</f>
        <v>-155505</v>
      </c>
      <c r="I149" s="119"/>
      <c r="J149" s="348">
        <f>H149/DAY(B2)</f>
        <v>-6761.086956521739</v>
      </c>
    </row>
    <row r="150" spans="1:10" ht="27.75" x14ac:dyDescent="0.5">
      <c r="A150" s="729" t="s">
        <v>337</v>
      </c>
      <c r="B150" s="730"/>
      <c r="C150" s="731"/>
      <c r="D150" s="117" t="s">
        <v>130</v>
      </c>
      <c r="E150" s="95">
        <f>'23'!F150</f>
        <v>0</v>
      </c>
      <c r="F150" s="233"/>
      <c r="G150" s="112">
        <f t="shared" si="11"/>
        <v>0</v>
      </c>
      <c r="H150" s="99">
        <f>G150+'23'!H150</f>
        <v>-14334464</v>
      </c>
      <c r="I150" s="119"/>
      <c r="J150" s="348">
        <f>H150/DAY(B2)</f>
        <v>-623237.56521739135</v>
      </c>
    </row>
    <row r="151" spans="1:10" ht="27.75" x14ac:dyDescent="0.5">
      <c r="A151" s="729" t="s">
        <v>338</v>
      </c>
      <c r="B151" s="730"/>
      <c r="C151" s="731"/>
      <c r="D151" s="117" t="s">
        <v>130</v>
      </c>
      <c r="E151" s="95">
        <f>'23'!F151</f>
        <v>0</v>
      </c>
      <c r="F151" s="233"/>
      <c r="G151" s="112">
        <f t="shared" si="11"/>
        <v>0</v>
      </c>
      <c r="H151" s="99">
        <f>G151+'23'!H151</f>
        <v>-112419</v>
      </c>
      <c r="I151" s="119"/>
      <c r="J151" s="348">
        <f>H151/DAY(B2)</f>
        <v>-4887.782608695652</v>
      </c>
    </row>
    <row r="152" spans="1:10" ht="27.75" x14ac:dyDescent="0.5">
      <c r="A152" s="729" t="s">
        <v>339</v>
      </c>
      <c r="B152" s="730"/>
      <c r="C152" s="731"/>
      <c r="D152" s="117" t="s">
        <v>130</v>
      </c>
      <c r="E152" s="95">
        <f>'23'!F152</f>
        <v>0</v>
      </c>
      <c r="F152" s="233"/>
      <c r="G152" s="112">
        <f t="shared" si="11"/>
        <v>0</v>
      </c>
      <c r="H152" s="99">
        <f>G152+'23'!H152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36" t="s">
        <v>344</v>
      </c>
      <c r="B154" s="736"/>
      <c r="C154" s="736"/>
      <c r="D154" s="736"/>
      <c r="E154" s="736"/>
      <c r="F154" s="736"/>
      <c r="G154" s="736"/>
      <c r="H154" s="736"/>
      <c r="I154" s="736"/>
      <c r="J154" s="736"/>
    </row>
    <row r="155" spans="1:10" ht="31.5" x14ac:dyDescent="0.55000000000000004">
      <c r="A155" s="728" t="s">
        <v>345</v>
      </c>
      <c r="B155" s="728"/>
      <c r="C155" s="728"/>
      <c r="D155" s="117" t="s">
        <v>130</v>
      </c>
      <c r="E155" s="95">
        <f>'23'!F155</f>
        <v>0</v>
      </c>
      <c r="F155" s="385"/>
      <c r="G155" s="112">
        <f t="shared" ref="G155:G156" si="12">F155-E155</f>
        <v>0</v>
      </c>
      <c r="H155" s="99">
        <f>G155+'23'!H155</f>
        <v>-154178.09999999998</v>
      </c>
      <c r="I155" s="385"/>
      <c r="J155" s="348">
        <f>H155/DAY(B2)</f>
        <v>-6703.3956521739119</v>
      </c>
    </row>
    <row r="156" spans="1:10" ht="27.75" x14ac:dyDescent="0.5">
      <c r="A156" s="728" t="s">
        <v>347</v>
      </c>
      <c r="B156" s="728"/>
      <c r="C156" s="728"/>
      <c r="D156" s="117" t="s">
        <v>130</v>
      </c>
      <c r="E156" s="95">
        <f>'23'!F156</f>
        <v>0</v>
      </c>
      <c r="F156" s="165"/>
      <c r="G156" s="112">
        <f t="shared" si="12"/>
        <v>0</v>
      </c>
      <c r="H156" s="99">
        <f>G156+'23'!H156</f>
        <v>0</v>
      </c>
      <c r="I156" s="165"/>
      <c r="J156" s="348">
        <f>H156/DAY(B2)</f>
        <v>0</v>
      </c>
    </row>
    <row r="157" spans="1:10" ht="31.5" x14ac:dyDescent="0.55000000000000004">
      <c r="A157" s="736" t="s">
        <v>326</v>
      </c>
      <c r="B157" s="736"/>
      <c r="C157" s="736"/>
      <c r="D157" s="736"/>
      <c r="E157" s="736"/>
      <c r="F157" s="736"/>
      <c r="G157" s="736"/>
      <c r="H157" s="736"/>
      <c r="I157" s="736"/>
      <c r="J157" s="736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'23'!F158</f>
        <v>463315</v>
      </c>
      <c r="F158" s="235">
        <v>463315</v>
      </c>
      <c r="G158" s="238">
        <f t="shared" ref="G158:G162" si="13">F158-E158</f>
        <v>0</v>
      </c>
      <c r="H158" s="99">
        <f>G158+'23'!H158</f>
        <v>-5764.4000000000233</v>
      </c>
      <c r="I158" s="236"/>
      <c r="J158" s="239">
        <f>H158/DAY(B2)</f>
        <v>-250.62608695652276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'23'!F159</f>
        <v>83899</v>
      </c>
      <c r="F159" s="235">
        <v>83899</v>
      </c>
      <c r="G159" s="238">
        <f t="shared" si="13"/>
        <v>0</v>
      </c>
      <c r="H159" s="99">
        <f>G159+'23'!H159</f>
        <v>-2351.3999999999942</v>
      </c>
      <c r="I159" s="236"/>
      <c r="J159" s="239">
        <f>H159/DAY(B2)</f>
        <v>-102.2347826086954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'23'!F160</f>
        <v>69089</v>
      </c>
      <c r="F160" s="235">
        <v>69089</v>
      </c>
      <c r="G160" s="238">
        <f t="shared" si="13"/>
        <v>0</v>
      </c>
      <c r="H160" s="99">
        <f>G160+'23'!H160</f>
        <v>-4894.1999999999971</v>
      </c>
      <c r="I160" s="236"/>
      <c r="J160" s="239">
        <f>H160/DAY(B2)</f>
        <v>-212.79130434782596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'23'!F161</f>
        <v>3611</v>
      </c>
      <c r="F161" s="235">
        <v>3611</v>
      </c>
      <c r="G161" s="238">
        <f t="shared" si="13"/>
        <v>0</v>
      </c>
      <c r="H161" s="99">
        <f>G161+'23'!H161</f>
        <v>-555.30000000000018</v>
      </c>
      <c r="I161" s="236"/>
      <c r="J161" s="239">
        <f>H161/DAY(B2)</f>
        <v>-24.143478260869575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'23'!F162</f>
        <v>28746</v>
      </c>
      <c r="F162" s="235">
        <v>28746</v>
      </c>
      <c r="G162" s="238">
        <f t="shared" si="13"/>
        <v>0</v>
      </c>
      <c r="H162" s="99">
        <f>G162+'23'!H162</f>
        <v>-566.7400000000016</v>
      </c>
      <c r="I162" s="236"/>
      <c r="J162" s="239">
        <f>H162/DAY(B2)</f>
        <v>-24.640869565217461</v>
      </c>
    </row>
    <row r="163" spans="1:10" ht="29.25" x14ac:dyDescent="0.5">
      <c r="A163" s="737"/>
      <c r="B163" s="737"/>
      <c r="C163" s="247"/>
      <c r="D163" s="244" t="s">
        <v>180</v>
      </c>
      <c r="E163" s="95">
        <f>'23'!F163</f>
        <v>0</v>
      </c>
      <c r="F163" s="165"/>
      <c r="G163" s="165"/>
      <c r="H163" s="99">
        <f>G163+'23'!H163</f>
        <v>0</v>
      </c>
      <c r="I163" s="165"/>
      <c r="J163" s="239">
        <f>H163/DAY(B2)</f>
        <v>0</v>
      </c>
    </row>
    <row r="164" spans="1:10" ht="29.25" x14ac:dyDescent="0.5">
      <c r="A164" s="737"/>
      <c r="B164" s="737"/>
      <c r="C164" s="247"/>
      <c r="D164" s="244" t="s">
        <v>180</v>
      </c>
      <c r="E164" s="95">
        <f>'23'!F164</f>
        <v>0</v>
      </c>
      <c r="F164" s="165"/>
      <c r="G164" s="165"/>
      <c r="H164" s="99">
        <f>G164+'23'!H164</f>
        <v>0</v>
      </c>
      <c r="I164" s="165"/>
      <c r="J164" s="239">
        <f>H164/DAY(B2)</f>
        <v>0</v>
      </c>
    </row>
    <row r="165" spans="1:10" ht="29.25" x14ac:dyDescent="0.5">
      <c r="A165" s="737"/>
      <c r="B165" s="737"/>
      <c r="C165" s="247"/>
      <c r="D165" s="244" t="s">
        <v>180</v>
      </c>
      <c r="E165" s="95">
        <f>'23'!F165</f>
        <v>0</v>
      </c>
      <c r="F165" s="165"/>
      <c r="G165" s="165"/>
      <c r="H165" s="99">
        <f>G165+'23'!H165</f>
        <v>0</v>
      </c>
      <c r="I165" s="165"/>
      <c r="J165" s="239">
        <f>H165/DAY(B2)</f>
        <v>0</v>
      </c>
    </row>
    <row r="166" spans="1:10" ht="29.25" x14ac:dyDescent="0.5"/>
    <row r="167" spans="1:10" ht="21.75" customHeight="1" x14ac:dyDescent="0.5"/>
    <row r="168" spans="1:10" ht="21.75" customHeight="1" x14ac:dyDescent="0.35">
      <c r="A168" s="738" t="s">
        <v>330</v>
      </c>
      <c r="B168" s="739"/>
      <c r="C168" s="739"/>
      <c r="D168" s="739"/>
      <c r="E168" s="739"/>
      <c r="F168" s="739"/>
      <c r="G168" s="739"/>
      <c r="H168" s="739"/>
      <c r="I168" s="739"/>
      <c r="J168" s="740"/>
    </row>
    <row r="169" spans="1:10" ht="21.75" customHeight="1" x14ac:dyDescent="0.5">
      <c r="A169" s="747"/>
      <c r="B169" s="748"/>
      <c r="C169" s="352"/>
      <c r="D169" s="228"/>
      <c r="E169" s="155"/>
      <c r="F169" s="155"/>
      <c r="G169" s="155"/>
      <c r="H169" s="156"/>
      <c r="I169" s="155"/>
      <c r="J169" s="178"/>
    </row>
    <row r="170" spans="1:10" ht="25.5" customHeight="1" x14ac:dyDescent="0.5">
      <c r="A170" s="743" t="s">
        <v>209</v>
      </c>
      <c r="B170" s="744"/>
      <c r="C170" s="353"/>
      <c r="D170" s="228" t="s">
        <v>142</v>
      </c>
      <c r="E170" s="95">
        <f>'23'!F170</f>
        <v>7961</v>
      </c>
      <c r="F170" s="155">
        <v>7961</v>
      </c>
      <c r="G170" s="155">
        <f>F170-E170</f>
        <v>0</v>
      </c>
      <c r="H170" s="99">
        <f>G170+'23'!H170</f>
        <v>129</v>
      </c>
      <c r="I170" s="155"/>
      <c r="J170" s="178">
        <f>H170/DAY(B2)</f>
        <v>5.6086956521739131</v>
      </c>
    </row>
    <row r="171" spans="1:10" ht="27" customHeight="1" x14ac:dyDescent="0.5">
      <c r="A171" s="743" t="s">
        <v>75</v>
      </c>
      <c r="B171" s="744"/>
      <c r="C171" s="353"/>
      <c r="D171" s="228" t="s">
        <v>142</v>
      </c>
      <c r="E171" s="95">
        <f>'23'!F171</f>
        <v>36765</v>
      </c>
      <c r="F171" s="157">
        <v>36765</v>
      </c>
      <c r="G171" s="155">
        <f t="shared" ref="G171:G172" si="14">F171-E171</f>
        <v>0</v>
      </c>
      <c r="H171" s="99">
        <f>G171+'23'!H171</f>
        <v>-332</v>
      </c>
      <c r="I171" s="155"/>
      <c r="J171" s="178">
        <f>H171/DAY(B2)</f>
        <v>-14.434782608695652</v>
      </c>
    </row>
    <row r="172" spans="1:10" ht="27" customHeight="1" x14ac:dyDescent="0.5">
      <c r="A172" s="743" t="s">
        <v>76</v>
      </c>
      <c r="B172" s="783"/>
      <c r="C172" s="744"/>
      <c r="D172" s="228" t="s">
        <v>142</v>
      </c>
      <c r="E172" s="95">
        <f>'23'!F172</f>
        <v>20214</v>
      </c>
      <c r="F172" s="155">
        <v>20214</v>
      </c>
      <c r="G172" s="155">
        <f t="shared" si="14"/>
        <v>0</v>
      </c>
      <c r="H172" s="99">
        <f>G172+'23'!H172</f>
        <v>-687</v>
      </c>
      <c r="I172" s="155"/>
      <c r="J172" s="178">
        <f>H172/DAY(B2)</f>
        <v>-29.869565217391305</v>
      </c>
    </row>
    <row r="173" spans="1:10" ht="21.75" customHeight="1" x14ac:dyDescent="0.5">
      <c r="A173" s="732" t="s">
        <v>196</v>
      </c>
      <c r="B173" s="733"/>
      <c r="C173" s="611"/>
      <c r="D173" s="228" t="s">
        <v>142</v>
      </c>
      <c r="E173" s="95"/>
      <c r="F173" s="155"/>
      <c r="G173" s="155">
        <f>SUM(G170:G172)</f>
        <v>0</v>
      </c>
      <c r="H173" s="99">
        <f>G173+'23'!H173</f>
        <v>-890</v>
      </c>
      <c r="I173" s="155"/>
      <c r="J173" s="178">
        <f>H173/DAY(B2)</f>
        <v>-38.695652173913047</v>
      </c>
    </row>
    <row r="174" spans="1:10" ht="21.75" customHeight="1" x14ac:dyDescent="0.5">
      <c r="A174" s="743" t="s">
        <v>77</v>
      </c>
      <c r="B174" s="744"/>
      <c r="C174" s="353"/>
      <c r="D174" s="228" t="s">
        <v>142</v>
      </c>
      <c r="E174" s="95"/>
      <c r="F174" s="155"/>
      <c r="G174" s="155"/>
      <c r="H174" s="99">
        <f>G174+'23'!H174</f>
        <v>0</v>
      </c>
      <c r="I174" s="155"/>
      <c r="J174" s="178">
        <f>H174/DAY(B2)</f>
        <v>0</v>
      </c>
    </row>
    <row r="175" spans="1:10" ht="27.75" x14ac:dyDescent="0.5">
      <c r="A175" s="743" t="s">
        <v>210</v>
      </c>
      <c r="B175" s="744"/>
      <c r="C175" s="353"/>
      <c r="D175" s="228" t="s">
        <v>142</v>
      </c>
      <c r="E175" s="95">
        <f>'23'!F175</f>
        <v>69524</v>
      </c>
      <c r="F175" s="155">
        <v>69524</v>
      </c>
      <c r="G175" s="155">
        <f>F175-E175</f>
        <v>0</v>
      </c>
      <c r="H175" s="99">
        <f>G175+'23'!H175</f>
        <v>-6303</v>
      </c>
      <c r="I175" s="155"/>
      <c r="J175" s="178">
        <f>H175/DAY(B2)</f>
        <v>-274.04347826086956</v>
      </c>
    </row>
    <row r="176" spans="1:10" ht="24" customHeight="1" x14ac:dyDescent="0.5">
      <c r="A176" s="743" t="s">
        <v>211</v>
      </c>
      <c r="B176" s="744"/>
      <c r="C176" s="353"/>
      <c r="D176" s="228" t="s">
        <v>142</v>
      </c>
      <c r="E176" s="95">
        <f>'23'!F176</f>
        <v>33886</v>
      </c>
      <c r="F176" s="155">
        <v>33886</v>
      </c>
      <c r="G176" s="155">
        <f t="shared" ref="G176:G177" si="15">F176-E176</f>
        <v>0</v>
      </c>
      <c r="H176" s="99">
        <f>G176+'23'!H176</f>
        <v>0</v>
      </c>
      <c r="I176" s="155"/>
      <c r="J176" s="178">
        <f>H176/DAY(B2)</f>
        <v>0</v>
      </c>
    </row>
    <row r="177" spans="1:10" ht="27.75" x14ac:dyDescent="0.5">
      <c r="A177" s="743" t="s">
        <v>212</v>
      </c>
      <c r="B177" s="744"/>
      <c r="C177" s="353"/>
      <c r="D177" s="228" t="s">
        <v>142</v>
      </c>
      <c r="E177" s="95">
        <f>'23'!F177</f>
        <v>4788</v>
      </c>
      <c r="F177" s="155">
        <v>4788</v>
      </c>
      <c r="G177" s="155">
        <f t="shared" si="15"/>
        <v>0</v>
      </c>
      <c r="H177" s="99">
        <f>G177+'23'!H177</f>
        <v>-3190</v>
      </c>
      <c r="I177" s="155"/>
      <c r="J177" s="178">
        <f>H177/DAY(B2)</f>
        <v>-138.69565217391303</v>
      </c>
    </row>
    <row r="178" spans="1:10" ht="27.75" x14ac:dyDescent="0.5">
      <c r="A178" s="745" t="s">
        <v>108</v>
      </c>
      <c r="B178" s="746"/>
      <c r="C178" s="611"/>
      <c r="D178" s="228" t="s">
        <v>142</v>
      </c>
      <c r="E178" s="95"/>
      <c r="F178" s="155"/>
      <c r="G178" s="155">
        <f>SUM(G175:G177)</f>
        <v>0</v>
      </c>
      <c r="H178" s="99">
        <f>G178+'23'!H178</f>
        <v>-9493</v>
      </c>
      <c r="I178" s="155"/>
      <c r="J178" s="178">
        <f>H178/DAY(B2)</f>
        <v>-412.73913043478262</v>
      </c>
    </row>
    <row r="179" spans="1:10" ht="27.75" x14ac:dyDescent="0.5">
      <c r="A179" s="743" t="s">
        <v>213</v>
      </c>
      <c r="B179" s="744"/>
      <c r="C179" s="353"/>
      <c r="D179" s="228" t="s">
        <v>142</v>
      </c>
      <c r="E179" s="95"/>
      <c r="F179" s="155"/>
      <c r="G179" s="155"/>
      <c r="H179" s="99">
        <f>G179+'23'!H179</f>
        <v>0</v>
      </c>
      <c r="I179" s="155"/>
      <c r="J179" s="178">
        <f>H179/DAY(B2)</f>
        <v>0</v>
      </c>
    </row>
    <row r="180" spans="1:10" ht="27.75" x14ac:dyDescent="0.5">
      <c r="A180" s="743" t="s">
        <v>214</v>
      </c>
      <c r="B180" s="744"/>
      <c r="C180" s="354"/>
      <c r="D180" s="228" t="s">
        <v>142</v>
      </c>
      <c r="E180" s="95">
        <f>'23'!F180</f>
        <v>13038</v>
      </c>
      <c r="F180" s="157">
        <v>13038</v>
      </c>
      <c r="G180" s="157">
        <f>F180-E180</f>
        <v>0</v>
      </c>
      <c r="H180" s="99">
        <f>G180+'23'!H180</f>
        <v>-1253</v>
      </c>
      <c r="I180" s="155"/>
      <c r="J180" s="178">
        <f>H180/DAY(B2)</f>
        <v>-54.478260869565219</v>
      </c>
    </row>
    <row r="181" spans="1:10" ht="27.75" x14ac:dyDescent="0.5">
      <c r="A181" s="743" t="s">
        <v>215</v>
      </c>
      <c r="B181" s="744"/>
      <c r="C181" s="354"/>
      <c r="D181" s="228" t="s">
        <v>142</v>
      </c>
      <c r="E181" s="95">
        <f>'23'!F181</f>
        <v>9126</v>
      </c>
      <c r="F181" s="157">
        <v>9126</v>
      </c>
      <c r="G181" s="157">
        <f t="shared" ref="G181:G182" si="16">F181-E181</f>
        <v>0</v>
      </c>
      <c r="H181" s="99">
        <f>G181+'23'!H181</f>
        <v>-794</v>
      </c>
      <c r="I181" s="155"/>
      <c r="J181" s="178">
        <f>H181/DAY(B2)</f>
        <v>-34.521739130434781</v>
      </c>
    </row>
    <row r="182" spans="1:10" ht="26.25" customHeight="1" x14ac:dyDescent="0.5">
      <c r="A182" s="743" t="s">
        <v>216</v>
      </c>
      <c r="B182" s="744"/>
      <c r="C182" s="354"/>
      <c r="D182" s="228" t="s">
        <v>142</v>
      </c>
      <c r="E182" s="95">
        <f>'23'!F182</f>
        <v>0</v>
      </c>
      <c r="F182" s="157"/>
      <c r="G182" s="157">
        <f t="shared" si="16"/>
        <v>0</v>
      </c>
      <c r="H182" s="99">
        <f>G182+'23'!H182</f>
        <v>0</v>
      </c>
      <c r="I182" s="155"/>
      <c r="J182" s="178">
        <f>H182/DAY(B2)</f>
        <v>0</v>
      </c>
    </row>
    <row r="183" spans="1:10" ht="27.75" x14ac:dyDescent="0.5">
      <c r="A183" s="732" t="s">
        <v>196</v>
      </c>
      <c r="B183" s="733"/>
      <c r="C183" s="610"/>
      <c r="D183" s="228" t="s">
        <v>142</v>
      </c>
      <c r="E183" s="95"/>
      <c r="F183" s="157"/>
      <c r="G183" s="157">
        <f>SUM(G180:G182)</f>
        <v>0</v>
      </c>
      <c r="H183" s="99">
        <f>G183+'23'!H183</f>
        <v>-2047</v>
      </c>
      <c r="I183" s="157"/>
      <c r="J183" s="178">
        <f>H183/DAY(B2)</f>
        <v>-89</v>
      </c>
    </row>
    <row r="184" spans="1:10" ht="27.75" x14ac:dyDescent="0.5">
      <c r="A184" s="734" t="s">
        <v>217</v>
      </c>
      <c r="B184" s="735"/>
      <c r="C184" s="353"/>
      <c r="D184" s="230" t="s">
        <v>142</v>
      </c>
      <c r="E184" s="95">
        <f>'23'!F184</f>
        <v>0</v>
      </c>
      <c r="F184" s="159"/>
      <c r="G184" s="588">
        <f>G62+G19</f>
        <v>60</v>
      </c>
      <c r="H184" s="99">
        <f>G184+'23'!H184</f>
        <v>-6242</v>
      </c>
      <c r="I184" s="158"/>
      <c r="J184" s="179">
        <f>H184/DAY(B2)</f>
        <v>-271.39130434782606</v>
      </c>
    </row>
    <row r="185" spans="1:10" ht="27.75" x14ac:dyDescent="0.5">
      <c r="A185" s="734" t="s">
        <v>218</v>
      </c>
      <c r="B185" s="735"/>
      <c r="C185" s="353"/>
      <c r="D185" s="230" t="s">
        <v>142</v>
      </c>
      <c r="E185" s="95">
        <f>'23'!F185</f>
        <v>0</v>
      </c>
      <c r="F185" s="159"/>
      <c r="G185" s="588">
        <f>G65+G66+G67+G69+G70</f>
        <v>0</v>
      </c>
      <c r="H185" s="99">
        <f>G185+'23'!H185</f>
        <v>-14514</v>
      </c>
      <c r="I185" s="158"/>
      <c r="J185" s="179">
        <f>H185/DAY(B2)</f>
        <v>-631.04347826086962</v>
      </c>
    </row>
    <row r="186" spans="1:10" ht="27.75" x14ac:dyDescent="0.5">
      <c r="A186" s="734" t="s">
        <v>219</v>
      </c>
      <c r="B186" s="735"/>
      <c r="C186" s="353"/>
      <c r="D186" s="230" t="s">
        <v>142</v>
      </c>
      <c r="E186" s="95">
        <f>'23'!F186</f>
        <v>0</v>
      </c>
      <c r="F186" s="157"/>
      <c r="G186" s="585">
        <f>G178</f>
        <v>0</v>
      </c>
      <c r="H186" s="99">
        <f>G186+'23'!H186</f>
        <v>-7040</v>
      </c>
      <c r="I186" s="158"/>
      <c r="J186" s="179">
        <f>H186/DAY(B2)</f>
        <v>-306.08695652173913</v>
      </c>
    </row>
    <row r="187" spans="1:10" ht="27.75" x14ac:dyDescent="0.5">
      <c r="A187" s="741"/>
      <c r="B187" s="742"/>
      <c r="C187" s="609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1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72:C172"/>
    <mergeCell ref="A174:B174"/>
    <mergeCell ref="A175:B175"/>
    <mergeCell ref="A176:B176"/>
    <mergeCell ref="A177:B177"/>
    <mergeCell ref="A180:B180"/>
    <mergeCell ref="A181:B181"/>
    <mergeCell ref="A178:B178"/>
    <mergeCell ref="A179:B179"/>
    <mergeCell ref="A182:B182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698"/>
  <sheetViews>
    <sheetView view="pageBreakPreview" topLeftCell="A151" zoomScale="50" zoomScaleNormal="49" zoomScaleSheetLayoutView="50" workbookViewId="0">
      <selection activeCell="O153" sqref="O153"/>
    </sheetView>
  </sheetViews>
  <sheetFormatPr defaultColWidth="22.33203125" defaultRowHeight="21.95" customHeight="1" x14ac:dyDescent="0.5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89" t="s">
        <v>115</v>
      </c>
      <c r="B1" s="790"/>
      <c r="C1" s="790"/>
      <c r="D1" s="790"/>
      <c r="E1" s="790"/>
      <c r="F1" s="790"/>
      <c r="G1" s="790"/>
      <c r="H1" s="790"/>
      <c r="I1" s="790"/>
      <c r="J1" s="791"/>
    </row>
    <row r="2" spans="1:15" s="57" customFormat="1" ht="27" x14ac:dyDescent="0.5">
      <c r="A2" s="191" t="s">
        <v>303</v>
      </c>
      <c r="B2" s="266">
        <v>44494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98" t="s">
        <v>119</v>
      </c>
      <c r="F3" s="79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92" t="s">
        <v>128</v>
      </c>
      <c r="B6" s="793"/>
      <c r="C6" s="79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'24'!F7</f>
        <v>501179.47</v>
      </c>
      <c r="F7" s="95">
        <f>E7+23000</f>
        <v>524179.47</v>
      </c>
      <c r="G7" s="112">
        <f>F7-E7</f>
        <v>23000</v>
      </c>
      <c r="H7" s="99">
        <f>G7+'24'!H7</f>
        <v>579937.06999999983</v>
      </c>
      <c r="I7" s="113">
        <f>'1'!I7</f>
        <v>12000</v>
      </c>
      <c r="J7" s="175">
        <f>H7/DAY(B2)</f>
        <v>23197.482799999994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'24'!F8</f>
        <v>521829.75</v>
      </c>
      <c r="F8" s="114">
        <f>E8+23050</f>
        <v>544879.75</v>
      </c>
      <c r="G8" s="115">
        <f>F8-E8</f>
        <v>23050</v>
      </c>
      <c r="H8" s="99">
        <f>G8+'24'!H8</f>
        <v>586212.75</v>
      </c>
      <c r="I8" s="116"/>
      <c r="J8" s="175">
        <f>H8/DAY(B2)</f>
        <v>23448.51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'24'!F9</f>
        <v>1184976.8999999999</v>
      </c>
      <c r="F9" s="117">
        <f>E9+23000</f>
        <v>1207976.8999999999</v>
      </c>
      <c r="G9" s="112">
        <f>F9-E9</f>
        <v>23000</v>
      </c>
      <c r="H9" s="99">
        <f>G9+'24'!H9</f>
        <v>500186.89999999979</v>
      </c>
      <c r="I9" s="124">
        <f>I7-J7</f>
        <v>-11197.482799999994</v>
      </c>
      <c r="J9" s="175">
        <f>H9/DAY(B2)</f>
        <v>20007.475999999991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'24'!F10</f>
        <v>2607</v>
      </c>
      <c r="F10" s="117">
        <v>2607</v>
      </c>
      <c r="G10" s="112">
        <f t="shared" ref="G10:G12" si="0">F10-E10</f>
        <v>0</v>
      </c>
      <c r="H10" s="99">
        <f>G10+'24'!H10</f>
        <v>-57966</v>
      </c>
      <c r="I10" s="286"/>
      <c r="J10" s="175">
        <f>H10/DAY(B2)</f>
        <v>-2318.64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'24'!F11</f>
        <v>37000</v>
      </c>
      <c r="F11" s="95">
        <v>37000</v>
      </c>
      <c r="G11" s="112">
        <f t="shared" si="0"/>
        <v>0</v>
      </c>
      <c r="H11" s="99">
        <f>G11+'24'!H11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'24'!F12</f>
        <v>40010</v>
      </c>
      <c r="F12" s="117">
        <v>40010</v>
      </c>
      <c r="G12" s="112">
        <f t="shared" si="0"/>
        <v>0</v>
      </c>
      <c r="H12" s="99">
        <f>G12+'24'!H12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23000</v>
      </c>
      <c r="H13" s="99">
        <f>G13+'24'!H13</f>
        <v>420675.14999999979</v>
      </c>
      <c r="I13" s="120">
        <f>G7-G13</f>
        <v>0</v>
      </c>
      <c r="J13" s="175">
        <f>H13/DAY(B2)</f>
        <v>16827.00599999999</v>
      </c>
      <c r="K13" s="79"/>
      <c r="L13" s="66"/>
      <c r="N13" s="87"/>
      <c r="O13" s="71"/>
    </row>
    <row r="14" spans="1:15" ht="29.25" x14ac:dyDescent="0.5">
      <c r="A14" s="795" t="s">
        <v>137</v>
      </c>
      <c r="B14" s="796"/>
      <c r="C14" s="79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'24'!F15</f>
        <v>1806367.8829999999</v>
      </c>
      <c r="F15" s="123">
        <f>E15+875</f>
        <v>1807242.8829999999</v>
      </c>
      <c r="G15" s="112">
        <f>(F15-E15)</f>
        <v>875</v>
      </c>
      <c r="H15" s="99">
        <f>G15+'24'!H15</f>
        <v>23909.882999999914</v>
      </c>
      <c r="I15" s="113">
        <f>'1'!I15</f>
        <v>800</v>
      </c>
      <c r="J15" s="175">
        <f>H15/DAY(B2)</f>
        <v>956.39531999999656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-156.39531999999656</v>
      </c>
      <c r="J16" s="176"/>
      <c r="K16" s="79"/>
      <c r="L16" s="66"/>
      <c r="N16" s="87"/>
      <c r="O16" s="71"/>
    </row>
    <row r="17" spans="1:15" ht="29.25" x14ac:dyDescent="0.5">
      <c r="A17" s="795" t="s">
        <v>140</v>
      </c>
      <c r="B17" s="796"/>
      <c r="C17" s="79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1" t="s">
        <v>141</v>
      </c>
      <c r="B18" s="772"/>
      <c r="C18" s="773"/>
      <c r="D18" s="151" t="s">
        <v>142</v>
      </c>
      <c r="E18" s="95">
        <f>'24'!F18</f>
        <v>14</v>
      </c>
      <c r="F18" s="122">
        <v>14</v>
      </c>
      <c r="G18" s="119">
        <f>F18*10</f>
        <v>140</v>
      </c>
      <c r="H18" s="99">
        <f>G18+'24'!H18</f>
        <v>4440</v>
      </c>
      <c r="I18" s="113">
        <f>'1'!I18</f>
        <v>65</v>
      </c>
      <c r="J18" s="175">
        <f>H18/DAY(B2)</f>
        <v>177.6</v>
      </c>
      <c r="K18" s="79"/>
      <c r="L18" s="66"/>
      <c r="N18" s="87"/>
      <c r="O18" s="71"/>
    </row>
    <row r="19" spans="1:15" ht="27.75" x14ac:dyDescent="0.5">
      <c r="A19" s="771" t="s">
        <v>69</v>
      </c>
      <c r="B19" s="772"/>
      <c r="C19" s="773"/>
      <c r="D19" s="151" t="s">
        <v>142</v>
      </c>
      <c r="E19" s="95">
        <f>'24'!F19</f>
        <v>148465</v>
      </c>
      <c r="F19" s="122">
        <f>E19+60</f>
        <v>148525</v>
      </c>
      <c r="G19" s="112">
        <f t="shared" ref="G19" si="1">F19-E19</f>
        <v>60</v>
      </c>
      <c r="H19" s="99">
        <f>G19+'24'!H19</f>
        <v>1473</v>
      </c>
      <c r="I19" s="355"/>
      <c r="J19" s="175">
        <f>H19/DAY(B2)</f>
        <v>58.92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200</v>
      </c>
      <c r="H20" s="99">
        <f>G20+'24'!H20</f>
        <v>5913</v>
      </c>
      <c r="I20" s="356">
        <f>I18-J20</f>
        <v>-171.52</v>
      </c>
      <c r="J20" s="175">
        <f>H20/DAY(B2)</f>
        <v>236.52</v>
      </c>
      <c r="K20" s="79"/>
      <c r="L20" s="66"/>
      <c r="N20" s="87"/>
      <c r="O20" s="71"/>
    </row>
    <row r="21" spans="1:15" ht="29.25" x14ac:dyDescent="0.5">
      <c r="A21" s="795" t="s">
        <v>144</v>
      </c>
      <c r="B21" s="796"/>
      <c r="C21" s="79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'24'!F23</f>
        <v>2000</v>
      </c>
      <c r="F23" s="122">
        <v>2000</v>
      </c>
      <c r="G23" s="119">
        <v>0</v>
      </c>
      <c r="H23" s="99">
        <f>G23+'24'!H23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'24'!F24</f>
        <v>4970</v>
      </c>
      <c r="F24" s="128">
        <v>4970</v>
      </c>
      <c r="G24" s="119">
        <v>0</v>
      </c>
      <c r="H24" s="99">
        <f>G24+'24'!H24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0" t="s">
        <v>149</v>
      </c>
      <c r="B25" s="801"/>
      <c r="C25" s="80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23050</v>
      </c>
      <c r="F27" s="136">
        <v>9</v>
      </c>
      <c r="G27" s="137">
        <f>E27*F27</f>
        <v>207450</v>
      </c>
      <c r="H27" s="99">
        <f>G27+'24'!H27</f>
        <v>5275914.75</v>
      </c>
      <c r="I27" s="138"/>
      <c r="J27" s="175">
        <f>H27/DAY(B2)</f>
        <v>211036.59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875</v>
      </c>
      <c r="F28" s="136">
        <v>52</v>
      </c>
      <c r="G28" s="137">
        <f>E28*F28</f>
        <v>45500</v>
      </c>
      <c r="H28" s="99">
        <f>G28+'24'!H28</f>
        <v>1243313.9159999955</v>
      </c>
      <c r="I28" s="140"/>
      <c r="J28" s="175">
        <f>H28/DAY(B2)</f>
        <v>49732.556639999821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G30+'24'!H30</f>
        <v>215058</v>
      </c>
      <c r="I30" s="140"/>
      <c r="J30" s="175">
        <f>H30/DAY(B2)</f>
        <v>8602.32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G31+'24'!H31</f>
        <v>355200</v>
      </c>
      <c r="I31" s="140"/>
      <c r="J31" s="175">
        <f>H31/DAY(B2)</f>
        <v>14208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272910</v>
      </c>
      <c r="H32" s="99">
        <f>G32+'24'!H32</f>
        <v>7089486.6659999955</v>
      </c>
      <c r="I32" s="144"/>
      <c r="J32" s="175">
        <f>H32/DAY(B2)</f>
        <v>283579.46663999982</v>
      </c>
      <c r="K32" s="63"/>
      <c r="L32" s="89"/>
      <c r="N32" s="87"/>
      <c r="O32" s="71"/>
    </row>
    <row r="33" spans="1:15" ht="25.5" x14ac:dyDescent="0.35">
      <c r="A33" s="803" t="s">
        <v>331</v>
      </c>
      <c r="B33" s="804"/>
      <c r="C33" s="804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'24'!F35</f>
        <v>1058597</v>
      </c>
      <c r="F35" s="145">
        <v>1058597</v>
      </c>
      <c r="G35" s="112">
        <f t="shared" ref="G35:G46" si="3">F35-E35</f>
        <v>0</v>
      </c>
      <c r="H35" s="99">
        <f>G35+'24'!H35</f>
        <v>2111685.6</v>
      </c>
      <c r="I35" s="95"/>
      <c r="J35" s="175">
        <f>H35/DAY(B2)</f>
        <v>84467.423999999999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'24'!F36</f>
        <v>1833</v>
      </c>
      <c r="F36" s="145">
        <v>1833</v>
      </c>
      <c r="G36" s="112">
        <f t="shared" si="3"/>
        <v>0</v>
      </c>
      <c r="H36" s="99">
        <f>G36+'24'!H36</f>
        <v>-57914.1</v>
      </c>
      <c r="I36" s="95"/>
      <c r="J36" s="175">
        <f>H36/DAY(B2)</f>
        <v>-2316.5639999999999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'24'!F37</f>
        <v>2775</v>
      </c>
      <c r="F37" s="145">
        <v>2775</v>
      </c>
      <c r="G37" s="112">
        <f t="shared" si="3"/>
        <v>0</v>
      </c>
      <c r="H37" s="99">
        <f>G37+'24'!H37</f>
        <v>-131866.87</v>
      </c>
      <c r="I37" s="95"/>
      <c r="J37" s="175">
        <f>H37/DAY(B2)</f>
        <v>-5274.6747999999998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'24'!F38</f>
        <v>4823</v>
      </c>
      <c r="F38" s="108">
        <v>4823</v>
      </c>
      <c r="G38" s="112">
        <f t="shared" si="3"/>
        <v>0</v>
      </c>
      <c r="H38" s="99">
        <f>G38+'24'!H38</f>
        <v>-137077.6</v>
      </c>
      <c r="I38" s="95"/>
      <c r="J38" s="175">
        <f>H38/DAY(B2)</f>
        <v>-5483.1040000000003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'24'!F39</f>
        <v>637915</v>
      </c>
      <c r="F39" s="145">
        <v>637915</v>
      </c>
      <c r="G39" s="112">
        <f t="shared" si="3"/>
        <v>0</v>
      </c>
      <c r="H39" s="99">
        <f>G39+'24'!H39</f>
        <v>958234.97</v>
      </c>
      <c r="I39" s="95"/>
      <c r="J39" s="175">
        <f>H39/DAY(B2)</f>
        <v>38329.398799999995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'24'!F40</f>
        <v>34599</v>
      </c>
      <c r="F40" s="145">
        <v>34599</v>
      </c>
      <c r="G40" s="112">
        <f t="shared" si="3"/>
        <v>0</v>
      </c>
      <c r="H40" s="99">
        <f>G40+'24'!H40</f>
        <v>69191.77</v>
      </c>
      <c r="I40" s="95"/>
      <c r="J40" s="175">
        <f>H40/DAY(B2)</f>
        <v>2767.6708000000003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'24'!F41</f>
        <v>433281.79</v>
      </c>
      <c r="F41" s="145">
        <v>433281.79</v>
      </c>
      <c r="G41" s="112">
        <f t="shared" si="3"/>
        <v>0</v>
      </c>
      <c r="H41" s="99">
        <f>G41+'24'!H41</f>
        <v>-177234.68000000011</v>
      </c>
      <c r="I41" s="95"/>
      <c r="J41" s="175">
        <f>H41/DAY(B2)</f>
        <v>-7089.3872000000047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'24'!F42</f>
        <v>175112</v>
      </c>
      <c r="F42" s="145">
        <v>175112</v>
      </c>
      <c r="G42" s="112">
        <f t="shared" si="3"/>
        <v>0</v>
      </c>
      <c r="H42" s="99">
        <f>G42+'24'!H42</f>
        <v>-162623.49</v>
      </c>
      <c r="I42" s="95"/>
      <c r="J42" s="175">
        <f>H42/DAY(B2)</f>
        <v>-6504.9395999999997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'24'!F43</f>
        <v>1289745</v>
      </c>
      <c r="F43" s="145">
        <v>1289745</v>
      </c>
      <c r="G43" s="112">
        <f t="shared" si="3"/>
        <v>0</v>
      </c>
      <c r="H43" s="99">
        <f>G43+'24'!H43</f>
        <v>-191251.19999999995</v>
      </c>
      <c r="I43" s="95"/>
      <c r="J43" s="175">
        <f>H43/DAY(B2)</f>
        <v>-7650.047999999998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'24'!F45</f>
        <v>614</v>
      </c>
      <c r="F45" s="145">
        <v>614</v>
      </c>
      <c r="G45" s="112">
        <f t="shared" si="3"/>
        <v>0</v>
      </c>
      <c r="H45" s="99">
        <f>G45+'24'!H45</f>
        <v>1228</v>
      </c>
      <c r="I45" s="95"/>
      <c r="J45" s="175">
        <f>H45/DAY(B2)</f>
        <v>49.12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'24'!F46</f>
        <v>187</v>
      </c>
      <c r="F46" s="145">
        <v>187</v>
      </c>
      <c r="G46" s="112">
        <f t="shared" si="3"/>
        <v>0</v>
      </c>
      <c r="H46" s="99">
        <f>G46+'24'!H46</f>
        <v>374</v>
      </c>
      <c r="I46" s="95"/>
      <c r="J46" s="175">
        <f>H46/DAY(B2)</f>
        <v>14.96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0</v>
      </c>
      <c r="H47" s="99">
        <f>G47+'24'!H47</f>
        <v>2282746.4</v>
      </c>
      <c r="I47" s="95"/>
      <c r="J47" s="175">
        <f>H47/DAY(B2)</f>
        <v>91309.856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'24'!F49</f>
        <v>419822</v>
      </c>
      <c r="F49" s="145">
        <v>419822</v>
      </c>
      <c r="G49" s="112">
        <f t="shared" ref="G49:G58" si="4">F49-E49</f>
        <v>0</v>
      </c>
      <c r="H49" s="99">
        <f>G49+'24'!H49</f>
        <v>596649.56000000006</v>
      </c>
      <c r="I49" s="95"/>
      <c r="J49" s="175">
        <f>H49/DAY(B2)</f>
        <v>23865.982400000001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'24'!F50</f>
        <v>607298</v>
      </c>
      <c r="F50" s="145">
        <v>607298</v>
      </c>
      <c r="G50" s="112">
        <f t="shared" si="4"/>
        <v>0</v>
      </c>
      <c r="H50" s="99">
        <f>G50+'24'!H50</f>
        <v>-93045.949999999953</v>
      </c>
      <c r="I50" s="95"/>
      <c r="J50" s="175">
        <f>H50/DAY(B2)</f>
        <v>-3721.8379999999979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'24'!F51</f>
        <v>144640</v>
      </c>
      <c r="F51" s="145">
        <v>144640</v>
      </c>
      <c r="G51" s="112">
        <f t="shared" si="4"/>
        <v>0</v>
      </c>
      <c r="H51" s="99">
        <f>G51+'24'!H51</f>
        <v>289280</v>
      </c>
      <c r="I51" s="95"/>
      <c r="J51" s="175">
        <f>H51/DAY(B2)</f>
        <v>11571.2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'24'!F52</f>
        <v>539606</v>
      </c>
      <c r="F52" s="145">
        <v>539606</v>
      </c>
      <c r="G52" s="112">
        <f t="shared" si="4"/>
        <v>0</v>
      </c>
      <c r="H52" s="99">
        <f>G52+'24'!H52</f>
        <v>1079212</v>
      </c>
      <c r="I52" s="95"/>
      <c r="J52" s="175">
        <f>H52/DAY(B2)</f>
        <v>43168.480000000003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'24'!F53</f>
        <v>434232</v>
      </c>
      <c r="F53" s="145">
        <v>434232</v>
      </c>
      <c r="G53" s="112">
        <f t="shared" si="4"/>
        <v>0</v>
      </c>
      <c r="H53" s="99">
        <f>G53+'24'!H53</f>
        <v>868464</v>
      </c>
      <c r="I53" s="95"/>
      <c r="J53" s="175">
        <f>H53/DAY(B2)</f>
        <v>34738.559999999998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'24'!F54</f>
        <v>14967</v>
      </c>
      <c r="F54" s="145">
        <v>14967</v>
      </c>
      <c r="G54" s="112">
        <f t="shared" si="4"/>
        <v>0</v>
      </c>
      <c r="H54" s="99">
        <f>G54+'24'!H54</f>
        <v>24399.77</v>
      </c>
      <c r="I54" s="95"/>
      <c r="J54" s="175">
        <f>H54/DAY(B2)</f>
        <v>975.99080000000004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'24'!F55</f>
        <v>306268.99</v>
      </c>
      <c r="F55" s="145">
        <v>306268.99</v>
      </c>
      <c r="G55" s="112">
        <f t="shared" si="4"/>
        <v>0</v>
      </c>
      <c r="H55" s="99">
        <f>G55+'24'!H55</f>
        <v>-2059.4899999999907</v>
      </c>
      <c r="I55" s="95"/>
      <c r="J55" s="175">
        <f>H55/DAY(B2)</f>
        <v>-82.379599999999627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'24'!F56</f>
        <v>661019</v>
      </c>
      <c r="F56" s="145">
        <v>661019</v>
      </c>
      <c r="G56" s="112">
        <f t="shared" si="4"/>
        <v>0</v>
      </c>
      <c r="H56" s="99">
        <f>G56+'24'!H56</f>
        <v>-194032.55000000005</v>
      </c>
      <c r="I56" s="95"/>
      <c r="J56" s="175">
        <f>H56/DAY(B2)</f>
        <v>-7761.3020000000015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'24'!F57</f>
        <v>7711</v>
      </c>
      <c r="F57" s="145">
        <v>7711</v>
      </c>
      <c r="G57" s="112">
        <f t="shared" si="4"/>
        <v>0</v>
      </c>
      <c r="H57" s="99">
        <f>G57+'24'!H57</f>
        <v>15422</v>
      </c>
      <c r="I57" s="95"/>
      <c r="J57" s="175">
        <f>H57/DAY(B2)</f>
        <v>616.88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'24'!F58</f>
        <v>66014</v>
      </c>
      <c r="F58" s="145">
        <v>66014</v>
      </c>
      <c r="G58" s="112">
        <f t="shared" si="4"/>
        <v>0</v>
      </c>
      <c r="H58" s="99">
        <f>G58+'24'!H58</f>
        <v>-16060.800000000003</v>
      </c>
      <c r="I58" s="95"/>
      <c r="J58" s="175">
        <f>H58/DAY(B2)</f>
        <v>-642.43200000000013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0</v>
      </c>
      <c r="H59" s="99">
        <f>G59+'24'!H59</f>
        <v>2568228.54</v>
      </c>
      <c r="I59" s="95">
        <f>G7-G60</f>
        <v>23000</v>
      </c>
      <c r="J59" s="175">
        <f>H59/DAY(B2)</f>
        <v>102729.1416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0</v>
      </c>
      <c r="H60" s="99">
        <f>G60+'24'!H60</f>
        <v>4850974.9399999995</v>
      </c>
      <c r="I60" s="95">
        <f>G13-G60</f>
        <v>23000</v>
      </c>
      <c r="J60" s="175">
        <f>H60/DAY(B2)</f>
        <v>194038.99759999997</v>
      </c>
      <c r="K60" s="79"/>
      <c r="L60" s="66"/>
      <c r="N60" s="87"/>
      <c r="O60" s="71"/>
    </row>
    <row r="61" spans="1:15" s="68" customFormat="1" ht="27.75" x14ac:dyDescent="0.5">
      <c r="A61" s="805" t="s">
        <v>332</v>
      </c>
      <c r="B61" s="806"/>
      <c r="C61" s="807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1" t="s">
        <v>198</v>
      </c>
      <c r="B62" s="772"/>
      <c r="C62" s="773"/>
      <c r="D62" s="151" t="s">
        <v>142</v>
      </c>
      <c r="E62" s="95">
        <f>'24'!F62</f>
        <v>253452</v>
      </c>
      <c r="F62" s="122">
        <v>253452</v>
      </c>
      <c r="G62" s="112">
        <f t="shared" ref="G62:G63" si="5">F62-E62</f>
        <v>0</v>
      </c>
      <c r="H62" s="99">
        <f>G62+'24'!H62</f>
        <v>-7655</v>
      </c>
      <c r="I62" s="118"/>
      <c r="J62" s="175">
        <f>H62/DAY(B2)</f>
        <v>-306.2</v>
      </c>
      <c r="K62" s="80"/>
      <c r="L62" s="66"/>
      <c r="N62" s="87"/>
      <c r="O62" s="71"/>
    </row>
    <row r="63" spans="1:15" ht="27.75" x14ac:dyDescent="0.5">
      <c r="A63" s="771" t="s">
        <v>199</v>
      </c>
      <c r="B63" s="772"/>
      <c r="C63" s="773"/>
      <c r="D63" s="151" t="s">
        <v>142</v>
      </c>
      <c r="E63" s="95">
        <f>'24'!F63</f>
        <v>197659</v>
      </c>
      <c r="F63" s="122">
        <v>197659</v>
      </c>
      <c r="G63" s="112">
        <f t="shared" si="5"/>
        <v>0</v>
      </c>
      <c r="H63" s="99">
        <f>G63+'24'!H63</f>
        <v>-11970</v>
      </c>
      <c r="I63" s="118"/>
      <c r="J63" s="175">
        <f>H63/DAY(B2)</f>
        <v>-478.8</v>
      </c>
      <c r="K63" s="69"/>
      <c r="L63" s="66"/>
      <c r="N63" s="87"/>
      <c r="O63" s="71"/>
    </row>
    <row r="64" spans="1:15" ht="29.25" x14ac:dyDescent="0.5">
      <c r="A64" s="780" t="s">
        <v>200</v>
      </c>
      <c r="B64" s="781"/>
      <c r="C64" s="782"/>
      <c r="D64" s="151"/>
      <c r="E64" s="95">
        <f>'24'!F64</f>
        <v>0</v>
      </c>
      <c r="F64" s="122"/>
      <c r="G64" s="112">
        <f>G62+G63</f>
        <v>0</v>
      </c>
      <c r="H64" s="99">
        <f>G64+'24'!H64</f>
        <v>-19625</v>
      </c>
      <c r="I64" s="118"/>
      <c r="J64" s="175">
        <f>H64/DAY(B2)</f>
        <v>-785</v>
      </c>
      <c r="K64" s="69"/>
      <c r="L64" s="66"/>
      <c r="N64" s="87"/>
      <c r="O64" s="71"/>
    </row>
    <row r="65" spans="1:15" ht="27.75" x14ac:dyDescent="0.5">
      <c r="A65" s="771" t="s">
        <v>201</v>
      </c>
      <c r="B65" s="772"/>
      <c r="C65" s="773"/>
      <c r="D65" s="151" t="s">
        <v>142</v>
      </c>
      <c r="E65" s="95">
        <f>'24'!F65</f>
        <v>421019</v>
      </c>
      <c r="F65" s="122">
        <v>421019</v>
      </c>
      <c r="G65" s="112">
        <f t="shared" ref="G65:G70" si="6">F65-E65</f>
        <v>0</v>
      </c>
      <c r="H65" s="99">
        <f>G65+'24'!H65</f>
        <v>-6100</v>
      </c>
      <c r="I65" s="118"/>
      <c r="J65" s="175">
        <f>H65/DAY(B2)</f>
        <v>-244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'24'!F66</f>
        <v>104636</v>
      </c>
      <c r="F66" s="122">
        <v>104636</v>
      </c>
      <c r="G66" s="112">
        <f t="shared" si="6"/>
        <v>0</v>
      </c>
      <c r="H66" s="99">
        <f>G66+'24'!H66</f>
        <v>-1732</v>
      </c>
      <c r="I66" s="118"/>
      <c r="J66" s="175">
        <f>H66/DAY(B2)</f>
        <v>-69.28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'24'!F67</f>
        <v>100370</v>
      </c>
      <c r="F67" s="122">
        <v>100370</v>
      </c>
      <c r="G67" s="112">
        <f t="shared" si="6"/>
        <v>0</v>
      </c>
      <c r="H67" s="99">
        <f>G67+'24'!H67</f>
        <v>-2308</v>
      </c>
      <c r="I67" s="118"/>
      <c r="J67" s="175">
        <f>H67/DAY(B2)</f>
        <v>-92.32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'24'!F68</f>
        <v>152135</v>
      </c>
      <c r="F68" s="122">
        <v>152135</v>
      </c>
      <c r="G68" s="112">
        <f t="shared" si="6"/>
        <v>0</v>
      </c>
      <c r="H68" s="99">
        <f>G68+'24'!H68</f>
        <v>-2715</v>
      </c>
      <c r="I68" s="118"/>
      <c r="J68" s="175">
        <f>H68/DAY(B2)</f>
        <v>-108.6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'24'!F69</f>
        <v>8645</v>
      </c>
      <c r="F69" s="122">
        <v>8645</v>
      </c>
      <c r="G69" s="112">
        <f t="shared" si="6"/>
        <v>0</v>
      </c>
      <c r="H69" s="99">
        <f>G69+'24'!H69</f>
        <v>-1032</v>
      </c>
      <c r="I69" s="118"/>
      <c r="J69" s="175">
        <f>H69/DAY(B2)</f>
        <v>-41.28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'24'!F70</f>
        <v>6373</v>
      </c>
      <c r="F70" s="122">
        <v>6373</v>
      </c>
      <c r="G70" s="112">
        <f t="shared" si="6"/>
        <v>0</v>
      </c>
      <c r="H70" s="99">
        <f>G70+'24'!H70</f>
        <v>-1059</v>
      </c>
      <c r="I70" s="118"/>
      <c r="J70" s="175">
        <f>H70/DAY(B2)</f>
        <v>-42.36</v>
      </c>
      <c r="K70" s="69"/>
      <c r="L70" s="66"/>
      <c r="N70" s="87"/>
      <c r="O70" s="71"/>
    </row>
    <row r="71" spans="1:15" ht="29.25" x14ac:dyDescent="0.5">
      <c r="A71" s="780" t="s">
        <v>208</v>
      </c>
      <c r="B71" s="781"/>
      <c r="C71" s="782"/>
      <c r="D71" s="152"/>
      <c r="E71" s="152"/>
      <c r="F71" s="152"/>
      <c r="G71" s="153">
        <f>SUM(G65:G70)</f>
        <v>0</v>
      </c>
      <c r="H71" s="99">
        <f>G71+'24'!H71</f>
        <v>-14946</v>
      </c>
      <c r="I71" s="154"/>
      <c r="J71" s="175">
        <f>H71/DAY(B2)</f>
        <v>-597.84</v>
      </c>
      <c r="K71" s="69"/>
      <c r="L71" s="66"/>
      <c r="N71" s="87"/>
      <c r="O71" s="71"/>
    </row>
    <row r="72" spans="1:15" s="88" customFormat="1" ht="27.75" x14ac:dyDescent="0.5">
      <c r="A72" s="767"/>
      <c r="B72" s="752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77" t="s">
        <v>333</v>
      </c>
      <c r="B73" s="778"/>
      <c r="C73" s="779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1" t="s">
        <v>220</v>
      </c>
      <c r="B74" s="772"/>
      <c r="C74" s="773"/>
      <c r="D74" s="151" t="s">
        <v>139</v>
      </c>
      <c r="E74" s="95">
        <f>'24'!F74</f>
        <v>856352</v>
      </c>
      <c r="F74" s="123">
        <v>856352</v>
      </c>
      <c r="G74" s="112">
        <f t="shared" ref="G74:G78" si="7">F74-E74</f>
        <v>0</v>
      </c>
      <c r="H74" s="99">
        <f>G74+'24'!H74</f>
        <v>-21277.869999999995</v>
      </c>
      <c r="I74" s="154"/>
      <c r="J74" s="175">
        <f>H74/DAY(B2)</f>
        <v>-851.11479999999983</v>
      </c>
      <c r="K74" s="69"/>
      <c r="L74" s="66"/>
      <c r="N74" s="87"/>
      <c r="O74" s="71"/>
    </row>
    <row r="75" spans="1:15" ht="27.75" x14ac:dyDescent="0.5">
      <c r="A75" s="771" t="s">
        <v>221</v>
      </c>
      <c r="B75" s="772"/>
      <c r="C75" s="773"/>
      <c r="D75" s="151" t="s">
        <v>139</v>
      </c>
      <c r="E75" s="95">
        <f>'24'!F75</f>
        <v>73583.399999999994</v>
      </c>
      <c r="F75" s="123">
        <v>73583.399999999994</v>
      </c>
      <c r="G75" s="112">
        <f t="shared" si="7"/>
        <v>0</v>
      </c>
      <c r="H75" s="99">
        <f>G75+'24'!H75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68" t="s">
        <v>222</v>
      </c>
      <c r="B76" s="769"/>
      <c r="C76" s="770"/>
      <c r="D76" s="151" t="s">
        <v>139</v>
      </c>
      <c r="E76" s="95">
        <f>'24'!F76</f>
        <v>154077</v>
      </c>
      <c r="F76" s="123">
        <v>154077</v>
      </c>
      <c r="G76" s="112">
        <f t="shared" si="7"/>
        <v>0</v>
      </c>
      <c r="H76" s="99">
        <f>G76+'24'!H76</f>
        <v>-7237.9200000000128</v>
      </c>
      <c r="I76" s="154"/>
      <c r="J76" s="175">
        <f>H76/DAY(B2)</f>
        <v>-289.5168000000005</v>
      </c>
      <c r="K76" s="69"/>
      <c r="L76" s="66"/>
      <c r="N76" s="87"/>
      <c r="O76" s="71"/>
    </row>
    <row r="77" spans="1:15" ht="27.75" x14ac:dyDescent="0.5">
      <c r="A77" s="768" t="s">
        <v>223</v>
      </c>
      <c r="B77" s="769"/>
      <c r="C77" s="770"/>
      <c r="D77" s="151" t="s">
        <v>139</v>
      </c>
      <c r="E77" s="95">
        <f>'24'!F77</f>
        <v>34629</v>
      </c>
      <c r="F77" s="123">
        <v>34629</v>
      </c>
      <c r="G77" s="112">
        <f t="shared" si="7"/>
        <v>0</v>
      </c>
      <c r="H77" s="99">
        <f>G77+'24'!H77</f>
        <v>-3596.8000000000029</v>
      </c>
      <c r="I77" s="154"/>
      <c r="J77" s="175">
        <f>H77/DAY(B2)</f>
        <v>-143.87200000000013</v>
      </c>
      <c r="K77" s="69"/>
      <c r="L77" s="66"/>
      <c r="N77" s="87"/>
      <c r="O77" s="71"/>
    </row>
    <row r="78" spans="1:15" ht="27.75" x14ac:dyDescent="0.5">
      <c r="A78" s="768" t="s">
        <v>224</v>
      </c>
      <c r="B78" s="769"/>
      <c r="C78" s="770"/>
      <c r="D78" s="151" t="s">
        <v>139</v>
      </c>
      <c r="E78" s="95">
        <f>'24'!F78</f>
        <v>9180</v>
      </c>
      <c r="F78" s="123">
        <v>9180</v>
      </c>
      <c r="G78" s="112">
        <f t="shared" si="7"/>
        <v>0</v>
      </c>
      <c r="H78" s="99">
        <f>G78+'24'!H78</f>
        <v>-180.60000000000036</v>
      </c>
      <c r="I78" s="118"/>
      <c r="J78" s="175">
        <f>H78/DAY(B2)</f>
        <v>-7.2240000000000144</v>
      </c>
      <c r="K78" s="69"/>
      <c r="L78" s="66"/>
      <c r="N78" s="87"/>
      <c r="O78" s="71"/>
    </row>
    <row r="79" spans="1:15" s="57" customFormat="1" ht="27.75" x14ac:dyDescent="0.5">
      <c r="A79" s="768" t="s">
        <v>225</v>
      </c>
      <c r="B79" s="769"/>
      <c r="C79" s="770"/>
      <c r="D79" s="151"/>
      <c r="E79" s="95">
        <f>'24'!F79</f>
        <v>0</v>
      </c>
      <c r="F79" s="117"/>
      <c r="G79" s="112">
        <f>G15-SUM(G74:G78)</f>
        <v>875</v>
      </c>
      <c r="H79" s="99">
        <f>G79+'24'!H79</f>
        <v>56203.072999999924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0" t="s">
        <v>329</v>
      </c>
      <c r="B80" s="781"/>
      <c r="C80" s="782"/>
      <c r="D80" s="151"/>
      <c r="E80" s="117"/>
      <c r="F80" s="117"/>
      <c r="G80" s="112">
        <f>SUM(G74:G79)</f>
        <v>875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85" t="s">
        <v>226</v>
      </c>
      <c r="B81" s="786"/>
      <c r="C81" s="78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'24'!F82</f>
        <v>0</v>
      </c>
      <c r="F82" s="122"/>
      <c r="G82" s="112">
        <f t="shared" ref="G82:G92" si="8">F82-E82</f>
        <v>0</v>
      </c>
      <c r="H82" s="99">
        <f>G82+'24'!H82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'24'!F83</f>
        <v>0</v>
      </c>
      <c r="F83" s="122"/>
      <c r="G83" s="112">
        <f t="shared" si="8"/>
        <v>0</v>
      </c>
      <c r="H83" s="99">
        <f>G83+'24'!H83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'24'!F84</f>
        <v>40922</v>
      </c>
      <c r="F84" s="164">
        <v>40922</v>
      </c>
      <c r="G84" s="112">
        <f t="shared" si="8"/>
        <v>0</v>
      </c>
      <c r="H84" s="99">
        <f>G84+'24'!H84</f>
        <v>-774.19000000000233</v>
      </c>
      <c r="I84" s="118"/>
      <c r="J84" s="175">
        <f>H84/DAY(B2)</f>
        <v>-30.967600000000093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'24'!F85</f>
        <v>856</v>
      </c>
      <c r="F85" s="164">
        <v>856</v>
      </c>
      <c r="G85" s="112">
        <f t="shared" si="8"/>
        <v>0</v>
      </c>
      <c r="H85" s="99">
        <f>G85+'24'!H85</f>
        <v>-761.45</v>
      </c>
      <c r="I85" s="118">
        <f>G82+G83+G84+G85</f>
        <v>0</v>
      </c>
      <c r="J85" s="175">
        <f>H85/DAY(B2)</f>
        <v>-30.458000000000002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'24'!F86</f>
        <v>42822</v>
      </c>
      <c r="F86" s="164">
        <v>42822</v>
      </c>
      <c r="G86" s="112">
        <f t="shared" si="8"/>
        <v>0</v>
      </c>
      <c r="H86" s="99">
        <f>G86+'24'!H86</f>
        <v>-8.4700000000011642</v>
      </c>
      <c r="I86" s="118"/>
      <c r="J86" s="175">
        <f>H86/DAY(B2)</f>
        <v>-0.33880000000004656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'24'!F87</f>
        <v>32928</v>
      </c>
      <c r="F87" s="164">
        <v>32928</v>
      </c>
      <c r="G87" s="112">
        <f t="shared" si="8"/>
        <v>0</v>
      </c>
      <c r="H87" s="99">
        <f>G87+'24'!H87</f>
        <v>-921.2300000000032</v>
      </c>
      <c r="I87" s="118"/>
      <c r="J87" s="175">
        <f>H87/DAY(B2)</f>
        <v>-36.849200000000131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'24'!F88</f>
        <v>23356.43</v>
      </c>
      <c r="F88" s="164">
        <v>23356.43</v>
      </c>
      <c r="G88" s="112">
        <f t="shared" si="8"/>
        <v>0</v>
      </c>
      <c r="H88" s="99">
        <f>G88+'24'!H88</f>
        <v>-580.34000000000015</v>
      </c>
      <c r="I88" s="118">
        <f>G86+G87+G88</f>
        <v>0</v>
      </c>
      <c r="J88" s="175">
        <f>H88/DAY(B2)</f>
        <v>-23.213600000000007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'24'!F89</f>
        <v>25132.959999999999</v>
      </c>
      <c r="F89" s="164">
        <v>25132.959999999999</v>
      </c>
      <c r="G89" s="112">
        <f t="shared" si="8"/>
        <v>0</v>
      </c>
      <c r="H89" s="99">
        <f>G89+'24'!H89</f>
        <v>-163.57300000000032</v>
      </c>
      <c r="I89" s="118"/>
      <c r="J89" s="175">
        <f>H89/DAY(B2)</f>
        <v>-6.5429200000000129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'24'!F90</f>
        <v>70524.55</v>
      </c>
      <c r="F90" s="164">
        <v>70524.55</v>
      </c>
      <c r="G90" s="112">
        <f t="shared" si="8"/>
        <v>0</v>
      </c>
      <c r="H90" s="99">
        <f>G90+'24'!H90</f>
        <v>-72.10999999998603</v>
      </c>
      <c r="I90" s="118">
        <f>G89+G90</f>
        <v>0</v>
      </c>
      <c r="J90" s="175">
        <f>H90/DAY(B2)</f>
        <v>-2.8843999999994412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'24'!F91</f>
        <v>2627.98</v>
      </c>
      <c r="F91" s="122">
        <v>2627.98</v>
      </c>
      <c r="G91" s="112">
        <f t="shared" si="8"/>
        <v>0</v>
      </c>
      <c r="H91" s="99">
        <f>G91+'24'!H91</f>
        <v>-779.37999999999965</v>
      </c>
      <c r="I91" s="165"/>
      <c r="J91" s="175">
        <f>H91/DAY(B2)</f>
        <v>-31.175199999999986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'24'!F92</f>
        <v>4754</v>
      </c>
      <c r="F92" s="122">
        <v>4754</v>
      </c>
      <c r="G92" s="112">
        <f t="shared" si="8"/>
        <v>0</v>
      </c>
      <c r="H92" s="99">
        <f>G92+'24'!H92</f>
        <v>-8.4600000000000364</v>
      </c>
      <c r="I92" s="165"/>
      <c r="J92" s="175">
        <f>H92/DAY(B2)</f>
        <v>-0.33840000000000148</v>
      </c>
      <c r="O92" s="71"/>
    </row>
    <row r="93" spans="1:15" ht="29.25" x14ac:dyDescent="0.5">
      <c r="A93" s="774" t="s">
        <v>239</v>
      </c>
      <c r="B93" s="775"/>
      <c r="C93" s="77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1" t="s">
        <v>240</v>
      </c>
      <c r="B94" s="772"/>
      <c r="C94" s="773"/>
      <c r="D94" s="151" t="s">
        <v>130</v>
      </c>
      <c r="E94" s="151"/>
      <c r="F94" s="151"/>
      <c r="G94" s="99">
        <f>G35+G43+G49+G57</f>
        <v>0</v>
      </c>
      <c r="H94" s="99">
        <f>G94+'24'!H94</f>
        <v>2532505.96</v>
      </c>
      <c r="I94" s="118"/>
      <c r="J94" s="175">
        <f>H94/DAY(B2)</f>
        <v>101300.2384</v>
      </c>
      <c r="K94" s="69"/>
      <c r="L94" s="66"/>
      <c r="O94" s="71"/>
    </row>
    <row r="95" spans="1:15" ht="27.75" x14ac:dyDescent="0.5">
      <c r="A95" s="771" t="s">
        <v>241</v>
      </c>
      <c r="B95" s="772"/>
      <c r="C95" s="773"/>
      <c r="D95" s="151" t="s">
        <v>23</v>
      </c>
      <c r="E95" s="146"/>
      <c r="F95" s="146"/>
      <c r="G95" s="166">
        <f>G94/G7</f>
        <v>0</v>
      </c>
      <c r="H95" s="99">
        <f>G95+'24'!H95</f>
        <v>110.05863639047362</v>
      </c>
      <c r="I95" s="167"/>
      <c r="J95" s="175">
        <f>H95/DAY(B2)</f>
        <v>4.4023454556189447</v>
      </c>
      <c r="K95" s="69"/>
      <c r="L95" s="66"/>
      <c r="O95" s="71"/>
    </row>
    <row r="96" spans="1:15" ht="27.75" x14ac:dyDescent="0.5">
      <c r="A96" s="771" t="s">
        <v>242</v>
      </c>
      <c r="B96" s="772"/>
      <c r="C96" s="773"/>
      <c r="D96" s="151" t="s">
        <v>130</v>
      </c>
      <c r="E96" s="95"/>
      <c r="F96" s="95"/>
      <c r="G96" s="99">
        <f>G41+G42+G55+G56</f>
        <v>0</v>
      </c>
      <c r="H96" s="99">
        <f>G96+'24'!H96</f>
        <v>-535950.2100000002</v>
      </c>
      <c r="I96" s="118"/>
      <c r="J96" s="175">
        <f>H96/DAY(B2)</f>
        <v>-21438.008400000006</v>
      </c>
      <c r="K96" s="69"/>
      <c r="L96" s="66"/>
      <c r="O96" s="71"/>
    </row>
    <row r="97" spans="1:15" ht="27.75" x14ac:dyDescent="0.5">
      <c r="A97" s="771" t="s">
        <v>243</v>
      </c>
      <c r="B97" s="772"/>
      <c r="C97" s="773"/>
      <c r="D97" s="151" t="s">
        <v>23</v>
      </c>
      <c r="E97" s="95"/>
      <c r="F97" s="95"/>
      <c r="G97" s="166">
        <f>G96/G7</f>
        <v>0</v>
      </c>
      <c r="H97" s="99">
        <f>G97+'24'!H97</f>
        <v>-23.376968076147254</v>
      </c>
      <c r="I97" s="167"/>
      <c r="J97" s="175">
        <f>H97/DAY(B2)</f>
        <v>-0.93507872304589013</v>
      </c>
      <c r="K97" s="69"/>
      <c r="L97" s="66"/>
      <c r="O97" s="71"/>
    </row>
    <row r="98" spans="1:15" ht="27.75" x14ac:dyDescent="0.5">
      <c r="A98" s="771" t="s">
        <v>244</v>
      </c>
      <c r="B98" s="772"/>
      <c r="C98" s="773"/>
      <c r="D98" s="151" t="s">
        <v>130</v>
      </c>
      <c r="E98" s="95"/>
      <c r="F98" s="95"/>
      <c r="G98" s="99">
        <f>G39+G53</f>
        <v>0</v>
      </c>
      <c r="H98" s="99">
        <f>G98+'24'!H98</f>
        <v>1826698.97</v>
      </c>
      <c r="I98" s="168"/>
      <c r="J98" s="175">
        <f>H98/DAY(B2)</f>
        <v>73067.958799999993</v>
      </c>
      <c r="K98" s="69"/>
      <c r="L98" s="66"/>
      <c r="O98" s="71"/>
    </row>
    <row r="99" spans="1:15" ht="27.75" x14ac:dyDescent="0.5">
      <c r="A99" s="771" t="s">
        <v>245</v>
      </c>
      <c r="B99" s="772"/>
      <c r="C99" s="773"/>
      <c r="D99" s="151" t="s">
        <v>23</v>
      </c>
      <c r="E99" s="95"/>
      <c r="F99" s="95"/>
      <c r="G99" s="166">
        <f>G98/G7</f>
        <v>0</v>
      </c>
      <c r="H99" s="99">
        <f>G99+'24'!H99</f>
        <v>79.385711690839827</v>
      </c>
      <c r="I99" s="168"/>
      <c r="J99" s="175">
        <f>H99/DAY(B2)</f>
        <v>3.1754284676335929</v>
      </c>
      <c r="O99" s="71"/>
    </row>
    <row r="100" spans="1:15" ht="27.75" x14ac:dyDescent="0.5">
      <c r="A100" s="771" t="s">
        <v>246</v>
      </c>
      <c r="B100" s="772"/>
      <c r="C100" s="773"/>
      <c r="D100" s="151" t="s">
        <v>180</v>
      </c>
      <c r="E100" s="95"/>
      <c r="F100" s="95"/>
      <c r="G100" s="99">
        <f>G38+G52</f>
        <v>0</v>
      </c>
      <c r="H100" s="99">
        <f>G100+'24'!H100</f>
        <v>942134.4</v>
      </c>
      <c r="I100" s="118"/>
      <c r="J100" s="175">
        <f>H100/DAY(B2)</f>
        <v>37685.376000000004</v>
      </c>
      <c r="K100" s="70"/>
      <c r="O100" s="71"/>
    </row>
    <row r="101" spans="1:15" ht="27.75" x14ac:dyDescent="0.5">
      <c r="A101" s="771" t="s">
        <v>247</v>
      </c>
      <c r="B101" s="772"/>
      <c r="C101" s="773"/>
      <c r="D101" s="151" t="s">
        <v>23</v>
      </c>
      <c r="E101" s="95"/>
      <c r="F101" s="95"/>
      <c r="G101" s="166">
        <f>G100/G7</f>
        <v>0</v>
      </c>
      <c r="H101" s="99">
        <f>G101+'24'!H101</f>
        <v>40.946365636236884</v>
      </c>
      <c r="I101" s="168"/>
      <c r="J101" s="175">
        <f>H101/DAY(B2)</f>
        <v>1.6378546254494752</v>
      </c>
      <c r="O101" s="71"/>
    </row>
    <row r="102" spans="1:15" ht="27.75" x14ac:dyDescent="0.5">
      <c r="A102" s="771" t="s">
        <v>248</v>
      </c>
      <c r="B102" s="772"/>
      <c r="C102" s="773"/>
      <c r="D102" s="151" t="s">
        <v>180</v>
      </c>
      <c r="E102" s="95"/>
      <c r="F102" s="95"/>
      <c r="G102" s="99">
        <f>G36+G50</f>
        <v>0</v>
      </c>
      <c r="H102" s="99">
        <f>G102+'24'!H102</f>
        <v>-150960.04999999996</v>
      </c>
      <c r="I102" s="168"/>
      <c r="J102" s="175">
        <f>H102/DAY(B2)</f>
        <v>-6038.4019999999982</v>
      </c>
      <c r="O102" s="71"/>
    </row>
    <row r="103" spans="1:15" ht="27.75" x14ac:dyDescent="0.5">
      <c r="A103" s="771" t="s">
        <v>249</v>
      </c>
      <c r="B103" s="772"/>
      <c r="C103" s="773"/>
      <c r="D103" s="151" t="s">
        <v>23</v>
      </c>
      <c r="E103" s="95"/>
      <c r="F103" s="95"/>
      <c r="G103" s="166">
        <f>G102/G7</f>
        <v>0</v>
      </c>
      <c r="H103" s="99">
        <f>G103+'24'!H103</f>
        <v>-6.5833689420489332</v>
      </c>
      <c r="I103" s="118"/>
      <c r="J103" s="175">
        <f>H103/DAY(B2)</f>
        <v>-0.26333475768195735</v>
      </c>
      <c r="O103" s="71"/>
    </row>
    <row r="104" spans="1:15" ht="27.75" x14ac:dyDescent="0.5">
      <c r="A104" s="771" t="s">
        <v>250</v>
      </c>
      <c r="B104" s="772"/>
      <c r="C104" s="773"/>
      <c r="D104" s="151" t="s">
        <v>180</v>
      </c>
      <c r="E104" s="95"/>
      <c r="F104" s="95"/>
      <c r="G104" s="99">
        <f>G37+G51</f>
        <v>0</v>
      </c>
      <c r="H104" s="99">
        <f>G104+'24'!H104</f>
        <v>157413.13</v>
      </c>
      <c r="I104" s="118"/>
      <c r="J104" s="175">
        <f>H104/DAY(B2)</f>
        <v>6296.5252</v>
      </c>
      <c r="O104" s="71"/>
    </row>
    <row r="105" spans="1:15" ht="28.5" thickBot="1" x14ac:dyDescent="0.55000000000000004">
      <c r="A105" s="764" t="s">
        <v>251</v>
      </c>
      <c r="B105" s="765"/>
      <c r="C105" s="766"/>
      <c r="D105" s="231" t="s">
        <v>23</v>
      </c>
      <c r="E105" s="185"/>
      <c r="F105" s="185"/>
      <c r="G105" s="186">
        <f>G104/G7</f>
        <v>0</v>
      </c>
      <c r="H105" s="99">
        <f>G105+'24'!H105</f>
        <v>6.8301240046325189</v>
      </c>
      <c r="I105" s="187"/>
      <c r="J105" s="188">
        <f>H105/DAY(B2)</f>
        <v>0.27320496018530077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0" t="s">
        <v>324</v>
      </c>
      <c r="B108" s="760"/>
      <c r="C108" s="760"/>
      <c r="D108" s="760"/>
      <c r="E108" s="760"/>
      <c r="F108" s="760"/>
      <c r="G108" s="760"/>
      <c r="H108" s="760"/>
      <c r="I108" s="760"/>
      <c r="J108" s="760"/>
    </row>
    <row r="109" spans="1:15" ht="29.25" x14ac:dyDescent="0.5">
      <c r="A109" s="788"/>
      <c r="B109" s="788"/>
    </row>
    <row r="110" spans="1:15" ht="29.25" x14ac:dyDescent="0.5">
      <c r="A110" s="761" t="s">
        <v>165</v>
      </c>
      <c r="B110" s="762"/>
      <c r="C110" s="762"/>
      <c r="D110" s="762"/>
      <c r="E110" s="762"/>
      <c r="F110" s="762"/>
      <c r="G110" s="762"/>
      <c r="H110" s="762"/>
      <c r="I110" s="762"/>
      <c r="J110" s="763"/>
    </row>
    <row r="111" spans="1:15" ht="27.75" x14ac:dyDescent="0.5">
      <c r="A111" s="753"/>
      <c r="B111" s="754"/>
      <c r="C111" s="755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0" t="s">
        <v>252</v>
      </c>
      <c r="B112" s="751"/>
      <c r="C112" s="752"/>
      <c r="D112" s="146" t="s">
        <v>183</v>
      </c>
      <c r="E112" s="95">
        <f>'24'!F112</f>
        <v>38434</v>
      </c>
      <c r="F112" s="237">
        <v>38434</v>
      </c>
      <c r="G112" s="112">
        <f t="shared" ref="G112:G123" si="9">F112-E112</f>
        <v>0</v>
      </c>
      <c r="H112" s="99">
        <f>G112+'24'!H112</f>
        <v>-21107.82</v>
      </c>
      <c r="I112" s="165"/>
      <c r="J112" s="348">
        <f>H112/DAY(B2)</f>
        <v>-844.31280000000004</v>
      </c>
    </row>
    <row r="113" spans="1:18" ht="29.25" customHeight="1" x14ac:dyDescent="0.5">
      <c r="A113" s="750" t="s">
        <v>253</v>
      </c>
      <c r="B113" s="751"/>
      <c r="C113" s="752"/>
      <c r="D113" s="146" t="s">
        <v>183</v>
      </c>
      <c r="E113" s="95">
        <f>'24'!F113</f>
        <v>94790</v>
      </c>
      <c r="F113" s="237">
        <v>94790</v>
      </c>
      <c r="G113" s="112">
        <f t="shared" si="9"/>
        <v>0</v>
      </c>
      <c r="H113" s="99">
        <f>G113+'24'!H113</f>
        <v>-119257.45000000001</v>
      </c>
      <c r="I113" s="165"/>
      <c r="J113" s="348">
        <f>H113/DAY(B2)</f>
        <v>-4770.2980000000007</v>
      </c>
    </row>
    <row r="114" spans="1:18" ht="29.25" customHeight="1" x14ac:dyDescent="0.5">
      <c r="A114" s="750" t="s">
        <v>254</v>
      </c>
      <c r="B114" s="751"/>
      <c r="C114" s="752"/>
      <c r="D114" s="146" t="s">
        <v>183</v>
      </c>
      <c r="E114" s="95">
        <f>'24'!F114</f>
        <v>44933</v>
      </c>
      <c r="F114" s="237">
        <v>44933</v>
      </c>
      <c r="G114" s="112">
        <f t="shared" si="9"/>
        <v>0</v>
      </c>
      <c r="H114" s="99">
        <f>G114+'24'!H114</f>
        <v>92743.9</v>
      </c>
      <c r="I114" s="165"/>
      <c r="J114" s="348">
        <f>H114/DAY(B2)</f>
        <v>3709.7559999999999</v>
      </c>
    </row>
    <row r="115" spans="1:18" ht="29.25" customHeight="1" x14ac:dyDescent="0.5">
      <c r="A115" s="750" t="s">
        <v>255</v>
      </c>
      <c r="B115" s="751"/>
      <c r="C115" s="752"/>
      <c r="D115" s="146" t="s">
        <v>183</v>
      </c>
      <c r="E115" s="95">
        <f>'24'!F115</f>
        <v>6560</v>
      </c>
      <c r="F115" s="237">
        <v>6560</v>
      </c>
      <c r="G115" s="112">
        <f t="shared" si="9"/>
        <v>0</v>
      </c>
      <c r="H115" s="99">
        <f>G115+'24'!H115</f>
        <v>-2561.4399999999996</v>
      </c>
      <c r="I115" s="165"/>
      <c r="J115" s="348">
        <f>H115/DAY(B2)</f>
        <v>-102.45759999999999</v>
      </c>
    </row>
    <row r="116" spans="1:18" ht="29.25" customHeight="1" x14ac:dyDescent="0.5">
      <c r="A116" s="757" t="s">
        <v>96</v>
      </c>
      <c r="B116" s="758"/>
      <c r="C116" s="759"/>
      <c r="D116" s="146" t="s">
        <v>183</v>
      </c>
      <c r="E116" s="95">
        <f>'24'!F116</f>
        <v>44933</v>
      </c>
      <c r="F116" s="237">
        <v>44933</v>
      </c>
      <c r="G116" s="112">
        <f t="shared" si="9"/>
        <v>0</v>
      </c>
      <c r="H116" s="99">
        <f>G116+'24'!H116</f>
        <v>89866</v>
      </c>
      <c r="I116" s="165"/>
      <c r="J116" s="348">
        <f>H116/DAY(B2)</f>
        <v>3594.64</v>
      </c>
      <c r="Q116" s="750" t="s">
        <v>311</v>
      </c>
      <c r="R116" s="752"/>
    </row>
    <row r="117" spans="1:18" ht="29.25" customHeight="1" x14ac:dyDescent="0.5">
      <c r="A117" s="757" t="s">
        <v>184</v>
      </c>
      <c r="B117" s="758"/>
      <c r="C117" s="759"/>
      <c r="D117" s="146" t="s">
        <v>183</v>
      </c>
      <c r="E117" s="95">
        <f>'24'!F117</f>
        <v>44933</v>
      </c>
      <c r="F117" s="237">
        <v>44933</v>
      </c>
      <c r="G117" s="112">
        <f t="shared" si="9"/>
        <v>0</v>
      </c>
      <c r="H117" s="99">
        <f>G117+'24'!H117</f>
        <v>88625.98000000001</v>
      </c>
      <c r="I117" s="165"/>
      <c r="J117" s="348">
        <f>H117/DAY(B2)</f>
        <v>3545.0392000000006</v>
      </c>
      <c r="Q117" s="750" t="s">
        <v>312</v>
      </c>
      <c r="R117" s="752"/>
    </row>
    <row r="118" spans="1:18" ht="27.75" x14ac:dyDescent="0.5">
      <c r="A118" s="749" t="s">
        <v>97</v>
      </c>
      <c r="B118" s="749"/>
      <c r="C118" s="749"/>
      <c r="D118" s="151" t="s">
        <v>183</v>
      </c>
      <c r="E118" s="95">
        <f>'24'!F118</f>
        <v>44933</v>
      </c>
      <c r="F118" s="237">
        <v>44933</v>
      </c>
      <c r="G118" s="112">
        <f t="shared" si="9"/>
        <v>0</v>
      </c>
      <c r="H118" s="99">
        <f>G118+'24'!H118</f>
        <v>-330033.39</v>
      </c>
      <c r="I118" s="165"/>
      <c r="J118" s="348">
        <f>H118/DAY(B2)</f>
        <v>-13201.3356</v>
      </c>
      <c r="Q118" s="750" t="s">
        <v>311</v>
      </c>
      <c r="R118" s="752"/>
    </row>
    <row r="119" spans="1:18" ht="27.75" x14ac:dyDescent="0.5">
      <c r="A119" s="749" t="s">
        <v>98</v>
      </c>
      <c r="B119" s="749"/>
      <c r="C119" s="749"/>
      <c r="D119" s="151" t="s">
        <v>183</v>
      </c>
      <c r="E119" s="95">
        <f>'24'!F119</f>
        <v>44933</v>
      </c>
      <c r="F119" s="237">
        <v>44933</v>
      </c>
      <c r="G119" s="112">
        <f t="shared" si="9"/>
        <v>0</v>
      </c>
      <c r="H119" s="99">
        <f>G119+'24'!H119</f>
        <v>-329315.05</v>
      </c>
      <c r="I119" s="165"/>
      <c r="J119" s="348">
        <f>H119/DAY(B2)</f>
        <v>-13172.601999999999</v>
      </c>
    </row>
    <row r="120" spans="1:18" ht="27.75" x14ac:dyDescent="0.5">
      <c r="A120" s="749" t="s">
        <v>99</v>
      </c>
      <c r="B120" s="749"/>
      <c r="C120" s="749"/>
      <c r="D120" s="151" t="s">
        <v>183</v>
      </c>
      <c r="E120" s="95">
        <f>'24'!F120</f>
        <v>44933</v>
      </c>
      <c r="F120" s="237">
        <v>44933</v>
      </c>
      <c r="G120" s="112">
        <f t="shared" si="9"/>
        <v>0</v>
      </c>
      <c r="H120" s="99">
        <f>G120+'24'!H120</f>
        <v>71927.510000000009</v>
      </c>
      <c r="I120" s="165"/>
      <c r="J120" s="348">
        <f>H120/DAY(B2)</f>
        <v>2877.1004000000003</v>
      </c>
    </row>
    <row r="121" spans="1:18" ht="27.75" x14ac:dyDescent="0.5">
      <c r="A121" s="749" t="s">
        <v>100</v>
      </c>
      <c r="B121" s="749"/>
      <c r="C121" s="749"/>
      <c r="D121" s="151" t="s">
        <v>183</v>
      </c>
      <c r="E121" s="95">
        <f>'24'!F121</f>
        <v>44933</v>
      </c>
      <c r="F121" s="237">
        <v>44933</v>
      </c>
      <c r="G121" s="112">
        <f t="shared" si="9"/>
        <v>0</v>
      </c>
      <c r="H121" s="99">
        <f>G121+'24'!H121</f>
        <v>-541106.63</v>
      </c>
      <c r="I121" s="165"/>
      <c r="J121" s="348">
        <f>H121/DAY(B2)</f>
        <v>-21644.265200000002</v>
      </c>
    </row>
    <row r="122" spans="1:18" ht="27.75" x14ac:dyDescent="0.5">
      <c r="A122" s="749" t="s">
        <v>101</v>
      </c>
      <c r="B122" s="749"/>
      <c r="C122" s="749"/>
      <c r="D122" s="151" t="s">
        <v>183</v>
      </c>
      <c r="E122" s="95">
        <f>'24'!F122</f>
        <v>44933</v>
      </c>
      <c r="F122" s="237">
        <v>44933</v>
      </c>
      <c r="G122" s="112">
        <f t="shared" si="9"/>
        <v>0</v>
      </c>
      <c r="H122" s="99">
        <f>G122+'24'!H122</f>
        <v>-98745.64</v>
      </c>
      <c r="I122" s="165"/>
      <c r="J122" s="348">
        <f>H122/DAY(B2)</f>
        <v>-3949.8256000000001</v>
      </c>
    </row>
    <row r="123" spans="1:18" ht="27.75" x14ac:dyDescent="0.5">
      <c r="A123" s="749" t="s">
        <v>102</v>
      </c>
      <c r="B123" s="749"/>
      <c r="C123" s="749"/>
      <c r="D123" s="151" t="s">
        <v>183</v>
      </c>
      <c r="E123" s="95">
        <f>'24'!F123</f>
        <v>44933</v>
      </c>
      <c r="F123" s="237">
        <v>44933</v>
      </c>
      <c r="G123" s="112">
        <f t="shared" si="9"/>
        <v>0</v>
      </c>
      <c r="H123" s="99">
        <f>G123+'24'!H123</f>
        <v>-146917.34</v>
      </c>
      <c r="I123" s="165"/>
      <c r="J123" s="348">
        <f>H123/DAY(B2)</f>
        <v>-5876.6935999999996</v>
      </c>
    </row>
    <row r="124" spans="1:18" ht="29.25" customHeight="1" x14ac:dyDescent="0.5">
      <c r="A124" s="753"/>
      <c r="B124" s="754"/>
      <c r="C124" s="755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37"/>
      <c r="B125" s="737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56" t="s">
        <v>317</v>
      </c>
      <c r="B126" s="756"/>
      <c r="C126" s="756"/>
      <c r="D126" s="756"/>
      <c r="E126" s="756"/>
      <c r="F126" s="756"/>
      <c r="G126" s="756"/>
      <c r="H126" s="756"/>
      <c r="I126" s="756"/>
      <c r="J126" s="756"/>
    </row>
    <row r="127" spans="1:18" ht="27.75" x14ac:dyDescent="0.5">
      <c r="A127" s="737"/>
      <c r="B127" s="737"/>
      <c r="C127" s="246"/>
      <c r="D127" s="317"/>
      <c r="E127" s="318"/>
      <c r="F127" s="318"/>
      <c r="G127" s="319"/>
      <c r="H127" s="99">
        <f>G127+'24'!H127</f>
        <v>0</v>
      </c>
      <c r="I127" s="165"/>
      <c r="J127" s="348">
        <f>H127/DAY(B2)</f>
        <v>0</v>
      </c>
    </row>
    <row r="128" spans="1:18" ht="29.25" customHeight="1" x14ac:dyDescent="0.5">
      <c r="A128" s="750" t="s">
        <v>318</v>
      </c>
      <c r="B128" s="751"/>
      <c r="C128" s="752"/>
      <c r="D128" s="151" t="s">
        <v>183</v>
      </c>
      <c r="E128" s="95">
        <f>'24'!F128</f>
        <v>0</v>
      </c>
      <c r="F128" s="165"/>
      <c r="G128" s="112">
        <f t="shared" ref="G128:G134" si="10">F128-E128</f>
        <v>0</v>
      </c>
      <c r="H128" s="99">
        <f>G128+'24'!H128</f>
        <v>-20837.400000000001</v>
      </c>
      <c r="I128" s="165"/>
      <c r="J128" s="348">
        <f>H128/DAY(B2)</f>
        <v>-833.49600000000009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'24'!F129</f>
        <v>0</v>
      </c>
      <c r="F129" s="165"/>
      <c r="G129" s="112">
        <f t="shared" si="10"/>
        <v>0</v>
      </c>
      <c r="H129" s="99">
        <f>G129+'24'!H129</f>
        <v>-3767.84</v>
      </c>
      <c r="I129" s="165"/>
      <c r="J129" s="348">
        <f>H129/DAY(B2)</f>
        <v>-150.71360000000001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'24'!F130</f>
        <v>0</v>
      </c>
      <c r="F130" s="165"/>
      <c r="G130" s="112">
        <f t="shared" si="10"/>
        <v>0</v>
      </c>
      <c r="H130" s="99">
        <f>G130+'24'!H130</f>
        <v>-4439.2299999999996</v>
      </c>
      <c r="I130" s="165"/>
      <c r="J130" s="348">
        <f>H130/DAY(B2)</f>
        <v>-177.5692</v>
      </c>
      <c r="N130" s="240"/>
      <c r="O130" s="241"/>
    </row>
    <row r="131" spans="1:15" ht="27.75" x14ac:dyDescent="0.5">
      <c r="A131" s="750" t="s">
        <v>321</v>
      </c>
      <c r="B131" s="751"/>
      <c r="C131" s="752"/>
      <c r="D131" s="151" t="s">
        <v>183</v>
      </c>
      <c r="E131" s="95">
        <f>'24'!F131</f>
        <v>0</v>
      </c>
      <c r="F131" s="165"/>
      <c r="G131" s="112">
        <f t="shared" si="10"/>
        <v>0</v>
      </c>
      <c r="H131" s="99">
        <f>G131+'24'!H131</f>
        <v>-2311.35</v>
      </c>
      <c r="I131" s="165"/>
      <c r="J131" s="348">
        <f>H131/DAY(B2)</f>
        <v>-92.453999999999994</v>
      </c>
      <c r="N131" s="240"/>
      <c r="O131" s="241"/>
    </row>
    <row r="132" spans="1:15" ht="27.75" x14ac:dyDescent="0.5">
      <c r="A132" s="750" t="s">
        <v>322</v>
      </c>
      <c r="B132" s="751"/>
      <c r="C132" s="752"/>
      <c r="D132" s="151" t="s">
        <v>183</v>
      </c>
      <c r="E132" s="95">
        <f>'24'!F132</f>
        <v>0</v>
      </c>
      <c r="F132" s="165"/>
      <c r="G132" s="112">
        <f t="shared" si="10"/>
        <v>0</v>
      </c>
      <c r="H132" s="99">
        <f>G132+'24'!H132</f>
        <v>-7246.7</v>
      </c>
      <c r="I132" s="165"/>
      <c r="J132" s="348">
        <f>H132/DAY(B2)</f>
        <v>-289.86799999999999</v>
      </c>
    </row>
    <row r="133" spans="1:15" ht="27.75" x14ac:dyDescent="0.5">
      <c r="A133" s="750" t="s">
        <v>323</v>
      </c>
      <c r="B133" s="751"/>
      <c r="C133" s="752"/>
      <c r="D133" s="151" t="s">
        <v>183</v>
      </c>
      <c r="E133" s="95">
        <f>'24'!F133</f>
        <v>0</v>
      </c>
      <c r="F133" s="165"/>
      <c r="G133" s="112">
        <f t="shared" si="10"/>
        <v>0</v>
      </c>
      <c r="H133" s="99">
        <f>G133+'24'!H133</f>
        <v>-45947.5</v>
      </c>
      <c r="I133" s="165"/>
      <c r="J133" s="348">
        <f>H133/DAY(B2)</f>
        <v>-1837.9</v>
      </c>
    </row>
    <row r="134" spans="1:15" ht="27.75" x14ac:dyDescent="0.5">
      <c r="A134" s="750" t="s">
        <v>340</v>
      </c>
      <c r="B134" s="751"/>
      <c r="C134" s="752"/>
      <c r="D134" s="151" t="s">
        <v>183</v>
      </c>
      <c r="E134" s="95">
        <f>'24'!F134</f>
        <v>0</v>
      </c>
      <c r="F134" s="165"/>
      <c r="G134" s="112">
        <f t="shared" si="10"/>
        <v>0</v>
      </c>
      <c r="H134" s="99">
        <f>G134+'24'!H134</f>
        <v>-1237706</v>
      </c>
      <c r="I134" s="165"/>
      <c r="J134" s="348">
        <f>H134/DAY(B2)</f>
        <v>-49508.24</v>
      </c>
    </row>
    <row r="135" spans="1:15" ht="27.75" x14ac:dyDescent="0.5">
      <c r="A135" s="753"/>
      <c r="B135" s="754"/>
      <c r="C135" s="755"/>
      <c r="D135" s="151"/>
      <c r="E135" s="95"/>
      <c r="F135" s="165"/>
      <c r="G135" s="112"/>
      <c r="H135" s="99">
        <f>G135+'23'!H135</f>
        <v>5534.2300000000005</v>
      </c>
      <c r="I135" s="165"/>
      <c r="J135" s="348"/>
    </row>
    <row r="136" spans="1:15" ht="31.5" x14ac:dyDescent="0.55000000000000004">
      <c r="A136" s="736" t="s">
        <v>325</v>
      </c>
      <c r="B136" s="736"/>
      <c r="C136" s="736"/>
      <c r="D136" s="736"/>
      <c r="E136" s="736"/>
      <c r="F136" s="736"/>
      <c r="G136" s="736"/>
      <c r="H136" s="736"/>
      <c r="I136" s="736"/>
      <c r="J136" s="736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49" t="s">
        <v>185</v>
      </c>
      <c r="B138" s="749"/>
      <c r="C138" s="749"/>
      <c r="D138" s="151" t="s">
        <v>183</v>
      </c>
      <c r="E138" s="95">
        <f>'24'!F138</f>
        <v>857022</v>
      </c>
      <c r="F138" s="147">
        <v>857022</v>
      </c>
      <c r="G138" s="112">
        <f t="shared" ref="G138:G152" si="11">F138-E138</f>
        <v>0</v>
      </c>
      <c r="H138" s="99">
        <f>G138+'24'!H138</f>
        <v>-2046</v>
      </c>
      <c r="I138" s="118"/>
      <c r="J138" s="348">
        <f>H138/DAY(B2)</f>
        <v>-81.84</v>
      </c>
    </row>
    <row r="139" spans="1:15" ht="27.75" x14ac:dyDescent="0.5">
      <c r="A139" s="749" t="s">
        <v>186</v>
      </c>
      <c r="B139" s="749"/>
      <c r="C139" s="749"/>
      <c r="D139" s="151" t="s">
        <v>183</v>
      </c>
      <c r="E139" s="95">
        <f>'24'!F139</f>
        <v>886051</v>
      </c>
      <c r="F139" s="148">
        <v>886051</v>
      </c>
      <c r="G139" s="112">
        <f t="shared" si="11"/>
        <v>0</v>
      </c>
      <c r="H139" s="99">
        <f>G139+'24'!H139</f>
        <v>-33</v>
      </c>
      <c r="I139" s="118"/>
      <c r="J139" s="348">
        <f>H139/DAY(B2)</f>
        <v>-1.32</v>
      </c>
    </row>
    <row r="140" spans="1:15" ht="27.75" x14ac:dyDescent="0.5">
      <c r="A140" s="749" t="s">
        <v>187</v>
      </c>
      <c r="B140" s="749"/>
      <c r="C140" s="749"/>
      <c r="D140" s="151" t="s">
        <v>183</v>
      </c>
      <c r="E140" s="95">
        <f>'24'!F140</f>
        <v>88776</v>
      </c>
      <c r="F140" s="149">
        <v>88776</v>
      </c>
      <c r="G140" s="112">
        <f t="shared" si="11"/>
        <v>0</v>
      </c>
      <c r="H140" s="99">
        <f>G140+'24'!H140</f>
        <v>-47.100000000005821</v>
      </c>
      <c r="I140" s="118"/>
      <c r="J140" s="348">
        <f>H140/DAY(B2)</f>
        <v>-1.8840000000002328</v>
      </c>
    </row>
    <row r="141" spans="1:15" ht="27.75" x14ac:dyDescent="0.5">
      <c r="A141" s="728" t="s">
        <v>188</v>
      </c>
      <c r="B141" s="728"/>
      <c r="C141" s="728"/>
      <c r="D141" s="151" t="s">
        <v>183</v>
      </c>
      <c r="E141" s="95">
        <f>'24'!F141</f>
        <v>26308</v>
      </c>
      <c r="F141" s="149">
        <v>26308</v>
      </c>
      <c r="G141" s="112">
        <f t="shared" si="11"/>
        <v>0</v>
      </c>
      <c r="H141" s="99">
        <f>G141+'24'!H141</f>
        <v>-13573.5</v>
      </c>
      <c r="I141" s="118"/>
      <c r="J141" s="348">
        <f>H141/DAY(B2)</f>
        <v>-542.94000000000005</v>
      </c>
    </row>
    <row r="142" spans="1:15" ht="27.75" x14ac:dyDescent="0.5">
      <c r="A142" s="728" t="s">
        <v>189</v>
      </c>
      <c r="B142" s="728"/>
      <c r="C142" s="728"/>
      <c r="D142" s="151" t="s">
        <v>183</v>
      </c>
      <c r="E142" s="95">
        <f>'24'!F142</f>
        <v>13277</v>
      </c>
      <c r="F142" s="148">
        <v>13277</v>
      </c>
      <c r="G142" s="112">
        <f t="shared" si="11"/>
        <v>0</v>
      </c>
      <c r="H142" s="99">
        <f>G142+'24'!H142</f>
        <v>-5306.2999999999993</v>
      </c>
      <c r="I142" s="140"/>
      <c r="J142" s="348">
        <f>H142/DAY(B2)</f>
        <v>-212.25199999999998</v>
      </c>
    </row>
    <row r="143" spans="1:15" ht="27.75" x14ac:dyDescent="0.5">
      <c r="A143" s="749" t="s">
        <v>91</v>
      </c>
      <c r="B143" s="749"/>
      <c r="C143" s="749"/>
      <c r="D143" s="151" t="s">
        <v>183</v>
      </c>
      <c r="E143" s="95">
        <f>'24'!F143</f>
        <v>0</v>
      </c>
      <c r="F143" s="149"/>
      <c r="G143" s="112">
        <f t="shared" si="11"/>
        <v>0</v>
      </c>
      <c r="H143" s="99">
        <f>G143+'24'!H143</f>
        <v>-1531.35</v>
      </c>
      <c r="I143" s="140"/>
      <c r="J143" s="348">
        <f>H143/DAY(B2)</f>
        <v>-61.253999999999998</v>
      </c>
    </row>
    <row r="144" spans="1:15" ht="27.75" x14ac:dyDescent="0.5">
      <c r="A144" s="728" t="s">
        <v>90</v>
      </c>
      <c r="B144" s="728"/>
      <c r="C144" s="728"/>
      <c r="D144" s="151" t="s">
        <v>183</v>
      </c>
      <c r="E144" s="95">
        <f>'24'!F144</f>
        <v>0</v>
      </c>
      <c r="F144" s="149"/>
      <c r="G144" s="112">
        <f t="shared" si="11"/>
        <v>0</v>
      </c>
      <c r="H144" s="99">
        <f>G144+'24'!H144</f>
        <v>-1702947</v>
      </c>
      <c r="I144" s="140"/>
      <c r="J144" s="348">
        <f>H144/DAY(B2)</f>
        <v>-68117.88</v>
      </c>
    </row>
    <row r="145" spans="1:10" ht="27.75" x14ac:dyDescent="0.5">
      <c r="A145" s="749" t="s">
        <v>190</v>
      </c>
      <c r="B145" s="749"/>
      <c r="C145" s="749"/>
      <c r="D145" s="152" t="s">
        <v>183</v>
      </c>
      <c r="E145" s="95">
        <f>'24'!F145</f>
        <v>0</v>
      </c>
      <c r="F145" s="149"/>
      <c r="G145" s="112">
        <f t="shared" si="11"/>
        <v>0</v>
      </c>
      <c r="H145" s="99">
        <f>G145+'24'!H145</f>
        <v>-2618.4</v>
      </c>
      <c r="I145" s="140"/>
      <c r="J145" s="348">
        <f>H145/DAY(B2)</f>
        <v>-104.736</v>
      </c>
    </row>
    <row r="146" spans="1:10" ht="27.75" x14ac:dyDescent="0.5">
      <c r="A146" s="784" t="s">
        <v>191</v>
      </c>
      <c r="B146" s="769"/>
      <c r="C146" s="770"/>
      <c r="D146" s="152" t="s">
        <v>183</v>
      </c>
      <c r="E146" s="95">
        <f>'24'!F146</f>
        <v>0</v>
      </c>
      <c r="F146" s="148"/>
      <c r="G146" s="112">
        <f t="shared" si="11"/>
        <v>0</v>
      </c>
      <c r="H146" s="99">
        <f>G146+'24'!H146</f>
        <v>-1380251</v>
      </c>
      <c r="I146" s="140"/>
      <c r="J146" s="348">
        <f>H146/DAY(B2)</f>
        <v>-55210.04</v>
      </c>
    </row>
    <row r="147" spans="1:10" ht="27.75" x14ac:dyDescent="0.5">
      <c r="A147" s="728" t="s">
        <v>192</v>
      </c>
      <c r="B147" s="728"/>
      <c r="C147" s="728"/>
      <c r="D147" s="152" t="s">
        <v>183</v>
      </c>
      <c r="E147" s="95">
        <f>'24'!F147</f>
        <v>0</v>
      </c>
      <c r="F147" s="148"/>
      <c r="G147" s="112">
        <f t="shared" si="11"/>
        <v>0</v>
      </c>
      <c r="H147" s="99">
        <f>G147+'24'!H147</f>
        <v>-1159149.72</v>
      </c>
      <c r="I147" s="140"/>
      <c r="J147" s="348">
        <f>H147/DAY(B2)</f>
        <v>-46365.988799999999</v>
      </c>
    </row>
    <row r="148" spans="1:10" ht="27.75" x14ac:dyDescent="0.5">
      <c r="A148" s="729" t="s">
        <v>193</v>
      </c>
      <c r="B148" s="730"/>
      <c r="C148" s="731"/>
      <c r="D148" s="123" t="s">
        <v>130</v>
      </c>
      <c r="E148" s="95">
        <f>'24'!F148</f>
        <v>0</v>
      </c>
      <c r="F148" s="150"/>
      <c r="G148" s="112">
        <f t="shared" si="11"/>
        <v>0</v>
      </c>
      <c r="H148" s="99">
        <f>G148+'24'!H148</f>
        <v>-1320350.54</v>
      </c>
      <c r="I148" s="124"/>
      <c r="J148" s="348">
        <f>H148/DAY(B2)</f>
        <v>-52814.0216</v>
      </c>
    </row>
    <row r="149" spans="1:10" ht="27.75" x14ac:dyDescent="0.5">
      <c r="A149" s="729" t="s">
        <v>336</v>
      </c>
      <c r="B149" s="730"/>
      <c r="C149" s="731"/>
      <c r="D149" s="227" t="s">
        <v>130</v>
      </c>
      <c r="E149" s="95">
        <f>'24'!F149</f>
        <v>0</v>
      </c>
      <c r="F149" s="146"/>
      <c r="G149" s="112">
        <f t="shared" si="11"/>
        <v>0</v>
      </c>
      <c r="H149" s="99">
        <f>G149+'24'!H149</f>
        <v>-155505</v>
      </c>
      <c r="I149" s="119"/>
      <c r="J149" s="348">
        <f>H149/DAY(B2)</f>
        <v>-6220.2</v>
      </c>
    </row>
    <row r="150" spans="1:10" ht="27.75" x14ac:dyDescent="0.5">
      <c r="A150" s="729" t="s">
        <v>337</v>
      </c>
      <c r="B150" s="730"/>
      <c r="C150" s="731"/>
      <c r="D150" s="117" t="s">
        <v>130</v>
      </c>
      <c r="E150" s="95">
        <f>'24'!F150</f>
        <v>0</v>
      </c>
      <c r="F150" s="233"/>
      <c r="G150" s="112">
        <f t="shared" si="11"/>
        <v>0</v>
      </c>
      <c r="H150" s="99">
        <f>G150+'24'!H150</f>
        <v>-14334464</v>
      </c>
      <c r="I150" s="119"/>
      <c r="J150" s="348">
        <f>H150/DAY(B2)</f>
        <v>-573378.56000000006</v>
      </c>
    </row>
    <row r="151" spans="1:10" ht="27.75" x14ac:dyDescent="0.5">
      <c r="A151" s="729" t="s">
        <v>338</v>
      </c>
      <c r="B151" s="730"/>
      <c r="C151" s="731"/>
      <c r="D151" s="117" t="s">
        <v>130</v>
      </c>
      <c r="E151" s="95">
        <f>'24'!F151</f>
        <v>0</v>
      </c>
      <c r="F151" s="233"/>
      <c r="G151" s="112">
        <f t="shared" si="11"/>
        <v>0</v>
      </c>
      <c r="H151" s="99">
        <f>G151+'24'!H151</f>
        <v>-112419</v>
      </c>
      <c r="I151" s="119"/>
      <c r="J151" s="348">
        <f>H151/DAY(B2)</f>
        <v>-4496.76</v>
      </c>
    </row>
    <row r="152" spans="1:10" ht="27.75" x14ac:dyDescent="0.5">
      <c r="A152" s="729" t="s">
        <v>339</v>
      </c>
      <c r="B152" s="730"/>
      <c r="C152" s="731"/>
      <c r="D152" s="117" t="s">
        <v>130</v>
      </c>
      <c r="E152" s="95">
        <f>'24'!F152</f>
        <v>0</v>
      </c>
      <c r="F152" s="233"/>
      <c r="G152" s="112">
        <f t="shared" si="11"/>
        <v>0</v>
      </c>
      <c r="H152" s="99">
        <f>G152+'24'!H152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36" t="s">
        <v>344</v>
      </c>
      <c r="B154" s="736"/>
      <c r="C154" s="736"/>
      <c r="D154" s="736"/>
      <c r="E154" s="736"/>
      <c r="F154" s="736"/>
      <c r="G154" s="736"/>
      <c r="H154" s="736"/>
      <c r="I154" s="736"/>
      <c r="J154" s="736"/>
    </row>
    <row r="155" spans="1:10" ht="31.5" x14ac:dyDescent="0.55000000000000004">
      <c r="A155" s="728" t="s">
        <v>345</v>
      </c>
      <c r="B155" s="728"/>
      <c r="C155" s="728"/>
      <c r="D155" s="117" t="s">
        <v>130</v>
      </c>
      <c r="E155" s="95">
        <f>'24'!F155</f>
        <v>0</v>
      </c>
      <c r="F155" s="385"/>
      <c r="G155" s="112">
        <f t="shared" ref="G155:G156" si="12">F155-E155</f>
        <v>0</v>
      </c>
      <c r="H155" s="99">
        <f>G155+'24'!H155</f>
        <v>-154178.09999999998</v>
      </c>
      <c r="I155" s="385"/>
      <c r="J155" s="348">
        <f>H155/DAY(B2)</f>
        <v>-6167.1239999999989</v>
      </c>
    </row>
    <row r="156" spans="1:10" ht="27.75" x14ac:dyDescent="0.5">
      <c r="A156" s="728" t="s">
        <v>347</v>
      </c>
      <c r="B156" s="728"/>
      <c r="C156" s="728"/>
      <c r="D156" s="117" t="s">
        <v>130</v>
      </c>
      <c r="E156" s="95">
        <f>'24'!F156</f>
        <v>0</v>
      </c>
      <c r="F156" s="165"/>
      <c r="G156" s="112">
        <f t="shared" si="12"/>
        <v>0</v>
      </c>
      <c r="H156" s="99">
        <f>G156+'24'!H156</f>
        <v>0</v>
      </c>
      <c r="I156" s="165"/>
      <c r="J156" s="348">
        <f>H156/DAY(B2)</f>
        <v>0</v>
      </c>
    </row>
    <row r="157" spans="1:10" ht="31.5" x14ac:dyDescent="0.55000000000000004">
      <c r="A157" s="736" t="s">
        <v>326</v>
      </c>
      <c r="B157" s="736"/>
      <c r="C157" s="736"/>
      <c r="D157" s="736"/>
      <c r="E157" s="736"/>
      <c r="F157" s="736"/>
      <c r="G157" s="736"/>
      <c r="H157" s="736"/>
      <c r="I157" s="736"/>
      <c r="J157" s="736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'24'!F158</f>
        <v>463315</v>
      </c>
      <c r="F158" s="235">
        <v>463315</v>
      </c>
      <c r="G158" s="238">
        <f t="shared" ref="G158:G162" si="13">F158-E158</f>
        <v>0</v>
      </c>
      <c r="H158" s="99">
        <f>G158+'24'!H158</f>
        <v>-5764.4000000000233</v>
      </c>
      <c r="I158" s="236"/>
      <c r="J158" s="239">
        <f>H158/DAY(B2)</f>
        <v>-230.57600000000093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'24'!F159</f>
        <v>83899</v>
      </c>
      <c r="F159" s="235">
        <v>83899</v>
      </c>
      <c r="G159" s="238">
        <f t="shared" si="13"/>
        <v>0</v>
      </c>
      <c r="H159" s="99">
        <f>G159+'24'!H159</f>
        <v>-2351.3999999999942</v>
      </c>
      <c r="I159" s="236"/>
      <c r="J159" s="239">
        <f>H159/DAY(B2)</f>
        <v>-94.05599999999977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'24'!F160</f>
        <v>69089</v>
      </c>
      <c r="F160" s="235">
        <v>69089</v>
      </c>
      <c r="G160" s="238">
        <f t="shared" si="13"/>
        <v>0</v>
      </c>
      <c r="H160" s="99">
        <f>G160+'24'!H160</f>
        <v>-4894.1999999999971</v>
      </c>
      <c r="I160" s="236"/>
      <c r="J160" s="239">
        <f>H160/DAY(B2)</f>
        <v>-195.76799999999989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'24'!F161</f>
        <v>3611</v>
      </c>
      <c r="F161" s="235">
        <v>3611</v>
      </c>
      <c r="G161" s="238">
        <f t="shared" si="13"/>
        <v>0</v>
      </c>
      <c r="H161" s="99">
        <f>G161+'24'!H161</f>
        <v>-555.30000000000018</v>
      </c>
      <c r="I161" s="236"/>
      <c r="J161" s="239">
        <f>H161/DAY(B2)</f>
        <v>-22.212000000000007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'24'!F162</f>
        <v>28746</v>
      </c>
      <c r="F162" s="235">
        <v>28746</v>
      </c>
      <c r="G162" s="238">
        <f t="shared" si="13"/>
        <v>0</v>
      </c>
      <c r="H162" s="99">
        <f>G162+'24'!H162</f>
        <v>-566.7400000000016</v>
      </c>
      <c r="I162" s="236"/>
      <c r="J162" s="239">
        <f>H162/DAY(B2)</f>
        <v>-22.669600000000063</v>
      </c>
    </row>
    <row r="163" spans="1:10" ht="29.25" x14ac:dyDescent="0.5">
      <c r="A163" s="737"/>
      <c r="B163" s="737"/>
      <c r="C163" s="247"/>
      <c r="D163" s="244" t="s">
        <v>180</v>
      </c>
      <c r="E163" s="95">
        <f>'24'!F163</f>
        <v>0</v>
      </c>
      <c r="F163" s="165"/>
      <c r="G163" s="165"/>
      <c r="H163" s="99">
        <f>G163+'24'!H163</f>
        <v>0</v>
      </c>
      <c r="I163" s="165"/>
      <c r="J163" s="239">
        <f>H163/DAY(B2)</f>
        <v>0</v>
      </c>
    </row>
    <row r="164" spans="1:10" ht="29.25" x14ac:dyDescent="0.5">
      <c r="A164" s="737"/>
      <c r="B164" s="737"/>
      <c r="C164" s="247"/>
      <c r="D164" s="244" t="s">
        <v>180</v>
      </c>
      <c r="E164" s="95">
        <f>'24'!F164</f>
        <v>0</v>
      </c>
      <c r="F164" s="165"/>
      <c r="G164" s="165"/>
      <c r="H164" s="99">
        <f>G164+'24'!H164</f>
        <v>0</v>
      </c>
      <c r="I164" s="165"/>
      <c r="J164" s="239">
        <f>H164/DAY(B2)</f>
        <v>0</v>
      </c>
    </row>
    <row r="165" spans="1:10" ht="29.25" x14ac:dyDescent="0.5">
      <c r="A165" s="737"/>
      <c r="B165" s="737"/>
      <c r="C165" s="247"/>
      <c r="D165" s="244" t="s">
        <v>180</v>
      </c>
      <c r="E165" s="95">
        <f>'24'!F165</f>
        <v>0</v>
      </c>
      <c r="F165" s="165"/>
      <c r="G165" s="165"/>
      <c r="H165" s="99">
        <f>G165+'24'!H165</f>
        <v>0</v>
      </c>
      <c r="I165" s="165"/>
      <c r="J165" s="239">
        <f>H165/DAY(B2)</f>
        <v>0</v>
      </c>
    </row>
    <row r="166" spans="1:10" ht="29.25" x14ac:dyDescent="0.5">
      <c r="A166" s="246"/>
      <c r="B166" s="247"/>
      <c r="C166" s="247"/>
      <c r="D166" s="165"/>
      <c r="E166" s="165"/>
      <c r="F166" s="165"/>
      <c r="G166" s="165"/>
      <c r="H166" s="156"/>
      <c r="I166" s="165"/>
      <c r="J166" s="347"/>
    </row>
    <row r="167" spans="1:10" ht="21.75" customHeight="1" x14ac:dyDescent="0.5">
      <c r="A167" s="246"/>
      <c r="B167" s="247"/>
      <c r="C167" s="247"/>
      <c r="D167" s="165"/>
      <c r="E167" s="165"/>
      <c r="F167" s="165"/>
      <c r="G167" s="165"/>
      <c r="H167" s="156"/>
      <c r="I167" s="165"/>
      <c r="J167" s="347"/>
    </row>
    <row r="168" spans="1:10" ht="21.75" customHeight="1" x14ac:dyDescent="0.35">
      <c r="A168" s="738" t="s">
        <v>330</v>
      </c>
      <c r="B168" s="739"/>
      <c r="C168" s="739"/>
      <c r="D168" s="739"/>
      <c r="E168" s="739"/>
      <c r="F168" s="739"/>
      <c r="G168" s="739"/>
      <c r="H168" s="739"/>
      <c r="I168" s="739"/>
      <c r="J168" s="740"/>
    </row>
    <row r="169" spans="1:10" ht="21.75" customHeight="1" x14ac:dyDescent="0.5">
      <c r="A169" s="747"/>
      <c r="B169" s="748"/>
      <c r="C169" s="352"/>
      <c r="D169" s="228"/>
      <c r="E169" s="155"/>
      <c r="F169" s="155"/>
      <c r="G169" s="155"/>
      <c r="H169" s="156"/>
      <c r="I169" s="155"/>
      <c r="J169" s="178"/>
    </row>
    <row r="170" spans="1:10" ht="24.75" customHeight="1" x14ac:dyDescent="0.5">
      <c r="A170" s="743" t="s">
        <v>209</v>
      </c>
      <c r="B170" s="744"/>
      <c r="C170" s="353"/>
      <c r="D170" s="228" t="s">
        <v>142</v>
      </c>
      <c r="E170" s="95">
        <f>'24'!F170</f>
        <v>7961</v>
      </c>
      <c r="F170" s="155">
        <v>7961</v>
      </c>
      <c r="G170" s="155">
        <f>F170-E170</f>
        <v>0</v>
      </c>
      <c r="H170" s="99">
        <f>G170+'24'!H170</f>
        <v>129</v>
      </c>
      <c r="I170" s="155"/>
      <c r="J170" s="178">
        <f>H170/DAY(B2)</f>
        <v>5.16</v>
      </c>
    </row>
    <row r="171" spans="1:10" ht="27.75" customHeight="1" x14ac:dyDescent="0.5">
      <c r="A171" s="743" t="s">
        <v>75</v>
      </c>
      <c r="B171" s="744"/>
      <c r="C171" s="353"/>
      <c r="D171" s="228" t="s">
        <v>142</v>
      </c>
      <c r="E171" s="95">
        <f>'24'!F171</f>
        <v>36765</v>
      </c>
      <c r="F171" s="157">
        <v>36765</v>
      </c>
      <c r="G171" s="155">
        <f t="shared" ref="G171:G172" si="14">F171-E171</f>
        <v>0</v>
      </c>
      <c r="H171" s="99">
        <f>G171+'24'!H171</f>
        <v>-332</v>
      </c>
      <c r="I171" s="155"/>
      <c r="J171" s="178">
        <f>H171/DAY(B2)</f>
        <v>-13.28</v>
      </c>
    </row>
    <row r="172" spans="1:10" ht="21.75" customHeight="1" x14ac:dyDescent="0.5">
      <c r="A172" s="743" t="s">
        <v>76</v>
      </c>
      <c r="B172" s="783"/>
      <c r="C172" s="744"/>
      <c r="D172" s="228" t="s">
        <v>142</v>
      </c>
      <c r="E172" s="95">
        <f>'24'!F172</f>
        <v>20214</v>
      </c>
      <c r="F172" s="155">
        <v>20214</v>
      </c>
      <c r="G172" s="155">
        <f t="shared" si="14"/>
        <v>0</v>
      </c>
      <c r="H172" s="99">
        <f>G172+'24'!H172</f>
        <v>-687</v>
      </c>
      <c r="I172" s="155"/>
      <c r="J172" s="178">
        <f>H172/DAY(B2)</f>
        <v>-27.48</v>
      </c>
    </row>
    <row r="173" spans="1:10" ht="23.25" customHeight="1" x14ac:dyDescent="0.5">
      <c r="A173" s="732" t="s">
        <v>196</v>
      </c>
      <c r="B173" s="733"/>
      <c r="C173" s="611"/>
      <c r="D173" s="228" t="s">
        <v>142</v>
      </c>
      <c r="E173" s="95"/>
      <c r="F173" s="155"/>
      <c r="G173" s="155">
        <f>SUM(G170:G172)</f>
        <v>0</v>
      </c>
      <c r="H173" s="99">
        <f>G173+'24'!H173</f>
        <v>-890</v>
      </c>
      <c r="I173" s="155"/>
      <c r="J173" s="178">
        <f>H173/DAY(B2)</f>
        <v>-35.6</v>
      </c>
    </row>
    <row r="174" spans="1:10" ht="21.75" customHeight="1" x14ac:dyDescent="0.5">
      <c r="A174" s="743" t="s">
        <v>77</v>
      </c>
      <c r="B174" s="744"/>
      <c r="C174" s="353"/>
      <c r="D174" s="228" t="s">
        <v>142</v>
      </c>
      <c r="E174" s="95"/>
      <c r="F174" s="155"/>
      <c r="G174" s="155"/>
      <c r="H174" s="99">
        <f>G174+'24'!H174</f>
        <v>0</v>
      </c>
      <c r="I174" s="155"/>
      <c r="J174" s="178">
        <f>H174/DAY(B2)</f>
        <v>0</v>
      </c>
    </row>
    <row r="175" spans="1:10" ht="27.75" x14ac:dyDescent="0.5">
      <c r="A175" s="743" t="s">
        <v>210</v>
      </c>
      <c r="B175" s="744"/>
      <c r="C175" s="353"/>
      <c r="D175" s="228" t="s">
        <v>142</v>
      </c>
      <c r="E175" s="95">
        <f>'24'!F175</f>
        <v>69524</v>
      </c>
      <c r="F175" s="155">
        <v>69524</v>
      </c>
      <c r="G175" s="155">
        <f>F175-E175</f>
        <v>0</v>
      </c>
      <c r="H175" s="99">
        <f>G175+'24'!H175</f>
        <v>-6303</v>
      </c>
      <c r="I175" s="155"/>
      <c r="J175" s="178">
        <f>H175/DAY(B2)</f>
        <v>-252.12</v>
      </c>
    </row>
    <row r="176" spans="1:10" ht="24" customHeight="1" x14ac:dyDescent="0.5">
      <c r="A176" s="743" t="s">
        <v>211</v>
      </c>
      <c r="B176" s="744"/>
      <c r="C176" s="353"/>
      <c r="D176" s="228" t="s">
        <v>142</v>
      </c>
      <c r="E176" s="95">
        <f>'24'!F176</f>
        <v>33886</v>
      </c>
      <c r="F176" s="155">
        <v>33886</v>
      </c>
      <c r="G176" s="155">
        <f t="shared" ref="G176:G177" si="15">F176-E176</f>
        <v>0</v>
      </c>
      <c r="H176" s="99">
        <f>G176+'24'!H176</f>
        <v>0</v>
      </c>
      <c r="I176" s="155"/>
      <c r="J176" s="178">
        <f>H176/DAY(B2)</f>
        <v>0</v>
      </c>
    </row>
    <row r="177" spans="1:10" ht="27.75" x14ac:dyDescent="0.5">
      <c r="A177" s="743" t="s">
        <v>212</v>
      </c>
      <c r="B177" s="744"/>
      <c r="C177" s="353"/>
      <c r="D177" s="228" t="s">
        <v>142</v>
      </c>
      <c r="E177" s="95">
        <f>'24'!F177</f>
        <v>4788</v>
      </c>
      <c r="F177" s="155">
        <v>4788</v>
      </c>
      <c r="G177" s="155">
        <f t="shared" si="15"/>
        <v>0</v>
      </c>
      <c r="H177" s="99">
        <f>G177+'24'!H177</f>
        <v>-3190</v>
      </c>
      <c r="I177" s="155"/>
      <c r="J177" s="178">
        <f>H177/DAY(B2)</f>
        <v>-127.6</v>
      </c>
    </row>
    <row r="178" spans="1:10" ht="27.75" x14ac:dyDescent="0.5">
      <c r="A178" s="745" t="s">
        <v>108</v>
      </c>
      <c r="B178" s="746"/>
      <c r="C178" s="611"/>
      <c r="D178" s="228" t="s">
        <v>142</v>
      </c>
      <c r="E178" s="95"/>
      <c r="F178" s="155"/>
      <c r="G178" s="155">
        <f>SUM(G175:G177)</f>
        <v>0</v>
      </c>
      <c r="H178" s="99">
        <f>G178+'24'!H178</f>
        <v>-9493</v>
      </c>
      <c r="I178" s="155"/>
      <c r="J178" s="178">
        <f>H178/DAY(B2)</f>
        <v>-379.72</v>
      </c>
    </row>
    <row r="179" spans="1:10" ht="27.75" x14ac:dyDescent="0.5">
      <c r="A179" s="743" t="s">
        <v>213</v>
      </c>
      <c r="B179" s="744"/>
      <c r="C179" s="353"/>
      <c r="D179" s="228" t="s">
        <v>142</v>
      </c>
      <c r="E179" s="95"/>
      <c r="F179" s="155"/>
      <c r="G179" s="155"/>
      <c r="H179" s="99">
        <f>G179+'24'!H179</f>
        <v>0</v>
      </c>
      <c r="I179" s="155"/>
      <c r="J179" s="178">
        <f>H179/DAY(B2)</f>
        <v>0</v>
      </c>
    </row>
    <row r="180" spans="1:10" ht="27.75" x14ac:dyDescent="0.5">
      <c r="A180" s="743" t="s">
        <v>214</v>
      </c>
      <c r="B180" s="744"/>
      <c r="C180" s="354"/>
      <c r="D180" s="228" t="s">
        <v>142</v>
      </c>
      <c r="E180" s="95">
        <f>'24'!F180</f>
        <v>13038</v>
      </c>
      <c r="F180" s="157">
        <v>13038</v>
      </c>
      <c r="G180" s="157">
        <f>F180-E180</f>
        <v>0</v>
      </c>
      <c r="H180" s="99">
        <f>G180+'24'!H180</f>
        <v>-1253</v>
      </c>
      <c r="I180" s="155"/>
      <c r="J180" s="178">
        <f>H180/DAY(B2)</f>
        <v>-50.12</v>
      </c>
    </row>
    <row r="181" spans="1:10" ht="30.75" customHeight="1" x14ac:dyDescent="0.5">
      <c r="A181" s="743" t="s">
        <v>215</v>
      </c>
      <c r="B181" s="744"/>
      <c r="C181" s="354"/>
      <c r="D181" s="228" t="s">
        <v>142</v>
      </c>
      <c r="E181" s="95">
        <f>'24'!F181</f>
        <v>9126</v>
      </c>
      <c r="F181" s="157">
        <v>9126</v>
      </c>
      <c r="G181" s="157">
        <f t="shared" ref="G181:G182" si="16">F181-E181</f>
        <v>0</v>
      </c>
      <c r="H181" s="99">
        <f>G181+'24'!H181</f>
        <v>-794</v>
      </c>
      <c r="I181" s="155"/>
      <c r="J181" s="178">
        <f>H181/DAY(B2)</f>
        <v>-31.76</v>
      </c>
    </row>
    <row r="182" spans="1:10" ht="23.25" customHeight="1" x14ac:dyDescent="0.5">
      <c r="A182" s="743" t="s">
        <v>216</v>
      </c>
      <c r="B182" s="744"/>
      <c r="C182" s="354"/>
      <c r="D182" s="228" t="s">
        <v>142</v>
      </c>
      <c r="E182" s="95">
        <f>'24'!F182</f>
        <v>0</v>
      </c>
      <c r="F182" s="157"/>
      <c r="G182" s="157">
        <f t="shared" si="16"/>
        <v>0</v>
      </c>
      <c r="H182" s="99">
        <f>G182+'24'!H182</f>
        <v>0</v>
      </c>
      <c r="I182" s="155"/>
      <c r="J182" s="178">
        <f>H182/DAY(B2)</f>
        <v>0</v>
      </c>
    </row>
    <row r="183" spans="1:10" ht="27.75" x14ac:dyDescent="0.5">
      <c r="A183" s="732" t="s">
        <v>196</v>
      </c>
      <c r="B183" s="733"/>
      <c r="C183" s="610"/>
      <c r="D183" s="228" t="s">
        <v>142</v>
      </c>
      <c r="E183" s="95"/>
      <c r="F183" s="157"/>
      <c r="G183" s="157">
        <f>SUM(G180:G182)</f>
        <v>0</v>
      </c>
      <c r="H183" s="99">
        <f>G183+'24'!H183</f>
        <v>-2047</v>
      </c>
      <c r="I183" s="157"/>
      <c r="J183" s="178">
        <f>H183/DAY(B2)</f>
        <v>-81.88</v>
      </c>
    </row>
    <row r="184" spans="1:10" ht="27.75" x14ac:dyDescent="0.5">
      <c r="A184" s="734" t="s">
        <v>217</v>
      </c>
      <c r="B184" s="735"/>
      <c r="C184" s="353"/>
      <c r="D184" s="228" t="s">
        <v>142</v>
      </c>
      <c r="E184" s="95">
        <f>'24'!F184</f>
        <v>0</v>
      </c>
      <c r="F184" s="159"/>
      <c r="G184" s="588">
        <f>G62+G19</f>
        <v>60</v>
      </c>
      <c r="H184" s="99">
        <f>G184+'24'!H184</f>
        <v>-6182</v>
      </c>
      <c r="I184" s="158"/>
      <c r="J184" s="179">
        <f>H184/DAY(B2)</f>
        <v>-247.28</v>
      </c>
    </row>
    <row r="185" spans="1:10" ht="27.75" x14ac:dyDescent="0.5">
      <c r="A185" s="734" t="s">
        <v>218</v>
      </c>
      <c r="B185" s="735"/>
      <c r="C185" s="353"/>
      <c r="D185" s="230" t="s">
        <v>142</v>
      </c>
      <c r="E185" s="95">
        <f>'24'!F185</f>
        <v>0</v>
      </c>
      <c r="F185" s="159"/>
      <c r="G185" s="588">
        <f>G65+G66+G67+G69+G70</f>
        <v>0</v>
      </c>
      <c r="H185" s="99">
        <f>G185+'24'!H185</f>
        <v>-14514</v>
      </c>
      <c r="I185" s="158"/>
      <c r="J185" s="179">
        <f>H185/DAY(B2)</f>
        <v>-580.55999999999995</v>
      </c>
    </row>
    <row r="186" spans="1:10" ht="27.75" x14ac:dyDescent="0.5">
      <c r="A186" s="734" t="s">
        <v>219</v>
      </c>
      <c r="B186" s="735"/>
      <c r="C186" s="353"/>
      <c r="D186" s="230" t="s">
        <v>142</v>
      </c>
      <c r="E186" s="95">
        <f>'24'!F186</f>
        <v>0</v>
      </c>
      <c r="F186" s="157"/>
      <c r="G186" s="585">
        <f>G178</f>
        <v>0</v>
      </c>
      <c r="H186" s="99">
        <f>G186+'24'!H186</f>
        <v>-7040</v>
      </c>
      <c r="I186" s="158"/>
      <c r="J186" s="179">
        <f>H186/DAY(B2)</f>
        <v>-281.60000000000002</v>
      </c>
    </row>
    <row r="187" spans="1:10" ht="27.75" x14ac:dyDescent="0.5">
      <c r="A187" s="741"/>
      <c r="B187" s="742"/>
      <c r="C187" s="609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1"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72:C172"/>
    <mergeCell ref="A174:B174"/>
    <mergeCell ref="A175:B175"/>
    <mergeCell ref="A176:B176"/>
    <mergeCell ref="A177:B177"/>
    <mergeCell ref="A181:B181"/>
    <mergeCell ref="A178:B178"/>
    <mergeCell ref="A180:B180"/>
    <mergeCell ref="A179:B179"/>
    <mergeCell ref="A182:B182"/>
  </mergeCells>
  <pageMargins left="0.22" right="0.17" top="0.14000000000000001" bottom="0.2" header="0.2" footer="0.2"/>
  <pageSetup paperSize="5" scale="1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698"/>
  <sheetViews>
    <sheetView view="pageBreakPreview" topLeftCell="A148" zoomScale="60" workbookViewId="0">
      <selection activeCell="A173" sqref="A173:C17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160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 x14ac:dyDescent="0.65">
      <c r="A1" s="789" t="s">
        <v>115</v>
      </c>
      <c r="B1" s="790"/>
      <c r="C1" s="790"/>
      <c r="D1" s="790"/>
      <c r="E1" s="790"/>
      <c r="F1" s="790"/>
      <c r="G1" s="790"/>
      <c r="H1" s="790"/>
      <c r="I1" s="790"/>
      <c r="J1" s="791"/>
    </row>
    <row r="2" spans="1:15" s="57" customFormat="1" ht="30.75" customHeight="1" x14ac:dyDescent="0.5">
      <c r="A2" s="191" t="s">
        <v>303</v>
      </c>
      <c r="B2" s="266">
        <v>44495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0.100000000000001" customHeight="1" x14ac:dyDescent="0.5">
      <c r="A3" s="189"/>
      <c r="B3" s="221"/>
      <c r="C3" s="368" t="s">
        <v>118</v>
      </c>
      <c r="D3" s="219">
        <v>28</v>
      </c>
      <c r="E3" s="798" t="s">
        <v>119</v>
      </c>
      <c r="F3" s="799"/>
      <c r="G3" s="101"/>
      <c r="H3" s="102"/>
      <c r="I3" s="102"/>
      <c r="J3" s="222"/>
      <c r="K3" s="61"/>
      <c r="L3" s="58"/>
    </row>
    <row r="4" spans="1:15" s="57" customFormat="1" ht="20.100000000000001" customHeight="1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2.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0.100000000000001" customHeight="1" x14ac:dyDescent="0.4">
      <c r="A6" s="792" t="s">
        <v>128</v>
      </c>
      <c r="B6" s="793"/>
      <c r="C6" s="79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5.5" customHeight="1" thickBot="1" x14ac:dyDescent="0.45">
      <c r="A7" s="194" t="s">
        <v>129</v>
      </c>
      <c r="B7" s="195"/>
      <c r="C7" s="195"/>
      <c r="D7" s="151" t="s">
        <v>130</v>
      </c>
      <c r="E7" s="95">
        <f>'25'!F7</f>
        <v>524179.47</v>
      </c>
      <c r="F7" s="95">
        <f>E7+23000</f>
        <v>547179.47</v>
      </c>
      <c r="G7" s="112">
        <f>F7-E7</f>
        <v>23000</v>
      </c>
      <c r="H7" s="99">
        <f>G7+'25'!H7</f>
        <v>602937.06999999983</v>
      </c>
      <c r="I7" s="113">
        <f>'1'!I7</f>
        <v>12000</v>
      </c>
      <c r="J7" s="175">
        <f>H7/DAY(B2)</f>
        <v>23189.887307692301</v>
      </c>
      <c r="K7" s="172">
        <v>1375467</v>
      </c>
      <c r="L7" s="66"/>
      <c r="N7" s="87"/>
      <c r="O7" s="71"/>
    </row>
    <row r="8" spans="1:15" ht="20.100000000000001" customHeight="1" thickBot="1" x14ac:dyDescent="0.45">
      <c r="A8" s="196" t="s">
        <v>131</v>
      </c>
      <c r="B8" s="197"/>
      <c r="C8" s="198"/>
      <c r="D8" s="224" t="s">
        <v>24</v>
      </c>
      <c r="E8" s="95">
        <f>'25'!F8</f>
        <v>544879.75</v>
      </c>
      <c r="F8" s="114">
        <f>E8+23050</f>
        <v>567929.75</v>
      </c>
      <c r="G8" s="115">
        <f>F8-E8</f>
        <v>23050</v>
      </c>
      <c r="H8" s="99">
        <f>G8+'25'!H8</f>
        <v>609262.75</v>
      </c>
      <c r="I8" s="116"/>
      <c r="J8" s="175">
        <f>H8/DAY(B2)</f>
        <v>23433.182692307691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0.100000000000001" customHeight="1" x14ac:dyDescent="0.4">
      <c r="A9" s="199" t="s">
        <v>132</v>
      </c>
      <c r="B9" s="200"/>
      <c r="C9" s="200"/>
      <c r="D9" s="151" t="s">
        <v>130</v>
      </c>
      <c r="E9" s="95">
        <f>'25'!F9</f>
        <v>1207976.8999999999</v>
      </c>
      <c r="F9" s="117">
        <f>E9+23000</f>
        <v>1230976.8999999999</v>
      </c>
      <c r="G9" s="112">
        <f>F9-E9</f>
        <v>23000</v>
      </c>
      <c r="H9" s="99">
        <f>G9+'25'!H9</f>
        <v>523186.89999999979</v>
      </c>
      <c r="I9" s="124">
        <f>I7-J7</f>
        <v>-11189.887307692301</v>
      </c>
      <c r="J9" s="175">
        <f>H9/DAY(B2)</f>
        <v>20122.573076923069</v>
      </c>
      <c r="K9" s="79">
        <f>K8-100</f>
        <v>1715817</v>
      </c>
      <c r="L9" s="66"/>
      <c r="N9" s="87"/>
      <c r="O9" s="71"/>
    </row>
    <row r="10" spans="1:15" ht="20.100000000000001" customHeight="1" x14ac:dyDescent="0.4">
      <c r="A10" s="194" t="s">
        <v>133</v>
      </c>
      <c r="B10" s="195"/>
      <c r="C10" s="195"/>
      <c r="D10" s="151" t="s">
        <v>130</v>
      </c>
      <c r="E10" s="95">
        <f>'25'!F10</f>
        <v>2607</v>
      </c>
      <c r="F10" s="117">
        <v>2607</v>
      </c>
      <c r="G10" s="112">
        <f t="shared" ref="G10:G12" si="0">F10-E10</f>
        <v>0</v>
      </c>
      <c r="H10" s="99">
        <f>G10+'25'!H10</f>
        <v>-57966</v>
      </c>
      <c r="I10" s="286"/>
      <c r="J10" s="175">
        <f>H10/DAY(B2)</f>
        <v>-2229.4615384615386</v>
      </c>
      <c r="K10" s="79"/>
      <c r="L10" s="66"/>
      <c r="N10" s="87"/>
      <c r="O10" s="71"/>
    </row>
    <row r="11" spans="1:15" ht="20.100000000000001" customHeight="1" x14ac:dyDescent="0.4">
      <c r="A11" s="194" t="s">
        <v>134</v>
      </c>
      <c r="B11" s="195"/>
      <c r="C11" s="195"/>
      <c r="D11" s="151" t="s">
        <v>130</v>
      </c>
      <c r="E11" s="95">
        <f>'25'!F11</f>
        <v>37000</v>
      </c>
      <c r="F11" s="95">
        <v>37000</v>
      </c>
      <c r="G11" s="112">
        <f t="shared" si="0"/>
        <v>0</v>
      </c>
      <c r="H11" s="99">
        <f>G11+'25'!H11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0.100000000000001" customHeight="1" x14ac:dyDescent="0.4">
      <c r="A12" s="194" t="s">
        <v>135</v>
      </c>
      <c r="B12" s="195"/>
      <c r="C12" s="195"/>
      <c r="D12" s="151" t="s">
        <v>130</v>
      </c>
      <c r="E12" s="95">
        <f>'25'!F12</f>
        <v>40010</v>
      </c>
      <c r="F12" s="117">
        <v>40010</v>
      </c>
      <c r="G12" s="112">
        <f t="shared" si="0"/>
        <v>0</v>
      </c>
      <c r="H12" s="99">
        <f>G12+'25'!H12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0.100000000000001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23000</v>
      </c>
      <c r="H13" s="99">
        <f>G13+'25'!H13</f>
        <v>443675.14999999979</v>
      </c>
      <c r="I13" s="120">
        <f>G7-G13</f>
        <v>0</v>
      </c>
      <c r="J13" s="175">
        <f>H13/DAY(B2)</f>
        <v>17064.428846153838</v>
      </c>
      <c r="K13" s="79"/>
      <c r="L13" s="66"/>
      <c r="N13" s="87"/>
      <c r="O13" s="71"/>
    </row>
    <row r="14" spans="1:15" ht="28.5" customHeight="1" x14ac:dyDescent="0.5">
      <c r="A14" s="795" t="s">
        <v>137</v>
      </c>
      <c r="B14" s="796"/>
      <c r="C14" s="79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'25'!F15</f>
        <v>1807242.8829999999</v>
      </c>
      <c r="F15" s="123">
        <f>E15+875</f>
        <v>1808117.8829999999</v>
      </c>
      <c r="G15" s="112">
        <f>(F15-E15)</f>
        <v>875</v>
      </c>
      <c r="H15" s="99">
        <f>G15+'25'!H15</f>
        <v>24784.882999999914</v>
      </c>
      <c r="I15" s="113">
        <f>'1'!I15</f>
        <v>800</v>
      </c>
      <c r="J15" s="175">
        <f>H15/DAY(B2)</f>
        <v>953.26473076922753</v>
      </c>
      <c r="K15" s="79"/>
      <c r="L15" s="66"/>
      <c r="N15" s="87"/>
      <c r="O15" s="71"/>
    </row>
    <row r="16" spans="1:15" ht="20.100000000000001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-153.26473076922753</v>
      </c>
      <c r="J16" s="176"/>
      <c r="K16" s="79"/>
      <c r="L16" s="66"/>
      <c r="N16" s="87"/>
      <c r="O16" s="71"/>
    </row>
    <row r="17" spans="1:15" ht="20.100000000000001" customHeight="1" x14ac:dyDescent="0.5">
      <c r="A17" s="795" t="s">
        <v>140</v>
      </c>
      <c r="B17" s="796"/>
      <c r="C17" s="79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0.100000000000001" customHeight="1" x14ac:dyDescent="0.5">
      <c r="A18" s="771" t="s">
        <v>141</v>
      </c>
      <c r="B18" s="772"/>
      <c r="C18" s="773"/>
      <c r="D18" s="151" t="s">
        <v>142</v>
      </c>
      <c r="E18" s="95">
        <f>'25'!F18</f>
        <v>14</v>
      </c>
      <c r="F18" s="122">
        <v>14</v>
      </c>
      <c r="G18" s="119">
        <f>F18*10</f>
        <v>140</v>
      </c>
      <c r="H18" s="99">
        <f>G18+'25'!H18</f>
        <v>4580</v>
      </c>
      <c r="I18" s="113">
        <f>'1'!I18</f>
        <v>65</v>
      </c>
      <c r="J18" s="175">
        <f>H18/DAY(B2)</f>
        <v>176.15384615384616</v>
      </c>
      <c r="K18" s="79"/>
      <c r="L18" s="66"/>
      <c r="N18" s="87"/>
      <c r="O18" s="71"/>
    </row>
    <row r="19" spans="1:15" ht="20.100000000000001" customHeight="1" x14ac:dyDescent="0.5">
      <c r="A19" s="771" t="s">
        <v>69</v>
      </c>
      <c r="B19" s="772"/>
      <c r="C19" s="773"/>
      <c r="D19" s="151" t="s">
        <v>142</v>
      </c>
      <c r="E19" s="95">
        <f>'25'!F19</f>
        <v>148525</v>
      </c>
      <c r="F19" s="122">
        <f>E19+60</f>
        <v>148585</v>
      </c>
      <c r="G19" s="112">
        <f t="shared" ref="G19" si="1">F19-E19</f>
        <v>60</v>
      </c>
      <c r="H19" s="99">
        <f>G19+'25'!H19</f>
        <v>1533</v>
      </c>
      <c r="I19" s="355"/>
      <c r="J19" s="175">
        <f>H19/DAY(B2)</f>
        <v>58.96153846153846</v>
      </c>
      <c r="K19" s="79"/>
      <c r="L19" s="66"/>
      <c r="N19" s="87"/>
      <c r="O19" s="71"/>
    </row>
    <row r="20" spans="1:15" ht="20.100000000000001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200</v>
      </c>
      <c r="H20" s="99">
        <f>G20+'25'!H20</f>
        <v>6113</v>
      </c>
      <c r="I20" s="356">
        <f>I18-J20</f>
        <v>-170.11538461538461</v>
      </c>
      <c r="J20" s="175">
        <f>H20/DAY(B2)</f>
        <v>235.11538461538461</v>
      </c>
      <c r="K20" s="79"/>
      <c r="L20" s="66"/>
      <c r="N20" s="87"/>
      <c r="O20" s="71"/>
    </row>
    <row r="21" spans="1:15" ht="20.100000000000001" customHeight="1" x14ac:dyDescent="0.5">
      <c r="A21" s="795" t="s">
        <v>144</v>
      </c>
      <c r="B21" s="796"/>
      <c r="C21" s="79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0.100000000000001" customHeight="1" x14ac:dyDescent="0.5">
      <c r="A22" s="36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119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0.100000000000001" customHeight="1" x14ac:dyDescent="0.5">
      <c r="A23" s="365" t="s">
        <v>147</v>
      </c>
      <c r="B23" s="205"/>
      <c r="C23" s="205"/>
      <c r="D23" s="151" t="s">
        <v>146</v>
      </c>
      <c r="E23" s="95">
        <f>'25'!F23</f>
        <v>2000</v>
      </c>
      <c r="F23" s="122">
        <v>2000</v>
      </c>
      <c r="G23" s="119">
        <v>0</v>
      </c>
      <c r="H23" s="99">
        <f>G23+'25'!H23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0.100000000000001" customHeight="1" x14ac:dyDescent="0.4">
      <c r="A24" s="206" t="s">
        <v>148</v>
      </c>
      <c r="B24" s="207"/>
      <c r="C24" s="207"/>
      <c r="D24" s="146" t="s">
        <v>146</v>
      </c>
      <c r="E24" s="95">
        <f>'25'!F24</f>
        <v>4970</v>
      </c>
      <c r="F24" s="128">
        <v>4970</v>
      </c>
      <c r="G24" s="119">
        <v>0</v>
      </c>
      <c r="H24" s="99">
        <f>G24+'25'!H24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18.75" customHeight="1" x14ac:dyDescent="0.35">
      <c r="A25" s="800" t="s">
        <v>149</v>
      </c>
      <c r="B25" s="801"/>
      <c r="C25" s="80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18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18.75" customHeight="1" x14ac:dyDescent="0.5">
      <c r="A27" s="208" t="s">
        <v>5</v>
      </c>
      <c r="B27" s="209"/>
      <c r="C27" s="210"/>
      <c r="D27" s="226" t="s">
        <v>24</v>
      </c>
      <c r="E27" s="135">
        <f>G8</f>
        <v>23050</v>
      </c>
      <c r="F27" s="136">
        <v>9</v>
      </c>
      <c r="G27" s="137">
        <f>E27*F27</f>
        <v>207450</v>
      </c>
      <c r="H27" s="99">
        <f>G27+'25'!H27</f>
        <v>5483364.75</v>
      </c>
      <c r="I27" s="138"/>
      <c r="J27" s="175">
        <f>H27/DAY(B2)</f>
        <v>210898.64423076922</v>
      </c>
      <c r="K27" s="63"/>
      <c r="L27" s="89"/>
      <c r="N27" s="87"/>
      <c r="O27" s="71"/>
    </row>
    <row r="28" spans="1:15" s="88" customFormat="1" ht="18.75" customHeight="1" x14ac:dyDescent="0.5">
      <c r="A28" s="208" t="s">
        <v>152</v>
      </c>
      <c r="B28" s="209"/>
      <c r="C28" s="210"/>
      <c r="D28" s="226" t="s">
        <v>153</v>
      </c>
      <c r="E28" s="139">
        <f>G15</f>
        <v>875</v>
      </c>
      <c r="F28" s="136">
        <v>52</v>
      </c>
      <c r="G28" s="137">
        <f>E28*F28</f>
        <v>45500</v>
      </c>
      <c r="H28" s="99">
        <f>G28+'25'!H28</f>
        <v>1288813.9159999955</v>
      </c>
      <c r="I28" s="140"/>
      <c r="J28" s="175">
        <f>H28/DAY(B2)</f>
        <v>49569.765999999829</v>
      </c>
      <c r="K28" s="63"/>
      <c r="L28" s="89"/>
      <c r="N28" s="87"/>
      <c r="O28" s="71"/>
    </row>
    <row r="29" spans="1:15" s="88" customFormat="1" ht="18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18.75" customHeight="1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G30+'25'!H30</f>
        <v>223818</v>
      </c>
      <c r="I30" s="140"/>
      <c r="J30" s="175">
        <f>H30/DAY(B2)</f>
        <v>8608.3846153846152</v>
      </c>
      <c r="K30" s="63"/>
      <c r="L30" s="89"/>
      <c r="N30" s="87"/>
      <c r="O30" s="71"/>
    </row>
    <row r="31" spans="1:15" s="88" customFormat="1" ht="18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G31+'25'!H31</f>
        <v>366400</v>
      </c>
      <c r="I31" s="140"/>
      <c r="J31" s="175">
        <f>H31/DAY(B2)</f>
        <v>14092.307692307691</v>
      </c>
      <c r="K31" s="63"/>
      <c r="L31" s="89"/>
      <c r="N31" s="87"/>
      <c r="O31" s="71"/>
    </row>
    <row r="32" spans="1:15" s="88" customFormat="1" ht="18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272910</v>
      </c>
      <c r="H32" s="99">
        <f>G32+'25'!H32</f>
        <v>7362396.6659999955</v>
      </c>
      <c r="I32" s="144"/>
      <c r="J32" s="175">
        <f>H32/DAY(B2)</f>
        <v>283169.10253846139</v>
      </c>
      <c r="K32" s="63"/>
      <c r="L32" s="89"/>
      <c r="N32" s="87"/>
      <c r="O32" s="71"/>
    </row>
    <row r="33" spans="1:15" ht="20.100000000000001" customHeight="1" x14ac:dyDescent="0.35">
      <c r="A33" s="803" t="s">
        <v>331</v>
      </c>
      <c r="B33" s="804"/>
      <c r="C33" s="804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0.100000000000001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0.100000000000001" customHeight="1" x14ac:dyDescent="0.4">
      <c r="A35" s="194" t="s">
        <v>161</v>
      </c>
      <c r="B35" s="195"/>
      <c r="C35" s="195"/>
      <c r="D35" s="151" t="s">
        <v>130</v>
      </c>
      <c r="E35" s="95">
        <f>'25'!F35</f>
        <v>1058597</v>
      </c>
      <c r="F35" s="145">
        <v>1058597</v>
      </c>
      <c r="G35" s="112">
        <f t="shared" ref="G35:G46" si="3">F35-E35</f>
        <v>0</v>
      </c>
      <c r="H35" s="99">
        <f>G35+'25'!H35</f>
        <v>2111685.6</v>
      </c>
      <c r="I35" s="95"/>
      <c r="J35" s="175">
        <f>H35/DAY(B2)</f>
        <v>81218.676923076928</v>
      </c>
      <c r="K35" s="79"/>
      <c r="L35" s="66"/>
      <c r="N35" s="87"/>
      <c r="O35" s="71"/>
    </row>
    <row r="36" spans="1:15" ht="20.100000000000001" customHeight="1" x14ac:dyDescent="0.4">
      <c r="A36" s="194" t="s">
        <v>162</v>
      </c>
      <c r="B36" s="195"/>
      <c r="C36" s="195"/>
      <c r="D36" s="151" t="s">
        <v>130</v>
      </c>
      <c r="E36" s="95">
        <f>'25'!F36</f>
        <v>1833</v>
      </c>
      <c r="F36" s="145">
        <v>1833</v>
      </c>
      <c r="G36" s="112">
        <f t="shared" si="3"/>
        <v>0</v>
      </c>
      <c r="H36" s="99">
        <f>G36+'25'!H36</f>
        <v>-57914.1</v>
      </c>
      <c r="I36" s="95"/>
      <c r="J36" s="175">
        <f>H36/DAY(B2)</f>
        <v>-2227.4653846153847</v>
      </c>
      <c r="K36" s="79"/>
      <c r="L36" s="66"/>
      <c r="N36" s="87"/>
      <c r="O36" s="364"/>
    </row>
    <row r="37" spans="1:15" ht="20.100000000000001" customHeight="1" x14ac:dyDescent="0.4">
      <c r="A37" s="194" t="s">
        <v>163</v>
      </c>
      <c r="B37" s="195"/>
      <c r="C37" s="195"/>
      <c r="D37" s="151" t="s">
        <v>130</v>
      </c>
      <c r="E37" s="95">
        <f>'25'!F37</f>
        <v>2775</v>
      </c>
      <c r="F37" s="145">
        <v>2775</v>
      </c>
      <c r="G37" s="112">
        <f t="shared" si="3"/>
        <v>0</v>
      </c>
      <c r="H37" s="99">
        <f>G37+'25'!H37</f>
        <v>-131866.87</v>
      </c>
      <c r="I37" s="95"/>
      <c r="J37" s="175">
        <f>H37/DAY(B2)</f>
        <v>-5071.8026923076923</v>
      </c>
      <c r="K37" s="79"/>
      <c r="L37" s="66"/>
      <c r="N37" s="87"/>
      <c r="O37" s="234"/>
    </row>
    <row r="38" spans="1:15" ht="20.100000000000001" customHeight="1" x14ac:dyDescent="0.4">
      <c r="A38" s="194" t="s">
        <v>164</v>
      </c>
      <c r="B38" s="195"/>
      <c r="C38" s="195"/>
      <c r="D38" s="151" t="s">
        <v>130</v>
      </c>
      <c r="E38" s="95">
        <f>'25'!F38</f>
        <v>4823</v>
      </c>
      <c r="F38" s="108">
        <v>4823</v>
      </c>
      <c r="G38" s="112">
        <f t="shared" si="3"/>
        <v>0</v>
      </c>
      <c r="H38" s="99">
        <f>G38+'25'!H38</f>
        <v>-137077.6</v>
      </c>
      <c r="I38" s="95"/>
      <c r="J38" s="175">
        <f>H38/DAY(B2)</f>
        <v>-5272.2153846153851</v>
      </c>
      <c r="K38" s="79"/>
      <c r="L38" s="66"/>
      <c r="N38" s="87"/>
      <c r="O38" s="71"/>
    </row>
    <row r="39" spans="1:15" ht="20.100000000000001" customHeight="1" x14ac:dyDescent="0.4">
      <c r="A39" s="194" t="s">
        <v>165</v>
      </c>
      <c r="B39" s="195"/>
      <c r="C39" s="195"/>
      <c r="D39" s="151" t="s">
        <v>130</v>
      </c>
      <c r="E39" s="95">
        <f>'25'!F39</f>
        <v>637915</v>
      </c>
      <c r="F39" s="145">
        <v>637915</v>
      </c>
      <c r="G39" s="112">
        <f t="shared" si="3"/>
        <v>0</v>
      </c>
      <c r="H39" s="99">
        <f>G39+'25'!H39</f>
        <v>958234.97</v>
      </c>
      <c r="I39" s="95"/>
      <c r="J39" s="175">
        <f>H39/DAY(B2)</f>
        <v>36855.19115384615</v>
      </c>
      <c r="K39" s="79"/>
      <c r="L39" s="66"/>
      <c r="N39" s="87"/>
      <c r="O39" s="71"/>
    </row>
    <row r="40" spans="1:15" ht="20.100000000000001" customHeight="1" x14ac:dyDescent="0.4">
      <c r="A40" s="215" t="s">
        <v>166</v>
      </c>
      <c r="B40" s="216"/>
      <c r="C40" s="216"/>
      <c r="D40" s="151" t="s">
        <v>130</v>
      </c>
      <c r="E40" s="95">
        <f>'25'!F40</f>
        <v>34599</v>
      </c>
      <c r="F40" s="145">
        <v>34599</v>
      </c>
      <c r="G40" s="112">
        <f t="shared" si="3"/>
        <v>0</v>
      </c>
      <c r="H40" s="99">
        <f>G40+'25'!H40</f>
        <v>69191.77</v>
      </c>
      <c r="I40" s="95"/>
      <c r="J40" s="175">
        <f>H40/DAY(B2)</f>
        <v>2661.2219230769233</v>
      </c>
      <c r="K40" s="80"/>
      <c r="L40" s="66"/>
      <c r="N40" s="87"/>
      <c r="O40" s="71"/>
    </row>
    <row r="41" spans="1:15" ht="20.100000000000001" customHeight="1" x14ac:dyDescent="0.4">
      <c r="A41" s="194" t="s">
        <v>167</v>
      </c>
      <c r="B41" s="195"/>
      <c r="C41" s="195"/>
      <c r="D41" s="151" t="s">
        <v>130</v>
      </c>
      <c r="E41" s="95">
        <f>'25'!F41</f>
        <v>433281.79</v>
      </c>
      <c r="F41" s="145">
        <v>433281.79</v>
      </c>
      <c r="G41" s="112">
        <f t="shared" si="3"/>
        <v>0</v>
      </c>
      <c r="H41" s="99">
        <f>G41+'25'!H41</f>
        <v>-177234.68000000011</v>
      </c>
      <c r="I41" s="95"/>
      <c r="J41" s="175">
        <f>H41/DAY(B2)</f>
        <v>-6816.7184615384658</v>
      </c>
      <c r="K41" s="79"/>
      <c r="L41" s="66"/>
      <c r="N41" s="87"/>
      <c r="O41" s="71"/>
    </row>
    <row r="42" spans="1:15" ht="20.100000000000001" customHeight="1" x14ac:dyDescent="0.4">
      <c r="A42" s="194" t="s">
        <v>168</v>
      </c>
      <c r="B42" s="195"/>
      <c r="C42" s="195"/>
      <c r="D42" s="151" t="s">
        <v>130</v>
      </c>
      <c r="E42" s="95">
        <f>'25'!F42</f>
        <v>175112</v>
      </c>
      <c r="F42" s="145">
        <v>175112</v>
      </c>
      <c r="G42" s="112">
        <f t="shared" si="3"/>
        <v>0</v>
      </c>
      <c r="H42" s="99">
        <f>G42+'25'!H42</f>
        <v>-162623.49</v>
      </c>
      <c r="I42" s="95"/>
      <c r="J42" s="175">
        <f>H42/DAY(B2)</f>
        <v>-6254.749615384615</v>
      </c>
      <c r="K42" s="79"/>
      <c r="L42" s="66"/>
      <c r="N42" s="87"/>
      <c r="O42" s="71"/>
    </row>
    <row r="43" spans="1:15" ht="20.100000000000001" customHeight="1" x14ac:dyDescent="0.4">
      <c r="A43" s="194" t="s">
        <v>169</v>
      </c>
      <c r="B43" s="195"/>
      <c r="C43" s="195"/>
      <c r="D43" s="151" t="s">
        <v>130</v>
      </c>
      <c r="E43" s="95">
        <f>'25'!F43</f>
        <v>1289745</v>
      </c>
      <c r="F43" s="145">
        <v>1289745</v>
      </c>
      <c r="G43" s="112">
        <f t="shared" si="3"/>
        <v>0</v>
      </c>
      <c r="H43" s="99">
        <f>G43+'25'!H43</f>
        <v>-191251.19999999995</v>
      </c>
      <c r="I43" s="95"/>
      <c r="J43" s="175">
        <f>H43/DAY(B2)</f>
        <v>-7355.8153846153828</v>
      </c>
      <c r="K43" s="79"/>
      <c r="L43" s="66"/>
      <c r="N43" s="87"/>
      <c r="O43" s="71"/>
    </row>
    <row r="44" spans="1:15" ht="20.100000000000001" customHeight="1" x14ac:dyDescent="0.4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112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0.100000000000001" customHeight="1" x14ac:dyDescent="0.4">
      <c r="A45" s="194" t="s">
        <v>171</v>
      </c>
      <c r="B45" s="195"/>
      <c r="C45" s="195"/>
      <c r="D45" s="151" t="s">
        <v>130</v>
      </c>
      <c r="E45" s="95">
        <f>'25'!F45</f>
        <v>614</v>
      </c>
      <c r="F45" s="145">
        <v>614</v>
      </c>
      <c r="G45" s="112">
        <f t="shared" si="3"/>
        <v>0</v>
      </c>
      <c r="H45" s="99">
        <f>G45+'25'!H45</f>
        <v>1228</v>
      </c>
      <c r="I45" s="95"/>
      <c r="J45" s="175">
        <f>H45/DAY(B2)</f>
        <v>47.230769230769234</v>
      </c>
      <c r="K45" s="79"/>
      <c r="L45" s="66"/>
      <c r="N45" s="87"/>
      <c r="O45" s="71"/>
    </row>
    <row r="46" spans="1:15" ht="20.100000000000001" customHeight="1" x14ac:dyDescent="0.4">
      <c r="A46" s="194" t="s">
        <v>172</v>
      </c>
      <c r="B46" s="195"/>
      <c r="C46" s="195"/>
      <c r="D46" s="151" t="s">
        <v>130</v>
      </c>
      <c r="E46" s="95">
        <f>'25'!F46</f>
        <v>187</v>
      </c>
      <c r="F46" s="145">
        <v>187</v>
      </c>
      <c r="G46" s="112">
        <f t="shared" si="3"/>
        <v>0</v>
      </c>
      <c r="H46" s="99">
        <f>G46+'25'!H46</f>
        <v>374</v>
      </c>
      <c r="I46" s="95"/>
      <c r="J46" s="175">
        <f>H46/DAY(B2)</f>
        <v>14.384615384615385</v>
      </c>
      <c r="K46" s="79"/>
      <c r="L46" s="66"/>
      <c r="N46" s="87"/>
      <c r="O46" s="71"/>
    </row>
    <row r="47" spans="1:15" ht="20.100000000000001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0</v>
      </c>
      <c r="H47" s="99">
        <f>G47+'25'!H47</f>
        <v>2282746.4</v>
      </c>
      <c r="I47" s="95"/>
      <c r="J47" s="175">
        <f>H47/DAY(B2)</f>
        <v>87797.938461538462</v>
      </c>
      <c r="K47" s="79"/>
      <c r="L47" s="66"/>
      <c r="N47" s="87"/>
      <c r="O47" s="71"/>
    </row>
    <row r="48" spans="1:15" ht="20.100000000000001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0.100000000000001" customHeight="1" x14ac:dyDescent="0.4">
      <c r="A49" s="194" t="s">
        <v>161</v>
      </c>
      <c r="B49" s="217"/>
      <c r="C49" s="217"/>
      <c r="D49" s="151" t="s">
        <v>130</v>
      </c>
      <c r="E49" s="95">
        <f>'25'!F49</f>
        <v>419822</v>
      </c>
      <c r="F49" s="145">
        <v>419822</v>
      </c>
      <c r="G49" s="112">
        <f t="shared" ref="G49:G58" si="4">F49-E49</f>
        <v>0</v>
      </c>
      <c r="H49" s="99">
        <f>G49+'25'!H49</f>
        <v>596649.56000000006</v>
      </c>
      <c r="I49" s="95"/>
      <c r="J49" s="175">
        <f>H49/DAY(B2)</f>
        <v>22948.06</v>
      </c>
      <c r="K49" s="79"/>
      <c r="L49" s="66"/>
      <c r="N49" s="87"/>
      <c r="O49" s="71"/>
    </row>
    <row r="50" spans="1:15" ht="20.100000000000001" customHeight="1" x14ac:dyDescent="0.4">
      <c r="A50" s="194" t="s">
        <v>175</v>
      </c>
      <c r="B50" s="217"/>
      <c r="C50" s="217"/>
      <c r="D50" s="151" t="s">
        <v>130</v>
      </c>
      <c r="E50" s="95">
        <f>'25'!F50</f>
        <v>607298</v>
      </c>
      <c r="F50" s="145">
        <v>607298</v>
      </c>
      <c r="G50" s="112">
        <f t="shared" si="4"/>
        <v>0</v>
      </c>
      <c r="H50" s="99">
        <f>G50+'25'!H50</f>
        <v>-93045.949999999953</v>
      </c>
      <c r="I50" s="95"/>
      <c r="J50" s="175">
        <f>H50/DAY(B2)</f>
        <v>-3578.6903846153828</v>
      </c>
      <c r="K50" s="79"/>
      <c r="L50" s="66"/>
      <c r="N50" s="87"/>
      <c r="O50" s="71"/>
    </row>
    <row r="51" spans="1:15" ht="20.100000000000001" customHeight="1" x14ac:dyDescent="0.4">
      <c r="A51" s="194" t="s">
        <v>163</v>
      </c>
      <c r="B51" s="217"/>
      <c r="C51" s="217"/>
      <c r="D51" s="151" t="s">
        <v>130</v>
      </c>
      <c r="E51" s="95">
        <f>'25'!F51</f>
        <v>144640</v>
      </c>
      <c r="F51" s="145">
        <v>144640</v>
      </c>
      <c r="G51" s="112">
        <f t="shared" si="4"/>
        <v>0</v>
      </c>
      <c r="H51" s="99">
        <f>G51+'25'!H51</f>
        <v>289280</v>
      </c>
      <c r="I51" s="95"/>
      <c r="J51" s="175">
        <f>H51/DAY(B2)</f>
        <v>11126.153846153846</v>
      </c>
      <c r="K51" s="79"/>
      <c r="L51" s="66"/>
      <c r="N51" s="87"/>
      <c r="O51" s="71"/>
    </row>
    <row r="52" spans="1:15" ht="20.100000000000001" customHeight="1" x14ac:dyDescent="0.4">
      <c r="A52" s="194" t="s">
        <v>176</v>
      </c>
      <c r="B52" s="217"/>
      <c r="C52" s="217"/>
      <c r="D52" s="151" t="s">
        <v>130</v>
      </c>
      <c r="E52" s="95">
        <f>'25'!F52</f>
        <v>539606</v>
      </c>
      <c r="F52" s="145">
        <v>539606</v>
      </c>
      <c r="G52" s="112">
        <f t="shared" si="4"/>
        <v>0</v>
      </c>
      <c r="H52" s="99">
        <f>G52+'25'!H52</f>
        <v>1079212</v>
      </c>
      <c r="I52" s="95"/>
      <c r="J52" s="175">
        <f>H52/DAY(B2)</f>
        <v>41508.153846153844</v>
      </c>
      <c r="K52" s="79"/>
      <c r="L52" s="66"/>
      <c r="N52" s="87"/>
      <c r="O52" s="71"/>
    </row>
    <row r="53" spans="1:15" ht="20.100000000000001" customHeight="1" x14ac:dyDescent="0.4">
      <c r="A53" s="194" t="s">
        <v>165</v>
      </c>
      <c r="B53" s="217"/>
      <c r="C53" s="217"/>
      <c r="D53" s="151" t="s">
        <v>130</v>
      </c>
      <c r="E53" s="95">
        <f>'25'!F53</f>
        <v>434232</v>
      </c>
      <c r="F53" s="145">
        <v>434232</v>
      </c>
      <c r="G53" s="112">
        <f t="shared" si="4"/>
        <v>0</v>
      </c>
      <c r="H53" s="99">
        <f>G53+'25'!H53</f>
        <v>868464</v>
      </c>
      <c r="I53" s="95"/>
      <c r="J53" s="175">
        <f>H53/DAY(B2)</f>
        <v>33402.461538461539</v>
      </c>
      <c r="K53" s="79"/>
      <c r="L53" s="66"/>
      <c r="N53" s="87"/>
      <c r="O53" s="71"/>
    </row>
    <row r="54" spans="1:15" ht="20.100000000000001" customHeight="1" x14ac:dyDescent="0.4">
      <c r="A54" s="194" t="s">
        <v>177</v>
      </c>
      <c r="B54" s="217"/>
      <c r="C54" s="217"/>
      <c r="D54" s="151" t="s">
        <v>130</v>
      </c>
      <c r="E54" s="95">
        <f>'25'!F54</f>
        <v>14967</v>
      </c>
      <c r="F54" s="145">
        <v>14967</v>
      </c>
      <c r="G54" s="112">
        <f t="shared" si="4"/>
        <v>0</v>
      </c>
      <c r="H54" s="99">
        <f>G54+'25'!H54</f>
        <v>24399.77</v>
      </c>
      <c r="I54" s="95"/>
      <c r="J54" s="175">
        <f>H54/DAY(B2)</f>
        <v>938.45269230769236</v>
      </c>
      <c r="K54" s="79"/>
      <c r="L54" s="66"/>
      <c r="N54" s="87"/>
      <c r="O54" s="71"/>
    </row>
    <row r="55" spans="1:15" ht="20.100000000000001" customHeight="1" x14ac:dyDescent="0.4">
      <c r="A55" s="194" t="s">
        <v>178</v>
      </c>
      <c r="B55" s="217"/>
      <c r="C55" s="217"/>
      <c r="D55" s="151" t="s">
        <v>130</v>
      </c>
      <c r="E55" s="95">
        <f>'25'!F55</f>
        <v>306268.99</v>
      </c>
      <c r="F55" s="145">
        <v>306268.99</v>
      </c>
      <c r="G55" s="112">
        <f t="shared" si="4"/>
        <v>0</v>
      </c>
      <c r="H55" s="99">
        <f>G55+'25'!H55</f>
        <v>-2059.4899999999907</v>
      </c>
      <c r="I55" s="95"/>
      <c r="J55" s="175">
        <f>H55/DAY(B2)</f>
        <v>-79.211153846153493</v>
      </c>
      <c r="K55" s="79"/>
      <c r="L55" s="66"/>
      <c r="N55" s="87"/>
      <c r="O55" s="71"/>
    </row>
    <row r="56" spans="1:15" ht="20.100000000000001" customHeight="1" x14ac:dyDescent="0.4">
      <c r="A56" s="194" t="s">
        <v>179</v>
      </c>
      <c r="B56" s="217"/>
      <c r="C56" s="217"/>
      <c r="D56" s="151" t="s">
        <v>180</v>
      </c>
      <c r="E56" s="95">
        <f>'25'!F56</f>
        <v>661019</v>
      </c>
      <c r="F56" s="145">
        <v>661019</v>
      </c>
      <c r="G56" s="112">
        <f t="shared" si="4"/>
        <v>0</v>
      </c>
      <c r="H56" s="99">
        <f>G56+'25'!H56</f>
        <v>-194032.55000000005</v>
      </c>
      <c r="I56" s="95"/>
      <c r="J56" s="175">
        <f>H56/DAY(B2)</f>
        <v>-7462.7903846153868</v>
      </c>
      <c r="K56" s="78"/>
      <c r="L56" s="66"/>
      <c r="N56" s="87"/>
      <c r="O56" s="71"/>
    </row>
    <row r="57" spans="1:15" ht="20.100000000000001" customHeight="1" x14ac:dyDescent="0.4">
      <c r="A57" s="194" t="s">
        <v>169</v>
      </c>
      <c r="B57" s="217"/>
      <c r="C57" s="217"/>
      <c r="D57" s="151" t="s">
        <v>130</v>
      </c>
      <c r="E57" s="95">
        <f>'25'!F57</f>
        <v>7711</v>
      </c>
      <c r="F57" s="145">
        <v>7711</v>
      </c>
      <c r="G57" s="112">
        <f t="shared" si="4"/>
        <v>0</v>
      </c>
      <c r="H57" s="99">
        <f>G57+'25'!H57</f>
        <v>15422</v>
      </c>
      <c r="I57" s="95"/>
      <c r="J57" s="175">
        <f>H57/DAY(B2)</f>
        <v>593.15384615384619</v>
      </c>
      <c r="K57" s="79"/>
      <c r="L57" s="66"/>
      <c r="N57" s="87"/>
      <c r="O57" s="71"/>
    </row>
    <row r="58" spans="1:15" ht="20.100000000000001" customHeight="1" x14ac:dyDescent="0.4">
      <c r="A58" s="194" t="s">
        <v>181</v>
      </c>
      <c r="B58" s="217"/>
      <c r="C58" s="217"/>
      <c r="D58" s="151" t="s">
        <v>130</v>
      </c>
      <c r="E58" s="95">
        <f>'25'!F58</f>
        <v>66014</v>
      </c>
      <c r="F58" s="145">
        <v>66014</v>
      </c>
      <c r="G58" s="112">
        <f t="shared" si="4"/>
        <v>0</v>
      </c>
      <c r="H58" s="99">
        <f>G58+'25'!H58</f>
        <v>-16060.800000000003</v>
      </c>
      <c r="I58" s="95"/>
      <c r="J58" s="175">
        <f>H58/DAY(B2)</f>
        <v>-617.72307692307709</v>
      </c>
      <c r="K58" s="79"/>
      <c r="L58" s="66"/>
      <c r="N58" s="87"/>
      <c r="O58" s="71"/>
    </row>
    <row r="59" spans="1:15" ht="20.100000000000001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0</v>
      </c>
      <c r="H59" s="99">
        <f>G59+'25'!H59</f>
        <v>2568228.54</v>
      </c>
      <c r="I59" s="95">
        <f>G7-G60</f>
        <v>23000</v>
      </c>
      <c r="J59" s="175">
        <f>H59/DAY(B2)</f>
        <v>98778.020769230774</v>
      </c>
      <c r="K59" s="79"/>
      <c r="L59" s="66"/>
      <c r="N59" s="87"/>
      <c r="O59" s="71"/>
    </row>
    <row r="60" spans="1:15" ht="20.100000000000001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0</v>
      </c>
      <c r="H60" s="99">
        <f>G60+'25'!H60</f>
        <v>4850974.9399999995</v>
      </c>
      <c r="I60" s="95">
        <f>G13-G60</f>
        <v>23000</v>
      </c>
      <c r="J60" s="175">
        <f>H60/DAY(B2)</f>
        <v>186575.95923076922</v>
      </c>
      <c r="K60" s="79"/>
      <c r="L60" s="66"/>
      <c r="N60" s="87"/>
      <c r="O60" s="71"/>
    </row>
    <row r="61" spans="1:15" s="68" customFormat="1" ht="20.100000000000001" customHeight="1" x14ac:dyDescent="0.5">
      <c r="A61" s="805" t="s">
        <v>332</v>
      </c>
      <c r="B61" s="806"/>
      <c r="C61" s="807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0.100000000000001" customHeight="1" x14ac:dyDescent="0.5">
      <c r="A62" s="771" t="s">
        <v>198</v>
      </c>
      <c r="B62" s="772"/>
      <c r="C62" s="773"/>
      <c r="D62" s="151" t="s">
        <v>142</v>
      </c>
      <c r="E62" s="95">
        <f>'25'!F62</f>
        <v>253452</v>
      </c>
      <c r="F62" s="122">
        <v>253452</v>
      </c>
      <c r="G62" s="112">
        <f t="shared" ref="G62:G63" si="5">F62-E62</f>
        <v>0</v>
      </c>
      <c r="H62" s="99">
        <f>G62+'25'!H62</f>
        <v>-7655</v>
      </c>
      <c r="I62" s="118"/>
      <c r="J62" s="175">
        <f>H62/DAY(B2)</f>
        <v>-294.42307692307691</v>
      </c>
      <c r="K62" s="80"/>
      <c r="L62" s="66"/>
      <c r="N62" s="87"/>
      <c r="O62" s="71"/>
    </row>
    <row r="63" spans="1:15" ht="20.100000000000001" customHeight="1" x14ac:dyDescent="0.5">
      <c r="A63" s="771" t="s">
        <v>199</v>
      </c>
      <c r="B63" s="772"/>
      <c r="C63" s="773"/>
      <c r="D63" s="151" t="s">
        <v>142</v>
      </c>
      <c r="E63" s="95">
        <f>'25'!F63</f>
        <v>197659</v>
      </c>
      <c r="F63" s="122">
        <v>197659</v>
      </c>
      <c r="G63" s="112">
        <f t="shared" si="5"/>
        <v>0</v>
      </c>
      <c r="H63" s="99">
        <f>G63+'25'!H63</f>
        <v>-11970</v>
      </c>
      <c r="I63" s="118"/>
      <c r="J63" s="175">
        <f>H63/DAY(B2)</f>
        <v>-460.38461538461536</v>
      </c>
      <c r="K63" s="69"/>
      <c r="L63" s="66"/>
      <c r="N63" s="87"/>
      <c r="O63" s="71"/>
    </row>
    <row r="64" spans="1:15" ht="20.100000000000001" customHeight="1" x14ac:dyDescent="0.5">
      <c r="A64" s="780" t="s">
        <v>200</v>
      </c>
      <c r="B64" s="781"/>
      <c r="C64" s="782"/>
      <c r="D64" s="151"/>
      <c r="E64" s="95">
        <f>'25'!F64</f>
        <v>0</v>
      </c>
      <c r="F64" s="122"/>
      <c r="G64" s="112">
        <f>G62+G63</f>
        <v>0</v>
      </c>
      <c r="H64" s="99">
        <f>G64+'25'!H64</f>
        <v>-19625</v>
      </c>
      <c r="I64" s="118"/>
      <c r="J64" s="175">
        <f>H64/DAY(B2)</f>
        <v>-754.80769230769226</v>
      </c>
      <c r="K64" s="69"/>
      <c r="L64" s="66"/>
      <c r="N64" s="87"/>
      <c r="O64" s="71"/>
    </row>
    <row r="65" spans="1:15" ht="20.100000000000001" customHeight="1" x14ac:dyDescent="0.5">
      <c r="A65" s="771" t="s">
        <v>201</v>
      </c>
      <c r="B65" s="772"/>
      <c r="C65" s="773"/>
      <c r="D65" s="151" t="s">
        <v>142</v>
      </c>
      <c r="E65" s="95">
        <f>'25'!F65</f>
        <v>421019</v>
      </c>
      <c r="F65" s="122">
        <v>421019</v>
      </c>
      <c r="G65" s="112">
        <f t="shared" ref="G65:G70" si="6">F65-E65</f>
        <v>0</v>
      </c>
      <c r="H65" s="99">
        <f>G65+'25'!H65</f>
        <v>-6100</v>
      </c>
      <c r="I65" s="118"/>
      <c r="J65" s="175">
        <f>H65/DAY(B2)</f>
        <v>-234.61538461538461</v>
      </c>
      <c r="K65" s="69"/>
      <c r="L65" s="66"/>
      <c r="N65" s="87"/>
      <c r="O65" s="71"/>
    </row>
    <row r="66" spans="1:15" ht="20.100000000000001" customHeight="1" x14ac:dyDescent="0.5">
      <c r="A66" s="365" t="s">
        <v>202</v>
      </c>
      <c r="B66" s="366"/>
      <c r="C66" s="366"/>
      <c r="D66" s="151" t="s">
        <v>142</v>
      </c>
      <c r="E66" s="95">
        <f>'25'!F66</f>
        <v>104636</v>
      </c>
      <c r="F66" s="122">
        <v>104636</v>
      </c>
      <c r="G66" s="112">
        <f t="shared" si="6"/>
        <v>0</v>
      </c>
      <c r="H66" s="99">
        <f>G66+'25'!H66</f>
        <v>-1732</v>
      </c>
      <c r="I66" s="118"/>
      <c r="J66" s="175">
        <f>H66/DAY(B2)</f>
        <v>-66.615384615384613</v>
      </c>
      <c r="K66" s="78"/>
      <c r="L66" s="66"/>
      <c r="N66" s="87"/>
      <c r="O66" s="71"/>
    </row>
    <row r="67" spans="1:15" ht="20.100000000000001" customHeight="1" x14ac:dyDescent="0.5">
      <c r="A67" s="365" t="s">
        <v>203</v>
      </c>
      <c r="B67" s="366"/>
      <c r="C67" s="366"/>
      <c r="D67" s="151" t="s">
        <v>142</v>
      </c>
      <c r="E67" s="95">
        <f>'25'!F67</f>
        <v>100370</v>
      </c>
      <c r="F67" s="122">
        <v>100370</v>
      </c>
      <c r="G67" s="112">
        <f t="shared" si="6"/>
        <v>0</v>
      </c>
      <c r="H67" s="99">
        <f>G67+'25'!H67</f>
        <v>-2308</v>
      </c>
      <c r="I67" s="118"/>
      <c r="J67" s="175">
        <f>H67/DAY(B2)</f>
        <v>-88.769230769230774</v>
      </c>
      <c r="K67" s="81"/>
      <c r="L67" s="66"/>
      <c r="N67" s="87"/>
      <c r="O67" s="71"/>
    </row>
    <row r="68" spans="1:15" ht="20.100000000000001" customHeight="1" x14ac:dyDescent="0.5">
      <c r="A68" s="365" t="s">
        <v>204</v>
      </c>
      <c r="B68" s="366"/>
      <c r="C68" s="366"/>
      <c r="D68" s="151" t="s">
        <v>142</v>
      </c>
      <c r="E68" s="95">
        <f>'25'!F68</f>
        <v>152135</v>
      </c>
      <c r="F68" s="122">
        <v>152135</v>
      </c>
      <c r="G68" s="112">
        <f t="shared" si="6"/>
        <v>0</v>
      </c>
      <c r="H68" s="99">
        <f>G68+'25'!H68</f>
        <v>-2715</v>
      </c>
      <c r="I68" s="118"/>
      <c r="J68" s="175">
        <f>H68/DAY(B2)</f>
        <v>-104.42307692307692</v>
      </c>
      <c r="K68" s="69"/>
      <c r="L68" s="66"/>
      <c r="N68" s="87"/>
      <c r="O68" s="71"/>
    </row>
    <row r="69" spans="1:15" ht="20.100000000000001" customHeight="1" x14ac:dyDescent="0.5">
      <c r="A69" s="365" t="s">
        <v>205</v>
      </c>
      <c r="B69" s="366"/>
      <c r="C69" s="366"/>
      <c r="D69" s="151" t="s">
        <v>142</v>
      </c>
      <c r="E69" s="95">
        <f>'25'!F69</f>
        <v>8645</v>
      </c>
      <c r="F69" s="122">
        <v>8645</v>
      </c>
      <c r="G69" s="112">
        <f t="shared" si="6"/>
        <v>0</v>
      </c>
      <c r="H69" s="99">
        <f>G69+'25'!H69</f>
        <v>-1032</v>
      </c>
      <c r="I69" s="118"/>
      <c r="J69" s="175">
        <f>H69/DAY(B2)</f>
        <v>-39.692307692307693</v>
      </c>
      <c r="K69" s="69"/>
      <c r="L69" s="66"/>
      <c r="N69" s="87"/>
      <c r="O69" s="71"/>
    </row>
    <row r="70" spans="1:15" ht="20.100000000000001" customHeight="1" x14ac:dyDescent="0.5">
      <c r="A70" s="365" t="s">
        <v>206</v>
      </c>
      <c r="B70" s="366"/>
      <c r="C70" s="366"/>
      <c r="D70" s="151" t="s">
        <v>142</v>
      </c>
      <c r="E70" s="95">
        <f>'25'!F70</f>
        <v>6373</v>
      </c>
      <c r="F70" s="122">
        <v>6373</v>
      </c>
      <c r="G70" s="112">
        <f t="shared" si="6"/>
        <v>0</v>
      </c>
      <c r="H70" s="99">
        <f>G70+'25'!H70</f>
        <v>-1059</v>
      </c>
      <c r="I70" s="118"/>
      <c r="J70" s="175">
        <f>H70/DAY(B2)</f>
        <v>-40.730769230769234</v>
      </c>
      <c r="K70" s="69"/>
      <c r="L70" s="66"/>
      <c r="N70" s="87"/>
      <c r="O70" s="71"/>
    </row>
    <row r="71" spans="1:15" ht="20.100000000000001" customHeight="1" x14ac:dyDescent="0.5">
      <c r="A71" s="780" t="s">
        <v>208</v>
      </c>
      <c r="B71" s="781"/>
      <c r="C71" s="782"/>
      <c r="D71" s="152"/>
      <c r="E71" s="152"/>
      <c r="F71" s="152"/>
      <c r="G71" s="153">
        <f>SUM(G65:G70)</f>
        <v>0</v>
      </c>
      <c r="H71" s="99">
        <f>G71+'25'!H71</f>
        <v>-14946</v>
      </c>
      <c r="I71" s="154"/>
      <c r="J71" s="175">
        <f>H71/DAY(B2)</f>
        <v>-574.84615384615381</v>
      </c>
      <c r="K71" s="69"/>
      <c r="L71" s="66"/>
      <c r="N71" s="87"/>
      <c r="O71" s="71"/>
    </row>
    <row r="72" spans="1:15" s="88" customFormat="1" ht="20.100000000000001" customHeight="1" x14ac:dyDescent="0.5">
      <c r="A72" s="767"/>
      <c r="B72" s="752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0.100000000000001" customHeight="1" x14ac:dyDescent="0.5">
      <c r="A73" s="777" t="s">
        <v>333</v>
      </c>
      <c r="B73" s="778"/>
      <c r="C73" s="779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0.100000000000001" customHeight="1" x14ac:dyDescent="0.5">
      <c r="A74" s="771" t="s">
        <v>220</v>
      </c>
      <c r="B74" s="772"/>
      <c r="C74" s="773"/>
      <c r="D74" s="151" t="s">
        <v>139</v>
      </c>
      <c r="E74" s="95">
        <f>'25'!F74</f>
        <v>856352</v>
      </c>
      <c r="F74" s="123">
        <v>856352</v>
      </c>
      <c r="G74" s="112">
        <f t="shared" ref="G74:G78" si="7">F74-E74</f>
        <v>0</v>
      </c>
      <c r="H74" s="99">
        <f>G74+'25'!H74</f>
        <v>-21277.869999999995</v>
      </c>
      <c r="I74" s="154"/>
      <c r="J74" s="175">
        <f>H74/DAY(B2)</f>
        <v>-818.37961538461525</v>
      </c>
      <c r="K74" s="69"/>
      <c r="L74" s="66"/>
      <c r="N74" s="87"/>
      <c r="O74" s="71"/>
    </row>
    <row r="75" spans="1:15" ht="20.100000000000001" customHeight="1" x14ac:dyDescent="0.5">
      <c r="A75" s="771" t="s">
        <v>221</v>
      </c>
      <c r="B75" s="772"/>
      <c r="C75" s="773"/>
      <c r="D75" s="151" t="s">
        <v>139</v>
      </c>
      <c r="E75" s="95">
        <f>'25'!F75</f>
        <v>73583.399999999994</v>
      </c>
      <c r="F75" s="123">
        <v>73583.399999999994</v>
      </c>
      <c r="G75" s="112">
        <f t="shared" si="7"/>
        <v>0</v>
      </c>
      <c r="H75" s="99">
        <f>G75+'25'!H75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0.100000000000001" customHeight="1" x14ac:dyDescent="0.5">
      <c r="A76" s="768" t="s">
        <v>222</v>
      </c>
      <c r="B76" s="769"/>
      <c r="C76" s="770"/>
      <c r="D76" s="151" t="s">
        <v>139</v>
      </c>
      <c r="E76" s="95">
        <f>'25'!F76</f>
        <v>154077</v>
      </c>
      <c r="F76" s="123">
        <v>154077</v>
      </c>
      <c r="G76" s="112">
        <f t="shared" si="7"/>
        <v>0</v>
      </c>
      <c r="H76" s="99">
        <f>G76+'25'!H76</f>
        <v>-7237.9200000000128</v>
      </c>
      <c r="I76" s="154"/>
      <c r="J76" s="175">
        <f>H76/DAY(B2)</f>
        <v>-278.38153846153898</v>
      </c>
      <c r="K76" s="69"/>
      <c r="L76" s="66"/>
      <c r="N76" s="87"/>
      <c r="O76" s="71"/>
    </row>
    <row r="77" spans="1:15" ht="20.100000000000001" customHeight="1" x14ac:dyDescent="0.5">
      <c r="A77" s="768" t="s">
        <v>223</v>
      </c>
      <c r="B77" s="769"/>
      <c r="C77" s="770"/>
      <c r="D77" s="151" t="s">
        <v>139</v>
      </c>
      <c r="E77" s="95">
        <f>'25'!F77</f>
        <v>34629</v>
      </c>
      <c r="F77" s="123">
        <v>34629</v>
      </c>
      <c r="G77" s="112">
        <f t="shared" si="7"/>
        <v>0</v>
      </c>
      <c r="H77" s="99">
        <f>G77+'25'!H77</f>
        <v>-3596.8000000000029</v>
      </c>
      <c r="I77" s="154"/>
      <c r="J77" s="175">
        <f>H77/DAY(B2)</f>
        <v>-138.33846153846164</v>
      </c>
      <c r="K77" s="69"/>
      <c r="L77" s="66"/>
      <c r="N77" s="87"/>
      <c r="O77" s="71"/>
    </row>
    <row r="78" spans="1:15" ht="18.75" customHeight="1" x14ac:dyDescent="0.5">
      <c r="A78" s="768" t="s">
        <v>224</v>
      </c>
      <c r="B78" s="769"/>
      <c r="C78" s="770"/>
      <c r="D78" s="151" t="s">
        <v>139</v>
      </c>
      <c r="E78" s="95">
        <f>'25'!F78</f>
        <v>9180</v>
      </c>
      <c r="F78" s="123">
        <v>9180</v>
      </c>
      <c r="G78" s="112">
        <f t="shared" si="7"/>
        <v>0</v>
      </c>
      <c r="H78" s="99">
        <f>G78+'25'!H78</f>
        <v>-180.60000000000036</v>
      </c>
      <c r="I78" s="118"/>
      <c r="J78" s="175">
        <f>H78/DAY(B2)</f>
        <v>-6.9461538461538606</v>
      </c>
      <c r="K78" s="69"/>
      <c r="L78" s="66"/>
      <c r="N78" s="87"/>
      <c r="O78" s="71"/>
    </row>
    <row r="79" spans="1:15" s="57" customFormat="1" ht="20.100000000000001" customHeight="1" x14ac:dyDescent="0.5">
      <c r="A79" s="768" t="s">
        <v>225</v>
      </c>
      <c r="B79" s="769"/>
      <c r="C79" s="770"/>
      <c r="D79" s="151"/>
      <c r="E79" s="95">
        <f>'25'!F79</f>
        <v>0</v>
      </c>
      <c r="F79" s="117"/>
      <c r="G79" s="112">
        <f>G15-SUM(G74:G78)</f>
        <v>875</v>
      </c>
      <c r="H79" s="99">
        <f>G79+'25'!H79</f>
        <v>57078.072999999924</v>
      </c>
      <c r="I79" s="118"/>
      <c r="J79" s="175"/>
      <c r="K79" s="59"/>
      <c r="L79" s="58"/>
      <c r="N79" s="87"/>
      <c r="O79" s="71"/>
    </row>
    <row r="80" spans="1:15" s="57" customFormat="1" ht="20.100000000000001" customHeight="1" x14ac:dyDescent="0.5">
      <c r="A80" s="780" t="s">
        <v>329</v>
      </c>
      <c r="B80" s="781"/>
      <c r="C80" s="782"/>
      <c r="D80" s="151"/>
      <c r="E80" s="117"/>
      <c r="F80" s="117"/>
      <c r="G80" s="112">
        <f>SUM(G74:G79)</f>
        <v>875</v>
      </c>
      <c r="H80" s="99"/>
      <c r="I80" s="118"/>
      <c r="J80" s="175"/>
      <c r="K80" s="59"/>
      <c r="L80" s="58"/>
      <c r="N80" s="87"/>
      <c r="O80" s="71"/>
    </row>
    <row r="81" spans="1:15" ht="20.100000000000001" customHeight="1" x14ac:dyDescent="0.4">
      <c r="A81" s="785" t="s">
        <v>226</v>
      </c>
      <c r="B81" s="786"/>
      <c r="C81" s="787"/>
      <c r="D81" s="110"/>
      <c r="E81" s="110"/>
      <c r="F81" s="110"/>
      <c r="G81" s="163"/>
      <c r="H81" s="163"/>
      <c r="I81" s="163"/>
      <c r="J81" s="184"/>
      <c r="O81" s="71"/>
    </row>
    <row r="82" spans="1:15" ht="20.100000000000001" customHeight="1" x14ac:dyDescent="0.5">
      <c r="A82" s="365" t="s">
        <v>227</v>
      </c>
      <c r="B82" s="366"/>
      <c r="C82" s="366"/>
      <c r="D82" s="151" t="s">
        <v>228</v>
      </c>
      <c r="E82" s="95">
        <f>'25'!F82</f>
        <v>0</v>
      </c>
      <c r="F82" s="122"/>
      <c r="G82" s="112">
        <f t="shared" ref="G82:G92" si="8">F82-E82</f>
        <v>0</v>
      </c>
      <c r="H82" s="99">
        <f>G82+'25'!H82</f>
        <v>0</v>
      </c>
      <c r="I82" s="118"/>
      <c r="J82" s="175">
        <f>H82/DAY(B2)</f>
        <v>0</v>
      </c>
      <c r="O82" s="71"/>
    </row>
    <row r="83" spans="1:15" ht="20.100000000000001" customHeight="1" x14ac:dyDescent="0.5">
      <c r="A83" s="365" t="s">
        <v>229</v>
      </c>
      <c r="B83" s="366"/>
      <c r="C83" s="366"/>
      <c r="D83" s="151" t="s">
        <v>228</v>
      </c>
      <c r="E83" s="95">
        <f>'25'!F83</f>
        <v>0</v>
      </c>
      <c r="F83" s="122"/>
      <c r="G83" s="112">
        <f t="shared" si="8"/>
        <v>0</v>
      </c>
      <c r="H83" s="99">
        <f>G83+'25'!H83</f>
        <v>0</v>
      </c>
      <c r="I83" s="118"/>
      <c r="J83" s="175">
        <f>H83/DAY(B2)</f>
        <v>0</v>
      </c>
      <c r="O83" s="71"/>
    </row>
    <row r="84" spans="1:15" ht="20.100000000000001" customHeight="1" x14ac:dyDescent="0.5">
      <c r="A84" s="365" t="s">
        <v>230</v>
      </c>
      <c r="B84" s="366"/>
      <c r="C84" s="366"/>
      <c r="D84" s="151" t="s">
        <v>228</v>
      </c>
      <c r="E84" s="95">
        <f>'25'!F84</f>
        <v>40922</v>
      </c>
      <c r="F84" s="164">
        <v>40922</v>
      </c>
      <c r="G84" s="112">
        <f t="shared" si="8"/>
        <v>0</v>
      </c>
      <c r="H84" s="99">
        <f>G84+'25'!H84</f>
        <v>-774.19000000000233</v>
      </c>
      <c r="I84" s="118"/>
      <c r="J84" s="175">
        <f>H84/DAY(B2)</f>
        <v>-29.77653846153855</v>
      </c>
      <c r="O84" s="71"/>
    </row>
    <row r="85" spans="1:15" ht="20.100000000000001" customHeight="1" x14ac:dyDescent="0.5">
      <c r="A85" s="365" t="s">
        <v>231</v>
      </c>
      <c r="B85" s="366"/>
      <c r="C85" s="366"/>
      <c r="D85" s="151" t="s">
        <v>228</v>
      </c>
      <c r="E85" s="95">
        <f>'25'!F85</f>
        <v>856</v>
      </c>
      <c r="F85" s="164">
        <v>856</v>
      </c>
      <c r="G85" s="112">
        <f t="shared" si="8"/>
        <v>0</v>
      </c>
      <c r="H85" s="99">
        <f>G85+'25'!H85</f>
        <v>-761.45</v>
      </c>
      <c r="I85" s="118">
        <f>G82+G83+G84+G85</f>
        <v>0</v>
      </c>
      <c r="J85" s="175">
        <f>H85/DAY(B2)</f>
        <v>-29.286538461538463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'25'!F86</f>
        <v>42822</v>
      </c>
      <c r="F86" s="164">
        <v>42822</v>
      </c>
      <c r="G86" s="112">
        <f t="shared" si="8"/>
        <v>0</v>
      </c>
      <c r="H86" s="99">
        <f>G86+'25'!H86</f>
        <v>-8.4700000000011642</v>
      </c>
      <c r="I86" s="118"/>
      <c r="J86" s="175">
        <f>H86/DAY(B2)</f>
        <v>-0.32576923076927555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'25'!F87</f>
        <v>32928</v>
      </c>
      <c r="F87" s="164">
        <v>32928</v>
      </c>
      <c r="G87" s="112">
        <f t="shared" si="8"/>
        <v>0</v>
      </c>
      <c r="H87" s="99">
        <f>G87+'25'!H87</f>
        <v>-921.2300000000032</v>
      </c>
      <c r="I87" s="118"/>
      <c r="J87" s="175">
        <f>H87/DAY(B2)</f>
        <v>-35.431923076923198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'25'!F88</f>
        <v>23356.43</v>
      </c>
      <c r="F88" s="164">
        <v>23356.43</v>
      </c>
      <c r="G88" s="112">
        <f t="shared" si="8"/>
        <v>0</v>
      </c>
      <c r="H88" s="99">
        <f>G88+'25'!H88</f>
        <v>-580.34000000000015</v>
      </c>
      <c r="I88" s="118">
        <f>G86+G87+G88</f>
        <v>0</v>
      </c>
      <c r="J88" s="175">
        <f>H88/DAY(B2)</f>
        <v>-22.320769230769237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'25'!F89</f>
        <v>25132.959999999999</v>
      </c>
      <c r="F89" s="164">
        <v>25132.959999999999</v>
      </c>
      <c r="G89" s="112">
        <f t="shared" si="8"/>
        <v>0</v>
      </c>
      <c r="H89" s="99">
        <f>G89+'25'!H89</f>
        <v>-163.57300000000032</v>
      </c>
      <c r="I89" s="118"/>
      <c r="J89" s="175">
        <f>H89/DAY(B2)</f>
        <v>-6.2912692307692435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'25'!F90</f>
        <v>70524.55</v>
      </c>
      <c r="F90" s="164">
        <v>70524.55</v>
      </c>
      <c r="G90" s="112">
        <f t="shared" si="8"/>
        <v>0</v>
      </c>
      <c r="H90" s="99">
        <f>G90+'25'!H90</f>
        <v>-72.10999999998603</v>
      </c>
      <c r="I90" s="118">
        <f>G89+G90</f>
        <v>0</v>
      </c>
      <c r="J90" s="175">
        <f>H90/DAY(B2)</f>
        <v>-2.7734615384610013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'25'!F91</f>
        <v>2627.98</v>
      </c>
      <c r="F91" s="122">
        <v>2627.98</v>
      </c>
      <c r="G91" s="112">
        <f t="shared" si="8"/>
        <v>0</v>
      </c>
      <c r="H91" s="99">
        <f>G91+'25'!H91</f>
        <v>-779.37999999999965</v>
      </c>
      <c r="I91" s="165"/>
      <c r="J91" s="175">
        <f>H91/DAY(B2)</f>
        <v>-29.976153846153831</v>
      </c>
      <c r="O91" s="71"/>
    </row>
    <row r="92" spans="1:15" ht="20.100000000000001" customHeight="1" x14ac:dyDescent="0.5">
      <c r="A92" s="365" t="s">
        <v>238</v>
      </c>
      <c r="B92" s="366"/>
      <c r="C92" s="366"/>
      <c r="D92" s="151" t="s">
        <v>228</v>
      </c>
      <c r="E92" s="95">
        <f>'25'!F92</f>
        <v>4754</v>
      </c>
      <c r="F92" s="122">
        <v>4754</v>
      </c>
      <c r="G92" s="112">
        <f t="shared" si="8"/>
        <v>0</v>
      </c>
      <c r="H92" s="99">
        <f>G92+'25'!H92</f>
        <v>-8.4600000000000364</v>
      </c>
      <c r="I92" s="165"/>
      <c r="J92" s="175">
        <f>H92/DAY(B2)</f>
        <v>-0.32538461538461677</v>
      </c>
      <c r="O92" s="71"/>
    </row>
    <row r="93" spans="1:15" ht="20.100000000000001" customHeight="1" x14ac:dyDescent="0.5">
      <c r="A93" s="774" t="s">
        <v>239</v>
      </c>
      <c r="B93" s="775"/>
      <c r="C93" s="77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0.100000000000001" customHeight="1" x14ac:dyDescent="0.5">
      <c r="A94" s="771" t="s">
        <v>240</v>
      </c>
      <c r="B94" s="772"/>
      <c r="C94" s="773"/>
      <c r="D94" s="151" t="s">
        <v>130</v>
      </c>
      <c r="E94" s="151"/>
      <c r="F94" s="151"/>
      <c r="G94" s="99">
        <f>G35+G43+G49+G57</f>
        <v>0</v>
      </c>
      <c r="H94" s="99">
        <f>G94+'25'!H94</f>
        <v>2532505.96</v>
      </c>
      <c r="I94" s="118"/>
      <c r="J94" s="175">
        <f>H94/DAY(B2)</f>
        <v>97404.075384615382</v>
      </c>
      <c r="K94" s="69"/>
      <c r="L94" s="66"/>
      <c r="O94" s="71"/>
    </row>
    <row r="95" spans="1:15" ht="20.100000000000001" customHeight="1" x14ac:dyDescent="0.5">
      <c r="A95" s="771" t="s">
        <v>241</v>
      </c>
      <c r="B95" s="772"/>
      <c r="C95" s="773"/>
      <c r="D95" s="151" t="s">
        <v>23</v>
      </c>
      <c r="E95" s="146"/>
      <c r="F95" s="146"/>
      <c r="G95" s="166">
        <f>G94/G7</f>
        <v>0</v>
      </c>
      <c r="H95" s="99">
        <f>G95+'25'!H95</f>
        <v>110.05863639047362</v>
      </c>
      <c r="I95" s="167"/>
      <c r="J95" s="175">
        <f>H95/DAY(B2)</f>
        <v>4.233024476556678</v>
      </c>
      <c r="K95" s="69"/>
      <c r="L95" s="66"/>
      <c r="O95" s="71"/>
    </row>
    <row r="96" spans="1:15" ht="20.100000000000001" customHeight="1" x14ac:dyDescent="0.5">
      <c r="A96" s="771" t="s">
        <v>242</v>
      </c>
      <c r="B96" s="772"/>
      <c r="C96" s="773"/>
      <c r="D96" s="151" t="s">
        <v>130</v>
      </c>
      <c r="E96" s="95"/>
      <c r="F96" s="95"/>
      <c r="G96" s="99">
        <f>G41+G42+G55+G56</f>
        <v>0</v>
      </c>
      <c r="H96" s="99">
        <f>G96+'25'!H96</f>
        <v>-535950.2100000002</v>
      </c>
      <c r="I96" s="118"/>
      <c r="J96" s="175">
        <f>H96/DAY(B2)</f>
        <v>-20613.469615384623</v>
      </c>
      <c r="K96" s="69"/>
      <c r="L96" s="66"/>
      <c r="O96" s="71"/>
    </row>
    <row r="97" spans="1:15" ht="20.100000000000001" customHeight="1" x14ac:dyDescent="0.5">
      <c r="A97" s="771" t="s">
        <v>243</v>
      </c>
      <c r="B97" s="772"/>
      <c r="C97" s="773"/>
      <c r="D97" s="151" t="s">
        <v>23</v>
      </c>
      <c r="E97" s="95"/>
      <c r="F97" s="95"/>
      <c r="G97" s="166">
        <f>G96/G7</f>
        <v>0</v>
      </c>
      <c r="H97" s="99">
        <f>G97+'25'!H97</f>
        <v>-23.376968076147254</v>
      </c>
      <c r="I97" s="167"/>
      <c r="J97" s="175">
        <f>H97/DAY(B2)</f>
        <v>-0.89911415677489437</v>
      </c>
      <c r="K97" s="69"/>
      <c r="L97" s="66"/>
      <c r="O97" s="71"/>
    </row>
    <row r="98" spans="1:15" ht="20.100000000000001" customHeight="1" x14ac:dyDescent="0.5">
      <c r="A98" s="771" t="s">
        <v>244</v>
      </c>
      <c r="B98" s="772"/>
      <c r="C98" s="773"/>
      <c r="D98" s="151" t="s">
        <v>130</v>
      </c>
      <c r="E98" s="95"/>
      <c r="F98" s="95"/>
      <c r="G98" s="99">
        <f>G39+G53</f>
        <v>0</v>
      </c>
      <c r="H98" s="99">
        <f>G98+'25'!H98</f>
        <v>1826698.97</v>
      </c>
      <c r="I98" s="168"/>
      <c r="J98" s="175">
        <f>H98/DAY(B2)</f>
        <v>70257.652692307689</v>
      </c>
      <c r="K98" s="69"/>
      <c r="L98" s="66"/>
      <c r="O98" s="71"/>
    </row>
    <row r="99" spans="1:15" ht="20.100000000000001" customHeight="1" x14ac:dyDescent="0.5">
      <c r="A99" s="771" t="s">
        <v>245</v>
      </c>
      <c r="B99" s="772"/>
      <c r="C99" s="773"/>
      <c r="D99" s="151" t="s">
        <v>23</v>
      </c>
      <c r="E99" s="95"/>
      <c r="F99" s="95"/>
      <c r="G99" s="166">
        <f>G98/G7</f>
        <v>0</v>
      </c>
      <c r="H99" s="99">
        <f>G99+'25'!H99</f>
        <v>79.385711690839827</v>
      </c>
      <c r="I99" s="168"/>
      <c r="J99" s="175">
        <f>H99/DAY(B2)</f>
        <v>3.0532966034938394</v>
      </c>
      <c r="O99" s="71"/>
    </row>
    <row r="100" spans="1:15" ht="20.100000000000001" customHeight="1" x14ac:dyDescent="0.5">
      <c r="A100" s="771" t="s">
        <v>246</v>
      </c>
      <c r="B100" s="772"/>
      <c r="C100" s="773"/>
      <c r="D100" s="151" t="s">
        <v>180</v>
      </c>
      <c r="E100" s="95"/>
      <c r="F100" s="95"/>
      <c r="G100" s="99">
        <f>G38+G52</f>
        <v>0</v>
      </c>
      <c r="H100" s="99">
        <f>G100+'25'!H100</f>
        <v>942134.4</v>
      </c>
      <c r="I100" s="118"/>
      <c r="J100" s="175">
        <f>H100/DAY(B2)</f>
        <v>36235.938461538462</v>
      </c>
      <c r="K100" s="70"/>
      <c r="O100" s="71"/>
    </row>
    <row r="101" spans="1:15" ht="20.100000000000001" customHeight="1" x14ac:dyDescent="0.5">
      <c r="A101" s="771" t="s">
        <v>247</v>
      </c>
      <c r="B101" s="772"/>
      <c r="C101" s="773"/>
      <c r="D101" s="151" t="s">
        <v>23</v>
      </c>
      <c r="E101" s="95"/>
      <c r="F101" s="95"/>
      <c r="G101" s="166">
        <f>G100/G7</f>
        <v>0</v>
      </c>
      <c r="H101" s="99">
        <f>G101+'25'!H101</f>
        <v>40.946365636236884</v>
      </c>
      <c r="I101" s="168"/>
      <c r="J101" s="175">
        <f>H101/DAY(B2)</f>
        <v>1.5748602167783416</v>
      </c>
      <c r="O101" s="71"/>
    </row>
    <row r="102" spans="1:15" ht="20.100000000000001" customHeight="1" x14ac:dyDescent="0.5">
      <c r="A102" s="771" t="s">
        <v>248</v>
      </c>
      <c r="B102" s="772"/>
      <c r="C102" s="773"/>
      <c r="D102" s="151" t="s">
        <v>180</v>
      </c>
      <c r="E102" s="95"/>
      <c r="F102" s="95"/>
      <c r="G102" s="99">
        <f>G36+G50</f>
        <v>0</v>
      </c>
      <c r="H102" s="99">
        <f>G102+'25'!H102</f>
        <v>-150960.04999999996</v>
      </c>
      <c r="I102" s="168"/>
      <c r="J102" s="175">
        <f>H102/DAY(B2)</f>
        <v>-5806.1557692307679</v>
      </c>
      <c r="O102" s="71"/>
    </row>
    <row r="103" spans="1:15" ht="25.5" customHeight="1" x14ac:dyDescent="0.5">
      <c r="A103" s="771" t="s">
        <v>249</v>
      </c>
      <c r="B103" s="772"/>
      <c r="C103" s="773"/>
      <c r="D103" s="151" t="s">
        <v>23</v>
      </c>
      <c r="E103" s="95"/>
      <c r="F103" s="95"/>
      <c r="G103" s="166">
        <f>G102/G7</f>
        <v>0</v>
      </c>
      <c r="H103" s="99">
        <f>G103+'25'!H103</f>
        <v>-6.5833689420489332</v>
      </c>
      <c r="I103" s="118"/>
      <c r="J103" s="175">
        <f>H103/DAY(B2)</f>
        <v>-0.25320649777111282</v>
      </c>
      <c r="O103" s="71"/>
    </row>
    <row r="104" spans="1:15" ht="21.75" customHeight="1" x14ac:dyDescent="0.5">
      <c r="A104" s="771" t="s">
        <v>250</v>
      </c>
      <c r="B104" s="772"/>
      <c r="C104" s="773"/>
      <c r="D104" s="151" t="s">
        <v>180</v>
      </c>
      <c r="E104" s="95"/>
      <c r="F104" s="95"/>
      <c r="G104" s="99">
        <f>G37+G51</f>
        <v>0</v>
      </c>
      <c r="H104" s="99">
        <f>G104+'25'!H104</f>
        <v>157413.13</v>
      </c>
      <c r="I104" s="118"/>
      <c r="J104" s="175">
        <f>H104/DAY(B2)</f>
        <v>6054.3511538461544</v>
      </c>
      <c r="O104" s="71"/>
    </row>
    <row r="105" spans="1:15" ht="21.75" customHeight="1" thickBot="1" x14ac:dyDescent="0.55000000000000004">
      <c r="A105" s="764" t="s">
        <v>251</v>
      </c>
      <c r="B105" s="765"/>
      <c r="C105" s="766"/>
      <c r="D105" s="231" t="s">
        <v>23</v>
      </c>
      <c r="E105" s="185"/>
      <c r="F105" s="185"/>
      <c r="G105" s="186">
        <f>G104/G7</f>
        <v>0</v>
      </c>
      <c r="H105" s="99">
        <f>G105+'25'!H105</f>
        <v>6.8301240046325189</v>
      </c>
      <c r="I105" s="187"/>
      <c r="J105" s="188">
        <f>H105/DAY(B2)</f>
        <v>0.26269707710125073</v>
      </c>
      <c r="O105" s="71"/>
    </row>
    <row r="106" spans="1:15" ht="21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1.75" customHeight="1" x14ac:dyDescent="0.5"/>
    <row r="108" spans="1:15" ht="21.75" customHeight="1" x14ac:dyDescent="0.55000000000000004">
      <c r="A108" s="760" t="s">
        <v>324</v>
      </c>
      <c r="B108" s="760"/>
      <c r="C108" s="760"/>
      <c r="D108" s="760"/>
      <c r="E108" s="760"/>
      <c r="F108" s="760"/>
      <c r="G108" s="760"/>
      <c r="H108" s="760"/>
      <c r="I108" s="760"/>
      <c r="J108" s="760"/>
    </row>
    <row r="109" spans="1:15" ht="21.75" customHeight="1" x14ac:dyDescent="0.5">
      <c r="A109" s="788"/>
      <c r="B109" s="788"/>
    </row>
    <row r="110" spans="1:15" ht="21.75" customHeight="1" x14ac:dyDescent="0.5">
      <c r="A110" s="761" t="s">
        <v>165</v>
      </c>
      <c r="B110" s="762"/>
      <c r="C110" s="762"/>
      <c r="D110" s="762"/>
      <c r="E110" s="762"/>
      <c r="F110" s="762"/>
      <c r="G110" s="762"/>
      <c r="H110" s="762"/>
      <c r="I110" s="762"/>
      <c r="J110" s="763"/>
    </row>
    <row r="111" spans="1:15" ht="21.75" customHeight="1" x14ac:dyDescent="0.5">
      <c r="A111" s="753"/>
      <c r="B111" s="754"/>
      <c r="C111" s="755"/>
      <c r="D111" s="165"/>
      <c r="E111" s="165"/>
      <c r="F111" s="165"/>
      <c r="G111" s="165"/>
      <c r="H111" s="156"/>
      <c r="I111" s="165"/>
      <c r="J111" s="347"/>
    </row>
    <row r="112" spans="1:15" ht="21.75" customHeight="1" x14ac:dyDescent="0.5">
      <c r="A112" s="750" t="s">
        <v>252</v>
      </c>
      <c r="B112" s="751"/>
      <c r="C112" s="752"/>
      <c r="D112" s="146" t="s">
        <v>183</v>
      </c>
      <c r="E112" s="95">
        <f>'25'!F112</f>
        <v>38434</v>
      </c>
      <c r="F112" s="237">
        <v>38434</v>
      </c>
      <c r="G112" s="112">
        <f t="shared" ref="G112:G123" si="9">F112-E112</f>
        <v>0</v>
      </c>
      <c r="H112" s="99">
        <f>G112+'25'!H112</f>
        <v>-21107.82</v>
      </c>
      <c r="I112" s="165"/>
      <c r="J112" s="348">
        <f>H112/DAY(B2)</f>
        <v>-811.83923076923077</v>
      </c>
    </row>
    <row r="113" spans="1:18" ht="29.25" customHeight="1" x14ac:dyDescent="0.5">
      <c r="A113" s="750" t="s">
        <v>253</v>
      </c>
      <c r="B113" s="751"/>
      <c r="C113" s="752"/>
      <c r="D113" s="146" t="s">
        <v>183</v>
      </c>
      <c r="E113" s="95">
        <f>'25'!F113</f>
        <v>94790</v>
      </c>
      <c r="F113" s="237">
        <v>94790</v>
      </c>
      <c r="G113" s="112">
        <f t="shared" si="9"/>
        <v>0</v>
      </c>
      <c r="H113" s="99">
        <f>G113+'25'!H113</f>
        <v>-119257.45000000001</v>
      </c>
      <c r="I113" s="165"/>
      <c r="J113" s="348">
        <f>H113/DAY(B2)</f>
        <v>-4586.8250000000007</v>
      </c>
    </row>
    <row r="114" spans="1:18" ht="29.25" customHeight="1" x14ac:dyDescent="0.5">
      <c r="A114" s="750" t="s">
        <v>254</v>
      </c>
      <c r="B114" s="751"/>
      <c r="C114" s="752"/>
      <c r="D114" s="146" t="s">
        <v>183</v>
      </c>
      <c r="E114" s="95">
        <f>'25'!F114</f>
        <v>44933</v>
      </c>
      <c r="F114" s="237">
        <v>44933</v>
      </c>
      <c r="G114" s="112">
        <f t="shared" si="9"/>
        <v>0</v>
      </c>
      <c r="H114" s="99">
        <f>G114+'25'!H114</f>
        <v>92743.9</v>
      </c>
      <c r="I114" s="165"/>
      <c r="J114" s="348">
        <f>H114/DAY(B2)</f>
        <v>3567.0730769230768</v>
      </c>
    </row>
    <row r="115" spans="1:18" ht="29.25" customHeight="1" x14ac:dyDescent="0.5">
      <c r="A115" s="750" t="s">
        <v>255</v>
      </c>
      <c r="B115" s="751"/>
      <c r="C115" s="752"/>
      <c r="D115" s="146" t="s">
        <v>183</v>
      </c>
      <c r="E115" s="95">
        <f>'25'!F115</f>
        <v>6560</v>
      </c>
      <c r="F115" s="237">
        <v>6560</v>
      </c>
      <c r="G115" s="112">
        <f t="shared" si="9"/>
        <v>0</v>
      </c>
      <c r="H115" s="99">
        <f>G115+'25'!H115</f>
        <v>-2561.4399999999996</v>
      </c>
      <c r="I115" s="165"/>
      <c r="J115" s="348">
        <f>H115/DAY(B2)</f>
        <v>-98.516923076923064</v>
      </c>
    </row>
    <row r="116" spans="1:18" ht="29.25" customHeight="1" x14ac:dyDescent="0.5">
      <c r="A116" s="757" t="s">
        <v>96</v>
      </c>
      <c r="B116" s="758"/>
      <c r="C116" s="759"/>
      <c r="D116" s="146" t="s">
        <v>183</v>
      </c>
      <c r="E116" s="95">
        <f>'25'!F116</f>
        <v>44933</v>
      </c>
      <c r="F116" s="237">
        <v>44933</v>
      </c>
      <c r="G116" s="112">
        <f t="shared" si="9"/>
        <v>0</v>
      </c>
      <c r="H116" s="99">
        <f>G116+'25'!H116</f>
        <v>89866</v>
      </c>
      <c r="I116" s="165"/>
      <c r="J116" s="348">
        <f>H116/DAY(B2)</f>
        <v>3456.3846153846152</v>
      </c>
      <c r="Q116" s="750" t="s">
        <v>311</v>
      </c>
      <c r="R116" s="752"/>
    </row>
    <row r="117" spans="1:18" ht="29.25" customHeight="1" x14ac:dyDescent="0.5">
      <c r="A117" s="757" t="s">
        <v>184</v>
      </c>
      <c r="B117" s="758"/>
      <c r="C117" s="759"/>
      <c r="D117" s="146" t="s">
        <v>183</v>
      </c>
      <c r="E117" s="95">
        <f>'25'!F117</f>
        <v>44933</v>
      </c>
      <c r="F117" s="237">
        <v>44933</v>
      </c>
      <c r="G117" s="112">
        <f t="shared" si="9"/>
        <v>0</v>
      </c>
      <c r="H117" s="99">
        <f>G117+'25'!H117</f>
        <v>88625.98000000001</v>
      </c>
      <c r="I117" s="165"/>
      <c r="J117" s="348">
        <f>H117/DAY(B2)</f>
        <v>3408.691538461539</v>
      </c>
      <c r="Q117" s="750" t="s">
        <v>312</v>
      </c>
      <c r="R117" s="752"/>
    </row>
    <row r="118" spans="1:18" ht="27.75" x14ac:dyDescent="0.5">
      <c r="A118" s="749" t="s">
        <v>97</v>
      </c>
      <c r="B118" s="749"/>
      <c r="C118" s="749"/>
      <c r="D118" s="151" t="s">
        <v>183</v>
      </c>
      <c r="E118" s="95">
        <f>'25'!F118</f>
        <v>44933</v>
      </c>
      <c r="F118" s="237">
        <v>44933</v>
      </c>
      <c r="G118" s="112">
        <f t="shared" si="9"/>
        <v>0</v>
      </c>
      <c r="H118" s="99">
        <f>G118+'25'!H118</f>
        <v>-330033.39</v>
      </c>
      <c r="I118" s="165"/>
      <c r="J118" s="348">
        <f>H118/DAY(B2)</f>
        <v>-12693.591923076923</v>
      </c>
      <c r="Q118" s="750" t="s">
        <v>311</v>
      </c>
      <c r="R118" s="752"/>
    </row>
    <row r="119" spans="1:18" ht="27.75" x14ac:dyDescent="0.5">
      <c r="A119" s="749" t="s">
        <v>98</v>
      </c>
      <c r="B119" s="749"/>
      <c r="C119" s="749"/>
      <c r="D119" s="151" t="s">
        <v>183</v>
      </c>
      <c r="E119" s="95">
        <f>'25'!F119</f>
        <v>44933</v>
      </c>
      <c r="F119" s="237">
        <v>44933</v>
      </c>
      <c r="G119" s="112">
        <f t="shared" si="9"/>
        <v>0</v>
      </c>
      <c r="H119" s="99">
        <f>G119+'25'!H119</f>
        <v>-329315.05</v>
      </c>
      <c r="I119" s="165"/>
      <c r="J119" s="348">
        <f>H119/DAY(B2)</f>
        <v>-12665.96346153846</v>
      </c>
    </row>
    <row r="120" spans="1:18" ht="27.75" x14ac:dyDescent="0.5">
      <c r="A120" s="749" t="s">
        <v>99</v>
      </c>
      <c r="B120" s="749"/>
      <c r="C120" s="749"/>
      <c r="D120" s="151" t="s">
        <v>183</v>
      </c>
      <c r="E120" s="95">
        <f>'25'!F120</f>
        <v>44933</v>
      </c>
      <c r="F120" s="237">
        <v>44933</v>
      </c>
      <c r="G120" s="112">
        <f t="shared" si="9"/>
        <v>0</v>
      </c>
      <c r="H120" s="99">
        <f>G120+'25'!H120</f>
        <v>71927.510000000009</v>
      </c>
      <c r="I120" s="165"/>
      <c r="J120" s="348">
        <f>H120/DAY(B2)</f>
        <v>2766.4426923076926</v>
      </c>
    </row>
    <row r="121" spans="1:18" ht="27.75" x14ac:dyDescent="0.5">
      <c r="A121" s="749" t="s">
        <v>100</v>
      </c>
      <c r="B121" s="749"/>
      <c r="C121" s="749"/>
      <c r="D121" s="151" t="s">
        <v>183</v>
      </c>
      <c r="E121" s="95">
        <f>'25'!F121</f>
        <v>44933</v>
      </c>
      <c r="F121" s="237">
        <v>44933</v>
      </c>
      <c r="G121" s="112">
        <f t="shared" si="9"/>
        <v>0</v>
      </c>
      <c r="H121" s="99">
        <f>G121+'25'!H121</f>
        <v>-541106.63</v>
      </c>
      <c r="I121" s="165"/>
      <c r="J121" s="348">
        <f>H121/DAY(B2)</f>
        <v>-20811.793461538462</v>
      </c>
    </row>
    <row r="122" spans="1:18" ht="27.75" x14ac:dyDescent="0.5">
      <c r="A122" s="749" t="s">
        <v>101</v>
      </c>
      <c r="B122" s="749"/>
      <c r="C122" s="749"/>
      <c r="D122" s="151" t="s">
        <v>183</v>
      </c>
      <c r="E122" s="95">
        <f>'25'!F122</f>
        <v>44933</v>
      </c>
      <c r="F122" s="237">
        <v>44933</v>
      </c>
      <c r="G122" s="112">
        <f t="shared" si="9"/>
        <v>0</v>
      </c>
      <c r="H122" s="99">
        <f>G122+'25'!H122</f>
        <v>-98745.64</v>
      </c>
      <c r="I122" s="165"/>
      <c r="J122" s="348">
        <f>H122/DAY(B2)</f>
        <v>-3797.9092307692308</v>
      </c>
    </row>
    <row r="123" spans="1:18" ht="27.75" x14ac:dyDescent="0.5">
      <c r="A123" s="749" t="s">
        <v>102</v>
      </c>
      <c r="B123" s="749"/>
      <c r="C123" s="749"/>
      <c r="D123" s="151" t="s">
        <v>183</v>
      </c>
      <c r="E123" s="95">
        <f>'25'!F123</f>
        <v>44933</v>
      </c>
      <c r="F123" s="237">
        <v>44933</v>
      </c>
      <c r="G123" s="112">
        <f t="shared" si="9"/>
        <v>0</v>
      </c>
      <c r="H123" s="99">
        <f>G123+'25'!H123</f>
        <v>-146917.34</v>
      </c>
      <c r="I123" s="165"/>
      <c r="J123" s="348">
        <f>H123/DAY(B2)</f>
        <v>-5650.666923076923</v>
      </c>
    </row>
    <row r="124" spans="1:18" ht="29.25" customHeight="1" x14ac:dyDescent="0.5">
      <c r="A124" s="753"/>
      <c r="B124" s="754"/>
      <c r="C124" s="755"/>
      <c r="D124" s="165"/>
      <c r="E124" s="95">
        <f>'25'!F124</f>
        <v>0</v>
      </c>
      <c r="F124" s="165"/>
      <c r="G124" s="347"/>
      <c r="H124" s="156"/>
      <c r="I124" s="165"/>
      <c r="J124" s="347"/>
    </row>
    <row r="125" spans="1:18" ht="27.75" x14ac:dyDescent="0.5">
      <c r="A125" s="737"/>
      <c r="B125" s="737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56" t="s">
        <v>317</v>
      </c>
      <c r="B126" s="756"/>
      <c r="C126" s="756"/>
      <c r="D126" s="756"/>
      <c r="E126" s="756"/>
      <c r="F126" s="756"/>
      <c r="G126" s="756"/>
      <c r="H126" s="756"/>
      <c r="I126" s="756"/>
      <c r="J126" s="756"/>
    </row>
    <row r="127" spans="1:18" ht="27.75" x14ac:dyDescent="0.5">
      <c r="A127" s="737"/>
      <c r="B127" s="737"/>
      <c r="C127" s="246"/>
      <c r="D127" s="317"/>
      <c r="E127" s="318"/>
      <c r="F127" s="318"/>
      <c r="G127" s="319"/>
      <c r="H127" s="99">
        <f>G127+'25'!H127</f>
        <v>0</v>
      </c>
      <c r="I127" s="165"/>
      <c r="J127" s="348">
        <f>H127/DAY(B2)</f>
        <v>0</v>
      </c>
    </row>
    <row r="128" spans="1:18" ht="29.25" customHeight="1" x14ac:dyDescent="0.5">
      <c r="A128" s="750" t="s">
        <v>318</v>
      </c>
      <c r="B128" s="751"/>
      <c r="C128" s="752"/>
      <c r="D128" s="151" t="s">
        <v>183</v>
      </c>
      <c r="E128" s="95">
        <f>'25'!F128</f>
        <v>0</v>
      </c>
      <c r="F128" s="165"/>
      <c r="G128" s="112">
        <f t="shared" ref="G128:G134" si="10">F128-E128</f>
        <v>0</v>
      </c>
      <c r="H128" s="99">
        <f>G128+'25'!H128</f>
        <v>-20837.400000000001</v>
      </c>
      <c r="I128" s="165"/>
      <c r="J128" s="348">
        <f>H128/DAY(B2)</f>
        <v>-801.43846153846164</v>
      </c>
    </row>
    <row r="129" spans="1:15" ht="21.75" customHeight="1" x14ac:dyDescent="0.5">
      <c r="A129" s="349" t="s">
        <v>319</v>
      </c>
      <c r="B129" s="350"/>
      <c r="C129" s="351"/>
      <c r="D129" s="151" t="s">
        <v>183</v>
      </c>
      <c r="E129" s="95">
        <f>'25'!F129</f>
        <v>0</v>
      </c>
      <c r="F129" s="165"/>
      <c r="G129" s="112">
        <f t="shared" si="10"/>
        <v>0</v>
      </c>
      <c r="H129" s="99">
        <f>G129+'25'!H129</f>
        <v>-3767.84</v>
      </c>
      <c r="I129" s="165"/>
      <c r="J129" s="348">
        <f>H129/DAY(B2)</f>
        <v>-144.91692307692307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'25'!F130</f>
        <v>0</v>
      </c>
      <c r="F130" s="165"/>
      <c r="G130" s="112">
        <f t="shared" si="10"/>
        <v>0</v>
      </c>
      <c r="H130" s="99">
        <f>G130+'25'!H130</f>
        <v>-4439.2299999999996</v>
      </c>
      <c r="I130" s="165"/>
      <c r="J130" s="348">
        <f>H130/DAY(B2)</f>
        <v>-170.73961538461538</v>
      </c>
      <c r="N130" s="240"/>
      <c r="O130" s="241"/>
    </row>
    <row r="131" spans="1:15" ht="27.75" x14ac:dyDescent="0.5">
      <c r="A131" s="750" t="s">
        <v>321</v>
      </c>
      <c r="B131" s="751"/>
      <c r="C131" s="752"/>
      <c r="D131" s="151" t="s">
        <v>183</v>
      </c>
      <c r="E131" s="95">
        <f>'25'!F131</f>
        <v>0</v>
      </c>
      <c r="F131" s="165"/>
      <c r="G131" s="112">
        <f t="shared" si="10"/>
        <v>0</v>
      </c>
      <c r="H131" s="99">
        <f>G131+'25'!H131</f>
        <v>-2311.35</v>
      </c>
      <c r="I131" s="165"/>
      <c r="J131" s="348">
        <f>H131/DAY(B2)</f>
        <v>-88.898076923076914</v>
      </c>
      <c r="N131" s="240"/>
      <c r="O131" s="241"/>
    </row>
    <row r="132" spans="1:15" ht="27.75" x14ac:dyDescent="0.5">
      <c r="A132" s="750" t="s">
        <v>322</v>
      </c>
      <c r="B132" s="751"/>
      <c r="C132" s="752"/>
      <c r="D132" s="151" t="s">
        <v>183</v>
      </c>
      <c r="E132" s="95">
        <f>'25'!F132</f>
        <v>0</v>
      </c>
      <c r="F132" s="165"/>
      <c r="G132" s="112">
        <f t="shared" si="10"/>
        <v>0</v>
      </c>
      <c r="H132" s="99">
        <f>G132+'25'!H132</f>
        <v>-7246.7</v>
      </c>
      <c r="I132" s="165"/>
      <c r="J132" s="348">
        <f>H132/DAY(B2)</f>
        <v>-278.71923076923076</v>
      </c>
    </row>
    <row r="133" spans="1:15" ht="27.75" x14ac:dyDescent="0.5">
      <c r="A133" s="750" t="s">
        <v>323</v>
      </c>
      <c r="B133" s="751"/>
      <c r="C133" s="752"/>
      <c r="D133" s="151" t="s">
        <v>183</v>
      </c>
      <c r="E133" s="95">
        <f>'25'!F133</f>
        <v>0</v>
      </c>
      <c r="F133" s="165"/>
      <c r="G133" s="112">
        <f t="shared" si="10"/>
        <v>0</v>
      </c>
      <c r="H133" s="99">
        <f>G133+'25'!H133</f>
        <v>-45947.5</v>
      </c>
      <c r="I133" s="165"/>
      <c r="J133" s="348">
        <f>H133/DAY(B2)</f>
        <v>-1767.2115384615386</v>
      </c>
    </row>
    <row r="134" spans="1:15" ht="27.75" x14ac:dyDescent="0.5">
      <c r="A134" s="750" t="s">
        <v>340</v>
      </c>
      <c r="B134" s="751"/>
      <c r="C134" s="752"/>
      <c r="D134" s="151" t="s">
        <v>183</v>
      </c>
      <c r="E134" s="95">
        <f>'25'!F134</f>
        <v>0</v>
      </c>
      <c r="F134" s="165"/>
      <c r="G134" s="112">
        <f t="shared" si="10"/>
        <v>0</v>
      </c>
      <c r="H134" s="99">
        <f>G134+'25'!H134</f>
        <v>-1237706</v>
      </c>
      <c r="I134" s="165"/>
      <c r="J134" s="348">
        <f>H134/DAY(B2)</f>
        <v>-47604.076923076922</v>
      </c>
    </row>
    <row r="135" spans="1:15" ht="27.75" x14ac:dyDescent="0.5">
      <c r="A135" s="753"/>
      <c r="B135" s="754"/>
      <c r="C135" s="755"/>
      <c r="D135" s="151"/>
      <c r="E135" s="95"/>
      <c r="F135" s="165"/>
      <c r="G135" s="112"/>
      <c r="H135" s="99">
        <f>G135+'23'!H135</f>
        <v>5534.2300000000005</v>
      </c>
      <c r="I135" s="165"/>
      <c r="J135" s="348"/>
    </row>
    <row r="136" spans="1:15" ht="31.5" x14ac:dyDescent="0.55000000000000004">
      <c r="A136" s="736" t="s">
        <v>325</v>
      </c>
      <c r="B136" s="736"/>
      <c r="C136" s="736"/>
      <c r="D136" s="736"/>
      <c r="E136" s="736"/>
      <c r="F136" s="736"/>
      <c r="G136" s="736"/>
      <c r="H136" s="736"/>
      <c r="I136" s="736"/>
      <c r="J136" s="736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49" t="s">
        <v>185</v>
      </c>
      <c r="B138" s="749"/>
      <c r="C138" s="749"/>
      <c r="D138" s="151" t="s">
        <v>183</v>
      </c>
      <c r="E138" s="95">
        <f>'25'!F138</f>
        <v>857022</v>
      </c>
      <c r="F138" s="147">
        <v>857022</v>
      </c>
      <c r="G138" s="112">
        <f t="shared" ref="G138:G152" si="11">F138-E138</f>
        <v>0</v>
      </c>
      <c r="H138" s="99">
        <f>G138+'25'!H138</f>
        <v>-2046</v>
      </c>
      <c r="I138" s="118"/>
      <c r="J138" s="348">
        <f>H138/DAY(B2)</f>
        <v>-78.692307692307693</v>
      </c>
    </row>
    <row r="139" spans="1:15" ht="27.75" x14ac:dyDescent="0.5">
      <c r="A139" s="749" t="s">
        <v>186</v>
      </c>
      <c r="B139" s="749"/>
      <c r="C139" s="749"/>
      <c r="D139" s="151" t="s">
        <v>183</v>
      </c>
      <c r="E139" s="95">
        <f>'25'!F139</f>
        <v>886051</v>
      </c>
      <c r="F139" s="148">
        <v>886051</v>
      </c>
      <c r="G139" s="112">
        <f t="shared" si="11"/>
        <v>0</v>
      </c>
      <c r="H139" s="99">
        <f>G139+'25'!H139</f>
        <v>-33</v>
      </c>
      <c r="I139" s="118"/>
      <c r="J139" s="348">
        <f>H139/DAY(B2)</f>
        <v>-1.2692307692307692</v>
      </c>
    </row>
    <row r="140" spans="1:15" ht="27.75" x14ac:dyDescent="0.5">
      <c r="A140" s="749" t="s">
        <v>187</v>
      </c>
      <c r="B140" s="749"/>
      <c r="C140" s="749"/>
      <c r="D140" s="151" t="s">
        <v>183</v>
      </c>
      <c r="E140" s="95">
        <f>'25'!F140</f>
        <v>88776</v>
      </c>
      <c r="F140" s="149">
        <v>88776</v>
      </c>
      <c r="G140" s="112">
        <f t="shared" si="11"/>
        <v>0</v>
      </c>
      <c r="H140" s="99">
        <f>G140+'25'!H140</f>
        <v>-47.100000000005821</v>
      </c>
      <c r="I140" s="118"/>
      <c r="J140" s="348">
        <f>H140/DAY(B2)</f>
        <v>-1.8115384615386854</v>
      </c>
    </row>
    <row r="141" spans="1:15" ht="27.75" x14ac:dyDescent="0.5">
      <c r="A141" s="728" t="s">
        <v>188</v>
      </c>
      <c r="B141" s="728"/>
      <c r="C141" s="728"/>
      <c r="D141" s="151" t="s">
        <v>183</v>
      </c>
      <c r="E141" s="95">
        <f>'25'!F141</f>
        <v>26308</v>
      </c>
      <c r="F141" s="149">
        <v>26308</v>
      </c>
      <c r="G141" s="112">
        <f t="shared" si="11"/>
        <v>0</v>
      </c>
      <c r="H141" s="99">
        <f>G141+'25'!H141</f>
        <v>-13573.5</v>
      </c>
      <c r="I141" s="118"/>
      <c r="J141" s="348">
        <f>H141/DAY(B2)</f>
        <v>-522.05769230769226</v>
      </c>
    </row>
    <row r="142" spans="1:15" ht="27.75" x14ac:dyDescent="0.5">
      <c r="A142" s="728" t="s">
        <v>189</v>
      </c>
      <c r="B142" s="728"/>
      <c r="C142" s="728"/>
      <c r="D142" s="151" t="s">
        <v>183</v>
      </c>
      <c r="E142" s="95">
        <f>'25'!F142</f>
        <v>13277</v>
      </c>
      <c r="F142" s="148">
        <v>13277</v>
      </c>
      <c r="G142" s="112">
        <f t="shared" si="11"/>
        <v>0</v>
      </c>
      <c r="H142" s="99">
        <f>G142+'25'!H142</f>
        <v>-5306.2999999999993</v>
      </c>
      <c r="I142" s="140"/>
      <c r="J142" s="348">
        <f>H142/DAY(B2)</f>
        <v>-204.0884615384615</v>
      </c>
    </row>
    <row r="143" spans="1:15" ht="27.75" x14ac:dyDescent="0.5">
      <c r="A143" s="749" t="s">
        <v>91</v>
      </c>
      <c r="B143" s="749"/>
      <c r="C143" s="749"/>
      <c r="D143" s="151" t="s">
        <v>183</v>
      </c>
      <c r="E143" s="95">
        <f>'25'!F143</f>
        <v>0</v>
      </c>
      <c r="F143" s="149"/>
      <c r="G143" s="112">
        <f t="shared" si="11"/>
        <v>0</v>
      </c>
      <c r="H143" s="99">
        <f>G143+'25'!H143</f>
        <v>-1531.35</v>
      </c>
      <c r="I143" s="140"/>
      <c r="J143" s="348">
        <f>H143/DAY(B2)</f>
        <v>-58.898076923076921</v>
      </c>
    </row>
    <row r="144" spans="1:15" ht="27.75" x14ac:dyDescent="0.5">
      <c r="A144" s="728" t="s">
        <v>90</v>
      </c>
      <c r="B144" s="728"/>
      <c r="C144" s="728"/>
      <c r="D144" s="151" t="s">
        <v>183</v>
      </c>
      <c r="E144" s="95">
        <f>'25'!F144</f>
        <v>0</v>
      </c>
      <c r="F144" s="149"/>
      <c r="G144" s="112">
        <f t="shared" si="11"/>
        <v>0</v>
      </c>
      <c r="H144" s="99">
        <f>G144+'25'!H144</f>
        <v>-1702947</v>
      </c>
      <c r="I144" s="140"/>
      <c r="J144" s="348">
        <f>H144/DAY(B2)</f>
        <v>-65497.961538461539</v>
      </c>
    </row>
    <row r="145" spans="1:10" ht="33.75" customHeight="1" x14ac:dyDescent="0.5">
      <c r="A145" s="749" t="s">
        <v>190</v>
      </c>
      <c r="B145" s="749"/>
      <c r="C145" s="749"/>
      <c r="D145" s="152" t="s">
        <v>183</v>
      </c>
      <c r="E145" s="95">
        <f>'25'!F145</f>
        <v>0</v>
      </c>
      <c r="F145" s="149"/>
      <c r="G145" s="112">
        <f t="shared" si="11"/>
        <v>0</v>
      </c>
      <c r="H145" s="99">
        <f>G145+'25'!H145</f>
        <v>-2618.4</v>
      </c>
      <c r="I145" s="140"/>
      <c r="J145" s="348">
        <f>H145/DAY(B2)</f>
        <v>-100.70769230769231</v>
      </c>
    </row>
    <row r="146" spans="1:10" ht="27" customHeight="1" x14ac:dyDescent="0.5">
      <c r="A146" s="784" t="s">
        <v>191</v>
      </c>
      <c r="B146" s="769"/>
      <c r="C146" s="770"/>
      <c r="D146" s="152" t="s">
        <v>183</v>
      </c>
      <c r="E146" s="95">
        <f>'25'!F146</f>
        <v>0</v>
      </c>
      <c r="F146" s="148"/>
      <c r="G146" s="112">
        <f t="shared" si="11"/>
        <v>0</v>
      </c>
      <c r="H146" s="99">
        <f>G146+'25'!H146</f>
        <v>-1380251</v>
      </c>
      <c r="I146" s="140"/>
      <c r="J146" s="348">
        <f>H146/DAY(B2)</f>
        <v>-53086.576923076922</v>
      </c>
    </row>
    <row r="147" spans="1:10" ht="24" customHeight="1" x14ac:dyDescent="0.5">
      <c r="A147" s="728" t="s">
        <v>192</v>
      </c>
      <c r="B147" s="728"/>
      <c r="C147" s="728"/>
      <c r="D147" s="152" t="s">
        <v>183</v>
      </c>
      <c r="E147" s="95">
        <f>'25'!F147</f>
        <v>0</v>
      </c>
      <c r="F147" s="148"/>
      <c r="G147" s="112">
        <f t="shared" si="11"/>
        <v>0</v>
      </c>
      <c r="H147" s="99">
        <f>G147+'25'!H147</f>
        <v>-1159149.72</v>
      </c>
      <c r="I147" s="140"/>
      <c r="J147" s="348">
        <f>H147/DAY(B2)</f>
        <v>-44582.68153846154</v>
      </c>
    </row>
    <row r="148" spans="1:10" ht="23.25" customHeight="1" x14ac:dyDescent="0.5">
      <c r="A148" s="729" t="s">
        <v>193</v>
      </c>
      <c r="B148" s="730"/>
      <c r="C148" s="731"/>
      <c r="D148" s="123" t="s">
        <v>130</v>
      </c>
      <c r="E148" s="95">
        <f>'25'!F148</f>
        <v>0</v>
      </c>
      <c r="F148" s="150"/>
      <c r="G148" s="112">
        <f t="shared" si="11"/>
        <v>0</v>
      </c>
      <c r="H148" s="99">
        <f>G148+'25'!H148</f>
        <v>-1320350.54</v>
      </c>
      <c r="I148" s="124"/>
      <c r="J148" s="348">
        <f>H148/DAY(B2)</f>
        <v>-50782.713076923079</v>
      </c>
    </row>
    <row r="149" spans="1:10" ht="28.5" customHeight="1" x14ac:dyDescent="0.5">
      <c r="A149" s="729" t="s">
        <v>336</v>
      </c>
      <c r="B149" s="730"/>
      <c r="C149" s="731"/>
      <c r="D149" s="227" t="s">
        <v>130</v>
      </c>
      <c r="E149" s="95">
        <f>'25'!F149</f>
        <v>0</v>
      </c>
      <c r="F149" s="146"/>
      <c r="G149" s="112">
        <f t="shared" si="11"/>
        <v>0</v>
      </c>
      <c r="H149" s="99">
        <f>G149+'25'!H149</f>
        <v>-155505</v>
      </c>
      <c r="I149" s="119"/>
      <c r="J149" s="348">
        <f>H149/DAY(B2)</f>
        <v>-5980.9615384615381</v>
      </c>
    </row>
    <row r="150" spans="1:10" ht="29.25" customHeight="1" x14ac:dyDescent="0.5">
      <c r="A150" s="729" t="s">
        <v>337</v>
      </c>
      <c r="B150" s="730"/>
      <c r="C150" s="731"/>
      <c r="D150" s="117" t="s">
        <v>130</v>
      </c>
      <c r="E150" s="95">
        <f>'25'!F150</f>
        <v>0</v>
      </c>
      <c r="F150" s="233"/>
      <c r="G150" s="112">
        <f t="shared" si="11"/>
        <v>0</v>
      </c>
      <c r="H150" s="99">
        <f>G150+'25'!H150</f>
        <v>-14334464</v>
      </c>
      <c r="I150" s="119"/>
      <c r="J150" s="348">
        <f>H150/DAY(B2)</f>
        <v>-551325.5384615385</v>
      </c>
    </row>
    <row r="151" spans="1:10" ht="24.75" customHeight="1" x14ac:dyDescent="0.5">
      <c r="A151" s="729" t="s">
        <v>338</v>
      </c>
      <c r="B151" s="730"/>
      <c r="C151" s="731"/>
      <c r="D151" s="117" t="s">
        <v>130</v>
      </c>
      <c r="E151" s="95">
        <f>'25'!F151</f>
        <v>0</v>
      </c>
      <c r="F151" s="233"/>
      <c r="G151" s="112">
        <f t="shared" si="11"/>
        <v>0</v>
      </c>
      <c r="H151" s="99">
        <f>G151+'25'!H151</f>
        <v>-112419</v>
      </c>
      <c r="I151" s="119"/>
      <c r="J151" s="348">
        <f>H151/DAY(B2)</f>
        <v>-4323.8076923076924</v>
      </c>
    </row>
    <row r="152" spans="1:10" ht="27" customHeight="1" x14ac:dyDescent="0.5">
      <c r="A152" s="729" t="s">
        <v>339</v>
      </c>
      <c r="B152" s="730"/>
      <c r="C152" s="731"/>
      <c r="D152" s="117" t="s">
        <v>130</v>
      </c>
      <c r="E152" s="95">
        <f>'25'!F152</f>
        <v>0</v>
      </c>
      <c r="F152" s="233"/>
      <c r="G152" s="112">
        <f t="shared" si="11"/>
        <v>0</v>
      </c>
      <c r="H152" s="99">
        <f>G152+'25'!H152</f>
        <v>0</v>
      </c>
      <c r="I152" s="119"/>
      <c r="J152" s="348">
        <f>H152/DAY(B2)</f>
        <v>0</v>
      </c>
    </row>
    <row r="153" spans="1:10" ht="27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27" customHeight="1" x14ac:dyDescent="0.55000000000000004">
      <c r="A154" s="736" t="s">
        <v>344</v>
      </c>
      <c r="B154" s="736"/>
      <c r="C154" s="736"/>
      <c r="D154" s="736"/>
      <c r="E154" s="736"/>
      <c r="F154" s="736"/>
      <c r="G154" s="736"/>
      <c r="H154" s="736"/>
      <c r="I154" s="736"/>
      <c r="J154" s="736"/>
    </row>
    <row r="155" spans="1:10" ht="27" customHeight="1" x14ac:dyDescent="0.55000000000000004">
      <c r="A155" s="728" t="s">
        <v>345</v>
      </c>
      <c r="B155" s="728"/>
      <c r="C155" s="728"/>
      <c r="D155" s="117" t="s">
        <v>130</v>
      </c>
      <c r="E155" s="95">
        <f>'25'!F155</f>
        <v>0</v>
      </c>
      <c r="F155" s="385"/>
      <c r="G155" s="112">
        <f t="shared" ref="G155:G156" si="12">F155-E155</f>
        <v>0</v>
      </c>
      <c r="H155" s="99">
        <f>G155+'25'!H155</f>
        <v>-154178.09999999998</v>
      </c>
      <c r="I155" s="385"/>
      <c r="J155" s="348">
        <f>H155/DAY(B2)</f>
        <v>-5929.9269230769223</v>
      </c>
    </row>
    <row r="156" spans="1:10" ht="25.5" customHeight="1" x14ac:dyDescent="0.5">
      <c r="A156" s="728" t="s">
        <v>347</v>
      </c>
      <c r="B156" s="728"/>
      <c r="C156" s="728"/>
      <c r="D156" s="117" t="s">
        <v>130</v>
      </c>
      <c r="E156" s="95">
        <f>'25'!F156</f>
        <v>0</v>
      </c>
      <c r="F156" s="165"/>
      <c r="G156" s="112">
        <f t="shared" si="12"/>
        <v>0</v>
      </c>
      <c r="H156" s="99">
        <f>G156+'25'!H156</f>
        <v>0</v>
      </c>
      <c r="I156" s="165"/>
      <c r="J156" s="348">
        <f>H156/DAY(B2)</f>
        <v>0</v>
      </c>
    </row>
    <row r="157" spans="1:10" ht="28.5" customHeight="1" x14ac:dyDescent="0.55000000000000004">
      <c r="A157" s="736" t="s">
        <v>326</v>
      </c>
      <c r="B157" s="736"/>
      <c r="C157" s="736"/>
      <c r="D157" s="736"/>
      <c r="E157" s="736"/>
      <c r="F157" s="736"/>
      <c r="G157" s="736"/>
      <c r="H157" s="736"/>
      <c r="I157" s="736"/>
      <c r="J157" s="736"/>
    </row>
    <row r="158" spans="1:10" ht="20.100000000000001" customHeight="1" x14ac:dyDescent="0.5">
      <c r="A158" s="242" t="s">
        <v>92</v>
      </c>
      <c r="B158" s="243"/>
      <c r="C158" s="243"/>
      <c r="D158" s="244" t="s">
        <v>180</v>
      </c>
      <c r="E158" s="95">
        <f>'25'!F158</f>
        <v>463315</v>
      </c>
      <c r="F158" s="235">
        <v>463315</v>
      </c>
      <c r="G158" s="238">
        <f t="shared" ref="G158:G162" si="13">F158-E158</f>
        <v>0</v>
      </c>
      <c r="H158" s="99">
        <f>G158+'25'!H158</f>
        <v>-5764.4000000000233</v>
      </c>
      <c r="I158" s="236"/>
      <c r="J158" s="239">
        <f>H158/DAY(B2)</f>
        <v>-221.70769230769321</v>
      </c>
    </row>
    <row r="159" spans="1:10" ht="20.100000000000001" customHeight="1" x14ac:dyDescent="0.5">
      <c r="A159" s="242" t="s">
        <v>93</v>
      </c>
      <c r="B159" s="243"/>
      <c r="C159" s="243"/>
      <c r="D159" s="244" t="s">
        <v>180</v>
      </c>
      <c r="E159" s="95">
        <f>'25'!F159</f>
        <v>83899</v>
      </c>
      <c r="F159" s="235">
        <v>83899</v>
      </c>
      <c r="G159" s="238">
        <f t="shared" si="13"/>
        <v>0</v>
      </c>
      <c r="H159" s="99">
        <f>G159+'25'!H159</f>
        <v>-2351.3999999999942</v>
      </c>
      <c r="I159" s="236"/>
      <c r="J159" s="239">
        <f>H159/DAY(B2)</f>
        <v>-90.438461538461311</v>
      </c>
    </row>
    <row r="160" spans="1:10" ht="44.25" customHeight="1" x14ac:dyDescent="0.5">
      <c r="A160" s="242" t="s">
        <v>197</v>
      </c>
      <c r="B160" s="243"/>
      <c r="C160" s="243"/>
      <c r="D160" s="244" t="s">
        <v>180</v>
      </c>
      <c r="E160" s="95">
        <f>'25'!F160</f>
        <v>69089</v>
      </c>
      <c r="F160" s="235">
        <v>69089</v>
      </c>
      <c r="G160" s="238">
        <f t="shared" si="13"/>
        <v>0</v>
      </c>
      <c r="H160" s="99">
        <f>G160+'25'!H160</f>
        <v>-4894.1999999999971</v>
      </c>
      <c r="I160" s="236"/>
      <c r="J160" s="239">
        <f>H160/DAY(B2)</f>
        <v>-188.23846153846142</v>
      </c>
    </row>
    <row r="161" spans="1:10" ht="21.75" customHeight="1" x14ac:dyDescent="0.5">
      <c r="A161" s="242" t="s">
        <v>197</v>
      </c>
      <c r="B161" s="243"/>
      <c r="C161" s="243"/>
      <c r="D161" s="244" t="s">
        <v>180</v>
      </c>
      <c r="E161" s="95">
        <f>'25'!F161</f>
        <v>3611</v>
      </c>
      <c r="F161" s="235">
        <v>3611</v>
      </c>
      <c r="G161" s="238">
        <f t="shared" si="13"/>
        <v>0</v>
      </c>
      <c r="H161" s="99">
        <f>G161+'25'!H161</f>
        <v>-555.30000000000018</v>
      </c>
      <c r="I161" s="236"/>
      <c r="J161" s="239">
        <f>H161/DAY(B2)</f>
        <v>-21.357692307692314</v>
      </c>
    </row>
    <row r="162" spans="1:10" ht="21.75" customHeight="1" x14ac:dyDescent="0.5">
      <c r="A162" s="242" t="s">
        <v>309</v>
      </c>
      <c r="B162" s="243"/>
      <c r="C162" s="243"/>
      <c r="D162" s="244" t="s">
        <v>180</v>
      </c>
      <c r="E162" s="95">
        <f>'25'!F162</f>
        <v>28746</v>
      </c>
      <c r="F162" s="235">
        <v>28746</v>
      </c>
      <c r="G162" s="238">
        <f t="shared" si="13"/>
        <v>0</v>
      </c>
      <c r="H162" s="99">
        <f>G162+'25'!H162</f>
        <v>-566.7400000000016</v>
      </c>
      <c r="I162" s="236"/>
      <c r="J162" s="239">
        <f>H162/DAY(B2)</f>
        <v>-21.797692307692369</v>
      </c>
    </row>
    <row r="163" spans="1:10" ht="21.75" customHeight="1" x14ac:dyDescent="0.5">
      <c r="A163" s="737"/>
      <c r="B163" s="737"/>
      <c r="C163" s="247"/>
      <c r="D163" s="244" t="s">
        <v>180</v>
      </c>
      <c r="E163" s="95">
        <f>'25'!F163</f>
        <v>0</v>
      </c>
      <c r="F163" s="165"/>
      <c r="G163" s="165"/>
      <c r="H163" s="99">
        <f>G163+'25'!H163</f>
        <v>0</v>
      </c>
      <c r="I163" s="165"/>
      <c r="J163" s="239">
        <f>H163/DAY(B2)</f>
        <v>0</v>
      </c>
    </row>
    <row r="164" spans="1:10" ht="21.75" customHeight="1" x14ac:dyDescent="0.5">
      <c r="A164" s="737"/>
      <c r="B164" s="737"/>
      <c r="C164" s="247"/>
      <c r="D164" s="244" t="s">
        <v>180</v>
      </c>
      <c r="E164" s="95">
        <f>'25'!F164</f>
        <v>0</v>
      </c>
      <c r="F164" s="165"/>
      <c r="G164" s="165"/>
      <c r="H164" s="99">
        <f>G164+'25'!H164</f>
        <v>0</v>
      </c>
      <c r="I164" s="165"/>
      <c r="J164" s="239">
        <f>H164/DAY(B2)</f>
        <v>0</v>
      </c>
    </row>
    <row r="165" spans="1:10" ht="21.75" customHeight="1" x14ac:dyDescent="0.5">
      <c r="A165" s="737"/>
      <c r="B165" s="737"/>
      <c r="C165" s="247"/>
      <c r="D165" s="244" t="s">
        <v>180</v>
      </c>
      <c r="E165" s="95">
        <f>'25'!F165</f>
        <v>0</v>
      </c>
      <c r="F165" s="165"/>
      <c r="G165" s="165"/>
      <c r="H165" s="99">
        <f>G165+'25'!H165</f>
        <v>0</v>
      </c>
      <c r="I165" s="165"/>
      <c r="J165" s="239">
        <f>H165/DAY(B2)</f>
        <v>0</v>
      </c>
    </row>
    <row r="166" spans="1:10" ht="21.75" customHeight="1" x14ac:dyDescent="0.5"/>
    <row r="167" spans="1:10" ht="21.75" customHeight="1" x14ac:dyDescent="0.5"/>
    <row r="168" spans="1:10" ht="21.75" customHeight="1" x14ac:dyDescent="0.35">
      <c r="A168" s="738" t="s">
        <v>330</v>
      </c>
      <c r="B168" s="739"/>
      <c r="C168" s="739"/>
      <c r="D168" s="739"/>
      <c r="E168" s="739"/>
      <c r="F168" s="739"/>
      <c r="G168" s="739"/>
      <c r="H168" s="739"/>
      <c r="I168" s="739"/>
      <c r="J168" s="740"/>
    </row>
    <row r="169" spans="1:10" ht="21.75" customHeight="1" x14ac:dyDescent="0.5">
      <c r="A169" s="747"/>
      <c r="B169" s="748"/>
      <c r="C169" s="352"/>
      <c r="D169" s="228"/>
      <c r="E169" s="155"/>
      <c r="F169" s="155"/>
      <c r="G169" s="155"/>
      <c r="H169" s="156"/>
      <c r="I169" s="155"/>
      <c r="J169" s="178"/>
    </row>
    <row r="170" spans="1:10" ht="21.75" customHeight="1" x14ac:dyDescent="0.5">
      <c r="A170" s="743" t="s">
        <v>209</v>
      </c>
      <c r="B170" s="744"/>
      <c r="C170" s="353"/>
      <c r="D170" s="228" t="s">
        <v>142</v>
      </c>
      <c r="E170" s="95">
        <f>'25'!F170</f>
        <v>7961</v>
      </c>
      <c r="F170" s="155">
        <v>7961</v>
      </c>
      <c r="G170" s="155">
        <f>F170-E170</f>
        <v>0</v>
      </c>
      <c r="H170" s="99">
        <f>G170+'25'!H170</f>
        <v>129</v>
      </c>
      <c r="I170" s="155"/>
      <c r="J170" s="178">
        <f>H170/DAY(B2)</f>
        <v>4.9615384615384617</v>
      </c>
    </row>
    <row r="171" spans="1:10" ht="21.75" customHeight="1" x14ac:dyDescent="0.5">
      <c r="A171" s="743" t="s">
        <v>75</v>
      </c>
      <c r="B171" s="744"/>
      <c r="C171" s="353"/>
      <c r="D171" s="228" t="s">
        <v>142</v>
      </c>
      <c r="E171" s="95">
        <f>'25'!F171</f>
        <v>36765</v>
      </c>
      <c r="F171" s="157">
        <v>36765</v>
      </c>
      <c r="G171" s="155">
        <f t="shared" ref="G171:G172" si="14">F171-E171</f>
        <v>0</v>
      </c>
      <c r="H171" s="99">
        <f>G171+'25'!H171</f>
        <v>-332</v>
      </c>
      <c r="I171" s="155"/>
      <c r="J171" s="178">
        <f>H171/DAY(B2)</f>
        <v>-12.76923076923077</v>
      </c>
    </row>
    <row r="172" spans="1:10" ht="21.75" customHeight="1" x14ac:dyDescent="0.5">
      <c r="A172" s="743" t="s">
        <v>76</v>
      </c>
      <c r="B172" s="783"/>
      <c r="C172" s="744"/>
      <c r="D172" s="228" t="s">
        <v>142</v>
      </c>
      <c r="E172" s="95">
        <f>'25'!F172</f>
        <v>20214</v>
      </c>
      <c r="F172" s="155">
        <v>20214</v>
      </c>
      <c r="G172" s="155">
        <f t="shared" si="14"/>
        <v>0</v>
      </c>
      <c r="H172" s="99">
        <f>G172+'25'!H172</f>
        <v>-687</v>
      </c>
      <c r="I172" s="155"/>
      <c r="J172" s="178">
        <f>H172/DAY(B2)</f>
        <v>-26.423076923076923</v>
      </c>
    </row>
    <row r="173" spans="1:10" ht="21.75" customHeight="1" x14ac:dyDescent="0.5">
      <c r="A173" s="732" t="s">
        <v>196</v>
      </c>
      <c r="B173" s="733"/>
      <c r="C173" s="611"/>
      <c r="D173" s="228" t="s">
        <v>142</v>
      </c>
      <c r="E173" s="95"/>
      <c r="F173" s="155"/>
      <c r="G173" s="155">
        <f>SUM(G170:G172)</f>
        <v>0</v>
      </c>
      <c r="H173" s="99">
        <f>G173+'25'!H173</f>
        <v>-890</v>
      </c>
      <c r="I173" s="155"/>
      <c r="J173" s="178">
        <f>H173/DAY(B2)</f>
        <v>-34.230769230769234</v>
      </c>
    </row>
    <row r="174" spans="1:10" ht="21.75" customHeight="1" x14ac:dyDescent="0.5">
      <c r="A174" s="743" t="s">
        <v>77</v>
      </c>
      <c r="B174" s="744"/>
      <c r="C174" s="353"/>
      <c r="D174" s="228" t="s">
        <v>142</v>
      </c>
      <c r="E174" s="95"/>
      <c r="F174" s="155"/>
      <c r="G174" s="155"/>
      <c r="H174" s="99">
        <f>G174+'25'!H174</f>
        <v>0</v>
      </c>
      <c r="I174" s="155"/>
      <c r="J174" s="178">
        <f>H174/DAY(B2)</f>
        <v>0</v>
      </c>
    </row>
    <row r="175" spans="1:10" ht="21.75" customHeight="1" x14ac:dyDescent="0.5">
      <c r="A175" s="743" t="s">
        <v>210</v>
      </c>
      <c r="B175" s="744"/>
      <c r="C175" s="353"/>
      <c r="D175" s="228" t="s">
        <v>142</v>
      </c>
      <c r="E175" s="95">
        <f>'25'!F175</f>
        <v>69524</v>
      </c>
      <c r="F175" s="155">
        <v>69524</v>
      </c>
      <c r="G175" s="155">
        <f>F175-E175</f>
        <v>0</v>
      </c>
      <c r="H175" s="99">
        <f>G175+'25'!H175</f>
        <v>-6303</v>
      </c>
      <c r="I175" s="155"/>
      <c r="J175" s="178">
        <f>H175/DAY(B2)</f>
        <v>-242.42307692307693</v>
      </c>
    </row>
    <row r="176" spans="1:10" ht="24" customHeight="1" x14ac:dyDescent="0.5">
      <c r="A176" s="743" t="s">
        <v>211</v>
      </c>
      <c r="B176" s="744"/>
      <c r="C176" s="353"/>
      <c r="D176" s="228" t="s">
        <v>142</v>
      </c>
      <c r="E176" s="95">
        <f>'25'!F176</f>
        <v>33886</v>
      </c>
      <c r="F176" s="155">
        <v>33886</v>
      </c>
      <c r="G176" s="155">
        <f t="shared" ref="G176:G177" si="15">F176-E176</f>
        <v>0</v>
      </c>
      <c r="H176" s="99">
        <f>G176+'25'!H176</f>
        <v>0</v>
      </c>
      <c r="I176" s="155"/>
      <c r="J176" s="178">
        <f>H176/DAY(B2)</f>
        <v>0</v>
      </c>
    </row>
    <row r="177" spans="1:10" ht="27.75" x14ac:dyDescent="0.5">
      <c r="A177" s="743" t="s">
        <v>212</v>
      </c>
      <c r="B177" s="744"/>
      <c r="C177" s="353"/>
      <c r="D177" s="228" t="s">
        <v>142</v>
      </c>
      <c r="E177" s="95">
        <f>'25'!F177</f>
        <v>4788</v>
      </c>
      <c r="F177" s="155">
        <v>4788</v>
      </c>
      <c r="G177" s="155">
        <f t="shared" si="15"/>
        <v>0</v>
      </c>
      <c r="H177" s="99">
        <f>G177+'25'!H177</f>
        <v>-3190</v>
      </c>
      <c r="I177" s="155"/>
      <c r="J177" s="178">
        <f>H177/DAY(B2)</f>
        <v>-122.69230769230769</v>
      </c>
    </row>
    <row r="178" spans="1:10" ht="27.75" x14ac:dyDescent="0.5">
      <c r="A178" s="745" t="s">
        <v>108</v>
      </c>
      <c r="B178" s="746"/>
      <c r="C178" s="611"/>
      <c r="D178" s="228" t="s">
        <v>142</v>
      </c>
      <c r="E178" s="95"/>
      <c r="F178" s="155"/>
      <c r="G178" s="155">
        <f>SUM(G175:G177)</f>
        <v>0</v>
      </c>
      <c r="H178" s="99">
        <f>G178+'25'!H178</f>
        <v>-9493</v>
      </c>
      <c r="I178" s="155"/>
      <c r="J178" s="178">
        <f>H178/DAY(B2)</f>
        <v>-365.11538461538464</v>
      </c>
    </row>
    <row r="179" spans="1:10" ht="27.75" x14ac:dyDescent="0.5">
      <c r="A179" s="743" t="s">
        <v>213</v>
      </c>
      <c r="B179" s="744"/>
      <c r="C179" s="353"/>
      <c r="D179" s="228" t="s">
        <v>142</v>
      </c>
      <c r="E179" s="95"/>
      <c r="F179" s="155"/>
      <c r="G179" s="155"/>
      <c r="H179" s="99">
        <f>G179+'25'!H179</f>
        <v>0</v>
      </c>
      <c r="I179" s="155"/>
      <c r="J179" s="178">
        <f>H179/DAY(B2)</f>
        <v>0</v>
      </c>
    </row>
    <row r="180" spans="1:10" ht="27.75" x14ac:dyDescent="0.5">
      <c r="A180" s="743" t="s">
        <v>214</v>
      </c>
      <c r="B180" s="744"/>
      <c r="C180" s="354"/>
      <c r="D180" s="228" t="s">
        <v>142</v>
      </c>
      <c r="E180" s="95">
        <f>'25'!F180</f>
        <v>13038</v>
      </c>
      <c r="F180" s="157">
        <v>13038</v>
      </c>
      <c r="G180" s="157">
        <f>F180-E180</f>
        <v>0</v>
      </c>
      <c r="H180" s="99">
        <f>G180+'25'!H180</f>
        <v>-1253</v>
      </c>
      <c r="I180" s="155"/>
      <c r="J180" s="178">
        <f>H180/DAY(B2)</f>
        <v>-48.192307692307693</v>
      </c>
    </row>
    <row r="181" spans="1:10" ht="27.75" x14ac:dyDescent="0.5">
      <c r="A181" s="743" t="s">
        <v>215</v>
      </c>
      <c r="B181" s="744"/>
      <c r="C181" s="354"/>
      <c r="D181" s="228" t="s">
        <v>142</v>
      </c>
      <c r="E181" s="95">
        <f>'25'!F181</f>
        <v>9126</v>
      </c>
      <c r="F181" s="157">
        <v>9126</v>
      </c>
      <c r="G181" s="157">
        <f t="shared" ref="G181:G182" si="16">F181-E181</f>
        <v>0</v>
      </c>
      <c r="H181" s="99">
        <f>G181+'25'!H181</f>
        <v>-794</v>
      </c>
      <c r="I181" s="155"/>
      <c r="J181" s="178">
        <f>H181/DAY(B2)</f>
        <v>-30.53846153846154</v>
      </c>
    </row>
    <row r="182" spans="1:10" ht="24" customHeight="1" x14ac:dyDescent="0.5">
      <c r="A182" s="743" t="s">
        <v>216</v>
      </c>
      <c r="B182" s="744"/>
      <c r="C182" s="354"/>
      <c r="D182" s="228" t="s">
        <v>142</v>
      </c>
      <c r="E182" s="95">
        <f>'25'!F182</f>
        <v>0</v>
      </c>
      <c r="F182" s="157"/>
      <c r="G182" s="157">
        <f t="shared" si="16"/>
        <v>0</v>
      </c>
      <c r="H182" s="99">
        <f>G182+'25'!H182</f>
        <v>0</v>
      </c>
      <c r="I182" s="155"/>
      <c r="J182" s="178">
        <f>H182/DAY(B2)</f>
        <v>0</v>
      </c>
    </row>
    <row r="183" spans="1:10" ht="27.75" x14ac:dyDescent="0.5">
      <c r="A183" s="732" t="s">
        <v>196</v>
      </c>
      <c r="B183" s="733"/>
      <c r="C183" s="610"/>
      <c r="D183" s="228" t="s">
        <v>142</v>
      </c>
      <c r="E183" s="95"/>
      <c r="F183" s="157"/>
      <c r="G183" s="157">
        <f>SUM(G180:G182)</f>
        <v>0</v>
      </c>
      <c r="H183" s="99">
        <f>G183+'25'!H183</f>
        <v>-2047</v>
      </c>
      <c r="I183" s="157"/>
      <c r="J183" s="178">
        <f>H183/DAY(B2)</f>
        <v>-78.730769230769226</v>
      </c>
    </row>
    <row r="184" spans="1:10" ht="27.75" x14ac:dyDescent="0.5">
      <c r="A184" s="734" t="s">
        <v>217</v>
      </c>
      <c r="B184" s="735"/>
      <c r="C184" s="353"/>
      <c r="D184" s="228" t="s">
        <v>142</v>
      </c>
      <c r="E184" s="95">
        <f>'25'!F184</f>
        <v>0</v>
      </c>
      <c r="F184" s="159"/>
      <c r="G184" s="588">
        <f>G62+G19</f>
        <v>60</v>
      </c>
      <c r="H184" s="99">
        <f>G184+'25'!H184</f>
        <v>-6122</v>
      </c>
      <c r="I184" s="158"/>
      <c r="J184" s="179">
        <f>H184/DAY(B2)</f>
        <v>-235.46153846153845</v>
      </c>
    </row>
    <row r="185" spans="1:10" ht="27.75" x14ac:dyDescent="0.5">
      <c r="A185" s="734" t="s">
        <v>218</v>
      </c>
      <c r="B185" s="735"/>
      <c r="C185" s="353"/>
      <c r="D185" s="228" t="s">
        <v>142</v>
      </c>
      <c r="E185" s="95">
        <f>'25'!F185</f>
        <v>0</v>
      </c>
      <c r="F185" s="159"/>
      <c r="G185" s="588">
        <f>G65+G66+G67+G69+G70</f>
        <v>0</v>
      </c>
      <c r="H185" s="99">
        <f>G185+'25'!H185</f>
        <v>-14514</v>
      </c>
      <c r="I185" s="158"/>
      <c r="J185" s="179">
        <f>H185/DAY(B2)</f>
        <v>-558.23076923076928</v>
      </c>
    </row>
    <row r="186" spans="1:10" ht="27.75" x14ac:dyDescent="0.5">
      <c r="A186" s="734" t="s">
        <v>219</v>
      </c>
      <c r="B186" s="735"/>
      <c r="C186" s="353"/>
      <c r="D186" s="228" t="s">
        <v>142</v>
      </c>
      <c r="E186" s="95">
        <f>'25'!F186</f>
        <v>0</v>
      </c>
      <c r="F186" s="157"/>
      <c r="G186" s="585">
        <f>G178</f>
        <v>0</v>
      </c>
      <c r="H186" s="99">
        <f>G186+'25'!H186</f>
        <v>-7040</v>
      </c>
      <c r="I186" s="158"/>
      <c r="J186" s="179">
        <f>H186/DAY(B2)</f>
        <v>-270.76923076923077</v>
      </c>
    </row>
    <row r="187" spans="1:10" ht="27.75" x14ac:dyDescent="0.5">
      <c r="A187" s="741"/>
      <c r="B187" s="742"/>
      <c r="C187" s="609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1">
    <mergeCell ref="A75:C75"/>
    <mergeCell ref="A76:C76"/>
    <mergeCell ref="A77:C77"/>
    <mergeCell ref="A71:C71"/>
    <mergeCell ref="A72:B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93:C93"/>
    <mergeCell ref="A94:C94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78:C78"/>
    <mergeCell ref="A97:C97"/>
    <mergeCell ref="A98:C98"/>
    <mergeCell ref="A99:C99"/>
    <mergeCell ref="A100:C100"/>
    <mergeCell ref="A181:B181"/>
    <mergeCell ref="A180:B180"/>
    <mergeCell ref="A177:B177"/>
    <mergeCell ref="A178:B178"/>
    <mergeCell ref="A179:B179"/>
    <mergeCell ref="A172:C172"/>
    <mergeCell ref="A174:B174"/>
    <mergeCell ref="A175:B175"/>
    <mergeCell ref="A176:B176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12:C112"/>
    <mergeCell ref="A113:C113"/>
    <mergeCell ref="A102:C102"/>
    <mergeCell ref="A128:C128"/>
    <mergeCell ref="A142:C14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</mergeCells>
  <pageMargins left="0.22" right="0.17" top="0.14000000000000001" bottom="0.2" header="0.2" footer="0.2"/>
  <pageSetup paperSize="5" scale="23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698"/>
  <sheetViews>
    <sheetView view="pageBreakPreview" topLeftCell="A157" zoomScale="55" zoomScaleSheetLayoutView="55" workbookViewId="0">
      <selection activeCell="G185" sqref="G18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89" t="s">
        <v>115</v>
      </c>
      <c r="B1" s="790"/>
      <c r="C1" s="790"/>
      <c r="D1" s="790"/>
      <c r="E1" s="790"/>
      <c r="F1" s="790"/>
      <c r="G1" s="790"/>
      <c r="H1" s="790"/>
      <c r="I1" s="790"/>
      <c r="J1" s="791"/>
    </row>
    <row r="2" spans="1:15" s="57" customFormat="1" ht="27" x14ac:dyDescent="0.5">
      <c r="A2" s="191" t="s">
        <v>303</v>
      </c>
      <c r="B2" s="266">
        <v>44496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98" t="s">
        <v>119</v>
      </c>
      <c r="F3" s="79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92" t="s">
        <v>128</v>
      </c>
      <c r="B6" s="793"/>
      <c r="C6" s="79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'26'!F7</f>
        <v>547179.47</v>
      </c>
      <c r="F7" s="95">
        <f>E7+23000</f>
        <v>570179.47</v>
      </c>
      <c r="G7" s="112">
        <f>F7-E7</f>
        <v>23000</v>
      </c>
      <c r="H7" s="99">
        <f>G7+'26'!H7</f>
        <v>625937.06999999983</v>
      </c>
      <c r="I7" s="113">
        <f>'1'!I7</f>
        <v>12000</v>
      </c>
      <c r="J7" s="175">
        <f>H7/DAY(B2)</f>
        <v>23182.854444444438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'26'!F8</f>
        <v>567929.75</v>
      </c>
      <c r="F8" s="114">
        <f>E8+23050</f>
        <v>590979.75</v>
      </c>
      <c r="G8" s="115">
        <f>F8-E8</f>
        <v>23050</v>
      </c>
      <c r="H8" s="99">
        <f>G8+'26'!H8</f>
        <v>632312.75</v>
      </c>
      <c r="I8" s="116"/>
      <c r="J8" s="175">
        <f>H8/DAY(B2)</f>
        <v>23418.990740740741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'26'!F9</f>
        <v>1230976.8999999999</v>
      </c>
      <c r="F9" s="117">
        <f>E9+23000</f>
        <v>1253976.8999999999</v>
      </c>
      <c r="G9" s="112">
        <f>F9-E9</f>
        <v>23000</v>
      </c>
      <c r="H9" s="99">
        <f>G9+'26'!H9</f>
        <v>546186.89999999979</v>
      </c>
      <c r="I9" s="124">
        <f>I7-J7</f>
        <v>-11182.854444444438</v>
      </c>
      <c r="J9" s="175">
        <f>H9/DAY(B2)</f>
        <v>20229.144444444435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'26'!F10</f>
        <v>2607</v>
      </c>
      <c r="F10" s="117">
        <v>2607</v>
      </c>
      <c r="G10" s="112">
        <f t="shared" ref="G10:G12" si="0">F10-E10</f>
        <v>0</v>
      </c>
      <c r="H10" s="99">
        <f>G10+'26'!H10</f>
        <v>-57966</v>
      </c>
      <c r="I10" s="286"/>
      <c r="J10" s="175">
        <f>H10/DAY(B2)</f>
        <v>-2146.8888888888887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'26'!F11</f>
        <v>37000</v>
      </c>
      <c r="F11" s="95">
        <v>37000</v>
      </c>
      <c r="G11" s="112">
        <f t="shared" si="0"/>
        <v>0</v>
      </c>
      <c r="H11" s="99">
        <f>G11+'26'!H11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'26'!F12</f>
        <v>40010</v>
      </c>
      <c r="F12" s="117">
        <v>40010</v>
      </c>
      <c r="G12" s="112">
        <f t="shared" si="0"/>
        <v>0</v>
      </c>
      <c r="H12" s="99">
        <f>G12+'26'!H12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23000</v>
      </c>
      <c r="H13" s="99">
        <f>G13+'26'!H13</f>
        <v>466675.14999999979</v>
      </c>
      <c r="I13" s="120">
        <f>G7-G13</f>
        <v>0</v>
      </c>
      <c r="J13" s="175">
        <f>H13/DAY(B2)</f>
        <v>17284.264814814807</v>
      </c>
      <c r="K13" s="79"/>
      <c r="L13" s="66"/>
      <c r="N13" s="87"/>
      <c r="O13" s="71"/>
    </row>
    <row r="14" spans="1:15" ht="29.25" x14ac:dyDescent="0.5">
      <c r="A14" s="795" t="s">
        <v>137</v>
      </c>
      <c r="B14" s="796"/>
      <c r="C14" s="79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'26'!F15</f>
        <v>1808117.8829999999</v>
      </c>
      <c r="F15" s="123">
        <f>E15+875</f>
        <v>1808992.8829999999</v>
      </c>
      <c r="G15" s="112">
        <f>(F15-E15)</f>
        <v>875</v>
      </c>
      <c r="H15" s="99">
        <f>G15+'26'!H15</f>
        <v>25659.882999999914</v>
      </c>
      <c r="I15" s="113">
        <f>'1'!I15</f>
        <v>800</v>
      </c>
      <c r="J15" s="175">
        <f>H15/DAY(B2)</f>
        <v>950.36603703703383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-150.36603703703383</v>
      </c>
      <c r="J16" s="176"/>
      <c r="K16" s="79"/>
      <c r="L16" s="66"/>
      <c r="N16" s="87"/>
      <c r="O16" s="71"/>
    </row>
    <row r="17" spans="1:15" ht="29.25" x14ac:dyDescent="0.5">
      <c r="A17" s="795" t="s">
        <v>140</v>
      </c>
      <c r="B17" s="796"/>
      <c r="C17" s="79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1" t="s">
        <v>141</v>
      </c>
      <c r="B18" s="772"/>
      <c r="C18" s="773"/>
      <c r="D18" s="151" t="s">
        <v>142</v>
      </c>
      <c r="E18" s="95">
        <f>'26'!F18</f>
        <v>14</v>
      </c>
      <c r="F18" s="122">
        <v>14</v>
      </c>
      <c r="G18" s="119">
        <f>F18*10</f>
        <v>140</v>
      </c>
      <c r="H18" s="99">
        <f>G18+'26'!H18</f>
        <v>4720</v>
      </c>
      <c r="I18" s="113">
        <f>'1'!I18</f>
        <v>65</v>
      </c>
      <c r="J18" s="175">
        <f>H18/DAY(B2)</f>
        <v>174.81481481481481</v>
      </c>
      <c r="K18" s="79"/>
      <c r="L18" s="66"/>
      <c r="N18" s="87"/>
      <c r="O18" s="71"/>
    </row>
    <row r="19" spans="1:15" ht="27.75" x14ac:dyDescent="0.5">
      <c r="A19" s="771" t="s">
        <v>69</v>
      </c>
      <c r="B19" s="772"/>
      <c r="C19" s="773"/>
      <c r="D19" s="151" t="s">
        <v>142</v>
      </c>
      <c r="E19" s="95">
        <f>'26'!F19</f>
        <v>148585</v>
      </c>
      <c r="F19" s="122">
        <f>E19+60</f>
        <v>148645</v>
      </c>
      <c r="G19" s="112">
        <f t="shared" ref="G19" si="1">F19-E19</f>
        <v>60</v>
      </c>
      <c r="H19" s="99">
        <f>G19+'26'!H19</f>
        <v>1593</v>
      </c>
      <c r="I19" s="355"/>
      <c r="J19" s="175">
        <f>H19/DAY(B2)</f>
        <v>59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200</v>
      </c>
      <c r="H20" s="99">
        <f>G20+'26'!H20</f>
        <v>6313</v>
      </c>
      <c r="I20" s="356">
        <f>I18-J20</f>
        <v>-168.81481481481481</v>
      </c>
      <c r="J20" s="175">
        <f>H20/DAY(B2)</f>
        <v>233.81481481481481</v>
      </c>
      <c r="K20" s="79"/>
      <c r="L20" s="66"/>
      <c r="N20" s="87"/>
      <c r="O20" s="71"/>
    </row>
    <row r="21" spans="1:15" ht="29.25" x14ac:dyDescent="0.5">
      <c r="A21" s="795" t="s">
        <v>144</v>
      </c>
      <c r="B21" s="796"/>
      <c r="C21" s="79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9">
        <f t="shared" ref="G22" si="2">(F22-E22)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'26'!F23</f>
        <v>2000</v>
      </c>
      <c r="F23" s="122">
        <v>2000</v>
      </c>
      <c r="G23" s="119">
        <v>0</v>
      </c>
      <c r="H23" s="99">
        <f>G23+'26'!H23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'26'!F24</f>
        <v>4970</v>
      </c>
      <c r="F24" s="128">
        <v>4970</v>
      </c>
      <c r="G24" s="119">
        <v>0</v>
      </c>
      <c r="H24" s="99">
        <f>G24+'26'!H24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0" t="s">
        <v>149</v>
      </c>
      <c r="B25" s="801"/>
      <c r="C25" s="80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23050</v>
      </c>
      <c r="F27" s="136">
        <v>9</v>
      </c>
      <c r="G27" s="137">
        <f>E27*F27</f>
        <v>207450</v>
      </c>
      <c r="H27" s="99">
        <f>G27+'26'!H27</f>
        <v>5690814.75</v>
      </c>
      <c r="I27" s="138"/>
      <c r="J27" s="175">
        <f>H27/DAY(B2)</f>
        <v>210770.91666666666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875</v>
      </c>
      <c r="F28" s="136">
        <v>52</v>
      </c>
      <c r="G28" s="137">
        <f>E28*F28</f>
        <v>45500</v>
      </c>
      <c r="H28" s="99">
        <f>G28+'26'!H28</f>
        <v>1334313.9159999955</v>
      </c>
      <c r="I28" s="140"/>
      <c r="J28" s="175">
        <f>H28/DAY(B2)</f>
        <v>49419.03392592576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G30+'26'!H30</f>
        <v>232578</v>
      </c>
      <c r="I30" s="140"/>
      <c r="J30" s="175">
        <f>H30/DAY(B2)</f>
        <v>8614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G31+'26'!H31</f>
        <v>377600</v>
      </c>
      <c r="I31" s="140"/>
      <c r="J31" s="175">
        <f>H31/DAY(B2)</f>
        <v>13985.185185185184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272910</v>
      </c>
      <c r="H32" s="99">
        <f>G32+'26'!H32</f>
        <v>7635306.6659999955</v>
      </c>
      <c r="I32" s="144"/>
      <c r="J32" s="175">
        <f>H32/DAY(B2)</f>
        <v>282789.13577777758</v>
      </c>
      <c r="K32" s="63"/>
      <c r="L32" s="89"/>
      <c r="N32" s="87"/>
      <c r="O32" s="71"/>
    </row>
    <row r="33" spans="1:15" ht="25.5" customHeight="1" x14ac:dyDescent="0.35">
      <c r="A33" s="803" t="s">
        <v>331</v>
      </c>
      <c r="B33" s="804"/>
      <c r="C33" s="804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'26'!F35</f>
        <v>1058597</v>
      </c>
      <c r="F35" s="145">
        <v>1058597</v>
      </c>
      <c r="G35" s="112">
        <f t="shared" ref="G35:G46" si="3">F35-E35</f>
        <v>0</v>
      </c>
      <c r="H35" s="99">
        <f>G35+'26'!H35</f>
        <v>2111685.6</v>
      </c>
      <c r="I35" s="95"/>
      <c r="J35" s="175">
        <f>H35/DAY(B2)</f>
        <v>78210.577777777784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'26'!F36</f>
        <v>1833</v>
      </c>
      <c r="F36" s="145">
        <v>1833</v>
      </c>
      <c r="G36" s="112">
        <f t="shared" si="3"/>
        <v>0</v>
      </c>
      <c r="H36" s="99">
        <f>G36+'26'!H36</f>
        <v>-57914.1</v>
      </c>
      <c r="I36" s="95"/>
      <c r="J36" s="175">
        <f>H36/DAY(B2)</f>
        <v>-2144.9666666666667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'26'!F37</f>
        <v>2775</v>
      </c>
      <c r="F37" s="145">
        <v>2775</v>
      </c>
      <c r="G37" s="112">
        <f t="shared" si="3"/>
        <v>0</v>
      </c>
      <c r="H37" s="99">
        <f>G37+'26'!H37</f>
        <v>-131866.87</v>
      </c>
      <c r="I37" s="95"/>
      <c r="J37" s="175">
        <f>H37/DAY(B2)</f>
        <v>-4883.9581481481482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'26'!F38</f>
        <v>4823</v>
      </c>
      <c r="F38" s="108">
        <v>4823</v>
      </c>
      <c r="G38" s="112">
        <f t="shared" si="3"/>
        <v>0</v>
      </c>
      <c r="H38" s="99">
        <f>G38+'26'!H38</f>
        <v>-137077.6</v>
      </c>
      <c r="I38" s="95"/>
      <c r="J38" s="175">
        <f>H38/DAY(B2)</f>
        <v>-5076.948148148148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'26'!F39</f>
        <v>637915</v>
      </c>
      <c r="F39" s="145">
        <v>637915</v>
      </c>
      <c r="G39" s="112">
        <f t="shared" si="3"/>
        <v>0</v>
      </c>
      <c r="H39" s="99">
        <f>G39+'26'!H39</f>
        <v>958234.97</v>
      </c>
      <c r="I39" s="95"/>
      <c r="J39" s="175">
        <f>H39/DAY(B2)</f>
        <v>35490.184074074074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'26'!F40</f>
        <v>34599</v>
      </c>
      <c r="F40" s="145">
        <v>34599</v>
      </c>
      <c r="G40" s="112">
        <f t="shared" si="3"/>
        <v>0</v>
      </c>
      <c r="H40" s="99">
        <f>G40+'26'!H40</f>
        <v>69191.77</v>
      </c>
      <c r="I40" s="95"/>
      <c r="J40" s="175">
        <f>H40/DAY(B2)</f>
        <v>2562.6581481481485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'26'!F41</f>
        <v>433281.79</v>
      </c>
      <c r="F41" s="145">
        <v>433281.79</v>
      </c>
      <c r="G41" s="112">
        <f t="shared" si="3"/>
        <v>0</v>
      </c>
      <c r="H41" s="99">
        <f>G41+'26'!H41</f>
        <v>-177234.68000000011</v>
      </c>
      <c r="I41" s="95"/>
      <c r="J41" s="175">
        <f>H41/DAY(B2)</f>
        <v>-6564.2474074074116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'26'!F42</f>
        <v>175112</v>
      </c>
      <c r="F42" s="145">
        <v>175112</v>
      </c>
      <c r="G42" s="112">
        <f t="shared" si="3"/>
        <v>0</v>
      </c>
      <c r="H42" s="99">
        <f>G42+'26'!H42</f>
        <v>-162623.49</v>
      </c>
      <c r="I42" s="95"/>
      <c r="J42" s="175">
        <f>H42/DAY(B2)</f>
        <v>-6023.0922222222216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'26'!F43</f>
        <v>1289745</v>
      </c>
      <c r="F43" s="145">
        <v>1289745</v>
      </c>
      <c r="G43" s="112">
        <f t="shared" si="3"/>
        <v>0</v>
      </c>
      <c r="H43" s="99">
        <f>G43+'26'!H43</f>
        <v>-191251.19999999995</v>
      </c>
      <c r="I43" s="95"/>
      <c r="J43" s="175">
        <f>H43/DAY(B2)</f>
        <v>-7083.3777777777759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'26'!F45</f>
        <v>614</v>
      </c>
      <c r="F45" s="145">
        <v>614</v>
      </c>
      <c r="G45" s="112">
        <f t="shared" si="3"/>
        <v>0</v>
      </c>
      <c r="H45" s="99">
        <f>G45+'26'!H45</f>
        <v>1228</v>
      </c>
      <c r="I45" s="95"/>
      <c r="J45" s="175">
        <f>H45/DAY(B2)</f>
        <v>45.481481481481481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'26'!F46</f>
        <v>187</v>
      </c>
      <c r="F46" s="145">
        <v>187</v>
      </c>
      <c r="G46" s="112">
        <f t="shared" si="3"/>
        <v>0</v>
      </c>
      <c r="H46" s="99">
        <f>G46+'26'!H46</f>
        <v>374</v>
      </c>
      <c r="I46" s="95"/>
      <c r="J46" s="175">
        <f>H46/DAY(B2)</f>
        <v>13.851851851851851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0</v>
      </c>
      <c r="H47" s="99">
        <f>G47+'26'!H47</f>
        <v>2282746.4</v>
      </c>
      <c r="I47" s="95"/>
      <c r="J47" s="175">
        <f>H47/DAY(B2)</f>
        <v>84546.162962962961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'26'!F49</f>
        <v>419822</v>
      </c>
      <c r="F49" s="145">
        <v>419822</v>
      </c>
      <c r="G49" s="112">
        <f t="shared" ref="G49:G58" si="4">F49-E49</f>
        <v>0</v>
      </c>
      <c r="H49" s="99">
        <f>G49+'26'!H49</f>
        <v>596649.56000000006</v>
      </c>
      <c r="I49" s="95"/>
      <c r="J49" s="175">
        <f>H49/DAY(B2)</f>
        <v>22098.131851851853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'26'!F50</f>
        <v>607298</v>
      </c>
      <c r="F50" s="145">
        <v>607298</v>
      </c>
      <c r="G50" s="112">
        <f t="shared" si="4"/>
        <v>0</v>
      </c>
      <c r="H50" s="99">
        <f>G50+'26'!H50</f>
        <v>-93045.949999999953</v>
      </c>
      <c r="I50" s="95"/>
      <c r="J50" s="175">
        <f>H50/DAY(B2)</f>
        <v>-3446.1462962962946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'26'!F51</f>
        <v>144640</v>
      </c>
      <c r="F51" s="145">
        <v>144640</v>
      </c>
      <c r="G51" s="112">
        <f t="shared" si="4"/>
        <v>0</v>
      </c>
      <c r="H51" s="99">
        <f>G51+'26'!H51</f>
        <v>289280</v>
      </c>
      <c r="I51" s="95"/>
      <c r="J51" s="175">
        <f>H51/DAY(B2)</f>
        <v>10714.074074074075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'26'!F52</f>
        <v>539606</v>
      </c>
      <c r="F52" s="145">
        <v>539606</v>
      </c>
      <c r="G52" s="112">
        <f t="shared" si="4"/>
        <v>0</v>
      </c>
      <c r="H52" s="99">
        <f>G52+'26'!H52</f>
        <v>1079212</v>
      </c>
      <c r="I52" s="95"/>
      <c r="J52" s="175">
        <f>H52/DAY(B2)</f>
        <v>39970.814814814818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'26'!F53</f>
        <v>434232</v>
      </c>
      <c r="F53" s="145">
        <v>434232</v>
      </c>
      <c r="G53" s="112">
        <f t="shared" si="4"/>
        <v>0</v>
      </c>
      <c r="H53" s="99">
        <f>G53+'26'!H53</f>
        <v>868464</v>
      </c>
      <c r="I53" s="95"/>
      <c r="J53" s="175">
        <f>H53/DAY(B2)</f>
        <v>32165.333333333332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'26'!F54</f>
        <v>14967</v>
      </c>
      <c r="F54" s="145">
        <v>14967</v>
      </c>
      <c r="G54" s="112">
        <f t="shared" si="4"/>
        <v>0</v>
      </c>
      <c r="H54" s="99">
        <f>G54+'26'!H54</f>
        <v>24399.77</v>
      </c>
      <c r="I54" s="95"/>
      <c r="J54" s="175">
        <f>H54/DAY(B2)</f>
        <v>903.69518518518521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'26'!F55</f>
        <v>306268.99</v>
      </c>
      <c r="F55" s="145">
        <v>306268.99</v>
      </c>
      <c r="G55" s="112">
        <f t="shared" si="4"/>
        <v>0</v>
      </c>
      <c r="H55" s="99">
        <f>G55+'26'!H55</f>
        <v>-2059.4899999999907</v>
      </c>
      <c r="I55" s="95"/>
      <c r="J55" s="175">
        <f>H55/DAY(B2)</f>
        <v>-76.277407407407068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'26'!F56</f>
        <v>661019</v>
      </c>
      <c r="F56" s="145">
        <v>661019</v>
      </c>
      <c r="G56" s="112">
        <f t="shared" si="4"/>
        <v>0</v>
      </c>
      <c r="H56" s="99">
        <f>G56+'26'!H56</f>
        <v>-194032.55000000005</v>
      </c>
      <c r="I56" s="95"/>
      <c r="J56" s="175">
        <f>H56/DAY(B2)</f>
        <v>-7186.3907407407423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'26'!F57</f>
        <v>7711</v>
      </c>
      <c r="F57" s="145">
        <v>7711</v>
      </c>
      <c r="G57" s="112">
        <f t="shared" si="4"/>
        <v>0</v>
      </c>
      <c r="H57" s="99">
        <f>G57+'26'!H57</f>
        <v>15422</v>
      </c>
      <c r="I57" s="95"/>
      <c r="J57" s="175">
        <f>H57/DAY(B2)</f>
        <v>571.18518518518522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'26'!F58</f>
        <v>66014</v>
      </c>
      <c r="F58" s="145">
        <v>66014</v>
      </c>
      <c r="G58" s="112">
        <f t="shared" si="4"/>
        <v>0</v>
      </c>
      <c r="H58" s="99">
        <f>G58+'26'!H58</f>
        <v>-16060.800000000003</v>
      </c>
      <c r="I58" s="95"/>
      <c r="J58" s="175">
        <f>H58/DAY(B2)</f>
        <v>-594.84444444444455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0</v>
      </c>
      <c r="H59" s="99">
        <f>G59+'26'!H59</f>
        <v>2568228.54</v>
      </c>
      <c r="I59" s="95">
        <f>G7-G60</f>
        <v>23000</v>
      </c>
      <c r="J59" s="175">
        <f>H59/DAY(B2)</f>
        <v>95119.575555555552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0</v>
      </c>
      <c r="H60" s="99">
        <f>G60+'26'!H60</f>
        <v>4850974.9399999995</v>
      </c>
      <c r="I60" s="95">
        <f>G13-G60</f>
        <v>23000</v>
      </c>
      <c r="J60" s="175">
        <f>H60/DAY(B2)</f>
        <v>179665.73851851851</v>
      </c>
      <c r="K60" s="79"/>
      <c r="L60" s="66"/>
      <c r="N60" s="87"/>
      <c r="O60" s="71"/>
    </row>
    <row r="61" spans="1:15" s="68" customFormat="1" ht="27.75" x14ac:dyDescent="0.5">
      <c r="A61" s="805" t="s">
        <v>332</v>
      </c>
      <c r="B61" s="806"/>
      <c r="C61" s="807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1" t="s">
        <v>198</v>
      </c>
      <c r="B62" s="772"/>
      <c r="C62" s="773"/>
      <c r="D62" s="151" t="s">
        <v>142</v>
      </c>
      <c r="E62" s="95">
        <f>'26'!F62</f>
        <v>253452</v>
      </c>
      <c r="F62" s="122">
        <v>253452</v>
      </c>
      <c r="G62" s="112">
        <f t="shared" ref="G62:G63" si="5">F62-E62</f>
        <v>0</v>
      </c>
      <c r="H62" s="99">
        <f>G62+'26'!H62</f>
        <v>-7655</v>
      </c>
      <c r="I62" s="118"/>
      <c r="J62" s="175">
        <f>H62/DAY(B2)</f>
        <v>-283.51851851851853</v>
      </c>
      <c r="K62" s="80"/>
      <c r="L62" s="66"/>
      <c r="N62" s="87"/>
      <c r="O62" s="71"/>
    </row>
    <row r="63" spans="1:15" ht="27.75" x14ac:dyDescent="0.5">
      <c r="A63" s="771" t="s">
        <v>199</v>
      </c>
      <c r="B63" s="772"/>
      <c r="C63" s="773"/>
      <c r="D63" s="151" t="s">
        <v>142</v>
      </c>
      <c r="E63" s="95">
        <f>'26'!F63</f>
        <v>197659</v>
      </c>
      <c r="F63" s="122">
        <v>197659</v>
      </c>
      <c r="G63" s="112">
        <f t="shared" si="5"/>
        <v>0</v>
      </c>
      <c r="H63" s="99">
        <f>G63+'26'!H63</f>
        <v>-11970</v>
      </c>
      <c r="I63" s="118"/>
      <c r="J63" s="175">
        <f>H63/DAY(B2)</f>
        <v>-443.33333333333331</v>
      </c>
      <c r="K63" s="69"/>
      <c r="L63" s="66"/>
      <c r="N63" s="87"/>
      <c r="O63" s="71"/>
    </row>
    <row r="64" spans="1:15" ht="29.25" x14ac:dyDescent="0.5">
      <c r="A64" s="780" t="s">
        <v>200</v>
      </c>
      <c r="B64" s="781"/>
      <c r="C64" s="782"/>
      <c r="D64" s="151"/>
      <c r="E64" s="95">
        <f>'26'!F64</f>
        <v>0</v>
      </c>
      <c r="F64" s="122"/>
      <c r="G64" s="112">
        <f>G62+G63</f>
        <v>0</v>
      </c>
      <c r="H64" s="99">
        <f>G64+'26'!H64</f>
        <v>-19625</v>
      </c>
      <c r="I64" s="118"/>
      <c r="J64" s="175">
        <f>H64/DAY(B2)</f>
        <v>-726.85185185185185</v>
      </c>
      <c r="K64" s="69"/>
      <c r="L64" s="66"/>
      <c r="N64" s="87"/>
      <c r="O64" s="71"/>
    </row>
    <row r="65" spans="1:15" ht="27.75" x14ac:dyDescent="0.5">
      <c r="A65" s="771" t="s">
        <v>201</v>
      </c>
      <c r="B65" s="772"/>
      <c r="C65" s="773"/>
      <c r="D65" s="151" t="s">
        <v>142</v>
      </c>
      <c r="E65" s="95">
        <f>'26'!F65</f>
        <v>421019</v>
      </c>
      <c r="F65" s="122">
        <v>421019</v>
      </c>
      <c r="G65" s="112">
        <f t="shared" ref="G65:G70" si="6">F65-E65</f>
        <v>0</v>
      </c>
      <c r="H65" s="99">
        <f>G65+'26'!H65</f>
        <v>-6100</v>
      </c>
      <c r="I65" s="118"/>
      <c r="J65" s="175">
        <f>H65/DAY(B2)</f>
        <v>-225.92592592592592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'26'!F66</f>
        <v>104636</v>
      </c>
      <c r="F66" s="122">
        <v>104636</v>
      </c>
      <c r="G66" s="112">
        <f t="shared" si="6"/>
        <v>0</v>
      </c>
      <c r="H66" s="99">
        <f>G66+'26'!H66</f>
        <v>-1732</v>
      </c>
      <c r="I66" s="118"/>
      <c r="J66" s="175">
        <f>H66/DAY(B2)</f>
        <v>-64.148148148148152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'26'!F67</f>
        <v>100370</v>
      </c>
      <c r="F67" s="122">
        <v>100370</v>
      </c>
      <c r="G67" s="112">
        <f t="shared" si="6"/>
        <v>0</v>
      </c>
      <c r="H67" s="99">
        <f>G67+'26'!H67</f>
        <v>-2308</v>
      </c>
      <c r="I67" s="118"/>
      <c r="J67" s="175">
        <f>H67/DAY(B2)</f>
        <v>-85.481481481481481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'26'!F68</f>
        <v>152135</v>
      </c>
      <c r="F68" s="122">
        <v>152135</v>
      </c>
      <c r="G68" s="112">
        <f t="shared" si="6"/>
        <v>0</v>
      </c>
      <c r="H68" s="99">
        <f>G68+'26'!H68</f>
        <v>-2715</v>
      </c>
      <c r="I68" s="118"/>
      <c r="J68" s="175">
        <f>H68/DAY(B2)</f>
        <v>-100.55555555555556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'26'!F69</f>
        <v>8645</v>
      </c>
      <c r="F69" s="122">
        <v>8645</v>
      </c>
      <c r="G69" s="112">
        <f t="shared" si="6"/>
        <v>0</v>
      </c>
      <c r="H69" s="99">
        <f>G69+'26'!H69</f>
        <v>-1032</v>
      </c>
      <c r="I69" s="118"/>
      <c r="J69" s="175">
        <f>H69/DAY(B2)</f>
        <v>-38.222222222222221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'26'!F70</f>
        <v>6373</v>
      </c>
      <c r="F70" s="122">
        <v>6373</v>
      </c>
      <c r="G70" s="112">
        <f t="shared" si="6"/>
        <v>0</v>
      </c>
      <c r="H70" s="99">
        <f>G70+'26'!H70</f>
        <v>-1059</v>
      </c>
      <c r="I70" s="118"/>
      <c r="J70" s="175">
        <f>H70/DAY(B2)</f>
        <v>-39.222222222222221</v>
      </c>
      <c r="K70" s="69"/>
      <c r="L70" s="66"/>
      <c r="N70" s="87"/>
      <c r="O70" s="71"/>
    </row>
    <row r="71" spans="1:15" ht="29.25" x14ac:dyDescent="0.5">
      <c r="A71" s="780" t="s">
        <v>208</v>
      </c>
      <c r="B71" s="781"/>
      <c r="C71" s="782"/>
      <c r="D71" s="152"/>
      <c r="E71" s="152"/>
      <c r="F71" s="152"/>
      <c r="G71" s="153">
        <f>SUM(G65:G70)</f>
        <v>0</v>
      </c>
      <c r="H71" s="99">
        <f>G71+'26'!H71</f>
        <v>-14946</v>
      </c>
      <c r="I71" s="154"/>
      <c r="J71" s="175">
        <f>H71/DAY(B2)</f>
        <v>-553.55555555555554</v>
      </c>
      <c r="K71" s="69"/>
      <c r="L71" s="66"/>
      <c r="N71" s="87"/>
      <c r="O71" s="71"/>
    </row>
    <row r="72" spans="1:15" s="88" customFormat="1" ht="27.75" x14ac:dyDescent="0.5">
      <c r="A72" s="767"/>
      <c r="B72" s="752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77" t="s">
        <v>333</v>
      </c>
      <c r="B73" s="778"/>
      <c r="C73" s="779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1" t="s">
        <v>220</v>
      </c>
      <c r="B74" s="772"/>
      <c r="C74" s="773"/>
      <c r="D74" s="151" t="s">
        <v>139</v>
      </c>
      <c r="E74" s="95">
        <f>'26'!F74</f>
        <v>856352</v>
      </c>
      <c r="F74" s="117">
        <v>856352</v>
      </c>
      <c r="G74" s="112">
        <f t="shared" ref="G74:G78" si="7">F74-E74</f>
        <v>0</v>
      </c>
      <c r="H74" s="99">
        <f>G74+'26'!H74</f>
        <v>-21277.869999999995</v>
      </c>
      <c r="I74" s="154"/>
      <c r="J74" s="175">
        <f>H74/DAY(B2)</f>
        <v>-788.06925925925907</v>
      </c>
      <c r="K74" s="69"/>
      <c r="L74" s="66"/>
      <c r="N74" s="87"/>
      <c r="O74" s="71"/>
    </row>
    <row r="75" spans="1:15" ht="27.75" x14ac:dyDescent="0.5">
      <c r="A75" s="771" t="s">
        <v>221</v>
      </c>
      <c r="B75" s="772"/>
      <c r="C75" s="773"/>
      <c r="D75" s="151" t="s">
        <v>139</v>
      </c>
      <c r="E75" s="95">
        <f>'26'!F75</f>
        <v>73583.399999999994</v>
      </c>
      <c r="F75" s="123">
        <v>73583.399999999994</v>
      </c>
      <c r="G75" s="112">
        <f t="shared" si="7"/>
        <v>0</v>
      </c>
      <c r="H75" s="99">
        <f>G75+'26'!H75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68" t="s">
        <v>222</v>
      </c>
      <c r="B76" s="769"/>
      <c r="C76" s="770"/>
      <c r="D76" s="151" t="s">
        <v>139</v>
      </c>
      <c r="E76" s="95">
        <f>'26'!F76</f>
        <v>154077</v>
      </c>
      <c r="F76" s="123">
        <v>154077</v>
      </c>
      <c r="G76" s="112">
        <f t="shared" si="7"/>
        <v>0</v>
      </c>
      <c r="H76" s="99">
        <f>G76+'26'!H76</f>
        <v>-7237.9200000000128</v>
      </c>
      <c r="I76" s="154"/>
      <c r="J76" s="175">
        <f>H76/DAY(B2)</f>
        <v>-268.07111111111158</v>
      </c>
      <c r="K76" s="69"/>
      <c r="L76" s="66"/>
      <c r="N76" s="87"/>
      <c r="O76" s="71"/>
    </row>
    <row r="77" spans="1:15" ht="27.75" x14ac:dyDescent="0.5">
      <c r="A77" s="768" t="s">
        <v>223</v>
      </c>
      <c r="B77" s="769"/>
      <c r="C77" s="770"/>
      <c r="D77" s="151" t="s">
        <v>139</v>
      </c>
      <c r="E77" s="95">
        <f>'26'!F77</f>
        <v>34629</v>
      </c>
      <c r="F77" s="123">
        <v>34629</v>
      </c>
      <c r="G77" s="112">
        <f t="shared" si="7"/>
        <v>0</v>
      </c>
      <c r="H77" s="99">
        <f>G77+'26'!H77</f>
        <v>-3596.8000000000029</v>
      </c>
      <c r="I77" s="154"/>
      <c r="J77" s="175">
        <f>H77/DAY(B2)</f>
        <v>-133.21481481481493</v>
      </c>
      <c r="K77" s="69"/>
      <c r="L77" s="66"/>
      <c r="N77" s="87"/>
      <c r="O77" s="71"/>
    </row>
    <row r="78" spans="1:15" ht="27.75" x14ac:dyDescent="0.5">
      <c r="A78" s="768" t="s">
        <v>224</v>
      </c>
      <c r="B78" s="769"/>
      <c r="C78" s="770"/>
      <c r="D78" s="151" t="s">
        <v>139</v>
      </c>
      <c r="E78" s="95">
        <f>'26'!F78</f>
        <v>9180</v>
      </c>
      <c r="F78" s="123">
        <v>9180</v>
      </c>
      <c r="G78" s="112">
        <f t="shared" si="7"/>
        <v>0</v>
      </c>
      <c r="H78" s="99">
        <f>G78+'26'!H78</f>
        <v>-180.60000000000036</v>
      </c>
      <c r="I78" s="118"/>
      <c r="J78" s="175">
        <f>H78/DAY(B2)</f>
        <v>-6.6888888888889024</v>
      </c>
      <c r="K78" s="69"/>
      <c r="L78" s="66"/>
      <c r="N78" s="87"/>
      <c r="O78" s="71"/>
    </row>
    <row r="79" spans="1:15" s="57" customFormat="1" ht="27.75" x14ac:dyDescent="0.5">
      <c r="A79" s="768" t="s">
        <v>225</v>
      </c>
      <c r="B79" s="769"/>
      <c r="C79" s="770"/>
      <c r="D79" s="151"/>
      <c r="E79" s="95">
        <f>'26'!F79</f>
        <v>0</v>
      </c>
      <c r="F79" s="123"/>
      <c r="G79" s="112">
        <f>G15-SUM(G74:G78)</f>
        <v>875</v>
      </c>
      <c r="H79" s="99">
        <f>G79+'26'!H79</f>
        <v>57953.072999999924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0" t="s">
        <v>329</v>
      </c>
      <c r="B80" s="781"/>
      <c r="C80" s="782"/>
      <c r="D80" s="151"/>
      <c r="E80" s="117"/>
      <c r="F80" s="117"/>
      <c r="G80" s="112">
        <f>SUM(G74:G79)</f>
        <v>875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85" t="s">
        <v>226</v>
      </c>
      <c r="B81" s="786"/>
      <c r="C81" s="78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'26'!F82</f>
        <v>0</v>
      </c>
      <c r="F82" s="122"/>
      <c r="G82" s="112">
        <f t="shared" ref="G82:G92" si="8">F82-E82</f>
        <v>0</v>
      </c>
      <c r="H82" s="99">
        <f>G82+'26'!H82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'26'!F83</f>
        <v>0</v>
      </c>
      <c r="F83" s="122"/>
      <c r="G83" s="112">
        <f t="shared" si="8"/>
        <v>0</v>
      </c>
      <c r="H83" s="99">
        <f>G83+'26'!H83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'26'!F84</f>
        <v>40922</v>
      </c>
      <c r="F84" s="164">
        <v>40922</v>
      </c>
      <c r="G84" s="112">
        <f t="shared" si="8"/>
        <v>0</v>
      </c>
      <c r="H84" s="99">
        <f>G84+'26'!H84</f>
        <v>-774.19000000000233</v>
      </c>
      <c r="I84" s="118"/>
      <c r="J84" s="175">
        <f>H84/DAY(B2)</f>
        <v>-28.67370370370379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'26'!F85</f>
        <v>856</v>
      </c>
      <c r="F85" s="164">
        <v>856</v>
      </c>
      <c r="G85" s="112">
        <f t="shared" si="8"/>
        <v>0</v>
      </c>
      <c r="H85" s="99">
        <f>G85+'26'!H85</f>
        <v>-761.45</v>
      </c>
      <c r="I85" s="118">
        <f>G82+G83+G84+G85</f>
        <v>0</v>
      </c>
      <c r="J85" s="175">
        <f>H85/DAY(B2)</f>
        <v>-28.201851851851853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'26'!F86</f>
        <v>42822</v>
      </c>
      <c r="F86" s="164">
        <v>42822</v>
      </c>
      <c r="G86" s="112">
        <f t="shared" si="8"/>
        <v>0</v>
      </c>
      <c r="H86" s="99">
        <f>G86+'26'!H86</f>
        <v>-8.4700000000011642</v>
      </c>
      <c r="I86" s="118"/>
      <c r="J86" s="175">
        <f>H86/DAY(B2)</f>
        <v>-0.31370370370374684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'26'!F87</f>
        <v>32928</v>
      </c>
      <c r="F87" s="164">
        <v>32928</v>
      </c>
      <c r="G87" s="112">
        <f t="shared" si="8"/>
        <v>0</v>
      </c>
      <c r="H87" s="99">
        <f>G87+'26'!H87</f>
        <v>-921.2300000000032</v>
      </c>
      <c r="I87" s="118"/>
      <c r="J87" s="175">
        <f>H87/DAY(B2)</f>
        <v>-34.119629629629749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'26'!F88</f>
        <v>23356.43</v>
      </c>
      <c r="F88" s="164">
        <v>23356.43</v>
      </c>
      <c r="G88" s="112">
        <f t="shared" si="8"/>
        <v>0</v>
      </c>
      <c r="H88" s="99">
        <f>G88+'26'!H88</f>
        <v>-580.34000000000015</v>
      </c>
      <c r="I88" s="118">
        <f>G86+G87+G88</f>
        <v>0</v>
      </c>
      <c r="J88" s="175">
        <f>H88/DAY(B2)</f>
        <v>-21.494074074074078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'26'!F89</f>
        <v>25132.959999999999</v>
      </c>
      <c r="F89" s="164">
        <v>25132.959999999999</v>
      </c>
      <c r="G89" s="112">
        <f t="shared" si="8"/>
        <v>0</v>
      </c>
      <c r="H89" s="99">
        <f>G89+'26'!H89</f>
        <v>-163.57300000000032</v>
      </c>
      <c r="I89" s="118"/>
      <c r="J89" s="175">
        <f>H89/DAY(B2)</f>
        <v>-6.0582592592592714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'26'!F90</f>
        <v>70524.55</v>
      </c>
      <c r="F90" s="164">
        <v>70524.55</v>
      </c>
      <c r="G90" s="112">
        <f t="shared" si="8"/>
        <v>0</v>
      </c>
      <c r="H90" s="99">
        <f>G90+'26'!H90</f>
        <v>-72.10999999998603</v>
      </c>
      <c r="I90" s="118">
        <f>G89+G90</f>
        <v>0</v>
      </c>
      <c r="J90" s="175">
        <f>H90/DAY(B2)</f>
        <v>-2.6707407407402233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'26'!F91</f>
        <v>2627.98</v>
      </c>
      <c r="F91" s="122">
        <v>2627.98</v>
      </c>
      <c r="G91" s="112">
        <f t="shared" si="8"/>
        <v>0</v>
      </c>
      <c r="H91" s="99">
        <f>G91+'26'!H91</f>
        <v>-779.37999999999965</v>
      </c>
      <c r="I91" s="165"/>
      <c r="J91" s="175">
        <f>H91/DAY(B2)</f>
        <v>-28.865925925925914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'26'!F92</f>
        <v>4754</v>
      </c>
      <c r="F92" s="122">
        <v>4754</v>
      </c>
      <c r="G92" s="112">
        <f t="shared" si="8"/>
        <v>0</v>
      </c>
      <c r="H92" s="99">
        <f>G92+'26'!H92</f>
        <v>-8.4600000000000364</v>
      </c>
      <c r="I92" s="165"/>
      <c r="J92" s="175">
        <f>H92/DAY(B2)</f>
        <v>-0.31333333333333468</v>
      </c>
      <c r="O92" s="71"/>
    </row>
    <row r="93" spans="1:15" ht="29.25" x14ac:dyDescent="0.5">
      <c r="A93" s="774" t="s">
        <v>239</v>
      </c>
      <c r="B93" s="775"/>
      <c r="C93" s="77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1" t="s">
        <v>240</v>
      </c>
      <c r="B94" s="772"/>
      <c r="C94" s="773"/>
      <c r="D94" s="151" t="s">
        <v>130</v>
      </c>
      <c r="E94" s="151"/>
      <c r="F94" s="151"/>
      <c r="G94" s="99">
        <f>G35+G43+G49+G57</f>
        <v>0</v>
      </c>
      <c r="H94" s="99">
        <f>G94+'26'!H94</f>
        <v>2532505.96</v>
      </c>
      <c r="I94" s="118"/>
      <c r="J94" s="175">
        <f>H94/DAY(B2)</f>
        <v>93796.517037037032</v>
      </c>
      <c r="K94" s="69"/>
      <c r="L94" s="66"/>
      <c r="O94" s="71"/>
    </row>
    <row r="95" spans="1:15" ht="27.75" x14ac:dyDescent="0.5">
      <c r="A95" s="771" t="s">
        <v>241</v>
      </c>
      <c r="B95" s="772"/>
      <c r="C95" s="773"/>
      <c r="D95" s="151" t="s">
        <v>23</v>
      </c>
      <c r="E95" s="146"/>
      <c r="F95" s="146"/>
      <c r="G95" s="166">
        <f>G94/G7</f>
        <v>0</v>
      </c>
      <c r="H95" s="99">
        <f>G95+'26'!H95</f>
        <v>110.05863639047362</v>
      </c>
      <c r="I95" s="167"/>
      <c r="J95" s="175">
        <f>H95/DAY(B2)</f>
        <v>4.0762457922397637</v>
      </c>
      <c r="K95" s="69"/>
      <c r="L95" s="66"/>
      <c r="O95" s="71"/>
    </row>
    <row r="96" spans="1:15" ht="27.75" x14ac:dyDescent="0.5">
      <c r="A96" s="771" t="s">
        <v>242</v>
      </c>
      <c r="B96" s="772"/>
      <c r="C96" s="773"/>
      <c r="D96" s="151" t="s">
        <v>130</v>
      </c>
      <c r="E96" s="95"/>
      <c r="F96" s="95"/>
      <c r="G96" s="99">
        <f>G41+G42+G55+G56</f>
        <v>0</v>
      </c>
      <c r="H96" s="99">
        <f>G96+'26'!H96</f>
        <v>-535950.2100000002</v>
      </c>
      <c r="I96" s="118"/>
      <c r="J96" s="175">
        <f>H96/DAY(B2)</f>
        <v>-19850.007777777784</v>
      </c>
      <c r="K96" s="69"/>
      <c r="L96" s="66"/>
      <c r="O96" s="71"/>
    </row>
    <row r="97" spans="1:15" ht="27.75" x14ac:dyDescent="0.5">
      <c r="A97" s="771" t="s">
        <v>243</v>
      </c>
      <c r="B97" s="772"/>
      <c r="C97" s="773"/>
      <c r="D97" s="151" t="s">
        <v>23</v>
      </c>
      <c r="E97" s="95"/>
      <c r="F97" s="95"/>
      <c r="G97" s="166">
        <f>G96/G7</f>
        <v>0</v>
      </c>
      <c r="H97" s="99">
        <f>G97+'26'!H97</f>
        <v>-23.376968076147254</v>
      </c>
      <c r="I97" s="167"/>
      <c r="J97" s="175">
        <f>H97/DAY(B2)</f>
        <v>-0.86581363244989828</v>
      </c>
      <c r="K97" s="69"/>
      <c r="L97" s="66"/>
      <c r="O97" s="71"/>
    </row>
    <row r="98" spans="1:15" ht="27.75" x14ac:dyDescent="0.5">
      <c r="A98" s="771" t="s">
        <v>244</v>
      </c>
      <c r="B98" s="772"/>
      <c r="C98" s="773"/>
      <c r="D98" s="151" t="s">
        <v>130</v>
      </c>
      <c r="E98" s="95"/>
      <c r="F98" s="95"/>
      <c r="G98" s="99">
        <f>G39+G53</f>
        <v>0</v>
      </c>
      <c r="H98" s="99">
        <f>G98+'26'!H98</f>
        <v>1826698.97</v>
      </c>
      <c r="I98" s="168"/>
      <c r="J98" s="175">
        <f>H98/DAY(B2)</f>
        <v>67655.517407407402</v>
      </c>
      <c r="K98" s="69"/>
      <c r="L98" s="66"/>
      <c r="O98" s="71"/>
    </row>
    <row r="99" spans="1:15" ht="27.75" x14ac:dyDescent="0.5">
      <c r="A99" s="771" t="s">
        <v>245</v>
      </c>
      <c r="B99" s="772"/>
      <c r="C99" s="773"/>
      <c r="D99" s="151" t="s">
        <v>23</v>
      </c>
      <c r="E99" s="95"/>
      <c r="F99" s="95"/>
      <c r="G99" s="166">
        <f>G98/G7</f>
        <v>0</v>
      </c>
      <c r="H99" s="99">
        <f>G99+'26'!H99</f>
        <v>79.385711690839827</v>
      </c>
      <c r="I99" s="168"/>
      <c r="J99" s="175">
        <f>H99/DAY(B2)</f>
        <v>2.9402115441051788</v>
      </c>
      <c r="O99" s="71"/>
    </row>
    <row r="100" spans="1:15" ht="27.75" x14ac:dyDescent="0.5">
      <c r="A100" s="771" t="s">
        <v>246</v>
      </c>
      <c r="B100" s="772"/>
      <c r="C100" s="773"/>
      <c r="D100" s="151" t="s">
        <v>180</v>
      </c>
      <c r="E100" s="95"/>
      <c r="F100" s="95"/>
      <c r="G100" s="99">
        <f>G38+G52</f>
        <v>0</v>
      </c>
      <c r="H100" s="99">
        <f>G100+'26'!H100</f>
        <v>942134.4</v>
      </c>
      <c r="I100" s="118"/>
      <c r="J100" s="175">
        <f>H100/DAY(B2)</f>
        <v>34893.866666666669</v>
      </c>
      <c r="K100" s="70"/>
      <c r="O100" s="71"/>
    </row>
    <row r="101" spans="1:15" ht="27.75" x14ac:dyDescent="0.5">
      <c r="A101" s="771" t="s">
        <v>247</v>
      </c>
      <c r="B101" s="772"/>
      <c r="C101" s="773"/>
      <c r="D101" s="151" t="s">
        <v>23</v>
      </c>
      <c r="E101" s="95"/>
      <c r="F101" s="95"/>
      <c r="G101" s="166">
        <f>G100/G7</f>
        <v>0</v>
      </c>
      <c r="H101" s="99">
        <f>G101+'26'!H101</f>
        <v>40.946365636236884</v>
      </c>
      <c r="I101" s="168"/>
      <c r="J101" s="175">
        <f>H101/DAY(B2)</f>
        <v>1.5165320606013661</v>
      </c>
      <c r="O101" s="71"/>
    </row>
    <row r="102" spans="1:15" ht="27.75" x14ac:dyDescent="0.5">
      <c r="A102" s="771" t="s">
        <v>248</v>
      </c>
      <c r="B102" s="772"/>
      <c r="C102" s="773"/>
      <c r="D102" s="151" t="s">
        <v>180</v>
      </c>
      <c r="E102" s="95"/>
      <c r="F102" s="95"/>
      <c r="G102" s="99">
        <f>G36+G50</f>
        <v>0</v>
      </c>
      <c r="H102" s="99">
        <f>G102+'26'!H102</f>
        <v>-150960.04999999996</v>
      </c>
      <c r="I102" s="168"/>
      <c r="J102" s="175">
        <f>H102/DAY(B2)</f>
        <v>-5591.1129629629613</v>
      </c>
      <c r="O102" s="71"/>
    </row>
    <row r="103" spans="1:15" ht="27.75" x14ac:dyDescent="0.5">
      <c r="A103" s="771" t="s">
        <v>249</v>
      </c>
      <c r="B103" s="772"/>
      <c r="C103" s="773"/>
      <c r="D103" s="151" t="s">
        <v>23</v>
      </c>
      <c r="E103" s="95"/>
      <c r="F103" s="95"/>
      <c r="G103" s="166">
        <f>G102/G7</f>
        <v>0</v>
      </c>
      <c r="H103" s="99">
        <f>G103+'26'!H103</f>
        <v>-6.5833689420489332</v>
      </c>
      <c r="I103" s="118"/>
      <c r="J103" s="175">
        <f>H103/DAY(B2)</f>
        <v>-0.24382847933514568</v>
      </c>
      <c r="O103" s="71"/>
    </row>
    <row r="104" spans="1:15" ht="27.75" x14ac:dyDescent="0.5">
      <c r="A104" s="771" t="s">
        <v>250</v>
      </c>
      <c r="B104" s="772"/>
      <c r="C104" s="773"/>
      <c r="D104" s="151" t="s">
        <v>180</v>
      </c>
      <c r="E104" s="95"/>
      <c r="F104" s="95"/>
      <c r="G104" s="99">
        <f>G37+G51</f>
        <v>0</v>
      </c>
      <c r="H104" s="99">
        <f>G104+'26'!H104</f>
        <v>157413.13</v>
      </c>
      <c r="I104" s="118"/>
      <c r="J104" s="175">
        <f>H104/DAY(B2)</f>
        <v>5830.1159259259257</v>
      </c>
      <c r="O104" s="71"/>
    </row>
    <row r="105" spans="1:15" ht="28.5" thickBot="1" x14ac:dyDescent="0.55000000000000004">
      <c r="A105" s="764" t="s">
        <v>251</v>
      </c>
      <c r="B105" s="765"/>
      <c r="C105" s="766"/>
      <c r="D105" s="231" t="s">
        <v>23</v>
      </c>
      <c r="E105" s="185"/>
      <c r="F105" s="185"/>
      <c r="G105" s="186">
        <f>G104/G7</f>
        <v>0</v>
      </c>
      <c r="H105" s="99">
        <f>G105+'26'!H105</f>
        <v>6.8301240046325189</v>
      </c>
      <c r="I105" s="187"/>
      <c r="J105" s="188">
        <f>H105/DAY(B2)</f>
        <v>0.25296755572713031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0" t="s">
        <v>324</v>
      </c>
      <c r="B108" s="760"/>
      <c r="C108" s="760"/>
      <c r="D108" s="760"/>
      <c r="E108" s="760"/>
      <c r="F108" s="760"/>
      <c r="G108" s="760"/>
      <c r="H108" s="760"/>
      <c r="I108" s="760"/>
      <c r="J108" s="760"/>
    </row>
    <row r="109" spans="1:15" ht="29.25" x14ac:dyDescent="0.5">
      <c r="A109" s="788"/>
      <c r="B109" s="788"/>
    </row>
    <row r="110" spans="1:15" ht="29.25" x14ac:dyDescent="0.5">
      <c r="A110" s="761" t="s">
        <v>165</v>
      </c>
      <c r="B110" s="762"/>
      <c r="C110" s="762"/>
      <c r="D110" s="762"/>
      <c r="E110" s="762"/>
      <c r="F110" s="762"/>
      <c r="G110" s="762"/>
      <c r="H110" s="762"/>
      <c r="I110" s="762"/>
      <c r="J110" s="763"/>
    </row>
    <row r="111" spans="1:15" ht="27.75" x14ac:dyDescent="0.5">
      <c r="A111" s="753"/>
      <c r="B111" s="754"/>
      <c r="C111" s="755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0" t="s">
        <v>252</v>
      </c>
      <c r="B112" s="751"/>
      <c r="C112" s="752"/>
      <c r="D112" s="146" t="s">
        <v>183</v>
      </c>
      <c r="E112" s="95">
        <f>'26'!F112</f>
        <v>38434</v>
      </c>
      <c r="F112" s="237">
        <v>38434</v>
      </c>
      <c r="G112" s="112">
        <f t="shared" ref="G112:G123" si="9">F112-E112</f>
        <v>0</v>
      </c>
      <c r="H112" s="99">
        <f>G112+'26'!H112</f>
        <v>-21107.82</v>
      </c>
      <c r="I112" s="165"/>
      <c r="J112" s="348">
        <f>H112/DAY(B2)</f>
        <v>-781.77111111111105</v>
      </c>
    </row>
    <row r="113" spans="1:18" ht="29.25" customHeight="1" x14ac:dyDescent="0.5">
      <c r="A113" s="750" t="s">
        <v>253</v>
      </c>
      <c r="B113" s="751"/>
      <c r="C113" s="752"/>
      <c r="D113" s="146" t="s">
        <v>183</v>
      </c>
      <c r="E113" s="95">
        <f>'26'!F113</f>
        <v>94790</v>
      </c>
      <c r="F113" s="237">
        <v>94790</v>
      </c>
      <c r="G113" s="112">
        <f t="shared" si="9"/>
        <v>0</v>
      </c>
      <c r="H113" s="99">
        <f>G113+'26'!H113</f>
        <v>-119257.45000000001</v>
      </c>
      <c r="I113" s="165"/>
      <c r="J113" s="348">
        <f>H113/DAY(B2)</f>
        <v>-4416.9425925925934</v>
      </c>
    </row>
    <row r="114" spans="1:18" ht="29.25" customHeight="1" x14ac:dyDescent="0.5">
      <c r="A114" s="750" t="s">
        <v>254</v>
      </c>
      <c r="B114" s="751"/>
      <c r="C114" s="752"/>
      <c r="D114" s="146" t="s">
        <v>183</v>
      </c>
      <c r="E114" s="95">
        <f>'26'!F114</f>
        <v>44933</v>
      </c>
      <c r="F114" s="237">
        <v>44933</v>
      </c>
      <c r="G114" s="112">
        <f t="shared" si="9"/>
        <v>0</v>
      </c>
      <c r="H114" s="99">
        <f>G114+'26'!H114</f>
        <v>92743.9</v>
      </c>
      <c r="I114" s="165"/>
      <c r="J114" s="348">
        <f>H114/DAY(B2)</f>
        <v>3434.9592592592589</v>
      </c>
    </row>
    <row r="115" spans="1:18" ht="29.25" customHeight="1" x14ac:dyDescent="0.5">
      <c r="A115" s="750" t="s">
        <v>255</v>
      </c>
      <c r="B115" s="751"/>
      <c r="C115" s="752"/>
      <c r="D115" s="146" t="s">
        <v>183</v>
      </c>
      <c r="E115" s="95">
        <f>'26'!F115</f>
        <v>6560</v>
      </c>
      <c r="F115" s="237">
        <v>6560</v>
      </c>
      <c r="G115" s="112">
        <f t="shared" si="9"/>
        <v>0</v>
      </c>
      <c r="H115" s="99">
        <f>G115+'26'!H115</f>
        <v>-2561.4399999999996</v>
      </c>
      <c r="I115" s="165"/>
      <c r="J115" s="348">
        <f>H115/DAY(B2)</f>
        <v>-94.868148148148137</v>
      </c>
    </row>
    <row r="116" spans="1:18" ht="29.25" customHeight="1" x14ac:dyDescent="0.5">
      <c r="A116" s="757" t="s">
        <v>96</v>
      </c>
      <c r="B116" s="758"/>
      <c r="C116" s="759"/>
      <c r="D116" s="146" t="s">
        <v>183</v>
      </c>
      <c r="E116" s="95">
        <f>'26'!F116</f>
        <v>44933</v>
      </c>
      <c r="F116" s="237">
        <v>44933</v>
      </c>
      <c r="G116" s="112">
        <f t="shared" si="9"/>
        <v>0</v>
      </c>
      <c r="H116" s="99">
        <f>G116+'26'!H116</f>
        <v>89866</v>
      </c>
      <c r="I116" s="165"/>
      <c r="J116" s="348">
        <f>H116/DAY(B2)</f>
        <v>3328.3703703703704</v>
      </c>
      <c r="Q116" s="750" t="s">
        <v>311</v>
      </c>
      <c r="R116" s="752"/>
    </row>
    <row r="117" spans="1:18" ht="29.25" customHeight="1" x14ac:dyDescent="0.5">
      <c r="A117" s="757" t="s">
        <v>184</v>
      </c>
      <c r="B117" s="758"/>
      <c r="C117" s="759"/>
      <c r="D117" s="146" t="s">
        <v>183</v>
      </c>
      <c r="E117" s="95">
        <f>'26'!F117</f>
        <v>44933</v>
      </c>
      <c r="F117" s="237">
        <v>44933</v>
      </c>
      <c r="G117" s="112">
        <f t="shared" si="9"/>
        <v>0</v>
      </c>
      <c r="H117" s="99">
        <f>G117+'26'!H117</f>
        <v>88625.98000000001</v>
      </c>
      <c r="I117" s="165"/>
      <c r="J117" s="348">
        <f>H117/DAY(B2)</f>
        <v>3282.4437037037042</v>
      </c>
      <c r="Q117" s="750" t="s">
        <v>312</v>
      </c>
      <c r="R117" s="752"/>
    </row>
    <row r="118" spans="1:18" ht="27.75" x14ac:dyDescent="0.5">
      <c r="A118" s="749" t="s">
        <v>97</v>
      </c>
      <c r="B118" s="749"/>
      <c r="C118" s="749"/>
      <c r="D118" s="151" t="s">
        <v>183</v>
      </c>
      <c r="E118" s="95">
        <f>'26'!F118</f>
        <v>44933</v>
      </c>
      <c r="F118" s="237">
        <v>44933</v>
      </c>
      <c r="G118" s="112">
        <f t="shared" si="9"/>
        <v>0</v>
      </c>
      <c r="H118" s="99">
        <f>G118+'26'!H118</f>
        <v>-330033.39</v>
      </c>
      <c r="I118" s="165"/>
      <c r="J118" s="348">
        <f>H118/DAY(B2)</f>
        <v>-12223.45888888889</v>
      </c>
      <c r="Q118" s="750" t="s">
        <v>311</v>
      </c>
      <c r="R118" s="752"/>
    </row>
    <row r="119" spans="1:18" ht="27.75" x14ac:dyDescent="0.5">
      <c r="A119" s="749" t="s">
        <v>98</v>
      </c>
      <c r="B119" s="749"/>
      <c r="C119" s="749"/>
      <c r="D119" s="151" t="s">
        <v>183</v>
      </c>
      <c r="E119" s="95">
        <f>'26'!F119</f>
        <v>44933</v>
      </c>
      <c r="F119" s="237">
        <v>44933</v>
      </c>
      <c r="G119" s="112">
        <f t="shared" si="9"/>
        <v>0</v>
      </c>
      <c r="H119" s="99">
        <f>G119+'26'!H119</f>
        <v>-329315.05</v>
      </c>
      <c r="I119" s="165"/>
      <c r="J119" s="348">
        <f>H119/DAY(B2)</f>
        <v>-12196.853703703704</v>
      </c>
    </row>
    <row r="120" spans="1:18" ht="27.75" x14ac:dyDescent="0.5">
      <c r="A120" s="749" t="s">
        <v>99</v>
      </c>
      <c r="B120" s="749"/>
      <c r="C120" s="749"/>
      <c r="D120" s="151" t="s">
        <v>183</v>
      </c>
      <c r="E120" s="95">
        <f>'26'!F120</f>
        <v>44933</v>
      </c>
      <c r="F120" s="237">
        <v>44933</v>
      </c>
      <c r="G120" s="112">
        <f t="shared" si="9"/>
        <v>0</v>
      </c>
      <c r="H120" s="99">
        <f>G120+'26'!H120</f>
        <v>71927.510000000009</v>
      </c>
      <c r="I120" s="165"/>
      <c r="J120" s="348">
        <f>H120/DAY(B2)</f>
        <v>2663.9818518518523</v>
      </c>
    </row>
    <row r="121" spans="1:18" ht="27.75" x14ac:dyDescent="0.5">
      <c r="A121" s="749" t="s">
        <v>100</v>
      </c>
      <c r="B121" s="749"/>
      <c r="C121" s="749"/>
      <c r="D121" s="151" t="s">
        <v>183</v>
      </c>
      <c r="E121" s="95">
        <f>'26'!F121</f>
        <v>44933</v>
      </c>
      <c r="F121" s="237">
        <v>44933</v>
      </c>
      <c r="G121" s="112">
        <f t="shared" si="9"/>
        <v>0</v>
      </c>
      <c r="H121" s="99">
        <f>G121+'26'!H121</f>
        <v>-541106.63</v>
      </c>
      <c r="I121" s="165"/>
      <c r="J121" s="348">
        <f>H121/DAY(B2)</f>
        <v>-20040.986296296298</v>
      </c>
    </row>
    <row r="122" spans="1:18" ht="27.75" x14ac:dyDescent="0.5">
      <c r="A122" s="749" t="s">
        <v>101</v>
      </c>
      <c r="B122" s="749"/>
      <c r="C122" s="749"/>
      <c r="D122" s="151" t="s">
        <v>183</v>
      </c>
      <c r="E122" s="95">
        <f>'26'!F122</f>
        <v>44933</v>
      </c>
      <c r="F122" s="237">
        <v>44933</v>
      </c>
      <c r="G122" s="112">
        <f t="shared" si="9"/>
        <v>0</v>
      </c>
      <c r="H122" s="99">
        <f>G122+'26'!H122</f>
        <v>-98745.64</v>
      </c>
      <c r="I122" s="165"/>
      <c r="J122" s="348">
        <f>H122/DAY(B2)</f>
        <v>-3657.2459259259258</v>
      </c>
    </row>
    <row r="123" spans="1:18" ht="27.75" x14ac:dyDescent="0.5">
      <c r="A123" s="749" t="s">
        <v>102</v>
      </c>
      <c r="B123" s="749"/>
      <c r="C123" s="749"/>
      <c r="D123" s="151" t="s">
        <v>183</v>
      </c>
      <c r="E123" s="95">
        <f>'26'!F123</f>
        <v>44933</v>
      </c>
      <c r="F123" s="237">
        <v>44933</v>
      </c>
      <c r="G123" s="112">
        <f t="shared" si="9"/>
        <v>0</v>
      </c>
      <c r="H123" s="99">
        <f>G123+'26'!H123</f>
        <v>-146917.34</v>
      </c>
      <c r="I123" s="165"/>
      <c r="J123" s="348">
        <f>H123/DAY(B2)</f>
        <v>-5441.3829629629627</v>
      </c>
    </row>
    <row r="124" spans="1:18" ht="29.25" customHeight="1" x14ac:dyDescent="0.5">
      <c r="A124" s="753"/>
      <c r="B124" s="754"/>
      <c r="C124" s="755"/>
      <c r="D124" s="165"/>
      <c r="E124" s="95">
        <f>'26'!F124</f>
        <v>0</v>
      </c>
      <c r="F124" s="165"/>
      <c r="G124" s="347"/>
      <c r="H124" s="99">
        <f>G124+'26'!H124</f>
        <v>0</v>
      </c>
      <c r="I124" s="165"/>
      <c r="J124" s="347"/>
    </row>
    <row r="125" spans="1:18" ht="27.75" x14ac:dyDescent="0.5">
      <c r="A125" s="737"/>
      <c r="B125" s="737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56" t="s">
        <v>317</v>
      </c>
      <c r="B126" s="756"/>
      <c r="C126" s="756"/>
      <c r="D126" s="756"/>
      <c r="E126" s="756"/>
      <c r="F126" s="756"/>
      <c r="G126" s="756"/>
      <c r="H126" s="756"/>
      <c r="I126" s="756"/>
      <c r="J126" s="756"/>
    </row>
    <row r="127" spans="1:18" ht="27.75" x14ac:dyDescent="0.5">
      <c r="A127" s="737"/>
      <c r="B127" s="737"/>
      <c r="C127" s="246"/>
      <c r="D127" s="317"/>
      <c r="E127" s="318"/>
      <c r="F127" s="318"/>
      <c r="G127" s="319"/>
      <c r="H127" s="99">
        <f>G127+'26'!H127</f>
        <v>0</v>
      </c>
      <c r="I127" s="165"/>
      <c r="J127" s="348">
        <f>H127/DAY(B2)</f>
        <v>0</v>
      </c>
    </row>
    <row r="128" spans="1:18" ht="29.25" customHeight="1" x14ac:dyDescent="0.5">
      <c r="A128" s="750" t="s">
        <v>318</v>
      </c>
      <c r="B128" s="751"/>
      <c r="C128" s="752"/>
      <c r="D128" s="151" t="s">
        <v>183</v>
      </c>
      <c r="E128" s="95">
        <f>'26'!F128</f>
        <v>0</v>
      </c>
      <c r="F128" s="165"/>
      <c r="G128" s="112">
        <f t="shared" ref="G128:G134" si="10">F128-E128</f>
        <v>0</v>
      </c>
      <c r="H128" s="99">
        <f>G128+'26'!H128</f>
        <v>-20837.400000000001</v>
      </c>
      <c r="I128" s="165"/>
      <c r="J128" s="348">
        <f>H128/DAY(B2)</f>
        <v>-771.75555555555559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'26'!F129</f>
        <v>0</v>
      </c>
      <c r="F129" s="165"/>
      <c r="G129" s="112">
        <f t="shared" si="10"/>
        <v>0</v>
      </c>
      <c r="H129" s="99">
        <f>G129+'26'!H129</f>
        <v>-3767.84</v>
      </c>
      <c r="I129" s="165"/>
      <c r="J129" s="348">
        <f>H129/DAY(B2)</f>
        <v>-139.54962962962964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'26'!F130</f>
        <v>0</v>
      </c>
      <c r="F130" s="165"/>
      <c r="G130" s="112">
        <f t="shared" si="10"/>
        <v>0</v>
      </c>
      <c r="H130" s="99">
        <f>G130+'26'!H130</f>
        <v>-4439.2299999999996</v>
      </c>
      <c r="I130" s="165"/>
      <c r="J130" s="348">
        <f>H130/DAY(B2)</f>
        <v>-164.4159259259259</v>
      </c>
      <c r="N130" s="240"/>
      <c r="O130" s="241"/>
    </row>
    <row r="131" spans="1:15" ht="27.75" x14ac:dyDescent="0.5">
      <c r="A131" s="750" t="s">
        <v>321</v>
      </c>
      <c r="B131" s="751"/>
      <c r="C131" s="752"/>
      <c r="D131" s="151" t="s">
        <v>183</v>
      </c>
      <c r="E131" s="95">
        <f>'26'!F131</f>
        <v>0</v>
      </c>
      <c r="F131" s="165"/>
      <c r="G131" s="112">
        <f t="shared" si="10"/>
        <v>0</v>
      </c>
      <c r="H131" s="99">
        <f>G131+'26'!H131</f>
        <v>-2311.35</v>
      </c>
      <c r="I131" s="165"/>
      <c r="J131" s="348">
        <f>H131/DAY(B2)</f>
        <v>-85.605555555555554</v>
      </c>
      <c r="N131" s="240"/>
      <c r="O131" s="241"/>
    </row>
    <row r="132" spans="1:15" ht="27.75" x14ac:dyDescent="0.5">
      <c r="A132" s="750" t="s">
        <v>322</v>
      </c>
      <c r="B132" s="751"/>
      <c r="C132" s="752"/>
      <c r="D132" s="151" t="s">
        <v>183</v>
      </c>
      <c r="E132" s="95">
        <f>'26'!F132</f>
        <v>0</v>
      </c>
      <c r="F132" s="165"/>
      <c r="G132" s="112">
        <f t="shared" si="10"/>
        <v>0</v>
      </c>
      <c r="H132" s="99">
        <f>G132+'26'!H132</f>
        <v>-7246.7</v>
      </c>
      <c r="I132" s="165"/>
      <c r="J132" s="348">
        <f>H132/DAY(B2)</f>
        <v>-268.39629629629627</v>
      </c>
    </row>
    <row r="133" spans="1:15" ht="27.75" x14ac:dyDescent="0.5">
      <c r="A133" s="750" t="s">
        <v>323</v>
      </c>
      <c r="B133" s="751"/>
      <c r="C133" s="752"/>
      <c r="D133" s="151" t="s">
        <v>183</v>
      </c>
      <c r="E133" s="95">
        <f>'26'!F133</f>
        <v>0</v>
      </c>
      <c r="F133" s="165"/>
      <c r="G133" s="112">
        <f t="shared" si="10"/>
        <v>0</v>
      </c>
      <c r="H133" s="99">
        <f>G133+'26'!H133</f>
        <v>-45947.5</v>
      </c>
      <c r="I133" s="165"/>
      <c r="J133" s="348">
        <f>H133/DAY(B2)</f>
        <v>-1701.7592592592594</v>
      </c>
    </row>
    <row r="134" spans="1:15" ht="27.75" x14ac:dyDescent="0.5">
      <c r="A134" s="750" t="s">
        <v>340</v>
      </c>
      <c r="B134" s="751"/>
      <c r="C134" s="752"/>
      <c r="D134" s="151" t="s">
        <v>183</v>
      </c>
      <c r="E134" s="95">
        <f>'26'!F134</f>
        <v>0</v>
      </c>
      <c r="F134" s="165"/>
      <c r="G134" s="112">
        <f t="shared" si="10"/>
        <v>0</v>
      </c>
      <c r="H134" s="99">
        <f>G134+'26'!H134</f>
        <v>-1237706</v>
      </c>
      <c r="I134" s="165"/>
      <c r="J134" s="348">
        <f>H134/DAY(B2)</f>
        <v>-45840.962962962964</v>
      </c>
    </row>
    <row r="135" spans="1:15" ht="27.75" x14ac:dyDescent="0.5">
      <c r="A135" s="753"/>
      <c r="B135" s="754"/>
      <c r="C135" s="755"/>
      <c r="D135" s="151"/>
      <c r="E135" s="95"/>
      <c r="F135" s="165"/>
      <c r="G135" s="112"/>
      <c r="H135" s="99">
        <f>G135+'23'!H135</f>
        <v>5534.2300000000005</v>
      </c>
      <c r="I135" s="165"/>
      <c r="J135" s="348"/>
    </row>
    <row r="136" spans="1:15" ht="31.5" x14ac:dyDescent="0.55000000000000004">
      <c r="A136" s="736" t="s">
        <v>325</v>
      </c>
      <c r="B136" s="736"/>
      <c r="C136" s="736"/>
      <c r="D136" s="736"/>
      <c r="E136" s="736"/>
      <c r="F136" s="736"/>
      <c r="G136" s="736"/>
      <c r="H136" s="736"/>
      <c r="I136" s="736"/>
      <c r="J136" s="736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49" t="s">
        <v>185</v>
      </c>
      <c r="B138" s="749"/>
      <c r="C138" s="749"/>
      <c r="D138" s="151" t="s">
        <v>183</v>
      </c>
      <c r="E138" s="95">
        <f>'26'!F138</f>
        <v>857022</v>
      </c>
      <c r="F138" s="147">
        <v>857022</v>
      </c>
      <c r="G138" s="112">
        <f t="shared" ref="G138:G152" si="11">F138-E138</f>
        <v>0</v>
      </c>
      <c r="H138" s="99">
        <f>G138+'26'!H138</f>
        <v>-2046</v>
      </c>
      <c r="I138" s="118"/>
      <c r="J138" s="348">
        <f>H138/DAY(B2)</f>
        <v>-75.777777777777771</v>
      </c>
    </row>
    <row r="139" spans="1:15" ht="27.75" x14ac:dyDescent="0.5">
      <c r="A139" s="749" t="s">
        <v>186</v>
      </c>
      <c r="B139" s="749"/>
      <c r="C139" s="749"/>
      <c r="D139" s="151" t="s">
        <v>183</v>
      </c>
      <c r="E139" s="95">
        <f>'26'!F139</f>
        <v>886051</v>
      </c>
      <c r="F139" s="148">
        <v>886051</v>
      </c>
      <c r="G139" s="112">
        <f t="shared" si="11"/>
        <v>0</v>
      </c>
      <c r="H139" s="99">
        <f>G139+'26'!H139</f>
        <v>-33</v>
      </c>
      <c r="I139" s="118"/>
      <c r="J139" s="348">
        <f>H139/DAY(B2)</f>
        <v>-1.2222222222222223</v>
      </c>
    </row>
    <row r="140" spans="1:15" ht="27.75" x14ac:dyDescent="0.5">
      <c r="A140" s="749" t="s">
        <v>187</v>
      </c>
      <c r="B140" s="749"/>
      <c r="C140" s="749"/>
      <c r="D140" s="151" t="s">
        <v>183</v>
      </c>
      <c r="E140" s="95">
        <f>'26'!F140</f>
        <v>88776</v>
      </c>
      <c r="F140" s="149">
        <v>88776</v>
      </c>
      <c r="G140" s="112">
        <f t="shared" si="11"/>
        <v>0</v>
      </c>
      <c r="H140" s="99">
        <f>G140+'26'!H140</f>
        <v>-47.100000000005821</v>
      </c>
      <c r="I140" s="118"/>
      <c r="J140" s="348">
        <f>H140/DAY(B2)</f>
        <v>-1.7444444444446601</v>
      </c>
    </row>
    <row r="141" spans="1:15" ht="27.75" x14ac:dyDescent="0.5">
      <c r="A141" s="728" t="s">
        <v>188</v>
      </c>
      <c r="B141" s="728"/>
      <c r="C141" s="728"/>
      <c r="D141" s="151" t="s">
        <v>183</v>
      </c>
      <c r="E141" s="95">
        <f>'26'!F141</f>
        <v>26308</v>
      </c>
      <c r="F141" s="149">
        <v>26308</v>
      </c>
      <c r="G141" s="112">
        <f t="shared" si="11"/>
        <v>0</v>
      </c>
      <c r="H141" s="99">
        <f>G141+'26'!H141</f>
        <v>-13573.5</v>
      </c>
      <c r="I141" s="118"/>
      <c r="J141" s="348">
        <f>H141/DAY(B2)</f>
        <v>-502.72222222222223</v>
      </c>
    </row>
    <row r="142" spans="1:15" ht="27.75" x14ac:dyDescent="0.5">
      <c r="A142" s="728" t="s">
        <v>189</v>
      </c>
      <c r="B142" s="728"/>
      <c r="C142" s="728"/>
      <c r="D142" s="151" t="s">
        <v>183</v>
      </c>
      <c r="E142" s="95">
        <f>'26'!F142</f>
        <v>13277</v>
      </c>
      <c r="F142" s="148">
        <v>13277</v>
      </c>
      <c r="G142" s="112">
        <f t="shared" si="11"/>
        <v>0</v>
      </c>
      <c r="H142" s="99">
        <f>G142+'26'!H142</f>
        <v>-5306.2999999999993</v>
      </c>
      <c r="I142" s="140"/>
      <c r="J142" s="348">
        <f>H142/DAY(B2)</f>
        <v>-196.5296296296296</v>
      </c>
    </row>
    <row r="143" spans="1:15" ht="27.75" x14ac:dyDescent="0.5">
      <c r="A143" s="749" t="s">
        <v>91</v>
      </c>
      <c r="B143" s="749"/>
      <c r="C143" s="749"/>
      <c r="D143" s="151" t="s">
        <v>183</v>
      </c>
      <c r="E143" s="95">
        <f>'26'!F143</f>
        <v>0</v>
      </c>
      <c r="F143" s="149"/>
      <c r="G143" s="112">
        <f t="shared" si="11"/>
        <v>0</v>
      </c>
      <c r="H143" s="99">
        <f>G143+'26'!H143</f>
        <v>-1531.35</v>
      </c>
      <c r="I143" s="140"/>
      <c r="J143" s="348">
        <f>H143/DAY(B2)</f>
        <v>-56.716666666666661</v>
      </c>
    </row>
    <row r="144" spans="1:15" ht="27.75" x14ac:dyDescent="0.5">
      <c r="A144" s="728" t="s">
        <v>90</v>
      </c>
      <c r="B144" s="728"/>
      <c r="C144" s="728"/>
      <c r="D144" s="151" t="s">
        <v>183</v>
      </c>
      <c r="E144" s="95">
        <f>'26'!F144</f>
        <v>0</v>
      </c>
      <c r="F144" s="149"/>
      <c r="G144" s="112">
        <f t="shared" si="11"/>
        <v>0</v>
      </c>
      <c r="H144" s="99">
        <f>G144+'26'!H144</f>
        <v>-1702947</v>
      </c>
      <c r="I144" s="140"/>
      <c r="J144" s="348">
        <f>H144/DAY(B2)</f>
        <v>-63072.111111111109</v>
      </c>
    </row>
    <row r="145" spans="1:10" ht="27.75" x14ac:dyDescent="0.5">
      <c r="A145" s="749" t="s">
        <v>190</v>
      </c>
      <c r="B145" s="749"/>
      <c r="C145" s="749"/>
      <c r="D145" s="152" t="s">
        <v>183</v>
      </c>
      <c r="E145" s="95">
        <f>'26'!F145</f>
        <v>0</v>
      </c>
      <c r="F145" s="149"/>
      <c r="G145" s="112">
        <f t="shared" si="11"/>
        <v>0</v>
      </c>
      <c r="H145" s="99">
        <f>G145+'26'!H145</f>
        <v>-2618.4</v>
      </c>
      <c r="I145" s="140"/>
      <c r="J145" s="348">
        <f>H145/DAY(B2)</f>
        <v>-96.977777777777774</v>
      </c>
    </row>
    <row r="146" spans="1:10" ht="27.75" x14ac:dyDescent="0.5">
      <c r="A146" s="784" t="s">
        <v>191</v>
      </c>
      <c r="B146" s="769"/>
      <c r="C146" s="770"/>
      <c r="D146" s="152" t="s">
        <v>183</v>
      </c>
      <c r="E146" s="95">
        <f>'26'!F146</f>
        <v>0</v>
      </c>
      <c r="F146" s="148"/>
      <c r="G146" s="112">
        <f t="shared" si="11"/>
        <v>0</v>
      </c>
      <c r="H146" s="99">
        <f>G146+'26'!H146</f>
        <v>-1380251</v>
      </c>
      <c r="I146" s="140"/>
      <c r="J146" s="348">
        <f>H146/DAY(B2)</f>
        <v>-51120.407407407409</v>
      </c>
    </row>
    <row r="147" spans="1:10" ht="27.75" x14ac:dyDescent="0.5">
      <c r="A147" s="728" t="s">
        <v>192</v>
      </c>
      <c r="B147" s="728"/>
      <c r="C147" s="728"/>
      <c r="D147" s="152" t="s">
        <v>183</v>
      </c>
      <c r="E147" s="95">
        <f>'26'!F147</f>
        <v>0</v>
      </c>
      <c r="F147" s="148"/>
      <c r="G147" s="112">
        <f t="shared" si="11"/>
        <v>0</v>
      </c>
      <c r="H147" s="99">
        <f>G147+'26'!H147</f>
        <v>-1159149.72</v>
      </c>
      <c r="I147" s="140"/>
      <c r="J147" s="348">
        <f>H147/DAY(B2)</f>
        <v>-42931.47111111111</v>
      </c>
    </row>
    <row r="148" spans="1:10" ht="27.75" x14ac:dyDescent="0.5">
      <c r="A148" s="729" t="s">
        <v>193</v>
      </c>
      <c r="B148" s="730"/>
      <c r="C148" s="731"/>
      <c r="D148" s="123" t="s">
        <v>130</v>
      </c>
      <c r="E148" s="95">
        <f>'26'!F148</f>
        <v>0</v>
      </c>
      <c r="F148" s="150"/>
      <c r="G148" s="112">
        <f t="shared" si="11"/>
        <v>0</v>
      </c>
      <c r="H148" s="99">
        <f>G148+'26'!H148</f>
        <v>-1320350.54</v>
      </c>
      <c r="I148" s="124"/>
      <c r="J148" s="348">
        <f>H148/DAY(B2)</f>
        <v>-48901.871851851851</v>
      </c>
    </row>
    <row r="149" spans="1:10" ht="27.75" x14ac:dyDescent="0.5">
      <c r="A149" s="729" t="s">
        <v>336</v>
      </c>
      <c r="B149" s="730"/>
      <c r="C149" s="731"/>
      <c r="D149" s="227" t="s">
        <v>130</v>
      </c>
      <c r="E149" s="95">
        <f>'26'!F149</f>
        <v>0</v>
      </c>
      <c r="F149" s="146"/>
      <c r="G149" s="112">
        <f t="shared" si="11"/>
        <v>0</v>
      </c>
      <c r="H149" s="99">
        <f>G149+'26'!H149</f>
        <v>-155505</v>
      </c>
      <c r="I149" s="119"/>
      <c r="J149" s="348">
        <f>H149/DAY(B2)</f>
        <v>-5759.4444444444443</v>
      </c>
    </row>
    <row r="150" spans="1:10" ht="27.75" x14ac:dyDescent="0.5">
      <c r="A150" s="729" t="s">
        <v>337</v>
      </c>
      <c r="B150" s="730"/>
      <c r="C150" s="731"/>
      <c r="D150" s="117" t="s">
        <v>130</v>
      </c>
      <c r="E150" s="95">
        <f>'26'!F150</f>
        <v>0</v>
      </c>
      <c r="F150" s="233"/>
      <c r="G150" s="112">
        <f t="shared" si="11"/>
        <v>0</v>
      </c>
      <c r="H150" s="99">
        <f>G150+'26'!H150</f>
        <v>-14334464</v>
      </c>
      <c r="I150" s="119"/>
      <c r="J150" s="348">
        <f>H150/DAY(B2)</f>
        <v>-530906.07407407404</v>
      </c>
    </row>
    <row r="151" spans="1:10" ht="27.75" x14ac:dyDescent="0.5">
      <c r="A151" s="729" t="s">
        <v>338</v>
      </c>
      <c r="B151" s="730"/>
      <c r="C151" s="731"/>
      <c r="D151" s="117" t="s">
        <v>130</v>
      </c>
      <c r="E151" s="95">
        <f>'26'!F151</f>
        <v>0</v>
      </c>
      <c r="F151" s="233"/>
      <c r="G151" s="112">
        <f t="shared" si="11"/>
        <v>0</v>
      </c>
      <c r="H151" s="99">
        <f>G151+'26'!H151</f>
        <v>-112419</v>
      </c>
      <c r="I151" s="119"/>
      <c r="J151" s="348">
        <f>H151/DAY(B2)</f>
        <v>-4163.666666666667</v>
      </c>
    </row>
    <row r="152" spans="1:10" ht="27.75" x14ac:dyDescent="0.5">
      <c r="A152" s="729" t="s">
        <v>339</v>
      </c>
      <c r="B152" s="730"/>
      <c r="C152" s="731"/>
      <c r="D152" s="117" t="s">
        <v>130</v>
      </c>
      <c r="E152" s="95">
        <f>'26'!F152</f>
        <v>0</v>
      </c>
      <c r="F152" s="233"/>
      <c r="G152" s="112">
        <f t="shared" si="11"/>
        <v>0</v>
      </c>
      <c r="H152" s="99">
        <f>G152+'26'!H152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36" t="s">
        <v>344</v>
      </c>
      <c r="B154" s="736"/>
      <c r="C154" s="736"/>
      <c r="D154" s="736"/>
      <c r="E154" s="736"/>
      <c r="F154" s="736"/>
      <c r="G154" s="736"/>
      <c r="H154" s="736"/>
      <c r="I154" s="736"/>
      <c r="J154" s="736"/>
    </row>
    <row r="155" spans="1:10" ht="31.5" x14ac:dyDescent="0.55000000000000004">
      <c r="A155" s="728" t="s">
        <v>345</v>
      </c>
      <c r="B155" s="728"/>
      <c r="C155" s="728"/>
      <c r="D155" s="117" t="s">
        <v>130</v>
      </c>
      <c r="E155" s="95">
        <f>'26'!F155</f>
        <v>0</v>
      </c>
      <c r="F155" s="385"/>
      <c r="G155" s="112">
        <f t="shared" ref="G155:G156" si="12">F155-E155</f>
        <v>0</v>
      </c>
      <c r="H155" s="99">
        <f>G155+'26'!H155</f>
        <v>-154178.09999999998</v>
      </c>
      <c r="I155" s="385"/>
      <c r="J155" s="348">
        <f>H155/DAY(B2)</f>
        <v>-5710.2999999999993</v>
      </c>
    </row>
    <row r="156" spans="1:10" ht="27.75" x14ac:dyDescent="0.5">
      <c r="A156" s="728" t="s">
        <v>347</v>
      </c>
      <c r="B156" s="728"/>
      <c r="C156" s="728"/>
      <c r="D156" s="117" t="s">
        <v>130</v>
      </c>
      <c r="E156" s="95">
        <f>'26'!F156</f>
        <v>0</v>
      </c>
      <c r="F156" s="165"/>
      <c r="G156" s="112">
        <f t="shared" si="12"/>
        <v>0</v>
      </c>
      <c r="H156" s="99">
        <f>G156+'26'!H156</f>
        <v>0</v>
      </c>
      <c r="I156" s="165"/>
      <c r="J156" s="348">
        <f>H156/DAY(B2)</f>
        <v>0</v>
      </c>
    </row>
    <row r="157" spans="1:10" ht="31.5" x14ac:dyDescent="0.55000000000000004">
      <c r="A157" s="736" t="s">
        <v>326</v>
      </c>
      <c r="B157" s="736"/>
      <c r="C157" s="736"/>
      <c r="D157" s="736"/>
      <c r="E157" s="736"/>
      <c r="F157" s="736"/>
      <c r="G157" s="736"/>
      <c r="H157" s="736"/>
      <c r="I157" s="736"/>
      <c r="J157" s="736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'26'!F158</f>
        <v>463315</v>
      </c>
      <c r="F158" s="235">
        <v>463315</v>
      </c>
      <c r="G158" s="238">
        <f t="shared" ref="G158:G162" si="13">F158-E158</f>
        <v>0</v>
      </c>
      <c r="H158" s="99">
        <f>G158+'26'!H158</f>
        <v>-5764.4000000000233</v>
      </c>
      <c r="I158" s="236"/>
      <c r="J158" s="239">
        <f>H158/DAY(B2)</f>
        <v>-213.49629629629715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'26'!F159</f>
        <v>83899</v>
      </c>
      <c r="F159" s="235">
        <v>83899</v>
      </c>
      <c r="G159" s="238">
        <f t="shared" si="13"/>
        <v>0</v>
      </c>
      <c r="H159" s="99">
        <f>G159+'26'!H159</f>
        <v>-2351.3999999999942</v>
      </c>
      <c r="I159" s="236"/>
      <c r="J159" s="239">
        <f>H159/DAY(B2)</f>
        <v>-87.088888888888675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'26'!F160</f>
        <v>69089</v>
      </c>
      <c r="F160" s="235">
        <v>69089</v>
      </c>
      <c r="G160" s="238">
        <f t="shared" si="13"/>
        <v>0</v>
      </c>
      <c r="H160" s="99">
        <f>G160+'26'!H160</f>
        <v>-4894.1999999999971</v>
      </c>
      <c r="I160" s="236"/>
      <c r="J160" s="239">
        <f>H160/DAY(B2)</f>
        <v>-181.26666666666657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'26'!F161</f>
        <v>3611</v>
      </c>
      <c r="F161" s="235">
        <v>3611</v>
      </c>
      <c r="G161" s="238">
        <f t="shared" si="13"/>
        <v>0</v>
      </c>
      <c r="H161" s="99">
        <f>G161+'26'!H161</f>
        <v>-555.30000000000018</v>
      </c>
      <c r="I161" s="236"/>
      <c r="J161" s="239">
        <f>H161/DAY(B2)</f>
        <v>-20.566666666666674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'26'!F162</f>
        <v>28746</v>
      </c>
      <c r="F162" s="235">
        <v>28746</v>
      </c>
      <c r="G162" s="238">
        <f t="shared" si="13"/>
        <v>0</v>
      </c>
      <c r="H162" s="99">
        <f>G162+'26'!H162</f>
        <v>-566.7400000000016</v>
      </c>
      <c r="I162" s="236"/>
      <c r="J162" s="239">
        <f>H162/DAY(B2)</f>
        <v>-20.990370370370428</v>
      </c>
    </row>
    <row r="163" spans="1:10" ht="29.25" x14ac:dyDescent="0.5">
      <c r="A163" s="737"/>
      <c r="B163" s="737"/>
      <c r="C163" s="247"/>
      <c r="D163" s="244" t="s">
        <v>180</v>
      </c>
      <c r="E163" s="95">
        <f>'26'!F163</f>
        <v>0</v>
      </c>
      <c r="F163" s="165"/>
      <c r="G163" s="165"/>
      <c r="H163" s="99">
        <f>G163+'26'!H163</f>
        <v>0</v>
      </c>
      <c r="I163" s="165"/>
      <c r="J163" s="239">
        <f>H163/DAY(B2)</f>
        <v>0</v>
      </c>
    </row>
    <row r="164" spans="1:10" ht="29.25" x14ac:dyDescent="0.5">
      <c r="A164" s="737"/>
      <c r="B164" s="737"/>
      <c r="C164" s="247"/>
      <c r="D164" s="244" t="s">
        <v>180</v>
      </c>
      <c r="E164" s="95">
        <f>'26'!F164</f>
        <v>0</v>
      </c>
      <c r="F164" s="165"/>
      <c r="G164" s="165"/>
      <c r="H164" s="99">
        <f>G164+'26'!H164</f>
        <v>0</v>
      </c>
      <c r="I164" s="165"/>
      <c r="J164" s="239">
        <f>H164/DAY(B2)</f>
        <v>0</v>
      </c>
    </row>
    <row r="165" spans="1:10" ht="29.25" x14ac:dyDescent="0.5">
      <c r="A165" s="737"/>
      <c r="B165" s="737"/>
      <c r="C165" s="247"/>
      <c r="D165" s="244" t="s">
        <v>180</v>
      </c>
      <c r="E165" s="95">
        <f>'26'!F165</f>
        <v>0</v>
      </c>
      <c r="F165" s="165"/>
      <c r="G165" s="165"/>
      <c r="H165" s="99">
        <f>G165+'26'!H165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38" t="s">
        <v>330</v>
      </c>
      <c r="B168" s="739"/>
      <c r="C168" s="739"/>
      <c r="D168" s="739"/>
      <c r="E168" s="739"/>
      <c r="F168" s="739"/>
      <c r="G168" s="739"/>
      <c r="H168" s="739"/>
      <c r="I168" s="739"/>
      <c r="J168" s="740"/>
    </row>
    <row r="169" spans="1:10" ht="27.75" x14ac:dyDescent="0.5">
      <c r="A169" s="747"/>
      <c r="B169" s="748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43" t="s">
        <v>209</v>
      </c>
      <c r="B170" s="744"/>
      <c r="C170" s="353"/>
      <c r="D170" s="228" t="s">
        <v>142</v>
      </c>
      <c r="E170" s="95">
        <f>'26'!F170</f>
        <v>7961</v>
      </c>
      <c r="F170" s="155">
        <v>7961</v>
      </c>
      <c r="G170" s="155">
        <f>F170-E170</f>
        <v>0</v>
      </c>
      <c r="H170" s="99">
        <f>G170+'26'!H170</f>
        <v>129</v>
      </c>
      <c r="I170" s="155"/>
      <c r="J170" s="178">
        <f>H170/DAY(B2)</f>
        <v>4.7777777777777777</v>
      </c>
    </row>
    <row r="171" spans="1:10" ht="27.75" x14ac:dyDescent="0.5">
      <c r="A171" s="743" t="s">
        <v>75</v>
      </c>
      <c r="B171" s="744"/>
      <c r="C171" s="353"/>
      <c r="D171" s="228" t="s">
        <v>142</v>
      </c>
      <c r="E171" s="95">
        <f>'26'!F171</f>
        <v>36765</v>
      </c>
      <c r="F171" s="157">
        <v>36765</v>
      </c>
      <c r="G171" s="155">
        <f t="shared" ref="G171:G172" si="14">F171-E171</f>
        <v>0</v>
      </c>
      <c r="H171" s="99">
        <f>G171+'26'!H171</f>
        <v>-332</v>
      </c>
      <c r="I171" s="155"/>
      <c r="J171" s="178">
        <f>H171/DAY(B2)</f>
        <v>-12.296296296296296</v>
      </c>
    </row>
    <row r="172" spans="1:10" ht="27.75" x14ac:dyDescent="0.5">
      <c r="A172" s="743" t="s">
        <v>76</v>
      </c>
      <c r="B172" s="783"/>
      <c r="C172" s="744"/>
      <c r="D172" s="228" t="s">
        <v>142</v>
      </c>
      <c r="E172" s="95">
        <f>'26'!F172</f>
        <v>20214</v>
      </c>
      <c r="F172" s="155">
        <v>20214</v>
      </c>
      <c r="G172" s="155">
        <f t="shared" si="14"/>
        <v>0</v>
      </c>
      <c r="H172" s="99">
        <f>G172+'26'!H172</f>
        <v>-687</v>
      </c>
      <c r="I172" s="155"/>
      <c r="J172" s="178">
        <f>H172/DAY(B2)</f>
        <v>-25.444444444444443</v>
      </c>
    </row>
    <row r="173" spans="1:10" ht="27.75" x14ac:dyDescent="0.5">
      <c r="A173" s="732" t="s">
        <v>196</v>
      </c>
      <c r="B173" s="733"/>
      <c r="C173" s="611"/>
      <c r="D173" s="228" t="s">
        <v>142</v>
      </c>
      <c r="E173" s="95"/>
      <c r="F173" s="155"/>
      <c r="G173" s="155">
        <f>SUM(G170:G172)</f>
        <v>0</v>
      </c>
      <c r="H173" s="99">
        <f>G173+'26'!H173</f>
        <v>-890</v>
      </c>
      <c r="I173" s="155"/>
      <c r="J173" s="178">
        <f>H173/DAY(B2)</f>
        <v>-32.962962962962962</v>
      </c>
    </row>
    <row r="174" spans="1:10" ht="27.75" x14ac:dyDescent="0.5">
      <c r="A174" s="743" t="s">
        <v>77</v>
      </c>
      <c r="B174" s="744"/>
      <c r="C174" s="353"/>
      <c r="D174" s="228" t="s">
        <v>142</v>
      </c>
      <c r="E174" s="95"/>
      <c r="F174" s="155"/>
      <c r="G174" s="155"/>
      <c r="H174" s="99">
        <f>G174+'26'!H174</f>
        <v>0</v>
      </c>
      <c r="I174" s="155"/>
      <c r="J174" s="178">
        <f>H174/DAY(B2)</f>
        <v>0</v>
      </c>
    </row>
    <row r="175" spans="1:10" ht="27.75" x14ac:dyDescent="0.5">
      <c r="A175" s="743" t="s">
        <v>210</v>
      </c>
      <c r="B175" s="744"/>
      <c r="C175" s="353"/>
      <c r="D175" s="228" t="s">
        <v>142</v>
      </c>
      <c r="E175" s="95">
        <f>'26'!F175</f>
        <v>69524</v>
      </c>
      <c r="F175" s="155">
        <v>69524</v>
      </c>
      <c r="G175" s="155">
        <f>F175-E175</f>
        <v>0</v>
      </c>
      <c r="H175" s="99">
        <f>G175+'26'!H175</f>
        <v>-6303</v>
      </c>
      <c r="I175" s="155"/>
      <c r="J175" s="178">
        <f>H175/DAY(B2)</f>
        <v>-233.44444444444446</v>
      </c>
    </row>
    <row r="176" spans="1:10" ht="27.75" x14ac:dyDescent="0.5">
      <c r="A176" s="743" t="s">
        <v>211</v>
      </c>
      <c r="B176" s="744"/>
      <c r="C176" s="353"/>
      <c r="D176" s="228" t="s">
        <v>142</v>
      </c>
      <c r="E176" s="95">
        <f>'26'!F176</f>
        <v>33886</v>
      </c>
      <c r="F176" s="155">
        <v>33886</v>
      </c>
      <c r="G176" s="155">
        <f t="shared" ref="G176:G177" si="15">F176-E176</f>
        <v>0</v>
      </c>
      <c r="H176" s="99">
        <f>G176+'26'!H176</f>
        <v>0</v>
      </c>
      <c r="I176" s="155"/>
      <c r="J176" s="178">
        <f>H176/DAY(B2)</f>
        <v>0</v>
      </c>
    </row>
    <row r="177" spans="1:10" ht="27.75" x14ac:dyDescent="0.5">
      <c r="A177" s="743" t="s">
        <v>212</v>
      </c>
      <c r="B177" s="744"/>
      <c r="C177" s="353"/>
      <c r="D177" s="228" t="s">
        <v>142</v>
      </c>
      <c r="E177" s="95">
        <f>'26'!F177</f>
        <v>4788</v>
      </c>
      <c r="F177" s="155">
        <v>4788</v>
      </c>
      <c r="G177" s="155">
        <f t="shared" si="15"/>
        <v>0</v>
      </c>
      <c r="H177" s="99">
        <f>G177+'26'!H177</f>
        <v>-3190</v>
      </c>
      <c r="I177" s="155"/>
      <c r="J177" s="178">
        <f>H177/DAY(B2)</f>
        <v>-118.14814814814815</v>
      </c>
    </row>
    <row r="178" spans="1:10" ht="27.75" x14ac:dyDescent="0.5">
      <c r="A178" s="745" t="s">
        <v>108</v>
      </c>
      <c r="B178" s="746"/>
      <c r="C178" s="611"/>
      <c r="D178" s="228" t="s">
        <v>142</v>
      </c>
      <c r="E178" s="95"/>
      <c r="F178" s="155"/>
      <c r="G178" s="155">
        <f>SUM(G175:G177)</f>
        <v>0</v>
      </c>
      <c r="H178" s="99">
        <f>G178+'26'!H178</f>
        <v>-9493</v>
      </c>
      <c r="I178" s="155"/>
      <c r="J178" s="178">
        <f>H178/DAY(B2)</f>
        <v>-351.59259259259261</v>
      </c>
    </row>
    <row r="179" spans="1:10" ht="27.75" x14ac:dyDescent="0.5">
      <c r="A179" s="743" t="s">
        <v>213</v>
      </c>
      <c r="B179" s="744"/>
      <c r="C179" s="353"/>
      <c r="D179" s="228" t="s">
        <v>142</v>
      </c>
      <c r="E179" s="95"/>
      <c r="F179" s="155"/>
      <c r="G179" s="155"/>
      <c r="H179" s="99">
        <f>G179+'26'!H179</f>
        <v>0</v>
      </c>
      <c r="I179" s="155"/>
      <c r="J179" s="178">
        <f>H179/DAY(B2)</f>
        <v>0</v>
      </c>
    </row>
    <row r="180" spans="1:10" ht="27.75" x14ac:dyDescent="0.5">
      <c r="A180" s="743" t="s">
        <v>214</v>
      </c>
      <c r="B180" s="744"/>
      <c r="C180" s="354"/>
      <c r="D180" s="228" t="s">
        <v>142</v>
      </c>
      <c r="E180" s="95">
        <f>'26'!F180</f>
        <v>13038</v>
      </c>
      <c r="F180" s="157">
        <v>13038</v>
      </c>
      <c r="G180" s="157">
        <f>F180-E180</f>
        <v>0</v>
      </c>
      <c r="H180" s="99">
        <f>G180+'26'!H180</f>
        <v>-1253</v>
      </c>
      <c r="I180" s="155"/>
      <c r="J180" s="178">
        <f>H180/DAY(B2)</f>
        <v>-46.407407407407405</v>
      </c>
    </row>
    <row r="181" spans="1:10" ht="27.75" x14ac:dyDescent="0.5">
      <c r="A181" s="743" t="s">
        <v>215</v>
      </c>
      <c r="B181" s="744"/>
      <c r="C181" s="354"/>
      <c r="D181" s="228" t="s">
        <v>142</v>
      </c>
      <c r="E181" s="95">
        <f>'26'!F181</f>
        <v>9126</v>
      </c>
      <c r="F181" s="157">
        <v>9126</v>
      </c>
      <c r="G181" s="157">
        <f t="shared" ref="G181:G182" si="16">F181-E181</f>
        <v>0</v>
      </c>
      <c r="H181" s="99">
        <f>G181+'26'!H181</f>
        <v>-794</v>
      </c>
      <c r="I181" s="155"/>
      <c r="J181" s="178">
        <f>H181/DAY(B2)</f>
        <v>-29.407407407407408</v>
      </c>
    </row>
    <row r="182" spans="1:10" ht="25.5" customHeight="1" x14ac:dyDescent="0.5">
      <c r="A182" s="743" t="s">
        <v>216</v>
      </c>
      <c r="B182" s="744"/>
      <c r="C182" s="354"/>
      <c r="D182" s="228" t="s">
        <v>142</v>
      </c>
      <c r="E182" s="95">
        <f>'26'!F182</f>
        <v>0</v>
      </c>
      <c r="F182" s="157"/>
      <c r="G182" s="157">
        <f t="shared" si="16"/>
        <v>0</v>
      </c>
      <c r="H182" s="99">
        <f>G182+'26'!H182</f>
        <v>0</v>
      </c>
      <c r="I182" s="155"/>
      <c r="J182" s="178">
        <f>H182/DAY(B2)</f>
        <v>0</v>
      </c>
    </row>
    <row r="183" spans="1:10" ht="27.75" x14ac:dyDescent="0.5">
      <c r="A183" s="732" t="s">
        <v>196</v>
      </c>
      <c r="B183" s="733"/>
      <c r="C183" s="610"/>
      <c r="D183" s="228" t="s">
        <v>142</v>
      </c>
      <c r="E183" s="95"/>
      <c r="F183" s="157"/>
      <c r="G183" s="157">
        <f>SUM(G180:G182)</f>
        <v>0</v>
      </c>
      <c r="H183" s="99">
        <f>G183+'26'!H183</f>
        <v>-2047</v>
      </c>
      <c r="I183" s="157"/>
      <c r="J183" s="178">
        <f>H183/DAY(B2)</f>
        <v>-75.81481481481481</v>
      </c>
    </row>
    <row r="184" spans="1:10" ht="27.75" x14ac:dyDescent="0.5">
      <c r="A184" s="734" t="s">
        <v>217</v>
      </c>
      <c r="B184" s="735"/>
      <c r="C184" s="353"/>
      <c r="D184" s="228" t="s">
        <v>142</v>
      </c>
      <c r="E184" s="95">
        <f>'26'!F184</f>
        <v>0</v>
      </c>
      <c r="F184" s="159"/>
      <c r="G184" s="588">
        <f>G62+G19</f>
        <v>60</v>
      </c>
      <c r="H184" s="99">
        <f>G184+'26'!H184</f>
        <v>-6062</v>
      </c>
      <c r="I184" s="158"/>
      <c r="J184" s="179">
        <f>H184/DAY(B2)</f>
        <v>-224.5185185185185</v>
      </c>
    </row>
    <row r="185" spans="1:10" ht="27.75" x14ac:dyDescent="0.5">
      <c r="A185" s="734" t="s">
        <v>218</v>
      </c>
      <c r="B185" s="735"/>
      <c r="C185" s="353"/>
      <c r="D185" s="228" t="s">
        <v>142</v>
      </c>
      <c r="E185" s="95">
        <f>'26'!F185</f>
        <v>0</v>
      </c>
      <c r="F185" s="159"/>
      <c r="G185" s="588">
        <f>G65+G66+G67+G69+G70</f>
        <v>0</v>
      </c>
      <c r="H185" s="99">
        <f>G185+'26'!H185</f>
        <v>-14514</v>
      </c>
      <c r="I185" s="158"/>
      <c r="J185" s="179">
        <f>H185/DAY(B2)</f>
        <v>-537.55555555555554</v>
      </c>
    </row>
    <row r="186" spans="1:10" ht="27.75" x14ac:dyDescent="0.5">
      <c r="A186" s="734" t="s">
        <v>219</v>
      </c>
      <c r="B186" s="735"/>
      <c r="C186" s="353"/>
      <c r="D186" s="230" t="s">
        <v>142</v>
      </c>
      <c r="E186" s="95">
        <f>'26'!F186</f>
        <v>0</v>
      </c>
      <c r="F186" s="157"/>
      <c r="G186" s="585">
        <f>G178</f>
        <v>0</v>
      </c>
      <c r="H186" s="99">
        <f>G186+'26'!H186</f>
        <v>-7040</v>
      </c>
      <c r="I186" s="158"/>
      <c r="J186" s="179">
        <f>H186/DAY(B2)</f>
        <v>-260.74074074074076</v>
      </c>
    </row>
    <row r="187" spans="1:10" ht="27.75" x14ac:dyDescent="0.5">
      <c r="A187" s="741"/>
      <c r="B187" s="742"/>
      <c r="C187" s="609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1">
    <mergeCell ref="A1:J1"/>
    <mergeCell ref="A6:C6"/>
    <mergeCell ref="A14:C14"/>
    <mergeCell ref="A17:C17"/>
    <mergeCell ref="E3:F3"/>
    <mergeCell ref="A64:C64"/>
    <mergeCell ref="A65:C65"/>
    <mergeCell ref="A33:C33"/>
    <mergeCell ref="A61:C61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33:C133"/>
    <mergeCell ref="A134:C134"/>
    <mergeCell ref="A135:C135"/>
    <mergeCell ref="A136:J136"/>
    <mergeCell ref="A138:C138"/>
    <mergeCell ref="A126:J126"/>
    <mergeCell ref="A127:B127"/>
    <mergeCell ref="A128:C128"/>
    <mergeCell ref="A131:C131"/>
    <mergeCell ref="A132:C132"/>
    <mergeCell ref="A163:B163"/>
    <mergeCell ref="A164:B164"/>
    <mergeCell ref="A165:B165"/>
    <mergeCell ref="A168:J168"/>
    <mergeCell ref="A169:B169"/>
    <mergeCell ref="A139:C139"/>
    <mergeCell ref="A140:C140"/>
    <mergeCell ref="A141:C141"/>
    <mergeCell ref="A142:C142"/>
    <mergeCell ref="A157:J157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85:B185"/>
    <mergeCell ref="A186:B186"/>
    <mergeCell ref="A187:B187"/>
    <mergeCell ref="A178:B178"/>
    <mergeCell ref="A179:B179"/>
    <mergeCell ref="A182:B182"/>
    <mergeCell ref="A183:B183"/>
    <mergeCell ref="A184:B184"/>
    <mergeCell ref="A170:B170"/>
    <mergeCell ref="A171:B171"/>
    <mergeCell ref="A173:B173"/>
    <mergeCell ref="A174:B174"/>
    <mergeCell ref="A175:B175"/>
    <mergeCell ref="A172:C172"/>
    <mergeCell ref="A176:B176"/>
    <mergeCell ref="A177:B177"/>
    <mergeCell ref="A181:B181"/>
    <mergeCell ref="A180:B180"/>
  </mergeCells>
  <pageMargins left="0.23622047244094491" right="0.15748031496062992" top="0.15748031496062992" bottom="0.19685039370078741" header="0.19685039370078741" footer="0.19685039370078741"/>
  <pageSetup paperSize="5" scale="1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698"/>
  <sheetViews>
    <sheetView view="pageBreakPreview" topLeftCell="A160" zoomScale="55" zoomScaleNormal="80" zoomScaleSheetLayoutView="55" workbookViewId="0">
      <selection activeCell="A175" sqref="A175:B17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89" t="s">
        <v>115</v>
      </c>
      <c r="B1" s="790"/>
      <c r="C1" s="790"/>
      <c r="D1" s="790"/>
      <c r="E1" s="790"/>
      <c r="F1" s="790"/>
      <c r="G1" s="790"/>
      <c r="H1" s="790"/>
      <c r="I1" s="790"/>
      <c r="J1" s="791"/>
    </row>
    <row r="2" spans="1:15" s="57" customFormat="1" ht="27" x14ac:dyDescent="0.5">
      <c r="A2" s="191" t="s">
        <v>303</v>
      </c>
      <c r="B2" s="266">
        <v>44497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98" t="s">
        <v>119</v>
      </c>
      <c r="F3" s="79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92" t="s">
        <v>128</v>
      </c>
      <c r="B6" s="793"/>
      <c r="C6" s="79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'27'!F7</f>
        <v>570179.47</v>
      </c>
      <c r="F7" s="95">
        <f>E7+23000</f>
        <v>593179.47</v>
      </c>
      <c r="G7" s="112">
        <f>F7-E7</f>
        <v>23000</v>
      </c>
      <c r="H7" s="99">
        <f>G7+'27'!H7</f>
        <v>648937.06999999983</v>
      </c>
      <c r="I7" s="113">
        <f>'1'!I7</f>
        <v>12000</v>
      </c>
      <c r="J7" s="175">
        <f>H7/DAY(B2)</f>
        <v>23176.323928571423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'27'!F8</f>
        <v>590979.75</v>
      </c>
      <c r="F8" s="114">
        <f>E8+23050</f>
        <v>614029.75</v>
      </c>
      <c r="G8" s="115">
        <f>F8-E8</f>
        <v>23050</v>
      </c>
      <c r="H8" s="99">
        <f>G8+'27'!H8</f>
        <v>655362.75</v>
      </c>
      <c r="I8" s="116"/>
      <c r="J8" s="175">
        <f>H8/DAY(B2)</f>
        <v>23405.8125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'27'!F9</f>
        <v>1253976.8999999999</v>
      </c>
      <c r="F9" s="117">
        <f>E9+23000</f>
        <v>1276976.8999999999</v>
      </c>
      <c r="G9" s="112">
        <f>F9-E9</f>
        <v>23000</v>
      </c>
      <c r="H9" s="99">
        <f>G9+'27'!H9</f>
        <v>569186.89999999979</v>
      </c>
      <c r="I9" s="124">
        <f>I7-J7</f>
        <v>-11176.323928571423</v>
      </c>
      <c r="J9" s="175">
        <f>H9/DAY(B2)</f>
        <v>20328.103571428564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'27'!F10</f>
        <v>2607</v>
      </c>
      <c r="F10" s="117">
        <v>2607</v>
      </c>
      <c r="G10" s="112">
        <f t="shared" ref="G10:G12" si="0">F10-E10</f>
        <v>0</v>
      </c>
      <c r="H10" s="99">
        <f>G10+'27'!H10</f>
        <v>-57966</v>
      </c>
      <c r="I10" s="286"/>
      <c r="J10" s="175">
        <f>H10/DAY(B2)</f>
        <v>-2070.2142857142858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'27'!F11</f>
        <v>37000</v>
      </c>
      <c r="F11" s="95">
        <v>37000</v>
      </c>
      <c r="G11" s="112">
        <f t="shared" si="0"/>
        <v>0</v>
      </c>
      <c r="H11" s="99">
        <f>G11+'27'!H11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'27'!F12</f>
        <v>40010</v>
      </c>
      <c r="F12" s="117">
        <v>40010</v>
      </c>
      <c r="G12" s="112">
        <f t="shared" si="0"/>
        <v>0</v>
      </c>
      <c r="H12" s="99">
        <f>G12+'27'!H12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23000</v>
      </c>
      <c r="H13" s="99">
        <f>G13+'27'!H13</f>
        <v>489675.14999999979</v>
      </c>
      <c r="I13" s="120">
        <f>G7-G13</f>
        <v>0</v>
      </c>
      <c r="J13" s="175">
        <f>H13/DAY(B2)</f>
        <v>17488.398214285706</v>
      </c>
      <c r="K13" s="79"/>
      <c r="L13" s="66"/>
      <c r="N13" s="87"/>
      <c r="O13" s="71"/>
    </row>
    <row r="14" spans="1:15" ht="29.25" x14ac:dyDescent="0.5">
      <c r="A14" s="795" t="s">
        <v>137</v>
      </c>
      <c r="B14" s="796"/>
      <c r="C14" s="79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'27'!F15</f>
        <v>1808992.8829999999</v>
      </c>
      <c r="F15" s="123">
        <f>E15+875</f>
        <v>1809867.8829999999</v>
      </c>
      <c r="G15" s="112">
        <f>(F15-E15)</f>
        <v>875</v>
      </c>
      <c r="H15" s="99">
        <f>G15+'27'!H15</f>
        <v>26534.882999999914</v>
      </c>
      <c r="I15" s="113">
        <f>'1'!I15</f>
        <v>800</v>
      </c>
      <c r="J15" s="175">
        <f>H15/DAY(B2)</f>
        <v>947.67439285713976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-147.67439285713976</v>
      </c>
      <c r="J16" s="176"/>
      <c r="K16" s="79"/>
      <c r="L16" s="66"/>
      <c r="N16" s="87"/>
      <c r="O16" s="71"/>
    </row>
    <row r="17" spans="1:15" ht="29.25" x14ac:dyDescent="0.5">
      <c r="A17" s="795" t="s">
        <v>140</v>
      </c>
      <c r="B17" s="796"/>
      <c r="C17" s="79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1" t="s">
        <v>141</v>
      </c>
      <c r="B18" s="772"/>
      <c r="C18" s="773"/>
      <c r="D18" s="151" t="s">
        <v>142</v>
      </c>
      <c r="E18" s="95">
        <f>'27'!F18</f>
        <v>14</v>
      </c>
      <c r="F18" s="122">
        <v>14</v>
      </c>
      <c r="G18" s="119">
        <f>F18*10</f>
        <v>140</v>
      </c>
      <c r="H18" s="99">
        <f>G18+'27'!H18</f>
        <v>4860</v>
      </c>
      <c r="I18" s="113">
        <f>'1'!I18</f>
        <v>65</v>
      </c>
      <c r="J18" s="175">
        <f>H18/DAY(B2)</f>
        <v>173.57142857142858</v>
      </c>
      <c r="K18" s="79"/>
      <c r="L18" s="66"/>
      <c r="N18" s="87"/>
      <c r="O18" s="71"/>
    </row>
    <row r="19" spans="1:15" ht="27.75" x14ac:dyDescent="0.5">
      <c r="A19" s="771" t="s">
        <v>69</v>
      </c>
      <c r="B19" s="772"/>
      <c r="C19" s="773"/>
      <c r="D19" s="151" t="s">
        <v>142</v>
      </c>
      <c r="E19" s="95">
        <f>'27'!F19</f>
        <v>148645</v>
      </c>
      <c r="F19" s="122">
        <f>E19+60</f>
        <v>148705</v>
      </c>
      <c r="G19" s="112">
        <f t="shared" ref="G19" si="1">F19-E19</f>
        <v>60</v>
      </c>
      <c r="H19" s="99">
        <f>G19+'27'!H19</f>
        <v>1653</v>
      </c>
      <c r="I19" s="355"/>
      <c r="J19" s="175">
        <f>H19/DAY(B2)</f>
        <v>59.035714285714285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200</v>
      </c>
      <c r="H20" s="99">
        <f>G20+'27'!H20</f>
        <v>6513</v>
      </c>
      <c r="I20" s="356">
        <f>I18-J20</f>
        <v>-167.60714285714286</v>
      </c>
      <c r="J20" s="175">
        <f>H20/DAY(B2)</f>
        <v>232.60714285714286</v>
      </c>
      <c r="K20" s="79"/>
      <c r="L20" s="66"/>
      <c r="N20" s="87"/>
      <c r="O20" s="71"/>
    </row>
    <row r="21" spans="1:15" ht="29.25" x14ac:dyDescent="0.5">
      <c r="A21" s="795" t="s">
        <v>144</v>
      </c>
      <c r="B21" s="796"/>
      <c r="C21" s="79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'27'!F23</f>
        <v>2000</v>
      </c>
      <c r="F23" s="122">
        <v>2000</v>
      </c>
      <c r="G23" s="119">
        <v>0</v>
      </c>
      <c r="H23" s="99">
        <f>G23+'27'!H23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'27'!F24</f>
        <v>4970</v>
      </c>
      <c r="F24" s="128">
        <v>4970</v>
      </c>
      <c r="G24" s="119">
        <v>0</v>
      </c>
      <c r="H24" s="99">
        <f>G24+'27'!H24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0" t="s">
        <v>149</v>
      </c>
      <c r="B25" s="801"/>
      <c r="C25" s="80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23050</v>
      </c>
      <c r="F27" s="136">
        <v>9</v>
      </c>
      <c r="G27" s="137">
        <f>E27*F27</f>
        <v>207450</v>
      </c>
      <c r="H27" s="99">
        <f>G27+'27'!H27</f>
        <v>5898264.75</v>
      </c>
      <c r="I27" s="138"/>
      <c r="J27" s="175">
        <f>H27/DAY(B2)</f>
        <v>210652.3125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875</v>
      </c>
      <c r="F28" s="136">
        <v>52</v>
      </c>
      <c r="G28" s="137">
        <f>E28*F28</f>
        <v>45500</v>
      </c>
      <c r="H28" s="99">
        <f>G28+'27'!H28</f>
        <v>1379813.9159999955</v>
      </c>
      <c r="I28" s="140"/>
      <c r="J28" s="175">
        <f>H28/DAY(B2)</f>
        <v>49279.06842857127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G30+'27'!H30</f>
        <v>241338</v>
      </c>
      <c r="I30" s="140"/>
      <c r="J30" s="175">
        <f>H30/DAY(B2)</f>
        <v>8619.2142857142862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G31+'27'!H31</f>
        <v>388800</v>
      </c>
      <c r="I31" s="140"/>
      <c r="J31" s="175">
        <f>H31/DAY(B2)</f>
        <v>13885.714285714286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272910</v>
      </c>
      <c r="H32" s="99">
        <f>G32+'27'!H32</f>
        <v>7908216.6659999955</v>
      </c>
      <c r="I32" s="144"/>
      <c r="J32" s="175">
        <f>H32/DAY(B2)</f>
        <v>282436.30949999986</v>
      </c>
      <c r="K32" s="63"/>
      <c r="L32" s="89"/>
      <c r="N32" s="87"/>
      <c r="O32" s="71"/>
    </row>
    <row r="33" spans="1:15" ht="25.5" customHeight="1" x14ac:dyDescent="0.35">
      <c r="A33" s="803" t="s">
        <v>331</v>
      </c>
      <c r="B33" s="804"/>
      <c r="C33" s="804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'27'!F35</f>
        <v>1058597</v>
      </c>
      <c r="F35" s="145">
        <v>1058597</v>
      </c>
      <c r="G35" s="112">
        <f t="shared" ref="G35:G46" si="3">F35-E35</f>
        <v>0</v>
      </c>
      <c r="H35" s="99">
        <f>G35+'27'!H35</f>
        <v>2111685.6</v>
      </c>
      <c r="I35" s="95"/>
      <c r="J35" s="175">
        <f>H35/DAY(B2)</f>
        <v>75417.342857142867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'27'!F36</f>
        <v>1833</v>
      </c>
      <c r="F36" s="145">
        <v>1833</v>
      </c>
      <c r="G36" s="112">
        <f t="shared" si="3"/>
        <v>0</v>
      </c>
      <c r="H36" s="99">
        <f>G36+'27'!H36</f>
        <v>-57914.1</v>
      </c>
      <c r="I36" s="95"/>
      <c r="J36" s="175">
        <f>H36/DAY(B2)</f>
        <v>-2068.360714285714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'27'!F37</f>
        <v>2775</v>
      </c>
      <c r="F37" s="145">
        <v>2775</v>
      </c>
      <c r="G37" s="112">
        <f t="shared" si="3"/>
        <v>0</v>
      </c>
      <c r="H37" s="99">
        <f>G37+'27'!H37</f>
        <v>-131866.87</v>
      </c>
      <c r="I37" s="95"/>
      <c r="J37" s="175">
        <f>H37/DAY(B2)</f>
        <v>-4709.5310714285715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'27'!F38</f>
        <v>4823</v>
      </c>
      <c r="F38" s="108">
        <v>4823</v>
      </c>
      <c r="G38" s="112">
        <f t="shared" si="3"/>
        <v>0</v>
      </c>
      <c r="H38" s="99">
        <f>G38+'27'!H38</f>
        <v>-137077.6</v>
      </c>
      <c r="I38" s="95"/>
      <c r="J38" s="175">
        <f>H38/DAY(B2)</f>
        <v>-4895.6285714285714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'27'!F39</f>
        <v>637915</v>
      </c>
      <c r="F39" s="145">
        <v>637915</v>
      </c>
      <c r="G39" s="112">
        <f t="shared" si="3"/>
        <v>0</v>
      </c>
      <c r="H39" s="99">
        <f>G39+'27'!H39</f>
        <v>958234.97</v>
      </c>
      <c r="I39" s="95"/>
      <c r="J39" s="175">
        <f>H39/DAY(B2)</f>
        <v>34222.677499999998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'27'!F40</f>
        <v>34599</v>
      </c>
      <c r="F40" s="145">
        <v>34599</v>
      </c>
      <c r="G40" s="112">
        <f t="shared" si="3"/>
        <v>0</v>
      </c>
      <c r="H40" s="99">
        <f>G40+'27'!H40</f>
        <v>69191.77</v>
      </c>
      <c r="I40" s="95"/>
      <c r="J40" s="175">
        <f>H40/DAY(B2)</f>
        <v>2471.1346428571428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'27'!F41</f>
        <v>433281.79</v>
      </c>
      <c r="F41" s="145">
        <v>433281.79</v>
      </c>
      <c r="G41" s="112">
        <f t="shared" si="3"/>
        <v>0</v>
      </c>
      <c r="H41" s="99">
        <f>G41+'27'!H41</f>
        <v>-177234.68000000011</v>
      </c>
      <c r="I41" s="95"/>
      <c r="J41" s="175">
        <f>H41/DAY(B2)</f>
        <v>-6329.810000000004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'27'!F42</f>
        <v>175112</v>
      </c>
      <c r="F42" s="145">
        <v>175112</v>
      </c>
      <c r="G42" s="112">
        <f t="shared" si="3"/>
        <v>0</v>
      </c>
      <c r="H42" s="99">
        <f>G42+'27'!H42</f>
        <v>-162623.49</v>
      </c>
      <c r="I42" s="95"/>
      <c r="J42" s="175">
        <f>H42/DAY(B2)</f>
        <v>-5807.9817857142853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'27'!F43</f>
        <v>1289745</v>
      </c>
      <c r="F43" s="145">
        <v>1289745</v>
      </c>
      <c r="G43" s="112">
        <f t="shared" si="3"/>
        <v>0</v>
      </c>
      <c r="H43" s="99">
        <f>G43+'27'!H43</f>
        <v>-191251.19999999995</v>
      </c>
      <c r="I43" s="95"/>
      <c r="J43" s="175">
        <f>H43/DAY(B2)</f>
        <v>-6830.3999999999987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'27'!F45</f>
        <v>614</v>
      </c>
      <c r="F45" s="145">
        <v>614</v>
      </c>
      <c r="G45" s="112">
        <f t="shared" si="3"/>
        <v>0</v>
      </c>
      <c r="H45" s="99">
        <f>G45+'27'!H45</f>
        <v>1228</v>
      </c>
      <c r="I45" s="95"/>
      <c r="J45" s="175">
        <f>H45/DAY(B2)</f>
        <v>43.857142857142854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'27'!F46</f>
        <v>187</v>
      </c>
      <c r="F46" s="145">
        <v>187</v>
      </c>
      <c r="G46" s="112">
        <f t="shared" si="3"/>
        <v>0</v>
      </c>
      <c r="H46" s="99">
        <f>G46+'27'!H46</f>
        <v>374</v>
      </c>
      <c r="I46" s="95"/>
      <c r="J46" s="175">
        <f>H46/DAY(B2)</f>
        <v>13.357142857142858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0</v>
      </c>
      <c r="H47" s="99">
        <f>G47+'27'!H47</f>
        <v>2282746.4</v>
      </c>
      <c r="I47" s="95"/>
      <c r="J47" s="175">
        <f>H47/DAY(B2)</f>
        <v>81526.657142857133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'27'!F49</f>
        <v>419822</v>
      </c>
      <c r="F49" s="145">
        <v>419822</v>
      </c>
      <c r="G49" s="112">
        <f t="shared" ref="G49:G58" si="4">F49-E49</f>
        <v>0</v>
      </c>
      <c r="H49" s="99">
        <f>G49+'27'!H49</f>
        <v>596649.56000000006</v>
      </c>
      <c r="I49" s="95"/>
      <c r="J49" s="175">
        <f>H49/DAY(B2)</f>
        <v>21308.912857142859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'27'!F50</f>
        <v>607298</v>
      </c>
      <c r="F50" s="145">
        <v>607298</v>
      </c>
      <c r="G50" s="112">
        <f t="shared" si="4"/>
        <v>0</v>
      </c>
      <c r="H50" s="99">
        <f>G50+'27'!H50</f>
        <v>-93045.949999999953</v>
      </c>
      <c r="I50" s="95"/>
      <c r="J50" s="175">
        <f>H50/DAY(B2)</f>
        <v>-3323.0696428571414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'27'!F51</f>
        <v>144640</v>
      </c>
      <c r="F51" s="145">
        <v>144640</v>
      </c>
      <c r="G51" s="112">
        <f t="shared" si="4"/>
        <v>0</v>
      </c>
      <c r="H51" s="99">
        <f>G51+'27'!H51</f>
        <v>289280</v>
      </c>
      <c r="I51" s="95"/>
      <c r="J51" s="175">
        <f>H51/DAY(B2)</f>
        <v>10331.428571428571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'27'!F52</f>
        <v>539606</v>
      </c>
      <c r="F52" s="145">
        <v>539606</v>
      </c>
      <c r="G52" s="112">
        <f t="shared" si="4"/>
        <v>0</v>
      </c>
      <c r="H52" s="99">
        <f>G52+'27'!H52</f>
        <v>1079212</v>
      </c>
      <c r="I52" s="95"/>
      <c r="J52" s="175">
        <f>H52/DAY(B2)</f>
        <v>38543.285714285717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'27'!F53</f>
        <v>434232</v>
      </c>
      <c r="F53" s="145">
        <v>434232</v>
      </c>
      <c r="G53" s="112">
        <f t="shared" si="4"/>
        <v>0</v>
      </c>
      <c r="H53" s="99">
        <f>G53+'27'!H53</f>
        <v>868464</v>
      </c>
      <c r="I53" s="95"/>
      <c r="J53" s="175">
        <f>H53/DAY(B2)</f>
        <v>31016.571428571428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'27'!F54</f>
        <v>14967</v>
      </c>
      <c r="F54" s="145">
        <v>14967</v>
      </c>
      <c r="G54" s="112">
        <f t="shared" si="4"/>
        <v>0</v>
      </c>
      <c r="H54" s="99">
        <f>G54+'27'!H54</f>
        <v>24399.77</v>
      </c>
      <c r="I54" s="95"/>
      <c r="J54" s="175">
        <f>H54/DAY(B2)</f>
        <v>871.42035714285714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'27'!F55</f>
        <v>306268.99</v>
      </c>
      <c r="F55" s="145">
        <v>306268.99</v>
      </c>
      <c r="G55" s="112">
        <f t="shared" si="4"/>
        <v>0</v>
      </c>
      <c r="H55" s="99">
        <f>G55+'27'!H55</f>
        <v>-2059.4899999999907</v>
      </c>
      <c r="I55" s="95"/>
      <c r="J55" s="175">
        <f>H55/DAY(B2)</f>
        <v>-73.553214285713949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'27'!F56</f>
        <v>661019</v>
      </c>
      <c r="F56" s="145">
        <v>661019</v>
      </c>
      <c r="G56" s="112">
        <f t="shared" si="4"/>
        <v>0</v>
      </c>
      <c r="H56" s="99">
        <f>G56+'27'!H56</f>
        <v>-194032.55000000005</v>
      </c>
      <c r="I56" s="95"/>
      <c r="J56" s="175">
        <f>H56/DAY(B2)</f>
        <v>-6929.7339285714306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'27'!F57</f>
        <v>7711</v>
      </c>
      <c r="F57" s="145">
        <v>7711</v>
      </c>
      <c r="G57" s="112">
        <f t="shared" si="4"/>
        <v>0</v>
      </c>
      <c r="H57" s="99">
        <f>G57+'27'!H57</f>
        <v>15422</v>
      </c>
      <c r="I57" s="95"/>
      <c r="J57" s="175">
        <f>H57/DAY(B2)</f>
        <v>550.78571428571433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'27'!F58</f>
        <v>66014</v>
      </c>
      <c r="F58" s="145">
        <v>66014</v>
      </c>
      <c r="G58" s="112">
        <f t="shared" si="4"/>
        <v>0</v>
      </c>
      <c r="H58" s="99">
        <f>G58+'27'!H58</f>
        <v>-16060.800000000003</v>
      </c>
      <c r="I58" s="95"/>
      <c r="J58" s="175">
        <f>H58/DAY(B2)</f>
        <v>-573.60000000000014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0</v>
      </c>
      <c r="H59" s="99">
        <f>G59+'27'!H59</f>
        <v>2568228.54</v>
      </c>
      <c r="I59" s="95">
        <f>G7-G60</f>
        <v>23000</v>
      </c>
      <c r="J59" s="175">
        <f>H59/DAY(B2)</f>
        <v>91722.447857142863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0</v>
      </c>
      <c r="H60" s="99">
        <f>G60+'27'!H60</f>
        <v>4850974.9399999995</v>
      </c>
      <c r="I60" s="95">
        <f>G13-G60</f>
        <v>23000</v>
      </c>
      <c r="J60" s="175">
        <f>H60/DAY(B2)</f>
        <v>173249.10499999998</v>
      </c>
      <c r="K60" s="79"/>
      <c r="L60" s="66"/>
      <c r="N60" s="87"/>
      <c r="O60" s="71"/>
    </row>
    <row r="61" spans="1:15" s="68" customFormat="1" ht="27.75" x14ac:dyDescent="0.5">
      <c r="A61" s="805" t="s">
        <v>332</v>
      </c>
      <c r="B61" s="806"/>
      <c r="C61" s="807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1" t="s">
        <v>198</v>
      </c>
      <c r="B62" s="772"/>
      <c r="C62" s="773"/>
      <c r="D62" s="151" t="s">
        <v>142</v>
      </c>
      <c r="E62" s="95">
        <f>'27'!F62</f>
        <v>253452</v>
      </c>
      <c r="F62" s="122">
        <v>253452</v>
      </c>
      <c r="G62" s="112">
        <f t="shared" ref="G62:G63" si="5">F62-E62</f>
        <v>0</v>
      </c>
      <c r="H62" s="99">
        <f>G62+'27'!H62</f>
        <v>-7655</v>
      </c>
      <c r="I62" s="118"/>
      <c r="J62" s="175">
        <f>H62/DAY(B2)</f>
        <v>-273.39285714285717</v>
      </c>
      <c r="K62" s="80"/>
      <c r="L62" s="66"/>
      <c r="N62" s="87"/>
      <c r="O62" s="71"/>
    </row>
    <row r="63" spans="1:15" ht="27.75" x14ac:dyDescent="0.5">
      <c r="A63" s="771" t="s">
        <v>199</v>
      </c>
      <c r="B63" s="772"/>
      <c r="C63" s="773"/>
      <c r="D63" s="151" t="s">
        <v>142</v>
      </c>
      <c r="E63" s="95">
        <f>'27'!F63</f>
        <v>197659</v>
      </c>
      <c r="F63" s="122">
        <v>197659</v>
      </c>
      <c r="G63" s="112">
        <f t="shared" si="5"/>
        <v>0</v>
      </c>
      <c r="H63" s="99">
        <f>G63+'27'!H63</f>
        <v>-11970</v>
      </c>
      <c r="I63" s="118"/>
      <c r="J63" s="175">
        <f>H63/DAY(B2)</f>
        <v>-427.5</v>
      </c>
      <c r="K63" s="69"/>
      <c r="L63" s="66"/>
      <c r="N63" s="87"/>
      <c r="O63" s="71"/>
    </row>
    <row r="64" spans="1:15" ht="29.25" x14ac:dyDescent="0.5">
      <c r="A64" s="780" t="s">
        <v>200</v>
      </c>
      <c r="B64" s="781"/>
      <c r="C64" s="782"/>
      <c r="D64" s="151"/>
      <c r="E64" s="95">
        <f>'27'!F64</f>
        <v>0</v>
      </c>
      <c r="F64" s="122"/>
      <c r="G64" s="112">
        <f>G62+G63</f>
        <v>0</v>
      </c>
      <c r="H64" s="99">
        <f>G64+'27'!H64</f>
        <v>-19625</v>
      </c>
      <c r="I64" s="118"/>
      <c r="J64" s="175">
        <f>H64/DAY(B2)</f>
        <v>-700.89285714285711</v>
      </c>
      <c r="K64" s="69"/>
      <c r="L64" s="66"/>
      <c r="N64" s="87"/>
      <c r="O64" s="71"/>
    </row>
    <row r="65" spans="1:15" ht="27.75" x14ac:dyDescent="0.5">
      <c r="A65" s="771" t="s">
        <v>201</v>
      </c>
      <c r="B65" s="772"/>
      <c r="C65" s="773"/>
      <c r="D65" s="151" t="s">
        <v>142</v>
      </c>
      <c r="E65" s="95">
        <f>'27'!F65</f>
        <v>421019</v>
      </c>
      <c r="F65" s="122">
        <v>421019</v>
      </c>
      <c r="G65" s="112">
        <f t="shared" ref="G65:G70" si="6">F65-E65</f>
        <v>0</v>
      </c>
      <c r="H65" s="99">
        <f>G65+'27'!H65</f>
        <v>-6100</v>
      </c>
      <c r="I65" s="118"/>
      <c r="J65" s="175">
        <f>H65/DAY(B2)</f>
        <v>-217.85714285714286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'27'!F66</f>
        <v>104636</v>
      </c>
      <c r="F66" s="122">
        <v>104636</v>
      </c>
      <c r="G66" s="112">
        <f t="shared" si="6"/>
        <v>0</v>
      </c>
      <c r="H66" s="99">
        <f>G66+'27'!H66</f>
        <v>-1732</v>
      </c>
      <c r="I66" s="118"/>
      <c r="J66" s="175">
        <f>H66/DAY(B2)</f>
        <v>-61.857142857142854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'27'!F67</f>
        <v>100370</v>
      </c>
      <c r="F67" s="122">
        <v>100370</v>
      </c>
      <c r="G67" s="112">
        <f t="shared" si="6"/>
        <v>0</v>
      </c>
      <c r="H67" s="99">
        <f>G67+'27'!H67</f>
        <v>-2308</v>
      </c>
      <c r="I67" s="118"/>
      <c r="J67" s="175">
        <f>H67/DAY(B2)</f>
        <v>-82.428571428571431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'27'!F68</f>
        <v>152135</v>
      </c>
      <c r="F68" s="122">
        <v>152135</v>
      </c>
      <c r="G68" s="112">
        <f t="shared" si="6"/>
        <v>0</v>
      </c>
      <c r="H68" s="99">
        <f>G68+'27'!H68</f>
        <v>-2715</v>
      </c>
      <c r="I68" s="118"/>
      <c r="J68" s="175">
        <f>H68/DAY(B2)</f>
        <v>-96.964285714285708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'27'!F69</f>
        <v>8645</v>
      </c>
      <c r="F69" s="122">
        <v>8645</v>
      </c>
      <c r="G69" s="112">
        <f t="shared" si="6"/>
        <v>0</v>
      </c>
      <c r="H69" s="99">
        <f>G69+'27'!H69</f>
        <v>-1032</v>
      </c>
      <c r="I69" s="118"/>
      <c r="J69" s="175">
        <f>H69/DAY(B2)</f>
        <v>-36.857142857142854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'27'!F70</f>
        <v>6373</v>
      </c>
      <c r="F70" s="122">
        <v>6373</v>
      </c>
      <c r="G70" s="112">
        <f t="shared" si="6"/>
        <v>0</v>
      </c>
      <c r="H70" s="99">
        <f>G70+'27'!H70</f>
        <v>-1059</v>
      </c>
      <c r="I70" s="118"/>
      <c r="J70" s="175">
        <f>H70/DAY(B2)</f>
        <v>-37.821428571428569</v>
      </c>
      <c r="K70" s="69"/>
      <c r="L70" s="66"/>
      <c r="N70" s="87"/>
      <c r="O70" s="71"/>
    </row>
    <row r="71" spans="1:15" ht="29.25" x14ac:dyDescent="0.5">
      <c r="A71" s="780" t="s">
        <v>208</v>
      </c>
      <c r="B71" s="781"/>
      <c r="C71" s="782"/>
      <c r="D71" s="152"/>
      <c r="E71" s="152"/>
      <c r="F71" s="152"/>
      <c r="G71" s="153">
        <f>SUM(G65:G70)</f>
        <v>0</v>
      </c>
      <c r="H71" s="99">
        <f>G71+'27'!H71</f>
        <v>-14946</v>
      </c>
      <c r="I71" s="154"/>
      <c r="J71" s="175">
        <f>H71/DAY(B2)</f>
        <v>-533.78571428571433</v>
      </c>
      <c r="K71" s="69"/>
      <c r="L71" s="66"/>
      <c r="N71" s="87"/>
      <c r="O71" s="71"/>
    </row>
    <row r="72" spans="1:15" s="88" customFormat="1" ht="27.75" x14ac:dyDescent="0.5">
      <c r="A72" s="767"/>
      <c r="B72" s="752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77" t="s">
        <v>333</v>
      </c>
      <c r="B73" s="778"/>
      <c r="C73" s="779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1" t="s">
        <v>220</v>
      </c>
      <c r="B74" s="772"/>
      <c r="C74" s="773"/>
      <c r="D74" s="151" t="s">
        <v>139</v>
      </c>
      <c r="E74" s="95">
        <f>'27'!F74</f>
        <v>856352</v>
      </c>
      <c r="F74" s="117">
        <v>856352</v>
      </c>
      <c r="G74" s="112">
        <f t="shared" ref="G74:G78" si="7">F74-E74</f>
        <v>0</v>
      </c>
      <c r="H74" s="99">
        <f>G74+'27'!H74</f>
        <v>-21277.869999999995</v>
      </c>
      <c r="I74" s="154"/>
      <c r="J74" s="175">
        <f>H74/DAY(B2)</f>
        <v>-759.92392857142841</v>
      </c>
      <c r="K74" s="69"/>
      <c r="L74" s="66"/>
      <c r="N74" s="87"/>
      <c r="O74" s="71"/>
    </row>
    <row r="75" spans="1:15" ht="27.75" x14ac:dyDescent="0.5">
      <c r="A75" s="771" t="s">
        <v>221</v>
      </c>
      <c r="B75" s="772"/>
      <c r="C75" s="773"/>
      <c r="D75" s="151" t="s">
        <v>139</v>
      </c>
      <c r="E75" s="95">
        <f>'27'!F75</f>
        <v>73583.399999999994</v>
      </c>
      <c r="F75" s="123">
        <v>73583.399999999994</v>
      </c>
      <c r="G75" s="112">
        <f t="shared" si="7"/>
        <v>0</v>
      </c>
      <c r="H75" s="99">
        <f>G75+'27'!H75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68" t="s">
        <v>222</v>
      </c>
      <c r="B76" s="769"/>
      <c r="C76" s="770"/>
      <c r="D76" s="151" t="s">
        <v>139</v>
      </c>
      <c r="E76" s="95">
        <f>'27'!F76</f>
        <v>154077</v>
      </c>
      <c r="F76" s="123">
        <v>154077</v>
      </c>
      <c r="G76" s="112">
        <f t="shared" si="7"/>
        <v>0</v>
      </c>
      <c r="H76" s="99">
        <f>G76+'27'!H76</f>
        <v>-7237.9200000000128</v>
      </c>
      <c r="I76" s="154"/>
      <c r="J76" s="175">
        <f>H76/DAY(B2)</f>
        <v>-258.49714285714333</v>
      </c>
      <c r="K76" s="69"/>
      <c r="L76" s="66"/>
      <c r="N76" s="87"/>
      <c r="O76" s="71"/>
    </row>
    <row r="77" spans="1:15" ht="27.75" x14ac:dyDescent="0.5">
      <c r="A77" s="768" t="s">
        <v>223</v>
      </c>
      <c r="B77" s="769"/>
      <c r="C77" s="770"/>
      <c r="D77" s="151" t="s">
        <v>139</v>
      </c>
      <c r="E77" s="95">
        <f>'27'!F77</f>
        <v>34629</v>
      </c>
      <c r="F77" s="123">
        <v>34629</v>
      </c>
      <c r="G77" s="112">
        <f t="shared" si="7"/>
        <v>0</v>
      </c>
      <c r="H77" s="99">
        <f>G77+'27'!H77</f>
        <v>-3596.8000000000029</v>
      </c>
      <c r="I77" s="154"/>
      <c r="J77" s="175">
        <f>H77/DAY(B2)</f>
        <v>-128.45714285714297</v>
      </c>
      <c r="K77" s="69"/>
      <c r="L77" s="66"/>
      <c r="N77" s="87"/>
      <c r="O77" s="71"/>
    </row>
    <row r="78" spans="1:15" ht="27.75" x14ac:dyDescent="0.5">
      <c r="A78" s="768" t="s">
        <v>224</v>
      </c>
      <c r="B78" s="769"/>
      <c r="C78" s="770"/>
      <c r="D78" s="151" t="s">
        <v>139</v>
      </c>
      <c r="E78" s="95">
        <f>'27'!F78</f>
        <v>9180</v>
      </c>
      <c r="F78" s="123">
        <v>9180</v>
      </c>
      <c r="G78" s="112">
        <f t="shared" si="7"/>
        <v>0</v>
      </c>
      <c r="H78" s="99">
        <f>G78+'27'!H78</f>
        <v>-180.60000000000036</v>
      </c>
      <c r="I78" s="118"/>
      <c r="J78" s="175">
        <f>H78/DAY(B2)</f>
        <v>-6.4500000000000126</v>
      </c>
      <c r="K78" s="69"/>
      <c r="L78" s="66"/>
      <c r="N78" s="87"/>
      <c r="O78" s="71"/>
    </row>
    <row r="79" spans="1:15" s="57" customFormat="1" ht="27.75" x14ac:dyDescent="0.5">
      <c r="A79" s="768" t="s">
        <v>225</v>
      </c>
      <c r="B79" s="769"/>
      <c r="C79" s="770"/>
      <c r="D79" s="151"/>
      <c r="E79" s="95">
        <f>'27'!F79</f>
        <v>0</v>
      </c>
      <c r="F79" s="123"/>
      <c r="G79" s="112">
        <f>G15-SUM(G74:G78)</f>
        <v>875</v>
      </c>
      <c r="H79" s="99">
        <f>G79+'27'!H79</f>
        <v>58828.072999999924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0" t="s">
        <v>329</v>
      </c>
      <c r="B80" s="781"/>
      <c r="C80" s="782"/>
      <c r="D80" s="151"/>
      <c r="E80" s="117"/>
      <c r="F80" s="117"/>
      <c r="G80" s="112">
        <f>SUM(G74:G79)</f>
        <v>875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85" t="s">
        <v>226</v>
      </c>
      <c r="B81" s="786"/>
      <c r="C81" s="78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'27'!F82</f>
        <v>0</v>
      </c>
      <c r="F82" s="122"/>
      <c r="G82" s="112">
        <f t="shared" ref="G82:G92" si="8">F82-E82</f>
        <v>0</v>
      </c>
      <c r="H82" s="99">
        <f>G82+'27'!H82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'27'!F83</f>
        <v>0</v>
      </c>
      <c r="F83" s="122"/>
      <c r="G83" s="112">
        <f t="shared" si="8"/>
        <v>0</v>
      </c>
      <c r="H83" s="99">
        <f>G83+'27'!H83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'27'!F84</f>
        <v>40922</v>
      </c>
      <c r="F84" s="164">
        <v>40922</v>
      </c>
      <c r="G84" s="112">
        <f t="shared" si="8"/>
        <v>0</v>
      </c>
      <c r="H84" s="99">
        <f>G84+'27'!H84</f>
        <v>-774.19000000000233</v>
      </c>
      <c r="I84" s="118"/>
      <c r="J84" s="175">
        <f>H84/DAY(B2)</f>
        <v>-27.64964285714294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'27'!F85</f>
        <v>856</v>
      </c>
      <c r="F85" s="164">
        <v>856</v>
      </c>
      <c r="G85" s="112">
        <f t="shared" si="8"/>
        <v>0</v>
      </c>
      <c r="H85" s="99">
        <f>G85+'27'!H85</f>
        <v>-761.45</v>
      </c>
      <c r="I85" s="118">
        <f>G82+G83+G84+G85</f>
        <v>0</v>
      </c>
      <c r="J85" s="175">
        <f>H85/DAY(B2)</f>
        <v>-27.19464285714286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'27'!F86</f>
        <v>42822</v>
      </c>
      <c r="F86" s="164">
        <v>42822</v>
      </c>
      <c r="G86" s="112">
        <f t="shared" si="8"/>
        <v>0</v>
      </c>
      <c r="H86" s="99">
        <f>G86+'27'!H86</f>
        <v>-8.4700000000011642</v>
      </c>
      <c r="I86" s="118"/>
      <c r="J86" s="175">
        <f>H86/DAY(B2)</f>
        <v>-0.30250000000004157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'27'!F87</f>
        <v>32928</v>
      </c>
      <c r="F87" s="164">
        <v>32928</v>
      </c>
      <c r="G87" s="112">
        <f t="shared" si="8"/>
        <v>0</v>
      </c>
      <c r="H87" s="99">
        <f>G87+'27'!H87</f>
        <v>-921.2300000000032</v>
      </c>
      <c r="I87" s="118"/>
      <c r="J87" s="175">
        <f>H87/DAY(B2)</f>
        <v>-32.901071428571541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'27'!F88</f>
        <v>23356.43</v>
      </c>
      <c r="F88" s="164">
        <v>23356.43</v>
      </c>
      <c r="G88" s="112">
        <f t="shared" si="8"/>
        <v>0</v>
      </c>
      <c r="H88" s="99">
        <f>G88+'27'!H88</f>
        <v>-580.34000000000015</v>
      </c>
      <c r="I88" s="118">
        <f>G86+G87+G88</f>
        <v>0</v>
      </c>
      <c r="J88" s="175">
        <f>H88/DAY(B2)</f>
        <v>-20.726428571428578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'27'!F89</f>
        <v>25132.959999999999</v>
      </c>
      <c r="F89" s="164">
        <v>25132.959999999999</v>
      </c>
      <c r="G89" s="112">
        <f t="shared" si="8"/>
        <v>0</v>
      </c>
      <c r="H89" s="99">
        <f>G89+'27'!H89</f>
        <v>-163.57300000000032</v>
      </c>
      <c r="I89" s="118"/>
      <c r="J89" s="175">
        <f>H89/DAY(B2)</f>
        <v>-5.8418928571428683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'27'!F90</f>
        <v>70524.55</v>
      </c>
      <c r="F90" s="164">
        <v>70524.55</v>
      </c>
      <c r="G90" s="112">
        <f t="shared" si="8"/>
        <v>0</v>
      </c>
      <c r="H90" s="99">
        <f>G90+'27'!H90</f>
        <v>-72.10999999998603</v>
      </c>
      <c r="I90" s="118">
        <f>G89+G90</f>
        <v>0</v>
      </c>
      <c r="J90" s="175">
        <f>H90/DAY(B2)</f>
        <v>-2.5753571428566437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'27'!F91</f>
        <v>2627.98</v>
      </c>
      <c r="F91" s="122">
        <v>2627.98</v>
      </c>
      <c r="G91" s="112">
        <f t="shared" si="8"/>
        <v>0</v>
      </c>
      <c r="H91" s="99">
        <f>G91+'27'!H91</f>
        <v>-779.37999999999965</v>
      </c>
      <c r="I91" s="165"/>
      <c r="J91" s="175">
        <f>H91/DAY(B2)</f>
        <v>-27.834999999999987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'27'!F92</f>
        <v>4754</v>
      </c>
      <c r="F92" s="122">
        <v>4754</v>
      </c>
      <c r="G92" s="112">
        <f t="shared" si="8"/>
        <v>0</v>
      </c>
      <c r="H92" s="99">
        <f>G92+'27'!H92</f>
        <v>-8.4600000000000364</v>
      </c>
      <c r="I92" s="165"/>
      <c r="J92" s="175">
        <f>H92/DAY(B2)</f>
        <v>-0.30214285714285843</v>
      </c>
      <c r="O92" s="71"/>
    </row>
    <row r="93" spans="1:15" ht="29.25" x14ac:dyDescent="0.5">
      <c r="A93" s="774" t="s">
        <v>239</v>
      </c>
      <c r="B93" s="775"/>
      <c r="C93" s="77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1" t="s">
        <v>240</v>
      </c>
      <c r="B94" s="772"/>
      <c r="C94" s="773"/>
      <c r="D94" s="151" t="s">
        <v>130</v>
      </c>
      <c r="E94" s="151"/>
      <c r="F94" s="151"/>
      <c r="G94" s="99">
        <f>G35+G43+G49+G57</f>
        <v>0</v>
      </c>
      <c r="H94" s="99">
        <f>G94+'27'!H94</f>
        <v>2532505.96</v>
      </c>
      <c r="I94" s="118"/>
      <c r="J94" s="175">
        <f>H94/DAY(B2)</f>
        <v>90446.641428571427</v>
      </c>
      <c r="K94" s="69"/>
      <c r="L94" s="66"/>
      <c r="O94" s="71"/>
    </row>
    <row r="95" spans="1:15" ht="27.75" x14ac:dyDescent="0.5">
      <c r="A95" s="771" t="s">
        <v>241</v>
      </c>
      <c r="B95" s="772"/>
      <c r="C95" s="773"/>
      <c r="D95" s="151" t="s">
        <v>23</v>
      </c>
      <c r="E95" s="146"/>
      <c r="F95" s="146"/>
      <c r="G95" s="166">
        <f>G94/G7</f>
        <v>0</v>
      </c>
      <c r="H95" s="99">
        <f>G95+'27'!H95</f>
        <v>110.05863639047362</v>
      </c>
      <c r="I95" s="167"/>
      <c r="J95" s="175">
        <f>H95/DAY(B2)</f>
        <v>3.930665585374058</v>
      </c>
      <c r="K95" s="69"/>
      <c r="L95" s="66"/>
      <c r="O95" s="71"/>
    </row>
    <row r="96" spans="1:15" ht="27.75" x14ac:dyDescent="0.5">
      <c r="A96" s="771" t="s">
        <v>242</v>
      </c>
      <c r="B96" s="772"/>
      <c r="C96" s="773"/>
      <c r="D96" s="151" t="s">
        <v>130</v>
      </c>
      <c r="E96" s="95"/>
      <c r="F96" s="95"/>
      <c r="G96" s="99">
        <f>G41+G42+G55+G56</f>
        <v>0</v>
      </c>
      <c r="H96" s="99">
        <f>G96+'27'!H96</f>
        <v>-535950.2100000002</v>
      </c>
      <c r="I96" s="118"/>
      <c r="J96" s="175">
        <f>H96/DAY(B2)</f>
        <v>-19141.078928571435</v>
      </c>
      <c r="K96" s="69"/>
      <c r="L96" s="66"/>
      <c r="O96" s="71"/>
    </row>
    <row r="97" spans="1:15" ht="27.75" x14ac:dyDescent="0.5">
      <c r="A97" s="771" t="s">
        <v>243</v>
      </c>
      <c r="B97" s="772"/>
      <c r="C97" s="773"/>
      <c r="D97" s="151" t="s">
        <v>23</v>
      </c>
      <c r="E97" s="95"/>
      <c r="F97" s="95"/>
      <c r="G97" s="166">
        <f>G96/G7</f>
        <v>0</v>
      </c>
      <c r="H97" s="99">
        <f>G97+'27'!H97</f>
        <v>-23.376968076147254</v>
      </c>
      <c r="I97" s="167"/>
      <c r="J97" s="175">
        <f>H97/DAY(B2)</f>
        <v>-0.8348917170052591</v>
      </c>
      <c r="K97" s="69"/>
      <c r="L97" s="66"/>
      <c r="O97" s="71"/>
    </row>
    <row r="98" spans="1:15" ht="27.75" x14ac:dyDescent="0.5">
      <c r="A98" s="771" t="s">
        <v>244</v>
      </c>
      <c r="B98" s="772"/>
      <c r="C98" s="773"/>
      <c r="D98" s="151" t="s">
        <v>130</v>
      </c>
      <c r="E98" s="95"/>
      <c r="F98" s="95"/>
      <c r="G98" s="99">
        <f>G39+G53</f>
        <v>0</v>
      </c>
      <c r="H98" s="99">
        <f>G98+'27'!H98</f>
        <v>1826698.97</v>
      </c>
      <c r="I98" s="168"/>
      <c r="J98" s="175">
        <f>H98/DAY(B2)</f>
        <v>65239.248928571425</v>
      </c>
      <c r="K98" s="69"/>
      <c r="L98" s="66"/>
      <c r="O98" s="71"/>
    </row>
    <row r="99" spans="1:15" ht="27.75" x14ac:dyDescent="0.5">
      <c r="A99" s="771" t="s">
        <v>245</v>
      </c>
      <c r="B99" s="772"/>
      <c r="C99" s="773"/>
      <c r="D99" s="151" t="s">
        <v>23</v>
      </c>
      <c r="E99" s="95"/>
      <c r="F99" s="95"/>
      <c r="G99" s="166">
        <f>G98/G7</f>
        <v>0</v>
      </c>
      <c r="H99" s="99">
        <f>G99+'27'!H99</f>
        <v>79.385711690839827</v>
      </c>
      <c r="I99" s="168"/>
      <c r="J99" s="175">
        <f>H99/DAY(B2)</f>
        <v>2.8352039889585652</v>
      </c>
      <c r="O99" s="71"/>
    </row>
    <row r="100" spans="1:15" ht="27.75" x14ac:dyDescent="0.5">
      <c r="A100" s="771" t="s">
        <v>246</v>
      </c>
      <c r="B100" s="772"/>
      <c r="C100" s="773"/>
      <c r="D100" s="151" t="s">
        <v>180</v>
      </c>
      <c r="E100" s="95"/>
      <c r="F100" s="95"/>
      <c r="G100" s="99">
        <f>G38+G52</f>
        <v>0</v>
      </c>
      <c r="H100" s="99">
        <f>G100+'27'!H100</f>
        <v>942134.4</v>
      </c>
      <c r="I100" s="118"/>
      <c r="J100" s="175">
        <f>H100/DAY(B2)</f>
        <v>33647.657142857141</v>
      </c>
      <c r="K100" s="70"/>
      <c r="O100" s="71"/>
    </row>
    <row r="101" spans="1:15" ht="27.75" x14ac:dyDescent="0.5">
      <c r="A101" s="771" t="s">
        <v>247</v>
      </c>
      <c r="B101" s="772"/>
      <c r="C101" s="773"/>
      <c r="D101" s="151" t="s">
        <v>23</v>
      </c>
      <c r="E101" s="95"/>
      <c r="F101" s="95"/>
      <c r="G101" s="166">
        <f>G100/G7</f>
        <v>0</v>
      </c>
      <c r="H101" s="99">
        <f>G101+'27'!H101</f>
        <v>40.946365636236884</v>
      </c>
      <c r="I101" s="168"/>
      <c r="J101" s="175">
        <f>H101/DAY(B2)</f>
        <v>1.4623702012941744</v>
      </c>
      <c r="O101" s="71"/>
    </row>
    <row r="102" spans="1:15" ht="27.75" x14ac:dyDescent="0.5">
      <c r="A102" s="771" t="s">
        <v>248</v>
      </c>
      <c r="B102" s="772"/>
      <c r="C102" s="773"/>
      <c r="D102" s="151" t="s">
        <v>180</v>
      </c>
      <c r="E102" s="95"/>
      <c r="F102" s="95"/>
      <c r="G102" s="99">
        <f>G36+G50</f>
        <v>0</v>
      </c>
      <c r="H102" s="99">
        <f>G102+'27'!H102</f>
        <v>-150960.04999999996</v>
      </c>
      <c r="I102" s="168"/>
      <c r="J102" s="175">
        <f>H102/DAY(B2)</f>
        <v>-5391.4303571428554</v>
      </c>
      <c r="O102" s="71"/>
    </row>
    <row r="103" spans="1:15" ht="27.75" x14ac:dyDescent="0.5">
      <c r="A103" s="771" t="s">
        <v>249</v>
      </c>
      <c r="B103" s="772"/>
      <c r="C103" s="773"/>
      <c r="D103" s="151" t="s">
        <v>23</v>
      </c>
      <c r="E103" s="95"/>
      <c r="F103" s="95"/>
      <c r="G103" s="166">
        <f>G102/G7</f>
        <v>0</v>
      </c>
      <c r="H103" s="99">
        <f>G103+'27'!H103</f>
        <v>-6.5833689420489332</v>
      </c>
      <c r="I103" s="118"/>
      <c r="J103" s="175">
        <f>H103/DAY(B2)</f>
        <v>-0.23512031935889047</v>
      </c>
      <c r="O103" s="71"/>
    </row>
    <row r="104" spans="1:15" ht="27.75" x14ac:dyDescent="0.5">
      <c r="A104" s="771" t="s">
        <v>250</v>
      </c>
      <c r="B104" s="772"/>
      <c r="C104" s="773"/>
      <c r="D104" s="151" t="s">
        <v>180</v>
      </c>
      <c r="E104" s="95"/>
      <c r="F104" s="95"/>
      <c r="G104" s="99">
        <f>G37+G51</f>
        <v>0</v>
      </c>
      <c r="H104" s="99">
        <f>G104+'27'!H104</f>
        <v>157413.13</v>
      </c>
      <c r="I104" s="118"/>
      <c r="J104" s="175">
        <f>H104/DAY(B2)</f>
        <v>5621.8975</v>
      </c>
      <c r="O104" s="71"/>
    </row>
    <row r="105" spans="1:15" ht="28.5" thickBot="1" x14ac:dyDescent="0.55000000000000004">
      <c r="A105" s="764" t="s">
        <v>251</v>
      </c>
      <c r="B105" s="765"/>
      <c r="C105" s="766"/>
      <c r="D105" s="231" t="s">
        <v>23</v>
      </c>
      <c r="E105" s="185"/>
      <c r="F105" s="185"/>
      <c r="G105" s="186">
        <f>G104/G7</f>
        <v>0</v>
      </c>
      <c r="H105" s="99">
        <f>G105+'27'!H105</f>
        <v>6.8301240046325189</v>
      </c>
      <c r="I105" s="187"/>
      <c r="J105" s="188">
        <f>H105/DAY(B2)</f>
        <v>0.24393300016544711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0" t="s">
        <v>324</v>
      </c>
      <c r="B108" s="760"/>
      <c r="C108" s="760"/>
      <c r="D108" s="760"/>
      <c r="E108" s="760"/>
      <c r="F108" s="760"/>
      <c r="G108" s="760"/>
      <c r="H108" s="760"/>
      <c r="I108" s="760"/>
      <c r="J108" s="760"/>
    </row>
    <row r="109" spans="1:15" ht="29.25" x14ac:dyDescent="0.5">
      <c r="A109" s="788"/>
      <c r="B109" s="788"/>
    </row>
    <row r="110" spans="1:15" ht="29.25" x14ac:dyDescent="0.5">
      <c r="A110" s="761" t="s">
        <v>165</v>
      </c>
      <c r="B110" s="762"/>
      <c r="C110" s="762"/>
      <c r="D110" s="762"/>
      <c r="E110" s="762"/>
      <c r="F110" s="762"/>
      <c r="G110" s="762"/>
      <c r="H110" s="762"/>
      <c r="I110" s="762"/>
      <c r="J110" s="763"/>
    </row>
    <row r="111" spans="1:15" ht="27.75" x14ac:dyDescent="0.5">
      <c r="A111" s="753"/>
      <c r="B111" s="754"/>
      <c r="C111" s="755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0" t="s">
        <v>252</v>
      </c>
      <c r="B112" s="751"/>
      <c r="C112" s="752"/>
      <c r="D112" s="146" t="s">
        <v>183</v>
      </c>
      <c r="E112" s="95">
        <f>'27'!F112</f>
        <v>38434</v>
      </c>
      <c r="F112" s="237">
        <v>38434</v>
      </c>
      <c r="G112" s="112">
        <f t="shared" ref="G112:G123" si="9">F112-E112</f>
        <v>0</v>
      </c>
      <c r="H112" s="99">
        <f>G112+'27'!H112</f>
        <v>-21107.82</v>
      </c>
      <c r="I112" s="165"/>
      <c r="J112" s="348">
        <f>H112/DAY(B2)</f>
        <v>-753.85071428571428</v>
      </c>
    </row>
    <row r="113" spans="1:18" ht="29.25" customHeight="1" x14ac:dyDescent="0.5">
      <c r="A113" s="750" t="s">
        <v>253</v>
      </c>
      <c r="B113" s="751"/>
      <c r="C113" s="752"/>
      <c r="D113" s="146" t="s">
        <v>183</v>
      </c>
      <c r="E113" s="95">
        <f>'27'!F113</f>
        <v>94790</v>
      </c>
      <c r="F113" s="237">
        <v>94790</v>
      </c>
      <c r="G113" s="112">
        <f t="shared" si="9"/>
        <v>0</v>
      </c>
      <c r="H113" s="99">
        <f>G113+'27'!H113</f>
        <v>-119257.45000000001</v>
      </c>
      <c r="I113" s="165"/>
      <c r="J113" s="348">
        <f>H113/DAY(B2)</f>
        <v>-4259.1946428571437</v>
      </c>
    </row>
    <row r="114" spans="1:18" ht="29.25" customHeight="1" x14ac:dyDescent="0.5">
      <c r="A114" s="750" t="s">
        <v>254</v>
      </c>
      <c r="B114" s="751"/>
      <c r="C114" s="752"/>
      <c r="D114" s="146" t="s">
        <v>183</v>
      </c>
      <c r="E114" s="95">
        <f>'27'!F114</f>
        <v>44933</v>
      </c>
      <c r="F114" s="237">
        <v>44933</v>
      </c>
      <c r="G114" s="112">
        <f t="shared" si="9"/>
        <v>0</v>
      </c>
      <c r="H114" s="99">
        <f>G114+'27'!H114</f>
        <v>92743.9</v>
      </c>
      <c r="I114" s="165"/>
      <c r="J114" s="348">
        <f>H114/DAY(B2)</f>
        <v>3312.2821428571428</v>
      </c>
    </row>
    <row r="115" spans="1:18" ht="29.25" customHeight="1" x14ac:dyDescent="0.5">
      <c r="A115" s="750" t="s">
        <v>255</v>
      </c>
      <c r="B115" s="751"/>
      <c r="C115" s="752"/>
      <c r="D115" s="146" t="s">
        <v>183</v>
      </c>
      <c r="E115" s="95">
        <f>'27'!F115</f>
        <v>6560</v>
      </c>
      <c r="F115" s="237">
        <v>6560</v>
      </c>
      <c r="G115" s="112">
        <f t="shared" si="9"/>
        <v>0</v>
      </c>
      <c r="H115" s="99">
        <f>G115+'27'!H115</f>
        <v>-2561.4399999999996</v>
      </c>
      <c r="I115" s="165"/>
      <c r="J115" s="348">
        <f>H115/DAY(B2)</f>
        <v>-91.47999999999999</v>
      </c>
    </row>
    <row r="116" spans="1:18" ht="29.25" customHeight="1" x14ac:dyDescent="0.5">
      <c r="A116" s="757" t="s">
        <v>96</v>
      </c>
      <c r="B116" s="758"/>
      <c r="C116" s="759"/>
      <c r="D116" s="146" t="s">
        <v>183</v>
      </c>
      <c r="E116" s="95">
        <f>'27'!F116</f>
        <v>44933</v>
      </c>
      <c r="F116" s="237">
        <v>44933</v>
      </c>
      <c r="G116" s="112">
        <f t="shared" si="9"/>
        <v>0</v>
      </c>
      <c r="H116" s="99">
        <f>G116+'27'!H116</f>
        <v>89866</v>
      </c>
      <c r="I116" s="165"/>
      <c r="J116" s="348">
        <f>H116/DAY(B2)</f>
        <v>3209.5</v>
      </c>
      <c r="Q116" s="750"/>
      <c r="R116" s="752"/>
    </row>
    <row r="117" spans="1:18" ht="29.25" customHeight="1" x14ac:dyDescent="0.5">
      <c r="A117" s="757" t="s">
        <v>184</v>
      </c>
      <c r="B117" s="758"/>
      <c r="C117" s="759"/>
      <c r="D117" s="146" t="s">
        <v>183</v>
      </c>
      <c r="E117" s="95">
        <f>'27'!F117</f>
        <v>44933</v>
      </c>
      <c r="F117" s="237">
        <v>44933</v>
      </c>
      <c r="G117" s="112">
        <f t="shared" si="9"/>
        <v>0</v>
      </c>
      <c r="H117" s="99">
        <f>G117+'27'!H117</f>
        <v>88625.98000000001</v>
      </c>
      <c r="I117" s="165"/>
      <c r="J117" s="348">
        <f>H117/DAY(B2)</f>
        <v>3165.2135714285719</v>
      </c>
      <c r="Q117" s="750"/>
      <c r="R117" s="752"/>
    </row>
    <row r="118" spans="1:18" ht="27.75" x14ac:dyDescent="0.5">
      <c r="A118" s="749" t="s">
        <v>97</v>
      </c>
      <c r="B118" s="749"/>
      <c r="C118" s="749"/>
      <c r="D118" s="151" t="s">
        <v>183</v>
      </c>
      <c r="E118" s="95">
        <f>'27'!F118</f>
        <v>44933</v>
      </c>
      <c r="F118" s="237">
        <v>44933</v>
      </c>
      <c r="G118" s="112">
        <f t="shared" si="9"/>
        <v>0</v>
      </c>
      <c r="H118" s="99">
        <f>G118+'27'!H118</f>
        <v>-330033.39</v>
      </c>
      <c r="I118" s="165"/>
      <c r="J118" s="348">
        <f>H118/DAY(B2)</f>
        <v>-11786.906785714285</v>
      </c>
      <c r="Q118" s="750"/>
      <c r="R118" s="752"/>
    </row>
    <row r="119" spans="1:18" ht="27.75" x14ac:dyDescent="0.5">
      <c r="A119" s="749" t="s">
        <v>98</v>
      </c>
      <c r="B119" s="749"/>
      <c r="C119" s="749"/>
      <c r="D119" s="151" t="s">
        <v>183</v>
      </c>
      <c r="E119" s="95">
        <f>'27'!F119</f>
        <v>44933</v>
      </c>
      <c r="F119" s="237">
        <v>44933</v>
      </c>
      <c r="G119" s="112">
        <f t="shared" si="9"/>
        <v>0</v>
      </c>
      <c r="H119" s="99">
        <f>G119+'27'!H119</f>
        <v>-329315.05</v>
      </c>
      <c r="I119" s="165"/>
      <c r="J119" s="348">
        <f>H119/DAY(B2)</f>
        <v>-11761.251785714285</v>
      </c>
    </row>
    <row r="120" spans="1:18" ht="27.75" x14ac:dyDescent="0.5">
      <c r="A120" s="749" t="s">
        <v>99</v>
      </c>
      <c r="B120" s="749"/>
      <c r="C120" s="749"/>
      <c r="D120" s="151" t="s">
        <v>183</v>
      </c>
      <c r="E120" s="95">
        <f>'27'!F120</f>
        <v>44933</v>
      </c>
      <c r="F120" s="237">
        <v>44933</v>
      </c>
      <c r="G120" s="112">
        <f t="shared" si="9"/>
        <v>0</v>
      </c>
      <c r="H120" s="99">
        <f>G120+'27'!H120</f>
        <v>71927.510000000009</v>
      </c>
      <c r="I120" s="165"/>
      <c r="J120" s="348">
        <f>H120/DAY(B2)</f>
        <v>2568.8396428571432</v>
      </c>
    </row>
    <row r="121" spans="1:18" ht="27.75" x14ac:dyDescent="0.5">
      <c r="A121" s="749" t="s">
        <v>100</v>
      </c>
      <c r="B121" s="749"/>
      <c r="C121" s="749"/>
      <c r="D121" s="151" t="s">
        <v>183</v>
      </c>
      <c r="E121" s="95">
        <f>'27'!F121</f>
        <v>44933</v>
      </c>
      <c r="F121" s="237">
        <v>44933</v>
      </c>
      <c r="G121" s="112">
        <f t="shared" si="9"/>
        <v>0</v>
      </c>
      <c r="H121" s="99">
        <f>G121+'27'!H121</f>
        <v>-541106.63</v>
      </c>
      <c r="I121" s="165"/>
      <c r="J121" s="348">
        <f>H121/DAY(B2)</f>
        <v>-19325.236785714285</v>
      </c>
    </row>
    <row r="122" spans="1:18" ht="27.75" x14ac:dyDescent="0.5">
      <c r="A122" s="749" t="s">
        <v>101</v>
      </c>
      <c r="B122" s="749"/>
      <c r="C122" s="749"/>
      <c r="D122" s="151" t="s">
        <v>183</v>
      </c>
      <c r="E122" s="95">
        <f>'27'!F122</f>
        <v>44933</v>
      </c>
      <c r="F122" s="237">
        <v>44933</v>
      </c>
      <c r="G122" s="112">
        <f t="shared" si="9"/>
        <v>0</v>
      </c>
      <c r="H122" s="99">
        <f>G122+'27'!H122</f>
        <v>-98745.64</v>
      </c>
      <c r="I122" s="165"/>
      <c r="J122" s="348">
        <f>H122/DAY(B2)</f>
        <v>-3526.63</v>
      </c>
    </row>
    <row r="123" spans="1:18" ht="27.75" x14ac:dyDescent="0.5">
      <c r="A123" s="749" t="s">
        <v>102</v>
      </c>
      <c r="B123" s="749"/>
      <c r="C123" s="749"/>
      <c r="D123" s="151" t="s">
        <v>183</v>
      </c>
      <c r="E123" s="95">
        <f>'27'!F123</f>
        <v>44933</v>
      </c>
      <c r="F123" s="237">
        <v>44933</v>
      </c>
      <c r="G123" s="112">
        <f t="shared" si="9"/>
        <v>0</v>
      </c>
      <c r="H123" s="99">
        <f>G123+'27'!H123</f>
        <v>-146917.34</v>
      </c>
      <c r="I123" s="165"/>
      <c r="J123" s="348">
        <f>H123/DAY(B2)</f>
        <v>-5247.0478571428566</v>
      </c>
    </row>
    <row r="124" spans="1:18" ht="29.25" customHeight="1" x14ac:dyDescent="0.5">
      <c r="A124" s="753"/>
      <c r="B124" s="754"/>
      <c r="C124" s="755"/>
      <c r="D124" s="165"/>
      <c r="E124" s="95">
        <f>'27'!F124</f>
        <v>0</v>
      </c>
      <c r="F124" s="165"/>
      <c r="G124" s="347"/>
      <c r="H124" s="99">
        <f>G124+'27'!H124</f>
        <v>0</v>
      </c>
      <c r="I124" s="165"/>
      <c r="J124" s="347"/>
    </row>
    <row r="125" spans="1:18" ht="27.75" x14ac:dyDescent="0.5">
      <c r="A125" s="737"/>
      <c r="B125" s="737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56" t="s">
        <v>317</v>
      </c>
      <c r="B126" s="756"/>
      <c r="C126" s="756"/>
      <c r="D126" s="756"/>
      <c r="E126" s="756"/>
      <c r="F126" s="756"/>
      <c r="G126" s="756"/>
      <c r="H126" s="756"/>
      <c r="I126" s="756"/>
      <c r="J126" s="756"/>
    </row>
    <row r="127" spans="1:18" ht="27.75" x14ac:dyDescent="0.5">
      <c r="A127" s="737"/>
      <c r="B127" s="737"/>
      <c r="C127" s="246"/>
      <c r="D127" s="317"/>
      <c r="E127" s="318"/>
      <c r="F127" s="318"/>
      <c r="G127" s="319"/>
      <c r="H127" s="99">
        <f>G127+'27'!H127</f>
        <v>0</v>
      </c>
      <c r="I127" s="165"/>
      <c r="J127" s="348">
        <f>H127/DAY(B2)</f>
        <v>0</v>
      </c>
    </row>
    <row r="128" spans="1:18" ht="29.25" customHeight="1" x14ac:dyDescent="0.5">
      <c r="A128" s="750" t="s">
        <v>318</v>
      </c>
      <c r="B128" s="751"/>
      <c r="C128" s="752"/>
      <c r="D128" s="151" t="s">
        <v>183</v>
      </c>
      <c r="E128" s="95">
        <f>'27'!F128</f>
        <v>0</v>
      </c>
      <c r="F128" s="165"/>
      <c r="G128" s="112">
        <f t="shared" ref="G128:G134" si="10">F128-E128</f>
        <v>0</v>
      </c>
      <c r="H128" s="99">
        <f>G128+'27'!H128</f>
        <v>-20837.400000000001</v>
      </c>
      <c r="I128" s="165"/>
      <c r="J128" s="348">
        <f>H128/DAY(B2)</f>
        <v>-744.19285714285718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'27'!F129</f>
        <v>0</v>
      </c>
      <c r="F129" s="165"/>
      <c r="G129" s="112">
        <f t="shared" si="10"/>
        <v>0</v>
      </c>
      <c r="H129" s="99">
        <f>G129+'27'!H129</f>
        <v>-3767.84</v>
      </c>
      <c r="I129" s="165"/>
      <c r="J129" s="348">
        <f>H129/DAY(B2)</f>
        <v>-134.56571428571428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'27'!F130</f>
        <v>0</v>
      </c>
      <c r="F130" s="165"/>
      <c r="G130" s="112">
        <f t="shared" si="10"/>
        <v>0</v>
      </c>
      <c r="H130" s="99">
        <f>G130+'27'!H130</f>
        <v>-4439.2299999999996</v>
      </c>
      <c r="I130" s="165"/>
      <c r="J130" s="348">
        <f>H130/DAY(B2)</f>
        <v>-158.54392857142855</v>
      </c>
      <c r="N130" s="240"/>
      <c r="O130" s="241"/>
    </row>
    <row r="131" spans="1:15" ht="27.75" x14ac:dyDescent="0.5">
      <c r="A131" s="750" t="s">
        <v>321</v>
      </c>
      <c r="B131" s="751"/>
      <c r="C131" s="752"/>
      <c r="D131" s="151" t="s">
        <v>183</v>
      </c>
      <c r="E131" s="95">
        <f>'27'!F131</f>
        <v>0</v>
      </c>
      <c r="F131" s="165"/>
      <c r="G131" s="112">
        <f t="shared" si="10"/>
        <v>0</v>
      </c>
      <c r="H131" s="99">
        <f>G131+'27'!H131</f>
        <v>-2311.35</v>
      </c>
      <c r="I131" s="165"/>
      <c r="J131" s="348">
        <f>H131/DAY(B2)</f>
        <v>-82.54821428571428</v>
      </c>
      <c r="N131" s="240"/>
      <c r="O131" s="241"/>
    </row>
    <row r="132" spans="1:15" ht="27.75" x14ac:dyDescent="0.5">
      <c r="A132" s="750" t="s">
        <v>322</v>
      </c>
      <c r="B132" s="751"/>
      <c r="C132" s="752"/>
      <c r="D132" s="151" t="s">
        <v>183</v>
      </c>
      <c r="E132" s="95">
        <f>'27'!F132</f>
        <v>0</v>
      </c>
      <c r="F132" s="165"/>
      <c r="G132" s="112">
        <f t="shared" si="10"/>
        <v>0</v>
      </c>
      <c r="H132" s="99">
        <f>G132+'27'!H132</f>
        <v>-7246.7</v>
      </c>
      <c r="I132" s="165"/>
      <c r="J132" s="348">
        <f>H132/DAY(B2)</f>
        <v>-258.81071428571425</v>
      </c>
    </row>
    <row r="133" spans="1:15" ht="27.75" x14ac:dyDescent="0.5">
      <c r="A133" s="750" t="s">
        <v>323</v>
      </c>
      <c r="B133" s="751"/>
      <c r="C133" s="752"/>
      <c r="D133" s="151" t="s">
        <v>183</v>
      </c>
      <c r="E133" s="95">
        <f>'27'!F133</f>
        <v>0</v>
      </c>
      <c r="F133" s="165"/>
      <c r="G133" s="112">
        <f t="shared" si="10"/>
        <v>0</v>
      </c>
      <c r="H133" s="99">
        <f>G133+'27'!H133</f>
        <v>-45947.5</v>
      </c>
      <c r="I133" s="165"/>
      <c r="J133" s="348">
        <f>H133/DAY(B2)</f>
        <v>-1640.9821428571429</v>
      </c>
    </row>
    <row r="134" spans="1:15" ht="27.75" x14ac:dyDescent="0.5">
      <c r="A134" s="750" t="s">
        <v>340</v>
      </c>
      <c r="B134" s="751"/>
      <c r="C134" s="752"/>
      <c r="D134" s="151" t="s">
        <v>183</v>
      </c>
      <c r="E134" s="95">
        <f>'27'!F134</f>
        <v>0</v>
      </c>
      <c r="F134" s="165"/>
      <c r="G134" s="112">
        <f t="shared" si="10"/>
        <v>0</v>
      </c>
      <c r="H134" s="99">
        <f>G134+'27'!H134</f>
        <v>-1237706</v>
      </c>
      <c r="I134" s="165"/>
      <c r="J134" s="348">
        <f>H134/DAY(B2)</f>
        <v>-44203.785714285717</v>
      </c>
    </row>
    <row r="135" spans="1:15" ht="27.75" x14ac:dyDescent="0.5">
      <c r="A135" s="753"/>
      <c r="B135" s="754"/>
      <c r="C135" s="755"/>
      <c r="D135" s="151"/>
      <c r="E135" s="95"/>
      <c r="F135" s="165"/>
      <c r="G135" s="112"/>
      <c r="H135" s="99">
        <f>G135+'23'!H135</f>
        <v>5534.2300000000005</v>
      </c>
      <c r="I135" s="165"/>
      <c r="J135" s="348"/>
    </row>
    <row r="136" spans="1:15" ht="31.5" x14ac:dyDescent="0.55000000000000004">
      <c r="A136" s="736" t="s">
        <v>325</v>
      </c>
      <c r="B136" s="736"/>
      <c r="C136" s="736"/>
      <c r="D136" s="736"/>
      <c r="E136" s="736"/>
      <c r="F136" s="736"/>
      <c r="G136" s="736"/>
      <c r="H136" s="736"/>
      <c r="I136" s="736"/>
      <c r="J136" s="736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49" t="s">
        <v>185</v>
      </c>
      <c r="B138" s="749"/>
      <c r="C138" s="749"/>
      <c r="D138" s="151" t="s">
        <v>183</v>
      </c>
      <c r="E138" s="95">
        <f>'27'!F138</f>
        <v>857022</v>
      </c>
      <c r="F138" s="147">
        <v>857022</v>
      </c>
      <c r="G138" s="112">
        <f t="shared" ref="G138:G152" si="11">F138-E138</f>
        <v>0</v>
      </c>
      <c r="H138" s="99">
        <f>G138+'27'!H138</f>
        <v>-2046</v>
      </c>
      <c r="I138" s="118"/>
      <c r="J138" s="348">
        <f>H138/DAY(B2)</f>
        <v>-73.071428571428569</v>
      </c>
    </row>
    <row r="139" spans="1:15" ht="27.75" x14ac:dyDescent="0.5">
      <c r="A139" s="749" t="s">
        <v>186</v>
      </c>
      <c r="B139" s="749"/>
      <c r="C139" s="749"/>
      <c r="D139" s="151" t="s">
        <v>183</v>
      </c>
      <c r="E139" s="95">
        <f>'27'!F139</f>
        <v>886051</v>
      </c>
      <c r="F139" s="148">
        <v>886051</v>
      </c>
      <c r="G139" s="112">
        <f t="shared" si="11"/>
        <v>0</v>
      </c>
      <c r="H139" s="99">
        <f>G139+'27'!H139</f>
        <v>-33</v>
      </c>
      <c r="I139" s="118"/>
      <c r="J139" s="348">
        <f>H139/DAY(B2)</f>
        <v>-1.1785714285714286</v>
      </c>
    </row>
    <row r="140" spans="1:15" ht="27.75" x14ac:dyDescent="0.5">
      <c r="A140" s="749" t="s">
        <v>187</v>
      </c>
      <c r="B140" s="749"/>
      <c r="C140" s="749"/>
      <c r="D140" s="151" t="s">
        <v>183</v>
      </c>
      <c r="E140" s="95">
        <f>'27'!F140</f>
        <v>88776</v>
      </c>
      <c r="F140" s="149">
        <v>88776</v>
      </c>
      <c r="G140" s="112">
        <f t="shared" si="11"/>
        <v>0</v>
      </c>
      <c r="H140" s="99">
        <f>G140+'27'!H140</f>
        <v>-47.100000000005821</v>
      </c>
      <c r="I140" s="118"/>
      <c r="J140" s="348">
        <f>H140/DAY(B2)</f>
        <v>-1.682142857143065</v>
      </c>
    </row>
    <row r="141" spans="1:15" ht="27.75" x14ac:dyDescent="0.5">
      <c r="A141" s="728" t="s">
        <v>188</v>
      </c>
      <c r="B141" s="728"/>
      <c r="C141" s="728"/>
      <c r="D141" s="151" t="s">
        <v>183</v>
      </c>
      <c r="E141" s="95">
        <f>'27'!F141</f>
        <v>26308</v>
      </c>
      <c r="F141" s="149">
        <v>26308</v>
      </c>
      <c r="G141" s="112">
        <f t="shared" si="11"/>
        <v>0</v>
      </c>
      <c r="H141" s="99">
        <f>G141+'27'!H141</f>
        <v>-13573.5</v>
      </c>
      <c r="I141" s="118"/>
      <c r="J141" s="348">
        <f>H141/DAY(B2)</f>
        <v>-484.76785714285717</v>
      </c>
    </row>
    <row r="142" spans="1:15" ht="27.75" x14ac:dyDescent="0.5">
      <c r="A142" s="728" t="s">
        <v>189</v>
      </c>
      <c r="B142" s="728"/>
      <c r="C142" s="728"/>
      <c r="D142" s="151" t="s">
        <v>183</v>
      </c>
      <c r="E142" s="95">
        <f>'27'!F142</f>
        <v>13277</v>
      </c>
      <c r="F142" s="148">
        <v>13277</v>
      </c>
      <c r="G142" s="112">
        <f t="shared" si="11"/>
        <v>0</v>
      </c>
      <c r="H142" s="99">
        <f>G142+'27'!H142</f>
        <v>-5306.2999999999993</v>
      </c>
      <c r="I142" s="140"/>
      <c r="J142" s="348">
        <f>H142/DAY(B2)</f>
        <v>-189.51071428571427</v>
      </c>
    </row>
    <row r="143" spans="1:15" ht="27.75" x14ac:dyDescent="0.5">
      <c r="A143" s="749" t="s">
        <v>91</v>
      </c>
      <c r="B143" s="749"/>
      <c r="C143" s="749"/>
      <c r="D143" s="151" t="s">
        <v>183</v>
      </c>
      <c r="E143" s="95">
        <f>'27'!F143</f>
        <v>0</v>
      </c>
      <c r="F143" s="149"/>
      <c r="G143" s="112">
        <f t="shared" si="11"/>
        <v>0</v>
      </c>
      <c r="H143" s="99">
        <f>G143+'27'!H143</f>
        <v>-1531.35</v>
      </c>
      <c r="I143" s="140"/>
      <c r="J143" s="348">
        <f>H143/DAY(B2)</f>
        <v>-54.691071428571426</v>
      </c>
    </row>
    <row r="144" spans="1:15" ht="27.75" x14ac:dyDescent="0.5">
      <c r="A144" s="728" t="s">
        <v>90</v>
      </c>
      <c r="B144" s="728"/>
      <c r="C144" s="728"/>
      <c r="D144" s="151" t="s">
        <v>183</v>
      </c>
      <c r="E144" s="95">
        <f>'27'!F144</f>
        <v>0</v>
      </c>
      <c r="F144" s="149"/>
      <c r="G144" s="112">
        <f t="shared" si="11"/>
        <v>0</v>
      </c>
      <c r="H144" s="99">
        <f>G144+'27'!H144</f>
        <v>-1702947</v>
      </c>
      <c r="I144" s="140"/>
      <c r="J144" s="348">
        <f>H144/DAY(B2)</f>
        <v>-60819.535714285717</v>
      </c>
    </row>
    <row r="145" spans="1:10" ht="27.75" x14ac:dyDescent="0.5">
      <c r="A145" s="749" t="s">
        <v>190</v>
      </c>
      <c r="B145" s="749"/>
      <c r="C145" s="749"/>
      <c r="D145" s="152" t="s">
        <v>183</v>
      </c>
      <c r="E145" s="95">
        <f>'27'!F145</f>
        <v>0</v>
      </c>
      <c r="F145" s="149"/>
      <c r="G145" s="112">
        <f t="shared" si="11"/>
        <v>0</v>
      </c>
      <c r="H145" s="99">
        <f>G145+'27'!H145</f>
        <v>-2618.4</v>
      </c>
      <c r="I145" s="140"/>
      <c r="J145" s="348">
        <f>H145/DAY(B2)</f>
        <v>-93.51428571428572</v>
      </c>
    </row>
    <row r="146" spans="1:10" ht="27.75" x14ac:dyDescent="0.5">
      <c r="A146" s="784" t="s">
        <v>191</v>
      </c>
      <c r="B146" s="769"/>
      <c r="C146" s="770"/>
      <c r="D146" s="152" t="s">
        <v>183</v>
      </c>
      <c r="E146" s="95">
        <f>'27'!F146</f>
        <v>0</v>
      </c>
      <c r="F146" s="148"/>
      <c r="G146" s="112">
        <f t="shared" si="11"/>
        <v>0</v>
      </c>
      <c r="H146" s="99">
        <f>G146+'27'!H146</f>
        <v>-1380251</v>
      </c>
      <c r="I146" s="140"/>
      <c r="J146" s="348">
        <f>H146/DAY(B2)</f>
        <v>-49294.678571428572</v>
      </c>
    </row>
    <row r="147" spans="1:10" ht="27.75" x14ac:dyDescent="0.5">
      <c r="A147" s="728" t="s">
        <v>192</v>
      </c>
      <c r="B147" s="728"/>
      <c r="C147" s="728"/>
      <c r="D147" s="152" t="s">
        <v>183</v>
      </c>
      <c r="E147" s="95">
        <f>'27'!F147</f>
        <v>0</v>
      </c>
      <c r="F147" s="148"/>
      <c r="G147" s="112">
        <f t="shared" si="11"/>
        <v>0</v>
      </c>
      <c r="H147" s="99">
        <f>G147+'27'!H147</f>
        <v>-1159149.72</v>
      </c>
      <c r="I147" s="140"/>
      <c r="J147" s="348">
        <f>H147/DAY(B2)</f>
        <v>-41398.204285714288</v>
      </c>
    </row>
    <row r="148" spans="1:10" ht="27.75" x14ac:dyDescent="0.5">
      <c r="A148" s="729" t="s">
        <v>193</v>
      </c>
      <c r="B148" s="730"/>
      <c r="C148" s="731"/>
      <c r="D148" s="123" t="s">
        <v>130</v>
      </c>
      <c r="E148" s="95">
        <f>'27'!F148</f>
        <v>0</v>
      </c>
      <c r="F148" s="150"/>
      <c r="G148" s="112">
        <f t="shared" si="11"/>
        <v>0</v>
      </c>
      <c r="H148" s="99">
        <f>G148+'27'!H148</f>
        <v>-1320350.54</v>
      </c>
      <c r="I148" s="124"/>
      <c r="J148" s="348">
        <f>H148/DAY(B2)</f>
        <v>-47155.376428571428</v>
      </c>
    </row>
    <row r="149" spans="1:10" ht="27.75" x14ac:dyDescent="0.5">
      <c r="A149" s="729" t="s">
        <v>336</v>
      </c>
      <c r="B149" s="730"/>
      <c r="C149" s="731"/>
      <c r="D149" s="227" t="s">
        <v>130</v>
      </c>
      <c r="E149" s="95">
        <f>'27'!F149</f>
        <v>0</v>
      </c>
      <c r="F149" s="146"/>
      <c r="G149" s="112">
        <f t="shared" si="11"/>
        <v>0</v>
      </c>
      <c r="H149" s="99">
        <f>G149+'27'!H149</f>
        <v>-155505</v>
      </c>
      <c r="I149" s="119"/>
      <c r="J149" s="348">
        <f>H149/DAY(B2)</f>
        <v>-5553.75</v>
      </c>
    </row>
    <row r="150" spans="1:10" ht="27.75" x14ac:dyDescent="0.5">
      <c r="A150" s="729" t="s">
        <v>337</v>
      </c>
      <c r="B150" s="730"/>
      <c r="C150" s="731"/>
      <c r="D150" s="117" t="s">
        <v>130</v>
      </c>
      <c r="E150" s="95">
        <f>'27'!F150</f>
        <v>0</v>
      </c>
      <c r="F150" s="233"/>
      <c r="G150" s="112">
        <f t="shared" si="11"/>
        <v>0</v>
      </c>
      <c r="H150" s="99">
        <f>G150+'27'!H150</f>
        <v>-14334464</v>
      </c>
      <c r="I150" s="119"/>
      <c r="J150" s="348">
        <f>H150/DAY(B2)</f>
        <v>-511945.14285714284</v>
      </c>
    </row>
    <row r="151" spans="1:10" ht="27.75" x14ac:dyDescent="0.5">
      <c r="A151" s="729" t="s">
        <v>338</v>
      </c>
      <c r="B151" s="730"/>
      <c r="C151" s="731"/>
      <c r="D151" s="117" t="s">
        <v>130</v>
      </c>
      <c r="E151" s="95">
        <f>'27'!F151</f>
        <v>0</v>
      </c>
      <c r="F151" s="233"/>
      <c r="G151" s="112">
        <f t="shared" si="11"/>
        <v>0</v>
      </c>
      <c r="H151" s="99">
        <f>G151+'27'!H151</f>
        <v>-112419</v>
      </c>
      <c r="I151" s="119"/>
      <c r="J151" s="348">
        <f>H151/DAY(B2)</f>
        <v>-4014.9642857142858</v>
      </c>
    </row>
    <row r="152" spans="1:10" ht="27.75" x14ac:dyDescent="0.5">
      <c r="A152" s="729" t="s">
        <v>339</v>
      </c>
      <c r="B152" s="730"/>
      <c r="C152" s="731"/>
      <c r="D152" s="117" t="s">
        <v>130</v>
      </c>
      <c r="E152" s="95">
        <f>'27'!F152</f>
        <v>0</v>
      </c>
      <c r="F152" s="233"/>
      <c r="G152" s="112">
        <f t="shared" si="11"/>
        <v>0</v>
      </c>
      <c r="H152" s="99">
        <f>G152+'27'!H152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36" t="s">
        <v>344</v>
      </c>
      <c r="B154" s="736"/>
      <c r="C154" s="736"/>
      <c r="D154" s="736"/>
      <c r="E154" s="736"/>
      <c r="F154" s="736"/>
      <c r="G154" s="736"/>
      <c r="H154" s="736"/>
      <c r="I154" s="736"/>
      <c r="J154" s="736"/>
    </row>
    <row r="155" spans="1:10" ht="31.5" x14ac:dyDescent="0.55000000000000004">
      <c r="A155" s="728" t="s">
        <v>345</v>
      </c>
      <c r="B155" s="728"/>
      <c r="C155" s="728"/>
      <c r="D155" s="117" t="s">
        <v>130</v>
      </c>
      <c r="E155" s="95">
        <f>'27'!F155</f>
        <v>0</v>
      </c>
      <c r="F155" s="385"/>
      <c r="G155" s="112">
        <f t="shared" ref="G155:G156" si="12">F155-E155</f>
        <v>0</v>
      </c>
      <c r="H155" s="99">
        <f>G155+'27'!H155</f>
        <v>-154178.09999999998</v>
      </c>
      <c r="I155" s="385"/>
      <c r="J155" s="348">
        <f>H155/DAY(B2)</f>
        <v>-5506.3607142857136</v>
      </c>
    </row>
    <row r="156" spans="1:10" ht="27.75" x14ac:dyDescent="0.5">
      <c r="A156" s="728" t="s">
        <v>347</v>
      </c>
      <c r="B156" s="728"/>
      <c r="C156" s="728"/>
      <c r="D156" s="117" t="s">
        <v>130</v>
      </c>
      <c r="E156" s="95">
        <f>'27'!F156</f>
        <v>0</v>
      </c>
      <c r="F156" s="165"/>
      <c r="G156" s="112">
        <f t="shared" si="12"/>
        <v>0</v>
      </c>
      <c r="H156" s="99">
        <f>G156+'27'!H156</f>
        <v>0</v>
      </c>
      <c r="I156" s="165"/>
      <c r="J156" s="348">
        <f>H156/DAY(B2)</f>
        <v>0</v>
      </c>
    </row>
    <row r="157" spans="1:10" ht="31.5" x14ac:dyDescent="0.55000000000000004">
      <c r="A157" s="736" t="s">
        <v>326</v>
      </c>
      <c r="B157" s="736"/>
      <c r="C157" s="736"/>
      <c r="D157" s="736"/>
      <c r="E157" s="736"/>
      <c r="F157" s="736"/>
      <c r="G157" s="736"/>
      <c r="H157" s="736"/>
      <c r="I157" s="736"/>
      <c r="J157" s="736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'27'!F158</f>
        <v>463315</v>
      </c>
      <c r="F158" s="235">
        <v>463315</v>
      </c>
      <c r="G158" s="238">
        <f t="shared" ref="G158:G162" si="13">F158-E158</f>
        <v>0</v>
      </c>
      <c r="H158" s="99">
        <f>G158+'27'!H158</f>
        <v>-5764.4000000000233</v>
      </c>
      <c r="I158" s="236"/>
      <c r="J158" s="239">
        <f>H158/DAY(B2)</f>
        <v>-205.87142857142939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'27'!F159</f>
        <v>83899</v>
      </c>
      <c r="F159" s="235">
        <v>83899</v>
      </c>
      <c r="G159" s="238">
        <f t="shared" si="13"/>
        <v>0</v>
      </c>
      <c r="H159" s="99">
        <f>G159+'27'!H159</f>
        <v>-2351.3999999999942</v>
      </c>
      <c r="I159" s="236"/>
      <c r="J159" s="239">
        <f>H159/DAY(B2)</f>
        <v>-83.978571428571215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'27'!F160</f>
        <v>69089</v>
      </c>
      <c r="F160" s="235">
        <v>69089</v>
      </c>
      <c r="G160" s="238">
        <f t="shared" si="13"/>
        <v>0</v>
      </c>
      <c r="H160" s="99">
        <f>G160+'27'!H160</f>
        <v>-4894.1999999999971</v>
      </c>
      <c r="I160" s="236"/>
      <c r="J160" s="239">
        <f>H160/DAY(B2)</f>
        <v>-174.79285714285703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'27'!F161</f>
        <v>3611</v>
      </c>
      <c r="F161" s="235">
        <v>3611</v>
      </c>
      <c r="G161" s="238">
        <f t="shared" si="13"/>
        <v>0</v>
      </c>
      <c r="H161" s="99">
        <f>G161+'27'!H161</f>
        <v>-555.30000000000018</v>
      </c>
      <c r="I161" s="236"/>
      <c r="J161" s="239">
        <f>H161/DAY(B2)</f>
        <v>-19.832142857142863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'27'!F162</f>
        <v>28746</v>
      </c>
      <c r="F162" s="235">
        <v>28746</v>
      </c>
      <c r="G162" s="238">
        <f t="shared" si="13"/>
        <v>0</v>
      </c>
      <c r="H162" s="99">
        <f>G162+'27'!H162</f>
        <v>-566.7400000000016</v>
      </c>
      <c r="I162" s="236"/>
      <c r="J162" s="239">
        <f>H162/DAY(B2)</f>
        <v>-20.240714285714343</v>
      </c>
    </row>
    <row r="163" spans="1:10" ht="29.25" x14ac:dyDescent="0.5">
      <c r="A163" s="737" t="s">
        <v>328</v>
      </c>
      <c r="B163" s="737"/>
      <c r="C163" s="247"/>
      <c r="D163" s="244" t="s">
        <v>180</v>
      </c>
      <c r="E163" s="95">
        <f>'27'!F163</f>
        <v>0</v>
      </c>
      <c r="F163" s="165"/>
      <c r="G163" s="165"/>
      <c r="H163" s="99">
        <f>G163+'27'!H163</f>
        <v>0</v>
      </c>
      <c r="I163" s="165"/>
      <c r="J163" s="239">
        <f>H163/DAY(B2)</f>
        <v>0</v>
      </c>
    </row>
    <row r="164" spans="1:10" ht="29.25" x14ac:dyDescent="0.5">
      <c r="A164" s="737" t="s">
        <v>327</v>
      </c>
      <c r="B164" s="737"/>
      <c r="C164" s="247"/>
      <c r="D164" s="244" t="s">
        <v>180</v>
      </c>
      <c r="E164" s="95">
        <f>'27'!F164</f>
        <v>0</v>
      </c>
      <c r="F164" s="165"/>
      <c r="G164" s="165"/>
      <c r="H164" s="99">
        <f>G164+'27'!H164</f>
        <v>0</v>
      </c>
      <c r="I164" s="165"/>
      <c r="J164" s="239">
        <f>H164/DAY(B2)</f>
        <v>0</v>
      </c>
    </row>
    <row r="165" spans="1:10" ht="29.25" x14ac:dyDescent="0.5">
      <c r="A165" s="737" t="s">
        <v>328</v>
      </c>
      <c r="B165" s="737"/>
      <c r="C165" s="247"/>
      <c r="D165" s="244" t="s">
        <v>180</v>
      </c>
      <c r="E165" s="95">
        <f>'27'!F165</f>
        <v>0</v>
      </c>
      <c r="F165" s="165"/>
      <c r="G165" s="165"/>
      <c r="H165" s="99">
        <f>G165+'27'!H165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38" t="s">
        <v>330</v>
      </c>
      <c r="B168" s="739"/>
      <c r="C168" s="739"/>
      <c r="D168" s="739"/>
      <c r="E168" s="739"/>
      <c r="F168" s="739"/>
      <c r="G168" s="739"/>
      <c r="H168" s="739"/>
      <c r="I168" s="739"/>
      <c r="J168" s="740"/>
    </row>
    <row r="169" spans="1:10" ht="27.75" x14ac:dyDescent="0.5">
      <c r="A169" s="747"/>
      <c r="B169" s="748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43" t="s">
        <v>209</v>
      </c>
      <c r="B170" s="744"/>
      <c r="C170" s="353"/>
      <c r="D170" s="228" t="s">
        <v>142</v>
      </c>
      <c r="E170" s="95">
        <f>'27'!F170</f>
        <v>7961</v>
      </c>
      <c r="F170" s="155">
        <v>7961</v>
      </c>
      <c r="G170" s="155">
        <f>F170-E170</f>
        <v>0</v>
      </c>
      <c r="H170" s="99">
        <f>G170+'27'!H170</f>
        <v>129</v>
      </c>
      <c r="I170" s="155"/>
      <c r="J170" s="178">
        <f>H170/DAY(B2)</f>
        <v>4.6071428571428568</v>
      </c>
    </row>
    <row r="171" spans="1:10" ht="27.75" x14ac:dyDescent="0.5">
      <c r="A171" s="743" t="s">
        <v>75</v>
      </c>
      <c r="B171" s="744"/>
      <c r="C171" s="353"/>
      <c r="D171" s="228" t="s">
        <v>142</v>
      </c>
      <c r="E171" s="95">
        <f>'27'!F171</f>
        <v>36765</v>
      </c>
      <c r="F171" s="157">
        <v>36765</v>
      </c>
      <c r="G171" s="155">
        <f t="shared" ref="G171:G172" si="14">F171-E171</f>
        <v>0</v>
      </c>
      <c r="H171" s="99">
        <f>G171+'27'!H171</f>
        <v>-332</v>
      </c>
      <c r="I171" s="155"/>
      <c r="J171" s="178">
        <f>H171/DAY(B2)</f>
        <v>-11.857142857142858</v>
      </c>
    </row>
    <row r="172" spans="1:10" ht="27.75" x14ac:dyDescent="0.5">
      <c r="A172" s="743" t="s">
        <v>76</v>
      </c>
      <c r="B172" s="783"/>
      <c r="C172" s="744"/>
      <c r="D172" s="228" t="s">
        <v>142</v>
      </c>
      <c r="E172" s="95">
        <f>'27'!F172</f>
        <v>20214</v>
      </c>
      <c r="F172" s="155">
        <v>20214</v>
      </c>
      <c r="G172" s="155">
        <f t="shared" si="14"/>
        <v>0</v>
      </c>
      <c r="H172" s="99">
        <f>G172+'27'!H172</f>
        <v>-687</v>
      </c>
      <c r="I172" s="155"/>
      <c r="J172" s="178">
        <f>H172/DAY(B2)</f>
        <v>-24.535714285714285</v>
      </c>
    </row>
    <row r="173" spans="1:10" ht="27.75" x14ac:dyDescent="0.5">
      <c r="A173" s="732" t="s">
        <v>196</v>
      </c>
      <c r="B173" s="733"/>
      <c r="C173" s="611"/>
      <c r="D173" s="228" t="s">
        <v>142</v>
      </c>
      <c r="E173" s="95"/>
      <c r="F173" s="155"/>
      <c r="G173" s="155">
        <f>SUM(G170:G172)</f>
        <v>0</v>
      </c>
      <c r="H173" s="99">
        <f>G173+'27'!H173</f>
        <v>-890</v>
      </c>
      <c r="I173" s="155"/>
      <c r="J173" s="178">
        <f>H173/DAY(B2)</f>
        <v>-31.785714285714285</v>
      </c>
    </row>
    <row r="174" spans="1:10" ht="27.75" x14ac:dyDescent="0.5">
      <c r="A174" s="743" t="s">
        <v>77</v>
      </c>
      <c r="B174" s="744"/>
      <c r="C174" s="353"/>
      <c r="D174" s="228" t="s">
        <v>142</v>
      </c>
      <c r="E174" s="95"/>
      <c r="F174" s="155"/>
      <c r="G174" s="155"/>
      <c r="H174" s="99">
        <f>G174+'27'!H174</f>
        <v>0</v>
      </c>
      <c r="I174" s="155"/>
      <c r="J174" s="178">
        <f>H174/DAY(B2)</f>
        <v>0</v>
      </c>
    </row>
    <row r="175" spans="1:10" ht="27.75" x14ac:dyDescent="0.5">
      <c r="A175" s="743" t="s">
        <v>210</v>
      </c>
      <c r="B175" s="744"/>
      <c r="C175" s="353"/>
      <c r="D175" s="228" t="s">
        <v>142</v>
      </c>
      <c r="E175" s="95">
        <f>'27'!F175</f>
        <v>69524</v>
      </c>
      <c r="F175" s="155">
        <v>69524</v>
      </c>
      <c r="G175" s="155">
        <f>F175-E175</f>
        <v>0</v>
      </c>
      <c r="H175" s="99">
        <f>G175+'27'!H175</f>
        <v>-6303</v>
      </c>
      <c r="I175" s="155"/>
      <c r="J175" s="178">
        <f>H175/DAY(B2)</f>
        <v>-225.10714285714286</v>
      </c>
    </row>
    <row r="176" spans="1:10" ht="27.75" x14ac:dyDescent="0.5">
      <c r="A176" s="743" t="s">
        <v>211</v>
      </c>
      <c r="B176" s="744"/>
      <c r="C176" s="353"/>
      <c r="D176" s="228" t="s">
        <v>142</v>
      </c>
      <c r="E176" s="95">
        <f>'27'!F176</f>
        <v>33886</v>
      </c>
      <c r="F176" s="155">
        <v>33886</v>
      </c>
      <c r="G176" s="155">
        <f t="shared" ref="G176:G177" si="15">F176-E176</f>
        <v>0</v>
      </c>
      <c r="H176" s="99">
        <f>G176+'27'!H176</f>
        <v>0</v>
      </c>
      <c r="I176" s="155"/>
      <c r="J176" s="178">
        <f>H176/DAY(B2)</f>
        <v>0</v>
      </c>
    </row>
    <row r="177" spans="1:10" ht="27.75" x14ac:dyDescent="0.5">
      <c r="A177" s="743" t="s">
        <v>212</v>
      </c>
      <c r="B177" s="744"/>
      <c r="C177" s="353"/>
      <c r="D177" s="228" t="s">
        <v>142</v>
      </c>
      <c r="E177" s="95">
        <f>'27'!F177</f>
        <v>4788</v>
      </c>
      <c r="F177" s="155">
        <v>4788</v>
      </c>
      <c r="G177" s="155">
        <f t="shared" si="15"/>
        <v>0</v>
      </c>
      <c r="H177" s="99">
        <f>G177+'27'!H177</f>
        <v>-3190</v>
      </c>
      <c r="I177" s="155"/>
      <c r="J177" s="178">
        <f>H177/DAY(B2)</f>
        <v>-113.92857142857143</v>
      </c>
    </row>
    <row r="178" spans="1:10" ht="27.75" x14ac:dyDescent="0.5">
      <c r="A178" s="745" t="s">
        <v>108</v>
      </c>
      <c r="B178" s="746"/>
      <c r="C178" s="611"/>
      <c r="D178" s="228" t="s">
        <v>142</v>
      </c>
      <c r="E178" s="95"/>
      <c r="F178" s="155"/>
      <c r="G178" s="155">
        <f>SUM(G175:G177)</f>
        <v>0</v>
      </c>
      <c r="H178" s="99">
        <f>G178+'27'!H178</f>
        <v>-9493</v>
      </c>
      <c r="I178" s="155"/>
      <c r="J178" s="178">
        <f>H178/DAY(B2)</f>
        <v>-339.03571428571428</v>
      </c>
    </row>
    <row r="179" spans="1:10" ht="27.75" x14ac:dyDescent="0.5">
      <c r="A179" s="743" t="s">
        <v>213</v>
      </c>
      <c r="B179" s="744"/>
      <c r="C179" s="353"/>
      <c r="D179" s="228" t="s">
        <v>142</v>
      </c>
      <c r="E179" s="95"/>
      <c r="F179" s="155"/>
      <c r="G179" s="155"/>
      <c r="H179" s="99">
        <f>G179+'27'!H179</f>
        <v>0</v>
      </c>
      <c r="I179" s="155"/>
      <c r="J179" s="178">
        <f>H179/DAY(B2)</f>
        <v>0</v>
      </c>
    </row>
    <row r="180" spans="1:10" ht="27.75" x14ac:dyDescent="0.5">
      <c r="A180" s="743" t="s">
        <v>214</v>
      </c>
      <c r="B180" s="744"/>
      <c r="C180" s="354"/>
      <c r="D180" s="228" t="s">
        <v>142</v>
      </c>
      <c r="E180" s="95">
        <f>'27'!F180</f>
        <v>13038</v>
      </c>
      <c r="F180" s="157">
        <v>13038</v>
      </c>
      <c r="G180" s="157">
        <f>F180-E180</f>
        <v>0</v>
      </c>
      <c r="H180" s="99">
        <f>G180+'27'!H180</f>
        <v>-1253</v>
      </c>
      <c r="I180" s="155"/>
      <c r="J180" s="178">
        <f>H180/DAY(B2)</f>
        <v>-44.75</v>
      </c>
    </row>
    <row r="181" spans="1:10" ht="27.75" x14ac:dyDescent="0.5">
      <c r="A181" s="743" t="s">
        <v>215</v>
      </c>
      <c r="B181" s="744"/>
      <c r="C181" s="354"/>
      <c r="D181" s="228" t="s">
        <v>142</v>
      </c>
      <c r="E181" s="95">
        <f>'27'!F181</f>
        <v>9126</v>
      </c>
      <c r="F181" s="157">
        <v>9126</v>
      </c>
      <c r="G181" s="157">
        <f t="shared" ref="G181:G182" si="16">F181-E181</f>
        <v>0</v>
      </c>
      <c r="H181" s="99">
        <f>G181+'27'!H181</f>
        <v>-794</v>
      </c>
      <c r="I181" s="155"/>
      <c r="J181" s="178">
        <f>H181/DAY(B2)</f>
        <v>-28.357142857142858</v>
      </c>
    </row>
    <row r="182" spans="1:10" ht="27.75" x14ac:dyDescent="0.5">
      <c r="A182" s="743" t="s">
        <v>216</v>
      </c>
      <c r="B182" s="744"/>
      <c r="C182" s="354"/>
      <c r="D182" s="228" t="s">
        <v>142</v>
      </c>
      <c r="E182" s="95">
        <f>'27'!F182</f>
        <v>0</v>
      </c>
      <c r="F182" s="157"/>
      <c r="G182" s="157">
        <f t="shared" si="16"/>
        <v>0</v>
      </c>
      <c r="H182" s="99">
        <f>G182+'27'!H182</f>
        <v>0</v>
      </c>
      <c r="I182" s="155"/>
      <c r="J182" s="178">
        <f>H182/DAY(B2)</f>
        <v>0</v>
      </c>
    </row>
    <row r="183" spans="1:10" ht="27.75" x14ac:dyDescent="0.5">
      <c r="A183" s="732" t="s">
        <v>196</v>
      </c>
      <c r="B183" s="733"/>
      <c r="C183" s="610"/>
      <c r="D183" s="228" t="s">
        <v>142</v>
      </c>
      <c r="E183" s="95"/>
      <c r="F183" s="157"/>
      <c r="G183" s="157">
        <f>SUM(G180:G182)</f>
        <v>0</v>
      </c>
      <c r="H183" s="99">
        <f>G183+'27'!H183</f>
        <v>-2047</v>
      </c>
      <c r="I183" s="157"/>
      <c r="J183" s="178">
        <f>H183/DAY(B2)</f>
        <v>-73.107142857142861</v>
      </c>
    </row>
    <row r="184" spans="1:10" ht="27.75" x14ac:dyDescent="0.5">
      <c r="A184" s="734" t="s">
        <v>217</v>
      </c>
      <c r="B184" s="735"/>
      <c r="C184" s="353"/>
      <c r="D184" s="230" t="s">
        <v>142</v>
      </c>
      <c r="E184" s="95">
        <f>'27'!F184</f>
        <v>0</v>
      </c>
      <c r="F184" s="159"/>
      <c r="G184" s="588">
        <f>G62+G19</f>
        <v>60</v>
      </c>
      <c r="H184" s="99">
        <f>G184+'27'!H184</f>
        <v>-6002</v>
      </c>
      <c r="I184" s="158"/>
      <c r="J184" s="179">
        <f>H184/DAY(B2)</f>
        <v>-214.35714285714286</v>
      </c>
    </row>
    <row r="185" spans="1:10" ht="27.75" x14ac:dyDescent="0.5">
      <c r="A185" s="734" t="s">
        <v>218</v>
      </c>
      <c r="B185" s="735"/>
      <c r="C185" s="353"/>
      <c r="D185" s="230" t="s">
        <v>142</v>
      </c>
      <c r="E185" s="95">
        <f>'27'!F185</f>
        <v>0</v>
      </c>
      <c r="F185" s="159"/>
      <c r="G185" s="588">
        <f>G65+G66+G67+G69+G70</f>
        <v>0</v>
      </c>
      <c r="H185" s="99">
        <f>G185+'27'!H185</f>
        <v>-14514</v>
      </c>
      <c r="I185" s="158"/>
      <c r="J185" s="179">
        <f>H185/DAY(B2)</f>
        <v>-518.35714285714289</v>
      </c>
    </row>
    <row r="186" spans="1:10" ht="27.75" x14ac:dyDescent="0.5">
      <c r="A186" s="734" t="s">
        <v>219</v>
      </c>
      <c r="B186" s="735"/>
      <c r="C186" s="353"/>
      <c r="D186" s="230" t="s">
        <v>142</v>
      </c>
      <c r="E186" s="95">
        <f>'27'!F186</f>
        <v>0</v>
      </c>
      <c r="F186" s="157"/>
      <c r="G186" s="585">
        <f>G178</f>
        <v>0</v>
      </c>
      <c r="H186" s="99">
        <f>G186+'27'!H186</f>
        <v>-7040</v>
      </c>
      <c r="I186" s="158"/>
      <c r="J186" s="179">
        <f>H186/DAY(B2)</f>
        <v>-251.42857142857142</v>
      </c>
    </row>
    <row r="187" spans="1:10" ht="27.75" x14ac:dyDescent="0.5">
      <c r="A187" s="741"/>
      <c r="B187" s="742"/>
      <c r="C187" s="609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1">
    <mergeCell ref="A33:C33"/>
    <mergeCell ref="A64:C64"/>
    <mergeCell ref="A65:C65"/>
    <mergeCell ref="A75:C75"/>
    <mergeCell ref="A76:C76"/>
    <mergeCell ref="A77:C77"/>
    <mergeCell ref="A73:C73"/>
    <mergeCell ref="A74:C74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61:C61"/>
    <mergeCell ref="A62:C62"/>
    <mergeCell ref="A63:C63"/>
    <mergeCell ref="A71:C71"/>
    <mergeCell ref="A72:B72"/>
    <mergeCell ref="A134:C134"/>
    <mergeCell ref="A135:C135"/>
    <mergeCell ref="A142:C142"/>
    <mergeCell ref="A181:B181"/>
    <mergeCell ref="A179:B179"/>
    <mergeCell ref="A180:B180"/>
    <mergeCell ref="A177:B177"/>
    <mergeCell ref="A178:B178"/>
    <mergeCell ref="A172:C172"/>
    <mergeCell ref="A174:B174"/>
    <mergeCell ref="A175:B175"/>
    <mergeCell ref="A176:B176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79:C79"/>
    <mergeCell ref="A80:C80"/>
    <mergeCell ref="A94:C94"/>
    <mergeCell ref="A95:C95"/>
    <mergeCell ref="A96:C96"/>
    <mergeCell ref="A81:C81"/>
    <mergeCell ref="A93:C93"/>
    <mergeCell ref="A115:C115"/>
    <mergeCell ref="A116:C116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50:C150"/>
    <mergeCell ref="A151:C151"/>
    <mergeCell ref="A152:C152"/>
    <mergeCell ref="A154:J154"/>
    <mergeCell ref="A155:C155"/>
    <mergeCell ref="A156:C156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698"/>
  <sheetViews>
    <sheetView view="pageBreakPreview" topLeftCell="A157" zoomScale="55" zoomScaleNormal="78" zoomScaleSheetLayoutView="55" workbookViewId="0">
      <selection activeCell="A172" sqref="A172:C172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89" t="s">
        <v>115</v>
      </c>
      <c r="B1" s="790"/>
      <c r="C1" s="790"/>
      <c r="D1" s="790"/>
      <c r="E1" s="790"/>
      <c r="F1" s="790"/>
      <c r="G1" s="790"/>
      <c r="H1" s="790"/>
      <c r="I1" s="790"/>
      <c r="J1" s="791"/>
    </row>
    <row r="2" spans="1:15" s="57" customFormat="1" ht="27" x14ac:dyDescent="0.5">
      <c r="A2" s="191" t="s">
        <v>303</v>
      </c>
      <c r="B2" s="266">
        <v>44498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98" t="s">
        <v>119</v>
      </c>
      <c r="F3" s="79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 x14ac:dyDescent="0.4">
      <c r="A6" s="792" t="s">
        <v>128</v>
      </c>
      <c r="B6" s="793"/>
      <c r="C6" s="79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94" t="s">
        <v>129</v>
      </c>
      <c r="B7" s="195"/>
      <c r="C7" s="195"/>
      <c r="D7" s="151" t="s">
        <v>130</v>
      </c>
      <c r="E7" s="95">
        <f>'28'!F7</f>
        <v>593179.47</v>
      </c>
      <c r="F7" s="95">
        <f>E7+23000</f>
        <v>616179.47</v>
      </c>
      <c r="G7" s="112">
        <f>F7-E7</f>
        <v>23000</v>
      </c>
      <c r="H7" s="99">
        <f>G7+'28'!H7</f>
        <v>671937.06999999983</v>
      </c>
      <c r="I7" s="113">
        <f>'1'!I7</f>
        <v>12000</v>
      </c>
      <c r="J7" s="175">
        <f>H7/DAY(B2)</f>
        <v>23170.243793103444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'28'!F8</f>
        <v>614029.75</v>
      </c>
      <c r="F8" s="114">
        <f>E8+23050</f>
        <v>637079.75</v>
      </c>
      <c r="G8" s="115">
        <f>F8-E8</f>
        <v>23050</v>
      </c>
      <c r="H8" s="99">
        <f>G8+'28'!H8</f>
        <v>678412.75</v>
      </c>
      <c r="I8" s="116"/>
      <c r="J8" s="175">
        <f>H8/DAY(B2)</f>
        <v>23393.543103448275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99" t="s">
        <v>132</v>
      </c>
      <c r="B9" s="200"/>
      <c r="C9" s="200"/>
      <c r="D9" s="151" t="s">
        <v>130</v>
      </c>
      <c r="E9" s="95">
        <f>'28'!F9</f>
        <v>1276976.8999999999</v>
      </c>
      <c r="F9" s="117">
        <f>E9+23000</f>
        <v>1299976.8999999999</v>
      </c>
      <c r="G9" s="112">
        <f>F9-E9</f>
        <v>23000</v>
      </c>
      <c r="H9" s="99">
        <f>G9+'28'!H9</f>
        <v>592186.89999999979</v>
      </c>
      <c r="I9" s="124">
        <f>I7-J7</f>
        <v>-11170.243793103444</v>
      </c>
      <c r="J9" s="175">
        <f>H9/DAY(B2)</f>
        <v>20420.237931034477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94" t="s">
        <v>133</v>
      </c>
      <c r="B10" s="195"/>
      <c r="C10" s="195"/>
      <c r="D10" s="151" t="s">
        <v>130</v>
      </c>
      <c r="E10" s="95">
        <f>'28'!F10</f>
        <v>2607</v>
      </c>
      <c r="F10" s="117">
        <v>2607</v>
      </c>
      <c r="G10" s="112">
        <f t="shared" ref="G10:G12" si="0">F10-E10</f>
        <v>0</v>
      </c>
      <c r="H10" s="99">
        <f>G10+'28'!H10</f>
        <v>-57966</v>
      </c>
      <c r="I10" s="286"/>
      <c r="J10" s="175">
        <f>H10/DAY(B2)</f>
        <v>-1998.8275862068965</v>
      </c>
      <c r="K10" s="79"/>
      <c r="L10" s="66"/>
      <c r="N10" s="87"/>
      <c r="O10" s="71"/>
    </row>
    <row r="11" spans="1:15" ht="21.95" customHeight="1" x14ac:dyDescent="0.4">
      <c r="A11" s="194" t="s">
        <v>134</v>
      </c>
      <c r="B11" s="195"/>
      <c r="C11" s="195"/>
      <c r="D11" s="151" t="s">
        <v>130</v>
      </c>
      <c r="E11" s="95">
        <f>'28'!F11</f>
        <v>37000</v>
      </c>
      <c r="F11" s="95">
        <v>37000</v>
      </c>
      <c r="G11" s="112">
        <f t="shared" si="0"/>
        <v>0</v>
      </c>
      <c r="H11" s="99">
        <f>G11+'28'!H11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194" t="s">
        <v>135</v>
      </c>
      <c r="B12" s="195"/>
      <c r="C12" s="195"/>
      <c r="D12" s="151" t="s">
        <v>130</v>
      </c>
      <c r="E12" s="95">
        <f>'28'!F12</f>
        <v>40010</v>
      </c>
      <c r="F12" s="117">
        <v>40010</v>
      </c>
      <c r="G12" s="112">
        <f t="shared" si="0"/>
        <v>0</v>
      </c>
      <c r="H12" s="99">
        <f>G12+'28'!H12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23000</v>
      </c>
      <c r="H13" s="99">
        <f>G13+'28'!H13</f>
        <v>512675.14999999979</v>
      </c>
      <c r="I13" s="120">
        <f>G7-G13</f>
        <v>0</v>
      </c>
      <c r="J13" s="175">
        <f>H13/DAY(B2)</f>
        <v>17678.453448275854</v>
      </c>
      <c r="K13" s="79"/>
      <c r="L13" s="66"/>
      <c r="N13" s="87"/>
      <c r="O13" s="71"/>
    </row>
    <row r="14" spans="1:15" ht="29.25" x14ac:dyDescent="0.5">
      <c r="A14" s="795" t="s">
        <v>137</v>
      </c>
      <c r="B14" s="796"/>
      <c r="C14" s="79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365" t="s">
        <v>138</v>
      </c>
      <c r="B15" s="205"/>
      <c r="C15" s="205"/>
      <c r="D15" s="151" t="s">
        <v>139</v>
      </c>
      <c r="E15" s="95">
        <f>'28'!F15</f>
        <v>1809867.8829999999</v>
      </c>
      <c r="F15" s="123">
        <f>E15+875</f>
        <v>1810742.8829999999</v>
      </c>
      <c r="G15" s="112">
        <f>(F15-E15)</f>
        <v>875</v>
      </c>
      <c r="H15" s="99">
        <f>G15+'28'!H15</f>
        <v>27409.882999999914</v>
      </c>
      <c r="I15" s="113">
        <f>'1'!I15</f>
        <v>800</v>
      </c>
      <c r="J15" s="175">
        <f>H15/DAY(B2)</f>
        <v>945.16837931034183</v>
      </c>
      <c r="K15" s="79"/>
      <c r="L15" s="66"/>
      <c r="N15" s="87"/>
      <c r="O15" s="71"/>
    </row>
    <row r="16" spans="1:15" ht="21.9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-145.16837931034183</v>
      </c>
      <c r="J16" s="176"/>
      <c r="K16" s="79"/>
      <c r="L16" s="66"/>
      <c r="N16" s="87"/>
      <c r="O16" s="71"/>
    </row>
    <row r="17" spans="1:15" ht="29.25" x14ac:dyDescent="0.5">
      <c r="A17" s="795" t="s">
        <v>140</v>
      </c>
      <c r="B17" s="796"/>
      <c r="C17" s="79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1" t="s">
        <v>141</v>
      </c>
      <c r="B18" s="772"/>
      <c r="C18" s="773"/>
      <c r="D18" s="151" t="s">
        <v>142</v>
      </c>
      <c r="E18" s="95">
        <f>'28'!F18</f>
        <v>14</v>
      </c>
      <c r="F18" s="122">
        <v>14</v>
      </c>
      <c r="G18" s="119">
        <f>F18*10</f>
        <v>140</v>
      </c>
      <c r="H18" s="99">
        <f>G18+'28'!H18</f>
        <v>5000</v>
      </c>
      <c r="I18" s="113">
        <f>'1'!I18</f>
        <v>65</v>
      </c>
      <c r="J18" s="175">
        <f>H18/DAY(B2)</f>
        <v>172.41379310344828</v>
      </c>
      <c r="K18" s="79"/>
      <c r="L18" s="66"/>
      <c r="N18" s="87"/>
      <c r="O18" s="71"/>
    </row>
    <row r="19" spans="1:15" ht="27.75" x14ac:dyDescent="0.5">
      <c r="A19" s="771" t="s">
        <v>69</v>
      </c>
      <c r="B19" s="772"/>
      <c r="C19" s="773"/>
      <c r="D19" s="151" t="s">
        <v>142</v>
      </c>
      <c r="E19" s="95">
        <f>'28'!F19</f>
        <v>148705</v>
      </c>
      <c r="F19" s="122">
        <f>E19+60</f>
        <v>148765</v>
      </c>
      <c r="G19" s="112">
        <f t="shared" ref="G19" si="1">F19-E19</f>
        <v>60</v>
      </c>
      <c r="H19" s="99">
        <f>G19+'28'!H19</f>
        <v>1713</v>
      </c>
      <c r="I19" s="355"/>
      <c r="J19" s="175">
        <f>H19/DAY(B2)</f>
        <v>59.068965517241381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200</v>
      </c>
      <c r="H20" s="99">
        <f>G20+'28'!H20</f>
        <v>6713</v>
      </c>
      <c r="I20" s="356">
        <f>I18-J20</f>
        <v>-166.48275862068965</v>
      </c>
      <c r="J20" s="175">
        <f>H20/DAY(B2)</f>
        <v>231.48275862068965</v>
      </c>
      <c r="K20" s="79"/>
      <c r="L20" s="66"/>
      <c r="N20" s="87"/>
      <c r="O20" s="71"/>
    </row>
    <row r="21" spans="1:15" ht="29.25" x14ac:dyDescent="0.5">
      <c r="A21" s="795" t="s">
        <v>144</v>
      </c>
      <c r="B21" s="796"/>
      <c r="C21" s="79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0" t="s">
        <v>149</v>
      </c>
      <c r="B25" s="801"/>
      <c r="C25" s="80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23050</v>
      </c>
      <c r="F27" s="136">
        <v>9</v>
      </c>
      <c r="G27" s="137">
        <f>E27*F27</f>
        <v>207450</v>
      </c>
      <c r="H27" s="99">
        <f>G27+'28'!H27</f>
        <v>6105714.75</v>
      </c>
      <c r="I27" s="138"/>
      <c r="J27" s="175">
        <f>H27/DAY(B2)</f>
        <v>210541.88793103449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875</v>
      </c>
      <c r="F28" s="136">
        <v>52</v>
      </c>
      <c r="G28" s="137">
        <f>E28*F28</f>
        <v>45500</v>
      </c>
      <c r="H28" s="99">
        <f>G28+'28'!H28</f>
        <v>1425313.9159999955</v>
      </c>
      <c r="I28" s="140"/>
      <c r="J28" s="175">
        <f>H28/DAY(B2)</f>
        <v>49148.75572413778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G30+'28'!H30</f>
        <v>250098</v>
      </c>
      <c r="I30" s="140"/>
      <c r="J30" s="175">
        <f>H30/DAY(B2)</f>
        <v>8624.0689655172409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G31+'28'!H31</f>
        <v>400000</v>
      </c>
      <c r="I31" s="140"/>
      <c r="J31" s="175">
        <f>H31/DAY(B2)</f>
        <v>13793.103448275862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272910</v>
      </c>
      <c r="H32" s="99">
        <f>G32+'28'!H32</f>
        <v>8181126.6659999955</v>
      </c>
      <c r="I32" s="144"/>
      <c r="J32" s="175">
        <f>H32/DAY(B2)</f>
        <v>282107.81606896536</v>
      </c>
      <c r="K32" s="63"/>
      <c r="L32" s="89"/>
      <c r="N32" s="87"/>
      <c r="O32" s="71"/>
    </row>
    <row r="33" spans="1:15" ht="25.5" customHeight="1" x14ac:dyDescent="0.35">
      <c r="A33" s="803" t="s">
        <v>331</v>
      </c>
      <c r="B33" s="804"/>
      <c r="C33" s="804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'28'!F35</f>
        <v>1058597</v>
      </c>
      <c r="F35" s="145">
        <v>1058597</v>
      </c>
      <c r="G35" s="112">
        <f t="shared" ref="G35:G46" si="3">F35-E35</f>
        <v>0</v>
      </c>
      <c r="H35" s="99">
        <f>G35+'28'!H35</f>
        <v>2111685.6</v>
      </c>
      <c r="I35" s="95"/>
      <c r="J35" s="175">
        <f>H35/DAY(B2)</f>
        <v>72816.744827586212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'28'!F36</f>
        <v>1833</v>
      </c>
      <c r="F36" s="145">
        <v>1833</v>
      </c>
      <c r="G36" s="112">
        <f t="shared" si="3"/>
        <v>0</v>
      </c>
      <c r="H36" s="99">
        <f>G36+'28'!H36</f>
        <v>-57914.1</v>
      </c>
      <c r="I36" s="95"/>
      <c r="J36" s="175">
        <f>H36/DAY(B2)</f>
        <v>-1997.0379310344827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'28'!F37</f>
        <v>2775</v>
      </c>
      <c r="F37" s="145">
        <v>2775</v>
      </c>
      <c r="G37" s="112">
        <f t="shared" si="3"/>
        <v>0</v>
      </c>
      <c r="H37" s="99">
        <f>G37+'28'!H37</f>
        <v>-131866.87</v>
      </c>
      <c r="I37" s="95"/>
      <c r="J37" s="175">
        <f>H37/DAY(B2)</f>
        <v>-4547.1334482758621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'28'!F38</f>
        <v>4823</v>
      </c>
      <c r="F38" s="108">
        <v>4823</v>
      </c>
      <c r="G38" s="112">
        <f t="shared" si="3"/>
        <v>0</v>
      </c>
      <c r="H38" s="99">
        <f>G38+'28'!H38</f>
        <v>-137077.6</v>
      </c>
      <c r="I38" s="95"/>
      <c r="J38" s="175">
        <f>H38/DAY(B2)</f>
        <v>-4726.8137931034489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'28'!F39</f>
        <v>637915</v>
      </c>
      <c r="F39" s="145">
        <v>637915</v>
      </c>
      <c r="G39" s="112">
        <f t="shared" si="3"/>
        <v>0</v>
      </c>
      <c r="H39" s="99">
        <f>G39+'28'!H39</f>
        <v>958234.97</v>
      </c>
      <c r="I39" s="95"/>
      <c r="J39" s="175">
        <f>H39/DAY(B2)</f>
        <v>33042.58517241379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'28'!F40</f>
        <v>34599</v>
      </c>
      <c r="F40" s="145">
        <v>34599</v>
      </c>
      <c r="G40" s="112">
        <f t="shared" si="3"/>
        <v>0</v>
      </c>
      <c r="H40" s="99">
        <f>G40+'28'!H40</f>
        <v>69191.77</v>
      </c>
      <c r="I40" s="95"/>
      <c r="J40" s="175">
        <f>H40/DAY(B2)</f>
        <v>2385.9231034482759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'28'!F41</f>
        <v>433281.79</v>
      </c>
      <c r="F41" s="145">
        <v>433281.79</v>
      </c>
      <c r="G41" s="112">
        <f t="shared" si="3"/>
        <v>0</v>
      </c>
      <c r="H41" s="99">
        <f>G41+'28'!H41</f>
        <v>-177234.68000000011</v>
      </c>
      <c r="I41" s="95"/>
      <c r="J41" s="175">
        <f>H41/DAY(B2)</f>
        <v>-6111.5406896551758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'28'!F42</f>
        <v>175112</v>
      </c>
      <c r="F42" s="145">
        <v>175112</v>
      </c>
      <c r="G42" s="112">
        <f t="shared" si="3"/>
        <v>0</v>
      </c>
      <c r="H42" s="99">
        <f>G42+'28'!H42</f>
        <v>-162623.49</v>
      </c>
      <c r="I42" s="95"/>
      <c r="J42" s="175">
        <f>H42/DAY(B2)</f>
        <v>-5607.7065517241372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'28'!F43</f>
        <v>1289745</v>
      </c>
      <c r="F43" s="145">
        <v>1289745</v>
      </c>
      <c r="G43" s="112">
        <f t="shared" si="3"/>
        <v>0</v>
      </c>
      <c r="H43" s="99">
        <f>G43+'28'!H43</f>
        <v>-191251.19999999995</v>
      </c>
      <c r="I43" s="95"/>
      <c r="J43" s="175">
        <f>H43/DAY(B2)</f>
        <v>-6594.8689655172402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'28'!F45</f>
        <v>614</v>
      </c>
      <c r="F45" s="145">
        <v>614</v>
      </c>
      <c r="G45" s="112">
        <f t="shared" si="3"/>
        <v>0</v>
      </c>
      <c r="H45" s="99">
        <f>G45+'28'!H45</f>
        <v>1228</v>
      </c>
      <c r="I45" s="95"/>
      <c r="J45" s="175">
        <f>H45/DAY(B2)</f>
        <v>42.344827586206897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'28'!F46</f>
        <v>187</v>
      </c>
      <c r="F46" s="145">
        <v>187</v>
      </c>
      <c r="G46" s="112">
        <f t="shared" si="3"/>
        <v>0</v>
      </c>
      <c r="H46" s="99">
        <f>G46+'28'!H46</f>
        <v>374</v>
      </c>
      <c r="I46" s="95"/>
      <c r="J46" s="175">
        <f>H46/DAY(B2)</f>
        <v>12.896551724137931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0</v>
      </c>
      <c r="H47" s="99">
        <f>G47+'28'!H47</f>
        <v>2282746.4</v>
      </c>
      <c r="I47" s="95"/>
      <c r="J47" s="175">
        <f>H47/DAY(B2)</f>
        <v>78715.393103448267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'28'!F49</f>
        <v>419822</v>
      </c>
      <c r="F49" s="145">
        <v>419822</v>
      </c>
      <c r="G49" s="112">
        <f t="shared" ref="G49:G58" si="4">F49-E49</f>
        <v>0</v>
      </c>
      <c r="H49" s="99">
        <f>G49+'28'!H49</f>
        <v>596649.56000000006</v>
      </c>
      <c r="I49" s="95"/>
      <c r="J49" s="175">
        <f>H49/DAY(B2)</f>
        <v>20574.122758620691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'28'!F50</f>
        <v>607298</v>
      </c>
      <c r="F50" s="145">
        <v>607298</v>
      </c>
      <c r="G50" s="112">
        <f t="shared" si="4"/>
        <v>0</v>
      </c>
      <c r="H50" s="99">
        <f>G50+'28'!H50</f>
        <v>-93045.949999999953</v>
      </c>
      <c r="I50" s="95"/>
      <c r="J50" s="175">
        <f>H50/DAY(B2)</f>
        <v>-3208.481034482757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'28'!F51</f>
        <v>144640</v>
      </c>
      <c r="F51" s="145">
        <v>144640</v>
      </c>
      <c r="G51" s="112">
        <f t="shared" si="4"/>
        <v>0</v>
      </c>
      <c r="H51" s="99">
        <f>G51+'28'!H51</f>
        <v>289280</v>
      </c>
      <c r="I51" s="95"/>
      <c r="J51" s="175">
        <f>H51/DAY(B2)</f>
        <v>9975.1724137931033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'28'!F52</f>
        <v>539606</v>
      </c>
      <c r="F52" s="145">
        <v>539606</v>
      </c>
      <c r="G52" s="112">
        <f t="shared" si="4"/>
        <v>0</v>
      </c>
      <c r="H52" s="99">
        <f>G52+'28'!H52</f>
        <v>1079212</v>
      </c>
      <c r="I52" s="95"/>
      <c r="J52" s="175">
        <f>H52/DAY(B2)</f>
        <v>37214.206896551725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'28'!F53</f>
        <v>434232</v>
      </c>
      <c r="F53" s="145">
        <v>434232</v>
      </c>
      <c r="G53" s="112">
        <f t="shared" si="4"/>
        <v>0</v>
      </c>
      <c r="H53" s="99">
        <f>G53+'28'!H53</f>
        <v>868464</v>
      </c>
      <c r="I53" s="95"/>
      <c r="J53" s="175">
        <f>H53/DAY(B2)</f>
        <v>29947.03448275862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'28'!F54</f>
        <v>14967</v>
      </c>
      <c r="F54" s="145">
        <v>14967</v>
      </c>
      <c r="G54" s="112">
        <f t="shared" si="4"/>
        <v>0</v>
      </c>
      <c r="H54" s="99">
        <f>G54+'28'!H54</f>
        <v>24399.77</v>
      </c>
      <c r="I54" s="95"/>
      <c r="J54" s="175">
        <f>H54/DAY(B2)</f>
        <v>841.37137931034488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'28'!F55</f>
        <v>306268.99</v>
      </c>
      <c r="F55" s="145">
        <v>306268.99</v>
      </c>
      <c r="G55" s="112">
        <f t="shared" si="4"/>
        <v>0</v>
      </c>
      <c r="H55" s="99">
        <f>G55+'28'!H55</f>
        <v>-2059.4899999999907</v>
      </c>
      <c r="I55" s="95"/>
      <c r="J55" s="175">
        <f>H55/DAY(B2)</f>
        <v>-71.016896551723818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'28'!F56</f>
        <v>661019</v>
      </c>
      <c r="F56" s="145">
        <v>661019</v>
      </c>
      <c r="G56" s="112">
        <f t="shared" si="4"/>
        <v>0</v>
      </c>
      <c r="H56" s="99">
        <f>G56+'28'!H56</f>
        <v>-194032.55000000005</v>
      </c>
      <c r="I56" s="95"/>
      <c r="J56" s="175">
        <f>H56/DAY(B2)</f>
        <v>-6690.7775862068984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'28'!F57</f>
        <v>7711</v>
      </c>
      <c r="F57" s="145">
        <v>7711</v>
      </c>
      <c r="G57" s="112">
        <f t="shared" si="4"/>
        <v>0</v>
      </c>
      <c r="H57" s="99">
        <f>G57+'28'!H57</f>
        <v>15422</v>
      </c>
      <c r="I57" s="95"/>
      <c r="J57" s="175">
        <f>H57/DAY(B2)</f>
        <v>531.79310344827582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'28'!F58</f>
        <v>66014</v>
      </c>
      <c r="F58" s="145">
        <v>66014</v>
      </c>
      <c r="G58" s="112">
        <f t="shared" si="4"/>
        <v>0</v>
      </c>
      <c r="H58" s="99">
        <f>G58+'28'!H58</f>
        <v>-16060.800000000003</v>
      </c>
      <c r="I58" s="95"/>
      <c r="J58" s="175">
        <f>H58/DAY(B2)</f>
        <v>-553.82068965517249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0</v>
      </c>
      <c r="H59" s="99">
        <f>G59+'28'!H59</f>
        <v>2568228.54</v>
      </c>
      <c r="I59" s="95">
        <f>G7-G60</f>
        <v>23000</v>
      </c>
      <c r="J59" s="175">
        <f>H59/DAY(B2)</f>
        <v>88559.604827586212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0</v>
      </c>
      <c r="H60" s="99">
        <f>G60+'28'!H60</f>
        <v>4850974.9399999995</v>
      </c>
      <c r="I60" s="95">
        <f>G13-G60</f>
        <v>23000</v>
      </c>
      <c r="J60" s="175">
        <f>H60/DAY(B2)</f>
        <v>167274.99793103448</v>
      </c>
      <c r="K60" s="79"/>
      <c r="L60" s="66"/>
      <c r="N60" s="87"/>
      <c r="O60" s="71"/>
    </row>
    <row r="61" spans="1:15" s="68" customFormat="1" ht="27.75" x14ac:dyDescent="0.5">
      <c r="A61" s="805" t="s">
        <v>332</v>
      </c>
      <c r="B61" s="806"/>
      <c r="C61" s="807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1" t="s">
        <v>198</v>
      </c>
      <c r="B62" s="772"/>
      <c r="C62" s="773"/>
      <c r="D62" s="151" t="s">
        <v>142</v>
      </c>
      <c r="E62" s="95">
        <f>'28'!F62</f>
        <v>253452</v>
      </c>
      <c r="F62" s="122">
        <v>253452</v>
      </c>
      <c r="G62" s="112">
        <f t="shared" ref="G62:G63" si="5">F62-E62</f>
        <v>0</v>
      </c>
      <c r="H62" s="99">
        <f>G62+'28'!H62</f>
        <v>-7655</v>
      </c>
      <c r="I62" s="118"/>
      <c r="J62" s="175">
        <f>H62/DAY(B2)</f>
        <v>-263.9655172413793</v>
      </c>
      <c r="K62" s="80"/>
      <c r="L62" s="66"/>
      <c r="N62" s="87"/>
      <c r="O62" s="71"/>
    </row>
    <row r="63" spans="1:15" ht="27.75" x14ac:dyDescent="0.5">
      <c r="A63" s="771" t="s">
        <v>199</v>
      </c>
      <c r="B63" s="772"/>
      <c r="C63" s="773"/>
      <c r="D63" s="151" t="s">
        <v>142</v>
      </c>
      <c r="E63" s="95">
        <f>'28'!F63</f>
        <v>197659</v>
      </c>
      <c r="F63" s="122">
        <v>197659</v>
      </c>
      <c r="G63" s="112">
        <f t="shared" si="5"/>
        <v>0</v>
      </c>
      <c r="H63" s="99">
        <f>G63+'28'!H63</f>
        <v>-11970</v>
      </c>
      <c r="I63" s="118"/>
      <c r="J63" s="175">
        <f>H63/DAY(B2)</f>
        <v>-412.75862068965517</v>
      </c>
      <c r="K63" s="69"/>
      <c r="L63" s="66"/>
      <c r="N63" s="87"/>
      <c r="O63" s="71"/>
    </row>
    <row r="64" spans="1:15" ht="29.25" x14ac:dyDescent="0.5">
      <c r="A64" s="780" t="s">
        <v>200</v>
      </c>
      <c r="B64" s="781"/>
      <c r="C64" s="782"/>
      <c r="D64" s="151"/>
      <c r="E64" s="95">
        <f>'28'!F64</f>
        <v>0</v>
      </c>
      <c r="F64" s="122"/>
      <c r="G64" s="112">
        <f>G62+G63</f>
        <v>0</v>
      </c>
      <c r="H64" s="99">
        <f>G64+'28'!H64</f>
        <v>-19625</v>
      </c>
      <c r="I64" s="118"/>
      <c r="J64" s="175">
        <f>H64/DAY(B2)</f>
        <v>-676.72413793103453</v>
      </c>
      <c r="K64" s="69"/>
      <c r="L64" s="66"/>
      <c r="N64" s="87"/>
      <c r="O64" s="71"/>
    </row>
    <row r="65" spans="1:15" ht="27.75" x14ac:dyDescent="0.5">
      <c r="A65" s="771" t="s">
        <v>201</v>
      </c>
      <c r="B65" s="772"/>
      <c r="C65" s="773"/>
      <c r="D65" s="151" t="s">
        <v>142</v>
      </c>
      <c r="E65" s="95">
        <f>'28'!F65</f>
        <v>421019</v>
      </c>
      <c r="F65" s="122">
        <v>421019</v>
      </c>
      <c r="G65" s="112">
        <f t="shared" ref="G65:G70" si="6">F65-E65</f>
        <v>0</v>
      </c>
      <c r="H65" s="99">
        <f>G65+'28'!H65</f>
        <v>-6100</v>
      </c>
      <c r="I65" s="118"/>
      <c r="J65" s="175">
        <f>H65/DAY(B2)</f>
        <v>-210.34482758620689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'28'!F66</f>
        <v>104636</v>
      </c>
      <c r="F66" s="122">
        <v>104636</v>
      </c>
      <c r="G66" s="112">
        <f t="shared" si="6"/>
        <v>0</v>
      </c>
      <c r="H66" s="99">
        <f>G66+'28'!H66</f>
        <v>-1732</v>
      </c>
      <c r="I66" s="118"/>
      <c r="J66" s="175">
        <f>H66/DAY(B2)</f>
        <v>-59.724137931034484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'28'!F67</f>
        <v>100370</v>
      </c>
      <c r="F67" s="122">
        <v>100370</v>
      </c>
      <c r="G67" s="112">
        <f t="shared" si="6"/>
        <v>0</v>
      </c>
      <c r="H67" s="99">
        <f>G67+'28'!H67</f>
        <v>-2308</v>
      </c>
      <c r="I67" s="118"/>
      <c r="J67" s="175">
        <f>H67/DAY(B2)</f>
        <v>-79.58620689655173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'28'!F68</f>
        <v>152135</v>
      </c>
      <c r="F68" s="122">
        <v>152135</v>
      </c>
      <c r="G68" s="112">
        <f t="shared" si="6"/>
        <v>0</v>
      </c>
      <c r="H68" s="99">
        <f>G68+'28'!H68</f>
        <v>-2715</v>
      </c>
      <c r="I68" s="118"/>
      <c r="J68" s="175">
        <f>H68/DAY(B2)</f>
        <v>-93.620689655172413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'28'!F69</f>
        <v>8645</v>
      </c>
      <c r="F69" s="122">
        <v>8645</v>
      </c>
      <c r="G69" s="112">
        <f t="shared" si="6"/>
        <v>0</v>
      </c>
      <c r="H69" s="99">
        <f>G69+'28'!H69</f>
        <v>-1032</v>
      </c>
      <c r="I69" s="118"/>
      <c r="J69" s="175">
        <f>H69/DAY(B2)</f>
        <v>-35.586206896551722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'28'!F70</f>
        <v>6373</v>
      </c>
      <c r="F70" s="122">
        <v>6373</v>
      </c>
      <c r="G70" s="112">
        <f t="shared" si="6"/>
        <v>0</v>
      </c>
      <c r="H70" s="99">
        <f>G70+'28'!H70</f>
        <v>-1059</v>
      </c>
      <c r="I70" s="118"/>
      <c r="J70" s="175">
        <f>H70/DAY(B2)</f>
        <v>-36.517241379310342</v>
      </c>
      <c r="K70" s="69"/>
      <c r="L70" s="66"/>
      <c r="N70" s="87"/>
      <c r="O70" s="71"/>
    </row>
    <row r="71" spans="1:15" ht="29.25" x14ac:dyDescent="0.5">
      <c r="A71" s="780" t="s">
        <v>208</v>
      </c>
      <c r="B71" s="781"/>
      <c r="C71" s="782"/>
      <c r="D71" s="152"/>
      <c r="E71" s="95">
        <f>'28'!F71</f>
        <v>0</v>
      </c>
      <c r="F71" s="152"/>
      <c r="G71" s="153">
        <f>SUM(G65:G70)</f>
        <v>0</v>
      </c>
      <c r="H71" s="99">
        <f>G71+'28'!H71</f>
        <v>-14946</v>
      </c>
      <c r="I71" s="154"/>
      <c r="J71" s="175">
        <f>H71/DAY(B2)</f>
        <v>-515.37931034482756</v>
      </c>
      <c r="K71" s="69"/>
      <c r="L71" s="66"/>
      <c r="N71" s="87"/>
      <c r="O71" s="71"/>
    </row>
    <row r="72" spans="1:15" s="88" customFormat="1" ht="27.75" x14ac:dyDescent="0.5">
      <c r="A72" s="767"/>
      <c r="B72" s="752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77" t="s">
        <v>333</v>
      </c>
      <c r="B73" s="778"/>
      <c r="C73" s="779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1" t="s">
        <v>220</v>
      </c>
      <c r="B74" s="772"/>
      <c r="C74" s="773"/>
      <c r="D74" s="151" t="s">
        <v>139</v>
      </c>
      <c r="E74" s="95">
        <f>'28'!F74</f>
        <v>856352</v>
      </c>
      <c r="F74" s="117">
        <v>856352</v>
      </c>
      <c r="G74" s="112">
        <f t="shared" ref="G74:G78" si="7">F74-E74</f>
        <v>0</v>
      </c>
      <c r="H74" s="99">
        <f>G74+'28'!H74</f>
        <v>-21277.869999999995</v>
      </c>
      <c r="I74" s="154"/>
      <c r="J74" s="175">
        <f>H74/DAY(B2)</f>
        <v>-733.71965517241358</v>
      </c>
      <c r="K74" s="69"/>
      <c r="L74" s="66"/>
      <c r="N74" s="87"/>
      <c r="O74" s="71"/>
    </row>
    <row r="75" spans="1:15" ht="27.75" x14ac:dyDescent="0.5">
      <c r="A75" s="771" t="s">
        <v>221</v>
      </c>
      <c r="B75" s="772"/>
      <c r="C75" s="773"/>
      <c r="D75" s="151" t="s">
        <v>139</v>
      </c>
      <c r="E75" s="95">
        <f>'28'!F75</f>
        <v>73583.399999999994</v>
      </c>
      <c r="F75" s="123">
        <v>73583.399999999994</v>
      </c>
      <c r="G75" s="112">
        <f t="shared" si="7"/>
        <v>0</v>
      </c>
      <c r="H75" s="99">
        <f>G75+'28'!H75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68" t="s">
        <v>222</v>
      </c>
      <c r="B76" s="769"/>
      <c r="C76" s="770"/>
      <c r="D76" s="151" t="s">
        <v>139</v>
      </c>
      <c r="E76" s="95">
        <f>'28'!F76</f>
        <v>154077</v>
      </c>
      <c r="F76" s="123">
        <v>154077</v>
      </c>
      <c r="G76" s="112">
        <f t="shared" si="7"/>
        <v>0</v>
      </c>
      <c r="H76" s="99">
        <f>G76+'28'!H76</f>
        <v>-7237.9200000000128</v>
      </c>
      <c r="I76" s="154"/>
      <c r="J76" s="175">
        <f>H76/DAY(B2)</f>
        <v>-249.58344827586251</v>
      </c>
      <c r="K76" s="69"/>
      <c r="L76" s="66"/>
      <c r="N76" s="87"/>
      <c r="O76" s="71"/>
    </row>
    <row r="77" spans="1:15" ht="27.75" x14ac:dyDescent="0.5">
      <c r="A77" s="768" t="s">
        <v>223</v>
      </c>
      <c r="B77" s="769"/>
      <c r="C77" s="770"/>
      <c r="D77" s="151" t="s">
        <v>139</v>
      </c>
      <c r="E77" s="95">
        <f>'28'!F77</f>
        <v>34629</v>
      </c>
      <c r="F77" s="123">
        <v>34629</v>
      </c>
      <c r="G77" s="112">
        <f t="shared" si="7"/>
        <v>0</v>
      </c>
      <c r="H77" s="99">
        <f>G77+'28'!H77</f>
        <v>-3596.8000000000029</v>
      </c>
      <c r="I77" s="154"/>
      <c r="J77" s="175">
        <f>H77/DAY(B2)</f>
        <v>-124.02758620689666</v>
      </c>
      <c r="K77" s="69"/>
      <c r="L77" s="66"/>
      <c r="N77" s="87"/>
      <c r="O77" s="71"/>
    </row>
    <row r="78" spans="1:15" ht="27.75" x14ac:dyDescent="0.5">
      <c r="A78" s="768" t="s">
        <v>224</v>
      </c>
      <c r="B78" s="769"/>
      <c r="C78" s="770"/>
      <c r="D78" s="151" t="s">
        <v>139</v>
      </c>
      <c r="E78" s="95">
        <f>'28'!F78</f>
        <v>9180</v>
      </c>
      <c r="F78" s="123">
        <v>9180</v>
      </c>
      <c r="G78" s="112">
        <f t="shared" si="7"/>
        <v>0</v>
      </c>
      <c r="H78" s="99">
        <f>G78+'28'!H78</f>
        <v>-180.60000000000036</v>
      </c>
      <c r="I78" s="118"/>
      <c r="J78" s="175">
        <f>H78/DAY(B2)</f>
        <v>-6.2275862068965644</v>
      </c>
      <c r="K78" s="69"/>
      <c r="L78" s="66"/>
      <c r="N78" s="87"/>
      <c r="O78" s="71"/>
    </row>
    <row r="79" spans="1:15" s="57" customFormat="1" ht="27.75" x14ac:dyDescent="0.5">
      <c r="A79" s="768" t="s">
        <v>225</v>
      </c>
      <c r="B79" s="769"/>
      <c r="C79" s="770"/>
      <c r="D79" s="151"/>
      <c r="E79" s="95">
        <f>'28'!F79</f>
        <v>0</v>
      </c>
      <c r="F79" s="117"/>
      <c r="G79" s="112">
        <f>G15-SUM(G74:G78)</f>
        <v>875</v>
      </c>
      <c r="H79" s="99">
        <f>G79+'28'!H79</f>
        <v>59703.072999999924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0" t="s">
        <v>329</v>
      </c>
      <c r="B80" s="781"/>
      <c r="C80" s="782"/>
      <c r="D80" s="151"/>
      <c r="E80" s="117"/>
      <c r="F80" s="117"/>
      <c r="G80" s="112">
        <f>SUM(G74:G79)</f>
        <v>875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85" t="s">
        <v>226</v>
      </c>
      <c r="B81" s="786"/>
      <c r="C81" s="78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'28'!F82</f>
        <v>0</v>
      </c>
      <c r="F82" s="122"/>
      <c r="G82" s="112">
        <f t="shared" ref="G82:G92" si="8">F82-E82</f>
        <v>0</v>
      </c>
      <c r="H82" s="99">
        <f>G82+'28'!H82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'28'!F83</f>
        <v>0</v>
      </c>
      <c r="F83" s="122"/>
      <c r="G83" s="112">
        <f t="shared" si="8"/>
        <v>0</v>
      </c>
      <c r="H83" s="99">
        <f>G83+'28'!H83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'28'!F84</f>
        <v>40922</v>
      </c>
      <c r="F84" s="164">
        <v>40922</v>
      </c>
      <c r="G84" s="112">
        <f t="shared" si="8"/>
        <v>0</v>
      </c>
      <c r="H84" s="99">
        <f>G84+'28'!H84</f>
        <v>-774.19000000000233</v>
      </c>
      <c r="I84" s="118"/>
      <c r="J84" s="175">
        <f>H84/DAY(B2)</f>
        <v>-26.696206896551804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'28'!F85</f>
        <v>856</v>
      </c>
      <c r="F85" s="164">
        <v>856</v>
      </c>
      <c r="G85" s="112">
        <f t="shared" si="8"/>
        <v>0</v>
      </c>
      <c r="H85" s="99">
        <f>G85+'28'!H85</f>
        <v>-761.45</v>
      </c>
      <c r="I85" s="118">
        <f>G82+G83+G84+G85</f>
        <v>0</v>
      </c>
      <c r="J85" s="175">
        <f>H85/DAY(B2)</f>
        <v>-26.256896551724139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'28'!F86</f>
        <v>42822</v>
      </c>
      <c r="F86" s="164">
        <v>42822</v>
      </c>
      <c r="G86" s="112">
        <f t="shared" si="8"/>
        <v>0</v>
      </c>
      <c r="H86" s="99">
        <f>G86+'28'!H86</f>
        <v>-8.4700000000011642</v>
      </c>
      <c r="I86" s="118"/>
      <c r="J86" s="175">
        <f>H86/DAY(B2)</f>
        <v>-0.29206896551728151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'28'!F87</f>
        <v>32928</v>
      </c>
      <c r="F87" s="164">
        <v>32928</v>
      </c>
      <c r="G87" s="112">
        <f t="shared" si="8"/>
        <v>0</v>
      </c>
      <c r="H87" s="99">
        <f>G87+'28'!H87</f>
        <v>-921.2300000000032</v>
      </c>
      <c r="I87" s="118"/>
      <c r="J87" s="175">
        <f>H87/DAY(B2)</f>
        <v>-31.76655172413804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'28'!F88</f>
        <v>23356.43</v>
      </c>
      <c r="F88" s="164">
        <v>23356.43</v>
      </c>
      <c r="G88" s="112">
        <f t="shared" si="8"/>
        <v>0</v>
      </c>
      <c r="H88" s="99">
        <f>G88+'28'!H88</f>
        <v>-580.34000000000015</v>
      </c>
      <c r="I88" s="118">
        <f>G86+G87+G88</f>
        <v>0</v>
      </c>
      <c r="J88" s="175">
        <f>H88/DAY(B2)</f>
        <v>-20.01172413793104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'28'!F89</f>
        <v>25132.959999999999</v>
      </c>
      <c r="F89" s="164">
        <v>25132.959999999999</v>
      </c>
      <c r="G89" s="112">
        <f t="shared" si="8"/>
        <v>0</v>
      </c>
      <c r="H89" s="99">
        <f>G89+'28'!H89</f>
        <v>-163.57300000000032</v>
      </c>
      <c r="I89" s="118"/>
      <c r="J89" s="175">
        <f>H89/DAY(B2)</f>
        <v>-5.64044827586208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'28'!F90</f>
        <v>70524.55</v>
      </c>
      <c r="F90" s="164">
        <v>70524.55</v>
      </c>
      <c r="G90" s="112">
        <f t="shared" si="8"/>
        <v>0</v>
      </c>
      <c r="H90" s="99">
        <f>G90+'28'!H90</f>
        <v>-72.10999999998603</v>
      </c>
      <c r="I90" s="118">
        <f>G89+G90</f>
        <v>0</v>
      </c>
      <c r="J90" s="175">
        <f>H90/DAY(B2)</f>
        <v>-2.4865517241374495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'28'!F91</f>
        <v>2627.98</v>
      </c>
      <c r="F91" s="122">
        <v>2627.98</v>
      </c>
      <c r="G91" s="112">
        <f t="shared" si="8"/>
        <v>0</v>
      </c>
      <c r="H91" s="99">
        <f>G91+'28'!H91</f>
        <v>-779.37999999999965</v>
      </c>
      <c r="I91" s="165"/>
      <c r="J91" s="175">
        <f>H91/DAY(B2)</f>
        <v>-26.875172413793091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'28'!F92</f>
        <v>4754</v>
      </c>
      <c r="F92" s="122">
        <v>4754</v>
      </c>
      <c r="G92" s="112">
        <f t="shared" si="8"/>
        <v>0</v>
      </c>
      <c r="H92" s="99">
        <f>G92+'28'!H92</f>
        <v>-8.4600000000000364</v>
      </c>
      <c r="I92" s="165"/>
      <c r="J92" s="175">
        <f>H92/DAY(B2)</f>
        <v>-0.29172413793103574</v>
      </c>
      <c r="O92" s="71"/>
    </row>
    <row r="93" spans="1:15" ht="29.25" x14ac:dyDescent="0.5">
      <c r="A93" s="774" t="s">
        <v>239</v>
      </c>
      <c r="B93" s="775"/>
      <c r="C93" s="77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1" t="s">
        <v>240</v>
      </c>
      <c r="B94" s="772"/>
      <c r="C94" s="773"/>
      <c r="D94" s="151" t="s">
        <v>130</v>
      </c>
      <c r="E94" s="151"/>
      <c r="F94" s="151"/>
      <c r="G94" s="99">
        <f>G35+G43+G49+G57</f>
        <v>0</v>
      </c>
      <c r="H94" s="99">
        <f>G94+'28'!H94</f>
        <v>2532505.96</v>
      </c>
      <c r="I94" s="118"/>
      <c r="J94" s="175">
        <f>H94/DAY(B2)</f>
        <v>87327.791724137933</v>
      </c>
      <c r="K94" s="69"/>
      <c r="L94" s="66"/>
      <c r="O94" s="71"/>
    </row>
    <row r="95" spans="1:15" ht="27.75" x14ac:dyDescent="0.5">
      <c r="A95" s="771" t="s">
        <v>241</v>
      </c>
      <c r="B95" s="772"/>
      <c r="C95" s="773"/>
      <c r="D95" s="151" t="s">
        <v>23</v>
      </c>
      <c r="E95" s="146"/>
      <c r="F95" s="146"/>
      <c r="G95" s="166">
        <f>G94/G7</f>
        <v>0</v>
      </c>
      <c r="H95" s="99">
        <f>G95+'28'!H95</f>
        <v>110.05863639047362</v>
      </c>
      <c r="I95" s="167"/>
      <c r="J95" s="175">
        <f>H95/DAY(B2)</f>
        <v>3.7951253927749526</v>
      </c>
      <c r="K95" s="69"/>
      <c r="L95" s="66"/>
      <c r="O95" s="71"/>
    </row>
    <row r="96" spans="1:15" ht="27.75" x14ac:dyDescent="0.5">
      <c r="A96" s="771" t="s">
        <v>242</v>
      </c>
      <c r="B96" s="772"/>
      <c r="C96" s="773"/>
      <c r="D96" s="151" t="s">
        <v>130</v>
      </c>
      <c r="E96" s="95"/>
      <c r="F96" s="95"/>
      <c r="G96" s="99">
        <f>G41+G42+G55+G56</f>
        <v>0</v>
      </c>
      <c r="H96" s="99">
        <f>G96+'28'!H96</f>
        <v>-535950.2100000002</v>
      </c>
      <c r="I96" s="118"/>
      <c r="J96" s="175">
        <f>H96/DAY(B2)</f>
        <v>-18481.041724137936</v>
      </c>
      <c r="K96" s="69"/>
      <c r="L96" s="66"/>
      <c r="O96" s="71"/>
    </row>
    <row r="97" spans="1:15" ht="27.75" x14ac:dyDescent="0.5">
      <c r="A97" s="771" t="s">
        <v>243</v>
      </c>
      <c r="B97" s="772"/>
      <c r="C97" s="773"/>
      <c r="D97" s="151" t="s">
        <v>23</v>
      </c>
      <c r="E97" s="95"/>
      <c r="F97" s="95"/>
      <c r="G97" s="166">
        <f>G96/G7</f>
        <v>0</v>
      </c>
      <c r="H97" s="99">
        <f>G97+'28'!H97</f>
        <v>-23.376968076147254</v>
      </c>
      <c r="I97" s="167"/>
      <c r="J97" s="175">
        <f>H97/DAY(B2)</f>
        <v>-0.80610234745335352</v>
      </c>
      <c r="K97" s="69"/>
      <c r="L97" s="66"/>
      <c r="O97" s="71"/>
    </row>
    <row r="98" spans="1:15" ht="27.75" x14ac:dyDescent="0.5">
      <c r="A98" s="771" t="s">
        <v>244</v>
      </c>
      <c r="B98" s="772"/>
      <c r="C98" s="773"/>
      <c r="D98" s="151" t="s">
        <v>130</v>
      </c>
      <c r="E98" s="95"/>
      <c r="F98" s="95"/>
      <c r="G98" s="99">
        <f>G39+G53</f>
        <v>0</v>
      </c>
      <c r="H98" s="99">
        <f>G98+'28'!H98</f>
        <v>1826698.97</v>
      </c>
      <c r="I98" s="168"/>
      <c r="J98" s="175">
        <f>H98/DAY(B2)</f>
        <v>62989.619655172413</v>
      </c>
      <c r="K98" s="69"/>
      <c r="L98" s="66"/>
      <c r="O98" s="71"/>
    </row>
    <row r="99" spans="1:15" ht="27.75" x14ac:dyDescent="0.5">
      <c r="A99" s="771" t="s">
        <v>245</v>
      </c>
      <c r="B99" s="772"/>
      <c r="C99" s="773"/>
      <c r="D99" s="151" t="s">
        <v>23</v>
      </c>
      <c r="E99" s="95"/>
      <c r="F99" s="95"/>
      <c r="G99" s="166">
        <f>G98/G7</f>
        <v>0</v>
      </c>
      <c r="H99" s="99">
        <f>G99+'28'!H99</f>
        <v>79.385711690839827</v>
      </c>
      <c r="I99" s="168"/>
      <c r="J99" s="175">
        <f>H99/DAY(B2)</f>
        <v>2.7374383341668906</v>
      </c>
      <c r="O99" s="71"/>
    </row>
    <row r="100" spans="1:15" ht="27.75" x14ac:dyDescent="0.5">
      <c r="A100" s="771" t="s">
        <v>246</v>
      </c>
      <c r="B100" s="772"/>
      <c r="C100" s="773"/>
      <c r="D100" s="151" t="s">
        <v>180</v>
      </c>
      <c r="E100" s="95"/>
      <c r="F100" s="95"/>
      <c r="G100" s="99">
        <f>G38+G52</f>
        <v>0</v>
      </c>
      <c r="H100" s="99">
        <f>G100+'28'!H100</f>
        <v>942134.4</v>
      </c>
      <c r="I100" s="118"/>
      <c r="J100" s="175">
        <f>H100/DAY(B2)</f>
        <v>32487.393103448278</v>
      </c>
      <c r="K100" s="70"/>
      <c r="O100" s="71"/>
    </row>
    <row r="101" spans="1:15" ht="27.75" x14ac:dyDescent="0.5">
      <c r="A101" s="771" t="s">
        <v>247</v>
      </c>
      <c r="B101" s="772"/>
      <c r="C101" s="773"/>
      <c r="D101" s="151" t="s">
        <v>23</v>
      </c>
      <c r="E101" s="95"/>
      <c r="F101" s="95"/>
      <c r="G101" s="166">
        <f>G100/G7</f>
        <v>0</v>
      </c>
      <c r="H101" s="99">
        <f>G101+'28'!H101</f>
        <v>40.946365636236884</v>
      </c>
      <c r="I101" s="168"/>
      <c r="J101" s="175">
        <f>H101/DAY(B2)</f>
        <v>1.4119436426288581</v>
      </c>
      <c r="O101" s="71"/>
    </row>
    <row r="102" spans="1:15" ht="27.75" x14ac:dyDescent="0.5">
      <c r="A102" s="771" t="s">
        <v>248</v>
      </c>
      <c r="B102" s="772"/>
      <c r="C102" s="773"/>
      <c r="D102" s="151" t="s">
        <v>180</v>
      </c>
      <c r="E102" s="95"/>
      <c r="F102" s="95"/>
      <c r="G102" s="99">
        <f>G36+G50</f>
        <v>0</v>
      </c>
      <c r="H102" s="99">
        <f>G102+'28'!H102</f>
        <v>-150960.04999999996</v>
      </c>
      <c r="I102" s="168"/>
      <c r="J102" s="175">
        <f>H102/DAY(B2)</f>
        <v>-5205.5189655172398</v>
      </c>
      <c r="O102" s="71"/>
    </row>
    <row r="103" spans="1:15" ht="27.75" x14ac:dyDescent="0.5">
      <c r="A103" s="771" t="s">
        <v>249</v>
      </c>
      <c r="B103" s="772"/>
      <c r="C103" s="773"/>
      <c r="D103" s="151" t="s">
        <v>23</v>
      </c>
      <c r="E103" s="95"/>
      <c r="F103" s="95"/>
      <c r="G103" s="166">
        <f>G102/G7</f>
        <v>0</v>
      </c>
      <c r="H103" s="99">
        <f>G103+'28'!H103</f>
        <v>-6.5833689420489332</v>
      </c>
      <c r="I103" s="118"/>
      <c r="J103" s="175">
        <f>H103/DAY(B2)</f>
        <v>-0.22701272213961837</v>
      </c>
      <c r="O103" s="71"/>
    </row>
    <row r="104" spans="1:15" ht="27.75" x14ac:dyDescent="0.5">
      <c r="A104" s="771" t="s">
        <v>250</v>
      </c>
      <c r="B104" s="772"/>
      <c r="C104" s="773"/>
      <c r="D104" s="151" t="s">
        <v>180</v>
      </c>
      <c r="E104" s="95"/>
      <c r="F104" s="95"/>
      <c r="G104" s="99">
        <f>G37+G51</f>
        <v>0</v>
      </c>
      <c r="H104" s="99">
        <f>G104+'28'!H104</f>
        <v>157413.13</v>
      </c>
      <c r="I104" s="118"/>
      <c r="J104" s="175">
        <f>H104/DAY(B2)</f>
        <v>5428.0389655172412</v>
      </c>
      <c r="O104" s="71"/>
    </row>
    <row r="105" spans="1:15" ht="28.5" thickBot="1" x14ac:dyDescent="0.55000000000000004">
      <c r="A105" s="764" t="s">
        <v>251</v>
      </c>
      <c r="B105" s="765"/>
      <c r="C105" s="766"/>
      <c r="D105" s="231" t="s">
        <v>23</v>
      </c>
      <c r="E105" s="185"/>
      <c r="F105" s="185"/>
      <c r="G105" s="186">
        <f>G104/G7</f>
        <v>0</v>
      </c>
      <c r="H105" s="99">
        <f>G105+'28'!H105</f>
        <v>6.8301240046325189</v>
      </c>
      <c r="I105" s="187"/>
      <c r="J105" s="188">
        <f>H105/DAY(B2)</f>
        <v>0.23552151740112134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0" t="s">
        <v>324</v>
      </c>
      <c r="B108" s="760"/>
      <c r="C108" s="760"/>
      <c r="D108" s="760"/>
      <c r="E108" s="760"/>
      <c r="F108" s="760"/>
      <c r="G108" s="760"/>
      <c r="H108" s="760"/>
      <c r="I108" s="760"/>
      <c r="J108" s="760"/>
    </row>
    <row r="109" spans="1:15" ht="29.25" x14ac:dyDescent="0.5">
      <c r="A109" s="788"/>
      <c r="B109" s="788"/>
    </row>
    <row r="110" spans="1:15" ht="29.25" x14ac:dyDescent="0.5">
      <c r="A110" s="761" t="s">
        <v>165</v>
      </c>
      <c r="B110" s="762"/>
      <c r="C110" s="762"/>
      <c r="D110" s="762"/>
      <c r="E110" s="762"/>
      <c r="F110" s="762"/>
      <c r="G110" s="762"/>
      <c r="H110" s="762"/>
      <c r="I110" s="762"/>
      <c r="J110" s="763"/>
    </row>
    <row r="111" spans="1:15" ht="27.75" x14ac:dyDescent="0.5">
      <c r="A111" s="753"/>
      <c r="B111" s="754"/>
      <c r="C111" s="755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0" t="s">
        <v>252</v>
      </c>
      <c r="B112" s="751"/>
      <c r="C112" s="752"/>
      <c r="D112" s="146" t="s">
        <v>183</v>
      </c>
      <c r="E112" s="95">
        <f>'28'!F112</f>
        <v>38434</v>
      </c>
      <c r="F112" s="237">
        <v>38434</v>
      </c>
      <c r="G112" s="112">
        <f t="shared" ref="G112:G123" si="9">F112-E112</f>
        <v>0</v>
      </c>
      <c r="H112" s="99">
        <f>G112+'28'!H112</f>
        <v>-21107.82</v>
      </c>
      <c r="I112" s="165"/>
      <c r="J112" s="348">
        <f>H112/DAY(B2)</f>
        <v>-727.85586206896551</v>
      </c>
    </row>
    <row r="113" spans="1:18" ht="27.75" x14ac:dyDescent="0.5">
      <c r="A113" s="750" t="s">
        <v>253</v>
      </c>
      <c r="B113" s="751"/>
      <c r="C113" s="752"/>
      <c r="D113" s="146" t="s">
        <v>183</v>
      </c>
      <c r="E113" s="95">
        <f>'28'!F113</f>
        <v>94790</v>
      </c>
      <c r="F113" s="237">
        <v>94790</v>
      </c>
      <c r="G113" s="112">
        <f t="shared" si="9"/>
        <v>0</v>
      </c>
      <c r="H113" s="99">
        <f>G113+'28'!H113</f>
        <v>-119257.45000000001</v>
      </c>
      <c r="I113" s="165"/>
      <c r="J113" s="348">
        <f>H113/DAY(B2)</f>
        <v>-4112.3258620689658</v>
      </c>
    </row>
    <row r="114" spans="1:18" ht="27.75" x14ac:dyDescent="0.5">
      <c r="A114" s="750" t="s">
        <v>254</v>
      </c>
      <c r="B114" s="751"/>
      <c r="C114" s="752"/>
      <c r="D114" s="146" t="s">
        <v>183</v>
      </c>
      <c r="E114" s="95">
        <f>'28'!F114</f>
        <v>44933</v>
      </c>
      <c r="F114" s="237">
        <v>44933</v>
      </c>
      <c r="G114" s="112">
        <f t="shared" si="9"/>
        <v>0</v>
      </c>
      <c r="H114" s="99">
        <f>G114+'28'!H114</f>
        <v>92743.9</v>
      </c>
      <c r="I114" s="165"/>
      <c r="J114" s="348">
        <f>H114/DAY(B2)</f>
        <v>3198.065517241379</v>
      </c>
    </row>
    <row r="115" spans="1:18" ht="27.75" x14ac:dyDescent="0.5">
      <c r="A115" s="750" t="s">
        <v>255</v>
      </c>
      <c r="B115" s="751"/>
      <c r="C115" s="752"/>
      <c r="D115" s="146" t="s">
        <v>183</v>
      </c>
      <c r="E115" s="95">
        <f>'28'!F115</f>
        <v>6560</v>
      </c>
      <c r="F115" s="237">
        <v>6560</v>
      </c>
      <c r="G115" s="112">
        <f t="shared" si="9"/>
        <v>0</v>
      </c>
      <c r="H115" s="99">
        <f>G115+'28'!H115</f>
        <v>-2561.4399999999996</v>
      </c>
      <c r="I115" s="165"/>
      <c r="J115" s="348">
        <f>H115/DAY(B2)</f>
        <v>-88.325517241379302</v>
      </c>
    </row>
    <row r="116" spans="1:18" ht="27.75" x14ac:dyDescent="0.5">
      <c r="A116" s="757" t="s">
        <v>96</v>
      </c>
      <c r="B116" s="758"/>
      <c r="C116" s="759"/>
      <c r="D116" s="146" t="s">
        <v>183</v>
      </c>
      <c r="E116" s="95">
        <f>'28'!F116</f>
        <v>44933</v>
      </c>
      <c r="F116" s="237">
        <v>44933</v>
      </c>
      <c r="G116" s="112">
        <f t="shared" si="9"/>
        <v>0</v>
      </c>
      <c r="H116" s="99">
        <f>G116+'28'!H116</f>
        <v>89866</v>
      </c>
      <c r="I116" s="165"/>
      <c r="J116" s="348">
        <f>H116/DAY(B2)</f>
        <v>3098.8275862068967</v>
      </c>
      <c r="Q116" s="750" t="s">
        <v>311</v>
      </c>
      <c r="R116" s="752"/>
    </row>
    <row r="117" spans="1:18" ht="27.75" x14ac:dyDescent="0.5">
      <c r="A117" s="757" t="s">
        <v>184</v>
      </c>
      <c r="B117" s="758"/>
      <c r="C117" s="759"/>
      <c r="D117" s="146" t="s">
        <v>183</v>
      </c>
      <c r="E117" s="95">
        <f>'28'!F117</f>
        <v>44933</v>
      </c>
      <c r="F117" s="237">
        <v>44933</v>
      </c>
      <c r="G117" s="112">
        <f t="shared" si="9"/>
        <v>0</v>
      </c>
      <c r="H117" s="99">
        <f>G117+'28'!H117</f>
        <v>88625.98000000001</v>
      </c>
      <c r="I117" s="165"/>
      <c r="J117" s="348">
        <f>H117/DAY(B2)</f>
        <v>3056.0682758620692</v>
      </c>
      <c r="Q117" s="750" t="s">
        <v>312</v>
      </c>
      <c r="R117" s="752"/>
    </row>
    <row r="118" spans="1:18" ht="27.75" x14ac:dyDescent="0.5">
      <c r="A118" s="749" t="s">
        <v>97</v>
      </c>
      <c r="B118" s="749"/>
      <c r="C118" s="749"/>
      <c r="D118" s="151" t="s">
        <v>183</v>
      </c>
      <c r="E118" s="95">
        <f>'28'!F118</f>
        <v>44933</v>
      </c>
      <c r="F118" s="237">
        <v>44933</v>
      </c>
      <c r="G118" s="112">
        <f t="shared" si="9"/>
        <v>0</v>
      </c>
      <c r="H118" s="99">
        <f>G118+'28'!H118</f>
        <v>-330033.39</v>
      </c>
      <c r="I118" s="165"/>
      <c r="J118" s="348">
        <f>H118/DAY(B2)</f>
        <v>-11380.461724137931</v>
      </c>
      <c r="Q118" s="750" t="s">
        <v>311</v>
      </c>
      <c r="R118" s="752"/>
    </row>
    <row r="119" spans="1:18" ht="27.75" x14ac:dyDescent="0.5">
      <c r="A119" s="749" t="s">
        <v>98</v>
      </c>
      <c r="B119" s="749"/>
      <c r="C119" s="749"/>
      <c r="D119" s="151" t="s">
        <v>183</v>
      </c>
      <c r="E119" s="95">
        <f>'28'!F119</f>
        <v>44933</v>
      </c>
      <c r="F119" s="237">
        <v>44933</v>
      </c>
      <c r="G119" s="112">
        <f t="shared" si="9"/>
        <v>0</v>
      </c>
      <c r="H119" s="99">
        <f>G119+'28'!H119</f>
        <v>-329315.05</v>
      </c>
      <c r="I119" s="165"/>
      <c r="J119" s="348">
        <f>H119/DAY(B2)</f>
        <v>-11355.691379310345</v>
      </c>
    </row>
    <row r="120" spans="1:18" ht="27.75" x14ac:dyDescent="0.5">
      <c r="A120" s="749" t="s">
        <v>99</v>
      </c>
      <c r="B120" s="749"/>
      <c r="C120" s="749"/>
      <c r="D120" s="151" t="s">
        <v>183</v>
      </c>
      <c r="E120" s="95">
        <f>'28'!F120</f>
        <v>44933</v>
      </c>
      <c r="F120" s="237">
        <v>44933</v>
      </c>
      <c r="G120" s="112">
        <f t="shared" si="9"/>
        <v>0</v>
      </c>
      <c r="H120" s="99">
        <f>G120+'28'!H120</f>
        <v>71927.510000000009</v>
      </c>
      <c r="I120" s="165"/>
      <c r="J120" s="348">
        <f>H120/DAY(B2)</f>
        <v>2480.2589655172419</v>
      </c>
    </row>
    <row r="121" spans="1:18" ht="27.75" x14ac:dyDescent="0.5">
      <c r="A121" s="749" t="s">
        <v>100</v>
      </c>
      <c r="B121" s="749"/>
      <c r="C121" s="749"/>
      <c r="D121" s="151" t="s">
        <v>183</v>
      </c>
      <c r="E121" s="95">
        <f>'28'!F121</f>
        <v>44933</v>
      </c>
      <c r="F121" s="237">
        <v>44933</v>
      </c>
      <c r="G121" s="112">
        <f t="shared" si="9"/>
        <v>0</v>
      </c>
      <c r="H121" s="99">
        <f>G121+'28'!H121</f>
        <v>-541106.63</v>
      </c>
      <c r="I121" s="165"/>
      <c r="J121" s="348">
        <f>H121/DAY(B2)</f>
        <v>-18658.849310344827</v>
      </c>
    </row>
    <row r="122" spans="1:18" ht="27.75" x14ac:dyDescent="0.5">
      <c r="A122" s="749" t="s">
        <v>101</v>
      </c>
      <c r="B122" s="749"/>
      <c r="C122" s="749"/>
      <c r="D122" s="151" t="s">
        <v>183</v>
      </c>
      <c r="E122" s="95">
        <f>'28'!F122</f>
        <v>44933</v>
      </c>
      <c r="F122" s="237">
        <v>44933</v>
      </c>
      <c r="G122" s="112">
        <f t="shared" si="9"/>
        <v>0</v>
      </c>
      <c r="H122" s="99">
        <f>G122+'28'!H122</f>
        <v>-98745.64</v>
      </c>
      <c r="I122" s="165"/>
      <c r="J122" s="348">
        <f>H122/DAY(B2)</f>
        <v>-3405.0220689655171</v>
      </c>
    </row>
    <row r="123" spans="1:18" ht="27.75" x14ac:dyDescent="0.5">
      <c r="A123" s="749" t="s">
        <v>102</v>
      </c>
      <c r="B123" s="749"/>
      <c r="C123" s="749"/>
      <c r="D123" s="151" t="s">
        <v>183</v>
      </c>
      <c r="E123" s="95">
        <f>'28'!F123</f>
        <v>44933</v>
      </c>
      <c r="F123" s="237">
        <v>44933</v>
      </c>
      <c r="G123" s="112">
        <f t="shared" si="9"/>
        <v>0</v>
      </c>
      <c r="H123" s="99">
        <f>G123+'28'!H123</f>
        <v>-146917.34</v>
      </c>
      <c r="I123" s="165"/>
      <c r="J123" s="348">
        <f>H123/DAY(B2)</f>
        <v>-5066.1151724137926</v>
      </c>
    </row>
    <row r="124" spans="1:18" ht="27.75" x14ac:dyDescent="0.5">
      <c r="A124" s="753"/>
      <c r="B124" s="754"/>
      <c r="C124" s="755"/>
      <c r="D124" s="165"/>
      <c r="E124" s="95">
        <f>'28'!F124</f>
        <v>0</v>
      </c>
      <c r="F124" s="165"/>
      <c r="G124" s="347"/>
      <c r="H124" s="99">
        <f>G124+'28'!H124</f>
        <v>0</v>
      </c>
      <c r="I124" s="165"/>
      <c r="J124" s="347"/>
    </row>
    <row r="125" spans="1:18" ht="27.75" x14ac:dyDescent="0.5">
      <c r="A125" s="737"/>
      <c r="B125" s="737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56" t="s">
        <v>317</v>
      </c>
      <c r="B126" s="756"/>
      <c r="C126" s="756"/>
      <c r="D126" s="756"/>
      <c r="E126" s="756"/>
      <c r="F126" s="756"/>
      <c r="G126" s="756"/>
      <c r="H126" s="756"/>
      <c r="I126" s="756"/>
      <c r="J126" s="756"/>
    </row>
    <row r="127" spans="1:18" ht="27.75" x14ac:dyDescent="0.5">
      <c r="A127" s="737"/>
      <c r="B127" s="737"/>
      <c r="C127" s="246"/>
      <c r="D127" s="317"/>
      <c r="E127" s="318"/>
      <c r="F127" s="318"/>
      <c r="G127" s="319"/>
      <c r="H127" s="99">
        <f>G127+'28'!H127</f>
        <v>0</v>
      </c>
      <c r="I127" s="165"/>
      <c r="J127" s="348">
        <f>H127/DAY(B2)</f>
        <v>0</v>
      </c>
    </row>
    <row r="128" spans="1:18" ht="27.75" x14ac:dyDescent="0.5">
      <c r="A128" s="750" t="s">
        <v>318</v>
      </c>
      <c r="B128" s="751"/>
      <c r="C128" s="752"/>
      <c r="D128" s="151" t="s">
        <v>183</v>
      </c>
      <c r="E128" s="95">
        <f>'28'!F128</f>
        <v>0</v>
      </c>
      <c r="F128" s="165"/>
      <c r="G128" s="112">
        <f t="shared" ref="G128:G134" si="10">F128-E128</f>
        <v>0</v>
      </c>
      <c r="H128" s="99">
        <f>G128+'28'!H128</f>
        <v>-20837.400000000001</v>
      </c>
      <c r="I128" s="165"/>
      <c r="J128" s="348">
        <f>H128/DAY(B2)</f>
        <v>-718.53103448275863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'28'!F129</f>
        <v>0</v>
      </c>
      <c r="F129" s="165"/>
      <c r="G129" s="112">
        <f t="shared" si="10"/>
        <v>0</v>
      </c>
      <c r="H129" s="99">
        <f>G129+'28'!H129</f>
        <v>-3767.84</v>
      </c>
      <c r="I129" s="165"/>
      <c r="J129" s="348">
        <f>H129/DAY(B2)</f>
        <v>-129.92551724137931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'28'!F130</f>
        <v>0</v>
      </c>
      <c r="F130" s="165"/>
      <c r="G130" s="112">
        <f t="shared" si="10"/>
        <v>0</v>
      </c>
      <c r="H130" s="99">
        <f>G130+'28'!H130</f>
        <v>-4439.2299999999996</v>
      </c>
      <c r="I130" s="165"/>
      <c r="J130" s="348">
        <f>H130/DAY(B2)</f>
        <v>-153.07689655172413</v>
      </c>
      <c r="N130" s="240"/>
      <c r="O130" s="241"/>
    </row>
    <row r="131" spans="1:15" ht="27.75" x14ac:dyDescent="0.5">
      <c r="A131" s="750" t="s">
        <v>321</v>
      </c>
      <c r="B131" s="751"/>
      <c r="C131" s="752"/>
      <c r="D131" s="151" t="s">
        <v>183</v>
      </c>
      <c r="E131" s="95">
        <f>'28'!F131</f>
        <v>0</v>
      </c>
      <c r="F131" s="165"/>
      <c r="G131" s="112">
        <f t="shared" si="10"/>
        <v>0</v>
      </c>
      <c r="H131" s="99">
        <f>G131+'28'!H131</f>
        <v>-2311.35</v>
      </c>
      <c r="I131" s="165"/>
      <c r="J131" s="348">
        <f>H131/DAY(B2)</f>
        <v>-79.701724137931038</v>
      </c>
      <c r="N131" s="240"/>
      <c r="O131" s="241"/>
    </row>
    <row r="132" spans="1:15" ht="27.75" x14ac:dyDescent="0.5">
      <c r="A132" s="750" t="s">
        <v>322</v>
      </c>
      <c r="B132" s="751"/>
      <c r="C132" s="752"/>
      <c r="D132" s="151" t="s">
        <v>183</v>
      </c>
      <c r="E132" s="95">
        <f>'28'!F132</f>
        <v>0</v>
      </c>
      <c r="F132" s="165"/>
      <c r="G132" s="112">
        <f t="shared" si="10"/>
        <v>0</v>
      </c>
      <c r="H132" s="99">
        <f>G132+'28'!H132</f>
        <v>-7246.7</v>
      </c>
      <c r="I132" s="165"/>
      <c r="J132" s="348">
        <f>H132/DAY(B2)</f>
        <v>-249.88620689655173</v>
      </c>
    </row>
    <row r="133" spans="1:15" ht="27.75" x14ac:dyDescent="0.5">
      <c r="A133" s="750" t="s">
        <v>323</v>
      </c>
      <c r="B133" s="751"/>
      <c r="C133" s="752"/>
      <c r="D133" s="151" t="s">
        <v>183</v>
      </c>
      <c r="E133" s="95">
        <f>'28'!F133</f>
        <v>0</v>
      </c>
      <c r="F133" s="165"/>
      <c r="G133" s="112">
        <f t="shared" si="10"/>
        <v>0</v>
      </c>
      <c r="H133" s="99">
        <f>G133+'28'!H133</f>
        <v>-45947.5</v>
      </c>
      <c r="I133" s="165"/>
      <c r="J133" s="348">
        <f>H133/DAY(B2)</f>
        <v>-1584.3965517241379</v>
      </c>
    </row>
    <row r="134" spans="1:15" ht="27.75" x14ac:dyDescent="0.5">
      <c r="A134" s="750" t="s">
        <v>340</v>
      </c>
      <c r="B134" s="751"/>
      <c r="C134" s="752"/>
      <c r="D134" s="151" t="s">
        <v>183</v>
      </c>
      <c r="E134" s="95">
        <f>'28'!F134</f>
        <v>0</v>
      </c>
      <c r="F134" s="165"/>
      <c r="G134" s="112">
        <f t="shared" si="10"/>
        <v>0</v>
      </c>
      <c r="H134" s="99">
        <f>G134+'28'!H134</f>
        <v>-1237706</v>
      </c>
      <c r="I134" s="165"/>
      <c r="J134" s="348">
        <f>H134/DAY(B2)</f>
        <v>-42679.517241379312</v>
      </c>
    </row>
    <row r="135" spans="1:15" ht="27.75" x14ac:dyDescent="0.5">
      <c r="A135" s="753"/>
      <c r="B135" s="754"/>
      <c r="C135" s="755"/>
      <c r="D135" s="151"/>
      <c r="E135" s="95"/>
      <c r="F135" s="165"/>
      <c r="G135" s="112"/>
      <c r="H135" s="99">
        <f>G135+'23'!H135</f>
        <v>5534.2300000000005</v>
      </c>
      <c r="I135" s="165"/>
      <c r="J135" s="348"/>
    </row>
    <row r="136" spans="1:15" ht="31.5" x14ac:dyDescent="0.55000000000000004">
      <c r="A136" s="736" t="s">
        <v>325</v>
      </c>
      <c r="B136" s="736"/>
      <c r="C136" s="736"/>
      <c r="D136" s="736"/>
      <c r="E136" s="736"/>
      <c r="F136" s="736"/>
      <c r="G136" s="736"/>
      <c r="H136" s="736"/>
      <c r="I136" s="736"/>
      <c r="J136" s="736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49" t="s">
        <v>185</v>
      </c>
      <c r="B138" s="749"/>
      <c r="C138" s="749"/>
      <c r="D138" s="151" t="s">
        <v>183</v>
      </c>
      <c r="E138" s="95">
        <f>'28'!F138</f>
        <v>857022</v>
      </c>
      <c r="F138" s="147">
        <v>857022</v>
      </c>
      <c r="G138" s="112">
        <f t="shared" ref="G138:G152" si="11">F138-E138</f>
        <v>0</v>
      </c>
      <c r="H138" s="99">
        <f>G138+'28'!H138</f>
        <v>-2046</v>
      </c>
      <c r="I138" s="118"/>
      <c r="J138" s="348">
        <f>H138/DAY(B2)</f>
        <v>-70.551724137931032</v>
      </c>
    </row>
    <row r="139" spans="1:15" ht="27.75" x14ac:dyDescent="0.5">
      <c r="A139" s="749" t="s">
        <v>186</v>
      </c>
      <c r="B139" s="749"/>
      <c r="C139" s="749"/>
      <c r="D139" s="151" t="s">
        <v>183</v>
      </c>
      <c r="E139" s="95">
        <f>'28'!F139</f>
        <v>886051</v>
      </c>
      <c r="F139" s="148">
        <v>886051</v>
      </c>
      <c r="G139" s="112">
        <f t="shared" si="11"/>
        <v>0</v>
      </c>
      <c r="H139" s="99">
        <f>G139+'28'!H139</f>
        <v>-33</v>
      </c>
      <c r="I139" s="118"/>
      <c r="J139" s="348">
        <f>H139/DAY(B2)</f>
        <v>-1.1379310344827587</v>
      </c>
    </row>
    <row r="140" spans="1:15" ht="27.75" x14ac:dyDescent="0.5">
      <c r="A140" s="749" t="s">
        <v>187</v>
      </c>
      <c r="B140" s="749"/>
      <c r="C140" s="749"/>
      <c r="D140" s="151" t="s">
        <v>183</v>
      </c>
      <c r="E140" s="95">
        <f>'28'!F140</f>
        <v>88776</v>
      </c>
      <c r="F140" s="149">
        <v>88776</v>
      </c>
      <c r="G140" s="112">
        <f t="shared" si="11"/>
        <v>0</v>
      </c>
      <c r="H140" s="99">
        <f>G140+'28'!H140</f>
        <v>-47.100000000005821</v>
      </c>
      <c r="I140" s="118"/>
      <c r="J140" s="348">
        <f>H140/DAY(B2)</f>
        <v>-1.6241379310346835</v>
      </c>
    </row>
    <row r="141" spans="1:15" ht="27.75" x14ac:dyDescent="0.5">
      <c r="A141" s="728" t="s">
        <v>188</v>
      </c>
      <c r="B141" s="728"/>
      <c r="C141" s="728"/>
      <c r="D141" s="151" t="s">
        <v>183</v>
      </c>
      <c r="E141" s="95">
        <f>'28'!F141</f>
        <v>26308</v>
      </c>
      <c r="F141" s="149">
        <v>26308</v>
      </c>
      <c r="G141" s="112">
        <f t="shared" si="11"/>
        <v>0</v>
      </c>
      <c r="H141" s="99">
        <f>G141+'28'!H141</f>
        <v>-13573.5</v>
      </c>
      <c r="I141" s="118"/>
      <c r="J141" s="348">
        <f>H141/DAY(B2)</f>
        <v>-468.05172413793105</v>
      </c>
    </row>
    <row r="142" spans="1:15" ht="27.75" x14ac:dyDescent="0.5">
      <c r="A142" s="728" t="s">
        <v>189</v>
      </c>
      <c r="B142" s="728"/>
      <c r="C142" s="728"/>
      <c r="D142" s="151" t="s">
        <v>183</v>
      </c>
      <c r="E142" s="95">
        <f>'28'!F142</f>
        <v>13277</v>
      </c>
      <c r="F142" s="148">
        <v>13277</v>
      </c>
      <c r="G142" s="112">
        <f t="shared" si="11"/>
        <v>0</v>
      </c>
      <c r="H142" s="99">
        <f>G142+'28'!H142</f>
        <v>-5306.2999999999993</v>
      </c>
      <c r="I142" s="140"/>
      <c r="J142" s="348">
        <f>H142/DAY(B2)</f>
        <v>-182.97586206896548</v>
      </c>
    </row>
    <row r="143" spans="1:15" ht="27.75" x14ac:dyDescent="0.5">
      <c r="A143" s="749" t="s">
        <v>91</v>
      </c>
      <c r="B143" s="749"/>
      <c r="C143" s="749"/>
      <c r="D143" s="151" t="s">
        <v>183</v>
      </c>
      <c r="E143" s="95">
        <f>'28'!F143</f>
        <v>0</v>
      </c>
      <c r="F143" s="149"/>
      <c r="G143" s="112">
        <f t="shared" si="11"/>
        <v>0</v>
      </c>
      <c r="H143" s="99">
        <f>G143+'28'!H143</f>
        <v>-1531.35</v>
      </c>
      <c r="I143" s="140"/>
      <c r="J143" s="348">
        <f>H143/DAY(B2)</f>
        <v>-52.805172413793102</v>
      </c>
    </row>
    <row r="144" spans="1:15" ht="27.75" x14ac:dyDescent="0.5">
      <c r="A144" s="728" t="s">
        <v>90</v>
      </c>
      <c r="B144" s="728"/>
      <c r="C144" s="728"/>
      <c r="D144" s="151" t="s">
        <v>183</v>
      </c>
      <c r="E144" s="95">
        <f>'28'!F144</f>
        <v>0</v>
      </c>
      <c r="F144" s="149"/>
      <c r="G144" s="112">
        <f t="shared" si="11"/>
        <v>0</v>
      </c>
      <c r="H144" s="99">
        <f>G144+'28'!H144</f>
        <v>-1702947</v>
      </c>
      <c r="I144" s="140"/>
      <c r="J144" s="348">
        <f>H144/DAY(B2)</f>
        <v>-58722.310344827587</v>
      </c>
    </row>
    <row r="145" spans="1:10" ht="27.75" x14ac:dyDescent="0.5">
      <c r="A145" s="749" t="s">
        <v>190</v>
      </c>
      <c r="B145" s="749"/>
      <c r="C145" s="749"/>
      <c r="D145" s="152" t="s">
        <v>183</v>
      </c>
      <c r="E145" s="95">
        <f>'28'!F145</f>
        <v>0</v>
      </c>
      <c r="F145" s="149"/>
      <c r="G145" s="112">
        <f t="shared" si="11"/>
        <v>0</v>
      </c>
      <c r="H145" s="99">
        <f>G145+'28'!H145</f>
        <v>-2618.4</v>
      </c>
      <c r="I145" s="140"/>
      <c r="J145" s="348">
        <f>H145/DAY(B2)</f>
        <v>-90.289655172413802</v>
      </c>
    </row>
    <row r="146" spans="1:10" ht="27.75" x14ac:dyDescent="0.5">
      <c r="A146" s="784" t="s">
        <v>191</v>
      </c>
      <c r="B146" s="769"/>
      <c r="C146" s="770"/>
      <c r="D146" s="152" t="s">
        <v>183</v>
      </c>
      <c r="E146" s="95">
        <f>'28'!F146</f>
        <v>0</v>
      </c>
      <c r="F146" s="148"/>
      <c r="G146" s="112">
        <f t="shared" si="11"/>
        <v>0</v>
      </c>
      <c r="H146" s="99">
        <f>G146+'28'!H146</f>
        <v>-1380251</v>
      </c>
      <c r="I146" s="140"/>
      <c r="J146" s="348">
        <f>H146/DAY(B2)</f>
        <v>-47594.862068965514</v>
      </c>
    </row>
    <row r="147" spans="1:10" ht="27.75" x14ac:dyDescent="0.5">
      <c r="A147" s="728" t="s">
        <v>192</v>
      </c>
      <c r="B147" s="728"/>
      <c r="C147" s="728"/>
      <c r="D147" s="152" t="s">
        <v>183</v>
      </c>
      <c r="E147" s="95">
        <f>'28'!F147</f>
        <v>0</v>
      </c>
      <c r="F147" s="148"/>
      <c r="G147" s="112">
        <f t="shared" si="11"/>
        <v>0</v>
      </c>
      <c r="H147" s="99">
        <f>G147+'28'!H147</f>
        <v>-1159149.72</v>
      </c>
      <c r="I147" s="140"/>
      <c r="J147" s="348">
        <f>H147/DAY(B2)</f>
        <v>-39970.68</v>
      </c>
    </row>
    <row r="148" spans="1:10" ht="27.75" x14ac:dyDescent="0.5">
      <c r="A148" s="729" t="s">
        <v>193</v>
      </c>
      <c r="B148" s="730"/>
      <c r="C148" s="731"/>
      <c r="D148" s="123" t="s">
        <v>130</v>
      </c>
      <c r="E148" s="95">
        <f>'28'!F148</f>
        <v>0</v>
      </c>
      <c r="F148" s="150"/>
      <c r="G148" s="112">
        <f t="shared" si="11"/>
        <v>0</v>
      </c>
      <c r="H148" s="99">
        <f>G148+'28'!H148</f>
        <v>-1320350.54</v>
      </c>
      <c r="I148" s="124"/>
      <c r="J148" s="348">
        <f>H148/DAY(B2)</f>
        <v>-45529.328965517241</v>
      </c>
    </row>
    <row r="149" spans="1:10" ht="27.75" x14ac:dyDescent="0.5">
      <c r="A149" s="729" t="s">
        <v>336</v>
      </c>
      <c r="B149" s="730"/>
      <c r="C149" s="731"/>
      <c r="D149" s="227" t="s">
        <v>130</v>
      </c>
      <c r="E149" s="95">
        <f>'28'!F149</f>
        <v>0</v>
      </c>
      <c r="F149" s="146"/>
      <c r="G149" s="112">
        <f t="shared" si="11"/>
        <v>0</v>
      </c>
      <c r="H149" s="99">
        <f>G149+'28'!H149</f>
        <v>-155505</v>
      </c>
      <c r="I149" s="119"/>
      <c r="J149" s="348">
        <f>H149/DAY(B2)</f>
        <v>-5362.2413793103451</v>
      </c>
    </row>
    <row r="150" spans="1:10" ht="27.75" x14ac:dyDescent="0.5">
      <c r="A150" s="729" t="s">
        <v>337</v>
      </c>
      <c r="B150" s="730"/>
      <c r="C150" s="731"/>
      <c r="D150" s="117" t="s">
        <v>130</v>
      </c>
      <c r="E150" s="95">
        <f>'28'!F150</f>
        <v>0</v>
      </c>
      <c r="F150" s="233"/>
      <c r="G150" s="112">
        <f t="shared" si="11"/>
        <v>0</v>
      </c>
      <c r="H150" s="99">
        <f>G150+'28'!H150</f>
        <v>-14334464</v>
      </c>
      <c r="I150" s="119"/>
      <c r="J150" s="348">
        <f>H150/DAY(B2)</f>
        <v>-494291.86206896551</v>
      </c>
    </row>
    <row r="151" spans="1:10" ht="27.75" x14ac:dyDescent="0.5">
      <c r="A151" s="729" t="s">
        <v>338</v>
      </c>
      <c r="B151" s="730"/>
      <c r="C151" s="731"/>
      <c r="D151" s="117" t="s">
        <v>130</v>
      </c>
      <c r="E151" s="95">
        <f>'28'!F151</f>
        <v>0</v>
      </c>
      <c r="F151" s="233"/>
      <c r="G151" s="112">
        <f t="shared" si="11"/>
        <v>0</v>
      </c>
      <c r="H151" s="99">
        <f>G151+'28'!H151</f>
        <v>-112419</v>
      </c>
      <c r="I151" s="119"/>
      <c r="J151" s="348">
        <f>H151/DAY(B2)</f>
        <v>-3876.5172413793102</v>
      </c>
    </row>
    <row r="152" spans="1:10" ht="27.75" x14ac:dyDescent="0.5">
      <c r="A152" s="729" t="s">
        <v>339</v>
      </c>
      <c r="B152" s="730"/>
      <c r="C152" s="731"/>
      <c r="D152" s="117" t="s">
        <v>130</v>
      </c>
      <c r="E152" s="95">
        <f>'28'!F152</f>
        <v>0</v>
      </c>
      <c r="F152" s="233"/>
      <c r="G152" s="112">
        <f t="shared" si="11"/>
        <v>0</v>
      </c>
      <c r="H152" s="99">
        <f>G152+'28'!H152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36" t="s">
        <v>344</v>
      </c>
      <c r="B154" s="736"/>
      <c r="C154" s="736"/>
      <c r="D154" s="736"/>
      <c r="E154" s="736"/>
      <c r="F154" s="736"/>
      <c r="G154" s="736"/>
      <c r="H154" s="736"/>
      <c r="I154" s="736"/>
      <c r="J154" s="736"/>
    </row>
    <row r="155" spans="1:10" ht="31.5" x14ac:dyDescent="0.55000000000000004">
      <c r="A155" s="728" t="s">
        <v>345</v>
      </c>
      <c r="B155" s="728"/>
      <c r="C155" s="728"/>
      <c r="D155" s="117" t="s">
        <v>130</v>
      </c>
      <c r="E155" s="95">
        <f>'28'!F155</f>
        <v>0</v>
      </c>
      <c r="F155" s="385"/>
      <c r="G155" s="112">
        <f t="shared" ref="G155:G156" si="12">F155-E155</f>
        <v>0</v>
      </c>
      <c r="H155" s="99">
        <f>G155+'28'!H155</f>
        <v>-154178.09999999998</v>
      </c>
      <c r="I155" s="385"/>
      <c r="J155" s="348">
        <f>H155/DAY(B2)</f>
        <v>-5316.4862068965513</v>
      </c>
    </row>
    <row r="156" spans="1:10" ht="27.75" x14ac:dyDescent="0.5">
      <c r="A156" s="728" t="s">
        <v>347</v>
      </c>
      <c r="B156" s="728"/>
      <c r="C156" s="728"/>
      <c r="D156" s="117" t="s">
        <v>130</v>
      </c>
      <c r="E156" s="95">
        <f>'28'!F156</f>
        <v>0</v>
      </c>
      <c r="F156" s="165"/>
      <c r="G156" s="112">
        <f t="shared" si="12"/>
        <v>0</v>
      </c>
      <c r="H156" s="99">
        <f>G156+'28'!H156</f>
        <v>0</v>
      </c>
      <c r="I156" s="165"/>
      <c r="J156" s="348">
        <f>H156/DAY(B2)</f>
        <v>0</v>
      </c>
    </row>
    <row r="157" spans="1:10" ht="31.5" x14ac:dyDescent="0.55000000000000004">
      <c r="A157" s="736" t="s">
        <v>326</v>
      </c>
      <c r="B157" s="736"/>
      <c r="C157" s="736"/>
      <c r="D157" s="736"/>
      <c r="E157" s="736"/>
      <c r="F157" s="736"/>
      <c r="G157" s="736"/>
      <c r="H157" s="736"/>
      <c r="I157" s="736"/>
      <c r="J157" s="736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'28'!F158</f>
        <v>463315</v>
      </c>
      <c r="F158" s="235">
        <v>463315</v>
      </c>
      <c r="G158" s="238">
        <f t="shared" ref="G158:G162" si="13">F158-E158</f>
        <v>0</v>
      </c>
      <c r="H158" s="99">
        <f>G158+'28'!H158</f>
        <v>-5764.4000000000233</v>
      </c>
      <c r="I158" s="236"/>
      <c r="J158" s="239">
        <f>H158/DAY(B2)</f>
        <v>-198.77241379310425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'28'!F159</f>
        <v>83899</v>
      </c>
      <c r="F159" s="235">
        <v>83899</v>
      </c>
      <c r="G159" s="238">
        <f t="shared" si="13"/>
        <v>0</v>
      </c>
      <c r="H159" s="99">
        <f>G159+'28'!H159</f>
        <v>-2351.3999999999942</v>
      </c>
      <c r="I159" s="236"/>
      <c r="J159" s="239">
        <f>H159/DAY(B2)</f>
        <v>-81.082758620689461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'28'!F160</f>
        <v>69089</v>
      </c>
      <c r="F160" s="235">
        <v>69089</v>
      </c>
      <c r="G160" s="238">
        <f t="shared" si="13"/>
        <v>0</v>
      </c>
      <c r="H160" s="99">
        <f>G160+'28'!H160</f>
        <v>-4894.1999999999971</v>
      </c>
      <c r="I160" s="236"/>
      <c r="J160" s="239">
        <f>H160/DAY(B2)</f>
        <v>-168.7655172413792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'28'!F161</f>
        <v>3611</v>
      </c>
      <c r="F161" s="235">
        <v>3611</v>
      </c>
      <c r="G161" s="238">
        <f t="shared" si="13"/>
        <v>0</v>
      </c>
      <c r="H161" s="99">
        <f>G161+'28'!H161</f>
        <v>-555.30000000000018</v>
      </c>
      <c r="I161" s="236"/>
      <c r="J161" s="239">
        <f>H161/DAY(B2)</f>
        <v>-19.148275862068971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'28'!F162</f>
        <v>28746</v>
      </c>
      <c r="F162" s="235">
        <v>28746</v>
      </c>
      <c r="G162" s="238">
        <f t="shared" si="13"/>
        <v>0</v>
      </c>
      <c r="H162" s="99">
        <f>G162+'28'!H162</f>
        <v>-566.7400000000016</v>
      </c>
      <c r="I162" s="236"/>
      <c r="J162" s="239">
        <f>H162/DAY(B2)</f>
        <v>-19.54275862068971</v>
      </c>
    </row>
    <row r="163" spans="1:10" ht="29.25" x14ac:dyDescent="0.5">
      <c r="A163" s="737"/>
      <c r="B163" s="737"/>
      <c r="C163" s="247"/>
      <c r="D163" s="244" t="s">
        <v>180</v>
      </c>
      <c r="E163" s="95">
        <f>'28'!F163</f>
        <v>0</v>
      </c>
      <c r="F163" s="165"/>
      <c r="G163" s="165"/>
      <c r="H163" s="99">
        <f>G163+'28'!H163</f>
        <v>0</v>
      </c>
      <c r="I163" s="165"/>
      <c r="J163" s="239">
        <f>H163/DAY(B2)</f>
        <v>0</v>
      </c>
    </row>
    <row r="164" spans="1:10" ht="29.25" x14ac:dyDescent="0.5">
      <c r="A164" s="737"/>
      <c r="B164" s="737"/>
      <c r="C164" s="247"/>
      <c r="D164" s="244" t="s">
        <v>180</v>
      </c>
      <c r="E164" s="95">
        <f>'28'!F164</f>
        <v>0</v>
      </c>
      <c r="F164" s="165"/>
      <c r="G164" s="165"/>
      <c r="H164" s="99">
        <f>G164+'28'!H164</f>
        <v>0</v>
      </c>
      <c r="I164" s="165"/>
      <c r="J164" s="239">
        <f>H164/DAY(B2)</f>
        <v>0</v>
      </c>
    </row>
    <row r="165" spans="1:10" ht="29.25" x14ac:dyDescent="0.5">
      <c r="A165" s="737"/>
      <c r="B165" s="737"/>
      <c r="C165" s="247"/>
      <c r="D165" s="244" t="s">
        <v>180</v>
      </c>
      <c r="E165" s="95">
        <f>'28'!F165</f>
        <v>0</v>
      </c>
      <c r="F165" s="165"/>
      <c r="G165" s="165"/>
      <c r="H165" s="99">
        <f>G165+'28'!H165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38" t="s">
        <v>330</v>
      </c>
      <c r="B168" s="739"/>
      <c r="C168" s="739"/>
      <c r="D168" s="739"/>
      <c r="E168" s="739"/>
      <c r="F168" s="739"/>
      <c r="G168" s="739"/>
      <c r="H168" s="739"/>
      <c r="I168" s="739"/>
      <c r="J168" s="740"/>
    </row>
    <row r="169" spans="1:10" ht="27.75" x14ac:dyDescent="0.5">
      <c r="A169" s="747"/>
      <c r="B169" s="748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43" t="s">
        <v>209</v>
      </c>
      <c r="B170" s="744"/>
      <c r="C170" s="353"/>
      <c r="D170" s="228" t="s">
        <v>142</v>
      </c>
      <c r="E170" s="95">
        <f>'28'!F170</f>
        <v>7961</v>
      </c>
      <c r="F170" s="155">
        <v>7961</v>
      </c>
      <c r="G170" s="155">
        <f>F170-E170</f>
        <v>0</v>
      </c>
      <c r="H170" s="99">
        <f>G170+'28'!H170</f>
        <v>129</v>
      </c>
      <c r="I170" s="155"/>
      <c r="J170" s="178">
        <f>H170/DAY(B2)</f>
        <v>4.4482758620689653</v>
      </c>
    </row>
    <row r="171" spans="1:10" ht="27.75" x14ac:dyDescent="0.5">
      <c r="A171" s="743" t="s">
        <v>75</v>
      </c>
      <c r="B171" s="744"/>
      <c r="C171" s="353"/>
      <c r="D171" s="228" t="s">
        <v>142</v>
      </c>
      <c r="E171" s="95">
        <f>'28'!F171</f>
        <v>36765</v>
      </c>
      <c r="F171" s="157">
        <v>36765</v>
      </c>
      <c r="G171" s="155">
        <f t="shared" ref="G171:G172" si="14">F171-E171</f>
        <v>0</v>
      </c>
      <c r="H171" s="99">
        <f>G171+'28'!H171</f>
        <v>-332</v>
      </c>
      <c r="I171" s="155"/>
      <c r="J171" s="178">
        <f>H171/DAY(B2)</f>
        <v>-11.448275862068966</v>
      </c>
    </row>
    <row r="172" spans="1:10" ht="27.75" x14ac:dyDescent="0.5">
      <c r="A172" s="743" t="s">
        <v>76</v>
      </c>
      <c r="B172" s="783"/>
      <c r="C172" s="744"/>
      <c r="D172" s="228" t="s">
        <v>142</v>
      </c>
      <c r="E172" s="95">
        <f>'28'!F172</f>
        <v>20214</v>
      </c>
      <c r="F172" s="155">
        <v>20214</v>
      </c>
      <c r="G172" s="155">
        <f t="shared" si="14"/>
        <v>0</v>
      </c>
      <c r="H172" s="99">
        <f>G172+'28'!H172</f>
        <v>-687</v>
      </c>
      <c r="I172" s="155"/>
      <c r="J172" s="178">
        <f>H172/DAY(B2)</f>
        <v>-23.689655172413794</v>
      </c>
    </row>
    <row r="173" spans="1:10" ht="27.75" x14ac:dyDescent="0.5">
      <c r="A173" s="732" t="s">
        <v>196</v>
      </c>
      <c r="B173" s="733"/>
      <c r="C173" s="611"/>
      <c r="D173" s="228"/>
      <c r="E173" s="95"/>
      <c r="F173" s="155"/>
      <c r="G173" s="155">
        <f>SUM(G170:G172)</f>
        <v>0</v>
      </c>
      <c r="H173" s="99">
        <f>G173+'28'!H173</f>
        <v>-890</v>
      </c>
      <c r="I173" s="155"/>
      <c r="J173" s="178">
        <f>H173/DAY(B2)</f>
        <v>-30.689655172413794</v>
      </c>
    </row>
    <row r="174" spans="1:10" ht="27.75" x14ac:dyDescent="0.5">
      <c r="A174" s="743" t="s">
        <v>77</v>
      </c>
      <c r="B174" s="744"/>
      <c r="C174" s="353"/>
      <c r="D174" s="228" t="s">
        <v>142</v>
      </c>
      <c r="E174" s="95"/>
      <c r="F174" s="155"/>
      <c r="G174" s="155"/>
      <c r="H174" s="99">
        <f>G174+'28'!H174</f>
        <v>0</v>
      </c>
      <c r="I174" s="155"/>
      <c r="J174" s="178">
        <f>H174/DAY(B2)</f>
        <v>0</v>
      </c>
    </row>
    <row r="175" spans="1:10" ht="27.75" x14ac:dyDescent="0.5">
      <c r="A175" s="743" t="s">
        <v>210</v>
      </c>
      <c r="B175" s="744"/>
      <c r="C175" s="353"/>
      <c r="D175" s="228" t="s">
        <v>142</v>
      </c>
      <c r="E175" s="95">
        <f>'28'!F175</f>
        <v>69524</v>
      </c>
      <c r="F175" s="155">
        <v>69524</v>
      </c>
      <c r="G175" s="155">
        <f>F175-E175</f>
        <v>0</v>
      </c>
      <c r="H175" s="99">
        <f>G175+'28'!H175</f>
        <v>-6303</v>
      </c>
      <c r="I175" s="155"/>
      <c r="J175" s="178">
        <f>H175/DAY(B2)</f>
        <v>-217.34482758620689</v>
      </c>
    </row>
    <row r="176" spans="1:10" ht="27.75" x14ac:dyDescent="0.5">
      <c r="A176" s="743" t="s">
        <v>211</v>
      </c>
      <c r="B176" s="744"/>
      <c r="C176" s="353"/>
      <c r="D176" s="228" t="s">
        <v>142</v>
      </c>
      <c r="E176" s="95">
        <f>'28'!F176</f>
        <v>33886</v>
      </c>
      <c r="F176" s="155">
        <v>33886</v>
      </c>
      <c r="G176" s="155">
        <f t="shared" ref="G176:G177" si="15">F176-E176</f>
        <v>0</v>
      </c>
      <c r="H176" s="99">
        <f>G176+'28'!H176</f>
        <v>0</v>
      </c>
      <c r="I176" s="155"/>
      <c r="J176" s="178">
        <f>H176/DAY(B2)</f>
        <v>0</v>
      </c>
    </row>
    <row r="177" spans="1:10" ht="27.75" x14ac:dyDescent="0.5">
      <c r="A177" s="743" t="s">
        <v>212</v>
      </c>
      <c r="B177" s="744"/>
      <c r="C177" s="353"/>
      <c r="D177" s="228" t="s">
        <v>142</v>
      </c>
      <c r="E177" s="95">
        <f>'28'!F177</f>
        <v>4788</v>
      </c>
      <c r="F177" s="155">
        <v>4788</v>
      </c>
      <c r="G177" s="155">
        <f t="shared" si="15"/>
        <v>0</v>
      </c>
      <c r="H177" s="99">
        <f>G177+'28'!H177</f>
        <v>-3190</v>
      </c>
      <c r="I177" s="155"/>
      <c r="J177" s="178">
        <f>H177/DAY(B2)</f>
        <v>-110</v>
      </c>
    </row>
    <row r="178" spans="1:10" ht="27.75" x14ac:dyDescent="0.5">
      <c r="A178" s="745" t="s">
        <v>108</v>
      </c>
      <c r="B178" s="746"/>
      <c r="C178" s="611"/>
      <c r="D178" s="228"/>
      <c r="E178" s="95"/>
      <c r="F178" s="155"/>
      <c r="G178" s="155">
        <f>SUM(G175:G177)</f>
        <v>0</v>
      </c>
      <c r="H178" s="99">
        <f>G178+'28'!H178</f>
        <v>-9493</v>
      </c>
      <c r="I178" s="155"/>
      <c r="J178" s="178">
        <f>H178/DAY(B2)</f>
        <v>-327.34482758620692</v>
      </c>
    </row>
    <row r="179" spans="1:10" ht="27.75" x14ac:dyDescent="0.5">
      <c r="A179" s="743" t="s">
        <v>213</v>
      </c>
      <c r="B179" s="744"/>
      <c r="C179" s="353"/>
      <c r="D179" s="228"/>
      <c r="E179" s="95"/>
      <c r="F179" s="155"/>
      <c r="G179" s="155"/>
      <c r="H179" s="99">
        <f>G179+'28'!H179</f>
        <v>0</v>
      </c>
      <c r="I179" s="155"/>
      <c r="J179" s="178">
        <f>H179/DAY(B2)</f>
        <v>0</v>
      </c>
    </row>
    <row r="180" spans="1:10" ht="27.75" x14ac:dyDescent="0.5">
      <c r="A180" s="743" t="s">
        <v>214</v>
      </c>
      <c r="B180" s="744"/>
      <c r="C180" s="354"/>
      <c r="D180" s="228" t="s">
        <v>142</v>
      </c>
      <c r="E180" s="95">
        <f>'28'!F180</f>
        <v>13038</v>
      </c>
      <c r="F180" s="157">
        <v>13038</v>
      </c>
      <c r="G180" s="157">
        <f>F180-E180</f>
        <v>0</v>
      </c>
      <c r="H180" s="99">
        <f>G180+'28'!H180</f>
        <v>-1253</v>
      </c>
      <c r="I180" s="155"/>
      <c r="J180" s="178">
        <f>H180/DAY(B2)</f>
        <v>-43.206896551724135</v>
      </c>
    </row>
    <row r="181" spans="1:10" ht="27.75" x14ac:dyDescent="0.5">
      <c r="A181" s="743" t="s">
        <v>215</v>
      </c>
      <c r="B181" s="744"/>
      <c r="C181" s="354"/>
      <c r="D181" s="228" t="s">
        <v>142</v>
      </c>
      <c r="E181" s="95">
        <f>'28'!F181</f>
        <v>9126</v>
      </c>
      <c r="F181" s="157">
        <v>9126</v>
      </c>
      <c r="G181" s="157">
        <f t="shared" ref="G181:G182" si="16">F181-E181</f>
        <v>0</v>
      </c>
      <c r="H181" s="99">
        <f>G181+'28'!H181</f>
        <v>-794</v>
      </c>
      <c r="I181" s="155"/>
      <c r="J181" s="178">
        <f>H181/DAY(B2)</f>
        <v>-27.379310344827587</v>
      </c>
    </row>
    <row r="182" spans="1:10" ht="27.75" x14ac:dyDescent="0.5">
      <c r="A182" s="743" t="s">
        <v>216</v>
      </c>
      <c r="B182" s="744"/>
      <c r="C182" s="354"/>
      <c r="D182" s="228" t="s">
        <v>142</v>
      </c>
      <c r="E182" s="95">
        <f>'28'!F182</f>
        <v>0</v>
      </c>
      <c r="F182" s="157"/>
      <c r="G182" s="157">
        <f t="shared" si="16"/>
        <v>0</v>
      </c>
      <c r="H182" s="99">
        <f>G182+'28'!H182</f>
        <v>0</v>
      </c>
      <c r="I182" s="155"/>
      <c r="J182" s="178">
        <f>H182/DAY(B2)</f>
        <v>0</v>
      </c>
    </row>
    <row r="183" spans="1:10" ht="27.75" x14ac:dyDescent="0.5">
      <c r="A183" s="732" t="s">
        <v>196</v>
      </c>
      <c r="B183" s="733"/>
      <c r="C183" s="610"/>
      <c r="D183" s="229"/>
      <c r="E183" s="95"/>
      <c r="F183" s="157"/>
      <c r="G183" s="157">
        <f>SUM(G180:G182)</f>
        <v>0</v>
      </c>
      <c r="H183" s="99">
        <f>G183+'28'!H183</f>
        <v>-2047</v>
      </c>
      <c r="I183" s="157"/>
      <c r="J183" s="178">
        <f>H183/DAY(B2)</f>
        <v>-70.58620689655173</v>
      </c>
    </row>
    <row r="184" spans="1:10" ht="27.75" x14ac:dyDescent="0.5">
      <c r="A184" s="734" t="s">
        <v>217</v>
      </c>
      <c r="B184" s="735"/>
      <c r="C184" s="353"/>
      <c r="D184" s="230" t="s">
        <v>142</v>
      </c>
      <c r="E184" s="95">
        <f>'28'!F184</f>
        <v>0</v>
      </c>
      <c r="F184" s="159"/>
      <c r="G184" s="588">
        <f>G62+G19</f>
        <v>60</v>
      </c>
      <c r="H184" s="99">
        <f>G184+'28'!H184</f>
        <v>-5942</v>
      </c>
      <c r="I184" s="158"/>
      <c r="J184" s="179">
        <f>H184/DAY(B2)</f>
        <v>-204.89655172413794</v>
      </c>
    </row>
    <row r="185" spans="1:10" ht="27.75" x14ac:dyDescent="0.5">
      <c r="A185" s="734" t="s">
        <v>218</v>
      </c>
      <c r="B185" s="735"/>
      <c r="C185" s="353"/>
      <c r="D185" s="230" t="s">
        <v>142</v>
      </c>
      <c r="E185" s="95">
        <f>'28'!F185</f>
        <v>0</v>
      </c>
      <c r="F185" s="159"/>
      <c r="G185" s="588">
        <f>G65+G66+G67+G69+G70</f>
        <v>0</v>
      </c>
      <c r="H185" s="99">
        <f>G185+'28'!H185</f>
        <v>-14514</v>
      </c>
      <c r="I185" s="158"/>
      <c r="J185" s="179">
        <f>H185/DAY(B2)</f>
        <v>-500.48275862068965</v>
      </c>
    </row>
    <row r="186" spans="1:10" ht="27.75" x14ac:dyDescent="0.5">
      <c r="A186" s="734" t="s">
        <v>219</v>
      </c>
      <c r="B186" s="735"/>
      <c r="C186" s="353"/>
      <c r="D186" s="230" t="s">
        <v>142</v>
      </c>
      <c r="E186" s="95">
        <f>'28'!F186</f>
        <v>0</v>
      </c>
      <c r="F186" s="157"/>
      <c r="G186" s="585">
        <f>G178</f>
        <v>0</v>
      </c>
      <c r="H186" s="99">
        <f>G186+'28'!H186</f>
        <v>-7040</v>
      </c>
      <c r="I186" s="158"/>
      <c r="J186" s="179">
        <f>H186/DAY(B2)</f>
        <v>-242.75862068965517</v>
      </c>
    </row>
    <row r="187" spans="1:10" ht="27.75" x14ac:dyDescent="0.5">
      <c r="A187" s="741"/>
      <c r="B187" s="742"/>
      <c r="C187" s="609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1"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135:C135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64:B164"/>
    <mergeCell ref="A165:B165"/>
    <mergeCell ref="A168:J168"/>
    <mergeCell ref="A169:B169"/>
    <mergeCell ref="A170:B170"/>
    <mergeCell ref="A140:C140"/>
    <mergeCell ref="A141:C141"/>
    <mergeCell ref="A142:C142"/>
    <mergeCell ref="A157:J157"/>
    <mergeCell ref="A163:B163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85:B185"/>
    <mergeCell ref="A186:B186"/>
    <mergeCell ref="A187:B187"/>
    <mergeCell ref="A177:B177"/>
    <mergeCell ref="A178:B178"/>
    <mergeCell ref="A182:B182"/>
    <mergeCell ref="A183:B183"/>
    <mergeCell ref="A184:B184"/>
    <mergeCell ref="A171:B171"/>
    <mergeCell ref="A173:B173"/>
    <mergeCell ref="A174:B174"/>
    <mergeCell ref="A175:B175"/>
    <mergeCell ref="A176:B176"/>
    <mergeCell ref="A181:B181"/>
    <mergeCell ref="A179:B179"/>
    <mergeCell ref="A180:B180"/>
    <mergeCell ref="A172:C172"/>
  </mergeCells>
  <pageMargins left="0.22" right="0.17" top="0.14000000000000001" bottom="0.2" header="0.2" footer="0.2"/>
  <pageSetup paperSize="5" scale="1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87"/>
  <sheetViews>
    <sheetView view="pageBreakPreview" topLeftCell="A148" zoomScale="55" zoomScaleNormal="55" zoomScaleSheetLayoutView="55" workbookViewId="0">
      <selection activeCell="F166" sqref="F166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789" t="s">
        <v>115</v>
      </c>
      <c r="B1" s="790"/>
      <c r="C1" s="790"/>
      <c r="D1" s="790"/>
      <c r="E1" s="790"/>
      <c r="F1" s="790"/>
      <c r="G1" s="790"/>
      <c r="H1" s="790"/>
      <c r="I1" s="790"/>
      <c r="J1" s="791"/>
    </row>
    <row r="2" spans="1:15" s="57" customFormat="1" ht="30.75" customHeight="1" x14ac:dyDescent="0.5">
      <c r="A2" s="191" t="s">
        <v>303</v>
      </c>
      <c r="B2" s="266">
        <v>44499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68" t="s">
        <v>118</v>
      </c>
      <c r="D3" s="219">
        <v>28</v>
      </c>
      <c r="E3" s="798" t="s">
        <v>119</v>
      </c>
      <c r="F3" s="799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792" t="s">
        <v>128</v>
      </c>
      <c r="B6" s="793"/>
      <c r="C6" s="79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'29'!F7</f>
        <v>616179.47</v>
      </c>
      <c r="F7" s="95">
        <f>E7+23000</f>
        <v>639179.47</v>
      </c>
      <c r="G7" s="112">
        <f>F7-E7</f>
        <v>23000</v>
      </c>
      <c r="H7" s="99">
        <f>G7+'29'!H7</f>
        <v>694937.06999999983</v>
      </c>
      <c r="I7" s="113">
        <f>'1'!I7</f>
        <v>12000</v>
      </c>
      <c r="J7" s="175">
        <f>H7/DAY(B2)</f>
        <v>23164.568999999996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'29'!F8</f>
        <v>637079.75</v>
      </c>
      <c r="F8" s="114">
        <f>E8+23050</f>
        <v>660129.75</v>
      </c>
      <c r="G8" s="112">
        <f>F8-E8</f>
        <v>23050</v>
      </c>
      <c r="H8" s="99">
        <f>G8+'29'!H8</f>
        <v>701462.75</v>
      </c>
      <c r="I8" s="116"/>
      <c r="J8" s="175">
        <f>H8/DAY(B2)</f>
        <v>23382.091666666667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'29'!F9</f>
        <v>1299976.8999999999</v>
      </c>
      <c r="F9" s="117">
        <f>E9+23000</f>
        <v>1322976.8999999999</v>
      </c>
      <c r="G9" s="377">
        <f>F9-E9</f>
        <v>23000</v>
      </c>
      <c r="H9" s="99">
        <f>G9+'29'!H9</f>
        <v>615186.89999999979</v>
      </c>
      <c r="I9" s="124">
        <f>I7-J7</f>
        <v>-11164.568999999996</v>
      </c>
      <c r="J9" s="175">
        <f>H9/DAY(B2)</f>
        <v>20506.229999999992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'29'!F10</f>
        <v>2607</v>
      </c>
      <c r="F10" s="117">
        <v>2607</v>
      </c>
      <c r="G10" s="112">
        <f t="shared" ref="G10:G12" si="0">F10-E10</f>
        <v>0</v>
      </c>
      <c r="H10" s="99">
        <f>G10+'29'!H10</f>
        <v>-57966</v>
      </c>
      <c r="I10" s="286"/>
      <c r="J10" s="175">
        <f>H10/DAY(B2)</f>
        <v>-1932.2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'29'!F11</f>
        <v>37000</v>
      </c>
      <c r="F11" s="95">
        <v>37000</v>
      </c>
      <c r="G11" s="112">
        <f t="shared" si="0"/>
        <v>0</v>
      </c>
      <c r="H11" s="99">
        <f>G11+'29'!H11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'29'!F12</f>
        <v>40010</v>
      </c>
      <c r="F12" s="117">
        <v>40010</v>
      </c>
      <c r="G12" s="112">
        <f t="shared" si="0"/>
        <v>0</v>
      </c>
      <c r="H12" s="99">
        <f>G12+'29'!H12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23000</v>
      </c>
      <c r="H13" s="99">
        <f>G13+'29'!H13</f>
        <v>535675.14999999979</v>
      </c>
      <c r="I13" s="120">
        <f>G7-G13</f>
        <v>0</v>
      </c>
      <c r="J13" s="175">
        <f>H13/DAY(B2)</f>
        <v>17855.838333333326</v>
      </c>
      <c r="K13" s="79"/>
      <c r="L13" s="66"/>
      <c r="N13" s="87"/>
      <c r="O13" s="71"/>
    </row>
    <row r="14" spans="1:15" ht="30.75" customHeight="1" x14ac:dyDescent="0.5">
      <c r="A14" s="795" t="s">
        <v>137</v>
      </c>
      <c r="B14" s="796"/>
      <c r="C14" s="79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65" t="s">
        <v>138</v>
      </c>
      <c r="B15" s="205"/>
      <c r="C15" s="205"/>
      <c r="D15" s="151" t="s">
        <v>139</v>
      </c>
      <c r="E15" s="95">
        <f>'29'!F15</f>
        <v>1810742.8829999999</v>
      </c>
      <c r="F15" s="123">
        <f>E15+875</f>
        <v>1811617.8829999999</v>
      </c>
      <c r="G15" s="112">
        <f>(F15-E15)</f>
        <v>875</v>
      </c>
      <c r="H15" s="99">
        <f>G15+'29'!H15</f>
        <v>28284.882999999914</v>
      </c>
      <c r="I15" s="113">
        <f>'1'!I15</f>
        <v>800</v>
      </c>
      <c r="J15" s="175">
        <f>H15/DAY(B2)</f>
        <v>942.82943333333048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-142.82943333333048</v>
      </c>
      <c r="J16" s="176"/>
      <c r="K16" s="79"/>
      <c r="L16" s="66"/>
      <c r="N16" s="87"/>
      <c r="O16" s="71"/>
    </row>
    <row r="17" spans="1:15" ht="30.75" customHeight="1" x14ac:dyDescent="0.5">
      <c r="A17" s="795" t="s">
        <v>140</v>
      </c>
      <c r="B17" s="796"/>
      <c r="C17" s="79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771" t="s">
        <v>141</v>
      </c>
      <c r="B18" s="772"/>
      <c r="C18" s="773"/>
      <c r="D18" s="151" t="s">
        <v>142</v>
      </c>
      <c r="E18" s="95">
        <f>'29'!F18</f>
        <v>14</v>
      </c>
      <c r="F18" s="122">
        <v>14</v>
      </c>
      <c r="G18" s="119">
        <f>F18*10</f>
        <v>140</v>
      </c>
      <c r="H18" s="99">
        <f>G18+'29'!H18</f>
        <v>5140</v>
      </c>
      <c r="I18" s="113">
        <f>'1'!I18</f>
        <v>65</v>
      </c>
      <c r="J18" s="175">
        <f>H18/DAY(B2)</f>
        <v>171.33333333333334</v>
      </c>
      <c r="K18" s="79"/>
      <c r="L18" s="66"/>
      <c r="N18" s="87"/>
      <c r="O18" s="71"/>
    </row>
    <row r="19" spans="1:15" ht="30.75" customHeight="1" x14ac:dyDescent="0.5">
      <c r="A19" s="771" t="s">
        <v>69</v>
      </c>
      <c r="B19" s="772"/>
      <c r="C19" s="773"/>
      <c r="D19" s="151" t="s">
        <v>142</v>
      </c>
      <c r="E19" s="95">
        <f>'29'!F19</f>
        <v>148765</v>
      </c>
      <c r="F19" s="122">
        <f>E19+60</f>
        <v>148825</v>
      </c>
      <c r="G19" s="112">
        <f t="shared" ref="G19" si="1">F19-E19</f>
        <v>60</v>
      </c>
      <c r="H19" s="99">
        <f>G19+'29'!H19</f>
        <v>1773</v>
      </c>
      <c r="I19" s="355"/>
      <c r="J19" s="175">
        <f>H19/DAY(B2)</f>
        <v>59.1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200</v>
      </c>
      <c r="H20" s="99">
        <f>G20+'29'!H20</f>
        <v>6913</v>
      </c>
      <c r="I20" s="356">
        <f>I18-J20</f>
        <v>-165.43333333333334</v>
      </c>
      <c r="J20" s="175">
        <f>H20/DAY(B2)</f>
        <v>230.43333333333334</v>
      </c>
      <c r="K20" s="79"/>
      <c r="L20" s="66"/>
      <c r="N20" s="87"/>
      <c r="O20" s="71"/>
    </row>
    <row r="21" spans="1:15" ht="30.75" customHeight="1" x14ac:dyDescent="0.5">
      <c r="A21" s="795" t="s">
        <v>144</v>
      </c>
      <c r="B21" s="796"/>
      <c r="C21" s="79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6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6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800" t="s">
        <v>149</v>
      </c>
      <c r="B25" s="801"/>
      <c r="C25" s="80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23050</v>
      </c>
      <c r="F27" s="136">
        <v>9</v>
      </c>
      <c r="G27" s="137">
        <f>E27*F27</f>
        <v>207450</v>
      </c>
      <c r="H27" s="99">
        <f>G27+'29'!H27</f>
        <v>6313164.75</v>
      </c>
      <c r="I27" s="138"/>
      <c r="J27" s="175">
        <f>H27/DAY(B2)</f>
        <v>210438.82500000001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875</v>
      </c>
      <c r="F28" s="136">
        <v>52</v>
      </c>
      <c r="G28" s="137">
        <f>E28*F28</f>
        <v>45500</v>
      </c>
      <c r="H28" s="99">
        <f>G28+'29'!H28</f>
        <v>1470813.9159999955</v>
      </c>
      <c r="I28" s="140"/>
      <c r="J28" s="175">
        <f>H28/DAY(B2)</f>
        <v>49027.130533333184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G30+'29'!H30</f>
        <v>258858</v>
      </c>
      <c r="I30" s="140"/>
      <c r="J30" s="175">
        <f>H30/DAY(B2)</f>
        <v>8628.6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G31+'29'!H31</f>
        <v>411200</v>
      </c>
      <c r="I31" s="140"/>
      <c r="J31" s="175">
        <f>H31/DAY(B2)</f>
        <v>13706.666666666666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272910</v>
      </c>
      <c r="H32" s="99">
        <f>G32+'29'!H32</f>
        <v>8454036.6659999955</v>
      </c>
      <c r="I32" s="144"/>
      <c r="J32" s="175">
        <f>H32/DAY(B2)</f>
        <v>281801.22219999984</v>
      </c>
      <c r="K32" s="63"/>
      <c r="L32" s="89"/>
      <c r="N32" s="87"/>
      <c r="O32" s="71"/>
    </row>
    <row r="33" spans="1:15" ht="30.75" customHeight="1" x14ac:dyDescent="0.35">
      <c r="A33" s="803" t="s">
        <v>331</v>
      </c>
      <c r="B33" s="804"/>
      <c r="C33" s="804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'29'!F35</f>
        <v>1058597</v>
      </c>
      <c r="F35" s="145">
        <v>1058597</v>
      </c>
      <c r="G35" s="112">
        <f t="shared" ref="G35:G46" si="3">F35-E35</f>
        <v>0</v>
      </c>
      <c r="H35" s="99">
        <f>G35+'29'!H35</f>
        <v>2111685.6</v>
      </c>
      <c r="I35" s="95"/>
      <c r="J35" s="175">
        <f>H35/DAY(B2)</f>
        <v>70389.52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'29'!F36</f>
        <v>1833</v>
      </c>
      <c r="F36" s="145">
        <v>1833</v>
      </c>
      <c r="G36" s="112">
        <f t="shared" si="3"/>
        <v>0</v>
      </c>
      <c r="H36" s="99">
        <f>G36+'29'!H36</f>
        <v>-57914.1</v>
      </c>
      <c r="I36" s="95"/>
      <c r="J36" s="175">
        <f>H36/DAY(B2)</f>
        <v>-1930.47</v>
      </c>
      <c r="K36" s="79"/>
      <c r="L36" s="66"/>
      <c r="N36" s="87"/>
      <c r="O36" s="36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'29'!F37</f>
        <v>2775</v>
      </c>
      <c r="F37" s="145">
        <v>2775</v>
      </c>
      <c r="G37" s="112">
        <f t="shared" si="3"/>
        <v>0</v>
      </c>
      <c r="H37" s="99">
        <f>G37+'29'!H37</f>
        <v>-131866.87</v>
      </c>
      <c r="I37" s="95"/>
      <c r="J37" s="175">
        <f>H37/DAY(B2)</f>
        <v>-4395.5623333333333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'29'!F38</f>
        <v>4823</v>
      </c>
      <c r="F38" s="108">
        <v>4823</v>
      </c>
      <c r="G38" s="112">
        <f t="shared" si="3"/>
        <v>0</v>
      </c>
      <c r="H38" s="99">
        <f>G38+'29'!H38</f>
        <v>-137077.6</v>
      </c>
      <c r="I38" s="95"/>
      <c r="J38" s="175">
        <f>H38/DAY(B2)</f>
        <v>-4569.2533333333331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'29'!F39</f>
        <v>637915</v>
      </c>
      <c r="F39" s="145">
        <v>637915</v>
      </c>
      <c r="G39" s="112">
        <f t="shared" si="3"/>
        <v>0</v>
      </c>
      <c r="H39" s="99">
        <f>G39+'29'!H39</f>
        <v>958234.97</v>
      </c>
      <c r="I39" s="95"/>
      <c r="J39" s="175">
        <f>H39/DAY(B2)</f>
        <v>31941.165666666664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'29'!F40</f>
        <v>34599</v>
      </c>
      <c r="F40" s="145">
        <v>34599</v>
      </c>
      <c r="G40" s="112">
        <f t="shared" si="3"/>
        <v>0</v>
      </c>
      <c r="H40" s="99">
        <f>G40+'29'!H40</f>
        <v>69191.77</v>
      </c>
      <c r="I40" s="95"/>
      <c r="J40" s="175">
        <f>H40/DAY(B2)</f>
        <v>2306.3923333333337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'29'!F41</f>
        <v>433281.79</v>
      </c>
      <c r="F41" s="145">
        <v>433281.79</v>
      </c>
      <c r="G41" s="112">
        <f t="shared" si="3"/>
        <v>0</v>
      </c>
      <c r="H41" s="99">
        <f>G41+'29'!H41</f>
        <v>-177234.68000000011</v>
      </c>
      <c r="I41" s="95"/>
      <c r="J41" s="175">
        <f>H41/DAY(B2)</f>
        <v>-5907.8226666666706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'29'!F42</f>
        <v>175112</v>
      </c>
      <c r="F42" s="145">
        <v>175112</v>
      </c>
      <c r="G42" s="112">
        <f t="shared" si="3"/>
        <v>0</v>
      </c>
      <c r="H42" s="99">
        <f>G42+'29'!H42</f>
        <v>-162623.49</v>
      </c>
      <c r="I42" s="95"/>
      <c r="J42" s="175">
        <f>H42/DAY(B2)</f>
        <v>-5420.7829999999994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'29'!F43</f>
        <v>1289745</v>
      </c>
      <c r="F43" s="145">
        <v>1289745</v>
      </c>
      <c r="G43" s="112">
        <f t="shared" si="3"/>
        <v>0</v>
      </c>
      <c r="H43" s="99">
        <f>G43+'29'!H43</f>
        <v>-191251.19999999995</v>
      </c>
      <c r="I43" s="95"/>
      <c r="J43" s="175">
        <f>H43/DAY(B2)</f>
        <v>-6375.0399999999981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'29'!F45</f>
        <v>614</v>
      </c>
      <c r="F45" s="145">
        <v>614</v>
      </c>
      <c r="G45" s="112">
        <f t="shared" si="3"/>
        <v>0</v>
      </c>
      <c r="H45" s="99">
        <f>G45+'29'!H45</f>
        <v>1228</v>
      </c>
      <c r="I45" s="95"/>
      <c r="J45" s="175">
        <f>H45/DAY(B2)</f>
        <v>40.93333333333333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'29'!F46</f>
        <v>187</v>
      </c>
      <c r="F46" s="145">
        <v>187</v>
      </c>
      <c r="G46" s="112">
        <f t="shared" si="3"/>
        <v>0</v>
      </c>
      <c r="H46" s="99">
        <f>G46+'29'!H46</f>
        <v>374</v>
      </c>
      <c r="I46" s="95"/>
      <c r="J46" s="175">
        <f>H46/DAY(B2)</f>
        <v>12.466666666666667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0</v>
      </c>
      <c r="H47" s="99">
        <f>G47+'29'!H47</f>
        <v>2282746.4</v>
      </c>
      <c r="I47" s="95"/>
      <c r="J47" s="175">
        <f>H47/DAY(B2)</f>
        <v>76091.546666666662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'29'!F49</f>
        <v>419822</v>
      </c>
      <c r="F49" s="145">
        <v>419822</v>
      </c>
      <c r="G49" s="112">
        <f t="shared" ref="G49:G58" si="4">F49-E49</f>
        <v>0</v>
      </c>
      <c r="H49" s="99">
        <f>G49+'29'!H49</f>
        <v>596649.56000000006</v>
      </c>
      <c r="I49" s="95"/>
      <c r="J49" s="175">
        <f>H49/DAY(B2)</f>
        <v>19888.31866666667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'29'!F50</f>
        <v>607298</v>
      </c>
      <c r="F50" s="145">
        <v>607298</v>
      </c>
      <c r="G50" s="112">
        <f t="shared" si="4"/>
        <v>0</v>
      </c>
      <c r="H50" s="99">
        <f>G50+'29'!H50</f>
        <v>-93045.949999999953</v>
      </c>
      <c r="I50" s="95"/>
      <c r="J50" s="175">
        <f>H50/DAY(B2)</f>
        <v>-3101.5316666666649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'29'!F51</f>
        <v>144640</v>
      </c>
      <c r="F51" s="145">
        <v>144640</v>
      </c>
      <c r="G51" s="112">
        <f t="shared" si="4"/>
        <v>0</v>
      </c>
      <c r="H51" s="99">
        <f>G51+'29'!H51</f>
        <v>289280</v>
      </c>
      <c r="I51" s="95"/>
      <c r="J51" s="175">
        <f>H51/DAY(B2)</f>
        <v>9642.6666666666661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'29'!F52</f>
        <v>539606</v>
      </c>
      <c r="F52" s="145">
        <v>539606</v>
      </c>
      <c r="G52" s="112">
        <f t="shared" si="4"/>
        <v>0</v>
      </c>
      <c r="H52" s="99">
        <f>G52+'29'!H52</f>
        <v>1079212</v>
      </c>
      <c r="I52" s="95"/>
      <c r="J52" s="175">
        <f>H52/DAY(B2)</f>
        <v>35973.73333333333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'29'!F53</f>
        <v>434232</v>
      </c>
      <c r="F53" s="145">
        <v>434232</v>
      </c>
      <c r="G53" s="112">
        <f t="shared" si="4"/>
        <v>0</v>
      </c>
      <c r="H53" s="99">
        <f>G53+'29'!H53</f>
        <v>868464</v>
      </c>
      <c r="I53" s="95"/>
      <c r="J53" s="175">
        <f>H53/DAY(B2)</f>
        <v>28948.799999999999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'29'!F54</f>
        <v>14967</v>
      </c>
      <c r="F54" s="145">
        <v>14967</v>
      </c>
      <c r="G54" s="112">
        <f t="shared" si="4"/>
        <v>0</v>
      </c>
      <c r="H54" s="99">
        <f>G54+'29'!H54</f>
        <v>24399.77</v>
      </c>
      <c r="I54" s="95"/>
      <c r="J54" s="175">
        <f>H54/DAY(B2)</f>
        <v>813.32566666666673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'29'!F55</f>
        <v>306268.99</v>
      </c>
      <c r="F55" s="145">
        <v>306268.99</v>
      </c>
      <c r="G55" s="112">
        <f t="shared" si="4"/>
        <v>0</v>
      </c>
      <c r="H55" s="99">
        <f>G55+'29'!H55</f>
        <v>-2059.4899999999907</v>
      </c>
      <c r="I55" s="95"/>
      <c r="J55" s="175">
        <f>H55/DAY(B2)</f>
        <v>-68.649666666666363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'29'!F56</f>
        <v>661019</v>
      </c>
      <c r="F56" s="145">
        <v>661019</v>
      </c>
      <c r="G56" s="112">
        <f t="shared" si="4"/>
        <v>0</v>
      </c>
      <c r="H56" s="99">
        <f>G56+'29'!H56</f>
        <v>-194032.55000000005</v>
      </c>
      <c r="I56" s="95"/>
      <c r="J56" s="175">
        <f>H56/DAY(B2)</f>
        <v>-6467.7516666666679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'29'!F57</f>
        <v>7711</v>
      </c>
      <c r="F57" s="145">
        <v>7711</v>
      </c>
      <c r="G57" s="112">
        <f t="shared" si="4"/>
        <v>0</v>
      </c>
      <c r="H57" s="99">
        <f>G57+'29'!H57</f>
        <v>15422</v>
      </c>
      <c r="I57" s="95"/>
      <c r="J57" s="175">
        <f>H57/DAY(B2)</f>
        <v>514.06666666666672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'29'!F58</f>
        <v>66014</v>
      </c>
      <c r="F58" s="145">
        <v>66014</v>
      </c>
      <c r="G58" s="112">
        <f t="shared" si="4"/>
        <v>0</v>
      </c>
      <c r="H58" s="99">
        <f>G58+'29'!H58</f>
        <v>-16060.800000000003</v>
      </c>
      <c r="I58" s="95"/>
      <c r="J58" s="175">
        <f>H58/DAY(B2)</f>
        <v>-535.36000000000013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0</v>
      </c>
      <c r="H59" s="99">
        <f>G59+'29'!H59</f>
        <v>2568228.54</v>
      </c>
      <c r="I59" s="95">
        <f>G7-G60</f>
        <v>23000</v>
      </c>
      <c r="J59" s="175">
        <f>H59/DAY(B2)</f>
        <v>85607.618000000002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0</v>
      </c>
      <c r="H60" s="99">
        <f>G60+'29'!H60</f>
        <v>4850974.9399999995</v>
      </c>
      <c r="I60" s="95">
        <f>G13-G60</f>
        <v>23000</v>
      </c>
      <c r="J60" s="175">
        <f>H60/DAY(B2)</f>
        <v>161699.16466666665</v>
      </c>
      <c r="K60" s="79"/>
      <c r="L60" s="66"/>
      <c r="N60" s="87"/>
      <c r="O60" s="71"/>
    </row>
    <row r="61" spans="1:15" s="68" customFormat="1" ht="30.75" customHeight="1" x14ac:dyDescent="0.5">
      <c r="A61" s="805" t="s">
        <v>332</v>
      </c>
      <c r="B61" s="806"/>
      <c r="C61" s="807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30.75" customHeight="1" x14ac:dyDescent="0.5">
      <c r="A62" s="771" t="s">
        <v>198</v>
      </c>
      <c r="B62" s="772"/>
      <c r="C62" s="773"/>
      <c r="D62" s="151" t="s">
        <v>142</v>
      </c>
      <c r="E62" s="95">
        <f>'29'!F62</f>
        <v>253452</v>
      </c>
      <c r="F62" s="122">
        <v>253452</v>
      </c>
      <c r="G62" s="112">
        <f t="shared" ref="G62:G63" si="5">F62-E62</f>
        <v>0</v>
      </c>
      <c r="H62" s="99">
        <f>G62+'29'!H62</f>
        <v>-7655</v>
      </c>
      <c r="I62" s="118"/>
      <c r="J62" s="175">
        <f>H62/DAY(B2)</f>
        <v>-255.16666666666666</v>
      </c>
      <c r="K62" s="80"/>
      <c r="L62" s="66"/>
      <c r="N62" s="87"/>
      <c r="O62" s="71"/>
    </row>
    <row r="63" spans="1:15" ht="30.75" customHeight="1" x14ac:dyDescent="0.5">
      <c r="A63" s="771" t="s">
        <v>199</v>
      </c>
      <c r="B63" s="772"/>
      <c r="C63" s="773"/>
      <c r="D63" s="151" t="s">
        <v>142</v>
      </c>
      <c r="E63" s="95">
        <f>'29'!F63</f>
        <v>197659</v>
      </c>
      <c r="F63" s="122">
        <v>197659</v>
      </c>
      <c r="G63" s="112">
        <f t="shared" si="5"/>
        <v>0</v>
      </c>
      <c r="H63" s="99">
        <f>G63+'29'!H63</f>
        <v>-11970</v>
      </c>
      <c r="I63" s="118"/>
      <c r="J63" s="175">
        <f>H63/DAY(B2)</f>
        <v>-399</v>
      </c>
      <c r="K63" s="69"/>
      <c r="L63" s="66"/>
      <c r="N63" s="87"/>
      <c r="O63" s="71"/>
    </row>
    <row r="64" spans="1:15" ht="30.75" customHeight="1" x14ac:dyDescent="0.5">
      <c r="A64" s="780" t="s">
        <v>200</v>
      </c>
      <c r="B64" s="781"/>
      <c r="C64" s="782"/>
      <c r="D64" s="151"/>
      <c r="E64" s="95">
        <f>'29'!F64</f>
        <v>0</v>
      </c>
      <c r="F64" s="122"/>
      <c r="G64" s="112">
        <f>G62+G63</f>
        <v>0</v>
      </c>
      <c r="H64" s="99">
        <f>G64+'29'!H64</f>
        <v>-19625</v>
      </c>
      <c r="I64" s="118"/>
      <c r="J64" s="175">
        <f>H64/DAY(B2)</f>
        <v>-654.16666666666663</v>
      </c>
      <c r="K64" s="69"/>
      <c r="L64" s="66"/>
      <c r="N64" s="87"/>
      <c r="O64" s="71"/>
    </row>
    <row r="65" spans="1:15" ht="30.75" customHeight="1" x14ac:dyDescent="0.5">
      <c r="A65" s="771" t="s">
        <v>201</v>
      </c>
      <c r="B65" s="772"/>
      <c r="C65" s="773"/>
      <c r="D65" s="151" t="s">
        <v>142</v>
      </c>
      <c r="E65" s="95">
        <f>'29'!F65</f>
        <v>421019</v>
      </c>
      <c r="F65" s="122">
        <v>421019</v>
      </c>
      <c r="G65" s="112">
        <f t="shared" ref="G65:G70" si="6">F65-E65</f>
        <v>0</v>
      </c>
      <c r="H65" s="99">
        <f>G65+'29'!H65</f>
        <v>-6100</v>
      </c>
      <c r="I65" s="118"/>
      <c r="J65" s="175">
        <f>H65/DAY(B2)</f>
        <v>-203.33333333333334</v>
      </c>
      <c r="K65" s="69"/>
      <c r="L65" s="66"/>
      <c r="N65" s="87"/>
      <c r="O65" s="71"/>
    </row>
    <row r="66" spans="1:15" ht="30.75" customHeight="1" x14ac:dyDescent="0.5">
      <c r="A66" s="365" t="s">
        <v>202</v>
      </c>
      <c r="B66" s="366"/>
      <c r="C66" s="366"/>
      <c r="D66" s="151" t="s">
        <v>142</v>
      </c>
      <c r="E66" s="95">
        <f>'29'!F66</f>
        <v>104636</v>
      </c>
      <c r="F66" s="122">
        <v>104636</v>
      </c>
      <c r="G66" s="112">
        <f t="shared" si="6"/>
        <v>0</v>
      </c>
      <c r="H66" s="99">
        <f>G66+'29'!H66</f>
        <v>-1732</v>
      </c>
      <c r="I66" s="118"/>
      <c r="J66" s="175">
        <f>H66/DAY(B2)</f>
        <v>-57.733333333333334</v>
      </c>
      <c r="K66" s="78"/>
      <c r="L66" s="66"/>
      <c r="N66" s="87"/>
      <c r="O66" s="71"/>
    </row>
    <row r="67" spans="1:15" ht="30.75" customHeight="1" x14ac:dyDescent="0.5">
      <c r="A67" s="365" t="s">
        <v>203</v>
      </c>
      <c r="B67" s="366"/>
      <c r="C67" s="366"/>
      <c r="D67" s="151" t="s">
        <v>142</v>
      </c>
      <c r="E67" s="95">
        <f>'29'!F67</f>
        <v>100370</v>
      </c>
      <c r="F67" s="122">
        <v>100370</v>
      </c>
      <c r="G67" s="112">
        <f t="shared" si="6"/>
        <v>0</v>
      </c>
      <c r="H67" s="99">
        <f>G67+'29'!H67</f>
        <v>-2308</v>
      </c>
      <c r="I67" s="118"/>
      <c r="J67" s="175">
        <f>H67/DAY(B2)</f>
        <v>-76.933333333333337</v>
      </c>
      <c r="K67" s="81"/>
      <c r="L67" s="66"/>
      <c r="N67" s="87"/>
      <c r="O67" s="71"/>
    </row>
    <row r="68" spans="1:15" ht="30.75" customHeight="1" x14ac:dyDescent="0.5">
      <c r="A68" s="365" t="s">
        <v>204</v>
      </c>
      <c r="B68" s="366"/>
      <c r="C68" s="366"/>
      <c r="D68" s="151" t="s">
        <v>142</v>
      </c>
      <c r="E68" s="95">
        <f>'29'!F68</f>
        <v>152135</v>
      </c>
      <c r="F68" s="122">
        <v>152135</v>
      </c>
      <c r="G68" s="112">
        <f t="shared" si="6"/>
        <v>0</v>
      </c>
      <c r="H68" s="99">
        <f>G68+'29'!H68</f>
        <v>-2715</v>
      </c>
      <c r="I68" s="118"/>
      <c r="J68" s="175">
        <f>H68/DAY(B2)</f>
        <v>-90.5</v>
      </c>
      <c r="K68" s="69"/>
      <c r="L68" s="66"/>
      <c r="N68" s="87"/>
      <c r="O68" s="71"/>
    </row>
    <row r="69" spans="1:15" ht="30.75" customHeight="1" x14ac:dyDescent="0.5">
      <c r="A69" s="365" t="s">
        <v>205</v>
      </c>
      <c r="B69" s="366"/>
      <c r="C69" s="366"/>
      <c r="D69" s="151" t="s">
        <v>142</v>
      </c>
      <c r="E69" s="95">
        <f>'29'!F69</f>
        <v>8645</v>
      </c>
      <c r="F69" s="122">
        <v>8645</v>
      </c>
      <c r="G69" s="112">
        <f t="shared" si="6"/>
        <v>0</v>
      </c>
      <c r="H69" s="99">
        <f>G69+'29'!H69</f>
        <v>-1032</v>
      </c>
      <c r="I69" s="118"/>
      <c r="J69" s="175">
        <f>H69/DAY(B2)</f>
        <v>-34.4</v>
      </c>
      <c r="K69" s="69"/>
      <c r="L69" s="66"/>
      <c r="N69" s="87"/>
      <c r="O69" s="71"/>
    </row>
    <row r="70" spans="1:15" ht="30.75" customHeight="1" x14ac:dyDescent="0.5">
      <c r="A70" s="365" t="s">
        <v>206</v>
      </c>
      <c r="B70" s="366"/>
      <c r="C70" s="366"/>
      <c r="D70" s="151" t="s">
        <v>142</v>
      </c>
      <c r="E70" s="95">
        <f>'29'!F70</f>
        <v>6373</v>
      </c>
      <c r="F70" s="122">
        <v>6373</v>
      </c>
      <c r="G70" s="112">
        <f t="shared" si="6"/>
        <v>0</v>
      </c>
      <c r="H70" s="99">
        <f>G70+'29'!H70</f>
        <v>-1059</v>
      </c>
      <c r="I70" s="118"/>
      <c r="J70" s="175">
        <f>H70/DAY(B2)</f>
        <v>-35.299999999999997</v>
      </c>
      <c r="K70" s="69"/>
      <c r="L70" s="66"/>
      <c r="N70" s="87"/>
      <c r="O70" s="71"/>
    </row>
    <row r="71" spans="1:15" ht="30.75" customHeight="1" x14ac:dyDescent="0.5">
      <c r="A71" s="780" t="s">
        <v>208</v>
      </c>
      <c r="B71" s="781"/>
      <c r="C71" s="782"/>
      <c r="D71" s="152"/>
      <c r="E71" s="152"/>
      <c r="F71" s="152"/>
      <c r="G71" s="153">
        <f>SUM(G65:G70)</f>
        <v>0</v>
      </c>
      <c r="H71" s="99">
        <f>G71+'29'!H71</f>
        <v>-14946</v>
      </c>
      <c r="I71" s="154"/>
      <c r="J71" s="175">
        <f>H71/DAY(B2)</f>
        <v>-498.2</v>
      </c>
      <c r="K71" s="69"/>
      <c r="L71" s="66"/>
      <c r="N71" s="87"/>
      <c r="O71" s="71"/>
    </row>
    <row r="72" spans="1:15" s="88" customFormat="1" ht="30.75" customHeight="1" x14ac:dyDescent="0.5">
      <c r="A72" s="767"/>
      <c r="B72" s="752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777" t="s">
        <v>333</v>
      </c>
      <c r="B73" s="778"/>
      <c r="C73" s="779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30.75" customHeight="1" x14ac:dyDescent="0.5">
      <c r="A74" s="771" t="s">
        <v>220</v>
      </c>
      <c r="B74" s="772"/>
      <c r="C74" s="773"/>
      <c r="D74" s="151" t="s">
        <v>139</v>
      </c>
      <c r="E74" s="95">
        <f>'29'!F74</f>
        <v>856352</v>
      </c>
      <c r="F74" s="123">
        <v>856352</v>
      </c>
      <c r="G74" s="112">
        <f t="shared" ref="G74:G78" si="7">F74-E74</f>
        <v>0</v>
      </c>
      <c r="H74" s="99">
        <f>G74+'29'!H74</f>
        <v>-21277.869999999995</v>
      </c>
      <c r="I74" s="154"/>
      <c r="J74" s="175">
        <f>H74/DAY(B2)</f>
        <v>-709.26233333333323</v>
      </c>
      <c r="K74" s="69"/>
      <c r="L74" s="66"/>
      <c r="N74" s="87"/>
      <c r="O74" s="71"/>
    </row>
    <row r="75" spans="1:15" ht="30.75" customHeight="1" x14ac:dyDescent="0.5">
      <c r="A75" s="771" t="s">
        <v>221</v>
      </c>
      <c r="B75" s="772"/>
      <c r="C75" s="773"/>
      <c r="D75" s="151" t="s">
        <v>139</v>
      </c>
      <c r="E75" s="95">
        <f>'29'!F75</f>
        <v>73583.399999999994</v>
      </c>
      <c r="F75" s="123">
        <v>73583.399999999994</v>
      </c>
      <c r="G75" s="112">
        <f t="shared" si="7"/>
        <v>0</v>
      </c>
      <c r="H75" s="99">
        <f>G75+'29'!H75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768" t="s">
        <v>222</v>
      </c>
      <c r="B76" s="769"/>
      <c r="C76" s="770"/>
      <c r="D76" s="151" t="s">
        <v>139</v>
      </c>
      <c r="E76" s="95">
        <f>'29'!F76</f>
        <v>154077</v>
      </c>
      <c r="F76" s="123">
        <v>154077</v>
      </c>
      <c r="G76" s="112">
        <f t="shared" si="7"/>
        <v>0</v>
      </c>
      <c r="H76" s="99">
        <f>G76+'29'!H76</f>
        <v>-7237.9200000000128</v>
      </c>
      <c r="I76" s="154"/>
      <c r="J76" s="175">
        <f>H76/DAY(B2)</f>
        <v>-241.26400000000044</v>
      </c>
      <c r="K76" s="69"/>
      <c r="L76" s="66"/>
      <c r="N76" s="87"/>
      <c r="O76" s="71"/>
    </row>
    <row r="77" spans="1:15" ht="30.75" customHeight="1" x14ac:dyDescent="0.5">
      <c r="A77" s="768" t="s">
        <v>223</v>
      </c>
      <c r="B77" s="769"/>
      <c r="C77" s="770"/>
      <c r="D77" s="151" t="s">
        <v>139</v>
      </c>
      <c r="E77" s="95">
        <f>'29'!F77</f>
        <v>34629</v>
      </c>
      <c r="F77" s="123">
        <v>34629</v>
      </c>
      <c r="G77" s="112">
        <f t="shared" si="7"/>
        <v>0</v>
      </c>
      <c r="H77" s="99">
        <f>G77+'29'!H77</f>
        <v>-3596.8000000000029</v>
      </c>
      <c r="I77" s="154"/>
      <c r="J77" s="175">
        <f>H77/DAY(B2)</f>
        <v>-119.89333333333343</v>
      </c>
      <c r="K77" s="69"/>
      <c r="L77" s="66"/>
      <c r="N77" s="87"/>
      <c r="O77" s="71"/>
    </row>
    <row r="78" spans="1:15" ht="30.75" customHeight="1" x14ac:dyDescent="0.5">
      <c r="A78" s="768" t="s">
        <v>224</v>
      </c>
      <c r="B78" s="769"/>
      <c r="C78" s="770"/>
      <c r="D78" s="151" t="s">
        <v>139</v>
      </c>
      <c r="E78" s="95">
        <f>'29'!F78</f>
        <v>9180</v>
      </c>
      <c r="F78" s="123">
        <v>9180</v>
      </c>
      <c r="G78" s="112">
        <f t="shared" si="7"/>
        <v>0</v>
      </c>
      <c r="H78" s="99">
        <f>G78+'29'!H78</f>
        <v>-180.60000000000036</v>
      </c>
      <c r="I78" s="118"/>
      <c r="J78" s="175">
        <f>H78/DAY(B2)</f>
        <v>-6.020000000000012</v>
      </c>
      <c r="K78" s="69"/>
      <c r="L78" s="66"/>
      <c r="N78" s="87"/>
      <c r="O78" s="71"/>
    </row>
    <row r="79" spans="1:15" s="57" customFormat="1" ht="30.75" customHeight="1" x14ac:dyDescent="0.5">
      <c r="A79" s="768" t="s">
        <v>225</v>
      </c>
      <c r="B79" s="769"/>
      <c r="C79" s="770"/>
      <c r="D79" s="151"/>
      <c r="E79" s="95">
        <f>'29'!F79</f>
        <v>0</v>
      </c>
      <c r="F79" s="117"/>
      <c r="G79" s="112">
        <f>G15-SUM(G74:G78)</f>
        <v>875</v>
      </c>
      <c r="H79" s="99">
        <f>G79+'29'!H79</f>
        <v>60578.072999999924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780" t="s">
        <v>329</v>
      </c>
      <c r="B80" s="781"/>
      <c r="C80" s="782"/>
      <c r="D80" s="151"/>
      <c r="E80" s="117"/>
      <c r="F80" s="117"/>
      <c r="G80" s="112">
        <f>SUM(G74:G79)</f>
        <v>875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785" t="s">
        <v>226</v>
      </c>
      <c r="B81" s="786"/>
      <c r="C81" s="787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65" t="s">
        <v>227</v>
      </c>
      <c r="B82" s="366"/>
      <c r="C82" s="366"/>
      <c r="D82" s="151" t="s">
        <v>228</v>
      </c>
      <c r="E82" s="95">
        <f>'29'!F82</f>
        <v>0</v>
      </c>
      <c r="F82" s="122"/>
      <c r="G82" s="112">
        <f t="shared" ref="G82:G92" si="8">F82-E82</f>
        <v>0</v>
      </c>
      <c r="H82" s="99">
        <f>G82+'29'!H82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65" t="s">
        <v>229</v>
      </c>
      <c r="B83" s="366"/>
      <c r="C83" s="366"/>
      <c r="D83" s="151" t="s">
        <v>228</v>
      </c>
      <c r="E83" s="95">
        <f>'29'!F83</f>
        <v>0</v>
      </c>
      <c r="F83" s="122"/>
      <c r="G83" s="112">
        <f t="shared" si="8"/>
        <v>0</v>
      </c>
      <c r="H83" s="99">
        <f>G83+'29'!H83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65" t="s">
        <v>230</v>
      </c>
      <c r="B84" s="366"/>
      <c r="C84" s="366"/>
      <c r="D84" s="151" t="s">
        <v>228</v>
      </c>
      <c r="E84" s="95">
        <f>'29'!F84</f>
        <v>40922</v>
      </c>
      <c r="F84" s="164">
        <v>40922</v>
      </c>
      <c r="G84" s="112">
        <f t="shared" si="8"/>
        <v>0</v>
      </c>
      <c r="H84" s="99">
        <f>G84+'29'!H84</f>
        <v>-774.19000000000233</v>
      </c>
      <c r="I84" s="118"/>
      <c r="J84" s="175">
        <f>H84/DAY(B2)</f>
        <v>-25.806333333333409</v>
      </c>
      <c r="O84" s="71"/>
    </row>
    <row r="85" spans="1:15" ht="30.75" customHeight="1" x14ac:dyDescent="0.5">
      <c r="A85" s="365" t="s">
        <v>231</v>
      </c>
      <c r="B85" s="366"/>
      <c r="C85" s="366"/>
      <c r="D85" s="151" t="s">
        <v>228</v>
      </c>
      <c r="E85" s="95">
        <f>'29'!F85</f>
        <v>856</v>
      </c>
      <c r="F85" s="164">
        <v>856</v>
      </c>
      <c r="G85" s="112">
        <f t="shared" si="8"/>
        <v>0</v>
      </c>
      <c r="H85" s="99">
        <f>G85+'29'!H85</f>
        <v>-761.45</v>
      </c>
      <c r="I85" s="118">
        <f>G82+G83+G84+G85</f>
        <v>0</v>
      </c>
      <c r="J85" s="175">
        <f>H85/DAY(B2)</f>
        <v>-25.381666666666668</v>
      </c>
      <c r="O85" s="71"/>
    </row>
    <row r="86" spans="1:15" ht="30.75" customHeight="1" x14ac:dyDescent="0.5">
      <c r="A86" s="365" t="s">
        <v>232</v>
      </c>
      <c r="B86" s="366"/>
      <c r="C86" s="366"/>
      <c r="D86" s="151" t="s">
        <v>228</v>
      </c>
      <c r="E86" s="95">
        <f>'29'!F86</f>
        <v>42822</v>
      </c>
      <c r="F86" s="164">
        <v>42822</v>
      </c>
      <c r="G86" s="112">
        <f t="shared" si="8"/>
        <v>0</v>
      </c>
      <c r="H86" s="99">
        <f>G86+'29'!H86</f>
        <v>-8.4700000000011642</v>
      </c>
      <c r="I86" s="118"/>
      <c r="J86" s="175">
        <f>H86/DAY(B2)</f>
        <v>-0.28233333333337213</v>
      </c>
      <c r="O86" s="71"/>
    </row>
    <row r="87" spans="1:15" ht="30.75" customHeight="1" x14ac:dyDescent="0.5">
      <c r="A87" s="365" t="s">
        <v>233</v>
      </c>
      <c r="B87" s="366"/>
      <c r="C87" s="366"/>
      <c r="D87" s="151" t="s">
        <v>228</v>
      </c>
      <c r="E87" s="95">
        <f>'29'!F87</f>
        <v>32928</v>
      </c>
      <c r="F87" s="164">
        <v>32928</v>
      </c>
      <c r="G87" s="112">
        <f t="shared" si="8"/>
        <v>0</v>
      </c>
      <c r="H87" s="99">
        <f>G87+'29'!H87</f>
        <v>-921.2300000000032</v>
      </c>
      <c r="I87" s="118"/>
      <c r="J87" s="175">
        <f>H87/DAY(B2)</f>
        <v>-30.707666666666775</v>
      </c>
      <c r="O87" s="71"/>
    </row>
    <row r="88" spans="1:15" ht="30.75" customHeight="1" x14ac:dyDescent="0.5">
      <c r="A88" s="365" t="s">
        <v>234</v>
      </c>
      <c r="B88" s="366"/>
      <c r="C88" s="366"/>
      <c r="D88" s="151" t="s">
        <v>228</v>
      </c>
      <c r="E88" s="95">
        <f>'29'!F88</f>
        <v>23356.43</v>
      </c>
      <c r="F88" s="164">
        <v>23356.43</v>
      </c>
      <c r="G88" s="112">
        <f t="shared" si="8"/>
        <v>0</v>
      </c>
      <c r="H88" s="99">
        <f>G88+'29'!H88</f>
        <v>-580.34000000000015</v>
      </c>
      <c r="I88" s="118">
        <f>G86+G87+G88</f>
        <v>0</v>
      </c>
      <c r="J88" s="175">
        <f>H88/DAY(B2)</f>
        <v>-19.344666666666672</v>
      </c>
      <c r="O88" s="71"/>
    </row>
    <row r="89" spans="1:15" ht="30.75" customHeight="1" x14ac:dyDescent="0.5">
      <c r="A89" s="365" t="s">
        <v>235</v>
      </c>
      <c r="B89" s="366"/>
      <c r="C89" s="366"/>
      <c r="D89" s="151" t="s">
        <v>228</v>
      </c>
      <c r="E89" s="95">
        <f>'29'!F89</f>
        <v>25132.959999999999</v>
      </c>
      <c r="F89" s="164">
        <v>25132.959999999999</v>
      </c>
      <c r="G89" s="112">
        <f t="shared" si="8"/>
        <v>0</v>
      </c>
      <c r="H89" s="99">
        <f>G89+'29'!H89</f>
        <v>-163.57300000000032</v>
      </c>
      <c r="I89" s="118"/>
      <c r="J89" s="175">
        <f>H89/DAY(B2)</f>
        <v>-5.4524333333333441</v>
      </c>
      <c r="O89" s="71"/>
    </row>
    <row r="90" spans="1:15" ht="30.75" customHeight="1" x14ac:dyDescent="0.5">
      <c r="A90" s="365" t="s">
        <v>236</v>
      </c>
      <c r="B90" s="366"/>
      <c r="C90" s="366"/>
      <c r="D90" s="151" t="s">
        <v>228</v>
      </c>
      <c r="E90" s="95">
        <f>'29'!F90</f>
        <v>70524.55</v>
      </c>
      <c r="F90" s="164">
        <v>70524.55</v>
      </c>
      <c r="G90" s="112">
        <f t="shared" si="8"/>
        <v>0</v>
      </c>
      <c r="H90" s="99">
        <f>G90+'29'!H90</f>
        <v>-72.10999999998603</v>
      </c>
      <c r="I90" s="118">
        <f>G89+G90</f>
        <v>0</v>
      </c>
      <c r="J90" s="175">
        <f>H90/DAY(B2)</f>
        <v>-2.4036666666662012</v>
      </c>
      <c r="O90" s="71"/>
    </row>
    <row r="91" spans="1:15" ht="30.75" customHeight="1" x14ac:dyDescent="0.5">
      <c r="A91" s="365" t="s">
        <v>237</v>
      </c>
      <c r="B91" s="366"/>
      <c r="C91" s="366"/>
      <c r="D91" s="151" t="s">
        <v>228</v>
      </c>
      <c r="E91" s="95">
        <f>'29'!F91</f>
        <v>2627.98</v>
      </c>
      <c r="F91" s="122">
        <v>2627.98</v>
      </c>
      <c r="G91" s="112">
        <f t="shared" si="8"/>
        <v>0</v>
      </c>
      <c r="H91" s="99">
        <f>G91+'29'!H91</f>
        <v>-779.37999999999965</v>
      </c>
      <c r="I91" s="165"/>
      <c r="J91" s="175">
        <f>H91/DAY(B2)</f>
        <v>-25.979333333333322</v>
      </c>
      <c r="O91" s="71"/>
    </row>
    <row r="92" spans="1:15" ht="30.75" customHeight="1" x14ac:dyDescent="0.5">
      <c r="A92" s="365" t="s">
        <v>238</v>
      </c>
      <c r="B92" s="366"/>
      <c r="C92" s="366"/>
      <c r="D92" s="151" t="s">
        <v>228</v>
      </c>
      <c r="E92" s="95">
        <f>'29'!F92</f>
        <v>4754</v>
      </c>
      <c r="F92" s="122">
        <v>4754</v>
      </c>
      <c r="G92" s="112">
        <f t="shared" si="8"/>
        <v>0</v>
      </c>
      <c r="H92" s="99">
        <f>G92+'29'!H92</f>
        <v>-8.4600000000000364</v>
      </c>
      <c r="I92" s="165"/>
      <c r="J92" s="175">
        <f>H92/DAY(B2)</f>
        <v>-0.28200000000000119</v>
      </c>
      <c r="O92" s="71"/>
    </row>
    <row r="93" spans="1:15" ht="30.75" customHeight="1" x14ac:dyDescent="0.5">
      <c r="A93" s="774" t="s">
        <v>239</v>
      </c>
      <c r="B93" s="775"/>
      <c r="C93" s="77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771" t="s">
        <v>240</v>
      </c>
      <c r="B94" s="772"/>
      <c r="C94" s="773"/>
      <c r="D94" s="151" t="s">
        <v>130</v>
      </c>
      <c r="E94" s="151"/>
      <c r="F94" s="151"/>
      <c r="G94" s="99">
        <f>G35+G43+G49+G57</f>
        <v>0</v>
      </c>
      <c r="H94" s="99">
        <f>G94+'29'!H94</f>
        <v>2532505.96</v>
      </c>
      <c r="I94" s="118"/>
      <c r="J94" s="175">
        <f>H94/DAY(B2)</f>
        <v>84416.865333333335</v>
      </c>
      <c r="K94" s="69"/>
      <c r="L94" s="66"/>
      <c r="O94" s="71"/>
    </row>
    <row r="95" spans="1:15" ht="30.75" customHeight="1" x14ac:dyDescent="0.5">
      <c r="A95" s="771" t="s">
        <v>241</v>
      </c>
      <c r="B95" s="772"/>
      <c r="C95" s="773"/>
      <c r="D95" s="151" t="s">
        <v>23</v>
      </c>
      <c r="E95" s="146"/>
      <c r="F95" s="146"/>
      <c r="G95" s="166">
        <f>G94/G7</f>
        <v>0</v>
      </c>
      <c r="H95" s="99">
        <f>G95+'29'!H95</f>
        <v>110.05863639047362</v>
      </c>
      <c r="I95" s="167"/>
      <c r="J95" s="175">
        <f>H95/DAY(B2)</f>
        <v>3.6686212130157876</v>
      </c>
      <c r="K95" s="69"/>
      <c r="L95" s="66"/>
      <c r="O95" s="71"/>
    </row>
    <row r="96" spans="1:15" ht="30.75" customHeight="1" x14ac:dyDescent="0.5">
      <c r="A96" s="771" t="s">
        <v>242</v>
      </c>
      <c r="B96" s="772"/>
      <c r="C96" s="773"/>
      <c r="D96" s="151" t="s">
        <v>130</v>
      </c>
      <c r="E96" s="95"/>
      <c r="F96" s="95"/>
      <c r="G96" s="99">
        <f>G41+G42+G55+G56</f>
        <v>0</v>
      </c>
      <c r="H96" s="99">
        <f>G96+'29'!H96</f>
        <v>-535950.2100000002</v>
      </c>
      <c r="I96" s="118"/>
      <c r="J96" s="175">
        <f>H96/DAY(B2)</f>
        <v>-17865.007000000005</v>
      </c>
      <c r="K96" s="69"/>
      <c r="L96" s="66"/>
      <c r="O96" s="71"/>
    </row>
    <row r="97" spans="1:15" ht="30.75" customHeight="1" x14ac:dyDescent="0.5">
      <c r="A97" s="771" t="s">
        <v>243</v>
      </c>
      <c r="B97" s="772"/>
      <c r="C97" s="773"/>
      <c r="D97" s="151" t="s">
        <v>23</v>
      </c>
      <c r="E97" s="95"/>
      <c r="F97" s="95"/>
      <c r="G97" s="166">
        <f>G96/G7</f>
        <v>0</v>
      </c>
      <c r="H97" s="99">
        <f>G97+'29'!H97</f>
        <v>-23.376968076147254</v>
      </c>
      <c r="I97" s="167"/>
      <c r="J97" s="175">
        <f>H97/DAY(B2)</f>
        <v>-0.7792322692049084</v>
      </c>
      <c r="K97" s="69"/>
      <c r="L97" s="66"/>
      <c r="O97" s="71"/>
    </row>
    <row r="98" spans="1:15" ht="30.75" customHeight="1" x14ac:dyDescent="0.5">
      <c r="A98" s="771" t="s">
        <v>244</v>
      </c>
      <c r="B98" s="772"/>
      <c r="C98" s="773"/>
      <c r="D98" s="151" t="s">
        <v>130</v>
      </c>
      <c r="E98" s="95"/>
      <c r="F98" s="95"/>
      <c r="G98" s="99">
        <f>G39+G53</f>
        <v>0</v>
      </c>
      <c r="H98" s="99">
        <f>G98+'29'!H98</f>
        <v>1826698.97</v>
      </c>
      <c r="I98" s="168"/>
      <c r="J98" s="175">
        <f>H98/DAY(B2)</f>
        <v>60889.965666666663</v>
      </c>
      <c r="K98" s="69"/>
      <c r="L98" s="66"/>
      <c r="O98" s="71"/>
    </row>
    <row r="99" spans="1:15" ht="30.75" customHeight="1" x14ac:dyDescent="0.5">
      <c r="A99" s="771" t="s">
        <v>245</v>
      </c>
      <c r="B99" s="772"/>
      <c r="C99" s="773"/>
      <c r="D99" s="151" t="s">
        <v>23</v>
      </c>
      <c r="E99" s="95"/>
      <c r="F99" s="95"/>
      <c r="G99" s="166">
        <f>G98/G7</f>
        <v>0</v>
      </c>
      <c r="H99" s="99">
        <f>G99+'29'!H99</f>
        <v>79.385711690839827</v>
      </c>
      <c r="I99" s="168"/>
      <c r="J99" s="175">
        <f>H99/DAY(B2)</f>
        <v>2.6461903896946608</v>
      </c>
      <c r="O99" s="71"/>
    </row>
    <row r="100" spans="1:15" ht="30.75" customHeight="1" x14ac:dyDescent="0.5">
      <c r="A100" s="771" t="s">
        <v>246</v>
      </c>
      <c r="B100" s="772"/>
      <c r="C100" s="773"/>
      <c r="D100" s="151" t="s">
        <v>180</v>
      </c>
      <c r="E100" s="95"/>
      <c r="F100" s="95"/>
      <c r="G100" s="99">
        <f>G38+G52</f>
        <v>0</v>
      </c>
      <c r="H100" s="99">
        <f>G100+'29'!H100</f>
        <v>942134.4</v>
      </c>
      <c r="I100" s="118"/>
      <c r="J100" s="175">
        <f>H100/DAY(B2)</f>
        <v>31404.48</v>
      </c>
      <c r="K100" s="70"/>
      <c r="O100" s="71"/>
    </row>
    <row r="101" spans="1:15" ht="30.75" customHeight="1" x14ac:dyDescent="0.5">
      <c r="A101" s="771" t="s">
        <v>247</v>
      </c>
      <c r="B101" s="772"/>
      <c r="C101" s="773"/>
      <c r="D101" s="151" t="s">
        <v>23</v>
      </c>
      <c r="E101" s="95"/>
      <c r="F101" s="95"/>
      <c r="G101" s="166">
        <f>G100/G7</f>
        <v>0</v>
      </c>
      <c r="H101" s="99">
        <f>G101+'29'!H101</f>
        <v>40.946365636236884</v>
      </c>
      <c r="I101" s="168"/>
      <c r="J101" s="175">
        <f>H101/DAY(B2)</f>
        <v>1.3648788545412294</v>
      </c>
      <c r="O101" s="71"/>
    </row>
    <row r="102" spans="1:15" ht="30.75" customHeight="1" x14ac:dyDescent="0.5">
      <c r="A102" s="771" t="s">
        <v>248</v>
      </c>
      <c r="B102" s="772"/>
      <c r="C102" s="773"/>
      <c r="D102" s="151" t="s">
        <v>180</v>
      </c>
      <c r="E102" s="95"/>
      <c r="F102" s="95"/>
      <c r="G102" s="99">
        <f>G36+G50</f>
        <v>0</v>
      </c>
      <c r="H102" s="99">
        <f>G102+'29'!H102</f>
        <v>-150960.04999999996</v>
      </c>
      <c r="I102" s="168"/>
      <c r="J102" s="175">
        <f>H102/DAY(B2)</f>
        <v>-5032.0016666666652</v>
      </c>
      <c r="O102" s="71"/>
    </row>
    <row r="103" spans="1:15" ht="30.75" customHeight="1" x14ac:dyDescent="0.5">
      <c r="A103" s="771" t="s">
        <v>249</v>
      </c>
      <c r="B103" s="772"/>
      <c r="C103" s="773"/>
      <c r="D103" s="151" t="s">
        <v>23</v>
      </c>
      <c r="E103" s="95"/>
      <c r="F103" s="95"/>
      <c r="G103" s="166">
        <f>G102/G7</f>
        <v>0</v>
      </c>
      <c r="H103" s="99">
        <f>G103+'29'!H103</f>
        <v>-6.5833689420489332</v>
      </c>
      <c r="I103" s="118"/>
      <c r="J103" s="175">
        <f>H103/DAY(B2)</f>
        <v>-0.21944563140163112</v>
      </c>
      <c r="O103" s="71"/>
    </row>
    <row r="104" spans="1:15" ht="30.75" customHeight="1" x14ac:dyDescent="0.5">
      <c r="A104" s="771" t="s">
        <v>250</v>
      </c>
      <c r="B104" s="772"/>
      <c r="C104" s="773"/>
      <c r="D104" s="151" t="s">
        <v>180</v>
      </c>
      <c r="E104" s="95"/>
      <c r="F104" s="95"/>
      <c r="G104" s="99">
        <f>G37+G51</f>
        <v>0</v>
      </c>
      <c r="H104" s="99">
        <f>G104+'29'!H104</f>
        <v>157413.13</v>
      </c>
      <c r="I104" s="118"/>
      <c r="J104" s="175">
        <f>H104/DAY(B2)</f>
        <v>5247.1043333333337</v>
      </c>
      <c r="O104" s="71"/>
    </row>
    <row r="105" spans="1:15" ht="30.75" customHeight="1" thickBot="1" x14ac:dyDescent="0.55000000000000004">
      <c r="A105" s="764" t="s">
        <v>251</v>
      </c>
      <c r="B105" s="765"/>
      <c r="C105" s="766"/>
      <c r="D105" s="231" t="s">
        <v>23</v>
      </c>
      <c r="E105" s="185"/>
      <c r="F105" s="185"/>
      <c r="G105" s="186">
        <f>G104/G7</f>
        <v>0</v>
      </c>
      <c r="H105" s="99">
        <f>G105+'29'!H105</f>
        <v>6.8301240046325189</v>
      </c>
      <c r="I105" s="187"/>
      <c r="J105" s="188">
        <f>H105/DAY(B2)</f>
        <v>0.22767080015441729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760" t="s">
        <v>324</v>
      </c>
      <c r="B108" s="760"/>
      <c r="C108" s="760"/>
      <c r="D108" s="760"/>
      <c r="E108" s="760"/>
      <c r="F108" s="760"/>
      <c r="G108" s="760"/>
      <c r="H108" s="760"/>
      <c r="I108" s="760"/>
      <c r="J108" s="760"/>
    </row>
    <row r="109" spans="1:15" ht="30.75" customHeight="1" x14ac:dyDescent="0.5">
      <c r="A109" s="788"/>
      <c r="B109" s="788"/>
    </row>
    <row r="110" spans="1:15" ht="30.75" customHeight="1" x14ac:dyDescent="0.5">
      <c r="A110" s="761" t="s">
        <v>165</v>
      </c>
      <c r="B110" s="762"/>
      <c r="C110" s="762"/>
      <c r="D110" s="762"/>
      <c r="E110" s="762"/>
      <c r="F110" s="762"/>
      <c r="G110" s="762"/>
      <c r="H110" s="762"/>
      <c r="I110" s="762"/>
      <c r="J110" s="763"/>
    </row>
    <row r="111" spans="1:15" ht="30.75" customHeight="1" x14ac:dyDescent="0.5">
      <c r="A111" s="753"/>
      <c r="B111" s="754"/>
      <c r="C111" s="755"/>
      <c r="D111" s="165"/>
      <c r="E111" s="165"/>
      <c r="F111" s="165"/>
      <c r="G111" s="165"/>
      <c r="H111" s="156"/>
      <c r="I111" s="165"/>
      <c r="J111" s="347"/>
    </row>
    <row r="112" spans="1:15" ht="30.75" customHeight="1" x14ac:dyDescent="0.5">
      <c r="A112" s="750" t="s">
        <v>252</v>
      </c>
      <c r="B112" s="751"/>
      <c r="C112" s="752"/>
      <c r="D112" s="146" t="s">
        <v>183</v>
      </c>
      <c r="E112" s="95">
        <f>'29'!F112</f>
        <v>38434</v>
      </c>
      <c r="F112" s="237">
        <v>38434</v>
      </c>
      <c r="G112" s="112">
        <f t="shared" ref="G112:G123" si="9">F112-E112</f>
        <v>0</v>
      </c>
      <c r="H112" s="99">
        <f>G112+'29'!H112</f>
        <v>-21107.82</v>
      </c>
      <c r="I112" s="165"/>
      <c r="J112" s="348">
        <f>H112/DAY(B2)</f>
        <v>-703.59399999999994</v>
      </c>
    </row>
    <row r="113" spans="1:18" ht="30.75" customHeight="1" x14ac:dyDescent="0.5">
      <c r="A113" s="750" t="s">
        <v>253</v>
      </c>
      <c r="B113" s="751"/>
      <c r="C113" s="752"/>
      <c r="D113" s="146" t="s">
        <v>183</v>
      </c>
      <c r="E113" s="95">
        <f>'29'!F113</f>
        <v>94790</v>
      </c>
      <c r="F113" s="237">
        <v>94790</v>
      </c>
      <c r="G113" s="112">
        <f t="shared" si="9"/>
        <v>0</v>
      </c>
      <c r="H113" s="99">
        <f>G113+'29'!H113</f>
        <v>-119257.45000000001</v>
      </c>
      <c r="I113" s="165"/>
      <c r="J113" s="348">
        <f>H113/DAY(B2)</f>
        <v>-3975.2483333333339</v>
      </c>
    </row>
    <row r="114" spans="1:18" ht="30.75" customHeight="1" x14ac:dyDescent="0.5">
      <c r="A114" s="750" t="s">
        <v>254</v>
      </c>
      <c r="B114" s="751"/>
      <c r="C114" s="752"/>
      <c r="D114" s="146" t="s">
        <v>183</v>
      </c>
      <c r="E114" s="95">
        <f>'29'!F114</f>
        <v>44933</v>
      </c>
      <c r="F114" s="237">
        <v>44933</v>
      </c>
      <c r="G114" s="112">
        <f t="shared" si="9"/>
        <v>0</v>
      </c>
      <c r="H114" s="99">
        <f>G114+'29'!H114</f>
        <v>92743.9</v>
      </c>
      <c r="I114" s="165"/>
      <c r="J114" s="348">
        <f>H114/DAY(B2)</f>
        <v>3091.4633333333331</v>
      </c>
    </row>
    <row r="115" spans="1:18" ht="30.75" customHeight="1" x14ac:dyDescent="0.5">
      <c r="A115" s="750" t="s">
        <v>255</v>
      </c>
      <c r="B115" s="751"/>
      <c r="C115" s="752"/>
      <c r="D115" s="146" t="s">
        <v>183</v>
      </c>
      <c r="E115" s="95">
        <f>'29'!F115</f>
        <v>6560</v>
      </c>
      <c r="F115" s="237">
        <v>6560</v>
      </c>
      <c r="G115" s="112">
        <f t="shared" si="9"/>
        <v>0</v>
      </c>
      <c r="H115" s="99">
        <f>G115+'29'!H115</f>
        <v>-2561.4399999999996</v>
      </c>
      <c r="I115" s="165"/>
      <c r="J115" s="348">
        <f>H115/DAY(B2)</f>
        <v>-85.381333333333316</v>
      </c>
    </row>
    <row r="116" spans="1:18" ht="30.75" customHeight="1" x14ac:dyDescent="0.5">
      <c r="A116" s="757" t="s">
        <v>96</v>
      </c>
      <c r="B116" s="758"/>
      <c r="C116" s="759"/>
      <c r="D116" s="146" t="s">
        <v>183</v>
      </c>
      <c r="E116" s="95">
        <f>'29'!F116</f>
        <v>44933</v>
      </c>
      <c r="F116" s="237">
        <v>44933</v>
      </c>
      <c r="G116" s="112">
        <f t="shared" si="9"/>
        <v>0</v>
      </c>
      <c r="H116" s="99">
        <f>G116+'29'!H116</f>
        <v>89866</v>
      </c>
      <c r="I116" s="165"/>
      <c r="J116" s="348">
        <f>H116/DAY(B2)</f>
        <v>2995.5333333333333</v>
      </c>
      <c r="Q116" s="750" t="s">
        <v>311</v>
      </c>
      <c r="R116" s="752"/>
    </row>
    <row r="117" spans="1:18" ht="30.75" customHeight="1" x14ac:dyDescent="0.5">
      <c r="A117" s="757" t="s">
        <v>184</v>
      </c>
      <c r="B117" s="758"/>
      <c r="C117" s="759"/>
      <c r="D117" s="146" t="s">
        <v>183</v>
      </c>
      <c r="E117" s="95">
        <f>'29'!F117</f>
        <v>44933</v>
      </c>
      <c r="F117" s="237">
        <v>44933</v>
      </c>
      <c r="G117" s="112">
        <f t="shared" si="9"/>
        <v>0</v>
      </c>
      <c r="H117" s="99">
        <f>G117+'29'!H117</f>
        <v>88625.98000000001</v>
      </c>
      <c r="I117" s="165"/>
      <c r="J117" s="348">
        <f>H117/DAY(B2)</f>
        <v>2954.1993333333335</v>
      </c>
      <c r="Q117" s="750" t="s">
        <v>312</v>
      </c>
      <c r="R117" s="752"/>
    </row>
    <row r="118" spans="1:18" ht="30.75" customHeight="1" x14ac:dyDescent="0.5">
      <c r="A118" s="749" t="s">
        <v>97</v>
      </c>
      <c r="B118" s="749"/>
      <c r="C118" s="749"/>
      <c r="D118" s="151" t="s">
        <v>183</v>
      </c>
      <c r="E118" s="95">
        <f>'29'!F118</f>
        <v>44933</v>
      </c>
      <c r="F118" s="237">
        <v>44933</v>
      </c>
      <c r="G118" s="112">
        <f t="shared" si="9"/>
        <v>0</v>
      </c>
      <c r="H118" s="99">
        <f>G118+'29'!H118</f>
        <v>-330033.39</v>
      </c>
      <c r="I118" s="165"/>
      <c r="J118" s="348">
        <f>H118/DAY(B2)</f>
        <v>-11001.113000000001</v>
      </c>
      <c r="Q118" s="750" t="s">
        <v>311</v>
      </c>
      <c r="R118" s="752"/>
    </row>
    <row r="119" spans="1:18" ht="30.75" customHeight="1" x14ac:dyDescent="0.5">
      <c r="A119" s="749" t="s">
        <v>98</v>
      </c>
      <c r="B119" s="749"/>
      <c r="C119" s="749"/>
      <c r="D119" s="151" t="s">
        <v>183</v>
      </c>
      <c r="E119" s="95">
        <f>'29'!F119</f>
        <v>44933</v>
      </c>
      <c r="F119" s="237">
        <v>44933</v>
      </c>
      <c r="G119" s="112">
        <f t="shared" si="9"/>
        <v>0</v>
      </c>
      <c r="H119" s="99">
        <f>G119+'29'!H119</f>
        <v>-329315.05</v>
      </c>
      <c r="I119" s="165"/>
      <c r="J119" s="348">
        <f>H119/DAY(B2)</f>
        <v>-10977.168333333333</v>
      </c>
    </row>
    <row r="120" spans="1:18" ht="30.75" customHeight="1" x14ac:dyDescent="0.5">
      <c r="A120" s="749" t="s">
        <v>99</v>
      </c>
      <c r="B120" s="749"/>
      <c r="C120" s="749"/>
      <c r="D120" s="151" t="s">
        <v>183</v>
      </c>
      <c r="E120" s="95">
        <f>'29'!F120</f>
        <v>44933</v>
      </c>
      <c r="F120" s="237">
        <v>44933</v>
      </c>
      <c r="G120" s="112">
        <f t="shared" si="9"/>
        <v>0</v>
      </c>
      <c r="H120" s="99">
        <f>G120+'29'!H120</f>
        <v>71927.510000000009</v>
      </c>
      <c r="I120" s="165"/>
      <c r="J120" s="348">
        <f>H120/DAY(B2)</f>
        <v>2397.5836666666669</v>
      </c>
    </row>
    <row r="121" spans="1:18" ht="30.75" customHeight="1" x14ac:dyDescent="0.5">
      <c r="A121" s="749" t="s">
        <v>100</v>
      </c>
      <c r="B121" s="749"/>
      <c r="C121" s="749"/>
      <c r="D121" s="151" t="s">
        <v>183</v>
      </c>
      <c r="E121" s="95">
        <f>'29'!F121</f>
        <v>44933</v>
      </c>
      <c r="F121" s="237">
        <v>44933</v>
      </c>
      <c r="G121" s="112">
        <f t="shared" si="9"/>
        <v>0</v>
      </c>
      <c r="H121" s="99">
        <f>G121+'29'!H121</f>
        <v>-541106.63</v>
      </c>
      <c r="I121" s="165"/>
      <c r="J121" s="348">
        <f>H121/DAY(B2)</f>
        <v>-18036.887666666666</v>
      </c>
    </row>
    <row r="122" spans="1:18" ht="30.75" customHeight="1" x14ac:dyDescent="0.5">
      <c r="A122" s="749" t="s">
        <v>101</v>
      </c>
      <c r="B122" s="749"/>
      <c r="C122" s="749"/>
      <c r="D122" s="151" t="s">
        <v>183</v>
      </c>
      <c r="E122" s="95">
        <f>'29'!F122</f>
        <v>44933</v>
      </c>
      <c r="F122" s="237">
        <v>44933</v>
      </c>
      <c r="G122" s="112">
        <f t="shared" si="9"/>
        <v>0</v>
      </c>
      <c r="H122" s="99">
        <f>G122+'29'!H122</f>
        <v>-98745.64</v>
      </c>
      <c r="I122" s="165"/>
      <c r="J122" s="348">
        <f>H122/DAY(B2)</f>
        <v>-3291.5213333333331</v>
      </c>
    </row>
    <row r="123" spans="1:18" ht="30.75" customHeight="1" x14ac:dyDescent="0.5">
      <c r="A123" s="749" t="s">
        <v>102</v>
      </c>
      <c r="B123" s="749"/>
      <c r="C123" s="749"/>
      <c r="D123" s="151" t="s">
        <v>183</v>
      </c>
      <c r="E123" s="95">
        <f>'29'!F123</f>
        <v>44933</v>
      </c>
      <c r="F123" s="237">
        <v>44933</v>
      </c>
      <c r="G123" s="112">
        <f t="shared" si="9"/>
        <v>0</v>
      </c>
      <c r="H123" s="99">
        <f>G123+'29'!H123</f>
        <v>-146917.34</v>
      </c>
      <c r="I123" s="165"/>
      <c r="J123" s="348">
        <f>H123/DAY(B2)</f>
        <v>-4897.2446666666665</v>
      </c>
    </row>
    <row r="124" spans="1:18" ht="30.75" customHeight="1" x14ac:dyDescent="0.5">
      <c r="A124" s="753"/>
      <c r="B124" s="754"/>
      <c r="C124" s="755"/>
      <c r="D124" s="165"/>
      <c r="E124" s="95">
        <f>'29'!F124</f>
        <v>0</v>
      </c>
      <c r="F124" s="165"/>
      <c r="G124" s="347"/>
      <c r="H124" s="99">
        <f>G124+'29'!H124</f>
        <v>0</v>
      </c>
      <c r="I124" s="165"/>
      <c r="J124" s="347"/>
    </row>
    <row r="125" spans="1:18" ht="30.75" customHeight="1" x14ac:dyDescent="0.5">
      <c r="A125" s="737"/>
      <c r="B125" s="737"/>
      <c r="C125" s="246"/>
      <c r="D125" s="317"/>
      <c r="E125" s="318"/>
      <c r="F125" s="318"/>
      <c r="G125" s="319"/>
      <c r="H125" s="156"/>
      <c r="I125" s="165"/>
      <c r="J125" s="347"/>
    </row>
    <row r="126" spans="1:18" ht="30.75" customHeight="1" x14ac:dyDescent="0.5">
      <c r="A126" s="756" t="s">
        <v>317</v>
      </c>
      <c r="B126" s="756"/>
      <c r="C126" s="756"/>
      <c r="D126" s="756"/>
      <c r="E126" s="756"/>
      <c r="F126" s="756"/>
      <c r="G126" s="756"/>
      <c r="H126" s="756"/>
      <c r="I126" s="756"/>
      <c r="J126" s="756"/>
    </row>
    <row r="127" spans="1:18" ht="30.75" customHeight="1" x14ac:dyDescent="0.5">
      <c r="A127" s="737"/>
      <c r="B127" s="737"/>
      <c r="C127" s="246"/>
      <c r="D127" s="317"/>
      <c r="E127" s="318"/>
      <c r="F127" s="318"/>
      <c r="G127" s="319"/>
      <c r="H127" s="99">
        <f>G127+'29'!H127</f>
        <v>0</v>
      </c>
      <c r="I127" s="165"/>
      <c r="J127" s="348">
        <f>H127/DAY(B2)</f>
        <v>0</v>
      </c>
    </row>
    <row r="128" spans="1:18" ht="30.75" customHeight="1" x14ac:dyDescent="0.5">
      <c r="A128" s="750" t="s">
        <v>318</v>
      </c>
      <c r="B128" s="751"/>
      <c r="C128" s="752"/>
      <c r="D128" s="151" t="s">
        <v>183</v>
      </c>
      <c r="E128" s="95">
        <f>'29'!F128</f>
        <v>0</v>
      </c>
      <c r="F128" s="165"/>
      <c r="G128" s="112">
        <f t="shared" ref="G128:G134" si="10">F128-E128</f>
        <v>0</v>
      </c>
      <c r="H128" s="99">
        <f>G128+'29'!H128</f>
        <v>-20837.400000000001</v>
      </c>
      <c r="I128" s="165"/>
      <c r="J128" s="348">
        <f>H128/DAY(B2)</f>
        <v>-694.58</v>
      </c>
    </row>
    <row r="129" spans="1:15" ht="30.75" customHeight="1" x14ac:dyDescent="0.5">
      <c r="A129" s="349" t="s">
        <v>319</v>
      </c>
      <c r="B129" s="350"/>
      <c r="C129" s="351"/>
      <c r="D129" s="151" t="s">
        <v>183</v>
      </c>
      <c r="E129" s="95">
        <f>'29'!F129</f>
        <v>0</v>
      </c>
      <c r="F129" s="165"/>
      <c r="G129" s="112">
        <f t="shared" si="10"/>
        <v>0</v>
      </c>
      <c r="H129" s="99">
        <f>G129+'29'!H129</f>
        <v>-3767.84</v>
      </c>
      <c r="I129" s="165"/>
      <c r="J129" s="348">
        <f>H129/DAY(B2)</f>
        <v>-125.59466666666667</v>
      </c>
      <c r="N129" s="240"/>
      <c r="O129" s="241"/>
    </row>
    <row r="130" spans="1:15" ht="30.75" customHeight="1" x14ac:dyDescent="0.5">
      <c r="A130" s="349" t="s">
        <v>320</v>
      </c>
      <c r="B130" s="350"/>
      <c r="C130" s="351"/>
      <c r="D130" s="151" t="s">
        <v>183</v>
      </c>
      <c r="E130" s="95">
        <f>'29'!F130</f>
        <v>0</v>
      </c>
      <c r="F130" s="165"/>
      <c r="G130" s="112">
        <f t="shared" si="10"/>
        <v>0</v>
      </c>
      <c r="H130" s="99">
        <f>G130+'29'!H130</f>
        <v>-4439.2299999999996</v>
      </c>
      <c r="I130" s="165"/>
      <c r="J130" s="348">
        <f>H130/DAY(B2)</f>
        <v>-147.97433333333331</v>
      </c>
      <c r="N130" s="240"/>
      <c r="O130" s="241"/>
    </row>
    <row r="131" spans="1:15" ht="30.75" customHeight="1" x14ac:dyDescent="0.5">
      <c r="A131" s="750" t="s">
        <v>321</v>
      </c>
      <c r="B131" s="751"/>
      <c r="C131" s="752"/>
      <c r="D131" s="151" t="s">
        <v>183</v>
      </c>
      <c r="E131" s="95">
        <f>'29'!F131</f>
        <v>0</v>
      </c>
      <c r="F131" s="165"/>
      <c r="G131" s="112">
        <f t="shared" si="10"/>
        <v>0</v>
      </c>
      <c r="H131" s="99">
        <f>G131+'29'!H131</f>
        <v>-2311.35</v>
      </c>
      <c r="I131" s="165"/>
      <c r="J131" s="348">
        <f>H131/DAY(B2)</f>
        <v>-77.045000000000002</v>
      </c>
      <c r="N131" s="240"/>
      <c r="O131" s="241"/>
    </row>
    <row r="132" spans="1:15" ht="30.75" customHeight="1" x14ac:dyDescent="0.5">
      <c r="A132" s="750" t="s">
        <v>322</v>
      </c>
      <c r="B132" s="751"/>
      <c r="C132" s="752"/>
      <c r="D132" s="151" t="s">
        <v>183</v>
      </c>
      <c r="E132" s="95">
        <f>'29'!F132</f>
        <v>0</v>
      </c>
      <c r="F132" s="165"/>
      <c r="G132" s="112">
        <f t="shared" si="10"/>
        <v>0</v>
      </c>
      <c r="H132" s="99">
        <f>G132+'29'!H132</f>
        <v>-7246.7</v>
      </c>
      <c r="I132" s="165"/>
      <c r="J132" s="348">
        <f>H132/DAY(B2)</f>
        <v>-241.55666666666667</v>
      </c>
    </row>
    <row r="133" spans="1:15" ht="30.75" customHeight="1" x14ac:dyDescent="0.5">
      <c r="A133" s="750" t="s">
        <v>323</v>
      </c>
      <c r="B133" s="751"/>
      <c r="C133" s="752"/>
      <c r="D133" s="151" t="s">
        <v>183</v>
      </c>
      <c r="E133" s="95">
        <f>'29'!F133</f>
        <v>0</v>
      </c>
      <c r="F133" s="165"/>
      <c r="G133" s="112">
        <f t="shared" si="10"/>
        <v>0</v>
      </c>
      <c r="H133" s="99">
        <f>G133+'29'!H133</f>
        <v>-45947.5</v>
      </c>
      <c r="I133" s="165"/>
      <c r="J133" s="348">
        <f>H133/DAY(B2)</f>
        <v>-1531.5833333333333</v>
      </c>
    </row>
    <row r="134" spans="1:15" ht="30.75" customHeight="1" x14ac:dyDescent="0.5">
      <c r="A134" s="750" t="s">
        <v>340</v>
      </c>
      <c r="B134" s="751"/>
      <c r="C134" s="752"/>
      <c r="D134" s="151" t="s">
        <v>183</v>
      </c>
      <c r="E134" s="95">
        <f>'29'!F134</f>
        <v>0</v>
      </c>
      <c r="F134" s="165"/>
      <c r="G134" s="112">
        <f t="shared" si="10"/>
        <v>0</v>
      </c>
      <c r="H134" s="99">
        <f>G134+'29'!H134</f>
        <v>-1237706</v>
      </c>
      <c r="I134" s="165"/>
      <c r="J134" s="348">
        <f>H134/DAY(B2)</f>
        <v>-41256.866666666669</v>
      </c>
    </row>
    <row r="135" spans="1:15" ht="30.75" customHeight="1" x14ac:dyDescent="0.5">
      <c r="A135" s="753"/>
      <c r="B135" s="754"/>
      <c r="C135" s="755"/>
      <c r="D135" s="151"/>
      <c r="E135" s="95"/>
      <c r="F135" s="165"/>
      <c r="G135" s="112"/>
      <c r="H135" s="99">
        <f>G135+'23'!H135</f>
        <v>5534.2300000000005</v>
      </c>
      <c r="I135" s="165"/>
      <c r="J135" s="348"/>
    </row>
    <row r="136" spans="1:15" ht="30.75" customHeight="1" x14ac:dyDescent="0.55000000000000004">
      <c r="A136" s="736" t="s">
        <v>325</v>
      </c>
      <c r="B136" s="736"/>
      <c r="C136" s="736"/>
      <c r="D136" s="736"/>
      <c r="E136" s="736"/>
      <c r="F136" s="736"/>
      <c r="G136" s="736"/>
      <c r="H136" s="736"/>
      <c r="I136" s="736"/>
      <c r="J136" s="736"/>
    </row>
    <row r="137" spans="1:15" ht="30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30.75" customHeight="1" x14ac:dyDescent="0.5">
      <c r="A138" s="749" t="s">
        <v>185</v>
      </c>
      <c r="B138" s="749"/>
      <c r="C138" s="749"/>
      <c r="D138" s="151" t="s">
        <v>183</v>
      </c>
      <c r="E138" s="95">
        <f>'29'!F138</f>
        <v>857022</v>
      </c>
      <c r="F138" s="147">
        <v>857022</v>
      </c>
      <c r="G138" s="112">
        <f t="shared" ref="G138:G152" si="11">F138-E138</f>
        <v>0</v>
      </c>
      <c r="H138" s="99">
        <f>G138+'29'!H138</f>
        <v>-2046</v>
      </c>
      <c r="I138" s="118"/>
      <c r="J138" s="348">
        <f>H138/DAY(B2)</f>
        <v>-68.2</v>
      </c>
    </row>
    <row r="139" spans="1:15" ht="30.75" customHeight="1" x14ac:dyDescent="0.5">
      <c r="A139" s="749" t="s">
        <v>186</v>
      </c>
      <c r="B139" s="749"/>
      <c r="C139" s="749"/>
      <c r="D139" s="151" t="s">
        <v>183</v>
      </c>
      <c r="E139" s="95">
        <f>'29'!F139</f>
        <v>886051</v>
      </c>
      <c r="F139" s="148">
        <v>886051</v>
      </c>
      <c r="G139" s="112">
        <f t="shared" si="11"/>
        <v>0</v>
      </c>
      <c r="H139" s="99">
        <f>G139+'29'!H139</f>
        <v>-33</v>
      </c>
      <c r="I139" s="118"/>
      <c r="J139" s="348">
        <f>H139/DAY(B2)</f>
        <v>-1.1000000000000001</v>
      </c>
    </row>
    <row r="140" spans="1:15" ht="30.75" customHeight="1" x14ac:dyDescent="0.5">
      <c r="A140" s="749" t="s">
        <v>187</v>
      </c>
      <c r="B140" s="749"/>
      <c r="C140" s="749"/>
      <c r="D140" s="151" t="s">
        <v>183</v>
      </c>
      <c r="E140" s="95">
        <f>'29'!F140</f>
        <v>88776</v>
      </c>
      <c r="F140" s="149">
        <v>88776</v>
      </c>
      <c r="G140" s="112">
        <f t="shared" si="11"/>
        <v>0</v>
      </c>
      <c r="H140" s="99">
        <f>G140+'29'!H140</f>
        <v>-47.100000000005821</v>
      </c>
      <c r="I140" s="118"/>
      <c r="J140" s="348">
        <f>H140/DAY(B2)</f>
        <v>-1.5700000000001941</v>
      </c>
    </row>
    <row r="141" spans="1:15" ht="30.75" customHeight="1" x14ac:dyDescent="0.5">
      <c r="A141" s="728" t="s">
        <v>188</v>
      </c>
      <c r="B141" s="728"/>
      <c r="C141" s="728"/>
      <c r="D141" s="151" t="s">
        <v>183</v>
      </c>
      <c r="E141" s="95">
        <f>'29'!F141</f>
        <v>26308</v>
      </c>
      <c r="F141" s="149">
        <v>26308</v>
      </c>
      <c r="G141" s="112">
        <f t="shared" si="11"/>
        <v>0</v>
      </c>
      <c r="H141" s="99">
        <f>G141+'29'!H141</f>
        <v>-13573.5</v>
      </c>
      <c r="I141" s="118"/>
      <c r="J141" s="348">
        <f>H141/DAY(B2)</f>
        <v>-452.45</v>
      </c>
    </row>
    <row r="142" spans="1:15" ht="30.75" customHeight="1" x14ac:dyDescent="0.5">
      <c r="A142" s="728" t="s">
        <v>189</v>
      </c>
      <c r="B142" s="728"/>
      <c r="C142" s="728"/>
      <c r="D142" s="151" t="s">
        <v>183</v>
      </c>
      <c r="E142" s="95">
        <f>'29'!F142</f>
        <v>13277</v>
      </c>
      <c r="F142" s="148">
        <v>13277</v>
      </c>
      <c r="G142" s="112">
        <f t="shared" si="11"/>
        <v>0</v>
      </c>
      <c r="H142" s="99">
        <f>G142+'29'!H142</f>
        <v>-5306.2999999999993</v>
      </c>
      <c r="I142" s="140"/>
      <c r="J142" s="348">
        <f>H142/DAY(B2)</f>
        <v>-176.87666666666664</v>
      </c>
    </row>
    <row r="143" spans="1:15" ht="30.75" customHeight="1" x14ac:dyDescent="0.5">
      <c r="A143" s="749" t="s">
        <v>91</v>
      </c>
      <c r="B143" s="749"/>
      <c r="C143" s="749"/>
      <c r="D143" s="151" t="s">
        <v>183</v>
      </c>
      <c r="E143" s="95">
        <f>'29'!F143</f>
        <v>0</v>
      </c>
      <c r="F143" s="149"/>
      <c r="G143" s="112">
        <f t="shared" si="11"/>
        <v>0</v>
      </c>
      <c r="H143" s="99">
        <f>G143+'29'!H143</f>
        <v>-1531.35</v>
      </c>
      <c r="I143" s="140"/>
      <c r="J143" s="348">
        <f>H143/DAY(B2)</f>
        <v>-51.044999999999995</v>
      </c>
    </row>
    <row r="144" spans="1:15" ht="30.75" customHeight="1" x14ac:dyDescent="0.5">
      <c r="A144" s="728" t="s">
        <v>90</v>
      </c>
      <c r="B144" s="728"/>
      <c r="C144" s="728"/>
      <c r="D144" s="151" t="s">
        <v>183</v>
      </c>
      <c r="E144" s="95">
        <f>'29'!F144</f>
        <v>0</v>
      </c>
      <c r="F144" s="149"/>
      <c r="G144" s="112">
        <f t="shared" si="11"/>
        <v>0</v>
      </c>
      <c r="H144" s="99">
        <f>G144+'29'!H144</f>
        <v>-1702947</v>
      </c>
      <c r="I144" s="140"/>
      <c r="J144" s="348">
        <f>H144/DAY(B2)</f>
        <v>-56764.9</v>
      </c>
    </row>
    <row r="145" spans="1:10" ht="30.75" customHeight="1" x14ac:dyDescent="0.5">
      <c r="A145" s="749" t="s">
        <v>190</v>
      </c>
      <c r="B145" s="749"/>
      <c r="C145" s="749"/>
      <c r="D145" s="152" t="s">
        <v>183</v>
      </c>
      <c r="E145" s="95">
        <f>'29'!F145</f>
        <v>0</v>
      </c>
      <c r="F145" s="149"/>
      <c r="G145" s="112">
        <f t="shared" si="11"/>
        <v>0</v>
      </c>
      <c r="H145" s="99">
        <f>G145+'29'!H145</f>
        <v>-2618.4</v>
      </c>
      <c r="I145" s="140"/>
      <c r="J145" s="348">
        <f>H145/DAY(B2)</f>
        <v>-87.28</v>
      </c>
    </row>
    <row r="146" spans="1:10" ht="30.75" customHeight="1" x14ac:dyDescent="0.5">
      <c r="A146" s="784" t="s">
        <v>191</v>
      </c>
      <c r="B146" s="769"/>
      <c r="C146" s="770"/>
      <c r="D146" s="152" t="s">
        <v>183</v>
      </c>
      <c r="E146" s="95">
        <f>'29'!F146</f>
        <v>0</v>
      </c>
      <c r="F146" s="148"/>
      <c r="G146" s="112">
        <f t="shared" si="11"/>
        <v>0</v>
      </c>
      <c r="H146" s="99">
        <f>G146+'29'!H146</f>
        <v>-1380251</v>
      </c>
      <c r="I146" s="140"/>
      <c r="J146" s="348">
        <f>H146/DAY(B2)</f>
        <v>-46008.366666666669</v>
      </c>
    </row>
    <row r="147" spans="1:10" ht="30.75" customHeight="1" x14ac:dyDescent="0.5">
      <c r="A147" s="728" t="s">
        <v>192</v>
      </c>
      <c r="B147" s="728"/>
      <c r="C147" s="728"/>
      <c r="D147" s="152" t="s">
        <v>183</v>
      </c>
      <c r="E147" s="95">
        <f>'29'!F147</f>
        <v>0</v>
      </c>
      <c r="F147" s="148"/>
      <c r="G147" s="112">
        <f t="shared" si="11"/>
        <v>0</v>
      </c>
      <c r="H147" s="99">
        <f>G147+'29'!H147</f>
        <v>-1159149.72</v>
      </c>
      <c r="I147" s="140"/>
      <c r="J147" s="348">
        <f>H147/DAY(B2)</f>
        <v>-38638.324000000001</v>
      </c>
    </row>
    <row r="148" spans="1:10" ht="30.75" customHeight="1" x14ac:dyDescent="0.5">
      <c r="A148" s="729" t="s">
        <v>193</v>
      </c>
      <c r="B148" s="730"/>
      <c r="C148" s="731"/>
      <c r="D148" s="123" t="s">
        <v>130</v>
      </c>
      <c r="E148" s="95">
        <f>'29'!F148</f>
        <v>0</v>
      </c>
      <c r="F148" s="150"/>
      <c r="G148" s="112">
        <f t="shared" si="11"/>
        <v>0</v>
      </c>
      <c r="H148" s="99">
        <f>G148+'29'!H148</f>
        <v>-1320350.54</v>
      </c>
      <c r="I148" s="124"/>
      <c r="J148" s="348">
        <f>H148/DAY(B2)</f>
        <v>-44011.684666666668</v>
      </c>
    </row>
    <row r="149" spans="1:10" ht="30.75" customHeight="1" x14ac:dyDescent="0.5">
      <c r="A149" s="729" t="s">
        <v>336</v>
      </c>
      <c r="B149" s="730"/>
      <c r="C149" s="731"/>
      <c r="D149" s="227" t="s">
        <v>130</v>
      </c>
      <c r="E149" s="95">
        <f>'29'!F149</f>
        <v>0</v>
      </c>
      <c r="F149" s="146"/>
      <c r="G149" s="112">
        <f t="shared" si="11"/>
        <v>0</v>
      </c>
      <c r="H149" s="99">
        <f>G149+'29'!H149</f>
        <v>-155505</v>
      </c>
      <c r="I149" s="119"/>
      <c r="J149" s="348">
        <f>H149/DAY(B2)</f>
        <v>-5183.5</v>
      </c>
    </row>
    <row r="150" spans="1:10" ht="30.75" customHeight="1" x14ac:dyDescent="0.5">
      <c r="A150" s="729" t="s">
        <v>337</v>
      </c>
      <c r="B150" s="730"/>
      <c r="C150" s="731"/>
      <c r="D150" s="117" t="s">
        <v>130</v>
      </c>
      <c r="E150" s="95">
        <f>'29'!F150</f>
        <v>0</v>
      </c>
      <c r="F150" s="233"/>
      <c r="G150" s="112">
        <f t="shared" si="11"/>
        <v>0</v>
      </c>
      <c r="H150" s="99">
        <f>G150+'29'!H150</f>
        <v>-14334464</v>
      </c>
      <c r="I150" s="119"/>
      <c r="J150" s="348">
        <f>H150/DAY(B2)</f>
        <v>-477815.46666666667</v>
      </c>
    </row>
    <row r="151" spans="1:10" ht="30.75" customHeight="1" x14ac:dyDescent="0.5">
      <c r="A151" s="729" t="s">
        <v>338</v>
      </c>
      <c r="B151" s="730"/>
      <c r="C151" s="731"/>
      <c r="D151" s="117" t="s">
        <v>130</v>
      </c>
      <c r="E151" s="95">
        <f>'29'!F151</f>
        <v>0</v>
      </c>
      <c r="F151" s="233"/>
      <c r="G151" s="112">
        <f t="shared" si="11"/>
        <v>0</v>
      </c>
      <c r="H151" s="99">
        <f>G151+'29'!H151</f>
        <v>-112419</v>
      </c>
      <c r="I151" s="119"/>
      <c r="J151" s="348">
        <f>H151/DAY(B2)</f>
        <v>-3747.3</v>
      </c>
    </row>
    <row r="152" spans="1:10" ht="30.75" customHeight="1" x14ac:dyDescent="0.5">
      <c r="A152" s="729" t="s">
        <v>339</v>
      </c>
      <c r="B152" s="730"/>
      <c r="C152" s="731"/>
      <c r="D152" s="117" t="s">
        <v>130</v>
      </c>
      <c r="E152" s="95">
        <f>'29'!F152</f>
        <v>0</v>
      </c>
      <c r="F152" s="233"/>
      <c r="G152" s="112">
        <f t="shared" si="11"/>
        <v>0</v>
      </c>
      <c r="H152" s="99">
        <f>G152+'29'!H152</f>
        <v>0</v>
      </c>
      <c r="I152" s="119"/>
      <c r="J152" s="348">
        <f>H152/DAY(B2)</f>
        <v>0</v>
      </c>
    </row>
    <row r="153" spans="1:10" ht="30.75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0.75" customHeight="1" x14ac:dyDescent="0.55000000000000004">
      <c r="A154" s="736" t="s">
        <v>344</v>
      </c>
      <c r="B154" s="736"/>
      <c r="C154" s="736"/>
      <c r="D154" s="736"/>
      <c r="E154" s="736"/>
      <c r="F154" s="736"/>
      <c r="G154" s="736"/>
      <c r="H154" s="736"/>
      <c r="I154" s="736"/>
      <c r="J154" s="736"/>
    </row>
    <row r="155" spans="1:10" ht="30.75" customHeight="1" x14ac:dyDescent="0.55000000000000004">
      <c r="A155" s="728" t="s">
        <v>345</v>
      </c>
      <c r="B155" s="728"/>
      <c r="C155" s="728"/>
      <c r="D155" s="117" t="s">
        <v>130</v>
      </c>
      <c r="E155" s="95">
        <f>'29'!F155</f>
        <v>0</v>
      </c>
      <c r="F155" s="385"/>
      <c r="G155" s="112">
        <f t="shared" ref="G155:G156" si="12">F155-E155</f>
        <v>0</v>
      </c>
      <c r="H155" s="99">
        <f>G155+'29'!H155</f>
        <v>-154178.09999999998</v>
      </c>
      <c r="I155" s="385"/>
      <c r="J155" s="348">
        <f>H155/DAY(B2)</f>
        <v>-5139.2699999999995</v>
      </c>
    </row>
    <row r="156" spans="1:10" ht="30.75" customHeight="1" x14ac:dyDescent="0.5">
      <c r="A156" s="728" t="s">
        <v>347</v>
      </c>
      <c r="B156" s="728"/>
      <c r="C156" s="728"/>
      <c r="D156" s="117" t="s">
        <v>130</v>
      </c>
      <c r="E156" s="95">
        <f>'29'!F156</f>
        <v>0</v>
      </c>
      <c r="F156" s="165"/>
      <c r="G156" s="112">
        <f t="shared" si="12"/>
        <v>0</v>
      </c>
      <c r="H156" s="99">
        <f>G156+'29'!H156</f>
        <v>0</v>
      </c>
      <c r="I156" s="165"/>
      <c r="J156" s="348">
        <f>H156/DAY(B2)</f>
        <v>0</v>
      </c>
    </row>
    <row r="157" spans="1:10" ht="30.75" customHeight="1" x14ac:dyDescent="0.55000000000000004">
      <c r="A157" s="736" t="s">
        <v>326</v>
      </c>
      <c r="B157" s="736"/>
      <c r="C157" s="736"/>
      <c r="D157" s="736"/>
      <c r="E157" s="736"/>
      <c r="F157" s="736"/>
      <c r="G157" s="736"/>
      <c r="H157" s="736"/>
      <c r="I157" s="736"/>
      <c r="J157" s="736"/>
    </row>
    <row r="158" spans="1:10" ht="30.75" customHeight="1" x14ac:dyDescent="0.5">
      <c r="A158" s="242" t="s">
        <v>92</v>
      </c>
      <c r="B158" s="243"/>
      <c r="C158" s="243"/>
      <c r="D158" s="244" t="s">
        <v>180</v>
      </c>
      <c r="E158" s="95">
        <f>'29'!F158</f>
        <v>463315</v>
      </c>
      <c r="F158" s="235">
        <v>463315</v>
      </c>
      <c r="G158" s="238">
        <f t="shared" ref="G158:G162" si="13">F158-E158</f>
        <v>0</v>
      </c>
      <c r="H158" s="99">
        <f>G158+'29'!H158</f>
        <v>-5764.4000000000233</v>
      </c>
      <c r="I158" s="236"/>
      <c r="J158" s="239">
        <f>H158/DAY(B2)</f>
        <v>-192.14666666666744</v>
      </c>
    </row>
    <row r="159" spans="1:10" ht="30.75" customHeight="1" x14ac:dyDescent="0.5">
      <c r="A159" s="242" t="s">
        <v>93</v>
      </c>
      <c r="B159" s="243"/>
      <c r="C159" s="243"/>
      <c r="D159" s="244" t="s">
        <v>180</v>
      </c>
      <c r="E159" s="95">
        <f>'29'!F159</f>
        <v>83899</v>
      </c>
      <c r="F159" s="235">
        <v>83899</v>
      </c>
      <c r="G159" s="238">
        <f t="shared" si="13"/>
        <v>0</v>
      </c>
      <c r="H159" s="99">
        <f>G159+'29'!H159</f>
        <v>-2351.3999999999942</v>
      </c>
      <c r="I159" s="236"/>
      <c r="J159" s="239">
        <f>H159/DAY(B2)</f>
        <v>-78.379999999999811</v>
      </c>
    </row>
    <row r="160" spans="1:10" ht="30.75" customHeight="1" x14ac:dyDescent="0.5">
      <c r="A160" s="242" t="s">
        <v>197</v>
      </c>
      <c r="B160" s="243"/>
      <c r="C160" s="243"/>
      <c r="D160" s="244" t="s">
        <v>180</v>
      </c>
      <c r="E160" s="95">
        <f>'29'!F160</f>
        <v>69089</v>
      </c>
      <c r="F160" s="235">
        <v>69089</v>
      </c>
      <c r="G160" s="238">
        <f t="shared" si="13"/>
        <v>0</v>
      </c>
      <c r="H160" s="99">
        <f>G160+'29'!H160</f>
        <v>-4894.1999999999971</v>
      </c>
      <c r="I160" s="236"/>
      <c r="J160" s="239">
        <f>H160/DAY(B2)</f>
        <v>-163.1399999999999</v>
      </c>
    </row>
    <row r="161" spans="1:10" ht="30.75" customHeight="1" x14ac:dyDescent="0.5">
      <c r="A161" s="242" t="s">
        <v>197</v>
      </c>
      <c r="B161" s="243"/>
      <c r="C161" s="243"/>
      <c r="D161" s="244" t="s">
        <v>180</v>
      </c>
      <c r="E161" s="95">
        <f>'29'!F161</f>
        <v>3611</v>
      </c>
      <c r="F161" s="235">
        <v>3611</v>
      </c>
      <c r="G161" s="238">
        <f t="shared" si="13"/>
        <v>0</v>
      </c>
      <c r="H161" s="99">
        <f>G161+'29'!H161</f>
        <v>-555.30000000000018</v>
      </c>
      <c r="I161" s="236"/>
      <c r="J161" s="239">
        <f>H161/DAY(B2)</f>
        <v>-18.510000000000005</v>
      </c>
    </row>
    <row r="162" spans="1:10" ht="30.75" customHeight="1" x14ac:dyDescent="0.5">
      <c r="A162" s="242" t="s">
        <v>309</v>
      </c>
      <c r="B162" s="243"/>
      <c r="C162" s="243"/>
      <c r="D162" s="244" t="s">
        <v>180</v>
      </c>
      <c r="E162" s="95">
        <f>'29'!F162</f>
        <v>28746</v>
      </c>
      <c r="F162" s="235">
        <v>28746</v>
      </c>
      <c r="G162" s="238">
        <f t="shared" si="13"/>
        <v>0</v>
      </c>
      <c r="H162" s="99">
        <f>G162+'29'!H162</f>
        <v>-566.7400000000016</v>
      </c>
      <c r="I162" s="236"/>
      <c r="J162" s="239">
        <f>H162/DAY(B2)</f>
        <v>-18.891333333333385</v>
      </c>
    </row>
    <row r="163" spans="1:10" ht="30.75" customHeight="1" x14ac:dyDescent="0.5">
      <c r="A163" s="737"/>
      <c r="B163" s="737"/>
      <c r="C163" s="247"/>
      <c r="D163" s="244" t="s">
        <v>180</v>
      </c>
      <c r="E163" s="95">
        <f>'29'!F163</f>
        <v>0</v>
      </c>
      <c r="F163" s="165"/>
      <c r="G163" s="165"/>
      <c r="H163" s="99">
        <f>G163+'29'!H163</f>
        <v>0</v>
      </c>
      <c r="I163" s="165"/>
      <c r="J163" s="239">
        <f>H163/DAY(B2)</f>
        <v>0</v>
      </c>
    </row>
    <row r="164" spans="1:10" ht="30.75" customHeight="1" x14ac:dyDescent="0.5">
      <c r="A164" s="737"/>
      <c r="B164" s="737"/>
      <c r="C164" s="247"/>
      <c r="D164" s="244" t="s">
        <v>180</v>
      </c>
      <c r="E164" s="95">
        <f>'29'!F164</f>
        <v>0</v>
      </c>
      <c r="F164" s="165"/>
      <c r="G164" s="165"/>
      <c r="H164" s="99">
        <f>G164+'29'!H164</f>
        <v>0</v>
      </c>
      <c r="I164" s="165"/>
      <c r="J164" s="239">
        <f>H164/DAY(B2)</f>
        <v>0</v>
      </c>
    </row>
    <row r="165" spans="1:10" ht="30.75" customHeight="1" x14ac:dyDescent="0.5">
      <c r="A165" s="737"/>
      <c r="B165" s="737"/>
      <c r="C165" s="247"/>
      <c r="D165" s="244" t="s">
        <v>180</v>
      </c>
      <c r="E165" s="95">
        <f>'29'!F165</f>
        <v>0</v>
      </c>
      <c r="F165" s="165"/>
      <c r="G165" s="165"/>
      <c r="H165" s="99">
        <f>G165+'29'!H165</f>
        <v>0</v>
      </c>
      <c r="I165" s="165"/>
      <c r="J165" s="239">
        <f>H165/DAY(B2)</f>
        <v>0</v>
      </c>
    </row>
    <row r="168" spans="1:10" ht="30.75" customHeight="1" x14ac:dyDescent="0.35">
      <c r="A168" s="738" t="s">
        <v>330</v>
      </c>
      <c r="B168" s="739"/>
      <c r="C168" s="739"/>
      <c r="D168" s="739"/>
      <c r="E168" s="739"/>
      <c r="F168" s="739"/>
      <c r="G168" s="739"/>
      <c r="H168" s="739"/>
      <c r="I168" s="739"/>
      <c r="J168" s="740"/>
    </row>
    <row r="169" spans="1:10" ht="30.75" customHeight="1" x14ac:dyDescent="0.5">
      <c r="A169" s="747"/>
      <c r="B169" s="748"/>
      <c r="C169" s="352"/>
      <c r="D169" s="228"/>
      <c r="E169" s="155"/>
      <c r="F169" s="155"/>
      <c r="G169" s="155"/>
      <c r="H169" s="156"/>
      <c r="I169" s="155"/>
      <c r="J169" s="178"/>
    </row>
    <row r="170" spans="1:10" ht="30.75" customHeight="1" x14ac:dyDescent="0.5">
      <c r="A170" s="743" t="s">
        <v>209</v>
      </c>
      <c r="B170" s="744"/>
      <c r="C170" s="353"/>
      <c r="D170" s="228" t="s">
        <v>142</v>
      </c>
      <c r="E170" s="95">
        <f>'29'!F170</f>
        <v>7961</v>
      </c>
      <c r="F170" s="155">
        <v>7961</v>
      </c>
      <c r="G170" s="155">
        <f>F170-E170</f>
        <v>0</v>
      </c>
      <c r="H170" s="99">
        <f>G170+'29'!H170</f>
        <v>129</v>
      </c>
      <c r="I170" s="155"/>
      <c r="J170" s="178">
        <f>H170/DAY(B2)</f>
        <v>4.3</v>
      </c>
    </row>
    <row r="171" spans="1:10" ht="30.75" customHeight="1" x14ac:dyDescent="0.5">
      <c r="A171" s="743" t="s">
        <v>75</v>
      </c>
      <c r="B171" s="744"/>
      <c r="C171" s="353"/>
      <c r="D171" s="228" t="s">
        <v>142</v>
      </c>
      <c r="E171" s="95">
        <f>'29'!F171</f>
        <v>36765</v>
      </c>
      <c r="F171" s="157">
        <v>36765</v>
      </c>
      <c r="G171" s="155">
        <f t="shared" ref="G171:G172" si="14">F171-E171</f>
        <v>0</v>
      </c>
      <c r="H171" s="99">
        <f>G171+'29'!H171</f>
        <v>-332</v>
      </c>
      <c r="I171" s="155"/>
      <c r="J171" s="178">
        <f>H171/DAY(B2)</f>
        <v>-11.066666666666666</v>
      </c>
    </row>
    <row r="172" spans="1:10" ht="30.75" customHeight="1" x14ac:dyDescent="0.5">
      <c r="A172" s="743" t="s">
        <v>76</v>
      </c>
      <c r="B172" s="783"/>
      <c r="C172" s="744"/>
      <c r="D172" s="228" t="s">
        <v>142</v>
      </c>
      <c r="E172" s="95">
        <f>'29'!F172</f>
        <v>20214</v>
      </c>
      <c r="F172" s="155">
        <v>20214</v>
      </c>
      <c r="G172" s="155">
        <f t="shared" si="14"/>
        <v>0</v>
      </c>
      <c r="H172" s="99">
        <f>G172+'29'!H172</f>
        <v>-687</v>
      </c>
      <c r="I172" s="155"/>
      <c r="J172" s="178">
        <f>H172/DAY(B2)</f>
        <v>-22.9</v>
      </c>
    </row>
    <row r="173" spans="1:10" ht="30.75" customHeight="1" x14ac:dyDescent="0.5">
      <c r="A173" s="732" t="s">
        <v>196</v>
      </c>
      <c r="B173" s="733"/>
      <c r="C173" s="611"/>
      <c r="D173" s="228" t="s">
        <v>142</v>
      </c>
      <c r="E173" s="95"/>
      <c r="F173" s="155"/>
      <c r="G173" s="155">
        <f>SUM(G170:G172)</f>
        <v>0</v>
      </c>
      <c r="H173" s="99">
        <f>G173+'29'!H173</f>
        <v>-890</v>
      </c>
      <c r="I173" s="155"/>
      <c r="J173" s="178">
        <f>H173/DAY(B2)</f>
        <v>-29.666666666666668</v>
      </c>
    </row>
    <row r="174" spans="1:10" ht="30.75" customHeight="1" x14ac:dyDescent="0.5">
      <c r="A174" s="743" t="s">
        <v>77</v>
      </c>
      <c r="B174" s="744"/>
      <c r="C174" s="353"/>
      <c r="D174" s="228" t="s">
        <v>142</v>
      </c>
      <c r="E174" s="95"/>
      <c r="F174" s="155"/>
      <c r="G174" s="155"/>
      <c r="H174" s="99">
        <f>G174+'29'!H174</f>
        <v>0</v>
      </c>
      <c r="I174" s="155"/>
      <c r="J174" s="178">
        <f>H174/DAY(B2)</f>
        <v>0</v>
      </c>
    </row>
    <row r="175" spans="1:10" ht="30.75" customHeight="1" x14ac:dyDescent="0.5">
      <c r="A175" s="743" t="s">
        <v>210</v>
      </c>
      <c r="B175" s="744"/>
      <c r="C175" s="353"/>
      <c r="D175" s="228" t="s">
        <v>142</v>
      </c>
      <c r="E175" s="95">
        <f>'29'!F175</f>
        <v>69524</v>
      </c>
      <c r="F175" s="155">
        <v>69524</v>
      </c>
      <c r="G175" s="155">
        <f>F175-E175</f>
        <v>0</v>
      </c>
      <c r="H175" s="99">
        <f>G175+'29'!H175</f>
        <v>-6303</v>
      </c>
      <c r="I175" s="155"/>
      <c r="J175" s="178">
        <f>H175/DAY(B2)</f>
        <v>-210.1</v>
      </c>
    </row>
    <row r="176" spans="1:10" ht="30.75" customHeight="1" x14ac:dyDescent="0.5">
      <c r="A176" s="743" t="s">
        <v>211</v>
      </c>
      <c r="B176" s="744"/>
      <c r="C176" s="353"/>
      <c r="D176" s="228" t="s">
        <v>142</v>
      </c>
      <c r="E176" s="95">
        <f>'29'!F176</f>
        <v>33886</v>
      </c>
      <c r="F176" s="155">
        <v>33886</v>
      </c>
      <c r="G176" s="155">
        <f t="shared" ref="G176:G177" si="15">F176-E176</f>
        <v>0</v>
      </c>
      <c r="H176" s="99">
        <f>G176+'29'!H176</f>
        <v>0</v>
      </c>
      <c r="I176" s="155"/>
      <c r="J176" s="178">
        <f>H176/DAY(B2)</f>
        <v>0</v>
      </c>
    </row>
    <row r="177" spans="1:10" ht="30.75" customHeight="1" x14ac:dyDescent="0.5">
      <c r="A177" s="743" t="s">
        <v>212</v>
      </c>
      <c r="B177" s="744"/>
      <c r="C177" s="353"/>
      <c r="D177" s="228" t="s">
        <v>142</v>
      </c>
      <c r="E177" s="95">
        <f>'29'!F177</f>
        <v>4788</v>
      </c>
      <c r="F177" s="155">
        <v>4788</v>
      </c>
      <c r="G177" s="155">
        <f t="shared" si="15"/>
        <v>0</v>
      </c>
      <c r="H177" s="99">
        <f>G177+'29'!H177</f>
        <v>-3190</v>
      </c>
      <c r="I177" s="155"/>
      <c r="J177" s="178">
        <f>H177/DAY(B2)</f>
        <v>-106.33333333333333</v>
      </c>
    </row>
    <row r="178" spans="1:10" ht="30.75" customHeight="1" x14ac:dyDescent="0.5">
      <c r="A178" s="745" t="s">
        <v>108</v>
      </c>
      <c r="B178" s="746"/>
      <c r="C178" s="611"/>
      <c r="D178" s="228" t="s">
        <v>142</v>
      </c>
      <c r="E178" s="95"/>
      <c r="F178" s="155"/>
      <c r="G178" s="155">
        <f>SUM(G175:G177)</f>
        <v>0</v>
      </c>
      <c r="H178" s="99">
        <f>G178+'29'!H178</f>
        <v>-9493</v>
      </c>
      <c r="I178" s="155"/>
      <c r="J178" s="178">
        <f>H178/DAY(B2)</f>
        <v>-316.43333333333334</v>
      </c>
    </row>
    <row r="179" spans="1:10" ht="30.75" customHeight="1" x14ac:dyDescent="0.5">
      <c r="A179" s="743" t="s">
        <v>213</v>
      </c>
      <c r="B179" s="744"/>
      <c r="C179" s="353"/>
      <c r="D179" s="228" t="s">
        <v>142</v>
      </c>
      <c r="E179" s="95"/>
      <c r="F179" s="155"/>
      <c r="G179" s="155"/>
      <c r="H179" s="99">
        <f>G179+'29'!H179</f>
        <v>0</v>
      </c>
      <c r="I179" s="155"/>
      <c r="J179" s="178">
        <f>H179/DAY(B2)</f>
        <v>0</v>
      </c>
    </row>
    <row r="180" spans="1:10" ht="30.75" customHeight="1" x14ac:dyDescent="0.5">
      <c r="A180" s="743" t="s">
        <v>214</v>
      </c>
      <c r="B180" s="744"/>
      <c r="C180" s="354"/>
      <c r="D180" s="228" t="s">
        <v>142</v>
      </c>
      <c r="E180" s="95">
        <f>'29'!F180</f>
        <v>13038</v>
      </c>
      <c r="F180" s="157">
        <v>13038</v>
      </c>
      <c r="G180" s="157">
        <f>F180-E180</f>
        <v>0</v>
      </c>
      <c r="H180" s="99">
        <f>G180+'29'!H180</f>
        <v>-1253</v>
      </c>
      <c r="I180" s="155"/>
      <c r="J180" s="178">
        <f>H180/DAY(B2)</f>
        <v>-41.766666666666666</v>
      </c>
    </row>
    <row r="181" spans="1:10" ht="30.75" customHeight="1" x14ac:dyDescent="0.5">
      <c r="A181" s="743" t="s">
        <v>215</v>
      </c>
      <c r="B181" s="744"/>
      <c r="C181" s="354"/>
      <c r="D181" s="228" t="s">
        <v>142</v>
      </c>
      <c r="E181" s="95">
        <f>'29'!F181</f>
        <v>9126</v>
      </c>
      <c r="F181" s="157">
        <v>9126</v>
      </c>
      <c r="G181" s="157">
        <f t="shared" ref="G181:G182" si="16">F181-E181</f>
        <v>0</v>
      </c>
      <c r="H181" s="99">
        <f>G181+'29'!H181</f>
        <v>-794</v>
      </c>
      <c r="I181" s="155"/>
      <c r="J181" s="178">
        <f>H181/DAY(B2)</f>
        <v>-26.466666666666665</v>
      </c>
    </row>
    <row r="182" spans="1:10" ht="30.75" customHeight="1" x14ac:dyDescent="0.5">
      <c r="A182" s="743" t="s">
        <v>216</v>
      </c>
      <c r="B182" s="744"/>
      <c r="C182" s="354"/>
      <c r="D182" s="228" t="s">
        <v>142</v>
      </c>
      <c r="E182" s="95">
        <f>'29'!F182</f>
        <v>0</v>
      </c>
      <c r="F182" s="157"/>
      <c r="G182" s="157">
        <f t="shared" si="16"/>
        <v>0</v>
      </c>
      <c r="H182" s="99">
        <f>G182+'29'!H182</f>
        <v>0</v>
      </c>
      <c r="I182" s="155"/>
      <c r="J182" s="178">
        <f>H182/DAY(B2)</f>
        <v>0</v>
      </c>
    </row>
    <row r="183" spans="1:10" ht="30.75" customHeight="1" x14ac:dyDescent="0.5">
      <c r="A183" s="732" t="s">
        <v>196</v>
      </c>
      <c r="B183" s="733"/>
      <c r="C183" s="610"/>
      <c r="D183" s="228" t="s">
        <v>142</v>
      </c>
      <c r="E183" s="95"/>
      <c r="F183" s="157"/>
      <c r="G183" s="157">
        <f>SUM(G180:G182)</f>
        <v>0</v>
      </c>
      <c r="H183" s="99">
        <f>G183+'29'!H183</f>
        <v>-2047</v>
      </c>
      <c r="I183" s="157"/>
      <c r="J183" s="178">
        <f>H183/DAY(B2)</f>
        <v>-68.233333333333334</v>
      </c>
    </row>
    <row r="184" spans="1:10" ht="30.75" customHeight="1" x14ac:dyDescent="0.5">
      <c r="A184" s="734" t="s">
        <v>217</v>
      </c>
      <c r="B184" s="735"/>
      <c r="C184" s="353"/>
      <c r="D184" s="228" t="s">
        <v>142</v>
      </c>
      <c r="E184" s="95"/>
      <c r="F184" s="159"/>
      <c r="G184" s="588">
        <f>G62+G19</f>
        <v>60</v>
      </c>
      <c r="H184" s="99">
        <f>G184+'29'!H184</f>
        <v>-5882</v>
      </c>
      <c r="I184" s="158"/>
      <c r="J184" s="179">
        <f>H184/DAY(B2)</f>
        <v>-196.06666666666666</v>
      </c>
    </row>
    <row r="185" spans="1:10" ht="30.75" customHeight="1" x14ac:dyDescent="0.5">
      <c r="A185" s="734" t="s">
        <v>218</v>
      </c>
      <c r="B185" s="735"/>
      <c r="C185" s="353"/>
      <c r="D185" s="230" t="s">
        <v>142</v>
      </c>
      <c r="E185" s="95"/>
      <c r="F185" s="159"/>
      <c r="G185" s="588">
        <f>G65+G66+G67+G69+G70</f>
        <v>0</v>
      </c>
      <c r="H185" s="99">
        <f>G185+'29'!H185</f>
        <v>-14514</v>
      </c>
      <c r="I185" s="158"/>
      <c r="J185" s="179">
        <f>H185/DAY(B2)</f>
        <v>-483.8</v>
      </c>
    </row>
    <row r="186" spans="1:10" ht="30.75" customHeight="1" x14ac:dyDescent="0.5">
      <c r="A186" s="734" t="s">
        <v>219</v>
      </c>
      <c r="B186" s="735"/>
      <c r="C186" s="353"/>
      <c r="D186" s="230" t="s">
        <v>142</v>
      </c>
      <c r="E186" s="95"/>
      <c r="F186" s="157"/>
      <c r="G186" s="585">
        <f>G178</f>
        <v>0</v>
      </c>
      <c r="H186" s="99">
        <f>G186+'29'!H186</f>
        <v>-7040</v>
      </c>
      <c r="I186" s="158"/>
      <c r="J186" s="179">
        <f>H186/DAY(B2)</f>
        <v>-234.66666666666666</v>
      </c>
    </row>
    <row r="187" spans="1:10" ht="30.75" customHeight="1" x14ac:dyDescent="0.5">
      <c r="A187" s="741"/>
      <c r="B187" s="742"/>
      <c r="C187" s="609"/>
      <c r="D187" s="606"/>
      <c r="E187" s="606" t="s">
        <v>207</v>
      </c>
      <c r="F187" s="606"/>
      <c r="G187" s="606"/>
      <c r="H187" s="607"/>
      <c r="I187" s="606"/>
      <c r="J187" s="608"/>
    </row>
  </sheetData>
  <mergeCells count="111"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123:C123"/>
    <mergeCell ref="A135:C135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41:C141"/>
    <mergeCell ref="A142:C142"/>
    <mergeCell ref="A157:J157"/>
    <mergeCell ref="A163:B163"/>
    <mergeCell ref="A164:B164"/>
    <mergeCell ref="A146:C146"/>
    <mergeCell ref="A172:C172"/>
    <mergeCell ref="A148:C148"/>
    <mergeCell ref="A149:C149"/>
    <mergeCell ref="A165:B165"/>
    <mergeCell ref="A168:J168"/>
    <mergeCell ref="A169:B169"/>
    <mergeCell ref="A143:C143"/>
    <mergeCell ref="A144:C144"/>
    <mergeCell ref="A145:C145"/>
    <mergeCell ref="A170:B170"/>
    <mergeCell ref="A171:B171"/>
    <mergeCell ref="A147:C147"/>
    <mergeCell ref="A154:J154"/>
    <mergeCell ref="A155:C155"/>
    <mergeCell ref="A156:C156"/>
    <mergeCell ref="A173:B173"/>
    <mergeCell ref="A174:B174"/>
    <mergeCell ref="A175:B175"/>
    <mergeCell ref="A185:B185"/>
    <mergeCell ref="A186:B186"/>
    <mergeCell ref="A187:B187"/>
    <mergeCell ref="A176:B176"/>
    <mergeCell ref="A177:B177"/>
    <mergeCell ref="A182:B182"/>
    <mergeCell ref="A183:B183"/>
    <mergeCell ref="A184:B184"/>
    <mergeCell ref="A180:B180"/>
    <mergeCell ref="A181:B181"/>
    <mergeCell ref="A178:B178"/>
    <mergeCell ref="A179:B179"/>
  </mergeCells>
  <pageMargins left="0.23622047244094491" right="0.15748031496062992" top="0.15748031496062992" bottom="0.19685039370078741" header="0.19685039370078741" footer="0.19685039370078741"/>
  <pageSetup paperSize="9" scale="18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17"/>
  <sheetViews>
    <sheetView view="pageBreakPreview" topLeftCell="A153" zoomScale="55" zoomScaleNormal="75" zoomScaleSheetLayoutView="55" workbookViewId="0">
      <selection activeCell="F175" sqref="F17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.109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89" t="s">
        <v>115</v>
      </c>
      <c r="B1" s="790"/>
      <c r="C1" s="790"/>
      <c r="D1" s="790"/>
      <c r="E1" s="790"/>
      <c r="F1" s="790"/>
      <c r="G1" s="790"/>
      <c r="H1" s="790"/>
      <c r="I1" s="790"/>
      <c r="J1" s="791"/>
    </row>
    <row r="2" spans="1:15" s="57" customFormat="1" ht="27" x14ac:dyDescent="0.5">
      <c r="A2" s="191" t="s">
        <v>303</v>
      </c>
      <c r="B2" s="266">
        <v>44500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98" t="s">
        <v>119</v>
      </c>
      <c r="F3" s="79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1.95" customHeight="1" x14ac:dyDescent="0.4">
      <c r="A6" s="792" t="s">
        <v>128</v>
      </c>
      <c r="B6" s="793"/>
      <c r="C6" s="79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830" t="s">
        <v>129</v>
      </c>
      <c r="B7" s="831"/>
      <c r="C7" s="832"/>
      <c r="D7" s="151" t="s">
        <v>130</v>
      </c>
      <c r="E7" s="95">
        <f>'30'!F7</f>
        <v>639179.47</v>
      </c>
      <c r="F7" s="95">
        <f>E7+23000</f>
        <v>662179.47</v>
      </c>
      <c r="G7" s="112">
        <f>F7-E7</f>
        <v>23000</v>
      </c>
      <c r="H7" s="99">
        <f>G7+'30'!H7</f>
        <v>717937.06999999983</v>
      </c>
      <c r="I7" s="113">
        <f>'1'!I7</f>
        <v>12000</v>
      </c>
      <c r="J7" s="175">
        <f>H7/DAY(B2)</f>
        <v>23159.260322580642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'30'!F8</f>
        <v>660129.75</v>
      </c>
      <c r="F8" s="114">
        <f>E8+23050</f>
        <v>683179.75</v>
      </c>
      <c r="G8" s="115">
        <f>F8-E8</f>
        <v>23050</v>
      </c>
      <c r="H8" s="99">
        <f>G8+'30'!H8</f>
        <v>724512.75</v>
      </c>
      <c r="I8" s="116"/>
      <c r="J8" s="175">
        <f>H8/DAY(B2)</f>
        <v>23371.379032258064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833" t="s">
        <v>132</v>
      </c>
      <c r="B9" s="834"/>
      <c r="C9" s="835"/>
      <c r="D9" s="151" t="s">
        <v>130</v>
      </c>
      <c r="E9" s="95">
        <f>'30'!F9</f>
        <v>1322976.8999999999</v>
      </c>
      <c r="F9" s="117">
        <f>E9+23000</f>
        <v>1345976.9</v>
      </c>
      <c r="G9" s="112">
        <f>F9-E9</f>
        <v>23000</v>
      </c>
      <c r="H9" s="99">
        <f>G9+'30'!H9</f>
        <v>638186.89999999979</v>
      </c>
      <c r="I9" s="124">
        <f>I7-J7</f>
        <v>-11159.260322580642</v>
      </c>
      <c r="J9" s="175">
        <f>H9/DAY(B2)</f>
        <v>20586.674193548381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830" t="s">
        <v>133</v>
      </c>
      <c r="B10" s="831"/>
      <c r="C10" s="832"/>
      <c r="D10" s="151" t="s">
        <v>130</v>
      </c>
      <c r="E10" s="95">
        <f>'30'!F10</f>
        <v>2607</v>
      </c>
      <c r="F10" s="117">
        <v>2607</v>
      </c>
      <c r="G10" s="112">
        <f t="shared" ref="G10:G12" si="0">F10-E10</f>
        <v>0</v>
      </c>
      <c r="H10" s="99">
        <f>G10+'30'!H10</f>
        <v>-57966</v>
      </c>
      <c r="I10" s="286"/>
      <c r="J10" s="175">
        <f>H10/DAY(B2)</f>
        <v>-1869.8709677419354</v>
      </c>
      <c r="K10" s="79"/>
      <c r="L10" s="66"/>
      <c r="N10" s="87"/>
      <c r="O10" s="71"/>
    </row>
    <row r="11" spans="1:15" ht="21.95" customHeight="1" x14ac:dyDescent="0.4">
      <c r="A11" s="830" t="s">
        <v>134</v>
      </c>
      <c r="B11" s="831"/>
      <c r="C11" s="832"/>
      <c r="D11" s="151" t="s">
        <v>130</v>
      </c>
      <c r="E11" s="95">
        <f>'30'!F11</f>
        <v>37000</v>
      </c>
      <c r="F11" s="95">
        <v>37000</v>
      </c>
      <c r="G11" s="112">
        <f t="shared" si="0"/>
        <v>0</v>
      </c>
      <c r="H11" s="99">
        <f>G11+'30'!H11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830" t="s">
        <v>135</v>
      </c>
      <c r="B12" s="831"/>
      <c r="C12" s="832"/>
      <c r="D12" s="151" t="s">
        <v>130</v>
      </c>
      <c r="E12" s="95">
        <f>'30'!F12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23000</v>
      </c>
      <c r="H13" s="99">
        <f>G13+'30'!H13</f>
        <v>558675.14999999979</v>
      </c>
      <c r="I13" s="120">
        <f>G7-G13</f>
        <v>0</v>
      </c>
      <c r="J13" s="175">
        <f>H13/DAY(B2)</f>
        <v>18021.779032258059</v>
      </c>
      <c r="K13" s="79"/>
      <c r="L13" s="66"/>
      <c r="N13" s="87"/>
      <c r="O13" s="71"/>
    </row>
    <row r="14" spans="1:15" ht="29.25" x14ac:dyDescent="0.5">
      <c r="A14" s="795" t="s">
        <v>137</v>
      </c>
      <c r="B14" s="796"/>
      <c r="C14" s="79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771" t="s">
        <v>138</v>
      </c>
      <c r="B15" s="772"/>
      <c r="C15" s="773"/>
      <c r="D15" s="151" t="s">
        <v>139</v>
      </c>
      <c r="E15" s="95">
        <f>'30'!F15</f>
        <v>1811617.8829999999</v>
      </c>
      <c r="F15" s="123">
        <f>E15+875</f>
        <v>1812492.8829999999</v>
      </c>
      <c r="G15" s="112">
        <f>(F15-E15)</f>
        <v>875</v>
      </c>
      <c r="H15" s="99">
        <f>G15+'30'!H15</f>
        <v>29159.882999999914</v>
      </c>
      <c r="I15" s="113">
        <f>'1'!I15</f>
        <v>800</v>
      </c>
      <c r="J15" s="175">
        <f>H15/DAY(B2)</f>
        <v>940.64138709677138</v>
      </c>
      <c r="K15" s="79"/>
      <c r="L15" s="66"/>
      <c r="N15" s="87"/>
      <c r="O15" s="71"/>
    </row>
    <row r="16" spans="1:15" ht="21.95" customHeight="1" x14ac:dyDescent="0.4">
      <c r="A16" s="827"/>
      <c r="B16" s="828"/>
      <c r="C16" s="829"/>
      <c r="D16" s="152"/>
      <c r="E16" s="123"/>
      <c r="F16" s="123"/>
      <c r="G16" s="112"/>
      <c r="H16" s="124"/>
      <c r="I16" s="120">
        <f>I15-J15</f>
        <v>-140.64138709677138</v>
      </c>
      <c r="J16" s="176"/>
      <c r="K16" s="79"/>
      <c r="L16" s="66"/>
      <c r="N16" s="87"/>
      <c r="O16" s="71"/>
    </row>
    <row r="17" spans="1:15" ht="29.25" x14ac:dyDescent="0.5">
      <c r="A17" s="795" t="s">
        <v>140</v>
      </c>
      <c r="B17" s="796"/>
      <c r="C17" s="79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1" t="s">
        <v>141</v>
      </c>
      <c r="B18" s="772"/>
      <c r="C18" s="773"/>
      <c r="D18" s="151" t="s">
        <v>142</v>
      </c>
      <c r="E18" s="95">
        <f>'30'!F18</f>
        <v>14</v>
      </c>
      <c r="F18" s="122">
        <v>14</v>
      </c>
      <c r="G18" s="119">
        <f>F18*10</f>
        <v>140</v>
      </c>
      <c r="H18" s="99">
        <f>G18+'30'!H18</f>
        <v>5280</v>
      </c>
      <c r="I18" s="113">
        <f>'1'!I18</f>
        <v>65</v>
      </c>
      <c r="J18" s="175">
        <f>H18/DAY(B2)</f>
        <v>170.32258064516128</v>
      </c>
      <c r="K18" s="79"/>
      <c r="L18" s="66"/>
      <c r="N18" s="87"/>
      <c r="O18" s="71"/>
    </row>
    <row r="19" spans="1:15" ht="27.75" x14ac:dyDescent="0.5">
      <c r="A19" s="771" t="s">
        <v>69</v>
      </c>
      <c r="B19" s="772"/>
      <c r="C19" s="773"/>
      <c r="D19" s="151" t="s">
        <v>142</v>
      </c>
      <c r="E19" s="95">
        <f>'30'!F19</f>
        <v>148825</v>
      </c>
      <c r="F19" s="122">
        <f>E19+60</f>
        <v>148885</v>
      </c>
      <c r="G19" s="112">
        <f t="shared" ref="G19" si="1">F19-E19</f>
        <v>60</v>
      </c>
      <c r="H19" s="99">
        <f>G19+'30'!H19</f>
        <v>1833</v>
      </c>
      <c r="I19" s="355"/>
      <c r="J19" s="175">
        <f>H19/DAY(B2)</f>
        <v>59.12903225806452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200</v>
      </c>
      <c r="H20" s="99">
        <f>G20+'30'!H20</f>
        <v>7113</v>
      </c>
      <c r="I20" s="356">
        <f>I18-J20</f>
        <v>-164.45161290322579</v>
      </c>
      <c r="J20" s="175">
        <f>H20/DAY(B2)</f>
        <v>229.45161290322579</v>
      </c>
      <c r="K20" s="79"/>
      <c r="L20" s="66"/>
      <c r="N20" s="87"/>
      <c r="O20" s="71"/>
    </row>
    <row r="21" spans="1:15" ht="29.25" x14ac:dyDescent="0.5">
      <c r="A21" s="795" t="s">
        <v>144</v>
      </c>
      <c r="B21" s="796"/>
      <c r="C21" s="79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'30'!F22</f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'30'!F23</f>
        <v>2000</v>
      </c>
      <c r="F23" s="122">
        <v>2000</v>
      </c>
      <c r="G23" s="119">
        <v>0</v>
      </c>
      <c r="H23" s="99">
        <f>G23+'30'!H23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'30'!F24</f>
        <v>4970</v>
      </c>
      <c r="F24" s="128">
        <v>4970</v>
      </c>
      <c r="G24" s="119">
        <v>0</v>
      </c>
      <c r="H24" s="99">
        <f>G24+'30'!H24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0" t="s">
        <v>149</v>
      </c>
      <c r="B25" s="801"/>
      <c r="C25" s="80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23050</v>
      </c>
      <c r="F27" s="136">
        <v>9</v>
      </c>
      <c r="G27" s="137">
        <f>E27*F27</f>
        <v>207450</v>
      </c>
      <c r="H27" s="99">
        <f>G27+'30'!H27</f>
        <v>6520614.75</v>
      </c>
      <c r="I27" s="138"/>
      <c r="J27" s="175">
        <f>H27/DAY(B2)</f>
        <v>210342.41129032258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875</v>
      </c>
      <c r="F28" s="136">
        <v>52</v>
      </c>
      <c r="G28" s="137">
        <f>E28*F28</f>
        <v>45500</v>
      </c>
      <c r="H28" s="99">
        <f>G28+'30'!H28</f>
        <v>1516313.9159999955</v>
      </c>
      <c r="I28" s="140"/>
      <c r="J28" s="175">
        <f>H28/DAY(B2)</f>
        <v>48913.352129032115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G30+'30'!H30</f>
        <v>267618</v>
      </c>
      <c r="I30" s="140"/>
      <c r="J30" s="175">
        <f>H30/DAY(B2)</f>
        <v>8632.8387096774186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G31+'30'!H31</f>
        <v>422400</v>
      </c>
      <c r="I31" s="140"/>
      <c r="J31" s="175">
        <f>H31/DAY(B2)</f>
        <v>13625.806451612903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272910</v>
      </c>
      <c r="H32" s="99">
        <f>G32+'30'!H32</f>
        <v>8726946.6659999955</v>
      </c>
      <c r="I32" s="144"/>
      <c r="J32" s="175">
        <f>H32/DAY(B2)</f>
        <v>281514.40858064505</v>
      </c>
      <c r="K32" s="63"/>
      <c r="L32" s="89"/>
      <c r="N32" s="87"/>
      <c r="O32" s="71"/>
    </row>
    <row r="33" spans="1:15" ht="25.5" customHeight="1" x14ac:dyDescent="0.35">
      <c r="A33" s="803" t="s">
        <v>331</v>
      </c>
      <c r="B33" s="804"/>
      <c r="C33" s="804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'30'!F35</f>
        <v>1058597</v>
      </c>
      <c r="F35" s="145">
        <v>1058597</v>
      </c>
      <c r="G35" s="112">
        <f t="shared" ref="G35:G46" si="3">F35-E35</f>
        <v>0</v>
      </c>
      <c r="H35" s="99">
        <f>G35+'30'!H35</f>
        <v>2111685.6</v>
      </c>
      <c r="I35" s="95"/>
      <c r="J35" s="175">
        <f>H35/DAY(B2)</f>
        <v>68118.890322580643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'30'!F36</f>
        <v>1833</v>
      </c>
      <c r="F36" s="145">
        <v>1833</v>
      </c>
      <c r="G36" s="112">
        <f t="shared" si="3"/>
        <v>0</v>
      </c>
      <c r="H36" s="99">
        <f>G36+'30'!H36</f>
        <v>-57914.1</v>
      </c>
      <c r="I36" s="95"/>
      <c r="J36" s="175">
        <f>H36/DAY(B2)</f>
        <v>-1868.1967741935484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'30'!F37</f>
        <v>2775</v>
      </c>
      <c r="F37" s="145">
        <v>2775</v>
      </c>
      <c r="G37" s="112">
        <f t="shared" si="3"/>
        <v>0</v>
      </c>
      <c r="H37" s="99">
        <f>G37+'30'!H37</f>
        <v>-131866.87</v>
      </c>
      <c r="I37" s="95"/>
      <c r="J37" s="175">
        <f>H37/DAY(B2)</f>
        <v>-4253.7699999999995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'30'!F38</f>
        <v>4823</v>
      </c>
      <c r="F38" s="108">
        <v>4823</v>
      </c>
      <c r="G38" s="112">
        <f t="shared" si="3"/>
        <v>0</v>
      </c>
      <c r="H38" s="99">
        <f>G38+'30'!H38</f>
        <v>-137077.6</v>
      </c>
      <c r="I38" s="95"/>
      <c r="J38" s="175">
        <f>H38/DAY(B2)</f>
        <v>-4421.8580645161292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'30'!F39</f>
        <v>637915</v>
      </c>
      <c r="F39" s="145">
        <v>637915</v>
      </c>
      <c r="G39" s="112">
        <f t="shared" si="3"/>
        <v>0</v>
      </c>
      <c r="H39" s="99">
        <f>G39+'30'!H39</f>
        <v>958234.97</v>
      </c>
      <c r="I39" s="95"/>
      <c r="J39" s="175">
        <f>H39/DAY(B2)</f>
        <v>30910.805483870969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'30'!F40</f>
        <v>34599</v>
      </c>
      <c r="F40" s="145">
        <v>34599</v>
      </c>
      <c r="G40" s="112">
        <f t="shared" si="3"/>
        <v>0</v>
      </c>
      <c r="H40" s="99">
        <f>G40+'30'!H40</f>
        <v>69191.77</v>
      </c>
      <c r="I40" s="95"/>
      <c r="J40" s="175">
        <f>H40/DAY(B2)</f>
        <v>2231.9925806451615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'30'!F41</f>
        <v>433281.79</v>
      </c>
      <c r="F41" s="145">
        <v>433281.79</v>
      </c>
      <c r="G41" s="112">
        <f t="shared" si="3"/>
        <v>0</v>
      </c>
      <c r="H41" s="99">
        <f>G41+'30'!H41</f>
        <v>-177234.68000000011</v>
      </c>
      <c r="I41" s="95"/>
      <c r="J41" s="175">
        <f>H41/DAY(B2)</f>
        <v>-5717.2477419354873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'30'!F42</f>
        <v>175112</v>
      </c>
      <c r="F42" s="145">
        <v>175112</v>
      </c>
      <c r="G42" s="112">
        <f t="shared" si="3"/>
        <v>0</v>
      </c>
      <c r="H42" s="99">
        <f>G42+'30'!H42</f>
        <v>-162623.49</v>
      </c>
      <c r="I42" s="95"/>
      <c r="J42" s="175">
        <f>H42/DAY(B2)</f>
        <v>-5245.9190322580644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'30'!F43</f>
        <v>1289745</v>
      </c>
      <c r="F43" s="145">
        <v>1289745</v>
      </c>
      <c r="G43" s="112">
        <f t="shared" si="3"/>
        <v>0</v>
      </c>
      <c r="H43" s="99">
        <f>G43+'30'!H43</f>
        <v>-191251.19999999995</v>
      </c>
      <c r="I43" s="95"/>
      <c r="J43" s="175">
        <f>H43/DAY(B2)</f>
        <v>-6169.3935483870955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'30'!F44</f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'30'!F45</f>
        <v>614</v>
      </c>
      <c r="F45" s="145">
        <v>614</v>
      </c>
      <c r="G45" s="112">
        <f t="shared" si="3"/>
        <v>0</v>
      </c>
      <c r="H45" s="99">
        <f>G45+'30'!H45</f>
        <v>1228</v>
      </c>
      <c r="I45" s="95"/>
      <c r="J45" s="175">
        <f>H45/DAY(B2)</f>
        <v>39.612903225806448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'30'!F46</f>
        <v>187</v>
      </c>
      <c r="F46" s="145">
        <v>187</v>
      </c>
      <c r="G46" s="112">
        <f t="shared" si="3"/>
        <v>0</v>
      </c>
      <c r="H46" s="99">
        <f>G46+'30'!H46</f>
        <v>374</v>
      </c>
      <c r="I46" s="95"/>
      <c r="J46" s="175">
        <f>H46/DAY(B2)</f>
        <v>12.064516129032258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0</v>
      </c>
      <c r="H47" s="99">
        <f>G47+'30'!H47</f>
        <v>2282746.4</v>
      </c>
      <c r="I47" s="95"/>
      <c r="J47" s="175">
        <f>H47/DAY(B2)</f>
        <v>73636.980645161282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'30'!F49</f>
        <v>419822</v>
      </c>
      <c r="F49" s="145">
        <v>419822</v>
      </c>
      <c r="G49" s="112">
        <f t="shared" ref="G49:G58" si="4">F49-E49</f>
        <v>0</v>
      </c>
      <c r="H49" s="99">
        <f>G49+'30'!H49</f>
        <v>596649.56000000006</v>
      </c>
      <c r="I49" s="95"/>
      <c r="J49" s="175">
        <f>H49/DAY(B2)</f>
        <v>19246.760000000002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'30'!F50</f>
        <v>607298</v>
      </c>
      <c r="F50" s="145">
        <v>607298</v>
      </c>
      <c r="G50" s="112">
        <f t="shared" si="4"/>
        <v>0</v>
      </c>
      <c r="H50" s="99">
        <f>G50+'30'!H50</f>
        <v>-93045.949999999953</v>
      </c>
      <c r="I50" s="95"/>
      <c r="J50" s="175">
        <f>H50/DAY(B2)</f>
        <v>-3001.4822580645146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'30'!F51</f>
        <v>144640</v>
      </c>
      <c r="F51" s="145">
        <v>144640</v>
      </c>
      <c r="G51" s="112">
        <f t="shared" si="4"/>
        <v>0</v>
      </c>
      <c r="H51" s="99">
        <f>G51+'30'!H51</f>
        <v>289280</v>
      </c>
      <c r="I51" s="95"/>
      <c r="J51" s="175">
        <f>H51/DAY(B2)</f>
        <v>9331.6129032258068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'30'!F52</f>
        <v>539606</v>
      </c>
      <c r="F52" s="145">
        <v>539606</v>
      </c>
      <c r="G52" s="112">
        <f t="shared" si="4"/>
        <v>0</v>
      </c>
      <c r="H52" s="99">
        <f>G52+'30'!H52</f>
        <v>1079212</v>
      </c>
      <c r="I52" s="95"/>
      <c r="J52" s="175">
        <f>H52/DAY(B2)</f>
        <v>34813.290322580644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'30'!F53</f>
        <v>434232</v>
      </c>
      <c r="F53" s="145">
        <v>434232</v>
      </c>
      <c r="G53" s="112">
        <f t="shared" si="4"/>
        <v>0</v>
      </c>
      <c r="H53" s="99">
        <f>G53+'30'!H53</f>
        <v>868464</v>
      </c>
      <c r="I53" s="95"/>
      <c r="J53" s="175">
        <f>H53/DAY(B2)</f>
        <v>28014.967741935485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'30'!F54</f>
        <v>14967</v>
      </c>
      <c r="F54" s="145">
        <v>14967</v>
      </c>
      <c r="G54" s="112">
        <f t="shared" si="4"/>
        <v>0</v>
      </c>
      <c r="H54" s="99">
        <f>G54+'30'!H54</f>
        <v>24399.77</v>
      </c>
      <c r="I54" s="95"/>
      <c r="J54" s="175">
        <f>H54/DAY(B2)</f>
        <v>787.08935483870971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'30'!F55</f>
        <v>306268.99</v>
      </c>
      <c r="F55" s="145">
        <v>306268.99</v>
      </c>
      <c r="G55" s="112">
        <f t="shared" si="4"/>
        <v>0</v>
      </c>
      <c r="H55" s="99">
        <f>G55+'30'!H55</f>
        <v>-2059.4899999999907</v>
      </c>
      <c r="I55" s="95"/>
      <c r="J55" s="175">
        <f>H55/DAY(B2)</f>
        <v>-66.435161290322284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'30'!F56</f>
        <v>661019</v>
      </c>
      <c r="F56" s="145">
        <v>661019</v>
      </c>
      <c r="G56" s="112">
        <f t="shared" si="4"/>
        <v>0</v>
      </c>
      <c r="H56" s="99">
        <f>G56+'30'!H56</f>
        <v>-194032.55000000005</v>
      </c>
      <c r="I56" s="95"/>
      <c r="J56" s="175">
        <f>H56/DAY(B2)</f>
        <v>-6259.1145161290342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'30'!F57</f>
        <v>7711</v>
      </c>
      <c r="F57" s="145">
        <v>7711</v>
      </c>
      <c r="G57" s="112">
        <f t="shared" si="4"/>
        <v>0</v>
      </c>
      <c r="H57" s="99">
        <f>G57+'30'!H57</f>
        <v>15422</v>
      </c>
      <c r="I57" s="95"/>
      <c r="J57" s="175">
        <f>H57/DAY(B2)</f>
        <v>497.48387096774195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'30'!F58</f>
        <v>66014</v>
      </c>
      <c r="F58" s="145">
        <v>66014</v>
      </c>
      <c r="G58" s="112">
        <f t="shared" si="4"/>
        <v>0</v>
      </c>
      <c r="H58" s="99">
        <f>G58+'30'!H58</f>
        <v>-16060.800000000003</v>
      </c>
      <c r="I58" s="95"/>
      <c r="J58" s="175">
        <f>H58/DAY(B2)</f>
        <v>-518.09032258064531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0</v>
      </c>
      <c r="H59" s="99">
        <f>G59+'30'!H59</f>
        <v>2568228.54</v>
      </c>
      <c r="I59" s="95">
        <f>G7-G60</f>
        <v>23000</v>
      </c>
      <c r="J59" s="175">
        <f>H59/DAY(B2)</f>
        <v>82846.081935483875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0</v>
      </c>
      <c r="H60" s="99">
        <f>G60+'30'!H60</f>
        <v>4850974.9399999995</v>
      </c>
      <c r="I60" s="95">
        <f>G13-G60</f>
        <v>23000</v>
      </c>
      <c r="J60" s="175">
        <f>H60/DAY(B2)</f>
        <v>156483.06258064514</v>
      </c>
      <c r="K60" s="79"/>
      <c r="L60" s="66"/>
      <c r="N60" s="87"/>
      <c r="O60" s="71"/>
    </row>
    <row r="61" spans="1:15" s="68" customFormat="1" ht="27.75" x14ac:dyDescent="0.5">
      <c r="A61" s="805" t="s">
        <v>332</v>
      </c>
      <c r="B61" s="806"/>
      <c r="C61" s="807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1" t="s">
        <v>198</v>
      </c>
      <c r="B62" s="772"/>
      <c r="C62" s="773"/>
      <c r="D62" s="151" t="s">
        <v>142</v>
      </c>
      <c r="E62" s="95">
        <f>'30'!F62</f>
        <v>253452</v>
      </c>
      <c r="F62" s="122">
        <v>253452</v>
      </c>
      <c r="G62" s="112">
        <f t="shared" ref="G62:G63" si="5">F62-E62</f>
        <v>0</v>
      </c>
      <c r="H62" s="99">
        <f>G62+'30'!H62</f>
        <v>-7655</v>
      </c>
      <c r="I62" s="118"/>
      <c r="J62" s="175">
        <f>H62/DAY(B2)</f>
        <v>-246.93548387096774</v>
      </c>
      <c r="K62" s="80"/>
      <c r="L62" s="66"/>
      <c r="N62" s="87"/>
      <c r="O62" s="71"/>
    </row>
    <row r="63" spans="1:15" ht="27.75" x14ac:dyDescent="0.5">
      <c r="A63" s="771" t="s">
        <v>199</v>
      </c>
      <c r="B63" s="772"/>
      <c r="C63" s="773"/>
      <c r="D63" s="151" t="s">
        <v>142</v>
      </c>
      <c r="E63" s="95">
        <f>'30'!F63</f>
        <v>197659</v>
      </c>
      <c r="F63" s="122">
        <v>197659</v>
      </c>
      <c r="G63" s="112">
        <f t="shared" si="5"/>
        <v>0</v>
      </c>
      <c r="H63" s="99">
        <f>G63+'30'!H63</f>
        <v>-11970</v>
      </c>
      <c r="I63" s="118"/>
      <c r="J63" s="175">
        <f>H63/DAY(B2)</f>
        <v>-386.12903225806451</v>
      </c>
      <c r="K63" s="69"/>
      <c r="L63" s="66"/>
      <c r="N63" s="87"/>
      <c r="O63" s="71"/>
    </row>
    <row r="64" spans="1:15" ht="29.25" x14ac:dyDescent="0.5">
      <c r="A64" s="780" t="s">
        <v>200</v>
      </c>
      <c r="B64" s="781"/>
      <c r="C64" s="782"/>
      <c r="D64" s="151"/>
      <c r="E64" s="95">
        <f>'30'!F64</f>
        <v>0</v>
      </c>
      <c r="F64" s="122"/>
      <c r="G64" s="112">
        <f>G62+G63</f>
        <v>0</v>
      </c>
      <c r="H64" s="99">
        <f>G64+'30'!H64</f>
        <v>-19625</v>
      </c>
      <c r="I64" s="118"/>
      <c r="J64" s="175">
        <f>H64/DAY(B2)</f>
        <v>-633.06451612903231</v>
      </c>
      <c r="K64" s="69"/>
      <c r="L64" s="66"/>
      <c r="N64" s="87"/>
      <c r="O64" s="71"/>
    </row>
    <row r="65" spans="1:15" ht="27.75" x14ac:dyDescent="0.5">
      <c r="A65" s="771" t="s">
        <v>201</v>
      </c>
      <c r="B65" s="772"/>
      <c r="C65" s="773"/>
      <c r="D65" s="151" t="s">
        <v>142</v>
      </c>
      <c r="E65" s="95">
        <f>'30'!F65</f>
        <v>421019</v>
      </c>
      <c r="F65" s="122">
        <v>421019</v>
      </c>
      <c r="G65" s="112">
        <f t="shared" ref="G65:G70" si="6">F65-E65</f>
        <v>0</v>
      </c>
      <c r="H65" s="99">
        <f>G65+'30'!H65</f>
        <v>-6100</v>
      </c>
      <c r="I65" s="118"/>
      <c r="J65" s="175">
        <f>H65/DAY(B2)</f>
        <v>-196.7741935483871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'30'!F66</f>
        <v>104636</v>
      </c>
      <c r="F66" s="122">
        <v>104636</v>
      </c>
      <c r="G66" s="112">
        <f t="shared" si="6"/>
        <v>0</v>
      </c>
      <c r="H66" s="99">
        <f>G66+'30'!H66</f>
        <v>-1732</v>
      </c>
      <c r="I66" s="118"/>
      <c r="J66" s="175">
        <f>H66/DAY(B2)</f>
        <v>-55.87096774193548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'30'!F67</f>
        <v>100370</v>
      </c>
      <c r="F67" s="122">
        <v>100370</v>
      </c>
      <c r="G67" s="112">
        <f t="shared" si="6"/>
        <v>0</v>
      </c>
      <c r="H67" s="99">
        <f>G67+'30'!H67</f>
        <v>-2308</v>
      </c>
      <c r="I67" s="118"/>
      <c r="J67" s="175">
        <f>H67/DAY(B2)</f>
        <v>-74.451612903225808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'30'!F68</f>
        <v>152135</v>
      </c>
      <c r="F68" s="122">
        <v>152135</v>
      </c>
      <c r="G68" s="112">
        <f t="shared" si="6"/>
        <v>0</v>
      </c>
      <c r="H68" s="99">
        <f>G68+'30'!H68</f>
        <v>-2715</v>
      </c>
      <c r="I68" s="118"/>
      <c r="J68" s="175">
        <f>H68/DAY(B2)</f>
        <v>-87.58064516129032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'30'!F69</f>
        <v>8645</v>
      </c>
      <c r="F69" s="122">
        <v>8645</v>
      </c>
      <c r="G69" s="112">
        <f t="shared" si="6"/>
        <v>0</v>
      </c>
      <c r="H69" s="99">
        <f>G69+'30'!H69</f>
        <v>-1032</v>
      </c>
      <c r="I69" s="118"/>
      <c r="J69" s="175">
        <f>H69/DAY(B2)</f>
        <v>-33.29032258064516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'30'!F70</f>
        <v>6373</v>
      </c>
      <c r="F70" s="122">
        <v>6373</v>
      </c>
      <c r="G70" s="112">
        <f t="shared" si="6"/>
        <v>0</v>
      </c>
      <c r="H70" s="99">
        <f>G70+'30'!H70</f>
        <v>-1059</v>
      </c>
      <c r="I70" s="118"/>
      <c r="J70" s="175">
        <f>H70/DAY(B2)</f>
        <v>-34.161290322580648</v>
      </c>
      <c r="K70" s="69"/>
      <c r="L70" s="66"/>
      <c r="N70" s="87"/>
      <c r="O70" s="71"/>
    </row>
    <row r="71" spans="1:15" ht="29.25" x14ac:dyDescent="0.5">
      <c r="A71" s="780" t="s">
        <v>208</v>
      </c>
      <c r="B71" s="781"/>
      <c r="C71" s="782"/>
      <c r="D71" s="152"/>
      <c r="E71" s="95">
        <f>'30'!F71</f>
        <v>0</v>
      </c>
      <c r="F71" s="152"/>
      <c r="G71" s="153">
        <f>SUM(G65:G70)</f>
        <v>0</v>
      </c>
      <c r="H71" s="99">
        <f>G71+'30'!H71</f>
        <v>-14946</v>
      </c>
      <c r="I71" s="154"/>
      <c r="J71" s="175">
        <f>H71/DAY(B2)</f>
        <v>-482.12903225806451</v>
      </c>
      <c r="K71" s="69"/>
      <c r="L71" s="66"/>
      <c r="N71" s="87"/>
      <c r="O71" s="71"/>
    </row>
    <row r="72" spans="1:15" s="88" customFormat="1" ht="27.75" x14ac:dyDescent="0.5">
      <c r="A72" s="767"/>
      <c r="B72" s="752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77" t="s">
        <v>333</v>
      </c>
      <c r="B73" s="778"/>
      <c r="C73" s="779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1" t="s">
        <v>220</v>
      </c>
      <c r="B74" s="772"/>
      <c r="C74" s="773"/>
      <c r="D74" s="151" t="s">
        <v>139</v>
      </c>
      <c r="E74" s="95">
        <f>'30'!F74</f>
        <v>856352</v>
      </c>
      <c r="F74" s="123">
        <v>856352</v>
      </c>
      <c r="G74" s="112">
        <f t="shared" ref="G74:G78" si="7">F74-E74</f>
        <v>0</v>
      </c>
      <c r="H74" s="99">
        <f>G74+'30'!H74</f>
        <v>-21277.869999999995</v>
      </c>
      <c r="I74" s="154"/>
      <c r="J74" s="175">
        <f>H74/DAY(B2)</f>
        <v>-686.38290322580633</v>
      </c>
      <c r="K74" s="69"/>
      <c r="L74" s="66"/>
      <c r="N74" s="87"/>
      <c r="O74" s="71"/>
    </row>
    <row r="75" spans="1:15" ht="27.75" x14ac:dyDescent="0.5">
      <c r="A75" s="771" t="s">
        <v>221</v>
      </c>
      <c r="B75" s="772"/>
      <c r="C75" s="773"/>
      <c r="D75" s="151" t="s">
        <v>139</v>
      </c>
      <c r="E75" s="95">
        <f>'30'!F75</f>
        <v>73583.399999999994</v>
      </c>
      <c r="F75" s="123">
        <v>73583.399999999994</v>
      </c>
      <c r="G75" s="112">
        <f t="shared" si="7"/>
        <v>0</v>
      </c>
      <c r="H75" s="99">
        <f>G75+'30'!H75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68" t="s">
        <v>222</v>
      </c>
      <c r="B76" s="769"/>
      <c r="C76" s="770"/>
      <c r="D76" s="151" t="s">
        <v>139</v>
      </c>
      <c r="E76" s="95">
        <f>'30'!F76</f>
        <v>154077</v>
      </c>
      <c r="F76" s="123">
        <v>154077</v>
      </c>
      <c r="G76" s="112">
        <f t="shared" si="7"/>
        <v>0</v>
      </c>
      <c r="H76" s="99">
        <f>G76+'30'!H76</f>
        <v>-7237.9200000000128</v>
      </c>
      <c r="I76" s="154"/>
      <c r="J76" s="175">
        <f>H76/DAY(B2)</f>
        <v>-233.48129032258106</v>
      </c>
      <c r="K76" s="69"/>
      <c r="L76" s="66"/>
      <c r="N76" s="87"/>
      <c r="O76" s="71"/>
    </row>
    <row r="77" spans="1:15" ht="27.75" x14ac:dyDescent="0.5">
      <c r="A77" s="768" t="s">
        <v>223</v>
      </c>
      <c r="B77" s="769"/>
      <c r="C77" s="770"/>
      <c r="D77" s="151" t="s">
        <v>139</v>
      </c>
      <c r="E77" s="95">
        <f>'30'!F77</f>
        <v>34629</v>
      </c>
      <c r="F77" s="123">
        <v>34629</v>
      </c>
      <c r="G77" s="112">
        <f t="shared" si="7"/>
        <v>0</v>
      </c>
      <c r="H77" s="99">
        <f>G77+'30'!H77</f>
        <v>-3596.8000000000029</v>
      </c>
      <c r="I77" s="154"/>
      <c r="J77" s="175">
        <f>H77/DAY(B2)</f>
        <v>-116.02580645161299</v>
      </c>
      <c r="K77" s="69"/>
      <c r="L77" s="66"/>
      <c r="N77" s="87"/>
      <c r="O77" s="71"/>
    </row>
    <row r="78" spans="1:15" ht="27.75" x14ac:dyDescent="0.5">
      <c r="A78" s="768" t="s">
        <v>224</v>
      </c>
      <c r="B78" s="769"/>
      <c r="C78" s="770"/>
      <c r="D78" s="151" t="s">
        <v>139</v>
      </c>
      <c r="E78" s="95">
        <f>'30'!F78</f>
        <v>9180</v>
      </c>
      <c r="F78" s="123">
        <v>9180</v>
      </c>
      <c r="G78" s="112">
        <f t="shared" si="7"/>
        <v>0</v>
      </c>
      <c r="H78" s="99">
        <f>G78+'30'!H78</f>
        <v>-180.60000000000036</v>
      </c>
      <c r="I78" s="118"/>
      <c r="J78" s="175">
        <f>H78/DAY(B2)</f>
        <v>-5.8258064516129151</v>
      </c>
      <c r="K78" s="69"/>
      <c r="L78" s="66"/>
      <c r="N78" s="87"/>
      <c r="O78" s="71"/>
    </row>
    <row r="79" spans="1:15" s="57" customFormat="1" ht="27.75" x14ac:dyDescent="0.5">
      <c r="A79" s="768" t="s">
        <v>225</v>
      </c>
      <c r="B79" s="769"/>
      <c r="C79" s="770"/>
      <c r="D79" s="151"/>
      <c r="E79" s="95">
        <f>'30'!F79</f>
        <v>0</v>
      </c>
      <c r="F79" s="123"/>
      <c r="G79" s="112">
        <f>G15-SUM(G74:G78)</f>
        <v>875</v>
      </c>
      <c r="H79" s="99">
        <f>G79+'30'!H79</f>
        <v>61453.072999999924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0" t="s">
        <v>329</v>
      </c>
      <c r="B80" s="781"/>
      <c r="C80" s="782"/>
      <c r="D80" s="151"/>
      <c r="E80" s="117"/>
      <c r="F80" s="117"/>
      <c r="G80" s="112">
        <f>SUM(G74:G79)</f>
        <v>875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85" t="s">
        <v>226</v>
      </c>
      <c r="B81" s="786"/>
      <c r="C81" s="78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'30'!F82</f>
        <v>0</v>
      </c>
      <c r="F82" s="122"/>
      <c r="G82" s="112">
        <f t="shared" ref="G82:G92" si="8">F82-E82</f>
        <v>0</v>
      </c>
      <c r="H82" s="99">
        <f>G82+'30'!H131</f>
        <v>-2311.35</v>
      </c>
      <c r="I82" s="118"/>
      <c r="J82" s="175">
        <f>H82/DAY(B2)</f>
        <v>-74.559677419354841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'30'!F83</f>
        <v>0</v>
      </c>
      <c r="F83" s="122"/>
      <c r="G83" s="112">
        <f t="shared" si="8"/>
        <v>0</v>
      </c>
      <c r="H83" s="99">
        <f>G83+'30'!H83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'30'!F84</f>
        <v>40922</v>
      </c>
      <c r="F84" s="164">
        <v>40922</v>
      </c>
      <c r="G84" s="112">
        <f t="shared" si="8"/>
        <v>0</v>
      </c>
      <c r="H84" s="99">
        <f>G84+'30'!H84</f>
        <v>-774.19000000000233</v>
      </c>
      <c r="I84" s="118"/>
      <c r="J84" s="175">
        <f>H84/DAY(B2)</f>
        <v>-24.973870967742009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'30'!F85</f>
        <v>856</v>
      </c>
      <c r="F85" s="164">
        <v>856</v>
      </c>
      <c r="G85" s="112">
        <f t="shared" si="8"/>
        <v>0</v>
      </c>
      <c r="H85" s="99">
        <f>G85+'30'!H85</f>
        <v>-761.45</v>
      </c>
      <c r="I85" s="118">
        <f>G82+G83+G84+G85</f>
        <v>0</v>
      </c>
      <c r="J85" s="175">
        <f>H85/DAY(B2)</f>
        <v>-24.562903225806455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'30'!F86</f>
        <v>42822</v>
      </c>
      <c r="F86" s="164">
        <v>42822</v>
      </c>
      <c r="G86" s="112">
        <f t="shared" si="8"/>
        <v>0</v>
      </c>
      <c r="H86" s="99">
        <f>G86+'30'!H86</f>
        <v>-8.4700000000011642</v>
      </c>
      <c r="I86" s="118"/>
      <c r="J86" s="175">
        <f>H86/DAY(B2)</f>
        <v>-0.27322580645165045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'30'!F87</f>
        <v>32928</v>
      </c>
      <c r="F87" s="164">
        <v>32928</v>
      </c>
      <c r="G87" s="112">
        <f t="shared" si="8"/>
        <v>0</v>
      </c>
      <c r="H87" s="99">
        <f>G87+'30'!H87</f>
        <v>-921.2300000000032</v>
      </c>
      <c r="I87" s="118"/>
      <c r="J87" s="175">
        <f>H87/DAY(B2)</f>
        <v>-29.717096774193653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'30'!F88</f>
        <v>23356.43</v>
      </c>
      <c r="F88" s="164">
        <v>23356.43</v>
      </c>
      <c r="G88" s="112">
        <f t="shared" si="8"/>
        <v>0</v>
      </c>
      <c r="H88" s="99">
        <f>G88+'30'!H88</f>
        <v>-580.34000000000015</v>
      </c>
      <c r="I88" s="118">
        <f>G86+G87+G88</f>
        <v>0</v>
      </c>
      <c r="J88" s="175">
        <f>H88/DAY(B2)</f>
        <v>-18.720645161290328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'30'!F89</f>
        <v>25132.959999999999</v>
      </c>
      <c r="F89" s="164">
        <v>25132.959999999999</v>
      </c>
      <c r="G89" s="112">
        <f t="shared" si="8"/>
        <v>0</v>
      </c>
      <c r="H89" s="99">
        <f>G89+'30'!H89</f>
        <v>-163.57300000000032</v>
      </c>
      <c r="I89" s="118"/>
      <c r="J89" s="175">
        <f>H89/DAY(B2)</f>
        <v>-5.2765483870967849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'30'!F90</f>
        <v>70524.55</v>
      </c>
      <c r="F90" s="164">
        <v>70524.55</v>
      </c>
      <c r="G90" s="112">
        <f t="shared" si="8"/>
        <v>0</v>
      </c>
      <c r="H90" s="99">
        <f>G90+'30'!H90</f>
        <v>-72.10999999998603</v>
      </c>
      <c r="I90" s="118">
        <f>G89+G90</f>
        <v>0</v>
      </c>
      <c r="J90" s="175">
        <f>H90/DAY(B2)</f>
        <v>-2.3261290322576138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'30'!F91</f>
        <v>2627.98</v>
      </c>
      <c r="F91" s="122">
        <v>2627.98</v>
      </c>
      <c r="G91" s="112">
        <f t="shared" si="8"/>
        <v>0</v>
      </c>
      <c r="H91" s="99">
        <f>G91+'30'!H91</f>
        <v>-779.37999999999965</v>
      </c>
      <c r="I91" s="165"/>
      <c r="J91" s="175">
        <f>H91/DAY(B2)</f>
        <v>-25.141290322580634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'30'!F92</f>
        <v>4754</v>
      </c>
      <c r="F92" s="122">
        <v>4754</v>
      </c>
      <c r="G92" s="112">
        <f t="shared" si="8"/>
        <v>0</v>
      </c>
      <c r="H92" s="99">
        <f>G92+'30'!H92</f>
        <v>-8.4600000000000364</v>
      </c>
      <c r="I92" s="165"/>
      <c r="J92" s="175">
        <f>H92/DAY(B2)</f>
        <v>-0.27290322580645276</v>
      </c>
      <c r="O92" s="71"/>
    </row>
    <row r="93" spans="1:15" ht="29.25" x14ac:dyDescent="0.5">
      <c r="A93" s="774" t="s">
        <v>239</v>
      </c>
      <c r="B93" s="775"/>
      <c r="C93" s="77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1" t="s">
        <v>240</v>
      </c>
      <c r="B94" s="772"/>
      <c r="C94" s="773"/>
      <c r="D94" s="151" t="s">
        <v>130</v>
      </c>
      <c r="E94" s="151"/>
      <c r="F94" s="151"/>
      <c r="G94" s="99">
        <f>G35+G43+G49+G57</f>
        <v>0</v>
      </c>
      <c r="H94" s="99">
        <f>G94+'30'!H94</f>
        <v>2532505.96</v>
      </c>
      <c r="I94" s="118"/>
      <c r="J94" s="175">
        <f>H94/DAY(B2)</f>
        <v>81693.740645161291</v>
      </c>
      <c r="K94" s="69"/>
      <c r="L94" s="66"/>
      <c r="O94" s="71"/>
    </row>
    <row r="95" spans="1:15" ht="27.75" x14ac:dyDescent="0.5">
      <c r="A95" s="771" t="s">
        <v>241</v>
      </c>
      <c r="B95" s="772"/>
      <c r="C95" s="773"/>
      <c r="D95" s="151" t="s">
        <v>23</v>
      </c>
      <c r="E95" s="146"/>
      <c r="F95" s="146"/>
      <c r="G95" s="166">
        <f>G94/G7</f>
        <v>0</v>
      </c>
      <c r="H95" s="99">
        <f>G95+'30'!H95</f>
        <v>110.05863639047362</v>
      </c>
      <c r="I95" s="167"/>
      <c r="J95" s="175">
        <f>H95/DAY(B2)</f>
        <v>3.5502785932410847</v>
      </c>
      <c r="K95" s="69"/>
      <c r="L95" s="66"/>
      <c r="O95" s="71"/>
    </row>
    <row r="96" spans="1:15" ht="27.75" x14ac:dyDescent="0.5">
      <c r="A96" s="771" t="s">
        <v>242</v>
      </c>
      <c r="B96" s="772"/>
      <c r="C96" s="773"/>
      <c r="D96" s="151" t="s">
        <v>130</v>
      </c>
      <c r="E96" s="95"/>
      <c r="F96" s="95"/>
      <c r="G96" s="99">
        <f>G41+G42+G55+G56</f>
        <v>0</v>
      </c>
      <c r="H96" s="99">
        <f>G96+'30'!H96</f>
        <v>-535950.2100000002</v>
      </c>
      <c r="I96" s="118"/>
      <c r="J96" s="175">
        <f>H96/DAY(B2)</f>
        <v>-17288.716451612909</v>
      </c>
      <c r="K96" s="69"/>
      <c r="L96" s="66"/>
      <c r="O96" s="71"/>
    </row>
    <row r="97" spans="1:15" ht="27.75" x14ac:dyDescent="0.5">
      <c r="A97" s="771" t="s">
        <v>243</v>
      </c>
      <c r="B97" s="772"/>
      <c r="C97" s="773"/>
      <c r="D97" s="151" t="s">
        <v>23</v>
      </c>
      <c r="E97" s="95"/>
      <c r="F97" s="95"/>
      <c r="G97" s="166">
        <f>G96/G7</f>
        <v>0</v>
      </c>
      <c r="H97" s="99">
        <f>G97+'30'!H97</f>
        <v>-23.376968076147254</v>
      </c>
      <c r="I97" s="167"/>
      <c r="J97" s="175">
        <f>H97/DAY(B2)</f>
        <v>-0.7540957443918469</v>
      </c>
      <c r="K97" s="69"/>
      <c r="L97" s="66"/>
      <c r="O97" s="71"/>
    </row>
    <row r="98" spans="1:15" ht="27.75" x14ac:dyDescent="0.5">
      <c r="A98" s="771" t="s">
        <v>244</v>
      </c>
      <c r="B98" s="772"/>
      <c r="C98" s="773"/>
      <c r="D98" s="151" t="s">
        <v>130</v>
      </c>
      <c r="E98" s="95"/>
      <c r="F98" s="95"/>
      <c r="G98" s="99">
        <f>G39+G53</f>
        <v>0</v>
      </c>
      <c r="H98" s="99">
        <f>G98+'30'!H98</f>
        <v>1826698.97</v>
      </c>
      <c r="I98" s="168"/>
      <c r="J98" s="175">
        <f>H98/DAY(B2)</f>
        <v>58925.77322580645</v>
      </c>
      <c r="K98" s="69"/>
      <c r="L98" s="66"/>
      <c r="O98" s="71"/>
    </row>
    <row r="99" spans="1:15" ht="27.75" x14ac:dyDescent="0.5">
      <c r="A99" s="771" t="s">
        <v>245</v>
      </c>
      <c r="B99" s="772"/>
      <c r="C99" s="773"/>
      <c r="D99" s="151" t="s">
        <v>23</v>
      </c>
      <c r="E99" s="95"/>
      <c r="F99" s="95"/>
      <c r="G99" s="166">
        <f>G98/G7</f>
        <v>0</v>
      </c>
      <c r="H99" s="99">
        <f>G99+'30'!H99</f>
        <v>79.385711690839827</v>
      </c>
      <c r="I99" s="168"/>
      <c r="J99" s="175">
        <f>H99/DAY(B2)</f>
        <v>2.5608294093819297</v>
      </c>
      <c r="O99" s="71"/>
    </row>
    <row r="100" spans="1:15" ht="27.75" x14ac:dyDescent="0.5">
      <c r="A100" s="771" t="s">
        <v>246</v>
      </c>
      <c r="B100" s="772"/>
      <c r="C100" s="773"/>
      <c r="D100" s="151" t="s">
        <v>180</v>
      </c>
      <c r="E100" s="95"/>
      <c r="F100" s="95"/>
      <c r="G100" s="99">
        <f>G38+G52</f>
        <v>0</v>
      </c>
      <c r="H100" s="99">
        <f>G100+'30'!H100</f>
        <v>942134.4</v>
      </c>
      <c r="I100" s="118"/>
      <c r="J100" s="175">
        <f>H100/DAY(B2)</f>
        <v>30391.432258064517</v>
      </c>
      <c r="K100" s="70"/>
      <c r="O100" s="71"/>
    </row>
    <row r="101" spans="1:15" ht="27.75" x14ac:dyDescent="0.5">
      <c r="A101" s="771" t="s">
        <v>247</v>
      </c>
      <c r="B101" s="772"/>
      <c r="C101" s="773"/>
      <c r="D101" s="151" t="s">
        <v>23</v>
      </c>
      <c r="E101" s="95"/>
      <c r="F101" s="95"/>
      <c r="G101" s="166">
        <f>G100/G7</f>
        <v>0</v>
      </c>
      <c r="H101" s="99">
        <f>G101+'30'!H101</f>
        <v>40.946365636236884</v>
      </c>
      <c r="I101" s="168"/>
      <c r="J101" s="175">
        <f>H101/DAY(B2)</f>
        <v>1.3208505043947383</v>
      </c>
      <c r="O101" s="71"/>
    </row>
    <row r="102" spans="1:15" ht="27.75" x14ac:dyDescent="0.5">
      <c r="A102" s="771" t="s">
        <v>248</v>
      </c>
      <c r="B102" s="772"/>
      <c r="C102" s="773"/>
      <c r="D102" s="151" t="s">
        <v>180</v>
      </c>
      <c r="E102" s="95"/>
      <c r="F102" s="95"/>
      <c r="G102" s="99">
        <f>G36+G50</f>
        <v>0</v>
      </c>
      <c r="H102" s="99">
        <f>G102+'30'!H102</f>
        <v>-150960.04999999996</v>
      </c>
      <c r="I102" s="168"/>
      <c r="J102" s="175">
        <f>H102/DAY(B2)</f>
        <v>-4869.6790322580628</v>
      </c>
      <c r="O102" s="71"/>
    </row>
    <row r="103" spans="1:15" ht="27.75" x14ac:dyDescent="0.5">
      <c r="A103" s="771" t="s">
        <v>249</v>
      </c>
      <c r="B103" s="772"/>
      <c r="C103" s="773"/>
      <c r="D103" s="151" t="s">
        <v>23</v>
      </c>
      <c r="E103" s="95"/>
      <c r="F103" s="95"/>
      <c r="G103" s="166">
        <f>G102/G7</f>
        <v>0</v>
      </c>
      <c r="H103" s="99">
        <f>G103+'30'!H103</f>
        <v>-6.5833689420489332</v>
      </c>
      <c r="I103" s="118"/>
      <c r="J103" s="175">
        <f>H103/DAY(B2)</f>
        <v>-0.21236674006609463</v>
      </c>
      <c r="O103" s="71"/>
    </row>
    <row r="104" spans="1:15" ht="27.75" x14ac:dyDescent="0.5">
      <c r="A104" s="771" t="s">
        <v>250</v>
      </c>
      <c r="B104" s="772"/>
      <c r="C104" s="773"/>
      <c r="D104" s="151" t="s">
        <v>180</v>
      </c>
      <c r="E104" s="95"/>
      <c r="F104" s="95"/>
      <c r="G104" s="99">
        <f>G37+G51</f>
        <v>0</v>
      </c>
      <c r="H104" s="99">
        <f>G104+'30'!H104</f>
        <v>157413.13</v>
      </c>
      <c r="I104" s="118"/>
      <c r="J104" s="175">
        <f>H104/DAY(B2)</f>
        <v>5077.8429032258064</v>
      </c>
      <c r="O104" s="71"/>
    </row>
    <row r="105" spans="1:15" ht="28.5" thickBot="1" x14ac:dyDescent="0.55000000000000004">
      <c r="A105" s="764" t="s">
        <v>251</v>
      </c>
      <c r="B105" s="765"/>
      <c r="C105" s="766"/>
      <c r="D105" s="231" t="s">
        <v>23</v>
      </c>
      <c r="E105" s="185"/>
      <c r="F105" s="185"/>
      <c r="G105" s="186">
        <f>G104/G7</f>
        <v>0</v>
      </c>
      <c r="H105" s="99">
        <f>G105+'30'!H105</f>
        <v>6.8301240046325189</v>
      </c>
      <c r="I105" s="187"/>
      <c r="J105" s="188">
        <f>H105/DAY(B2)</f>
        <v>0.22032658079459738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0" t="s">
        <v>324</v>
      </c>
      <c r="B108" s="760"/>
      <c r="C108" s="760"/>
      <c r="D108" s="760"/>
      <c r="E108" s="760"/>
      <c r="F108" s="760"/>
      <c r="G108" s="760"/>
      <c r="H108" s="760"/>
      <c r="I108" s="760"/>
      <c r="J108" s="760"/>
    </row>
    <row r="109" spans="1:15" ht="29.25" x14ac:dyDescent="0.5">
      <c r="A109" s="788"/>
      <c r="B109" s="788"/>
    </row>
    <row r="110" spans="1:15" ht="29.25" x14ac:dyDescent="0.5">
      <c r="A110" s="761" t="s">
        <v>165</v>
      </c>
      <c r="B110" s="762"/>
      <c r="C110" s="762"/>
      <c r="D110" s="762"/>
      <c r="E110" s="762"/>
      <c r="F110" s="762"/>
      <c r="G110" s="762"/>
      <c r="H110" s="762"/>
      <c r="I110" s="762"/>
      <c r="J110" s="763"/>
    </row>
    <row r="111" spans="1:15" ht="27.75" x14ac:dyDescent="0.5">
      <c r="A111" s="753"/>
      <c r="B111" s="754"/>
      <c r="C111" s="755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0" t="s">
        <v>252</v>
      </c>
      <c r="B112" s="751"/>
      <c r="C112" s="752"/>
      <c r="D112" s="146" t="s">
        <v>183</v>
      </c>
      <c r="E112" s="95">
        <f>'30'!F112</f>
        <v>38434</v>
      </c>
      <c r="F112" s="237">
        <v>38434</v>
      </c>
      <c r="G112" s="112">
        <f t="shared" ref="G112:G123" si="9">F112-E112</f>
        <v>0</v>
      </c>
      <c r="H112" s="99">
        <f>G112+'30'!H112</f>
        <v>-21107.82</v>
      </c>
      <c r="I112" s="165"/>
      <c r="J112" s="348">
        <f>H112/DAY(B2)</f>
        <v>-680.89741935483869</v>
      </c>
    </row>
    <row r="113" spans="1:18" ht="27.75" x14ac:dyDescent="0.5">
      <c r="A113" s="750" t="s">
        <v>253</v>
      </c>
      <c r="B113" s="751"/>
      <c r="C113" s="752"/>
      <c r="D113" s="146" t="s">
        <v>183</v>
      </c>
      <c r="E113" s="95">
        <f>'30'!F113</f>
        <v>94790</v>
      </c>
      <c r="F113" s="237">
        <v>94790</v>
      </c>
      <c r="G113" s="112">
        <f t="shared" si="9"/>
        <v>0</v>
      </c>
      <c r="H113" s="99">
        <f>G113+'30'!H113</f>
        <v>-119257.45000000001</v>
      </c>
      <c r="I113" s="165"/>
      <c r="J113" s="348">
        <f>H113/DAY(B2)</f>
        <v>-3847.0145161290325</v>
      </c>
    </row>
    <row r="114" spans="1:18" ht="27.75" x14ac:dyDescent="0.5">
      <c r="A114" s="750" t="s">
        <v>254</v>
      </c>
      <c r="B114" s="751"/>
      <c r="C114" s="752"/>
      <c r="D114" s="146" t="s">
        <v>183</v>
      </c>
      <c r="E114" s="95">
        <f>'30'!F114</f>
        <v>44933</v>
      </c>
      <c r="F114" s="237">
        <v>44933</v>
      </c>
      <c r="G114" s="112">
        <f t="shared" si="9"/>
        <v>0</v>
      </c>
      <c r="H114" s="99">
        <f>G114+'30'!H114</f>
        <v>92743.9</v>
      </c>
      <c r="I114" s="165"/>
      <c r="J114" s="348">
        <f>H114/DAY(B2)</f>
        <v>2991.7387096774191</v>
      </c>
    </row>
    <row r="115" spans="1:18" ht="27.75" x14ac:dyDescent="0.5">
      <c r="A115" s="750" t="s">
        <v>255</v>
      </c>
      <c r="B115" s="751"/>
      <c r="C115" s="752"/>
      <c r="D115" s="146" t="s">
        <v>183</v>
      </c>
      <c r="E115" s="95">
        <f>'30'!F115</f>
        <v>6560</v>
      </c>
      <c r="F115" s="237">
        <v>6560</v>
      </c>
      <c r="G115" s="112">
        <f t="shared" si="9"/>
        <v>0</v>
      </c>
      <c r="H115" s="99">
        <f>G115+'30'!H115</f>
        <v>-2561.4399999999996</v>
      </c>
      <c r="I115" s="165"/>
      <c r="J115" s="348">
        <f>H115/DAY(B2)</f>
        <v>-82.627096774193532</v>
      </c>
    </row>
    <row r="116" spans="1:18" ht="27.75" x14ac:dyDescent="0.5">
      <c r="A116" s="757" t="s">
        <v>96</v>
      </c>
      <c r="B116" s="758"/>
      <c r="C116" s="759"/>
      <c r="D116" s="146" t="s">
        <v>183</v>
      </c>
      <c r="E116" s="95">
        <f>'30'!F116</f>
        <v>44933</v>
      </c>
      <c r="F116" s="237">
        <v>44933</v>
      </c>
      <c r="G116" s="112">
        <f t="shared" si="9"/>
        <v>0</v>
      </c>
      <c r="H116" s="99">
        <f>G116+'30'!H116</f>
        <v>89866</v>
      </c>
      <c r="I116" s="165"/>
      <c r="J116" s="348">
        <f>H116/DAY(B2)</f>
        <v>2898.9032258064517</v>
      </c>
      <c r="Q116" s="750" t="s">
        <v>311</v>
      </c>
      <c r="R116" s="752"/>
    </row>
    <row r="117" spans="1:18" ht="27.75" x14ac:dyDescent="0.5">
      <c r="A117" s="757" t="s">
        <v>184</v>
      </c>
      <c r="B117" s="758"/>
      <c r="C117" s="759"/>
      <c r="D117" s="146" t="s">
        <v>183</v>
      </c>
      <c r="E117" s="95">
        <f>'30'!F117</f>
        <v>44933</v>
      </c>
      <c r="F117" s="237">
        <v>44933</v>
      </c>
      <c r="G117" s="112">
        <f t="shared" si="9"/>
        <v>0</v>
      </c>
      <c r="H117" s="99">
        <f>G117+'30'!H117</f>
        <v>88625.98000000001</v>
      </c>
      <c r="I117" s="165"/>
      <c r="J117" s="348">
        <f>H117/DAY(B2)</f>
        <v>2858.9025806451618</v>
      </c>
      <c r="Q117" s="750" t="s">
        <v>312</v>
      </c>
      <c r="R117" s="752"/>
    </row>
    <row r="118" spans="1:18" ht="27.75" x14ac:dyDescent="0.5">
      <c r="A118" s="749" t="s">
        <v>97</v>
      </c>
      <c r="B118" s="749"/>
      <c r="C118" s="749"/>
      <c r="D118" s="151" t="s">
        <v>183</v>
      </c>
      <c r="E118" s="95">
        <f>'30'!F118</f>
        <v>44933</v>
      </c>
      <c r="F118" s="237">
        <v>44933</v>
      </c>
      <c r="G118" s="112">
        <f t="shared" si="9"/>
        <v>0</v>
      </c>
      <c r="H118" s="99">
        <f>G118+'30'!H118</f>
        <v>-330033.39</v>
      </c>
      <c r="I118" s="165"/>
      <c r="J118" s="348">
        <f>H118/DAY(B2)</f>
        <v>-10646.238387096775</v>
      </c>
      <c r="Q118" s="750" t="s">
        <v>311</v>
      </c>
      <c r="R118" s="752"/>
    </row>
    <row r="119" spans="1:18" ht="27.75" x14ac:dyDescent="0.5">
      <c r="A119" s="749" t="s">
        <v>98</v>
      </c>
      <c r="B119" s="749"/>
      <c r="C119" s="749"/>
      <c r="D119" s="151" t="s">
        <v>183</v>
      </c>
      <c r="E119" s="95">
        <f>'30'!F119</f>
        <v>44933</v>
      </c>
      <c r="F119" s="237">
        <v>44933</v>
      </c>
      <c r="G119" s="112">
        <f t="shared" si="9"/>
        <v>0</v>
      </c>
      <c r="H119" s="99">
        <f>G119+'30'!H119</f>
        <v>-329315.05</v>
      </c>
      <c r="I119" s="165"/>
      <c r="J119" s="348">
        <f>H119/DAY(B2)</f>
        <v>-10623.066129032257</v>
      </c>
    </row>
    <row r="120" spans="1:18" ht="27.75" x14ac:dyDescent="0.5">
      <c r="A120" s="749" t="s">
        <v>99</v>
      </c>
      <c r="B120" s="749"/>
      <c r="C120" s="749"/>
      <c r="D120" s="151" t="s">
        <v>183</v>
      </c>
      <c r="E120" s="95">
        <f>'30'!F120</f>
        <v>44933</v>
      </c>
      <c r="F120" s="237">
        <v>44933</v>
      </c>
      <c r="G120" s="112">
        <f t="shared" si="9"/>
        <v>0</v>
      </c>
      <c r="H120" s="99">
        <f>G120+'30'!H120</f>
        <v>71927.510000000009</v>
      </c>
      <c r="I120" s="165"/>
      <c r="J120" s="348">
        <f>H120/DAY(B2)</f>
        <v>2320.2422580645166</v>
      </c>
    </row>
    <row r="121" spans="1:18" ht="27.75" x14ac:dyDescent="0.5">
      <c r="A121" s="749" t="s">
        <v>100</v>
      </c>
      <c r="B121" s="749"/>
      <c r="C121" s="749"/>
      <c r="D121" s="151" t="s">
        <v>183</v>
      </c>
      <c r="E121" s="95">
        <f>'30'!F121</f>
        <v>44933</v>
      </c>
      <c r="F121" s="237">
        <v>44933</v>
      </c>
      <c r="G121" s="112">
        <f t="shared" si="9"/>
        <v>0</v>
      </c>
      <c r="H121" s="99">
        <f>G121+'30'!H121</f>
        <v>-541106.63</v>
      </c>
      <c r="I121" s="165"/>
      <c r="J121" s="348">
        <f>H121/DAY(B2)</f>
        <v>-17455.052580645162</v>
      </c>
    </row>
    <row r="122" spans="1:18" ht="27.75" x14ac:dyDescent="0.5">
      <c r="A122" s="749" t="s">
        <v>101</v>
      </c>
      <c r="B122" s="749"/>
      <c r="C122" s="749"/>
      <c r="D122" s="151" t="s">
        <v>183</v>
      </c>
      <c r="E122" s="95">
        <f>'30'!F122</f>
        <v>44933</v>
      </c>
      <c r="F122" s="237">
        <v>44933</v>
      </c>
      <c r="G122" s="112">
        <f t="shared" si="9"/>
        <v>0</v>
      </c>
      <c r="H122" s="99">
        <f>G122+'30'!H122</f>
        <v>-98745.64</v>
      </c>
      <c r="I122" s="165"/>
      <c r="J122" s="348">
        <f>H122/DAY(B2)</f>
        <v>-3185.3432258064518</v>
      </c>
    </row>
    <row r="123" spans="1:18" ht="27.75" x14ac:dyDescent="0.5">
      <c r="A123" s="749" t="s">
        <v>348</v>
      </c>
      <c r="B123" s="749"/>
      <c r="C123" s="749"/>
      <c r="D123" s="151" t="s">
        <v>183</v>
      </c>
      <c r="E123" s="95">
        <f>'30'!F123</f>
        <v>44933</v>
      </c>
      <c r="F123" s="237">
        <v>44933</v>
      </c>
      <c r="G123" s="112">
        <f t="shared" si="9"/>
        <v>0</v>
      </c>
      <c r="H123" s="99">
        <f>G123+'30'!H123</f>
        <v>-146917.34</v>
      </c>
      <c r="I123" s="165"/>
      <c r="J123" s="348">
        <f>H123/DAY(B2)</f>
        <v>-4739.2690322580647</v>
      </c>
    </row>
    <row r="124" spans="1:18" ht="27.75" x14ac:dyDescent="0.5">
      <c r="A124" s="753"/>
      <c r="B124" s="754"/>
      <c r="C124" s="755"/>
      <c r="D124" s="165"/>
      <c r="E124" s="95">
        <f>'30'!F124</f>
        <v>0</v>
      </c>
      <c r="F124" s="165"/>
      <c r="G124" s="347"/>
      <c r="H124" s="99">
        <f>G124+'30'!H124</f>
        <v>0</v>
      </c>
      <c r="I124" s="165"/>
      <c r="J124" s="347"/>
    </row>
    <row r="125" spans="1:18" ht="27.75" x14ac:dyDescent="0.5">
      <c r="A125" s="737"/>
      <c r="B125" s="737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56" t="s">
        <v>317</v>
      </c>
      <c r="B126" s="756"/>
      <c r="C126" s="756"/>
      <c r="D126" s="756"/>
      <c r="E126" s="756"/>
      <c r="F126" s="756"/>
      <c r="G126" s="756"/>
      <c r="H126" s="756"/>
      <c r="I126" s="756"/>
      <c r="J126" s="756"/>
    </row>
    <row r="127" spans="1:18" ht="27.75" x14ac:dyDescent="0.5">
      <c r="A127" s="737"/>
      <c r="B127" s="737"/>
      <c r="C127" s="246"/>
      <c r="D127" s="317"/>
      <c r="E127" s="318"/>
      <c r="F127" s="318"/>
      <c r="G127" s="319"/>
      <c r="H127" s="99">
        <f>G127+'30'!H127</f>
        <v>0</v>
      </c>
      <c r="I127" s="165"/>
      <c r="J127" s="348">
        <f>H127/DAY(B2)</f>
        <v>0</v>
      </c>
    </row>
    <row r="128" spans="1:18" ht="27.75" x14ac:dyDescent="0.5">
      <c r="A128" s="750" t="s">
        <v>318</v>
      </c>
      <c r="B128" s="751"/>
      <c r="C128" s="752"/>
      <c r="D128" s="151" t="s">
        <v>183</v>
      </c>
      <c r="E128" s="95">
        <f>'30'!F128</f>
        <v>0</v>
      </c>
      <c r="F128" s="165"/>
      <c r="G128" s="112">
        <f t="shared" ref="G128:G134" si="10">F128-E128</f>
        <v>0</v>
      </c>
      <c r="H128" s="99">
        <f>G128+'30'!H128</f>
        <v>-20837.400000000001</v>
      </c>
      <c r="I128" s="165"/>
      <c r="J128" s="348">
        <f>H128/DAY(B2)</f>
        <v>-672.17419354838717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'30'!F129</f>
        <v>0</v>
      </c>
      <c r="F129" s="165"/>
      <c r="G129" s="112">
        <f t="shared" si="10"/>
        <v>0</v>
      </c>
      <c r="H129" s="99">
        <f>G129+'30'!H129</f>
        <v>-3767.84</v>
      </c>
      <c r="I129" s="165"/>
      <c r="J129" s="348">
        <f>H129/DAY(B2)</f>
        <v>-121.54322580645162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'30'!F130</f>
        <v>0</v>
      </c>
      <c r="F130" s="165"/>
      <c r="G130" s="112">
        <f t="shared" si="10"/>
        <v>0</v>
      </c>
      <c r="H130" s="99">
        <f>G130+'30'!H130</f>
        <v>-4439.2299999999996</v>
      </c>
      <c r="I130" s="165"/>
      <c r="J130" s="348">
        <f>H130/DAY(B2)</f>
        <v>-143.20096774193547</v>
      </c>
      <c r="N130" s="240"/>
      <c r="O130" s="241"/>
    </row>
    <row r="131" spans="1:15" ht="27.75" x14ac:dyDescent="0.5">
      <c r="A131" s="750" t="s">
        <v>321</v>
      </c>
      <c r="B131" s="751"/>
      <c r="C131" s="752"/>
      <c r="D131" s="151" t="s">
        <v>183</v>
      </c>
      <c r="E131" s="95">
        <f>'30'!F131</f>
        <v>0</v>
      </c>
      <c r="F131" s="165"/>
      <c r="G131" s="112">
        <f t="shared" si="10"/>
        <v>0</v>
      </c>
      <c r="H131" s="99">
        <f>G131+'30'!H131</f>
        <v>-2311.35</v>
      </c>
      <c r="I131" s="165"/>
      <c r="J131" s="348">
        <f>H131/DAY(B2)</f>
        <v>-74.559677419354841</v>
      </c>
      <c r="N131" s="240"/>
      <c r="O131" s="241"/>
    </row>
    <row r="132" spans="1:15" ht="27.75" x14ac:dyDescent="0.5">
      <c r="A132" s="750" t="s">
        <v>322</v>
      </c>
      <c r="B132" s="751"/>
      <c r="C132" s="752"/>
      <c r="D132" s="151" t="s">
        <v>183</v>
      </c>
      <c r="E132" s="95">
        <f>'30'!F132</f>
        <v>0</v>
      </c>
      <c r="F132" s="165"/>
      <c r="G132" s="112">
        <f t="shared" si="10"/>
        <v>0</v>
      </c>
      <c r="H132" s="99">
        <f>G132+'30'!H132</f>
        <v>-7246.7</v>
      </c>
      <c r="I132" s="165"/>
      <c r="J132" s="348">
        <f>H132/DAY(B2)</f>
        <v>-233.76451612903224</v>
      </c>
    </row>
    <row r="133" spans="1:15" ht="27.75" x14ac:dyDescent="0.5">
      <c r="A133" s="750" t="s">
        <v>323</v>
      </c>
      <c r="B133" s="751"/>
      <c r="C133" s="752"/>
      <c r="D133" s="151" t="s">
        <v>183</v>
      </c>
      <c r="E133" s="95">
        <f>'30'!F133</f>
        <v>0</v>
      </c>
      <c r="F133" s="165"/>
      <c r="G133" s="112">
        <f t="shared" si="10"/>
        <v>0</v>
      </c>
      <c r="H133" s="99">
        <f>G133+'30'!H133</f>
        <v>-45947.5</v>
      </c>
      <c r="I133" s="165"/>
      <c r="J133" s="348">
        <f>H133/DAY(B2)</f>
        <v>-1482.1774193548388</v>
      </c>
    </row>
    <row r="134" spans="1:15" ht="27.75" x14ac:dyDescent="0.5">
      <c r="A134" s="750" t="s">
        <v>340</v>
      </c>
      <c r="B134" s="751"/>
      <c r="C134" s="752"/>
      <c r="D134" s="151" t="s">
        <v>183</v>
      </c>
      <c r="E134" s="95">
        <f>'30'!F134</f>
        <v>0</v>
      </c>
      <c r="F134" s="165"/>
      <c r="G134" s="112">
        <f t="shared" si="10"/>
        <v>0</v>
      </c>
      <c r="H134" s="99">
        <f>G134+'30'!H134</f>
        <v>-1237706</v>
      </c>
      <c r="I134" s="165"/>
      <c r="J134" s="348">
        <f>H134/DAY(B2)</f>
        <v>-39926</v>
      </c>
    </row>
    <row r="135" spans="1:15" ht="27.75" x14ac:dyDescent="0.5">
      <c r="A135" s="753"/>
      <c r="B135" s="754"/>
      <c r="C135" s="755"/>
      <c r="D135" s="151"/>
      <c r="E135" s="95"/>
      <c r="F135" s="165"/>
      <c r="G135" s="112"/>
      <c r="H135" s="99">
        <f>G135+'23'!H135</f>
        <v>5534.2300000000005</v>
      </c>
      <c r="I135" s="165"/>
      <c r="J135" s="348"/>
    </row>
    <row r="136" spans="1:15" ht="31.5" x14ac:dyDescent="0.55000000000000004">
      <c r="A136" s="736" t="s">
        <v>325</v>
      </c>
      <c r="B136" s="736"/>
      <c r="C136" s="736"/>
      <c r="D136" s="736"/>
      <c r="E136" s="736"/>
      <c r="F136" s="736"/>
      <c r="G136" s="736"/>
      <c r="H136" s="736"/>
      <c r="I136" s="736"/>
      <c r="J136" s="736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49" t="s">
        <v>185</v>
      </c>
      <c r="B138" s="749"/>
      <c r="C138" s="749"/>
      <c r="D138" s="151" t="s">
        <v>183</v>
      </c>
      <c r="E138" s="95">
        <f>'30'!F138</f>
        <v>857022</v>
      </c>
      <c r="F138" s="147">
        <v>857022</v>
      </c>
      <c r="G138" s="112">
        <f t="shared" ref="G138:G152" si="11">F138-E138</f>
        <v>0</v>
      </c>
      <c r="H138" s="99">
        <f>G138+'30'!H138</f>
        <v>-2046</v>
      </c>
      <c r="I138" s="118"/>
      <c r="J138" s="348">
        <f>H138/DAY(B2)</f>
        <v>-66</v>
      </c>
    </row>
    <row r="139" spans="1:15" ht="27.75" x14ac:dyDescent="0.5">
      <c r="A139" s="749" t="s">
        <v>186</v>
      </c>
      <c r="B139" s="749"/>
      <c r="C139" s="749"/>
      <c r="D139" s="151" t="s">
        <v>183</v>
      </c>
      <c r="E139" s="95">
        <f>'30'!F139</f>
        <v>886051</v>
      </c>
      <c r="F139" s="148">
        <v>886051</v>
      </c>
      <c r="G139" s="112">
        <f t="shared" si="11"/>
        <v>0</v>
      </c>
      <c r="H139" s="99">
        <f>G139+'30'!H139</f>
        <v>-33</v>
      </c>
      <c r="I139" s="118"/>
      <c r="J139" s="348">
        <f>H139/DAY(B2)</f>
        <v>-1.064516129032258</v>
      </c>
    </row>
    <row r="140" spans="1:15" ht="27.75" x14ac:dyDescent="0.5">
      <c r="A140" s="749" t="s">
        <v>187</v>
      </c>
      <c r="B140" s="749"/>
      <c r="C140" s="749"/>
      <c r="D140" s="151" t="s">
        <v>183</v>
      </c>
      <c r="E140" s="95">
        <f>'30'!F140</f>
        <v>88776</v>
      </c>
      <c r="F140" s="149">
        <v>88776</v>
      </c>
      <c r="G140" s="112">
        <f t="shared" si="11"/>
        <v>0</v>
      </c>
      <c r="H140" s="99">
        <f>G140+'30'!H140</f>
        <v>-47.100000000005821</v>
      </c>
      <c r="I140" s="118"/>
      <c r="J140" s="348">
        <f>H140/DAY(B2)</f>
        <v>-1.5193548387098652</v>
      </c>
    </row>
    <row r="141" spans="1:15" ht="27.75" x14ac:dyDescent="0.5">
      <c r="A141" s="728" t="s">
        <v>188</v>
      </c>
      <c r="B141" s="728"/>
      <c r="C141" s="728"/>
      <c r="D141" s="151" t="s">
        <v>183</v>
      </c>
      <c r="E141" s="95">
        <f>'30'!F141</f>
        <v>26308</v>
      </c>
      <c r="F141" s="149">
        <v>26308</v>
      </c>
      <c r="G141" s="112">
        <f t="shared" si="11"/>
        <v>0</v>
      </c>
      <c r="H141" s="99">
        <f>G141+'30'!H141</f>
        <v>-13573.5</v>
      </c>
      <c r="I141" s="118"/>
      <c r="J141" s="348">
        <f>H141/DAY(B2)</f>
        <v>-437.85483870967744</v>
      </c>
    </row>
    <row r="142" spans="1:15" ht="27.75" x14ac:dyDescent="0.5">
      <c r="A142" s="728" t="s">
        <v>189</v>
      </c>
      <c r="B142" s="728"/>
      <c r="C142" s="728"/>
      <c r="D142" s="151" t="s">
        <v>183</v>
      </c>
      <c r="E142" s="95">
        <f>'30'!F142</f>
        <v>13277</v>
      </c>
      <c r="F142" s="148">
        <v>13277</v>
      </c>
      <c r="G142" s="112">
        <f t="shared" si="11"/>
        <v>0</v>
      </c>
      <c r="H142" s="99">
        <f>G142+'30'!H142</f>
        <v>-5306.2999999999993</v>
      </c>
      <c r="I142" s="140"/>
      <c r="J142" s="348">
        <f>H142/DAY(B2)</f>
        <v>-171.17096774193547</v>
      </c>
    </row>
    <row r="143" spans="1:15" ht="27.75" x14ac:dyDescent="0.5">
      <c r="A143" s="749" t="s">
        <v>91</v>
      </c>
      <c r="B143" s="749"/>
      <c r="C143" s="749"/>
      <c r="D143" s="151" t="s">
        <v>183</v>
      </c>
      <c r="E143" s="95">
        <f>'30'!F143</f>
        <v>0</v>
      </c>
      <c r="F143" s="149"/>
      <c r="G143" s="112">
        <f t="shared" si="11"/>
        <v>0</v>
      </c>
      <c r="H143" s="99">
        <f>G143+'30'!H143</f>
        <v>-1531.35</v>
      </c>
      <c r="I143" s="140"/>
      <c r="J143" s="348">
        <f>H143/DAY(B2)</f>
        <v>-49.398387096774194</v>
      </c>
    </row>
    <row r="144" spans="1:15" ht="27.75" x14ac:dyDescent="0.5">
      <c r="A144" s="728" t="s">
        <v>90</v>
      </c>
      <c r="B144" s="728"/>
      <c r="C144" s="728"/>
      <c r="D144" s="151" t="s">
        <v>183</v>
      </c>
      <c r="E144" s="95">
        <f>'30'!F144</f>
        <v>0</v>
      </c>
      <c r="F144" s="149"/>
      <c r="G144" s="112">
        <f t="shared" si="11"/>
        <v>0</v>
      </c>
      <c r="H144" s="99">
        <f>G144+'30'!H144</f>
        <v>-1702947</v>
      </c>
      <c r="I144" s="140"/>
      <c r="J144" s="348">
        <f>H144/DAY(B2)</f>
        <v>-54933.774193548386</v>
      </c>
    </row>
    <row r="145" spans="1:10" ht="27.75" x14ac:dyDescent="0.5">
      <c r="A145" s="749" t="s">
        <v>190</v>
      </c>
      <c r="B145" s="749"/>
      <c r="C145" s="749"/>
      <c r="D145" s="152" t="s">
        <v>183</v>
      </c>
      <c r="E145" s="95">
        <f>'30'!F145</f>
        <v>0</v>
      </c>
      <c r="F145" s="149"/>
      <c r="G145" s="112">
        <f t="shared" si="11"/>
        <v>0</v>
      </c>
      <c r="H145" s="99">
        <f>G145+'30'!H145</f>
        <v>-2618.4</v>
      </c>
      <c r="I145" s="140"/>
      <c r="J145" s="348">
        <f>H145/DAY(B2)</f>
        <v>-84.464516129032262</v>
      </c>
    </row>
    <row r="146" spans="1:10" ht="27.75" x14ac:dyDescent="0.5">
      <c r="A146" s="784" t="s">
        <v>191</v>
      </c>
      <c r="B146" s="769"/>
      <c r="C146" s="770"/>
      <c r="D146" s="152" t="s">
        <v>183</v>
      </c>
      <c r="E146" s="95">
        <f>'30'!F146</f>
        <v>0</v>
      </c>
      <c r="F146" s="148"/>
      <c r="G146" s="112">
        <f t="shared" si="11"/>
        <v>0</v>
      </c>
      <c r="H146" s="99">
        <f>G146+'30'!H146</f>
        <v>-1380251</v>
      </c>
      <c r="I146" s="140"/>
      <c r="J146" s="348">
        <f>H146/DAY(B2)</f>
        <v>-44524.225806451614</v>
      </c>
    </row>
    <row r="147" spans="1:10" ht="27.75" x14ac:dyDescent="0.5">
      <c r="A147" s="728" t="s">
        <v>192</v>
      </c>
      <c r="B147" s="728"/>
      <c r="C147" s="728"/>
      <c r="D147" s="152" t="s">
        <v>183</v>
      </c>
      <c r="E147" s="95">
        <f>'30'!F147</f>
        <v>0</v>
      </c>
      <c r="F147" s="148"/>
      <c r="G147" s="112">
        <f t="shared" si="11"/>
        <v>0</v>
      </c>
      <c r="H147" s="99">
        <f>G147+'30'!H147</f>
        <v>-1159149.72</v>
      </c>
      <c r="I147" s="140"/>
      <c r="J147" s="348">
        <f>H147/DAY(B2)</f>
        <v>-37391.926451612904</v>
      </c>
    </row>
    <row r="148" spans="1:10" ht="27.75" x14ac:dyDescent="0.5">
      <c r="A148" s="729" t="s">
        <v>193</v>
      </c>
      <c r="B148" s="730"/>
      <c r="C148" s="731"/>
      <c r="D148" s="123" t="s">
        <v>130</v>
      </c>
      <c r="E148" s="95">
        <f>'30'!F148</f>
        <v>0</v>
      </c>
      <c r="F148" s="150"/>
      <c r="G148" s="112">
        <f t="shared" si="11"/>
        <v>0</v>
      </c>
      <c r="H148" s="99">
        <f>G148+'30'!H148</f>
        <v>-1320350.54</v>
      </c>
      <c r="I148" s="124"/>
      <c r="J148" s="348">
        <f>H148/DAY(B2)</f>
        <v>-42591.952903225807</v>
      </c>
    </row>
    <row r="149" spans="1:10" ht="27.75" x14ac:dyDescent="0.5">
      <c r="A149" s="729" t="s">
        <v>336</v>
      </c>
      <c r="B149" s="730"/>
      <c r="C149" s="731"/>
      <c r="D149" s="227" t="s">
        <v>130</v>
      </c>
      <c r="E149" s="95">
        <f>'30'!F149</f>
        <v>0</v>
      </c>
      <c r="F149" s="146"/>
      <c r="G149" s="112">
        <f t="shared" si="11"/>
        <v>0</v>
      </c>
      <c r="H149" s="99">
        <f>G149+'30'!H149</f>
        <v>-155505</v>
      </c>
      <c r="I149" s="119"/>
      <c r="J149" s="348">
        <f>H149/DAY(B2)</f>
        <v>-5016.2903225806449</v>
      </c>
    </row>
    <row r="150" spans="1:10" ht="27.75" x14ac:dyDescent="0.5">
      <c r="A150" s="729" t="s">
        <v>337</v>
      </c>
      <c r="B150" s="730"/>
      <c r="C150" s="731"/>
      <c r="D150" s="117" t="s">
        <v>130</v>
      </c>
      <c r="E150" s="95">
        <f>'30'!F150</f>
        <v>0</v>
      </c>
      <c r="F150" s="233"/>
      <c r="G150" s="112">
        <f t="shared" si="11"/>
        <v>0</v>
      </c>
      <c r="H150" s="99">
        <f>G150+'30'!H150</f>
        <v>-14334464</v>
      </c>
      <c r="I150" s="119"/>
      <c r="J150" s="348">
        <f>H150/DAY(B2)</f>
        <v>-462402.06451612903</v>
      </c>
    </row>
    <row r="151" spans="1:10" ht="27.75" x14ac:dyDescent="0.5">
      <c r="A151" s="729" t="s">
        <v>338</v>
      </c>
      <c r="B151" s="730"/>
      <c r="C151" s="731"/>
      <c r="D151" s="117" t="s">
        <v>130</v>
      </c>
      <c r="E151" s="95">
        <f>'30'!F151</f>
        <v>0</v>
      </c>
      <c r="F151" s="233"/>
      <c r="G151" s="112">
        <f t="shared" si="11"/>
        <v>0</v>
      </c>
      <c r="H151" s="99">
        <f>G151+'30'!H151</f>
        <v>-112419</v>
      </c>
      <c r="I151" s="119"/>
      <c r="J151" s="348">
        <f>H151/DAY(B2)</f>
        <v>-3626.4193548387098</v>
      </c>
    </row>
    <row r="152" spans="1:10" ht="27.75" x14ac:dyDescent="0.5">
      <c r="A152" s="729" t="s">
        <v>339</v>
      </c>
      <c r="B152" s="730"/>
      <c r="C152" s="731"/>
      <c r="D152" s="117" t="s">
        <v>130</v>
      </c>
      <c r="E152" s="95">
        <f>'30'!F152</f>
        <v>0</v>
      </c>
      <c r="F152" s="233"/>
      <c r="G152" s="112">
        <f t="shared" si="11"/>
        <v>0</v>
      </c>
      <c r="H152" s="99">
        <f>G152+'30'!H152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36" t="s">
        <v>344</v>
      </c>
      <c r="B154" s="736"/>
      <c r="C154" s="736"/>
      <c r="D154" s="736"/>
      <c r="E154" s="736"/>
      <c r="F154" s="736"/>
      <c r="G154" s="736"/>
      <c r="H154" s="736"/>
      <c r="I154" s="736"/>
      <c r="J154" s="736"/>
    </row>
    <row r="155" spans="1:10" ht="31.5" x14ac:dyDescent="0.55000000000000004">
      <c r="A155" s="728" t="s">
        <v>345</v>
      </c>
      <c r="B155" s="728"/>
      <c r="C155" s="728"/>
      <c r="D155" s="117" t="s">
        <v>130</v>
      </c>
      <c r="E155" s="95">
        <f>'30'!F155</f>
        <v>0</v>
      </c>
      <c r="F155" s="385"/>
      <c r="G155" s="112">
        <f t="shared" ref="G155:G156" si="12">F155-E155</f>
        <v>0</v>
      </c>
      <c r="H155" s="99">
        <f>G155+'30'!H155</f>
        <v>-154178.09999999998</v>
      </c>
      <c r="I155" s="385"/>
      <c r="J155" s="348">
        <f>H155/DAY(B2)</f>
        <v>-4973.4870967741927</v>
      </c>
    </row>
    <row r="156" spans="1:10" ht="27.75" x14ac:dyDescent="0.5">
      <c r="A156" s="728" t="s">
        <v>347</v>
      </c>
      <c r="B156" s="728"/>
      <c r="C156" s="728"/>
      <c r="D156" s="117" t="s">
        <v>130</v>
      </c>
      <c r="E156" s="95">
        <f>'30'!F156</f>
        <v>0</v>
      </c>
      <c r="F156" s="165"/>
      <c r="G156" s="112">
        <f t="shared" si="12"/>
        <v>0</v>
      </c>
      <c r="H156" s="99">
        <f>G156+'30'!H156</f>
        <v>0</v>
      </c>
      <c r="I156" s="165"/>
      <c r="J156" s="348">
        <f>H156/DAY(B2)</f>
        <v>0</v>
      </c>
    </row>
    <row r="157" spans="1:10" ht="31.5" x14ac:dyDescent="0.55000000000000004">
      <c r="A157" s="736" t="s">
        <v>326</v>
      </c>
      <c r="B157" s="736"/>
      <c r="C157" s="736"/>
      <c r="D157" s="736"/>
      <c r="E157" s="736"/>
      <c r="F157" s="736"/>
      <c r="G157" s="736"/>
      <c r="H157" s="736"/>
      <c r="I157" s="736"/>
      <c r="J157" s="736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'30'!F158</f>
        <v>463315</v>
      </c>
      <c r="F158" s="235">
        <v>463315</v>
      </c>
      <c r="G158" s="238">
        <f t="shared" ref="G158:G162" si="13">F158-E158</f>
        <v>0</v>
      </c>
      <c r="H158" s="99">
        <f>G158+'30'!H158</f>
        <v>-5764.4000000000233</v>
      </c>
      <c r="I158" s="236"/>
      <c r="J158" s="239">
        <f>H158/DAY(B2)</f>
        <v>-185.94838709677495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'30'!F159</f>
        <v>83899</v>
      </c>
      <c r="F159" s="235">
        <v>83899</v>
      </c>
      <c r="G159" s="238">
        <f t="shared" si="13"/>
        <v>0</v>
      </c>
      <c r="H159" s="99">
        <f>G159+'30'!H159</f>
        <v>-2351.3999999999942</v>
      </c>
      <c r="I159" s="236"/>
      <c r="J159" s="239">
        <f>H159/DAY(B2)</f>
        <v>-75.851612903225615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'30'!F160</f>
        <v>69089</v>
      </c>
      <c r="F160" s="235">
        <v>69089</v>
      </c>
      <c r="G160" s="238">
        <f t="shared" si="13"/>
        <v>0</v>
      </c>
      <c r="H160" s="99">
        <f>G160+'30'!H160</f>
        <v>-4894.1999999999971</v>
      </c>
      <c r="I160" s="236"/>
      <c r="J160" s="239">
        <f>H160/DAY(B2)</f>
        <v>-157.87741935483862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'30'!F161</f>
        <v>3611</v>
      </c>
      <c r="F161" s="235">
        <v>3611</v>
      </c>
      <c r="G161" s="238">
        <f t="shared" si="13"/>
        <v>0</v>
      </c>
      <c r="H161" s="99">
        <f>G161+'30'!H161</f>
        <v>-555.30000000000018</v>
      </c>
      <c r="I161" s="236"/>
      <c r="J161" s="239">
        <f>H161/DAY(B2)</f>
        <v>-17.912903225806456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'30'!F162</f>
        <v>28746</v>
      </c>
      <c r="F162" s="235">
        <v>28746</v>
      </c>
      <c r="G162" s="238">
        <f t="shared" si="13"/>
        <v>0</v>
      </c>
      <c r="H162" s="99">
        <f>G162+'30'!H162</f>
        <v>-566.7400000000016</v>
      </c>
      <c r="I162" s="236"/>
      <c r="J162" s="239">
        <f>H162/DAY(B2)</f>
        <v>-18.28193548387102</v>
      </c>
    </row>
    <row r="163" spans="1:10" ht="29.25" x14ac:dyDescent="0.5">
      <c r="A163" s="737"/>
      <c r="B163" s="737"/>
      <c r="C163" s="247"/>
      <c r="D163" s="244" t="s">
        <v>180</v>
      </c>
      <c r="E163" s="95">
        <f>'30'!F163</f>
        <v>0</v>
      </c>
      <c r="F163" s="165"/>
      <c r="G163" s="165"/>
      <c r="H163" s="99">
        <f>G163+'30'!H163</f>
        <v>0</v>
      </c>
      <c r="I163" s="165"/>
      <c r="J163" s="239">
        <f>H163/DAY(B2)</f>
        <v>0</v>
      </c>
    </row>
    <row r="164" spans="1:10" ht="29.25" x14ac:dyDescent="0.5">
      <c r="A164" s="737"/>
      <c r="B164" s="737"/>
      <c r="C164" s="247"/>
      <c r="D164" s="244" t="s">
        <v>180</v>
      </c>
      <c r="E164" s="95">
        <f>'30'!F164</f>
        <v>0</v>
      </c>
      <c r="F164" s="165"/>
      <c r="G164" s="165"/>
      <c r="H164" s="99">
        <f>G164+'30'!H164</f>
        <v>0</v>
      </c>
      <c r="I164" s="165"/>
      <c r="J164" s="239">
        <f>H164/DAY(B2)</f>
        <v>0</v>
      </c>
    </row>
    <row r="165" spans="1:10" ht="29.25" x14ac:dyDescent="0.5">
      <c r="A165" s="737"/>
      <c r="B165" s="737"/>
      <c r="C165" s="247"/>
      <c r="D165" s="244" t="s">
        <v>180</v>
      </c>
      <c r="E165" s="95">
        <f>'30'!F165</f>
        <v>0</v>
      </c>
      <c r="F165" s="165"/>
      <c r="G165" s="165"/>
      <c r="H165" s="99">
        <f>G165+'30'!H165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38" t="s">
        <v>330</v>
      </c>
      <c r="B168" s="739"/>
      <c r="C168" s="739"/>
      <c r="D168" s="739"/>
      <c r="E168" s="739"/>
      <c r="F168" s="739"/>
      <c r="G168" s="739"/>
      <c r="H168" s="739"/>
      <c r="I168" s="739"/>
      <c r="J168" s="740"/>
    </row>
    <row r="169" spans="1:10" ht="27.75" x14ac:dyDescent="0.5">
      <c r="A169" s="747"/>
      <c r="B169" s="748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43" t="s">
        <v>209</v>
      </c>
      <c r="B170" s="744"/>
      <c r="C170" s="353"/>
      <c r="D170" s="228" t="s">
        <v>142</v>
      </c>
      <c r="E170" s="95">
        <f>'30'!F170</f>
        <v>7961</v>
      </c>
      <c r="F170" s="155">
        <v>7961</v>
      </c>
      <c r="G170" s="155">
        <f>F170-E170</f>
        <v>0</v>
      </c>
      <c r="H170" s="99">
        <f>G170+'30'!H170</f>
        <v>129</v>
      </c>
      <c r="I170" s="155"/>
      <c r="J170" s="178">
        <f>H170/DAY(B2)</f>
        <v>4.161290322580645</v>
      </c>
    </row>
    <row r="171" spans="1:10" ht="27.75" x14ac:dyDescent="0.5">
      <c r="A171" s="743" t="s">
        <v>75</v>
      </c>
      <c r="B171" s="744"/>
      <c r="C171" s="353"/>
      <c r="D171" s="228" t="s">
        <v>142</v>
      </c>
      <c r="E171" s="95">
        <f>'30'!F171</f>
        <v>36765</v>
      </c>
      <c r="F171" s="157">
        <v>36765</v>
      </c>
      <c r="G171" s="155">
        <f t="shared" ref="G171:G172" si="14">F171-E171</f>
        <v>0</v>
      </c>
      <c r="H171" s="99">
        <f>G171+'30'!H171</f>
        <v>-332</v>
      </c>
      <c r="I171" s="155"/>
      <c r="J171" s="178">
        <f>H171/DAY(B2)</f>
        <v>-10.709677419354838</v>
      </c>
    </row>
    <row r="172" spans="1:10" ht="27.75" x14ac:dyDescent="0.5">
      <c r="A172" s="743" t="s">
        <v>76</v>
      </c>
      <c r="B172" s="783"/>
      <c r="C172" s="744"/>
      <c r="D172" s="228" t="s">
        <v>142</v>
      </c>
      <c r="E172" s="95">
        <f>'30'!F172</f>
        <v>20214</v>
      </c>
      <c r="F172" s="155">
        <v>20214</v>
      </c>
      <c r="G172" s="155">
        <f t="shared" si="14"/>
        <v>0</v>
      </c>
      <c r="H172" s="99">
        <f>G172+'30'!H172</f>
        <v>-687</v>
      </c>
      <c r="I172" s="155"/>
      <c r="J172" s="178">
        <f>H172/DAY(B2)</f>
        <v>-22.161290322580644</v>
      </c>
    </row>
    <row r="173" spans="1:10" ht="27.75" x14ac:dyDescent="0.5">
      <c r="A173" s="732" t="s">
        <v>196</v>
      </c>
      <c r="B173" s="826"/>
      <c r="C173" s="733"/>
      <c r="D173" s="228" t="s">
        <v>142</v>
      </c>
      <c r="E173" s="95"/>
      <c r="F173" s="155"/>
      <c r="G173" s="155">
        <f>SUM(G170:G172)</f>
        <v>0</v>
      </c>
      <c r="H173" s="99">
        <f>G173+'30'!H173</f>
        <v>-890</v>
      </c>
      <c r="I173" s="155"/>
      <c r="J173" s="178">
        <f>H173/DAY(B2)</f>
        <v>-28.70967741935484</v>
      </c>
    </row>
    <row r="174" spans="1:10" ht="27.75" x14ac:dyDescent="0.5">
      <c r="A174" s="743" t="s">
        <v>77</v>
      </c>
      <c r="B174" s="744"/>
      <c r="C174" s="353"/>
      <c r="D174" s="228" t="s">
        <v>142</v>
      </c>
      <c r="E174" s="95"/>
      <c r="F174" s="155"/>
      <c r="G174" s="155"/>
      <c r="H174" s="99">
        <f>G174+'30'!H174</f>
        <v>0</v>
      </c>
      <c r="I174" s="155"/>
      <c r="J174" s="178">
        <f>H174/DAY(B2)</f>
        <v>0</v>
      </c>
    </row>
    <row r="175" spans="1:10" ht="27.75" x14ac:dyDescent="0.5">
      <c r="A175" s="743" t="s">
        <v>210</v>
      </c>
      <c r="B175" s="744"/>
      <c r="C175" s="353"/>
      <c r="D175" s="228" t="s">
        <v>142</v>
      </c>
      <c r="E175" s="95">
        <f>'30'!F175</f>
        <v>69524</v>
      </c>
      <c r="F175" s="155">
        <v>69524</v>
      </c>
      <c r="G175" s="155">
        <f>F175-E175</f>
        <v>0</v>
      </c>
      <c r="H175" s="99">
        <f>G175+'30'!H175</f>
        <v>-6303</v>
      </c>
      <c r="I175" s="155"/>
      <c r="J175" s="178">
        <f>H175/DAY(B2)</f>
        <v>-203.32258064516128</v>
      </c>
    </row>
    <row r="176" spans="1:10" ht="27.75" x14ac:dyDescent="0.5">
      <c r="A176" s="743" t="s">
        <v>211</v>
      </c>
      <c r="B176" s="744"/>
      <c r="C176" s="353"/>
      <c r="D176" s="228" t="s">
        <v>142</v>
      </c>
      <c r="E176" s="95">
        <f>'30'!F176</f>
        <v>33886</v>
      </c>
      <c r="F176" s="155">
        <v>33886</v>
      </c>
      <c r="G176" s="155">
        <f t="shared" ref="G176:G177" si="15">F176-E176</f>
        <v>0</v>
      </c>
      <c r="H176" s="99">
        <f>G176+'30'!H176</f>
        <v>0</v>
      </c>
      <c r="I176" s="155"/>
      <c r="J176" s="178">
        <f>H176/DAY(B2)</f>
        <v>0</v>
      </c>
    </row>
    <row r="177" spans="1:10" ht="27.75" x14ac:dyDescent="0.5">
      <c r="A177" s="743" t="s">
        <v>212</v>
      </c>
      <c r="B177" s="744"/>
      <c r="C177" s="353"/>
      <c r="D177" s="228" t="s">
        <v>142</v>
      </c>
      <c r="E177" s="95">
        <f>'30'!F177</f>
        <v>4788</v>
      </c>
      <c r="F177" s="155">
        <v>4788</v>
      </c>
      <c r="G177" s="155">
        <f t="shared" si="15"/>
        <v>0</v>
      </c>
      <c r="H177" s="99">
        <f>G177+'30'!H177</f>
        <v>-3190</v>
      </c>
      <c r="I177" s="155"/>
      <c r="J177" s="178">
        <f>H177/DAY(B2)</f>
        <v>-102.90322580645162</v>
      </c>
    </row>
    <row r="178" spans="1:10" ht="27.75" x14ac:dyDescent="0.5">
      <c r="A178" s="745" t="s">
        <v>108</v>
      </c>
      <c r="B178" s="746"/>
      <c r="C178" s="611"/>
      <c r="D178" s="228" t="s">
        <v>142</v>
      </c>
      <c r="E178" s="95"/>
      <c r="F178" s="155"/>
      <c r="G178" s="155">
        <f>SUM(G175:G177)</f>
        <v>0</v>
      </c>
      <c r="H178" s="99">
        <f>G178+'30'!H178</f>
        <v>-9493</v>
      </c>
      <c r="I178" s="155"/>
      <c r="J178" s="178">
        <f>H178/DAY(B2)</f>
        <v>-306.22580645161293</v>
      </c>
    </row>
    <row r="179" spans="1:10" ht="27.75" x14ac:dyDescent="0.5">
      <c r="A179" s="743" t="s">
        <v>213</v>
      </c>
      <c r="B179" s="744"/>
      <c r="C179" s="353"/>
      <c r="D179" s="228" t="s">
        <v>142</v>
      </c>
      <c r="E179" s="95"/>
      <c r="F179" s="155"/>
      <c r="G179" s="155"/>
      <c r="H179" s="99">
        <f>G179+'30'!H179</f>
        <v>0</v>
      </c>
      <c r="I179" s="155"/>
      <c r="J179" s="178">
        <f>H179/DAY(B2)</f>
        <v>0</v>
      </c>
    </row>
    <row r="180" spans="1:10" ht="27.75" x14ac:dyDescent="0.5">
      <c r="A180" s="743" t="s">
        <v>214</v>
      </c>
      <c r="B180" s="744"/>
      <c r="C180" s="354"/>
      <c r="D180" s="228" t="s">
        <v>142</v>
      </c>
      <c r="E180" s="95">
        <f>'30'!F180</f>
        <v>13038</v>
      </c>
      <c r="F180" s="157">
        <v>13038</v>
      </c>
      <c r="G180" s="157">
        <f>F180-E180</f>
        <v>0</v>
      </c>
      <c r="H180" s="99">
        <f>G180+'30'!H180</f>
        <v>-1253</v>
      </c>
      <c r="I180" s="155"/>
      <c r="J180" s="178">
        <f>H180/DAY(B2)</f>
        <v>-40.41935483870968</v>
      </c>
    </row>
    <row r="181" spans="1:10" ht="27.75" x14ac:dyDescent="0.5">
      <c r="A181" s="743" t="s">
        <v>215</v>
      </c>
      <c r="B181" s="744"/>
      <c r="C181" s="354"/>
      <c r="D181" s="228" t="s">
        <v>142</v>
      </c>
      <c r="E181" s="95">
        <f>'30'!F181</f>
        <v>9126</v>
      </c>
      <c r="F181" s="157">
        <v>9126</v>
      </c>
      <c r="G181" s="157">
        <f t="shared" ref="G181:G182" si="16">F181-E181</f>
        <v>0</v>
      </c>
      <c r="H181" s="99">
        <f>G181+'30'!H181</f>
        <v>-794</v>
      </c>
      <c r="I181" s="155"/>
      <c r="J181" s="178">
        <f>H181/DAY(B2)</f>
        <v>-25.612903225806452</v>
      </c>
    </row>
    <row r="182" spans="1:10" ht="27.75" x14ac:dyDescent="0.5">
      <c r="A182" s="743" t="s">
        <v>216</v>
      </c>
      <c r="B182" s="744"/>
      <c r="C182" s="354"/>
      <c r="D182" s="228" t="s">
        <v>142</v>
      </c>
      <c r="E182" s="95">
        <f>'30'!F182</f>
        <v>0</v>
      </c>
      <c r="F182" s="157"/>
      <c r="G182" s="157">
        <f t="shared" si="16"/>
        <v>0</v>
      </c>
      <c r="H182" s="99">
        <f>G182+'30'!H182</f>
        <v>0</v>
      </c>
      <c r="I182" s="155"/>
      <c r="J182" s="178">
        <f>H182/DAY(B2)</f>
        <v>0</v>
      </c>
    </row>
    <row r="183" spans="1:10" ht="27.75" x14ac:dyDescent="0.5">
      <c r="A183" s="732" t="s">
        <v>196</v>
      </c>
      <c r="B183" s="733"/>
      <c r="C183" s="610"/>
      <c r="D183" s="228" t="s">
        <v>142</v>
      </c>
      <c r="E183" s="95"/>
      <c r="F183" s="157"/>
      <c r="G183" s="157">
        <f>SUM(G180:G182)</f>
        <v>0</v>
      </c>
      <c r="H183" s="99">
        <f>G183+'30'!H183</f>
        <v>-2047</v>
      </c>
      <c r="I183" s="157"/>
      <c r="J183" s="178">
        <f>H183/DAY(B2)</f>
        <v>-66.032258064516128</v>
      </c>
    </row>
    <row r="184" spans="1:10" ht="27.75" x14ac:dyDescent="0.5">
      <c r="A184" s="734" t="s">
        <v>217</v>
      </c>
      <c r="B184" s="735"/>
      <c r="C184" s="353"/>
      <c r="D184" s="230" t="s">
        <v>142</v>
      </c>
      <c r="E184" s="95">
        <f>'30'!F184</f>
        <v>0</v>
      </c>
      <c r="F184" s="159"/>
      <c r="G184" s="588">
        <f>G62+G19</f>
        <v>60</v>
      </c>
      <c r="H184" s="99">
        <f>G184+'30'!H184</f>
        <v>-5822</v>
      </c>
      <c r="I184" s="158"/>
      <c r="J184" s="179">
        <f>H184/DAY(B2)</f>
        <v>-187.80645161290323</v>
      </c>
    </row>
    <row r="185" spans="1:10" ht="27.75" x14ac:dyDescent="0.5">
      <c r="A185" s="734" t="s">
        <v>218</v>
      </c>
      <c r="B185" s="735"/>
      <c r="C185" s="353"/>
      <c r="D185" s="230" t="s">
        <v>142</v>
      </c>
      <c r="E185" s="95">
        <f>'30'!F185</f>
        <v>0</v>
      </c>
      <c r="F185" s="159"/>
      <c r="G185" s="588">
        <f>G65+G66+G67+G69+G70</f>
        <v>0</v>
      </c>
      <c r="H185" s="99">
        <f>G185+'30'!H185</f>
        <v>-14514</v>
      </c>
      <c r="I185" s="158"/>
      <c r="J185" s="179">
        <f>H185/DAY(B2)</f>
        <v>-468.19354838709677</v>
      </c>
    </row>
    <row r="186" spans="1:10" ht="27.75" x14ac:dyDescent="0.5">
      <c r="A186" s="734" t="s">
        <v>219</v>
      </c>
      <c r="B186" s="735"/>
      <c r="C186" s="353"/>
      <c r="D186" s="230" t="s">
        <v>142</v>
      </c>
      <c r="E186" s="95">
        <f>'30'!F186</f>
        <v>0</v>
      </c>
      <c r="F186" s="157"/>
      <c r="G186" s="585">
        <f>G178</f>
        <v>0</v>
      </c>
      <c r="H186" s="99">
        <f>G186+'30'!H186</f>
        <v>-7040</v>
      </c>
      <c r="I186" s="158"/>
      <c r="J186" s="179">
        <f>H186/DAY(B2)</f>
        <v>-227.09677419354838</v>
      </c>
    </row>
    <row r="187" spans="1:10" ht="27.75" x14ac:dyDescent="0.5">
      <c r="A187" s="741"/>
      <c r="B187" s="742"/>
      <c r="C187" s="609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271" ht="29.25" x14ac:dyDescent="0.5"/>
    <row r="272" ht="29.25" x14ac:dyDescent="0.5"/>
    <row r="273" ht="29.25" x14ac:dyDescent="0.5"/>
    <row r="274" ht="29.25" x14ac:dyDescent="0.5"/>
    <row r="275" ht="29.25" x14ac:dyDescent="0.5"/>
    <row r="276" ht="29.25" x14ac:dyDescent="0.5"/>
    <row r="277" ht="29.25" x14ac:dyDescent="0.5"/>
    <row r="278" ht="29.25" x14ac:dyDescent="0.5"/>
    <row r="279" ht="29.25" x14ac:dyDescent="0.5"/>
    <row r="280" ht="29.25" x14ac:dyDescent="0.5"/>
    <row r="281" ht="29.25" x14ac:dyDescent="0.5"/>
    <row r="282" ht="29.25" x14ac:dyDescent="0.5"/>
    <row r="283" ht="29.25" x14ac:dyDescent="0.5"/>
    <row r="284" ht="29.25" x14ac:dyDescent="0.5"/>
    <row r="285" ht="29.25" x14ac:dyDescent="0.5"/>
    <row r="286" ht="29.25" x14ac:dyDescent="0.5"/>
    <row r="287" ht="29.25" x14ac:dyDescent="0.5"/>
    <row r="288" ht="29.25" x14ac:dyDescent="0.5"/>
    <row r="289" ht="29.25" x14ac:dyDescent="0.5"/>
    <row r="290" ht="29.25" x14ac:dyDescent="0.5"/>
    <row r="291" ht="29.25" x14ac:dyDescent="0.5"/>
    <row r="292" ht="29.25" x14ac:dyDescent="0.5"/>
    <row r="293" ht="29.25" x14ac:dyDescent="0.5"/>
    <row r="294" ht="29.25" x14ac:dyDescent="0.5"/>
    <row r="295" ht="29.25" x14ac:dyDescent="0.5"/>
    <row r="296" ht="29.25" x14ac:dyDescent="0.5"/>
    <row r="297" ht="29.25" x14ac:dyDescent="0.5"/>
    <row r="298" ht="29.25" x14ac:dyDescent="0.5"/>
    <row r="299" ht="29.25" x14ac:dyDescent="0.5"/>
    <row r="300" ht="29.25" x14ac:dyDescent="0.5"/>
    <row r="301" ht="29.25" x14ac:dyDescent="0.5"/>
    <row r="302" ht="29.25" x14ac:dyDescent="0.5"/>
    <row r="303" ht="29.25" x14ac:dyDescent="0.5"/>
    <row r="304" ht="29.25" x14ac:dyDescent="0.5"/>
    <row r="305" ht="29.25" x14ac:dyDescent="0.5"/>
    <row r="306" ht="29.25" x14ac:dyDescent="0.5"/>
    <row r="307" ht="29.25" x14ac:dyDescent="0.5"/>
    <row r="308" ht="29.25" x14ac:dyDescent="0.5"/>
    <row r="309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</sheetData>
  <mergeCells count="118">
    <mergeCell ref="A150:C150"/>
    <mergeCell ref="A151:C151"/>
    <mergeCell ref="A152:C152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145:C145"/>
    <mergeCell ref="A146:C146"/>
    <mergeCell ref="A147:C147"/>
    <mergeCell ref="A148:C148"/>
    <mergeCell ref="A149:C149"/>
    <mergeCell ref="A143:C143"/>
    <mergeCell ref="A81:C81"/>
    <mergeCell ref="A95:C95"/>
    <mergeCell ref="A96:C96"/>
    <mergeCell ref="A93:C93"/>
    <mergeCell ref="A94:C94"/>
    <mergeCell ref="A109:B109"/>
    <mergeCell ref="A138:C138"/>
    <mergeCell ref="A139:C139"/>
    <mergeCell ref="A140:C140"/>
    <mergeCell ref="A141:C141"/>
    <mergeCell ref="A144:C144"/>
    <mergeCell ref="A142:C142"/>
    <mergeCell ref="A120:C120"/>
    <mergeCell ref="A121:C121"/>
    <mergeCell ref="A122:C122"/>
    <mergeCell ref="A131:C131"/>
    <mergeCell ref="A132:C132"/>
    <mergeCell ref="A133:C133"/>
    <mergeCell ref="A163:B163"/>
    <mergeCell ref="A164:B164"/>
    <mergeCell ref="A165:B165"/>
    <mergeCell ref="A65:C65"/>
    <mergeCell ref="A76:C76"/>
    <mergeCell ref="A77:C77"/>
    <mergeCell ref="A79:C79"/>
    <mergeCell ref="A80:C80"/>
    <mergeCell ref="A73:C73"/>
    <mergeCell ref="A74:C74"/>
    <mergeCell ref="A75:C75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136:J136"/>
    <mergeCell ref="A119:C119"/>
    <mergeCell ref="A102:C102"/>
    <mergeCell ref="A134:C134"/>
    <mergeCell ref="A135:C135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23:C123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73:C173"/>
    <mergeCell ref="A154:J154"/>
    <mergeCell ref="A155:C155"/>
    <mergeCell ref="A156:C156"/>
    <mergeCell ref="A187:B187"/>
    <mergeCell ref="A182:B182"/>
    <mergeCell ref="A183:B183"/>
    <mergeCell ref="A184:B184"/>
    <mergeCell ref="A185:B185"/>
    <mergeCell ref="A186:B186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72:C172"/>
    <mergeCell ref="A168:J168"/>
    <mergeCell ref="A169:B169"/>
    <mergeCell ref="A170:B170"/>
    <mergeCell ref="A171:B171"/>
    <mergeCell ref="A157:J157"/>
  </mergeCells>
  <pageMargins left="0.22" right="0.17" top="0.14000000000000001" bottom="0.2" header="0.2" footer="0.2"/>
  <pageSetup paperSize="5" scale="1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 x14ac:dyDescent="0.2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 x14ac:dyDescent="0.25">
      <c r="A1" s="631"/>
      <c r="B1" s="631"/>
      <c r="C1" s="631"/>
      <c r="D1" s="631"/>
      <c r="E1" s="631"/>
      <c r="F1" s="631"/>
      <c r="G1" s="631"/>
      <c r="H1" s="631"/>
      <c r="I1" s="631"/>
      <c r="J1" s="631"/>
      <c r="K1" s="631"/>
      <c r="L1" s="631"/>
      <c r="M1" s="631"/>
      <c r="N1" s="631"/>
      <c r="O1" s="631"/>
    </row>
    <row r="2" spans="1:15" ht="28.5" customHeight="1" x14ac:dyDescent="0.25">
      <c r="A2" s="1" t="s">
        <v>0</v>
      </c>
      <c r="B2" s="1" t="s">
        <v>0</v>
      </c>
      <c r="C2" s="268" t="s">
        <v>1</v>
      </c>
      <c r="D2" s="4" t="s">
        <v>4</v>
      </c>
      <c r="E2" s="633" t="s">
        <v>6</v>
      </c>
      <c r="F2" s="633"/>
      <c r="G2" s="633"/>
      <c r="H2" s="639" t="s">
        <v>14</v>
      </c>
      <c r="I2" s="639"/>
      <c r="J2" s="639"/>
      <c r="K2" s="268" t="s">
        <v>15</v>
      </c>
      <c r="L2" s="639" t="s">
        <v>16</v>
      </c>
      <c r="M2" s="639"/>
      <c r="N2" s="639"/>
      <c r="O2" s="268" t="s">
        <v>17</v>
      </c>
    </row>
    <row r="3" spans="1:15" s="15" customFormat="1" ht="38.25" x14ac:dyDescent="0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 x14ac:dyDescent="0.25">
      <c r="A4" s="16">
        <v>1</v>
      </c>
      <c r="B4" s="17">
        <v>1</v>
      </c>
      <c r="C4" s="18"/>
      <c r="D4" s="19">
        <f>'1'!F8</f>
        <v>1004249.2</v>
      </c>
      <c r="E4" s="19">
        <f>'1'!G97</f>
        <v>0.29959069675695132</v>
      </c>
      <c r="F4" s="19">
        <f>'1'!F142</f>
        <v>15394.3</v>
      </c>
      <c r="G4" s="21">
        <f>E4*F4</f>
        <v>4611.9890630855352</v>
      </c>
      <c r="H4" s="19">
        <f>'1'!G68</f>
        <v>31</v>
      </c>
      <c r="I4" s="19">
        <f>'1'!G69</f>
        <v>9</v>
      </c>
      <c r="J4" s="19">
        <f>'1'!G70</f>
        <v>10</v>
      </c>
      <c r="K4" s="23">
        <f>H4+I4</f>
        <v>40</v>
      </c>
      <c r="L4" s="19">
        <f>'1'!G71</f>
        <v>179</v>
      </c>
      <c r="M4" s="19">
        <f>'1'!G72</f>
        <v>0</v>
      </c>
      <c r="N4" s="19">
        <v>0</v>
      </c>
      <c r="O4" s="23">
        <f>L4+M4+N4</f>
        <v>179</v>
      </c>
    </row>
    <row r="5" spans="1:15" x14ac:dyDescent="0.25">
      <c r="A5" s="16">
        <v>2</v>
      </c>
      <c r="B5" s="26">
        <v>2</v>
      </c>
      <c r="C5" s="26"/>
      <c r="D5" s="19">
        <f>'2'!F8</f>
        <v>1027007.2</v>
      </c>
      <c r="E5" s="19">
        <f>'2'!G96</f>
        <v>6979.960000000021</v>
      </c>
      <c r="F5" s="19">
        <f>'2'!F123</f>
        <v>116201.75</v>
      </c>
      <c r="G5" s="21">
        <f t="shared" ref="G5:G18" si="0">E5*F5</f>
        <v>811083566.93000245</v>
      </c>
      <c r="H5" s="19">
        <f>'2'!G68</f>
        <v>42</v>
      </c>
      <c r="I5" s="19">
        <f>'2'!G69</f>
        <v>21</v>
      </c>
      <c r="J5" s="19">
        <f>'2'!G70</f>
        <v>10</v>
      </c>
      <c r="K5" s="23">
        <f t="shared" ref="K5:K18" si="1">H5+I5</f>
        <v>63</v>
      </c>
      <c r="L5" s="19">
        <f>'2'!G71</f>
        <v>229</v>
      </c>
      <c r="M5" s="19">
        <f>'2'!G72</f>
        <v>0</v>
      </c>
      <c r="N5" s="19">
        <v>0</v>
      </c>
      <c r="O5" s="23">
        <f t="shared" ref="O5:O18" si="2">L5+M5+N5</f>
        <v>229</v>
      </c>
    </row>
    <row r="6" spans="1:15" x14ac:dyDescent="0.25">
      <c r="A6" s="16">
        <v>3</v>
      </c>
      <c r="B6" s="26">
        <v>3</v>
      </c>
      <c r="C6" s="26"/>
      <c r="D6" s="19">
        <f>'4'!F8</f>
        <v>74191.240000000005</v>
      </c>
      <c r="E6" s="19">
        <f>'3'!G96</f>
        <v>7169.1700000000419</v>
      </c>
      <c r="F6" s="19">
        <f>'3'!F123</f>
        <v>116536.75</v>
      </c>
      <c r="G6" s="21">
        <f t="shared" si="0"/>
        <v>835471771.99750483</v>
      </c>
      <c r="H6" s="19">
        <f>'4'!G68</f>
        <v>49</v>
      </c>
      <c r="I6" s="19">
        <f>'4'!G69</f>
        <v>22</v>
      </c>
      <c r="J6" s="19">
        <f>'4'!G70</f>
        <v>8</v>
      </c>
      <c r="K6" s="23">
        <f t="shared" si="1"/>
        <v>71</v>
      </c>
      <c r="L6" s="19">
        <f>'4'!G71</f>
        <v>208</v>
      </c>
      <c r="M6" s="19">
        <f>'4'!G72</f>
        <v>0</v>
      </c>
      <c r="N6" s="19">
        <v>0</v>
      </c>
      <c r="O6" s="23">
        <f t="shared" si="2"/>
        <v>208</v>
      </c>
    </row>
    <row r="7" spans="1:15" x14ac:dyDescent="0.25">
      <c r="A7" s="16">
        <v>4</v>
      </c>
      <c r="B7" s="27">
        <v>4</v>
      </c>
      <c r="C7" s="27"/>
      <c r="D7" s="19">
        <f>'3'!F8</f>
        <v>50338.5</v>
      </c>
      <c r="E7" s="19">
        <f>'4'!G96</f>
        <v>7669.820000000007</v>
      </c>
      <c r="F7" s="19">
        <f>'1'!F142</f>
        <v>15394.3</v>
      </c>
      <c r="G7" s="21">
        <f t="shared" si="0"/>
        <v>118071510.0260001</v>
      </c>
      <c r="H7" s="19">
        <f>'3'!G68</f>
        <v>53</v>
      </c>
      <c r="I7" s="19">
        <f>'3'!G69</f>
        <v>12</v>
      </c>
      <c r="J7" s="19">
        <f>'3'!G70</f>
        <v>10</v>
      </c>
      <c r="K7" s="23">
        <f t="shared" si="1"/>
        <v>65</v>
      </c>
      <c r="L7" s="19">
        <f>'3'!G71</f>
        <v>217</v>
      </c>
      <c r="M7" s="19">
        <f>'3'!G72</f>
        <v>0</v>
      </c>
      <c r="N7" s="19">
        <v>0</v>
      </c>
      <c r="O7" s="23">
        <f t="shared" si="2"/>
        <v>217</v>
      </c>
    </row>
    <row r="8" spans="1:15" x14ac:dyDescent="0.2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15394.3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 x14ac:dyDescent="0.25">
      <c r="A9" s="16">
        <v>6</v>
      </c>
      <c r="B9" s="17">
        <v>6</v>
      </c>
      <c r="C9" s="26"/>
      <c r="D9" s="19">
        <f>'6'!F8</f>
        <v>124075</v>
      </c>
      <c r="E9" s="19">
        <f>'6'!G96</f>
        <v>7522</v>
      </c>
      <c r="F9" s="19">
        <f>'1'!F142</f>
        <v>15394.3</v>
      </c>
      <c r="G9" s="21">
        <f t="shared" si="0"/>
        <v>115795924.59999999</v>
      </c>
      <c r="H9" s="19">
        <f>'6'!G68</f>
        <v>45</v>
      </c>
      <c r="I9" s="19">
        <f>'6'!G69</f>
        <v>10</v>
      </c>
      <c r="J9" s="19">
        <f>'6'!G70</f>
        <v>15</v>
      </c>
      <c r="K9" s="23">
        <f t="shared" si="1"/>
        <v>55</v>
      </c>
      <c r="L9" s="19">
        <f>'6'!G71</f>
        <v>217</v>
      </c>
      <c r="M9" s="19">
        <f>'6'!G72</f>
        <v>0</v>
      </c>
      <c r="N9" s="19">
        <v>0</v>
      </c>
      <c r="O9" s="23">
        <f t="shared" si="2"/>
        <v>217</v>
      </c>
    </row>
    <row r="10" spans="1:15" x14ac:dyDescent="0.25">
      <c r="A10" s="16">
        <v>7</v>
      </c>
      <c r="B10" s="26">
        <v>7</v>
      </c>
      <c r="C10" s="27"/>
      <c r="D10" s="19">
        <f>'7'!F8</f>
        <v>146315.32</v>
      </c>
      <c r="E10" s="19">
        <f>'7'!G96</f>
        <v>6425.1100000000151</v>
      </c>
      <c r="F10" s="19">
        <f>'1'!F142</f>
        <v>15394.3</v>
      </c>
      <c r="G10" s="21">
        <f t="shared" si="0"/>
        <v>98910070.873000234</v>
      </c>
      <c r="H10" s="19">
        <f>'7'!G68</f>
        <v>41</v>
      </c>
      <c r="I10" s="19">
        <f>'7'!G69</f>
        <v>11</v>
      </c>
      <c r="J10" s="19">
        <f>'7'!G70</f>
        <v>9</v>
      </c>
      <c r="K10" s="23">
        <f t="shared" si="1"/>
        <v>52</v>
      </c>
      <c r="L10" s="19">
        <f>'7'!G71</f>
        <v>203</v>
      </c>
      <c r="M10" s="19">
        <f>'7'!G72</f>
        <v>0</v>
      </c>
      <c r="N10" s="19">
        <v>0</v>
      </c>
      <c r="O10" s="23">
        <f t="shared" si="2"/>
        <v>203</v>
      </c>
    </row>
    <row r="11" spans="1:15" x14ac:dyDescent="0.25">
      <c r="A11" s="16">
        <v>8</v>
      </c>
      <c r="B11" s="26">
        <v>8</v>
      </c>
      <c r="C11" s="18"/>
      <c r="D11" s="19">
        <f>'8'!F8</f>
        <v>170020.51</v>
      </c>
      <c r="E11" s="19">
        <f>'8'!G96</f>
        <v>7312.7399999999325</v>
      </c>
      <c r="F11" s="19">
        <f>'1'!F142</f>
        <v>15394.3</v>
      </c>
      <c r="G11" s="21">
        <f t="shared" si="0"/>
        <v>112574513.38199896</v>
      </c>
      <c r="H11" s="19">
        <f>'8'!G68</f>
        <v>48</v>
      </c>
      <c r="I11" s="19">
        <f>'8'!G69</f>
        <v>16</v>
      </c>
      <c r="J11" s="19">
        <f>'8'!G70</f>
        <v>11</v>
      </c>
      <c r="K11" s="23">
        <f t="shared" si="1"/>
        <v>64</v>
      </c>
      <c r="L11" s="19">
        <f>'8'!G71</f>
        <v>219</v>
      </c>
      <c r="M11" s="19">
        <f>'8'!G72</f>
        <v>0</v>
      </c>
      <c r="N11" s="19">
        <v>0</v>
      </c>
      <c r="O11" s="23">
        <f t="shared" si="2"/>
        <v>219</v>
      </c>
    </row>
    <row r="12" spans="1:15" x14ac:dyDescent="0.25">
      <c r="A12" s="16">
        <v>9</v>
      </c>
      <c r="B12" s="27">
        <v>9</v>
      </c>
      <c r="C12" s="26"/>
      <c r="D12" s="19">
        <f>'9'!F8</f>
        <v>194486</v>
      </c>
      <c r="E12" s="19">
        <f>'9'!G96</f>
        <v>7809.1500000000524</v>
      </c>
      <c r="F12" s="19">
        <f>'1'!F142</f>
        <v>15394.3</v>
      </c>
      <c r="G12" s="21">
        <f t="shared" si="0"/>
        <v>120216397.8450008</v>
      </c>
      <c r="H12" s="19">
        <f>'9'!G68</f>
        <v>41</v>
      </c>
      <c r="I12" s="19">
        <f>'9'!G69</f>
        <v>16</v>
      </c>
      <c r="J12" s="19">
        <f>'9'!G70</f>
        <v>11</v>
      </c>
      <c r="K12" s="23">
        <f t="shared" si="1"/>
        <v>57</v>
      </c>
      <c r="L12" s="19">
        <f>'9'!G71</f>
        <v>211</v>
      </c>
      <c r="M12" s="19">
        <f>'9'!G72</f>
        <v>0</v>
      </c>
      <c r="N12" s="19">
        <v>0</v>
      </c>
      <c r="O12" s="23">
        <f t="shared" si="2"/>
        <v>211</v>
      </c>
    </row>
    <row r="13" spans="1:15" x14ac:dyDescent="0.25">
      <c r="A13" s="16">
        <v>10</v>
      </c>
      <c r="B13" s="27">
        <v>10</v>
      </c>
      <c r="C13" s="26"/>
      <c r="D13" s="19">
        <f>'10'!F8</f>
        <v>218823</v>
      </c>
      <c r="E13" s="19">
        <f>'10'!G96</f>
        <v>7582</v>
      </c>
      <c r="F13" s="19">
        <f>'1'!F142</f>
        <v>15394.3</v>
      </c>
      <c r="G13" s="21">
        <f t="shared" si="0"/>
        <v>116719582.59999999</v>
      </c>
      <c r="H13" s="19">
        <f>'10'!G68</f>
        <v>41</v>
      </c>
      <c r="I13" s="19">
        <f>'10'!G69</f>
        <v>14</v>
      </c>
      <c r="J13" s="19">
        <f>'10'!G70</f>
        <v>14</v>
      </c>
      <c r="K13" s="23">
        <f t="shared" si="1"/>
        <v>55</v>
      </c>
      <c r="L13" s="19">
        <f>'10'!G71</f>
        <v>213</v>
      </c>
      <c r="M13" s="19">
        <f>'10'!G72</f>
        <v>0</v>
      </c>
      <c r="N13" s="19">
        <v>0</v>
      </c>
      <c r="O13" s="23">
        <f t="shared" si="2"/>
        <v>213</v>
      </c>
    </row>
    <row r="14" spans="1:15" x14ac:dyDescent="0.25">
      <c r="A14" s="16">
        <v>11</v>
      </c>
      <c r="B14" s="17">
        <v>11</v>
      </c>
      <c r="C14" s="27"/>
      <c r="D14" s="19">
        <f>'11'!F8</f>
        <v>242871</v>
      </c>
      <c r="E14" s="19">
        <f>'11'!G96</f>
        <v>7289</v>
      </c>
      <c r="F14" s="19">
        <f>'1'!F142</f>
        <v>15394.3</v>
      </c>
      <c r="G14" s="21">
        <f t="shared" si="0"/>
        <v>112209052.69999999</v>
      </c>
      <c r="H14" s="19">
        <f>'11'!G68</f>
        <v>43</v>
      </c>
      <c r="I14" s="19">
        <f>'11'!G69</f>
        <v>12</v>
      </c>
      <c r="J14" s="19">
        <f>'11'!G70</f>
        <v>22</v>
      </c>
      <c r="K14" s="23">
        <f t="shared" si="1"/>
        <v>55</v>
      </c>
      <c r="L14" s="19">
        <f>'11'!G71</f>
        <v>225</v>
      </c>
      <c r="M14" s="19">
        <f>'11'!G72</f>
        <v>0</v>
      </c>
      <c r="N14" s="19">
        <v>0</v>
      </c>
      <c r="O14" s="23">
        <f t="shared" si="2"/>
        <v>225</v>
      </c>
    </row>
    <row r="15" spans="1:15" x14ac:dyDescent="0.25">
      <c r="A15" s="16">
        <v>12</v>
      </c>
      <c r="B15" s="26">
        <v>12</v>
      </c>
      <c r="C15" s="27"/>
      <c r="D15" s="19">
        <f>'12'!F8</f>
        <v>267387</v>
      </c>
      <c r="E15" s="19">
        <f>'12'!G96</f>
        <v>7367</v>
      </c>
      <c r="F15" s="19">
        <f>'1'!F142</f>
        <v>15394.3</v>
      </c>
      <c r="G15" s="20">
        <f t="shared" si="0"/>
        <v>113409808.09999999</v>
      </c>
      <c r="H15" s="19">
        <f>'12'!G68</f>
        <v>41</v>
      </c>
      <c r="I15" s="19">
        <f>'12'!G69</f>
        <v>8</v>
      </c>
      <c r="J15" s="19">
        <f>'12'!G70</f>
        <v>7</v>
      </c>
      <c r="K15" s="23">
        <f t="shared" si="1"/>
        <v>49</v>
      </c>
      <c r="L15" s="19">
        <f>'12'!G71</f>
        <v>178</v>
      </c>
      <c r="M15" s="19">
        <f>'12'!G72</f>
        <v>0</v>
      </c>
      <c r="N15" s="19">
        <v>0</v>
      </c>
      <c r="O15" s="23">
        <f t="shared" si="2"/>
        <v>178</v>
      </c>
    </row>
    <row r="16" spans="1:15" x14ac:dyDescent="0.25">
      <c r="A16" s="16">
        <v>13</v>
      </c>
      <c r="B16" s="26">
        <v>13</v>
      </c>
      <c r="C16" s="26"/>
      <c r="D16" s="19">
        <f>'13'!F8</f>
        <v>290992</v>
      </c>
      <c r="E16" s="19">
        <f>'13'!G96</f>
        <v>7041</v>
      </c>
      <c r="F16" s="19">
        <f>'1'!F142</f>
        <v>15394.3</v>
      </c>
      <c r="G16" s="20">
        <f t="shared" si="0"/>
        <v>108391266.3</v>
      </c>
      <c r="H16" s="19">
        <f>'13'!G68</f>
        <v>38</v>
      </c>
      <c r="I16" s="19">
        <f>'13'!G69</f>
        <v>10</v>
      </c>
      <c r="J16" s="19">
        <f>'13'!G70</f>
        <v>12</v>
      </c>
      <c r="K16" s="23">
        <f t="shared" si="1"/>
        <v>48</v>
      </c>
      <c r="L16" s="19">
        <f>'13'!G71</f>
        <v>193</v>
      </c>
      <c r="M16" s="19">
        <f>'13'!G72</f>
        <v>0</v>
      </c>
      <c r="N16" s="19">
        <v>0</v>
      </c>
      <c r="O16" s="23">
        <f t="shared" si="2"/>
        <v>193</v>
      </c>
    </row>
    <row r="17" spans="1:15" x14ac:dyDescent="0.25">
      <c r="A17" s="16">
        <v>14</v>
      </c>
      <c r="B17" s="17">
        <v>14</v>
      </c>
      <c r="C17" s="27"/>
      <c r="D17" s="19">
        <f>'14'!F8</f>
        <v>315659</v>
      </c>
      <c r="E17" s="19">
        <f>'14'!G96</f>
        <v>7906</v>
      </c>
      <c r="F17" s="19">
        <f>'1'!F142</f>
        <v>15394.3</v>
      </c>
      <c r="G17" s="20">
        <f t="shared" si="0"/>
        <v>121707335.8</v>
      </c>
      <c r="H17" s="19">
        <f>'14'!G68</f>
        <v>59</v>
      </c>
      <c r="I17" s="19">
        <f>'14'!G69</f>
        <v>9</v>
      </c>
      <c r="J17" s="19">
        <f>'14'!G71</f>
        <v>203</v>
      </c>
      <c r="K17" s="23">
        <f t="shared" si="1"/>
        <v>68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 x14ac:dyDescent="0.25">
      <c r="A18" s="16">
        <v>15</v>
      </c>
      <c r="B18" s="26">
        <v>15</v>
      </c>
      <c r="C18" s="18"/>
      <c r="D18" s="19">
        <f>'15'!F8</f>
        <v>338852</v>
      </c>
      <c r="E18" s="19">
        <f>'15'!G96</f>
        <v>6623</v>
      </c>
      <c r="F18" s="19">
        <f>'1'!F142</f>
        <v>15394.3</v>
      </c>
      <c r="G18" s="20">
        <f t="shared" si="0"/>
        <v>101956448.89999999</v>
      </c>
      <c r="H18" s="19">
        <f>'15'!G68</f>
        <v>34</v>
      </c>
      <c r="I18" s="19">
        <f>'15'!G69</f>
        <v>9</v>
      </c>
      <c r="J18" s="19">
        <f>'15'!G71</f>
        <v>216</v>
      </c>
      <c r="K18" s="23">
        <f t="shared" si="1"/>
        <v>43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 x14ac:dyDescent="0.2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262"/>
  <sheetViews>
    <sheetView zoomScale="50" zoomScaleNormal="50" workbookViewId="0">
      <selection sqref="A1:XFD104857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89" t="s">
        <v>115</v>
      </c>
      <c r="B1" s="790"/>
      <c r="C1" s="790"/>
      <c r="D1" s="790"/>
      <c r="E1" s="790"/>
      <c r="F1" s="790"/>
      <c r="G1" s="790"/>
      <c r="H1" s="790"/>
      <c r="I1" s="790"/>
      <c r="J1" s="791"/>
    </row>
    <row r="2" spans="1:15" s="57" customFormat="1" ht="27" x14ac:dyDescent="0.5">
      <c r="A2" s="191" t="s">
        <v>303</v>
      </c>
      <c r="B2" s="266">
        <v>44439</v>
      </c>
      <c r="C2" s="34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4" t="s">
        <v>118</v>
      </c>
      <c r="D3" s="219">
        <v>28</v>
      </c>
      <c r="E3" s="798" t="s">
        <v>119</v>
      </c>
      <c r="F3" s="79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 x14ac:dyDescent="0.4">
      <c r="A6" s="792" t="s">
        <v>128</v>
      </c>
      <c r="B6" s="793"/>
      <c r="C6" s="79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94" t="s">
        <v>129</v>
      </c>
      <c r="B7" s="195"/>
      <c r="C7" s="195"/>
      <c r="D7" s="151" t="s">
        <v>130</v>
      </c>
      <c r="E7" s="95">
        <f>'30'!F7</f>
        <v>639179.47</v>
      </c>
      <c r="F7" s="95">
        <v>298691</v>
      </c>
      <c r="G7" s="112">
        <f>F7-E7</f>
        <v>-340488.47</v>
      </c>
      <c r="H7" s="99">
        <f>G7+'30'!H7</f>
        <v>354448.59999999986</v>
      </c>
      <c r="I7" s="113">
        <f>'1'!I7</f>
        <v>12000</v>
      </c>
      <c r="J7" s="175">
        <f>H7/DAY(B2)</f>
        <v>11433.825806451609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'30'!F8</f>
        <v>660129.75</v>
      </c>
      <c r="F8" s="114">
        <v>309572</v>
      </c>
      <c r="G8" s="115">
        <f>F8-E8</f>
        <v>-350557.75</v>
      </c>
      <c r="H8" s="99">
        <f>G8+'30'!H8</f>
        <v>350905</v>
      </c>
      <c r="I8" s="116"/>
      <c r="J8" s="175">
        <f>H8/DAY(B2)</f>
        <v>11319.516129032258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99" t="s">
        <v>132</v>
      </c>
      <c r="B9" s="200"/>
      <c r="C9" s="200"/>
      <c r="D9" s="151" t="s">
        <v>130</v>
      </c>
      <c r="E9" s="95">
        <v>62756</v>
      </c>
      <c r="F9" s="117">
        <v>82530</v>
      </c>
      <c r="G9" s="112">
        <f>F9-E9</f>
        <v>19774</v>
      </c>
      <c r="H9" s="99">
        <f>G9+'30'!H9</f>
        <v>634960.89999999979</v>
      </c>
      <c r="I9" s="124">
        <f>I7-J7</f>
        <v>566.17419354839149</v>
      </c>
      <c r="J9" s="175">
        <f>H9/DAY(B2)</f>
        <v>20482.609677419347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94" t="s">
        <v>133</v>
      </c>
      <c r="B10" s="195"/>
      <c r="C10" s="195"/>
      <c r="D10" s="151" t="s">
        <v>130</v>
      </c>
      <c r="E10" s="95">
        <f>'30'!F10</f>
        <v>2607</v>
      </c>
      <c r="F10" s="117">
        <v>2607</v>
      </c>
      <c r="G10" s="112">
        <f t="shared" ref="G10:G12" si="0">F10-E10</f>
        <v>0</v>
      </c>
      <c r="H10" s="99">
        <f>G10+'30'!H10</f>
        <v>-57966</v>
      </c>
      <c r="I10" s="286"/>
      <c r="J10" s="175">
        <f>H10/DAY(B2)</f>
        <v>-1869.8709677419354</v>
      </c>
      <c r="K10" s="79"/>
      <c r="L10" s="66"/>
      <c r="N10" s="87"/>
      <c r="O10" s="71"/>
    </row>
    <row r="11" spans="1:15" ht="21.95" customHeight="1" x14ac:dyDescent="0.4">
      <c r="A11" s="194" t="s">
        <v>134</v>
      </c>
      <c r="B11" s="195"/>
      <c r="C11" s="195"/>
      <c r="D11" s="151" t="s">
        <v>130</v>
      </c>
      <c r="E11" s="95">
        <f>'5'!E11</f>
        <v>37000</v>
      </c>
      <c r="F11" s="95">
        <v>37000</v>
      </c>
      <c r="G11" s="112">
        <f t="shared" si="0"/>
        <v>0</v>
      </c>
      <c r="H11" s="99">
        <f>G11+'30'!H11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194" t="s">
        <v>135</v>
      </c>
      <c r="B12" s="195"/>
      <c r="C12" s="195"/>
      <c r="D12" s="151" t="s">
        <v>130</v>
      </c>
      <c r="E12" s="95">
        <f>'5'!E12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19774</v>
      </c>
      <c r="H13" s="99">
        <f>G13+'30'!H13</f>
        <v>555449.14999999979</v>
      </c>
      <c r="I13" s="120">
        <f>G7-G13</f>
        <v>-360262.47</v>
      </c>
      <c r="J13" s="175">
        <f>H13/DAY(B2)</f>
        <v>17917.714516129025</v>
      </c>
      <c r="K13" s="79"/>
      <c r="L13" s="66"/>
      <c r="N13" s="87"/>
      <c r="O13" s="71"/>
    </row>
    <row r="14" spans="1:15" ht="29.25" x14ac:dyDescent="0.5">
      <c r="A14" s="795" t="s">
        <v>137</v>
      </c>
      <c r="B14" s="796"/>
      <c r="C14" s="79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342" t="s">
        <v>138</v>
      </c>
      <c r="B15" s="205"/>
      <c r="C15" s="205"/>
      <c r="D15" s="151" t="s">
        <v>139</v>
      </c>
      <c r="E15" s="123">
        <v>1755781</v>
      </c>
      <c r="F15" s="123">
        <v>1756530</v>
      </c>
      <c r="G15" s="112">
        <f>(F15-E15)</f>
        <v>749</v>
      </c>
      <c r="H15" s="99">
        <f>G15+'30'!H15</f>
        <v>29033.882999999914</v>
      </c>
      <c r="I15" s="113">
        <f>'1'!I15</f>
        <v>800</v>
      </c>
      <c r="J15" s="175">
        <f>H15/DAY(B2)</f>
        <v>936.57687096773918</v>
      </c>
      <c r="K15" s="79"/>
      <c r="L15" s="66"/>
      <c r="N15" s="87"/>
      <c r="O15" s="71"/>
    </row>
    <row r="16" spans="1:15" ht="21.9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-136.57687096773918</v>
      </c>
      <c r="J16" s="176"/>
      <c r="K16" s="79"/>
      <c r="L16" s="66"/>
      <c r="N16" s="87"/>
      <c r="O16" s="71"/>
    </row>
    <row r="17" spans="1:15" ht="29.25" x14ac:dyDescent="0.5">
      <c r="A17" s="795" t="s">
        <v>140</v>
      </c>
      <c r="B17" s="796"/>
      <c r="C17" s="79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1" t="s">
        <v>141</v>
      </c>
      <c r="B18" s="772"/>
      <c r="C18" s="773"/>
      <c r="D18" s="151" t="s">
        <v>142</v>
      </c>
      <c r="E18" s="95">
        <f>'30'!F18</f>
        <v>14</v>
      </c>
      <c r="F18" s="122">
        <v>14</v>
      </c>
      <c r="G18" s="119">
        <f>F18*10</f>
        <v>140</v>
      </c>
      <c r="H18" s="99">
        <f>G18+'30'!H18</f>
        <v>5280</v>
      </c>
      <c r="I18" s="113">
        <f>'1'!I18</f>
        <v>65</v>
      </c>
      <c r="J18" s="175">
        <f>H18/DAY(B2)</f>
        <v>170.32258064516128</v>
      </c>
      <c r="K18" s="79"/>
      <c r="L18" s="66"/>
      <c r="N18" s="87"/>
      <c r="O18" s="71"/>
    </row>
    <row r="19" spans="1:15" ht="27.75" x14ac:dyDescent="0.5">
      <c r="A19" s="771" t="s">
        <v>69</v>
      </c>
      <c r="B19" s="772"/>
      <c r="C19" s="773"/>
      <c r="D19" s="151" t="s">
        <v>142</v>
      </c>
      <c r="E19" s="95">
        <f>'30'!F19</f>
        <v>148825</v>
      </c>
      <c r="F19" s="122">
        <v>145338</v>
      </c>
      <c r="G19" s="112">
        <f t="shared" ref="G19" si="1">F19-E19</f>
        <v>-3487</v>
      </c>
      <c r="H19" s="99">
        <f>G19+'30'!H19</f>
        <v>-1714</v>
      </c>
      <c r="I19" s="355"/>
      <c r="J19" s="175">
        <f>H19/DAY(B2)</f>
        <v>-55.29032258064516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-3347</v>
      </c>
      <c r="H20" s="99">
        <f>G20+'30'!H20</f>
        <v>3566</v>
      </c>
      <c r="I20" s="356">
        <f>I18-J20</f>
        <v>-50.032258064516128</v>
      </c>
      <c r="J20" s="175">
        <f>H20/DAY(B2)</f>
        <v>115.03225806451613</v>
      </c>
      <c r="K20" s="79"/>
      <c r="L20" s="66"/>
      <c r="N20" s="87"/>
      <c r="O20" s="71"/>
    </row>
    <row r="21" spans="1:15" ht="29.25" x14ac:dyDescent="0.5">
      <c r="A21" s="795" t="s">
        <v>144</v>
      </c>
      <c r="B21" s="796"/>
      <c r="C21" s="79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2" t="s">
        <v>145</v>
      </c>
      <c r="B22" s="205"/>
      <c r="C22" s="205"/>
      <c r="D22" s="151" t="s">
        <v>146</v>
      </c>
      <c r="E22" s="122">
        <f>'30'!F22</f>
        <v>2970</v>
      </c>
      <c r="F22" s="122">
        <v>2970</v>
      </c>
      <c r="G22" s="119">
        <f t="shared" ref="G22" si="2">(F22-E22)</f>
        <v>0</v>
      </c>
      <c r="H22" s="99">
        <f>'30'!H22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2" t="s">
        <v>147</v>
      </c>
      <c r="B23" s="205"/>
      <c r="C23" s="205"/>
      <c r="D23" s="151" t="s">
        <v>146</v>
      </c>
      <c r="E23" s="122">
        <f>'30'!F23</f>
        <v>2000</v>
      </c>
      <c r="F23" s="122">
        <v>2000</v>
      </c>
      <c r="G23" s="119">
        <v>0</v>
      </c>
      <c r="H23" s="99">
        <f>'30'!H23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122">
        <f>'30'!F24</f>
        <v>4970</v>
      </c>
      <c r="F24" s="128">
        <v>4970</v>
      </c>
      <c r="G24" s="119">
        <v>0</v>
      </c>
      <c r="H24" s="99">
        <f>'30'!H24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0" t="s">
        <v>149</v>
      </c>
      <c r="B25" s="801"/>
      <c r="C25" s="80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-350557.75</v>
      </c>
      <c r="F27" s="136">
        <v>9</v>
      </c>
      <c r="G27" s="137">
        <f>E27*F27</f>
        <v>-3155019.75</v>
      </c>
      <c r="H27" s="99">
        <f>G27+'30'!H27</f>
        <v>3158145</v>
      </c>
      <c r="I27" s="138"/>
      <c r="J27" s="175">
        <f>H27/DAY(B2)</f>
        <v>101875.64516129032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749</v>
      </c>
      <c r="F28" s="136">
        <v>52</v>
      </c>
      <c r="G28" s="137">
        <f>E28*F28</f>
        <v>38948</v>
      </c>
      <c r="H28" s="99">
        <f>G28+'30'!H28</f>
        <v>1509761.9159999955</v>
      </c>
      <c r="I28" s="140"/>
      <c r="J28" s="175">
        <f>H28/DAY(B2)</f>
        <v>48701.997290322433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-3487</v>
      </c>
      <c r="F30" s="136">
        <v>146</v>
      </c>
      <c r="G30" s="137">
        <f>E30*F30</f>
        <v>-509102</v>
      </c>
      <c r="H30" s="99">
        <f>G30+'30'!H30</f>
        <v>-250244</v>
      </c>
      <c r="I30" s="140"/>
      <c r="J30" s="175">
        <f>H30/DAY(B2)</f>
        <v>-8072.3870967741932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G31+'30'!H31</f>
        <v>422400</v>
      </c>
      <c r="I31" s="140"/>
      <c r="J31" s="175">
        <f>H31/DAY(B2)</f>
        <v>13625.806451612903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-3613973.75</v>
      </c>
      <c r="H32" s="99">
        <f>G32+'30'!H32</f>
        <v>4840062.9159999955</v>
      </c>
      <c r="I32" s="144"/>
      <c r="J32" s="175">
        <f>H32/DAY(B2)</f>
        <v>156131.06180645147</v>
      </c>
      <c r="K32" s="63"/>
      <c r="L32" s="89"/>
      <c r="N32" s="87"/>
      <c r="O32" s="71"/>
    </row>
    <row r="33" spans="1:15" ht="34.5" customHeight="1" x14ac:dyDescent="0.35">
      <c r="A33" s="803" t="s">
        <v>331</v>
      </c>
      <c r="B33" s="804"/>
      <c r="C33" s="804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46"/>
      <c r="C34" s="346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145">
        <v>1058597</v>
      </c>
      <c r="F35" s="145">
        <v>1058597</v>
      </c>
      <c r="G35" s="112">
        <f t="shared" ref="G35:G46" si="3">F35-E35</f>
        <v>0</v>
      </c>
      <c r="H35" s="99">
        <f>G35+'30'!H35</f>
        <v>2111685.6</v>
      </c>
      <c r="I35" s="95"/>
      <c r="J35" s="175">
        <f>H35/DAY(B2)</f>
        <v>68118.890322580643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145">
        <v>1165</v>
      </c>
      <c r="F36" s="145">
        <v>1833</v>
      </c>
      <c r="G36" s="112">
        <f t="shared" si="3"/>
        <v>668</v>
      </c>
      <c r="H36" s="99">
        <f>G36+'30'!H36</f>
        <v>-57246.1</v>
      </c>
      <c r="I36" s="95"/>
      <c r="J36" s="175">
        <f>H36/DAY(B2)</f>
        <v>-1846.6483870967741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145">
        <v>1612</v>
      </c>
      <c r="F37" s="145">
        <v>2775</v>
      </c>
      <c r="G37" s="112">
        <f t="shared" si="3"/>
        <v>1163</v>
      </c>
      <c r="H37" s="99">
        <f>G37+'30'!H37</f>
        <v>-130703.87</v>
      </c>
      <c r="I37" s="95"/>
      <c r="J37" s="175">
        <f>H37/DAY(B2)</f>
        <v>-4216.2538709677419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108">
        <v>3155</v>
      </c>
      <c r="F38" s="108">
        <v>4823</v>
      </c>
      <c r="G38" s="112">
        <f t="shared" si="3"/>
        <v>1668</v>
      </c>
      <c r="H38" s="99">
        <f>G38+'30'!H38</f>
        <v>-135409.60000000001</v>
      </c>
      <c r="I38" s="95"/>
      <c r="J38" s="175">
        <f>H38/DAY(B2)</f>
        <v>-4368.0516129032258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145">
        <v>634029</v>
      </c>
      <c r="F39" s="145">
        <v>637915</v>
      </c>
      <c r="G39" s="112">
        <f t="shared" si="3"/>
        <v>3886</v>
      </c>
      <c r="H39" s="99">
        <f>G39+'30'!H39</f>
        <v>962120.97</v>
      </c>
      <c r="I39" s="95"/>
      <c r="J39" s="175">
        <f>H39/DAY(B2)</f>
        <v>31036.160322580643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145">
        <v>34221</v>
      </c>
      <c r="F40" s="145">
        <v>34599</v>
      </c>
      <c r="G40" s="112">
        <f t="shared" si="3"/>
        <v>378</v>
      </c>
      <c r="H40" s="99">
        <f>G40+'30'!H40</f>
        <v>69569.77</v>
      </c>
      <c r="I40" s="95"/>
      <c r="J40" s="175">
        <f>H40/DAY(B2)</f>
        <v>2244.1861290322581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145">
        <v>433281.79</v>
      </c>
      <c r="F41" s="145">
        <v>433281.79</v>
      </c>
      <c r="G41" s="112">
        <f t="shared" si="3"/>
        <v>0</v>
      </c>
      <c r="H41" s="99">
        <f>G41+'30'!H41</f>
        <v>-177234.68000000011</v>
      </c>
      <c r="I41" s="95"/>
      <c r="J41" s="175">
        <f>H41/DAY(B2)</f>
        <v>-5717.2477419354873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145">
        <v>170507</v>
      </c>
      <c r="F42" s="145">
        <v>175112</v>
      </c>
      <c r="G42" s="112">
        <f t="shared" si="3"/>
        <v>4605</v>
      </c>
      <c r="H42" s="99">
        <f>G42+'30'!H42</f>
        <v>-158018.49</v>
      </c>
      <c r="I42" s="95"/>
      <c r="J42" s="175">
        <f>H42/DAY(B2)</f>
        <v>-5097.3706451612898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145">
        <v>1287250</v>
      </c>
      <c r="F43" s="145">
        <v>1289745</v>
      </c>
      <c r="G43" s="112">
        <f t="shared" si="3"/>
        <v>2495</v>
      </c>
      <c r="H43" s="99">
        <f>G43+'30'!H43</f>
        <v>-188756.19999999995</v>
      </c>
      <c r="I43" s="95"/>
      <c r="J43" s="175">
        <f>H43/DAY(B2)</f>
        <v>-6088.9096774193531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145"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145">
        <v>614</v>
      </c>
      <c r="F45" s="145">
        <v>614</v>
      </c>
      <c r="G45" s="112">
        <f t="shared" si="3"/>
        <v>0</v>
      </c>
      <c r="H45" s="99">
        <f>G45+'30'!H45</f>
        <v>1228</v>
      </c>
      <c r="I45" s="95"/>
      <c r="J45" s="175">
        <f>H45/DAY(B2)</f>
        <v>39.612903225806448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145">
        <v>187</v>
      </c>
      <c r="F46" s="145">
        <v>187</v>
      </c>
      <c r="G46" s="112">
        <f t="shared" si="3"/>
        <v>0</v>
      </c>
      <c r="H46" s="99">
        <f>G46+'30'!H46</f>
        <v>374</v>
      </c>
      <c r="I46" s="95"/>
      <c r="J46" s="175">
        <f>H46/DAY(B2)</f>
        <v>12.064516129032258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14863</v>
      </c>
      <c r="H47" s="99">
        <f>G47+'30'!H47</f>
        <v>2297609.4</v>
      </c>
      <c r="I47" s="95"/>
      <c r="J47" s="175">
        <f>H47/DAY(B2)</f>
        <v>74116.432258064509</v>
      </c>
      <c r="K47" s="79"/>
      <c r="L47" s="66"/>
      <c r="N47" s="87"/>
      <c r="O47" s="71"/>
    </row>
    <row r="48" spans="1:15" ht="29.25" x14ac:dyDescent="0.5">
      <c r="A48" s="214" t="s">
        <v>174</v>
      </c>
      <c r="B48" s="346"/>
      <c r="C48" s="346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'30'!F49</f>
        <v>419822</v>
      </c>
      <c r="F49" s="145">
        <v>419822</v>
      </c>
      <c r="G49" s="112">
        <f t="shared" ref="G49:G58" si="4">F49-E49</f>
        <v>0</v>
      </c>
      <c r="H49" s="99">
        <f>G49+'30'!H49</f>
        <v>596649.56000000006</v>
      </c>
      <c r="I49" s="95"/>
      <c r="J49" s="175">
        <f>H49/DAY(B2)</f>
        <v>19246.760000000002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'30'!F50</f>
        <v>607298</v>
      </c>
      <c r="F50" s="145">
        <v>607298</v>
      </c>
      <c r="G50" s="112">
        <f t="shared" si="4"/>
        <v>0</v>
      </c>
      <c r="H50" s="99">
        <f>G50+'30'!H50</f>
        <v>-93045.949999999953</v>
      </c>
      <c r="I50" s="95"/>
      <c r="J50" s="175">
        <f>H50/DAY(B2)</f>
        <v>-3001.4822580645146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'30'!F51</f>
        <v>144640</v>
      </c>
      <c r="F51" s="145">
        <v>144640</v>
      </c>
      <c r="G51" s="112">
        <f t="shared" si="4"/>
        <v>0</v>
      </c>
      <c r="H51" s="99">
        <f>G51+'30'!H51</f>
        <v>289280</v>
      </c>
      <c r="I51" s="95"/>
      <c r="J51" s="175">
        <f>H51/DAY(B2)</f>
        <v>9331.6129032258068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'30'!F52</f>
        <v>539606</v>
      </c>
      <c r="F52" s="145">
        <v>539606</v>
      </c>
      <c r="G52" s="112">
        <f t="shared" si="4"/>
        <v>0</v>
      </c>
      <c r="H52" s="99">
        <f>G52+'30'!H52</f>
        <v>1079212</v>
      </c>
      <c r="I52" s="95"/>
      <c r="J52" s="175">
        <f>H52/DAY(B2)</f>
        <v>34813.290322580644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'30'!F53</f>
        <v>434232</v>
      </c>
      <c r="F53" s="145">
        <v>434232</v>
      </c>
      <c r="G53" s="112">
        <f t="shared" si="4"/>
        <v>0</v>
      </c>
      <c r="H53" s="99">
        <f>G53+'30'!H53</f>
        <v>868464</v>
      </c>
      <c r="I53" s="95"/>
      <c r="J53" s="175">
        <f>H53/DAY(B2)</f>
        <v>28014.967741935485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'30'!F54</f>
        <v>14967</v>
      </c>
      <c r="F54" s="145">
        <v>14967</v>
      </c>
      <c r="G54" s="112">
        <f t="shared" si="4"/>
        <v>0</v>
      </c>
      <c r="H54" s="99">
        <f>G54+'30'!H54</f>
        <v>24399.77</v>
      </c>
      <c r="I54" s="95"/>
      <c r="J54" s="175">
        <f>H54/DAY(B2)</f>
        <v>787.08935483870971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'30'!F55</f>
        <v>306268.99</v>
      </c>
      <c r="F55" s="145">
        <v>306268.99</v>
      </c>
      <c r="G55" s="112">
        <f t="shared" si="4"/>
        <v>0</v>
      </c>
      <c r="H55" s="99">
        <f>G55+'30'!H55</f>
        <v>-2059.4899999999907</v>
      </c>
      <c r="I55" s="95"/>
      <c r="J55" s="175">
        <f>H55/DAY(B2)</f>
        <v>-66.435161290322284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'30'!F56</f>
        <v>661019</v>
      </c>
      <c r="F56" s="145">
        <v>661019</v>
      </c>
      <c r="G56" s="112">
        <f t="shared" si="4"/>
        <v>0</v>
      </c>
      <c r="H56" s="99">
        <f>G56+'30'!H56</f>
        <v>-194032.55000000005</v>
      </c>
      <c r="I56" s="95"/>
      <c r="J56" s="175">
        <f>H56/DAY(B2)</f>
        <v>-6259.1145161290342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'30'!F57</f>
        <v>7711</v>
      </c>
      <c r="F57" s="145">
        <v>7711</v>
      </c>
      <c r="G57" s="112">
        <f t="shared" si="4"/>
        <v>0</v>
      </c>
      <c r="H57" s="99">
        <f>G57+'30'!H57</f>
        <v>15422</v>
      </c>
      <c r="I57" s="95"/>
      <c r="J57" s="175">
        <f>H57/DAY(B2)</f>
        <v>497.48387096774195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'30'!F58</f>
        <v>66014</v>
      </c>
      <c r="F58" s="145">
        <v>66014</v>
      </c>
      <c r="G58" s="112">
        <f t="shared" si="4"/>
        <v>0</v>
      </c>
      <c r="H58" s="99">
        <f>G58+'30'!H58</f>
        <v>-16060.800000000003</v>
      </c>
      <c r="I58" s="95"/>
      <c r="J58" s="175">
        <f>H58/DAY(B2)</f>
        <v>-518.09032258064531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0</v>
      </c>
      <c r="H59" s="99">
        <f>G59+'30'!H59</f>
        <v>2568228.54</v>
      </c>
      <c r="I59" s="95">
        <f>G7-G60</f>
        <v>-355351.47</v>
      </c>
      <c r="J59" s="175">
        <f>H59/DAY(B2)</f>
        <v>82846.081935483875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14863</v>
      </c>
      <c r="H60" s="99">
        <f>G60+'30'!H60</f>
        <v>4865837.9399999995</v>
      </c>
      <c r="I60" s="95">
        <f>G13-G60</f>
        <v>4911</v>
      </c>
      <c r="J60" s="175">
        <f>H60/DAY(B2)</f>
        <v>156962.51419354838</v>
      </c>
      <c r="K60" s="79"/>
      <c r="L60" s="66"/>
      <c r="N60" s="87"/>
      <c r="O60" s="71"/>
    </row>
    <row r="61" spans="1:15" s="68" customFormat="1" ht="29.25" customHeight="1" x14ac:dyDescent="0.5">
      <c r="A61" s="805" t="s">
        <v>332</v>
      </c>
      <c r="B61" s="806"/>
      <c r="C61" s="807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1" t="s">
        <v>198</v>
      </c>
      <c r="B62" s="772"/>
      <c r="C62" s="773"/>
      <c r="D62" s="151" t="s">
        <v>142</v>
      </c>
      <c r="E62" s="95">
        <f>'30'!F93</f>
        <v>0</v>
      </c>
      <c r="F62" s="122">
        <v>253452</v>
      </c>
      <c r="G62" s="112">
        <f t="shared" ref="G62:G63" si="5">F62-E62</f>
        <v>253452</v>
      </c>
      <c r="H62" s="99">
        <f>G62+'30'!H93</f>
        <v>253452</v>
      </c>
      <c r="I62" s="118"/>
      <c r="J62" s="175">
        <f>H62/DAY(B2)</f>
        <v>8175.8709677419356</v>
      </c>
      <c r="K62" s="80"/>
      <c r="L62" s="66"/>
      <c r="N62" s="87"/>
      <c r="O62" s="71"/>
    </row>
    <row r="63" spans="1:15" ht="27.75" x14ac:dyDescent="0.5">
      <c r="A63" s="771" t="s">
        <v>199</v>
      </c>
      <c r="B63" s="772"/>
      <c r="C63" s="773"/>
      <c r="D63" s="151" t="s">
        <v>142</v>
      </c>
      <c r="E63" s="95">
        <f>'30'!F94</f>
        <v>0</v>
      </c>
      <c r="F63" s="122">
        <v>197659</v>
      </c>
      <c r="G63" s="112">
        <f t="shared" si="5"/>
        <v>197659</v>
      </c>
      <c r="H63" s="99">
        <f>G63+'30'!H94</f>
        <v>2730164.96</v>
      </c>
      <c r="I63" s="118"/>
      <c r="J63" s="175">
        <f>H63/DAY(B2)</f>
        <v>88069.837419354837</v>
      </c>
      <c r="K63" s="69"/>
      <c r="L63" s="66"/>
      <c r="N63" s="87"/>
      <c r="O63" s="71"/>
    </row>
    <row r="64" spans="1:15" ht="29.25" x14ac:dyDescent="0.5">
      <c r="A64" s="780" t="s">
        <v>200</v>
      </c>
      <c r="B64" s="781"/>
      <c r="C64" s="782"/>
      <c r="D64" s="151"/>
      <c r="E64" s="122"/>
      <c r="F64" s="122"/>
      <c r="G64" s="112">
        <f>G62+G63</f>
        <v>451111</v>
      </c>
      <c r="H64" s="99">
        <f>G64+'30'!H95</f>
        <v>451221.05863639049</v>
      </c>
      <c r="I64" s="118"/>
      <c r="J64" s="175">
        <f>H64/DAY(B2)</f>
        <v>14555.518020528725</v>
      </c>
      <c r="K64" s="69"/>
      <c r="L64" s="66"/>
      <c r="N64" s="87"/>
      <c r="O64" s="71"/>
    </row>
    <row r="65" spans="1:15" ht="27.75" x14ac:dyDescent="0.5">
      <c r="A65" s="771" t="s">
        <v>201</v>
      </c>
      <c r="B65" s="772"/>
      <c r="C65" s="773"/>
      <c r="D65" s="151" t="s">
        <v>142</v>
      </c>
      <c r="E65" s="95">
        <f>'30'!F96</f>
        <v>0</v>
      </c>
      <c r="F65" s="122">
        <v>421019</v>
      </c>
      <c r="G65" s="112">
        <f t="shared" ref="G65:G70" si="6">F65-E65</f>
        <v>421019</v>
      </c>
      <c r="H65" s="99">
        <f>G65+'30'!H96</f>
        <v>-114931.2100000002</v>
      </c>
      <c r="I65" s="118"/>
      <c r="J65" s="175">
        <f>H65/DAY(B2)</f>
        <v>-3707.4583870967804</v>
      </c>
      <c r="K65" s="69"/>
      <c r="L65" s="66"/>
      <c r="N65" s="87"/>
      <c r="O65" s="71"/>
    </row>
    <row r="66" spans="1:15" ht="27.75" x14ac:dyDescent="0.5">
      <c r="A66" s="342" t="s">
        <v>202</v>
      </c>
      <c r="B66" s="343"/>
      <c r="C66" s="343"/>
      <c r="D66" s="151" t="s">
        <v>142</v>
      </c>
      <c r="E66" s="95">
        <f>'30'!F97</f>
        <v>0</v>
      </c>
      <c r="F66" s="122">
        <v>104636</v>
      </c>
      <c r="G66" s="112">
        <f t="shared" si="6"/>
        <v>104636</v>
      </c>
      <c r="H66" s="99">
        <f>G66+'30'!H97</f>
        <v>104612.62303192385</v>
      </c>
      <c r="I66" s="118"/>
      <c r="J66" s="175">
        <f>H66/DAY(B2)</f>
        <v>3374.6007429652855</v>
      </c>
      <c r="K66" s="78"/>
      <c r="L66" s="66"/>
      <c r="N66" s="87"/>
      <c r="O66" s="71"/>
    </row>
    <row r="67" spans="1:15" ht="27.75" x14ac:dyDescent="0.5">
      <c r="A67" s="342" t="s">
        <v>203</v>
      </c>
      <c r="B67" s="343"/>
      <c r="C67" s="343"/>
      <c r="D67" s="151" t="s">
        <v>142</v>
      </c>
      <c r="E67" s="95">
        <f>'30'!F98</f>
        <v>0</v>
      </c>
      <c r="F67" s="122">
        <v>100370</v>
      </c>
      <c r="G67" s="112">
        <f t="shared" si="6"/>
        <v>100370</v>
      </c>
      <c r="H67" s="99">
        <f>G67+'30'!H98</f>
        <v>1927068.97</v>
      </c>
      <c r="I67" s="118"/>
      <c r="J67" s="175">
        <f>H67/DAY(B2)</f>
        <v>62163.515161290321</v>
      </c>
      <c r="K67" s="81"/>
      <c r="L67" s="66"/>
      <c r="N67" s="87"/>
      <c r="O67" s="71"/>
    </row>
    <row r="68" spans="1:15" ht="27.75" x14ac:dyDescent="0.5">
      <c r="A68" s="342" t="s">
        <v>204</v>
      </c>
      <c r="B68" s="343"/>
      <c r="C68" s="343"/>
      <c r="D68" s="151" t="s">
        <v>142</v>
      </c>
      <c r="E68" s="95">
        <f>'30'!F99</f>
        <v>0</v>
      </c>
      <c r="F68" s="122">
        <v>152135</v>
      </c>
      <c r="G68" s="112">
        <f t="shared" si="6"/>
        <v>152135</v>
      </c>
      <c r="H68" s="99">
        <f>G68+'30'!H99</f>
        <v>152214.38571169085</v>
      </c>
      <c r="I68" s="118"/>
      <c r="J68" s="175">
        <f>H68/DAY(B2)</f>
        <v>4910.1414745706725</v>
      </c>
      <c r="K68" s="69"/>
      <c r="L68" s="66"/>
      <c r="N68" s="87"/>
      <c r="O68" s="71"/>
    </row>
    <row r="69" spans="1:15" ht="27.75" x14ac:dyDescent="0.5">
      <c r="A69" s="342" t="s">
        <v>205</v>
      </c>
      <c r="B69" s="343"/>
      <c r="C69" s="343"/>
      <c r="D69" s="151" t="s">
        <v>142</v>
      </c>
      <c r="E69" s="95">
        <f>'30'!F100</f>
        <v>0</v>
      </c>
      <c r="F69" s="122">
        <v>8645</v>
      </c>
      <c r="G69" s="112">
        <f t="shared" si="6"/>
        <v>8645</v>
      </c>
      <c r="H69" s="99">
        <f>G69+'30'!H100</f>
        <v>950779.4</v>
      </c>
      <c r="I69" s="118"/>
      <c r="J69" s="175">
        <f>H69/DAY(B2)</f>
        <v>30670.303225806452</v>
      </c>
      <c r="K69" s="69"/>
      <c r="L69" s="66"/>
      <c r="N69" s="87"/>
      <c r="O69" s="71"/>
    </row>
    <row r="70" spans="1:15" ht="27.75" x14ac:dyDescent="0.5">
      <c r="A70" s="342" t="s">
        <v>206</v>
      </c>
      <c r="B70" s="343"/>
      <c r="C70" s="343"/>
      <c r="D70" s="151" t="s">
        <v>142</v>
      </c>
      <c r="E70" s="95">
        <f>'30'!F101</f>
        <v>0</v>
      </c>
      <c r="F70" s="122">
        <v>6373</v>
      </c>
      <c r="G70" s="112">
        <f t="shared" si="6"/>
        <v>6373</v>
      </c>
      <c r="H70" s="99">
        <f>G70+'30'!H101</f>
        <v>6413.9463656362368</v>
      </c>
      <c r="I70" s="118"/>
      <c r="J70" s="175">
        <f>H70/DAY(B2)</f>
        <v>206.90149566568505</v>
      </c>
      <c r="K70" s="69"/>
      <c r="L70" s="66"/>
      <c r="N70" s="87"/>
      <c r="O70" s="71"/>
    </row>
    <row r="71" spans="1:15" ht="29.25" x14ac:dyDescent="0.5">
      <c r="A71" s="780" t="s">
        <v>208</v>
      </c>
      <c r="B71" s="781"/>
      <c r="C71" s="782"/>
      <c r="D71" s="152"/>
      <c r="E71" s="152"/>
      <c r="F71" s="152"/>
      <c r="G71" s="153">
        <f>SUM(G65:G70)</f>
        <v>793178</v>
      </c>
      <c r="H71" s="99">
        <f>G71+'30'!H102</f>
        <v>642217.95000000007</v>
      </c>
      <c r="I71" s="154"/>
      <c r="J71" s="175">
        <f>H71/DAY(B2)</f>
        <v>20716.70806451613</v>
      </c>
      <c r="K71" s="69"/>
      <c r="L71" s="66"/>
      <c r="N71" s="87"/>
      <c r="O71" s="71"/>
    </row>
    <row r="72" spans="1:15" s="88" customFormat="1" ht="27.75" x14ac:dyDescent="0.5">
      <c r="A72" s="767"/>
      <c r="B72" s="752"/>
      <c r="C72" s="341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77" t="s">
        <v>333</v>
      </c>
      <c r="B73" s="778"/>
      <c r="C73" s="779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1" t="s">
        <v>220</v>
      </c>
      <c r="B74" s="772"/>
      <c r="C74" s="773"/>
      <c r="D74" s="151" t="s">
        <v>139</v>
      </c>
      <c r="E74" s="95">
        <f>'30'!F124</f>
        <v>0</v>
      </c>
      <c r="F74" s="117">
        <v>856352</v>
      </c>
      <c r="G74" s="112">
        <f t="shared" ref="G74:G78" si="7">F74-E74</f>
        <v>856352</v>
      </c>
      <c r="H74" s="99">
        <f>G74+'30'!H124</f>
        <v>856352</v>
      </c>
      <c r="I74" s="154"/>
      <c r="J74" s="175">
        <f>H74/DAY(B2)</f>
        <v>27624.258064516129</v>
      </c>
      <c r="K74" s="69"/>
      <c r="L74" s="66"/>
      <c r="N74" s="87"/>
      <c r="O74" s="71"/>
    </row>
    <row r="75" spans="1:15" ht="27.75" x14ac:dyDescent="0.5">
      <c r="A75" s="771" t="s">
        <v>221</v>
      </c>
      <c r="B75" s="772"/>
      <c r="C75" s="773"/>
      <c r="D75" s="151" t="s">
        <v>139</v>
      </c>
      <c r="E75" s="95">
        <f>'30'!F125</f>
        <v>0</v>
      </c>
      <c r="F75" s="232">
        <v>73583.399999999994</v>
      </c>
      <c r="G75" s="112">
        <f t="shared" si="7"/>
        <v>73583.399999999994</v>
      </c>
      <c r="H75" s="99">
        <f>G75+'30'!H125</f>
        <v>73583.399999999994</v>
      </c>
      <c r="I75" s="154"/>
      <c r="J75" s="175">
        <f>H75/DAY(B2)</f>
        <v>2373.6580645161289</v>
      </c>
      <c r="K75" s="69"/>
      <c r="L75" s="66"/>
      <c r="N75" s="87"/>
      <c r="O75" s="71"/>
    </row>
    <row r="76" spans="1:15" ht="27.75" x14ac:dyDescent="0.5">
      <c r="A76" s="768" t="s">
        <v>222</v>
      </c>
      <c r="B76" s="769"/>
      <c r="C76" s="770"/>
      <c r="D76" s="151" t="s">
        <v>139</v>
      </c>
      <c r="E76" s="95">
        <f>'30'!F126</f>
        <v>0</v>
      </c>
      <c r="F76" s="117">
        <v>154077</v>
      </c>
      <c r="G76" s="112">
        <f t="shared" si="7"/>
        <v>154077</v>
      </c>
      <c r="H76" s="99">
        <f>G76+'30'!H126</f>
        <v>154077</v>
      </c>
      <c r="I76" s="154"/>
      <c r="J76" s="175">
        <f>H76/DAY(B2)</f>
        <v>4970.2258064516127</v>
      </c>
      <c r="K76" s="69"/>
      <c r="L76" s="66"/>
      <c r="N76" s="87"/>
      <c r="O76" s="71"/>
    </row>
    <row r="77" spans="1:15" ht="27.75" x14ac:dyDescent="0.5">
      <c r="A77" s="768" t="s">
        <v>223</v>
      </c>
      <c r="B77" s="769"/>
      <c r="C77" s="770"/>
      <c r="D77" s="151" t="s">
        <v>139</v>
      </c>
      <c r="E77" s="95">
        <f>'30'!F127</f>
        <v>0</v>
      </c>
      <c r="F77" s="232">
        <v>34629</v>
      </c>
      <c r="G77" s="112">
        <f t="shared" si="7"/>
        <v>34629</v>
      </c>
      <c r="H77" s="99">
        <f>G77+'30'!H127</f>
        <v>34629</v>
      </c>
      <c r="I77" s="154"/>
      <c r="J77" s="175">
        <f>H77/DAY(B2)</f>
        <v>1117.0645161290322</v>
      </c>
      <c r="K77" s="69"/>
      <c r="L77" s="66"/>
      <c r="N77" s="87"/>
      <c r="O77" s="71"/>
    </row>
    <row r="78" spans="1:15" ht="27.75" x14ac:dyDescent="0.5">
      <c r="A78" s="768" t="s">
        <v>224</v>
      </c>
      <c r="B78" s="769"/>
      <c r="C78" s="770"/>
      <c r="D78" s="151" t="s">
        <v>139</v>
      </c>
      <c r="E78" s="95">
        <f>'30'!F128</f>
        <v>0</v>
      </c>
      <c r="F78" s="232">
        <v>9180</v>
      </c>
      <c r="G78" s="112">
        <f t="shared" si="7"/>
        <v>9180</v>
      </c>
      <c r="H78" s="99">
        <f>G78+'30'!H128</f>
        <v>-11657.400000000001</v>
      </c>
      <c r="I78" s="118"/>
      <c r="J78" s="175">
        <f>H78/DAY(B2)</f>
        <v>-376.04516129032265</v>
      </c>
      <c r="K78" s="69"/>
      <c r="L78" s="66"/>
      <c r="N78" s="87"/>
      <c r="O78" s="71"/>
    </row>
    <row r="79" spans="1:15" s="57" customFormat="1" ht="27.75" x14ac:dyDescent="0.5">
      <c r="A79" s="768" t="s">
        <v>225</v>
      </c>
      <c r="B79" s="769"/>
      <c r="C79" s="770"/>
      <c r="D79" s="151"/>
      <c r="E79" s="117"/>
      <c r="F79" s="117"/>
      <c r="G79" s="112">
        <f>G15-SUM(G74:G78)</f>
        <v>-1127072.3999999999</v>
      </c>
      <c r="H79" s="99">
        <f>G79+'30'!H129</f>
        <v>-1130840.24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0" t="s">
        <v>329</v>
      </c>
      <c r="B80" s="781"/>
      <c r="C80" s="782"/>
      <c r="D80" s="151"/>
      <c r="E80" s="117"/>
      <c r="F80" s="117"/>
      <c r="G80" s="112">
        <f>SUM(G74:G79)</f>
        <v>749</v>
      </c>
      <c r="H80" s="99"/>
      <c r="I80" s="118"/>
      <c r="J80" s="175"/>
      <c r="K80" s="59"/>
      <c r="L80" s="58"/>
      <c r="N80" s="87"/>
      <c r="O80" s="71"/>
    </row>
    <row r="81" spans="1:15" ht="29.25" customHeight="1" x14ac:dyDescent="0.4">
      <c r="A81" s="785" t="s">
        <v>226</v>
      </c>
      <c r="B81" s="786"/>
      <c r="C81" s="787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2" t="s">
        <v>227</v>
      </c>
      <c r="B82" s="343"/>
      <c r="C82" s="343"/>
      <c r="D82" s="151" t="s">
        <v>228</v>
      </c>
      <c r="E82" s="95">
        <f>'30'!F131</f>
        <v>0</v>
      </c>
      <c r="F82" s="122"/>
      <c r="G82" s="112">
        <f t="shared" ref="G82:G92" si="8">F82-E82</f>
        <v>0</v>
      </c>
      <c r="H82" s="99">
        <f>G82+'30'!H131</f>
        <v>-2311.35</v>
      </c>
      <c r="I82" s="118"/>
      <c r="J82" s="175">
        <f>H82/DAY(B2)</f>
        <v>-74.559677419354841</v>
      </c>
      <c r="O82" s="71"/>
    </row>
    <row r="83" spans="1:15" ht="27.75" x14ac:dyDescent="0.5">
      <c r="A83" s="342" t="s">
        <v>229</v>
      </c>
      <c r="B83" s="343"/>
      <c r="C83" s="343"/>
      <c r="D83" s="151" t="s">
        <v>228</v>
      </c>
      <c r="E83" s="95">
        <f>'30'!F132</f>
        <v>0</v>
      </c>
      <c r="F83" s="122"/>
      <c r="G83" s="112">
        <f t="shared" si="8"/>
        <v>0</v>
      </c>
      <c r="H83" s="99">
        <f>G83+'30'!H132</f>
        <v>-7246.7</v>
      </c>
      <c r="I83" s="118"/>
      <c r="J83" s="175">
        <f>H83/DAY(B2)</f>
        <v>-233.76451612903224</v>
      </c>
      <c r="O83" s="71"/>
    </row>
    <row r="84" spans="1:15" ht="27.75" x14ac:dyDescent="0.5">
      <c r="A84" s="342" t="s">
        <v>230</v>
      </c>
      <c r="B84" s="343"/>
      <c r="C84" s="343"/>
      <c r="D84" s="151" t="s">
        <v>228</v>
      </c>
      <c r="E84" s="95">
        <f>'30'!F133</f>
        <v>0</v>
      </c>
      <c r="F84" s="164">
        <v>40922</v>
      </c>
      <c r="G84" s="112">
        <f t="shared" si="8"/>
        <v>40922</v>
      </c>
      <c r="H84" s="99">
        <f>G84+'30'!H133</f>
        <v>-5025.5</v>
      </c>
      <c r="I84" s="118"/>
      <c r="J84" s="175">
        <f>H84/DAY(B2)</f>
        <v>-162.11290322580646</v>
      </c>
      <c r="O84" s="71"/>
    </row>
    <row r="85" spans="1:15" ht="27.75" x14ac:dyDescent="0.5">
      <c r="A85" s="342" t="s">
        <v>231</v>
      </c>
      <c r="B85" s="343"/>
      <c r="C85" s="343"/>
      <c r="D85" s="151" t="s">
        <v>228</v>
      </c>
      <c r="E85" s="95">
        <f>'30'!F134</f>
        <v>0</v>
      </c>
      <c r="F85" s="164">
        <v>856</v>
      </c>
      <c r="G85" s="112">
        <f t="shared" si="8"/>
        <v>856</v>
      </c>
      <c r="H85" s="99">
        <f>G85+'30'!H134</f>
        <v>-1236850</v>
      </c>
      <c r="I85" s="118">
        <f>G82+G83+G84+G85</f>
        <v>41778</v>
      </c>
      <c r="J85" s="175">
        <f>H85/DAY(B2)</f>
        <v>-39898.387096774197</v>
      </c>
      <c r="O85" s="71"/>
    </row>
    <row r="86" spans="1:15" ht="27.75" x14ac:dyDescent="0.5">
      <c r="A86" s="342" t="s">
        <v>232</v>
      </c>
      <c r="B86" s="343"/>
      <c r="C86" s="343"/>
      <c r="D86" s="151" t="s">
        <v>228</v>
      </c>
      <c r="E86" s="95">
        <f>'30'!F135</f>
        <v>0</v>
      </c>
      <c r="F86" s="164">
        <v>42822</v>
      </c>
      <c r="G86" s="112">
        <f t="shared" si="8"/>
        <v>42822</v>
      </c>
      <c r="H86" s="99">
        <f>G86+'30'!H135</f>
        <v>48356.23</v>
      </c>
      <c r="I86" s="118"/>
      <c r="J86" s="175">
        <f>H86/DAY(B2)</f>
        <v>1559.8783870967743</v>
      </c>
      <c r="O86" s="71"/>
    </row>
    <row r="87" spans="1:15" ht="27.75" x14ac:dyDescent="0.5">
      <c r="A87" s="342" t="s">
        <v>233</v>
      </c>
      <c r="B87" s="343"/>
      <c r="C87" s="343"/>
      <c r="D87" s="151" t="s">
        <v>228</v>
      </c>
      <c r="E87" s="95">
        <f>'30'!F136</f>
        <v>0</v>
      </c>
      <c r="F87" s="164">
        <v>32928</v>
      </c>
      <c r="G87" s="112">
        <f t="shared" si="8"/>
        <v>32928</v>
      </c>
      <c r="H87" s="99">
        <f>G87+'30'!H136</f>
        <v>32928</v>
      </c>
      <c r="I87" s="118"/>
      <c r="J87" s="175">
        <f>H87/DAY(B2)</f>
        <v>1062.1935483870968</v>
      </c>
      <c r="O87" s="71"/>
    </row>
    <row r="88" spans="1:15" ht="27.75" x14ac:dyDescent="0.5">
      <c r="A88" s="342" t="s">
        <v>234</v>
      </c>
      <c r="B88" s="343"/>
      <c r="C88" s="343"/>
      <c r="D88" s="151" t="s">
        <v>228</v>
      </c>
      <c r="E88" s="95">
        <f>'30'!F137</f>
        <v>0</v>
      </c>
      <c r="F88" s="164">
        <v>23356.43</v>
      </c>
      <c r="G88" s="112">
        <f t="shared" si="8"/>
        <v>23356.43</v>
      </c>
      <c r="H88" s="99">
        <f>G88+'30'!H137</f>
        <v>23356.43</v>
      </c>
      <c r="I88" s="118">
        <f>G86+G87+G88</f>
        <v>99106.43</v>
      </c>
      <c r="J88" s="175">
        <f>H88/DAY(B2)</f>
        <v>753.43322580645167</v>
      </c>
      <c r="O88" s="71"/>
    </row>
    <row r="89" spans="1:15" ht="27.75" x14ac:dyDescent="0.5">
      <c r="A89" s="342" t="s">
        <v>235</v>
      </c>
      <c r="B89" s="343"/>
      <c r="C89" s="343"/>
      <c r="D89" s="151" t="s">
        <v>228</v>
      </c>
      <c r="E89" s="95">
        <f>'30'!F138</f>
        <v>857022</v>
      </c>
      <c r="F89" s="164">
        <v>25132.959999999999</v>
      </c>
      <c r="G89" s="112">
        <f t="shared" si="8"/>
        <v>-831889.04</v>
      </c>
      <c r="H89" s="99">
        <f>G89+'30'!H138</f>
        <v>-833935.04</v>
      </c>
      <c r="I89" s="118"/>
      <c r="J89" s="175">
        <f>H89/DAY(B2)</f>
        <v>-26901.130322580648</v>
      </c>
      <c r="O89" s="71"/>
    </row>
    <row r="90" spans="1:15" ht="27.75" x14ac:dyDescent="0.5">
      <c r="A90" s="342" t="s">
        <v>236</v>
      </c>
      <c r="B90" s="343"/>
      <c r="C90" s="343"/>
      <c r="D90" s="151" t="s">
        <v>228</v>
      </c>
      <c r="E90" s="95">
        <f>'30'!F139</f>
        <v>886051</v>
      </c>
      <c r="F90" s="164">
        <v>70524.55</v>
      </c>
      <c r="G90" s="112">
        <f t="shared" si="8"/>
        <v>-815526.45</v>
      </c>
      <c r="H90" s="99">
        <f>G90+'30'!H139</f>
        <v>-815559.45</v>
      </c>
      <c r="I90" s="118">
        <f>G89+G90</f>
        <v>-1647415.49</v>
      </c>
      <c r="J90" s="175">
        <f>H90/DAY(B2)</f>
        <v>-26308.369354838709</v>
      </c>
      <c r="O90" s="71"/>
    </row>
    <row r="91" spans="1:15" ht="27.75" x14ac:dyDescent="0.5">
      <c r="A91" s="342" t="s">
        <v>237</v>
      </c>
      <c r="B91" s="343"/>
      <c r="C91" s="343"/>
      <c r="D91" s="151" t="s">
        <v>228</v>
      </c>
      <c r="E91" s="95">
        <f>'30'!F140</f>
        <v>88776</v>
      </c>
      <c r="F91" s="122">
        <v>2627.98</v>
      </c>
      <c r="G91" s="112">
        <f t="shared" si="8"/>
        <v>-86148.02</v>
      </c>
      <c r="H91" s="99">
        <f>G91+'30'!H140</f>
        <v>-86195.12000000001</v>
      </c>
      <c r="I91" s="165"/>
      <c r="J91" s="175">
        <f>H91/DAY(B2)</f>
        <v>-2780.4877419354843</v>
      </c>
      <c r="O91" s="71"/>
    </row>
    <row r="92" spans="1:15" ht="27.75" x14ac:dyDescent="0.5">
      <c r="A92" s="342" t="s">
        <v>238</v>
      </c>
      <c r="B92" s="343"/>
      <c r="C92" s="343"/>
      <c r="D92" s="151" t="s">
        <v>228</v>
      </c>
      <c r="E92" s="95">
        <f>'30'!F141</f>
        <v>26308</v>
      </c>
      <c r="F92" s="122">
        <v>4754</v>
      </c>
      <c r="G92" s="112">
        <f t="shared" si="8"/>
        <v>-21554</v>
      </c>
      <c r="H92" s="99">
        <f>G92+'30'!H141</f>
        <v>-35127.5</v>
      </c>
      <c r="I92" s="165"/>
      <c r="J92" s="175">
        <f>H92/DAY(B2)</f>
        <v>-1133.1451612903227</v>
      </c>
      <c r="O92" s="71"/>
    </row>
    <row r="93" spans="1:15" ht="29.25" x14ac:dyDescent="0.5">
      <c r="A93" s="774" t="s">
        <v>239</v>
      </c>
      <c r="B93" s="775"/>
      <c r="C93" s="77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1" t="s">
        <v>240</v>
      </c>
      <c r="B94" s="772"/>
      <c r="C94" s="773"/>
      <c r="D94" s="151" t="s">
        <v>130</v>
      </c>
      <c r="E94" s="151"/>
      <c r="F94" s="151"/>
      <c r="G94" s="99">
        <f>G35+G43+G49+G57</f>
        <v>2495</v>
      </c>
      <c r="H94" s="99">
        <f>G94+'30'!H143</f>
        <v>963.65000000000009</v>
      </c>
      <c r="I94" s="118"/>
      <c r="J94" s="175">
        <f>H94/DAY(B2)</f>
        <v>31.085483870967746</v>
      </c>
      <c r="K94" s="69"/>
      <c r="L94" s="66"/>
      <c r="O94" s="71"/>
    </row>
    <row r="95" spans="1:15" ht="27.75" x14ac:dyDescent="0.5">
      <c r="A95" s="771" t="s">
        <v>241</v>
      </c>
      <c r="B95" s="772"/>
      <c r="C95" s="773"/>
      <c r="D95" s="151" t="s">
        <v>23</v>
      </c>
      <c r="E95" s="146"/>
      <c r="F95" s="146"/>
      <c r="G95" s="166">
        <f>G94/G7</f>
        <v>-7.3277077488115832E-3</v>
      </c>
      <c r="H95" s="99">
        <f>G95+'30'!H144</f>
        <v>-1702947.0073277077</v>
      </c>
      <c r="I95" s="167"/>
      <c r="J95" s="175">
        <f>H95/DAY(B2)</f>
        <v>-54933.774429926052</v>
      </c>
      <c r="K95" s="69"/>
      <c r="L95" s="66"/>
      <c r="O95" s="71"/>
    </row>
    <row r="96" spans="1:15" ht="27.75" x14ac:dyDescent="0.5">
      <c r="A96" s="771" t="s">
        <v>242</v>
      </c>
      <c r="B96" s="772"/>
      <c r="C96" s="773"/>
      <c r="D96" s="151" t="s">
        <v>130</v>
      </c>
      <c r="E96" s="95"/>
      <c r="F96" s="95"/>
      <c r="G96" s="99">
        <f>G41+G42+G55+G56</f>
        <v>4605</v>
      </c>
      <c r="H96" s="99">
        <f>G96+'30'!H145</f>
        <v>1986.6</v>
      </c>
      <c r="I96" s="118"/>
      <c r="J96" s="175">
        <f>H96/DAY(B2)</f>
        <v>64.08387096774193</v>
      </c>
      <c r="K96" s="69"/>
      <c r="L96" s="66"/>
      <c r="O96" s="71"/>
    </row>
    <row r="97" spans="1:15" ht="27.75" x14ac:dyDescent="0.5">
      <c r="A97" s="771" t="s">
        <v>243</v>
      </c>
      <c r="B97" s="772"/>
      <c r="C97" s="773"/>
      <c r="D97" s="151" t="s">
        <v>23</v>
      </c>
      <c r="E97" s="95"/>
      <c r="F97" s="95"/>
      <c r="G97" s="166">
        <f>G96/G7</f>
        <v>-1.3524687047405747E-2</v>
      </c>
      <c r="H97" s="99">
        <f>G97+'30'!H146</f>
        <v>-1380251.0135246872</v>
      </c>
      <c r="I97" s="167"/>
      <c r="J97" s="175">
        <f>H97/DAY(B2)</f>
        <v>-44524.226242731842</v>
      </c>
      <c r="K97" s="69"/>
      <c r="L97" s="66"/>
      <c r="O97" s="71"/>
    </row>
    <row r="98" spans="1:15" ht="27.75" x14ac:dyDescent="0.5">
      <c r="A98" s="771" t="s">
        <v>244</v>
      </c>
      <c r="B98" s="772"/>
      <c r="C98" s="773"/>
      <c r="D98" s="151" t="s">
        <v>130</v>
      </c>
      <c r="E98" s="95"/>
      <c r="F98" s="95"/>
      <c r="G98" s="99">
        <f>G39+G53</f>
        <v>3886</v>
      </c>
      <c r="H98" s="99">
        <f>G98+'30'!H147</f>
        <v>-1155263.72</v>
      </c>
      <c r="I98" s="168"/>
      <c r="J98" s="175">
        <f>H98/DAY(B2)</f>
        <v>-37266.571612903223</v>
      </c>
      <c r="K98" s="69"/>
      <c r="L98" s="66"/>
      <c r="O98" s="71"/>
    </row>
    <row r="99" spans="1:15" ht="27.75" x14ac:dyDescent="0.5">
      <c r="A99" s="771" t="s">
        <v>245</v>
      </c>
      <c r="B99" s="772"/>
      <c r="C99" s="773"/>
      <c r="D99" s="151" t="s">
        <v>23</v>
      </c>
      <c r="E99" s="95"/>
      <c r="F99" s="95"/>
      <c r="G99" s="166">
        <f>G98/G7</f>
        <v>-1.1413014954662048E-2</v>
      </c>
      <c r="H99" s="99">
        <f>G99+'30'!H148</f>
        <v>-1320350.551413015</v>
      </c>
      <c r="I99" s="168"/>
      <c r="J99" s="175">
        <f>H99/DAY(B2)</f>
        <v>-42591.953271387581</v>
      </c>
      <c r="O99" s="71"/>
    </row>
    <row r="100" spans="1:15" ht="27.75" x14ac:dyDescent="0.5">
      <c r="A100" s="771" t="s">
        <v>246</v>
      </c>
      <c r="B100" s="772"/>
      <c r="C100" s="773"/>
      <c r="D100" s="151" t="s">
        <v>180</v>
      </c>
      <c r="E100" s="95"/>
      <c r="F100" s="95"/>
      <c r="G100" s="99">
        <f>G38+G52</f>
        <v>1668</v>
      </c>
      <c r="H100" s="99">
        <f>G100+'30'!H149</f>
        <v>-153837</v>
      </c>
      <c r="I100" s="118"/>
      <c r="J100" s="175">
        <f>H100/DAY(B2)</f>
        <v>-4962.4838709677415</v>
      </c>
      <c r="K100" s="70"/>
      <c r="O100" s="71"/>
    </row>
    <row r="101" spans="1:15" ht="27.75" x14ac:dyDescent="0.5">
      <c r="A101" s="771" t="s">
        <v>247</v>
      </c>
      <c r="B101" s="772"/>
      <c r="C101" s="773"/>
      <c r="D101" s="151" t="s">
        <v>23</v>
      </c>
      <c r="E101" s="95"/>
      <c r="F101" s="95"/>
      <c r="G101" s="166">
        <f>G100/G7</f>
        <v>-4.898844298604297E-3</v>
      </c>
      <c r="H101" s="99">
        <f>G101+'30'!H150</f>
        <v>-14334464.004898844</v>
      </c>
      <c r="I101" s="168"/>
      <c r="J101" s="175">
        <f>H101/DAY(B2)</f>
        <v>-462402.06467415625</v>
      </c>
      <c r="O101" s="71"/>
    </row>
    <row r="102" spans="1:15" ht="27.75" x14ac:dyDescent="0.5">
      <c r="A102" s="771" t="s">
        <v>248</v>
      </c>
      <c r="B102" s="772"/>
      <c r="C102" s="773"/>
      <c r="D102" s="151" t="s">
        <v>180</v>
      </c>
      <c r="E102" s="95"/>
      <c r="F102" s="95"/>
      <c r="G102" s="99">
        <f>G36+G50</f>
        <v>668</v>
      </c>
      <c r="H102" s="99">
        <f>G102+'30'!H156</f>
        <v>668</v>
      </c>
      <c r="I102" s="168"/>
      <c r="J102" s="175">
        <f>H102/DAY(B2)</f>
        <v>21.548387096774192</v>
      </c>
      <c r="O102" s="71"/>
    </row>
    <row r="103" spans="1:15" ht="27.75" x14ac:dyDescent="0.5">
      <c r="A103" s="771" t="s">
        <v>249</v>
      </c>
      <c r="B103" s="772"/>
      <c r="C103" s="773"/>
      <c r="D103" s="151" t="s">
        <v>23</v>
      </c>
      <c r="E103" s="95"/>
      <c r="F103" s="95"/>
      <c r="G103" s="166">
        <f>G102/G7</f>
        <v>-1.9618872850525599E-3</v>
      </c>
      <c r="H103" s="99">
        <f>G103+'30'!H157</f>
        <v>-1.9618872850525599E-3</v>
      </c>
      <c r="I103" s="118"/>
      <c r="J103" s="175">
        <f>H103/DAY(B2)</f>
        <v>-6.3286686614598704E-5</v>
      </c>
      <c r="O103" s="71"/>
    </row>
    <row r="104" spans="1:15" ht="27.75" x14ac:dyDescent="0.5">
      <c r="A104" s="771" t="s">
        <v>250</v>
      </c>
      <c r="B104" s="772"/>
      <c r="C104" s="773"/>
      <c r="D104" s="151" t="s">
        <v>180</v>
      </c>
      <c r="E104" s="95"/>
      <c r="F104" s="95"/>
      <c r="G104" s="99">
        <f>G37+G51</f>
        <v>1163</v>
      </c>
      <c r="H104" s="99">
        <f>G104+'30'!H158</f>
        <v>-4601.4000000000233</v>
      </c>
      <c r="I104" s="118"/>
      <c r="J104" s="175">
        <f>H104/DAY(B2)</f>
        <v>-148.43225806451687</v>
      </c>
      <c r="O104" s="71"/>
    </row>
    <row r="105" spans="1:15" ht="28.5" thickBot="1" x14ac:dyDescent="0.55000000000000004">
      <c r="A105" s="764" t="s">
        <v>251</v>
      </c>
      <c r="B105" s="765"/>
      <c r="C105" s="766"/>
      <c r="D105" s="231" t="s">
        <v>23</v>
      </c>
      <c r="E105" s="185"/>
      <c r="F105" s="185"/>
      <c r="G105" s="186">
        <f>G104/G7</f>
        <v>-3.4156810067606696E-3</v>
      </c>
      <c r="H105" s="99">
        <f>G105+'30'!H159</f>
        <v>-2351.4034156810008</v>
      </c>
      <c r="I105" s="187"/>
      <c r="J105" s="188">
        <f>H105/DAY(B2)</f>
        <v>-75.851723086483901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29.25" customHeight="1" x14ac:dyDescent="0.55000000000000004">
      <c r="A108" s="760" t="s">
        <v>324</v>
      </c>
      <c r="B108" s="760"/>
      <c r="C108" s="760"/>
      <c r="D108" s="760"/>
      <c r="E108" s="760"/>
      <c r="F108" s="760"/>
      <c r="G108" s="760"/>
      <c r="H108" s="760"/>
      <c r="I108" s="760"/>
      <c r="J108" s="760"/>
    </row>
    <row r="109" spans="1:15" ht="29.25" x14ac:dyDescent="0.5">
      <c r="A109" s="788"/>
      <c r="B109" s="788"/>
    </row>
    <row r="110" spans="1:15" ht="29.25" customHeight="1" x14ac:dyDescent="0.5">
      <c r="A110" s="761" t="s">
        <v>165</v>
      </c>
      <c r="B110" s="762"/>
      <c r="C110" s="762"/>
      <c r="D110" s="762"/>
      <c r="E110" s="762"/>
      <c r="F110" s="762"/>
      <c r="G110" s="762"/>
      <c r="H110" s="762"/>
      <c r="I110" s="762"/>
      <c r="J110" s="763"/>
    </row>
    <row r="111" spans="1:15" ht="29.25" customHeight="1" x14ac:dyDescent="0.5">
      <c r="A111" s="753"/>
      <c r="B111" s="754"/>
      <c r="C111" s="755"/>
      <c r="D111" s="165"/>
      <c r="E111" s="165"/>
      <c r="F111" s="165"/>
      <c r="G111" s="165"/>
      <c r="H111" s="156"/>
      <c r="I111" s="165"/>
      <c r="J111" s="347"/>
    </row>
    <row r="112" spans="1:15" ht="29.25" customHeight="1" x14ac:dyDescent="0.5">
      <c r="A112" s="750" t="s">
        <v>252</v>
      </c>
      <c r="B112" s="751"/>
      <c r="C112" s="752"/>
      <c r="D112" s="146" t="s">
        <v>183</v>
      </c>
      <c r="E112" s="237">
        <v>0</v>
      </c>
      <c r="F112" s="237">
        <v>38434</v>
      </c>
      <c r="G112" s="112">
        <f t="shared" ref="G112:G123" si="9">F112-E112</f>
        <v>38434</v>
      </c>
      <c r="H112" s="99">
        <f>G112+'30'!H166</f>
        <v>38434</v>
      </c>
      <c r="I112" s="165"/>
      <c r="J112" s="348" t="e">
        <f t="shared" ref="J112:J123" si="10">H112/DAY(B31)</f>
        <v>#DIV/0!</v>
      </c>
    </row>
    <row r="113" spans="1:18" ht="29.25" customHeight="1" x14ac:dyDescent="0.5">
      <c r="A113" s="750" t="s">
        <v>253</v>
      </c>
      <c r="B113" s="751"/>
      <c r="C113" s="752"/>
      <c r="D113" s="146" t="s">
        <v>183</v>
      </c>
      <c r="E113" s="237">
        <v>0</v>
      </c>
      <c r="F113" s="237">
        <v>94790</v>
      </c>
      <c r="G113" s="112">
        <f t="shared" si="9"/>
        <v>94790</v>
      </c>
      <c r="H113" s="99">
        <f>G113+'30'!H167</f>
        <v>94790</v>
      </c>
      <c r="I113" s="165"/>
      <c r="J113" s="348" t="e">
        <f t="shared" si="10"/>
        <v>#DIV/0!</v>
      </c>
    </row>
    <row r="114" spans="1:18" ht="29.25" customHeight="1" x14ac:dyDescent="0.5">
      <c r="A114" s="750" t="s">
        <v>254</v>
      </c>
      <c r="B114" s="751"/>
      <c r="C114" s="752"/>
      <c r="D114" s="146" t="s">
        <v>183</v>
      </c>
      <c r="E114" s="237">
        <v>0</v>
      </c>
      <c r="F114" s="237">
        <v>44933</v>
      </c>
      <c r="G114" s="112">
        <f t="shared" si="9"/>
        <v>44933</v>
      </c>
      <c r="H114" s="99">
        <f>G114+'30'!H168</f>
        <v>44933</v>
      </c>
      <c r="I114" s="165"/>
      <c r="J114" s="348" t="e">
        <f t="shared" si="10"/>
        <v>#DIV/0!</v>
      </c>
    </row>
    <row r="115" spans="1:18" ht="29.25" customHeight="1" x14ac:dyDescent="0.5">
      <c r="A115" s="750" t="s">
        <v>255</v>
      </c>
      <c r="B115" s="751"/>
      <c r="C115" s="752"/>
      <c r="D115" s="146" t="s">
        <v>183</v>
      </c>
      <c r="E115" s="237">
        <v>0</v>
      </c>
      <c r="F115" s="237">
        <v>6560</v>
      </c>
      <c r="G115" s="112">
        <f t="shared" si="9"/>
        <v>6560</v>
      </c>
      <c r="H115" s="99">
        <f>G115+'30'!H169</f>
        <v>6560</v>
      </c>
      <c r="I115" s="165"/>
      <c r="J115" s="348" t="e">
        <f t="shared" si="10"/>
        <v>#DIV/0!</v>
      </c>
    </row>
    <row r="116" spans="1:18" ht="29.25" customHeight="1" x14ac:dyDescent="0.5">
      <c r="A116" s="757" t="s">
        <v>96</v>
      </c>
      <c r="B116" s="758"/>
      <c r="C116" s="759"/>
      <c r="D116" s="146" t="s">
        <v>183</v>
      </c>
      <c r="E116" s="237">
        <v>0</v>
      </c>
      <c r="F116" s="237">
        <v>44933</v>
      </c>
      <c r="G116" s="112">
        <f t="shared" si="9"/>
        <v>44933</v>
      </c>
      <c r="H116" s="99">
        <f>G116+'30'!H170</f>
        <v>45062</v>
      </c>
      <c r="I116" s="165"/>
      <c r="J116" s="348" t="e">
        <f t="shared" si="10"/>
        <v>#DIV/0!</v>
      </c>
      <c r="Q116" s="750" t="s">
        <v>311</v>
      </c>
      <c r="R116" s="752"/>
    </row>
    <row r="117" spans="1:18" ht="29.25" customHeight="1" x14ac:dyDescent="0.5">
      <c r="A117" s="757" t="s">
        <v>184</v>
      </c>
      <c r="B117" s="758"/>
      <c r="C117" s="759"/>
      <c r="D117" s="146" t="s">
        <v>183</v>
      </c>
      <c r="E117" s="237">
        <v>0</v>
      </c>
      <c r="F117" s="237">
        <v>44933</v>
      </c>
      <c r="G117" s="112">
        <f t="shared" si="9"/>
        <v>44933</v>
      </c>
      <c r="H117" s="99">
        <f>G117+'30'!H171</f>
        <v>44601</v>
      </c>
      <c r="I117" s="165"/>
      <c r="J117" s="348" t="e">
        <f t="shared" si="10"/>
        <v>#DIV/0!</v>
      </c>
      <c r="Q117" s="750" t="s">
        <v>312</v>
      </c>
      <c r="R117" s="752"/>
    </row>
    <row r="118" spans="1:18" ht="27.75" x14ac:dyDescent="0.5">
      <c r="A118" s="749" t="s">
        <v>97</v>
      </c>
      <c r="B118" s="749"/>
      <c r="C118" s="749"/>
      <c r="D118" s="151" t="s">
        <v>183</v>
      </c>
      <c r="E118" s="237">
        <v>0</v>
      </c>
      <c r="F118" s="237">
        <v>44933</v>
      </c>
      <c r="G118" s="112">
        <f t="shared" si="9"/>
        <v>44933</v>
      </c>
      <c r="H118" s="99">
        <f>G118+'30'!H172</f>
        <v>44246</v>
      </c>
      <c r="I118" s="165"/>
      <c r="J118" s="348" t="e">
        <f t="shared" si="10"/>
        <v>#DIV/0!</v>
      </c>
      <c r="Q118" s="750" t="s">
        <v>311</v>
      </c>
      <c r="R118" s="752"/>
    </row>
    <row r="119" spans="1:18" ht="27.75" x14ac:dyDescent="0.5">
      <c r="A119" s="749" t="s">
        <v>98</v>
      </c>
      <c r="B119" s="749"/>
      <c r="C119" s="749"/>
      <c r="D119" s="151" t="s">
        <v>183</v>
      </c>
      <c r="E119" s="237">
        <v>0</v>
      </c>
      <c r="F119" s="237">
        <v>44933</v>
      </c>
      <c r="G119" s="112">
        <f t="shared" si="9"/>
        <v>44933</v>
      </c>
      <c r="H119" s="99">
        <f>G119+'30'!H173</f>
        <v>44043</v>
      </c>
      <c r="I119" s="165"/>
      <c r="J119" s="348" t="e">
        <f t="shared" si="10"/>
        <v>#DIV/0!</v>
      </c>
    </row>
    <row r="120" spans="1:18" ht="27.75" x14ac:dyDescent="0.5">
      <c r="A120" s="749" t="s">
        <v>99</v>
      </c>
      <c r="B120" s="749"/>
      <c r="C120" s="749"/>
      <c r="D120" s="151" t="s">
        <v>183</v>
      </c>
      <c r="E120" s="237">
        <v>0</v>
      </c>
      <c r="F120" s="237">
        <v>44933</v>
      </c>
      <c r="G120" s="112">
        <f t="shared" si="9"/>
        <v>44933</v>
      </c>
      <c r="H120" s="99">
        <f>G120+'30'!H174</f>
        <v>44933</v>
      </c>
      <c r="I120" s="165"/>
      <c r="J120" s="348" t="e">
        <f t="shared" si="10"/>
        <v>#DIV/0!</v>
      </c>
    </row>
    <row r="121" spans="1:18" ht="27.75" x14ac:dyDescent="0.5">
      <c r="A121" s="749" t="s">
        <v>100</v>
      </c>
      <c r="B121" s="749"/>
      <c r="C121" s="749"/>
      <c r="D121" s="151" t="s">
        <v>183</v>
      </c>
      <c r="E121" s="237">
        <v>0</v>
      </c>
      <c r="F121" s="237">
        <v>44933</v>
      </c>
      <c r="G121" s="112">
        <f t="shared" si="9"/>
        <v>44933</v>
      </c>
      <c r="H121" s="99">
        <f>G121+'30'!H175</f>
        <v>38630</v>
      </c>
      <c r="I121" s="165"/>
      <c r="J121" s="348" t="e">
        <f t="shared" si="10"/>
        <v>#DIV/0!</v>
      </c>
    </row>
    <row r="122" spans="1:18" ht="27.75" x14ac:dyDescent="0.5">
      <c r="A122" s="749" t="s">
        <v>101</v>
      </c>
      <c r="B122" s="749"/>
      <c r="C122" s="749"/>
      <c r="D122" s="151" t="s">
        <v>183</v>
      </c>
      <c r="E122" s="237">
        <v>0</v>
      </c>
      <c r="F122" s="237">
        <v>44933</v>
      </c>
      <c r="G122" s="112">
        <f t="shared" si="9"/>
        <v>44933</v>
      </c>
      <c r="H122" s="99">
        <f>G122+'30'!H176</f>
        <v>44933</v>
      </c>
      <c r="I122" s="165"/>
      <c r="J122" s="348" t="e">
        <f t="shared" si="10"/>
        <v>#DIV/0!</v>
      </c>
    </row>
    <row r="123" spans="1:18" ht="27.75" x14ac:dyDescent="0.5">
      <c r="A123" s="749" t="s">
        <v>102</v>
      </c>
      <c r="B123" s="749"/>
      <c r="C123" s="749"/>
      <c r="D123" s="151" t="s">
        <v>183</v>
      </c>
      <c r="E123" s="237">
        <v>0</v>
      </c>
      <c r="F123" s="237">
        <v>44933</v>
      </c>
      <c r="G123" s="112">
        <f t="shared" si="9"/>
        <v>44933</v>
      </c>
      <c r="H123" s="99">
        <f>G123+'30'!H177</f>
        <v>41743</v>
      </c>
      <c r="I123" s="165"/>
      <c r="J123" s="348" t="e">
        <f t="shared" si="10"/>
        <v>#DIV/0!</v>
      </c>
    </row>
    <row r="124" spans="1:18" ht="29.25" customHeight="1" x14ac:dyDescent="0.5">
      <c r="A124" s="753"/>
      <c r="B124" s="754"/>
      <c r="C124" s="755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37"/>
      <c r="B125" s="737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56" t="s">
        <v>317</v>
      </c>
      <c r="B126" s="756"/>
      <c r="C126" s="756"/>
      <c r="D126" s="756"/>
      <c r="E126" s="756"/>
      <c r="F126" s="756"/>
      <c r="G126" s="756"/>
      <c r="H126" s="756"/>
      <c r="I126" s="756"/>
      <c r="J126" s="756"/>
    </row>
    <row r="127" spans="1:18" ht="27.75" x14ac:dyDescent="0.5">
      <c r="A127" s="737"/>
      <c r="B127" s="737"/>
      <c r="C127" s="246"/>
      <c r="D127" s="317"/>
      <c r="E127" s="318"/>
      <c r="F127" s="318"/>
      <c r="G127" s="319"/>
      <c r="H127" s="99">
        <f>G127+'30'!H181</f>
        <v>-794</v>
      </c>
      <c r="I127" s="165"/>
      <c r="J127" s="348" t="e">
        <f t="shared" ref="J127:J135" si="11">H127/DAY(B46)</f>
        <v>#DIV/0!</v>
      </c>
    </row>
    <row r="128" spans="1:18" ht="29.25" customHeight="1" x14ac:dyDescent="0.5">
      <c r="A128" s="750" t="s">
        <v>318</v>
      </c>
      <c r="B128" s="751"/>
      <c r="C128" s="752"/>
      <c r="D128" s="151" t="s">
        <v>183</v>
      </c>
      <c r="E128" s="95">
        <f>'30'!F182</f>
        <v>0</v>
      </c>
      <c r="F128" s="165"/>
      <c r="G128" s="112">
        <f t="shared" ref="G128:G133" si="12">F128-E128</f>
        <v>0</v>
      </c>
      <c r="H128" s="99">
        <f>G128+'30'!H182</f>
        <v>0</v>
      </c>
      <c r="I128" s="165"/>
      <c r="J128" s="348" t="e">
        <f t="shared" si="11"/>
        <v>#DIV/0!</v>
      </c>
    </row>
    <row r="129" spans="1:15" ht="29.25" customHeight="1" x14ac:dyDescent="0.5">
      <c r="A129" s="349" t="s">
        <v>319</v>
      </c>
      <c r="B129" s="350"/>
      <c r="C129" s="351"/>
      <c r="D129" s="151" t="s">
        <v>183</v>
      </c>
      <c r="E129" s="95">
        <f>'30'!F183</f>
        <v>0</v>
      </c>
      <c r="F129" s="165"/>
      <c r="G129" s="112">
        <f t="shared" si="12"/>
        <v>0</v>
      </c>
      <c r="H129" s="99">
        <f>G129+'30'!H183</f>
        <v>-2047</v>
      </c>
      <c r="I129" s="165"/>
      <c r="J129" s="348" t="e">
        <f t="shared" si="11"/>
        <v>#DIV/0!</v>
      </c>
      <c r="N129" s="240"/>
      <c r="O129" s="241"/>
    </row>
    <row r="130" spans="1:15" ht="29.25" customHeight="1" x14ac:dyDescent="0.5">
      <c r="A130" s="349" t="s">
        <v>320</v>
      </c>
      <c r="B130" s="350"/>
      <c r="C130" s="351"/>
      <c r="D130" s="151" t="s">
        <v>183</v>
      </c>
      <c r="E130" s="95">
        <f>'30'!F184</f>
        <v>0</v>
      </c>
      <c r="F130" s="165"/>
      <c r="G130" s="112">
        <f t="shared" si="12"/>
        <v>0</v>
      </c>
      <c r="H130" s="99">
        <f>G130+'30'!H184</f>
        <v>-5882</v>
      </c>
      <c r="I130" s="165"/>
      <c r="J130" s="348" t="e">
        <f t="shared" si="11"/>
        <v>#DIV/0!</v>
      </c>
      <c r="N130" s="240"/>
      <c r="O130" s="241"/>
    </row>
    <row r="131" spans="1:15" ht="29.25" customHeight="1" x14ac:dyDescent="0.5">
      <c r="A131" s="750" t="s">
        <v>321</v>
      </c>
      <c r="B131" s="751"/>
      <c r="C131" s="752"/>
      <c r="D131" s="151" t="s">
        <v>183</v>
      </c>
      <c r="E131" s="95">
        <f>'30'!F185</f>
        <v>0</v>
      </c>
      <c r="F131" s="165"/>
      <c r="G131" s="112">
        <f t="shared" si="12"/>
        <v>0</v>
      </c>
      <c r="H131" s="99">
        <f>G131+'30'!H185</f>
        <v>-14514</v>
      </c>
      <c r="I131" s="165"/>
      <c r="J131" s="348" t="e">
        <f t="shared" si="11"/>
        <v>#DIV/0!</v>
      </c>
      <c r="N131" s="240"/>
      <c r="O131" s="241"/>
    </row>
    <row r="132" spans="1:15" ht="29.25" customHeight="1" x14ac:dyDescent="0.5">
      <c r="A132" s="750" t="s">
        <v>322</v>
      </c>
      <c r="B132" s="751"/>
      <c r="C132" s="752"/>
      <c r="D132" s="151" t="s">
        <v>183</v>
      </c>
      <c r="E132" s="95">
        <f>'30'!F186</f>
        <v>0</v>
      </c>
      <c r="F132" s="165"/>
      <c r="G132" s="112">
        <f t="shared" si="12"/>
        <v>0</v>
      </c>
      <c r="H132" s="99">
        <f>G132+'30'!H186</f>
        <v>-7040</v>
      </c>
      <c r="I132" s="165"/>
      <c r="J132" s="348" t="e">
        <f t="shared" si="11"/>
        <v>#DIV/0!</v>
      </c>
    </row>
    <row r="133" spans="1:15" ht="29.25" customHeight="1" x14ac:dyDescent="0.5">
      <c r="A133" s="750" t="s">
        <v>323</v>
      </c>
      <c r="B133" s="751"/>
      <c r="C133" s="752"/>
      <c r="D133" s="151" t="s">
        <v>183</v>
      </c>
      <c r="E133" s="95">
        <f>'30'!F187</f>
        <v>0</v>
      </c>
      <c r="F133" s="165"/>
      <c r="G133" s="112">
        <f t="shared" si="12"/>
        <v>0</v>
      </c>
      <c r="H133" s="99">
        <f>G133+'30'!H187</f>
        <v>0</v>
      </c>
      <c r="I133" s="165"/>
      <c r="J133" s="348" t="e">
        <f t="shared" si="11"/>
        <v>#DIV/0!</v>
      </c>
    </row>
    <row r="134" spans="1:15" ht="29.25" customHeight="1" x14ac:dyDescent="0.5">
      <c r="A134" s="753"/>
      <c r="B134" s="754"/>
      <c r="C134" s="755"/>
      <c r="D134" s="151"/>
      <c r="E134" s="95"/>
      <c r="F134" s="165"/>
      <c r="G134" s="112"/>
      <c r="H134" s="99">
        <f>G134+'30'!H188</f>
        <v>0</v>
      </c>
      <c r="I134" s="165"/>
      <c r="J134" s="348" t="e">
        <f t="shared" si="11"/>
        <v>#DIV/0!</v>
      </c>
    </row>
    <row r="135" spans="1:15" ht="29.25" customHeight="1" x14ac:dyDescent="0.5">
      <c r="A135" s="753"/>
      <c r="B135" s="754"/>
      <c r="C135" s="755"/>
      <c r="D135" s="151"/>
      <c r="E135" s="95"/>
      <c r="F135" s="165"/>
      <c r="G135" s="112"/>
      <c r="H135" s="99">
        <f>G135+'30'!H189</f>
        <v>0</v>
      </c>
      <c r="I135" s="165"/>
      <c r="J135" s="348" t="e">
        <f t="shared" si="11"/>
        <v>#DIV/0!</v>
      </c>
    </row>
    <row r="136" spans="1:15" ht="35.25" customHeight="1" x14ac:dyDescent="0.55000000000000004">
      <c r="A136" s="736" t="s">
        <v>325</v>
      </c>
      <c r="B136" s="736"/>
      <c r="C136" s="736"/>
      <c r="D136" s="736"/>
      <c r="E136" s="736"/>
      <c r="F136" s="736"/>
      <c r="G136" s="736"/>
      <c r="H136" s="736"/>
      <c r="I136" s="736"/>
      <c r="J136" s="736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49" t="s">
        <v>185</v>
      </c>
      <c r="B138" s="749"/>
      <c r="C138" s="749"/>
      <c r="D138" s="151" t="s">
        <v>183</v>
      </c>
      <c r="E138" s="95">
        <f>'30'!F192</f>
        <v>0</v>
      </c>
      <c r="F138" s="147">
        <v>857022</v>
      </c>
      <c r="G138" s="112">
        <f t="shared" ref="G138:G150" si="13">F138-E138</f>
        <v>857022</v>
      </c>
      <c r="H138" s="99">
        <f>G138+'30'!H192</f>
        <v>857022</v>
      </c>
      <c r="I138" s="118"/>
      <c r="J138" s="348" t="e">
        <f>H138/DAY(B77)</f>
        <v>#DIV/0!</v>
      </c>
    </row>
    <row r="139" spans="1:15" ht="27.75" x14ac:dyDescent="0.5">
      <c r="A139" s="749" t="s">
        <v>186</v>
      </c>
      <c r="B139" s="749"/>
      <c r="C139" s="749"/>
      <c r="D139" s="151" t="s">
        <v>183</v>
      </c>
      <c r="E139" s="95">
        <f>'30'!F193</f>
        <v>0</v>
      </c>
      <c r="F139" s="148">
        <v>886051</v>
      </c>
      <c r="G139" s="112">
        <f t="shared" si="13"/>
        <v>886051</v>
      </c>
      <c r="H139" s="99">
        <f>G139+'30'!H193</f>
        <v>886051</v>
      </c>
      <c r="I139" s="118"/>
      <c r="J139" s="348" t="e">
        <f>H139/DAY(B77)</f>
        <v>#DIV/0!</v>
      </c>
    </row>
    <row r="140" spans="1:15" ht="27.75" x14ac:dyDescent="0.5">
      <c r="A140" s="749" t="s">
        <v>187</v>
      </c>
      <c r="B140" s="749"/>
      <c r="C140" s="749"/>
      <c r="D140" s="151" t="s">
        <v>183</v>
      </c>
      <c r="E140" s="95">
        <f>'30'!F194</f>
        <v>0</v>
      </c>
      <c r="F140" s="149">
        <v>88776</v>
      </c>
      <c r="G140" s="112">
        <f t="shared" si="13"/>
        <v>88776</v>
      </c>
      <c r="H140" s="99">
        <f>G140+'30'!H194</f>
        <v>88776</v>
      </c>
      <c r="I140" s="118"/>
      <c r="J140" s="348" t="e">
        <f>H140/DAY(B77)</f>
        <v>#DIV/0!</v>
      </c>
    </row>
    <row r="141" spans="1:15" ht="27.75" x14ac:dyDescent="0.5">
      <c r="A141" s="728" t="s">
        <v>188</v>
      </c>
      <c r="B141" s="728"/>
      <c r="C141" s="728"/>
      <c r="D141" s="151" t="s">
        <v>183</v>
      </c>
      <c r="E141" s="95">
        <f>'30'!F195</f>
        <v>0</v>
      </c>
      <c r="F141" s="149">
        <v>26308</v>
      </c>
      <c r="G141" s="112">
        <f t="shared" si="13"/>
        <v>26308</v>
      </c>
      <c r="H141" s="99">
        <f>G141+'30'!H195</f>
        <v>26308</v>
      </c>
      <c r="I141" s="118"/>
      <c r="J141" s="348" t="e">
        <f>H141/DAY(B77)</f>
        <v>#DIV/0!</v>
      </c>
    </row>
    <row r="142" spans="1:15" ht="27.75" x14ac:dyDescent="0.5">
      <c r="A142" s="728" t="s">
        <v>189</v>
      </c>
      <c r="B142" s="728"/>
      <c r="C142" s="728"/>
      <c r="D142" s="151" t="s">
        <v>183</v>
      </c>
      <c r="E142" s="95">
        <f>'30'!F196</f>
        <v>0</v>
      </c>
      <c r="F142" s="148">
        <v>13277</v>
      </c>
      <c r="G142" s="112">
        <f t="shared" si="13"/>
        <v>13277</v>
      </c>
      <c r="H142" s="99">
        <f>G142+'30'!H196</f>
        <v>13277</v>
      </c>
      <c r="I142" s="140"/>
      <c r="J142" s="348" t="e">
        <f>H142/DAY(B77)</f>
        <v>#DIV/0!</v>
      </c>
    </row>
    <row r="143" spans="1:15" ht="27.75" x14ac:dyDescent="0.5">
      <c r="A143" s="749" t="s">
        <v>190</v>
      </c>
      <c r="B143" s="749"/>
      <c r="C143" s="749"/>
      <c r="D143" s="151" t="s">
        <v>183</v>
      </c>
      <c r="E143" s="95">
        <f>'30'!F197</f>
        <v>0</v>
      </c>
      <c r="F143" s="149">
        <v>708289</v>
      </c>
      <c r="G143" s="112">
        <f t="shared" si="13"/>
        <v>708289</v>
      </c>
      <c r="H143" s="99">
        <f>G143+'30'!H197</f>
        <v>708289</v>
      </c>
      <c r="I143" s="140"/>
      <c r="J143" s="348" t="e">
        <f>H143/DAY(B77)</f>
        <v>#DIV/0!</v>
      </c>
    </row>
    <row r="144" spans="1:15" ht="27.75" x14ac:dyDescent="0.5">
      <c r="A144" s="784" t="s">
        <v>191</v>
      </c>
      <c r="B144" s="769"/>
      <c r="C144" s="770"/>
      <c r="D144" s="151" t="s">
        <v>183</v>
      </c>
      <c r="E144" s="95">
        <f>'30'!F198</f>
        <v>0</v>
      </c>
      <c r="F144" s="149">
        <v>682413</v>
      </c>
      <c r="G144" s="112">
        <f t="shared" si="13"/>
        <v>682413</v>
      </c>
      <c r="H144" s="99">
        <f>G144+'30'!H198</f>
        <v>682413</v>
      </c>
      <c r="I144" s="140"/>
      <c r="J144" s="348" t="e">
        <f>H144/DAY(B77)</f>
        <v>#DIV/0!</v>
      </c>
    </row>
    <row r="145" spans="1:10" ht="27.75" x14ac:dyDescent="0.5">
      <c r="A145" s="728" t="s">
        <v>90</v>
      </c>
      <c r="B145" s="728"/>
      <c r="C145" s="728"/>
      <c r="D145" s="152" t="s">
        <v>183</v>
      </c>
      <c r="E145" s="95">
        <f>'30'!F199</f>
        <v>0</v>
      </c>
      <c r="F145" s="149">
        <v>845049</v>
      </c>
      <c r="G145" s="112">
        <f t="shared" si="13"/>
        <v>845049</v>
      </c>
      <c r="H145" s="99">
        <f>G145+'30'!H199</f>
        <v>845049</v>
      </c>
      <c r="I145" s="140"/>
      <c r="J145" s="348" t="e">
        <f>H145/DAY(B77)</f>
        <v>#DIV/0!</v>
      </c>
    </row>
    <row r="146" spans="1:10" ht="27.75" x14ac:dyDescent="0.5">
      <c r="A146" s="728" t="s">
        <v>192</v>
      </c>
      <c r="B146" s="728"/>
      <c r="C146" s="728"/>
      <c r="D146" s="152" t="s">
        <v>183</v>
      </c>
      <c r="E146" s="95">
        <f>'30'!F200</f>
        <v>0</v>
      </c>
      <c r="F146" s="148">
        <v>564298</v>
      </c>
      <c r="G146" s="112">
        <f t="shared" si="13"/>
        <v>564298</v>
      </c>
      <c r="H146" s="99">
        <f>G146+'30'!H200</f>
        <v>564298</v>
      </c>
      <c r="I146" s="140"/>
      <c r="J146" s="348" t="e">
        <f>H146/DAY(B77)</f>
        <v>#DIV/0!</v>
      </c>
    </row>
    <row r="147" spans="1:10" ht="27.75" x14ac:dyDescent="0.5">
      <c r="A147" s="728" t="s">
        <v>193</v>
      </c>
      <c r="B147" s="728"/>
      <c r="C147" s="728"/>
      <c r="D147" s="152" t="s">
        <v>183</v>
      </c>
      <c r="E147" s="95">
        <f>'30'!F201</f>
        <v>0</v>
      </c>
      <c r="F147" s="148">
        <v>654178</v>
      </c>
      <c r="G147" s="112">
        <f t="shared" si="13"/>
        <v>654178</v>
      </c>
      <c r="H147" s="99">
        <f>G147+'30'!H201</f>
        <v>654178</v>
      </c>
      <c r="I147" s="140"/>
      <c r="J147" s="348" t="e">
        <f>H147/DAY(B77)</f>
        <v>#DIV/0!</v>
      </c>
    </row>
    <row r="148" spans="1:10" ht="27.75" x14ac:dyDescent="0.5">
      <c r="A148" s="728" t="s">
        <v>91</v>
      </c>
      <c r="B148" s="728"/>
      <c r="C148" s="728"/>
      <c r="D148" s="123" t="s">
        <v>130</v>
      </c>
      <c r="E148" s="95">
        <f>'30'!F202</f>
        <v>0</v>
      </c>
      <c r="F148" s="150">
        <v>109925</v>
      </c>
      <c r="G148" s="112">
        <f t="shared" si="13"/>
        <v>109925</v>
      </c>
      <c r="H148" s="99">
        <f>G148+'30'!H202</f>
        <v>109925</v>
      </c>
      <c r="I148" s="124"/>
      <c r="J148" s="348" t="e">
        <f>H148/DAY(B77)</f>
        <v>#DIV/0!</v>
      </c>
    </row>
    <row r="149" spans="1:10" ht="27.75" x14ac:dyDescent="0.5">
      <c r="A149" s="728" t="s">
        <v>194</v>
      </c>
      <c r="B149" s="728"/>
      <c r="C149" s="728"/>
      <c r="D149" s="227" t="s">
        <v>130</v>
      </c>
      <c r="E149" s="95">
        <f>'30'!F203</f>
        <v>0</v>
      </c>
      <c r="F149" s="146">
        <v>44323</v>
      </c>
      <c r="G149" s="112">
        <f t="shared" si="13"/>
        <v>44323</v>
      </c>
      <c r="H149" s="99">
        <f>G149+'30'!H203</f>
        <v>44323</v>
      </c>
      <c r="I149" s="119"/>
      <c r="J149" s="348" t="e">
        <f>H149/DAY(B77)</f>
        <v>#DIV/0!</v>
      </c>
    </row>
    <row r="150" spans="1:10" ht="29.25" x14ac:dyDescent="0.5">
      <c r="A150" s="345" t="s">
        <v>195</v>
      </c>
      <c r="B150" s="190"/>
      <c r="C150" s="190"/>
      <c r="D150" s="117" t="s">
        <v>130</v>
      </c>
      <c r="E150" s="95">
        <f>'30'!F204</f>
        <v>0</v>
      </c>
      <c r="F150" s="233">
        <v>570379</v>
      </c>
      <c r="G150" s="112">
        <f t="shared" si="13"/>
        <v>570379</v>
      </c>
      <c r="H150" s="99">
        <f>G150+'30'!H204</f>
        <v>570379</v>
      </c>
      <c r="I150" s="119"/>
      <c r="J150" s="348" t="e">
        <f>H150/DAY(B77)</f>
        <v>#DIV/0!</v>
      </c>
    </row>
    <row r="151" spans="1:10" ht="29.25" x14ac:dyDescent="0.5"/>
    <row r="152" spans="1:10" ht="31.5" x14ac:dyDescent="0.55000000000000004">
      <c r="A152" s="736" t="s">
        <v>326</v>
      </c>
      <c r="B152" s="736"/>
      <c r="C152" s="736"/>
      <c r="D152" s="736"/>
      <c r="E152" s="736"/>
      <c r="F152" s="736"/>
      <c r="G152" s="736"/>
      <c r="H152" s="736"/>
      <c r="I152" s="736"/>
      <c r="J152" s="736"/>
    </row>
    <row r="153" spans="1:10" ht="29.25" x14ac:dyDescent="0.5">
      <c r="A153" s="242" t="s">
        <v>92</v>
      </c>
      <c r="B153" s="243"/>
      <c r="C153" s="243"/>
      <c r="D153" s="244" t="s">
        <v>180</v>
      </c>
      <c r="E153" s="95">
        <f>'30'!F207</f>
        <v>0</v>
      </c>
      <c r="F153" s="235">
        <v>463315</v>
      </c>
      <c r="G153" s="238">
        <f t="shared" ref="G153:G157" si="14">F153-E153</f>
        <v>463315</v>
      </c>
      <c r="H153" s="99">
        <f>G153+'30'!H207</f>
        <v>463315</v>
      </c>
      <c r="I153" s="236"/>
      <c r="J153" s="239" t="e">
        <f>H153/DAY(B92)</f>
        <v>#DIV/0!</v>
      </c>
    </row>
    <row r="154" spans="1:10" ht="29.25" x14ac:dyDescent="0.5">
      <c r="A154" s="242" t="s">
        <v>93</v>
      </c>
      <c r="B154" s="243"/>
      <c r="C154" s="243"/>
      <c r="D154" s="244" t="s">
        <v>180</v>
      </c>
      <c r="E154" s="95">
        <f>'30'!F208</f>
        <v>0</v>
      </c>
      <c r="F154" s="235">
        <v>83899</v>
      </c>
      <c r="G154" s="238">
        <f t="shared" si="14"/>
        <v>83899</v>
      </c>
      <c r="H154" s="99">
        <f>G154+'30'!H208</f>
        <v>83899</v>
      </c>
      <c r="I154" s="236"/>
      <c r="J154" s="239" t="e">
        <f>H154/DAY(B92)</f>
        <v>#DIV/0!</v>
      </c>
    </row>
    <row r="155" spans="1:10" ht="29.25" x14ac:dyDescent="0.5">
      <c r="A155" s="242" t="s">
        <v>197</v>
      </c>
      <c r="B155" s="243"/>
      <c r="C155" s="243"/>
      <c r="D155" s="244" t="s">
        <v>180</v>
      </c>
      <c r="E155" s="95">
        <f>'30'!F210</f>
        <v>0</v>
      </c>
      <c r="F155" s="235">
        <v>69089</v>
      </c>
      <c r="G155" s="238">
        <f t="shared" si="14"/>
        <v>69089</v>
      </c>
      <c r="H155" s="99">
        <f>G155+'30'!H210</f>
        <v>69089</v>
      </c>
      <c r="I155" s="236"/>
      <c r="J155" s="239" t="e">
        <f>H155/DAY(B92)</f>
        <v>#DIV/0!</v>
      </c>
    </row>
    <row r="156" spans="1:10" ht="29.25" x14ac:dyDescent="0.5">
      <c r="A156" s="242" t="s">
        <v>197</v>
      </c>
      <c r="B156" s="243"/>
      <c r="C156" s="243"/>
      <c r="D156" s="244" t="s">
        <v>180</v>
      </c>
      <c r="E156" s="95">
        <f>'30'!F211</f>
        <v>0</v>
      </c>
      <c r="F156" s="235">
        <v>3611</v>
      </c>
      <c r="G156" s="238">
        <f t="shared" si="14"/>
        <v>3611</v>
      </c>
      <c r="H156" s="99">
        <f>G156+'30'!H211</f>
        <v>3611</v>
      </c>
      <c r="I156" s="236"/>
      <c r="J156" s="239" t="e">
        <f>H156/DAY(B92)</f>
        <v>#DIV/0!</v>
      </c>
    </row>
    <row r="157" spans="1:10" ht="29.25" x14ac:dyDescent="0.5">
      <c r="A157" s="242" t="s">
        <v>309</v>
      </c>
      <c r="B157" s="243"/>
      <c r="C157" s="243"/>
      <c r="D157" s="244" t="s">
        <v>180</v>
      </c>
      <c r="E157" s="95">
        <f>'30'!F212</f>
        <v>0</v>
      </c>
      <c r="F157" s="235">
        <v>28746</v>
      </c>
      <c r="G157" s="238">
        <f t="shared" si="14"/>
        <v>28746</v>
      </c>
      <c r="H157" s="99">
        <f>G157+'30'!H212</f>
        <v>28746</v>
      </c>
      <c r="I157" s="236"/>
      <c r="J157" s="239" t="e">
        <f>H157/DAY(B92)</f>
        <v>#DIV/0!</v>
      </c>
    </row>
    <row r="158" spans="1:10" ht="29.25" x14ac:dyDescent="0.5">
      <c r="A158" s="737" t="s">
        <v>328</v>
      </c>
      <c r="B158" s="737"/>
      <c r="C158" s="247"/>
      <c r="D158" s="244" t="s">
        <v>180</v>
      </c>
      <c r="E158" s="165"/>
      <c r="F158" s="165"/>
      <c r="G158" s="165"/>
      <c r="H158" s="156"/>
      <c r="I158" s="165"/>
      <c r="J158" s="347"/>
    </row>
    <row r="159" spans="1:10" ht="29.25" x14ac:dyDescent="0.5">
      <c r="A159" s="737" t="s">
        <v>327</v>
      </c>
      <c r="B159" s="737"/>
      <c r="C159" s="247"/>
      <c r="D159" s="244" t="s">
        <v>180</v>
      </c>
      <c r="E159" s="165"/>
      <c r="F159" s="165"/>
      <c r="G159" s="165"/>
      <c r="H159" s="156"/>
      <c r="I159" s="165"/>
      <c r="J159" s="347"/>
    </row>
    <row r="160" spans="1:10" ht="29.25" x14ac:dyDescent="0.5">
      <c r="A160" s="737" t="s">
        <v>328</v>
      </c>
      <c r="B160" s="737"/>
      <c r="C160" s="247"/>
      <c r="D160" s="244" t="s">
        <v>180</v>
      </c>
      <c r="E160" s="165"/>
      <c r="F160" s="165"/>
      <c r="G160" s="165"/>
      <c r="H160" s="156"/>
      <c r="I160" s="165"/>
      <c r="J160" s="347"/>
    </row>
    <row r="161" spans="1:10" ht="29.25" x14ac:dyDescent="0.5"/>
    <row r="162" spans="1:10" ht="29.25" x14ac:dyDescent="0.5"/>
    <row r="163" spans="1:10" ht="34.5" customHeight="1" x14ac:dyDescent="0.35">
      <c r="A163" s="738" t="s">
        <v>330</v>
      </c>
      <c r="B163" s="739"/>
      <c r="C163" s="739"/>
      <c r="D163" s="739"/>
      <c r="E163" s="739"/>
      <c r="F163" s="739"/>
      <c r="G163" s="739"/>
      <c r="H163" s="739"/>
      <c r="I163" s="739"/>
      <c r="J163" s="740"/>
    </row>
    <row r="164" spans="1:10" ht="27.75" x14ac:dyDescent="0.5">
      <c r="A164" s="747"/>
      <c r="B164" s="748"/>
      <c r="C164" s="352"/>
      <c r="D164" s="228"/>
      <c r="E164" s="155"/>
      <c r="F164" s="155"/>
      <c r="G164" s="155"/>
      <c r="H164" s="156"/>
      <c r="I164" s="155"/>
      <c r="J164" s="178"/>
    </row>
    <row r="165" spans="1:10" ht="27.75" x14ac:dyDescent="0.5">
      <c r="A165" s="743" t="s">
        <v>209</v>
      </c>
      <c r="B165" s="744"/>
      <c r="C165" s="353"/>
      <c r="D165" s="228" t="s">
        <v>142</v>
      </c>
      <c r="E165" s="155">
        <f>'30'!F219</f>
        <v>0</v>
      </c>
      <c r="F165" s="155">
        <v>7961</v>
      </c>
      <c r="G165" s="155">
        <f>F165-E165</f>
        <v>7961</v>
      </c>
      <c r="H165" s="99">
        <f>G165+'30'!H219</f>
        <v>7961</v>
      </c>
      <c r="I165" s="155"/>
      <c r="J165" s="178" t="e">
        <f>H165/DAY(B93)</f>
        <v>#DIV/0!</v>
      </c>
    </row>
    <row r="166" spans="1:10" ht="27.75" x14ac:dyDescent="0.5">
      <c r="A166" s="743" t="s">
        <v>75</v>
      </c>
      <c r="B166" s="744"/>
      <c r="C166" s="353"/>
      <c r="D166" s="228" t="s">
        <v>142</v>
      </c>
      <c r="E166" s="155">
        <f>'30'!F220</f>
        <v>0</v>
      </c>
      <c r="F166" s="157">
        <v>36765</v>
      </c>
      <c r="G166" s="155">
        <f t="shared" ref="G166:G167" si="15">F166-E166</f>
        <v>36765</v>
      </c>
      <c r="H166" s="99">
        <f>G166+'30'!H220</f>
        <v>36765</v>
      </c>
      <c r="I166" s="155"/>
      <c r="J166" s="178" t="e">
        <f>H166/DAY(B93)</f>
        <v>#DIV/0!</v>
      </c>
    </row>
    <row r="167" spans="1:10" ht="27.75" x14ac:dyDescent="0.5">
      <c r="A167" s="743" t="s">
        <v>76</v>
      </c>
      <c r="B167" s="783"/>
      <c r="C167" s="744"/>
      <c r="D167" s="228" t="s">
        <v>142</v>
      </c>
      <c r="E167" s="155">
        <f>'30'!F221</f>
        <v>0</v>
      </c>
      <c r="F167" s="155">
        <v>20214</v>
      </c>
      <c r="G167" s="155">
        <f t="shared" si="15"/>
        <v>20214</v>
      </c>
      <c r="H167" s="99">
        <f>G167+'30'!H221</f>
        <v>20214</v>
      </c>
      <c r="I167" s="155"/>
      <c r="J167" s="178" t="e">
        <f>H167/DAY(B93)</f>
        <v>#DIV/0!</v>
      </c>
    </row>
    <row r="168" spans="1:10" ht="27.75" x14ac:dyDescent="0.5">
      <c r="A168" s="743" t="s">
        <v>196</v>
      </c>
      <c r="B168" s="744"/>
      <c r="C168" s="353"/>
      <c r="D168" s="228"/>
      <c r="E168" s="155"/>
      <c r="F168" s="155"/>
      <c r="G168" s="155">
        <f>SUM(G165:G167)</f>
        <v>64940</v>
      </c>
      <c r="H168" s="99">
        <f>G168+'30'!H222</f>
        <v>64940</v>
      </c>
      <c r="I168" s="155"/>
      <c r="J168" s="178" t="e">
        <f>H168/DAY(B93)</f>
        <v>#DIV/0!</v>
      </c>
    </row>
    <row r="169" spans="1:10" ht="27.75" x14ac:dyDescent="0.5">
      <c r="A169" s="743" t="s">
        <v>77</v>
      </c>
      <c r="B169" s="744"/>
      <c r="C169" s="353"/>
      <c r="D169" s="228" t="s">
        <v>142</v>
      </c>
      <c r="E169" s="155"/>
      <c r="F169" s="155"/>
      <c r="G169" s="155"/>
      <c r="H169" s="99">
        <f>G169+'30'!H223</f>
        <v>0</v>
      </c>
      <c r="I169" s="155"/>
      <c r="J169" s="178"/>
    </row>
    <row r="170" spans="1:10" ht="27.75" x14ac:dyDescent="0.5">
      <c r="A170" s="743" t="s">
        <v>210</v>
      </c>
      <c r="B170" s="744"/>
      <c r="C170" s="353"/>
      <c r="D170" s="228" t="s">
        <v>142</v>
      </c>
      <c r="E170" s="155">
        <f>'30'!F224</f>
        <v>0</v>
      </c>
      <c r="F170" s="155">
        <v>69524</v>
      </c>
      <c r="G170" s="155">
        <f>F170-E170</f>
        <v>69524</v>
      </c>
      <c r="H170" s="99">
        <f>G170+'30'!H224</f>
        <v>69524</v>
      </c>
      <c r="I170" s="155"/>
      <c r="J170" s="178" t="e">
        <f>H170/DAY(B93)</f>
        <v>#DIV/0!</v>
      </c>
    </row>
    <row r="171" spans="1:10" ht="27.75" x14ac:dyDescent="0.5">
      <c r="A171" s="743" t="s">
        <v>211</v>
      </c>
      <c r="B171" s="744"/>
      <c r="C171" s="353"/>
      <c r="D171" s="228" t="s">
        <v>142</v>
      </c>
      <c r="E171" s="155">
        <f>'30'!F225</f>
        <v>0</v>
      </c>
      <c r="F171" s="155">
        <v>33886</v>
      </c>
      <c r="G171" s="155">
        <f t="shared" ref="G171:G172" si="16">F171-E171</f>
        <v>33886</v>
      </c>
      <c r="H171" s="99">
        <f>G171+'30'!H225</f>
        <v>33886</v>
      </c>
      <c r="I171" s="155"/>
      <c r="J171" s="178" t="e">
        <f>H171/DAY(B93)</f>
        <v>#DIV/0!</v>
      </c>
    </row>
    <row r="172" spans="1:10" ht="27.75" x14ac:dyDescent="0.5">
      <c r="A172" s="743" t="s">
        <v>212</v>
      </c>
      <c r="B172" s="744"/>
      <c r="C172" s="353"/>
      <c r="D172" s="228" t="s">
        <v>142</v>
      </c>
      <c r="E172" s="155">
        <f>'30'!F226</f>
        <v>0</v>
      </c>
      <c r="F172" s="155">
        <v>4788</v>
      </c>
      <c r="G172" s="155">
        <f t="shared" si="16"/>
        <v>4788</v>
      </c>
      <c r="H172" s="99">
        <f>G172+'30'!H226</f>
        <v>4788</v>
      </c>
      <c r="I172" s="155"/>
      <c r="J172" s="178" t="e">
        <f>H172/DAY(B93)</f>
        <v>#DIV/0!</v>
      </c>
    </row>
    <row r="173" spans="1:10" ht="27.75" x14ac:dyDescent="0.5">
      <c r="A173" s="734" t="s">
        <v>108</v>
      </c>
      <c r="B173" s="735"/>
      <c r="C173" s="353"/>
      <c r="D173" s="228"/>
      <c r="E173" s="155"/>
      <c r="F173" s="155"/>
      <c r="G173" s="155">
        <f>SUM(G170:G172)</f>
        <v>108198</v>
      </c>
      <c r="H173" s="99">
        <f>G173+'30'!H227</f>
        <v>108198</v>
      </c>
      <c r="I173" s="155"/>
      <c r="J173" s="178" t="e">
        <f>H173/DAY(B93)</f>
        <v>#DIV/0!</v>
      </c>
    </row>
    <row r="174" spans="1:10" ht="27.75" x14ac:dyDescent="0.5">
      <c r="A174" s="743" t="s">
        <v>213</v>
      </c>
      <c r="B174" s="744"/>
      <c r="C174" s="353"/>
      <c r="D174" s="228"/>
      <c r="E174" s="155"/>
      <c r="F174" s="155"/>
      <c r="G174" s="155"/>
      <c r="H174" s="99">
        <f>G174+'30'!H228</f>
        <v>0</v>
      </c>
      <c r="I174" s="155"/>
      <c r="J174" s="178" t="e">
        <f>H174/DAY(B93)</f>
        <v>#DIV/0!</v>
      </c>
    </row>
    <row r="175" spans="1:10" ht="27.75" x14ac:dyDescent="0.5">
      <c r="A175" s="743" t="s">
        <v>214</v>
      </c>
      <c r="B175" s="744"/>
      <c r="C175" s="354"/>
      <c r="D175" s="228" t="s">
        <v>142</v>
      </c>
      <c r="E175" s="155">
        <f>'30'!F229</f>
        <v>0</v>
      </c>
      <c r="F175" s="157">
        <v>13038</v>
      </c>
      <c r="G175" s="157">
        <f>F175-E175</f>
        <v>13038</v>
      </c>
      <c r="H175" s="99">
        <f>G175+'30'!H229</f>
        <v>13038</v>
      </c>
      <c r="I175" s="155"/>
      <c r="J175" s="178" t="e">
        <f>H175/DAY(B93)</f>
        <v>#DIV/0!</v>
      </c>
    </row>
    <row r="176" spans="1:10" ht="27.75" x14ac:dyDescent="0.5">
      <c r="A176" s="743" t="s">
        <v>215</v>
      </c>
      <c r="B176" s="744"/>
      <c r="C176" s="354"/>
      <c r="D176" s="228" t="s">
        <v>142</v>
      </c>
      <c r="E176" s="155">
        <f>'30'!F230</f>
        <v>0</v>
      </c>
      <c r="F176" s="157">
        <v>9126</v>
      </c>
      <c r="G176" s="157">
        <f t="shared" ref="G176:G177" si="17">F176-E176</f>
        <v>9126</v>
      </c>
      <c r="H176" s="99">
        <f>G176+'30'!H230</f>
        <v>9126</v>
      </c>
      <c r="I176" s="155"/>
      <c r="J176" s="178" t="e">
        <f>H176/DAY(B93)</f>
        <v>#DIV/0!</v>
      </c>
    </row>
    <row r="177" spans="1:10" ht="27.75" x14ac:dyDescent="0.5">
      <c r="A177" s="743" t="s">
        <v>216</v>
      </c>
      <c r="B177" s="744"/>
      <c r="C177" s="354"/>
      <c r="D177" s="228" t="s">
        <v>142</v>
      </c>
      <c r="E177" s="157"/>
      <c r="F177" s="157"/>
      <c r="G177" s="157">
        <f t="shared" si="17"/>
        <v>0</v>
      </c>
      <c r="H177" s="99">
        <f>G177+'30'!H231</f>
        <v>0</v>
      </c>
      <c r="I177" s="155"/>
      <c r="J177" s="178" t="e">
        <f>H177/DAY(B93)</f>
        <v>#DIV/0!</v>
      </c>
    </row>
    <row r="178" spans="1:10" ht="27.75" x14ac:dyDescent="0.5">
      <c r="A178" s="743" t="s">
        <v>196</v>
      </c>
      <c r="B178" s="744"/>
      <c r="C178" s="354"/>
      <c r="D178" s="229"/>
      <c r="E178" s="157"/>
      <c r="F178" s="157"/>
      <c r="G178" s="157">
        <f>SUM(G175:G177)</f>
        <v>22164</v>
      </c>
      <c r="H178" s="99">
        <f>G178+'30'!H232</f>
        <v>22164</v>
      </c>
      <c r="I178" s="157"/>
      <c r="J178" s="178" t="e">
        <f>H178/DAY(B93)</f>
        <v>#DIV/0!</v>
      </c>
    </row>
    <row r="179" spans="1:10" ht="27.75" x14ac:dyDescent="0.5">
      <c r="A179" s="734" t="s">
        <v>217</v>
      </c>
      <c r="B179" s="735"/>
      <c r="C179" s="353"/>
      <c r="D179" s="230" t="s">
        <v>142</v>
      </c>
      <c r="E179" s="159"/>
      <c r="F179" s="159"/>
      <c r="G179" s="159">
        <f>SUM(G110+G153)</f>
        <v>463315</v>
      </c>
      <c r="H179" s="99">
        <f>G179+'30'!H233</f>
        <v>463315</v>
      </c>
      <c r="I179" s="158"/>
      <c r="J179" s="179" t="e">
        <f>H179/DAY(B93)</f>
        <v>#DIV/0!</v>
      </c>
    </row>
    <row r="180" spans="1:10" ht="27.75" x14ac:dyDescent="0.5">
      <c r="A180" s="734" t="s">
        <v>218</v>
      </c>
      <c r="B180" s="735"/>
      <c r="C180" s="353"/>
      <c r="D180" s="230" t="s">
        <v>142</v>
      </c>
      <c r="E180" s="159"/>
      <c r="F180" s="159"/>
      <c r="G180" s="159">
        <f>SUM(G156,G157,G158,G160,G161)</f>
        <v>32357</v>
      </c>
      <c r="H180" s="99">
        <f>G180+'30'!H234</f>
        <v>32357</v>
      </c>
      <c r="I180" s="158"/>
      <c r="J180" s="179" t="e">
        <f>H180/DAY(B93)</f>
        <v>#DIV/0!</v>
      </c>
    </row>
    <row r="181" spans="1:10" ht="27.75" x14ac:dyDescent="0.5">
      <c r="A181" s="734" t="s">
        <v>219</v>
      </c>
      <c r="B181" s="735"/>
      <c r="C181" s="353"/>
      <c r="D181" s="230" t="s">
        <v>142</v>
      </c>
      <c r="E181" s="157"/>
      <c r="F181" s="157"/>
      <c r="G181" s="157">
        <f>SUM(G173)</f>
        <v>108198</v>
      </c>
      <c r="H181" s="99">
        <f>G181+'30'!H235</f>
        <v>108198</v>
      </c>
      <c r="I181" s="158"/>
      <c r="J181" s="179" t="e">
        <f>H181/DAY(B93)</f>
        <v>#DIV/0!</v>
      </c>
    </row>
    <row r="182" spans="1:10" ht="27.75" x14ac:dyDescent="0.5">
      <c r="A182" s="734"/>
      <c r="B182" s="735"/>
      <c r="C182" s="353"/>
      <c r="D182" s="180"/>
      <c r="E182" s="180" t="s">
        <v>207</v>
      </c>
      <c r="F182" s="180"/>
      <c r="G182" s="180"/>
      <c r="H182" s="181"/>
      <c r="I182" s="180"/>
      <c r="J182" s="182"/>
    </row>
    <row r="183" spans="1:10" ht="29.25" x14ac:dyDescent="0.5"/>
    <row r="184" spans="1:10" ht="29.25" x14ac:dyDescent="0.5"/>
    <row r="185" spans="1:10" ht="29.25" x14ac:dyDescent="0.5"/>
    <row r="186" spans="1:10" ht="29.25" x14ac:dyDescent="0.5"/>
    <row r="187" spans="1:10" ht="29.25" x14ac:dyDescent="0.5"/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</sheetData>
  <mergeCells count="105">
    <mergeCell ref="A1:J1"/>
    <mergeCell ref="E3:F3"/>
    <mergeCell ref="A6:C6"/>
    <mergeCell ref="A14:C14"/>
    <mergeCell ref="A17:C17"/>
    <mergeCell ref="A18:C18"/>
    <mergeCell ref="A72:B72"/>
    <mergeCell ref="A73:C73"/>
    <mergeCell ref="A63:C63"/>
    <mergeCell ref="A64:C64"/>
    <mergeCell ref="A65:C65"/>
    <mergeCell ref="A71:C71"/>
    <mergeCell ref="A62:C62"/>
    <mergeCell ref="A61:C61"/>
    <mergeCell ref="A19:C19"/>
    <mergeCell ref="A21:C21"/>
    <mergeCell ref="A25:C25"/>
    <mergeCell ref="A33:C33"/>
    <mergeCell ref="A98:C98"/>
    <mergeCell ref="A99:C99"/>
    <mergeCell ref="A100:C100"/>
    <mergeCell ref="A101:C101"/>
    <mergeCell ref="A102:C102"/>
    <mergeCell ref="A103:C103"/>
    <mergeCell ref="A76:C76"/>
    <mergeCell ref="A94:C94"/>
    <mergeCell ref="A95:C95"/>
    <mergeCell ref="A96:C96"/>
    <mergeCell ref="A97:C97"/>
    <mergeCell ref="A104:C104"/>
    <mergeCell ref="A105:C105"/>
    <mergeCell ref="A118:C118"/>
    <mergeCell ref="A119:C119"/>
    <mergeCell ref="A120:C120"/>
    <mergeCell ref="A121:C121"/>
    <mergeCell ref="A108:J108"/>
    <mergeCell ref="A109:B109"/>
    <mergeCell ref="A112:C112"/>
    <mergeCell ref="A113:C113"/>
    <mergeCell ref="Q116:R116"/>
    <mergeCell ref="Q117:R117"/>
    <mergeCell ref="Q118:R118"/>
    <mergeCell ref="A131:C131"/>
    <mergeCell ref="A128:C128"/>
    <mergeCell ref="A122:C122"/>
    <mergeCell ref="A123:C123"/>
    <mergeCell ref="A125:B125"/>
    <mergeCell ref="A127:B127"/>
    <mergeCell ref="A144:C144"/>
    <mergeCell ref="A133:C133"/>
    <mergeCell ref="A132:C132"/>
    <mergeCell ref="A138:C138"/>
    <mergeCell ref="A139:C139"/>
    <mergeCell ref="A140:C140"/>
    <mergeCell ref="A141:C141"/>
    <mergeCell ref="A142:C142"/>
    <mergeCell ref="A143:C143"/>
    <mergeCell ref="A166:B166"/>
    <mergeCell ref="A167:C167"/>
    <mergeCell ref="A168:B168"/>
    <mergeCell ref="A169:B169"/>
    <mergeCell ref="A159:B159"/>
    <mergeCell ref="A160:B160"/>
    <mergeCell ref="A74:C74"/>
    <mergeCell ref="A75:C75"/>
    <mergeCell ref="A77:C77"/>
    <mergeCell ref="A78:C78"/>
    <mergeCell ref="A79:C79"/>
    <mergeCell ref="A114:C114"/>
    <mergeCell ref="A115:C115"/>
    <mergeCell ref="A116:C116"/>
    <mergeCell ref="A117:C117"/>
    <mergeCell ref="A152:J152"/>
    <mergeCell ref="A158:B158"/>
    <mergeCell ref="A145:C145"/>
    <mergeCell ref="A146:C146"/>
    <mergeCell ref="A147:C147"/>
    <mergeCell ref="A148:C148"/>
    <mergeCell ref="A149:C149"/>
    <mergeCell ref="A126:J126"/>
    <mergeCell ref="A136:J136"/>
    <mergeCell ref="A182:B182"/>
    <mergeCell ref="A163:J163"/>
    <mergeCell ref="A80:C80"/>
    <mergeCell ref="A124:C124"/>
    <mergeCell ref="A134:C134"/>
    <mergeCell ref="A135:C135"/>
    <mergeCell ref="A111:C111"/>
    <mergeCell ref="A93:C93"/>
    <mergeCell ref="A110:J110"/>
    <mergeCell ref="A81:C81"/>
    <mergeCell ref="A176:B176"/>
    <mergeCell ref="A177:B177"/>
    <mergeCell ref="A178:B178"/>
    <mergeCell ref="A179:B179"/>
    <mergeCell ref="A180:B180"/>
    <mergeCell ref="A181:B181"/>
    <mergeCell ref="A170:B170"/>
    <mergeCell ref="A171:B171"/>
    <mergeCell ref="A172:B172"/>
    <mergeCell ref="A173:B173"/>
    <mergeCell ref="A174:B174"/>
    <mergeCell ref="A175:B175"/>
    <mergeCell ref="A164:B164"/>
    <mergeCell ref="A165:B165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28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2021-08-31T02:26:59Z</cp:lastPrinted>
  <dcterms:created xsi:type="dcterms:W3CDTF">2013-11-14T06:06:34Z</dcterms:created>
  <dcterms:modified xsi:type="dcterms:W3CDTF">2021-10-18T09:56:26Z</dcterms:modified>
</cp:coreProperties>
</file>