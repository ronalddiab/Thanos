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7\AC\Temp\"/>
    </mc:Choice>
  </mc:AlternateContent>
  <xr:revisionPtr revIDLastSave="0" documentId="8_{6B8A24BB-B211-4C70-9689-67634B723C7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FS Seychelles" sheetId="1" r:id="rId1"/>
    <sheet name="Submetering " sheetId="4" r:id="rId2"/>
    <sheet name="TOTA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" i="1" l="1"/>
  <c r="O20" i="1"/>
  <c r="P20" i="1"/>
  <c r="Q20" i="1"/>
  <c r="M20" i="1"/>
  <c r="W11" i="1"/>
  <c r="X11" i="1"/>
  <c r="Y11" i="1"/>
  <c r="Z11" i="1"/>
  <c r="AA11" i="1"/>
  <c r="V11" i="1"/>
  <c r="R11" i="1"/>
  <c r="R12" i="1"/>
  <c r="R13" i="1"/>
  <c r="R14" i="1"/>
  <c r="R15" i="1"/>
  <c r="R16" i="1"/>
  <c r="R17" i="1"/>
  <c r="R18" i="1"/>
  <c r="R19" i="1"/>
  <c r="R21" i="1"/>
  <c r="R22" i="1"/>
  <c r="R25" i="1"/>
  <c r="R26" i="1"/>
  <c r="R27" i="1"/>
  <c r="R28" i="1"/>
  <c r="R29" i="1"/>
  <c r="R30" i="1"/>
  <c r="R31" i="1"/>
  <c r="R32" i="1"/>
  <c r="R33" i="1"/>
  <c r="S33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15" i="1"/>
  <c r="R5" i="1"/>
  <c r="R6" i="1"/>
  <c r="R7" i="1"/>
  <c r="R10" i="1"/>
  <c r="R9" i="1"/>
  <c r="R8" i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4" i="4"/>
  <c r="C5" i="4"/>
  <c r="C6" i="4"/>
  <c r="C7" i="4"/>
  <c r="C8" i="4"/>
  <c r="C9" i="4"/>
  <c r="C3" i="4"/>
  <c r="R4" i="1"/>
  <c r="R3" i="1"/>
  <c r="R20" i="1" s="1"/>
  <c r="S3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G22" i="3"/>
  <c r="G30" i="3"/>
  <c r="U29" i="1" l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</calcChain>
</file>

<file path=xl/sharedStrings.xml><?xml version="1.0" encoding="utf-8"?>
<sst xmlns="http://schemas.openxmlformats.org/spreadsheetml/2006/main" count="143" uniqueCount="76">
  <si>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</si>
  <si>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</si>
  <si>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</si>
  <si>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</si>
  <si>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</si>
  <si>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</si>
  <si>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</si>
  <si>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</si>
  <si>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</si>
  <si>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</si>
  <si>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</si>
  <si>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</si>
  <si>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</si>
  <si>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</si>
  <si>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</si>
  <si>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</si>
  <si>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</si>
  <si>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</si>
  <si>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</si>
  <si>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</si>
  <si>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</si>
  <si>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</si>
  <si>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</si>
  <si>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</si>
  <si>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</si>
  <si>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</si>
  <si>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</si>
  <si>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</si>
  <si>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</si>
  <si>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</si>
  <si>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</si>
  <si>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</si>
  <si>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</si>
  <si>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</si>
  <si>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</si>
  <si>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</si>
  <si>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</si>
  <si>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</si>
  <si>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</si>
  <si>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</si>
  <si>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</si>
  <si>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</si>
  <si>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</si>
  <si>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</si>
  <si>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</si>
  <si>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</si>
  <si>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</si>
  <si>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</si>
  <si>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</si>
  <si>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</si>
  <si>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</si>
  <si>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</si>
  <si>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</si>
  <si>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</si>
  <si>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</si>
  <si>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</si>
  <si>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</si>
  <si>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</si>
  <si>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</si>
  <si>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</si>
  <si>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</si>
  <si>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</si>
  <si>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</si>
  <si>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</si>
  <si>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</si>
  <si>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</si>
  <si>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</si>
  <si>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</si>
  <si>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>Electricity Tariff (€ /Kwh)</t>
  </si>
  <si>
    <t xml:space="preserve">LPG (Kg) </t>
  </si>
  <si>
    <t>LPG  € /Kg</t>
  </si>
  <si>
    <t>Water Utility Supply (m3) m3</t>
  </si>
  <si>
    <t>Water Utility Supply (m3) € /m3</t>
  </si>
  <si>
    <t>Irrigation Water (m3) m3</t>
  </si>
  <si>
    <t>Irrigation water  € 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</si>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</sst>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" fontId="12" fillId="3" borderId="2" xfId="0" applyNumberFormat="1" applyFont="1" applyFill="1" applyBorder="1"/>
    <xf numFmtId="3" fontId="12" fillId="10" borderId="2" xfId="0" applyNumberFormat="1" applyFont="1" applyFill="1" applyBorder="1"/>
    <xf numFmtId="1" fontId="12" fillId="10" borderId="2" xfId="0" applyNumberFormat="1" applyFont="1" applyFill="1" applyBorder="1"/>
    <xf numFmtId="0" fontId="12" fillId="3" borderId="2" xfId="0" applyFont="1" applyFill="1" applyBorder="1"/>
    <xf numFmtId="4" fontId="14" fillId="10" borderId="1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9"/>
  <sheetViews>
    <sheetView tabSelected="1" zoomScaleNormal="100" workbookViewId="0">
      <pane xSplit="1" topLeftCell="B16" activePane="topRight" state="frozen"/>
      <selection pane="topRight" activeCell="D3" sqref="D3:L33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1" width="9.140625" style="35"/>
    <col min="32" max="16384" width="9.140625" style="19"/>
  </cols>
  <sheetData>
    <row r="1" spans="1:31">
      <c r="D1" s="87"/>
      <c r="E1" s="87"/>
      <c r="F1" s="87"/>
      <c r="G1" s="87"/>
      <c r="H1" s="87"/>
      <c r="I1" s="87"/>
      <c r="J1" s="87"/>
      <c r="K1" s="87"/>
      <c r="L1" s="87"/>
    </row>
    <row r="2" spans="1:31" s="22" customFormat="1" ht="31.5" customHeight="1">
      <c r="A2" s="76" t="s">
        <v>0</v>
      </c>
      <c r="B2" s="60" t="s">
        <v>1</v>
      </c>
      <c r="C2" s="72" t="s">
        <v>2</v>
      </c>
      <c r="D2" s="70" t="s">
        <v>3</v>
      </c>
      <c r="E2" s="71" t="s">
        <v>4</v>
      </c>
      <c r="F2" s="71" t="s">
        <v>5</v>
      </c>
      <c r="G2" s="71" t="s">
        <v>6</v>
      </c>
      <c r="H2" s="71" t="s">
        <v>7</v>
      </c>
      <c r="I2" s="71" t="s">
        <v>8</v>
      </c>
      <c r="J2" s="71" t="s">
        <v>9</v>
      </c>
      <c r="K2" s="71" t="s">
        <v>10</v>
      </c>
      <c r="L2" s="71" t="s">
        <v>11</v>
      </c>
      <c r="M2" s="73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0" t="s">
        <v>21</v>
      </c>
      <c r="W2" s="40" t="s">
        <v>22</v>
      </c>
      <c r="X2" s="40" t="s">
        <v>23</v>
      </c>
      <c r="Y2" s="40" t="s">
        <v>24</v>
      </c>
      <c r="Z2" s="40" t="s">
        <v>25</v>
      </c>
      <c r="AA2" s="40" t="s">
        <v>26</v>
      </c>
      <c r="AB2" s="43" t="s">
        <v>27</v>
      </c>
      <c r="AC2" s="88" t="s">
        <v>28</v>
      </c>
      <c r="AD2" s="88"/>
      <c r="AE2" s="88"/>
    </row>
    <row r="3" spans="1:31" ht="15" customHeight="1">
      <c r="A3" s="58">
        <v>44562</v>
      </c>
      <c r="B3" s="67">
        <v>73.7</v>
      </c>
      <c r="C3" s="67">
        <v>447</v>
      </c>
      <c r="D3" s="68">
        <v>0</v>
      </c>
      <c r="E3" s="68">
        <v>0</v>
      </c>
      <c r="F3" s="68">
        <v>0</v>
      </c>
      <c r="G3" s="68">
        <v>0</v>
      </c>
      <c r="H3" s="68">
        <v>0</v>
      </c>
      <c r="I3" s="68">
        <v>0</v>
      </c>
      <c r="J3" s="68">
        <v>0</v>
      </c>
      <c r="K3" s="68">
        <v>0</v>
      </c>
      <c r="L3" s="68">
        <v>0</v>
      </c>
      <c r="M3" s="74">
        <v>0</v>
      </c>
      <c r="N3" s="59">
        <v>11062</v>
      </c>
      <c r="O3" s="31">
        <v>9102</v>
      </c>
      <c r="P3" s="31">
        <v>0</v>
      </c>
      <c r="Q3" s="31">
        <v>16163</v>
      </c>
      <c r="R3" s="21">
        <f>2654+1881+3598</f>
        <v>8133</v>
      </c>
      <c r="S3" s="21">
        <f>19.9*0.06</f>
        <v>1.194</v>
      </c>
      <c r="T3" s="21">
        <v>0</v>
      </c>
      <c r="U3" s="21">
        <v>0.32</v>
      </c>
      <c r="V3" s="30">
        <v>55</v>
      </c>
      <c r="W3" s="20">
        <v>49</v>
      </c>
      <c r="X3" s="20">
        <v>41</v>
      </c>
      <c r="Y3" s="20">
        <v>197</v>
      </c>
      <c r="Z3" s="20">
        <v>102</v>
      </c>
      <c r="AA3" s="30">
        <v>85</v>
      </c>
      <c r="AB3" s="34">
        <v>0</v>
      </c>
      <c r="AC3" s="89" t="s">
        <v>29</v>
      </c>
      <c r="AD3" s="89"/>
      <c r="AE3" s="89"/>
    </row>
    <row r="4" spans="1:31" ht="16.5" customHeight="1">
      <c r="A4" s="58">
        <v>44563</v>
      </c>
      <c r="B4" s="67">
        <v>67.099999999999994</v>
      </c>
      <c r="C4" s="67">
        <v>366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75">
        <v>6234</v>
      </c>
      <c r="N4" s="59">
        <v>9614</v>
      </c>
      <c r="O4" s="31">
        <v>9042</v>
      </c>
      <c r="P4" s="31">
        <v>5723</v>
      </c>
      <c r="Q4" s="31">
        <v>5755</v>
      </c>
      <c r="R4" s="21">
        <f>1399+1950+1938+1399+1234</f>
        <v>7920</v>
      </c>
      <c r="S4" s="21">
        <f>S3</f>
        <v>1.194</v>
      </c>
      <c r="T4" s="21">
        <v>0</v>
      </c>
      <c r="U4" s="21">
        <f>U3</f>
        <v>0.32</v>
      </c>
      <c r="V4" s="30">
        <v>55</v>
      </c>
      <c r="W4" s="20">
        <v>36</v>
      </c>
      <c r="X4" s="20">
        <v>30</v>
      </c>
      <c r="Y4" s="20">
        <v>162</v>
      </c>
      <c r="Z4" s="20">
        <v>88</v>
      </c>
      <c r="AA4" s="30">
        <v>98</v>
      </c>
      <c r="AB4" s="34">
        <v>0</v>
      </c>
      <c r="AC4" s="32" t="s">
        <v>30</v>
      </c>
      <c r="AD4" s="38" t="s">
        <v>31</v>
      </c>
      <c r="AE4" s="32" t="s">
        <v>32</v>
      </c>
    </row>
    <row r="5" spans="1:31" ht="15">
      <c r="A5" s="58">
        <v>44564</v>
      </c>
      <c r="B5" s="67">
        <v>75</v>
      </c>
      <c r="C5" s="67">
        <v>411</v>
      </c>
      <c r="D5" s="68">
        <v>0</v>
      </c>
      <c r="E5" s="68">
        <v>0</v>
      </c>
      <c r="F5" s="68">
        <v>0</v>
      </c>
      <c r="G5" s="68">
        <v>0</v>
      </c>
      <c r="H5" s="68">
        <v>0</v>
      </c>
      <c r="I5" s="68">
        <v>0</v>
      </c>
      <c r="J5" s="68">
        <v>0</v>
      </c>
      <c r="K5" s="68">
        <v>0</v>
      </c>
      <c r="L5" s="68">
        <v>0</v>
      </c>
      <c r="M5" s="75">
        <v>5272</v>
      </c>
      <c r="N5" s="47">
        <v>10694</v>
      </c>
      <c r="O5" s="47">
        <v>7349</v>
      </c>
      <c r="P5" s="47">
        <v>6416</v>
      </c>
      <c r="Q5" s="47">
        <v>4290</v>
      </c>
      <c r="R5" s="47">
        <f>1179+2383+2073+1609+994</f>
        <v>8238</v>
      </c>
      <c r="S5" s="21">
        <f t="shared" ref="S5:S14" si="0">S4</f>
        <v>1.194</v>
      </c>
      <c r="T5" s="21">
        <v>0</v>
      </c>
      <c r="U5" s="21">
        <f t="shared" ref="U5:U33" si="1">U4</f>
        <v>0.32</v>
      </c>
      <c r="V5" s="30">
        <v>56</v>
      </c>
      <c r="W5" s="30">
        <v>0</v>
      </c>
      <c r="X5" s="30">
        <v>42</v>
      </c>
      <c r="Y5" s="30">
        <v>158</v>
      </c>
      <c r="Z5" s="30">
        <v>99</v>
      </c>
      <c r="AA5" s="30">
        <v>0</v>
      </c>
      <c r="AB5" s="34">
        <v>0</v>
      </c>
      <c r="AC5" s="33"/>
      <c r="AD5" s="36"/>
      <c r="AE5" s="33"/>
    </row>
    <row r="6" spans="1:31" ht="15">
      <c r="A6" s="58">
        <v>44565</v>
      </c>
      <c r="B6" s="67">
        <v>75</v>
      </c>
      <c r="C6" s="67">
        <v>482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75">
        <v>8348</v>
      </c>
      <c r="N6" s="47">
        <v>12229</v>
      </c>
      <c r="O6" s="47">
        <v>5167</v>
      </c>
      <c r="P6" s="47">
        <v>0</v>
      </c>
      <c r="Q6" s="47">
        <v>8974</v>
      </c>
      <c r="R6" s="47">
        <f>1830+2692+1140+1981</f>
        <v>7643</v>
      </c>
      <c r="S6" s="21">
        <f t="shared" si="0"/>
        <v>1.194</v>
      </c>
      <c r="T6" s="21">
        <v>0</v>
      </c>
      <c r="U6" s="21">
        <f t="shared" si="1"/>
        <v>0.32</v>
      </c>
      <c r="V6" s="30">
        <v>68</v>
      </c>
      <c r="W6" s="30">
        <v>19</v>
      </c>
      <c r="X6" s="30">
        <v>46</v>
      </c>
      <c r="Y6" s="30">
        <v>154</v>
      </c>
      <c r="Z6" s="30">
        <v>122</v>
      </c>
      <c r="AA6" s="30">
        <v>58</v>
      </c>
      <c r="AB6" s="34">
        <v>0</v>
      </c>
      <c r="AC6" s="33">
        <v>5</v>
      </c>
      <c r="AD6" s="36">
        <v>0</v>
      </c>
      <c r="AE6" s="33">
        <v>0</v>
      </c>
    </row>
    <row r="7" spans="1:31" ht="15">
      <c r="A7" s="58">
        <v>44566</v>
      </c>
      <c r="B7" s="67">
        <v>77.599999999999994</v>
      </c>
      <c r="C7" s="67">
        <v>466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74">
        <v>5964</v>
      </c>
      <c r="N7" s="59">
        <v>10771</v>
      </c>
      <c r="O7" s="31">
        <v>9685</v>
      </c>
      <c r="P7" s="31">
        <v>0</v>
      </c>
      <c r="Q7" s="31">
        <v>10008</v>
      </c>
      <c r="R7" s="21">
        <f>1309+2282+1994+2104</f>
        <v>7689</v>
      </c>
      <c r="S7" s="21">
        <f t="shared" si="0"/>
        <v>1.194</v>
      </c>
      <c r="T7" s="21">
        <v>0</v>
      </c>
      <c r="U7" s="21">
        <f t="shared" si="1"/>
        <v>0.32</v>
      </c>
      <c r="V7" s="30">
        <v>62</v>
      </c>
      <c r="W7" s="30">
        <v>42</v>
      </c>
      <c r="X7" s="30">
        <v>35</v>
      </c>
      <c r="Y7" s="30">
        <v>217</v>
      </c>
      <c r="Z7" s="30">
        <v>79</v>
      </c>
      <c r="AA7" s="30">
        <v>0</v>
      </c>
      <c r="AB7" s="34">
        <v>0</v>
      </c>
      <c r="AC7" s="64">
        <v>20</v>
      </c>
      <c r="AD7" s="63">
        <v>68</v>
      </c>
      <c r="AE7" s="33">
        <v>1360</v>
      </c>
    </row>
    <row r="8" spans="1:31" ht="15">
      <c r="A8" s="58">
        <v>44567</v>
      </c>
      <c r="B8" s="67">
        <v>69.7</v>
      </c>
      <c r="C8" s="67">
        <v>483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74">
        <v>5775</v>
      </c>
      <c r="N8" s="59">
        <v>8467</v>
      </c>
      <c r="O8" s="31">
        <v>10302</v>
      </c>
      <c r="P8" s="31">
        <v>0</v>
      </c>
      <c r="Q8" s="31">
        <v>9958</v>
      </c>
      <c r="R8" s="21">
        <f>1251+1841+2209+2107</f>
        <v>7408</v>
      </c>
      <c r="S8" s="21">
        <f t="shared" si="0"/>
        <v>1.194</v>
      </c>
      <c r="T8" s="21">
        <v>0</v>
      </c>
      <c r="U8" s="21">
        <f t="shared" si="1"/>
        <v>0.32</v>
      </c>
      <c r="V8" s="46">
        <v>61</v>
      </c>
      <c r="W8" s="46">
        <v>0</v>
      </c>
      <c r="X8" s="46">
        <v>50</v>
      </c>
      <c r="Y8" s="46">
        <v>175</v>
      </c>
      <c r="Z8" s="46">
        <v>111</v>
      </c>
      <c r="AA8" s="46">
        <v>0</v>
      </c>
      <c r="AB8" s="34">
        <v>0</v>
      </c>
      <c r="AC8" s="65">
        <v>24</v>
      </c>
      <c r="AD8" s="63">
        <v>0</v>
      </c>
      <c r="AE8" s="33">
        <v>0</v>
      </c>
    </row>
    <row r="9" spans="1:31" ht="15" customHeight="1">
      <c r="A9" s="58">
        <v>44568</v>
      </c>
      <c r="B9" s="67">
        <v>69.7</v>
      </c>
      <c r="C9" s="67">
        <v>463</v>
      </c>
      <c r="D9" s="68">
        <v>0</v>
      </c>
      <c r="E9" s="68">
        <v>0</v>
      </c>
      <c r="F9" s="68">
        <v>0</v>
      </c>
      <c r="G9" s="68">
        <v>0</v>
      </c>
      <c r="H9" s="68">
        <v>0</v>
      </c>
      <c r="I9" s="68">
        <v>0</v>
      </c>
      <c r="J9" s="68">
        <v>0</v>
      </c>
      <c r="K9" s="68">
        <v>0</v>
      </c>
      <c r="L9" s="68">
        <v>0</v>
      </c>
      <c r="M9" s="74">
        <v>5396</v>
      </c>
      <c r="N9" s="59">
        <v>13312</v>
      </c>
      <c r="O9" s="31">
        <v>8059</v>
      </c>
      <c r="P9" s="31">
        <v>0</v>
      </c>
      <c r="Q9" s="31">
        <v>10857</v>
      </c>
      <c r="R9" s="21">
        <f>1189+2850+1709+2339</f>
        <v>8087</v>
      </c>
      <c r="S9" s="21">
        <f t="shared" si="0"/>
        <v>1.194</v>
      </c>
      <c r="T9" s="21">
        <v>0</v>
      </c>
      <c r="U9" s="21">
        <f t="shared" si="1"/>
        <v>0.32</v>
      </c>
      <c r="V9" s="30">
        <v>76</v>
      </c>
      <c r="W9" s="20">
        <v>37</v>
      </c>
      <c r="X9" s="20">
        <v>52</v>
      </c>
      <c r="Y9" s="20">
        <v>180</v>
      </c>
      <c r="Z9" s="20">
        <v>85</v>
      </c>
      <c r="AA9" s="30">
        <v>0</v>
      </c>
      <c r="AB9" s="34">
        <v>0</v>
      </c>
      <c r="AC9" s="65"/>
      <c r="AD9" s="63"/>
      <c r="AE9" s="33"/>
    </row>
    <row r="10" spans="1:31" ht="15.75" customHeight="1">
      <c r="A10" s="58">
        <v>44569</v>
      </c>
      <c r="B10" s="67">
        <v>55.3</v>
      </c>
      <c r="C10" s="67">
        <v>388</v>
      </c>
      <c r="D10" s="68">
        <v>0</v>
      </c>
      <c r="E10" s="68">
        <v>0</v>
      </c>
      <c r="F10" s="68">
        <v>0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74">
        <v>9646</v>
      </c>
      <c r="N10" s="59">
        <v>5071</v>
      </c>
      <c r="O10" s="31">
        <v>10748</v>
      </c>
      <c r="P10" s="31">
        <v>0</v>
      </c>
      <c r="Q10" s="31">
        <v>10676</v>
      </c>
      <c r="R10" s="21">
        <f>2099+1106+2272+2333</f>
        <v>7810</v>
      </c>
      <c r="S10" s="21">
        <f t="shared" si="0"/>
        <v>1.194</v>
      </c>
      <c r="T10" s="21">
        <v>0</v>
      </c>
      <c r="U10" s="21">
        <f t="shared" si="1"/>
        <v>0.32</v>
      </c>
      <c r="V10" s="30">
        <v>76</v>
      </c>
      <c r="W10" s="30">
        <v>47</v>
      </c>
      <c r="X10" s="30">
        <v>41</v>
      </c>
      <c r="Y10" s="30">
        <v>200</v>
      </c>
      <c r="Z10" s="30">
        <v>117</v>
      </c>
      <c r="AA10" s="30">
        <v>0</v>
      </c>
      <c r="AB10" s="34">
        <v>0</v>
      </c>
      <c r="AC10" s="45"/>
      <c r="AD10" s="61" t="s">
        <v>33</v>
      </c>
      <c r="AE10" s="62">
        <f>SUM(AE6:AE9)</f>
        <v>1360</v>
      </c>
    </row>
    <row r="11" spans="1:31" ht="15" customHeight="1">
      <c r="A11" s="58">
        <v>44570</v>
      </c>
      <c r="B11" s="67">
        <v>63.2</v>
      </c>
      <c r="C11" s="67">
        <v>390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74">
        <v>0</v>
      </c>
      <c r="N11" s="74">
        <v>5749</v>
      </c>
      <c r="O11" s="74">
        <v>15591</v>
      </c>
      <c r="P11" s="74">
        <v>0</v>
      </c>
      <c r="Q11" s="74">
        <v>15572</v>
      </c>
      <c r="R11" s="74">
        <f>1229+3299+3338</f>
        <v>7866</v>
      </c>
      <c r="S11" s="21">
        <f t="shared" si="0"/>
        <v>1.194</v>
      </c>
      <c r="T11" s="21">
        <v>0</v>
      </c>
      <c r="U11" s="21">
        <f t="shared" si="1"/>
        <v>0.32</v>
      </c>
      <c r="V11" s="83">
        <f>AVERAGE(V3:V10)</f>
        <v>63.625</v>
      </c>
      <c r="W11" s="83">
        <f t="shared" ref="W11:AA11" si="2">AVERAGE(W3:W10)</f>
        <v>28.75</v>
      </c>
      <c r="X11" s="83">
        <f t="shared" si="2"/>
        <v>42.125</v>
      </c>
      <c r="Y11" s="83">
        <f t="shared" si="2"/>
        <v>180.375</v>
      </c>
      <c r="Z11" s="83">
        <f t="shared" si="2"/>
        <v>100.375</v>
      </c>
      <c r="AA11" s="83">
        <f t="shared" si="2"/>
        <v>30.125</v>
      </c>
      <c r="AB11" s="34">
        <v>0</v>
      </c>
      <c r="AC11" s="90" t="s">
        <v>34</v>
      </c>
      <c r="AD11" s="91"/>
      <c r="AE11" s="91"/>
    </row>
    <row r="12" spans="1:31" ht="15" customHeight="1">
      <c r="A12" s="58">
        <v>44571</v>
      </c>
      <c r="B12" s="67">
        <v>71.099999999999994</v>
      </c>
      <c r="C12" s="67">
        <v>474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0</v>
      </c>
      <c r="J12" s="68">
        <v>0</v>
      </c>
      <c r="K12" s="68">
        <v>0</v>
      </c>
      <c r="L12" s="68">
        <v>0</v>
      </c>
      <c r="M12" s="74">
        <v>0</v>
      </c>
      <c r="N12" s="59">
        <v>9549</v>
      </c>
      <c r="O12" s="31">
        <v>14782</v>
      </c>
      <c r="P12" s="31">
        <v>0</v>
      </c>
      <c r="Q12" s="31">
        <v>8459</v>
      </c>
      <c r="R12" s="31">
        <f>2026+3134+1780</f>
        <v>6940</v>
      </c>
      <c r="S12" s="21">
        <f t="shared" si="0"/>
        <v>1.194</v>
      </c>
      <c r="T12" s="21">
        <v>0</v>
      </c>
      <c r="U12" s="21">
        <f t="shared" si="1"/>
        <v>0.32</v>
      </c>
      <c r="V12" s="83">
        <v>63.625</v>
      </c>
      <c r="W12" s="83">
        <v>28.75</v>
      </c>
      <c r="X12" s="83">
        <v>42.125</v>
      </c>
      <c r="Y12" s="83">
        <v>180.375</v>
      </c>
      <c r="Z12" s="83">
        <v>100.375</v>
      </c>
      <c r="AA12" s="83">
        <v>30.125</v>
      </c>
      <c r="AB12" s="34">
        <v>0</v>
      </c>
      <c r="AC12" s="80"/>
      <c r="AD12" s="92" t="s">
        <v>35</v>
      </c>
      <c r="AE12" s="93"/>
    </row>
    <row r="13" spans="1:31" ht="15" customHeight="1">
      <c r="A13" s="58">
        <v>44572</v>
      </c>
      <c r="B13" s="67">
        <v>76.3</v>
      </c>
      <c r="C13" s="67">
        <v>552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77">
        <v>12825</v>
      </c>
      <c r="N13" s="59">
        <v>7815</v>
      </c>
      <c r="O13" s="59">
        <v>18689</v>
      </c>
      <c r="P13" s="31">
        <v>0</v>
      </c>
      <c r="Q13" s="31">
        <v>11938</v>
      </c>
      <c r="R13" s="82">
        <f>2786+1994+9069+2664</f>
        <v>16513</v>
      </c>
      <c r="S13" s="21">
        <f t="shared" si="0"/>
        <v>1.194</v>
      </c>
      <c r="T13" s="21">
        <v>0</v>
      </c>
      <c r="U13" s="21">
        <f t="shared" si="1"/>
        <v>0.32</v>
      </c>
      <c r="V13" s="30">
        <v>62</v>
      </c>
      <c r="W13" s="30">
        <v>23</v>
      </c>
      <c r="X13" s="30">
        <v>34</v>
      </c>
      <c r="Y13" s="30">
        <v>192</v>
      </c>
      <c r="Z13" s="30">
        <v>110</v>
      </c>
      <c r="AA13" s="30">
        <v>0</v>
      </c>
      <c r="AB13" s="34">
        <v>0</v>
      </c>
      <c r="AC13" s="44" t="s">
        <v>36</v>
      </c>
      <c r="AD13" s="94">
        <v>5250</v>
      </c>
      <c r="AE13" s="95"/>
    </row>
    <row r="14" spans="1:31" ht="15" customHeight="1">
      <c r="A14" s="58">
        <v>44573</v>
      </c>
      <c r="B14" s="67">
        <v>69.7</v>
      </c>
      <c r="C14" s="67">
        <v>443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6">
        <v>6637</v>
      </c>
      <c r="N14" s="49">
        <v>15438</v>
      </c>
      <c r="O14" s="47">
        <v>0</v>
      </c>
      <c r="P14" s="47">
        <v>0</v>
      </c>
      <c r="Q14" s="47">
        <v>7340</v>
      </c>
      <c r="R14" s="21">
        <f>1296+6465+1507</f>
        <v>9268</v>
      </c>
      <c r="S14" s="21">
        <f t="shared" si="0"/>
        <v>1.194</v>
      </c>
      <c r="T14" s="21">
        <v>0</v>
      </c>
      <c r="U14" s="21">
        <f t="shared" si="1"/>
        <v>0.32</v>
      </c>
      <c r="V14" s="30">
        <v>58</v>
      </c>
      <c r="W14" s="30">
        <v>39</v>
      </c>
      <c r="X14" s="30">
        <v>41</v>
      </c>
      <c r="Y14" s="30">
        <v>187</v>
      </c>
      <c r="Z14" s="30">
        <v>117</v>
      </c>
      <c r="AA14" s="30">
        <v>0</v>
      </c>
      <c r="AB14" s="34">
        <v>0</v>
      </c>
      <c r="AC14" s="44" t="s">
        <v>37</v>
      </c>
      <c r="AD14" s="94">
        <v>2180</v>
      </c>
      <c r="AE14" s="95"/>
    </row>
    <row r="15" spans="1:31" ht="15">
      <c r="A15" s="58">
        <v>44574</v>
      </c>
      <c r="B15" s="67">
        <v>57.9</v>
      </c>
      <c r="C15" s="67">
        <v>410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6">
        <v>10484</v>
      </c>
      <c r="N15" s="49">
        <v>6911</v>
      </c>
      <c r="O15" s="47">
        <v>10200</v>
      </c>
      <c r="P15" s="47">
        <v>0</v>
      </c>
      <c r="Q15" s="47">
        <v>0</v>
      </c>
      <c r="R15" s="21">
        <f>2387+1477+2255</f>
        <v>6119</v>
      </c>
      <c r="S15" s="21">
        <f>20.12*0.06</f>
        <v>1.2072000000000001</v>
      </c>
      <c r="T15" s="21">
        <v>0</v>
      </c>
      <c r="U15" s="21">
        <f t="shared" si="1"/>
        <v>0.32</v>
      </c>
      <c r="V15" s="30">
        <v>60</v>
      </c>
      <c r="W15" s="30">
        <v>29</v>
      </c>
      <c r="X15" s="20">
        <v>44</v>
      </c>
      <c r="Y15" s="20">
        <v>191</v>
      </c>
      <c r="Z15" s="20">
        <v>118</v>
      </c>
      <c r="AA15" s="20">
        <v>0</v>
      </c>
      <c r="AB15" s="34">
        <v>0</v>
      </c>
      <c r="AC15" s="81"/>
      <c r="AD15" s="37" t="s">
        <v>33</v>
      </c>
      <c r="AE15" s="33">
        <f>SUM(AD13:AE14)</f>
        <v>7430</v>
      </c>
    </row>
    <row r="16" spans="1:31" ht="15" customHeight="1">
      <c r="A16" s="58">
        <v>44575</v>
      </c>
      <c r="B16" s="67">
        <v>59.2</v>
      </c>
      <c r="C16" s="67">
        <v>382</v>
      </c>
      <c r="D16" s="68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>
        <v>0</v>
      </c>
      <c r="M16" s="66">
        <v>15075</v>
      </c>
      <c r="N16" s="47">
        <v>0</v>
      </c>
      <c r="O16" s="47">
        <v>11098</v>
      </c>
      <c r="P16" s="47">
        <v>0</v>
      </c>
      <c r="Q16" s="47">
        <v>0</v>
      </c>
      <c r="R16" s="47">
        <f>3489+2468</f>
        <v>5957</v>
      </c>
      <c r="S16" s="21">
        <f t="shared" ref="S16:S33" si="3">20.12*0.06</f>
        <v>1.2072000000000001</v>
      </c>
      <c r="T16" s="21">
        <v>0</v>
      </c>
      <c r="U16" s="21">
        <f t="shared" si="1"/>
        <v>0.32</v>
      </c>
      <c r="V16" s="30">
        <v>67</v>
      </c>
      <c r="W16" s="30">
        <v>18</v>
      </c>
      <c r="X16" s="30">
        <v>26</v>
      </c>
      <c r="Y16" s="30">
        <v>163</v>
      </c>
      <c r="Z16" s="30">
        <v>94</v>
      </c>
      <c r="AA16" s="30">
        <v>0</v>
      </c>
      <c r="AB16" s="34">
        <v>0</v>
      </c>
      <c r="AC16" s="96"/>
      <c r="AD16" s="87"/>
      <c r="AE16" s="97"/>
    </row>
    <row r="17" spans="1:31" ht="15" customHeight="1">
      <c r="A17" s="58">
        <v>44576</v>
      </c>
      <c r="B17" s="67">
        <v>44.7</v>
      </c>
      <c r="C17" s="67">
        <v>323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6">
        <v>6397</v>
      </c>
      <c r="N17" s="49">
        <v>9767</v>
      </c>
      <c r="O17" s="47">
        <v>7809</v>
      </c>
      <c r="P17" s="47">
        <v>0</v>
      </c>
      <c r="Q17" s="47">
        <v>10582</v>
      </c>
      <c r="R17" s="21">
        <f>1349+2318+1697+2406</f>
        <v>7770</v>
      </c>
      <c r="S17" s="21">
        <f t="shared" si="3"/>
        <v>1.2072000000000001</v>
      </c>
      <c r="T17" s="21">
        <v>0</v>
      </c>
      <c r="U17" s="21">
        <f t="shared" si="1"/>
        <v>0.32</v>
      </c>
      <c r="V17" s="30">
        <v>71</v>
      </c>
      <c r="W17" s="30">
        <v>64</v>
      </c>
      <c r="X17" s="30">
        <v>44</v>
      </c>
      <c r="Y17" s="30">
        <v>208</v>
      </c>
      <c r="Z17" s="30">
        <v>118</v>
      </c>
      <c r="AA17" s="30">
        <v>0</v>
      </c>
      <c r="AB17" s="34">
        <v>0</v>
      </c>
      <c r="AC17" s="96"/>
      <c r="AD17" s="87"/>
      <c r="AE17" s="97"/>
    </row>
    <row r="18" spans="1:31" ht="15" customHeight="1">
      <c r="A18" s="58">
        <v>44577</v>
      </c>
      <c r="B18" s="67">
        <v>27.6</v>
      </c>
      <c r="C18" s="67">
        <v>200</v>
      </c>
      <c r="D18" s="68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8">
        <v>0</v>
      </c>
      <c r="K18" s="68">
        <v>0</v>
      </c>
      <c r="L18" s="68">
        <v>0</v>
      </c>
      <c r="M18" s="66">
        <v>9008</v>
      </c>
      <c r="N18" s="47">
        <v>4684</v>
      </c>
      <c r="O18" s="47">
        <v>9094</v>
      </c>
      <c r="P18" s="47">
        <v>0</v>
      </c>
      <c r="Q18" s="47">
        <v>8142</v>
      </c>
      <c r="R18" s="21">
        <f>1896+1132+1943+1780</f>
        <v>6751</v>
      </c>
      <c r="S18" s="21">
        <f t="shared" si="3"/>
        <v>1.2072000000000001</v>
      </c>
      <c r="T18" s="21">
        <v>0</v>
      </c>
      <c r="U18" s="21">
        <f t="shared" si="1"/>
        <v>0.32</v>
      </c>
      <c r="V18" s="30">
        <v>74</v>
      </c>
      <c r="W18" s="30">
        <v>0</v>
      </c>
      <c r="X18" s="30">
        <v>6</v>
      </c>
      <c r="Y18" s="30">
        <v>178</v>
      </c>
      <c r="Z18" s="30">
        <v>146</v>
      </c>
      <c r="AA18" s="30">
        <v>0</v>
      </c>
      <c r="AB18" s="34">
        <v>0</v>
      </c>
      <c r="AC18" s="96"/>
      <c r="AD18" s="87"/>
      <c r="AE18" s="97"/>
    </row>
    <row r="19" spans="1:31" ht="15" customHeight="1">
      <c r="A19" s="58">
        <v>44578</v>
      </c>
      <c r="B19" s="67">
        <v>14.5</v>
      </c>
      <c r="C19" s="67">
        <v>126</v>
      </c>
      <c r="D19" s="68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47">
        <v>7969</v>
      </c>
      <c r="N19" s="47">
        <v>7423</v>
      </c>
      <c r="O19" s="47">
        <v>9326</v>
      </c>
      <c r="P19" s="47">
        <v>0</v>
      </c>
      <c r="Q19" s="47">
        <v>2634</v>
      </c>
      <c r="R19" s="21">
        <f>1768+1720+2081+566</f>
        <v>6135</v>
      </c>
      <c r="S19" s="21">
        <f t="shared" si="3"/>
        <v>1.2072000000000001</v>
      </c>
      <c r="T19" s="21">
        <v>0</v>
      </c>
      <c r="U19" s="21">
        <f t="shared" si="1"/>
        <v>0.32</v>
      </c>
      <c r="V19" s="83">
        <v>63.625</v>
      </c>
      <c r="W19" s="83">
        <v>28.75</v>
      </c>
      <c r="X19" s="83">
        <v>42.125</v>
      </c>
      <c r="Y19" s="83">
        <v>180.375</v>
      </c>
      <c r="Z19" s="83">
        <v>100.375</v>
      </c>
      <c r="AA19" s="83">
        <v>30.125</v>
      </c>
      <c r="AB19" s="34">
        <v>0</v>
      </c>
      <c r="AC19" s="96"/>
      <c r="AD19" s="87"/>
      <c r="AE19" s="97"/>
    </row>
    <row r="20" spans="1:31" ht="15" customHeight="1">
      <c r="A20" s="58">
        <v>44579</v>
      </c>
      <c r="B20" s="67">
        <v>0</v>
      </c>
      <c r="C20" s="67">
        <v>0</v>
      </c>
      <c r="D20" s="68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8">
        <v>0</v>
      </c>
      <c r="K20" s="68">
        <v>0</v>
      </c>
      <c r="L20" s="68">
        <v>0</v>
      </c>
      <c r="M20" s="86">
        <f>AVERAGE(M3:M19)</f>
        <v>6766.4705882352937</v>
      </c>
      <c r="N20" s="86">
        <f t="shared" ref="N20:R20" si="4">AVERAGE(N3:N19)</f>
        <v>8738.5882352941171</v>
      </c>
      <c r="O20" s="86">
        <f t="shared" si="4"/>
        <v>9767.2352941176468</v>
      </c>
      <c r="P20" s="86">
        <f t="shared" si="4"/>
        <v>714.05882352941171</v>
      </c>
      <c r="Q20" s="86">
        <f t="shared" si="4"/>
        <v>8314.5882352941171</v>
      </c>
      <c r="R20" s="86">
        <f t="shared" si="4"/>
        <v>8014.5294117647063</v>
      </c>
      <c r="S20" s="21">
        <f t="shared" si="3"/>
        <v>1.2072000000000001</v>
      </c>
      <c r="T20" s="21">
        <v>0</v>
      </c>
      <c r="U20" s="21">
        <f t="shared" si="1"/>
        <v>0.32</v>
      </c>
      <c r="V20" s="30">
        <v>46</v>
      </c>
      <c r="W20" s="30">
        <v>16</v>
      </c>
      <c r="X20" s="30">
        <v>0</v>
      </c>
      <c r="Y20" s="30">
        <v>134</v>
      </c>
      <c r="Z20" s="30">
        <v>48</v>
      </c>
      <c r="AA20" s="30">
        <v>0</v>
      </c>
      <c r="AB20" s="34">
        <v>0</v>
      </c>
      <c r="AC20" s="96"/>
      <c r="AD20" s="87"/>
      <c r="AE20" s="97"/>
    </row>
    <row r="21" spans="1:31" ht="15" customHeight="1">
      <c r="A21" s="58">
        <v>44580</v>
      </c>
      <c r="B21" s="67">
        <v>0</v>
      </c>
      <c r="C21" s="67">
        <v>0</v>
      </c>
      <c r="D21" s="68">
        <v>0</v>
      </c>
      <c r="E21" s="68">
        <v>0</v>
      </c>
      <c r="F21" s="68">
        <v>0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6">
        <v>8205</v>
      </c>
      <c r="N21" s="47">
        <v>0</v>
      </c>
      <c r="O21" s="47">
        <v>883</v>
      </c>
      <c r="P21" s="47">
        <v>0</v>
      </c>
      <c r="Q21" s="47">
        <v>5443</v>
      </c>
      <c r="R21" s="21">
        <f>2047+277+1527</f>
        <v>3851</v>
      </c>
      <c r="S21" s="21">
        <f t="shared" si="3"/>
        <v>1.2072000000000001</v>
      </c>
      <c r="T21" s="21">
        <v>0</v>
      </c>
      <c r="U21" s="21">
        <f t="shared" si="1"/>
        <v>0.32</v>
      </c>
      <c r="V21" s="83">
        <v>63.625</v>
      </c>
      <c r="W21" s="83">
        <v>28.75</v>
      </c>
      <c r="X21" s="83">
        <v>42.125</v>
      </c>
      <c r="Y21" s="83">
        <v>180.375</v>
      </c>
      <c r="Z21" s="83">
        <v>100.375</v>
      </c>
      <c r="AA21" s="83">
        <v>30.125</v>
      </c>
      <c r="AB21" s="34">
        <v>0</v>
      </c>
      <c r="AC21" s="96"/>
      <c r="AD21" s="87"/>
      <c r="AE21" s="97"/>
    </row>
    <row r="22" spans="1:31" ht="15" customHeight="1">
      <c r="A22" s="58">
        <v>44581</v>
      </c>
      <c r="B22" s="67">
        <v>0</v>
      </c>
      <c r="C22" s="67">
        <v>0</v>
      </c>
      <c r="D22" s="68">
        <v>0</v>
      </c>
      <c r="E22" s="68">
        <v>0</v>
      </c>
      <c r="F22" s="68">
        <v>0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6">
        <v>0</v>
      </c>
      <c r="N22" s="47">
        <v>0</v>
      </c>
      <c r="O22" s="47">
        <v>5175</v>
      </c>
      <c r="P22" s="47">
        <v>0</v>
      </c>
      <c r="Q22" s="47">
        <v>2654</v>
      </c>
      <c r="R22" s="21">
        <f>1184+650</f>
        <v>1834</v>
      </c>
      <c r="S22" s="21">
        <f t="shared" si="3"/>
        <v>1.2072000000000001</v>
      </c>
      <c r="T22" s="21">
        <v>0</v>
      </c>
      <c r="U22" s="21">
        <f t="shared" si="1"/>
        <v>0.32</v>
      </c>
      <c r="V22" s="83">
        <v>63.625</v>
      </c>
      <c r="W22" s="83">
        <v>28.75</v>
      </c>
      <c r="X22" s="83">
        <v>42.125</v>
      </c>
      <c r="Y22" s="83">
        <v>180.375</v>
      </c>
      <c r="Z22" s="83">
        <v>100.375</v>
      </c>
      <c r="AA22" s="83">
        <v>30.125</v>
      </c>
      <c r="AB22" s="34">
        <v>0</v>
      </c>
      <c r="AC22" s="96"/>
      <c r="AD22" s="87"/>
      <c r="AE22" s="97"/>
    </row>
    <row r="23" spans="1:31" ht="15" customHeight="1">
      <c r="A23" s="58">
        <v>44582</v>
      </c>
      <c r="B23" s="67">
        <v>0</v>
      </c>
      <c r="C23" s="67">
        <v>0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6">
        <v>0</v>
      </c>
      <c r="N23" s="49">
        <v>10230</v>
      </c>
      <c r="O23" s="47">
        <v>0</v>
      </c>
      <c r="P23" s="47">
        <v>0</v>
      </c>
      <c r="Q23" s="47">
        <v>0</v>
      </c>
      <c r="R23" s="21">
        <v>2602</v>
      </c>
      <c r="S23" s="21">
        <f t="shared" si="3"/>
        <v>1.2072000000000001</v>
      </c>
      <c r="T23" s="21">
        <v>0</v>
      </c>
      <c r="U23" s="21">
        <f t="shared" si="1"/>
        <v>0.32</v>
      </c>
      <c r="V23" s="83">
        <v>63.625</v>
      </c>
      <c r="W23" s="83">
        <v>28.75</v>
      </c>
      <c r="X23" s="83">
        <v>42.125</v>
      </c>
      <c r="Y23" s="83">
        <v>180.375</v>
      </c>
      <c r="Z23" s="83">
        <v>100.375</v>
      </c>
      <c r="AA23" s="83">
        <v>30.125</v>
      </c>
      <c r="AB23" s="34">
        <v>0</v>
      </c>
      <c r="AC23" s="96"/>
      <c r="AD23" s="87"/>
      <c r="AE23" s="97"/>
    </row>
    <row r="24" spans="1:31" ht="15" customHeight="1">
      <c r="A24" s="58">
        <v>44583</v>
      </c>
      <c r="B24" s="67">
        <v>0</v>
      </c>
      <c r="C24" s="67">
        <v>0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6">
        <v>0</v>
      </c>
      <c r="N24" s="49">
        <v>7338</v>
      </c>
      <c r="O24" s="47">
        <v>0</v>
      </c>
      <c r="P24" s="47">
        <v>0</v>
      </c>
      <c r="Q24" s="47">
        <v>0</v>
      </c>
      <c r="R24" s="21">
        <v>1759</v>
      </c>
      <c r="S24" s="21">
        <f t="shared" si="3"/>
        <v>1.2072000000000001</v>
      </c>
      <c r="T24" s="21">
        <v>0</v>
      </c>
      <c r="U24" s="21">
        <f t="shared" si="1"/>
        <v>0.32</v>
      </c>
      <c r="V24" s="30">
        <v>24</v>
      </c>
      <c r="W24" s="30">
        <v>0</v>
      </c>
      <c r="X24" s="20">
        <v>29</v>
      </c>
      <c r="Y24" s="20">
        <v>44</v>
      </c>
      <c r="Z24" s="20">
        <v>81</v>
      </c>
      <c r="AA24" s="20">
        <v>0</v>
      </c>
      <c r="AB24" s="34">
        <v>0</v>
      </c>
      <c r="AC24" s="96"/>
      <c r="AD24" s="87"/>
      <c r="AE24" s="97"/>
    </row>
    <row r="25" spans="1:31" ht="15" customHeight="1">
      <c r="A25" s="58">
        <v>44584</v>
      </c>
      <c r="B25" s="67">
        <v>0</v>
      </c>
      <c r="C25" s="67">
        <v>0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6">
        <v>1470</v>
      </c>
      <c r="N25" s="49">
        <v>9529</v>
      </c>
      <c r="O25" s="47">
        <v>2935</v>
      </c>
      <c r="P25" s="47">
        <v>0</v>
      </c>
      <c r="Q25" s="47">
        <v>0</v>
      </c>
      <c r="R25" s="21">
        <f>332+2175+701</f>
        <v>3208</v>
      </c>
      <c r="S25" s="21">
        <f t="shared" si="3"/>
        <v>1.2072000000000001</v>
      </c>
      <c r="T25" s="21">
        <v>0</v>
      </c>
      <c r="U25" s="21">
        <f t="shared" si="1"/>
        <v>0.32</v>
      </c>
      <c r="V25" s="83">
        <v>63.625</v>
      </c>
      <c r="W25" s="83">
        <v>28.75</v>
      </c>
      <c r="X25" s="84">
        <v>42.125</v>
      </c>
      <c r="Y25" s="84">
        <v>180.375</v>
      </c>
      <c r="Z25" s="84">
        <v>100.375</v>
      </c>
      <c r="AA25" s="84">
        <v>30.125</v>
      </c>
      <c r="AB25" s="34">
        <v>0</v>
      </c>
      <c r="AC25" s="96"/>
      <c r="AD25" s="87"/>
      <c r="AE25" s="97"/>
    </row>
    <row r="26" spans="1:31" ht="15" customHeight="1">
      <c r="A26" s="58">
        <v>44585</v>
      </c>
      <c r="B26" s="67">
        <v>0</v>
      </c>
      <c r="C26" s="67">
        <v>0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6">
        <v>4087</v>
      </c>
      <c r="N26" s="49">
        <v>9071</v>
      </c>
      <c r="O26" s="47">
        <v>9659</v>
      </c>
      <c r="P26" s="47">
        <v>0</v>
      </c>
      <c r="Q26" s="47">
        <v>5868</v>
      </c>
      <c r="R26" s="21">
        <f>864+2102+2106+1261</f>
        <v>6333</v>
      </c>
      <c r="S26" s="21">
        <f t="shared" si="3"/>
        <v>1.2072000000000001</v>
      </c>
      <c r="T26" s="21">
        <v>0</v>
      </c>
      <c r="U26" s="21">
        <f t="shared" si="1"/>
        <v>0.32</v>
      </c>
      <c r="V26" s="30">
        <v>36</v>
      </c>
      <c r="W26" s="30">
        <v>0</v>
      </c>
      <c r="X26" s="20">
        <v>48</v>
      </c>
      <c r="Y26" s="20">
        <v>174</v>
      </c>
      <c r="Z26" s="20">
        <v>129</v>
      </c>
      <c r="AA26" s="20">
        <v>0</v>
      </c>
      <c r="AB26" s="34">
        <v>0</v>
      </c>
      <c r="AC26" s="96"/>
      <c r="AD26" s="87"/>
      <c r="AE26" s="97"/>
    </row>
    <row r="27" spans="1:31" ht="15" customHeight="1">
      <c r="A27" s="58">
        <v>44586</v>
      </c>
      <c r="B27" s="67">
        <v>0</v>
      </c>
      <c r="C27" s="67">
        <v>0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6">
        <v>6184</v>
      </c>
      <c r="N27" s="49">
        <v>10848</v>
      </c>
      <c r="O27" s="47">
        <v>5011</v>
      </c>
      <c r="P27" s="47">
        <v>0</v>
      </c>
      <c r="Q27" s="47">
        <v>8174</v>
      </c>
      <c r="R27" s="21">
        <f>1344+2533+1088+1793</f>
        <v>6758</v>
      </c>
      <c r="S27" s="21">
        <f t="shared" si="3"/>
        <v>1.2072000000000001</v>
      </c>
      <c r="T27" s="21">
        <v>0</v>
      </c>
      <c r="U27" s="21">
        <f t="shared" si="1"/>
        <v>0.32</v>
      </c>
      <c r="V27" s="30">
        <v>40</v>
      </c>
      <c r="W27" s="30">
        <v>34</v>
      </c>
      <c r="X27" s="20">
        <v>101</v>
      </c>
      <c r="Y27" s="85">
        <v>346</v>
      </c>
      <c r="Z27" s="20">
        <v>107</v>
      </c>
      <c r="AA27" s="20">
        <v>0</v>
      </c>
      <c r="AB27" s="34">
        <v>0</v>
      </c>
      <c r="AC27" s="96"/>
      <c r="AD27" s="87"/>
      <c r="AE27" s="97"/>
    </row>
    <row r="28" spans="1:31" ht="15" customHeight="1">
      <c r="A28" s="58">
        <v>44587</v>
      </c>
      <c r="B28" s="67">
        <v>14.5</v>
      </c>
      <c r="C28" s="67">
        <v>51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6">
        <v>15271</v>
      </c>
      <c r="N28" s="49">
        <v>9240</v>
      </c>
      <c r="O28" s="47">
        <v>15155</v>
      </c>
      <c r="P28" s="47">
        <v>0</v>
      </c>
      <c r="Q28" s="47">
        <v>8174</v>
      </c>
      <c r="R28" s="21">
        <f>3373+2056+3364</f>
        <v>8793</v>
      </c>
      <c r="S28" s="21">
        <f t="shared" si="3"/>
        <v>1.2072000000000001</v>
      </c>
      <c r="T28" s="21">
        <v>0</v>
      </c>
      <c r="U28" s="21">
        <f t="shared" si="1"/>
        <v>0.32</v>
      </c>
      <c r="V28" s="30">
        <v>48</v>
      </c>
      <c r="W28" s="30">
        <v>25</v>
      </c>
      <c r="X28" s="20">
        <v>43</v>
      </c>
      <c r="Y28" s="20">
        <v>237</v>
      </c>
      <c r="Z28" s="20">
        <v>101</v>
      </c>
      <c r="AA28" s="20">
        <v>0</v>
      </c>
      <c r="AB28" s="34">
        <v>0</v>
      </c>
      <c r="AC28" s="96"/>
      <c r="AD28" s="87"/>
      <c r="AE28" s="97"/>
    </row>
    <row r="29" spans="1:31" ht="15" customHeight="1">
      <c r="A29" s="58">
        <v>44588</v>
      </c>
      <c r="B29" s="67">
        <v>30.3</v>
      </c>
      <c r="C29" s="67">
        <v>105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6">
        <v>5350</v>
      </c>
      <c r="N29" s="49">
        <v>0</v>
      </c>
      <c r="O29" s="47">
        <v>5336</v>
      </c>
      <c r="P29" s="47">
        <v>0</v>
      </c>
      <c r="Q29" s="47">
        <v>9688</v>
      </c>
      <c r="R29" s="21">
        <f>1126+1134+2127</f>
        <v>4387</v>
      </c>
      <c r="S29" s="21">
        <f t="shared" si="3"/>
        <v>1.2072000000000001</v>
      </c>
      <c r="T29" s="21">
        <v>0</v>
      </c>
      <c r="U29" s="21">
        <f t="shared" si="1"/>
        <v>0.32</v>
      </c>
      <c r="V29" s="30">
        <v>41</v>
      </c>
      <c r="W29" s="30">
        <v>20</v>
      </c>
      <c r="X29" s="20">
        <v>36</v>
      </c>
      <c r="Y29" s="20">
        <v>184</v>
      </c>
      <c r="Z29" s="20">
        <v>69</v>
      </c>
      <c r="AA29" s="20">
        <v>0</v>
      </c>
      <c r="AB29" s="34">
        <v>0</v>
      </c>
      <c r="AC29" s="96"/>
      <c r="AD29" s="87"/>
      <c r="AE29" s="97"/>
    </row>
    <row r="30" spans="1:31" ht="15" customHeight="1">
      <c r="A30" s="58">
        <v>44589</v>
      </c>
      <c r="B30" s="67">
        <v>41.2</v>
      </c>
      <c r="C30" s="67">
        <v>147</v>
      </c>
      <c r="D30" s="68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6">
        <v>9029</v>
      </c>
      <c r="N30" s="49">
        <v>5249</v>
      </c>
      <c r="O30" s="47">
        <v>13379</v>
      </c>
      <c r="P30" s="47">
        <v>0</v>
      </c>
      <c r="Q30" s="47">
        <v>15972</v>
      </c>
      <c r="R30" s="82">
        <f>2018+1241+2953+5211</f>
        <v>11423</v>
      </c>
      <c r="S30" s="21">
        <f t="shared" si="3"/>
        <v>1.2072000000000001</v>
      </c>
      <c r="T30" s="21">
        <v>0</v>
      </c>
      <c r="U30" s="21">
        <f t="shared" si="1"/>
        <v>0.32</v>
      </c>
      <c r="V30" s="30">
        <v>47</v>
      </c>
      <c r="W30" s="30">
        <v>19</v>
      </c>
      <c r="X30" s="30">
        <v>37</v>
      </c>
      <c r="Y30" s="30">
        <v>58</v>
      </c>
      <c r="Z30" s="30">
        <v>84</v>
      </c>
      <c r="AA30" s="30">
        <v>0</v>
      </c>
      <c r="AB30" s="34">
        <v>0</v>
      </c>
      <c r="AC30" s="96"/>
      <c r="AD30" s="87"/>
      <c r="AE30" s="97"/>
    </row>
    <row r="31" spans="1:31" ht="15" customHeight="1">
      <c r="A31" s="58">
        <v>44590</v>
      </c>
      <c r="B31" s="67">
        <v>60.5</v>
      </c>
      <c r="C31" s="67">
        <v>289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6">
        <v>9973</v>
      </c>
      <c r="N31" s="50">
        <v>5087</v>
      </c>
      <c r="O31" s="51">
        <v>2498</v>
      </c>
      <c r="P31" s="47">
        <v>0</v>
      </c>
      <c r="Q31" s="47">
        <v>0</v>
      </c>
      <c r="R31" s="21">
        <f>2144+1227+584</f>
        <v>3955</v>
      </c>
      <c r="S31" s="21">
        <f t="shared" si="3"/>
        <v>1.2072000000000001</v>
      </c>
      <c r="T31" s="21">
        <v>0</v>
      </c>
      <c r="U31" s="21">
        <f t="shared" si="1"/>
        <v>0.32</v>
      </c>
      <c r="V31" s="30">
        <v>53</v>
      </c>
      <c r="W31" s="30">
        <v>32</v>
      </c>
      <c r="X31" s="30">
        <v>44</v>
      </c>
      <c r="Y31" s="30">
        <v>102</v>
      </c>
      <c r="Z31" s="30">
        <v>135</v>
      </c>
      <c r="AA31" s="30">
        <v>0</v>
      </c>
      <c r="AB31" s="34">
        <v>0</v>
      </c>
      <c r="AC31" s="96"/>
      <c r="AD31" s="87"/>
      <c r="AE31" s="97"/>
    </row>
    <row r="32" spans="1:31" ht="15" customHeight="1">
      <c r="A32" s="58">
        <v>44591</v>
      </c>
      <c r="B32" s="67">
        <v>60.5</v>
      </c>
      <c r="C32" s="67">
        <v>311</v>
      </c>
      <c r="D32" s="68"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6">
        <v>9948</v>
      </c>
      <c r="N32" s="52">
        <v>5290</v>
      </c>
      <c r="O32" s="53">
        <v>9897</v>
      </c>
      <c r="P32" s="53">
        <v>0</v>
      </c>
      <c r="Q32" s="53">
        <v>5284</v>
      </c>
      <c r="R32" s="21">
        <f>2123+1219+2095+1206</f>
        <v>6643</v>
      </c>
      <c r="S32" s="21">
        <f t="shared" si="3"/>
        <v>1.2072000000000001</v>
      </c>
      <c r="T32" s="21">
        <v>0</v>
      </c>
      <c r="U32" s="21">
        <f t="shared" si="1"/>
        <v>0.32</v>
      </c>
      <c r="V32" s="30">
        <v>50</v>
      </c>
      <c r="W32" s="30">
        <v>21</v>
      </c>
      <c r="X32" s="30">
        <v>38</v>
      </c>
      <c r="Y32" s="30">
        <v>150</v>
      </c>
      <c r="Z32" s="30">
        <v>74</v>
      </c>
      <c r="AA32" s="30">
        <v>0</v>
      </c>
      <c r="AB32" s="34">
        <v>0</v>
      </c>
      <c r="AC32" s="96"/>
      <c r="AD32" s="87"/>
      <c r="AE32" s="97"/>
    </row>
    <row r="33" spans="1:31" ht="12.75" customHeight="1">
      <c r="A33" s="58">
        <v>44592</v>
      </c>
      <c r="B33" s="48">
        <v>61.8</v>
      </c>
      <c r="C33" s="69">
        <v>337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6">
        <v>6657</v>
      </c>
      <c r="N33" s="53">
        <v>10934</v>
      </c>
      <c r="O33" s="53">
        <v>6271</v>
      </c>
      <c r="P33" s="54">
        <v>0</v>
      </c>
      <c r="Q33" s="55">
        <v>9836</v>
      </c>
      <c r="R33" s="21">
        <f>1453+2462+963+2142</f>
        <v>7020</v>
      </c>
      <c r="S33" s="21">
        <f>20.62*0.06</f>
        <v>1.2372000000000001</v>
      </c>
      <c r="T33" s="21">
        <v>0</v>
      </c>
      <c r="U33" s="21">
        <f t="shared" si="1"/>
        <v>0.32</v>
      </c>
      <c r="V33" s="56">
        <v>54</v>
      </c>
      <c r="W33" s="56">
        <v>39</v>
      </c>
      <c r="X33" s="56">
        <v>52</v>
      </c>
      <c r="Y33" s="56">
        <v>106</v>
      </c>
      <c r="Z33" s="56">
        <v>119</v>
      </c>
      <c r="AA33" s="56">
        <v>0</v>
      </c>
      <c r="AB33" s="34">
        <v>0</v>
      </c>
      <c r="AC33" s="98"/>
      <c r="AD33" s="99"/>
      <c r="AE33" s="100"/>
    </row>
    <row r="34" spans="1:31">
      <c r="Y34" s="79"/>
      <c r="Z34" s="79"/>
    </row>
    <row r="35" spans="1:31">
      <c r="V35" s="87"/>
      <c r="W35" s="87"/>
      <c r="X35" s="87"/>
    </row>
    <row r="38" spans="1:31" ht="15">
      <c r="P38" s="78"/>
    </row>
    <row r="39" spans="1:31" ht="15">
      <c r="P39" s="78"/>
    </row>
  </sheetData>
  <mergeCells count="9">
    <mergeCell ref="V35:X35"/>
    <mergeCell ref="AD13:AE13"/>
    <mergeCell ref="AD14:AE14"/>
    <mergeCell ref="AC16:AE33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workbookViewId="0">
      <selection activeCell="D2" sqref="D2:D32"/>
    </sheetView>
  </sheetViews>
  <sheetFormatPr defaultColWidth="11.5703125" defaultRowHeight="1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>
      <c r="A1" s="26" t="s">
        <v>38</v>
      </c>
      <c r="B1" s="23" t="s">
        <v>39</v>
      </c>
      <c r="C1" s="23" t="s">
        <v>40</v>
      </c>
      <c r="D1" s="23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24" t="s">
        <v>52</v>
      </c>
      <c r="P1" s="24" t="s">
        <v>53</v>
      </c>
      <c r="Q1" s="24" t="s">
        <v>54</v>
      </c>
      <c r="R1" s="24" t="s">
        <v>55</v>
      </c>
      <c r="S1" s="24" t="s">
        <v>56</v>
      </c>
      <c r="T1" s="24" t="s">
        <v>57</v>
      </c>
      <c r="U1" s="24" t="s">
        <v>58</v>
      </c>
      <c r="V1" s="24" t="s">
        <v>59</v>
      </c>
      <c r="W1" s="24" t="s">
        <v>60</v>
      </c>
      <c r="X1" s="24" t="s">
        <v>61</v>
      </c>
      <c r="Y1" s="24" t="s">
        <v>62</v>
      </c>
      <c r="Z1" s="24" t="s">
        <v>63</v>
      </c>
      <c r="AA1" s="24" t="s">
        <v>64</v>
      </c>
      <c r="AB1" s="24" t="s">
        <v>65</v>
      </c>
      <c r="AC1" s="24" t="s">
        <v>28</v>
      </c>
    </row>
    <row r="2" spans="1:29">
      <c r="A2" s="1" t="s">
        <v>66</v>
      </c>
      <c r="B2" s="11">
        <v>1</v>
      </c>
      <c r="C2" s="11">
        <v>1</v>
      </c>
      <c r="D2" s="11">
        <v>2022</v>
      </c>
      <c r="E2" s="18">
        <f>'FS Seychelles'!B3</f>
        <v>73.7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0</v>
      </c>
      <c r="P2" s="18">
        <f>'FS Seychelles'!N3</f>
        <v>11062</v>
      </c>
      <c r="Q2" s="18">
        <f>'FS Seychelles'!O3</f>
        <v>9102</v>
      </c>
      <c r="R2" s="18">
        <f>'FS Seychelles'!P3</f>
        <v>0</v>
      </c>
      <c r="S2" s="18">
        <f>'FS Seychelles'!Q3</f>
        <v>16163</v>
      </c>
      <c r="T2" s="18">
        <f>'FS Seychelles'!R3</f>
        <v>8133</v>
      </c>
      <c r="U2" s="18">
        <f>'FS Seychelles'!T3</f>
        <v>0</v>
      </c>
      <c r="V2" s="18">
        <f>'FS Seychelles'!V3</f>
        <v>55</v>
      </c>
      <c r="W2" s="18">
        <f>'FS Seychelles'!W3</f>
        <v>49</v>
      </c>
      <c r="X2" s="18">
        <f>'FS Seychelles'!X3</f>
        <v>41</v>
      </c>
      <c r="Y2" s="18">
        <f>'FS Seychelles'!Y3</f>
        <v>197</v>
      </c>
      <c r="Z2" s="18">
        <f>'FS Seychelles'!Z3</f>
        <v>102</v>
      </c>
      <c r="AA2" s="18">
        <f>'FS Seychelles'!AA3</f>
        <v>85</v>
      </c>
      <c r="AB2" s="18">
        <f>'FS Seychelles'!AB3</f>
        <v>0</v>
      </c>
      <c r="AC2" s="18">
        <f>('FS Seychelles'!AE9+'FS Seychelles'!AE15)/30</f>
        <v>247.66666666666666</v>
      </c>
    </row>
    <row r="3" spans="1:29">
      <c r="A3" s="1" t="s">
        <v>66</v>
      </c>
      <c r="B3" s="11">
        <f>B2+1</f>
        <v>2</v>
      </c>
      <c r="C3" s="11">
        <f>C2</f>
        <v>1</v>
      </c>
      <c r="D3" s="11">
        <v>2022</v>
      </c>
      <c r="E3" s="18">
        <f>'FS Seychelles'!B4</f>
        <v>67.099999999999994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6234</v>
      </c>
      <c r="P3" s="18">
        <f>'FS Seychelles'!N4</f>
        <v>9614</v>
      </c>
      <c r="Q3" s="18">
        <f>'FS Seychelles'!O4</f>
        <v>9042</v>
      </c>
      <c r="R3" s="18">
        <f>'FS Seychelles'!P4</f>
        <v>5723</v>
      </c>
      <c r="S3" s="18">
        <f>'FS Seychelles'!Q4</f>
        <v>5755</v>
      </c>
      <c r="T3" s="18">
        <f>'FS Seychelles'!R4</f>
        <v>7920</v>
      </c>
      <c r="U3" s="18">
        <f>'FS Seychelles'!T4</f>
        <v>0</v>
      </c>
      <c r="V3" s="18">
        <f>'FS Seychelles'!V4</f>
        <v>55</v>
      </c>
      <c r="W3" s="18">
        <f>'FS Seychelles'!W4</f>
        <v>36</v>
      </c>
      <c r="X3" s="18">
        <f>'FS Seychelles'!X4</f>
        <v>30</v>
      </c>
      <c r="Y3" s="18">
        <f>'FS Seychelles'!Y4</f>
        <v>162</v>
      </c>
      <c r="Z3" s="18">
        <f>'FS Seychelles'!Z4</f>
        <v>88</v>
      </c>
      <c r="AA3" s="18">
        <f>'FS Seychelles'!AA4</f>
        <v>98</v>
      </c>
      <c r="AB3" s="18">
        <f>'FS Seychelles'!AB4</f>
        <v>0</v>
      </c>
      <c r="AC3" s="18">
        <f>('FS Seychelles'!AE10+'FS Seychelles'!AE16)/30</f>
        <v>45.333333333333336</v>
      </c>
    </row>
    <row r="4" spans="1:29">
      <c r="A4" s="1" t="s">
        <v>66</v>
      </c>
      <c r="B4" s="11">
        <f t="shared" ref="B4:B31" si="0">B3+1</f>
        <v>3</v>
      </c>
      <c r="C4" s="11">
        <f t="shared" ref="C4:C32" si="1">C3</f>
        <v>1</v>
      </c>
      <c r="D4" s="11">
        <v>2022</v>
      </c>
      <c r="E4" s="18">
        <f>'FS Seychelles'!B5</f>
        <v>75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5272</v>
      </c>
      <c r="P4" s="18">
        <f>'FS Seychelles'!N5</f>
        <v>10694</v>
      </c>
      <c r="Q4" s="18">
        <f>'FS Seychelles'!O5</f>
        <v>7349</v>
      </c>
      <c r="R4" s="18">
        <f>'FS Seychelles'!P5</f>
        <v>6416</v>
      </c>
      <c r="S4" s="18">
        <f>'FS Seychelles'!Q5</f>
        <v>4290</v>
      </c>
      <c r="T4" s="18">
        <f>'FS Seychelles'!R5</f>
        <v>8238</v>
      </c>
      <c r="U4" s="18">
        <f>'FS Seychelles'!T5</f>
        <v>0</v>
      </c>
      <c r="V4" s="18">
        <f>'FS Seychelles'!V5</f>
        <v>56</v>
      </c>
      <c r="W4" s="18">
        <f>'FS Seychelles'!W5</f>
        <v>0</v>
      </c>
      <c r="X4" s="18">
        <f>'FS Seychelles'!X5</f>
        <v>42</v>
      </c>
      <c r="Y4" s="18">
        <f>'FS Seychelles'!Y5</f>
        <v>158</v>
      </c>
      <c r="Z4" s="18">
        <f>'FS Seychelles'!Z5</f>
        <v>99</v>
      </c>
      <c r="AA4" s="18">
        <f>'FS Seychelles'!AA5</f>
        <v>0</v>
      </c>
      <c r="AB4" s="18">
        <f>'FS Seychelles'!AB5</f>
        <v>0</v>
      </c>
      <c r="AC4" s="18">
        <f>('FS Seychelles'!AE11+'FS Seychelles'!AE17)/30</f>
        <v>0</v>
      </c>
    </row>
    <row r="5" spans="1:29">
      <c r="A5" s="1" t="s">
        <v>66</v>
      </c>
      <c r="B5" s="11">
        <f t="shared" si="0"/>
        <v>4</v>
      </c>
      <c r="C5" s="11">
        <f t="shared" si="1"/>
        <v>1</v>
      </c>
      <c r="D5" s="11">
        <v>2022</v>
      </c>
      <c r="E5" s="18">
        <f>'FS Seychelles'!B6</f>
        <v>75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8348</v>
      </c>
      <c r="P5" s="18">
        <f>'FS Seychelles'!N6</f>
        <v>12229</v>
      </c>
      <c r="Q5" s="18">
        <f>'FS Seychelles'!O6</f>
        <v>5167</v>
      </c>
      <c r="R5" s="18">
        <f>'FS Seychelles'!P6</f>
        <v>0</v>
      </c>
      <c r="S5" s="18">
        <f>'FS Seychelles'!Q6</f>
        <v>8974</v>
      </c>
      <c r="T5" s="18">
        <f>'FS Seychelles'!R6</f>
        <v>7643</v>
      </c>
      <c r="U5" s="18">
        <f>'FS Seychelles'!T6</f>
        <v>0</v>
      </c>
      <c r="V5" s="18">
        <f>'FS Seychelles'!V6</f>
        <v>68</v>
      </c>
      <c r="W5" s="18">
        <f>'FS Seychelles'!W6</f>
        <v>19</v>
      </c>
      <c r="X5" s="18">
        <f>'FS Seychelles'!X6</f>
        <v>46</v>
      </c>
      <c r="Y5" s="18">
        <f>'FS Seychelles'!Y6</f>
        <v>154</v>
      </c>
      <c r="Z5" s="18">
        <f>'FS Seychelles'!Z6</f>
        <v>122</v>
      </c>
      <c r="AA5" s="18">
        <f>'FS Seychelles'!AA6</f>
        <v>58</v>
      </c>
      <c r="AB5" s="18">
        <f>'FS Seychelles'!AB6</f>
        <v>0</v>
      </c>
      <c r="AC5" s="18">
        <f>('FS Seychelles'!AE12+'FS Seychelles'!AE18)/30</f>
        <v>0</v>
      </c>
    </row>
    <row r="6" spans="1:29">
      <c r="A6" s="1" t="s">
        <v>66</v>
      </c>
      <c r="B6" s="11">
        <f t="shared" si="0"/>
        <v>5</v>
      </c>
      <c r="C6" s="11">
        <f t="shared" si="1"/>
        <v>1</v>
      </c>
      <c r="D6" s="11">
        <v>2022</v>
      </c>
      <c r="E6" s="18">
        <f>'FS Seychelles'!B7</f>
        <v>77.599999999999994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5964</v>
      </c>
      <c r="P6" s="18">
        <f>'FS Seychelles'!N7</f>
        <v>10771</v>
      </c>
      <c r="Q6" s="18">
        <f>'FS Seychelles'!O7</f>
        <v>9685</v>
      </c>
      <c r="R6" s="18">
        <f>'FS Seychelles'!P7</f>
        <v>0</v>
      </c>
      <c r="S6" s="18">
        <f>'FS Seychelles'!Q7</f>
        <v>10008</v>
      </c>
      <c r="T6" s="18">
        <f>'FS Seychelles'!R7</f>
        <v>7689</v>
      </c>
      <c r="U6" s="18">
        <f>'FS Seychelles'!T7</f>
        <v>0</v>
      </c>
      <c r="V6" s="18">
        <f>'FS Seychelles'!V7</f>
        <v>62</v>
      </c>
      <c r="W6" s="18">
        <f>'FS Seychelles'!W7</f>
        <v>42</v>
      </c>
      <c r="X6" s="18">
        <f>'FS Seychelles'!X7</f>
        <v>35</v>
      </c>
      <c r="Y6" s="18">
        <f>'FS Seychelles'!Y7</f>
        <v>217</v>
      </c>
      <c r="Z6" s="18">
        <f>'FS Seychelles'!Z7</f>
        <v>79</v>
      </c>
      <c r="AA6" s="18">
        <f>'FS Seychelles'!AA7</f>
        <v>0</v>
      </c>
      <c r="AB6" s="18">
        <f>'FS Seychelles'!AB7</f>
        <v>0</v>
      </c>
      <c r="AC6" s="18">
        <f>('FS Seychelles'!AE13+'FS Seychelles'!AE19)/30</f>
        <v>0</v>
      </c>
    </row>
    <row r="7" spans="1:29">
      <c r="A7" s="1" t="s">
        <v>66</v>
      </c>
      <c r="B7" s="11">
        <f t="shared" si="0"/>
        <v>6</v>
      </c>
      <c r="C7" s="11">
        <f t="shared" si="1"/>
        <v>1</v>
      </c>
      <c r="D7" s="11">
        <v>2022</v>
      </c>
      <c r="E7" s="18">
        <f>'FS Seychelles'!B8</f>
        <v>69.7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5775</v>
      </c>
      <c r="P7" s="18">
        <f>'FS Seychelles'!N8</f>
        <v>8467</v>
      </c>
      <c r="Q7" s="18">
        <f>'FS Seychelles'!O8</f>
        <v>10302</v>
      </c>
      <c r="R7" s="18">
        <f>'FS Seychelles'!P8</f>
        <v>0</v>
      </c>
      <c r="S7" s="18">
        <f>'FS Seychelles'!Q8</f>
        <v>9958</v>
      </c>
      <c r="T7" s="18">
        <f>'FS Seychelles'!R8</f>
        <v>7408</v>
      </c>
      <c r="U7" s="18">
        <f>'FS Seychelles'!T8</f>
        <v>0</v>
      </c>
      <c r="V7" s="18">
        <f>'FS Seychelles'!V8</f>
        <v>61</v>
      </c>
      <c r="W7" s="18">
        <f>'FS Seychelles'!W8</f>
        <v>0</v>
      </c>
      <c r="X7" s="18">
        <f>'FS Seychelles'!X8</f>
        <v>50</v>
      </c>
      <c r="Y7" s="18">
        <f>'FS Seychelles'!Y8</f>
        <v>175</v>
      </c>
      <c r="Z7" s="18">
        <f>'FS Seychelles'!Z8</f>
        <v>111</v>
      </c>
      <c r="AA7" s="18">
        <f>'FS Seychelles'!AA8</f>
        <v>0</v>
      </c>
      <c r="AB7" s="18">
        <f>'FS Seychelles'!AB8</f>
        <v>0</v>
      </c>
      <c r="AC7" s="18">
        <f>('FS Seychelles'!AE14+'FS Seychelles'!AE20)/30</f>
        <v>0</v>
      </c>
    </row>
    <row r="8" spans="1:29">
      <c r="A8" s="1" t="s">
        <v>66</v>
      </c>
      <c r="B8" s="11">
        <f t="shared" si="0"/>
        <v>7</v>
      </c>
      <c r="C8" s="11">
        <f t="shared" si="1"/>
        <v>1</v>
      </c>
      <c r="D8" s="11">
        <v>2022</v>
      </c>
      <c r="E8" s="18">
        <f>'FS Seychelles'!B9</f>
        <v>69.7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5396</v>
      </c>
      <c r="P8" s="18">
        <f>'FS Seychelles'!N9</f>
        <v>13312</v>
      </c>
      <c r="Q8" s="18">
        <f>'FS Seychelles'!O9</f>
        <v>8059</v>
      </c>
      <c r="R8" s="18">
        <f>'FS Seychelles'!P9</f>
        <v>0</v>
      </c>
      <c r="S8" s="18">
        <f>'FS Seychelles'!Q9</f>
        <v>10857</v>
      </c>
      <c r="T8" s="18">
        <f>'FS Seychelles'!R9</f>
        <v>8087</v>
      </c>
      <c r="U8" s="18">
        <f>'FS Seychelles'!T9</f>
        <v>0</v>
      </c>
      <c r="V8" s="18">
        <f>'FS Seychelles'!V9</f>
        <v>76</v>
      </c>
      <c r="W8" s="18">
        <f>'FS Seychelles'!W9</f>
        <v>37</v>
      </c>
      <c r="X8" s="18">
        <f>'FS Seychelles'!X9</f>
        <v>52</v>
      </c>
      <c r="Y8" s="18">
        <f>'FS Seychelles'!Y9</f>
        <v>180</v>
      </c>
      <c r="Z8" s="18">
        <f>'FS Seychelles'!Z9</f>
        <v>85</v>
      </c>
      <c r="AA8" s="18">
        <f>'FS Seychelles'!AA9</f>
        <v>0</v>
      </c>
      <c r="AB8" s="18">
        <f>'FS Seychelles'!AB9</f>
        <v>0</v>
      </c>
      <c r="AC8" s="18">
        <f>('FS Seychelles'!AE15+'FS Seychelles'!AE21)/30</f>
        <v>247.66666666666666</v>
      </c>
    </row>
    <row r="9" spans="1:29">
      <c r="A9" s="1" t="s">
        <v>66</v>
      </c>
      <c r="B9" s="11">
        <f t="shared" si="0"/>
        <v>8</v>
      </c>
      <c r="C9" s="11">
        <f t="shared" si="1"/>
        <v>1</v>
      </c>
      <c r="D9" s="11">
        <v>2022</v>
      </c>
      <c r="E9" s="18">
        <f>'FS Seychelles'!B10</f>
        <v>55.3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9646</v>
      </c>
      <c r="P9" s="18">
        <f>'FS Seychelles'!N10</f>
        <v>5071</v>
      </c>
      <c r="Q9" s="18">
        <f>'FS Seychelles'!O10</f>
        <v>10748</v>
      </c>
      <c r="R9" s="18">
        <f>'FS Seychelles'!P10</f>
        <v>0</v>
      </c>
      <c r="S9" s="18">
        <f>'FS Seychelles'!Q10</f>
        <v>10676</v>
      </c>
      <c r="T9" s="18">
        <f>'FS Seychelles'!R10</f>
        <v>7810</v>
      </c>
      <c r="U9" s="18">
        <f>'FS Seychelles'!T10</f>
        <v>0</v>
      </c>
      <c r="V9" s="18">
        <f>'FS Seychelles'!V10</f>
        <v>76</v>
      </c>
      <c r="W9" s="18">
        <f>'FS Seychelles'!W10</f>
        <v>47</v>
      </c>
      <c r="X9" s="18">
        <f>'FS Seychelles'!X10</f>
        <v>41</v>
      </c>
      <c r="Y9" s="18">
        <f>'FS Seychelles'!Y10</f>
        <v>200</v>
      </c>
      <c r="Z9" s="18">
        <f>'FS Seychelles'!Z10</f>
        <v>117</v>
      </c>
      <c r="AA9" s="18">
        <f>'FS Seychelles'!AA10</f>
        <v>0</v>
      </c>
      <c r="AB9" s="18">
        <f>'FS Seychelles'!AB10</f>
        <v>0</v>
      </c>
      <c r="AC9" s="18">
        <f>('FS Seychelles'!AE16+'FS Seychelles'!AE22)/30</f>
        <v>0</v>
      </c>
    </row>
    <row r="10" spans="1:29">
      <c r="A10" s="1" t="s">
        <v>66</v>
      </c>
      <c r="B10" s="11">
        <f t="shared" si="0"/>
        <v>9</v>
      </c>
      <c r="C10" s="11">
        <f t="shared" si="1"/>
        <v>1</v>
      </c>
      <c r="D10" s="11">
        <v>2022</v>
      </c>
      <c r="E10" s="18">
        <f>'FS Seychelles'!B11</f>
        <v>63.2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0</v>
      </c>
      <c r="P10" s="18">
        <f>'FS Seychelles'!N11</f>
        <v>5749</v>
      </c>
      <c r="Q10" s="18">
        <f>'FS Seychelles'!O11</f>
        <v>15591</v>
      </c>
      <c r="R10" s="18">
        <f>'FS Seychelles'!P11</f>
        <v>0</v>
      </c>
      <c r="S10" s="18">
        <f>'FS Seychelles'!Q11</f>
        <v>15572</v>
      </c>
      <c r="T10" s="18">
        <f>'FS Seychelles'!R11</f>
        <v>7866</v>
      </c>
      <c r="U10" s="18">
        <f>'FS Seychelles'!T11</f>
        <v>0</v>
      </c>
      <c r="V10" s="18">
        <f>'FS Seychelles'!V11</f>
        <v>63.625</v>
      </c>
      <c r="W10" s="18">
        <f>'FS Seychelles'!W11</f>
        <v>28.75</v>
      </c>
      <c r="X10" s="18">
        <f>'FS Seychelles'!X11</f>
        <v>42.125</v>
      </c>
      <c r="Y10" s="18">
        <f>'FS Seychelles'!Y11</f>
        <v>180.375</v>
      </c>
      <c r="Z10" s="18">
        <f>'FS Seychelles'!Z11</f>
        <v>100.375</v>
      </c>
      <c r="AA10" s="18">
        <f>'FS Seychelles'!AA11</f>
        <v>30.125</v>
      </c>
      <c r="AB10" s="18">
        <f>'FS Seychelles'!AB11</f>
        <v>0</v>
      </c>
      <c r="AC10" s="18">
        <f>('FS Seychelles'!AE17+'FS Seychelles'!AE23)/30</f>
        <v>0</v>
      </c>
    </row>
    <row r="11" spans="1:29">
      <c r="A11" s="1" t="s">
        <v>66</v>
      </c>
      <c r="B11" s="11">
        <f t="shared" si="0"/>
        <v>10</v>
      </c>
      <c r="C11" s="11">
        <f t="shared" si="1"/>
        <v>1</v>
      </c>
      <c r="D11" s="11">
        <v>2022</v>
      </c>
      <c r="E11" s="18">
        <f>'FS Seychelles'!B12</f>
        <v>71.099999999999994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0</v>
      </c>
      <c r="P11" s="18">
        <f>'FS Seychelles'!N12</f>
        <v>9549</v>
      </c>
      <c r="Q11" s="18">
        <f>'FS Seychelles'!O12</f>
        <v>14782</v>
      </c>
      <c r="R11" s="18">
        <f>'FS Seychelles'!P12</f>
        <v>0</v>
      </c>
      <c r="S11" s="18">
        <f>'FS Seychelles'!Q12</f>
        <v>8459</v>
      </c>
      <c r="T11" s="18">
        <f>'FS Seychelles'!R12</f>
        <v>6940</v>
      </c>
      <c r="U11" s="18">
        <f>'FS Seychelles'!T12</f>
        <v>0</v>
      </c>
      <c r="V11" s="18">
        <f>'FS Seychelles'!V12</f>
        <v>63.625</v>
      </c>
      <c r="W11" s="18">
        <f>'FS Seychelles'!W12</f>
        <v>28.75</v>
      </c>
      <c r="X11" s="18">
        <f>'FS Seychelles'!X12</f>
        <v>42.125</v>
      </c>
      <c r="Y11" s="18">
        <f>'FS Seychelles'!Y12</f>
        <v>180.375</v>
      </c>
      <c r="Z11" s="18">
        <f>'FS Seychelles'!Z12</f>
        <v>100.375</v>
      </c>
      <c r="AA11" s="18">
        <f>'FS Seychelles'!AA12</f>
        <v>30.125</v>
      </c>
      <c r="AB11" s="18">
        <f>'FS Seychelles'!AB12</f>
        <v>0</v>
      </c>
      <c r="AC11" s="18">
        <f>('FS Seychelles'!AE18+'FS Seychelles'!AE24)/30</f>
        <v>0</v>
      </c>
    </row>
    <row r="12" spans="1:29">
      <c r="A12" s="1" t="s">
        <v>66</v>
      </c>
      <c r="B12" s="11">
        <f t="shared" si="0"/>
        <v>11</v>
      </c>
      <c r="C12" s="11">
        <f t="shared" si="1"/>
        <v>1</v>
      </c>
      <c r="D12" s="11">
        <v>2022</v>
      </c>
      <c r="E12" s="18">
        <f>'FS Seychelles'!B13</f>
        <v>76.3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12825</v>
      </c>
      <c r="P12" s="18">
        <f>'FS Seychelles'!N13</f>
        <v>7815</v>
      </c>
      <c r="Q12" s="18">
        <f>'FS Seychelles'!O13</f>
        <v>18689</v>
      </c>
      <c r="R12" s="18">
        <f>'FS Seychelles'!P13</f>
        <v>0</v>
      </c>
      <c r="S12" s="18">
        <f>'FS Seychelles'!Q13</f>
        <v>11938</v>
      </c>
      <c r="T12" s="18">
        <f>'FS Seychelles'!R13</f>
        <v>16513</v>
      </c>
      <c r="U12" s="18">
        <f>'FS Seychelles'!T13</f>
        <v>0</v>
      </c>
      <c r="V12" s="18">
        <f>'FS Seychelles'!V13</f>
        <v>62</v>
      </c>
      <c r="W12" s="18">
        <f>'FS Seychelles'!W13</f>
        <v>23</v>
      </c>
      <c r="X12" s="18">
        <f>'FS Seychelles'!X13</f>
        <v>34</v>
      </c>
      <c r="Y12" s="18">
        <f>'FS Seychelles'!Y13</f>
        <v>192</v>
      </c>
      <c r="Z12" s="18">
        <f>'FS Seychelles'!Z13</f>
        <v>110</v>
      </c>
      <c r="AA12" s="18">
        <f>'FS Seychelles'!AA13</f>
        <v>0</v>
      </c>
      <c r="AB12" s="18">
        <f>'FS Seychelles'!AB13</f>
        <v>0</v>
      </c>
      <c r="AC12" s="18">
        <f>('FS Seychelles'!AE19+'FS Seychelles'!AE25)/30</f>
        <v>0</v>
      </c>
    </row>
    <row r="13" spans="1:29">
      <c r="A13" s="1" t="s">
        <v>66</v>
      </c>
      <c r="B13" s="11">
        <f t="shared" si="0"/>
        <v>12</v>
      </c>
      <c r="C13" s="11">
        <f t="shared" si="1"/>
        <v>1</v>
      </c>
      <c r="D13" s="11">
        <v>2022</v>
      </c>
      <c r="E13" s="18">
        <f>'FS Seychelles'!B14</f>
        <v>69.7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6637</v>
      </c>
      <c r="P13" s="18">
        <f>'FS Seychelles'!N14</f>
        <v>15438</v>
      </c>
      <c r="Q13" s="18">
        <f>'FS Seychelles'!O14</f>
        <v>0</v>
      </c>
      <c r="R13" s="18">
        <f>'FS Seychelles'!P14</f>
        <v>0</v>
      </c>
      <c r="S13" s="18">
        <f>'FS Seychelles'!Q14</f>
        <v>7340</v>
      </c>
      <c r="T13" s="18">
        <f>'FS Seychelles'!R14</f>
        <v>9268</v>
      </c>
      <c r="U13" s="18">
        <f>'FS Seychelles'!T14</f>
        <v>0</v>
      </c>
      <c r="V13" s="18">
        <f>'FS Seychelles'!V14</f>
        <v>58</v>
      </c>
      <c r="W13" s="18">
        <f>'FS Seychelles'!W14</f>
        <v>39</v>
      </c>
      <c r="X13" s="18">
        <f>'FS Seychelles'!X14</f>
        <v>41</v>
      </c>
      <c r="Y13" s="18">
        <f>'FS Seychelles'!Y14</f>
        <v>187</v>
      </c>
      <c r="Z13" s="18">
        <f>'FS Seychelles'!Z14</f>
        <v>117</v>
      </c>
      <c r="AA13" s="18">
        <f>'FS Seychelles'!AA14</f>
        <v>0</v>
      </c>
      <c r="AB13" s="18">
        <f>'FS Seychelles'!AB14</f>
        <v>0</v>
      </c>
      <c r="AC13" s="18">
        <f>('FS Seychelles'!AE20+'FS Seychelles'!AE26)/30</f>
        <v>0</v>
      </c>
    </row>
    <row r="14" spans="1:29">
      <c r="A14" s="1" t="s">
        <v>66</v>
      </c>
      <c r="B14" s="11">
        <f t="shared" si="0"/>
        <v>13</v>
      </c>
      <c r="C14" s="11">
        <f t="shared" si="1"/>
        <v>1</v>
      </c>
      <c r="D14" s="11">
        <v>2022</v>
      </c>
      <c r="E14" s="18">
        <f>'FS Seychelles'!B15</f>
        <v>57.9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10484</v>
      </c>
      <c r="P14" s="18">
        <f>'FS Seychelles'!N15</f>
        <v>6911</v>
      </c>
      <c r="Q14" s="18">
        <f>'FS Seychelles'!O15</f>
        <v>10200</v>
      </c>
      <c r="R14" s="18">
        <f>'FS Seychelles'!P15</f>
        <v>0</v>
      </c>
      <c r="S14" s="18">
        <f>'FS Seychelles'!Q15</f>
        <v>0</v>
      </c>
      <c r="T14" s="18">
        <f>'FS Seychelles'!R15</f>
        <v>6119</v>
      </c>
      <c r="U14" s="18">
        <f>'FS Seychelles'!T15</f>
        <v>0</v>
      </c>
      <c r="V14" s="18">
        <f>'FS Seychelles'!V15</f>
        <v>60</v>
      </c>
      <c r="W14" s="18">
        <f>'FS Seychelles'!W15</f>
        <v>29</v>
      </c>
      <c r="X14" s="18">
        <f>'FS Seychelles'!X15</f>
        <v>44</v>
      </c>
      <c r="Y14" s="18">
        <f>'FS Seychelles'!Y15</f>
        <v>191</v>
      </c>
      <c r="Z14" s="18">
        <f>'FS Seychelles'!Z15</f>
        <v>118</v>
      </c>
      <c r="AA14" s="18">
        <f>'FS Seychelles'!AA15</f>
        <v>0</v>
      </c>
      <c r="AB14" s="18">
        <f>'FS Seychelles'!AB15</f>
        <v>0</v>
      </c>
      <c r="AC14" s="18">
        <f>('FS Seychelles'!AE21+'FS Seychelles'!AE27)/30</f>
        <v>0</v>
      </c>
    </row>
    <row r="15" spans="1:29">
      <c r="A15" s="1" t="s">
        <v>66</v>
      </c>
      <c r="B15" s="11">
        <f t="shared" si="0"/>
        <v>14</v>
      </c>
      <c r="C15" s="11">
        <f t="shared" si="1"/>
        <v>1</v>
      </c>
      <c r="D15" s="11">
        <v>2022</v>
      </c>
      <c r="E15" s="18">
        <f>'FS Seychelles'!B16</f>
        <v>59.2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15075</v>
      </c>
      <c r="P15" s="18">
        <f>'FS Seychelles'!N16</f>
        <v>0</v>
      </c>
      <c r="Q15" s="18">
        <f>'FS Seychelles'!O16</f>
        <v>11098</v>
      </c>
      <c r="R15" s="18">
        <f>'FS Seychelles'!P16</f>
        <v>0</v>
      </c>
      <c r="S15" s="18">
        <f>'FS Seychelles'!Q16</f>
        <v>0</v>
      </c>
      <c r="T15" s="18">
        <f>'FS Seychelles'!R16</f>
        <v>5957</v>
      </c>
      <c r="U15" s="18">
        <f>'FS Seychelles'!T16</f>
        <v>0</v>
      </c>
      <c r="V15" s="18">
        <f>'FS Seychelles'!V16</f>
        <v>67</v>
      </c>
      <c r="W15" s="18">
        <f>'FS Seychelles'!W16</f>
        <v>18</v>
      </c>
      <c r="X15" s="18">
        <f>'FS Seychelles'!X16</f>
        <v>26</v>
      </c>
      <c r="Y15" s="18">
        <f>'FS Seychelles'!Y16</f>
        <v>163</v>
      </c>
      <c r="Z15" s="18">
        <f>'FS Seychelles'!Z16</f>
        <v>94</v>
      </c>
      <c r="AA15" s="18">
        <f>'FS Seychelles'!AA16</f>
        <v>0</v>
      </c>
      <c r="AB15" s="18">
        <f>'FS Seychelles'!AB16</f>
        <v>0</v>
      </c>
      <c r="AC15" s="18">
        <f>('FS Seychelles'!AE22+'FS Seychelles'!AE28)/30</f>
        <v>0</v>
      </c>
    </row>
    <row r="16" spans="1:29">
      <c r="A16" s="1" t="s">
        <v>66</v>
      </c>
      <c r="B16" s="11">
        <f t="shared" si="0"/>
        <v>15</v>
      </c>
      <c r="C16" s="11">
        <f t="shared" si="1"/>
        <v>1</v>
      </c>
      <c r="D16" s="11">
        <v>2022</v>
      </c>
      <c r="E16" s="18">
        <f>'FS Seychelles'!B17</f>
        <v>44.7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6397</v>
      </c>
      <c r="P16" s="18">
        <f>'FS Seychelles'!N17</f>
        <v>9767</v>
      </c>
      <c r="Q16" s="18">
        <f>'FS Seychelles'!O17</f>
        <v>7809</v>
      </c>
      <c r="R16" s="18">
        <f>'FS Seychelles'!P17</f>
        <v>0</v>
      </c>
      <c r="S16" s="18">
        <f>'FS Seychelles'!Q17</f>
        <v>10582</v>
      </c>
      <c r="T16" s="18">
        <f>'FS Seychelles'!R17</f>
        <v>7770</v>
      </c>
      <c r="U16" s="18">
        <f>'FS Seychelles'!T17</f>
        <v>0</v>
      </c>
      <c r="V16" s="18">
        <f>'FS Seychelles'!V17</f>
        <v>71</v>
      </c>
      <c r="W16" s="18">
        <f>'FS Seychelles'!W17</f>
        <v>64</v>
      </c>
      <c r="X16" s="18">
        <f>'FS Seychelles'!X17</f>
        <v>44</v>
      </c>
      <c r="Y16" s="18">
        <f>'FS Seychelles'!Y17</f>
        <v>208</v>
      </c>
      <c r="Z16" s="18">
        <f>'FS Seychelles'!Z17</f>
        <v>118</v>
      </c>
      <c r="AA16" s="18">
        <f>'FS Seychelles'!AA17</f>
        <v>0</v>
      </c>
      <c r="AB16" s="18">
        <f>'FS Seychelles'!AB17</f>
        <v>0</v>
      </c>
      <c r="AC16" s="18">
        <f>('FS Seychelles'!AE23+'FS Seychelles'!AE29)/30</f>
        <v>0</v>
      </c>
    </row>
    <row r="17" spans="1:29">
      <c r="A17" s="1" t="s">
        <v>66</v>
      </c>
      <c r="B17" s="11">
        <f t="shared" si="0"/>
        <v>16</v>
      </c>
      <c r="C17" s="11">
        <f t="shared" si="1"/>
        <v>1</v>
      </c>
      <c r="D17" s="11">
        <v>2022</v>
      </c>
      <c r="E17" s="18">
        <f>'FS Seychelles'!B18</f>
        <v>27.6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9008</v>
      </c>
      <c r="P17" s="18">
        <f>'FS Seychelles'!N18</f>
        <v>4684</v>
      </c>
      <c r="Q17" s="18">
        <f>'FS Seychelles'!O18</f>
        <v>9094</v>
      </c>
      <c r="R17" s="18">
        <f>'FS Seychelles'!P18</f>
        <v>0</v>
      </c>
      <c r="S17" s="18">
        <f>'FS Seychelles'!Q18</f>
        <v>8142</v>
      </c>
      <c r="T17" s="18">
        <f>'FS Seychelles'!R18</f>
        <v>6751</v>
      </c>
      <c r="U17" s="18">
        <f>'FS Seychelles'!T18</f>
        <v>0</v>
      </c>
      <c r="V17" s="18">
        <f>'FS Seychelles'!V18</f>
        <v>74</v>
      </c>
      <c r="W17" s="18">
        <f>'FS Seychelles'!W18</f>
        <v>0</v>
      </c>
      <c r="X17" s="18">
        <f>'FS Seychelles'!X18</f>
        <v>6</v>
      </c>
      <c r="Y17" s="18">
        <f>'FS Seychelles'!Y18</f>
        <v>178</v>
      </c>
      <c r="Z17" s="18">
        <f>'FS Seychelles'!Z18</f>
        <v>146</v>
      </c>
      <c r="AA17" s="18">
        <f>'FS Seychelles'!AA18</f>
        <v>0</v>
      </c>
      <c r="AB17" s="18">
        <f>'FS Seychelles'!AB18</f>
        <v>0</v>
      </c>
      <c r="AC17" s="18">
        <f>('FS Seychelles'!AE24+'FS Seychelles'!AE30)/30</f>
        <v>0</v>
      </c>
    </row>
    <row r="18" spans="1:29">
      <c r="A18" s="1" t="s">
        <v>66</v>
      </c>
      <c r="B18" s="11">
        <f t="shared" si="0"/>
        <v>17</v>
      </c>
      <c r="C18" s="11">
        <f t="shared" si="1"/>
        <v>1</v>
      </c>
      <c r="D18" s="11">
        <v>2022</v>
      </c>
      <c r="E18" s="18">
        <f>'FS Seychelles'!B19</f>
        <v>14.5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7969</v>
      </c>
      <c r="P18" s="18">
        <f>'FS Seychelles'!N19</f>
        <v>7423</v>
      </c>
      <c r="Q18" s="18">
        <f>'FS Seychelles'!O19</f>
        <v>9326</v>
      </c>
      <c r="R18" s="18">
        <f>'FS Seychelles'!P19</f>
        <v>0</v>
      </c>
      <c r="S18" s="18">
        <f>'FS Seychelles'!Q19</f>
        <v>2634</v>
      </c>
      <c r="T18" s="18">
        <f>'FS Seychelles'!R19</f>
        <v>6135</v>
      </c>
      <c r="U18" s="18">
        <f>'FS Seychelles'!T19</f>
        <v>0</v>
      </c>
      <c r="V18" s="18">
        <f>'FS Seychelles'!V19</f>
        <v>63.625</v>
      </c>
      <c r="W18" s="18">
        <f>'FS Seychelles'!W19</f>
        <v>28.75</v>
      </c>
      <c r="X18" s="18">
        <f>'FS Seychelles'!X19</f>
        <v>42.125</v>
      </c>
      <c r="Y18" s="18">
        <f>'FS Seychelles'!Y19</f>
        <v>180.375</v>
      </c>
      <c r="Z18" s="18">
        <f>'FS Seychelles'!Z19</f>
        <v>100.375</v>
      </c>
      <c r="AA18" s="18">
        <f>'FS Seychelles'!AA19</f>
        <v>30.125</v>
      </c>
      <c r="AB18" s="18">
        <f>'FS Seychelles'!AB19</f>
        <v>0</v>
      </c>
      <c r="AC18" s="18">
        <f>('FS Seychelles'!AE25+'FS Seychelles'!AE31)/30</f>
        <v>0</v>
      </c>
    </row>
    <row r="19" spans="1:29">
      <c r="A19" s="1" t="s">
        <v>66</v>
      </c>
      <c r="B19" s="11">
        <f t="shared" si="0"/>
        <v>18</v>
      </c>
      <c r="C19" s="11">
        <f t="shared" si="1"/>
        <v>1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6766.4705882352937</v>
      </c>
      <c r="P19" s="18">
        <f>'FS Seychelles'!N20</f>
        <v>8738.5882352941171</v>
      </c>
      <c r="Q19" s="18">
        <f>'FS Seychelles'!O20</f>
        <v>9767.2352941176468</v>
      </c>
      <c r="R19" s="18">
        <f>'FS Seychelles'!P20</f>
        <v>714.05882352941171</v>
      </c>
      <c r="S19" s="18">
        <f>'FS Seychelles'!Q20</f>
        <v>8314.5882352941171</v>
      </c>
      <c r="T19" s="18">
        <f>'FS Seychelles'!R20</f>
        <v>8014.5294117647063</v>
      </c>
      <c r="U19" s="18">
        <f>'FS Seychelles'!T20</f>
        <v>0</v>
      </c>
      <c r="V19" s="18">
        <f>'FS Seychelles'!V20</f>
        <v>46</v>
      </c>
      <c r="W19" s="18">
        <f>'FS Seychelles'!W20</f>
        <v>16</v>
      </c>
      <c r="X19" s="18">
        <f>'FS Seychelles'!X20</f>
        <v>0</v>
      </c>
      <c r="Y19" s="18">
        <f>'FS Seychelles'!Y20</f>
        <v>134</v>
      </c>
      <c r="Z19" s="18">
        <f>'FS Seychelles'!Z20</f>
        <v>48</v>
      </c>
      <c r="AA19" s="18">
        <f>'FS Seychelles'!AA20</f>
        <v>0</v>
      </c>
      <c r="AB19" s="18">
        <f>'FS Seychelles'!AB20</f>
        <v>0</v>
      </c>
      <c r="AC19" s="18">
        <f>('FS Seychelles'!AE26+'FS Seychelles'!AE32)/30</f>
        <v>0</v>
      </c>
    </row>
    <row r="20" spans="1:29">
      <c r="A20" s="1" t="s">
        <v>66</v>
      </c>
      <c r="B20" s="11">
        <f t="shared" si="0"/>
        <v>19</v>
      </c>
      <c r="C20" s="11">
        <f t="shared" si="1"/>
        <v>1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8205</v>
      </c>
      <c r="P20" s="18">
        <f>'FS Seychelles'!N21</f>
        <v>0</v>
      </c>
      <c r="Q20" s="18">
        <f>'FS Seychelles'!O21</f>
        <v>883</v>
      </c>
      <c r="R20" s="18">
        <f>'FS Seychelles'!P21</f>
        <v>0</v>
      </c>
      <c r="S20" s="18">
        <f>'FS Seychelles'!Q21</f>
        <v>5443</v>
      </c>
      <c r="T20" s="18">
        <f>'FS Seychelles'!R21</f>
        <v>3851</v>
      </c>
      <c r="U20" s="18">
        <f>'FS Seychelles'!T21</f>
        <v>0</v>
      </c>
      <c r="V20" s="18">
        <f>'FS Seychelles'!V21</f>
        <v>63.625</v>
      </c>
      <c r="W20" s="18">
        <f>'FS Seychelles'!W21</f>
        <v>28.75</v>
      </c>
      <c r="X20" s="18">
        <f>'FS Seychelles'!X21</f>
        <v>42.125</v>
      </c>
      <c r="Y20" s="18">
        <f>'FS Seychelles'!Y21</f>
        <v>180.375</v>
      </c>
      <c r="Z20" s="18">
        <f>'FS Seychelles'!Z21</f>
        <v>100.375</v>
      </c>
      <c r="AA20" s="18">
        <f>'FS Seychelles'!AA21</f>
        <v>30.125</v>
      </c>
      <c r="AB20" s="18">
        <f>'FS Seychelles'!AB21</f>
        <v>0</v>
      </c>
      <c r="AC20" s="18">
        <f>('FS Seychelles'!AE27+'FS Seychelles'!AE33)/30</f>
        <v>0</v>
      </c>
    </row>
    <row r="21" spans="1:29">
      <c r="A21" s="1" t="s">
        <v>66</v>
      </c>
      <c r="B21" s="11">
        <f t="shared" si="0"/>
        <v>20</v>
      </c>
      <c r="C21" s="11">
        <f t="shared" si="1"/>
        <v>1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5175</v>
      </c>
      <c r="R21" s="18">
        <f>'FS Seychelles'!P22</f>
        <v>0</v>
      </c>
      <c r="S21" s="18">
        <f>'FS Seychelles'!Q23</f>
        <v>0</v>
      </c>
      <c r="T21" s="18">
        <f>'FS Seychelles'!R22</f>
        <v>1834</v>
      </c>
      <c r="U21" s="18">
        <f>'FS Seychelles'!T22</f>
        <v>0</v>
      </c>
      <c r="V21" s="18">
        <f>'FS Seychelles'!V22</f>
        <v>63.625</v>
      </c>
      <c r="W21" s="18">
        <f>'FS Seychelles'!W22</f>
        <v>28.75</v>
      </c>
      <c r="X21" s="18">
        <f>'FS Seychelles'!X22</f>
        <v>42.125</v>
      </c>
      <c r="Y21" s="18">
        <f>'FS Seychelles'!Y22</f>
        <v>180.375</v>
      </c>
      <c r="Z21" s="18">
        <f>'FS Seychelles'!Z22</f>
        <v>100.375</v>
      </c>
      <c r="AA21" s="18">
        <f>'FS Seychelles'!AA22</f>
        <v>30.125</v>
      </c>
      <c r="AB21" s="18">
        <f>'FS Seychelles'!AB22</f>
        <v>0</v>
      </c>
      <c r="AC21" s="18">
        <f>('FS Seychelles'!AE28+'FS Seychelles'!AE34)/30</f>
        <v>0</v>
      </c>
    </row>
    <row r="22" spans="1:29">
      <c r="A22" s="1" t="s">
        <v>66</v>
      </c>
      <c r="B22" s="11">
        <f t="shared" si="0"/>
        <v>21</v>
      </c>
      <c r="C22" s="11">
        <f t="shared" si="1"/>
        <v>1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10230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2602</v>
      </c>
      <c r="U22" s="18">
        <f>'FS Seychelles'!T23</f>
        <v>0</v>
      </c>
      <c r="V22" s="18">
        <f>'FS Seychelles'!V23</f>
        <v>63.625</v>
      </c>
      <c r="W22" s="18">
        <f>'FS Seychelles'!W23</f>
        <v>28.75</v>
      </c>
      <c r="X22" s="18">
        <f>'FS Seychelles'!X23</f>
        <v>42.125</v>
      </c>
      <c r="Y22" s="18">
        <f>'FS Seychelles'!Y23</f>
        <v>180.375</v>
      </c>
      <c r="Z22" s="18">
        <f>'FS Seychelles'!Z23</f>
        <v>100.375</v>
      </c>
      <c r="AA22" s="18">
        <f>'FS Seychelles'!AA23</f>
        <v>30.125</v>
      </c>
      <c r="AB22" s="18">
        <f>'FS Seychelles'!AB23</f>
        <v>0</v>
      </c>
      <c r="AC22" s="18">
        <f>('FS Seychelles'!AE29+'FS Seychelles'!AE35)/30</f>
        <v>0</v>
      </c>
    </row>
    <row r="23" spans="1:29">
      <c r="A23" s="1" t="s">
        <v>66</v>
      </c>
      <c r="B23" s="11">
        <f t="shared" si="0"/>
        <v>22</v>
      </c>
      <c r="C23" s="11">
        <f t="shared" si="1"/>
        <v>1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7338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1759</v>
      </c>
      <c r="U23" s="18">
        <f>'FS Seychelles'!T24</f>
        <v>0</v>
      </c>
      <c r="V23" s="18">
        <f>'FS Seychelles'!V24</f>
        <v>24</v>
      </c>
      <c r="W23" s="18">
        <f>'FS Seychelles'!W24</f>
        <v>0</v>
      </c>
      <c r="X23" s="18">
        <f>'FS Seychelles'!X24</f>
        <v>29</v>
      </c>
      <c r="Y23" s="18">
        <f>'FS Seychelles'!Y24</f>
        <v>44</v>
      </c>
      <c r="Z23" s="18">
        <f>'FS Seychelles'!Z24</f>
        <v>81</v>
      </c>
      <c r="AA23" s="18">
        <f>'FS Seychelles'!AA24</f>
        <v>0</v>
      </c>
      <c r="AB23" s="18">
        <f>'FS Seychelles'!AB24</f>
        <v>0</v>
      </c>
      <c r="AC23" s="18">
        <f>('FS Seychelles'!AE30+'FS Seychelles'!AE36)/30</f>
        <v>0</v>
      </c>
    </row>
    <row r="24" spans="1:29">
      <c r="A24" s="1" t="s">
        <v>66</v>
      </c>
      <c r="B24" s="11">
        <f t="shared" si="0"/>
        <v>23</v>
      </c>
      <c r="C24" s="11">
        <f t="shared" si="1"/>
        <v>1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1470</v>
      </c>
      <c r="P24" s="18">
        <f>'FS Seychelles'!N25</f>
        <v>9529</v>
      </c>
      <c r="Q24" s="18">
        <f>'FS Seychelles'!O25</f>
        <v>2935</v>
      </c>
      <c r="R24" s="18">
        <f>'FS Seychelles'!P25</f>
        <v>0</v>
      </c>
      <c r="S24" s="18">
        <f>'FS Seychelles'!Q25</f>
        <v>0</v>
      </c>
      <c r="T24" s="18">
        <f>'FS Seychelles'!R25</f>
        <v>3208</v>
      </c>
      <c r="U24" s="18">
        <f>'FS Seychelles'!T25</f>
        <v>0</v>
      </c>
      <c r="V24" s="18">
        <f>'FS Seychelles'!V25</f>
        <v>63.625</v>
      </c>
      <c r="W24" s="18">
        <f>'FS Seychelles'!W25</f>
        <v>28.75</v>
      </c>
      <c r="X24" s="18">
        <f>'FS Seychelles'!X25</f>
        <v>42.125</v>
      </c>
      <c r="Y24" s="18">
        <f>'FS Seychelles'!Y25</f>
        <v>180.375</v>
      </c>
      <c r="Z24" s="18">
        <f>'FS Seychelles'!Z25</f>
        <v>100.375</v>
      </c>
      <c r="AA24" s="18">
        <f>'FS Seychelles'!AA25</f>
        <v>30.125</v>
      </c>
      <c r="AB24" s="18">
        <f>'FS Seychelles'!AB25</f>
        <v>0</v>
      </c>
      <c r="AC24" s="18">
        <f>('FS Seychelles'!AE31+'FS Seychelles'!AE37)/30</f>
        <v>0</v>
      </c>
    </row>
    <row r="25" spans="1:29">
      <c r="A25" s="1" t="s">
        <v>66</v>
      </c>
      <c r="B25" s="11">
        <f t="shared" si="0"/>
        <v>24</v>
      </c>
      <c r="C25" s="11">
        <f t="shared" si="1"/>
        <v>1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4087</v>
      </c>
      <c r="P25" s="18">
        <f>'FS Seychelles'!N26</f>
        <v>9071</v>
      </c>
      <c r="Q25" s="18">
        <f>'FS Seychelles'!O26</f>
        <v>9659</v>
      </c>
      <c r="R25" s="18">
        <f>'FS Seychelles'!P26</f>
        <v>0</v>
      </c>
      <c r="S25" s="18">
        <f>'FS Seychelles'!Q26</f>
        <v>5868</v>
      </c>
      <c r="T25" s="18">
        <f>'FS Seychelles'!R26</f>
        <v>6333</v>
      </c>
      <c r="U25" s="18">
        <f>'FS Seychelles'!T26</f>
        <v>0</v>
      </c>
      <c r="V25" s="18">
        <f>'FS Seychelles'!V26</f>
        <v>36</v>
      </c>
      <c r="W25" s="18">
        <f>'FS Seychelles'!W26</f>
        <v>0</v>
      </c>
      <c r="X25" s="18">
        <f>'FS Seychelles'!X26</f>
        <v>48</v>
      </c>
      <c r="Y25" s="18">
        <f>'FS Seychelles'!Y26</f>
        <v>174</v>
      </c>
      <c r="Z25" s="18">
        <f>'FS Seychelles'!Z26</f>
        <v>129</v>
      </c>
      <c r="AA25" s="18">
        <f>'FS Seychelles'!AA26</f>
        <v>0</v>
      </c>
      <c r="AB25" s="18">
        <f>'FS Seychelles'!AB26</f>
        <v>0</v>
      </c>
      <c r="AC25" s="18">
        <f>('FS Seychelles'!AE32+'FS Seychelles'!AE38)/30</f>
        <v>0</v>
      </c>
    </row>
    <row r="26" spans="1:29">
      <c r="A26" s="1" t="s">
        <v>66</v>
      </c>
      <c r="B26" s="11">
        <f>B25+1</f>
        <v>25</v>
      </c>
      <c r="C26" s="11">
        <f t="shared" si="1"/>
        <v>1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6184</v>
      </c>
      <c r="P26" s="18">
        <f>'FS Seychelles'!N27</f>
        <v>10848</v>
      </c>
      <c r="Q26" s="18">
        <f>'FS Seychelles'!O27</f>
        <v>5011</v>
      </c>
      <c r="R26" s="18">
        <f>'FS Seychelles'!P27</f>
        <v>0</v>
      </c>
      <c r="S26" s="18">
        <f>'FS Seychelles'!Q27</f>
        <v>8174</v>
      </c>
      <c r="T26" s="18">
        <f>'FS Seychelles'!R27</f>
        <v>6758</v>
      </c>
      <c r="U26" s="18">
        <f>'FS Seychelles'!T27</f>
        <v>0</v>
      </c>
      <c r="V26" s="18">
        <f>'FS Seychelles'!V27</f>
        <v>40</v>
      </c>
      <c r="W26" s="18">
        <f>'FS Seychelles'!W27</f>
        <v>34</v>
      </c>
      <c r="X26" s="18">
        <f>'FS Seychelles'!X27</f>
        <v>101</v>
      </c>
      <c r="Y26" s="18">
        <f>'FS Seychelles'!Y27</f>
        <v>346</v>
      </c>
      <c r="Z26" s="18">
        <f>'FS Seychelles'!Z27</f>
        <v>107</v>
      </c>
      <c r="AA26" s="18">
        <f>'FS Seychelles'!AA27</f>
        <v>0</v>
      </c>
      <c r="AB26" s="18">
        <f>'FS Seychelles'!AB27</f>
        <v>0</v>
      </c>
      <c r="AC26" s="18">
        <f>('FS Seychelles'!AE33+'FS Seychelles'!AE39)/30</f>
        <v>0</v>
      </c>
    </row>
    <row r="27" spans="1:29">
      <c r="A27" s="1" t="s">
        <v>66</v>
      </c>
      <c r="B27" s="11">
        <f t="shared" si="0"/>
        <v>26</v>
      </c>
      <c r="C27" s="11">
        <f t="shared" si="1"/>
        <v>1</v>
      </c>
      <c r="D27" s="11">
        <v>2022</v>
      </c>
      <c r="E27" s="18">
        <f>'FS Seychelles'!B28</f>
        <v>14.5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15271</v>
      </c>
      <c r="P27" s="18">
        <f>'FS Seychelles'!N28</f>
        <v>9240</v>
      </c>
      <c r="Q27" s="18">
        <f>'FS Seychelles'!O28</f>
        <v>15155</v>
      </c>
      <c r="R27" s="18">
        <f>'FS Seychelles'!P28</f>
        <v>0</v>
      </c>
      <c r="S27" s="18">
        <f>'FS Seychelles'!Q28</f>
        <v>8174</v>
      </c>
      <c r="T27" s="18">
        <f>'FS Seychelles'!R28</f>
        <v>8793</v>
      </c>
      <c r="U27" s="18">
        <f>'FS Seychelles'!T28</f>
        <v>0</v>
      </c>
      <c r="V27" s="18">
        <f>'FS Seychelles'!V28</f>
        <v>48</v>
      </c>
      <c r="W27" s="18">
        <f>'FS Seychelles'!W28</f>
        <v>25</v>
      </c>
      <c r="X27" s="18">
        <f>'FS Seychelles'!X28</f>
        <v>43</v>
      </c>
      <c r="Y27" s="18">
        <f>'FS Seychelles'!Y28</f>
        <v>237</v>
      </c>
      <c r="Z27" s="18">
        <f>'FS Seychelles'!Z28</f>
        <v>101</v>
      </c>
      <c r="AA27" s="18">
        <f>'FS Seychelles'!AA28</f>
        <v>0</v>
      </c>
      <c r="AB27" s="18">
        <f>'FS Seychelles'!AB28</f>
        <v>0</v>
      </c>
      <c r="AC27" s="18">
        <f>('FS Seychelles'!AE34+'FS Seychelles'!AE40)/30</f>
        <v>0</v>
      </c>
    </row>
    <row r="28" spans="1:29">
      <c r="A28" s="1" t="s">
        <v>66</v>
      </c>
      <c r="B28" s="11">
        <f t="shared" si="0"/>
        <v>27</v>
      </c>
      <c r="C28" s="11">
        <f t="shared" si="1"/>
        <v>1</v>
      </c>
      <c r="D28" s="11">
        <v>2022</v>
      </c>
      <c r="E28" s="18">
        <f>'FS Seychelles'!B29</f>
        <v>30.3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5350</v>
      </c>
      <c r="P28" s="18">
        <f>'FS Seychelles'!N29</f>
        <v>0</v>
      </c>
      <c r="Q28" s="18">
        <f>'FS Seychelles'!O29</f>
        <v>5336</v>
      </c>
      <c r="R28" s="18">
        <f>'FS Seychelles'!P29</f>
        <v>0</v>
      </c>
      <c r="S28" s="18">
        <f>'FS Seychelles'!Q29</f>
        <v>9688</v>
      </c>
      <c r="T28" s="18">
        <f>'FS Seychelles'!R29</f>
        <v>4387</v>
      </c>
      <c r="U28" s="18">
        <f>'FS Seychelles'!T29</f>
        <v>0</v>
      </c>
      <c r="V28" s="18">
        <f>'FS Seychelles'!V29</f>
        <v>41</v>
      </c>
      <c r="W28" s="18">
        <f>'FS Seychelles'!W29</f>
        <v>20</v>
      </c>
      <c r="X28" s="18">
        <f>'FS Seychelles'!X29</f>
        <v>36</v>
      </c>
      <c r="Y28" s="18">
        <f>'FS Seychelles'!Y29</f>
        <v>184</v>
      </c>
      <c r="Z28" s="18">
        <f>'FS Seychelles'!Z29</f>
        <v>69</v>
      </c>
      <c r="AA28" s="18">
        <f>'FS Seychelles'!AA29</f>
        <v>0</v>
      </c>
      <c r="AB28" s="18">
        <f>'FS Seychelles'!AB29</f>
        <v>0</v>
      </c>
      <c r="AC28" s="18">
        <f>('FS Seychelles'!AE35+'FS Seychelles'!AE41)/30</f>
        <v>0</v>
      </c>
    </row>
    <row r="29" spans="1:29">
      <c r="A29" s="1" t="s">
        <v>66</v>
      </c>
      <c r="B29" s="11">
        <f t="shared" si="0"/>
        <v>28</v>
      </c>
      <c r="C29" s="11">
        <f t="shared" si="1"/>
        <v>1</v>
      </c>
      <c r="D29" s="11">
        <v>2022</v>
      </c>
      <c r="E29" s="18">
        <f>'FS Seychelles'!B30</f>
        <v>41.2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9029</v>
      </c>
      <c r="P29" s="18">
        <f>'FS Seychelles'!N30</f>
        <v>5249</v>
      </c>
      <c r="Q29" s="18">
        <f>'FS Seychelles'!O30</f>
        <v>13379</v>
      </c>
      <c r="R29" s="18">
        <f>'FS Seychelles'!P30</f>
        <v>0</v>
      </c>
      <c r="S29" s="18">
        <f>'FS Seychelles'!Q30</f>
        <v>15972</v>
      </c>
      <c r="T29" s="18">
        <f>'FS Seychelles'!R30</f>
        <v>11423</v>
      </c>
      <c r="U29" s="18">
        <f>'FS Seychelles'!T30</f>
        <v>0</v>
      </c>
      <c r="V29" s="18">
        <f>'FS Seychelles'!V30</f>
        <v>47</v>
      </c>
      <c r="W29" s="18">
        <f>'FS Seychelles'!W30</f>
        <v>19</v>
      </c>
      <c r="X29" s="18">
        <f>'FS Seychelles'!X30</f>
        <v>37</v>
      </c>
      <c r="Y29" s="18">
        <f>'FS Seychelles'!Y30</f>
        <v>58</v>
      </c>
      <c r="Z29" s="18">
        <f>'FS Seychelles'!Z30</f>
        <v>84</v>
      </c>
      <c r="AA29" s="18">
        <f>'FS Seychelles'!AA30</f>
        <v>0</v>
      </c>
      <c r="AB29" s="18">
        <f>'FS Seychelles'!AB30</f>
        <v>0</v>
      </c>
      <c r="AC29" s="18">
        <f>('FS Seychelles'!AE36+'FS Seychelles'!AE42)/30</f>
        <v>0</v>
      </c>
    </row>
    <row r="30" spans="1:29">
      <c r="A30" s="1" t="s">
        <v>66</v>
      </c>
      <c r="B30" s="11">
        <f t="shared" si="0"/>
        <v>29</v>
      </c>
      <c r="C30" s="11">
        <f t="shared" si="1"/>
        <v>1</v>
      </c>
      <c r="D30" s="11">
        <v>2022</v>
      </c>
      <c r="E30" s="18">
        <f>'FS Seychelles'!B31</f>
        <v>60.5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9973</v>
      </c>
      <c r="P30" s="18">
        <f>'FS Seychelles'!N31</f>
        <v>5087</v>
      </c>
      <c r="Q30" s="18">
        <f>'FS Seychelles'!O31</f>
        <v>2498</v>
      </c>
      <c r="R30" s="18">
        <f>'FS Seychelles'!P31</f>
        <v>0</v>
      </c>
      <c r="S30" s="18">
        <f>'FS Seychelles'!Q31</f>
        <v>0</v>
      </c>
      <c r="T30" s="18">
        <f>'FS Seychelles'!R31</f>
        <v>3955</v>
      </c>
      <c r="U30" s="18">
        <f>'FS Seychelles'!T31</f>
        <v>0</v>
      </c>
      <c r="V30" s="18">
        <f>'FS Seychelles'!V31</f>
        <v>53</v>
      </c>
      <c r="W30" s="18">
        <f>'FS Seychelles'!W31</f>
        <v>32</v>
      </c>
      <c r="X30" s="18">
        <f>'FS Seychelles'!X31</f>
        <v>44</v>
      </c>
      <c r="Y30" s="18">
        <f>'FS Seychelles'!Y31</f>
        <v>102</v>
      </c>
      <c r="Z30" s="18">
        <f>'FS Seychelles'!Z31</f>
        <v>135</v>
      </c>
      <c r="AA30" s="18">
        <f>'FS Seychelles'!AA31</f>
        <v>0</v>
      </c>
      <c r="AB30" s="18">
        <f>'FS Seychelles'!AB31</f>
        <v>0</v>
      </c>
      <c r="AC30" s="18">
        <f>('FS Seychelles'!AE37+'FS Seychelles'!AE43)/30</f>
        <v>0</v>
      </c>
    </row>
    <row r="31" spans="1:29">
      <c r="A31" s="1" t="s">
        <v>66</v>
      </c>
      <c r="B31" s="11">
        <f t="shared" si="0"/>
        <v>30</v>
      </c>
      <c r="C31" s="11">
        <f t="shared" si="1"/>
        <v>1</v>
      </c>
      <c r="D31" s="11">
        <v>2022</v>
      </c>
      <c r="E31" s="18">
        <f>'FS Seychelles'!B32</f>
        <v>60.5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9948</v>
      </c>
      <c r="P31" s="18">
        <f>'FS Seychelles'!N32</f>
        <v>5290</v>
      </c>
      <c r="Q31" s="18">
        <f>'FS Seychelles'!O32</f>
        <v>9897</v>
      </c>
      <c r="R31" s="18">
        <f>'FS Seychelles'!P32</f>
        <v>0</v>
      </c>
      <c r="S31" s="18">
        <f>'FS Seychelles'!Q32</f>
        <v>5284</v>
      </c>
      <c r="T31" s="18">
        <f>'FS Seychelles'!R32</f>
        <v>6643</v>
      </c>
      <c r="U31" s="18">
        <f>'FS Seychelles'!T32</f>
        <v>0</v>
      </c>
      <c r="V31" s="18">
        <f>'FS Seychelles'!V32</f>
        <v>50</v>
      </c>
      <c r="W31" s="18">
        <f>'FS Seychelles'!W32</f>
        <v>21</v>
      </c>
      <c r="X31" s="18">
        <f>'FS Seychelles'!X32</f>
        <v>38</v>
      </c>
      <c r="Y31" s="18">
        <f>'FS Seychelles'!Y32</f>
        <v>150</v>
      </c>
      <c r="Z31" s="18">
        <f>'FS Seychelles'!Z32</f>
        <v>74</v>
      </c>
      <c r="AA31" s="18">
        <f>'FS Seychelles'!AA32</f>
        <v>0</v>
      </c>
      <c r="AB31" s="18">
        <f>'FS Seychelles'!AB32</f>
        <v>0</v>
      </c>
      <c r="AC31" s="18">
        <f>('FS Seychelles'!AE38+'FS Seychelles'!AE44)/30</f>
        <v>0</v>
      </c>
    </row>
    <row r="32" spans="1:29">
      <c r="A32" s="1" t="s">
        <v>66</v>
      </c>
      <c r="B32" s="11">
        <v>31</v>
      </c>
      <c r="C32" s="11">
        <f t="shared" si="1"/>
        <v>1</v>
      </c>
      <c r="D32" s="11">
        <v>2022</v>
      </c>
      <c r="E32" s="18">
        <f>'FS Seychelles'!B33</f>
        <v>61.8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6657</v>
      </c>
      <c r="P32" s="18">
        <f>'FS Seychelles'!N33</f>
        <v>10934</v>
      </c>
      <c r="Q32" s="18">
        <f>'FS Seychelles'!O33</f>
        <v>6271</v>
      </c>
      <c r="R32" s="18">
        <f>'FS Seychelles'!P33</f>
        <v>0</v>
      </c>
      <c r="S32" s="18">
        <f>'FS Seychelles'!Q33</f>
        <v>9836</v>
      </c>
      <c r="T32" s="18">
        <f>'FS Seychelles'!R33</f>
        <v>7020</v>
      </c>
      <c r="U32" s="18">
        <f>'FS Seychelles'!T33</f>
        <v>0</v>
      </c>
      <c r="V32" s="18">
        <f>'FS Seychelles'!V33</f>
        <v>54</v>
      </c>
      <c r="W32" s="18">
        <f>'FS Seychelles'!W33</f>
        <v>39</v>
      </c>
      <c r="X32" s="18">
        <f>'FS Seychelles'!X33</f>
        <v>52</v>
      </c>
      <c r="Y32" s="18">
        <f>'FS Seychelles'!Y33</f>
        <v>106</v>
      </c>
      <c r="Z32" s="18">
        <f>'FS Seychelles'!Z33</f>
        <v>119</v>
      </c>
      <c r="AA32" s="18">
        <f>'FS Seychelles'!AA33</f>
        <v>0</v>
      </c>
      <c r="AB32" s="18">
        <f>'FS Seychelles'!AB33</f>
        <v>0</v>
      </c>
      <c r="AC32" s="18">
        <f>('FS Seychelles'!AE39+'FS Seychelles'!AE45)/30</f>
        <v>0</v>
      </c>
    </row>
    <row r="33" spans="16:18">
      <c r="P33" s="18">
        <f>SUM(P2:P32)</f>
        <v>240110.58823529413</v>
      </c>
      <c r="Q33" s="18">
        <f>SUM(Q2:Q32)</f>
        <v>252009.23529411765</v>
      </c>
      <c r="R33" s="18">
        <f>SUM(R2:R32)</f>
        <v>12853.058823529413</v>
      </c>
    </row>
    <row r="35" spans="16:18">
      <c r="R35" s="18">
        <f>SUM(O33:R33)</f>
        <v>504972.8823529412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6" sqref="D6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>
      <c r="A1" s="2" t="s">
        <v>38</v>
      </c>
      <c r="B1" s="2" t="s">
        <v>39</v>
      </c>
      <c r="C1" s="3" t="s">
        <v>40</v>
      </c>
      <c r="D1" s="4" t="s">
        <v>41</v>
      </c>
      <c r="E1" s="5" t="s">
        <v>67</v>
      </c>
      <c r="F1" s="6" t="s">
        <v>68</v>
      </c>
      <c r="G1" s="7" t="s">
        <v>69</v>
      </c>
      <c r="H1" s="6" t="s">
        <v>70</v>
      </c>
      <c r="I1" s="8" t="s">
        <v>71</v>
      </c>
      <c r="J1" s="6" t="s">
        <v>72</v>
      </c>
      <c r="K1" s="27" t="s">
        <v>73</v>
      </c>
      <c r="L1" s="6" t="s">
        <v>74</v>
      </c>
      <c r="M1" s="8" t="s">
        <v>75</v>
      </c>
    </row>
    <row r="2" spans="1:13" s="13" customFormat="1">
      <c r="A2" s="1" t="s">
        <v>66</v>
      </c>
      <c r="B2" s="10">
        <v>1</v>
      </c>
      <c r="C2" s="11">
        <v>1</v>
      </c>
      <c r="D2" s="1">
        <v>2022</v>
      </c>
      <c r="E2" s="12">
        <f>'Submetering '!O2+'Submetering '!P2+'Submetering '!Q2+'Submetering '!R2+'Submetering '!S2+'Submetering '!U2</f>
        <v>36327</v>
      </c>
      <c r="F2" s="11">
        <f>(('FS Seychelles'!R3*'FS Seychelles'!S3)+('FS Seychelles'!T3*'FS Seychelles'!U3))/TOTAL!E2</f>
        <v>0.26731637624907095</v>
      </c>
      <c r="G2" s="12">
        <f>'Submetering '!AC2</f>
        <v>247.66666666666666</v>
      </c>
      <c r="H2" s="11">
        <v>1.05</v>
      </c>
      <c r="I2" s="12">
        <f>'FS Seychelles'!V3+'FS Seychelles'!X3+'FS Seychelles'!Y3+'FS Seychelles'!Z3</f>
        <v>395</v>
      </c>
      <c r="J2" s="11">
        <v>0</v>
      </c>
      <c r="K2" s="28">
        <f>'Submetering '!AA2</f>
        <v>85</v>
      </c>
      <c r="L2" s="11">
        <v>0</v>
      </c>
      <c r="M2" s="57">
        <f>'FS Seychelles'!B3</f>
        <v>73.7</v>
      </c>
    </row>
    <row r="3" spans="1:13" s="15" customFormat="1">
      <c r="A3" s="1" t="s">
        <v>66</v>
      </c>
      <c r="B3" s="14">
        <f>B2+1</f>
        <v>2</v>
      </c>
      <c r="C3" s="11">
        <v>1</v>
      </c>
      <c r="D3" s="1">
        <v>2022</v>
      </c>
      <c r="E3" s="12">
        <f>'Submetering '!O3+'Submetering '!P3+'Submetering '!Q3+'Submetering '!R3+'Submetering '!S3+'Submetering '!U3</f>
        <v>36368</v>
      </c>
      <c r="F3" s="11">
        <f>(('FS Seychelles'!R4*'FS Seychelles'!S4)+('FS Seychelles'!T4*'FS Seychelles'!U4))/TOTAL!E3</f>
        <v>0.26002199736031673</v>
      </c>
      <c r="G3" s="12">
        <f>'Submetering '!AC3</f>
        <v>45.333333333333336</v>
      </c>
      <c r="H3" s="11">
        <f>H2</f>
        <v>1.05</v>
      </c>
      <c r="I3" s="12">
        <f>'FS Seychelles'!V4+'FS Seychelles'!X4+'FS Seychelles'!Y4+'FS Seychelles'!Z4</f>
        <v>335</v>
      </c>
      <c r="J3" s="11">
        <f>J2</f>
        <v>0</v>
      </c>
      <c r="K3" s="28">
        <f>'Submetering '!AA3</f>
        <v>98</v>
      </c>
      <c r="L3" s="11">
        <f>L2</f>
        <v>0</v>
      </c>
      <c r="M3" s="57">
        <f>'FS Seychelles'!B4</f>
        <v>67.099999999999994</v>
      </c>
    </row>
    <row r="4" spans="1:13" s="15" customFormat="1">
      <c r="A4" s="1" t="s">
        <v>66</v>
      </c>
      <c r="B4" s="14">
        <f t="shared" ref="B4:B31" si="0">B3+1</f>
        <v>3</v>
      </c>
      <c r="C4" s="11">
        <v>1</v>
      </c>
      <c r="D4" s="1">
        <v>2022</v>
      </c>
      <c r="E4" s="12">
        <f>'Submetering '!O4+'Submetering '!P4+'Submetering '!Q4+'Submetering '!R4+'Submetering '!S4+'Submetering '!U4</f>
        <v>34021</v>
      </c>
      <c r="F4" s="11">
        <f>(('FS Seychelles'!R5*'FS Seychelles'!S5)+('FS Seychelles'!T5*'FS Seychelles'!U5))/TOTAL!E4</f>
        <v>0.28912060198112932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355</v>
      </c>
      <c r="J4" s="11">
        <f t="shared" ref="J4:L32" si="2">J3</f>
        <v>0</v>
      </c>
      <c r="K4" s="28">
        <f>'Submetering '!AA4</f>
        <v>0</v>
      </c>
      <c r="L4" s="11">
        <f t="shared" si="2"/>
        <v>0</v>
      </c>
      <c r="M4" s="57">
        <f>'FS Seychelles'!B5</f>
        <v>75</v>
      </c>
    </row>
    <row r="5" spans="1:13" s="15" customFormat="1">
      <c r="A5" s="1" t="s">
        <v>66</v>
      </c>
      <c r="B5" s="14">
        <f t="shared" si="0"/>
        <v>4</v>
      </c>
      <c r="C5" s="11">
        <v>1</v>
      </c>
      <c r="D5" s="1">
        <v>2022</v>
      </c>
      <c r="E5" s="12">
        <f>'Submetering '!O5+'Submetering '!P5+'Submetering '!Q5+'Submetering '!R5+'Submetering '!S5+'Submetering '!U5</f>
        <v>34718</v>
      </c>
      <c r="F5" s="11">
        <f>(('FS Seychelles'!R6*'FS Seychelles'!S6)+('FS Seychelles'!T6*'FS Seychelles'!U6))/TOTAL!E5</f>
        <v>0.26285333256523996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390</v>
      </c>
      <c r="J5" s="11">
        <f t="shared" si="2"/>
        <v>0</v>
      </c>
      <c r="K5" s="28">
        <f>'Submetering '!AA5</f>
        <v>58</v>
      </c>
      <c r="L5" s="11">
        <f t="shared" si="2"/>
        <v>0</v>
      </c>
      <c r="M5" s="57">
        <f>'FS Seychelles'!B6</f>
        <v>75</v>
      </c>
    </row>
    <row r="6" spans="1:13" s="15" customFormat="1">
      <c r="A6" s="1" t="s">
        <v>66</v>
      </c>
      <c r="B6" s="14">
        <f t="shared" si="0"/>
        <v>5</v>
      </c>
      <c r="C6" s="11">
        <v>1</v>
      </c>
      <c r="D6" s="1">
        <v>2022</v>
      </c>
      <c r="E6" s="12">
        <f>'Submetering '!O6+'Submetering '!P6+'Submetering '!Q6+'Submetering '!R6+'Submetering '!S6+'Submetering '!U6</f>
        <v>36428</v>
      </c>
      <c r="F6" s="11">
        <f>(('FS Seychelles'!R7*'FS Seychelles'!S7)+('FS Seychelles'!T7*'FS Seychelles'!U7))/TOTAL!E6</f>
        <v>0.25202223564291204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393</v>
      </c>
      <c r="J6" s="11">
        <f t="shared" si="2"/>
        <v>0</v>
      </c>
      <c r="K6" s="28">
        <f>'Submetering '!AA6</f>
        <v>0</v>
      </c>
      <c r="L6" s="11">
        <f t="shared" si="2"/>
        <v>0</v>
      </c>
      <c r="M6" s="57">
        <f>'FS Seychelles'!B7</f>
        <v>77.599999999999994</v>
      </c>
    </row>
    <row r="7" spans="1:13" s="15" customFormat="1">
      <c r="A7" s="1" t="s">
        <v>66</v>
      </c>
      <c r="B7" s="14">
        <f t="shared" si="0"/>
        <v>6</v>
      </c>
      <c r="C7" s="11">
        <v>1</v>
      </c>
      <c r="D7" s="1">
        <v>2022</v>
      </c>
      <c r="E7" s="12">
        <f>'Submetering '!O7+'Submetering '!P7+'Submetering '!Q7+'Submetering '!R7+'Submetering '!S7+'Submetering '!U7</f>
        <v>34502</v>
      </c>
      <c r="F7" s="11">
        <f>(('FS Seychelles'!R8*'FS Seychelles'!S8)+('FS Seychelles'!T8*'FS Seychelles'!U8))/TOTAL!E7</f>
        <v>0.25636635557358994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397</v>
      </c>
      <c r="J7" s="11">
        <f t="shared" si="2"/>
        <v>0</v>
      </c>
      <c r="K7" s="28">
        <f>'Submetering '!AA7</f>
        <v>0</v>
      </c>
      <c r="L7" s="11">
        <f t="shared" si="2"/>
        <v>0</v>
      </c>
      <c r="M7" s="57">
        <f>'FS Seychelles'!B8</f>
        <v>69.7</v>
      </c>
    </row>
    <row r="8" spans="1:13" s="15" customFormat="1">
      <c r="A8" s="1" t="s">
        <v>66</v>
      </c>
      <c r="B8" s="14">
        <f t="shared" si="0"/>
        <v>7</v>
      </c>
      <c r="C8" s="11">
        <v>1</v>
      </c>
      <c r="D8" s="1">
        <v>2022</v>
      </c>
      <c r="E8" s="12">
        <f>'Submetering '!O8+'Submetering '!P8+'Submetering '!Q8+'Submetering '!R8+'Submetering '!S8+'Submetering '!U8</f>
        <v>37624</v>
      </c>
      <c r="F8" s="11">
        <f>(('FS Seychelles'!R9*'FS Seychelles'!S9)+('FS Seychelles'!T9*'FS Seychelles'!U9))/TOTAL!E8</f>
        <v>0.25664145226451196</v>
      </c>
      <c r="G8" s="12">
        <f>'Submetering '!AC8</f>
        <v>247.66666666666666</v>
      </c>
      <c r="H8" s="11">
        <f t="shared" si="1"/>
        <v>1.05</v>
      </c>
      <c r="I8" s="12">
        <f>'FS Seychelles'!V9+'FS Seychelles'!X9+'FS Seychelles'!Y9+'FS Seychelles'!Z9</f>
        <v>393</v>
      </c>
      <c r="J8" s="11">
        <f t="shared" si="2"/>
        <v>0</v>
      </c>
      <c r="K8" s="28">
        <f>'Submetering '!AA8</f>
        <v>0</v>
      </c>
      <c r="L8" s="11">
        <f t="shared" si="2"/>
        <v>0</v>
      </c>
      <c r="M8" s="57">
        <f>'FS Seychelles'!B9</f>
        <v>69.7</v>
      </c>
    </row>
    <row r="9" spans="1:13" s="15" customFormat="1">
      <c r="A9" s="1" t="s">
        <v>66</v>
      </c>
      <c r="B9" s="14">
        <f t="shared" si="0"/>
        <v>8</v>
      </c>
      <c r="C9" s="11">
        <v>1</v>
      </c>
      <c r="D9" s="1">
        <v>2022</v>
      </c>
      <c r="E9" s="12">
        <f>'Submetering '!O9+'Submetering '!P9+'Submetering '!Q9+'Submetering '!R9+'Submetering '!S9+'Submetering '!U9</f>
        <v>36141</v>
      </c>
      <c r="F9" s="11">
        <f>(('FS Seychelles'!R10*'FS Seychelles'!S10)+('FS Seychelles'!T10*'FS Seychelles'!U10))/TOTAL!E9</f>
        <v>0.2580210840873246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434</v>
      </c>
      <c r="J9" s="11">
        <f t="shared" si="2"/>
        <v>0</v>
      </c>
      <c r="K9" s="28">
        <f>'Submetering '!AA9</f>
        <v>0</v>
      </c>
      <c r="L9" s="11">
        <f t="shared" si="2"/>
        <v>0</v>
      </c>
      <c r="M9" s="57">
        <f>'FS Seychelles'!B10</f>
        <v>55.3</v>
      </c>
    </row>
    <row r="10" spans="1:13" s="15" customFormat="1">
      <c r="A10" s="1" t="s">
        <v>66</v>
      </c>
      <c r="B10" s="14">
        <f t="shared" si="0"/>
        <v>9</v>
      </c>
      <c r="C10" s="11">
        <v>1</v>
      </c>
      <c r="D10" s="1">
        <v>2022</v>
      </c>
      <c r="E10" s="12">
        <f>'Submetering '!O10+'Submetering '!P10+'Submetering '!Q10+'Submetering '!R10+'Submetering '!S10+'Submetering '!U10</f>
        <v>36912</v>
      </c>
      <c r="F10" s="11">
        <f>(('FS Seychelles'!R11*'FS Seychelles'!S11)+('FS Seychelles'!T11*'FS Seychelles'!U11))/TOTAL!E10</f>
        <v>0.25444310793237968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386.5</v>
      </c>
      <c r="J10" s="11">
        <f t="shared" si="2"/>
        <v>0</v>
      </c>
      <c r="K10" s="28">
        <f>'Submetering '!AA10</f>
        <v>30.125</v>
      </c>
      <c r="L10" s="11">
        <f t="shared" si="2"/>
        <v>0</v>
      </c>
      <c r="M10" s="57">
        <f>'FS Seychelles'!B11</f>
        <v>63.2</v>
      </c>
    </row>
    <row r="11" spans="1:13" s="15" customFormat="1">
      <c r="A11" s="1" t="s">
        <v>66</v>
      </c>
      <c r="B11" s="14">
        <f t="shared" si="0"/>
        <v>10</v>
      </c>
      <c r="C11" s="11">
        <v>1</v>
      </c>
      <c r="D11" s="1">
        <v>2022</v>
      </c>
      <c r="E11" s="12">
        <f>'Submetering '!O11+'Submetering '!P11+'Submetering '!Q11+'Submetering '!R11+'Submetering '!S11+'Submetering '!U11</f>
        <v>32790</v>
      </c>
      <c r="F11" s="11">
        <f>(('FS Seychelles'!R12*'FS Seychelles'!S12)+('FS Seychelles'!T12*'FS Seychelles'!U12))/TOTAL!E11</f>
        <v>0.25270997255260746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386.5</v>
      </c>
      <c r="J11" s="11">
        <f t="shared" si="2"/>
        <v>0</v>
      </c>
      <c r="K11" s="28">
        <f>'Submetering '!AA11</f>
        <v>30.125</v>
      </c>
      <c r="L11" s="11">
        <f t="shared" si="2"/>
        <v>0</v>
      </c>
      <c r="M11" s="57">
        <f>'FS Seychelles'!B12</f>
        <v>71.099999999999994</v>
      </c>
    </row>
    <row r="12" spans="1:13" s="15" customFormat="1">
      <c r="A12" s="1" t="s">
        <v>66</v>
      </c>
      <c r="B12" s="14">
        <f t="shared" si="0"/>
        <v>11</v>
      </c>
      <c r="C12" s="11">
        <v>1</v>
      </c>
      <c r="D12" s="1">
        <v>2022</v>
      </c>
      <c r="E12" s="12">
        <f>'Submetering '!O12+'Submetering '!P12+'Submetering '!Q12+'Submetering '!R12+'Submetering '!S12+'Submetering '!U12</f>
        <v>51267</v>
      </c>
      <c r="F12" s="11">
        <f>(('FS Seychelles'!R13*'FS Seychelles'!S13)+('FS Seychelles'!T13*'FS Seychelles'!U13))/TOTAL!E12</f>
        <v>0.38458505471355847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398</v>
      </c>
      <c r="J12" s="11">
        <f t="shared" si="2"/>
        <v>0</v>
      </c>
      <c r="K12" s="28">
        <f>'Submetering '!AA12</f>
        <v>0</v>
      </c>
      <c r="L12" s="11">
        <f t="shared" si="2"/>
        <v>0</v>
      </c>
      <c r="M12" s="57">
        <f>'FS Seychelles'!B13</f>
        <v>76.3</v>
      </c>
    </row>
    <row r="13" spans="1:13" s="15" customFormat="1">
      <c r="A13" s="1" t="s">
        <v>66</v>
      </c>
      <c r="B13" s="14">
        <f t="shared" si="0"/>
        <v>12</v>
      </c>
      <c r="C13" s="11">
        <v>1</v>
      </c>
      <c r="D13" s="1">
        <v>2022</v>
      </c>
      <c r="E13" s="12">
        <f>'Submetering '!O13+'Submetering '!P13+'Submetering '!Q13+'Submetering '!R13+'Submetering '!S13+'Submetering '!U13</f>
        <v>29415</v>
      </c>
      <c r="F13" s="11">
        <f>(('FS Seychelles'!R14*'FS Seychelles'!S14)+('FS Seychelles'!T14*'FS Seychelles'!U14))/TOTAL!E13</f>
        <v>0.37620234574196837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403</v>
      </c>
      <c r="J13" s="11">
        <f t="shared" si="2"/>
        <v>0</v>
      </c>
      <c r="K13" s="28">
        <f>'Submetering '!AA13</f>
        <v>0</v>
      </c>
      <c r="L13" s="11">
        <f t="shared" si="2"/>
        <v>0</v>
      </c>
      <c r="M13" s="57">
        <f>'FS Seychelles'!B14</f>
        <v>69.7</v>
      </c>
    </row>
    <row r="14" spans="1:13" s="15" customFormat="1">
      <c r="A14" s="1" t="s">
        <v>66</v>
      </c>
      <c r="B14" s="14">
        <f t="shared" si="0"/>
        <v>13</v>
      </c>
      <c r="C14" s="11">
        <v>1</v>
      </c>
      <c r="D14" s="1">
        <v>2022</v>
      </c>
      <c r="E14" s="12">
        <f>'Submetering '!O14+'Submetering '!P14+'Submetering '!Q14+'Submetering '!R14+'Submetering '!S14+'Submetering '!U14</f>
        <v>27595</v>
      </c>
      <c r="F14" s="11">
        <f>(('FS Seychelles'!R15*'FS Seychelles'!S15)+('FS Seychelles'!T15*'FS Seychelles'!U15))/TOTAL!E14</f>
        <v>0.26768823337561154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413</v>
      </c>
      <c r="J14" s="11">
        <f t="shared" si="2"/>
        <v>0</v>
      </c>
      <c r="K14" s="28">
        <f>'Submetering '!AA14</f>
        <v>0</v>
      </c>
      <c r="L14" s="11">
        <f t="shared" si="2"/>
        <v>0</v>
      </c>
      <c r="M14" s="57">
        <f>'FS Seychelles'!B15</f>
        <v>57.9</v>
      </c>
    </row>
    <row r="15" spans="1:13" s="15" customFormat="1">
      <c r="A15" s="1" t="s">
        <v>66</v>
      </c>
      <c r="B15" s="14">
        <f t="shared" si="0"/>
        <v>14</v>
      </c>
      <c r="C15" s="11">
        <v>1</v>
      </c>
      <c r="D15" s="1">
        <v>2022</v>
      </c>
      <c r="E15" s="12">
        <f>'Submetering '!O15+'Submetering '!P15+'Submetering '!Q15+'Submetering '!R15+'Submetering '!S15+'Submetering '!U15</f>
        <v>26173</v>
      </c>
      <c r="F15" s="11">
        <f>(('FS Seychelles'!R16*'FS Seychelles'!S16)+('FS Seychelles'!T16*'FS Seychelles'!U16))/TOTAL!E15</f>
        <v>0.2747598823214763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350</v>
      </c>
      <c r="J15" s="11">
        <f t="shared" si="2"/>
        <v>0</v>
      </c>
      <c r="K15" s="28">
        <f>'Submetering '!AA15</f>
        <v>0</v>
      </c>
      <c r="L15" s="11">
        <f t="shared" si="2"/>
        <v>0</v>
      </c>
      <c r="M15" s="57">
        <f>'FS Seychelles'!B16</f>
        <v>59.2</v>
      </c>
    </row>
    <row r="16" spans="1:13" s="15" customFormat="1">
      <c r="A16" s="1" t="s">
        <v>66</v>
      </c>
      <c r="B16" s="14">
        <f t="shared" si="0"/>
        <v>15</v>
      </c>
      <c r="C16" s="11">
        <v>1</v>
      </c>
      <c r="D16" s="1">
        <v>2022</v>
      </c>
      <c r="E16" s="12">
        <f>'Submetering '!O16+'Submetering '!P16+'Submetering '!Q16+'Submetering '!R16+'Submetering '!S16+'Submetering '!U16</f>
        <v>34555</v>
      </c>
      <c r="F16" s="11">
        <f>(('FS Seychelles'!R17*'FS Seychelles'!S17)+('FS Seychelles'!T17*'FS Seychelles'!U17))/TOTAL!E16</f>
        <v>0.27144968890175081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441</v>
      </c>
      <c r="J16" s="11">
        <f t="shared" si="2"/>
        <v>0</v>
      </c>
      <c r="K16" s="28">
        <f>'Submetering '!AA16</f>
        <v>0</v>
      </c>
      <c r="L16" s="11">
        <f t="shared" si="2"/>
        <v>0</v>
      </c>
      <c r="M16" s="57">
        <f>'FS Seychelles'!B17</f>
        <v>44.7</v>
      </c>
    </row>
    <row r="17" spans="1:13" s="15" customFormat="1">
      <c r="A17" s="1" t="s">
        <v>66</v>
      </c>
      <c r="B17" s="14">
        <f t="shared" si="0"/>
        <v>16</v>
      </c>
      <c r="C17" s="11">
        <v>1</v>
      </c>
      <c r="D17" s="1">
        <v>2022</v>
      </c>
      <c r="E17" s="12">
        <f>'Submetering '!O17+'Submetering '!P17+'Submetering '!Q17+'Submetering '!R17+'Submetering '!S17+'Submetering '!U17</f>
        <v>30928</v>
      </c>
      <c r="F17" s="11">
        <f>(('FS Seychelles'!R18*'FS Seychelles'!S18)+('FS Seychelles'!T18*'FS Seychelles'!U18))/TOTAL!E17</f>
        <v>0.26350902741852045</v>
      </c>
      <c r="G17" s="12">
        <f>'Submetering '!AC17</f>
        <v>0</v>
      </c>
      <c r="H17" s="11">
        <f t="shared" si="1"/>
        <v>1.05</v>
      </c>
      <c r="I17" s="12">
        <f>'FS Seychelles'!V18+'FS Seychelles'!X18+'FS Seychelles'!Y18+'FS Seychelles'!Z18</f>
        <v>404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57">
        <f>'FS Seychelles'!B18</f>
        <v>27.6</v>
      </c>
    </row>
    <row r="18" spans="1:13" s="15" customFormat="1">
      <c r="A18" s="1" t="s">
        <v>66</v>
      </c>
      <c r="B18" s="14">
        <f t="shared" si="0"/>
        <v>17</v>
      </c>
      <c r="C18" s="11">
        <v>1</v>
      </c>
      <c r="D18" s="1">
        <v>2022</v>
      </c>
      <c r="E18" s="12">
        <f>'Submetering '!O18+'Submetering '!P18+'Submetering '!Q18+'Submetering '!R18+'Submetering '!S18+'Submetering '!U18</f>
        <v>27352</v>
      </c>
      <c r="F18" s="11">
        <f>(('FS Seychelles'!R19*'FS Seychelles'!S19)+('FS Seychelles'!T19*'FS Seychelles'!U19))/TOTAL!E18</f>
        <v>0.27077259432582629</v>
      </c>
      <c r="G18" s="12">
        <f>'Submetering '!AC18</f>
        <v>0</v>
      </c>
      <c r="H18" s="11">
        <f t="shared" si="1"/>
        <v>1.05</v>
      </c>
      <c r="I18" s="12">
        <f>'FS Seychelles'!V19+'FS Seychelles'!X19+'FS Seychelles'!Y19+'FS Seychelles'!Z19</f>
        <v>386.5</v>
      </c>
      <c r="J18" s="11">
        <f t="shared" si="2"/>
        <v>0</v>
      </c>
      <c r="K18" s="28">
        <f>'Submetering '!AA18</f>
        <v>30.125</v>
      </c>
      <c r="L18" s="11">
        <f t="shared" si="2"/>
        <v>0</v>
      </c>
      <c r="M18" s="57">
        <f>'FS Seychelles'!B19</f>
        <v>14.5</v>
      </c>
    </row>
    <row r="19" spans="1:13" s="15" customFormat="1">
      <c r="A19" s="1" t="s">
        <v>66</v>
      </c>
      <c r="B19" s="14">
        <f t="shared" si="0"/>
        <v>18</v>
      </c>
      <c r="C19" s="11">
        <v>1</v>
      </c>
      <c r="D19" s="1">
        <v>2022</v>
      </c>
      <c r="E19" s="12">
        <f>'Submetering '!O19+'Submetering '!P19+'Submetering '!Q19+'Submetering '!R19+'Submetering '!S19+'Submetering '!U19</f>
        <v>34300.941176470587</v>
      </c>
      <c r="F19" s="11">
        <f>(('FS Seychelles'!R20*'FS Seychelles'!S20)+('FS Seychelles'!T20*'FS Seychelles'!U20))/TOTAL!E19</f>
        <v>0.28206630996234028</v>
      </c>
      <c r="G19" s="12">
        <f>'Submetering '!AC19</f>
        <v>0</v>
      </c>
      <c r="H19" s="11">
        <f t="shared" si="1"/>
        <v>1.05</v>
      </c>
      <c r="I19" s="12">
        <f>'FS Seychelles'!V20+'FS Seychelles'!X20+'FS Seychelles'!Y20+'FS Seychelles'!Z20</f>
        <v>228</v>
      </c>
      <c r="J19" s="11">
        <f t="shared" si="2"/>
        <v>0</v>
      </c>
      <c r="K19" s="28">
        <f>'Submetering '!AA19</f>
        <v>0</v>
      </c>
      <c r="L19" s="11">
        <f t="shared" si="2"/>
        <v>0</v>
      </c>
      <c r="M19" s="57">
        <f>'FS Seychelles'!B20</f>
        <v>0</v>
      </c>
    </row>
    <row r="20" spans="1:13" s="15" customFormat="1">
      <c r="A20" s="1" t="s">
        <v>66</v>
      </c>
      <c r="B20" s="14">
        <f t="shared" si="0"/>
        <v>19</v>
      </c>
      <c r="C20" s="11">
        <v>1</v>
      </c>
      <c r="D20" s="1">
        <v>2022</v>
      </c>
      <c r="E20" s="12">
        <f>'Submetering '!O20+'Submetering '!P20+'Submetering '!Q20+'Submetering '!R20+'Submetering '!S20+'Submetering '!U20</f>
        <v>14531</v>
      </c>
      <c r="F20" s="11">
        <f>(('FS Seychelles'!R21*'FS Seychelles'!S21)+('FS Seychelles'!T21*'FS Seychelles'!U21))/TOTAL!E20</f>
        <v>0.31993167710412224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386.5</v>
      </c>
      <c r="J20" s="11">
        <f t="shared" si="2"/>
        <v>0</v>
      </c>
      <c r="K20" s="28">
        <f>'Submetering '!AA20</f>
        <v>30.125</v>
      </c>
      <c r="L20" s="11">
        <f t="shared" si="2"/>
        <v>0</v>
      </c>
      <c r="M20" s="57">
        <f>'FS Seychelles'!B21</f>
        <v>0</v>
      </c>
    </row>
    <row r="21" spans="1:13" s="15" customFormat="1">
      <c r="A21" s="1" t="s">
        <v>66</v>
      </c>
      <c r="B21" s="14">
        <f t="shared" si="0"/>
        <v>20</v>
      </c>
      <c r="C21" s="11">
        <v>1</v>
      </c>
      <c r="D21" s="1">
        <v>2022</v>
      </c>
      <c r="E21" s="12">
        <f>'Submetering '!O21+'Submetering '!P21+'Submetering '!Q21+'Submetering '!R21+'Submetering '!S21+'Submetering '!U21</f>
        <v>5175</v>
      </c>
      <c r="F21" s="11">
        <f>(('FS Seychelles'!R22*'FS Seychelles'!S22)+('FS Seychelles'!T22*'FS Seychelles'!U22))/TOTAL!E21</f>
        <v>0.42782701449275368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386.5</v>
      </c>
      <c r="J21" s="11">
        <f t="shared" si="2"/>
        <v>0</v>
      </c>
      <c r="K21" s="28">
        <f>'Submetering '!AA21</f>
        <v>30.125</v>
      </c>
      <c r="L21" s="11">
        <f t="shared" si="2"/>
        <v>0</v>
      </c>
      <c r="M21" s="57">
        <f>'FS Seychelles'!B22</f>
        <v>0</v>
      </c>
    </row>
    <row r="22" spans="1:13" s="15" customFormat="1">
      <c r="A22" s="1" t="s">
        <v>66</v>
      </c>
      <c r="B22" s="14">
        <f t="shared" si="0"/>
        <v>21</v>
      </c>
      <c r="C22" s="11">
        <v>1</v>
      </c>
      <c r="D22" s="1">
        <v>2022</v>
      </c>
      <c r="E22" s="12">
        <f>'Submetering '!O22+'Submetering '!P22+'Submetering '!Q22+'Submetering '!R22+'Submetering '!S22+'Submetering '!U22</f>
        <v>10230</v>
      </c>
      <c r="F22" s="11">
        <f>(('FS Seychelles'!R23*'FS Seychelles'!S23)+('FS Seychelles'!T23*'FS Seychelles'!U23))/TOTAL!E22</f>
        <v>0.30705126099706742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386.5</v>
      </c>
      <c r="J22" s="11">
        <f t="shared" si="2"/>
        <v>0</v>
      </c>
      <c r="K22" s="28">
        <f>'Submetering '!AA22</f>
        <v>30.125</v>
      </c>
      <c r="L22" s="11">
        <f t="shared" si="2"/>
        <v>0</v>
      </c>
      <c r="M22" s="57">
        <f>'FS Seychelles'!B23</f>
        <v>0</v>
      </c>
    </row>
    <row r="23" spans="1:13" s="15" customFormat="1">
      <c r="A23" s="1" t="s">
        <v>66</v>
      </c>
      <c r="B23" s="14">
        <f t="shared" si="0"/>
        <v>22</v>
      </c>
      <c r="C23" s="11">
        <v>1</v>
      </c>
      <c r="D23" s="1">
        <v>2022</v>
      </c>
      <c r="E23" s="12">
        <f>'Submetering '!O23+'Submetering '!P23+'Submetering '!Q23+'Submetering '!R23+'Submetering '!S23+'Submetering '!U23</f>
        <v>7338</v>
      </c>
      <c r="F23" s="11">
        <f>(('FS Seychelles'!R24*'FS Seychelles'!S24)+('FS Seychelles'!T24*'FS Seychelles'!U24))/TOTAL!E23</f>
        <v>0.28937923139820115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178</v>
      </c>
      <c r="J23" s="11">
        <f t="shared" si="2"/>
        <v>0</v>
      </c>
      <c r="K23" s="28">
        <f>'Submetering '!AA23</f>
        <v>0</v>
      </c>
      <c r="L23" s="11">
        <f t="shared" si="2"/>
        <v>0</v>
      </c>
      <c r="M23" s="57">
        <f>'FS Seychelles'!B24</f>
        <v>0</v>
      </c>
    </row>
    <row r="24" spans="1:13" s="15" customFormat="1">
      <c r="A24" s="1" t="s">
        <v>66</v>
      </c>
      <c r="B24" s="14">
        <f t="shared" si="0"/>
        <v>23</v>
      </c>
      <c r="C24" s="11">
        <v>1</v>
      </c>
      <c r="D24" s="1">
        <v>2022</v>
      </c>
      <c r="E24" s="12">
        <f>'Submetering '!O24+'Submetering '!P24+'Submetering '!Q24+'Submetering '!R24+'Submetering '!S24+'Submetering '!U24</f>
        <v>13934</v>
      </c>
      <c r="F24" s="11">
        <f>(('FS Seychelles'!R25*'FS Seychelles'!S25)+('FS Seychelles'!T25*'FS Seychelles'!U25))/TOTAL!E24</f>
        <v>0.27793150566958519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386.5</v>
      </c>
      <c r="J24" s="11">
        <f t="shared" si="2"/>
        <v>0</v>
      </c>
      <c r="K24" s="28">
        <f>'Submetering '!AA24</f>
        <v>30.125</v>
      </c>
      <c r="L24" s="11">
        <f t="shared" si="2"/>
        <v>0</v>
      </c>
      <c r="M24" s="57">
        <f>'FS Seychelles'!B25</f>
        <v>0</v>
      </c>
    </row>
    <row r="25" spans="1:13" s="15" customFormat="1">
      <c r="A25" s="1" t="s">
        <v>66</v>
      </c>
      <c r="B25" s="14">
        <f t="shared" si="0"/>
        <v>24</v>
      </c>
      <c r="C25" s="11">
        <v>1</v>
      </c>
      <c r="D25" s="1">
        <v>2022</v>
      </c>
      <c r="E25" s="12">
        <f>'Submetering '!O25+'Submetering '!P25+'Submetering '!Q25+'Submetering '!R25+'Submetering '!S25+'Submetering '!U25</f>
        <v>28685</v>
      </c>
      <c r="F25" s="11">
        <f>(('FS Seychelles'!R26*'FS Seychelles'!S26)+('FS Seychelles'!T26*'FS Seychelles'!U26))/TOTAL!E25</f>
        <v>0.26652248910580445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387</v>
      </c>
      <c r="J25" s="11">
        <f t="shared" si="2"/>
        <v>0</v>
      </c>
      <c r="K25" s="28">
        <f>'Submetering '!AA25</f>
        <v>0</v>
      </c>
      <c r="L25" s="11">
        <f t="shared" si="2"/>
        <v>0</v>
      </c>
      <c r="M25" s="57">
        <f>'FS Seychelles'!B26</f>
        <v>0</v>
      </c>
    </row>
    <row r="26" spans="1:13" s="15" customFormat="1">
      <c r="A26" s="1" t="s">
        <v>66</v>
      </c>
      <c r="B26" s="14">
        <f>B25+1</f>
        <v>25</v>
      </c>
      <c r="C26" s="11">
        <v>1</v>
      </c>
      <c r="D26" s="1">
        <v>2022</v>
      </c>
      <c r="E26" s="12">
        <f>'Submetering '!O26+'Submetering '!P26+'Submetering '!Q26+'Submetering '!R26+'Submetering '!S26+'Submetering '!U26</f>
        <v>30217</v>
      </c>
      <c r="F26" s="11">
        <f>(('FS Seychelles'!R27*'FS Seychelles'!S27)+('FS Seychelles'!T27*'FS Seychelles'!U27))/TOTAL!E26</f>
        <v>0.26998899956977862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594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57">
        <f>'FS Seychelles'!B27</f>
        <v>0</v>
      </c>
    </row>
    <row r="27" spans="1:13" s="15" customFormat="1">
      <c r="A27" s="1" t="s">
        <v>66</v>
      </c>
      <c r="B27" s="14">
        <f t="shared" si="0"/>
        <v>26</v>
      </c>
      <c r="C27" s="11">
        <v>1</v>
      </c>
      <c r="D27" s="1">
        <v>2022</v>
      </c>
      <c r="E27" s="12">
        <f>'Submetering '!O27+'Submetering '!P27+'Submetering '!Q27+'Submetering '!R27+'Submetering '!S27+'Submetering '!U27</f>
        <v>47840</v>
      </c>
      <c r="F27" s="11">
        <f>(('FS Seychelles'!R28*'FS Seychelles'!S28)+('FS Seychelles'!T28*'FS Seychelles'!U28))/TOTAL!E27</f>
        <v>0.22188356187290972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429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57">
        <f>'FS Seychelles'!B28</f>
        <v>14.5</v>
      </c>
    </row>
    <row r="28" spans="1:13" s="15" customFormat="1">
      <c r="A28" s="1" t="s">
        <v>66</v>
      </c>
      <c r="B28" s="14">
        <f t="shared" si="0"/>
        <v>27</v>
      </c>
      <c r="C28" s="11">
        <v>1</v>
      </c>
      <c r="D28" s="1">
        <v>2022</v>
      </c>
      <c r="E28" s="12">
        <f>'Submetering '!O28+'Submetering '!P28+'Submetering '!Q28+'Submetering '!R28+'Submetering '!S28+'Submetering '!U28</f>
        <v>20374</v>
      </c>
      <c r="F28" s="11">
        <f>(('FS Seychelles'!R29*'FS Seychelles'!S29)+('FS Seychelles'!T29*'FS Seychelles'!U29))/TOTAL!E28</f>
        <v>0.25993847059978403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330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57">
        <f>'FS Seychelles'!B29</f>
        <v>30.3</v>
      </c>
    </row>
    <row r="29" spans="1:13" s="15" customFormat="1">
      <c r="A29" s="1" t="s">
        <v>66</v>
      </c>
      <c r="B29" s="14">
        <f t="shared" si="0"/>
        <v>28</v>
      </c>
      <c r="C29" s="11">
        <v>1</v>
      </c>
      <c r="D29" s="1">
        <v>2022</v>
      </c>
      <c r="E29" s="12">
        <f>'Submetering '!O29+'Submetering '!P29+'Submetering '!Q29+'Submetering '!R29+'Submetering '!S29+'Submetering '!U29</f>
        <v>43629</v>
      </c>
      <c r="F29" s="11">
        <f>(('FS Seychelles'!R30*'FS Seychelles'!S30)+('FS Seychelles'!T30*'FS Seychelles'!U30))/TOTAL!E29</f>
        <v>0.31607063191913637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226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57">
        <f>'FS Seychelles'!B30</f>
        <v>41.2</v>
      </c>
    </row>
    <row r="30" spans="1:13" s="15" customFormat="1">
      <c r="A30" s="1" t="s">
        <v>66</v>
      </c>
      <c r="B30" s="14">
        <f t="shared" si="0"/>
        <v>29</v>
      </c>
      <c r="C30" s="11">
        <v>1</v>
      </c>
      <c r="D30" s="1">
        <v>2022</v>
      </c>
      <c r="E30" s="12">
        <f>'Submetering '!O30+'Submetering '!P30+'Submetering '!Q30+'Submetering '!R30+'Submetering '!S30+'Submetering '!U30</f>
        <v>17558</v>
      </c>
      <c r="F30" s="11">
        <f>(('FS Seychelles'!R31*'FS Seychelles'!S31)+('FS Seychelles'!T31*'FS Seychelles'!U31))/TOTAL!E30</f>
        <v>0.27192595967650079</v>
      </c>
      <c r="G30" s="12">
        <f>'Submetering '!AC30</f>
        <v>0</v>
      </c>
      <c r="H30" s="11">
        <f t="shared" si="1"/>
        <v>1.05</v>
      </c>
      <c r="I30" s="12">
        <f>'FS Seychelles'!V31+'FS Seychelles'!X31+'FS Seychelles'!Y31+'FS Seychelles'!Z31</f>
        <v>334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57">
        <f>'FS Seychelles'!B31</f>
        <v>60.5</v>
      </c>
    </row>
    <row r="31" spans="1:13" s="13" customFormat="1">
      <c r="A31" s="1" t="s">
        <v>66</v>
      </c>
      <c r="B31" s="14">
        <f t="shared" si="0"/>
        <v>30</v>
      </c>
      <c r="C31" s="11">
        <v>1</v>
      </c>
      <c r="D31" s="1">
        <v>2022</v>
      </c>
      <c r="E31" s="12">
        <f>'Submetering '!O31+'Submetering '!P31+'Submetering '!Q31+'Submetering '!R31+'Submetering '!S31+'Submetering '!U31</f>
        <v>30419</v>
      </c>
      <c r="F31" s="11">
        <f>(('FS Seychelles'!R32*'FS Seychelles'!S32)+('FS Seychelles'!T32*'FS Seychelles'!U32))/TOTAL!E31</f>
        <v>0.26363225615569219</v>
      </c>
      <c r="G31" s="12">
        <f>'Submetering '!AC31</f>
        <v>0</v>
      </c>
      <c r="H31" s="11">
        <f t="shared" si="1"/>
        <v>1.05</v>
      </c>
      <c r="I31" s="12">
        <f>'FS Seychelles'!V32+'FS Seychelles'!X32+'FS Seychelles'!Y32+'FS Seychelles'!Z32</f>
        <v>312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57">
        <f>'FS Seychelles'!B32</f>
        <v>60.5</v>
      </c>
    </row>
    <row r="32" spans="1:13">
      <c r="A32" s="1" t="s">
        <v>66</v>
      </c>
      <c r="B32" s="14">
        <v>31</v>
      </c>
      <c r="C32" s="11">
        <v>1</v>
      </c>
      <c r="D32" s="1">
        <v>2022</v>
      </c>
      <c r="E32" s="12">
        <f>'Submetering '!O32+'Submetering '!P32+'Submetering '!Q32+'Submetering '!R32+'Submetering '!S32+'Submetering '!U32</f>
        <v>33698</v>
      </c>
      <c r="F32" s="11">
        <f>(('FS Seychelles'!R33*'FS Seychelles'!S33)+('FS Seychelles'!T33*'FS Seychelles'!U33))/TOTAL!E32</f>
        <v>0.25773470235622292</v>
      </c>
      <c r="G32" s="12">
        <f>'Submetering '!AC32</f>
        <v>0</v>
      </c>
      <c r="H32" s="11">
        <f t="shared" si="1"/>
        <v>1.05</v>
      </c>
      <c r="I32" s="12">
        <f>'FS Seychelles'!V33+'FS Seychelles'!X33+'FS Seychelles'!Y33+'FS Seychelles'!Z33</f>
        <v>331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57">
        <f>'FS Seychelles'!B33</f>
        <v>61.8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857ED-EC15-4E2C-B68B-265F3C049A0C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2022-04-18T04:58:20Z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