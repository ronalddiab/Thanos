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2" i="4" l="1"/>
  <c r="H7" i="4" l="1"/>
  <c r="AF15" i="1" l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6" i="1"/>
  <c r="AD7" i="1" s="1"/>
  <c r="AD8" i="1" s="1"/>
  <c r="AD9" i="1" s="1"/>
  <c r="AD10" i="1" s="1"/>
  <c r="AD11" i="1" s="1"/>
  <c r="AD12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15" i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15" i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Q8" i="1"/>
  <c r="Q11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5" i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5" i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5" i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S2" i="1"/>
  <c r="P2" i="1"/>
  <c r="M2" i="1"/>
  <c r="J2" i="1"/>
  <c r="G2" i="1"/>
  <c r="D2" i="1"/>
  <c r="C5" i="5"/>
  <c r="H15" i="3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5" i="3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5" i="3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15" i="3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R15" i="4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5" i="4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5" i="4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5" i="4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15" i="4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5" i="4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5" i="4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5" i="4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Z2" i="4"/>
  <c r="X2" i="4"/>
  <c r="I2" i="4"/>
  <c r="T15" i="2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5" i="2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5" i="2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5" i="2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5" i="2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5" i="2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5" i="2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W13" i="4" l="1"/>
  <c r="B15" i="5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J35" i="11" s="1"/>
  <c r="T2" i="1"/>
  <c r="J32" i="11"/>
  <c r="J31" i="11"/>
  <c r="J30" i="11"/>
  <c r="J29" i="11"/>
  <c r="J26" i="11"/>
  <c r="J10" i="11"/>
  <c r="J9" i="11"/>
  <c r="J8" i="11"/>
  <c r="J7" i="11"/>
  <c r="J6" i="11"/>
  <c r="J4" i="11"/>
  <c r="J3" i="11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V15" i="4" l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J12" i="11" s="1"/>
  <c r="W14" i="4"/>
  <c r="M64" i="10"/>
  <c r="F64" i="10"/>
  <c r="S17" i="4" l="1"/>
  <c r="Q17" i="4"/>
  <c r="O17" i="4"/>
  <c r="M17" i="4"/>
  <c r="K17" i="4"/>
  <c r="H17" i="4"/>
  <c r="F17" i="4"/>
  <c r="D17" i="4"/>
  <c r="W17" i="4"/>
  <c r="I17" i="4" l="1"/>
  <c r="X17" i="4"/>
  <c r="Z17" i="4"/>
  <c r="K32" i="9"/>
  <c r="X32" i="8"/>
  <c r="Y17" i="4" l="1"/>
  <c r="Y33" i="1"/>
  <c r="AA33" i="1"/>
  <c r="AC33" i="1"/>
  <c r="AE33" i="1"/>
  <c r="AG33" i="1"/>
  <c r="C33" i="1"/>
  <c r="F33" i="1"/>
  <c r="G33" i="1" s="1"/>
  <c r="I33" i="1"/>
  <c r="T32" i="8" s="1"/>
  <c r="L33" i="1"/>
  <c r="O33" i="1"/>
  <c r="U32" i="8" s="1"/>
  <c r="R33" i="1"/>
  <c r="W32" i="8" s="1"/>
  <c r="C33" i="5"/>
  <c r="G32" i="9" s="1"/>
  <c r="C3" i="5"/>
  <c r="C4" i="5"/>
  <c r="B34" i="4"/>
  <c r="C33" i="3"/>
  <c r="E33" i="3"/>
  <c r="F32" i="8" s="1"/>
  <c r="G33" i="3"/>
  <c r="G32" i="8" s="1"/>
  <c r="I33" i="3"/>
  <c r="H32" i="8" s="1"/>
  <c r="W33" i="4"/>
  <c r="P32" i="8" s="1"/>
  <c r="U34" i="4"/>
  <c r="D33" i="4"/>
  <c r="Q32" i="8" s="1"/>
  <c r="F33" i="4"/>
  <c r="H33" i="4"/>
  <c r="J32" i="8" s="1"/>
  <c r="K33" i="4"/>
  <c r="K32" i="8" s="1"/>
  <c r="M33" i="4"/>
  <c r="L32" i="8" s="1"/>
  <c r="O33" i="4"/>
  <c r="M32" i="8" s="1"/>
  <c r="Q33" i="4"/>
  <c r="N32" i="8" s="1"/>
  <c r="S33" i="4"/>
  <c r="O32" i="8" s="1"/>
  <c r="R3" i="2"/>
  <c r="R4" i="2" s="1"/>
  <c r="R5" i="2" s="1"/>
  <c r="R6" i="2" s="1"/>
  <c r="R7" i="2" s="1"/>
  <c r="R8" i="2" s="1"/>
  <c r="R12" i="2" s="1"/>
  <c r="R14" i="2" s="1"/>
  <c r="R15" i="2" s="1"/>
  <c r="R16" i="2" s="1"/>
  <c r="R17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I32" i="8" l="1"/>
  <c r="Y32" i="8" s="1"/>
  <c r="I33" i="4"/>
  <c r="S33" i="2"/>
  <c r="J20" i="11"/>
  <c r="U33" i="2"/>
  <c r="J16" i="11"/>
  <c r="C33" i="2"/>
  <c r="J21" i="11"/>
  <c r="M33" i="2"/>
  <c r="J18" i="11"/>
  <c r="E33" i="2"/>
  <c r="J22" i="11"/>
  <c r="G33" i="2"/>
  <c r="J23" i="11"/>
  <c r="J33" i="1"/>
  <c r="O33" i="2"/>
  <c r="AB32" i="8" s="1"/>
  <c r="J25" i="11"/>
  <c r="I33" i="2"/>
  <c r="J24" i="11"/>
  <c r="K33" i="2"/>
  <c r="J17" i="11"/>
  <c r="S33" i="1"/>
  <c r="P33" i="1"/>
  <c r="M33" i="1"/>
  <c r="V32" i="8"/>
  <c r="T33" i="1"/>
  <c r="U33" i="1" s="1"/>
  <c r="S32" i="8"/>
  <c r="D33" i="1"/>
  <c r="R32" i="8"/>
  <c r="Z33" i="4"/>
  <c r="X33" i="4"/>
  <c r="J33" i="3"/>
  <c r="K33" i="3" s="1"/>
  <c r="E32" i="8"/>
  <c r="K12" i="2"/>
  <c r="K11" i="2"/>
  <c r="K10" i="2"/>
  <c r="K9" i="2"/>
  <c r="K14" i="2"/>
  <c r="K13" i="2"/>
  <c r="AA32" i="8" l="1"/>
  <c r="Y33" i="4"/>
  <c r="Z32" i="8"/>
  <c r="AD32" i="8"/>
  <c r="AE32" i="8" s="1"/>
  <c r="W7" i="4"/>
  <c r="Y3" i="1" l="1"/>
  <c r="G28" i="3" l="1"/>
  <c r="K9" i="9" l="1"/>
  <c r="C7" i="5" l="1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11" i="11"/>
  <c r="AA17" i="4" l="1"/>
  <c r="Y16" i="4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A34" i="1"/>
  <c r="AG34" i="1"/>
  <c r="Y34" i="1"/>
  <c r="AE32" i="1"/>
  <c r="AE31" i="1"/>
  <c r="AA21" i="8"/>
  <c r="F3" i="8"/>
  <c r="E3" i="3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AA30" i="8" l="1"/>
  <c r="G3" i="2"/>
  <c r="G34" i="2" s="1"/>
  <c r="I3" i="2"/>
  <c r="I34" i="2" s="1"/>
  <c r="O3" i="2"/>
  <c r="O34" i="2" s="1"/>
  <c r="U3" i="2"/>
  <c r="U34" i="2" s="1"/>
  <c r="AA31" i="8" l="1"/>
  <c r="AB4" i="8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J34" i="3" s="1"/>
  <c r="I32" i="9" l="1"/>
  <c r="AE28" i="8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Z30" i="8" s="1"/>
  <c r="K21" i="11" l="1"/>
  <c r="C8" i="11" s="1"/>
  <c r="C32" i="2"/>
  <c r="Z31" i="8" l="1"/>
  <c r="C34" i="2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Q31" i="2" l="1"/>
  <c r="AC30" i="8" s="1"/>
  <c r="E30" i="9" s="1"/>
  <c r="Q32" i="2" l="1"/>
  <c r="AC31" i="8" s="1"/>
  <c r="E31" i="9" s="1"/>
  <c r="Q33" i="2" l="1"/>
  <c r="AC32" i="8" s="1"/>
  <c r="E32" i="9" s="1"/>
  <c r="J19" i="11"/>
  <c r="K19" i="11" s="1"/>
  <c r="C11" i="11" s="1"/>
  <c r="D11" i="11" s="1"/>
  <c r="Q34" i="2"/>
  <c r="C7" i="11" l="1"/>
  <c r="D7" i="11" s="1"/>
</calcChain>
</file>

<file path=xl/sharedStrings.xml><?xml version="1.0" encoding="utf-8"?>
<sst xmlns="http://schemas.openxmlformats.org/spreadsheetml/2006/main" count="512" uniqueCount="150">
  <si>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</si>
  <si>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</si>
  <si>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</si>
  <si>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</si>
  <si>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</si>
  <si>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</si>
  <si>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</si>
  <si>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</si>
  <si>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</si>
  <si>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</si>
  <si>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</si>
  <si>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</si>
  <si>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</si>
  <si>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</si>
  <si>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</si>
  <si>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</si>
  <si>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</si>
  <si>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</si>
  <si>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</si>
  <si>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</si>
  <si>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</si>
  <si>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</si>
  <si>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</si>
  <si>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</si>
  <si>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</si>
  <si>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</si>
  <si>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</si>
  <si>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</si>
  <si>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</si>
  <si>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</si>
  <si>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</si>
  <si>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</si>
  <si>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</si>
  <si>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</si>
  <si>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</si>
  <si>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</si>
  <si>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</si>
  <si>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</si>
  <si>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</si>
  <si>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</si>
  <si>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</si>
  <si>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</si>
  <si>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</si>
  <si>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</si>
  <si>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</si>
  <si>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</si>
  <si>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</si>
  <si>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</si>
  <si>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</si>
  <si>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</si>
  <si>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</si>
  <si>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</si>
  <si>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</si>
  <si>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</si>
  <si>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</si>
  <si>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</si>
  <si>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</si>
  <si>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</si>
  <si>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</si>
  <si>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</si>
  <si>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</si>
  <si>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</si>
  <si>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</si>
  <si>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</si>
  <si>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</si>
  <si>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</si>
  <si>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</si>
  <si>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</si>
  <si>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</si>
  <si>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</si>
  <si>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</si>
  <si>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</si>
  <si>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</si>
  <si>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</si>
  <si>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</si>
  <si>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</si>
  <si>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</si>
  <si>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</si>
  <si>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</si>
  <si>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</si>
  <si>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</si>
  <si>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</si>
  <si>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</si>
  <si>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</si>
  <si>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</si>
  <si>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</si>
  <si>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</si>
  <si>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</si>
  <si>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</si>
  <si>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</si>
  <si>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</si>
  <si>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</si>
  <si>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</si>
  <si>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</si>
  <si>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</si>
  <si>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</si>
  <si>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</si>
  <si>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</si>
  <si>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</si>
  <si>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</si>
  <si>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</si>
  <si>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</si>
  <si>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</si>
  <si>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</si>
  <si>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</si>
  <si>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</si>
  <si>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</si>
  <si>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</si>
  <si>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</si>
  <si>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</si>
  <si>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</si>
  <si>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</si>
  <si>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</si>
  <si>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</si>
  <si>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</si>
  <si>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</si>
  <si>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</si>
  <si>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</si>
  <si>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</si>
  <si>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</si>
  <si>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</si>
  <si>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</si>
  <si>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</si>
  <si>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</si>
  <si>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</si>
  <si>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</si>
  <si>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</si>
  <si>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</si>
  <si>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</si>
  <si>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</si>
  <si>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</si>
  <si>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</si>
  <si>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</si>
  <si>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</si>
  <si>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</si>
  <si>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</si>
  <si>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</si>
  <si>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</si>
  <si>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</si>
  <si>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</si>
  <si>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</si>
  <si>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</si>
  <si>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</si>
  <si>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Sep. 2022</t>
  </si>
  <si>
    <t>Acutal till   Oct 2022</t>
  </si>
  <si>
    <t>Acutal till   NOV 2022</t>
  </si>
  <si>
    <t xml:space="preserve">Water Utility Supply ($/m3) </t>
  </si>
  <si>
    <t xml:space="preserve">Water Utility Supply (m3) </t>
  </si>
  <si>
    <t>Acutal till   DEC 2022</t>
  </si>
  <si>
    <t>Energy Monthly Statement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</si>
</sst>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E13" sqref="E13:K13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147</v>
      </c>
      <c r="J1" s="48" t="s">
        <v>146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1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46807.022152000005</v>
      </c>
      <c r="F2" s="125">
        <v>1.27</v>
      </c>
      <c r="G2" s="35">
        <f>Gas!C3*0.9147</f>
        <v>1182.7070999999999</v>
      </c>
      <c r="H2" s="126">
        <v>3.65</v>
      </c>
      <c r="I2" s="127">
        <f>Submetering!H2+Submetering!AD2+Submetering!AE2</f>
        <v>666</v>
      </c>
      <c r="J2" s="128">
        <v>10.029999999999999</v>
      </c>
      <c r="K2" s="35">
        <f>ELECT.!B3</f>
        <v>209</v>
      </c>
    </row>
    <row r="3" spans="1:14" x14ac:dyDescent="0.2">
      <c r="A3" s="46" t="s">
        <v>51</v>
      </c>
      <c r="B3" s="51">
        <f>B2+1</f>
        <v>2</v>
      </c>
      <c r="C3" s="51">
        <v>1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63637.550655999999</v>
      </c>
      <c r="F3" s="125">
        <v>1.27</v>
      </c>
      <c r="G3" s="35">
        <f>Gas!C4*0.9147</f>
        <v>1279.6652999999999</v>
      </c>
      <c r="H3" s="126">
        <v>3.65</v>
      </c>
      <c r="I3" s="128">
        <f>Submetering!H3+Submetering!AD3+Submetering!AE3</f>
        <v>466</v>
      </c>
      <c r="J3" s="128">
        <v>10.029999999999999</v>
      </c>
      <c r="K3" s="35">
        <f>ELECT.!B4</f>
        <v>159</v>
      </c>
    </row>
    <row r="4" spans="1:14" x14ac:dyDescent="0.2">
      <c r="A4" s="46" t="s">
        <v>51</v>
      </c>
      <c r="B4" s="51">
        <f t="shared" ref="B4:B32" si="0">B3+1</f>
        <v>3</v>
      </c>
      <c r="C4" s="51">
        <v>1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41387.631151999994</v>
      </c>
      <c r="F4" s="125">
        <v>1.27</v>
      </c>
      <c r="G4" s="35">
        <f>Gas!C5*0.9147</f>
        <v>1286.9829</v>
      </c>
      <c r="H4" s="126">
        <v>3.65</v>
      </c>
      <c r="I4" s="128">
        <f>Submetering!H4+Submetering!AD4+Submetering!AE4</f>
        <v>436.00000000000006</v>
      </c>
      <c r="J4" s="128">
        <v>10.029999999999999</v>
      </c>
      <c r="K4" s="35">
        <f>ELECT.!B5</f>
        <v>224</v>
      </c>
    </row>
    <row r="5" spans="1:14" x14ac:dyDescent="0.2">
      <c r="A5" s="46" t="s">
        <v>51</v>
      </c>
      <c r="B5" s="51">
        <f t="shared" si="0"/>
        <v>4</v>
      </c>
      <c r="C5" s="51">
        <v>1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44406.958160000002</v>
      </c>
      <c r="F5" s="125">
        <v>1.27</v>
      </c>
      <c r="G5" s="35">
        <f>Gas!C6*0.9147</f>
        <v>1208.3187</v>
      </c>
      <c r="H5" s="126">
        <v>3.65</v>
      </c>
      <c r="I5" s="128">
        <f>Submetering!H5+Submetering!AD5+Submetering!AE5</f>
        <v>896</v>
      </c>
      <c r="J5" s="128">
        <v>10.029999999999999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1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65405.960284000001</v>
      </c>
      <c r="F6" s="125">
        <v>1.27</v>
      </c>
      <c r="G6" s="35">
        <f>Gas!C7*0.9147</f>
        <v>1420.5291</v>
      </c>
      <c r="H6" s="126">
        <v>3.65</v>
      </c>
      <c r="I6" s="128">
        <f>Submetering!H6+Submetering!AD6+Submetering!AE6</f>
        <v>956</v>
      </c>
      <c r="J6" s="128">
        <v>10.029999999999999</v>
      </c>
      <c r="K6" s="35">
        <f>ELECT.!B7</f>
        <v>321</v>
      </c>
    </row>
    <row r="7" spans="1:14" x14ac:dyDescent="0.2">
      <c r="A7" s="46" t="s">
        <v>51</v>
      </c>
      <c r="B7" s="51">
        <f t="shared" si="0"/>
        <v>6</v>
      </c>
      <c r="C7" s="51">
        <v>1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46094.655567999995</v>
      </c>
      <c r="F7" s="125">
        <v>1.27</v>
      </c>
      <c r="G7" s="35">
        <f>Gas!C8*0.9147</f>
        <v>1365.6470999999999</v>
      </c>
      <c r="H7" s="126">
        <v>3.65</v>
      </c>
      <c r="I7" s="128">
        <f>Submetering!H7+Submetering!AD7+Submetering!AE7</f>
        <v>126.00000000000004</v>
      </c>
      <c r="J7" s="128">
        <v>10.029999999999999</v>
      </c>
      <c r="K7" s="35">
        <f>ELECT.!B8</f>
        <v>323</v>
      </c>
    </row>
    <row r="8" spans="1:14" x14ac:dyDescent="0.2">
      <c r="A8" s="46" t="s">
        <v>51</v>
      </c>
      <c r="B8" s="51">
        <f t="shared" si="0"/>
        <v>7</v>
      </c>
      <c r="C8" s="51">
        <v>1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40240.296036</v>
      </c>
      <c r="F8" s="125">
        <v>1.27</v>
      </c>
      <c r="G8" s="35">
        <f>Gas!C9*0.9147</f>
        <v>1636.3982999999998</v>
      </c>
      <c r="H8" s="126">
        <v>3.65</v>
      </c>
      <c r="I8" s="128">
        <f>Submetering!H8+Submetering!AD8+Submetering!AE8</f>
        <v>445.99999999999994</v>
      </c>
      <c r="J8" s="128">
        <v>10.029999999999999</v>
      </c>
      <c r="K8" s="35">
        <f>ELECT.!B9</f>
        <v>280</v>
      </c>
    </row>
    <row r="9" spans="1:14" x14ac:dyDescent="0.2">
      <c r="A9" s="46" t="s">
        <v>51</v>
      </c>
      <c r="B9" s="51">
        <f t="shared" si="0"/>
        <v>8</v>
      </c>
      <c r="C9" s="51">
        <v>1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58022.292687999994</v>
      </c>
      <c r="F9" s="125">
        <v>1.27</v>
      </c>
      <c r="G9" s="35">
        <f>Gas!C10*0.9147</f>
        <v>1573.2839999999999</v>
      </c>
      <c r="H9" s="126">
        <v>3.65</v>
      </c>
      <c r="I9" s="128">
        <f>Submetering!H9+Submetering!AD9+Submetering!AE9</f>
        <v>446</v>
      </c>
      <c r="J9" s="128">
        <v>10.029999999999999</v>
      </c>
      <c r="K9" s="35">
        <f>ELECT.!B10</f>
        <v>230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1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33094.098731999999</v>
      </c>
      <c r="F10" s="125">
        <v>1.27</v>
      </c>
      <c r="G10" s="35">
        <f>Gas!C11*0.9147</f>
        <v>1584.2603999999999</v>
      </c>
      <c r="H10" s="126">
        <v>3.65</v>
      </c>
      <c r="I10" s="128">
        <f>Submetering!H10+Submetering!AD10+Submetering!AE10</f>
        <v>446.00000000000006</v>
      </c>
      <c r="J10" s="128">
        <v>10.029999999999999</v>
      </c>
      <c r="K10" s="35">
        <f>ELECT.!B11</f>
        <v>232</v>
      </c>
    </row>
    <row r="11" spans="1:14" x14ac:dyDescent="0.2">
      <c r="A11" s="46" t="s">
        <v>51</v>
      </c>
      <c r="B11" s="51">
        <f t="shared" si="0"/>
        <v>10</v>
      </c>
      <c r="C11" s="51">
        <v>1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58790.827464000002</v>
      </c>
      <c r="F11" s="125">
        <v>1.27</v>
      </c>
      <c r="G11" s="35">
        <f>Gas!C12*0.9147</f>
        <v>1765.3709999999999</v>
      </c>
      <c r="H11" s="126">
        <v>3.65</v>
      </c>
      <c r="I11" s="128">
        <f>Submetering!H11+Submetering!AD11+Submetering!AE11</f>
        <v>886</v>
      </c>
      <c r="J11" s="128">
        <v>10.029999999999999</v>
      </c>
      <c r="K11" s="35">
        <f>ELECT.!B12</f>
        <v>267</v>
      </c>
    </row>
    <row r="12" spans="1:14" x14ac:dyDescent="0.2">
      <c r="A12" s="46" t="s">
        <v>51</v>
      </c>
      <c r="B12" s="51">
        <f t="shared" si="0"/>
        <v>11</v>
      </c>
      <c r="C12" s="51">
        <v>1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55726.042015999999</v>
      </c>
      <c r="F12" s="125">
        <v>1.27</v>
      </c>
      <c r="G12" s="35">
        <f>Gas!C13*0.9147</f>
        <v>1698.5979</v>
      </c>
      <c r="H12" s="126">
        <v>3.65</v>
      </c>
      <c r="I12" s="128">
        <f>Submetering!H12+Submetering!AD12+Submetering!AE12</f>
        <v>1106.0000000000002</v>
      </c>
      <c r="J12" s="128">
        <v>10.029999999999999</v>
      </c>
      <c r="K12" s="35">
        <f>ELECT.!B13</f>
        <v>266</v>
      </c>
    </row>
    <row r="13" spans="1:14" x14ac:dyDescent="0.2">
      <c r="A13" s="46" t="s">
        <v>51</v>
      </c>
      <c r="B13" s="51">
        <f t="shared" si="0"/>
        <v>12</v>
      </c>
      <c r="C13" s="51">
        <v>1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34847.935372</v>
      </c>
      <c r="F13" s="125">
        <v>1.27</v>
      </c>
      <c r="G13" s="35">
        <f>Gas!C14*0.9147</f>
        <v>1953.7991999999999</v>
      </c>
      <c r="H13" s="126">
        <v>3.65</v>
      </c>
      <c r="I13" s="128">
        <f>Submetering!H13+Submetering!AD13+Submetering!AE13</f>
        <v>856.00000000000011</v>
      </c>
      <c r="J13" s="128">
        <v>10.029999999999999</v>
      </c>
      <c r="K13" s="35">
        <f>ELECT.!B14</f>
        <v>260</v>
      </c>
    </row>
    <row r="14" spans="1:14" x14ac:dyDescent="0.2">
      <c r="A14" s="46" t="s">
        <v>51</v>
      </c>
      <c r="B14" s="51">
        <f t="shared" si="0"/>
        <v>13</v>
      </c>
      <c r="C14" s="51">
        <v>1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5">
        <v>1.27</v>
      </c>
      <c r="G14" s="35">
        <f>Gas!C15*0.9147</f>
        <v>0</v>
      </c>
      <c r="H14" s="126">
        <v>3.65</v>
      </c>
      <c r="I14" s="128">
        <f>Submetering!H14+Submetering!AD14+Submetering!AE14</f>
        <v>-194</v>
      </c>
      <c r="J14" s="128">
        <v>10.029999999999999</v>
      </c>
      <c r="K14" s="35">
        <f>ELECT.!B15</f>
        <v>0</v>
      </c>
    </row>
    <row r="15" spans="1:14" x14ac:dyDescent="0.2">
      <c r="A15" s="46" t="s">
        <v>51</v>
      </c>
      <c r="B15" s="51">
        <f t="shared" si="0"/>
        <v>14</v>
      </c>
      <c r="C15" s="51">
        <v>1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3.65</v>
      </c>
      <c r="I15" s="128">
        <f>Submetering!H15+Submetering!AD15+Submetering!AE15</f>
        <v>-194</v>
      </c>
      <c r="J15" s="128">
        <v>10.029999999999999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1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3.65</v>
      </c>
      <c r="I16" s="128">
        <f>Submetering!H16+Submetering!AD16+Submetering!AE16</f>
        <v>-194</v>
      </c>
      <c r="J16" s="128">
        <v>10.029999999999999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1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3.65</v>
      </c>
      <c r="I17" s="128">
        <f>Submetering!H17+Submetering!AD17+Submetering!AE17</f>
        <v>-194</v>
      </c>
      <c r="J17" s="128">
        <v>10.029999999999999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1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3.65</v>
      </c>
      <c r="I18" s="128">
        <f>Submetering!H18+Submetering!AD18+Submetering!AE18</f>
        <v>-194</v>
      </c>
      <c r="J18" s="128">
        <v>10.029999999999999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1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3.65</v>
      </c>
      <c r="I19" s="128">
        <f>Submetering!H19+Submetering!AD19+Submetering!AE19</f>
        <v>-194</v>
      </c>
      <c r="J19" s="128">
        <v>10.029999999999999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1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3.65</v>
      </c>
      <c r="I20" s="128">
        <f>Submetering!H20+Submetering!AD20+Submetering!AE20</f>
        <v>-194</v>
      </c>
      <c r="J20" s="128">
        <v>10.029999999999999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1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3.65</v>
      </c>
      <c r="I21" s="128">
        <f>Submetering!H21+Submetering!AD21+Submetering!AE21</f>
        <v>-194</v>
      </c>
      <c r="J21" s="128">
        <v>10.029999999999999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1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3.65</v>
      </c>
      <c r="I22" s="128">
        <f>Submetering!H22+Submetering!AD22+Submetering!AE22</f>
        <v>-194</v>
      </c>
      <c r="J22" s="128">
        <v>10.029999999999999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1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3.65</v>
      </c>
      <c r="I23" s="128">
        <f>Submetering!H23+Submetering!AD23+Submetering!AE23</f>
        <v>-194</v>
      </c>
      <c r="J23" s="128">
        <v>10.029999999999999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1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3.65</v>
      </c>
      <c r="I24" s="128">
        <f>Submetering!H24+Submetering!AD24+Submetering!AE24</f>
        <v>-194</v>
      </c>
      <c r="J24" s="128">
        <v>10.029999999999999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1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3.65</v>
      </c>
      <c r="I25" s="128">
        <f>Submetering!H25+Submetering!AD25+Submetering!AE25</f>
        <v>-194</v>
      </c>
      <c r="J25" s="128">
        <v>10.029999999999999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1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3.65</v>
      </c>
      <c r="I26" s="128">
        <f>Submetering!H26+Submetering!AD26+Submetering!AE26</f>
        <v>-194</v>
      </c>
      <c r="J26" s="128">
        <v>10.029999999999999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1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3.65</v>
      </c>
      <c r="I27" s="128">
        <f>Submetering!H27+Submetering!AD27+Submetering!AE27</f>
        <v>-194</v>
      </c>
      <c r="J27" s="128">
        <v>10.029999999999999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1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3.65</v>
      </c>
      <c r="I28" s="128">
        <f>Submetering!H28+Submetering!AD28+Submetering!AE28</f>
        <v>-194</v>
      </c>
      <c r="J28" s="128">
        <v>10.029999999999999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1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3.65</v>
      </c>
      <c r="I29" s="128">
        <f>Submetering!H29+Submetering!AD29+Submetering!AE29</f>
        <v>-194</v>
      </c>
      <c r="J29" s="128">
        <v>10.029999999999999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1</v>
      </c>
      <c r="D30" s="51">
        <v>2023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1.27</v>
      </c>
      <c r="G30" s="35">
        <f>Gas!C31*0.9147</f>
        <v>0</v>
      </c>
      <c r="H30" s="126">
        <v>3.65</v>
      </c>
      <c r="I30" s="128">
        <f>Submetering!H30+Submetering!AD30+Submetering!AE30</f>
        <v>-194</v>
      </c>
      <c r="J30" s="128">
        <v>10.029999999999999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1</v>
      </c>
      <c r="D31" s="51">
        <v>2023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1.27</v>
      </c>
      <c r="G31" s="35">
        <f>Gas!C32*0.9147</f>
        <v>0</v>
      </c>
      <c r="H31" s="126">
        <v>3.65</v>
      </c>
      <c r="I31" s="128">
        <f>Submetering!H31+Submetering!AD31+Submetering!AE31</f>
        <v>-194</v>
      </c>
      <c r="J31" s="128">
        <v>10.029999999999999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1</v>
      </c>
      <c r="D32" s="51">
        <v>2023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1.27</v>
      </c>
      <c r="G32" s="35">
        <f>Gas!C33*0.9147</f>
        <v>0</v>
      </c>
      <c r="H32" s="126">
        <v>3.65</v>
      </c>
      <c r="I32" s="128">
        <f>Submetering!H32+Submetering!AD32+Submetering!AE32</f>
        <v>-194</v>
      </c>
      <c r="J32" s="128">
        <v>10.029999999999999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H16" sqref="H16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1</v>
      </c>
      <c r="D2" s="51">
        <v>2023</v>
      </c>
      <c r="E2" s="35">
        <f>Water!C3</f>
        <v>860</v>
      </c>
      <c r="F2" s="35">
        <f>Water!E3</f>
        <v>430</v>
      </c>
      <c r="G2" s="35">
        <f>Water!G3</f>
        <v>448.2</v>
      </c>
      <c r="H2" s="35">
        <f>Water!I3</f>
        <v>3.996</v>
      </c>
      <c r="I2" s="35">
        <f>ELECT.!F3</f>
        <v>11869</v>
      </c>
      <c r="J2" s="35">
        <f>ELECT.!H3</f>
        <v>36946</v>
      </c>
      <c r="K2" s="35">
        <f>ELECT.!K3</f>
        <v>8972</v>
      </c>
      <c r="L2" s="35">
        <f>ELECT.!M3</f>
        <v>4421</v>
      </c>
      <c r="M2" s="35">
        <f>ELECT.!O3</f>
        <v>7282</v>
      </c>
      <c r="N2" s="35">
        <f>ELECT.!Q3</f>
        <v>2196</v>
      </c>
      <c r="O2" s="35">
        <f>ELECT.!S3</f>
        <v>9142</v>
      </c>
      <c r="P2" s="35">
        <f>ELECT.!W3*2</f>
        <v>19536</v>
      </c>
      <c r="Q2" s="35">
        <f>ELECT.!D3</f>
        <v>320</v>
      </c>
      <c r="R2" s="36">
        <f>BTU!C3</f>
        <v>3.2340000000003783</v>
      </c>
      <c r="S2" s="36">
        <f>BTU!F3</f>
        <v>0.68400000000019645</v>
      </c>
      <c r="T2" s="36">
        <f>BTU!I3</f>
        <v>3</v>
      </c>
      <c r="U2" s="36">
        <f>BTU!O3</f>
        <v>2.9020000000000437</v>
      </c>
      <c r="V2" s="36">
        <f>BTU!L3</f>
        <v>0.73999999999978172</v>
      </c>
      <c r="W2" s="36">
        <f>BTU!R3</f>
        <v>0</v>
      </c>
      <c r="X2" s="33">
        <f>ELECT.!B3</f>
        <v>209</v>
      </c>
      <c r="Y2" s="33">
        <f>I2+J2-(K2+L2+M2+N2+O2+P2)</f>
        <v>-2734</v>
      </c>
      <c r="Z2">
        <f>'Mall, Citadel, Rotana'!C3+'Mall, Citadel, Rotana'!E3+'Mall, Citadel, Rotana'!G3+'Mall, Citadel, Rotana'!I3</f>
        <v>1215</v>
      </c>
      <c r="AA2">
        <f>'Mall, Citadel, Rotana'!K3+'Mall, Citadel, Rotana'!M3</f>
        <v>121</v>
      </c>
      <c r="AB2">
        <f>'Mall, Citadel, Rotana'!O3</f>
        <v>120</v>
      </c>
      <c r="AC2">
        <f>'Mall, Citadel, Rotana'!Q3+'Mall, Citadel, Rotana'!S3</f>
        <v>120</v>
      </c>
      <c r="AD2" s="33">
        <f>(E2-H2-194)*0.1318</f>
        <v>87.252127200000004</v>
      </c>
      <c r="AE2" s="33">
        <f>E2-H2-AD2-194</f>
        <v>574.7518728</v>
      </c>
    </row>
    <row r="3" spans="1:31" x14ac:dyDescent="0.2">
      <c r="A3" s="46" t="s">
        <v>51</v>
      </c>
      <c r="B3" s="51">
        <f>B2+1</f>
        <v>2</v>
      </c>
      <c r="C3" s="51">
        <v>1</v>
      </c>
      <c r="D3" s="51">
        <v>2023</v>
      </c>
      <c r="E3" s="35">
        <f>Water!C4</f>
        <v>660</v>
      </c>
      <c r="F3" s="35">
        <f>Water!E4</f>
        <v>290</v>
      </c>
      <c r="G3" s="35">
        <f>Water!G4</f>
        <v>286.2</v>
      </c>
      <c r="H3" s="35">
        <f>Water!I4</f>
        <v>3.726</v>
      </c>
      <c r="I3" s="35">
        <f>ELECT.!F4</f>
        <v>16507</v>
      </c>
      <c r="J3" s="35">
        <f>ELECT.!H4</f>
        <v>49191</v>
      </c>
      <c r="K3" s="35">
        <f>ELECT.!K4</f>
        <v>16816</v>
      </c>
      <c r="L3" s="35">
        <f>ELECT.!M4</f>
        <v>6583</v>
      </c>
      <c r="M3" s="35">
        <f>ELECT.!O4</f>
        <v>9702</v>
      </c>
      <c r="N3" s="35">
        <f>ELECT.!Q4</f>
        <v>2988</v>
      </c>
      <c r="O3" s="35">
        <f>ELECT.!S4</f>
        <v>12120</v>
      </c>
      <c r="P3" s="35">
        <f>ELECT.!W4*2</f>
        <v>25364</v>
      </c>
      <c r="Q3" s="35">
        <f>ELECT.!D4</f>
        <v>320</v>
      </c>
      <c r="R3" s="128">
        <f>BTU!C4</f>
        <v>3.9290000000000873</v>
      </c>
      <c r="S3" s="128">
        <f>BTU!F4</f>
        <v>1.0160000000005311</v>
      </c>
      <c r="T3" s="128">
        <f>BTU!I4</f>
        <v>3</v>
      </c>
      <c r="U3" s="128">
        <f>BTU!O4</f>
        <v>2.5960000000000036</v>
      </c>
      <c r="V3" s="128">
        <f>BTU!L4</f>
        <v>0.8500000000003638</v>
      </c>
      <c r="W3" s="128">
        <f>BTU!R4</f>
        <v>0</v>
      </c>
      <c r="X3" s="33">
        <f>ELECT.!B4</f>
        <v>159</v>
      </c>
      <c r="Y3" s="33">
        <f t="shared" ref="Y3:Y31" si="0">I3+J3-(K3+L3+M3+N3+O3+P3)</f>
        <v>-7875</v>
      </c>
      <c r="Z3">
        <f>'Mall, Citadel, Rotana'!C4+'Mall, Citadel, Rotana'!E4+'Mall, Citadel, Rotana'!G4+'Mall, Citadel, Rotana'!I4</f>
        <v>1196</v>
      </c>
      <c r="AA3">
        <f>'Mall, Citadel, Rotana'!K4+'Mall, Citadel, Rotana'!M4</f>
        <v>180</v>
      </c>
      <c r="AB3">
        <f>'Mall, Citadel, Rotana'!O4</f>
        <v>124</v>
      </c>
      <c r="AC3">
        <f>'Mall, Citadel, Rotana'!Q4+'Mall, Citadel, Rotana'!S4</f>
        <v>114</v>
      </c>
      <c r="AD3" s="33">
        <f t="shared" ref="AD3:AD31" si="1">(E3-H3-194)*0.1318</f>
        <v>60.927713199999999</v>
      </c>
      <c r="AE3" s="33">
        <f t="shared" ref="AE3:AE31" si="2">E3-H3-AD3-194</f>
        <v>401.34628680000003</v>
      </c>
    </row>
    <row r="4" spans="1:31" x14ac:dyDescent="0.2">
      <c r="A4" s="46" t="s">
        <v>51</v>
      </c>
      <c r="B4" s="51">
        <f t="shared" ref="B4:B32" si="3">B3+1</f>
        <v>3</v>
      </c>
      <c r="C4" s="51">
        <v>1</v>
      </c>
      <c r="D4" s="51">
        <v>2023</v>
      </c>
      <c r="E4" s="35">
        <f>Water!C5</f>
        <v>630</v>
      </c>
      <c r="F4" s="35">
        <f>Water!E5</f>
        <v>280</v>
      </c>
      <c r="G4" s="35">
        <f>Water!G5</f>
        <v>396.9</v>
      </c>
      <c r="H4" s="35">
        <f>Water!I5</f>
        <v>4.5359999999999996</v>
      </c>
      <c r="I4" s="35">
        <f>ELECT.!F5</f>
        <v>10748</v>
      </c>
      <c r="J4" s="35">
        <f>ELECT.!H5</f>
        <v>32749</v>
      </c>
      <c r="K4" s="35">
        <f>ELECT.!K5</f>
        <v>10046</v>
      </c>
      <c r="L4" s="35">
        <f>ELECT.!M5</f>
        <v>4224</v>
      </c>
      <c r="M4" s="35">
        <f>ELECT.!O5</f>
        <v>6356</v>
      </c>
      <c r="N4" s="35">
        <f>ELECT.!Q5</f>
        <v>2045</v>
      </c>
      <c r="O4" s="35">
        <f>ELECT.!S5</f>
        <v>8306</v>
      </c>
      <c r="P4" s="35">
        <f>ELECT.!W5*2</f>
        <v>16622</v>
      </c>
      <c r="Q4" s="35">
        <f>ELECT.!D5</f>
        <v>320</v>
      </c>
      <c r="R4" s="128">
        <f>BTU!C5</f>
        <v>2.5470000000022992</v>
      </c>
      <c r="S4" s="128">
        <f>BTU!F5</f>
        <v>0.53799999999955617</v>
      </c>
      <c r="T4" s="128">
        <f>BTU!I5</f>
        <v>2</v>
      </c>
      <c r="U4" s="128">
        <f>BTU!O5</f>
        <v>1.6469999999999345</v>
      </c>
      <c r="V4" s="128">
        <f>BTU!L5</f>
        <v>7.999999999992724E-2</v>
      </c>
      <c r="W4" s="128">
        <f>BTU!R5</f>
        <v>0</v>
      </c>
      <c r="X4" s="33">
        <f>ELECT.!B5</f>
        <v>224</v>
      </c>
      <c r="Y4" s="33">
        <f t="shared" si="0"/>
        <v>-4102</v>
      </c>
      <c r="Z4">
        <f>'Mall, Citadel, Rotana'!C5+'Mall, Citadel, Rotana'!E5+'Mall, Citadel, Rotana'!G5+'Mall, Citadel, Rotana'!I5</f>
        <v>1374</v>
      </c>
      <c r="AA4">
        <f>'Mall, Citadel, Rotana'!K5+'Mall, Citadel, Rotana'!M5</f>
        <v>180</v>
      </c>
      <c r="AB4">
        <f>'Mall, Citadel, Rotana'!O5</f>
        <v>118</v>
      </c>
      <c r="AC4">
        <f>'Mall, Citadel, Rotana'!Q5+'Mall, Citadel, Rotana'!S5</f>
        <v>120</v>
      </c>
      <c r="AD4" s="33">
        <f t="shared" si="1"/>
        <v>56.866955200000007</v>
      </c>
      <c r="AE4" s="33">
        <f t="shared" si="2"/>
        <v>374.59704480000005</v>
      </c>
    </row>
    <row r="5" spans="1:31" x14ac:dyDescent="0.2">
      <c r="A5" s="46" t="s">
        <v>51</v>
      </c>
      <c r="B5" s="51">
        <f t="shared" si="3"/>
        <v>4</v>
      </c>
      <c r="C5" s="51">
        <v>1</v>
      </c>
      <c r="D5" s="51">
        <v>2023</v>
      </c>
      <c r="E5" s="35">
        <f>Water!C6</f>
        <v>1090</v>
      </c>
      <c r="F5" s="35">
        <f>Water!E6</f>
        <v>340</v>
      </c>
      <c r="G5" s="35">
        <f>Water!G6</f>
        <v>710.1</v>
      </c>
      <c r="H5" s="35">
        <f>Water!I6</f>
        <v>5.6159999999999997</v>
      </c>
      <c r="I5" s="35">
        <f>ELECT.!F6</f>
        <v>12287</v>
      </c>
      <c r="J5" s="35">
        <f>ELECT.!H6</f>
        <v>34532</v>
      </c>
      <c r="K5" s="35">
        <f>ELECT.!K6</f>
        <v>9212</v>
      </c>
      <c r="L5" s="35">
        <f>ELECT.!M6</f>
        <v>5382</v>
      </c>
      <c r="M5" s="35">
        <f>ELECT.!O6</f>
        <v>6734</v>
      </c>
      <c r="N5" s="35">
        <f>ELECT.!Q6</f>
        <v>2179</v>
      </c>
      <c r="O5" s="35">
        <f>ELECT.!S6</f>
        <v>8744</v>
      </c>
      <c r="P5" s="35">
        <f>ELECT.!W6*2</f>
        <v>17496</v>
      </c>
      <c r="Q5" s="35">
        <f>ELECT.!D6</f>
        <v>320</v>
      </c>
      <c r="R5" s="128">
        <f>BTU!C6</f>
        <v>3.2249999999985448</v>
      </c>
      <c r="S5" s="128">
        <f>BTU!F6</f>
        <v>0.76500000000032742</v>
      </c>
      <c r="T5" s="128">
        <f>BTU!I6</f>
        <v>3</v>
      </c>
      <c r="U5" s="128">
        <f>BTU!O6</f>
        <v>2.9639999999999418</v>
      </c>
      <c r="V5" s="128">
        <f>BTU!L6</f>
        <v>0.51999999999861757</v>
      </c>
      <c r="W5" s="128">
        <f>BTU!R6</f>
        <v>0</v>
      </c>
      <c r="X5" s="33">
        <f>ELECT.!B6</f>
        <v>310</v>
      </c>
      <c r="Y5" s="33">
        <f t="shared" si="0"/>
        <v>-2928</v>
      </c>
      <c r="Z5">
        <f>'Mall, Citadel, Rotana'!C6+'Mall, Citadel, Rotana'!E6+'Mall, Citadel, Rotana'!G6+'Mall, Citadel, Rotana'!I6</f>
        <v>1553</v>
      </c>
      <c r="AA5">
        <f>'Mall, Citadel, Rotana'!K6+'Mall, Citadel, Rotana'!M6</f>
        <v>240</v>
      </c>
      <c r="AB5">
        <f>'Mall, Citadel, Rotana'!O6</f>
        <v>115</v>
      </c>
      <c r="AC5">
        <f>'Mall, Citadel, Rotana'!Q6+'Mall, Citadel, Rotana'!S6</f>
        <v>119</v>
      </c>
      <c r="AD5" s="33">
        <f t="shared" si="1"/>
        <v>117.3526112</v>
      </c>
      <c r="AE5" s="33">
        <f t="shared" si="2"/>
        <v>773.03138880000006</v>
      </c>
    </row>
    <row r="6" spans="1:31" x14ac:dyDescent="0.2">
      <c r="A6" s="46" t="s">
        <v>51</v>
      </c>
      <c r="B6" s="51">
        <f t="shared" si="3"/>
        <v>5</v>
      </c>
      <c r="C6" s="51">
        <v>1</v>
      </c>
      <c r="D6" s="51">
        <v>2023</v>
      </c>
      <c r="E6" s="35">
        <f>Water!C7</f>
        <v>1150</v>
      </c>
      <c r="F6" s="35">
        <f>Water!E7</f>
        <v>310</v>
      </c>
      <c r="G6" s="35">
        <f>Water!G7</f>
        <v>405</v>
      </c>
      <c r="H6" s="35">
        <f>Water!I7</f>
        <v>4.9139999999999997</v>
      </c>
      <c r="I6" s="35">
        <f>ELECT.!F7</f>
        <v>16653</v>
      </c>
      <c r="J6" s="35">
        <f>ELECT.!H7</f>
        <v>50944</v>
      </c>
      <c r="K6" s="35">
        <f>ELECT.!K7</f>
        <v>17130</v>
      </c>
      <c r="L6" s="35">
        <f>ELECT.!M7</f>
        <v>7197</v>
      </c>
      <c r="M6" s="35">
        <f>ELECT.!O7</f>
        <v>9222</v>
      </c>
      <c r="N6" s="35">
        <f>ELECT.!Q7</f>
        <v>3078</v>
      </c>
      <c r="O6" s="35">
        <f>ELECT.!S7</f>
        <v>13283</v>
      </c>
      <c r="P6" s="35">
        <f>ELECT.!W7*2</f>
        <v>25718</v>
      </c>
      <c r="Q6" s="35">
        <f>ELECT.!D7</f>
        <v>480</v>
      </c>
      <c r="R6" s="128">
        <f>BTU!C7</f>
        <v>3.1080000000001746</v>
      </c>
      <c r="S6" s="128">
        <f>BTU!F7</f>
        <v>0.83899999999994179</v>
      </c>
      <c r="T6" s="128">
        <f>BTU!I7</f>
        <v>3</v>
      </c>
      <c r="U6" s="128">
        <f>BTU!O7</f>
        <v>2.0840000000002874</v>
      </c>
      <c r="V6" s="128">
        <f>BTU!L7</f>
        <v>0.65000000000145519</v>
      </c>
      <c r="W6" s="128">
        <f>BTU!R7</f>
        <v>0</v>
      </c>
      <c r="X6" s="33">
        <f>ELECT.!B7</f>
        <v>321</v>
      </c>
      <c r="Y6" s="33">
        <f t="shared" si="0"/>
        <v>-8031</v>
      </c>
      <c r="Z6">
        <f>'Mall, Citadel, Rotana'!C7+'Mall, Citadel, Rotana'!E7+'Mall, Citadel, Rotana'!G7+'Mall, Citadel, Rotana'!I7</f>
        <v>1360</v>
      </c>
      <c r="AA6">
        <f>'Mall, Citadel, Rotana'!K7+'Mall, Citadel, Rotana'!M7</f>
        <v>180</v>
      </c>
      <c r="AB6">
        <f>'Mall, Citadel, Rotana'!O7</f>
        <v>112</v>
      </c>
      <c r="AC6">
        <f>'Mall, Citadel, Rotana'!Q7+'Mall, Citadel, Rotana'!S7</f>
        <v>121</v>
      </c>
      <c r="AD6" s="33">
        <f t="shared" si="1"/>
        <v>125.35313480000001</v>
      </c>
      <c r="AE6" s="33">
        <f t="shared" si="2"/>
        <v>825.73286519999999</v>
      </c>
    </row>
    <row r="7" spans="1:31" x14ac:dyDescent="0.2">
      <c r="A7" s="46" t="s">
        <v>51</v>
      </c>
      <c r="B7" s="51">
        <f t="shared" si="3"/>
        <v>6</v>
      </c>
      <c r="C7" s="51">
        <v>1</v>
      </c>
      <c r="D7" s="51">
        <v>2023</v>
      </c>
      <c r="E7" s="35">
        <f>Water!C8</f>
        <v>320</v>
      </c>
      <c r="F7" s="35">
        <f>Water!E8</f>
        <v>260</v>
      </c>
      <c r="G7" s="35">
        <f>Water!G8</f>
        <v>345.6</v>
      </c>
      <c r="H7" s="35">
        <f>Water!I8</f>
        <v>4.1040000000000001</v>
      </c>
      <c r="I7" s="35">
        <f>ELECT.!F8</f>
        <v>11666</v>
      </c>
      <c r="J7" s="35">
        <f>ELECT.!H8</f>
        <v>36338</v>
      </c>
      <c r="K7" s="35">
        <f>ELECT.!K8</f>
        <v>9788</v>
      </c>
      <c r="L7" s="35">
        <f>ELECT.!M8</f>
        <v>4896</v>
      </c>
      <c r="M7" s="35">
        <f>ELECT.!O8</f>
        <v>6600</v>
      </c>
      <c r="N7" s="35">
        <f>ELECT.!Q8</f>
        <v>2335</v>
      </c>
      <c r="O7" s="35">
        <f>ELECT.!S8</f>
        <v>9706</v>
      </c>
      <c r="P7" s="35">
        <f>ELECT.!W8*2</f>
        <v>18546</v>
      </c>
      <c r="Q7" s="35">
        <f>ELECT.!D8</f>
        <v>160</v>
      </c>
      <c r="R7" s="128">
        <f>BTU!C8</f>
        <v>3.7580000000016298</v>
      </c>
      <c r="S7" s="128">
        <f>BTU!F8</f>
        <v>0.6499999999996362</v>
      </c>
      <c r="T7" s="128">
        <f>BTU!I8</f>
        <v>5</v>
      </c>
      <c r="U7" s="128">
        <f>BTU!O8</f>
        <v>2.793999999999869</v>
      </c>
      <c r="V7" s="128">
        <f>BTU!L8</f>
        <v>0.84000000000014552</v>
      </c>
      <c r="W7" s="128">
        <f>BTU!R8</f>
        <v>0</v>
      </c>
      <c r="X7" s="33">
        <f>ELECT.!B8</f>
        <v>323</v>
      </c>
      <c r="Y7" s="33">
        <f t="shared" si="0"/>
        <v>-3867</v>
      </c>
      <c r="Z7">
        <f>'Mall, Citadel, Rotana'!C8+'Mall, Citadel, Rotana'!E8+'Mall, Citadel, Rotana'!G8+'Mall, Citadel, Rotana'!I8</f>
        <v>1213</v>
      </c>
      <c r="AA7">
        <f>'Mall, Citadel, Rotana'!K8+'Mall, Citadel, Rotana'!M8</f>
        <v>120</v>
      </c>
      <c r="AB7">
        <f>'Mall, Citadel, Rotana'!O8</f>
        <v>68</v>
      </c>
      <c r="AC7">
        <f>'Mall, Citadel, Rotana'!Q8+'Mall, Citadel, Rotana'!S8</f>
        <v>112</v>
      </c>
      <c r="AD7" s="33">
        <f t="shared" si="1"/>
        <v>16.0658928</v>
      </c>
      <c r="AE7" s="33">
        <f t="shared" si="2"/>
        <v>105.83010720000004</v>
      </c>
    </row>
    <row r="8" spans="1:31" x14ac:dyDescent="0.2">
      <c r="A8" s="46" t="s">
        <v>51</v>
      </c>
      <c r="B8" s="51">
        <f t="shared" si="3"/>
        <v>7</v>
      </c>
      <c r="C8" s="51">
        <v>1</v>
      </c>
      <c r="D8" s="51">
        <v>2023</v>
      </c>
      <c r="E8" s="35">
        <f>Water!C9</f>
        <v>640</v>
      </c>
      <c r="F8" s="35">
        <f>Water!E9</f>
        <v>280</v>
      </c>
      <c r="G8" s="35">
        <f>Water!G9</f>
        <v>310.5</v>
      </c>
      <c r="H8" s="35">
        <f>Water!I9</f>
        <v>4.6440000000000001</v>
      </c>
      <c r="I8" s="35">
        <f>ELECT.!F9</f>
        <v>9860</v>
      </c>
      <c r="J8" s="35">
        <f>ELECT.!H9</f>
        <v>32283</v>
      </c>
      <c r="K8" s="35">
        <f>ELECT.!K9</f>
        <v>7784</v>
      </c>
      <c r="L8" s="35">
        <f>ELECT.!M9</f>
        <v>3712</v>
      </c>
      <c r="M8" s="35">
        <f>ELECT.!O9</f>
        <v>5980</v>
      </c>
      <c r="N8" s="35">
        <f>ELECT.!Q9</f>
        <v>2046</v>
      </c>
      <c r="O8" s="35">
        <f>ELECT.!S9</f>
        <v>8555</v>
      </c>
      <c r="P8" s="35">
        <f>ELECT.!W9*2</f>
        <v>17024</v>
      </c>
      <c r="Q8" s="35">
        <f>ELECT.!D9</f>
        <v>320</v>
      </c>
      <c r="R8" s="128">
        <f>BTU!C9</f>
        <v>3.010999999998603</v>
      </c>
      <c r="S8" s="128">
        <f>BTU!F9</f>
        <v>0.5</v>
      </c>
      <c r="T8" s="128">
        <f>BTU!I9</f>
        <v>3</v>
      </c>
      <c r="U8" s="128">
        <f>BTU!O9</f>
        <v>1.7559999999998581</v>
      </c>
      <c r="V8" s="128">
        <f>BTU!L9</f>
        <v>0</v>
      </c>
      <c r="W8" s="128">
        <f>BTU!R9</f>
        <v>0</v>
      </c>
      <c r="X8" s="33">
        <f>ELECT.!B9</f>
        <v>280</v>
      </c>
      <c r="Y8" s="33">
        <f t="shared" si="0"/>
        <v>-2958</v>
      </c>
      <c r="Z8">
        <f>'Mall, Citadel, Rotana'!C9+'Mall, Citadel, Rotana'!E9+'Mall, Citadel, Rotana'!G9+'Mall, Citadel, Rotana'!I9</f>
        <v>1216</v>
      </c>
      <c r="AA8">
        <f>'Mall, Citadel, Rotana'!K9+'Mall, Citadel, Rotana'!M9</f>
        <v>120</v>
      </c>
      <c r="AB8">
        <f>'Mall, Citadel, Rotana'!O9</f>
        <v>100</v>
      </c>
      <c r="AC8">
        <f>'Mall, Citadel, Rotana'!Q9+'Mall, Citadel, Rotana'!S9</f>
        <v>118</v>
      </c>
      <c r="AD8" s="33">
        <f t="shared" si="1"/>
        <v>58.170720799999998</v>
      </c>
      <c r="AE8" s="33">
        <f t="shared" si="2"/>
        <v>383.18527919999997</v>
      </c>
    </row>
    <row r="9" spans="1:31" x14ac:dyDescent="0.2">
      <c r="A9" s="46" t="s">
        <v>51</v>
      </c>
      <c r="B9" s="51">
        <f t="shared" si="3"/>
        <v>8</v>
      </c>
      <c r="C9" s="51">
        <v>1</v>
      </c>
      <c r="D9" s="51">
        <v>2023</v>
      </c>
      <c r="E9" s="35">
        <f>Water!C10</f>
        <v>640</v>
      </c>
      <c r="F9" s="35">
        <f>Water!E10</f>
        <v>300</v>
      </c>
      <c r="G9" s="35">
        <f>Water!G10</f>
        <v>351</v>
      </c>
      <c r="H9" s="35">
        <f>Water!I10</f>
        <v>5.4</v>
      </c>
      <c r="I9" s="35">
        <f>ELECT.!F10</f>
        <v>15154</v>
      </c>
      <c r="J9" s="35">
        <f>ELECT.!H10</f>
        <v>44908</v>
      </c>
      <c r="K9" s="35">
        <f>ELECT.!K10</f>
        <v>10406</v>
      </c>
      <c r="L9" s="35">
        <f>ELECT.!M10</f>
        <v>6376</v>
      </c>
      <c r="M9" s="35">
        <f>ELECT.!O10</f>
        <v>8560</v>
      </c>
      <c r="N9" s="35">
        <f>ELECT.!Q10</f>
        <v>2752</v>
      </c>
      <c r="O9" s="35">
        <f>ELECT.!S10</f>
        <v>11854</v>
      </c>
      <c r="P9" s="35">
        <f>ELECT.!W10*2</f>
        <v>24078</v>
      </c>
      <c r="Q9" s="35">
        <f>ELECT.!D10</f>
        <v>320</v>
      </c>
      <c r="R9" s="128">
        <f>BTU!C10</f>
        <v>2.7069999999985157</v>
      </c>
      <c r="S9" s="128">
        <f>BTU!F10</f>
        <v>0.37399999999979627</v>
      </c>
      <c r="T9" s="128">
        <f>BTU!I10</f>
        <v>4</v>
      </c>
      <c r="U9" s="128">
        <f>BTU!O10</f>
        <v>1.3119999999998981</v>
      </c>
      <c r="V9" s="128">
        <f>BTU!L10</f>
        <v>0.70999999999912689</v>
      </c>
      <c r="W9" s="128">
        <f>BTU!R10</f>
        <v>0</v>
      </c>
      <c r="X9" s="33">
        <f>ELECT.!B10</f>
        <v>230</v>
      </c>
      <c r="Y9" s="33">
        <f t="shared" si="0"/>
        <v>-3964</v>
      </c>
      <c r="Z9">
        <f>'Mall, Citadel, Rotana'!C10+'Mall, Citadel, Rotana'!E10+'Mall, Citadel, Rotana'!G10+'Mall, Citadel, Rotana'!I10</f>
        <v>1214</v>
      </c>
      <c r="AA9">
        <f>'Mall, Citadel, Rotana'!K10+'Mall, Citadel, Rotana'!M10</f>
        <v>120</v>
      </c>
      <c r="AB9">
        <f>'Mall, Citadel, Rotana'!O10</f>
        <v>68</v>
      </c>
      <c r="AC9">
        <f>'Mall, Citadel, Rotana'!Q10+'Mall, Citadel, Rotana'!S10</f>
        <v>121</v>
      </c>
      <c r="AD9" s="33">
        <f t="shared" si="1"/>
        <v>58.071080000000002</v>
      </c>
      <c r="AE9" s="33">
        <f t="shared" si="2"/>
        <v>382.52891999999997</v>
      </c>
    </row>
    <row r="10" spans="1:31" x14ac:dyDescent="0.2">
      <c r="A10" s="46" t="s">
        <v>51</v>
      </c>
      <c r="B10" s="51">
        <f t="shared" si="3"/>
        <v>9</v>
      </c>
      <c r="C10" s="51">
        <v>1</v>
      </c>
      <c r="D10" s="51">
        <v>2023</v>
      </c>
      <c r="E10" s="35">
        <f>Water!C11</f>
        <v>640</v>
      </c>
      <c r="F10" s="35">
        <f>Water!E11</f>
        <v>290</v>
      </c>
      <c r="G10" s="35">
        <f>Water!G11</f>
        <v>283.5</v>
      </c>
      <c r="H10" s="35">
        <f>Water!I11</f>
        <v>4.4279999999999999</v>
      </c>
      <c r="I10" s="35">
        <f>ELECT.!F11</f>
        <v>9415</v>
      </c>
      <c r="J10" s="35">
        <f>ELECT.!H11</f>
        <v>25747</v>
      </c>
      <c r="K10" s="35">
        <f>ELECT.!K11</f>
        <v>4846</v>
      </c>
      <c r="L10" s="35">
        <f>ELECT.!M11</f>
        <v>4290</v>
      </c>
      <c r="M10" s="35">
        <f>ELECT.!O11</f>
        <v>4992</v>
      </c>
      <c r="N10" s="35">
        <f>ELECT.!Q11</f>
        <v>1579</v>
      </c>
      <c r="O10" s="35">
        <f>ELECT.!S11</f>
        <v>6909</v>
      </c>
      <c r="P10" s="35">
        <f>ELECT.!W11*2</f>
        <v>13464</v>
      </c>
      <c r="Q10" s="35">
        <f>ELECT.!D11</f>
        <v>480</v>
      </c>
      <c r="R10" s="128">
        <f>BTU!C11</f>
        <v>2.691000000002532</v>
      </c>
      <c r="S10" s="128">
        <f>BTU!F11</f>
        <v>0.6430000000000291</v>
      </c>
      <c r="T10" s="128">
        <f>BTU!I11</f>
        <v>3</v>
      </c>
      <c r="U10" s="128">
        <f>BTU!O11</f>
        <v>1.6300000000001091</v>
      </c>
      <c r="V10" s="128">
        <f>BTU!L11</f>
        <v>1.0100000000002183</v>
      </c>
      <c r="W10" s="128">
        <f>BTU!R11</f>
        <v>0</v>
      </c>
      <c r="X10" s="33">
        <f>ELECT.!B11</f>
        <v>232</v>
      </c>
      <c r="Y10" s="33">
        <f t="shared" si="0"/>
        <v>-918</v>
      </c>
      <c r="Z10">
        <f>'Mall, Citadel, Rotana'!C11+'Mall, Citadel, Rotana'!E11+'Mall, Citadel, Rotana'!G11+'Mall, Citadel, Rotana'!I11</f>
        <v>1355</v>
      </c>
      <c r="AA10">
        <f>'Mall, Citadel, Rotana'!K11+'Mall, Citadel, Rotana'!M11</f>
        <v>180</v>
      </c>
      <c r="AB10">
        <f>'Mall, Citadel, Rotana'!O11</f>
        <v>118</v>
      </c>
      <c r="AC10">
        <f>'Mall, Citadel, Rotana'!Q11+'Mall, Citadel, Rotana'!S11</f>
        <v>117</v>
      </c>
      <c r="AD10" s="33">
        <f t="shared" si="1"/>
        <v>58.199189600000004</v>
      </c>
      <c r="AE10" s="33">
        <f t="shared" si="2"/>
        <v>383.37281040000005</v>
      </c>
    </row>
    <row r="11" spans="1:31" x14ac:dyDescent="0.2">
      <c r="A11" s="46" t="s">
        <v>51</v>
      </c>
      <c r="B11" s="51">
        <f t="shared" si="3"/>
        <v>10</v>
      </c>
      <c r="C11" s="51">
        <v>1</v>
      </c>
      <c r="D11" s="51">
        <v>2023</v>
      </c>
      <c r="E11" s="35">
        <f>Water!C12</f>
        <v>1080</v>
      </c>
      <c r="F11" s="35">
        <f>Water!E12</f>
        <v>320</v>
      </c>
      <c r="G11" s="35">
        <f>Water!G12</f>
        <v>334.8</v>
      </c>
      <c r="H11" s="35">
        <f>Water!I12</f>
        <v>4.3739999999999997</v>
      </c>
      <c r="I11" s="35">
        <f>ELECT.!F12</f>
        <v>16182</v>
      </c>
      <c r="J11" s="35">
        <f>ELECT.!H12</f>
        <v>44755</v>
      </c>
      <c r="K11" s="35">
        <f>ELECT.!K12</f>
        <v>12884</v>
      </c>
      <c r="L11" s="35">
        <f>ELECT.!M12</f>
        <v>7418</v>
      </c>
      <c r="M11" s="35">
        <f>ELECT.!O12</f>
        <v>8544</v>
      </c>
      <c r="N11" s="35">
        <f>ELECT.!Q12</f>
        <v>2742</v>
      </c>
      <c r="O11" s="35">
        <f>ELECT.!S12</f>
        <v>11920</v>
      </c>
      <c r="P11" s="35">
        <f>ELECT.!W12*2</f>
        <v>23226</v>
      </c>
      <c r="Q11" s="35">
        <f>ELECT.!D12</f>
        <v>480</v>
      </c>
      <c r="R11" s="128">
        <f>BTU!C12</f>
        <v>3.2209999999977299</v>
      </c>
      <c r="S11" s="128">
        <f>BTU!F12</f>
        <v>0.90999999999985448</v>
      </c>
      <c r="T11" s="128">
        <f>BTU!I12</f>
        <v>5</v>
      </c>
      <c r="U11" s="128">
        <f>BTU!O12</f>
        <v>2.0740000000000691</v>
      </c>
      <c r="V11" s="128">
        <f>BTU!L12</f>
        <v>0.8500000000003638</v>
      </c>
      <c r="W11" s="128">
        <f>BTU!R12</f>
        <v>0</v>
      </c>
      <c r="X11" s="33">
        <f>ELECT.!B12</f>
        <v>267</v>
      </c>
      <c r="Y11" s="33">
        <f t="shared" si="0"/>
        <v>-5797</v>
      </c>
      <c r="Z11">
        <f>'Mall, Citadel, Rotana'!C12+'Mall, Citadel, Rotana'!E12+'Mall, Citadel, Rotana'!G12+'Mall, Citadel, Rotana'!I12</f>
        <v>1197</v>
      </c>
      <c r="AA11">
        <f>'Mall, Citadel, Rotana'!K12+'Mall, Citadel, Rotana'!M12</f>
        <v>240</v>
      </c>
      <c r="AB11">
        <f>'Mall, Citadel, Rotana'!O12</f>
        <v>121</v>
      </c>
      <c r="AC11">
        <f>'Mall, Citadel, Rotana'!Q12+'Mall, Citadel, Rotana'!S12</f>
        <v>164</v>
      </c>
      <c r="AD11" s="33">
        <f t="shared" si="1"/>
        <v>116.1983068</v>
      </c>
      <c r="AE11" s="33">
        <f t="shared" si="2"/>
        <v>765.42769320000002</v>
      </c>
    </row>
    <row r="12" spans="1:31" x14ac:dyDescent="0.2">
      <c r="A12" s="46" t="s">
        <v>51</v>
      </c>
      <c r="B12" s="51">
        <f t="shared" si="3"/>
        <v>11</v>
      </c>
      <c r="C12" s="51">
        <v>1</v>
      </c>
      <c r="D12" s="51">
        <v>2023</v>
      </c>
      <c r="E12" s="35">
        <f>Water!C13</f>
        <v>1300</v>
      </c>
      <c r="F12" s="35">
        <f>Water!E13</f>
        <v>420</v>
      </c>
      <c r="G12" s="35">
        <f>Water!G13</f>
        <v>302.39999999999998</v>
      </c>
      <c r="H12" s="35">
        <f>Water!I13</f>
        <v>4.7249999999999996</v>
      </c>
      <c r="I12" s="35">
        <f>ELECT.!F13</f>
        <v>14078</v>
      </c>
      <c r="J12" s="35">
        <f>ELECT.!H13</f>
        <v>43775</v>
      </c>
      <c r="K12" s="35">
        <f>ELECT.!K13</f>
        <v>11552</v>
      </c>
      <c r="L12" s="35">
        <f>ELECT.!M13</f>
        <v>5786</v>
      </c>
      <c r="M12" s="35">
        <f>ELECT.!O13</f>
        <v>8098</v>
      </c>
      <c r="N12" s="35">
        <f>ELECT.!Q13</f>
        <v>2831</v>
      </c>
      <c r="O12" s="35">
        <f>ELECT.!S13</f>
        <v>11772</v>
      </c>
      <c r="P12" s="35">
        <f>ELECT.!W13*2</f>
        <v>22552</v>
      </c>
      <c r="Q12" s="35">
        <f>ELECT.!D13</f>
        <v>320</v>
      </c>
      <c r="R12" s="128">
        <f>BTU!C13</f>
        <v>2.3470000000015716</v>
      </c>
      <c r="S12" s="128">
        <f>BTU!F13</f>
        <v>0.51900000000023283</v>
      </c>
      <c r="T12" s="128">
        <f>BTU!I13</f>
        <v>3</v>
      </c>
      <c r="U12" s="128">
        <f>BTU!O13</f>
        <v>1.318000000000211</v>
      </c>
      <c r="V12" s="128">
        <f>BTU!L13</f>
        <v>7.999999999992724E-2</v>
      </c>
      <c r="W12" s="128">
        <f>BTU!R13</f>
        <v>0</v>
      </c>
      <c r="X12" s="33">
        <f>ELECT.!B13</f>
        <v>266</v>
      </c>
      <c r="Y12" s="33">
        <f t="shared" si="0"/>
        <v>-4738</v>
      </c>
      <c r="Z12">
        <f>'Mall, Citadel, Rotana'!C13+'Mall, Citadel, Rotana'!E13+'Mall, Citadel, Rotana'!G13+'Mall, Citadel, Rotana'!I13</f>
        <v>1357</v>
      </c>
      <c r="AA12">
        <f>'Mall, Citadel, Rotana'!K13+'Mall, Citadel, Rotana'!M13</f>
        <v>180</v>
      </c>
      <c r="AB12">
        <f>'Mall, Citadel, Rotana'!O13</f>
        <v>126</v>
      </c>
      <c r="AC12">
        <f>'Mall, Citadel, Rotana'!Q13+'Mall, Citadel, Rotana'!S13</f>
        <v>0</v>
      </c>
      <c r="AD12" s="33">
        <f t="shared" si="1"/>
        <v>145.14804500000002</v>
      </c>
      <c r="AE12" s="33">
        <f t="shared" si="2"/>
        <v>956.12695500000018</v>
      </c>
    </row>
    <row r="13" spans="1:31" x14ac:dyDescent="0.2">
      <c r="A13" s="46" t="s">
        <v>51</v>
      </c>
      <c r="B13" s="51">
        <f t="shared" si="3"/>
        <v>12</v>
      </c>
      <c r="C13" s="51">
        <v>1</v>
      </c>
      <c r="D13" s="51">
        <v>2023</v>
      </c>
      <c r="E13" s="35">
        <f>Water!C14</f>
        <v>1050</v>
      </c>
      <c r="F13" s="35">
        <f>Water!E14</f>
        <v>430</v>
      </c>
      <c r="G13" s="35">
        <f>Water!G14</f>
        <v>334.8</v>
      </c>
      <c r="H13" s="35">
        <f>Water!I14</f>
        <v>4.59</v>
      </c>
      <c r="I13" s="35">
        <f>ELECT.!F14</f>
        <v>8624</v>
      </c>
      <c r="J13" s="35">
        <f>ELECT.!H14</f>
        <v>28285</v>
      </c>
      <c r="K13" s="35">
        <f>ELECT.!K14</f>
        <v>7568</v>
      </c>
      <c r="L13" s="35">
        <f>ELECT.!M14</f>
        <v>3774</v>
      </c>
      <c r="M13" s="35">
        <f>ELECT.!O14</f>
        <v>4702</v>
      </c>
      <c r="N13" s="35">
        <f>ELECT.!Q14</f>
        <v>2201</v>
      </c>
      <c r="O13" s="35">
        <f>ELECT.!S14</f>
        <v>7327</v>
      </c>
      <c r="P13" s="35">
        <f>ELECT.!W14*2</f>
        <v>14306</v>
      </c>
      <c r="Q13" s="35">
        <f>ELECT.!D14</f>
        <v>480</v>
      </c>
      <c r="R13" s="128">
        <f>BTU!C14</f>
        <v>2.8060000000004948</v>
      </c>
      <c r="S13" s="128">
        <f>BTU!F14</f>
        <v>0.70200000000022555</v>
      </c>
      <c r="T13" s="128">
        <f>BTU!I14</f>
        <v>4</v>
      </c>
      <c r="U13" s="128">
        <f>BTU!O14</f>
        <v>1.6219999999998436</v>
      </c>
      <c r="V13" s="128">
        <f>BTU!L14</f>
        <v>0</v>
      </c>
      <c r="W13" s="128">
        <f>BTU!R14</f>
        <v>0</v>
      </c>
      <c r="X13" s="33">
        <f>ELECT.!B14</f>
        <v>260</v>
      </c>
      <c r="Y13" s="33">
        <f t="shared" si="0"/>
        <v>-2969</v>
      </c>
      <c r="Z13">
        <f>'Mall, Citadel, Rotana'!C14+'Mall, Citadel, Rotana'!E14+'Mall, Citadel, Rotana'!G14+'Mall, Citadel, Rotana'!I14</f>
        <v>1221</v>
      </c>
      <c r="AA13">
        <f>'Mall, Citadel, Rotana'!K14+'Mall, Citadel, Rotana'!M14</f>
        <v>179</v>
      </c>
      <c r="AB13">
        <f>'Mall, Citadel, Rotana'!O14</f>
        <v>127</v>
      </c>
      <c r="AC13">
        <f>'Mall, Citadel, Rotana'!Q14+'Mall, Citadel, Rotana'!S14</f>
        <v>282</v>
      </c>
      <c r="AD13" s="33">
        <f t="shared" si="1"/>
        <v>112.21583800000001</v>
      </c>
      <c r="AE13" s="33">
        <f t="shared" si="2"/>
        <v>739.19416200000012</v>
      </c>
    </row>
    <row r="14" spans="1:31" x14ac:dyDescent="0.2">
      <c r="A14" s="46" t="s">
        <v>51</v>
      </c>
      <c r="B14" s="51">
        <f t="shared" si="3"/>
        <v>13</v>
      </c>
      <c r="C14" s="51">
        <v>1</v>
      </c>
      <c r="D14" s="51">
        <v>2023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28">
        <f>BTU!C15</f>
        <v>0</v>
      </c>
      <c r="S14" s="128">
        <f>BTU!F15</f>
        <v>0</v>
      </c>
      <c r="T14" s="128">
        <f>BTU!I15</f>
        <v>0</v>
      </c>
      <c r="U14" s="128">
        <f>BTU!O15</f>
        <v>0</v>
      </c>
      <c r="V14" s="128">
        <f>BTU!L15</f>
        <v>0</v>
      </c>
      <c r="W14" s="128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51</v>
      </c>
      <c r="B15" s="51">
        <f t="shared" si="3"/>
        <v>14</v>
      </c>
      <c r="C15" s="51">
        <v>1</v>
      </c>
      <c r="D15" s="51">
        <v>2023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28">
        <f>BTU!C16</f>
        <v>0</v>
      </c>
      <c r="S15" s="128">
        <f>BTU!F16</f>
        <v>0</v>
      </c>
      <c r="T15" s="128">
        <f>BTU!I16</f>
        <v>0</v>
      </c>
      <c r="U15" s="128">
        <f>BTU!O16</f>
        <v>0</v>
      </c>
      <c r="V15" s="128">
        <f>BTU!L16</f>
        <v>0</v>
      </c>
      <c r="W15" s="128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1</v>
      </c>
      <c r="D16" s="51">
        <v>2023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1</v>
      </c>
      <c r="D17" s="51">
        <v>2023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1</v>
      </c>
      <c r="D18" s="51">
        <v>2023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1</v>
      </c>
      <c r="D19" s="51">
        <v>2023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1</v>
      </c>
      <c r="D20" s="51">
        <v>2023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1</v>
      </c>
      <c r="D21" s="51">
        <v>2023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1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1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1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1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1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1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1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1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1</v>
      </c>
      <c r="D30" s="51">
        <v>2023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1</v>
      </c>
      <c r="D31" s="51">
        <v>2023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1</v>
      </c>
      <c r="D32" s="51">
        <v>2023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topLeftCell="B1" zoomScale="120" zoomScaleNormal="120" workbookViewId="0">
      <pane ySplit="1" topLeftCell="A2" activePane="bottomLeft" state="frozen"/>
      <selection pane="bottomLeft" activeCell="V14" sqref="V1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44926</v>
      </c>
      <c r="B2" s="31">
        <v>48061</v>
      </c>
      <c r="C2" s="14"/>
      <c r="D2" s="31">
        <v>41278</v>
      </c>
      <c r="E2" s="14"/>
      <c r="F2" s="31">
        <v>22445</v>
      </c>
      <c r="G2" s="14"/>
      <c r="H2" s="31">
        <v>261193</v>
      </c>
      <c r="I2" s="14"/>
      <c r="J2" s="31">
        <v>349511</v>
      </c>
      <c r="K2" s="14"/>
      <c r="L2" s="31">
        <v>26825</v>
      </c>
      <c r="M2" s="14"/>
      <c r="N2" s="31">
        <v>227119</v>
      </c>
      <c r="O2" s="14"/>
      <c r="P2" s="31">
        <v>184695</v>
      </c>
      <c r="Q2" s="14"/>
      <c r="R2" s="31">
        <v>55047</v>
      </c>
      <c r="S2" s="14"/>
      <c r="T2" s="31">
        <v>4130</v>
      </c>
      <c r="U2" s="14"/>
    </row>
    <row r="3" spans="1:24" ht="13.5" thickBot="1" x14ac:dyDescent="0.25">
      <c r="A3" s="9">
        <v>44927</v>
      </c>
      <c r="B3" s="31">
        <v>48065</v>
      </c>
      <c r="C3" s="14">
        <f t="shared" ref="C3" si="0">(B3-B2)*800/5</f>
        <v>640</v>
      </c>
      <c r="D3" s="31">
        <v>41281</v>
      </c>
      <c r="E3" s="14">
        <f t="shared" ref="E3" si="1">(D3-D2)*800/5</f>
        <v>480</v>
      </c>
      <c r="F3" s="31">
        <v>22449</v>
      </c>
      <c r="G3" s="14">
        <f>(F3-F2)*100/5</f>
        <v>80</v>
      </c>
      <c r="H3" s="31">
        <v>261208</v>
      </c>
      <c r="I3" s="14">
        <f>(H3-H2)</f>
        <v>15</v>
      </c>
      <c r="J3" s="31">
        <v>349512</v>
      </c>
      <c r="K3" s="14">
        <f>(J3-J2)</f>
        <v>1</v>
      </c>
      <c r="L3" s="31">
        <v>26827</v>
      </c>
      <c r="M3" s="14">
        <f>(L3-L2)*300/5</f>
        <v>120</v>
      </c>
      <c r="N3" s="31">
        <v>227239</v>
      </c>
      <c r="O3" s="14">
        <f>N3-N2</f>
        <v>120</v>
      </c>
      <c r="P3" s="31">
        <v>184815</v>
      </c>
      <c r="Q3" s="14">
        <f t="shared" ref="Q3:Q31" si="2">P3-P2</f>
        <v>120</v>
      </c>
      <c r="R3" s="31">
        <f>R2</f>
        <v>55047</v>
      </c>
      <c r="S3" s="14">
        <v>0</v>
      </c>
      <c r="T3" s="31">
        <v>4131</v>
      </c>
      <c r="U3" s="14">
        <f>(T3-T2)*800/5</f>
        <v>160</v>
      </c>
    </row>
    <row r="4" spans="1:24" ht="13.5" thickBot="1" x14ac:dyDescent="0.25">
      <c r="A4" s="9">
        <v>44928</v>
      </c>
      <c r="B4" s="31">
        <v>48069</v>
      </c>
      <c r="C4" s="14">
        <f t="shared" ref="C4:C31" si="3">(B4-B3)*800/5</f>
        <v>640</v>
      </c>
      <c r="D4" s="31">
        <v>41284</v>
      </c>
      <c r="E4" s="14">
        <f t="shared" ref="E4:E31" si="4">(D4-D3)*800/5</f>
        <v>480</v>
      </c>
      <c r="F4" s="31">
        <v>22452</v>
      </c>
      <c r="G4" s="14">
        <f t="shared" ref="G4:G31" si="5">(F4-F3)*100/5</f>
        <v>60</v>
      </c>
      <c r="H4" s="31">
        <v>261224</v>
      </c>
      <c r="I4" s="14">
        <f t="shared" ref="I4:I31" si="6">(H4-H3)</f>
        <v>16</v>
      </c>
      <c r="J4" s="31">
        <v>349512</v>
      </c>
      <c r="K4" s="14">
        <f t="shared" ref="K4:K31" si="7">(J4-J3)</f>
        <v>0</v>
      </c>
      <c r="L4" s="31">
        <v>26830</v>
      </c>
      <c r="M4" s="14">
        <f t="shared" ref="M4:M31" si="8">(L4-L3)*300/5</f>
        <v>180</v>
      </c>
      <c r="N4" s="31">
        <v>227363</v>
      </c>
      <c r="O4" s="14">
        <f t="shared" ref="O4:O31" si="9">N4-N3</f>
        <v>124</v>
      </c>
      <c r="P4" s="31">
        <v>184929</v>
      </c>
      <c r="Q4" s="14">
        <f t="shared" si="2"/>
        <v>114</v>
      </c>
      <c r="R4" s="31">
        <f t="shared" ref="R4:R32" si="10">R3</f>
        <v>55047</v>
      </c>
      <c r="S4" s="14">
        <v>0</v>
      </c>
      <c r="T4" s="31">
        <v>4132</v>
      </c>
      <c r="U4" s="14">
        <f t="shared" ref="U4:U31" si="11">(T4-T3)*800/5</f>
        <v>160</v>
      </c>
    </row>
    <row r="5" spans="1:24" ht="13.5" thickBot="1" x14ac:dyDescent="0.25">
      <c r="A5" s="9">
        <v>44929</v>
      </c>
      <c r="B5" s="31">
        <v>48074</v>
      </c>
      <c r="C5" s="14">
        <f t="shared" si="3"/>
        <v>800</v>
      </c>
      <c r="D5" s="31">
        <v>41287</v>
      </c>
      <c r="E5" s="14">
        <f t="shared" si="4"/>
        <v>480</v>
      </c>
      <c r="F5" s="31">
        <v>22456</v>
      </c>
      <c r="G5" s="14">
        <f t="shared" si="5"/>
        <v>80</v>
      </c>
      <c r="H5" s="31">
        <v>261238</v>
      </c>
      <c r="I5" s="14">
        <f t="shared" si="6"/>
        <v>14</v>
      </c>
      <c r="J5" s="31">
        <v>349512</v>
      </c>
      <c r="K5" s="14">
        <f t="shared" si="7"/>
        <v>0</v>
      </c>
      <c r="L5" s="31">
        <v>26833</v>
      </c>
      <c r="M5" s="14">
        <f t="shared" si="8"/>
        <v>180</v>
      </c>
      <c r="N5" s="31">
        <v>227481</v>
      </c>
      <c r="O5" s="14">
        <f t="shared" si="9"/>
        <v>118</v>
      </c>
      <c r="P5" s="31">
        <v>185049</v>
      </c>
      <c r="Q5" s="14">
        <f t="shared" si="2"/>
        <v>120</v>
      </c>
      <c r="R5" s="31">
        <f t="shared" si="10"/>
        <v>55047</v>
      </c>
      <c r="S5" s="14">
        <f t="shared" ref="S5:S30" si="12">R5-R4</f>
        <v>0</v>
      </c>
      <c r="T5" s="31">
        <v>4134</v>
      </c>
      <c r="U5" s="14">
        <f t="shared" si="11"/>
        <v>320</v>
      </c>
    </row>
    <row r="6" spans="1:24" ht="13.5" thickBot="1" x14ac:dyDescent="0.25">
      <c r="A6" s="9">
        <v>44930</v>
      </c>
      <c r="B6" s="31">
        <v>48079</v>
      </c>
      <c r="C6" s="14">
        <f t="shared" si="3"/>
        <v>800</v>
      </c>
      <c r="D6" s="31">
        <v>41291</v>
      </c>
      <c r="E6" s="14">
        <f t="shared" si="4"/>
        <v>640</v>
      </c>
      <c r="F6" s="31">
        <v>22461</v>
      </c>
      <c r="G6" s="14">
        <f t="shared" si="5"/>
        <v>100</v>
      </c>
      <c r="H6" s="31">
        <v>261251</v>
      </c>
      <c r="I6" s="14">
        <f t="shared" si="6"/>
        <v>13</v>
      </c>
      <c r="J6" s="31">
        <v>349512</v>
      </c>
      <c r="K6" s="14">
        <f t="shared" si="7"/>
        <v>0</v>
      </c>
      <c r="L6" s="31">
        <v>26837</v>
      </c>
      <c r="M6" s="14">
        <f t="shared" si="8"/>
        <v>240</v>
      </c>
      <c r="N6" s="31">
        <v>227596</v>
      </c>
      <c r="O6" s="14">
        <f t="shared" si="9"/>
        <v>115</v>
      </c>
      <c r="P6" s="31">
        <v>185168</v>
      </c>
      <c r="Q6" s="14">
        <f t="shared" si="2"/>
        <v>119</v>
      </c>
      <c r="R6" s="31">
        <f t="shared" si="10"/>
        <v>55047</v>
      </c>
      <c r="S6" s="14">
        <v>0</v>
      </c>
      <c r="T6" s="31">
        <v>4135</v>
      </c>
      <c r="U6" s="14">
        <f t="shared" si="11"/>
        <v>160</v>
      </c>
    </row>
    <row r="7" spans="1:24" ht="13.5" thickBot="1" x14ac:dyDescent="0.25">
      <c r="A7" s="9">
        <v>44931</v>
      </c>
      <c r="B7" s="31">
        <v>48084</v>
      </c>
      <c r="C7" s="14">
        <f t="shared" si="3"/>
        <v>800</v>
      </c>
      <c r="D7" s="31">
        <v>41294</v>
      </c>
      <c r="E7" s="14">
        <f t="shared" si="4"/>
        <v>480</v>
      </c>
      <c r="F7" s="31">
        <v>22464</v>
      </c>
      <c r="G7" s="14">
        <f t="shared" si="5"/>
        <v>60</v>
      </c>
      <c r="H7" s="31">
        <v>261271</v>
      </c>
      <c r="I7" s="14">
        <f t="shared" si="6"/>
        <v>20</v>
      </c>
      <c r="J7" s="31">
        <v>349512</v>
      </c>
      <c r="K7" s="14">
        <f t="shared" si="7"/>
        <v>0</v>
      </c>
      <c r="L7" s="31">
        <v>26840</v>
      </c>
      <c r="M7" s="14">
        <f t="shared" si="8"/>
        <v>180</v>
      </c>
      <c r="N7" s="31">
        <v>227708</v>
      </c>
      <c r="O7" s="14">
        <f t="shared" si="9"/>
        <v>112</v>
      </c>
      <c r="P7" s="31">
        <v>185289</v>
      </c>
      <c r="Q7" s="14">
        <f t="shared" si="2"/>
        <v>121</v>
      </c>
      <c r="R7" s="31">
        <f t="shared" si="10"/>
        <v>55047</v>
      </c>
      <c r="S7" s="14">
        <v>0</v>
      </c>
      <c r="T7" s="31">
        <v>4136</v>
      </c>
      <c r="U7" s="14">
        <f t="shared" si="11"/>
        <v>160</v>
      </c>
    </row>
    <row r="8" spans="1:24" ht="13.5" thickBot="1" x14ac:dyDescent="0.25">
      <c r="A8" s="9">
        <v>44932</v>
      </c>
      <c r="B8" s="31">
        <v>48088</v>
      </c>
      <c r="C8" s="14">
        <f t="shared" si="3"/>
        <v>640</v>
      </c>
      <c r="D8" s="31">
        <v>41297</v>
      </c>
      <c r="E8" s="14">
        <f t="shared" si="4"/>
        <v>480</v>
      </c>
      <c r="F8" s="31">
        <v>22468</v>
      </c>
      <c r="G8" s="14">
        <f t="shared" si="5"/>
        <v>80</v>
      </c>
      <c r="H8" s="31">
        <v>261284</v>
      </c>
      <c r="I8" s="14">
        <f t="shared" si="6"/>
        <v>13</v>
      </c>
      <c r="J8" s="31">
        <v>349512</v>
      </c>
      <c r="K8" s="14">
        <f t="shared" si="7"/>
        <v>0</v>
      </c>
      <c r="L8" s="31">
        <v>26842</v>
      </c>
      <c r="M8" s="14">
        <f t="shared" si="8"/>
        <v>120</v>
      </c>
      <c r="N8" s="31">
        <v>227776</v>
      </c>
      <c r="O8" s="14">
        <f t="shared" si="9"/>
        <v>68</v>
      </c>
      <c r="P8" s="31">
        <v>185401</v>
      </c>
      <c r="Q8" s="14">
        <f t="shared" si="2"/>
        <v>112</v>
      </c>
      <c r="R8" s="31">
        <f t="shared" si="10"/>
        <v>55047</v>
      </c>
      <c r="S8" s="14">
        <f>R8-R7</f>
        <v>0</v>
      </c>
      <c r="T8" s="31">
        <v>4138</v>
      </c>
      <c r="U8" s="14">
        <f t="shared" si="11"/>
        <v>320</v>
      </c>
    </row>
    <row r="9" spans="1:24" ht="13.5" thickBot="1" x14ac:dyDescent="0.25">
      <c r="A9" s="9">
        <v>44933</v>
      </c>
      <c r="B9" s="31">
        <v>48092</v>
      </c>
      <c r="C9" s="14">
        <f t="shared" si="3"/>
        <v>640</v>
      </c>
      <c r="D9" s="31">
        <v>41300</v>
      </c>
      <c r="E9" s="14">
        <f t="shared" si="4"/>
        <v>480</v>
      </c>
      <c r="F9" s="31">
        <v>22472</v>
      </c>
      <c r="G9" s="14">
        <f t="shared" si="5"/>
        <v>80</v>
      </c>
      <c r="H9" s="31">
        <v>261300</v>
      </c>
      <c r="I9" s="14">
        <f t="shared" si="6"/>
        <v>16</v>
      </c>
      <c r="J9" s="31">
        <v>349512</v>
      </c>
      <c r="K9" s="14">
        <f t="shared" si="7"/>
        <v>0</v>
      </c>
      <c r="L9" s="31">
        <v>26844</v>
      </c>
      <c r="M9" s="14">
        <f t="shared" si="8"/>
        <v>120</v>
      </c>
      <c r="N9" s="31">
        <v>227876</v>
      </c>
      <c r="O9" s="14">
        <f t="shared" si="9"/>
        <v>100</v>
      </c>
      <c r="P9" s="31">
        <v>185519</v>
      </c>
      <c r="Q9" s="14">
        <f t="shared" si="2"/>
        <v>118</v>
      </c>
      <c r="R9" s="31">
        <v>55047</v>
      </c>
      <c r="S9" s="14">
        <f>R9-R8</f>
        <v>0</v>
      </c>
      <c r="T9" s="31">
        <v>4139</v>
      </c>
      <c r="U9" s="14">
        <f t="shared" si="11"/>
        <v>160</v>
      </c>
    </row>
    <row r="10" spans="1:24" ht="13.5" thickBot="1" x14ac:dyDescent="0.25">
      <c r="A10" s="9">
        <v>44934</v>
      </c>
      <c r="B10" s="31">
        <v>48096</v>
      </c>
      <c r="C10" s="14">
        <f t="shared" si="3"/>
        <v>640</v>
      </c>
      <c r="D10" s="31">
        <v>41303</v>
      </c>
      <c r="E10" s="14">
        <f t="shared" si="4"/>
        <v>480</v>
      </c>
      <c r="F10" s="31">
        <v>22476</v>
      </c>
      <c r="G10" s="14">
        <f t="shared" si="5"/>
        <v>80</v>
      </c>
      <c r="H10" s="31">
        <v>261314</v>
      </c>
      <c r="I10" s="14">
        <f t="shared" si="6"/>
        <v>14</v>
      </c>
      <c r="J10" s="31">
        <v>349512</v>
      </c>
      <c r="K10" s="14">
        <f t="shared" si="7"/>
        <v>0</v>
      </c>
      <c r="L10" s="31">
        <v>26846</v>
      </c>
      <c r="M10" s="14">
        <f t="shared" si="8"/>
        <v>120</v>
      </c>
      <c r="N10" s="31">
        <v>227944</v>
      </c>
      <c r="O10" s="14">
        <f t="shared" si="9"/>
        <v>68</v>
      </c>
      <c r="P10" s="31">
        <v>185640</v>
      </c>
      <c r="Q10" s="14">
        <f t="shared" si="2"/>
        <v>121</v>
      </c>
      <c r="R10" s="31">
        <v>55047</v>
      </c>
      <c r="S10" s="14">
        <f>R10-R9</f>
        <v>0</v>
      </c>
      <c r="T10" s="31">
        <v>4140</v>
      </c>
      <c r="U10" s="14">
        <f t="shared" si="11"/>
        <v>160</v>
      </c>
    </row>
    <row r="11" spans="1:24" ht="13.5" thickBot="1" x14ac:dyDescent="0.25">
      <c r="A11" s="9">
        <v>44935</v>
      </c>
      <c r="B11" s="31">
        <v>48101</v>
      </c>
      <c r="C11" s="14">
        <f t="shared" si="3"/>
        <v>800</v>
      </c>
      <c r="D11" s="31">
        <v>41306</v>
      </c>
      <c r="E11" s="14">
        <f t="shared" si="4"/>
        <v>480</v>
      </c>
      <c r="F11" s="31">
        <v>22479</v>
      </c>
      <c r="G11" s="14">
        <f t="shared" si="5"/>
        <v>60</v>
      </c>
      <c r="H11" s="31">
        <v>261329</v>
      </c>
      <c r="I11" s="14">
        <f t="shared" si="6"/>
        <v>15</v>
      </c>
      <c r="J11" s="31">
        <v>349512</v>
      </c>
      <c r="K11" s="14">
        <f t="shared" si="7"/>
        <v>0</v>
      </c>
      <c r="L11" s="31">
        <v>26849</v>
      </c>
      <c r="M11" s="14">
        <f t="shared" si="8"/>
        <v>180</v>
      </c>
      <c r="N11" s="31">
        <v>228062</v>
      </c>
      <c r="O11" s="14">
        <f t="shared" si="9"/>
        <v>118</v>
      </c>
      <c r="P11" s="31">
        <v>185757</v>
      </c>
      <c r="Q11" s="14">
        <f t="shared" si="2"/>
        <v>117</v>
      </c>
      <c r="R11" s="31">
        <v>55047</v>
      </c>
      <c r="S11" s="14">
        <f t="shared" si="12"/>
        <v>0</v>
      </c>
      <c r="T11" s="31">
        <v>4141</v>
      </c>
      <c r="U11" s="14">
        <f t="shared" si="11"/>
        <v>160</v>
      </c>
    </row>
    <row r="12" spans="1:24" ht="13.5" thickBot="1" x14ac:dyDescent="0.25">
      <c r="A12" s="9">
        <v>44936</v>
      </c>
      <c r="B12" s="31">
        <v>48105</v>
      </c>
      <c r="C12" s="14">
        <f t="shared" si="3"/>
        <v>640</v>
      </c>
      <c r="D12" s="31">
        <v>41309</v>
      </c>
      <c r="E12" s="14">
        <f t="shared" si="4"/>
        <v>480</v>
      </c>
      <c r="F12" s="31">
        <v>22482</v>
      </c>
      <c r="G12" s="14">
        <f t="shared" si="5"/>
        <v>60</v>
      </c>
      <c r="H12" s="31">
        <v>261346</v>
      </c>
      <c r="I12" s="14">
        <f t="shared" si="6"/>
        <v>17</v>
      </c>
      <c r="J12" s="31">
        <v>349512</v>
      </c>
      <c r="K12" s="14">
        <f t="shared" si="7"/>
        <v>0</v>
      </c>
      <c r="L12" s="31">
        <v>26853</v>
      </c>
      <c r="M12" s="14">
        <f t="shared" si="8"/>
        <v>240</v>
      </c>
      <c r="N12" s="31">
        <v>228183</v>
      </c>
      <c r="O12" s="14">
        <f t="shared" si="9"/>
        <v>121</v>
      </c>
      <c r="P12" s="31">
        <v>185921</v>
      </c>
      <c r="Q12" s="14">
        <f t="shared" si="2"/>
        <v>164</v>
      </c>
      <c r="R12" s="31">
        <f t="shared" si="10"/>
        <v>55047</v>
      </c>
      <c r="S12" s="14">
        <f t="shared" si="12"/>
        <v>0</v>
      </c>
      <c r="T12" s="31">
        <v>4142</v>
      </c>
      <c r="U12" s="14">
        <f t="shared" si="11"/>
        <v>160</v>
      </c>
    </row>
    <row r="13" spans="1:24" ht="13.5" thickBot="1" x14ac:dyDescent="0.25">
      <c r="A13" s="9">
        <v>44937</v>
      </c>
      <c r="B13" s="31">
        <v>48110</v>
      </c>
      <c r="C13" s="14">
        <f t="shared" si="3"/>
        <v>800</v>
      </c>
      <c r="D13" s="31">
        <v>41312</v>
      </c>
      <c r="E13" s="14">
        <f t="shared" si="4"/>
        <v>480</v>
      </c>
      <c r="F13" s="31">
        <v>22485</v>
      </c>
      <c r="G13" s="14">
        <f t="shared" si="5"/>
        <v>60</v>
      </c>
      <c r="H13" s="31">
        <v>261363</v>
      </c>
      <c r="I13" s="14">
        <f t="shared" si="6"/>
        <v>17</v>
      </c>
      <c r="J13" s="31">
        <v>349512</v>
      </c>
      <c r="K13" s="14">
        <f t="shared" si="7"/>
        <v>0</v>
      </c>
      <c r="L13" s="31">
        <v>26856</v>
      </c>
      <c r="M13" s="14">
        <f t="shared" si="8"/>
        <v>180</v>
      </c>
      <c r="N13" s="31">
        <v>228309</v>
      </c>
      <c r="O13" s="14">
        <f t="shared" si="9"/>
        <v>126</v>
      </c>
      <c r="P13" s="31">
        <v>185921</v>
      </c>
      <c r="Q13" s="14">
        <f t="shared" si="2"/>
        <v>0</v>
      </c>
      <c r="R13" s="31">
        <v>55047</v>
      </c>
      <c r="S13" s="14">
        <f t="shared" si="12"/>
        <v>0</v>
      </c>
      <c r="T13" s="31">
        <v>4143</v>
      </c>
      <c r="U13" s="14">
        <f t="shared" si="11"/>
        <v>160</v>
      </c>
    </row>
    <row r="14" spans="1:24" ht="13.5" thickBot="1" x14ac:dyDescent="0.25">
      <c r="A14" s="9">
        <v>44938</v>
      </c>
      <c r="B14" s="31">
        <v>48114</v>
      </c>
      <c r="C14" s="14">
        <f t="shared" si="3"/>
        <v>640</v>
      </c>
      <c r="D14" s="31">
        <v>41315</v>
      </c>
      <c r="E14" s="14">
        <f t="shared" si="4"/>
        <v>480</v>
      </c>
      <c r="F14" s="31">
        <v>22489</v>
      </c>
      <c r="G14" s="14">
        <f t="shared" si="5"/>
        <v>80</v>
      </c>
      <c r="H14" s="31">
        <v>261384</v>
      </c>
      <c r="I14" s="14">
        <f t="shared" si="6"/>
        <v>21</v>
      </c>
      <c r="J14" s="31">
        <v>349511</v>
      </c>
      <c r="K14" s="14">
        <f t="shared" si="7"/>
        <v>-1</v>
      </c>
      <c r="L14" s="31">
        <v>26859</v>
      </c>
      <c r="M14" s="14">
        <f t="shared" si="8"/>
        <v>180</v>
      </c>
      <c r="N14" s="31">
        <v>228436</v>
      </c>
      <c r="O14" s="14">
        <f t="shared" si="9"/>
        <v>127</v>
      </c>
      <c r="P14" s="31">
        <v>186203</v>
      </c>
      <c r="Q14" s="14">
        <f t="shared" si="2"/>
        <v>282</v>
      </c>
      <c r="R14" s="31">
        <f t="shared" si="10"/>
        <v>55047</v>
      </c>
      <c r="S14" s="14">
        <v>0</v>
      </c>
      <c r="T14" s="31">
        <v>4145</v>
      </c>
      <c r="U14" s="14">
        <f t="shared" si="11"/>
        <v>320</v>
      </c>
    </row>
    <row r="15" spans="1:24" ht="13.5" thickBot="1" x14ac:dyDescent="0.25">
      <c r="A15" s="9">
        <v>44939</v>
      </c>
      <c r="B15" s="31">
        <f t="shared" ref="B14:B33" si="13">B14</f>
        <v>48114</v>
      </c>
      <c r="C15" s="14">
        <f t="shared" si="3"/>
        <v>0</v>
      </c>
      <c r="D15" s="31">
        <f t="shared" ref="D14:D33" si="14">D14</f>
        <v>41315</v>
      </c>
      <c r="E15" s="14">
        <f t="shared" si="4"/>
        <v>0</v>
      </c>
      <c r="F15" s="31">
        <f t="shared" ref="F14:F33" si="15">F14</f>
        <v>22489</v>
      </c>
      <c r="G15" s="14">
        <f t="shared" si="5"/>
        <v>0</v>
      </c>
      <c r="H15" s="31">
        <f t="shared" ref="H14:H33" si="16">H14</f>
        <v>261384</v>
      </c>
      <c r="I15" s="14">
        <f t="shared" si="6"/>
        <v>0</v>
      </c>
      <c r="J15" s="31">
        <f t="shared" ref="J14:J33" si="17">J14</f>
        <v>349511</v>
      </c>
      <c r="K15" s="14">
        <f t="shared" si="7"/>
        <v>0</v>
      </c>
      <c r="L15" s="31">
        <f t="shared" ref="L14:L33" si="18">L14</f>
        <v>26859</v>
      </c>
      <c r="M15" s="14">
        <f t="shared" si="8"/>
        <v>0</v>
      </c>
      <c r="N15" s="31">
        <f t="shared" ref="N14:N33" si="19">N14</f>
        <v>228436</v>
      </c>
      <c r="O15" s="14">
        <f t="shared" si="9"/>
        <v>0</v>
      </c>
      <c r="P15" s="31">
        <f t="shared" ref="P14:P33" si="20">P14</f>
        <v>186203</v>
      </c>
      <c r="Q15" s="14">
        <f t="shared" si="2"/>
        <v>0</v>
      </c>
      <c r="R15" s="31">
        <f t="shared" si="10"/>
        <v>55047</v>
      </c>
      <c r="S15" s="14">
        <v>0</v>
      </c>
      <c r="T15" s="31">
        <f t="shared" ref="T14:T33" si="21">T14</f>
        <v>4145</v>
      </c>
      <c r="U15" s="14">
        <f t="shared" si="11"/>
        <v>0</v>
      </c>
      <c r="X15" t="s">
        <v>12</v>
      </c>
    </row>
    <row r="16" spans="1:24" ht="13.5" thickBot="1" x14ac:dyDescent="0.25">
      <c r="A16" s="9">
        <v>44940</v>
      </c>
      <c r="B16" s="31">
        <f t="shared" si="13"/>
        <v>48114</v>
      </c>
      <c r="C16" s="14">
        <f t="shared" si="3"/>
        <v>0</v>
      </c>
      <c r="D16" s="31">
        <f t="shared" si="14"/>
        <v>41315</v>
      </c>
      <c r="E16" s="14">
        <f t="shared" si="4"/>
        <v>0</v>
      </c>
      <c r="F16" s="31">
        <f t="shared" si="15"/>
        <v>22489</v>
      </c>
      <c r="G16" s="14">
        <f t="shared" si="5"/>
        <v>0</v>
      </c>
      <c r="H16" s="31">
        <f t="shared" si="16"/>
        <v>261384</v>
      </c>
      <c r="I16" s="14">
        <f t="shared" si="6"/>
        <v>0</v>
      </c>
      <c r="J16" s="31">
        <f t="shared" si="17"/>
        <v>349511</v>
      </c>
      <c r="K16" s="14">
        <f t="shared" si="7"/>
        <v>0</v>
      </c>
      <c r="L16" s="31">
        <f t="shared" si="18"/>
        <v>26859</v>
      </c>
      <c r="M16" s="14">
        <f t="shared" si="8"/>
        <v>0</v>
      </c>
      <c r="N16" s="31">
        <f t="shared" si="19"/>
        <v>228436</v>
      </c>
      <c r="O16" s="14">
        <f t="shared" si="9"/>
        <v>0</v>
      </c>
      <c r="P16" s="31">
        <f t="shared" si="20"/>
        <v>186203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f t="shared" si="21"/>
        <v>4145</v>
      </c>
      <c r="U16" s="14">
        <f t="shared" si="11"/>
        <v>0</v>
      </c>
      <c r="W16" t="s">
        <v>12</v>
      </c>
    </row>
    <row r="17" spans="1:23" ht="13.5" thickBot="1" x14ac:dyDescent="0.25">
      <c r="A17" s="9">
        <v>44941</v>
      </c>
      <c r="B17" s="31">
        <f t="shared" si="13"/>
        <v>48114</v>
      </c>
      <c r="C17" s="14">
        <f t="shared" si="3"/>
        <v>0</v>
      </c>
      <c r="D17" s="31">
        <f t="shared" si="14"/>
        <v>41315</v>
      </c>
      <c r="E17" s="14">
        <f t="shared" si="4"/>
        <v>0</v>
      </c>
      <c r="F17" s="31">
        <f t="shared" si="15"/>
        <v>22489</v>
      </c>
      <c r="G17" s="14">
        <f t="shared" si="5"/>
        <v>0</v>
      </c>
      <c r="H17" s="31">
        <f t="shared" si="16"/>
        <v>261384</v>
      </c>
      <c r="I17" s="14">
        <f t="shared" si="6"/>
        <v>0</v>
      </c>
      <c r="J17" s="31">
        <f t="shared" si="17"/>
        <v>349511</v>
      </c>
      <c r="K17" s="14">
        <f t="shared" si="7"/>
        <v>0</v>
      </c>
      <c r="L17" s="31">
        <f t="shared" si="18"/>
        <v>26859</v>
      </c>
      <c r="M17" s="14">
        <f t="shared" si="8"/>
        <v>0</v>
      </c>
      <c r="N17" s="31">
        <f t="shared" si="19"/>
        <v>228436</v>
      </c>
      <c r="O17" s="14">
        <f t="shared" si="9"/>
        <v>0</v>
      </c>
      <c r="P17" s="31">
        <f t="shared" si="20"/>
        <v>186203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f t="shared" si="21"/>
        <v>4145</v>
      </c>
      <c r="U17" s="14">
        <f t="shared" si="11"/>
        <v>0</v>
      </c>
    </row>
    <row r="18" spans="1:23" ht="13.5" thickBot="1" x14ac:dyDescent="0.25">
      <c r="A18" s="9">
        <v>44942</v>
      </c>
      <c r="B18" s="31">
        <f t="shared" si="13"/>
        <v>48114</v>
      </c>
      <c r="C18" s="14">
        <f t="shared" si="3"/>
        <v>0</v>
      </c>
      <c r="D18" s="31">
        <f t="shared" si="14"/>
        <v>41315</v>
      </c>
      <c r="E18" s="14">
        <f t="shared" si="4"/>
        <v>0</v>
      </c>
      <c r="F18" s="31">
        <f t="shared" si="15"/>
        <v>22489</v>
      </c>
      <c r="G18" s="14">
        <f t="shared" si="5"/>
        <v>0</v>
      </c>
      <c r="H18" s="31">
        <f t="shared" si="16"/>
        <v>261384</v>
      </c>
      <c r="I18" s="14">
        <f t="shared" si="6"/>
        <v>0</v>
      </c>
      <c r="J18" s="31">
        <f t="shared" si="17"/>
        <v>349511</v>
      </c>
      <c r="K18" s="14">
        <f t="shared" si="7"/>
        <v>0</v>
      </c>
      <c r="L18" s="31">
        <f t="shared" si="18"/>
        <v>26859</v>
      </c>
      <c r="M18" s="14">
        <f t="shared" si="8"/>
        <v>0</v>
      </c>
      <c r="N18" s="31">
        <f t="shared" si="19"/>
        <v>228436</v>
      </c>
      <c r="O18" s="14">
        <f t="shared" si="9"/>
        <v>0</v>
      </c>
      <c r="P18" s="31">
        <f t="shared" si="20"/>
        <v>186203</v>
      </c>
      <c r="Q18" s="14">
        <f t="shared" si="2"/>
        <v>0</v>
      </c>
      <c r="R18" s="31">
        <v>55047</v>
      </c>
      <c r="S18" s="14">
        <f t="shared" si="12"/>
        <v>0</v>
      </c>
      <c r="T18" s="31">
        <f t="shared" si="21"/>
        <v>4145</v>
      </c>
      <c r="U18" s="14">
        <f t="shared" si="11"/>
        <v>0</v>
      </c>
    </row>
    <row r="19" spans="1:23" ht="13.5" thickBot="1" x14ac:dyDescent="0.25">
      <c r="A19" s="9">
        <v>44943</v>
      </c>
      <c r="B19" s="31">
        <f t="shared" si="13"/>
        <v>48114</v>
      </c>
      <c r="C19" s="14">
        <f t="shared" si="3"/>
        <v>0</v>
      </c>
      <c r="D19" s="31">
        <f t="shared" si="14"/>
        <v>41315</v>
      </c>
      <c r="E19" s="14">
        <f t="shared" si="4"/>
        <v>0</v>
      </c>
      <c r="F19" s="31">
        <f t="shared" si="15"/>
        <v>22489</v>
      </c>
      <c r="G19" s="14">
        <f t="shared" si="5"/>
        <v>0</v>
      </c>
      <c r="H19" s="31">
        <f t="shared" si="16"/>
        <v>261384</v>
      </c>
      <c r="I19" s="14">
        <f t="shared" si="6"/>
        <v>0</v>
      </c>
      <c r="J19" s="31">
        <f t="shared" si="17"/>
        <v>349511</v>
      </c>
      <c r="K19" s="14">
        <f t="shared" si="7"/>
        <v>0</v>
      </c>
      <c r="L19" s="31">
        <f t="shared" si="18"/>
        <v>26859</v>
      </c>
      <c r="M19" s="14">
        <f t="shared" si="8"/>
        <v>0</v>
      </c>
      <c r="N19" s="31">
        <f t="shared" si="19"/>
        <v>228436</v>
      </c>
      <c r="O19" s="14">
        <f t="shared" si="9"/>
        <v>0</v>
      </c>
      <c r="P19" s="31">
        <f t="shared" si="20"/>
        <v>186203</v>
      </c>
      <c r="Q19" s="14">
        <f t="shared" si="2"/>
        <v>0</v>
      </c>
      <c r="R19" s="31">
        <v>55047</v>
      </c>
      <c r="S19" s="14">
        <f t="shared" si="12"/>
        <v>0</v>
      </c>
      <c r="T19" s="31">
        <f t="shared" si="21"/>
        <v>4145</v>
      </c>
      <c r="U19" s="14">
        <f t="shared" si="11"/>
        <v>0</v>
      </c>
      <c r="W19" t="s">
        <v>12</v>
      </c>
    </row>
    <row r="20" spans="1:23" ht="13.5" thickBot="1" x14ac:dyDescent="0.25">
      <c r="A20" s="9">
        <v>44944</v>
      </c>
      <c r="B20" s="31">
        <f t="shared" si="13"/>
        <v>48114</v>
      </c>
      <c r="C20" s="14">
        <f t="shared" si="3"/>
        <v>0</v>
      </c>
      <c r="D20" s="31">
        <f t="shared" si="14"/>
        <v>41315</v>
      </c>
      <c r="E20" s="14">
        <f t="shared" si="4"/>
        <v>0</v>
      </c>
      <c r="F20" s="31">
        <f t="shared" si="15"/>
        <v>22489</v>
      </c>
      <c r="G20" s="14">
        <f t="shared" si="5"/>
        <v>0</v>
      </c>
      <c r="H20" s="31">
        <f t="shared" si="16"/>
        <v>261384</v>
      </c>
      <c r="I20" s="14">
        <f t="shared" si="6"/>
        <v>0</v>
      </c>
      <c r="J20" s="31">
        <f t="shared" si="17"/>
        <v>349511</v>
      </c>
      <c r="K20" s="14">
        <f t="shared" si="7"/>
        <v>0</v>
      </c>
      <c r="L20" s="31">
        <f t="shared" si="18"/>
        <v>26859</v>
      </c>
      <c r="M20" s="14">
        <f t="shared" si="8"/>
        <v>0</v>
      </c>
      <c r="N20" s="31">
        <f t="shared" si="19"/>
        <v>228436</v>
      </c>
      <c r="O20" s="14">
        <f t="shared" si="9"/>
        <v>0</v>
      </c>
      <c r="P20" s="31">
        <f t="shared" si="20"/>
        <v>186203</v>
      </c>
      <c r="Q20" s="14">
        <f t="shared" si="2"/>
        <v>0</v>
      </c>
      <c r="R20" s="31">
        <v>55047</v>
      </c>
      <c r="S20" s="14">
        <f t="shared" si="12"/>
        <v>0</v>
      </c>
      <c r="T20" s="31">
        <f t="shared" si="21"/>
        <v>4145</v>
      </c>
      <c r="U20" s="14">
        <f t="shared" si="11"/>
        <v>0</v>
      </c>
    </row>
    <row r="21" spans="1:23" ht="13.5" thickBot="1" x14ac:dyDescent="0.25">
      <c r="A21" s="9">
        <v>44945</v>
      </c>
      <c r="B21" s="31">
        <f t="shared" si="13"/>
        <v>48114</v>
      </c>
      <c r="C21" s="14">
        <f t="shared" si="3"/>
        <v>0</v>
      </c>
      <c r="D21" s="31">
        <f t="shared" si="14"/>
        <v>41315</v>
      </c>
      <c r="E21" s="14">
        <f t="shared" si="4"/>
        <v>0</v>
      </c>
      <c r="F21" s="31">
        <f t="shared" si="15"/>
        <v>22489</v>
      </c>
      <c r="G21" s="14">
        <f t="shared" si="5"/>
        <v>0</v>
      </c>
      <c r="H21" s="31">
        <f t="shared" si="16"/>
        <v>261384</v>
      </c>
      <c r="I21" s="14">
        <f t="shared" si="6"/>
        <v>0</v>
      </c>
      <c r="J21" s="31">
        <f t="shared" si="17"/>
        <v>349511</v>
      </c>
      <c r="K21" s="14">
        <f t="shared" si="7"/>
        <v>0</v>
      </c>
      <c r="L21" s="31">
        <f t="shared" si="18"/>
        <v>26859</v>
      </c>
      <c r="M21" s="14">
        <f t="shared" si="8"/>
        <v>0</v>
      </c>
      <c r="N21" s="31">
        <f t="shared" si="19"/>
        <v>228436</v>
      </c>
      <c r="O21" s="14">
        <f t="shared" si="9"/>
        <v>0</v>
      </c>
      <c r="P21" s="31">
        <f t="shared" si="20"/>
        <v>186203</v>
      </c>
      <c r="Q21" s="14">
        <f t="shared" si="2"/>
        <v>0</v>
      </c>
      <c r="R21" s="31">
        <v>55047</v>
      </c>
      <c r="S21" s="14">
        <f t="shared" si="12"/>
        <v>0</v>
      </c>
      <c r="T21" s="31">
        <f t="shared" si="21"/>
        <v>4145</v>
      </c>
      <c r="U21" s="14">
        <f t="shared" si="11"/>
        <v>0</v>
      </c>
    </row>
    <row r="22" spans="1:23" ht="13.5" thickBot="1" x14ac:dyDescent="0.25">
      <c r="A22" s="9">
        <v>44946</v>
      </c>
      <c r="B22" s="31">
        <f t="shared" si="13"/>
        <v>48114</v>
      </c>
      <c r="C22" s="14">
        <f t="shared" si="3"/>
        <v>0</v>
      </c>
      <c r="D22" s="31">
        <f t="shared" si="14"/>
        <v>41315</v>
      </c>
      <c r="E22" s="14">
        <f t="shared" si="4"/>
        <v>0</v>
      </c>
      <c r="F22" s="31">
        <f t="shared" si="15"/>
        <v>22489</v>
      </c>
      <c r="G22" s="14">
        <f t="shared" si="5"/>
        <v>0</v>
      </c>
      <c r="H22" s="31">
        <f t="shared" si="16"/>
        <v>261384</v>
      </c>
      <c r="I22" s="14">
        <f t="shared" si="6"/>
        <v>0</v>
      </c>
      <c r="J22" s="31">
        <f t="shared" si="17"/>
        <v>349511</v>
      </c>
      <c r="K22" s="14">
        <f t="shared" si="7"/>
        <v>0</v>
      </c>
      <c r="L22" s="31">
        <f t="shared" si="18"/>
        <v>26859</v>
      </c>
      <c r="M22" s="14">
        <f t="shared" si="8"/>
        <v>0</v>
      </c>
      <c r="N22" s="31">
        <f t="shared" si="19"/>
        <v>228436</v>
      </c>
      <c r="O22" s="14">
        <f t="shared" si="9"/>
        <v>0</v>
      </c>
      <c r="P22" s="31">
        <f t="shared" si="20"/>
        <v>186203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21"/>
        <v>4145</v>
      </c>
      <c r="U22" s="14">
        <f t="shared" si="11"/>
        <v>0</v>
      </c>
    </row>
    <row r="23" spans="1:23" ht="13.5" thickBot="1" x14ac:dyDescent="0.25">
      <c r="A23" s="9">
        <v>44947</v>
      </c>
      <c r="B23" s="31">
        <f t="shared" si="13"/>
        <v>48114</v>
      </c>
      <c r="C23" s="14">
        <f t="shared" si="3"/>
        <v>0</v>
      </c>
      <c r="D23" s="31">
        <f t="shared" si="14"/>
        <v>41315</v>
      </c>
      <c r="E23" s="14">
        <f t="shared" si="4"/>
        <v>0</v>
      </c>
      <c r="F23" s="31">
        <f t="shared" si="15"/>
        <v>22489</v>
      </c>
      <c r="G23" s="14">
        <f t="shared" si="5"/>
        <v>0</v>
      </c>
      <c r="H23" s="31">
        <f t="shared" si="16"/>
        <v>261384</v>
      </c>
      <c r="I23" s="14">
        <f t="shared" si="6"/>
        <v>0</v>
      </c>
      <c r="J23" s="31">
        <f t="shared" si="17"/>
        <v>349511</v>
      </c>
      <c r="K23" s="14">
        <f t="shared" si="7"/>
        <v>0</v>
      </c>
      <c r="L23" s="31">
        <f t="shared" si="18"/>
        <v>26859</v>
      </c>
      <c r="M23" s="14">
        <f t="shared" si="8"/>
        <v>0</v>
      </c>
      <c r="N23" s="31">
        <f t="shared" si="19"/>
        <v>228436</v>
      </c>
      <c r="O23" s="14">
        <f t="shared" si="9"/>
        <v>0</v>
      </c>
      <c r="P23" s="31">
        <f t="shared" si="20"/>
        <v>186203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21"/>
        <v>4145</v>
      </c>
      <c r="U23" s="14">
        <f t="shared" si="11"/>
        <v>0</v>
      </c>
    </row>
    <row r="24" spans="1:23" s="118" customFormat="1" ht="13.5" thickBot="1" x14ac:dyDescent="0.25">
      <c r="A24" s="9">
        <v>44948</v>
      </c>
      <c r="B24" s="31">
        <f t="shared" si="13"/>
        <v>48114</v>
      </c>
      <c r="C24" s="14">
        <f t="shared" si="3"/>
        <v>0</v>
      </c>
      <c r="D24" s="31">
        <f t="shared" si="14"/>
        <v>41315</v>
      </c>
      <c r="E24" s="14">
        <f t="shared" si="4"/>
        <v>0</v>
      </c>
      <c r="F24" s="31">
        <f t="shared" si="15"/>
        <v>22489</v>
      </c>
      <c r="G24" s="14">
        <f t="shared" si="5"/>
        <v>0</v>
      </c>
      <c r="H24" s="31">
        <f t="shared" si="16"/>
        <v>261384</v>
      </c>
      <c r="I24" s="14">
        <f t="shared" si="6"/>
        <v>0</v>
      </c>
      <c r="J24" s="31">
        <f t="shared" si="17"/>
        <v>349511</v>
      </c>
      <c r="K24" s="14">
        <f t="shared" si="7"/>
        <v>0</v>
      </c>
      <c r="L24" s="31">
        <f t="shared" si="18"/>
        <v>26859</v>
      </c>
      <c r="M24" s="14">
        <f t="shared" si="8"/>
        <v>0</v>
      </c>
      <c r="N24" s="31">
        <f t="shared" si="19"/>
        <v>228436</v>
      </c>
      <c r="O24" s="14">
        <f t="shared" si="9"/>
        <v>0</v>
      </c>
      <c r="P24" s="31">
        <f t="shared" si="20"/>
        <v>186203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21"/>
        <v>4145</v>
      </c>
      <c r="U24" s="14">
        <f t="shared" si="11"/>
        <v>0</v>
      </c>
    </row>
    <row r="25" spans="1:23" ht="13.5" thickBot="1" x14ac:dyDescent="0.25">
      <c r="A25" s="9">
        <v>44949</v>
      </c>
      <c r="B25" s="31">
        <f t="shared" si="13"/>
        <v>48114</v>
      </c>
      <c r="C25" s="14">
        <f t="shared" si="3"/>
        <v>0</v>
      </c>
      <c r="D25" s="31">
        <f t="shared" si="14"/>
        <v>41315</v>
      </c>
      <c r="E25" s="14">
        <f t="shared" si="4"/>
        <v>0</v>
      </c>
      <c r="F25" s="31">
        <f t="shared" si="15"/>
        <v>22489</v>
      </c>
      <c r="G25" s="14">
        <f t="shared" si="5"/>
        <v>0</v>
      </c>
      <c r="H25" s="31">
        <f t="shared" si="16"/>
        <v>261384</v>
      </c>
      <c r="I25" s="14">
        <f t="shared" si="6"/>
        <v>0</v>
      </c>
      <c r="J25" s="31">
        <f t="shared" si="17"/>
        <v>349511</v>
      </c>
      <c r="K25" s="14">
        <f t="shared" si="7"/>
        <v>0</v>
      </c>
      <c r="L25" s="31">
        <f t="shared" si="18"/>
        <v>26859</v>
      </c>
      <c r="M25" s="14">
        <f t="shared" si="8"/>
        <v>0</v>
      </c>
      <c r="N25" s="31">
        <f t="shared" si="19"/>
        <v>228436</v>
      </c>
      <c r="O25" s="14">
        <f t="shared" si="9"/>
        <v>0</v>
      </c>
      <c r="P25" s="31">
        <f t="shared" si="20"/>
        <v>186203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21"/>
        <v>4145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44950</v>
      </c>
      <c r="B26" s="31">
        <f t="shared" si="13"/>
        <v>48114</v>
      </c>
      <c r="C26" s="14">
        <f t="shared" si="3"/>
        <v>0</v>
      </c>
      <c r="D26" s="31">
        <f t="shared" si="14"/>
        <v>41315</v>
      </c>
      <c r="E26" s="14">
        <f t="shared" si="4"/>
        <v>0</v>
      </c>
      <c r="F26" s="31">
        <f t="shared" si="15"/>
        <v>22489</v>
      </c>
      <c r="G26" s="14">
        <f t="shared" si="5"/>
        <v>0</v>
      </c>
      <c r="H26" s="31">
        <f t="shared" si="16"/>
        <v>261384</v>
      </c>
      <c r="I26" s="14">
        <f t="shared" si="6"/>
        <v>0</v>
      </c>
      <c r="J26" s="31">
        <f t="shared" si="17"/>
        <v>349511</v>
      </c>
      <c r="K26" s="14">
        <f t="shared" si="7"/>
        <v>0</v>
      </c>
      <c r="L26" s="31">
        <f t="shared" si="18"/>
        <v>26859</v>
      </c>
      <c r="M26" s="14">
        <f t="shared" si="8"/>
        <v>0</v>
      </c>
      <c r="N26" s="31">
        <f t="shared" si="19"/>
        <v>228436</v>
      </c>
      <c r="O26" s="14">
        <f t="shared" si="9"/>
        <v>0</v>
      </c>
      <c r="P26" s="31">
        <f t="shared" si="20"/>
        <v>186203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1"/>
        <v>4145</v>
      </c>
      <c r="U26" s="14">
        <f t="shared" si="11"/>
        <v>0</v>
      </c>
      <c r="W26" t="s">
        <v>12</v>
      </c>
    </row>
    <row r="27" spans="1:23" ht="13.5" thickBot="1" x14ac:dyDescent="0.25">
      <c r="A27" s="9">
        <v>44951</v>
      </c>
      <c r="B27" s="31">
        <f t="shared" si="13"/>
        <v>48114</v>
      </c>
      <c r="C27" s="14">
        <f t="shared" si="3"/>
        <v>0</v>
      </c>
      <c r="D27" s="31">
        <f t="shared" si="14"/>
        <v>41315</v>
      </c>
      <c r="E27" s="14">
        <f t="shared" si="4"/>
        <v>0</v>
      </c>
      <c r="F27" s="31">
        <f t="shared" si="15"/>
        <v>22489</v>
      </c>
      <c r="G27" s="14">
        <f t="shared" si="5"/>
        <v>0</v>
      </c>
      <c r="H27" s="31">
        <f t="shared" si="16"/>
        <v>261384</v>
      </c>
      <c r="I27" s="14">
        <f t="shared" si="6"/>
        <v>0</v>
      </c>
      <c r="J27" s="31">
        <f t="shared" si="17"/>
        <v>349511</v>
      </c>
      <c r="K27" s="14">
        <f t="shared" si="7"/>
        <v>0</v>
      </c>
      <c r="L27" s="31">
        <f t="shared" si="18"/>
        <v>26859</v>
      </c>
      <c r="M27" s="14">
        <f t="shared" si="8"/>
        <v>0</v>
      </c>
      <c r="N27" s="31">
        <f t="shared" si="19"/>
        <v>228436</v>
      </c>
      <c r="O27" s="14">
        <f t="shared" si="9"/>
        <v>0</v>
      </c>
      <c r="P27" s="31">
        <f t="shared" si="20"/>
        <v>186203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1"/>
        <v>4145</v>
      </c>
      <c r="U27" s="14">
        <f t="shared" si="11"/>
        <v>0</v>
      </c>
    </row>
    <row r="28" spans="1:23" ht="13.5" thickBot="1" x14ac:dyDescent="0.25">
      <c r="A28" s="9">
        <v>44952</v>
      </c>
      <c r="B28" s="31">
        <f t="shared" si="13"/>
        <v>48114</v>
      </c>
      <c r="C28" s="14">
        <f t="shared" si="3"/>
        <v>0</v>
      </c>
      <c r="D28" s="31">
        <f t="shared" si="14"/>
        <v>41315</v>
      </c>
      <c r="E28" s="14">
        <f t="shared" si="4"/>
        <v>0</v>
      </c>
      <c r="F28" s="31">
        <f t="shared" si="15"/>
        <v>22489</v>
      </c>
      <c r="G28" s="14">
        <f t="shared" si="5"/>
        <v>0</v>
      </c>
      <c r="H28" s="31">
        <f t="shared" si="16"/>
        <v>261384</v>
      </c>
      <c r="I28" s="14">
        <f t="shared" si="6"/>
        <v>0</v>
      </c>
      <c r="J28" s="31">
        <f t="shared" si="17"/>
        <v>349511</v>
      </c>
      <c r="K28" s="14">
        <f t="shared" si="7"/>
        <v>0</v>
      </c>
      <c r="L28" s="31">
        <f t="shared" si="18"/>
        <v>26859</v>
      </c>
      <c r="M28" s="14">
        <f t="shared" si="8"/>
        <v>0</v>
      </c>
      <c r="N28" s="31">
        <f t="shared" si="19"/>
        <v>228436</v>
      </c>
      <c r="O28" s="14">
        <f t="shared" si="9"/>
        <v>0</v>
      </c>
      <c r="P28" s="31">
        <f t="shared" si="20"/>
        <v>186203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1"/>
        <v>4145</v>
      </c>
      <c r="U28" s="14">
        <f t="shared" si="11"/>
        <v>0</v>
      </c>
    </row>
    <row r="29" spans="1:23" ht="13.5" thickBot="1" x14ac:dyDescent="0.25">
      <c r="A29" s="9">
        <v>44953</v>
      </c>
      <c r="B29" s="31">
        <f t="shared" si="13"/>
        <v>48114</v>
      </c>
      <c r="C29" s="14">
        <f t="shared" si="3"/>
        <v>0</v>
      </c>
      <c r="D29" s="31">
        <f t="shared" si="14"/>
        <v>41315</v>
      </c>
      <c r="E29" s="14">
        <f t="shared" si="4"/>
        <v>0</v>
      </c>
      <c r="F29" s="31">
        <f t="shared" si="15"/>
        <v>22489</v>
      </c>
      <c r="G29" s="14">
        <f t="shared" si="5"/>
        <v>0</v>
      </c>
      <c r="H29" s="31">
        <f t="shared" si="16"/>
        <v>261384</v>
      </c>
      <c r="I29" s="14">
        <f t="shared" si="6"/>
        <v>0</v>
      </c>
      <c r="J29" s="31">
        <f t="shared" si="17"/>
        <v>349511</v>
      </c>
      <c r="K29" s="14">
        <f t="shared" si="7"/>
        <v>0</v>
      </c>
      <c r="L29" s="31">
        <f t="shared" si="18"/>
        <v>26859</v>
      </c>
      <c r="M29" s="14">
        <f t="shared" si="8"/>
        <v>0</v>
      </c>
      <c r="N29" s="31">
        <f t="shared" si="19"/>
        <v>228436</v>
      </c>
      <c r="O29" s="14">
        <f t="shared" si="9"/>
        <v>0</v>
      </c>
      <c r="P29" s="31">
        <f t="shared" si="20"/>
        <v>186203</v>
      </c>
      <c r="Q29" s="14">
        <f t="shared" si="2"/>
        <v>0</v>
      </c>
      <c r="R29" s="31">
        <f t="shared" si="10"/>
        <v>55047</v>
      </c>
      <c r="S29" s="14">
        <f t="shared" si="12"/>
        <v>0</v>
      </c>
      <c r="T29" s="31">
        <f t="shared" si="21"/>
        <v>4145</v>
      </c>
      <c r="U29" s="14">
        <f t="shared" si="11"/>
        <v>0</v>
      </c>
    </row>
    <row r="30" spans="1:23" ht="13.5" thickBot="1" x14ac:dyDescent="0.25">
      <c r="A30" s="9">
        <v>44954</v>
      </c>
      <c r="B30" s="31">
        <f t="shared" si="13"/>
        <v>48114</v>
      </c>
      <c r="C30" s="14">
        <f t="shared" si="3"/>
        <v>0</v>
      </c>
      <c r="D30" s="31">
        <f t="shared" si="14"/>
        <v>41315</v>
      </c>
      <c r="E30" s="14">
        <f t="shared" si="4"/>
        <v>0</v>
      </c>
      <c r="F30" s="31">
        <f t="shared" si="15"/>
        <v>22489</v>
      </c>
      <c r="G30" s="14">
        <f t="shared" si="5"/>
        <v>0</v>
      </c>
      <c r="H30" s="31">
        <f t="shared" si="16"/>
        <v>261384</v>
      </c>
      <c r="I30" s="14">
        <f t="shared" si="6"/>
        <v>0</v>
      </c>
      <c r="J30" s="31">
        <f t="shared" si="17"/>
        <v>349511</v>
      </c>
      <c r="K30" s="14">
        <f t="shared" si="7"/>
        <v>0</v>
      </c>
      <c r="L30" s="31">
        <f t="shared" si="18"/>
        <v>26859</v>
      </c>
      <c r="M30" s="14">
        <f t="shared" si="8"/>
        <v>0</v>
      </c>
      <c r="N30" s="31">
        <f t="shared" si="19"/>
        <v>228436</v>
      </c>
      <c r="O30" s="14">
        <f t="shared" si="9"/>
        <v>0</v>
      </c>
      <c r="P30" s="31">
        <f t="shared" si="20"/>
        <v>186203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1"/>
        <v>4145</v>
      </c>
      <c r="U30" s="14">
        <f t="shared" si="11"/>
        <v>0</v>
      </c>
    </row>
    <row r="31" spans="1:23" ht="13.5" thickBot="1" x14ac:dyDescent="0.25">
      <c r="A31" s="9">
        <v>44955</v>
      </c>
      <c r="B31" s="31">
        <f t="shared" si="13"/>
        <v>48114</v>
      </c>
      <c r="C31" s="14">
        <f t="shared" si="3"/>
        <v>0</v>
      </c>
      <c r="D31" s="31">
        <f t="shared" si="14"/>
        <v>41315</v>
      </c>
      <c r="E31" s="14">
        <f t="shared" si="4"/>
        <v>0</v>
      </c>
      <c r="F31" s="31">
        <f t="shared" si="15"/>
        <v>22489</v>
      </c>
      <c r="G31" s="14">
        <f t="shared" si="5"/>
        <v>0</v>
      </c>
      <c r="H31" s="31">
        <f t="shared" si="16"/>
        <v>261384</v>
      </c>
      <c r="I31" s="14">
        <f t="shared" si="6"/>
        <v>0</v>
      </c>
      <c r="J31" s="31">
        <f t="shared" si="17"/>
        <v>349511</v>
      </c>
      <c r="K31" s="14">
        <f t="shared" si="7"/>
        <v>0</v>
      </c>
      <c r="L31" s="31">
        <f t="shared" si="18"/>
        <v>26859</v>
      </c>
      <c r="M31" s="14">
        <f t="shared" si="8"/>
        <v>0</v>
      </c>
      <c r="N31" s="31">
        <f t="shared" si="19"/>
        <v>228436</v>
      </c>
      <c r="O31" s="14">
        <f t="shared" si="9"/>
        <v>0</v>
      </c>
      <c r="P31" s="31">
        <f t="shared" si="20"/>
        <v>186203</v>
      </c>
      <c r="Q31" s="14">
        <f t="shared" si="2"/>
        <v>0</v>
      </c>
      <c r="R31" s="31">
        <f t="shared" si="10"/>
        <v>55047</v>
      </c>
      <c r="S31" s="14">
        <v>0</v>
      </c>
      <c r="T31" s="31">
        <f t="shared" si="21"/>
        <v>4145</v>
      </c>
      <c r="U31" s="14">
        <f t="shared" si="11"/>
        <v>0</v>
      </c>
    </row>
    <row r="32" spans="1:23" ht="13.5" thickBot="1" x14ac:dyDescent="0.25">
      <c r="A32" s="9">
        <v>44956</v>
      </c>
      <c r="B32" s="31">
        <f t="shared" si="13"/>
        <v>48114</v>
      </c>
      <c r="C32" s="14">
        <f>(B32-B31)*800/5</f>
        <v>0</v>
      </c>
      <c r="D32" s="31">
        <f t="shared" si="14"/>
        <v>41315</v>
      </c>
      <c r="E32" s="14">
        <f>(D32-D31)*800/5</f>
        <v>0</v>
      </c>
      <c r="F32" s="31">
        <f t="shared" si="15"/>
        <v>22489</v>
      </c>
      <c r="G32" s="14">
        <f>(F32-F31)*100/5</f>
        <v>0</v>
      </c>
      <c r="H32" s="31">
        <f t="shared" si="16"/>
        <v>261384</v>
      </c>
      <c r="I32" s="14">
        <f>(H32-H31)</f>
        <v>0</v>
      </c>
      <c r="J32" s="31">
        <f t="shared" si="17"/>
        <v>349511</v>
      </c>
      <c r="K32" s="14">
        <f>(J32-J31)</f>
        <v>0</v>
      </c>
      <c r="L32" s="31">
        <f t="shared" si="18"/>
        <v>26859</v>
      </c>
      <c r="M32" s="14">
        <f>(L32-L31)*300/5</f>
        <v>0</v>
      </c>
      <c r="N32" s="31">
        <f t="shared" si="19"/>
        <v>228436</v>
      </c>
      <c r="O32" s="14">
        <f>N32-N31</f>
        <v>0</v>
      </c>
      <c r="P32" s="31">
        <f t="shared" si="20"/>
        <v>186203</v>
      </c>
      <c r="Q32" s="14">
        <f>P32-P31</f>
        <v>0</v>
      </c>
      <c r="R32" s="31">
        <f t="shared" si="10"/>
        <v>55047</v>
      </c>
      <c r="S32" s="14">
        <f>R32-R31</f>
        <v>0</v>
      </c>
      <c r="T32" s="31">
        <f t="shared" si="21"/>
        <v>4145</v>
      </c>
      <c r="U32" s="14">
        <f>(T32-T31)*800/5</f>
        <v>0</v>
      </c>
    </row>
    <row r="33" spans="1:21" ht="13.5" thickBot="1" x14ac:dyDescent="0.25">
      <c r="A33" s="9">
        <v>44957</v>
      </c>
      <c r="B33" s="31">
        <f t="shared" si="13"/>
        <v>48114</v>
      </c>
      <c r="C33" s="14">
        <f>(B33-B32)*800/5</f>
        <v>0</v>
      </c>
      <c r="D33" s="31">
        <f t="shared" si="14"/>
        <v>41315</v>
      </c>
      <c r="E33" s="14">
        <f>(D33-D32)*800/5</f>
        <v>0</v>
      </c>
      <c r="F33" s="31">
        <f t="shared" si="15"/>
        <v>22489</v>
      </c>
      <c r="G33" s="14">
        <f>(F33-F32)*100/5</f>
        <v>0</v>
      </c>
      <c r="H33" s="31">
        <f t="shared" si="16"/>
        <v>261384</v>
      </c>
      <c r="I33" s="14">
        <f>(H33-H32)</f>
        <v>0</v>
      </c>
      <c r="J33" s="31">
        <f t="shared" si="17"/>
        <v>349511</v>
      </c>
      <c r="K33" s="14">
        <f>(J33-J32)</f>
        <v>0</v>
      </c>
      <c r="L33" s="31">
        <f t="shared" si="18"/>
        <v>26859</v>
      </c>
      <c r="M33" s="14">
        <f>(L33-L32)*300/5</f>
        <v>0</v>
      </c>
      <c r="N33" s="31">
        <f t="shared" si="19"/>
        <v>228436</v>
      </c>
      <c r="O33" s="14">
        <f>N33-N32</f>
        <v>0</v>
      </c>
      <c r="P33" s="31">
        <f t="shared" si="20"/>
        <v>186203</v>
      </c>
      <c r="Q33" s="14">
        <f>P33-P32</f>
        <v>0</v>
      </c>
      <c r="R33" s="31">
        <v>55047</v>
      </c>
      <c r="S33" s="14">
        <f>R33-R32</f>
        <v>0</v>
      </c>
      <c r="T33" s="31">
        <f t="shared" si="21"/>
        <v>4145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8480</v>
      </c>
      <c r="D34" s="14"/>
      <c r="E34" s="14">
        <f>SUM(E3:E33)</f>
        <v>5920</v>
      </c>
      <c r="F34" s="14"/>
      <c r="G34" s="14">
        <f>SUM(G3:G33)</f>
        <v>880</v>
      </c>
      <c r="H34" s="14"/>
      <c r="I34" s="14">
        <f>SUM(I3:I33)</f>
        <v>191</v>
      </c>
      <c r="J34" s="14"/>
      <c r="K34" s="14">
        <f>SUM(K3:K33)</f>
        <v>0</v>
      </c>
      <c r="L34" s="14"/>
      <c r="M34" s="14">
        <f>SUM(M3:M33)</f>
        <v>2040</v>
      </c>
      <c r="N34" s="14"/>
      <c r="O34" s="14">
        <f>SUM(O3:O33)</f>
        <v>1317</v>
      </c>
      <c r="P34" s="14"/>
      <c r="Q34" s="14">
        <f>SUM(Q3:Q33)</f>
        <v>1508</v>
      </c>
      <c r="R34" s="14"/>
      <c r="S34" s="14">
        <f>SUM(S3:S33)</f>
        <v>0</v>
      </c>
      <c r="T34" s="14"/>
      <c r="U34" s="14">
        <f>SUM(U3:U33)</f>
        <v>2400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0" priority="2" operator="lessThan">
      <formula>0</formula>
    </cfRule>
  </conditionalFormatting>
  <conditionalFormatting sqref="B2:U2">
    <cfRule type="cellIs" dxfId="9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tabSelected="1" zoomScaleNormal="100" zoomScaleSheetLayoutView="110" workbookViewId="0">
      <pane ySplit="1" topLeftCell="A2" activePane="bottomLeft" state="frozen"/>
      <selection pane="bottomLeft" activeCell="B14" sqref="B14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44926</v>
      </c>
      <c r="B2" s="37">
        <v>312</v>
      </c>
      <c r="C2" s="130">
        <v>20445</v>
      </c>
      <c r="D2" s="37"/>
      <c r="E2" s="131">
        <v>35409955</v>
      </c>
      <c r="F2" s="37"/>
      <c r="G2" s="132">
        <v>10678977</v>
      </c>
      <c r="H2" s="37"/>
      <c r="I2" s="133">
        <f t="shared" ref="I2" si="0">F2+H2</f>
        <v>0</v>
      </c>
      <c r="J2" s="131">
        <v>1137530</v>
      </c>
      <c r="K2" s="116"/>
      <c r="L2" s="134">
        <v>1444001</v>
      </c>
      <c r="M2" s="37"/>
      <c r="N2" s="131">
        <v>8105202</v>
      </c>
      <c r="O2" s="37"/>
      <c r="P2" s="134">
        <v>9034160</v>
      </c>
      <c r="Q2" s="37"/>
      <c r="R2" s="131">
        <v>23558658</v>
      </c>
      <c r="S2" s="37"/>
      <c r="T2" s="131"/>
      <c r="U2" s="135"/>
      <c r="V2" s="131">
        <v>1584269</v>
      </c>
      <c r="W2" s="37"/>
      <c r="X2" s="19">
        <f t="shared" ref="X2" si="1">K2+M2+O2+Q2+S2+U2+W2</f>
        <v>0</v>
      </c>
      <c r="Y2" s="150"/>
      <c r="Z2" s="3">
        <f t="shared" ref="Z2" si="2">(0.93352*(W2+S2)+0.5568*(Q2+O2))*0.26</f>
        <v>0</v>
      </c>
      <c r="AA2" s="3"/>
    </row>
    <row r="3" spans="1:27" ht="16.5" thickBot="1" x14ac:dyDescent="0.3">
      <c r="A3" s="9">
        <v>44927</v>
      </c>
      <c r="B3" s="37">
        <v>209</v>
      </c>
      <c r="C3" s="130">
        <v>20447</v>
      </c>
      <c r="D3" s="37">
        <f>IF((C3-C2)&lt;0,"0",(C3-C2))*160</f>
        <v>320</v>
      </c>
      <c r="E3" s="131">
        <v>35421824</v>
      </c>
      <c r="F3" s="37">
        <f>IF((E3-E2)&lt;0,"0",(E3-E2))</f>
        <v>11869</v>
      </c>
      <c r="G3" s="132">
        <v>10715923</v>
      </c>
      <c r="H3" s="37">
        <f>IF((G3-G2)&lt;0,"0",(G3-G2))</f>
        <v>36946</v>
      </c>
      <c r="I3" s="19">
        <f>F3+H3</f>
        <v>48815</v>
      </c>
      <c r="J3" s="131">
        <v>1142016</v>
      </c>
      <c r="K3" s="37">
        <f>(IF((J3-J2)&lt;L86,"0",(J3-J2)))*2</f>
        <v>8972</v>
      </c>
      <c r="L3" s="134">
        <v>1448422</v>
      </c>
      <c r="M3" s="37">
        <f>IF((L3-L2)&lt;0,"0",(L3-L2))</f>
        <v>4421</v>
      </c>
      <c r="N3" s="131">
        <v>8108843</v>
      </c>
      <c r="O3" s="37">
        <f>(IF((N3-N2)&lt;P86,"0",(N3-N2)))*2</f>
        <v>7282</v>
      </c>
      <c r="P3" s="134">
        <v>9036356</v>
      </c>
      <c r="Q3" s="37">
        <f>IF((P3-P2)&lt;0,"0",(P3-P2))</f>
        <v>2196</v>
      </c>
      <c r="R3" s="131">
        <v>23567800</v>
      </c>
      <c r="S3" s="37">
        <f>IF((R3-R2)&lt;0,"0",(R3-R2))</f>
        <v>9142</v>
      </c>
      <c r="T3" s="131"/>
      <c r="U3" s="135"/>
      <c r="V3" s="131">
        <v>1594037</v>
      </c>
      <c r="W3" s="37">
        <f>IF((V3-V2)&lt;0,"0",(V3-V2))</f>
        <v>9768</v>
      </c>
      <c r="X3" s="19">
        <f>K3+M3+O3+Q3+S3+U3+W3</f>
        <v>41781</v>
      </c>
      <c r="Y3" s="150">
        <f>I3-X3</f>
        <v>7034</v>
      </c>
      <c r="Z3" s="3">
        <f>(0.93352*(W3+S3)+0.5568*(Q3+O3))*0.26</f>
        <v>5961.855536</v>
      </c>
      <c r="AA3" s="3">
        <f>SUM(Z1:Z3)</f>
        <v>5961.855536</v>
      </c>
    </row>
    <row r="4" spans="1:27" ht="16.5" thickBot="1" x14ac:dyDescent="0.3">
      <c r="A4" s="9">
        <v>44928</v>
      </c>
      <c r="B4" s="37">
        <v>159</v>
      </c>
      <c r="C4" s="130">
        <v>20449</v>
      </c>
      <c r="D4" s="37">
        <f t="shared" ref="D4:D29" si="3">IF((C4-C3)&lt;0,"0",(C4-C3))*160</f>
        <v>320</v>
      </c>
      <c r="E4" s="131">
        <v>35438331</v>
      </c>
      <c r="F4" s="37">
        <f t="shared" ref="F4:F29" si="4">IF((E4-E3)&lt;0,"0",(E4-E3))</f>
        <v>16507</v>
      </c>
      <c r="G4" s="132">
        <v>10765114</v>
      </c>
      <c r="H4" s="37">
        <f t="shared" ref="H4:H31" si="5">IF((G4-G3)&lt;0,"0",(G4-G3))</f>
        <v>49191</v>
      </c>
      <c r="I4" s="133">
        <f t="shared" ref="I4:I30" si="6">F4+H4</f>
        <v>65698</v>
      </c>
      <c r="J4" s="131">
        <v>1150424</v>
      </c>
      <c r="K4" s="37">
        <f>(IF((J4-J3)&lt;L88,"0",(J4-J3)))*2</f>
        <v>16816</v>
      </c>
      <c r="L4" s="134">
        <v>1455005</v>
      </c>
      <c r="M4" s="37">
        <f t="shared" ref="M4:M29" si="7">IF((L4-L3)&lt;0,"0",(L4-L3))</f>
        <v>6583</v>
      </c>
      <c r="N4" s="131">
        <v>8113694</v>
      </c>
      <c r="O4" s="37">
        <f>(IF((N4-N3)&lt;P88,"0",(N4-N3)))*2</f>
        <v>9702</v>
      </c>
      <c r="P4" s="134">
        <v>9039344</v>
      </c>
      <c r="Q4" s="37">
        <f t="shared" ref="Q4:Q29" si="8">IF((P4-P3)&lt;0,"0",(P4-P3))</f>
        <v>2988</v>
      </c>
      <c r="R4" s="131">
        <v>23579920</v>
      </c>
      <c r="S4" s="37">
        <f t="shared" ref="S4:S30" si="9">IF((R4-R3)&lt;0,"0",(R4-R3))</f>
        <v>12120</v>
      </c>
      <c r="T4" s="131"/>
      <c r="U4" s="135"/>
      <c r="V4" s="131">
        <v>1606719</v>
      </c>
      <c r="W4" s="37">
        <f t="shared" ref="W4:W29" si="10">IF((V4-V3)&lt;0,"0",(V4-V3))</f>
        <v>12682</v>
      </c>
      <c r="X4" s="19">
        <f t="shared" ref="X4:X30" si="11">K4+M4+O4+Q4+S4+U4+W4</f>
        <v>60891</v>
      </c>
      <c r="Y4" s="150">
        <f t="shared" ref="Y4:Y30" si="12">I4-X4</f>
        <v>4807</v>
      </c>
      <c r="Z4" s="3">
        <f t="shared" ref="Z4:Z30" si="13">(0.93352*(W4+S4)+0.5568*(Q4+O4))*0.26</f>
        <v>7856.9283104000006</v>
      </c>
      <c r="AA4" s="3">
        <f>SUM(Z1:Z4)</f>
        <v>13818.783846400001</v>
      </c>
    </row>
    <row r="5" spans="1:27" ht="16.5" thickBot="1" x14ac:dyDescent="0.3">
      <c r="A5" s="9">
        <v>44929</v>
      </c>
      <c r="B5" s="37">
        <v>224</v>
      </c>
      <c r="C5" s="130">
        <v>20451</v>
      </c>
      <c r="D5" s="37">
        <f t="shared" si="3"/>
        <v>320</v>
      </c>
      <c r="E5" s="131">
        <v>35449079</v>
      </c>
      <c r="F5" s="37">
        <f t="shared" si="4"/>
        <v>10748</v>
      </c>
      <c r="G5" s="132">
        <v>10797863</v>
      </c>
      <c r="H5" s="37">
        <f t="shared" si="5"/>
        <v>32749</v>
      </c>
      <c r="I5" s="133">
        <f t="shared" si="6"/>
        <v>43497</v>
      </c>
      <c r="J5" s="131">
        <v>1155447</v>
      </c>
      <c r="K5" s="37">
        <f t="shared" ref="K5:K31" si="14">(IF((J5-J4)&lt;0,"0",(J5-J4)))*2</f>
        <v>10046</v>
      </c>
      <c r="L5" s="134">
        <v>1459229</v>
      </c>
      <c r="M5" s="37">
        <f t="shared" si="7"/>
        <v>4224</v>
      </c>
      <c r="N5" s="131">
        <v>8116872</v>
      </c>
      <c r="O5" s="37">
        <f t="shared" ref="O5:O29" si="15">(IF((N5-N4)&lt;0,"0",(N5-N4)))*2</f>
        <v>6356</v>
      </c>
      <c r="P5" s="134">
        <v>9041389</v>
      </c>
      <c r="Q5" s="37">
        <f t="shared" si="8"/>
        <v>2045</v>
      </c>
      <c r="R5" s="131">
        <v>23588226</v>
      </c>
      <c r="S5" s="37">
        <f t="shared" si="9"/>
        <v>8306</v>
      </c>
      <c r="T5" s="131"/>
      <c r="U5" s="135"/>
      <c r="V5" s="131">
        <v>1615030</v>
      </c>
      <c r="W5" s="37">
        <f t="shared" si="10"/>
        <v>8311</v>
      </c>
      <c r="X5" s="19">
        <f t="shared" si="11"/>
        <v>39288</v>
      </c>
      <c r="Y5" s="150">
        <f t="shared" si="12"/>
        <v>4209</v>
      </c>
      <c r="Z5" s="3">
        <f t="shared" si="13"/>
        <v>5249.3944464000006</v>
      </c>
      <c r="AA5" s="3">
        <f>SUM(Z1:Z5)</f>
        <v>19068.178292800003</v>
      </c>
    </row>
    <row r="6" spans="1:27" ht="16.5" thickBot="1" x14ac:dyDescent="0.3">
      <c r="A6" s="9">
        <v>44930</v>
      </c>
      <c r="B6" s="37">
        <v>310</v>
      </c>
      <c r="C6" s="130">
        <v>20453</v>
      </c>
      <c r="D6" s="37">
        <f t="shared" si="3"/>
        <v>320</v>
      </c>
      <c r="E6" s="131">
        <v>35461366</v>
      </c>
      <c r="F6" s="37">
        <f t="shared" si="4"/>
        <v>12287</v>
      </c>
      <c r="G6" s="132">
        <v>10832395</v>
      </c>
      <c r="H6" s="37">
        <f t="shared" si="5"/>
        <v>34532</v>
      </c>
      <c r="I6" s="133">
        <f t="shared" si="6"/>
        <v>46819</v>
      </c>
      <c r="J6" s="131">
        <v>1160053</v>
      </c>
      <c r="K6" s="37">
        <f t="shared" si="14"/>
        <v>9212</v>
      </c>
      <c r="L6" s="134">
        <v>1464611</v>
      </c>
      <c r="M6" s="37">
        <f t="shared" si="7"/>
        <v>5382</v>
      </c>
      <c r="N6" s="131">
        <v>8120239</v>
      </c>
      <c r="O6" s="37">
        <f t="shared" si="15"/>
        <v>6734</v>
      </c>
      <c r="P6" s="134">
        <v>9043568</v>
      </c>
      <c r="Q6" s="37">
        <f t="shared" si="8"/>
        <v>2179</v>
      </c>
      <c r="R6" s="131">
        <v>23596970</v>
      </c>
      <c r="S6" s="37">
        <f t="shared" si="9"/>
        <v>8744</v>
      </c>
      <c r="T6" s="131"/>
      <c r="U6" s="135"/>
      <c r="V6" s="131">
        <v>1623778</v>
      </c>
      <c r="W6" s="37">
        <f t="shared" si="10"/>
        <v>8748</v>
      </c>
      <c r="X6" s="19">
        <f t="shared" si="11"/>
        <v>40999</v>
      </c>
      <c r="Y6" s="150">
        <f t="shared" si="12"/>
        <v>5820</v>
      </c>
      <c r="Z6" s="3">
        <f t="shared" si="13"/>
        <v>5535.8914623999999</v>
      </c>
      <c r="AA6" s="3">
        <f>SUM(Z1:Z6)</f>
        <v>24604.069755200002</v>
      </c>
    </row>
    <row r="7" spans="1:27" ht="16.5" thickBot="1" x14ac:dyDescent="0.3">
      <c r="A7" s="9">
        <v>44931</v>
      </c>
      <c r="B7" s="37">
        <v>321</v>
      </c>
      <c r="C7" s="130">
        <v>20456</v>
      </c>
      <c r="D7" s="37">
        <f t="shared" si="3"/>
        <v>480</v>
      </c>
      <c r="E7" s="131">
        <v>35478019</v>
      </c>
      <c r="F7" s="37">
        <f t="shared" si="4"/>
        <v>16653</v>
      </c>
      <c r="G7" s="132">
        <v>10883339</v>
      </c>
      <c r="H7" s="37">
        <f t="shared" si="5"/>
        <v>50944</v>
      </c>
      <c r="I7" s="133">
        <f t="shared" si="6"/>
        <v>67597</v>
      </c>
      <c r="J7" s="131">
        <v>1168618</v>
      </c>
      <c r="K7" s="37">
        <f t="shared" si="14"/>
        <v>17130</v>
      </c>
      <c r="L7" s="134">
        <v>1471808</v>
      </c>
      <c r="M7" s="37">
        <f t="shared" si="7"/>
        <v>7197</v>
      </c>
      <c r="N7" s="131">
        <v>8124850</v>
      </c>
      <c r="O7" s="37">
        <f t="shared" si="15"/>
        <v>9222</v>
      </c>
      <c r="P7" s="134">
        <v>9046646</v>
      </c>
      <c r="Q7" s="37">
        <f t="shared" si="8"/>
        <v>3078</v>
      </c>
      <c r="R7" s="131">
        <v>23610253</v>
      </c>
      <c r="S7" s="37">
        <f t="shared" si="9"/>
        <v>13283</v>
      </c>
      <c r="T7" s="131"/>
      <c r="U7" s="135"/>
      <c r="V7" s="131">
        <v>1636637</v>
      </c>
      <c r="W7" s="37">
        <f t="shared" si="10"/>
        <v>12859</v>
      </c>
      <c r="X7" s="19">
        <f t="shared" si="11"/>
        <v>62769</v>
      </c>
      <c r="Y7" s="150">
        <f t="shared" si="12"/>
        <v>4828</v>
      </c>
      <c r="Z7" s="3">
        <f t="shared" si="13"/>
        <v>8125.7071584000005</v>
      </c>
      <c r="AA7" s="3">
        <f>SUM(Z1:Z7)</f>
        <v>32729.776913600002</v>
      </c>
    </row>
    <row r="8" spans="1:27" ht="16.5" thickBot="1" x14ac:dyDescent="0.3">
      <c r="A8" s="9">
        <v>44932</v>
      </c>
      <c r="B8" s="37">
        <v>323</v>
      </c>
      <c r="C8" s="130">
        <v>20457</v>
      </c>
      <c r="D8" s="37">
        <f t="shared" si="3"/>
        <v>160</v>
      </c>
      <c r="E8" s="131">
        <v>35489685</v>
      </c>
      <c r="F8" s="37">
        <f t="shared" si="4"/>
        <v>11666</v>
      </c>
      <c r="G8" s="132">
        <v>10919677</v>
      </c>
      <c r="H8" s="37">
        <f t="shared" si="5"/>
        <v>36338</v>
      </c>
      <c r="I8" s="133">
        <f t="shared" si="6"/>
        <v>48004</v>
      </c>
      <c r="J8" s="131">
        <v>1173512</v>
      </c>
      <c r="K8" s="37">
        <f t="shared" si="14"/>
        <v>9788</v>
      </c>
      <c r="L8" s="134">
        <v>1476704</v>
      </c>
      <c r="M8" s="37">
        <f t="shared" si="7"/>
        <v>4896</v>
      </c>
      <c r="N8" s="131">
        <v>8128150</v>
      </c>
      <c r="O8" s="37">
        <f t="shared" si="15"/>
        <v>6600</v>
      </c>
      <c r="P8" s="134">
        <v>9048981</v>
      </c>
      <c r="Q8" s="37">
        <f t="shared" si="8"/>
        <v>2335</v>
      </c>
      <c r="R8" s="131">
        <v>23619959</v>
      </c>
      <c r="S8" s="37">
        <f t="shared" si="9"/>
        <v>9706</v>
      </c>
      <c r="T8" s="131"/>
      <c r="U8" s="135"/>
      <c r="V8" s="131">
        <v>1645910</v>
      </c>
      <c r="W8" s="37">
        <f t="shared" si="10"/>
        <v>9273</v>
      </c>
      <c r="X8" s="19">
        <f t="shared" si="11"/>
        <v>42598</v>
      </c>
      <c r="Y8" s="150">
        <f t="shared" si="12"/>
        <v>5406</v>
      </c>
      <c r="Z8" s="3">
        <f t="shared" si="13"/>
        <v>5899.9938607999993</v>
      </c>
      <c r="AA8" s="3">
        <f>SUM(Z1:Z8)</f>
        <v>38629.7707744</v>
      </c>
    </row>
    <row r="9" spans="1:27" ht="16.5" thickBot="1" x14ac:dyDescent="0.3">
      <c r="A9" s="9">
        <v>44933</v>
      </c>
      <c r="B9" s="37">
        <v>280</v>
      </c>
      <c r="C9" s="130">
        <v>20459</v>
      </c>
      <c r="D9" s="37">
        <f t="shared" si="3"/>
        <v>320</v>
      </c>
      <c r="E9" s="131">
        <v>35499545</v>
      </c>
      <c r="F9" s="37">
        <f t="shared" si="4"/>
        <v>9860</v>
      </c>
      <c r="G9" s="132">
        <v>10951960</v>
      </c>
      <c r="H9" s="37">
        <f t="shared" si="5"/>
        <v>32283</v>
      </c>
      <c r="I9" s="133">
        <f t="shared" si="6"/>
        <v>42143</v>
      </c>
      <c r="J9" s="131">
        <v>1177404</v>
      </c>
      <c r="K9" s="37">
        <f t="shared" si="14"/>
        <v>7784</v>
      </c>
      <c r="L9" s="134">
        <v>1480416</v>
      </c>
      <c r="M9" s="37">
        <f t="shared" si="7"/>
        <v>3712</v>
      </c>
      <c r="N9" s="131">
        <v>8131140</v>
      </c>
      <c r="O9" s="37">
        <f t="shared" si="15"/>
        <v>5980</v>
      </c>
      <c r="P9" s="134">
        <v>9051027</v>
      </c>
      <c r="Q9" s="37">
        <f t="shared" si="8"/>
        <v>2046</v>
      </c>
      <c r="R9" s="131">
        <v>23628514</v>
      </c>
      <c r="S9" s="37">
        <f t="shared" si="9"/>
        <v>8555</v>
      </c>
      <c r="T9" s="131"/>
      <c r="U9" s="135"/>
      <c r="V9" s="131">
        <v>1654422</v>
      </c>
      <c r="W9" s="37">
        <f t="shared" si="10"/>
        <v>8512</v>
      </c>
      <c r="X9" s="19">
        <f t="shared" si="11"/>
        <v>36589</v>
      </c>
      <c r="Y9" s="150">
        <f t="shared" si="12"/>
        <v>5554</v>
      </c>
      <c r="Z9" s="3">
        <f t="shared" si="13"/>
        <v>5304.3282864000003</v>
      </c>
      <c r="AA9" s="3">
        <f>SUM(Z1:Z9)</f>
        <v>43934.099060799999</v>
      </c>
    </row>
    <row r="10" spans="1:27" ht="16.5" thickBot="1" x14ac:dyDescent="0.3">
      <c r="A10" s="9">
        <v>44934</v>
      </c>
      <c r="B10" s="37">
        <v>230</v>
      </c>
      <c r="C10" s="130">
        <v>20461</v>
      </c>
      <c r="D10" s="37">
        <f>IF((C10-C9)&lt;0,"0",(C10-C9))*160</f>
        <v>320</v>
      </c>
      <c r="E10" s="131">
        <v>35514699</v>
      </c>
      <c r="F10" s="37">
        <f t="shared" si="4"/>
        <v>15154</v>
      </c>
      <c r="G10" s="132">
        <v>10996868</v>
      </c>
      <c r="H10" s="37">
        <f t="shared" si="5"/>
        <v>44908</v>
      </c>
      <c r="I10" s="133">
        <f t="shared" si="6"/>
        <v>60062</v>
      </c>
      <c r="J10" s="131">
        <v>1182607</v>
      </c>
      <c r="K10" s="37">
        <f t="shared" si="14"/>
        <v>10406</v>
      </c>
      <c r="L10" s="134">
        <v>1486792</v>
      </c>
      <c r="M10" s="37">
        <f t="shared" si="7"/>
        <v>6376</v>
      </c>
      <c r="N10" s="131">
        <v>8135420</v>
      </c>
      <c r="O10" s="37">
        <f t="shared" si="15"/>
        <v>8560</v>
      </c>
      <c r="P10" s="134">
        <v>9053779</v>
      </c>
      <c r="Q10" s="37">
        <f t="shared" si="8"/>
        <v>2752</v>
      </c>
      <c r="R10" s="131">
        <v>23640368</v>
      </c>
      <c r="S10" s="37">
        <f t="shared" si="9"/>
        <v>11854</v>
      </c>
      <c r="T10" s="131"/>
      <c r="U10" s="135"/>
      <c r="V10" s="131">
        <v>1666461</v>
      </c>
      <c r="W10" s="37">
        <f t="shared" si="10"/>
        <v>12039</v>
      </c>
      <c r="X10" s="19">
        <f t="shared" si="11"/>
        <v>51987</v>
      </c>
      <c r="Y10" s="150">
        <f t="shared" si="12"/>
        <v>8075</v>
      </c>
      <c r="Z10" s="3">
        <f t="shared" si="13"/>
        <v>7436.8098896000001</v>
      </c>
      <c r="AA10" s="3">
        <f>SUM(Z1:Z10)</f>
        <v>51370.9089504</v>
      </c>
    </row>
    <row r="11" spans="1:27" ht="15.75" customHeight="1" thickBot="1" x14ac:dyDescent="0.3">
      <c r="A11" s="9">
        <v>44935</v>
      </c>
      <c r="B11" s="37">
        <v>232</v>
      </c>
      <c r="C11" s="130">
        <v>20464</v>
      </c>
      <c r="D11" s="37">
        <f>IF((C11-C10)&lt;0,"0",(C11-C10))*160</f>
        <v>480</v>
      </c>
      <c r="E11" s="131">
        <v>35524114</v>
      </c>
      <c r="F11" s="37">
        <f t="shared" si="4"/>
        <v>9415</v>
      </c>
      <c r="G11" s="132">
        <v>11022615</v>
      </c>
      <c r="H11" s="37">
        <f t="shared" si="5"/>
        <v>25747</v>
      </c>
      <c r="I11" s="133">
        <f t="shared" si="6"/>
        <v>35162</v>
      </c>
      <c r="J11" s="131">
        <v>1185030</v>
      </c>
      <c r="K11" s="37">
        <f t="shared" si="14"/>
        <v>4846</v>
      </c>
      <c r="L11" s="134">
        <v>1491082</v>
      </c>
      <c r="M11" s="37">
        <f t="shared" si="7"/>
        <v>4290</v>
      </c>
      <c r="N11" s="131">
        <v>8137916</v>
      </c>
      <c r="O11" s="37">
        <f t="shared" si="15"/>
        <v>4992</v>
      </c>
      <c r="P11" s="134">
        <v>9055358</v>
      </c>
      <c r="Q11" s="37">
        <f t="shared" si="8"/>
        <v>1579</v>
      </c>
      <c r="R11" s="131">
        <v>23647277</v>
      </c>
      <c r="S11" s="37">
        <f t="shared" si="9"/>
        <v>6909</v>
      </c>
      <c r="T11" s="131"/>
      <c r="U11" s="135"/>
      <c r="V11" s="131">
        <v>1673193</v>
      </c>
      <c r="W11" s="37">
        <f t="shared" si="10"/>
        <v>6732</v>
      </c>
      <c r="X11" s="19">
        <f t="shared" si="11"/>
        <v>29348</v>
      </c>
      <c r="Y11" s="150">
        <f t="shared" si="12"/>
        <v>5814</v>
      </c>
      <c r="Z11" s="3">
        <f t="shared" si="13"/>
        <v>4262.1485711999994</v>
      </c>
      <c r="AA11" s="3">
        <f>SUM(Z1:Z11)</f>
        <v>55633.0575216</v>
      </c>
    </row>
    <row r="12" spans="1:27" ht="16.5" thickBot="1" x14ac:dyDescent="0.3">
      <c r="A12" s="9">
        <v>44936</v>
      </c>
      <c r="B12" s="37">
        <v>267</v>
      </c>
      <c r="C12" s="130">
        <v>20467</v>
      </c>
      <c r="D12" s="37">
        <f>IF((C12-C11)&lt;0,"0",(C12-C11))*160</f>
        <v>480</v>
      </c>
      <c r="E12" s="131">
        <v>35540296</v>
      </c>
      <c r="F12" s="37">
        <f t="shared" si="4"/>
        <v>16182</v>
      </c>
      <c r="G12" s="132">
        <v>11067370</v>
      </c>
      <c r="H12" s="37">
        <f t="shared" si="5"/>
        <v>44755</v>
      </c>
      <c r="I12" s="133">
        <f t="shared" si="6"/>
        <v>60937</v>
      </c>
      <c r="J12" s="131">
        <v>1191472</v>
      </c>
      <c r="K12" s="37">
        <f t="shared" si="14"/>
        <v>12884</v>
      </c>
      <c r="L12" s="134">
        <v>1498500</v>
      </c>
      <c r="M12" s="37">
        <f t="shared" si="7"/>
        <v>7418</v>
      </c>
      <c r="N12" s="131">
        <v>8142188</v>
      </c>
      <c r="O12" s="37">
        <f t="shared" si="15"/>
        <v>8544</v>
      </c>
      <c r="P12" s="134">
        <v>9058100</v>
      </c>
      <c r="Q12" s="37">
        <f t="shared" si="8"/>
        <v>2742</v>
      </c>
      <c r="R12" s="131">
        <v>23659197</v>
      </c>
      <c r="S12" s="37">
        <f t="shared" si="9"/>
        <v>11920</v>
      </c>
      <c r="T12" s="131"/>
      <c r="U12" s="135"/>
      <c r="V12" s="131">
        <v>1684806</v>
      </c>
      <c r="W12" s="37">
        <f t="shared" si="10"/>
        <v>11613</v>
      </c>
      <c r="X12" s="19">
        <f t="shared" si="11"/>
        <v>55121</v>
      </c>
      <c r="Y12" s="150">
        <f t="shared" si="12"/>
        <v>5816</v>
      </c>
      <c r="Z12" s="3">
        <f t="shared" si="13"/>
        <v>7345.6684496000007</v>
      </c>
      <c r="AA12" s="3">
        <f>SUM(Z1:Z12)</f>
        <v>62978.725971200001</v>
      </c>
    </row>
    <row r="13" spans="1:27" ht="16.5" thickBot="1" x14ac:dyDescent="0.3">
      <c r="A13" s="9">
        <v>44937</v>
      </c>
      <c r="B13" s="37">
        <v>266</v>
      </c>
      <c r="C13" s="130">
        <v>20469</v>
      </c>
      <c r="D13" s="37">
        <f t="shared" ref="D13" si="16">IF((C13-C12)&lt;0,"0",(C13-C12))*160</f>
        <v>320</v>
      </c>
      <c r="E13" s="131">
        <v>35554374</v>
      </c>
      <c r="F13" s="37">
        <f t="shared" ref="F13" si="17">IF((E13-E12)&lt;0,"0",(E13-E12))</f>
        <v>14078</v>
      </c>
      <c r="G13" s="132">
        <v>11111145</v>
      </c>
      <c r="H13" s="37">
        <f t="shared" si="5"/>
        <v>43775</v>
      </c>
      <c r="I13" s="133">
        <f t="shared" ref="I13" si="18">F13+H13</f>
        <v>57853</v>
      </c>
      <c r="J13" s="131">
        <v>1197248</v>
      </c>
      <c r="K13" s="37">
        <f t="shared" ref="K13" si="19">(IF((J13-J12)&lt;0,"0",(J13-J12)))*2</f>
        <v>11552</v>
      </c>
      <c r="L13" s="134">
        <v>1504286</v>
      </c>
      <c r="M13" s="37">
        <f t="shared" ref="M13" si="20">IF((L13-L12)&lt;0,"0",(L13-L12))</f>
        <v>5786</v>
      </c>
      <c r="N13" s="131">
        <v>8146237</v>
      </c>
      <c r="O13" s="37">
        <f t="shared" ref="O13" si="21">(IF((N13-N12)&lt;0,"0",(N13-N12)))*2</f>
        <v>8098</v>
      </c>
      <c r="P13" s="134">
        <v>9060931</v>
      </c>
      <c r="Q13" s="37">
        <f t="shared" ref="Q13" si="22">IF((P13-P12)&lt;0,"0",(P13-P12))</f>
        <v>2831</v>
      </c>
      <c r="R13" s="131">
        <v>23670969</v>
      </c>
      <c r="S13" s="37">
        <f t="shared" ref="S13" si="23">IF((R13-R12)&lt;0,"0",(R13-R12))</f>
        <v>11772</v>
      </c>
      <c r="T13" s="131"/>
      <c r="U13" s="135"/>
      <c r="V13" s="131">
        <v>1696082</v>
      </c>
      <c r="W13" s="37">
        <f t="shared" si="10"/>
        <v>11276</v>
      </c>
      <c r="X13" s="19">
        <f t="shared" ref="X13" si="24">K13+M13+O13+Q13+S13+U13+W13</f>
        <v>51315</v>
      </c>
      <c r="Y13" s="150">
        <f t="shared" si="12"/>
        <v>6538</v>
      </c>
      <c r="Z13" s="3">
        <f t="shared" ref="Z13" si="25">(0.93352*(W13+S13)+0.5568*(Q13+O13))*0.26</f>
        <v>7176.2694016000005</v>
      </c>
      <c r="AA13" s="3">
        <f>SUM(Z1:Z13)</f>
        <v>70154.995372799996</v>
      </c>
    </row>
    <row r="14" spans="1:27" ht="16.5" thickBot="1" x14ac:dyDescent="0.3">
      <c r="A14" s="9">
        <v>44938</v>
      </c>
      <c r="B14" s="37">
        <v>260</v>
      </c>
      <c r="C14" s="130">
        <v>20472</v>
      </c>
      <c r="D14" s="37">
        <f t="shared" si="3"/>
        <v>480</v>
      </c>
      <c r="E14" s="131">
        <v>35562998</v>
      </c>
      <c r="F14" s="37">
        <f t="shared" si="4"/>
        <v>8624</v>
      </c>
      <c r="G14" s="132">
        <v>11139430</v>
      </c>
      <c r="H14" s="37">
        <f t="shared" si="5"/>
        <v>28285</v>
      </c>
      <c r="I14" s="133">
        <f t="shared" si="6"/>
        <v>36909</v>
      </c>
      <c r="J14" s="131">
        <v>1201032</v>
      </c>
      <c r="K14" s="37">
        <f t="shared" si="14"/>
        <v>7568</v>
      </c>
      <c r="L14" s="134">
        <v>1508060</v>
      </c>
      <c r="M14" s="37">
        <f t="shared" si="7"/>
        <v>3774</v>
      </c>
      <c r="N14" s="131">
        <v>8148588</v>
      </c>
      <c r="O14" s="37">
        <f t="shared" si="15"/>
        <v>4702</v>
      </c>
      <c r="P14" s="134">
        <v>9063132</v>
      </c>
      <c r="Q14" s="37">
        <f t="shared" si="8"/>
        <v>2201</v>
      </c>
      <c r="R14" s="131">
        <v>23678296</v>
      </c>
      <c r="S14" s="37">
        <f>IF((R14-R13)&lt;0,"0",(R14-R13))</f>
        <v>7327</v>
      </c>
      <c r="T14" s="131"/>
      <c r="U14" s="135"/>
      <c r="V14" s="131">
        <v>1703235</v>
      </c>
      <c r="W14" s="37">
        <f t="shared" si="10"/>
        <v>7153</v>
      </c>
      <c r="X14" s="19">
        <f t="shared" si="11"/>
        <v>32725</v>
      </c>
      <c r="Y14" s="150">
        <f t="shared" si="12"/>
        <v>4184</v>
      </c>
      <c r="Z14" s="3">
        <f t="shared" si="13"/>
        <v>4513.8495999999996</v>
      </c>
      <c r="AA14" s="3">
        <f>SUM(Z1:Z14)</f>
        <v>74668.844972799998</v>
      </c>
    </row>
    <row r="15" spans="1:27" ht="16.5" thickBot="1" x14ac:dyDescent="0.3">
      <c r="A15" s="9">
        <v>44939</v>
      </c>
      <c r="B15" s="37"/>
      <c r="C15" s="130">
        <f t="shared" ref="C14:C33" si="26">C14</f>
        <v>20472</v>
      </c>
      <c r="D15" s="37">
        <f t="shared" si="3"/>
        <v>0</v>
      </c>
      <c r="E15" s="131">
        <f t="shared" ref="E14:E33" si="27">E14</f>
        <v>35562998</v>
      </c>
      <c r="F15" s="37">
        <f t="shared" si="4"/>
        <v>0</v>
      </c>
      <c r="G15" s="132">
        <f t="shared" ref="G14:G33" si="28">G14</f>
        <v>11139430</v>
      </c>
      <c r="H15" s="37">
        <f t="shared" si="5"/>
        <v>0</v>
      </c>
      <c r="I15" s="133">
        <f t="shared" si="6"/>
        <v>0</v>
      </c>
      <c r="J15" s="131">
        <f t="shared" ref="J14:J33" si="29">J14</f>
        <v>1201032</v>
      </c>
      <c r="K15" s="37">
        <f t="shared" si="14"/>
        <v>0</v>
      </c>
      <c r="L15" s="134">
        <f t="shared" ref="L14:L33" si="30">L14</f>
        <v>1508060</v>
      </c>
      <c r="M15" s="37">
        <f t="shared" si="7"/>
        <v>0</v>
      </c>
      <c r="N15" s="131">
        <f t="shared" ref="N14:N33" si="31">N14</f>
        <v>8148588</v>
      </c>
      <c r="O15" s="37">
        <f t="shared" si="15"/>
        <v>0</v>
      </c>
      <c r="P15" s="134">
        <f t="shared" ref="P14:P33" si="32">P14</f>
        <v>9063132</v>
      </c>
      <c r="Q15" s="37">
        <f t="shared" si="8"/>
        <v>0</v>
      </c>
      <c r="R15" s="131">
        <f t="shared" ref="R14:R33" si="33">R14</f>
        <v>23678296</v>
      </c>
      <c r="S15" s="37">
        <f>IF((R15-R14)&lt;0,"0",(R15-R14))</f>
        <v>0</v>
      </c>
      <c r="T15" s="131"/>
      <c r="U15" s="135"/>
      <c r="V15" s="131">
        <f t="shared" ref="V14:V33" si="34">V14</f>
        <v>1703235</v>
      </c>
      <c r="W15" s="37">
        <f t="shared" si="10"/>
        <v>0</v>
      </c>
      <c r="X15" s="19">
        <f t="shared" si="11"/>
        <v>0</v>
      </c>
      <c r="Y15" s="150">
        <f t="shared" si="12"/>
        <v>0</v>
      </c>
      <c r="Z15" s="3">
        <f t="shared" si="13"/>
        <v>0</v>
      </c>
      <c r="AA15" s="3">
        <f>SUM(Z1:Z15)</f>
        <v>74668.844972799998</v>
      </c>
    </row>
    <row r="16" spans="1:27" ht="16.5" thickBot="1" x14ac:dyDescent="0.3">
      <c r="A16" s="9">
        <v>44940</v>
      </c>
      <c r="B16" s="37"/>
      <c r="C16" s="130">
        <f t="shared" si="26"/>
        <v>20472</v>
      </c>
      <c r="D16" s="37">
        <f t="shared" si="3"/>
        <v>0</v>
      </c>
      <c r="E16" s="131">
        <f t="shared" si="27"/>
        <v>35562998</v>
      </c>
      <c r="F16" s="37">
        <f t="shared" si="4"/>
        <v>0</v>
      </c>
      <c r="G16" s="132">
        <f t="shared" si="28"/>
        <v>11139430</v>
      </c>
      <c r="H16" s="37">
        <f t="shared" si="5"/>
        <v>0</v>
      </c>
      <c r="I16" s="133">
        <f t="shared" si="6"/>
        <v>0</v>
      </c>
      <c r="J16" s="131">
        <f t="shared" si="29"/>
        <v>1201032</v>
      </c>
      <c r="K16" s="37">
        <f t="shared" si="14"/>
        <v>0</v>
      </c>
      <c r="L16" s="134">
        <f t="shared" si="30"/>
        <v>1508060</v>
      </c>
      <c r="M16" s="37">
        <f t="shared" si="7"/>
        <v>0</v>
      </c>
      <c r="N16" s="131">
        <f t="shared" si="31"/>
        <v>8148588</v>
      </c>
      <c r="O16" s="37">
        <f t="shared" si="15"/>
        <v>0</v>
      </c>
      <c r="P16" s="134">
        <f t="shared" si="32"/>
        <v>9063132</v>
      </c>
      <c r="Q16" s="37">
        <f t="shared" si="8"/>
        <v>0</v>
      </c>
      <c r="R16" s="131">
        <f t="shared" si="33"/>
        <v>23678296</v>
      </c>
      <c r="S16" s="37">
        <f t="shared" si="9"/>
        <v>0</v>
      </c>
      <c r="T16" s="131"/>
      <c r="U16" s="135"/>
      <c r="V16" s="131">
        <f t="shared" si="34"/>
        <v>1703235</v>
      </c>
      <c r="W16" s="37">
        <f t="shared" si="10"/>
        <v>0</v>
      </c>
      <c r="X16" s="19">
        <f t="shared" si="11"/>
        <v>0</v>
      </c>
      <c r="Y16" s="150">
        <f t="shared" si="12"/>
        <v>0</v>
      </c>
      <c r="Z16" s="3">
        <f t="shared" si="13"/>
        <v>0</v>
      </c>
      <c r="AA16" s="3">
        <f>SUM(Z1:Z16)</f>
        <v>74668.844972799998</v>
      </c>
    </row>
    <row r="17" spans="1:27" s="117" customFormat="1" ht="16.5" thickBot="1" x14ac:dyDescent="0.3">
      <c r="A17" s="9">
        <v>44941</v>
      </c>
      <c r="B17" s="37"/>
      <c r="C17" s="130">
        <f t="shared" si="26"/>
        <v>20472</v>
      </c>
      <c r="D17" s="37">
        <f t="shared" ref="D17" si="35">IF((C17-C16)&lt;0,"0",(C17-C16))*160</f>
        <v>0</v>
      </c>
      <c r="E17" s="131">
        <f t="shared" si="27"/>
        <v>35562998</v>
      </c>
      <c r="F17" s="37">
        <f t="shared" ref="F17" si="36">IF((E17-E16)&lt;0,"0",(E17-E16))</f>
        <v>0</v>
      </c>
      <c r="G17" s="132">
        <f t="shared" si="28"/>
        <v>11139430</v>
      </c>
      <c r="H17" s="37">
        <f t="shared" ref="H17" si="37">IF((G17-G16)&lt;0,"0",(G17-G16))</f>
        <v>0</v>
      </c>
      <c r="I17" s="133">
        <f t="shared" ref="I17" si="38">F17+H17</f>
        <v>0</v>
      </c>
      <c r="J17" s="131">
        <f t="shared" si="29"/>
        <v>1201032</v>
      </c>
      <c r="K17" s="37">
        <f t="shared" ref="K17" si="39">(IF((J17-J16)&lt;0,"0",(J17-J16)))*2</f>
        <v>0</v>
      </c>
      <c r="L17" s="134">
        <f t="shared" si="30"/>
        <v>1508060</v>
      </c>
      <c r="M17" s="37">
        <f t="shared" ref="M17" si="40">IF((L17-L16)&lt;0,"0",(L17-L16))</f>
        <v>0</v>
      </c>
      <c r="N17" s="131">
        <f t="shared" si="31"/>
        <v>8148588</v>
      </c>
      <c r="O17" s="37">
        <f t="shared" ref="O17" si="41">(IF((N17-N16)&lt;0,"0",(N17-N16)))*2</f>
        <v>0</v>
      </c>
      <c r="P17" s="134">
        <f t="shared" si="32"/>
        <v>9063132</v>
      </c>
      <c r="Q17" s="37">
        <f t="shared" ref="Q17" si="42">IF((P17-P16)&lt;0,"0",(P17-P16))</f>
        <v>0</v>
      </c>
      <c r="R17" s="131">
        <f t="shared" si="33"/>
        <v>23678296</v>
      </c>
      <c r="S17" s="37">
        <f t="shared" ref="S17" si="43">IF((R17-R16)&lt;0,"0",(R17-R16))</f>
        <v>0</v>
      </c>
      <c r="T17" s="131"/>
      <c r="U17" s="135"/>
      <c r="V17" s="131">
        <f t="shared" si="34"/>
        <v>1703235</v>
      </c>
      <c r="W17" s="116">
        <f t="shared" si="10"/>
        <v>0</v>
      </c>
      <c r="X17" s="19">
        <f t="shared" si="11"/>
        <v>0</v>
      </c>
      <c r="Y17" s="137">
        <f t="shared" si="12"/>
        <v>0</v>
      </c>
      <c r="Z17" s="138">
        <f t="shared" si="13"/>
        <v>0</v>
      </c>
      <c r="AA17" s="3">
        <f>SUM(Z1:Z17)</f>
        <v>74668.844972799998</v>
      </c>
    </row>
    <row r="18" spans="1:27" s="117" customFormat="1" ht="16.5" thickBot="1" x14ac:dyDescent="0.3">
      <c r="A18" s="9">
        <v>44942</v>
      </c>
      <c r="B18" s="37"/>
      <c r="C18" s="130">
        <f t="shared" si="26"/>
        <v>20472</v>
      </c>
      <c r="D18" s="37">
        <f t="shared" si="3"/>
        <v>0</v>
      </c>
      <c r="E18" s="131">
        <f t="shared" si="27"/>
        <v>35562998</v>
      </c>
      <c r="F18" s="37">
        <f t="shared" si="4"/>
        <v>0</v>
      </c>
      <c r="G18" s="132">
        <f t="shared" si="28"/>
        <v>11139430</v>
      </c>
      <c r="H18" s="37">
        <f t="shared" si="5"/>
        <v>0</v>
      </c>
      <c r="I18" s="136">
        <f t="shared" si="6"/>
        <v>0</v>
      </c>
      <c r="J18" s="131">
        <f t="shared" si="29"/>
        <v>1201032</v>
      </c>
      <c r="K18" s="116">
        <f t="shared" si="14"/>
        <v>0</v>
      </c>
      <c r="L18" s="134">
        <f t="shared" si="30"/>
        <v>1508060</v>
      </c>
      <c r="M18" s="116">
        <f t="shared" si="7"/>
        <v>0</v>
      </c>
      <c r="N18" s="131">
        <f t="shared" si="31"/>
        <v>8148588</v>
      </c>
      <c r="O18" s="116">
        <f t="shared" si="15"/>
        <v>0</v>
      </c>
      <c r="P18" s="134">
        <f t="shared" si="32"/>
        <v>9063132</v>
      </c>
      <c r="Q18" s="116">
        <f t="shared" si="8"/>
        <v>0</v>
      </c>
      <c r="R18" s="131">
        <f t="shared" si="33"/>
        <v>23678296</v>
      </c>
      <c r="S18" s="116">
        <f t="shared" si="9"/>
        <v>0</v>
      </c>
      <c r="T18" s="137"/>
      <c r="U18" s="135"/>
      <c r="V18" s="131">
        <f t="shared" si="34"/>
        <v>1703235</v>
      </c>
      <c r="W18" s="116">
        <f t="shared" si="10"/>
        <v>0</v>
      </c>
      <c r="X18" s="19">
        <f t="shared" si="11"/>
        <v>0</v>
      </c>
      <c r="Y18" s="137">
        <f t="shared" si="12"/>
        <v>0</v>
      </c>
      <c r="Z18" s="138">
        <f t="shared" si="13"/>
        <v>0</v>
      </c>
      <c r="AA18" s="3">
        <f>SUM(Z1:Z18)</f>
        <v>74668.844972799998</v>
      </c>
    </row>
    <row r="19" spans="1:27" s="117" customFormat="1" ht="16.5" thickBot="1" x14ac:dyDescent="0.3">
      <c r="A19" s="9">
        <v>44943</v>
      </c>
      <c r="B19" s="37"/>
      <c r="C19" s="130">
        <f t="shared" si="26"/>
        <v>20472</v>
      </c>
      <c r="D19" s="37">
        <f t="shared" si="3"/>
        <v>0</v>
      </c>
      <c r="E19" s="131">
        <f t="shared" si="27"/>
        <v>35562998</v>
      </c>
      <c r="F19" s="37">
        <f t="shared" si="4"/>
        <v>0</v>
      </c>
      <c r="G19" s="132">
        <f t="shared" si="28"/>
        <v>11139430</v>
      </c>
      <c r="H19" s="37">
        <f t="shared" si="5"/>
        <v>0</v>
      </c>
      <c r="I19" s="136">
        <f t="shared" si="6"/>
        <v>0</v>
      </c>
      <c r="J19" s="131">
        <f t="shared" si="29"/>
        <v>1201032</v>
      </c>
      <c r="K19" s="116">
        <f t="shared" si="14"/>
        <v>0</v>
      </c>
      <c r="L19" s="134">
        <f t="shared" si="30"/>
        <v>1508060</v>
      </c>
      <c r="M19" s="116">
        <f t="shared" si="7"/>
        <v>0</v>
      </c>
      <c r="N19" s="131">
        <f t="shared" si="31"/>
        <v>8148588</v>
      </c>
      <c r="O19" s="116">
        <f t="shared" si="15"/>
        <v>0</v>
      </c>
      <c r="P19" s="134">
        <f t="shared" si="32"/>
        <v>9063132</v>
      </c>
      <c r="Q19" s="116">
        <f t="shared" si="8"/>
        <v>0</v>
      </c>
      <c r="R19" s="131">
        <f t="shared" si="33"/>
        <v>23678296</v>
      </c>
      <c r="S19" s="116">
        <f t="shared" si="9"/>
        <v>0</v>
      </c>
      <c r="T19" s="137"/>
      <c r="U19" s="135"/>
      <c r="V19" s="131">
        <f t="shared" si="34"/>
        <v>1703235</v>
      </c>
      <c r="W19" s="116">
        <f t="shared" si="10"/>
        <v>0</v>
      </c>
      <c r="X19" s="19">
        <f t="shared" si="11"/>
        <v>0</v>
      </c>
      <c r="Y19" s="137">
        <f t="shared" si="12"/>
        <v>0</v>
      </c>
      <c r="Z19" s="138">
        <f t="shared" si="13"/>
        <v>0</v>
      </c>
      <c r="AA19" s="3">
        <f>SUM(Z1:Z19)</f>
        <v>74668.844972799998</v>
      </c>
    </row>
    <row r="20" spans="1:27" s="117" customFormat="1" ht="16.5" thickBot="1" x14ac:dyDescent="0.3">
      <c r="A20" s="9">
        <v>44944</v>
      </c>
      <c r="B20" s="37"/>
      <c r="C20" s="130">
        <f t="shared" si="26"/>
        <v>20472</v>
      </c>
      <c r="D20" s="37">
        <f t="shared" si="3"/>
        <v>0</v>
      </c>
      <c r="E20" s="131">
        <f t="shared" si="27"/>
        <v>35562998</v>
      </c>
      <c r="F20" s="37">
        <f t="shared" si="4"/>
        <v>0</v>
      </c>
      <c r="G20" s="132">
        <f t="shared" si="28"/>
        <v>11139430</v>
      </c>
      <c r="H20" s="37">
        <f t="shared" si="5"/>
        <v>0</v>
      </c>
      <c r="I20" s="136">
        <f t="shared" si="6"/>
        <v>0</v>
      </c>
      <c r="J20" s="131">
        <f t="shared" si="29"/>
        <v>1201032</v>
      </c>
      <c r="K20" s="116">
        <f t="shared" si="14"/>
        <v>0</v>
      </c>
      <c r="L20" s="134">
        <f t="shared" si="30"/>
        <v>1508060</v>
      </c>
      <c r="M20" s="116">
        <f t="shared" si="7"/>
        <v>0</v>
      </c>
      <c r="N20" s="131">
        <f t="shared" si="31"/>
        <v>8148588</v>
      </c>
      <c r="O20" s="116">
        <f t="shared" si="15"/>
        <v>0</v>
      </c>
      <c r="P20" s="134">
        <f t="shared" si="32"/>
        <v>9063132</v>
      </c>
      <c r="Q20" s="116">
        <f t="shared" si="8"/>
        <v>0</v>
      </c>
      <c r="R20" s="131">
        <f t="shared" si="33"/>
        <v>23678296</v>
      </c>
      <c r="S20" s="116">
        <f t="shared" si="9"/>
        <v>0</v>
      </c>
      <c r="T20" s="137"/>
      <c r="U20" s="135"/>
      <c r="V20" s="131">
        <f t="shared" si="34"/>
        <v>1703235</v>
      </c>
      <c r="W20" s="116">
        <f t="shared" si="10"/>
        <v>0</v>
      </c>
      <c r="X20" s="19">
        <f t="shared" si="11"/>
        <v>0</v>
      </c>
      <c r="Y20" s="137">
        <f t="shared" si="12"/>
        <v>0</v>
      </c>
      <c r="Z20" s="138">
        <f t="shared" si="13"/>
        <v>0</v>
      </c>
      <c r="AA20" s="3">
        <f>SUM(Z1:Z20)</f>
        <v>74668.844972799998</v>
      </c>
    </row>
    <row r="21" spans="1:27" s="117" customFormat="1" ht="16.5" thickBot="1" x14ac:dyDescent="0.3">
      <c r="A21" s="9">
        <v>44945</v>
      </c>
      <c r="B21" s="37"/>
      <c r="C21" s="130">
        <f t="shared" si="26"/>
        <v>20472</v>
      </c>
      <c r="D21" s="37">
        <f t="shared" si="3"/>
        <v>0</v>
      </c>
      <c r="E21" s="131">
        <f t="shared" si="27"/>
        <v>35562998</v>
      </c>
      <c r="F21" s="37">
        <f t="shared" si="4"/>
        <v>0</v>
      </c>
      <c r="G21" s="132">
        <f t="shared" si="28"/>
        <v>11139430</v>
      </c>
      <c r="H21" s="37">
        <f t="shared" si="5"/>
        <v>0</v>
      </c>
      <c r="I21" s="136">
        <f t="shared" si="6"/>
        <v>0</v>
      </c>
      <c r="J21" s="131">
        <f t="shared" si="29"/>
        <v>1201032</v>
      </c>
      <c r="K21" s="116">
        <f t="shared" si="14"/>
        <v>0</v>
      </c>
      <c r="L21" s="134">
        <f t="shared" si="30"/>
        <v>1508060</v>
      </c>
      <c r="M21" s="116">
        <f t="shared" si="7"/>
        <v>0</v>
      </c>
      <c r="N21" s="131">
        <f t="shared" si="31"/>
        <v>8148588</v>
      </c>
      <c r="O21" s="116">
        <f t="shared" si="15"/>
        <v>0</v>
      </c>
      <c r="P21" s="134">
        <f t="shared" si="32"/>
        <v>9063132</v>
      </c>
      <c r="Q21" s="116">
        <f t="shared" si="8"/>
        <v>0</v>
      </c>
      <c r="R21" s="131">
        <f t="shared" si="33"/>
        <v>23678296</v>
      </c>
      <c r="S21" s="116">
        <f t="shared" si="9"/>
        <v>0</v>
      </c>
      <c r="T21" s="137"/>
      <c r="U21" s="135"/>
      <c r="V21" s="131">
        <f t="shared" si="34"/>
        <v>1703235</v>
      </c>
      <c r="W21" s="116">
        <f t="shared" si="10"/>
        <v>0</v>
      </c>
      <c r="X21" s="19">
        <f t="shared" si="11"/>
        <v>0</v>
      </c>
      <c r="Y21" s="137">
        <f t="shared" si="12"/>
        <v>0</v>
      </c>
      <c r="Z21" s="138">
        <f t="shared" si="13"/>
        <v>0</v>
      </c>
      <c r="AA21" s="3">
        <f>SUM(Z1:Z21)</f>
        <v>74668.844972799998</v>
      </c>
    </row>
    <row r="22" spans="1:27" ht="16.5" thickBot="1" x14ac:dyDescent="0.3">
      <c r="A22" s="9">
        <v>44946</v>
      </c>
      <c r="B22" s="37"/>
      <c r="C22" s="130">
        <f t="shared" si="26"/>
        <v>20472</v>
      </c>
      <c r="D22" s="37">
        <f t="shared" si="3"/>
        <v>0</v>
      </c>
      <c r="E22" s="131">
        <f t="shared" si="27"/>
        <v>35562998</v>
      </c>
      <c r="F22" s="37">
        <f t="shared" si="4"/>
        <v>0</v>
      </c>
      <c r="G22" s="132">
        <f t="shared" si="28"/>
        <v>11139430</v>
      </c>
      <c r="H22" s="37">
        <f t="shared" si="5"/>
        <v>0</v>
      </c>
      <c r="I22" s="133">
        <f t="shared" si="6"/>
        <v>0</v>
      </c>
      <c r="J22" s="131">
        <f t="shared" si="29"/>
        <v>1201032</v>
      </c>
      <c r="K22" s="116">
        <f t="shared" si="14"/>
        <v>0</v>
      </c>
      <c r="L22" s="134">
        <f t="shared" si="30"/>
        <v>1508060</v>
      </c>
      <c r="M22" s="37">
        <f t="shared" si="7"/>
        <v>0</v>
      </c>
      <c r="N22" s="131">
        <f t="shared" si="31"/>
        <v>8148588</v>
      </c>
      <c r="O22" s="37">
        <f t="shared" si="15"/>
        <v>0</v>
      </c>
      <c r="P22" s="134">
        <f t="shared" si="32"/>
        <v>9063132</v>
      </c>
      <c r="Q22" s="37">
        <f t="shared" si="8"/>
        <v>0</v>
      </c>
      <c r="R22" s="131">
        <f t="shared" si="33"/>
        <v>23678296</v>
      </c>
      <c r="S22" s="37">
        <f t="shared" si="9"/>
        <v>0</v>
      </c>
      <c r="T22" s="131"/>
      <c r="U22" s="135"/>
      <c r="V22" s="131">
        <f t="shared" si="34"/>
        <v>1703235</v>
      </c>
      <c r="W22" s="37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74668.844972799998</v>
      </c>
    </row>
    <row r="23" spans="1:27" ht="16.5" thickBot="1" x14ac:dyDescent="0.3">
      <c r="A23" s="9">
        <v>44947</v>
      </c>
      <c r="B23" s="37"/>
      <c r="C23" s="130">
        <f t="shared" si="26"/>
        <v>20472</v>
      </c>
      <c r="D23" s="37">
        <f t="shared" si="3"/>
        <v>0</v>
      </c>
      <c r="E23" s="131">
        <f t="shared" si="27"/>
        <v>35562998</v>
      </c>
      <c r="F23" s="37">
        <f t="shared" si="4"/>
        <v>0</v>
      </c>
      <c r="G23" s="132">
        <f t="shared" si="28"/>
        <v>11139430</v>
      </c>
      <c r="H23" s="37">
        <f t="shared" si="5"/>
        <v>0</v>
      </c>
      <c r="I23" s="133">
        <f t="shared" si="6"/>
        <v>0</v>
      </c>
      <c r="J23" s="131">
        <f t="shared" si="29"/>
        <v>1201032</v>
      </c>
      <c r="K23" s="116">
        <f t="shared" si="14"/>
        <v>0</v>
      </c>
      <c r="L23" s="134">
        <f t="shared" si="30"/>
        <v>1508060</v>
      </c>
      <c r="M23" s="37">
        <f t="shared" si="7"/>
        <v>0</v>
      </c>
      <c r="N23" s="131">
        <f t="shared" si="31"/>
        <v>8148588</v>
      </c>
      <c r="O23" s="37">
        <f t="shared" si="15"/>
        <v>0</v>
      </c>
      <c r="P23" s="134">
        <f t="shared" si="32"/>
        <v>9063132</v>
      </c>
      <c r="Q23" s="37">
        <f t="shared" si="8"/>
        <v>0</v>
      </c>
      <c r="R23" s="131">
        <f t="shared" si="33"/>
        <v>23678296</v>
      </c>
      <c r="S23" s="37">
        <f t="shared" si="9"/>
        <v>0</v>
      </c>
      <c r="T23" s="131"/>
      <c r="U23" s="135"/>
      <c r="V23" s="131">
        <f t="shared" si="34"/>
        <v>1703235</v>
      </c>
      <c r="W23" s="37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74668.844972799998</v>
      </c>
    </row>
    <row r="24" spans="1:27" ht="16.5" thickBot="1" x14ac:dyDescent="0.3">
      <c r="A24" s="9">
        <v>44948</v>
      </c>
      <c r="B24" s="37"/>
      <c r="C24" s="130">
        <f t="shared" si="26"/>
        <v>20472</v>
      </c>
      <c r="D24" s="37">
        <f t="shared" si="3"/>
        <v>0</v>
      </c>
      <c r="E24" s="131">
        <f t="shared" si="27"/>
        <v>35562998</v>
      </c>
      <c r="F24" s="37">
        <f t="shared" si="4"/>
        <v>0</v>
      </c>
      <c r="G24" s="132">
        <f t="shared" si="28"/>
        <v>11139430</v>
      </c>
      <c r="H24" s="37">
        <f t="shared" si="5"/>
        <v>0</v>
      </c>
      <c r="I24" s="133">
        <f t="shared" si="6"/>
        <v>0</v>
      </c>
      <c r="J24" s="131">
        <f t="shared" si="29"/>
        <v>1201032</v>
      </c>
      <c r="K24" s="116">
        <f t="shared" si="14"/>
        <v>0</v>
      </c>
      <c r="L24" s="134">
        <f t="shared" si="30"/>
        <v>1508060</v>
      </c>
      <c r="M24" s="37">
        <f t="shared" si="7"/>
        <v>0</v>
      </c>
      <c r="N24" s="131">
        <f t="shared" si="31"/>
        <v>8148588</v>
      </c>
      <c r="O24" s="37">
        <f t="shared" si="15"/>
        <v>0</v>
      </c>
      <c r="P24" s="134">
        <f t="shared" si="32"/>
        <v>9063132</v>
      </c>
      <c r="Q24" s="37">
        <f t="shared" si="8"/>
        <v>0</v>
      </c>
      <c r="R24" s="131">
        <f t="shared" si="33"/>
        <v>23678296</v>
      </c>
      <c r="S24" s="37">
        <f t="shared" si="9"/>
        <v>0</v>
      </c>
      <c r="T24" s="131"/>
      <c r="U24" s="135"/>
      <c r="V24" s="131">
        <f t="shared" si="34"/>
        <v>1703235</v>
      </c>
      <c r="W24" s="37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74668.844972799998</v>
      </c>
    </row>
    <row r="25" spans="1:27" ht="16.5" thickBot="1" x14ac:dyDescent="0.3">
      <c r="A25" s="9">
        <v>44949</v>
      </c>
      <c r="B25" s="37"/>
      <c r="C25" s="130">
        <f t="shared" si="26"/>
        <v>20472</v>
      </c>
      <c r="D25" s="37">
        <f t="shared" si="3"/>
        <v>0</v>
      </c>
      <c r="E25" s="131">
        <f t="shared" si="27"/>
        <v>35562998</v>
      </c>
      <c r="F25" s="37">
        <f t="shared" si="4"/>
        <v>0</v>
      </c>
      <c r="G25" s="132">
        <f t="shared" si="28"/>
        <v>11139430</v>
      </c>
      <c r="H25" s="37">
        <f t="shared" si="5"/>
        <v>0</v>
      </c>
      <c r="I25" s="133">
        <f t="shared" si="6"/>
        <v>0</v>
      </c>
      <c r="J25" s="131">
        <f t="shared" si="29"/>
        <v>1201032</v>
      </c>
      <c r="K25" s="116">
        <f t="shared" si="14"/>
        <v>0</v>
      </c>
      <c r="L25" s="134">
        <f t="shared" si="30"/>
        <v>1508060</v>
      </c>
      <c r="M25" s="37">
        <f t="shared" si="7"/>
        <v>0</v>
      </c>
      <c r="N25" s="131">
        <f t="shared" si="31"/>
        <v>8148588</v>
      </c>
      <c r="O25" s="37">
        <f t="shared" si="15"/>
        <v>0</v>
      </c>
      <c r="P25" s="134">
        <f t="shared" si="32"/>
        <v>9063132</v>
      </c>
      <c r="Q25" s="37">
        <f t="shared" si="8"/>
        <v>0</v>
      </c>
      <c r="R25" s="131">
        <f t="shared" si="33"/>
        <v>23678296</v>
      </c>
      <c r="S25" s="37">
        <f t="shared" si="9"/>
        <v>0</v>
      </c>
      <c r="T25" s="131"/>
      <c r="U25" s="135"/>
      <c r="V25" s="131">
        <f t="shared" si="34"/>
        <v>1703235</v>
      </c>
      <c r="W25" s="37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74668.844972799998</v>
      </c>
    </row>
    <row r="26" spans="1:27" ht="16.5" thickBot="1" x14ac:dyDescent="0.3">
      <c r="A26" s="9">
        <v>44950</v>
      </c>
      <c r="B26" s="37"/>
      <c r="C26" s="130">
        <f t="shared" si="26"/>
        <v>20472</v>
      </c>
      <c r="D26" s="37">
        <f t="shared" si="3"/>
        <v>0</v>
      </c>
      <c r="E26" s="131">
        <f t="shared" si="27"/>
        <v>35562998</v>
      </c>
      <c r="F26" s="37">
        <f t="shared" si="4"/>
        <v>0</v>
      </c>
      <c r="G26" s="132">
        <f t="shared" si="28"/>
        <v>11139430</v>
      </c>
      <c r="H26" s="37">
        <f t="shared" si="5"/>
        <v>0</v>
      </c>
      <c r="I26" s="133">
        <f t="shared" si="6"/>
        <v>0</v>
      </c>
      <c r="J26" s="131">
        <f t="shared" si="29"/>
        <v>1201032</v>
      </c>
      <c r="K26" s="116">
        <f t="shared" si="14"/>
        <v>0</v>
      </c>
      <c r="L26" s="134">
        <f t="shared" si="30"/>
        <v>1508060</v>
      </c>
      <c r="M26" s="37">
        <f t="shared" si="7"/>
        <v>0</v>
      </c>
      <c r="N26" s="131">
        <f t="shared" si="31"/>
        <v>8148588</v>
      </c>
      <c r="O26" s="37">
        <f t="shared" si="15"/>
        <v>0</v>
      </c>
      <c r="P26" s="134">
        <f t="shared" si="32"/>
        <v>9063132</v>
      </c>
      <c r="Q26" s="37">
        <f t="shared" si="8"/>
        <v>0</v>
      </c>
      <c r="R26" s="131">
        <f t="shared" si="33"/>
        <v>23678296</v>
      </c>
      <c r="S26" s="37">
        <f t="shared" si="9"/>
        <v>0</v>
      </c>
      <c r="T26" s="131"/>
      <c r="U26" s="135"/>
      <c r="V26" s="131">
        <f t="shared" si="34"/>
        <v>1703235</v>
      </c>
      <c r="W26" s="37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74668.844972799998</v>
      </c>
    </row>
    <row r="27" spans="1:27" ht="16.5" thickBot="1" x14ac:dyDescent="0.3">
      <c r="A27" s="9">
        <v>44951</v>
      </c>
      <c r="B27" s="37"/>
      <c r="C27" s="130">
        <f t="shared" si="26"/>
        <v>20472</v>
      </c>
      <c r="D27" s="37">
        <f t="shared" si="3"/>
        <v>0</v>
      </c>
      <c r="E27" s="131">
        <f t="shared" si="27"/>
        <v>35562998</v>
      </c>
      <c r="F27" s="37">
        <f t="shared" si="4"/>
        <v>0</v>
      </c>
      <c r="G27" s="132">
        <f t="shared" si="28"/>
        <v>11139430</v>
      </c>
      <c r="H27" s="37">
        <f t="shared" si="5"/>
        <v>0</v>
      </c>
      <c r="I27" s="133">
        <f t="shared" si="6"/>
        <v>0</v>
      </c>
      <c r="J27" s="131">
        <f t="shared" si="29"/>
        <v>1201032</v>
      </c>
      <c r="K27" s="116">
        <f t="shared" si="14"/>
        <v>0</v>
      </c>
      <c r="L27" s="134">
        <f t="shared" si="30"/>
        <v>1508060</v>
      </c>
      <c r="M27" s="37">
        <f t="shared" si="7"/>
        <v>0</v>
      </c>
      <c r="N27" s="131">
        <f t="shared" si="31"/>
        <v>8148588</v>
      </c>
      <c r="O27" s="37">
        <f t="shared" si="15"/>
        <v>0</v>
      </c>
      <c r="P27" s="134">
        <f t="shared" si="32"/>
        <v>9063132</v>
      </c>
      <c r="Q27" s="37">
        <f t="shared" si="8"/>
        <v>0</v>
      </c>
      <c r="R27" s="131">
        <f t="shared" si="33"/>
        <v>23678296</v>
      </c>
      <c r="S27" s="37">
        <f t="shared" si="9"/>
        <v>0</v>
      </c>
      <c r="T27" s="131"/>
      <c r="U27" s="135"/>
      <c r="V27" s="131">
        <f t="shared" si="34"/>
        <v>1703235</v>
      </c>
      <c r="W27" s="37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74668.844972799998</v>
      </c>
    </row>
    <row r="28" spans="1:27" ht="16.5" thickBot="1" x14ac:dyDescent="0.3">
      <c r="A28" s="9">
        <v>44952</v>
      </c>
      <c r="B28" s="37"/>
      <c r="C28" s="130">
        <f t="shared" si="26"/>
        <v>20472</v>
      </c>
      <c r="D28" s="37">
        <f t="shared" si="3"/>
        <v>0</v>
      </c>
      <c r="E28" s="131">
        <f t="shared" si="27"/>
        <v>35562998</v>
      </c>
      <c r="F28" s="37">
        <f t="shared" si="4"/>
        <v>0</v>
      </c>
      <c r="G28" s="132">
        <f t="shared" si="28"/>
        <v>11139430</v>
      </c>
      <c r="H28" s="37">
        <f t="shared" si="5"/>
        <v>0</v>
      </c>
      <c r="I28" s="133">
        <f t="shared" si="6"/>
        <v>0</v>
      </c>
      <c r="J28" s="131">
        <f t="shared" si="29"/>
        <v>1201032</v>
      </c>
      <c r="K28" s="116">
        <f t="shared" si="14"/>
        <v>0</v>
      </c>
      <c r="L28" s="134">
        <f t="shared" si="30"/>
        <v>1508060</v>
      </c>
      <c r="M28" s="37">
        <f t="shared" si="7"/>
        <v>0</v>
      </c>
      <c r="N28" s="131">
        <f t="shared" si="31"/>
        <v>8148588</v>
      </c>
      <c r="O28" s="37">
        <f t="shared" si="15"/>
        <v>0</v>
      </c>
      <c r="P28" s="134">
        <f t="shared" si="32"/>
        <v>9063132</v>
      </c>
      <c r="Q28" s="37">
        <f t="shared" si="8"/>
        <v>0</v>
      </c>
      <c r="R28" s="131">
        <f t="shared" si="33"/>
        <v>23678296</v>
      </c>
      <c r="S28" s="37">
        <f t="shared" si="9"/>
        <v>0</v>
      </c>
      <c r="T28" s="131"/>
      <c r="U28" s="135"/>
      <c r="V28" s="131">
        <f t="shared" si="34"/>
        <v>1703235</v>
      </c>
      <c r="W28" s="37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74668.844972799998</v>
      </c>
    </row>
    <row r="29" spans="1:27" ht="16.5" thickBot="1" x14ac:dyDescent="0.3">
      <c r="A29" s="9">
        <v>44953</v>
      </c>
      <c r="B29" s="37"/>
      <c r="C29" s="130">
        <f t="shared" si="26"/>
        <v>20472</v>
      </c>
      <c r="D29" s="37">
        <f t="shared" si="3"/>
        <v>0</v>
      </c>
      <c r="E29" s="131">
        <f t="shared" si="27"/>
        <v>35562998</v>
      </c>
      <c r="F29" s="37">
        <f t="shared" si="4"/>
        <v>0</v>
      </c>
      <c r="G29" s="132">
        <f t="shared" si="28"/>
        <v>11139430</v>
      </c>
      <c r="H29" s="37">
        <f t="shared" si="5"/>
        <v>0</v>
      </c>
      <c r="I29" s="133">
        <f t="shared" si="6"/>
        <v>0</v>
      </c>
      <c r="J29" s="131">
        <f t="shared" si="29"/>
        <v>1201032</v>
      </c>
      <c r="K29" s="116">
        <f t="shared" si="14"/>
        <v>0</v>
      </c>
      <c r="L29" s="134">
        <f t="shared" si="30"/>
        <v>1508060</v>
      </c>
      <c r="M29" s="37">
        <f t="shared" si="7"/>
        <v>0</v>
      </c>
      <c r="N29" s="131">
        <f t="shared" si="31"/>
        <v>8148588</v>
      </c>
      <c r="O29" s="37">
        <f t="shared" si="15"/>
        <v>0</v>
      </c>
      <c r="P29" s="134">
        <f t="shared" si="32"/>
        <v>9063132</v>
      </c>
      <c r="Q29" s="37">
        <f t="shared" si="8"/>
        <v>0</v>
      </c>
      <c r="R29" s="131">
        <f t="shared" si="33"/>
        <v>23678296</v>
      </c>
      <c r="S29" s="37">
        <f t="shared" si="9"/>
        <v>0</v>
      </c>
      <c r="T29" s="131"/>
      <c r="U29" s="135"/>
      <c r="V29" s="131">
        <f t="shared" si="34"/>
        <v>1703235</v>
      </c>
      <c r="W29" s="37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74668.844972799998</v>
      </c>
    </row>
    <row r="30" spans="1:27" ht="16.5" thickBot="1" x14ac:dyDescent="0.3">
      <c r="A30" s="9">
        <v>44954</v>
      </c>
      <c r="B30" s="37"/>
      <c r="C30" s="130">
        <f t="shared" si="26"/>
        <v>20472</v>
      </c>
      <c r="D30" s="37">
        <f>IF((C30-C29)&lt;0,"0",(C30-C29))*160</f>
        <v>0</v>
      </c>
      <c r="E30" s="131">
        <f t="shared" si="27"/>
        <v>35562998</v>
      </c>
      <c r="F30" s="37">
        <f>IF((E30-E29)&lt;0,"0",(E30-E29))</f>
        <v>0</v>
      </c>
      <c r="G30" s="132">
        <f t="shared" si="28"/>
        <v>11139430</v>
      </c>
      <c r="H30" s="37">
        <f t="shared" si="5"/>
        <v>0</v>
      </c>
      <c r="I30" s="133">
        <f t="shared" si="6"/>
        <v>0</v>
      </c>
      <c r="J30" s="131">
        <f t="shared" si="29"/>
        <v>1201032</v>
      </c>
      <c r="K30" s="116">
        <f t="shared" si="14"/>
        <v>0</v>
      </c>
      <c r="L30" s="134">
        <f t="shared" si="30"/>
        <v>1508060</v>
      </c>
      <c r="M30" s="37">
        <f>IF((L30-L29)&lt;0,"0",(L30-L29))</f>
        <v>0</v>
      </c>
      <c r="N30" s="131">
        <f t="shared" si="31"/>
        <v>8148588</v>
      </c>
      <c r="O30" s="37">
        <f>(IF((N30-N29)&lt;0,"0",(N30-N29)))*2</f>
        <v>0</v>
      </c>
      <c r="P30" s="134">
        <f t="shared" si="32"/>
        <v>9063132</v>
      </c>
      <c r="Q30" s="37">
        <f>IF((P30-P29)&lt;0,"0",(P30-P29))</f>
        <v>0</v>
      </c>
      <c r="R30" s="131">
        <f t="shared" si="33"/>
        <v>23678296</v>
      </c>
      <c r="S30" s="37">
        <f t="shared" si="9"/>
        <v>0</v>
      </c>
      <c r="T30" s="131"/>
      <c r="U30" s="135"/>
      <c r="V30" s="131">
        <f t="shared" si="34"/>
        <v>1703235</v>
      </c>
      <c r="W30" s="37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74668.844972799998</v>
      </c>
    </row>
    <row r="31" spans="1:27" ht="16.5" thickBot="1" x14ac:dyDescent="0.3">
      <c r="A31" s="9">
        <v>44955</v>
      </c>
      <c r="B31" s="37"/>
      <c r="C31" s="130">
        <f t="shared" si="26"/>
        <v>20472</v>
      </c>
      <c r="D31" s="37">
        <f t="shared" ref="D31" si="44">IF((C31-C30)&lt;0,"0",(C31-C30))*160</f>
        <v>0</v>
      </c>
      <c r="E31" s="131">
        <f t="shared" si="27"/>
        <v>35562998</v>
      </c>
      <c r="F31" s="37">
        <f t="shared" ref="F31" si="45">IF((E31-E30)&lt;0,"0",(E31-E30))</f>
        <v>0</v>
      </c>
      <c r="G31" s="132">
        <f t="shared" si="28"/>
        <v>11139430</v>
      </c>
      <c r="H31" s="37">
        <f t="shared" si="5"/>
        <v>0</v>
      </c>
      <c r="I31" s="133">
        <f t="shared" ref="I31:I33" si="46">F31+H31</f>
        <v>0</v>
      </c>
      <c r="J31" s="131">
        <f t="shared" si="29"/>
        <v>1201032</v>
      </c>
      <c r="K31" s="116">
        <f t="shared" si="14"/>
        <v>0</v>
      </c>
      <c r="L31" s="134">
        <f t="shared" si="30"/>
        <v>1508060</v>
      </c>
      <c r="M31" s="37">
        <f t="shared" ref="M31" si="47">IF((L31-L30)&lt;0,"0",(L31-L30))</f>
        <v>0</v>
      </c>
      <c r="N31" s="131">
        <f t="shared" si="31"/>
        <v>8148588</v>
      </c>
      <c r="O31" s="37">
        <f t="shared" ref="O31" si="48">(IF((N31-N30)&lt;0,"0",(N31-N30)))*2</f>
        <v>0</v>
      </c>
      <c r="P31" s="134">
        <f t="shared" si="32"/>
        <v>9063132</v>
      </c>
      <c r="Q31" s="37">
        <f t="shared" ref="Q31" si="49">IF((P31-P30)&lt;0,"0",(P31-P30))</f>
        <v>0</v>
      </c>
      <c r="R31" s="131">
        <f t="shared" si="33"/>
        <v>23678296</v>
      </c>
      <c r="S31" s="37">
        <f t="shared" ref="S31" si="50">IF((R31-R30)&lt;0,"0",(R31-R30))</f>
        <v>0</v>
      </c>
      <c r="T31" s="131"/>
      <c r="U31" s="135"/>
      <c r="V31" s="131">
        <f t="shared" si="34"/>
        <v>1703235</v>
      </c>
      <c r="W31" s="37">
        <f t="shared" ref="W31" si="51">IF((V31-V30)&lt;0,"0",(V31-V30))</f>
        <v>0</v>
      </c>
      <c r="X31" s="19">
        <f t="shared" ref="X31:X32" si="52">K31+M31+O31+Q31+S31+U31+W31</f>
        <v>0</v>
      </c>
      <c r="Y31" s="150">
        <f t="shared" ref="Y31:Y32" si="53">I31-X31</f>
        <v>0</v>
      </c>
      <c r="Z31" s="3">
        <f t="shared" ref="Z31:Z32" si="54">(0.93352*(W31+S31)+0.5568*(Q31+O31))*0.26</f>
        <v>0</v>
      </c>
      <c r="AA31" s="3">
        <f>SUM(Z1:Z31)</f>
        <v>74668.844972799998</v>
      </c>
    </row>
    <row r="32" spans="1:27" ht="16.5" thickBot="1" x14ac:dyDescent="0.3">
      <c r="A32" s="9">
        <v>44956</v>
      </c>
      <c r="B32" s="37"/>
      <c r="C32" s="130">
        <f t="shared" si="26"/>
        <v>20472</v>
      </c>
      <c r="D32" s="37">
        <f>IF((C32-C31)&lt;0,"0",(C32-C31))*160</f>
        <v>0</v>
      </c>
      <c r="E32" s="131">
        <f t="shared" si="27"/>
        <v>35562998</v>
      </c>
      <c r="F32" s="37">
        <f>IF((E32-E31)&lt;0,"0",(E32-E31))</f>
        <v>0</v>
      </c>
      <c r="G32" s="132">
        <f t="shared" si="28"/>
        <v>11139430</v>
      </c>
      <c r="H32" s="37">
        <f>IF((G32-G31)&lt;0,"0",(G32-G31))</f>
        <v>0</v>
      </c>
      <c r="I32" s="133">
        <f t="shared" si="46"/>
        <v>0</v>
      </c>
      <c r="J32" s="131">
        <f t="shared" si="29"/>
        <v>1201032</v>
      </c>
      <c r="K32" s="116">
        <f>(IF((J32-J31)&lt;0,"0",(J32-J31)))*2</f>
        <v>0</v>
      </c>
      <c r="L32" s="134">
        <f t="shared" si="30"/>
        <v>1508060</v>
      </c>
      <c r="M32" s="37">
        <f>IF((L32-L31)&lt;0,"0",(L32-L31))</f>
        <v>0</v>
      </c>
      <c r="N32" s="131">
        <f t="shared" si="31"/>
        <v>8148588</v>
      </c>
      <c r="O32" s="37">
        <f>(IF((N32-N31)&lt;0,"0",(N32-N31)))*2</f>
        <v>0</v>
      </c>
      <c r="P32" s="134">
        <f t="shared" si="32"/>
        <v>9063132</v>
      </c>
      <c r="Q32" s="37">
        <f>IF((P32-P31)&lt;0,"0",(P32-P31))</f>
        <v>0</v>
      </c>
      <c r="R32" s="131">
        <f t="shared" si="33"/>
        <v>23678296</v>
      </c>
      <c r="S32" s="37">
        <f>IF((R32-R31)&lt;0,"0",(R32-R31))</f>
        <v>0</v>
      </c>
      <c r="T32" s="131"/>
      <c r="U32" s="135"/>
      <c r="V32" s="131">
        <f t="shared" si="34"/>
        <v>1703235</v>
      </c>
      <c r="W32" s="37">
        <f>IF((V32-V31)&lt;0,"0",(V32-V31))</f>
        <v>0</v>
      </c>
      <c r="X32" s="19">
        <f t="shared" si="52"/>
        <v>0</v>
      </c>
      <c r="Y32" s="150">
        <f t="shared" si="53"/>
        <v>0</v>
      </c>
      <c r="Z32" s="3">
        <f t="shared" si="54"/>
        <v>0</v>
      </c>
      <c r="AA32" s="3">
        <f>SUM(Z1:Z32)</f>
        <v>74668.844972799998</v>
      </c>
    </row>
    <row r="33" spans="1:27" ht="16.5" thickBot="1" x14ac:dyDescent="0.3">
      <c r="A33" s="9">
        <v>44957</v>
      </c>
      <c r="B33" s="37"/>
      <c r="C33" s="130">
        <f t="shared" si="26"/>
        <v>20472</v>
      </c>
      <c r="D33" s="37">
        <f>IF((C33-C32)&lt;0,"0",(C33-C32))*160</f>
        <v>0</v>
      </c>
      <c r="E33" s="131">
        <f t="shared" si="27"/>
        <v>35562998</v>
      </c>
      <c r="F33" s="37">
        <f>IF((E33-E32)&lt;0,"0",(E33-E32))</f>
        <v>0</v>
      </c>
      <c r="G33" s="132">
        <f t="shared" si="28"/>
        <v>11139430</v>
      </c>
      <c r="H33" s="37">
        <f>IF((G33-G32)&lt;0,"0",(G33-G32))</f>
        <v>0</v>
      </c>
      <c r="I33" s="133">
        <f t="shared" si="46"/>
        <v>0</v>
      </c>
      <c r="J33" s="131">
        <f t="shared" si="29"/>
        <v>1201032</v>
      </c>
      <c r="K33" s="116">
        <f>(IF((J33-J32)&lt;0,"0",(J33-J32)))*2</f>
        <v>0</v>
      </c>
      <c r="L33" s="134">
        <f t="shared" si="30"/>
        <v>1508060</v>
      </c>
      <c r="M33" s="37">
        <f>IF((L33-L32)&lt;0,"0",(L33-L32))</f>
        <v>0</v>
      </c>
      <c r="N33" s="131">
        <f t="shared" si="31"/>
        <v>8148588</v>
      </c>
      <c r="O33" s="37">
        <f>(IF((N33-N32)&lt;0,"0",(N33-N32)))*2</f>
        <v>0</v>
      </c>
      <c r="P33" s="134">
        <f t="shared" si="32"/>
        <v>9063132</v>
      </c>
      <c r="Q33" s="37">
        <f>IF((P33-P32)&lt;0,"0",(P33-P32))</f>
        <v>0</v>
      </c>
      <c r="R33" s="131">
        <f t="shared" si="33"/>
        <v>23678296</v>
      </c>
      <c r="S33" s="37">
        <f>IF((R33-R32)&lt;0,"0",(R33-R32))</f>
        <v>0</v>
      </c>
      <c r="T33" s="131"/>
      <c r="U33" s="135"/>
      <c r="V33" s="131">
        <f t="shared" si="34"/>
        <v>1703235</v>
      </c>
      <c r="W33" s="37">
        <f>IF((V33-V32)&lt;0,"0",(V33-V32))</f>
        <v>0</v>
      </c>
      <c r="X33" s="19">
        <f t="shared" ref="X33" si="55">K33+M33+O33+Q33+S33+U33+W33</f>
        <v>0</v>
      </c>
      <c r="Y33" s="150">
        <f t="shared" ref="Y33" si="56">I33-X33</f>
        <v>0</v>
      </c>
      <c r="Z33" s="3">
        <f t="shared" ref="Z33" si="57">(0.93352*(W33+S33)+0.5568*(Q33+O33))*0.26</f>
        <v>0</v>
      </c>
      <c r="AA33" s="3">
        <f>SUM(Z2:Z33)</f>
        <v>74668.844972799998</v>
      </c>
    </row>
    <row r="34" spans="1:27" ht="16.5" thickBot="1" x14ac:dyDescent="0.3">
      <c r="A34" s="123" t="s">
        <v>23</v>
      </c>
      <c r="B34" s="123">
        <f>SUM(B3:B33)</f>
        <v>3081</v>
      </c>
      <c r="C34" s="123"/>
      <c r="D34" s="123">
        <f>SUM(D3:D33)</f>
        <v>4320</v>
      </c>
      <c r="E34" s="54"/>
      <c r="F34" s="123">
        <f>SUM(F3:F33)</f>
        <v>153043</v>
      </c>
      <c r="G34" s="54"/>
      <c r="H34" s="123">
        <f>SUM(H3:H33)</f>
        <v>460453</v>
      </c>
      <c r="I34" s="123">
        <f t="shared" ref="I34" si="58">F34+H34</f>
        <v>613496</v>
      </c>
      <c r="J34" s="54"/>
      <c r="K34" s="123">
        <f>SUM(K3:K33)</f>
        <v>127004</v>
      </c>
      <c r="L34" s="54"/>
      <c r="M34" s="123">
        <f>SUM(M3:M33)</f>
        <v>64059</v>
      </c>
      <c r="N34" s="54"/>
      <c r="O34" s="123">
        <f>SUM(O3:O33)</f>
        <v>86772</v>
      </c>
      <c r="P34" s="54"/>
      <c r="Q34" s="123">
        <f>SUM(Q3:Q33)</f>
        <v>28972</v>
      </c>
      <c r="R34" s="54"/>
      <c r="S34" s="123">
        <f>SUM(S3:S33)</f>
        <v>119638</v>
      </c>
      <c r="T34" s="54"/>
      <c r="U34" s="123">
        <f>SUM(U3:U33)</f>
        <v>0</v>
      </c>
      <c r="V34" s="54"/>
      <c r="W34" s="123">
        <f>SUM(W3:W33)</f>
        <v>118966</v>
      </c>
      <c r="X34" s="123">
        <f>SUM(X3:X33)</f>
        <v>545411</v>
      </c>
      <c r="Y34" s="123">
        <f>SUM(Y3:Y33)</f>
        <v>68085</v>
      </c>
      <c r="Z34" s="123">
        <f>SUM(Z3:Z33)</f>
        <v>74668.844972799998</v>
      </c>
      <c r="AA34" s="123">
        <f>SUM(AA2:AA33)</f>
        <v>1912261.1214512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8" priority="4" operator="lessThan">
      <formula>0</formula>
    </cfRule>
  </conditionalFormatting>
  <conditionalFormatting sqref="B2:AA2">
    <cfRule type="cellIs" dxfId="7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I14" sqref="I1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44926</v>
      </c>
      <c r="B2" s="3">
        <v>470512</v>
      </c>
      <c r="C2" s="37"/>
      <c r="D2" s="3">
        <v>17430</v>
      </c>
      <c r="E2" s="37"/>
      <c r="F2" s="3">
        <v>13340800</v>
      </c>
      <c r="G2" s="37"/>
      <c r="H2" s="3">
        <v>830316</v>
      </c>
      <c r="I2" s="42"/>
      <c r="J2" s="19">
        <f t="shared" ref="J2" si="0">C2+E2+G2+I2</f>
        <v>0</v>
      </c>
      <c r="K2" s="161">
        <f t="shared" ref="K2" si="1">J2*5.86</f>
        <v>0</v>
      </c>
    </row>
    <row r="3" spans="1:14" ht="16.5" thickBot="1" x14ac:dyDescent="0.3">
      <c r="A3" s="9">
        <v>44927</v>
      </c>
      <c r="B3" s="3">
        <v>470598</v>
      </c>
      <c r="C3" s="37">
        <f t="shared" ref="C3:E18" si="2">(IF((B3-B2)&lt;0,"0",(B3-B2)))*10</f>
        <v>860</v>
      </c>
      <c r="D3" s="3">
        <v>17473</v>
      </c>
      <c r="E3" s="37">
        <f t="shared" si="2"/>
        <v>430</v>
      </c>
      <c r="F3" s="3">
        <v>13357400</v>
      </c>
      <c r="G3" s="37">
        <f>(IF((F3-F2)&lt;0,"0",(F3-F2)))*0.027</f>
        <v>448.2</v>
      </c>
      <c r="H3" s="3">
        <v>830464</v>
      </c>
      <c r="I3" s="42">
        <f>(IF((H3-H2)&lt;0,"0",(H3-H2)))*0.027</f>
        <v>3.996</v>
      </c>
      <c r="J3" s="19">
        <f>C3+E3+G3+I3</f>
        <v>1742.1960000000001</v>
      </c>
      <c r="K3" s="161">
        <f>J3*5.86</f>
        <v>10209.268560000002</v>
      </c>
    </row>
    <row r="4" spans="1:14" ht="16.5" thickBot="1" x14ac:dyDescent="0.3">
      <c r="A4" s="9">
        <v>44928</v>
      </c>
      <c r="B4" s="3">
        <v>470664</v>
      </c>
      <c r="C4" s="37">
        <f t="shared" si="2"/>
        <v>660</v>
      </c>
      <c r="D4" s="3">
        <v>17502</v>
      </c>
      <c r="E4" s="37">
        <f t="shared" si="2"/>
        <v>290</v>
      </c>
      <c r="F4" s="3">
        <v>13368000</v>
      </c>
      <c r="G4" s="37">
        <f>(IF((F4-F3)&lt;0,"0",(F4-F3)))*0.027</f>
        <v>286.2</v>
      </c>
      <c r="H4" s="3">
        <v>830602</v>
      </c>
      <c r="I4" s="42">
        <f>(IF((H4-H3)&lt;0,"0",(H4-H3)))*0.027</f>
        <v>3.726</v>
      </c>
      <c r="J4" s="19">
        <f t="shared" ref="J4:J32" si="3">C4+E4+G4+I4</f>
        <v>1239.9260000000002</v>
      </c>
      <c r="K4" s="161">
        <f t="shared" ref="K4:K32" si="4">J4*5.86</f>
        <v>7265.9663600000013</v>
      </c>
    </row>
    <row r="5" spans="1:14" ht="16.5" thickBot="1" x14ac:dyDescent="0.3">
      <c r="A5" s="9">
        <v>44929</v>
      </c>
      <c r="B5" s="3">
        <v>470727</v>
      </c>
      <c r="C5" s="37">
        <f t="shared" si="2"/>
        <v>630</v>
      </c>
      <c r="D5" s="3">
        <v>17530</v>
      </c>
      <c r="E5" s="37">
        <f t="shared" si="2"/>
        <v>280</v>
      </c>
      <c r="F5" s="3">
        <v>13382700</v>
      </c>
      <c r="G5" s="37">
        <f t="shared" ref="G5:G32" si="5">(IF((F5-F4)&lt;0,"0",(F5-F4)))*0.027</f>
        <v>396.9</v>
      </c>
      <c r="H5" s="3">
        <v>830770</v>
      </c>
      <c r="I5" s="42">
        <f t="shared" ref="I5:I32" si="6">(IF((H5-H4)&lt;0,"0",(H5-H4)))*0.027</f>
        <v>4.5359999999999996</v>
      </c>
      <c r="J5" s="19">
        <f t="shared" si="3"/>
        <v>1311.4360000000001</v>
      </c>
      <c r="K5" s="161">
        <f t="shared" si="4"/>
        <v>7685.0149600000013</v>
      </c>
    </row>
    <row r="6" spans="1:14" ht="16.5" thickBot="1" x14ac:dyDescent="0.3">
      <c r="A6" s="9">
        <v>44930</v>
      </c>
      <c r="B6" s="3">
        <v>470836</v>
      </c>
      <c r="C6" s="37">
        <f t="shared" si="2"/>
        <v>1090</v>
      </c>
      <c r="D6" s="3">
        <v>17564</v>
      </c>
      <c r="E6" s="37">
        <f t="shared" si="2"/>
        <v>340</v>
      </c>
      <c r="F6" s="3">
        <v>13409000</v>
      </c>
      <c r="G6" s="37">
        <f t="shared" si="5"/>
        <v>710.1</v>
      </c>
      <c r="H6" s="3">
        <v>830978</v>
      </c>
      <c r="I6" s="42">
        <f t="shared" si="6"/>
        <v>5.6159999999999997</v>
      </c>
      <c r="J6" s="19">
        <f t="shared" si="3"/>
        <v>2145.7159999999999</v>
      </c>
      <c r="K6" s="161">
        <f t="shared" si="4"/>
        <v>12573.895759999999</v>
      </c>
    </row>
    <row r="7" spans="1:14" ht="16.5" thickBot="1" x14ac:dyDescent="0.3">
      <c r="A7" s="9">
        <v>44931</v>
      </c>
      <c r="B7" s="3">
        <v>470951</v>
      </c>
      <c r="C7" s="37">
        <f t="shared" si="2"/>
        <v>1150</v>
      </c>
      <c r="D7" s="3">
        <v>17595</v>
      </c>
      <c r="E7" s="37">
        <f t="shared" si="2"/>
        <v>310</v>
      </c>
      <c r="F7" s="3">
        <v>13424000</v>
      </c>
      <c r="G7" s="37">
        <f t="shared" si="5"/>
        <v>405</v>
      </c>
      <c r="H7" s="3">
        <v>831160</v>
      </c>
      <c r="I7" s="42">
        <f t="shared" si="6"/>
        <v>4.9139999999999997</v>
      </c>
      <c r="J7" s="19">
        <f t="shared" si="3"/>
        <v>1869.914</v>
      </c>
      <c r="K7" s="161">
        <f t="shared" si="4"/>
        <v>10957.696040000001</v>
      </c>
      <c r="L7" t="s">
        <v>12</v>
      </c>
      <c r="N7" t="s">
        <v>12</v>
      </c>
    </row>
    <row r="8" spans="1:14" ht="16.5" thickBot="1" x14ac:dyDescent="0.3">
      <c r="A8" s="9">
        <v>44932</v>
      </c>
      <c r="B8" s="3">
        <v>470983</v>
      </c>
      <c r="C8" s="37">
        <f t="shared" si="2"/>
        <v>320</v>
      </c>
      <c r="D8" s="3">
        <v>17621</v>
      </c>
      <c r="E8" s="37">
        <f t="shared" si="2"/>
        <v>260</v>
      </c>
      <c r="F8" s="3">
        <v>13436800</v>
      </c>
      <c r="G8" s="37">
        <f t="shared" si="5"/>
        <v>345.6</v>
      </c>
      <c r="H8" s="3">
        <v>831312</v>
      </c>
      <c r="I8" s="42">
        <f t="shared" si="6"/>
        <v>4.1040000000000001</v>
      </c>
      <c r="J8" s="19">
        <f t="shared" si="3"/>
        <v>929.70400000000006</v>
      </c>
      <c r="K8" s="161">
        <f t="shared" si="4"/>
        <v>5448.0654400000003</v>
      </c>
    </row>
    <row r="9" spans="1:14" ht="16.5" thickBot="1" x14ac:dyDescent="0.3">
      <c r="A9" s="9">
        <v>44933</v>
      </c>
      <c r="B9" s="3">
        <v>471047</v>
      </c>
      <c r="C9" s="37">
        <f t="shared" ref="C9:C32" si="7">(IF((B9-B8)&lt;0,"0",(B9-B8)))*10</f>
        <v>640</v>
      </c>
      <c r="D9" s="3">
        <v>17649</v>
      </c>
      <c r="E9" s="37">
        <f t="shared" si="2"/>
        <v>280</v>
      </c>
      <c r="F9" s="3">
        <v>13448300</v>
      </c>
      <c r="G9" s="37">
        <f t="shared" si="5"/>
        <v>310.5</v>
      </c>
      <c r="H9" s="3">
        <v>831484</v>
      </c>
      <c r="I9" s="42">
        <f t="shared" si="6"/>
        <v>4.6440000000000001</v>
      </c>
      <c r="J9" s="19">
        <f t="shared" si="3"/>
        <v>1235.144</v>
      </c>
      <c r="K9" s="161">
        <f t="shared" si="4"/>
        <v>7237.9438400000008</v>
      </c>
    </row>
    <row r="10" spans="1:14" ht="16.5" thickBot="1" x14ac:dyDescent="0.3">
      <c r="A10" s="9">
        <v>44934</v>
      </c>
      <c r="B10" s="3">
        <v>471111</v>
      </c>
      <c r="C10" s="37">
        <f>(IF((B10-B9)&lt;0,"0",(B10-B9)))*10</f>
        <v>640</v>
      </c>
      <c r="D10" s="3">
        <v>17679</v>
      </c>
      <c r="E10" s="37">
        <f t="shared" si="2"/>
        <v>300</v>
      </c>
      <c r="F10" s="3">
        <v>13461300</v>
      </c>
      <c r="G10" s="37">
        <f t="shared" si="5"/>
        <v>351</v>
      </c>
      <c r="H10" s="3">
        <v>831684</v>
      </c>
      <c r="I10" s="42">
        <f t="shared" si="6"/>
        <v>5.4</v>
      </c>
      <c r="J10" s="19">
        <f t="shared" si="3"/>
        <v>1296.4000000000001</v>
      </c>
      <c r="K10" s="161">
        <f t="shared" si="4"/>
        <v>7596.9040000000014</v>
      </c>
    </row>
    <row r="11" spans="1:14" ht="16.5" thickBot="1" x14ac:dyDescent="0.3">
      <c r="A11" s="9">
        <v>44935</v>
      </c>
      <c r="B11" s="3">
        <v>471175</v>
      </c>
      <c r="C11" s="37">
        <f t="shared" si="7"/>
        <v>640</v>
      </c>
      <c r="D11" s="3">
        <v>17708</v>
      </c>
      <c r="E11" s="37">
        <f t="shared" si="2"/>
        <v>290</v>
      </c>
      <c r="F11" s="3">
        <v>13471800</v>
      </c>
      <c r="G11" s="37">
        <f t="shared" si="5"/>
        <v>283.5</v>
      </c>
      <c r="H11" s="3">
        <v>831848</v>
      </c>
      <c r="I11" s="42">
        <f t="shared" si="6"/>
        <v>4.4279999999999999</v>
      </c>
      <c r="J11" s="19">
        <f t="shared" si="3"/>
        <v>1217.9280000000001</v>
      </c>
      <c r="K11" s="161">
        <f t="shared" si="4"/>
        <v>7137.0580800000007</v>
      </c>
      <c r="N11" t="s">
        <v>12</v>
      </c>
    </row>
    <row r="12" spans="1:14" ht="16.5" thickBot="1" x14ac:dyDescent="0.3">
      <c r="A12" s="9">
        <v>44936</v>
      </c>
      <c r="B12" s="3">
        <v>471283</v>
      </c>
      <c r="C12" s="37">
        <f t="shared" si="7"/>
        <v>1080</v>
      </c>
      <c r="D12" s="3">
        <v>17740</v>
      </c>
      <c r="E12" s="37">
        <f t="shared" si="2"/>
        <v>320</v>
      </c>
      <c r="F12" s="3">
        <v>13484200</v>
      </c>
      <c r="G12" s="37">
        <f t="shared" si="5"/>
        <v>334.8</v>
      </c>
      <c r="H12" s="3">
        <v>832010</v>
      </c>
      <c r="I12" s="42">
        <f t="shared" si="6"/>
        <v>4.3739999999999997</v>
      </c>
      <c r="J12" s="19">
        <f t="shared" si="3"/>
        <v>1739.174</v>
      </c>
      <c r="K12" s="161">
        <f t="shared" si="4"/>
        <v>10191.559640000001</v>
      </c>
    </row>
    <row r="13" spans="1:14" ht="16.5" thickBot="1" x14ac:dyDescent="0.3">
      <c r="A13" s="9">
        <v>44937</v>
      </c>
      <c r="B13" s="3">
        <v>471413</v>
      </c>
      <c r="C13" s="37">
        <f t="shared" si="7"/>
        <v>1300</v>
      </c>
      <c r="D13" s="3">
        <v>17782</v>
      </c>
      <c r="E13" s="37">
        <f t="shared" si="2"/>
        <v>420</v>
      </c>
      <c r="F13" s="3">
        <v>13495400</v>
      </c>
      <c r="G13" s="37">
        <f t="shared" si="5"/>
        <v>302.39999999999998</v>
      </c>
      <c r="H13" s="3">
        <v>832185</v>
      </c>
      <c r="I13" s="42">
        <f t="shared" si="6"/>
        <v>4.7249999999999996</v>
      </c>
      <c r="J13" s="19">
        <f t="shared" si="3"/>
        <v>2027.125</v>
      </c>
      <c r="K13" s="161">
        <f t="shared" si="4"/>
        <v>11878.952500000001</v>
      </c>
    </row>
    <row r="14" spans="1:14" ht="16.5" thickBot="1" x14ac:dyDescent="0.3">
      <c r="A14" s="9">
        <v>44938</v>
      </c>
      <c r="B14" s="3">
        <v>471518</v>
      </c>
      <c r="C14" s="37">
        <f t="shared" si="7"/>
        <v>1050</v>
      </c>
      <c r="D14" s="3">
        <v>17825</v>
      </c>
      <c r="E14" s="37">
        <f t="shared" si="2"/>
        <v>430</v>
      </c>
      <c r="F14" s="3">
        <v>13507800</v>
      </c>
      <c r="G14" s="37">
        <f t="shared" si="5"/>
        <v>334.8</v>
      </c>
      <c r="H14" s="3">
        <v>832355</v>
      </c>
      <c r="I14" s="42">
        <f t="shared" si="6"/>
        <v>4.59</v>
      </c>
      <c r="J14" s="19">
        <f t="shared" si="3"/>
        <v>1819.3899999999999</v>
      </c>
      <c r="K14" s="161">
        <f t="shared" si="4"/>
        <v>10661.625399999999</v>
      </c>
    </row>
    <row r="15" spans="1:14" ht="16.5" thickBot="1" x14ac:dyDescent="0.3">
      <c r="A15" s="9">
        <v>44939</v>
      </c>
      <c r="B15" s="3">
        <f t="shared" ref="B14:B33" si="8">B14</f>
        <v>471518</v>
      </c>
      <c r="C15" s="37">
        <f t="shared" si="7"/>
        <v>0</v>
      </c>
      <c r="D15" s="3">
        <f t="shared" ref="D14:D33" si="9">D14</f>
        <v>17825</v>
      </c>
      <c r="E15" s="37">
        <f t="shared" si="2"/>
        <v>0</v>
      </c>
      <c r="F15" s="3">
        <f t="shared" ref="F14:F33" si="10">F14</f>
        <v>13507800</v>
      </c>
      <c r="G15" s="37">
        <f t="shared" si="5"/>
        <v>0</v>
      </c>
      <c r="H15" s="3">
        <f t="shared" ref="H14:H33" si="11">H14</f>
        <v>832355</v>
      </c>
      <c r="I15" s="42">
        <f t="shared" si="6"/>
        <v>0</v>
      </c>
      <c r="J15" s="19">
        <f t="shared" si="3"/>
        <v>0</v>
      </c>
      <c r="K15" s="161">
        <f t="shared" si="4"/>
        <v>0</v>
      </c>
    </row>
    <row r="16" spans="1:14" ht="16.5" thickBot="1" x14ac:dyDescent="0.3">
      <c r="A16" s="9">
        <v>44940</v>
      </c>
      <c r="B16" s="3">
        <f t="shared" si="8"/>
        <v>471518</v>
      </c>
      <c r="C16" s="37">
        <f t="shared" si="7"/>
        <v>0</v>
      </c>
      <c r="D16" s="3">
        <f t="shared" si="9"/>
        <v>17825</v>
      </c>
      <c r="E16" s="37">
        <f t="shared" si="2"/>
        <v>0</v>
      </c>
      <c r="F16" s="3">
        <f t="shared" si="10"/>
        <v>13507800</v>
      </c>
      <c r="G16" s="37">
        <f t="shared" si="5"/>
        <v>0</v>
      </c>
      <c r="H16" s="3">
        <f t="shared" si="11"/>
        <v>832355</v>
      </c>
      <c r="I16" s="42">
        <f t="shared" si="6"/>
        <v>0</v>
      </c>
      <c r="J16" s="19">
        <f t="shared" si="3"/>
        <v>0</v>
      </c>
      <c r="K16" s="161">
        <f t="shared" si="4"/>
        <v>0</v>
      </c>
    </row>
    <row r="17" spans="1:25" ht="16.5" thickBot="1" x14ac:dyDescent="0.3">
      <c r="A17" s="9">
        <v>44941</v>
      </c>
      <c r="B17" s="3">
        <f t="shared" si="8"/>
        <v>471518</v>
      </c>
      <c r="C17" s="37">
        <f t="shared" si="7"/>
        <v>0</v>
      </c>
      <c r="D17" s="3">
        <f t="shared" si="9"/>
        <v>17825</v>
      </c>
      <c r="E17" s="37">
        <f t="shared" si="2"/>
        <v>0</v>
      </c>
      <c r="F17" s="3">
        <f t="shared" si="10"/>
        <v>13507800</v>
      </c>
      <c r="G17" s="37">
        <f t="shared" si="5"/>
        <v>0</v>
      </c>
      <c r="H17" s="3">
        <f t="shared" si="11"/>
        <v>832355</v>
      </c>
      <c r="I17" s="42">
        <f t="shared" si="6"/>
        <v>0</v>
      </c>
      <c r="J17" s="19">
        <f t="shared" si="3"/>
        <v>0</v>
      </c>
      <c r="K17" s="161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44942</v>
      </c>
      <c r="B18" s="3">
        <f t="shared" si="8"/>
        <v>471518</v>
      </c>
      <c r="C18" s="37">
        <f t="shared" si="7"/>
        <v>0</v>
      </c>
      <c r="D18" s="3">
        <f t="shared" si="9"/>
        <v>17825</v>
      </c>
      <c r="E18" s="37">
        <f t="shared" si="2"/>
        <v>0</v>
      </c>
      <c r="F18" s="3">
        <f t="shared" si="10"/>
        <v>13507800</v>
      </c>
      <c r="G18" s="37">
        <f t="shared" si="5"/>
        <v>0</v>
      </c>
      <c r="H18" s="3">
        <f t="shared" si="11"/>
        <v>832355</v>
      </c>
      <c r="I18" s="42">
        <f t="shared" si="6"/>
        <v>0</v>
      </c>
      <c r="J18" s="19">
        <f t="shared" si="3"/>
        <v>0</v>
      </c>
      <c r="K18" s="161">
        <f t="shared" si="4"/>
        <v>0</v>
      </c>
      <c r="Q18" t="s">
        <v>43</v>
      </c>
    </row>
    <row r="19" spans="1:25" ht="16.5" thickBot="1" x14ac:dyDescent="0.3">
      <c r="A19" s="9">
        <v>44943</v>
      </c>
      <c r="B19" s="3">
        <f t="shared" si="8"/>
        <v>471518</v>
      </c>
      <c r="C19" s="37">
        <f t="shared" si="7"/>
        <v>0</v>
      </c>
      <c r="D19" s="3">
        <f t="shared" si="9"/>
        <v>17825</v>
      </c>
      <c r="E19" s="37">
        <f t="shared" ref="E19:E32" si="12">(IF((D19-D18)&lt;0,"0",(D19-D18)))*10</f>
        <v>0</v>
      </c>
      <c r="F19" s="3">
        <f t="shared" si="10"/>
        <v>13507800</v>
      </c>
      <c r="G19" s="37">
        <f t="shared" si="5"/>
        <v>0</v>
      </c>
      <c r="H19" s="3">
        <f t="shared" si="11"/>
        <v>832355</v>
      </c>
      <c r="I19" s="42">
        <f t="shared" si="6"/>
        <v>0</v>
      </c>
      <c r="J19" s="19">
        <f t="shared" si="3"/>
        <v>0</v>
      </c>
      <c r="K19" s="161">
        <f t="shared" si="4"/>
        <v>0</v>
      </c>
      <c r="Q19" t="s">
        <v>12</v>
      </c>
    </row>
    <row r="20" spans="1:25" ht="16.5" thickBot="1" x14ac:dyDescent="0.3">
      <c r="A20" s="9">
        <v>44944</v>
      </c>
      <c r="B20" s="3">
        <f t="shared" si="8"/>
        <v>471518</v>
      </c>
      <c r="C20" s="37">
        <f t="shared" si="7"/>
        <v>0</v>
      </c>
      <c r="D20" s="3">
        <f t="shared" si="9"/>
        <v>17825</v>
      </c>
      <c r="E20" s="37">
        <f t="shared" si="12"/>
        <v>0</v>
      </c>
      <c r="F20" s="3">
        <f t="shared" si="10"/>
        <v>13507800</v>
      </c>
      <c r="G20" s="37">
        <f t="shared" si="5"/>
        <v>0</v>
      </c>
      <c r="H20" s="3">
        <f t="shared" si="11"/>
        <v>832355</v>
      </c>
      <c r="I20" s="42">
        <f t="shared" si="6"/>
        <v>0</v>
      </c>
      <c r="J20" s="19">
        <f t="shared" si="3"/>
        <v>0</v>
      </c>
      <c r="K20" s="161">
        <f t="shared" si="4"/>
        <v>0</v>
      </c>
    </row>
    <row r="21" spans="1:25" ht="16.5" thickBot="1" x14ac:dyDescent="0.3">
      <c r="A21" s="9">
        <v>44945</v>
      </c>
      <c r="B21" s="3">
        <f t="shared" si="8"/>
        <v>471518</v>
      </c>
      <c r="C21" s="37">
        <f t="shared" si="7"/>
        <v>0</v>
      </c>
      <c r="D21" s="3">
        <f t="shared" si="9"/>
        <v>17825</v>
      </c>
      <c r="E21" s="37">
        <f t="shared" si="12"/>
        <v>0</v>
      </c>
      <c r="F21" s="3">
        <f t="shared" si="10"/>
        <v>13507800</v>
      </c>
      <c r="G21" s="37">
        <f t="shared" si="5"/>
        <v>0</v>
      </c>
      <c r="H21" s="3">
        <f t="shared" si="11"/>
        <v>832355</v>
      </c>
      <c r="I21" s="42">
        <f t="shared" si="6"/>
        <v>0</v>
      </c>
      <c r="J21" s="19">
        <f t="shared" si="3"/>
        <v>0</v>
      </c>
      <c r="K21" s="161">
        <f t="shared" si="4"/>
        <v>0</v>
      </c>
    </row>
    <row r="22" spans="1:25" ht="16.5" thickBot="1" x14ac:dyDescent="0.3">
      <c r="A22" s="9">
        <v>44946</v>
      </c>
      <c r="B22" s="3">
        <f t="shared" si="8"/>
        <v>471518</v>
      </c>
      <c r="C22" s="37">
        <f t="shared" si="7"/>
        <v>0</v>
      </c>
      <c r="D22" s="3">
        <f t="shared" si="9"/>
        <v>17825</v>
      </c>
      <c r="E22" s="37">
        <f t="shared" si="12"/>
        <v>0</v>
      </c>
      <c r="F22" s="3">
        <f t="shared" si="10"/>
        <v>13507800</v>
      </c>
      <c r="G22" s="37">
        <f t="shared" si="5"/>
        <v>0</v>
      </c>
      <c r="H22" s="3">
        <f t="shared" si="11"/>
        <v>832355</v>
      </c>
      <c r="I22" s="42">
        <f t="shared" si="6"/>
        <v>0</v>
      </c>
      <c r="J22" s="19">
        <f t="shared" si="3"/>
        <v>0</v>
      </c>
      <c r="K22" s="161">
        <f t="shared" si="4"/>
        <v>0</v>
      </c>
      <c r="P22" t="s">
        <v>12</v>
      </c>
      <c r="S22" s="25" t="s">
        <v>12</v>
      </c>
    </row>
    <row r="23" spans="1:25" ht="16.5" thickBot="1" x14ac:dyDescent="0.3">
      <c r="A23" s="9">
        <v>44947</v>
      </c>
      <c r="B23" s="3">
        <f t="shared" si="8"/>
        <v>471518</v>
      </c>
      <c r="C23" s="37">
        <f t="shared" si="7"/>
        <v>0</v>
      </c>
      <c r="D23" s="3">
        <f t="shared" si="9"/>
        <v>17825</v>
      </c>
      <c r="E23" s="37">
        <f t="shared" si="12"/>
        <v>0</v>
      </c>
      <c r="F23" s="3">
        <f t="shared" si="10"/>
        <v>13507800</v>
      </c>
      <c r="G23" s="37">
        <f t="shared" si="5"/>
        <v>0</v>
      </c>
      <c r="H23" s="3">
        <f t="shared" si="11"/>
        <v>832355</v>
      </c>
      <c r="I23" s="42">
        <f t="shared" si="6"/>
        <v>0</v>
      </c>
      <c r="J23" s="19">
        <f t="shared" si="3"/>
        <v>0</v>
      </c>
      <c r="K23" s="161">
        <f t="shared" si="4"/>
        <v>0</v>
      </c>
      <c r="Q23" t="s">
        <v>12</v>
      </c>
    </row>
    <row r="24" spans="1:25" ht="16.5" thickBot="1" x14ac:dyDescent="0.3">
      <c r="A24" s="9">
        <v>44948</v>
      </c>
      <c r="B24" s="3">
        <f t="shared" si="8"/>
        <v>471518</v>
      </c>
      <c r="C24" s="37">
        <f t="shared" si="7"/>
        <v>0</v>
      </c>
      <c r="D24" s="3">
        <f t="shared" si="9"/>
        <v>17825</v>
      </c>
      <c r="E24" s="37">
        <f t="shared" si="12"/>
        <v>0</v>
      </c>
      <c r="F24" s="3">
        <f t="shared" si="10"/>
        <v>13507800</v>
      </c>
      <c r="G24" s="37">
        <f t="shared" si="5"/>
        <v>0</v>
      </c>
      <c r="H24" s="3">
        <f t="shared" si="11"/>
        <v>832355</v>
      </c>
      <c r="I24" s="42">
        <f t="shared" si="6"/>
        <v>0</v>
      </c>
      <c r="J24" s="19">
        <f t="shared" si="3"/>
        <v>0</v>
      </c>
      <c r="K24" s="161">
        <f t="shared" si="4"/>
        <v>0</v>
      </c>
      <c r="N24" s="151"/>
    </row>
    <row r="25" spans="1:25" ht="17.25" customHeight="1" thickBot="1" x14ac:dyDescent="0.4">
      <c r="A25" s="9">
        <v>44949</v>
      </c>
      <c r="B25" s="3">
        <f t="shared" si="8"/>
        <v>471518</v>
      </c>
      <c r="C25" s="37">
        <f t="shared" si="7"/>
        <v>0</v>
      </c>
      <c r="D25" s="3">
        <f t="shared" si="9"/>
        <v>17825</v>
      </c>
      <c r="E25" s="37">
        <f t="shared" si="12"/>
        <v>0</v>
      </c>
      <c r="F25" s="3">
        <f t="shared" si="10"/>
        <v>13507800</v>
      </c>
      <c r="G25" s="37">
        <f t="shared" si="5"/>
        <v>0</v>
      </c>
      <c r="H25" s="3">
        <f t="shared" si="11"/>
        <v>832355</v>
      </c>
      <c r="I25" s="42">
        <f t="shared" si="6"/>
        <v>0</v>
      </c>
      <c r="J25" s="19">
        <f t="shared" si="3"/>
        <v>0</v>
      </c>
      <c r="K25" s="161">
        <f t="shared" si="4"/>
        <v>0</v>
      </c>
      <c r="Y25" s="53"/>
    </row>
    <row r="26" spans="1:25" ht="16.5" thickBot="1" x14ac:dyDescent="0.3">
      <c r="A26" s="9">
        <v>44950</v>
      </c>
      <c r="B26" s="3">
        <f t="shared" si="8"/>
        <v>471518</v>
      </c>
      <c r="C26" s="37">
        <f t="shared" si="7"/>
        <v>0</v>
      </c>
      <c r="D26" s="3">
        <f t="shared" si="9"/>
        <v>17825</v>
      </c>
      <c r="E26" s="37">
        <f t="shared" si="12"/>
        <v>0</v>
      </c>
      <c r="F26" s="3">
        <f t="shared" si="10"/>
        <v>13507800</v>
      </c>
      <c r="G26" s="37">
        <f t="shared" si="5"/>
        <v>0</v>
      </c>
      <c r="H26" s="3">
        <f t="shared" si="11"/>
        <v>832355</v>
      </c>
      <c r="I26" s="42">
        <f t="shared" si="6"/>
        <v>0</v>
      </c>
      <c r="J26" s="19">
        <f t="shared" si="3"/>
        <v>0</v>
      </c>
      <c r="K26" s="161">
        <f t="shared" si="4"/>
        <v>0</v>
      </c>
      <c r="L26" t="s">
        <v>12</v>
      </c>
    </row>
    <row r="27" spans="1:25" ht="16.5" thickBot="1" x14ac:dyDescent="0.3">
      <c r="A27" s="9">
        <v>44951</v>
      </c>
      <c r="B27" s="3">
        <f t="shared" si="8"/>
        <v>471518</v>
      </c>
      <c r="C27" s="37">
        <f t="shared" si="7"/>
        <v>0</v>
      </c>
      <c r="D27" s="3">
        <f t="shared" si="9"/>
        <v>17825</v>
      </c>
      <c r="E27" s="37">
        <f t="shared" si="12"/>
        <v>0</v>
      </c>
      <c r="F27" s="3">
        <f t="shared" si="10"/>
        <v>13507800</v>
      </c>
      <c r="G27" s="37">
        <f t="shared" si="5"/>
        <v>0</v>
      </c>
      <c r="H27" s="3">
        <f t="shared" si="11"/>
        <v>832355</v>
      </c>
      <c r="I27" s="42">
        <f t="shared" si="6"/>
        <v>0</v>
      </c>
      <c r="J27" s="19">
        <f t="shared" si="3"/>
        <v>0</v>
      </c>
      <c r="K27" s="161">
        <f t="shared" si="4"/>
        <v>0</v>
      </c>
      <c r="N27" s="33"/>
      <c r="O27" t="s">
        <v>12</v>
      </c>
    </row>
    <row r="28" spans="1:25" ht="16.5" thickBot="1" x14ac:dyDescent="0.3">
      <c r="A28" s="9">
        <v>44952</v>
      </c>
      <c r="B28" s="3">
        <f t="shared" si="8"/>
        <v>471518</v>
      </c>
      <c r="C28" s="37">
        <f t="shared" si="7"/>
        <v>0</v>
      </c>
      <c r="D28" s="3">
        <f t="shared" si="9"/>
        <v>17825</v>
      </c>
      <c r="E28" s="37">
        <f t="shared" si="12"/>
        <v>0</v>
      </c>
      <c r="F28" s="3">
        <f t="shared" si="10"/>
        <v>13507800</v>
      </c>
      <c r="G28" s="37">
        <f t="shared" si="5"/>
        <v>0</v>
      </c>
      <c r="H28" s="3">
        <f t="shared" si="11"/>
        <v>832355</v>
      </c>
      <c r="I28" s="42">
        <f t="shared" si="6"/>
        <v>0</v>
      </c>
      <c r="J28" s="19">
        <f t="shared" si="3"/>
        <v>0</v>
      </c>
      <c r="K28" s="161">
        <f t="shared" si="4"/>
        <v>0</v>
      </c>
    </row>
    <row r="29" spans="1:25" ht="16.5" thickBot="1" x14ac:dyDescent="0.3">
      <c r="A29" s="9">
        <v>44953</v>
      </c>
      <c r="B29" s="3">
        <f t="shared" si="8"/>
        <v>471518</v>
      </c>
      <c r="C29" s="37">
        <f t="shared" si="7"/>
        <v>0</v>
      </c>
      <c r="D29" s="3">
        <f t="shared" si="9"/>
        <v>17825</v>
      </c>
      <c r="E29" s="37">
        <f t="shared" si="12"/>
        <v>0</v>
      </c>
      <c r="F29" s="3">
        <f t="shared" si="10"/>
        <v>13507800</v>
      </c>
      <c r="G29" s="37">
        <f t="shared" si="5"/>
        <v>0</v>
      </c>
      <c r="H29" s="3">
        <f t="shared" si="11"/>
        <v>832355</v>
      </c>
      <c r="I29" s="42">
        <f t="shared" si="6"/>
        <v>0</v>
      </c>
      <c r="J29" s="19">
        <f t="shared" si="3"/>
        <v>0</v>
      </c>
      <c r="K29" s="161">
        <f t="shared" si="4"/>
        <v>0</v>
      </c>
    </row>
    <row r="30" spans="1:25" ht="16.5" thickBot="1" x14ac:dyDescent="0.3">
      <c r="A30" s="9">
        <v>44954</v>
      </c>
      <c r="B30" s="3">
        <f t="shared" si="8"/>
        <v>471518</v>
      </c>
      <c r="C30" s="37">
        <f t="shared" si="7"/>
        <v>0</v>
      </c>
      <c r="D30" s="3">
        <f t="shared" si="9"/>
        <v>17825</v>
      </c>
      <c r="E30" s="37">
        <f t="shared" si="12"/>
        <v>0</v>
      </c>
      <c r="F30" s="3">
        <f t="shared" si="10"/>
        <v>13507800</v>
      </c>
      <c r="G30" s="37">
        <f t="shared" si="5"/>
        <v>0</v>
      </c>
      <c r="H30" s="3">
        <f t="shared" si="11"/>
        <v>832355</v>
      </c>
      <c r="I30" s="42">
        <f t="shared" si="6"/>
        <v>0</v>
      </c>
      <c r="J30" s="19">
        <f t="shared" si="3"/>
        <v>0</v>
      </c>
      <c r="K30" s="161">
        <f t="shared" si="4"/>
        <v>0</v>
      </c>
    </row>
    <row r="31" spans="1:25" ht="16.5" thickBot="1" x14ac:dyDescent="0.3">
      <c r="A31" s="9">
        <v>44955</v>
      </c>
      <c r="B31" s="3">
        <f t="shared" si="8"/>
        <v>471518</v>
      </c>
      <c r="C31" s="37">
        <f t="shared" si="7"/>
        <v>0</v>
      </c>
      <c r="D31" s="3">
        <f t="shared" si="9"/>
        <v>17825</v>
      </c>
      <c r="E31" s="37">
        <f t="shared" si="12"/>
        <v>0</v>
      </c>
      <c r="F31" s="3">
        <f t="shared" si="10"/>
        <v>13507800</v>
      </c>
      <c r="G31" s="37">
        <f t="shared" si="5"/>
        <v>0</v>
      </c>
      <c r="H31" s="3">
        <f t="shared" si="11"/>
        <v>832355</v>
      </c>
      <c r="I31" s="42">
        <f t="shared" si="6"/>
        <v>0</v>
      </c>
      <c r="J31" s="19">
        <f t="shared" si="3"/>
        <v>0</v>
      </c>
      <c r="K31" s="161">
        <f t="shared" si="4"/>
        <v>0</v>
      </c>
    </row>
    <row r="32" spans="1:25" ht="16.5" thickBot="1" x14ac:dyDescent="0.3">
      <c r="A32" s="9">
        <v>44956</v>
      </c>
      <c r="B32" s="3">
        <f t="shared" si="8"/>
        <v>471518</v>
      </c>
      <c r="C32" s="37">
        <f t="shared" si="7"/>
        <v>0</v>
      </c>
      <c r="D32" s="3">
        <f t="shared" si="9"/>
        <v>17825</v>
      </c>
      <c r="E32" s="37">
        <f t="shared" si="12"/>
        <v>0</v>
      </c>
      <c r="F32" s="3">
        <f t="shared" si="10"/>
        <v>13507800</v>
      </c>
      <c r="G32" s="37">
        <f t="shared" si="5"/>
        <v>0</v>
      </c>
      <c r="H32" s="3">
        <f t="shared" si="11"/>
        <v>832355</v>
      </c>
      <c r="I32" s="42">
        <f t="shared" si="6"/>
        <v>0</v>
      </c>
      <c r="J32" s="19">
        <f t="shared" si="3"/>
        <v>0</v>
      </c>
      <c r="K32" s="161">
        <f t="shared" si="4"/>
        <v>0</v>
      </c>
    </row>
    <row r="33" spans="1:11" ht="16.5" thickBot="1" x14ac:dyDescent="0.3">
      <c r="A33" s="9">
        <v>44957</v>
      </c>
      <c r="B33" s="3">
        <f t="shared" si="8"/>
        <v>471518</v>
      </c>
      <c r="C33" s="37">
        <f t="shared" ref="C33" si="13">(IF((B33-B32)&lt;0,"0",(B33-B32)))*10</f>
        <v>0</v>
      </c>
      <c r="D33" s="3">
        <f t="shared" si="9"/>
        <v>17825</v>
      </c>
      <c r="E33" s="37">
        <f t="shared" ref="E33" si="14">(IF((D33-D32)&lt;0,"0",(D33-D32)))*10</f>
        <v>0</v>
      </c>
      <c r="F33" s="3">
        <f t="shared" si="10"/>
        <v>13507800</v>
      </c>
      <c r="G33" s="37">
        <f t="shared" ref="G33" si="15">(IF((F33-F32)&lt;0,"0",(F33-F32)))*0.027</f>
        <v>0</v>
      </c>
      <c r="H33" s="3">
        <f t="shared" si="11"/>
        <v>832355</v>
      </c>
      <c r="I33" s="42">
        <f t="shared" ref="I33" si="16">(IF((H33-H32)&lt;0,"0",(H33-H32)))*0.027</f>
        <v>0</v>
      </c>
      <c r="J33" s="19">
        <f t="shared" ref="J33" si="17">C33+E33+G33+I33</f>
        <v>0</v>
      </c>
      <c r="K33" s="161">
        <f t="shared" ref="K33" si="18">J33*5.86</f>
        <v>0</v>
      </c>
    </row>
    <row r="34" spans="1:11" ht="16.5" thickBot="1" x14ac:dyDescent="0.3">
      <c r="A34" s="54" t="s">
        <v>23</v>
      </c>
      <c r="B34" s="54"/>
      <c r="C34" s="54">
        <f>SUM(C3:C33)</f>
        <v>10060</v>
      </c>
      <c r="D34" s="54"/>
      <c r="E34" s="54">
        <f t="shared" ref="E34:K34" si="19">SUM(E3:E33)</f>
        <v>3950</v>
      </c>
      <c r="F34" s="54"/>
      <c r="G34" s="54">
        <f t="shared" si="19"/>
        <v>4509</v>
      </c>
      <c r="H34" s="54"/>
      <c r="I34" s="54">
        <f t="shared" si="19"/>
        <v>55.052999999999997</v>
      </c>
      <c r="J34" s="54">
        <f t="shared" si="19"/>
        <v>18574.053</v>
      </c>
      <c r="K34" s="54">
        <f t="shared" si="19"/>
        <v>108843.95058000002</v>
      </c>
    </row>
  </sheetData>
  <phoneticPr fontId="0" type="noConversion"/>
  <conditionalFormatting sqref="B3:K34">
    <cfRule type="cellIs" dxfId="6" priority="2" operator="lessThan">
      <formula>0</formula>
    </cfRule>
  </conditionalFormatting>
  <conditionalFormatting sqref="B2:K2">
    <cfRule type="cellIs" dxfId="5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B15" sqref="B1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44926</v>
      </c>
      <c r="B2" s="119">
        <v>18659408</v>
      </c>
      <c r="C2" s="43"/>
    </row>
    <row r="3" spans="1:9" ht="24" thickBot="1" x14ac:dyDescent="0.4">
      <c r="A3" s="9">
        <v>44927</v>
      </c>
      <c r="B3" s="119">
        <v>18660701</v>
      </c>
      <c r="C3" s="43">
        <f t="shared" ref="C3:C31" si="0">IF((B3-B2)&lt;0,"0",(B3-B2))</f>
        <v>1293</v>
      </c>
    </row>
    <row r="4" spans="1:9" ht="24" thickBot="1" x14ac:dyDescent="0.4">
      <c r="A4" s="9">
        <v>44928</v>
      </c>
      <c r="B4" s="119">
        <v>18662100</v>
      </c>
      <c r="C4" s="43">
        <f t="shared" si="0"/>
        <v>1399</v>
      </c>
    </row>
    <row r="5" spans="1:9" ht="24" thickBot="1" x14ac:dyDescent="0.4">
      <c r="A5" s="9">
        <v>44929</v>
      </c>
      <c r="B5" s="119">
        <v>18663507</v>
      </c>
      <c r="C5" s="43">
        <f>IF((B5-B4)&lt;0,"0",(B5-B4))</f>
        <v>1407</v>
      </c>
    </row>
    <row r="6" spans="1:9" ht="24" thickBot="1" x14ac:dyDescent="0.4">
      <c r="A6" s="9">
        <v>44930</v>
      </c>
      <c r="B6" s="119">
        <v>18664828</v>
      </c>
      <c r="C6" s="43">
        <f>IF((B6-B5)&lt;0,"0",(B6-B5))</f>
        <v>1321</v>
      </c>
      <c r="F6" s="33"/>
    </row>
    <row r="7" spans="1:9" ht="24" thickBot="1" x14ac:dyDescent="0.4">
      <c r="A7" s="9">
        <v>44931</v>
      </c>
      <c r="B7" s="119">
        <v>18666381</v>
      </c>
      <c r="C7" s="43">
        <f t="shared" si="0"/>
        <v>1553</v>
      </c>
    </row>
    <row r="8" spans="1:9" ht="24" thickBot="1" x14ac:dyDescent="0.4">
      <c r="A8" s="9">
        <v>44932</v>
      </c>
      <c r="B8" s="119">
        <v>18667874</v>
      </c>
      <c r="C8" s="43">
        <f t="shared" si="0"/>
        <v>1493</v>
      </c>
    </row>
    <row r="9" spans="1:9" ht="24" thickBot="1" x14ac:dyDescent="0.4">
      <c r="A9" s="9">
        <v>44933</v>
      </c>
      <c r="B9" s="119">
        <v>18669663</v>
      </c>
      <c r="C9" s="43">
        <f t="shared" si="0"/>
        <v>1789</v>
      </c>
    </row>
    <row r="10" spans="1:9" ht="24" thickBot="1" x14ac:dyDescent="0.4">
      <c r="A10" s="9">
        <v>44934</v>
      </c>
      <c r="B10" s="119">
        <v>18671383</v>
      </c>
      <c r="C10" s="43">
        <f t="shared" si="0"/>
        <v>1720</v>
      </c>
    </row>
    <row r="11" spans="1:9" ht="24" thickBot="1" x14ac:dyDescent="0.4">
      <c r="A11" s="9">
        <v>44935</v>
      </c>
      <c r="B11" s="119">
        <v>18673115</v>
      </c>
      <c r="C11" s="43">
        <f t="shared" si="0"/>
        <v>1732</v>
      </c>
    </row>
    <row r="12" spans="1:9" ht="24" thickBot="1" x14ac:dyDescent="0.4">
      <c r="A12" s="9">
        <v>44936</v>
      </c>
      <c r="B12" s="119">
        <v>18675045</v>
      </c>
      <c r="C12" s="43">
        <f t="shared" si="0"/>
        <v>1930</v>
      </c>
    </row>
    <row r="13" spans="1:9" ht="24" thickBot="1" x14ac:dyDescent="0.4">
      <c r="A13" s="9">
        <v>44937</v>
      </c>
      <c r="B13" s="119">
        <v>18676902</v>
      </c>
      <c r="C13" s="43">
        <f t="shared" si="0"/>
        <v>1857</v>
      </c>
    </row>
    <row r="14" spans="1:9" ht="24" thickBot="1" x14ac:dyDescent="0.4">
      <c r="A14" s="9">
        <v>44938</v>
      </c>
      <c r="B14" s="119">
        <v>18679038</v>
      </c>
      <c r="C14" s="43">
        <f t="shared" si="0"/>
        <v>2136</v>
      </c>
      <c r="I14" s="33"/>
    </row>
    <row r="15" spans="1:9" ht="24" thickBot="1" x14ac:dyDescent="0.4">
      <c r="A15" s="9">
        <v>44939</v>
      </c>
      <c r="B15" s="119">
        <f t="shared" ref="B14:B33" si="1">B14</f>
        <v>18679038</v>
      </c>
      <c r="C15" s="43">
        <f t="shared" si="0"/>
        <v>0</v>
      </c>
      <c r="I15" t="s">
        <v>12</v>
      </c>
    </row>
    <row r="16" spans="1:9" ht="26.25" customHeight="1" thickBot="1" x14ac:dyDescent="0.4">
      <c r="A16" s="9">
        <v>44940</v>
      </c>
      <c r="B16" s="119">
        <f t="shared" si="1"/>
        <v>18679038</v>
      </c>
      <c r="C16" s="43">
        <f t="shared" si="0"/>
        <v>0</v>
      </c>
      <c r="F16" s="139"/>
    </row>
    <row r="17" spans="1:9" ht="25.5" customHeight="1" thickBot="1" x14ac:dyDescent="0.4">
      <c r="A17" s="9">
        <v>44941</v>
      </c>
      <c r="B17" s="119">
        <f t="shared" si="1"/>
        <v>18679038</v>
      </c>
      <c r="C17" s="43">
        <f t="shared" si="0"/>
        <v>0</v>
      </c>
    </row>
    <row r="18" spans="1:9" ht="24" thickBot="1" x14ac:dyDescent="0.4">
      <c r="A18" s="9">
        <v>44942</v>
      </c>
      <c r="B18" s="119">
        <f t="shared" si="1"/>
        <v>18679038</v>
      </c>
      <c r="C18" s="43">
        <f t="shared" si="0"/>
        <v>0</v>
      </c>
      <c r="I18" s="33"/>
    </row>
    <row r="19" spans="1:9" ht="24" thickBot="1" x14ac:dyDescent="0.4">
      <c r="A19" s="9">
        <v>44943</v>
      </c>
      <c r="B19" s="119">
        <f t="shared" si="1"/>
        <v>18679038</v>
      </c>
      <c r="C19" s="43">
        <f t="shared" si="0"/>
        <v>0</v>
      </c>
    </row>
    <row r="20" spans="1:9" ht="24" thickBot="1" x14ac:dyDescent="0.4">
      <c r="A20" s="9">
        <v>44944</v>
      </c>
      <c r="B20" s="119">
        <f t="shared" si="1"/>
        <v>18679038</v>
      </c>
      <c r="C20" s="43">
        <f t="shared" si="0"/>
        <v>0</v>
      </c>
      <c r="I20" s="33"/>
    </row>
    <row r="21" spans="1:9" ht="24" thickBot="1" x14ac:dyDescent="0.4">
      <c r="A21" s="9">
        <v>44945</v>
      </c>
      <c r="B21" s="119">
        <f t="shared" si="1"/>
        <v>18679038</v>
      </c>
      <c r="C21" s="43">
        <f t="shared" si="0"/>
        <v>0</v>
      </c>
    </row>
    <row r="22" spans="1:9" ht="24" thickBot="1" x14ac:dyDescent="0.4">
      <c r="A22" s="9">
        <v>44946</v>
      </c>
      <c r="B22" s="119">
        <f t="shared" si="1"/>
        <v>18679038</v>
      </c>
      <c r="C22" s="43">
        <f t="shared" si="0"/>
        <v>0</v>
      </c>
    </row>
    <row r="23" spans="1:9" ht="24" thickBot="1" x14ac:dyDescent="0.4">
      <c r="A23" s="9">
        <v>44947</v>
      </c>
      <c r="B23" s="119">
        <f t="shared" si="1"/>
        <v>18679038</v>
      </c>
      <c r="C23" s="43">
        <f t="shared" si="0"/>
        <v>0</v>
      </c>
      <c r="F23" t="s">
        <v>12</v>
      </c>
    </row>
    <row r="24" spans="1:9" ht="24" thickBot="1" x14ac:dyDescent="0.4">
      <c r="A24" s="9">
        <v>44948</v>
      </c>
      <c r="B24" s="119">
        <f t="shared" si="1"/>
        <v>18679038</v>
      </c>
      <c r="C24" s="43">
        <f t="shared" si="0"/>
        <v>0</v>
      </c>
      <c r="E24" t="s">
        <v>12</v>
      </c>
    </row>
    <row r="25" spans="1:9" ht="24" thickBot="1" x14ac:dyDescent="0.4">
      <c r="A25" s="9">
        <v>44949</v>
      </c>
      <c r="B25" s="119">
        <f t="shared" si="1"/>
        <v>18679038</v>
      </c>
      <c r="C25" s="43">
        <f t="shared" si="0"/>
        <v>0</v>
      </c>
    </row>
    <row r="26" spans="1:9" ht="24" thickBot="1" x14ac:dyDescent="0.4">
      <c r="A26" s="9">
        <v>44950</v>
      </c>
      <c r="B26" s="119">
        <f t="shared" si="1"/>
        <v>18679038</v>
      </c>
      <c r="C26" s="43">
        <f t="shared" si="0"/>
        <v>0</v>
      </c>
    </row>
    <row r="27" spans="1:9" ht="24" thickBot="1" x14ac:dyDescent="0.4">
      <c r="A27" s="9">
        <v>44951</v>
      </c>
      <c r="B27" s="119">
        <f t="shared" si="1"/>
        <v>18679038</v>
      </c>
      <c r="C27" s="43">
        <f t="shared" si="0"/>
        <v>0</v>
      </c>
    </row>
    <row r="28" spans="1:9" ht="24" thickBot="1" x14ac:dyDescent="0.4">
      <c r="A28" s="9">
        <v>44952</v>
      </c>
      <c r="B28" s="119">
        <f t="shared" si="1"/>
        <v>18679038</v>
      </c>
      <c r="C28" s="43">
        <f t="shared" si="0"/>
        <v>0</v>
      </c>
      <c r="I28" t="s">
        <v>12</v>
      </c>
    </row>
    <row r="29" spans="1:9" ht="24" thickBot="1" x14ac:dyDescent="0.4">
      <c r="A29" s="9">
        <v>44953</v>
      </c>
      <c r="B29" s="119">
        <f t="shared" si="1"/>
        <v>18679038</v>
      </c>
      <c r="C29" s="43">
        <f t="shared" si="0"/>
        <v>0</v>
      </c>
    </row>
    <row r="30" spans="1:9" ht="24" thickBot="1" x14ac:dyDescent="0.4">
      <c r="A30" s="9">
        <v>44954</v>
      </c>
      <c r="B30" s="119">
        <f t="shared" si="1"/>
        <v>18679038</v>
      </c>
      <c r="C30" s="43">
        <f t="shared" si="0"/>
        <v>0</v>
      </c>
    </row>
    <row r="31" spans="1:9" ht="24" thickBot="1" x14ac:dyDescent="0.4">
      <c r="A31" s="9">
        <v>44955</v>
      </c>
      <c r="B31" s="119">
        <f t="shared" si="1"/>
        <v>18679038</v>
      </c>
      <c r="C31" s="43">
        <f t="shared" si="0"/>
        <v>0</v>
      </c>
    </row>
    <row r="32" spans="1:9" ht="24" thickBot="1" x14ac:dyDescent="0.4">
      <c r="A32" s="9">
        <v>44956</v>
      </c>
      <c r="B32" s="119">
        <f t="shared" si="1"/>
        <v>18679038</v>
      </c>
      <c r="C32" s="43">
        <f>IF((B32-B31)&lt;0,"0",(B32-B31))</f>
        <v>0</v>
      </c>
    </row>
    <row r="33" spans="1:3" ht="24" thickBot="1" x14ac:dyDescent="0.4">
      <c r="A33" s="9">
        <v>44957</v>
      </c>
      <c r="B33" s="119">
        <f t="shared" si="1"/>
        <v>18679038</v>
      </c>
      <c r="C33" s="43">
        <f>IF((B33-B32)&lt;0,"0",(B33-B32))</f>
        <v>0</v>
      </c>
    </row>
    <row r="34" spans="1:3" ht="24" thickBot="1" x14ac:dyDescent="0.4">
      <c r="A34" s="121" t="s">
        <v>136</v>
      </c>
      <c r="B34" s="121"/>
      <c r="C34" s="121">
        <f>SUM(C4:C33)</f>
        <v>18337</v>
      </c>
    </row>
  </sheetData>
  <phoneticPr fontId="0" type="noConversion"/>
  <conditionalFormatting sqref="B3:C3 B34:C34 C6:C33 C4 B3:B33">
    <cfRule type="cellIs" dxfId="4" priority="3" operator="lessThan">
      <formula>0</formula>
    </cfRule>
  </conditionalFormatting>
  <conditionalFormatting sqref="C5">
    <cfRule type="cellIs" dxfId="3" priority="2" operator="lessThan">
      <formula>0</formula>
    </cfRule>
  </conditionalFormatting>
  <conditionalFormatting sqref="B2:C2">
    <cfRule type="cellIs" dxfId="2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zoomScaleNormal="100" workbookViewId="0">
      <pane ySplit="1" topLeftCell="A2" activePane="bottomLeft" state="frozen"/>
      <selection pane="bottomLeft" activeCell="AF15" sqref="AF15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2" t="s">
        <v>138</v>
      </c>
      <c r="X1" s="163"/>
      <c r="Y1" s="163"/>
      <c r="Z1" s="163"/>
      <c r="AA1" s="164"/>
      <c r="AB1" s="165" t="s">
        <v>140</v>
      </c>
      <c r="AC1" s="163"/>
      <c r="AD1" s="165" t="s">
        <v>141</v>
      </c>
      <c r="AE1" s="163"/>
      <c r="AF1" s="162" t="s">
        <v>142</v>
      </c>
      <c r="AG1" s="163"/>
    </row>
    <row r="2" spans="1:33" ht="16.5" thickBot="1" x14ac:dyDescent="0.25">
      <c r="A2" s="9">
        <v>44926</v>
      </c>
      <c r="B2" s="143">
        <v>25612.67</v>
      </c>
      <c r="C2" s="42"/>
      <c r="D2" s="27">
        <f t="shared" ref="D2" si="0">C2*1.9*1000</f>
        <v>0</v>
      </c>
      <c r="E2" s="1">
        <v>4710.0609999999997</v>
      </c>
      <c r="F2" s="42"/>
      <c r="G2" s="27">
        <f t="shared" ref="G2" si="1">F2*1.9*1000</f>
        <v>0</v>
      </c>
      <c r="H2" s="1">
        <v>6660</v>
      </c>
      <c r="I2" s="42"/>
      <c r="J2" s="27">
        <f t="shared" ref="J2" si="2">I2*1.9*1000</f>
        <v>0</v>
      </c>
      <c r="K2" s="7">
        <v>14354.02</v>
      </c>
      <c r="L2" s="42"/>
      <c r="M2" s="27">
        <f t="shared" ref="M2" si="3">L2*1.9*1000</f>
        <v>0</v>
      </c>
      <c r="N2" s="7">
        <v>3994.02</v>
      </c>
      <c r="O2" s="42"/>
      <c r="P2" s="27">
        <f t="shared" ref="P2" si="4">O2*1.9*1000</f>
        <v>0</v>
      </c>
      <c r="Q2" s="7">
        <v>5673.1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/>
      <c r="W2" s="160">
        <v>44926</v>
      </c>
      <c r="X2" s="141">
        <v>226117</v>
      </c>
      <c r="Y2" s="146">
        <v>0</v>
      </c>
      <c r="Z2" s="141">
        <v>10390</v>
      </c>
      <c r="AA2" s="146">
        <v>0</v>
      </c>
      <c r="AB2" s="141">
        <v>63</v>
      </c>
      <c r="AC2" s="146"/>
      <c r="AD2" s="141">
        <v>868</v>
      </c>
      <c r="AE2" s="146"/>
      <c r="AF2" s="141">
        <v>10143</v>
      </c>
      <c r="AG2" s="146"/>
    </row>
    <row r="3" spans="1:33" ht="16.5" thickBot="1" x14ac:dyDescent="0.25">
      <c r="A3" s="9">
        <v>44927</v>
      </c>
      <c r="B3" s="143">
        <v>25615.903999999999</v>
      </c>
      <c r="C3" s="42">
        <f t="shared" ref="C3" si="7">IF((B3-B2)&lt;0,"0",(B3-B2))</f>
        <v>3.2340000000003783</v>
      </c>
      <c r="D3" s="27">
        <f t="shared" ref="D3" si="8">C3*1.9*1000</f>
        <v>6144.600000000718</v>
      </c>
      <c r="E3" s="1">
        <v>4710.7449999999999</v>
      </c>
      <c r="F3" s="42">
        <f t="shared" ref="F3" si="9">IF((E3-E2)&lt;0,"0",(E3-E2))</f>
        <v>0.68400000000019645</v>
      </c>
      <c r="G3" s="27">
        <f t="shared" ref="G3" si="10">F3*1.9*1000</f>
        <v>1299.600000000373</v>
      </c>
      <c r="H3" s="1">
        <v>6663</v>
      </c>
      <c r="I3" s="42">
        <f t="shared" ref="I3" si="11">IF((H3-H2)&lt;0,"0",(H3-H2))</f>
        <v>3</v>
      </c>
      <c r="J3" s="27">
        <f t="shared" ref="J3" si="12">I3*1.9*1000</f>
        <v>5699.9999999999991</v>
      </c>
      <c r="K3" s="7">
        <v>14354.76</v>
      </c>
      <c r="L3" s="42">
        <f t="shared" ref="L3" si="13">IF((K3-K2)&lt;0,"0",(K3-K2))</f>
        <v>0.73999999999978172</v>
      </c>
      <c r="M3" s="27">
        <f t="shared" ref="M3" si="14">L3*1.9*1000</f>
        <v>1405.999999999585</v>
      </c>
      <c r="N3" s="7">
        <v>3996.922</v>
      </c>
      <c r="O3" s="42">
        <f t="shared" ref="O3" si="15">IF((N3-N2)&lt;0,"0",(N3-N2))</f>
        <v>2.9020000000000437</v>
      </c>
      <c r="P3" s="27">
        <f t="shared" ref="P3" si="16">O3*1.9*1000</f>
        <v>5513.800000000082</v>
      </c>
      <c r="Q3" s="7">
        <v>5673.1</v>
      </c>
      <c r="R3" s="42">
        <f t="shared" ref="R3" si="17">IF((Q3-Q2)&lt;0,"0",(Q3-Q2))</f>
        <v>0</v>
      </c>
      <c r="S3" s="27">
        <f t="shared" ref="S3" si="18">R3*1.9*1000</f>
        <v>0</v>
      </c>
      <c r="T3" s="8">
        <f>C3+F3+I3+L3+O3+R3</f>
        <v>10.5600000000004</v>
      </c>
      <c r="U3" s="29">
        <f t="shared" ref="U3" si="19">T3*1.9*1000</f>
        <v>20064.00000000076</v>
      </c>
      <c r="W3" s="140">
        <v>44927</v>
      </c>
      <c r="X3" s="141">
        <v>226207</v>
      </c>
      <c r="Y3" s="146">
        <f t="shared" ref="Y3:AG31" si="20">IF((X3-X2)&lt;0,"0",(X3-X2))</f>
        <v>90</v>
      </c>
      <c r="Z3" s="141">
        <v>10394</v>
      </c>
      <c r="AA3" s="146">
        <f t="shared" si="20"/>
        <v>4</v>
      </c>
      <c r="AB3" s="141">
        <v>63</v>
      </c>
      <c r="AC3" s="146">
        <f t="shared" si="20"/>
        <v>0</v>
      </c>
      <c r="AD3" s="141">
        <v>869</v>
      </c>
      <c r="AE3" s="146">
        <f t="shared" si="20"/>
        <v>1</v>
      </c>
      <c r="AF3" s="141">
        <v>10146</v>
      </c>
      <c r="AG3" s="146">
        <f t="shared" si="20"/>
        <v>3</v>
      </c>
    </row>
    <row r="4" spans="1:33" ht="16.5" thickBot="1" x14ac:dyDescent="0.25">
      <c r="A4" s="9">
        <v>44928</v>
      </c>
      <c r="B4" s="143">
        <v>25619.832999999999</v>
      </c>
      <c r="C4" s="42">
        <f t="shared" ref="C4:C32" si="21">IF((B4-B3)&lt;0,"0",(B4-B3))</f>
        <v>3.9290000000000873</v>
      </c>
      <c r="D4" s="27">
        <f t="shared" ref="D4:D31" si="22">C4*1.9*1000</f>
        <v>7465.1000000001659</v>
      </c>
      <c r="E4" s="1">
        <v>4711.7610000000004</v>
      </c>
      <c r="F4" s="42">
        <f t="shared" ref="F4:F32" si="23">IF((E4-E3)&lt;0,"0",(E4-E3))</f>
        <v>1.0160000000005311</v>
      </c>
      <c r="G4" s="27">
        <f t="shared" ref="G4:G32" si="24">F4*1.9*1000</f>
        <v>1930.4000000010092</v>
      </c>
      <c r="H4" s="1">
        <v>6666</v>
      </c>
      <c r="I4" s="42">
        <f t="shared" ref="I4:I32" si="25">IF((H4-H3)&lt;0,"0",(H4-H3))</f>
        <v>3</v>
      </c>
      <c r="J4" s="27">
        <f t="shared" ref="J4:J32" si="26">I4*1.9*1000</f>
        <v>5699.9999999999991</v>
      </c>
      <c r="K4" s="7">
        <v>14355.61</v>
      </c>
      <c r="L4" s="42">
        <f t="shared" ref="L4:L32" si="27">IF((K4-K3)&lt;0,"0",(K4-K3))</f>
        <v>0.8500000000003638</v>
      </c>
      <c r="M4" s="27">
        <f t="shared" ref="M4:M32" si="28">L4*1.9*1000</f>
        <v>1615.0000000006912</v>
      </c>
      <c r="N4" s="7">
        <v>3999.518</v>
      </c>
      <c r="O4" s="42">
        <f t="shared" ref="O4:O32" si="29">IF((N4-N3)&lt;0,"0",(N4-N3))</f>
        <v>2.5960000000000036</v>
      </c>
      <c r="P4" s="27">
        <f t="shared" ref="P4:P32" si="30">O4*1.9*1000</f>
        <v>4932.4000000000069</v>
      </c>
      <c r="Q4" s="7">
        <v>5673.1</v>
      </c>
      <c r="R4" s="42">
        <f t="shared" ref="R4:R32" si="31">IF((Q4-Q3)&lt;0,"0",(Q4-Q3))</f>
        <v>0</v>
      </c>
      <c r="S4" s="27">
        <f t="shared" ref="S4:S32" si="32">R4*1.9*1000</f>
        <v>0</v>
      </c>
      <c r="T4" s="8">
        <f>C4+F4+I4+L4+O4+R4</f>
        <v>11.391000000000986</v>
      </c>
      <c r="U4" s="29">
        <f t="shared" ref="U4:U32" si="33">T4*1.9*1000</f>
        <v>21642.900000001871</v>
      </c>
      <c r="W4" s="140">
        <v>44928</v>
      </c>
      <c r="X4" s="141">
        <v>226311</v>
      </c>
      <c r="Y4" s="146">
        <f t="shared" si="20"/>
        <v>104</v>
      </c>
      <c r="Z4" s="141">
        <v>10395</v>
      </c>
      <c r="AA4" s="146">
        <f t="shared" si="20"/>
        <v>1</v>
      </c>
      <c r="AB4" s="141">
        <v>63</v>
      </c>
      <c r="AC4" s="146">
        <f t="shared" si="20"/>
        <v>0</v>
      </c>
      <c r="AD4" s="141">
        <v>870</v>
      </c>
      <c r="AE4" s="146">
        <f t="shared" si="20"/>
        <v>1</v>
      </c>
      <c r="AF4" s="141">
        <v>10152</v>
      </c>
      <c r="AG4" s="146">
        <f t="shared" si="20"/>
        <v>6</v>
      </c>
    </row>
    <row r="5" spans="1:33" ht="16.5" thickBot="1" x14ac:dyDescent="0.25">
      <c r="A5" s="9">
        <v>44929</v>
      </c>
      <c r="B5" s="143">
        <v>25622.38</v>
      </c>
      <c r="C5" s="42">
        <f t="shared" si="21"/>
        <v>2.5470000000022992</v>
      </c>
      <c r="D5" s="27">
        <f t="shared" si="22"/>
        <v>4839.3000000043685</v>
      </c>
      <c r="E5" s="1">
        <v>4712.299</v>
      </c>
      <c r="F5" s="42">
        <f t="shared" si="23"/>
        <v>0.53799999999955617</v>
      </c>
      <c r="G5" s="27">
        <f t="shared" si="24"/>
        <v>1022.1999999991567</v>
      </c>
      <c r="H5" s="1">
        <v>6668</v>
      </c>
      <c r="I5" s="42">
        <f t="shared" si="25"/>
        <v>2</v>
      </c>
      <c r="J5" s="27">
        <f t="shared" si="26"/>
        <v>3800</v>
      </c>
      <c r="K5" s="7">
        <v>14355.69</v>
      </c>
      <c r="L5" s="42">
        <f t="shared" si="27"/>
        <v>7.999999999992724E-2</v>
      </c>
      <c r="M5" s="27">
        <f t="shared" si="28"/>
        <v>151.99999999986176</v>
      </c>
      <c r="N5" s="7">
        <v>4001.165</v>
      </c>
      <c r="O5" s="42">
        <f t="shared" si="29"/>
        <v>1.6469999999999345</v>
      </c>
      <c r="P5" s="27">
        <f t="shared" si="30"/>
        <v>3129.2999999998756</v>
      </c>
      <c r="Q5" s="7">
        <v>5673.1</v>
      </c>
      <c r="R5" s="42">
        <f t="shared" si="31"/>
        <v>0</v>
      </c>
      <c r="S5" s="27">
        <f t="shared" si="32"/>
        <v>0</v>
      </c>
      <c r="T5" s="8">
        <f>C5+F5+I5+L5+O5+R5</f>
        <v>6.8120000000017171</v>
      </c>
      <c r="U5" s="29">
        <f t="shared" si="33"/>
        <v>12942.800000003261</v>
      </c>
      <c r="W5" s="140">
        <v>44929</v>
      </c>
      <c r="X5" s="141">
        <v>226344</v>
      </c>
      <c r="Y5" s="146">
        <f t="shared" si="20"/>
        <v>33</v>
      </c>
      <c r="Z5" s="141">
        <v>10398</v>
      </c>
      <c r="AA5" s="146">
        <f t="shared" si="20"/>
        <v>3</v>
      </c>
      <c r="AB5" s="141">
        <v>63</v>
      </c>
      <c r="AC5" s="146">
        <f t="shared" si="20"/>
        <v>0</v>
      </c>
      <c r="AD5" s="141">
        <v>870</v>
      </c>
      <c r="AE5" s="146">
        <f t="shared" si="20"/>
        <v>0</v>
      </c>
      <c r="AF5" s="141">
        <v>10156</v>
      </c>
      <c r="AG5" s="146">
        <f t="shared" si="20"/>
        <v>4</v>
      </c>
    </row>
    <row r="6" spans="1:33" ht="16.5" thickBot="1" x14ac:dyDescent="0.25">
      <c r="A6" s="9">
        <v>44930</v>
      </c>
      <c r="B6" s="143">
        <v>25625.605</v>
      </c>
      <c r="C6" s="42">
        <f t="shared" si="21"/>
        <v>3.2249999999985448</v>
      </c>
      <c r="D6" s="27">
        <f t="shared" si="22"/>
        <v>6127.4999999972342</v>
      </c>
      <c r="E6" s="1">
        <v>4713.0640000000003</v>
      </c>
      <c r="F6" s="42">
        <f t="shared" si="23"/>
        <v>0.76500000000032742</v>
      </c>
      <c r="G6" s="27">
        <f t="shared" si="24"/>
        <v>1453.5000000006219</v>
      </c>
      <c r="H6" s="1">
        <v>6671</v>
      </c>
      <c r="I6" s="42">
        <f t="shared" si="25"/>
        <v>3</v>
      </c>
      <c r="J6" s="27">
        <f t="shared" si="26"/>
        <v>5699.9999999999991</v>
      </c>
      <c r="K6" s="7">
        <v>14356.21</v>
      </c>
      <c r="L6" s="42">
        <f t="shared" si="27"/>
        <v>0.51999999999861757</v>
      </c>
      <c r="M6" s="27">
        <f t="shared" si="28"/>
        <v>987.99999999737327</v>
      </c>
      <c r="N6" s="7">
        <v>4004.1289999999999</v>
      </c>
      <c r="O6" s="42">
        <f t="shared" si="29"/>
        <v>2.9639999999999418</v>
      </c>
      <c r="P6" s="27">
        <f t="shared" si="30"/>
        <v>5631.5999999998894</v>
      </c>
      <c r="Q6" s="7">
        <v>5673.1</v>
      </c>
      <c r="R6" s="42">
        <f t="shared" si="31"/>
        <v>0</v>
      </c>
      <c r="S6" s="27">
        <f t="shared" si="32"/>
        <v>0</v>
      </c>
      <c r="T6" s="8">
        <f t="shared" ref="T6:T32" si="34">C6+F6+I6+L6+O6+R6</f>
        <v>10.473999999997432</v>
      </c>
      <c r="U6" s="29">
        <f t="shared" si="33"/>
        <v>19900.59999999512</v>
      </c>
      <c r="W6" s="140">
        <v>44930</v>
      </c>
      <c r="X6" s="141">
        <v>226544</v>
      </c>
      <c r="Y6" s="146">
        <f t="shared" si="20"/>
        <v>200</v>
      </c>
      <c r="Z6" s="141">
        <v>10400</v>
      </c>
      <c r="AA6" s="146">
        <f t="shared" si="20"/>
        <v>2</v>
      </c>
      <c r="AB6" s="141">
        <v>63</v>
      </c>
      <c r="AC6" s="146">
        <f t="shared" si="20"/>
        <v>0</v>
      </c>
      <c r="AD6" s="141">
        <f t="shared" ref="AD6:AD33" si="35">AD5</f>
        <v>870</v>
      </c>
      <c r="AE6" s="146">
        <f t="shared" si="20"/>
        <v>0</v>
      </c>
      <c r="AF6" s="141">
        <v>10159</v>
      </c>
      <c r="AG6" s="146">
        <f t="shared" si="20"/>
        <v>3</v>
      </c>
    </row>
    <row r="7" spans="1:33" ht="16.5" thickBot="1" x14ac:dyDescent="0.25">
      <c r="A7" s="9">
        <v>44931</v>
      </c>
      <c r="B7" s="143">
        <v>25628.713</v>
      </c>
      <c r="C7" s="42">
        <f t="shared" si="21"/>
        <v>3.1080000000001746</v>
      </c>
      <c r="D7" s="27">
        <f t="shared" si="22"/>
        <v>5905.2000000003309</v>
      </c>
      <c r="E7" s="1">
        <v>4713.9030000000002</v>
      </c>
      <c r="F7" s="42">
        <f t="shared" si="23"/>
        <v>0.83899999999994179</v>
      </c>
      <c r="G7" s="27">
        <f t="shared" si="24"/>
        <v>1594.0999999998892</v>
      </c>
      <c r="H7" s="1">
        <v>6674</v>
      </c>
      <c r="I7" s="42">
        <f t="shared" si="25"/>
        <v>3</v>
      </c>
      <c r="J7" s="27">
        <f t="shared" si="26"/>
        <v>5699.9999999999991</v>
      </c>
      <c r="K7" s="7">
        <v>14356.86</v>
      </c>
      <c r="L7" s="42">
        <f t="shared" si="27"/>
        <v>0.65000000000145519</v>
      </c>
      <c r="M7" s="27">
        <f t="shared" si="28"/>
        <v>1235.0000000027649</v>
      </c>
      <c r="N7" s="7">
        <v>4006.2130000000002</v>
      </c>
      <c r="O7" s="42">
        <f t="shared" si="29"/>
        <v>2.0840000000002874</v>
      </c>
      <c r="P7" s="27">
        <f t="shared" si="30"/>
        <v>3959.6000000005456</v>
      </c>
      <c r="Q7" s="7">
        <v>5673.1</v>
      </c>
      <c r="R7" s="42">
        <f t="shared" si="31"/>
        <v>0</v>
      </c>
      <c r="S7" s="27">
        <f t="shared" si="32"/>
        <v>0</v>
      </c>
      <c r="T7" s="8">
        <f t="shared" si="34"/>
        <v>9.681000000001859</v>
      </c>
      <c r="U7" s="29">
        <f t="shared" si="33"/>
        <v>18393.90000000353</v>
      </c>
      <c r="W7" s="140">
        <v>44931</v>
      </c>
      <c r="X7" s="141">
        <v>226815</v>
      </c>
      <c r="Y7" s="146">
        <f t="shared" si="20"/>
        <v>271</v>
      </c>
      <c r="Z7" s="141">
        <v>10404</v>
      </c>
      <c r="AA7" s="146">
        <f t="shared" si="20"/>
        <v>4</v>
      </c>
      <c r="AB7" s="141">
        <v>63</v>
      </c>
      <c r="AC7" s="146">
        <f t="shared" si="20"/>
        <v>0</v>
      </c>
      <c r="AD7" s="141">
        <f t="shared" si="35"/>
        <v>870</v>
      </c>
      <c r="AE7" s="146">
        <f t="shared" si="20"/>
        <v>0</v>
      </c>
      <c r="AF7" s="141">
        <v>10164</v>
      </c>
      <c r="AG7" s="146">
        <f t="shared" si="20"/>
        <v>5</v>
      </c>
    </row>
    <row r="8" spans="1:33" ht="16.5" thickBot="1" x14ac:dyDescent="0.25">
      <c r="A8" s="9">
        <v>44932</v>
      </c>
      <c r="B8" s="143">
        <v>25632.471000000001</v>
      </c>
      <c r="C8" s="42">
        <f t="shared" si="21"/>
        <v>3.7580000000016298</v>
      </c>
      <c r="D8" s="27">
        <f t="shared" si="22"/>
        <v>7140.2000000030966</v>
      </c>
      <c r="E8" s="1">
        <v>4714.5529999999999</v>
      </c>
      <c r="F8" s="42">
        <f t="shared" si="23"/>
        <v>0.6499999999996362</v>
      </c>
      <c r="G8" s="27">
        <f t="shared" si="24"/>
        <v>1234.9999999993086</v>
      </c>
      <c r="H8" s="1">
        <v>6679</v>
      </c>
      <c r="I8" s="42">
        <f t="shared" si="25"/>
        <v>5</v>
      </c>
      <c r="J8" s="27">
        <f t="shared" si="26"/>
        <v>9500</v>
      </c>
      <c r="K8" s="7">
        <v>14357.7</v>
      </c>
      <c r="L8" s="42">
        <f t="shared" si="27"/>
        <v>0.84000000000014552</v>
      </c>
      <c r="M8" s="27">
        <f t="shared" si="28"/>
        <v>1596.0000000002763</v>
      </c>
      <c r="N8" s="7">
        <v>4009.0070000000001</v>
      </c>
      <c r="O8" s="42">
        <f t="shared" si="29"/>
        <v>2.793999999999869</v>
      </c>
      <c r="P8" s="27">
        <f t="shared" si="30"/>
        <v>5308.5999999997503</v>
      </c>
      <c r="Q8" s="7">
        <f t="shared" ref="Q8:Q33" si="36">Q7</f>
        <v>5673.1</v>
      </c>
      <c r="R8" s="42">
        <f t="shared" si="31"/>
        <v>0</v>
      </c>
      <c r="S8" s="27">
        <f t="shared" si="32"/>
        <v>0</v>
      </c>
      <c r="T8" s="8">
        <f t="shared" si="34"/>
        <v>13.042000000001281</v>
      </c>
      <c r="U8" s="29">
        <f t="shared" si="33"/>
        <v>24779.800000002433</v>
      </c>
      <c r="W8" s="140">
        <v>44932</v>
      </c>
      <c r="X8" s="141">
        <v>226816</v>
      </c>
      <c r="Y8" s="146">
        <f t="shared" si="20"/>
        <v>1</v>
      </c>
      <c r="Z8" s="141">
        <v>10414</v>
      </c>
      <c r="AA8" s="146">
        <f t="shared" si="20"/>
        <v>10</v>
      </c>
      <c r="AB8" s="141">
        <v>63</v>
      </c>
      <c r="AC8" s="146">
        <f t="shared" si="20"/>
        <v>0</v>
      </c>
      <c r="AD8" s="141">
        <f t="shared" si="35"/>
        <v>870</v>
      </c>
      <c r="AE8" s="146">
        <f t="shared" si="20"/>
        <v>0</v>
      </c>
      <c r="AF8" s="141">
        <v>10169</v>
      </c>
      <c r="AG8" s="146">
        <f t="shared" si="20"/>
        <v>5</v>
      </c>
    </row>
    <row r="9" spans="1:33" ht="16.5" thickBot="1" x14ac:dyDescent="0.25">
      <c r="A9" s="9">
        <v>44933</v>
      </c>
      <c r="B9" s="143">
        <v>25635.482</v>
      </c>
      <c r="C9" s="42">
        <f t="shared" si="21"/>
        <v>3.010999999998603</v>
      </c>
      <c r="D9" s="27">
        <f t="shared" si="22"/>
        <v>5720.8999999973457</v>
      </c>
      <c r="E9" s="1">
        <v>4715.0529999999999</v>
      </c>
      <c r="F9" s="42">
        <f t="shared" si="23"/>
        <v>0.5</v>
      </c>
      <c r="G9" s="27">
        <f t="shared" si="24"/>
        <v>950</v>
      </c>
      <c r="H9" s="1">
        <v>6682</v>
      </c>
      <c r="I9" s="42">
        <f t="shared" si="25"/>
        <v>3</v>
      </c>
      <c r="J9" s="27">
        <f t="shared" si="26"/>
        <v>5699.9999999999991</v>
      </c>
      <c r="K9" s="7">
        <v>14357.7</v>
      </c>
      <c r="L9" s="42">
        <f t="shared" si="27"/>
        <v>0</v>
      </c>
      <c r="M9" s="27">
        <f t="shared" si="28"/>
        <v>0</v>
      </c>
      <c r="N9" s="7">
        <v>4010.7629999999999</v>
      </c>
      <c r="O9" s="42">
        <f t="shared" si="29"/>
        <v>1.7559999999998581</v>
      </c>
      <c r="P9" s="27">
        <f t="shared" si="30"/>
        <v>3336.3999999997304</v>
      </c>
      <c r="Q9" s="7">
        <v>5673.1</v>
      </c>
      <c r="R9" s="42">
        <f t="shared" si="31"/>
        <v>0</v>
      </c>
      <c r="S9" s="27">
        <f t="shared" si="32"/>
        <v>0</v>
      </c>
      <c r="T9" s="8">
        <f t="shared" si="34"/>
        <v>8.2669999999984611</v>
      </c>
      <c r="U9" s="29">
        <f t="shared" si="33"/>
        <v>15707.299999997076</v>
      </c>
      <c r="W9" s="140">
        <v>44933</v>
      </c>
      <c r="X9" s="141">
        <v>226819</v>
      </c>
      <c r="Y9" s="146">
        <f t="shared" si="20"/>
        <v>3</v>
      </c>
      <c r="Z9" s="141">
        <v>10421</v>
      </c>
      <c r="AA9" s="146">
        <f t="shared" si="20"/>
        <v>7</v>
      </c>
      <c r="AB9" s="141">
        <v>63</v>
      </c>
      <c r="AC9" s="146">
        <v>0</v>
      </c>
      <c r="AD9" s="141">
        <f t="shared" si="35"/>
        <v>870</v>
      </c>
      <c r="AE9" s="146">
        <f t="shared" si="20"/>
        <v>0</v>
      </c>
      <c r="AF9" s="141">
        <v>10175</v>
      </c>
      <c r="AG9" s="146">
        <f t="shared" si="20"/>
        <v>6</v>
      </c>
    </row>
    <row r="10" spans="1:33" ht="16.5" thickBot="1" x14ac:dyDescent="0.25">
      <c r="A10" s="9">
        <v>44934</v>
      </c>
      <c r="B10" s="143">
        <v>25638.188999999998</v>
      </c>
      <c r="C10" s="42">
        <f t="shared" si="21"/>
        <v>2.7069999999985157</v>
      </c>
      <c r="D10" s="27">
        <f t="shared" si="22"/>
        <v>5143.2999999971798</v>
      </c>
      <c r="E10" s="1">
        <v>4715.4269999999997</v>
      </c>
      <c r="F10" s="42">
        <f t="shared" si="23"/>
        <v>0.37399999999979627</v>
      </c>
      <c r="G10" s="27">
        <f t="shared" si="24"/>
        <v>710.59999999961292</v>
      </c>
      <c r="H10" s="1">
        <v>6686</v>
      </c>
      <c r="I10" s="42">
        <f t="shared" si="25"/>
        <v>4</v>
      </c>
      <c r="J10" s="27">
        <f t="shared" si="26"/>
        <v>7600</v>
      </c>
      <c r="K10" s="7">
        <v>14358.41</v>
      </c>
      <c r="L10" s="42">
        <f t="shared" si="27"/>
        <v>0.70999999999912689</v>
      </c>
      <c r="M10" s="27">
        <f t="shared" si="28"/>
        <v>1348.9999999983411</v>
      </c>
      <c r="N10" s="7">
        <v>4012.0749999999998</v>
      </c>
      <c r="O10" s="42">
        <f>IF((N10-N9)&lt;0,"0",(N10-N9))</f>
        <v>1.3119999999998981</v>
      </c>
      <c r="P10" s="27">
        <f t="shared" si="30"/>
        <v>2492.7999999998065</v>
      </c>
      <c r="Q10" s="7">
        <v>5673.1</v>
      </c>
      <c r="R10" s="42">
        <f t="shared" si="31"/>
        <v>0</v>
      </c>
      <c r="S10" s="27">
        <f t="shared" si="32"/>
        <v>0</v>
      </c>
      <c r="T10" s="8">
        <f t="shared" si="34"/>
        <v>9.102999999997337</v>
      </c>
      <c r="U10" s="29">
        <f t="shared" si="33"/>
        <v>17295.69999999494</v>
      </c>
      <c r="W10" s="140">
        <v>44934</v>
      </c>
      <c r="X10" s="141">
        <v>226859</v>
      </c>
      <c r="Y10" s="146">
        <f t="shared" si="20"/>
        <v>40</v>
      </c>
      <c r="Z10" s="141">
        <v>10425</v>
      </c>
      <c r="AA10" s="146">
        <f t="shared" si="20"/>
        <v>4</v>
      </c>
      <c r="AB10" s="141">
        <v>63</v>
      </c>
      <c r="AC10" s="146">
        <f t="shared" si="20"/>
        <v>0</v>
      </c>
      <c r="AD10" s="141">
        <f t="shared" si="35"/>
        <v>870</v>
      </c>
      <c r="AE10" s="146">
        <f t="shared" si="20"/>
        <v>0</v>
      </c>
      <c r="AF10" s="141">
        <v>10183</v>
      </c>
      <c r="AG10" s="146">
        <f t="shared" si="20"/>
        <v>8</v>
      </c>
    </row>
    <row r="11" spans="1:33" ht="16.5" thickBot="1" x14ac:dyDescent="0.25">
      <c r="A11" s="9">
        <v>44935</v>
      </c>
      <c r="B11" s="143">
        <v>25640.880000000001</v>
      </c>
      <c r="C11" s="42">
        <f t="shared" si="21"/>
        <v>2.691000000002532</v>
      </c>
      <c r="D11" s="27">
        <f t="shared" si="22"/>
        <v>5112.9000000048109</v>
      </c>
      <c r="E11" s="1">
        <v>4716.07</v>
      </c>
      <c r="F11" s="42">
        <f t="shared" si="23"/>
        <v>0.6430000000000291</v>
      </c>
      <c r="G11" s="27">
        <f t="shared" si="24"/>
        <v>1221.7000000000553</v>
      </c>
      <c r="H11" s="1">
        <v>6689</v>
      </c>
      <c r="I11" s="42">
        <f t="shared" si="25"/>
        <v>3</v>
      </c>
      <c r="J11" s="27">
        <f t="shared" si="26"/>
        <v>5699.9999999999991</v>
      </c>
      <c r="K11" s="7">
        <v>14359.42</v>
      </c>
      <c r="L11" s="42">
        <f t="shared" si="27"/>
        <v>1.0100000000002183</v>
      </c>
      <c r="M11" s="27">
        <f t="shared" si="28"/>
        <v>1919.0000000004145</v>
      </c>
      <c r="N11" s="7">
        <v>4013.7049999999999</v>
      </c>
      <c r="O11" s="42">
        <f t="shared" si="29"/>
        <v>1.6300000000001091</v>
      </c>
      <c r="P11" s="27">
        <f t="shared" si="30"/>
        <v>3097.0000000002074</v>
      </c>
      <c r="Q11" s="7">
        <f t="shared" si="36"/>
        <v>5673.1</v>
      </c>
      <c r="R11" s="42">
        <f t="shared" si="31"/>
        <v>0</v>
      </c>
      <c r="S11" s="27">
        <f t="shared" si="32"/>
        <v>0</v>
      </c>
      <c r="T11" s="8">
        <f t="shared" si="34"/>
        <v>8.9740000000028886</v>
      </c>
      <c r="U11" s="29">
        <f t="shared" si="33"/>
        <v>17050.600000005488</v>
      </c>
      <c r="W11" s="140">
        <v>44935</v>
      </c>
      <c r="X11" s="141">
        <v>226886</v>
      </c>
      <c r="Y11" s="146">
        <f t="shared" si="20"/>
        <v>27</v>
      </c>
      <c r="Z11" s="141">
        <v>10429</v>
      </c>
      <c r="AA11" s="146">
        <f t="shared" si="20"/>
        <v>4</v>
      </c>
      <c r="AB11" s="141">
        <v>63</v>
      </c>
      <c r="AC11" s="146">
        <f t="shared" si="20"/>
        <v>0</v>
      </c>
      <c r="AD11" s="141">
        <f t="shared" si="35"/>
        <v>870</v>
      </c>
      <c r="AE11" s="146">
        <f t="shared" si="20"/>
        <v>0</v>
      </c>
      <c r="AF11" s="141">
        <v>10190</v>
      </c>
      <c r="AG11" s="146">
        <f t="shared" si="20"/>
        <v>7</v>
      </c>
    </row>
    <row r="12" spans="1:33" ht="16.5" thickBot="1" x14ac:dyDescent="0.25">
      <c r="A12" s="9">
        <v>44936</v>
      </c>
      <c r="B12" s="143">
        <v>25644.100999999999</v>
      </c>
      <c r="C12" s="42">
        <f t="shared" si="21"/>
        <v>3.2209999999977299</v>
      </c>
      <c r="D12" s="27">
        <f t="shared" si="22"/>
        <v>6119.8999999956868</v>
      </c>
      <c r="E12" s="1">
        <v>4716.9799999999996</v>
      </c>
      <c r="F12" s="42">
        <f t="shared" si="23"/>
        <v>0.90999999999985448</v>
      </c>
      <c r="G12" s="27">
        <f t="shared" si="24"/>
        <v>1728.9999999997235</v>
      </c>
      <c r="H12" s="1">
        <v>6694</v>
      </c>
      <c r="I12" s="42">
        <f t="shared" si="25"/>
        <v>5</v>
      </c>
      <c r="J12" s="27">
        <f t="shared" si="26"/>
        <v>9500</v>
      </c>
      <c r="K12" s="7">
        <v>14360.27</v>
      </c>
      <c r="L12" s="42">
        <f t="shared" si="27"/>
        <v>0.8500000000003638</v>
      </c>
      <c r="M12" s="27">
        <f t="shared" si="28"/>
        <v>1615.0000000006912</v>
      </c>
      <c r="N12" s="7">
        <v>4015.779</v>
      </c>
      <c r="O12" s="42">
        <f t="shared" si="29"/>
        <v>2.0740000000000691</v>
      </c>
      <c r="P12" s="27">
        <f t="shared" si="30"/>
        <v>3940.6000000001313</v>
      </c>
      <c r="Q12" s="7">
        <v>5673.1</v>
      </c>
      <c r="R12" s="42">
        <f t="shared" si="31"/>
        <v>0</v>
      </c>
      <c r="S12" s="27">
        <f t="shared" si="32"/>
        <v>0</v>
      </c>
      <c r="T12" s="8">
        <f t="shared" si="34"/>
        <v>12.054999999998017</v>
      </c>
      <c r="U12" s="29">
        <f t="shared" si="33"/>
        <v>22904.499999996231</v>
      </c>
      <c r="W12" s="140">
        <v>44936</v>
      </c>
      <c r="X12" s="141">
        <v>227007</v>
      </c>
      <c r="Y12" s="146">
        <f t="shared" si="20"/>
        <v>121</v>
      </c>
      <c r="Z12" s="141">
        <v>10440</v>
      </c>
      <c r="AA12" s="146">
        <f t="shared" si="20"/>
        <v>11</v>
      </c>
      <c r="AB12" s="141">
        <v>63</v>
      </c>
      <c r="AC12" s="146">
        <f t="shared" si="20"/>
        <v>0</v>
      </c>
      <c r="AD12" s="141">
        <f t="shared" si="35"/>
        <v>870</v>
      </c>
      <c r="AE12" s="146">
        <f t="shared" si="20"/>
        <v>0</v>
      </c>
      <c r="AF12" s="141">
        <v>10200</v>
      </c>
      <c r="AG12" s="146">
        <f t="shared" si="20"/>
        <v>10</v>
      </c>
    </row>
    <row r="13" spans="1:33" ht="16.5" thickBot="1" x14ac:dyDescent="0.25">
      <c r="A13" s="9">
        <v>44937</v>
      </c>
      <c r="B13" s="143">
        <v>25646.448</v>
      </c>
      <c r="C13" s="42">
        <f t="shared" si="21"/>
        <v>2.3470000000015716</v>
      </c>
      <c r="D13" s="27">
        <f t="shared" si="22"/>
        <v>4459.3000000029861</v>
      </c>
      <c r="E13" s="1">
        <v>4717.4989999999998</v>
      </c>
      <c r="F13" s="42">
        <f t="shared" si="23"/>
        <v>0.51900000000023283</v>
      </c>
      <c r="G13" s="27">
        <f t="shared" si="24"/>
        <v>986.10000000044226</v>
      </c>
      <c r="H13" s="1">
        <v>6697</v>
      </c>
      <c r="I13" s="42">
        <f t="shared" si="25"/>
        <v>3</v>
      </c>
      <c r="J13" s="27">
        <f t="shared" si="26"/>
        <v>5699.9999999999991</v>
      </c>
      <c r="K13" s="7">
        <v>14360.35</v>
      </c>
      <c r="L13" s="42">
        <f t="shared" si="27"/>
        <v>7.999999999992724E-2</v>
      </c>
      <c r="M13" s="27">
        <f t="shared" si="28"/>
        <v>151.99999999986176</v>
      </c>
      <c r="N13" s="7">
        <v>4017.0970000000002</v>
      </c>
      <c r="O13" s="42">
        <f t="shared" si="29"/>
        <v>1.318000000000211</v>
      </c>
      <c r="P13" s="27">
        <f t="shared" si="30"/>
        <v>2504.2000000004009</v>
      </c>
      <c r="Q13" s="7">
        <v>5673.1</v>
      </c>
      <c r="R13" s="42">
        <f t="shared" si="31"/>
        <v>0</v>
      </c>
      <c r="S13" s="27">
        <f t="shared" si="32"/>
        <v>0</v>
      </c>
      <c r="T13" s="8">
        <f t="shared" si="34"/>
        <v>7.2640000000019427</v>
      </c>
      <c r="U13" s="29">
        <f t="shared" si="33"/>
        <v>13801.600000003689</v>
      </c>
      <c r="W13" s="140">
        <v>44937</v>
      </c>
      <c r="X13" s="141">
        <v>227049</v>
      </c>
      <c r="Y13" s="146">
        <f t="shared" si="20"/>
        <v>42</v>
      </c>
      <c r="Z13" s="141">
        <v>10446</v>
      </c>
      <c r="AA13" s="146">
        <f t="shared" si="20"/>
        <v>6</v>
      </c>
      <c r="AB13" s="141">
        <v>63</v>
      </c>
      <c r="AC13" s="146">
        <f t="shared" si="20"/>
        <v>0</v>
      </c>
      <c r="AD13" s="141">
        <v>871</v>
      </c>
      <c r="AE13" s="146">
        <f t="shared" si="20"/>
        <v>1</v>
      </c>
      <c r="AF13" s="141">
        <v>10208</v>
      </c>
      <c r="AG13" s="146">
        <f t="shared" si="20"/>
        <v>8</v>
      </c>
    </row>
    <row r="14" spans="1:33" ht="16.5" thickBot="1" x14ac:dyDescent="0.25">
      <c r="A14" s="9">
        <v>44938</v>
      </c>
      <c r="B14" s="143">
        <v>25649.254000000001</v>
      </c>
      <c r="C14" s="42">
        <f t="shared" si="21"/>
        <v>2.8060000000004948</v>
      </c>
      <c r="D14" s="27">
        <f t="shared" si="22"/>
        <v>5331.4000000009401</v>
      </c>
      <c r="E14" s="1">
        <v>4718.201</v>
      </c>
      <c r="F14" s="42">
        <f t="shared" si="23"/>
        <v>0.70200000000022555</v>
      </c>
      <c r="G14" s="27">
        <f t="shared" si="24"/>
        <v>1333.8000000004283</v>
      </c>
      <c r="H14" s="1">
        <v>6701</v>
      </c>
      <c r="I14" s="42">
        <f t="shared" si="25"/>
        <v>4</v>
      </c>
      <c r="J14" s="27">
        <f t="shared" si="26"/>
        <v>7600</v>
      </c>
      <c r="K14" s="7">
        <v>14360.35</v>
      </c>
      <c r="L14" s="42">
        <f t="shared" si="27"/>
        <v>0</v>
      </c>
      <c r="M14" s="27">
        <f t="shared" si="28"/>
        <v>0</v>
      </c>
      <c r="N14" s="7">
        <v>4018.7190000000001</v>
      </c>
      <c r="O14" s="42">
        <f>IF((N14-N13)&lt;0,"0",(N14-N13))</f>
        <v>1.6219999999998436</v>
      </c>
      <c r="P14" s="27">
        <f t="shared" si="30"/>
        <v>3081.7999999997028</v>
      </c>
      <c r="Q14" s="7">
        <v>5673.1</v>
      </c>
      <c r="R14" s="42">
        <f t="shared" si="31"/>
        <v>0</v>
      </c>
      <c r="S14" s="27">
        <f t="shared" si="32"/>
        <v>0</v>
      </c>
      <c r="T14" s="8">
        <f t="shared" si="34"/>
        <v>9.1300000000005639</v>
      </c>
      <c r="U14" s="29">
        <f t="shared" si="33"/>
        <v>17347.00000000107</v>
      </c>
      <c r="W14" s="140">
        <v>44938</v>
      </c>
      <c r="X14" s="141">
        <v>227080</v>
      </c>
      <c r="Y14" s="146">
        <f t="shared" si="20"/>
        <v>31</v>
      </c>
      <c r="Z14" s="141">
        <v>10451</v>
      </c>
      <c r="AA14" s="146">
        <f t="shared" si="20"/>
        <v>5</v>
      </c>
      <c r="AB14" s="141">
        <v>63</v>
      </c>
      <c r="AC14" s="146">
        <f t="shared" si="20"/>
        <v>0</v>
      </c>
      <c r="AD14" s="141">
        <v>872</v>
      </c>
      <c r="AE14" s="146">
        <f t="shared" si="20"/>
        <v>1</v>
      </c>
      <c r="AF14" s="141">
        <v>10213</v>
      </c>
      <c r="AG14" s="146">
        <f t="shared" si="20"/>
        <v>5</v>
      </c>
    </row>
    <row r="15" spans="1:33" ht="16.5" thickBot="1" x14ac:dyDescent="0.25">
      <c r="A15" s="9">
        <v>44939</v>
      </c>
      <c r="B15" s="143">
        <f t="shared" ref="B14:B33" si="37">B14</f>
        <v>25649.254000000001</v>
      </c>
      <c r="C15" s="42">
        <f t="shared" ref="C15" si="38">IF((B15-B14)&lt;0,"0",(B15-B14))</f>
        <v>0</v>
      </c>
      <c r="D15" s="27">
        <f t="shared" ref="D15" si="39">C15*1.9*1000</f>
        <v>0</v>
      </c>
      <c r="E15" s="1">
        <f t="shared" ref="E14:E33" si="40">E14</f>
        <v>4718.201</v>
      </c>
      <c r="F15" s="42">
        <f t="shared" ref="F15" si="41">IF((E15-E14)&lt;0,"0",(E15-E14))</f>
        <v>0</v>
      </c>
      <c r="G15" s="27">
        <f t="shared" ref="G15" si="42">F15*1.9*1000</f>
        <v>0</v>
      </c>
      <c r="H15" s="1">
        <f t="shared" ref="H14:H33" si="43">H14</f>
        <v>6701</v>
      </c>
      <c r="I15" s="42">
        <f t="shared" ref="I15" si="44">IF((H15-H14)&lt;0,"0",(H15-H14))</f>
        <v>0</v>
      </c>
      <c r="J15" s="27">
        <f t="shared" ref="J15" si="45">I15*1.9*1000</f>
        <v>0</v>
      </c>
      <c r="K15" s="7">
        <f t="shared" ref="K14:K33" si="46">K14</f>
        <v>14360.35</v>
      </c>
      <c r="L15" s="42">
        <f t="shared" ref="L15" si="47">IF((K15-K14)&lt;0,"0",(K15-K14))</f>
        <v>0</v>
      </c>
      <c r="M15" s="27">
        <f t="shared" ref="M15" si="48">L15*1.9*1000</f>
        <v>0</v>
      </c>
      <c r="N15" s="7">
        <f t="shared" ref="N14:N33" si="49">N14</f>
        <v>4018.7190000000001</v>
      </c>
      <c r="O15" s="42">
        <f>IF((N15-N14)&lt;0,"0",(N15-N14))</f>
        <v>0</v>
      </c>
      <c r="P15" s="27">
        <f t="shared" ref="P15" si="50">O15*1.9*1000</f>
        <v>0</v>
      </c>
      <c r="Q15" s="7">
        <f t="shared" si="36"/>
        <v>5673.1</v>
      </c>
      <c r="R15" s="42">
        <f t="shared" ref="R15" si="51">IF((Q15-Q14)&lt;0,"0",(Q15-Q14))</f>
        <v>0</v>
      </c>
      <c r="S15" s="27">
        <f t="shared" ref="S15" si="52">R15*1.9*1000</f>
        <v>0</v>
      </c>
      <c r="T15" s="8">
        <f t="shared" ref="T15" si="53">C15+F15+I15+L15+O15+R15</f>
        <v>0</v>
      </c>
      <c r="U15" s="29">
        <f t="shared" ref="U15" si="54">T15*1.9*1000</f>
        <v>0</v>
      </c>
      <c r="W15" s="140">
        <v>44939</v>
      </c>
      <c r="X15" s="141">
        <f t="shared" ref="X14:X33" si="55">X14</f>
        <v>227080</v>
      </c>
      <c r="Y15" s="146">
        <f t="shared" si="20"/>
        <v>0</v>
      </c>
      <c r="Z15" s="141">
        <f t="shared" ref="Z14:Z33" si="56">Z14</f>
        <v>10451</v>
      </c>
      <c r="AA15" s="146">
        <f t="shared" si="20"/>
        <v>0</v>
      </c>
      <c r="AB15" s="141">
        <v>63</v>
      </c>
      <c r="AC15" s="146">
        <f t="shared" si="20"/>
        <v>0</v>
      </c>
      <c r="AD15" s="141">
        <f t="shared" si="35"/>
        <v>872</v>
      </c>
      <c r="AE15" s="146">
        <f t="shared" si="20"/>
        <v>0</v>
      </c>
      <c r="AF15" s="141">
        <f t="shared" ref="AF14:AF33" si="57">AF14</f>
        <v>10213</v>
      </c>
      <c r="AG15" s="146">
        <f t="shared" si="20"/>
        <v>0</v>
      </c>
    </row>
    <row r="16" spans="1:33" ht="16.5" thickBot="1" x14ac:dyDescent="0.25">
      <c r="A16" s="9">
        <v>44940</v>
      </c>
      <c r="B16" s="143">
        <f t="shared" si="37"/>
        <v>25649.254000000001</v>
      </c>
      <c r="C16" s="42">
        <f t="shared" si="21"/>
        <v>0</v>
      </c>
      <c r="D16" s="27">
        <f t="shared" si="22"/>
        <v>0</v>
      </c>
      <c r="E16" s="1">
        <f t="shared" si="40"/>
        <v>4718.201</v>
      </c>
      <c r="F16" s="42">
        <f t="shared" si="23"/>
        <v>0</v>
      </c>
      <c r="G16" s="27">
        <f t="shared" si="24"/>
        <v>0</v>
      </c>
      <c r="H16" s="1">
        <f t="shared" si="43"/>
        <v>6701</v>
      </c>
      <c r="I16" s="42">
        <f t="shared" si="25"/>
        <v>0</v>
      </c>
      <c r="J16" s="27">
        <f t="shared" si="26"/>
        <v>0</v>
      </c>
      <c r="K16" s="7">
        <f t="shared" si="46"/>
        <v>14360.35</v>
      </c>
      <c r="L16" s="42">
        <f t="shared" si="27"/>
        <v>0</v>
      </c>
      <c r="M16" s="27">
        <f t="shared" si="28"/>
        <v>0</v>
      </c>
      <c r="N16" s="7">
        <f t="shared" si="49"/>
        <v>4018.7190000000001</v>
      </c>
      <c r="O16" s="42">
        <f t="shared" si="29"/>
        <v>0</v>
      </c>
      <c r="P16" s="27">
        <f t="shared" si="30"/>
        <v>0</v>
      </c>
      <c r="Q16" s="7">
        <f t="shared" si="36"/>
        <v>5673.1</v>
      </c>
      <c r="R16" s="42">
        <f t="shared" si="31"/>
        <v>0</v>
      </c>
      <c r="S16" s="27">
        <f t="shared" si="32"/>
        <v>0</v>
      </c>
      <c r="T16" s="8">
        <f t="shared" si="34"/>
        <v>0</v>
      </c>
      <c r="U16" s="29">
        <f t="shared" si="33"/>
        <v>0</v>
      </c>
      <c r="W16" s="140">
        <v>44940</v>
      </c>
      <c r="X16" s="141">
        <f t="shared" si="55"/>
        <v>227080</v>
      </c>
      <c r="Y16" s="146">
        <f t="shared" si="20"/>
        <v>0</v>
      </c>
      <c r="Z16" s="141">
        <f t="shared" si="56"/>
        <v>10451</v>
      </c>
      <c r="AA16" s="146">
        <f t="shared" si="20"/>
        <v>0</v>
      </c>
      <c r="AB16" s="141">
        <v>63</v>
      </c>
      <c r="AC16" s="146">
        <f t="shared" si="20"/>
        <v>0</v>
      </c>
      <c r="AD16" s="141">
        <f t="shared" si="35"/>
        <v>872</v>
      </c>
      <c r="AE16" s="146">
        <f t="shared" si="20"/>
        <v>0</v>
      </c>
      <c r="AF16" s="141">
        <f t="shared" si="57"/>
        <v>10213</v>
      </c>
      <c r="AG16" s="146">
        <f t="shared" si="20"/>
        <v>0</v>
      </c>
    </row>
    <row r="17" spans="1:33" ht="16.5" thickBot="1" x14ac:dyDescent="0.25">
      <c r="A17" s="9">
        <v>44941</v>
      </c>
      <c r="B17" s="143">
        <f t="shared" si="37"/>
        <v>25649.254000000001</v>
      </c>
      <c r="C17" s="42">
        <f t="shared" si="21"/>
        <v>0</v>
      </c>
      <c r="D17" s="27">
        <f t="shared" si="22"/>
        <v>0</v>
      </c>
      <c r="E17" s="1">
        <f t="shared" si="40"/>
        <v>4718.201</v>
      </c>
      <c r="F17" s="42">
        <f t="shared" si="23"/>
        <v>0</v>
      </c>
      <c r="G17" s="27">
        <f t="shared" si="24"/>
        <v>0</v>
      </c>
      <c r="H17" s="1">
        <f t="shared" si="43"/>
        <v>6701</v>
      </c>
      <c r="I17" s="42">
        <f t="shared" si="25"/>
        <v>0</v>
      </c>
      <c r="J17" s="27">
        <f t="shared" si="26"/>
        <v>0</v>
      </c>
      <c r="K17" s="7">
        <f t="shared" si="46"/>
        <v>14360.35</v>
      </c>
      <c r="L17" s="42">
        <f t="shared" si="27"/>
        <v>0</v>
      </c>
      <c r="M17" s="27">
        <f t="shared" si="28"/>
        <v>0</v>
      </c>
      <c r="N17" s="7">
        <f t="shared" si="49"/>
        <v>4018.7190000000001</v>
      </c>
      <c r="O17" s="42">
        <f t="shared" si="29"/>
        <v>0</v>
      </c>
      <c r="P17" s="27">
        <f t="shared" si="30"/>
        <v>0</v>
      </c>
      <c r="Q17" s="7">
        <f t="shared" si="36"/>
        <v>5673.1</v>
      </c>
      <c r="R17" s="42">
        <f t="shared" si="31"/>
        <v>0</v>
      </c>
      <c r="S17" s="27">
        <f t="shared" si="32"/>
        <v>0</v>
      </c>
      <c r="T17" s="8">
        <f t="shared" si="34"/>
        <v>0</v>
      </c>
      <c r="U17" s="29">
        <f t="shared" si="33"/>
        <v>0</v>
      </c>
      <c r="W17" s="140">
        <v>44941</v>
      </c>
      <c r="X17" s="141">
        <f t="shared" si="55"/>
        <v>227080</v>
      </c>
      <c r="Y17" s="146">
        <f t="shared" si="20"/>
        <v>0</v>
      </c>
      <c r="Z17" s="141">
        <f t="shared" si="56"/>
        <v>10451</v>
      </c>
      <c r="AA17" s="146">
        <f t="shared" si="20"/>
        <v>0</v>
      </c>
      <c r="AB17" s="141">
        <v>63</v>
      </c>
      <c r="AC17" s="146">
        <f t="shared" si="20"/>
        <v>0</v>
      </c>
      <c r="AD17" s="141">
        <f t="shared" si="35"/>
        <v>872</v>
      </c>
      <c r="AE17" s="146">
        <f t="shared" si="20"/>
        <v>0</v>
      </c>
      <c r="AF17" s="141">
        <f t="shared" si="57"/>
        <v>10213</v>
      </c>
      <c r="AG17" s="146">
        <f t="shared" si="20"/>
        <v>0</v>
      </c>
    </row>
    <row r="18" spans="1:33" ht="16.5" thickBot="1" x14ac:dyDescent="0.25">
      <c r="A18" s="9">
        <v>44942</v>
      </c>
      <c r="B18" s="143">
        <f t="shared" si="37"/>
        <v>25649.254000000001</v>
      </c>
      <c r="C18" s="42">
        <f t="shared" si="21"/>
        <v>0</v>
      </c>
      <c r="D18" s="27">
        <f t="shared" si="22"/>
        <v>0</v>
      </c>
      <c r="E18" s="1">
        <f t="shared" si="40"/>
        <v>4718.201</v>
      </c>
      <c r="F18" s="42">
        <f t="shared" si="23"/>
        <v>0</v>
      </c>
      <c r="G18" s="27">
        <f t="shared" si="24"/>
        <v>0</v>
      </c>
      <c r="H18" s="1">
        <f t="shared" si="43"/>
        <v>6701</v>
      </c>
      <c r="I18" s="42">
        <f t="shared" si="25"/>
        <v>0</v>
      </c>
      <c r="J18" s="27">
        <f t="shared" si="26"/>
        <v>0</v>
      </c>
      <c r="K18" s="7">
        <f t="shared" si="46"/>
        <v>14360.35</v>
      </c>
      <c r="L18" s="42">
        <f t="shared" si="27"/>
        <v>0</v>
      </c>
      <c r="M18" s="27">
        <f t="shared" si="28"/>
        <v>0</v>
      </c>
      <c r="N18" s="7">
        <f t="shared" si="49"/>
        <v>4018.7190000000001</v>
      </c>
      <c r="O18" s="42">
        <f t="shared" si="29"/>
        <v>0</v>
      </c>
      <c r="P18" s="27">
        <f t="shared" si="30"/>
        <v>0</v>
      </c>
      <c r="Q18" s="7">
        <f t="shared" si="36"/>
        <v>5673.1</v>
      </c>
      <c r="R18" s="42">
        <f t="shared" si="31"/>
        <v>0</v>
      </c>
      <c r="S18" s="27">
        <f t="shared" si="32"/>
        <v>0</v>
      </c>
      <c r="T18" s="8">
        <f t="shared" si="34"/>
        <v>0</v>
      </c>
      <c r="U18" s="29">
        <f t="shared" si="33"/>
        <v>0</v>
      </c>
      <c r="W18" s="140">
        <v>44942</v>
      </c>
      <c r="X18" s="141">
        <f t="shared" si="55"/>
        <v>227080</v>
      </c>
      <c r="Y18" s="146">
        <f t="shared" si="20"/>
        <v>0</v>
      </c>
      <c r="Z18" s="141">
        <f t="shared" si="56"/>
        <v>10451</v>
      </c>
      <c r="AA18" s="146">
        <f t="shared" si="20"/>
        <v>0</v>
      </c>
      <c r="AB18" s="141">
        <v>63</v>
      </c>
      <c r="AC18" s="146">
        <f t="shared" si="20"/>
        <v>0</v>
      </c>
      <c r="AD18" s="141">
        <f t="shared" si="35"/>
        <v>872</v>
      </c>
      <c r="AE18" s="146">
        <f t="shared" si="20"/>
        <v>0</v>
      </c>
      <c r="AF18" s="141">
        <f t="shared" si="57"/>
        <v>10213</v>
      </c>
      <c r="AG18" s="146">
        <f t="shared" si="20"/>
        <v>0</v>
      </c>
    </row>
    <row r="19" spans="1:33" ht="16.5" thickBot="1" x14ac:dyDescent="0.25">
      <c r="A19" s="9">
        <v>44943</v>
      </c>
      <c r="B19" s="143">
        <f t="shared" si="37"/>
        <v>25649.254000000001</v>
      </c>
      <c r="C19" s="42">
        <f t="shared" si="21"/>
        <v>0</v>
      </c>
      <c r="D19" s="27">
        <f t="shared" si="22"/>
        <v>0</v>
      </c>
      <c r="E19" s="1">
        <f t="shared" si="40"/>
        <v>4718.201</v>
      </c>
      <c r="F19" s="42">
        <f t="shared" si="23"/>
        <v>0</v>
      </c>
      <c r="G19" s="27">
        <f t="shared" si="24"/>
        <v>0</v>
      </c>
      <c r="H19" s="1">
        <f t="shared" si="43"/>
        <v>6701</v>
      </c>
      <c r="I19" s="42">
        <f t="shared" si="25"/>
        <v>0</v>
      </c>
      <c r="J19" s="27">
        <f t="shared" si="26"/>
        <v>0</v>
      </c>
      <c r="K19" s="7">
        <f t="shared" si="46"/>
        <v>14360.35</v>
      </c>
      <c r="L19" s="42">
        <f t="shared" si="27"/>
        <v>0</v>
      </c>
      <c r="M19" s="27">
        <f t="shared" si="28"/>
        <v>0</v>
      </c>
      <c r="N19" s="7">
        <f t="shared" si="49"/>
        <v>4018.7190000000001</v>
      </c>
      <c r="O19" s="42">
        <f t="shared" si="29"/>
        <v>0</v>
      </c>
      <c r="P19" s="27">
        <f t="shared" si="30"/>
        <v>0</v>
      </c>
      <c r="Q19" s="7">
        <f t="shared" si="36"/>
        <v>5673.1</v>
      </c>
      <c r="R19" s="42">
        <f t="shared" si="31"/>
        <v>0</v>
      </c>
      <c r="S19" s="27">
        <f t="shared" si="32"/>
        <v>0</v>
      </c>
      <c r="T19" s="8">
        <f t="shared" si="34"/>
        <v>0</v>
      </c>
      <c r="U19" s="29">
        <f t="shared" si="33"/>
        <v>0</v>
      </c>
      <c r="W19" s="140">
        <v>44943</v>
      </c>
      <c r="X19" s="141">
        <f t="shared" si="55"/>
        <v>227080</v>
      </c>
      <c r="Y19" s="146">
        <f t="shared" si="20"/>
        <v>0</v>
      </c>
      <c r="Z19" s="141">
        <f t="shared" si="56"/>
        <v>10451</v>
      </c>
      <c r="AA19" s="146">
        <f t="shared" si="20"/>
        <v>0</v>
      </c>
      <c r="AB19" s="141">
        <v>63</v>
      </c>
      <c r="AC19" s="146">
        <f t="shared" si="20"/>
        <v>0</v>
      </c>
      <c r="AD19" s="141">
        <f t="shared" si="35"/>
        <v>872</v>
      </c>
      <c r="AE19" s="146">
        <f t="shared" si="20"/>
        <v>0</v>
      </c>
      <c r="AF19" s="141">
        <f t="shared" si="57"/>
        <v>10213</v>
      </c>
      <c r="AG19" s="146">
        <f t="shared" si="20"/>
        <v>0</v>
      </c>
    </row>
    <row r="20" spans="1:33" ht="16.5" thickBot="1" x14ac:dyDescent="0.25">
      <c r="A20" s="9">
        <v>44944</v>
      </c>
      <c r="B20" s="143">
        <f t="shared" si="37"/>
        <v>25649.254000000001</v>
      </c>
      <c r="C20" s="42">
        <f t="shared" si="21"/>
        <v>0</v>
      </c>
      <c r="D20" s="27">
        <f t="shared" si="22"/>
        <v>0</v>
      </c>
      <c r="E20" s="1">
        <f t="shared" si="40"/>
        <v>4718.201</v>
      </c>
      <c r="F20" s="42">
        <f t="shared" si="23"/>
        <v>0</v>
      </c>
      <c r="G20" s="27">
        <f t="shared" si="24"/>
        <v>0</v>
      </c>
      <c r="H20" s="1">
        <f t="shared" si="43"/>
        <v>6701</v>
      </c>
      <c r="I20" s="42">
        <f t="shared" si="25"/>
        <v>0</v>
      </c>
      <c r="J20" s="27">
        <f t="shared" si="26"/>
        <v>0</v>
      </c>
      <c r="K20" s="7">
        <f t="shared" si="46"/>
        <v>14360.35</v>
      </c>
      <c r="L20" s="42">
        <f t="shared" si="27"/>
        <v>0</v>
      </c>
      <c r="M20" s="27">
        <f t="shared" si="28"/>
        <v>0</v>
      </c>
      <c r="N20" s="7">
        <f t="shared" si="49"/>
        <v>4018.7190000000001</v>
      </c>
      <c r="O20" s="42">
        <f t="shared" si="29"/>
        <v>0</v>
      </c>
      <c r="P20" s="27">
        <f t="shared" si="30"/>
        <v>0</v>
      </c>
      <c r="Q20" s="7">
        <f t="shared" si="36"/>
        <v>5673.1</v>
      </c>
      <c r="R20" s="42">
        <f t="shared" si="31"/>
        <v>0</v>
      </c>
      <c r="S20" s="27">
        <f t="shared" si="32"/>
        <v>0</v>
      </c>
      <c r="T20" s="8">
        <f t="shared" si="34"/>
        <v>0</v>
      </c>
      <c r="U20" s="29">
        <f t="shared" si="33"/>
        <v>0</v>
      </c>
      <c r="W20" s="140">
        <v>44944</v>
      </c>
      <c r="X20" s="141">
        <f t="shared" si="55"/>
        <v>227080</v>
      </c>
      <c r="Y20" s="146">
        <f t="shared" si="20"/>
        <v>0</v>
      </c>
      <c r="Z20" s="141">
        <f t="shared" si="56"/>
        <v>10451</v>
      </c>
      <c r="AA20" s="146">
        <f t="shared" si="20"/>
        <v>0</v>
      </c>
      <c r="AB20" s="141">
        <v>63</v>
      </c>
      <c r="AC20" s="146">
        <f t="shared" si="20"/>
        <v>0</v>
      </c>
      <c r="AD20" s="141">
        <f t="shared" si="35"/>
        <v>872</v>
      </c>
      <c r="AE20" s="146">
        <f t="shared" si="20"/>
        <v>0</v>
      </c>
      <c r="AF20" s="141">
        <f t="shared" si="57"/>
        <v>10213</v>
      </c>
      <c r="AG20" s="146">
        <f t="shared" si="20"/>
        <v>0</v>
      </c>
    </row>
    <row r="21" spans="1:33" ht="16.5" thickBot="1" x14ac:dyDescent="0.25">
      <c r="A21" s="9">
        <v>44945</v>
      </c>
      <c r="B21" s="143">
        <f t="shared" si="37"/>
        <v>25649.254000000001</v>
      </c>
      <c r="C21" s="42">
        <f t="shared" si="21"/>
        <v>0</v>
      </c>
      <c r="D21" s="27">
        <f t="shared" si="22"/>
        <v>0</v>
      </c>
      <c r="E21" s="1">
        <f t="shared" si="40"/>
        <v>4718.201</v>
      </c>
      <c r="F21" s="42">
        <f t="shared" si="23"/>
        <v>0</v>
      </c>
      <c r="G21" s="27">
        <f t="shared" si="24"/>
        <v>0</v>
      </c>
      <c r="H21" s="1">
        <f t="shared" si="43"/>
        <v>6701</v>
      </c>
      <c r="I21" s="42">
        <f t="shared" si="25"/>
        <v>0</v>
      </c>
      <c r="J21" s="27">
        <f t="shared" si="26"/>
        <v>0</v>
      </c>
      <c r="K21" s="7">
        <f t="shared" si="46"/>
        <v>14360.35</v>
      </c>
      <c r="L21" s="42">
        <f t="shared" si="27"/>
        <v>0</v>
      </c>
      <c r="M21" s="27">
        <f t="shared" si="28"/>
        <v>0</v>
      </c>
      <c r="N21" s="7">
        <f t="shared" si="49"/>
        <v>4018.7190000000001</v>
      </c>
      <c r="O21" s="42">
        <f t="shared" si="29"/>
        <v>0</v>
      </c>
      <c r="P21" s="27">
        <f t="shared" si="30"/>
        <v>0</v>
      </c>
      <c r="Q21" s="7">
        <f t="shared" si="36"/>
        <v>5673.1</v>
      </c>
      <c r="R21" s="42">
        <f t="shared" si="31"/>
        <v>0</v>
      </c>
      <c r="S21" s="27">
        <f t="shared" si="32"/>
        <v>0</v>
      </c>
      <c r="T21" s="8">
        <f t="shared" si="34"/>
        <v>0</v>
      </c>
      <c r="U21" s="29">
        <f t="shared" si="33"/>
        <v>0</v>
      </c>
      <c r="W21" s="140">
        <v>44945</v>
      </c>
      <c r="X21" s="141">
        <f t="shared" si="55"/>
        <v>227080</v>
      </c>
      <c r="Y21" s="146">
        <f t="shared" si="20"/>
        <v>0</v>
      </c>
      <c r="Z21" s="141">
        <f t="shared" si="56"/>
        <v>10451</v>
      </c>
      <c r="AA21" s="146">
        <f t="shared" si="20"/>
        <v>0</v>
      </c>
      <c r="AB21" s="141">
        <v>63</v>
      </c>
      <c r="AC21" s="146">
        <f t="shared" si="20"/>
        <v>0</v>
      </c>
      <c r="AD21" s="141">
        <f t="shared" si="35"/>
        <v>872</v>
      </c>
      <c r="AE21" s="146">
        <f t="shared" si="20"/>
        <v>0</v>
      </c>
      <c r="AF21" s="141">
        <f t="shared" si="57"/>
        <v>10213</v>
      </c>
      <c r="AG21" s="146">
        <f t="shared" si="20"/>
        <v>0</v>
      </c>
    </row>
    <row r="22" spans="1:33" ht="16.5" thickBot="1" x14ac:dyDescent="0.25">
      <c r="A22" s="9">
        <v>44946</v>
      </c>
      <c r="B22" s="143">
        <f t="shared" si="37"/>
        <v>25649.254000000001</v>
      </c>
      <c r="C22" s="42">
        <f t="shared" si="21"/>
        <v>0</v>
      </c>
      <c r="D22" s="27">
        <f t="shared" si="22"/>
        <v>0</v>
      </c>
      <c r="E22" s="1">
        <f t="shared" si="40"/>
        <v>4718.201</v>
      </c>
      <c r="F22" s="42">
        <f t="shared" si="23"/>
        <v>0</v>
      </c>
      <c r="G22" s="27">
        <f t="shared" si="24"/>
        <v>0</v>
      </c>
      <c r="H22" s="1">
        <f t="shared" si="43"/>
        <v>6701</v>
      </c>
      <c r="I22" s="42">
        <f t="shared" si="25"/>
        <v>0</v>
      </c>
      <c r="J22" s="27">
        <f t="shared" si="26"/>
        <v>0</v>
      </c>
      <c r="K22" s="7">
        <f t="shared" si="46"/>
        <v>14360.35</v>
      </c>
      <c r="L22" s="42">
        <f t="shared" si="27"/>
        <v>0</v>
      </c>
      <c r="M22" s="27">
        <f t="shared" si="28"/>
        <v>0</v>
      </c>
      <c r="N22" s="7">
        <f t="shared" si="49"/>
        <v>4018.7190000000001</v>
      </c>
      <c r="O22" s="42">
        <f t="shared" si="29"/>
        <v>0</v>
      </c>
      <c r="P22" s="27">
        <f t="shared" si="30"/>
        <v>0</v>
      </c>
      <c r="Q22" s="7">
        <f t="shared" si="36"/>
        <v>5673.1</v>
      </c>
      <c r="R22" s="42">
        <f t="shared" si="31"/>
        <v>0</v>
      </c>
      <c r="S22" s="27">
        <f t="shared" si="32"/>
        <v>0</v>
      </c>
      <c r="T22" s="8">
        <f t="shared" si="34"/>
        <v>0</v>
      </c>
      <c r="U22" s="29">
        <f t="shared" si="33"/>
        <v>0</v>
      </c>
      <c r="W22" s="140">
        <v>44946</v>
      </c>
      <c r="X22" s="141">
        <f t="shared" si="55"/>
        <v>227080</v>
      </c>
      <c r="Y22" s="146">
        <f t="shared" si="20"/>
        <v>0</v>
      </c>
      <c r="Z22" s="141">
        <f t="shared" si="56"/>
        <v>10451</v>
      </c>
      <c r="AA22" s="146">
        <f t="shared" si="20"/>
        <v>0</v>
      </c>
      <c r="AB22" s="141">
        <v>63</v>
      </c>
      <c r="AC22" s="146">
        <f t="shared" si="20"/>
        <v>0</v>
      </c>
      <c r="AD22" s="141">
        <f t="shared" si="35"/>
        <v>872</v>
      </c>
      <c r="AE22" s="146">
        <f t="shared" si="20"/>
        <v>0</v>
      </c>
      <c r="AF22" s="141">
        <f t="shared" si="57"/>
        <v>10213</v>
      </c>
      <c r="AG22" s="146">
        <f t="shared" si="20"/>
        <v>0</v>
      </c>
    </row>
    <row r="23" spans="1:33" ht="16.5" thickBot="1" x14ac:dyDescent="0.25">
      <c r="A23" s="9">
        <v>44947</v>
      </c>
      <c r="B23" s="143">
        <f t="shared" si="37"/>
        <v>25649.254000000001</v>
      </c>
      <c r="C23" s="42">
        <f t="shared" si="21"/>
        <v>0</v>
      </c>
      <c r="D23" s="27">
        <f t="shared" si="22"/>
        <v>0</v>
      </c>
      <c r="E23" s="1">
        <f t="shared" si="40"/>
        <v>4718.201</v>
      </c>
      <c r="F23" s="42">
        <f t="shared" si="23"/>
        <v>0</v>
      </c>
      <c r="G23" s="27">
        <f t="shared" si="24"/>
        <v>0</v>
      </c>
      <c r="H23" s="1">
        <f t="shared" si="43"/>
        <v>6701</v>
      </c>
      <c r="I23" s="42">
        <f t="shared" si="25"/>
        <v>0</v>
      </c>
      <c r="J23" s="27">
        <f t="shared" si="26"/>
        <v>0</v>
      </c>
      <c r="K23" s="7">
        <f t="shared" si="46"/>
        <v>14360.35</v>
      </c>
      <c r="L23" s="42">
        <f t="shared" si="27"/>
        <v>0</v>
      </c>
      <c r="M23" s="27">
        <f t="shared" si="28"/>
        <v>0</v>
      </c>
      <c r="N23" s="7">
        <f t="shared" si="49"/>
        <v>4018.7190000000001</v>
      </c>
      <c r="O23" s="42">
        <f t="shared" si="29"/>
        <v>0</v>
      </c>
      <c r="P23" s="27">
        <f t="shared" si="30"/>
        <v>0</v>
      </c>
      <c r="Q23" s="7">
        <f t="shared" si="36"/>
        <v>5673.1</v>
      </c>
      <c r="R23" s="42">
        <f t="shared" si="31"/>
        <v>0</v>
      </c>
      <c r="S23" s="27">
        <f t="shared" si="32"/>
        <v>0</v>
      </c>
      <c r="T23" s="8">
        <f t="shared" si="34"/>
        <v>0</v>
      </c>
      <c r="U23" s="29">
        <f t="shared" si="33"/>
        <v>0</v>
      </c>
      <c r="W23" s="140">
        <v>44947</v>
      </c>
      <c r="X23" s="141">
        <f t="shared" si="55"/>
        <v>227080</v>
      </c>
      <c r="Y23" s="146">
        <f t="shared" si="20"/>
        <v>0</v>
      </c>
      <c r="Z23" s="141">
        <f t="shared" si="56"/>
        <v>10451</v>
      </c>
      <c r="AA23" s="146">
        <f t="shared" si="20"/>
        <v>0</v>
      </c>
      <c r="AB23" s="141">
        <v>63</v>
      </c>
      <c r="AC23" s="146">
        <f t="shared" si="20"/>
        <v>0</v>
      </c>
      <c r="AD23" s="141">
        <f t="shared" si="35"/>
        <v>872</v>
      </c>
      <c r="AE23" s="146">
        <f t="shared" si="20"/>
        <v>0</v>
      </c>
      <c r="AF23" s="141">
        <f t="shared" si="57"/>
        <v>10213</v>
      </c>
      <c r="AG23" s="146">
        <f t="shared" si="20"/>
        <v>0</v>
      </c>
    </row>
    <row r="24" spans="1:33" ht="16.5" thickBot="1" x14ac:dyDescent="0.25">
      <c r="A24" s="9">
        <v>44948</v>
      </c>
      <c r="B24" s="143">
        <f t="shared" si="37"/>
        <v>25649.254000000001</v>
      </c>
      <c r="C24" s="42">
        <f t="shared" si="21"/>
        <v>0</v>
      </c>
      <c r="D24" s="27">
        <f t="shared" si="22"/>
        <v>0</v>
      </c>
      <c r="E24" s="1">
        <f t="shared" si="40"/>
        <v>4718.201</v>
      </c>
      <c r="F24" s="42">
        <f t="shared" si="23"/>
        <v>0</v>
      </c>
      <c r="G24" s="27">
        <f t="shared" si="24"/>
        <v>0</v>
      </c>
      <c r="H24" s="1">
        <f t="shared" si="43"/>
        <v>6701</v>
      </c>
      <c r="I24" s="42">
        <f t="shared" si="25"/>
        <v>0</v>
      </c>
      <c r="J24" s="27">
        <f t="shared" si="26"/>
        <v>0</v>
      </c>
      <c r="K24" s="7">
        <f t="shared" si="46"/>
        <v>14360.35</v>
      </c>
      <c r="L24" s="42">
        <f t="shared" si="27"/>
        <v>0</v>
      </c>
      <c r="M24" s="27">
        <f t="shared" si="28"/>
        <v>0</v>
      </c>
      <c r="N24" s="7">
        <f t="shared" si="49"/>
        <v>4018.7190000000001</v>
      </c>
      <c r="O24" s="42">
        <f t="shared" si="29"/>
        <v>0</v>
      </c>
      <c r="P24" s="27">
        <f t="shared" si="30"/>
        <v>0</v>
      </c>
      <c r="Q24" s="7">
        <f t="shared" si="36"/>
        <v>5673.1</v>
      </c>
      <c r="R24" s="42">
        <f t="shared" si="31"/>
        <v>0</v>
      </c>
      <c r="S24" s="27">
        <f t="shared" si="32"/>
        <v>0</v>
      </c>
      <c r="T24" s="8">
        <f t="shared" si="34"/>
        <v>0</v>
      </c>
      <c r="U24" s="29">
        <f t="shared" si="33"/>
        <v>0</v>
      </c>
      <c r="W24" s="140">
        <v>44948</v>
      </c>
      <c r="X24" s="141">
        <f t="shared" si="55"/>
        <v>227080</v>
      </c>
      <c r="Y24" s="146">
        <f t="shared" si="20"/>
        <v>0</v>
      </c>
      <c r="Z24" s="141">
        <f t="shared" si="56"/>
        <v>10451</v>
      </c>
      <c r="AA24" s="146">
        <f t="shared" si="20"/>
        <v>0</v>
      </c>
      <c r="AB24" s="141">
        <v>63</v>
      </c>
      <c r="AC24" s="146">
        <f t="shared" si="20"/>
        <v>0</v>
      </c>
      <c r="AD24" s="141">
        <f t="shared" si="35"/>
        <v>872</v>
      </c>
      <c r="AE24" s="146">
        <f t="shared" si="20"/>
        <v>0</v>
      </c>
      <c r="AF24" s="141">
        <f t="shared" si="57"/>
        <v>10213</v>
      </c>
      <c r="AG24" s="146">
        <f t="shared" si="20"/>
        <v>0</v>
      </c>
    </row>
    <row r="25" spans="1:33" ht="16.5" thickBot="1" x14ac:dyDescent="0.25">
      <c r="A25" s="9">
        <v>44949</v>
      </c>
      <c r="B25" s="143">
        <f t="shared" si="37"/>
        <v>25649.254000000001</v>
      </c>
      <c r="C25" s="42">
        <f t="shared" si="21"/>
        <v>0</v>
      </c>
      <c r="D25" s="27">
        <f t="shared" si="22"/>
        <v>0</v>
      </c>
      <c r="E25" s="1">
        <f t="shared" si="40"/>
        <v>4718.201</v>
      </c>
      <c r="F25" s="42">
        <f t="shared" si="23"/>
        <v>0</v>
      </c>
      <c r="G25" s="27">
        <f t="shared" si="24"/>
        <v>0</v>
      </c>
      <c r="H25" s="1">
        <f t="shared" si="43"/>
        <v>6701</v>
      </c>
      <c r="I25" s="42">
        <f t="shared" si="25"/>
        <v>0</v>
      </c>
      <c r="J25" s="27">
        <f t="shared" si="26"/>
        <v>0</v>
      </c>
      <c r="K25" s="7">
        <f t="shared" si="46"/>
        <v>14360.35</v>
      </c>
      <c r="L25" s="42">
        <f t="shared" si="27"/>
        <v>0</v>
      </c>
      <c r="M25" s="27">
        <f t="shared" si="28"/>
        <v>0</v>
      </c>
      <c r="N25" s="7">
        <f t="shared" si="49"/>
        <v>4018.7190000000001</v>
      </c>
      <c r="O25" s="42">
        <f t="shared" si="29"/>
        <v>0</v>
      </c>
      <c r="P25" s="27">
        <f t="shared" si="30"/>
        <v>0</v>
      </c>
      <c r="Q25" s="7">
        <f t="shared" si="36"/>
        <v>5673.1</v>
      </c>
      <c r="R25" s="42">
        <f t="shared" si="31"/>
        <v>0</v>
      </c>
      <c r="S25" s="27">
        <f t="shared" si="32"/>
        <v>0</v>
      </c>
      <c r="T25" s="8">
        <f t="shared" si="34"/>
        <v>0</v>
      </c>
      <c r="U25" s="29">
        <f t="shared" si="33"/>
        <v>0</v>
      </c>
      <c r="W25" s="140">
        <v>44949</v>
      </c>
      <c r="X25" s="141">
        <f t="shared" si="55"/>
        <v>227080</v>
      </c>
      <c r="Y25" s="146">
        <f t="shared" si="20"/>
        <v>0</v>
      </c>
      <c r="Z25" s="141">
        <f t="shared" si="56"/>
        <v>10451</v>
      </c>
      <c r="AA25" s="146">
        <f t="shared" si="20"/>
        <v>0</v>
      </c>
      <c r="AB25" s="141">
        <v>63</v>
      </c>
      <c r="AC25" s="146">
        <f t="shared" si="20"/>
        <v>0</v>
      </c>
      <c r="AD25" s="141">
        <f t="shared" si="35"/>
        <v>872</v>
      </c>
      <c r="AE25" s="146">
        <f t="shared" si="20"/>
        <v>0</v>
      </c>
      <c r="AF25" s="141">
        <f t="shared" si="57"/>
        <v>10213</v>
      </c>
      <c r="AG25" s="146">
        <f t="shared" si="20"/>
        <v>0</v>
      </c>
    </row>
    <row r="26" spans="1:33" ht="16.5" thickBot="1" x14ac:dyDescent="0.25">
      <c r="A26" s="9">
        <v>44950</v>
      </c>
      <c r="B26" s="143">
        <f t="shared" si="37"/>
        <v>25649.254000000001</v>
      </c>
      <c r="C26" s="42">
        <f t="shared" si="21"/>
        <v>0</v>
      </c>
      <c r="D26" s="27">
        <f t="shared" si="22"/>
        <v>0</v>
      </c>
      <c r="E26" s="1">
        <f t="shared" si="40"/>
        <v>4718.201</v>
      </c>
      <c r="F26" s="42">
        <f t="shared" si="23"/>
        <v>0</v>
      </c>
      <c r="G26" s="27">
        <f t="shared" si="24"/>
        <v>0</v>
      </c>
      <c r="H26" s="1">
        <f t="shared" si="43"/>
        <v>6701</v>
      </c>
      <c r="I26" s="42">
        <f t="shared" si="25"/>
        <v>0</v>
      </c>
      <c r="J26" s="27">
        <f t="shared" si="26"/>
        <v>0</v>
      </c>
      <c r="K26" s="7">
        <f t="shared" si="46"/>
        <v>14360.35</v>
      </c>
      <c r="L26" s="42">
        <f>IF((K26-K25)&lt;0,"0",(K26-K25))</f>
        <v>0</v>
      </c>
      <c r="M26" s="27">
        <f t="shared" si="28"/>
        <v>0</v>
      </c>
      <c r="N26" s="7">
        <f t="shared" si="49"/>
        <v>4018.7190000000001</v>
      </c>
      <c r="O26" s="42">
        <f t="shared" si="29"/>
        <v>0</v>
      </c>
      <c r="P26" s="27">
        <f t="shared" si="30"/>
        <v>0</v>
      </c>
      <c r="Q26" s="7">
        <f t="shared" si="36"/>
        <v>5673.1</v>
      </c>
      <c r="R26" s="42">
        <f t="shared" si="31"/>
        <v>0</v>
      </c>
      <c r="S26" s="27">
        <f t="shared" si="32"/>
        <v>0</v>
      </c>
      <c r="T26" s="8">
        <f t="shared" si="34"/>
        <v>0</v>
      </c>
      <c r="U26" s="29">
        <f t="shared" si="33"/>
        <v>0</v>
      </c>
      <c r="V26" t="s">
        <v>12</v>
      </c>
      <c r="W26" s="140">
        <v>44950</v>
      </c>
      <c r="X26" s="141">
        <f t="shared" si="55"/>
        <v>227080</v>
      </c>
      <c r="Y26" s="146">
        <f t="shared" si="20"/>
        <v>0</v>
      </c>
      <c r="Z26" s="141">
        <f t="shared" si="56"/>
        <v>10451</v>
      </c>
      <c r="AA26" s="146">
        <f t="shared" si="20"/>
        <v>0</v>
      </c>
      <c r="AB26" s="141">
        <v>63</v>
      </c>
      <c r="AC26" s="146">
        <f t="shared" si="20"/>
        <v>0</v>
      </c>
      <c r="AD26" s="141">
        <f t="shared" si="35"/>
        <v>872</v>
      </c>
      <c r="AE26" s="146">
        <f t="shared" si="20"/>
        <v>0</v>
      </c>
      <c r="AF26" s="141">
        <f t="shared" si="57"/>
        <v>10213</v>
      </c>
      <c r="AG26" s="146">
        <f t="shared" si="20"/>
        <v>0</v>
      </c>
    </row>
    <row r="27" spans="1:33" ht="16.5" thickBot="1" x14ac:dyDescent="0.25">
      <c r="A27" s="9">
        <v>44951</v>
      </c>
      <c r="B27" s="143">
        <f t="shared" si="37"/>
        <v>25649.254000000001</v>
      </c>
      <c r="C27" s="42">
        <f t="shared" si="21"/>
        <v>0</v>
      </c>
      <c r="D27" s="27">
        <f t="shared" si="22"/>
        <v>0</v>
      </c>
      <c r="E27" s="1">
        <f t="shared" si="40"/>
        <v>4718.201</v>
      </c>
      <c r="F27" s="42">
        <f t="shared" si="23"/>
        <v>0</v>
      </c>
      <c r="G27" s="27">
        <f t="shared" si="24"/>
        <v>0</v>
      </c>
      <c r="H27" s="1">
        <f t="shared" si="43"/>
        <v>6701</v>
      </c>
      <c r="I27" s="42">
        <f t="shared" si="25"/>
        <v>0</v>
      </c>
      <c r="J27" s="27">
        <f t="shared" si="26"/>
        <v>0</v>
      </c>
      <c r="K27" s="7">
        <f t="shared" si="46"/>
        <v>14360.35</v>
      </c>
      <c r="L27" s="42">
        <f t="shared" si="27"/>
        <v>0</v>
      </c>
      <c r="M27" s="27">
        <f t="shared" si="28"/>
        <v>0</v>
      </c>
      <c r="N27" s="7">
        <f t="shared" si="49"/>
        <v>4018.7190000000001</v>
      </c>
      <c r="O27" s="42">
        <f t="shared" si="29"/>
        <v>0</v>
      </c>
      <c r="P27" s="27">
        <f t="shared" si="30"/>
        <v>0</v>
      </c>
      <c r="Q27" s="7">
        <f t="shared" si="36"/>
        <v>5673.1</v>
      </c>
      <c r="R27" s="42">
        <f t="shared" si="31"/>
        <v>0</v>
      </c>
      <c r="S27" s="27">
        <f t="shared" si="32"/>
        <v>0</v>
      </c>
      <c r="T27" s="8">
        <f t="shared" si="34"/>
        <v>0</v>
      </c>
      <c r="U27" s="29">
        <f t="shared" si="33"/>
        <v>0</v>
      </c>
      <c r="V27" t="s">
        <v>12</v>
      </c>
      <c r="W27" s="140">
        <v>44951</v>
      </c>
      <c r="X27" s="141">
        <f t="shared" si="55"/>
        <v>227080</v>
      </c>
      <c r="Y27" s="146">
        <f t="shared" si="20"/>
        <v>0</v>
      </c>
      <c r="Z27" s="141">
        <f t="shared" si="56"/>
        <v>10451</v>
      </c>
      <c r="AA27" s="146">
        <f t="shared" si="20"/>
        <v>0</v>
      </c>
      <c r="AB27" s="141">
        <v>63</v>
      </c>
      <c r="AC27" s="146">
        <f t="shared" si="20"/>
        <v>0</v>
      </c>
      <c r="AD27" s="141">
        <f t="shared" si="35"/>
        <v>872</v>
      </c>
      <c r="AE27" s="146">
        <f t="shared" si="20"/>
        <v>0</v>
      </c>
      <c r="AF27" s="141">
        <f t="shared" si="57"/>
        <v>10213</v>
      </c>
      <c r="AG27" s="146">
        <f t="shared" si="20"/>
        <v>0</v>
      </c>
    </row>
    <row r="28" spans="1:33" ht="16.5" thickBot="1" x14ac:dyDescent="0.25">
      <c r="A28" s="9">
        <v>44952</v>
      </c>
      <c r="B28" s="143">
        <f t="shared" si="37"/>
        <v>25649.254000000001</v>
      </c>
      <c r="C28" s="42">
        <f t="shared" si="21"/>
        <v>0</v>
      </c>
      <c r="D28" s="27">
        <f t="shared" si="22"/>
        <v>0</v>
      </c>
      <c r="E28" s="1">
        <f t="shared" si="40"/>
        <v>4718.201</v>
      </c>
      <c r="F28" s="42">
        <f t="shared" si="23"/>
        <v>0</v>
      </c>
      <c r="G28" s="27">
        <f t="shared" si="24"/>
        <v>0</v>
      </c>
      <c r="H28" s="1">
        <f t="shared" si="43"/>
        <v>6701</v>
      </c>
      <c r="I28" s="42">
        <f t="shared" si="25"/>
        <v>0</v>
      </c>
      <c r="J28" s="27">
        <f t="shared" si="26"/>
        <v>0</v>
      </c>
      <c r="K28" s="7">
        <f t="shared" si="46"/>
        <v>14360.35</v>
      </c>
      <c r="L28" s="42">
        <f t="shared" si="27"/>
        <v>0</v>
      </c>
      <c r="M28" s="27">
        <f t="shared" si="28"/>
        <v>0</v>
      </c>
      <c r="N28" s="7">
        <f t="shared" si="49"/>
        <v>4018.7190000000001</v>
      </c>
      <c r="O28" s="42">
        <f t="shared" si="29"/>
        <v>0</v>
      </c>
      <c r="P28" s="27">
        <f t="shared" si="30"/>
        <v>0</v>
      </c>
      <c r="Q28" s="7">
        <f t="shared" si="36"/>
        <v>5673.1</v>
      </c>
      <c r="R28" s="42">
        <f t="shared" si="31"/>
        <v>0</v>
      </c>
      <c r="S28" s="27">
        <f t="shared" si="32"/>
        <v>0</v>
      </c>
      <c r="T28" s="8">
        <f t="shared" si="34"/>
        <v>0</v>
      </c>
      <c r="U28" s="29">
        <f t="shared" si="33"/>
        <v>0</v>
      </c>
      <c r="W28" s="140">
        <v>44952</v>
      </c>
      <c r="X28" s="141">
        <f t="shared" si="55"/>
        <v>227080</v>
      </c>
      <c r="Y28" s="146">
        <f t="shared" si="20"/>
        <v>0</v>
      </c>
      <c r="Z28" s="141">
        <f t="shared" si="56"/>
        <v>10451</v>
      </c>
      <c r="AA28" s="146">
        <f t="shared" si="20"/>
        <v>0</v>
      </c>
      <c r="AB28" s="141">
        <v>63</v>
      </c>
      <c r="AC28" s="146">
        <f t="shared" si="20"/>
        <v>0</v>
      </c>
      <c r="AD28" s="141">
        <f t="shared" si="35"/>
        <v>872</v>
      </c>
      <c r="AE28" s="146">
        <f t="shared" si="20"/>
        <v>0</v>
      </c>
      <c r="AF28" s="141">
        <f t="shared" si="57"/>
        <v>10213</v>
      </c>
      <c r="AG28" s="146">
        <f t="shared" si="20"/>
        <v>0</v>
      </c>
    </row>
    <row r="29" spans="1:33" ht="16.5" thickBot="1" x14ac:dyDescent="0.25">
      <c r="A29" s="9">
        <v>44953</v>
      </c>
      <c r="B29" s="143">
        <f t="shared" si="37"/>
        <v>25649.254000000001</v>
      </c>
      <c r="C29" s="42">
        <f t="shared" si="21"/>
        <v>0</v>
      </c>
      <c r="D29" s="27">
        <f t="shared" si="22"/>
        <v>0</v>
      </c>
      <c r="E29" s="1">
        <f t="shared" si="40"/>
        <v>4718.201</v>
      </c>
      <c r="F29" s="42">
        <f t="shared" si="23"/>
        <v>0</v>
      </c>
      <c r="G29" s="27">
        <f t="shared" si="24"/>
        <v>0</v>
      </c>
      <c r="H29" s="1">
        <f t="shared" si="43"/>
        <v>6701</v>
      </c>
      <c r="I29" s="42">
        <f t="shared" si="25"/>
        <v>0</v>
      </c>
      <c r="J29" s="27">
        <f t="shared" si="26"/>
        <v>0</v>
      </c>
      <c r="K29" s="7">
        <f t="shared" si="46"/>
        <v>14360.35</v>
      </c>
      <c r="L29" s="42">
        <f t="shared" si="27"/>
        <v>0</v>
      </c>
      <c r="M29" s="27">
        <f t="shared" si="28"/>
        <v>0</v>
      </c>
      <c r="N29" s="7">
        <f t="shared" si="49"/>
        <v>4018.7190000000001</v>
      </c>
      <c r="O29" s="42">
        <f t="shared" si="29"/>
        <v>0</v>
      </c>
      <c r="P29" s="27">
        <f t="shared" si="30"/>
        <v>0</v>
      </c>
      <c r="Q29" s="7">
        <f t="shared" si="36"/>
        <v>5673.1</v>
      </c>
      <c r="R29" s="42">
        <f t="shared" si="31"/>
        <v>0</v>
      </c>
      <c r="S29" s="27">
        <f t="shared" si="32"/>
        <v>0</v>
      </c>
      <c r="T29" s="8">
        <f t="shared" si="34"/>
        <v>0</v>
      </c>
      <c r="U29" s="29">
        <f t="shared" si="33"/>
        <v>0</v>
      </c>
      <c r="W29" s="140">
        <v>44953</v>
      </c>
      <c r="X29" s="141">
        <f t="shared" si="55"/>
        <v>227080</v>
      </c>
      <c r="Y29" s="146">
        <f t="shared" si="20"/>
        <v>0</v>
      </c>
      <c r="Z29" s="141">
        <f t="shared" si="56"/>
        <v>10451</v>
      </c>
      <c r="AA29" s="146">
        <f t="shared" si="20"/>
        <v>0</v>
      </c>
      <c r="AB29" s="141">
        <v>63</v>
      </c>
      <c r="AC29" s="146">
        <f t="shared" si="20"/>
        <v>0</v>
      </c>
      <c r="AD29" s="141">
        <f t="shared" si="35"/>
        <v>872</v>
      </c>
      <c r="AE29" s="146">
        <f t="shared" si="20"/>
        <v>0</v>
      </c>
      <c r="AF29" s="141">
        <f t="shared" si="57"/>
        <v>10213</v>
      </c>
      <c r="AG29" s="146">
        <f t="shared" si="20"/>
        <v>0</v>
      </c>
    </row>
    <row r="30" spans="1:33" ht="16.5" thickBot="1" x14ac:dyDescent="0.25">
      <c r="A30" s="9">
        <v>44954</v>
      </c>
      <c r="B30" s="143">
        <f t="shared" si="37"/>
        <v>25649.254000000001</v>
      </c>
      <c r="C30" s="42">
        <f t="shared" si="21"/>
        <v>0</v>
      </c>
      <c r="D30" s="27">
        <f t="shared" si="22"/>
        <v>0</v>
      </c>
      <c r="E30" s="1">
        <f t="shared" si="40"/>
        <v>4718.201</v>
      </c>
      <c r="F30" s="42">
        <f t="shared" si="23"/>
        <v>0</v>
      </c>
      <c r="G30" s="27">
        <f t="shared" si="24"/>
        <v>0</v>
      </c>
      <c r="H30" s="1">
        <f t="shared" si="43"/>
        <v>6701</v>
      </c>
      <c r="I30" s="42">
        <f t="shared" si="25"/>
        <v>0</v>
      </c>
      <c r="J30" s="27">
        <f t="shared" si="26"/>
        <v>0</v>
      </c>
      <c r="K30" s="7">
        <f t="shared" si="46"/>
        <v>14360.35</v>
      </c>
      <c r="L30" s="42">
        <f t="shared" si="27"/>
        <v>0</v>
      </c>
      <c r="M30" s="27">
        <f t="shared" si="28"/>
        <v>0</v>
      </c>
      <c r="N30" s="7">
        <f t="shared" si="49"/>
        <v>4018.7190000000001</v>
      </c>
      <c r="O30" s="42">
        <f t="shared" si="29"/>
        <v>0</v>
      </c>
      <c r="P30" s="27">
        <f t="shared" si="30"/>
        <v>0</v>
      </c>
      <c r="Q30" s="7">
        <f t="shared" si="36"/>
        <v>5673.1</v>
      </c>
      <c r="R30" s="42">
        <f t="shared" si="31"/>
        <v>0</v>
      </c>
      <c r="S30" s="27">
        <f t="shared" si="32"/>
        <v>0</v>
      </c>
      <c r="T30" s="8">
        <f t="shared" si="34"/>
        <v>0</v>
      </c>
      <c r="U30" s="29">
        <f t="shared" si="33"/>
        <v>0</v>
      </c>
      <c r="W30" s="140">
        <v>44954</v>
      </c>
      <c r="X30" s="141">
        <f t="shared" si="55"/>
        <v>227080</v>
      </c>
      <c r="Y30" s="146">
        <f t="shared" si="20"/>
        <v>0</v>
      </c>
      <c r="Z30" s="141">
        <f t="shared" si="56"/>
        <v>10451</v>
      </c>
      <c r="AA30" s="146">
        <f t="shared" si="20"/>
        <v>0</v>
      </c>
      <c r="AB30" s="141">
        <v>63</v>
      </c>
      <c r="AC30" s="146">
        <f t="shared" si="20"/>
        <v>0</v>
      </c>
      <c r="AD30" s="141">
        <f t="shared" si="35"/>
        <v>872</v>
      </c>
      <c r="AE30" s="146">
        <f t="shared" si="20"/>
        <v>0</v>
      </c>
      <c r="AF30" s="141">
        <f t="shared" si="57"/>
        <v>10213</v>
      </c>
      <c r="AG30" s="146">
        <f t="shared" si="20"/>
        <v>0</v>
      </c>
    </row>
    <row r="31" spans="1:33" ht="16.5" thickBot="1" x14ac:dyDescent="0.25">
      <c r="A31" s="9">
        <v>44955</v>
      </c>
      <c r="B31" s="143">
        <f t="shared" si="37"/>
        <v>25649.254000000001</v>
      </c>
      <c r="C31" s="42">
        <f t="shared" si="21"/>
        <v>0</v>
      </c>
      <c r="D31" s="27">
        <f t="shared" si="22"/>
        <v>0</v>
      </c>
      <c r="E31" s="1">
        <f t="shared" si="40"/>
        <v>4718.201</v>
      </c>
      <c r="F31" s="42">
        <f t="shared" si="23"/>
        <v>0</v>
      </c>
      <c r="G31" s="27">
        <f t="shared" si="24"/>
        <v>0</v>
      </c>
      <c r="H31" s="1">
        <f t="shared" si="43"/>
        <v>6701</v>
      </c>
      <c r="I31" s="42">
        <f t="shared" si="25"/>
        <v>0</v>
      </c>
      <c r="J31" s="27">
        <f t="shared" si="26"/>
        <v>0</v>
      </c>
      <c r="K31" s="7">
        <f t="shared" si="46"/>
        <v>14360.35</v>
      </c>
      <c r="L31" s="42">
        <f t="shared" si="27"/>
        <v>0</v>
      </c>
      <c r="M31" s="27">
        <f t="shared" si="28"/>
        <v>0</v>
      </c>
      <c r="N31" s="7">
        <f t="shared" si="49"/>
        <v>4018.7190000000001</v>
      </c>
      <c r="O31" s="42">
        <f t="shared" si="29"/>
        <v>0</v>
      </c>
      <c r="P31" s="27">
        <f t="shared" si="30"/>
        <v>0</v>
      </c>
      <c r="Q31" s="7">
        <f t="shared" si="36"/>
        <v>5673.1</v>
      </c>
      <c r="R31" s="42">
        <f t="shared" si="31"/>
        <v>0</v>
      </c>
      <c r="S31" s="27">
        <f t="shared" si="32"/>
        <v>0</v>
      </c>
      <c r="T31" s="8">
        <f t="shared" si="34"/>
        <v>0</v>
      </c>
      <c r="U31" s="29">
        <f t="shared" si="33"/>
        <v>0</v>
      </c>
      <c r="W31" s="140">
        <v>44955</v>
      </c>
      <c r="X31" s="141">
        <f t="shared" si="55"/>
        <v>227080</v>
      </c>
      <c r="Y31" s="146">
        <f t="shared" si="20"/>
        <v>0</v>
      </c>
      <c r="Z31" s="141">
        <f t="shared" si="56"/>
        <v>10451</v>
      </c>
      <c r="AA31" s="146">
        <f t="shared" si="20"/>
        <v>0</v>
      </c>
      <c r="AB31" s="141">
        <v>63</v>
      </c>
      <c r="AC31" s="146">
        <f t="shared" si="20"/>
        <v>0</v>
      </c>
      <c r="AD31" s="141">
        <f t="shared" si="35"/>
        <v>872</v>
      </c>
      <c r="AE31" s="146">
        <f t="shared" si="20"/>
        <v>0</v>
      </c>
      <c r="AF31" s="141">
        <f t="shared" si="57"/>
        <v>10213</v>
      </c>
      <c r="AG31" s="146">
        <f t="shared" si="20"/>
        <v>0</v>
      </c>
    </row>
    <row r="32" spans="1:33" ht="16.5" thickBot="1" x14ac:dyDescent="0.25">
      <c r="A32" s="9">
        <v>44956</v>
      </c>
      <c r="B32" s="143">
        <f t="shared" si="37"/>
        <v>25649.254000000001</v>
      </c>
      <c r="C32" s="42">
        <f t="shared" si="21"/>
        <v>0</v>
      </c>
      <c r="D32" s="27">
        <v>9</v>
      </c>
      <c r="E32" s="1">
        <f t="shared" si="40"/>
        <v>4718.201</v>
      </c>
      <c r="F32" s="42">
        <f t="shared" si="23"/>
        <v>0</v>
      </c>
      <c r="G32" s="27">
        <f t="shared" si="24"/>
        <v>0</v>
      </c>
      <c r="H32" s="1">
        <f t="shared" si="43"/>
        <v>6701</v>
      </c>
      <c r="I32" s="42">
        <f t="shared" si="25"/>
        <v>0</v>
      </c>
      <c r="J32" s="27">
        <f t="shared" si="26"/>
        <v>0</v>
      </c>
      <c r="K32" s="7">
        <f t="shared" si="46"/>
        <v>14360.35</v>
      </c>
      <c r="L32" s="42">
        <f t="shared" si="27"/>
        <v>0</v>
      </c>
      <c r="M32" s="27">
        <f t="shared" si="28"/>
        <v>0</v>
      </c>
      <c r="N32" s="7">
        <f t="shared" si="49"/>
        <v>4018.7190000000001</v>
      </c>
      <c r="O32" s="42">
        <f t="shared" si="29"/>
        <v>0</v>
      </c>
      <c r="P32" s="27">
        <f t="shared" si="30"/>
        <v>0</v>
      </c>
      <c r="Q32" s="7">
        <f t="shared" si="36"/>
        <v>5673.1</v>
      </c>
      <c r="R32" s="42">
        <f t="shared" si="31"/>
        <v>0</v>
      </c>
      <c r="S32" s="27">
        <f t="shared" si="32"/>
        <v>0</v>
      </c>
      <c r="T32" s="8">
        <f t="shared" si="34"/>
        <v>0</v>
      </c>
      <c r="U32" s="29">
        <f t="shared" si="33"/>
        <v>0</v>
      </c>
      <c r="W32" s="140">
        <v>44956</v>
      </c>
      <c r="X32" s="141">
        <f t="shared" si="55"/>
        <v>227080</v>
      </c>
      <c r="Y32" s="146">
        <f t="shared" ref="Y32" si="58">IF((X32-X31)&lt;0,"0",(X32-X31))</f>
        <v>0</v>
      </c>
      <c r="Z32" s="141">
        <f t="shared" si="56"/>
        <v>10451</v>
      </c>
      <c r="AA32" s="146">
        <f t="shared" ref="AA32" si="59">IF((Z32-Z31)&lt;0,"0",(Z32-Z31))</f>
        <v>0</v>
      </c>
      <c r="AB32" s="141">
        <v>63</v>
      </c>
      <c r="AC32" s="146">
        <f t="shared" ref="AC32" si="60">IF((AB32-AB31)&lt;0,"0",(AB32-AB31))</f>
        <v>0</v>
      </c>
      <c r="AD32" s="141">
        <f t="shared" si="35"/>
        <v>872</v>
      </c>
      <c r="AE32" s="146">
        <f t="shared" ref="AE32" si="61">IF((AD32-AD31)&lt;0,"0",(AD32-AD31))</f>
        <v>0</v>
      </c>
      <c r="AF32" s="141">
        <f t="shared" si="57"/>
        <v>10213</v>
      </c>
      <c r="AG32" s="146">
        <f t="shared" ref="AG32" si="62">IF((AF32-AF31)&lt;0,"0",(AF32-AF31))</f>
        <v>0</v>
      </c>
    </row>
    <row r="33" spans="1:33" ht="16.5" thickBot="1" x14ac:dyDescent="0.25">
      <c r="A33" s="9">
        <v>44957</v>
      </c>
      <c r="B33" s="143">
        <f t="shared" si="37"/>
        <v>25649.254000000001</v>
      </c>
      <c r="C33" s="42">
        <f t="shared" ref="C33" si="63">IF((B33-B32)&lt;0,"0",(B33-B32))</f>
        <v>0</v>
      </c>
      <c r="D33" s="27">
        <f t="shared" ref="D33" si="64">C33*1.9*1000</f>
        <v>0</v>
      </c>
      <c r="E33" s="1">
        <f t="shared" si="40"/>
        <v>4718.201</v>
      </c>
      <c r="F33" s="42">
        <f t="shared" ref="F33" si="65">IF((E33-E32)&lt;0,"0",(E33-E32))</f>
        <v>0</v>
      </c>
      <c r="G33" s="27">
        <f t="shared" ref="G33" si="66">F33*1.9*1000</f>
        <v>0</v>
      </c>
      <c r="H33" s="1">
        <f t="shared" si="43"/>
        <v>6701</v>
      </c>
      <c r="I33" s="42">
        <f t="shared" ref="I33" si="67">IF((H33-H32)&lt;0,"0",(H33-H32))</f>
        <v>0</v>
      </c>
      <c r="J33" s="27">
        <f t="shared" ref="J33" si="68">I33*1.9*1000</f>
        <v>0</v>
      </c>
      <c r="K33" s="7">
        <f t="shared" si="46"/>
        <v>14360.35</v>
      </c>
      <c r="L33" s="42">
        <f t="shared" ref="L33" si="69">IF((K33-K32)&lt;0,"0",(K33-K32))</f>
        <v>0</v>
      </c>
      <c r="M33" s="27">
        <f t="shared" ref="M33" si="70">L33*1.9*1000</f>
        <v>0</v>
      </c>
      <c r="N33" s="7">
        <f t="shared" si="49"/>
        <v>4018.7190000000001</v>
      </c>
      <c r="O33" s="42">
        <f t="shared" ref="O33" si="71">IF((N33-N32)&lt;0,"0",(N33-N32))</f>
        <v>0</v>
      </c>
      <c r="P33" s="27">
        <f t="shared" ref="P33" si="72">O33*1.9*1000</f>
        <v>0</v>
      </c>
      <c r="Q33" s="7">
        <f t="shared" si="36"/>
        <v>5673.1</v>
      </c>
      <c r="R33" s="42">
        <f t="shared" ref="R33" si="73">IF((Q33-Q32)&lt;0,"0",(Q33-Q32))</f>
        <v>0</v>
      </c>
      <c r="S33" s="27">
        <f t="shared" ref="S33" si="74">R33*1.9*1000</f>
        <v>0</v>
      </c>
      <c r="T33" s="8">
        <f t="shared" ref="T33" si="75">C33+F33+I33+L33+O33+R33</f>
        <v>0</v>
      </c>
      <c r="U33" s="29">
        <f t="shared" ref="U33" si="76">T33*1.9*1000</f>
        <v>0</v>
      </c>
      <c r="W33" s="140">
        <v>44957</v>
      </c>
      <c r="X33" s="141">
        <f t="shared" si="55"/>
        <v>227080</v>
      </c>
      <c r="Y33" s="146">
        <f t="shared" ref="Y33" si="77">IF((X33-X32)&lt;0,"0",(X33-X32))</f>
        <v>0</v>
      </c>
      <c r="Z33" s="141">
        <f t="shared" si="56"/>
        <v>10451</v>
      </c>
      <c r="AA33" s="146">
        <f t="shared" ref="AA33" si="78">IF((Z33-Z32)&lt;0,"0",(Z33-Z32))</f>
        <v>0</v>
      </c>
      <c r="AB33" s="141">
        <v>63</v>
      </c>
      <c r="AC33" s="146">
        <f t="shared" ref="AC33" si="79">IF((AB33-AB32)&lt;0,"0",(AB33-AB32))</f>
        <v>0</v>
      </c>
      <c r="AD33" s="141">
        <f t="shared" si="35"/>
        <v>872</v>
      </c>
      <c r="AE33" s="146">
        <f t="shared" ref="AE33" si="80">IF((AD33-AD32)&lt;0,"0",(AD33-AD32))</f>
        <v>0</v>
      </c>
      <c r="AF33" s="141">
        <f t="shared" si="57"/>
        <v>10213</v>
      </c>
      <c r="AG33" s="146">
        <f t="shared" ref="AG33" si="81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36.584000000002561</v>
      </c>
      <c r="D34" s="123">
        <f>SUM(D3:D33)</f>
        <v>69518.600000004866</v>
      </c>
      <c r="E34" s="123"/>
      <c r="F34" s="123">
        <f t="shared" ref="F34:U34" si="82">SUM(F3:F33)</f>
        <v>8.1400000000003274</v>
      </c>
      <c r="G34" s="123">
        <f t="shared" si="82"/>
        <v>15466.000000000622</v>
      </c>
      <c r="H34" s="123"/>
      <c r="I34" s="123">
        <f t="shared" si="82"/>
        <v>41</v>
      </c>
      <c r="J34" s="123">
        <f t="shared" si="82"/>
        <v>77900</v>
      </c>
      <c r="K34" s="123"/>
      <c r="L34" s="123">
        <f t="shared" si="82"/>
        <v>6.3299999999999272</v>
      </c>
      <c r="M34" s="123">
        <f t="shared" si="82"/>
        <v>12026.999999999862</v>
      </c>
      <c r="N34" s="123"/>
      <c r="O34" s="123">
        <f t="shared" si="82"/>
        <v>24.699000000000069</v>
      </c>
      <c r="P34" s="123">
        <f t="shared" si="82"/>
        <v>46928.10000000013</v>
      </c>
      <c r="Q34" s="123"/>
      <c r="R34" s="123">
        <f t="shared" si="82"/>
        <v>0</v>
      </c>
      <c r="S34" s="123">
        <f t="shared" si="82"/>
        <v>0</v>
      </c>
      <c r="T34" s="123">
        <f t="shared" si="82"/>
        <v>116.75300000000288</v>
      </c>
      <c r="U34" s="123">
        <f t="shared" si="82"/>
        <v>221830.70000000545</v>
      </c>
      <c r="V34"/>
      <c r="W34" s="123" t="s">
        <v>139</v>
      </c>
      <c r="X34" s="123"/>
      <c r="Y34" s="123">
        <f>SUM(Y3:Y33)</f>
        <v>963</v>
      </c>
      <c r="Z34" s="123"/>
      <c r="AA34" s="123">
        <f t="shared" ref="AA34:AG34" si="83">SUM(AA3:AA33)</f>
        <v>61</v>
      </c>
      <c r="AB34" s="123"/>
      <c r="AC34" s="123">
        <f t="shared" si="83"/>
        <v>0</v>
      </c>
      <c r="AD34" s="123"/>
      <c r="AE34" s="123">
        <f t="shared" si="83"/>
        <v>4</v>
      </c>
      <c r="AF34" s="123"/>
      <c r="AG34" s="123">
        <f t="shared" si="83"/>
        <v>70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:AG34">
    <cfRule type="cellIs" dxfId="1" priority="2" operator="lessThan">
      <formula>0</formula>
    </cfRule>
  </conditionalFormatting>
  <conditionalFormatting sqref="B2:AG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topLeftCell="B1" zoomScale="91" zoomScaleNormal="91" workbookViewId="0">
      <pane ySplit="1" topLeftCell="A2" activePane="bottomLeft" state="frozen"/>
      <selection pane="bottomLeft" activeCell="P32" sqref="P32:P3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145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145</v>
      </c>
      <c r="S1" s="56" t="s">
        <v>148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290188</v>
      </c>
      <c r="E2" s="59">
        <v>290920</v>
      </c>
      <c r="F2" s="60">
        <f t="shared" ref="F2:F43" si="0">IF((E2-D2)&lt;0,"0",(E2-D2))</f>
        <v>732</v>
      </c>
      <c r="G2" s="61"/>
      <c r="I2" s="172">
        <v>6</v>
      </c>
      <c r="J2" s="58" t="s">
        <v>78</v>
      </c>
      <c r="K2" s="59">
        <v>290920</v>
      </c>
      <c r="L2" s="59">
        <v>291777</v>
      </c>
      <c r="M2" s="60">
        <f t="shared" ref="M2:M4" si="1">IF((L2-K2)&lt;0,"0",(L2-K2))</f>
        <v>857</v>
      </c>
      <c r="N2" s="61"/>
      <c r="P2" s="172">
        <v>6</v>
      </c>
      <c r="Q2" s="58" t="s">
        <v>78</v>
      </c>
      <c r="R2" s="59">
        <v>291777</v>
      </c>
      <c r="S2" s="59">
        <v>292457</v>
      </c>
      <c r="T2" s="60">
        <f t="shared" ref="T2:T4" si="2">IF((S2-R2)&lt;0,"0",(S2-R2))</f>
        <v>680</v>
      </c>
      <c r="U2" s="61"/>
    </row>
    <row r="3" spans="1:21" ht="15" x14ac:dyDescent="0.2">
      <c r="A3" s="152"/>
      <c r="B3" s="179"/>
      <c r="C3" s="58" t="s">
        <v>79</v>
      </c>
      <c r="D3" s="59">
        <v>252038</v>
      </c>
      <c r="E3" s="59">
        <v>252743</v>
      </c>
      <c r="F3" s="60">
        <f t="shared" si="0"/>
        <v>705</v>
      </c>
      <c r="G3" s="61"/>
      <c r="I3" s="179"/>
      <c r="J3" s="58" t="s">
        <v>79</v>
      </c>
      <c r="K3" s="59">
        <v>252743</v>
      </c>
      <c r="L3" s="59">
        <v>253211</v>
      </c>
      <c r="M3" s="60">
        <f t="shared" si="1"/>
        <v>468</v>
      </c>
      <c r="N3" s="61"/>
      <c r="P3" s="179"/>
      <c r="Q3" s="58" t="s">
        <v>79</v>
      </c>
      <c r="R3" s="59">
        <v>253211</v>
      </c>
      <c r="S3" s="59">
        <v>253658</v>
      </c>
      <c r="T3" s="60">
        <f t="shared" si="2"/>
        <v>447</v>
      </c>
      <c r="U3" s="61"/>
    </row>
    <row r="4" spans="1:21" ht="15" x14ac:dyDescent="0.2">
      <c r="A4" s="152"/>
      <c r="B4" s="173"/>
      <c r="C4" s="58" t="s">
        <v>80</v>
      </c>
      <c r="D4" s="59">
        <v>197459</v>
      </c>
      <c r="E4" s="59">
        <v>197781</v>
      </c>
      <c r="F4" s="60">
        <f t="shared" si="0"/>
        <v>322</v>
      </c>
      <c r="G4" s="61"/>
      <c r="I4" s="173"/>
      <c r="J4" s="58" t="s">
        <v>80</v>
      </c>
      <c r="K4" s="59">
        <v>197781</v>
      </c>
      <c r="L4" s="59">
        <v>198029</v>
      </c>
      <c r="M4" s="60">
        <f t="shared" si="1"/>
        <v>248</v>
      </c>
      <c r="N4" s="61"/>
      <c r="P4" s="173"/>
      <c r="Q4" s="58" t="s">
        <v>80</v>
      </c>
      <c r="R4" s="59">
        <v>198029</v>
      </c>
      <c r="S4" s="59">
        <v>198244</v>
      </c>
      <c r="T4" s="60">
        <f t="shared" si="2"/>
        <v>215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258466</v>
      </c>
      <c r="E5" s="59">
        <v>259655</v>
      </c>
      <c r="F5" s="60">
        <f t="shared" si="0"/>
        <v>1189</v>
      </c>
      <c r="G5" s="61"/>
      <c r="I5" s="172">
        <v>7</v>
      </c>
      <c r="J5" s="58" t="s">
        <v>78</v>
      </c>
      <c r="K5" s="59">
        <v>259655</v>
      </c>
      <c r="L5" s="59">
        <v>260708</v>
      </c>
      <c r="M5" s="60">
        <f>IF((L5-K5)&lt;0,"0",(L5-K5))</f>
        <v>1053</v>
      </c>
      <c r="N5" s="61"/>
      <c r="P5" s="172">
        <v>7</v>
      </c>
      <c r="Q5" s="58" t="s">
        <v>78</v>
      </c>
      <c r="R5" s="59">
        <v>260708</v>
      </c>
      <c r="S5" s="59">
        <v>261718</v>
      </c>
      <c r="T5" s="60">
        <f>IF((S5-R5)&lt;0,"0",(S5-R5))</f>
        <v>1010</v>
      </c>
      <c r="U5" s="61"/>
    </row>
    <row r="6" spans="1:21" ht="15" x14ac:dyDescent="0.2">
      <c r="A6" s="152"/>
      <c r="B6" s="179"/>
      <c r="C6" s="58" t="s">
        <v>79</v>
      </c>
      <c r="D6" s="59">
        <v>158264</v>
      </c>
      <c r="E6" s="59">
        <v>158493</v>
      </c>
      <c r="F6" s="60">
        <f t="shared" si="0"/>
        <v>229</v>
      </c>
      <c r="G6" s="61"/>
      <c r="I6" s="179"/>
      <c r="J6" s="58" t="s">
        <v>79</v>
      </c>
      <c r="K6" s="59">
        <v>158493</v>
      </c>
      <c r="L6" s="59">
        <v>158711</v>
      </c>
      <c r="M6" s="60">
        <f t="shared" ref="M6:M43" si="3">IF((L6-K6)&lt;0,"0",(L6-K6))</f>
        <v>218</v>
      </c>
      <c r="N6" s="61"/>
      <c r="P6" s="179"/>
      <c r="Q6" s="58" t="s">
        <v>79</v>
      </c>
      <c r="R6" s="59">
        <v>158711</v>
      </c>
      <c r="S6" s="59">
        <v>158921</v>
      </c>
      <c r="T6" s="60">
        <f t="shared" ref="T6:T63" si="4">IF((S6-R6)&lt;0,"0",(S6-R6))</f>
        <v>210</v>
      </c>
      <c r="U6" s="61"/>
    </row>
    <row r="7" spans="1:21" ht="15" x14ac:dyDescent="0.2">
      <c r="A7" s="152"/>
      <c r="B7" s="173"/>
      <c r="C7" s="58" t="s">
        <v>80</v>
      </c>
      <c r="D7" s="59">
        <v>132783</v>
      </c>
      <c r="E7" s="59">
        <v>132941</v>
      </c>
      <c r="F7" s="60">
        <f t="shared" si="0"/>
        <v>158</v>
      </c>
      <c r="G7" s="61"/>
      <c r="I7" s="173"/>
      <c r="J7" s="58" t="s">
        <v>80</v>
      </c>
      <c r="K7" s="59">
        <v>132941</v>
      </c>
      <c r="L7" s="59">
        <v>133219</v>
      </c>
      <c r="M7" s="60">
        <f t="shared" si="3"/>
        <v>278</v>
      </c>
      <c r="N7" s="61"/>
      <c r="P7" s="173"/>
      <c r="Q7" s="58" t="s">
        <v>80</v>
      </c>
      <c r="R7" s="59">
        <v>133219</v>
      </c>
      <c r="S7" s="59">
        <v>133450</v>
      </c>
      <c r="T7" s="60">
        <f t="shared" si="4"/>
        <v>231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83064</v>
      </c>
      <c r="E8" s="59">
        <v>84513</v>
      </c>
      <c r="F8" s="60">
        <f t="shared" si="0"/>
        <v>1449</v>
      </c>
      <c r="G8" s="61"/>
      <c r="I8" s="172">
        <v>8</v>
      </c>
      <c r="J8" s="58" t="s">
        <v>78</v>
      </c>
      <c r="K8" s="59">
        <v>84513</v>
      </c>
      <c r="L8" s="59">
        <v>85731</v>
      </c>
      <c r="M8" s="60">
        <f t="shared" si="3"/>
        <v>1218</v>
      </c>
      <c r="N8" s="61"/>
      <c r="P8" s="172">
        <v>8</v>
      </c>
      <c r="Q8" s="58" t="s">
        <v>78</v>
      </c>
      <c r="R8" s="59">
        <v>85731</v>
      </c>
      <c r="S8" s="59">
        <v>87174</v>
      </c>
      <c r="T8" s="60">
        <f t="shared" si="4"/>
        <v>1443</v>
      </c>
      <c r="U8" s="61"/>
    </row>
    <row r="9" spans="1:21" ht="15" x14ac:dyDescent="0.2">
      <c r="A9" s="152"/>
      <c r="B9" s="179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79"/>
      <c r="J9" s="58" t="s">
        <v>79</v>
      </c>
      <c r="K9" s="59">
        <v>158</v>
      </c>
      <c r="L9" s="59">
        <v>158</v>
      </c>
      <c r="M9" s="60">
        <f t="shared" si="3"/>
        <v>0</v>
      </c>
      <c r="N9" s="62" t="s">
        <v>12</v>
      </c>
      <c r="P9" s="179"/>
      <c r="Q9" s="58" t="s">
        <v>79</v>
      </c>
      <c r="R9" s="59">
        <v>158</v>
      </c>
      <c r="S9" s="59">
        <v>158</v>
      </c>
      <c r="T9" s="60">
        <f t="shared" si="4"/>
        <v>0</v>
      </c>
      <c r="U9" s="62" t="s">
        <v>12</v>
      </c>
    </row>
    <row r="10" spans="1:21" ht="15" x14ac:dyDescent="0.2">
      <c r="A10" s="152"/>
      <c r="B10" s="173"/>
      <c r="C10" s="58" t="s">
        <v>80</v>
      </c>
      <c r="D10" s="59">
        <v>107268</v>
      </c>
      <c r="E10" s="59">
        <v>108266</v>
      </c>
      <c r="F10" s="60">
        <f t="shared" si="0"/>
        <v>998</v>
      </c>
      <c r="G10" s="61"/>
      <c r="I10" s="173"/>
      <c r="J10" s="58" t="s">
        <v>80</v>
      </c>
      <c r="K10" s="59">
        <v>108266</v>
      </c>
      <c r="L10" s="59">
        <v>108945</v>
      </c>
      <c r="M10" s="60">
        <f t="shared" si="3"/>
        <v>679</v>
      </c>
      <c r="N10" s="61"/>
      <c r="P10" s="173"/>
      <c r="Q10" s="58" t="s">
        <v>80</v>
      </c>
      <c r="R10" s="59">
        <v>108945</v>
      </c>
      <c r="S10" s="59">
        <v>109437</v>
      </c>
      <c r="T10" s="60">
        <f t="shared" si="4"/>
        <v>492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35334</v>
      </c>
      <c r="E11" s="59">
        <v>35418</v>
      </c>
      <c r="F11" s="60">
        <f t="shared" si="0"/>
        <v>84</v>
      </c>
      <c r="G11" s="61"/>
      <c r="I11" s="172">
        <v>9</v>
      </c>
      <c r="J11" s="58" t="s">
        <v>78</v>
      </c>
      <c r="K11" s="59">
        <v>35418</v>
      </c>
      <c r="L11" s="59">
        <v>35452</v>
      </c>
      <c r="M11" s="60">
        <f t="shared" si="3"/>
        <v>34</v>
      </c>
      <c r="N11" s="61"/>
      <c r="P11" s="172">
        <v>9</v>
      </c>
      <c r="Q11" s="58" t="s">
        <v>78</v>
      </c>
      <c r="R11" s="59">
        <v>35452</v>
      </c>
      <c r="S11" s="59">
        <v>35473</v>
      </c>
      <c r="T11" s="60">
        <f t="shared" si="4"/>
        <v>21</v>
      </c>
      <c r="U11" s="61"/>
    </row>
    <row r="12" spans="1:21" ht="15" x14ac:dyDescent="0.2">
      <c r="A12" s="152"/>
      <c r="B12" s="179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79"/>
      <c r="J12" s="58" t="s">
        <v>79</v>
      </c>
      <c r="K12" s="59">
        <v>0</v>
      </c>
      <c r="L12" s="59">
        <v>0</v>
      </c>
      <c r="M12" s="60">
        <f t="shared" si="3"/>
        <v>0</v>
      </c>
      <c r="N12" s="62" t="s">
        <v>12</v>
      </c>
      <c r="P12" s="179"/>
      <c r="Q12" s="58" t="s">
        <v>79</v>
      </c>
      <c r="R12" s="59">
        <v>0</v>
      </c>
      <c r="S12" s="59">
        <v>0</v>
      </c>
      <c r="T12" s="60">
        <f t="shared" si="4"/>
        <v>0</v>
      </c>
      <c r="U12" s="62" t="s">
        <v>12</v>
      </c>
    </row>
    <row r="13" spans="1:21" ht="15" x14ac:dyDescent="0.2">
      <c r="A13" s="152"/>
      <c r="B13" s="173"/>
      <c r="C13" s="58" t="s">
        <v>80</v>
      </c>
      <c r="D13" s="59">
        <v>29930</v>
      </c>
      <c r="E13" s="59">
        <v>30046</v>
      </c>
      <c r="F13" s="60">
        <f t="shared" si="0"/>
        <v>116</v>
      </c>
      <c r="G13" s="61"/>
      <c r="H13" s="153"/>
      <c r="I13" s="173"/>
      <c r="J13" s="58" t="s">
        <v>80</v>
      </c>
      <c r="K13" s="59">
        <v>30046</v>
      </c>
      <c r="L13" s="59">
        <v>30120</v>
      </c>
      <c r="M13" s="60">
        <f t="shared" si="3"/>
        <v>74</v>
      </c>
      <c r="N13" s="61"/>
      <c r="P13" s="173"/>
      <c r="Q13" s="58" t="s">
        <v>80</v>
      </c>
      <c r="R13" s="59">
        <v>30120</v>
      </c>
      <c r="S13" s="59">
        <v>30190</v>
      </c>
      <c r="T13" s="60">
        <f t="shared" si="4"/>
        <v>70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225406</v>
      </c>
      <c r="E14" s="59">
        <v>227182</v>
      </c>
      <c r="F14" s="60">
        <f t="shared" si="0"/>
        <v>1776</v>
      </c>
      <c r="G14" s="61"/>
      <c r="H14" s="154"/>
      <c r="I14" s="172">
        <v>10</v>
      </c>
      <c r="J14" s="58" t="s">
        <v>78</v>
      </c>
      <c r="K14" s="59">
        <v>227182</v>
      </c>
      <c r="L14" s="59">
        <v>228837</v>
      </c>
      <c r="M14" s="60">
        <f t="shared" si="3"/>
        <v>1655</v>
      </c>
      <c r="N14" s="61"/>
      <c r="P14" s="172">
        <v>10</v>
      </c>
      <c r="Q14" s="58" t="s">
        <v>78</v>
      </c>
      <c r="R14" s="59">
        <v>228837</v>
      </c>
      <c r="S14" s="59">
        <v>230762</v>
      </c>
      <c r="T14" s="60">
        <f t="shared" si="4"/>
        <v>1925</v>
      </c>
      <c r="U14" s="61"/>
    </row>
    <row r="15" spans="1:21" ht="15" x14ac:dyDescent="0.2">
      <c r="A15" s="152"/>
      <c r="B15" s="179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79"/>
      <c r="J15" s="58" t="s">
        <v>79</v>
      </c>
      <c r="K15" s="59">
        <v>8011</v>
      </c>
      <c r="L15" s="59">
        <v>8011</v>
      </c>
      <c r="M15" s="60">
        <f t="shared" si="3"/>
        <v>0</v>
      </c>
      <c r="N15" s="61"/>
      <c r="P15" s="179"/>
      <c r="Q15" s="58" t="s">
        <v>79</v>
      </c>
      <c r="R15" s="59">
        <v>8011</v>
      </c>
      <c r="S15" s="59">
        <v>8011</v>
      </c>
      <c r="T15" s="60">
        <f t="shared" si="4"/>
        <v>0</v>
      </c>
      <c r="U15" s="61"/>
    </row>
    <row r="16" spans="1:21" ht="15" x14ac:dyDescent="0.2">
      <c r="A16" s="152"/>
      <c r="B16" s="173"/>
      <c r="C16" s="58" t="s">
        <v>80</v>
      </c>
      <c r="D16" s="59">
        <v>202582</v>
      </c>
      <c r="E16" s="59">
        <v>203674</v>
      </c>
      <c r="F16" s="60">
        <f t="shared" si="0"/>
        <v>1092</v>
      </c>
      <c r="G16" s="61"/>
      <c r="H16" s="154"/>
      <c r="I16" s="173"/>
      <c r="J16" s="58" t="s">
        <v>80</v>
      </c>
      <c r="K16" s="59">
        <v>203674</v>
      </c>
      <c r="L16" s="59">
        <v>204856</v>
      </c>
      <c r="M16" s="60">
        <f t="shared" si="3"/>
        <v>1182</v>
      </c>
      <c r="N16" s="61"/>
      <c r="P16" s="173"/>
      <c r="Q16" s="58" t="s">
        <v>80</v>
      </c>
      <c r="R16" s="59">
        <v>204856</v>
      </c>
      <c r="S16" s="59">
        <v>205601</v>
      </c>
      <c r="T16" s="60">
        <f t="shared" si="4"/>
        <v>745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69016</v>
      </c>
      <c r="E17" s="59">
        <v>69168</v>
      </c>
      <c r="F17" s="60">
        <f t="shared" si="0"/>
        <v>152</v>
      </c>
      <c r="G17" s="61"/>
      <c r="H17" s="154"/>
      <c r="I17" s="172">
        <v>11</v>
      </c>
      <c r="J17" s="58" t="s">
        <v>78</v>
      </c>
      <c r="K17" s="59">
        <v>69168</v>
      </c>
      <c r="L17" s="59">
        <v>69227</v>
      </c>
      <c r="M17" s="60">
        <f t="shared" si="3"/>
        <v>59</v>
      </c>
      <c r="N17" s="61"/>
      <c r="P17" s="172">
        <v>11</v>
      </c>
      <c r="Q17" s="58" t="s">
        <v>78</v>
      </c>
      <c r="R17" s="59">
        <v>69227</v>
      </c>
      <c r="S17" s="59">
        <v>69545</v>
      </c>
      <c r="T17" s="60">
        <f t="shared" si="4"/>
        <v>318</v>
      </c>
      <c r="U17" s="61"/>
    </row>
    <row r="18" spans="1:21" ht="15" x14ac:dyDescent="0.2">
      <c r="A18" s="152"/>
      <c r="B18" s="179"/>
      <c r="C18" s="58" t="s">
        <v>79</v>
      </c>
      <c r="D18" s="59">
        <v>229111</v>
      </c>
      <c r="E18" s="59">
        <v>230190</v>
      </c>
      <c r="F18" s="60">
        <f t="shared" si="0"/>
        <v>1079</v>
      </c>
      <c r="G18" s="61"/>
      <c r="H18" s="154"/>
      <c r="I18" s="179"/>
      <c r="J18" s="58" t="s">
        <v>79</v>
      </c>
      <c r="K18" s="59">
        <v>230190</v>
      </c>
      <c r="L18" s="59">
        <v>231045</v>
      </c>
      <c r="M18" s="60">
        <f t="shared" si="3"/>
        <v>855</v>
      </c>
      <c r="N18" s="61"/>
      <c r="P18" s="179"/>
      <c r="Q18" s="58" t="s">
        <v>79</v>
      </c>
      <c r="R18" s="59">
        <v>231045</v>
      </c>
      <c r="S18" s="59">
        <v>232341</v>
      </c>
      <c r="T18" s="60">
        <f t="shared" si="4"/>
        <v>1296</v>
      </c>
      <c r="U18" s="61"/>
    </row>
    <row r="19" spans="1:21" ht="15" x14ac:dyDescent="0.2">
      <c r="A19" s="152"/>
      <c r="B19" s="173"/>
      <c r="C19" s="58" t="s">
        <v>80</v>
      </c>
      <c r="D19" s="59">
        <v>31528</v>
      </c>
      <c r="E19" s="59">
        <v>31582</v>
      </c>
      <c r="F19" s="60">
        <f t="shared" si="0"/>
        <v>54</v>
      </c>
      <c r="G19" s="61"/>
      <c r="H19" s="154"/>
      <c r="I19" s="173"/>
      <c r="J19" s="58" t="s">
        <v>80</v>
      </c>
      <c r="K19" s="59">
        <v>31582</v>
      </c>
      <c r="L19" s="59">
        <v>31628</v>
      </c>
      <c r="M19" s="60">
        <f t="shared" si="3"/>
        <v>46</v>
      </c>
      <c r="N19" s="61"/>
      <c r="P19" s="173"/>
      <c r="Q19" s="58" t="s">
        <v>80</v>
      </c>
      <c r="R19" s="59">
        <v>31628</v>
      </c>
      <c r="S19" s="59">
        <v>31672</v>
      </c>
      <c r="T19" s="60">
        <f t="shared" si="4"/>
        <v>44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147722</v>
      </c>
      <c r="E20" s="59">
        <v>147853</v>
      </c>
      <c r="F20" s="60">
        <f t="shared" si="0"/>
        <v>131</v>
      </c>
      <c r="G20" s="61"/>
      <c r="H20" s="154"/>
      <c r="I20" s="172">
        <v>12</v>
      </c>
      <c r="J20" s="58" t="s">
        <v>78</v>
      </c>
      <c r="K20" s="59">
        <v>147853</v>
      </c>
      <c r="L20" s="59">
        <v>148182</v>
      </c>
      <c r="M20" s="60">
        <f t="shared" si="3"/>
        <v>329</v>
      </c>
      <c r="N20" s="61"/>
      <c r="P20" s="172">
        <v>12</v>
      </c>
      <c r="Q20" s="58" t="s">
        <v>78</v>
      </c>
      <c r="R20" s="59">
        <v>148182</v>
      </c>
      <c r="S20" s="59">
        <v>148544</v>
      </c>
      <c r="T20" s="60">
        <f t="shared" si="4"/>
        <v>362</v>
      </c>
      <c r="U20" s="61"/>
    </row>
    <row r="21" spans="1:21" ht="15" x14ac:dyDescent="0.2">
      <c r="A21" s="152"/>
      <c r="B21" s="179"/>
      <c r="C21" s="58" t="s">
        <v>79</v>
      </c>
      <c r="D21" s="59">
        <v>23487</v>
      </c>
      <c r="E21" s="59">
        <v>23534</v>
      </c>
      <c r="F21" s="60">
        <f t="shared" si="0"/>
        <v>47</v>
      </c>
      <c r="G21" s="61"/>
      <c r="H21" s="155" t="s">
        <v>12</v>
      </c>
      <c r="I21" s="179"/>
      <c r="J21" s="58" t="s">
        <v>79</v>
      </c>
      <c r="K21" s="59">
        <v>23534</v>
      </c>
      <c r="L21" s="59">
        <v>23571</v>
      </c>
      <c r="M21" s="60">
        <f t="shared" si="3"/>
        <v>37</v>
      </c>
      <c r="N21" s="61"/>
      <c r="P21" s="179"/>
      <c r="Q21" s="58" t="s">
        <v>79</v>
      </c>
      <c r="R21" s="59">
        <v>23571</v>
      </c>
      <c r="S21" s="59">
        <v>23802</v>
      </c>
      <c r="T21" s="60">
        <f t="shared" si="4"/>
        <v>231</v>
      </c>
      <c r="U21" s="61"/>
    </row>
    <row r="22" spans="1:21" ht="15" x14ac:dyDescent="0.2">
      <c r="A22" s="152"/>
      <c r="B22" s="173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3"/>
      <c r="J22" s="58" t="s">
        <v>80</v>
      </c>
      <c r="K22" s="59">
        <v>258660</v>
      </c>
      <c r="L22" s="59">
        <v>258661</v>
      </c>
      <c r="M22" s="60">
        <f t="shared" si="3"/>
        <v>1</v>
      </c>
      <c r="N22" s="61"/>
      <c r="P22" s="173"/>
      <c r="Q22" s="58" t="s">
        <v>80</v>
      </c>
      <c r="R22" s="59">
        <v>258661</v>
      </c>
      <c r="S22" s="59">
        <v>258664</v>
      </c>
      <c r="T22" s="60">
        <f t="shared" si="4"/>
        <v>3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120500</v>
      </c>
      <c r="E23" s="59">
        <v>120924</v>
      </c>
      <c r="F23" s="60">
        <f t="shared" si="0"/>
        <v>424</v>
      </c>
      <c r="G23" s="61"/>
      <c r="H23" s="154"/>
      <c r="I23" s="172">
        <v>14</v>
      </c>
      <c r="J23" s="58" t="s">
        <v>78</v>
      </c>
      <c r="K23" s="59">
        <v>120924</v>
      </c>
      <c r="L23" s="59">
        <v>121254</v>
      </c>
      <c r="M23" s="60">
        <f t="shared" si="3"/>
        <v>330</v>
      </c>
      <c r="N23" s="61"/>
      <c r="P23" s="172">
        <v>14</v>
      </c>
      <c r="Q23" s="58" t="s">
        <v>78</v>
      </c>
      <c r="R23" s="59">
        <v>121254</v>
      </c>
      <c r="S23" s="59">
        <v>121528</v>
      </c>
      <c r="T23" s="60">
        <f t="shared" si="4"/>
        <v>274</v>
      </c>
      <c r="U23" s="61"/>
    </row>
    <row r="24" spans="1:21" ht="15" x14ac:dyDescent="0.2">
      <c r="A24" s="152"/>
      <c r="B24" s="179"/>
      <c r="C24" s="58" t="s">
        <v>79</v>
      </c>
      <c r="D24" s="59">
        <v>39078</v>
      </c>
      <c r="E24" s="59">
        <v>40188</v>
      </c>
      <c r="F24" s="60">
        <f t="shared" si="0"/>
        <v>1110</v>
      </c>
      <c r="G24" s="61"/>
      <c r="H24" s="154"/>
      <c r="I24" s="179"/>
      <c r="J24" s="58" t="s">
        <v>79</v>
      </c>
      <c r="K24" s="59">
        <v>40188</v>
      </c>
      <c r="L24" s="59">
        <v>41359</v>
      </c>
      <c r="M24" s="60">
        <f t="shared" si="3"/>
        <v>1171</v>
      </c>
      <c r="N24" s="61"/>
      <c r="P24" s="179"/>
      <c r="Q24" s="58" t="s">
        <v>79</v>
      </c>
      <c r="R24" s="59">
        <v>41359</v>
      </c>
      <c r="S24" s="59">
        <v>42438</v>
      </c>
      <c r="T24" s="60">
        <f t="shared" si="4"/>
        <v>1079</v>
      </c>
      <c r="U24" s="61"/>
    </row>
    <row r="25" spans="1:21" ht="15" x14ac:dyDescent="0.2">
      <c r="A25" s="152"/>
      <c r="B25" s="173"/>
      <c r="C25" s="58" t="s">
        <v>80</v>
      </c>
      <c r="D25" s="59">
        <v>2025</v>
      </c>
      <c r="E25" s="59">
        <v>2045</v>
      </c>
      <c r="F25" s="60">
        <f t="shared" si="0"/>
        <v>20</v>
      </c>
      <c r="G25" s="61"/>
      <c r="H25" s="154"/>
      <c r="I25" s="173"/>
      <c r="J25" s="58" t="s">
        <v>80</v>
      </c>
      <c r="K25" s="59">
        <v>2045</v>
      </c>
      <c r="L25" s="59">
        <v>2047</v>
      </c>
      <c r="M25" s="60">
        <f t="shared" si="3"/>
        <v>2</v>
      </c>
      <c r="N25" s="61"/>
      <c r="P25" s="173"/>
      <c r="Q25" s="58" t="s">
        <v>80</v>
      </c>
      <c r="R25" s="59">
        <v>2047</v>
      </c>
      <c r="S25" s="59">
        <v>2100</v>
      </c>
      <c r="T25" s="60">
        <f t="shared" si="4"/>
        <v>53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2">
        <v>15</v>
      </c>
      <c r="J26" s="58" t="s">
        <v>78</v>
      </c>
      <c r="K26" s="59">
        <v>39357</v>
      </c>
      <c r="L26" s="59">
        <v>39547</v>
      </c>
      <c r="M26" s="60">
        <f t="shared" si="3"/>
        <v>190</v>
      </c>
      <c r="N26" s="61"/>
      <c r="P26" s="172">
        <v>15</v>
      </c>
      <c r="Q26" s="58" t="s">
        <v>78</v>
      </c>
      <c r="R26" s="59">
        <v>39547</v>
      </c>
      <c r="S26" s="59">
        <v>39796</v>
      </c>
      <c r="T26" s="60">
        <f t="shared" si="4"/>
        <v>249</v>
      </c>
      <c r="U26" s="61"/>
    </row>
    <row r="27" spans="1:21" ht="15" x14ac:dyDescent="0.2">
      <c r="A27" s="152"/>
      <c r="B27" s="179"/>
      <c r="C27" s="58" t="s">
        <v>79</v>
      </c>
      <c r="D27" s="59">
        <v>86556</v>
      </c>
      <c r="E27" s="59">
        <v>86868</v>
      </c>
      <c r="F27" s="60">
        <f t="shared" si="0"/>
        <v>312</v>
      </c>
      <c r="G27" s="61"/>
      <c r="H27" s="155" t="s">
        <v>12</v>
      </c>
      <c r="I27" s="179"/>
      <c r="J27" s="58" t="s">
        <v>79</v>
      </c>
      <c r="K27" s="59">
        <v>86868</v>
      </c>
      <c r="L27" s="59">
        <v>87398</v>
      </c>
      <c r="M27" s="60">
        <f t="shared" si="3"/>
        <v>530</v>
      </c>
      <c r="N27" s="61"/>
      <c r="P27" s="179"/>
      <c r="Q27" s="58" t="s">
        <v>79</v>
      </c>
      <c r="R27" s="59">
        <v>87398</v>
      </c>
      <c r="S27" s="59">
        <v>87857</v>
      </c>
      <c r="T27" s="60">
        <f t="shared" si="4"/>
        <v>459</v>
      </c>
      <c r="U27" s="61"/>
    </row>
    <row r="28" spans="1:21" ht="15" x14ac:dyDescent="0.2">
      <c r="A28" s="152"/>
      <c r="B28" s="173"/>
      <c r="C28" s="58" t="s">
        <v>80</v>
      </c>
      <c r="D28" s="59">
        <v>167865</v>
      </c>
      <c r="E28" s="59">
        <v>168708</v>
      </c>
      <c r="F28" s="60">
        <f t="shared" si="0"/>
        <v>843</v>
      </c>
      <c r="G28" s="61"/>
      <c r="H28" s="154"/>
      <c r="I28" s="173"/>
      <c r="J28" s="58" t="s">
        <v>80</v>
      </c>
      <c r="K28" s="59">
        <v>168708</v>
      </c>
      <c r="L28" s="59">
        <v>169585</v>
      </c>
      <c r="M28" s="60">
        <f t="shared" si="3"/>
        <v>877</v>
      </c>
      <c r="N28" s="61"/>
      <c r="P28" s="173"/>
      <c r="Q28" s="58" t="s">
        <v>80</v>
      </c>
      <c r="R28" s="59">
        <v>169585</v>
      </c>
      <c r="S28" s="59">
        <v>170353</v>
      </c>
      <c r="T28" s="60">
        <f t="shared" si="4"/>
        <v>768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2">
        <v>16</v>
      </c>
      <c r="J29" s="58" t="s">
        <v>78</v>
      </c>
      <c r="K29" s="59">
        <v>97792</v>
      </c>
      <c r="L29" s="59">
        <v>97792</v>
      </c>
      <c r="M29" s="60">
        <f t="shared" si="3"/>
        <v>0</v>
      </c>
      <c r="N29" s="62" t="s">
        <v>12</v>
      </c>
      <c r="P29" s="172">
        <v>16</v>
      </c>
      <c r="Q29" s="58" t="s">
        <v>78</v>
      </c>
      <c r="R29" s="59">
        <v>97792</v>
      </c>
      <c r="S29" s="59">
        <v>98151</v>
      </c>
      <c r="T29" s="60">
        <f t="shared" si="4"/>
        <v>359</v>
      </c>
      <c r="U29" s="62" t="s">
        <v>12</v>
      </c>
    </row>
    <row r="30" spans="1:21" ht="15" x14ac:dyDescent="0.2">
      <c r="A30" s="152"/>
      <c r="B30" s="179"/>
      <c r="C30" s="58" t="s">
        <v>79</v>
      </c>
      <c r="D30" s="59">
        <v>66159</v>
      </c>
      <c r="E30" s="59">
        <v>66868</v>
      </c>
      <c r="F30" s="60">
        <f t="shared" si="0"/>
        <v>709</v>
      </c>
      <c r="G30" s="61"/>
      <c r="H30" s="154"/>
      <c r="I30" s="179"/>
      <c r="J30" s="58" t="s">
        <v>79</v>
      </c>
      <c r="K30" s="59">
        <v>66868</v>
      </c>
      <c r="L30" s="59">
        <v>67032</v>
      </c>
      <c r="M30" s="60">
        <f t="shared" si="3"/>
        <v>164</v>
      </c>
      <c r="N30" s="61"/>
      <c r="P30" s="179"/>
      <c r="Q30" s="58" t="s">
        <v>79</v>
      </c>
      <c r="R30" s="59">
        <v>67032</v>
      </c>
      <c r="S30" s="59">
        <v>67508</v>
      </c>
      <c r="T30" s="60">
        <f t="shared" si="4"/>
        <v>476</v>
      </c>
      <c r="U30" s="61"/>
    </row>
    <row r="31" spans="1:21" ht="15" x14ac:dyDescent="0.2">
      <c r="A31" s="152"/>
      <c r="B31" s="173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3"/>
      <c r="J31" s="58" t="s">
        <v>80</v>
      </c>
      <c r="K31" s="59">
        <v>69432</v>
      </c>
      <c r="L31" s="59">
        <v>69444</v>
      </c>
      <c r="M31" s="60">
        <f t="shared" si="3"/>
        <v>12</v>
      </c>
      <c r="N31" s="63"/>
      <c r="P31" s="173"/>
      <c r="Q31" s="58" t="s">
        <v>80</v>
      </c>
      <c r="R31" s="59">
        <v>69444</v>
      </c>
      <c r="S31" s="59">
        <v>69444</v>
      </c>
      <c r="T31" s="60">
        <f t="shared" si="4"/>
        <v>0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37348</v>
      </c>
      <c r="E32" s="59">
        <v>37526</v>
      </c>
      <c r="F32" s="60">
        <f t="shared" si="0"/>
        <v>178</v>
      </c>
      <c r="G32" s="61"/>
      <c r="H32" s="154"/>
      <c r="I32" s="172">
        <v>17</v>
      </c>
      <c r="J32" s="58" t="s">
        <v>78</v>
      </c>
      <c r="K32" s="59">
        <v>37526</v>
      </c>
      <c r="L32" s="59">
        <v>37610</v>
      </c>
      <c r="M32" s="60">
        <f t="shared" si="3"/>
        <v>84</v>
      </c>
      <c r="N32" s="61"/>
      <c r="P32" s="172">
        <v>17</v>
      </c>
      <c r="Q32" s="58" t="s">
        <v>78</v>
      </c>
      <c r="R32" s="59">
        <v>37610</v>
      </c>
      <c r="S32" s="59">
        <v>37691</v>
      </c>
      <c r="T32" s="60">
        <f t="shared" si="4"/>
        <v>81</v>
      </c>
      <c r="U32" s="61"/>
    </row>
    <row r="33" spans="1:21" ht="15" x14ac:dyDescent="0.2">
      <c r="A33" s="152"/>
      <c r="B33" s="179"/>
      <c r="C33" s="58" t="s">
        <v>79</v>
      </c>
      <c r="D33" s="59">
        <v>64130</v>
      </c>
      <c r="E33" s="59">
        <v>64137</v>
      </c>
      <c r="F33" s="60">
        <f t="shared" si="0"/>
        <v>7</v>
      </c>
      <c r="G33" s="61"/>
      <c r="H33" s="154"/>
      <c r="I33" s="179"/>
      <c r="J33" s="58" t="s">
        <v>79</v>
      </c>
      <c r="K33" s="59">
        <v>64137</v>
      </c>
      <c r="L33" s="59">
        <v>64143</v>
      </c>
      <c r="M33" s="60">
        <f t="shared" si="3"/>
        <v>6</v>
      </c>
      <c r="N33" s="61"/>
      <c r="P33" s="179"/>
      <c r="Q33" s="58" t="s">
        <v>79</v>
      </c>
      <c r="R33" s="59">
        <v>64143</v>
      </c>
      <c r="S33" s="59">
        <v>64151</v>
      </c>
      <c r="T33" s="60">
        <f t="shared" si="4"/>
        <v>8</v>
      </c>
      <c r="U33" s="61"/>
    </row>
    <row r="34" spans="1:21" ht="15" x14ac:dyDescent="0.2">
      <c r="A34" s="152"/>
      <c r="B34" s="173"/>
      <c r="C34" s="58" t="s">
        <v>80</v>
      </c>
      <c r="D34" s="59">
        <v>12593</v>
      </c>
      <c r="E34" s="59">
        <v>12707</v>
      </c>
      <c r="F34" s="60">
        <f t="shared" si="0"/>
        <v>114</v>
      </c>
      <c r="G34" s="63"/>
      <c r="H34" s="154"/>
      <c r="I34" s="173"/>
      <c r="J34" s="58" t="s">
        <v>80</v>
      </c>
      <c r="K34" s="59">
        <v>12707</v>
      </c>
      <c r="L34" s="59">
        <v>12904</v>
      </c>
      <c r="M34" s="60">
        <f t="shared" si="3"/>
        <v>197</v>
      </c>
      <c r="N34" s="63"/>
      <c r="P34" s="173"/>
      <c r="Q34" s="58" t="s">
        <v>80</v>
      </c>
      <c r="R34" s="59">
        <v>12904</v>
      </c>
      <c r="S34" s="59">
        <v>13059</v>
      </c>
      <c r="T34" s="60">
        <f t="shared" si="4"/>
        <v>155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260358</v>
      </c>
      <c r="E35" s="59">
        <v>262000</v>
      </c>
      <c r="F35" s="60">
        <f t="shared" si="0"/>
        <v>1642</v>
      </c>
      <c r="G35" s="63"/>
      <c r="H35" s="154"/>
      <c r="I35" s="172">
        <v>18</v>
      </c>
      <c r="J35" s="58" t="s">
        <v>78</v>
      </c>
      <c r="K35" s="59">
        <v>262000</v>
      </c>
      <c r="L35" s="59">
        <v>263440</v>
      </c>
      <c r="M35" s="60">
        <f t="shared" si="3"/>
        <v>1440</v>
      </c>
      <c r="N35" s="63"/>
      <c r="O35" s="139"/>
      <c r="P35" s="172">
        <v>18</v>
      </c>
      <c r="Q35" s="58" t="s">
        <v>78</v>
      </c>
      <c r="R35" s="59">
        <v>263440</v>
      </c>
      <c r="S35" s="59">
        <v>265015</v>
      </c>
      <c r="T35" s="60">
        <f t="shared" si="4"/>
        <v>1575</v>
      </c>
      <c r="U35" s="63"/>
    </row>
    <row r="36" spans="1:21" ht="15" x14ac:dyDescent="0.2">
      <c r="A36" s="152"/>
      <c r="B36" s="179"/>
      <c r="C36" s="58" t="s">
        <v>79</v>
      </c>
      <c r="D36" s="59">
        <v>20279</v>
      </c>
      <c r="E36" s="59">
        <v>20932</v>
      </c>
      <c r="F36" s="60">
        <f t="shared" si="0"/>
        <v>653</v>
      </c>
      <c r="G36" s="61"/>
      <c r="H36" s="154"/>
      <c r="I36" s="179"/>
      <c r="J36" s="58" t="s">
        <v>79</v>
      </c>
      <c r="K36" s="59">
        <v>20932</v>
      </c>
      <c r="L36" s="59">
        <v>21127</v>
      </c>
      <c r="M36" s="60">
        <f t="shared" si="3"/>
        <v>195</v>
      </c>
      <c r="N36" s="61"/>
      <c r="O36" s="147"/>
      <c r="P36" s="179"/>
      <c r="Q36" s="58" t="s">
        <v>79</v>
      </c>
      <c r="R36" s="59">
        <v>21127</v>
      </c>
      <c r="S36" s="59">
        <v>21690</v>
      </c>
      <c r="T36" s="60">
        <f t="shared" si="4"/>
        <v>563</v>
      </c>
      <c r="U36" s="61"/>
    </row>
    <row r="37" spans="1:21" ht="15" x14ac:dyDescent="0.2">
      <c r="A37" s="152"/>
      <c r="B37" s="173"/>
      <c r="C37" s="58" t="s">
        <v>80</v>
      </c>
      <c r="D37" s="59">
        <v>99805</v>
      </c>
      <c r="E37" s="59">
        <v>101181</v>
      </c>
      <c r="F37" s="60">
        <f t="shared" si="0"/>
        <v>1376</v>
      </c>
      <c r="G37" s="61"/>
      <c r="H37" s="154"/>
      <c r="I37" s="173"/>
      <c r="J37" s="58" t="s">
        <v>80</v>
      </c>
      <c r="K37" s="59">
        <v>101181</v>
      </c>
      <c r="L37" s="59">
        <v>102798</v>
      </c>
      <c r="M37" s="60">
        <f t="shared" si="3"/>
        <v>1617</v>
      </c>
      <c r="N37" s="61"/>
      <c r="P37" s="173"/>
      <c r="Q37" s="58" t="s">
        <v>80</v>
      </c>
      <c r="R37" s="59">
        <v>102798</v>
      </c>
      <c r="S37" s="59">
        <v>104357</v>
      </c>
      <c r="T37" s="60">
        <f t="shared" si="4"/>
        <v>1559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25921</v>
      </c>
      <c r="E38" s="59">
        <v>26334</v>
      </c>
      <c r="F38" s="60">
        <f t="shared" si="0"/>
        <v>413</v>
      </c>
      <c r="G38" s="61"/>
      <c r="H38" s="154"/>
      <c r="I38" s="172">
        <v>19</v>
      </c>
      <c r="J38" s="58" t="s">
        <v>78</v>
      </c>
      <c r="K38" s="59">
        <v>26334</v>
      </c>
      <c r="L38" s="59">
        <v>26533</v>
      </c>
      <c r="M38" s="60">
        <f t="shared" si="3"/>
        <v>199</v>
      </c>
      <c r="N38" s="61"/>
      <c r="P38" s="172">
        <v>19</v>
      </c>
      <c r="Q38" s="58" t="s">
        <v>78</v>
      </c>
      <c r="R38" s="59">
        <v>26533</v>
      </c>
      <c r="S38" s="59">
        <v>26729</v>
      </c>
      <c r="T38" s="60">
        <f t="shared" si="4"/>
        <v>196</v>
      </c>
      <c r="U38" s="61"/>
    </row>
    <row r="39" spans="1:21" ht="15" x14ac:dyDescent="0.2">
      <c r="A39" s="152"/>
      <c r="B39" s="179"/>
      <c r="C39" s="58" t="s">
        <v>79</v>
      </c>
      <c r="D39" s="59">
        <v>85823</v>
      </c>
      <c r="E39" s="59">
        <v>86010</v>
      </c>
      <c r="F39" s="60">
        <f t="shared" si="0"/>
        <v>187</v>
      </c>
      <c r="G39" s="63"/>
      <c r="H39" s="154"/>
      <c r="I39" s="179"/>
      <c r="J39" s="58" t="s">
        <v>79</v>
      </c>
      <c r="K39" s="59">
        <v>86010</v>
      </c>
      <c r="L39" s="59">
        <v>86152</v>
      </c>
      <c r="M39" s="60">
        <f t="shared" si="3"/>
        <v>142</v>
      </c>
      <c r="N39" s="63"/>
      <c r="P39" s="179"/>
      <c r="Q39" s="58" t="s">
        <v>79</v>
      </c>
      <c r="R39" s="59">
        <v>86152</v>
      </c>
      <c r="S39" s="59">
        <v>86270</v>
      </c>
      <c r="T39" s="60">
        <f t="shared" si="4"/>
        <v>118</v>
      </c>
      <c r="U39" s="63"/>
    </row>
    <row r="40" spans="1:21" ht="15" x14ac:dyDescent="0.2">
      <c r="A40" s="152"/>
      <c r="B40" s="173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3"/>
      <c r="J40" s="58" t="s">
        <v>80</v>
      </c>
      <c r="K40" s="59">
        <v>53053</v>
      </c>
      <c r="L40" s="59">
        <v>53053</v>
      </c>
      <c r="M40" s="60">
        <f t="shared" si="3"/>
        <v>0</v>
      </c>
      <c r="N40" s="61"/>
      <c r="P40" s="173"/>
      <c r="Q40" s="58" t="s">
        <v>80</v>
      </c>
      <c r="R40" s="59">
        <v>53053</v>
      </c>
      <c r="S40" s="59">
        <v>53053</v>
      </c>
      <c r="T40" s="60">
        <f t="shared" si="4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122828</v>
      </c>
      <c r="E41" s="59">
        <v>122102</v>
      </c>
      <c r="F41" s="60" t="str">
        <f t="shared" si="0"/>
        <v>0</v>
      </c>
      <c r="G41" s="61"/>
      <c r="H41" s="154"/>
      <c r="I41" s="172">
        <v>20</v>
      </c>
      <c r="J41" s="58" t="s">
        <v>78</v>
      </c>
      <c r="K41" s="59">
        <v>122102</v>
      </c>
      <c r="L41" s="59">
        <v>123343</v>
      </c>
      <c r="M41" s="60">
        <f t="shared" si="3"/>
        <v>1241</v>
      </c>
      <c r="N41" s="61"/>
      <c r="P41" s="172">
        <v>20</v>
      </c>
      <c r="Q41" s="58" t="s">
        <v>78</v>
      </c>
      <c r="R41" s="59">
        <v>123343</v>
      </c>
      <c r="S41" s="59">
        <v>123571</v>
      </c>
      <c r="T41" s="60">
        <f t="shared" si="4"/>
        <v>228</v>
      </c>
      <c r="U41" s="61"/>
    </row>
    <row r="42" spans="1:21" ht="15" x14ac:dyDescent="0.2">
      <c r="A42" s="152"/>
      <c r="B42" s="179"/>
      <c r="C42" s="58" t="s">
        <v>79</v>
      </c>
      <c r="D42" s="59">
        <v>76972</v>
      </c>
      <c r="E42" s="59">
        <v>78304</v>
      </c>
      <c r="F42" s="60">
        <f t="shared" si="0"/>
        <v>1332</v>
      </c>
      <c r="G42" s="61"/>
      <c r="I42" s="179"/>
      <c r="J42" s="58" t="s">
        <v>79</v>
      </c>
      <c r="K42" s="59">
        <v>78304</v>
      </c>
      <c r="L42" s="59">
        <v>79464</v>
      </c>
      <c r="M42" s="60">
        <f t="shared" si="3"/>
        <v>1160</v>
      </c>
      <c r="N42" s="61"/>
      <c r="P42" s="179"/>
      <c r="Q42" s="58" t="s">
        <v>79</v>
      </c>
      <c r="R42" s="59">
        <v>79464</v>
      </c>
      <c r="S42" s="59">
        <v>80580</v>
      </c>
      <c r="T42" s="60">
        <f t="shared" si="4"/>
        <v>1116</v>
      </c>
      <c r="U42" s="61"/>
    </row>
    <row r="43" spans="1:21" ht="15" x14ac:dyDescent="0.2">
      <c r="A43" s="152"/>
      <c r="B43" s="173"/>
      <c r="C43" s="58" t="s">
        <v>80</v>
      </c>
      <c r="D43" s="59">
        <v>3712</v>
      </c>
      <c r="E43" s="59">
        <v>3728</v>
      </c>
      <c r="F43" s="60">
        <f t="shared" si="0"/>
        <v>16</v>
      </c>
      <c r="G43" s="61"/>
      <c r="I43" s="173"/>
      <c r="J43" s="58" t="s">
        <v>80</v>
      </c>
      <c r="K43" s="59">
        <v>3728</v>
      </c>
      <c r="L43" s="59">
        <v>3934</v>
      </c>
      <c r="M43" s="60">
        <f t="shared" si="3"/>
        <v>206</v>
      </c>
      <c r="N43" s="61"/>
      <c r="P43" s="173"/>
      <c r="Q43" s="58" t="s">
        <v>80</v>
      </c>
      <c r="R43" s="59">
        <v>3934</v>
      </c>
      <c r="S43" s="59">
        <v>4842</v>
      </c>
      <c r="T43" s="60">
        <f t="shared" si="4"/>
        <v>908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4016</v>
      </c>
      <c r="E45" s="59">
        <v>4050</v>
      </c>
      <c r="F45" s="60">
        <f t="shared" ref="F45:F63" si="5">IF((E45-D45)&lt;0,"0",(E45-D45))</f>
        <v>34</v>
      </c>
      <c r="G45" s="62" t="s">
        <v>12</v>
      </c>
      <c r="I45" s="172">
        <v>21</v>
      </c>
      <c r="J45" s="68" t="s">
        <v>81</v>
      </c>
      <c r="K45" s="59">
        <v>4050</v>
      </c>
      <c r="L45" s="59">
        <v>4548</v>
      </c>
      <c r="M45" s="60">
        <f t="shared" ref="M45:M63" si="6">IF((L45-K45)&lt;0,"0",(L45-K45))</f>
        <v>498</v>
      </c>
      <c r="N45" s="62" t="s">
        <v>12</v>
      </c>
      <c r="P45" s="172">
        <v>21</v>
      </c>
      <c r="Q45" s="68" t="s">
        <v>81</v>
      </c>
      <c r="R45" s="59">
        <v>4548</v>
      </c>
      <c r="S45" s="59">
        <v>5625</v>
      </c>
      <c r="T45" s="60">
        <f t="shared" si="4"/>
        <v>1077</v>
      </c>
      <c r="U45" s="62" t="s">
        <v>12</v>
      </c>
    </row>
    <row r="46" spans="1:21" ht="15" x14ac:dyDescent="0.2">
      <c r="A46" s="152"/>
      <c r="B46" s="179"/>
      <c r="C46" s="68" t="s">
        <v>80</v>
      </c>
      <c r="D46" s="59">
        <v>45864</v>
      </c>
      <c r="E46" s="59">
        <v>45960</v>
      </c>
      <c r="F46" s="60">
        <f t="shared" si="5"/>
        <v>96</v>
      </c>
      <c r="G46" s="61"/>
      <c r="I46" s="179"/>
      <c r="J46" s="68" t="s">
        <v>80</v>
      </c>
      <c r="K46" s="59">
        <v>45960</v>
      </c>
      <c r="L46" s="59">
        <v>46299</v>
      </c>
      <c r="M46" s="60">
        <f t="shared" si="6"/>
        <v>339</v>
      </c>
      <c r="N46" s="61"/>
      <c r="P46" s="179"/>
      <c r="Q46" s="68" t="s">
        <v>80</v>
      </c>
      <c r="R46" s="59">
        <v>46299</v>
      </c>
      <c r="S46" s="59">
        <v>46299</v>
      </c>
      <c r="T46" s="60">
        <f t="shared" si="4"/>
        <v>0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13771</v>
      </c>
      <c r="E47" s="59">
        <v>13770</v>
      </c>
      <c r="F47" s="60" t="str">
        <f t="shared" si="5"/>
        <v>0</v>
      </c>
      <c r="G47" s="61"/>
      <c r="H47" t="s">
        <v>12</v>
      </c>
      <c r="I47" s="172">
        <v>22</v>
      </c>
      <c r="J47" s="68" t="s">
        <v>81</v>
      </c>
      <c r="K47" s="59">
        <v>13770</v>
      </c>
      <c r="L47" s="59">
        <v>13781</v>
      </c>
      <c r="M47" s="60">
        <f t="shared" si="6"/>
        <v>11</v>
      </c>
      <c r="N47" s="61"/>
      <c r="P47" s="172">
        <v>22</v>
      </c>
      <c r="Q47" s="68" t="s">
        <v>81</v>
      </c>
      <c r="R47" s="59">
        <v>13781</v>
      </c>
      <c r="S47" s="59">
        <v>13789</v>
      </c>
      <c r="T47" s="60">
        <f t="shared" si="4"/>
        <v>8</v>
      </c>
      <c r="U47" s="61"/>
    </row>
    <row r="48" spans="1:21" ht="15" x14ac:dyDescent="0.2">
      <c r="A48" s="152"/>
      <c r="B48" s="179"/>
      <c r="C48" s="68" t="s">
        <v>80</v>
      </c>
      <c r="D48" s="59">
        <v>21750</v>
      </c>
      <c r="E48" s="59">
        <v>21863</v>
      </c>
      <c r="F48" s="60">
        <f t="shared" si="5"/>
        <v>113</v>
      </c>
      <c r="G48" s="61"/>
      <c r="I48" s="179"/>
      <c r="J48" s="68" t="s">
        <v>80</v>
      </c>
      <c r="K48" s="59">
        <v>21863</v>
      </c>
      <c r="L48" s="59">
        <v>22001</v>
      </c>
      <c r="M48" s="60">
        <f t="shared" si="6"/>
        <v>138</v>
      </c>
      <c r="N48" s="61"/>
      <c r="P48" s="179"/>
      <c r="Q48" s="68" t="s">
        <v>80</v>
      </c>
      <c r="R48" s="59">
        <v>22001</v>
      </c>
      <c r="S48" s="59">
        <v>22117</v>
      </c>
      <c r="T48" s="60">
        <f t="shared" si="4"/>
        <v>116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5"/>
        <v>0</v>
      </c>
      <c r="G49" s="61"/>
      <c r="I49" s="172">
        <v>23</v>
      </c>
      <c r="J49" s="58" t="s">
        <v>81</v>
      </c>
      <c r="K49" s="59"/>
      <c r="L49" s="59"/>
      <c r="M49" s="60">
        <f t="shared" si="6"/>
        <v>0</v>
      </c>
      <c r="N49" s="61"/>
      <c r="P49" s="172">
        <v>23</v>
      </c>
      <c r="Q49" s="58" t="s">
        <v>81</v>
      </c>
      <c r="R49" s="59"/>
      <c r="S49" s="59"/>
      <c r="T49" s="60">
        <f t="shared" si="4"/>
        <v>0</v>
      </c>
      <c r="U49" s="61"/>
    </row>
    <row r="50" spans="1:21" ht="15" x14ac:dyDescent="0.2">
      <c r="A50" s="152"/>
      <c r="B50" s="179"/>
      <c r="C50" s="58" t="s">
        <v>80</v>
      </c>
      <c r="D50" s="59"/>
      <c r="E50" s="59"/>
      <c r="F50" s="60">
        <f t="shared" si="5"/>
        <v>0</v>
      </c>
      <c r="G50" s="61"/>
      <c r="I50" s="179"/>
      <c r="J50" s="58" t="s">
        <v>80</v>
      </c>
      <c r="K50" s="59"/>
      <c r="L50" s="59"/>
      <c r="M50" s="60">
        <f t="shared" si="6"/>
        <v>0</v>
      </c>
      <c r="N50" s="61"/>
      <c r="P50" s="179"/>
      <c r="Q50" s="58" t="s">
        <v>80</v>
      </c>
      <c r="R50" s="59"/>
      <c r="S50" s="59"/>
      <c r="T50" s="60">
        <f t="shared" si="4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5"/>
        <v>0</v>
      </c>
      <c r="G51" s="67"/>
      <c r="I51" s="69"/>
      <c r="J51" s="65"/>
      <c r="K51" s="66"/>
      <c r="L51" s="66"/>
      <c r="M51" s="65">
        <f t="shared" si="6"/>
        <v>0</v>
      </c>
      <c r="N51" s="67"/>
      <c r="P51" s="69"/>
      <c r="Q51" s="65"/>
      <c r="R51" s="66"/>
      <c r="S51" s="66"/>
      <c r="T51" s="65">
        <f t="shared" si="4"/>
        <v>0</v>
      </c>
      <c r="U51" s="67"/>
    </row>
    <row r="52" spans="1:21" ht="15" x14ac:dyDescent="0.2">
      <c r="A52" s="152"/>
      <c r="B52" s="180">
        <v>24</v>
      </c>
      <c r="C52" s="58" t="s">
        <v>82</v>
      </c>
      <c r="D52" s="59">
        <v>259040</v>
      </c>
      <c r="E52" s="59">
        <v>260090</v>
      </c>
      <c r="F52" s="60">
        <f t="shared" si="5"/>
        <v>1050</v>
      </c>
      <c r="G52" s="70"/>
      <c r="I52" s="180">
        <v>24</v>
      </c>
      <c r="J52" s="58" t="s">
        <v>82</v>
      </c>
      <c r="K52" s="59">
        <v>260090</v>
      </c>
      <c r="L52" s="59">
        <v>261233</v>
      </c>
      <c r="M52" s="60">
        <f t="shared" si="6"/>
        <v>1143</v>
      </c>
      <c r="N52" s="70"/>
      <c r="P52" s="180">
        <v>24</v>
      </c>
      <c r="Q52" s="58" t="s">
        <v>82</v>
      </c>
      <c r="R52" s="59">
        <v>261233</v>
      </c>
      <c r="S52" s="59">
        <v>262251</v>
      </c>
      <c r="T52" s="60">
        <f t="shared" si="4"/>
        <v>1018</v>
      </c>
      <c r="U52" s="70"/>
    </row>
    <row r="53" spans="1:21" ht="15" x14ac:dyDescent="0.2">
      <c r="A53" s="152"/>
      <c r="B53" s="181"/>
      <c r="C53" s="58" t="s">
        <v>83</v>
      </c>
      <c r="D53" s="59">
        <v>542733</v>
      </c>
      <c r="E53" s="59">
        <v>543220</v>
      </c>
      <c r="F53" s="60">
        <f t="shared" si="5"/>
        <v>487</v>
      </c>
      <c r="G53" s="63"/>
      <c r="I53" s="181"/>
      <c r="J53" s="58" t="s">
        <v>83</v>
      </c>
      <c r="K53" s="59">
        <v>543220</v>
      </c>
      <c r="L53" s="59">
        <v>543684</v>
      </c>
      <c r="M53" s="60">
        <f t="shared" si="6"/>
        <v>464</v>
      </c>
      <c r="N53" s="63"/>
      <c r="P53" s="181"/>
      <c r="Q53" s="58" t="s">
        <v>83</v>
      </c>
      <c r="R53" s="59">
        <v>543684</v>
      </c>
      <c r="S53" s="59">
        <v>544153</v>
      </c>
      <c r="T53" s="60">
        <f t="shared" si="4"/>
        <v>469</v>
      </c>
      <c r="U53" s="63"/>
    </row>
    <row r="54" spans="1:21" ht="15" x14ac:dyDescent="0.2">
      <c r="A54" s="152"/>
      <c r="B54" s="182"/>
      <c r="C54" s="58" t="s">
        <v>82</v>
      </c>
      <c r="D54" s="59">
        <v>34567</v>
      </c>
      <c r="E54" s="59">
        <v>34567</v>
      </c>
      <c r="F54" s="60">
        <f t="shared" si="5"/>
        <v>0</v>
      </c>
      <c r="G54" s="71" t="s">
        <v>12</v>
      </c>
      <c r="I54" s="182"/>
      <c r="J54" s="58" t="s">
        <v>82</v>
      </c>
      <c r="K54" s="59">
        <v>34567</v>
      </c>
      <c r="L54" s="59">
        <v>34567</v>
      </c>
      <c r="M54" s="60">
        <f t="shared" si="6"/>
        <v>0</v>
      </c>
      <c r="N54" s="71" t="s">
        <v>12</v>
      </c>
      <c r="P54" s="182"/>
      <c r="Q54" s="58" t="s">
        <v>82</v>
      </c>
      <c r="R54" s="59">
        <v>34567</v>
      </c>
      <c r="S54" s="59">
        <v>34567</v>
      </c>
      <c r="T54" s="60">
        <f t="shared" si="4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5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6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4"/>
        <v>0</v>
      </c>
      <c r="U55" s="61"/>
    </row>
    <row r="56" spans="1:21" ht="15" x14ac:dyDescent="0.2">
      <c r="A56" s="152"/>
      <c r="B56" s="173"/>
      <c r="C56" s="58" t="s">
        <v>83</v>
      </c>
      <c r="D56" s="59">
        <v>3</v>
      </c>
      <c r="E56" s="59">
        <v>3</v>
      </c>
      <c r="F56" s="60">
        <f t="shared" si="5"/>
        <v>0</v>
      </c>
      <c r="G56" s="61"/>
      <c r="I56" s="173"/>
      <c r="J56" s="58" t="s">
        <v>83</v>
      </c>
      <c r="K56" s="59">
        <v>3</v>
      </c>
      <c r="L56" s="59">
        <v>3</v>
      </c>
      <c r="M56" s="60">
        <f t="shared" si="6"/>
        <v>0</v>
      </c>
      <c r="N56" s="61"/>
      <c r="P56" s="173"/>
      <c r="Q56" s="58" t="s">
        <v>83</v>
      </c>
      <c r="R56" s="59">
        <v>3</v>
      </c>
      <c r="S56" s="59">
        <v>3</v>
      </c>
      <c r="T56" s="60">
        <f t="shared" si="4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751807</v>
      </c>
      <c r="E57" s="59">
        <v>755388</v>
      </c>
      <c r="F57" s="60">
        <f t="shared" si="5"/>
        <v>3581</v>
      </c>
      <c r="G57" s="61"/>
      <c r="I57" s="172">
        <v>26</v>
      </c>
      <c r="J57" s="58" t="s">
        <v>82</v>
      </c>
      <c r="K57" s="59">
        <v>755388</v>
      </c>
      <c r="L57" s="59">
        <v>758964</v>
      </c>
      <c r="M57" s="60">
        <f t="shared" si="6"/>
        <v>3576</v>
      </c>
      <c r="N57" s="61"/>
      <c r="P57" s="172">
        <v>26</v>
      </c>
      <c r="Q57" s="58" t="s">
        <v>82</v>
      </c>
      <c r="R57" s="59">
        <v>758964</v>
      </c>
      <c r="S57" s="59">
        <v>762285</v>
      </c>
      <c r="T57" s="60">
        <f t="shared" si="4"/>
        <v>3321</v>
      </c>
      <c r="U57" s="61"/>
    </row>
    <row r="58" spans="1:21" ht="15" x14ac:dyDescent="0.2">
      <c r="A58" s="152"/>
      <c r="B58" s="173"/>
      <c r="C58" s="58" t="s">
        <v>83</v>
      </c>
      <c r="D58" s="59">
        <v>830921</v>
      </c>
      <c r="E58" s="59">
        <v>834986</v>
      </c>
      <c r="F58" s="60">
        <f t="shared" si="5"/>
        <v>4065</v>
      </c>
      <c r="G58" s="63"/>
      <c r="H58" s="154"/>
      <c r="I58" s="173"/>
      <c r="J58" s="58" t="s">
        <v>83</v>
      </c>
      <c r="K58" s="59">
        <v>834986</v>
      </c>
      <c r="L58" s="59">
        <v>838562</v>
      </c>
      <c r="M58" s="60">
        <f t="shared" si="6"/>
        <v>3576</v>
      </c>
      <c r="N58" s="63"/>
      <c r="P58" s="173"/>
      <c r="Q58" s="58" t="s">
        <v>83</v>
      </c>
      <c r="R58" s="59">
        <v>838562</v>
      </c>
      <c r="S58" s="59">
        <v>842426</v>
      </c>
      <c r="T58" s="60">
        <f t="shared" si="4"/>
        <v>3864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255356</v>
      </c>
      <c r="E59" s="59">
        <v>256506</v>
      </c>
      <c r="F59" s="60">
        <f t="shared" si="5"/>
        <v>1150</v>
      </c>
      <c r="G59" s="61"/>
      <c r="H59" s="154"/>
      <c r="I59" s="172">
        <v>27</v>
      </c>
      <c r="J59" s="58" t="s">
        <v>82</v>
      </c>
      <c r="K59" s="59">
        <v>256506</v>
      </c>
      <c r="L59" s="59">
        <v>257549</v>
      </c>
      <c r="M59" s="60">
        <f t="shared" si="6"/>
        <v>1043</v>
      </c>
      <c r="N59" s="61"/>
      <c r="P59" s="172">
        <v>27</v>
      </c>
      <c r="Q59" s="58" t="s">
        <v>82</v>
      </c>
      <c r="R59" s="59">
        <v>257549</v>
      </c>
      <c r="S59" s="59">
        <v>258446</v>
      </c>
      <c r="T59" s="60">
        <f t="shared" si="4"/>
        <v>897</v>
      </c>
      <c r="U59" s="61"/>
    </row>
    <row r="60" spans="1:21" ht="15" x14ac:dyDescent="0.2">
      <c r="A60" s="152"/>
      <c r="B60" s="173"/>
      <c r="C60" s="58" t="s">
        <v>83</v>
      </c>
      <c r="D60" s="59">
        <v>111872</v>
      </c>
      <c r="E60" s="59">
        <v>115157</v>
      </c>
      <c r="F60" s="60">
        <f t="shared" si="5"/>
        <v>3285</v>
      </c>
      <c r="G60" s="61"/>
      <c r="H60" s="154"/>
      <c r="I60" s="173"/>
      <c r="J60" s="58" t="s">
        <v>83</v>
      </c>
      <c r="K60" s="59">
        <v>115157</v>
      </c>
      <c r="L60" s="59">
        <v>117419</v>
      </c>
      <c r="M60" s="60">
        <f t="shared" si="6"/>
        <v>2262</v>
      </c>
      <c r="N60" s="61"/>
      <c r="P60" s="173"/>
      <c r="Q60" s="58" t="s">
        <v>83</v>
      </c>
      <c r="R60" s="59">
        <v>117419</v>
      </c>
      <c r="S60" s="59">
        <v>118997</v>
      </c>
      <c r="T60" s="60">
        <f t="shared" si="4"/>
        <v>1578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5"/>
        <v>0</v>
      </c>
      <c r="G61" s="67"/>
      <c r="H61" s="154"/>
      <c r="I61" s="64"/>
      <c r="J61" s="65"/>
      <c r="K61" s="65"/>
      <c r="L61" s="65"/>
      <c r="M61" s="65">
        <f t="shared" si="6"/>
        <v>0</v>
      </c>
      <c r="N61" s="67"/>
      <c r="P61" s="64"/>
      <c r="Q61" s="65"/>
      <c r="R61" s="65"/>
      <c r="S61" s="65"/>
      <c r="T61" s="65">
        <f t="shared" si="4"/>
        <v>0</v>
      </c>
      <c r="U61" s="67"/>
    </row>
    <row r="62" spans="1:21" ht="15" x14ac:dyDescent="0.2">
      <c r="A62" s="152"/>
      <c r="B62" s="172">
        <v>28</v>
      </c>
      <c r="C62" s="176" t="s">
        <v>84</v>
      </c>
      <c r="D62" s="59"/>
      <c r="E62" s="59"/>
      <c r="F62" s="60">
        <f t="shared" si="5"/>
        <v>0</v>
      </c>
      <c r="G62" s="174" t="s">
        <v>85</v>
      </c>
      <c r="H62" s="154"/>
      <c r="I62" s="172">
        <v>28</v>
      </c>
      <c r="J62" s="176" t="s">
        <v>84</v>
      </c>
      <c r="K62" s="59"/>
      <c r="L62" s="59"/>
      <c r="M62" s="60">
        <f t="shared" si="6"/>
        <v>0</v>
      </c>
      <c r="N62" s="174" t="s">
        <v>85</v>
      </c>
      <c r="P62" s="172">
        <v>28</v>
      </c>
      <c r="Q62" s="176" t="s">
        <v>84</v>
      </c>
      <c r="R62" s="59"/>
      <c r="S62" s="59"/>
      <c r="T62" s="60">
        <f t="shared" si="4"/>
        <v>0</v>
      </c>
      <c r="U62" s="174" t="s">
        <v>85</v>
      </c>
    </row>
    <row r="63" spans="1:21" ht="15" x14ac:dyDescent="0.2">
      <c r="A63" s="152"/>
      <c r="B63" s="173"/>
      <c r="C63" s="177"/>
      <c r="D63" s="59"/>
      <c r="E63" s="59"/>
      <c r="F63" s="60">
        <f t="shared" si="5"/>
        <v>0</v>
      </c>
      <c r="G63" s="175"/>
      <c r="H63" s="154"/>
      <c r="I63" s="173"/>
      <c r="J63" s="177"/>
      <c r="K63" s="59"/>
      <c r="L63" s="59"/>
      <c r="M63" s="60">
        <f t="shared" si="6"/>
        <v>0</v>
      </c>
      <c r="N63" s="175"/>
      <c r="P63" s="173"/>
      <c r="Q63" s="177"/>
      <c r="R63" s="59"/>
      <c r="S63" s="59"/>
      <c r="T63" s="60">
        <f t="shared" si="4"/>
        <v>0</v>
      </c>
      <c r="U63" s="175"/>
    </row>
    <row r="64" spans="1:21" x14ac:dyDescent="0.2">
      <c r="A64" s="152"/>
      <c r="B64" s="178" t="s">
        <v>86</v>
      </c>
      <c r="C64" s="178"/>
      <c r="D64" s="178"/>
      <c r="E64" s="178"/>
      <c r="F64" s="72">
        <f>SUM(F2:F63)</f>
        <v>33510</v>
      </c>
      <c r="G64" s="73"/>
      <c r="H64" s="154"/>
      <c r="I64" s="178" t="s">
        <v>86</v>
      </c>
      <c r="J64" s="178"/>
      <c r="K64" s="178"/>
      <c r="L64" s="178"/>
      <c r="M64" s="72">
        <f>SUM(M2:M63)</f>
        <v>32104</v>
      </c>
      <c r="N64" s="73"/>
      <c r="P64" s="178" t="s">
        <v>86</v>
      </c>
      <c r="Q64" s="178"/>
      <c r="R64" s="178"/>
      <c r="S64" s="178"/>
      <c r="T64" s="72">
        <f>SUM(T2:T63)</f>
        <v>32315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66">
        <v>44866</v>
      </c>
      <c r="B69" s="167"/>
      <c r="C69" s="167"/>
      <c r="D69" s="168"/>
      <c r="E69" s="157"/>
      <c r="F69" s="166">
        <v>44896</v>
      </c>
      <c r="G69" s="167"/>
      <c r="H69" s="167"/>
      <c r="I69" s="168"/>
      <c r="J69" s="157"/>
      <c r="K69" s="169" t="s">
        <v>25</v>
      </c>
      <c r="L69" s="170"/>
      <c r="M69" s="170"/>
      <c r="N69" s="171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102072</v>
      </c>
      <c r="C71" s="76">
        <v>63068</v>
      </c>
      <c r="D71" s="77">
        <v>79009</v>
      </c>
      <c r="E71" s="156"/>
      <c r="F71" s="74">
        <v>6</v>
      </c>
      <c r="G71" s="75">
        <v>102509</v>
      </c>
      <c r="H71" s="76">
        <v>63578</v>
      </c>
      <c r="I71" s="77">
        <v>79046</v>
      </c>
      <c r="J71" s="156"/>
      <c r="K71" s="158">
        <v>6</v>
      </c>
      <c r="L71" s="159">
        <f>G71-B71</f>
        <v>437</v>
      </c>
      <c r="M71" s="159">
        <f>H71-C71</f>
        <v>510</v>
      </c>
      <c r="N71" s="159">
        <f>I71-D71</f>
        <v>37</v>
      </c>
    </row>
    <row r="72" spans="1:14" ht="15.75" thickBot="1" x14ac:dyDescent="0.25">
      <c r="A72" s="74">
        <v>7</v>
      </c>
      <c r="B72" s="75">
        <v>103499</v>
      </c>
      <c r="C72" s="76">
        <v>107819</v>
      </c>
      <c r="D72" s="77">
        <v>68744</v>
      </c>
      <c r="E72" s="156"/>
      <c r="F72" s="74">
        <v>7</v>
      </c>
      <c r="G72" s="75">
        <v>103777</v>
      </c>
      <c r="H72" s="76">
        <v>108138</v>
      </c>
      <c r="I72" s="77">
        <v>69037</v>
      </c>
      <c r="J72" s="156"/>
      <c r="K72" s="158">
        <v>7</v>
      </c>
      <c r="L72" s="159">
        <f t="shared" ref="L72:N92" si="7">G72-B72</f>
        <v>278</v>
      </c>
      <c r="M72" s="159">
        <f t="shared" si="7"/>
        <v>319</v>
      </c>
      <c r="N72" s="159">
        <f t="shared" si="7"/>
        <v>293</v>
      </c>
    </row>
    <row r="73" spans="1:14" ht="15.75" thickBot="1" x14ac:dyDescent="0.25">
      <c r="A73" s="74">
        <v>8</v>
      </c>
      <c r="B73" s="75">
        <v>126428</v>
      </c>
      <c r="C73" s="76">
        <v>277849</v>
      </c>
      <c r="D73" s="77">
        <v>115609</v>
      </c>
      <c r="E73" s="156"/>
      <c r="F73" s="74">
        <v>8</v>
      </c>
      <c r="G73" s="75">
        <v>127647</v>
      </c>
      <c r="H73" s="76">
        <v>279123</v>
      </c>
      <c r="I73" s="77">
        <v>116757</v>
      </c>
      <c r="J73" s="156"/>
      <c r="K73" s="158">
        <v>8</v>
      </c>
      <c r="L73" s="159">
        <f t="shared" si="7"/>
        <v>1219</v>
      </c>
      <c r="M73" s="159">
        <f t="shared" si="7"/>
        <v>1274</v>
      </c>
      <c r="N73" s="159">
        <f t="shared" si="7"/>
        <v>1148</v>
      </c>
    </row>
    <row r="74" spans="1:14" ht="15.75" thickBot="1" x14ac:dyDescent="0.25">
      <c r="A74" s="74">
        <v>9</v>
      </c>
      <c r="B74" s="75">
        <v>70152</v>
      </c>
      <c r="C74" s="76">
        <v>159625</v>
      </c>
      <c r="D74" s="77">
        <v>173021</v>
      </c>
      <c r="E74" s="156"/>
      <c r="F74" s="74">
        <v>9</v>
      </c>
      <c r="G74" s="75">
        <v>70208</v>
      </c>
      <c r="H74" s="76">
        <v>160715</v>
      </c>
      <c r="I74" s="77">
        <v>173373</v>
      </c>
      <c r="J74" s="156"/>
      <c r="K74" s="158">
        <v>9</v>
      </c>
      <c r="L74" s="159">
        <f t="shared" si="7"/>
        <v>56</v>
      </c>
      <c r="M74" s="159">
        <f t="shared" si="7"/>
        <v>1090</v>
      </c>
      <c r="N74" s="159">
        <f t="shared" si="7"/>
        <v>352</v>
      </c>
    </row>
    <row r="75" spans="1:14" ht="15.75" thickBot="1" x14ac:dyDescent="0.25">
      <c r="A75" s="74">
        <v>10</v>
      </c>
      <c r="B75" s="75">
        <v>79768</v>
      </c>
      <c r="C75" s="76">
        <v>132247</v>
      </c>
      <c r="D75" s="77">
        <v>165219</v>
      </c>
      <c r="E75" s="156"/>
      <c r="F75" s="74">
        <v>10</v>
      </c>
      <c r="G75" s="75">
        <v>79891</v>
      </c>
      <c r="H75" s="76">
        <v>133001</v>
      </c>
      <c r="I75" s="77">
        <v>165832</v>
      </c>
      <c r="J75" s="156"/>
      <c r="K75" s="158">
        <v>10</v>
      </c>
      <c r="L75" s="159">
        <f t="shared" si="7"/>
        <v>123</v>
      </c>
      <c r="M75" s="159">
        <f t="shared" si="7"/>
        <v>754</v>
      </c>
      <c r="N75" s="159">
        <f t="shared" si="7"/>
        <v>613</v>
      </c>
    </row>
    <row r="76" spans="1:14" ht="15.75" thickBot="1" x14ac:dyDescent="0.25">
      <c r="A76" s="74">
        <v>11</v>
      </c>
      <c r="B76" s="75">
        <v>166576</v>
      </c>
      <c r="C76" s="76">
        <v>192762</v>
      </c>
      <c r="D76" s="77">
        <v>216957</v>
      </c>
      <c r="E76" s="156"/>
      <c r="F76" s="74">
        <v>11</v>
      </c>
      <c r="G76" s="75">
        <v>167545</v>
      </c>
      <c r="H76" s="76">
        <v>193350</v>
      </c>
      <c r="I76" s="77">
        <v>217468</v>
      </c>
      <c r="J76" s="156"/>
      <c r="K76" s="158">
        <v>11</v>
      </c>
      <c r="L76" s="159">
        <f>G76-B76</f>
        <v>969</v>
      </c>
      <c r="M76" s="159">
        <f t="shared" si="7"/>
        <v>588</v>
      </c>
      <c r="N76" s="159">
        <f t="shared" si="7"/>
        <v>511</v>
      </c>
    </row>
    <row r="77" spans="1:14" ht="15.75" thickBot="1" x14ac:dyDescent="0.25">
      <c r="A77" s="74">
        <v>12</v>
      </c>
      <c r="B77" s="75">
        <v>160787</v>
      </c>
      <c r="C77" s="76">
        <v>105525</v>
      </c>
      <c r="D77" s="77">
        <v>104940</v>
      </c>
      <c r="E77" s="156"/>
      <c r="F77" s="74">
        <v>12</v>
      </c>
      <c r="G77" s="75">
        <v>161473</v>
      </c>
      <c r="H77" s="76">
        <v>106430</v>
      </c>
      <c r="I77" s="77">
        <v>105402</v>
      </c>
      <c r="J77" s="156"/>
      <c r="K77" s="158">
        <v>12</v>
      </c>
      <c r="L77" s="159">
        <f t="shared" si="7"/>
        <v>686</v>
      </c>
      <c r="M77" s="159">
        <f>H77-C77</f>
        <v>905</v>
      </c>
      <c r="N77" s="159">
        <f t="shared" si="7"/>
        <v>462</v>
      </c>
    </row>
    <row r="78" spans="1:14" ht="15.75" thickBot="1" x14ac:dyDescent="0.25">
      <c r="A78" s="74">
        <v>14</v>
      </c>
      <c r="B78" s="75">
        <v>125905</v>
      </c>
      <c r="C78" s="76">
        <v>50079</v>
      </c>
      <c r="D78" s="77">
        <v>52676</v>
      </c>
      <c r="E78" s="156"/>
      <c r="F78" s="74">
        <v>14</v>
      </c>
      <c r="G78" s="75">
        <v>126157</v>
      </c>
      <c r="H78" s="76">
        <v>50139</v>
      </c>
      <c r="I78" s="77">
        <v>52789</v>
      </c>
      <c r="J78" s="156"/>
      <c r="K78" s="158">
        <v>14</v>
      </c>
      <c r="L78" s="159">
        <f t="shared" si="7"/>
        <v>252</v>
      </c>
      <c r="M78" s="159">
        <f t="shared" si="7"/>
        <v>60</v>
      </c>
      <c r="N78" s="159">
        <f t="shared" si="7"/>
        <v>113</v>
      </c>
    </row>
    <row r="79" spans="1:14" ht="15.75" thickBot="1" x14ac:dyDescent="0.25">
      <c r="A79" s="74">
        <v>15</v>
      </c>
      <c r="B79" s="75">
        <v>180526</v>
      </c>
      <c r="C79" s="76">
        <v>164402</v>
      </c>
      <c r="D79" s="77">
        <v>168422</v>
      </c>
      <c r="E79" s="156"/>
      <c r="F79" s="74">
        <v>15</v>
      </c>
      <c r="G79" s="75">
        <v>180932</v>
      </c>
      <c r="H79" s="76">
        <v>165272</v>
      </c>
      <c r="I79" s="77">
        <v>169007</v>
      </c>
      <c r="J79" s="156"/>
      <c r="K79" s="158">
        <v>15</v>
      </c>
      <c r="L79" s="159">
        <f t="shared" si="7"/>
        <v>406</v>
      </c>
      <c r="M79" s="159">
        <f t="shared" si="7"/>
        <v>870</v>
      </c>
      <c r="N79" s="159">
        <f t="shared" si="7"/>
        <v>585</v>
      </c>
    </row>
    <row r="80" spans="1:14" ht="15.75" thickBot="1" x14ac:dyDescent="0.25">
      <c r="A80" s="74">
        <v>16</v>
      </c>
      <c r="B80" s="75">
        <v>134630</v>
      </c>
      <c r="C80" s="76">
        <v>161674</v>
      </c>
      <c r="D80" s="77">
        <v>222766</v>
      </c>
      <c r="E80" s="156"/>
      <c r="F80" s="74">
        <v>16</v>
      </c>
      <c r="G80" s="75">
        <v>135053</v>
      </c>
      <c r="H80" s="76">
        <v>162443</v>
      </c>
      <c r="I80" s="77">
        <v>223041</v>
      </c>
      <c r="J80" s="156"/>
      <c r="K80" s="158">
        <v>16</v>
      </c>
      <c r="L80" s="159">
        <f t="shared" si="7"/>
        <v>423</v>
      </c>
      <c r="M80" s="159">
        <f t="shared" si="7"/>
        <v>769</v>
      </c>
      <c r="N80" s="159">
        <f t="shared" si="7"/>
        <v>275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204990</v>
      </c>
      <c r="E81" s="156"/>
      <c r="F81" s="74">
        <v>17</v>
      </c>
      <c r="G81" s="75">
        <v>38476</v>
      </c>
      <c r="H81" s="76">
        <v>89739</v>
      </c>
      <c r="I81" s="77">
        <v>205215</v>
      </c>
      <c r="J81" s="156"/>
      <c r="K81" s="158">
        <v>17</v>
      </c>
      <c r="L81" s="159">
        <f t="shared" si="7"/>
        <v>0</v>
      </c>
      <c r="M81" s="159">
        <f t="shared" si="7"/>
        <v>0</v>
      </c>
      <c r="N81" s="159">
        <f t="shared" si="7"/>
        <v>225</v>
      </c>
    </row>
    <row r="82" spans="1:14" ht="15.75" thickBot="1" x14ac:dyDescent="0.25">
      <c r="A82" s="74">
        <v>18</v>
      </c>
      <c r="B82" s="75">
        <v>144723</v>
      </c>
      <c r="C82" s="76">
        <v>76999</v>
      </c>
      <c r="D82" s="77">
        <v>169301</v>
      </c>
      <c r="E82" s="156"/>
      <c r="F82" s="74">
        <v>18</v>
      </c>
      <c r="G82" s="75">
        <v>145347</v>
      </c>
      <c r="H82" s="76">
        <v>77122</v>
      </c>
      <c r="I82" s="77">
        <v>169811</v>
      </c>
      <c r="J82" s="156"/>
      <c r="K82" s="158">
        <v>18</v>
      </c>
      <c r="L82" s="159">
        <f t="shared" si="7"/>
        <v>624</v>
      </c>
      <c r="M82" s="159">
        <f t="shared" si="7"/>
        <v>123</v>
      </c>
      <c r="N82" s="159">
        <f t="shared" si="7"/>
        <v>510</v>
      </c>
    </row>
    <row r="83" spans="1:14" ht="15.75" thickBot="1" x14ac:dyDescent="0.25">
      <c r="A83" s="74">
        <v>19</v>
      </c>
      <c r="B83" s="75">
        <v>79293</v>
      </c>
      <c r="C83" s="76">
        <v>179686</v>
      </c>
      <c r="D83" s="77">
        <v>134449</v>
      </c>
      <c r="E83" s="156"/>
      <c r="F83" s="74">
        <v>19</v>
      </c>
      <c r="G83" s="75">
        <v>79465</v>
      </c>
      <c r="H83" s="76">
        <v>180073</v>
      </c>
      <c r="I83" s="77">
        <v>135426</v>
      </c>
      <c r="J83" s="156"/>
      <c r="K83" s="158">
        <v>19</v>
      </c>
      <c r="L83" s="159">
        <f t="shared" si="7"/>
        <v>172</v>
      </c>
      <c r="M83" s="159">
        <f t="shared" si="7"/>
        <v>387</v>
      </c>
      <c r="N83" s="159">
        <f t="shared" si="7"/>
        <v>977</v>
      </c>
    </row>
    <row r="84" spans="1:14" ht="15.75" thickBot="1" x14ac:dyDescent="0.25">
      <c r="A84" s="74">
        <v>20</v>
      </c>
      <c r="B84" s="75">
        <v>150307</v>
      </c>
      <c r="C84" s="76">
        <v>184963</v>
      </c>
      <c r="D84" s="77">
        <v>92969</v>
      </c>
      <c r="E84" s="156"/>
      <c r="F84" s="74">
        <v>20</v>
      </c>
      <c r="G84" s="75">
        <v>150716</v>
      </c>
      <c r="H84" s="76">
        <v>185492</v>
      </c>
      <c r="I84" s="77">
        <v>92970</v>
      </c>
      <c r="J84" s="156"/>
      <c r="K84" s="158">
        <v>20</v>
      </c>
      <c r="L84" s="159">
        <f>G84-B84</f>
        <v>409</v>
      </c>
      <c r="M84" s="159">
        <f t="shared" si="7"/>
        <v>529</v>
      </c>
      <c r="N84" s="159">
        <f t="shared" si="7"/>
        <v>1</v>
      </c>
    </row>
    <row r="85" spans="1:14" ht="15.75" thickBot="1" x14ac:dyDescent="0.25">
      <c r="A85" s="74">
        <v>21</v>
      </c>
      <c r="B85" s="75">
        <v>195407</v>
      </c>
      <c r="C85" s="76">
        <v>95564</v>
      </c>
      <c r="D85" s="77">
        <v>121522</v>
      </c>
      <c r="E85" s="156"/>
      <c r="F85" s="74">
        <v>21</v>
      </c>
      <c r="G85" s="75">
        <v>195472</v>
      </c>
      <c r="H85" s="76">
        <v>96063</v>
      </c>
      <c r="I85" s="77">
        <v>122021</v>
      </c>
      <c r="J85" s="156"/>
      <c r="K85" s="158">
        <v>21</v>
      </c>
      <c r="L85" s="159">
        <f t="shared" si="7"/>
        <v>65</v>
      </c>
      <c r="M85" s="159">
        <f t="shared" si="7"/>
        <v>499</v>
      </c>
      <c r="N85" s="159">
        <f t="shared" si="7"/>
        <v>499</v>
      </c>
    </row>
    <row r="86" spans="1:14" ht="15.75" thickBot="1" x14ac:dyDescent="0.25">
      <c r="A86" s="74">
        <v>22</v>
      </c>
      <c r="B86" s="75">
        <v>150133</v>
      </c>
      <c r="C86" s="76">
        <v>110337</v>
      </c>
      <c r="D86" s="77">
        <v>123490</v>
      </c>
      <c r="E86" s="156"/>
      <c r="F86" s="74">
        <v>22</v>
      </c>
      <c r="G86" s="75">
        <v>150767</v>
      </c>
      <c r="H86" s="76">
        <v>111165</v>
      </c>
      <c r="I86" s="77">
        <v>123561</v>
      </c>
      <c r="J86" s="156"/>
      <c r="K86" s="158">
        <v>22</v>
      </c>
      <c r="L86" s="159">
        <f t="shared" si="7"/>
        <v>634</v>
      </c>
      <c r="M86" s="159">
        <f t="shared" si="7"/>
        <v>828</v>
      </c>
      <c r="N86" s="159">
        <f>I86-D86</f>
        <v>71</v>
      </c>
    </row>
    <row r="87" spans="1:14" ht="15.75" thickBot="1" x14ac:dyDescent="0.25">
      <c r="A87" s="74">
        <v>23</v>
      </c>
      <c r="B87" s="75">
        <v>133300</v>
      </c>
      <c r="C87" s="76">
        <v>161017</v>
      </c>
      <c r="D87" s="77">
        <v>306596</v>
      </c>
      <c r="E87" s="156"/>
      <c r="F87" s="74">
        <v>23</v>
      </c>
      <c r="G87" s="75">
        <v>133917</v>
      </c>
      <c r="H87" s="76">
        <v>162082</v>
      </c>
      <c r="I87" s="77">
        <v>307289</v>
      </c>
      <c r="J87" s="156"/>
      <c r="K87" s="158">
        <v>23</v>
      </c>
      <c r="L87" s="159">
        <f t="shared" si="7"/>
        <v>617</v>
      </c>
      <c r="M87" s="159">
        <f t="shared" si="7"/>
        <v>1065</v>
      </c>
      <c r="N87" s="159">
        <f t="shared" si="7"/>
        <v>693</v>
      </c>
    </row>
    <row r="88" spans="1:14" ht="15.75" thickBot="1" x14ac:dyDescent="0.25">
      <c r="A88" s="74">
        <v>24</v>
      </c>
      <c r="B88" s="75">
        <v>82204</v>
      </c>
      <c r="C88" s="76">
        <v>158345</v>
      </c>
      <c r="D88" s="77">
        <v>102931</v>
      </c>
      <c r="E88" s="156"/>
      <c r="F88" s="74">
        <v>24</v>
      </c>
      <c r="G88" s="75">
        <v>82925</v>
      </c>
      <c r="H88" s="76">
        <v>158760</v>
      </c>
      <c r="I88" s="77">
        <v>102940</v>
      </c>
      <c r="J88" s="156"/>
      <c r="K88" s="158">
        <v>24</v>
      </c>
      <c r="L88" s="159">
        <f t="shared" si="7"/>
        <v>721</v>
      </c>
      <c r="M88" s="159">
        <f t="shared" si="7"/>
        <v>415</v>
      </c>
      <c r="N88" s="159">
        <f>I88-D88</f>
        <v>9</v>
      </c>
    </row>
    <row r="89" spans="1:14" ht="15.75" thickBot="1" x14ac:dyDescent="0.25">
      <c r="A89" s="74">
        <v>25</v>
      </c>
      <c r="B89" s="75">
        <v>132154</v>
      </c>
      <c r="C89" s="76">
        <v>183097</v>
      </c>
      <c r="D89" s="77">
        <v>176395</v>
      </c>
      <c r="E89" s="156"/>
      <c r="F89" s="74">
        <v>25</v>
      </c>
      <c r="G89" s="75">
        <v>132680</v>
      </c>
      <c r="H89" s="76">
        <v>183329</v>
      </c>
      <c r="I89" s="77">
        <v>176937</v>
      </c>
      <c r="J89" s="156"/>
      <c r="K89" s="158">
        <v>25</v>
      </c>
      <c r="L89" s="159">
        <f>G89-B89</f>
        <v>526</v>
      </c>
      <c r="M89" s="159">
        <f t="shared" si="7"/>
        <v>232</v>
      </c>
      <c r="N89" s="159">
        <f>I89-D89</f>
        <v>542</v>
      </c>
    </row>
    <row r="90" spans="1:14" ht="15.75" thickBot="1" x14ac:dyDescent="0.25">
      <c r="A90" s="74">
        <v>26</v>
      </c>
      <c r="B90" s="75">
        <v>131649</v>
      </c>
      <c r="C90" s="76">
        <v>62638</v>
      </c>
      <c r="D90" s="77">
        <v>66551</v>
      </c>
      <c r="E90" s="156"/>
      <c r="F90" s="74">
        <v>26</v>
      </c>
      <c r="G90" s="75">
        <v>133228</v>
      </c>
      <c r="H90" s="76">
        <v>63382</v>
      </c>
      <c r="I90" s="77">
        <v>67413</v>
      </c>
      <c r="J90" s="156"/>
      <c r="K90" s="158">
        <v>26</v>
      </c>
      <c r="L90" s="159">
        <f t="shared" si="7"/>
        <v>1579</v>
      </c>
      <c r="M90" s="159">
        <f t="shared" si="7"/>
        <v>744</v>
      </c>
      <c r="N90" s="159">
        <f t="shared" si="7"/>
        <v>862</v>
      </c>
    </row>
    <row r="91" spans="1:14" ht="15.75" thickBot="1" x14ac:dyDescent="0.25">
      <c r="A91" s="74">
        <v>27</v>
      </c>
      <c r="B91" s="75">
        <v>105446</v>
      </c>
      <c r="C91" s="76">
        <v>117055</v>
      </c>
      <c r="D91" s="77">
        <v>130248</v>
      </c>
      <c r="E91" s="156"/>
      <c r="F91" s="74">
        <v>27</v>
      </c>
      <c r="G91" s="75">
        <v>105955</v>
      </c>
      <c r="H91" s="76">
        <v>117556</v>
      </c>
      <c r="I91" s="77">
        <v>131059</v>
      </c>
      <c r="J91" s="156"/>
      <c r="K91" s="158">
        <v>27</v>
      </c>
      <c r="L91" s="159">
        <f t="shared" si="7"/>
        <v>509</v>
      </c>
      <c r="M91" s="159">
        <f t="shared" si="7"/>
        <v>501</v>
      </c>
      <c r="N91" s="159">
        <f>I91-D91</f>
        <v>811</v>
      </c>
    </row>
    <row r="92" spans="1:14" ht="15.75" thickBot="1" x14ac:dyDescent="0.25">
      <c r="A92" s="74">
        <v>28</v>
      </c>
      <c r="B92" s="75">
        <v>205076</v>
      </c>
      <c r="C92" s="76">
        <v>103957</v>
      </c>
      <c r="D92" s="77">
        <v>117547</v>
      </c>
      <c r="E92" s="156"/>
      <c r="F92" s="74">
        <v>28</v>
      </c>
      <c r="G92" s="75">
        <v>205204</v>
      </c>
      <c r="H92" s="76">
        <v>104116</v>
      </c>
      <c r="I92" s="77">
        <v>118070</v>
      </c>
      <c r="J92" s="156"/>
      <c r="K92" s="158">
        <v>28</v>
      </c>
      <c r="L92" s="159">
        <f t="shared" si="7"/>
        <v>128</v>
      </c>
      <c r="M92" s="159">
        <f t="shared" si="7"/>
        <v>159</v>
      </c>
      <c r="N92" s="159">
        <f t="shared" si="7"/>
        <v>523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4" sqref="F14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3" t="s">
        <v>149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3" ht="13.5" thickBot="1" x14ac:dyDescent="0.25">
      <c r="A2" s="81"/>
      <c r="B2" s="82" t="s">
        <v>90</v>
      </c>
      <c r="C2" s="83">
        <f>K8+K9+K14</f>
        <v>128365</v>
      </c>
      <c r="D2" s="83">
        <f>C2*1.27</f>
        <v>163023.54999999999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35409955</v>
      </c>
      <c r="J3" s="120">
        <f>ELECT.!E33</f>
        <v>35562998</v>
      </c>
      <c r="K3" s="149">
        <f>J3-I3</f>
        <v>153043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10678977</v>
      </c>
      <c r="J4" s="120">
        <f>ELECT.!G33</f>
        <v>11139430</v>
      </c>
      <c r="K4" s="149">
        <f>J4-I4</f>
        <v>460453</v>
      </c>
    </row>
    <row r="5" spans="1:13" ht="13.5" thickBot="1" x14ac:dyDescent="0.25">
      <c r="A5" s="81"/>
      <c r="B5" s="87" t="s">
        <v>27</v>
      </c>
      <c r="C5" s="91">
        <f>(K10+K12)*0.842284+K26</f>
        <v>305495.48988000001</v>
      </c>
      <c r="D5" s="91">
        <f t="shared" ref="D5:D11" si="0">C5*1.27</f>
        <v>387979.27214760002</v>
      </c>
      <c r="E5" s="92"/>
      <c r="F5" s="81"/>
      <c r="G5" s="81"/>
      <c r="H5" s="87" t="s">
        <v>23</v>
      </c>
      <c r="I5" s="93"/>
      <c r="J5" s="93"/>
      <c r="K5" s="113">
        <f>K3+K4</f>
        <v>613496</v>
      </c>
    </row>
    <row r="6" spans="1:13" ht="13.5" thickBot="1" x14ac:dyDescent="0.25">
      <c r="A6" s="81"/>
      <c r="B6" s="87" t="s">
        <v>97</v>
      </c>
      <c r="C6" s="91">
        <f>(K10+K12+K26)*0.1488</f>
        <v>53849.231999999996</v>
      </c>
      <c r="D6" s="91">
        <f t="shared" si="0"/>
        <v>68388.524640000003</v>
      </c>
      <c r="E6" s="92"/>
      <c r="F6" s="81"/>
      <c r="G6" s="81"/>
      <c r="H6" s="87" t="s">
        <v>98</v>
      </c>
      <c r="I6" s="124">
        <f>ELECT.!J2</f>
        <v>1137530</v>
      </c>
      <c r="J6" s="120">
        <f>ELECT.!J33</f>
        <v>1201032</v>
      </c>
      <c r="K6" s="149">
        <f>J6-I6</f>
        <v>63502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99225</v>
      </c>
      <c r="D7" s="91">
        <f t="shared" si="0"/>
        <v>126015.75</v>
      </c>
      <c r="E7" s="92"/>
      <c r="F7" s="81"/>
      <c r="G7" s="81"/>
      <c r="H7" s="87" t="s">
        <v>100</v>
      </c>
      <c r="I7" s="124">
        <f>ELECT.!L2</f>
        <v>1444001</v>
      </c>
      <c r="J7" s="120">
        <f>ELECT.!L33</f>
        <v>1508060</v>
      </c>
      <c r="K7" s="149">
        <f>J7-I7</f>
        <v>64059</v>
      </c>
    </row>
    <row r="8" spans="1:13" ht="13.5" thickBot="1" x14ac:dyDescent="0.25">
      <c r="A8" s="81"/>
      <c r="B8" s="87" t="s">
        <v>101</v>
      </c>
      <c r="C8" s="91">
        <f>K21+K22+K23+K24</f>
        <v>13351</v>
      </c>
      <c r="D8" s="91">
        <f t="shared" si="0"/>
        <v>16955.77</v>
      </c>
      <c r="E8" s="92"/>
      <c r="F8" s="81"/>
      <c r="G8" s="81"/>
      <c r="H8" s="87" t="s">
        <v>102</v>
      </c>
      <c r="I8" s="124">
        <f>ELECT.!N2</f>
        <v>8105202</v>
      </c>
      <c r="J8" s="120">
        <f>ELECT.!N33</f>
        <v>8148588</v>
      </c>
      <c r="K8" s="78">
        <f>(J8-I8)*2</f>
        <v>86772</v>
      </c>
    </row>
    <row r="9" spans="1:13" ht="13.5" thickBot="1" x14ac:dyDescent="0.25">
      <c r="A9" s="81"/>
      <c r="B9" s="87" t="s">
        <v>135</v>
      </c>
      <c r="C9" s="91">
        <f>K25+K16+K17</f>
        <v>3717</v>
      </c>
      <c r="D9" s="91">
        <f t="shared" si="0"/>
        <v>4720.59</v>
      </c>
      <c r="E9" s="92"/>
      <c r="F9" s="81"/>
      <c r="G9" s="81"/>
      <c r="H9" s="87" t="s">
        <v>103</v>
      </c>
      <c r="I9" s="124">
        <f>ELECT.!P2</f>
        <v>9034160</v>
      </c>
      <c r="J9" s="120">
        <f>ELECT.!P33</f>
        <v>9063132</v>
      </c>
      <c r="K9" s="78">
        <f>J9-I9</f>
        <v>28972</v>
      </c>
    </row>
    <row r="10" spans="1:13" ht="13.5" thickBot="1" x14ac:dyDescent="0.25">
      <c r="A10" s="81"/>
      <c r="B10" s="87" t="s">
        <v>104</v>
      </c>
      <c r="C10" s="91">
        <f>K18</f>
        <v>5440</v>
      </c>
      <c r="D10" s="91">
        <f t="shared" si="0"/>
        <v>6908.8</v>
      </c>
      <c r="E10" s="92"/>
      <c r="F10" s="81"/>
      <c r="G10" s="81"/>
      <c r="H10" s="87" t="s">
        <v>105</v>
      </c>
      <c r="I10" s="124">
        <f>ELECT.!R2</f>
        <v>23558658</v>
      </c>
      <c r="J10" s="120">
        <f>ELECT.!R33</f>
        <v>23678296</v>
      </c>
      <c r="K10" s="78">
        <f>J10-I10</f>
        <v>119638</v>
      </c>
    </row>
    <row r="11" spans="1:13" ht="13.5" thickBot="1" x14ac:dyDescent="0.25">
      <c r="A11" s="81"/>
      <c r="B11" s="87" t="s">
        <v>106</v>
      </c>
      <c r="C11" s="91">
        <f>K19+K20</f>
        <v>1508</v>
      </c>
      <c r="D11" s="91">
        <f t="shared" si="0"/>
        <v>1915.16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1584269</v>
      </c>
      <c r="J12" s="120">
        <f>ELECT.!V33</f>
        <v>1703235</v>
      </c>
      <c r="K12" s="78">
        <f>(J12-I12)*2</f>
        <v>237932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600875</v>
      </c>
    </row>
    <row r="14" spans="1:13" ht="13.5" thickBot="1" x14ac:dyDescent="0.25">
      <c r="A14" s="81"/>
      <c r="B14" s="87" t="s">
        <v>42</v>
      </c>
      <c r="C14" s="91">
        <f>K29</f>
        <v>10060</v>
      </c>
      <c r="D14" s="99">
        <f t="shared" ref="D14:D22" si="1">C14*10.03</f>
        <v>100901.79999999999</v>
      </c>
      <c r="E14" s="100"/>
      <c r="F14" s="81"/>
      <c r="G14" s="81"/>
      <c r="H14" s="87" t="s">
        <v>112</v>
      </c>
      <c r="I14" s="96"/>
      <c r="J14" s="97"/>
      <c r="K14" s="79">
        <f>K5-K13</f>
        <v>12621</v>
      </c>
    </row>
    <row r="15" spans="1:13" ht="13.5" thickBot="1" x14ac:dyDescent="0.25">
      <c r="A15" s="81"/>
      <c r="B15" s="87" t="s">
        <v>113</v>
      </c>
      <c r="C15" s="101">
        <f>K30</f>
        <v>55.052999999999997</v>
      </c>
      <c r="D15" s="99">
        <f t="shared" si="1"/>
        <v>552.18158999999991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551.57601460000001</v>
      </c>
      <c r="D16" s="99">
        <f t="shared" si="1"/>
        <v>5532.3074264379993</v>
      </c>
      <c r="E16" s="100"/>
      <c r="F16" s="81"/>
      <c r="G16" s="81"/>
      <c r="H16" s="102" t="s">
        <v>134</v>
      </c>
      <c r="I16" s="103">
        <f>'Mall, Citadel, Rotana'!T2</f>
        <v>4130</v>
      </c>
      <c r="J16" s="103">
        <f>'Mall, Citadel, Rotana'!T33</f>
        <v>4145</v>
      </c>
      <c r="K16" s="80">
        <f>(J16-I16)*160</f>
        <v>2400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349511</v>
      </c>
      <c r="J17" s="103">
        <f>'Mall, Citadel, Rotana'!J33</f>
        <v>349511</v>
      </c>
      <c r="K17" s="80">
        <f>(J17-I17)</f>
        <v>0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26825</v>
      </c>
      <c r="J18" s="103">
        <f>'Mall, Citadel, Rotana'!L33</f>
        <v>26859</v>
      </c>
      <c r="K18" s="80">
        <f>(J18-I18)*160</f>
        <v>5440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4" t="s">
        <v>114</v>
      </c>
      <c r="F19" s="185"/>
      <c r="G19" s="81"/>
      <c r="H19" s="102" t="s">
        <v>115</v>
      </c>
      <c r="I19" s="103">
        <f>'Mall, Citadel, Rotana'!P2</f>
        <v>184695</v>
      </c>
      <c r="J19" s="103">
        <f>'Mall, Citadel, Rotana'!P33</f>
        <v>186203</v>
      </c>
      <c r="K19" s="80">
        <f>J19-I19</f>
        <v>1508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Rotana'!R33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48061</v>
      </c>
      <c r="J21" s="103">
        <f>'Mall, Citadel, Rotana'!B33</f>
        <v>48114</v>
      </c>
      <c r="K21" s="80">
        <f>(J21-I21)*120</f>
        <v>6360</v>
      </c>
    </row>
    <row r="22" spans="1:11" ht="13.5" thickBot="1" x14ac:dyDescent="0.25">
      <c r="A22" s="81"/>
      <c r="B22" s="87" t="s">
        <v>117</v>
      </c>
      <c r="C22" s="99">
        <f>C14-(C15+C16+C17+C18+C19+C20+C21)</f>
        <v>3633.3709853999999</v>
      </c>
      <c r="D22" s="99">
        <f t="shared" si="1"/>
        <v>36442.710983561999</v>
      </c>
      <c r="E22" s="100"/>
      <c r="F22" s="81"/>
      <c r="G22" s="81"/>
      <c r="H22" s="102" t="s">
        <v>15</v>
      </c>
      <c r="I22" s="103">
        <f>'Mall, Citadel, Rotana'!D2</f>
        <v>41278</v>
      </c>
      <c r="J22" s="103">
        <f>'Mall, Citadel, Rotana'!D33</f>
        <v>41315</v>
      </c>
      <c r="K22" s="80">
        <f>(J22-I22)*160</f>
        <v>5920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22445</v>
      </c>
      <c r="J23" s="103">
        <f>'Mall, Citadel, Rotana'!F33</f>
        <v>22489</v>
      </c>
      <c r="K23" s="80">
        <f>(J23-I23)*20</f>
        <v>880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261193</v>
      </c>
      <c r="J24" s="103">
        <f>'Mall, Citadel, Rotana'!H33</f>
        <v>261384</v>
      </c>
      <c r="K24" s="80">
        <f>J24-I24</f>
        <v>191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227119</v>
      </c>
      <c r="J25" s="103">
        <f>'Mall, Citadel, Rotana'!N33</f>
        <v>228436</v>
      </c>
      <c r="K25" s="80">
        <f>J25-I25</f>
        <v>1317</v>
      </c>
    </row>
    <row r="26" spans="1:11" ht="13.5" thickBot="1" x14ac:dyDescent="0.25">
      <c r="A26" s="81"/>
      <c r="B26" s="87" t="s">
        <v>42</v>
      </c>
      <c r="C26" s="105">
        <f>K35</f>
        <v>19630</v>
      </c>
      <c r="D26" s="91">
        <f>C26*3.65</f>
        <v>71649.5</v>
      </c>
      <c r="E26" s="92"/>
      <c r="F26" s="81"/>
      <c r="G26" s="81"/>
      <c r="H26" s="102" t="s">
        <v>121</v>
      </c>
      <c r="I26" s="112">
        <f>ELECT.!C2</f>
        <v>20445</v>
      </c>
      <c r="J26" s="112">
        <f>ELECT.!C33</f>
        <v>20472</v>
      </c>
      <c r="K26" s="80">
        <f>(J26-I26)*160</f>
        <v>4320</v>
      </c>
    </row>
    <row r="27" spans="1:11" ht="13.5" thickBot="1" x14ac:dyDescent="0.25">
      <c r="A27" s="81"/>
      <c r="B27" s="82" t="s">
        <v>122</v>
      </c>
      <c r="C27" s="105">
        <f>C26</f>
        <v>19630</v>
      </c>
      <c r="D27" s="91">
        <f>C27*3.65</f>
        <v>71649.5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470512</v>
      </c>
      <c r="J29" s="103">
        <f>Water!B33</f>
        <v>471518</v>
      </c>
      <c r="K29" s="80">
        <f>(J29-I29)*10</f>
        <v>10060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830316</v>
      </c>
      <c r="J30" s="103">
        <f>Water!H33</f>
        <v>832355</v>
      </c>
      <c r="K30" s="80">
        <f>(J30-I30)*0.027</f>
        <v>55.052999999999997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17430</v>
      </c>
      <c r="J31" s="103">
        <f>Water!D33</f>
        <v>17825</v>
      </c>
      <c r="K31" s="80">
        <f>(J31-I31)*0.027</f>
        <v>10.664999999999999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13340800</v>
      </c>
      <c r="J32" s="103">
        <f>Water!F33</f>
        <v>13507800</v>
      </c>
      <c r="K32" s="80">
        <f>(J32-I32)*0.027</f>
        <v>4509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18659408</v>
      </c>
      <c r="J35" s="122">
        <f>Gas!B33</f>
        <v>18679038</v>
      </c>
      <c r="K35" s="111">
        <f>J35-I35</f>
        <v>19630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2023-01-13T02:17:09Z</dcterms:modified>
</cp:coreProperties>
</file>