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9CEBF969-6A51-44E2-8341-24572E674F6A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Nov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3" l="1"/>
  <c r="O32" i="3"/>
  <c r="M32" i="3"/>
  <c r="K32" i="3"/>
  <c r="I32" i="3"/>
  <c r="G32" i="3"/>
  <c r="F32" i="3"/>
  <c r="E32" i="3"/>
  <c r="P31" i="3"/>
  <c r="O31" i="3"/>
  <c r="M31" i="3"/>
  <c r="K31" i="3"/>
  <c r="AB31" i="2"/>
  <c r="Y31" i="2"/>
  <c r="W31" i="2"/>
  <c r="U31" i="2"/>
  <c r="N31" i="2"/>
  <c r="J31" i="2"/>
  <c r="H31" i="2"/>
  <c r="I31" i="2" s="1"/>
  <c r="G31" i="2"/>
  <c r="E31" i="2"/>
  <c r="C31" i="2"/>
  <c r="N32" i="2"/>
  <c r="Y30" i="2"/>
  <c r="Y10" i="2" l="1"/>
  <c r="Y9" i="2"/>
  <c r="Y8" i="2"/>
  <c r="Y7" i="2"/>
  <c r="Y6" i="2"/>
  <c r="S11" i="2"/>
  <c r="S10" i="2"/>
  <c r="S9" i="2"/>
  <c r="S8" i="2"/>
  <c r="S7" i="2"/>
  <c r="S6" i="2"/>
  <c r="S5" i="2"/>
  <c r="S4" i="2"/>
  <c r="G30" i="2"/>
  <c r="G29" i="2"/>
  <c r="E30" i="2"/>
  <c r="E29" i="2"/>
  <c r="AB30" i="2"/>
  <c r="I31" i="3"/>
  <c r="W30" i="2"/>
  <c r="W29" i="2"/>
  <c r="N30" i="2"/>
  <c r="C30" i="2"/>
  <c r="S31" i="2"/>
  <c r="K31" i="2"/>
  <c r="F31" i="3" l="1"/>
  <c r="E31" i="3"/>
  <c r="W28" i="2"/>
  <c r="W27" i="2"/>
  <c r="W26" i="2"/>
  <c r="W25" i="2"/>
  <c r="W24" i="2"/>
  <c r="P24" i="3"/>
  <c r="O24" i="3"/>
  <c r="M24" i="3"/>
  <c r="P23" i="3"/>
  <c r="O23" i="3"/>
  <c r="M23" i="3"/>
  <c r="AB29" i="2" l="1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0" i="2"/>
  <c r="U30" i="2" s="1"/>
  <c r="S29" i="2"/>
  <c r="S28" i="2"/>
  <c r="S27" i="2"/>
  <c r="S26" i="2"/>
  <c r="S25" i="2"/>
  <c r="S24" i="2"/>
  <c r="S23" i="2"/>
  <c r="S22" i="2"/>
  <c r="U22" i="2" s="1"/>
  <c r="S21" i="2"/>
  <c r="U21" i="2" s="1"/>
  <c r="S20" i="2"/>
  <c r="S19" i="2"/>
  <c r="U19" i="2" s="1"/>
  <c r="S18" i="2"/>
  <c r="U18" i="2" s="1"/>
  <c r="S17" i="2"/>
  <c r="U17" i="2" s="1"/>
  <c r="S16" i="2"/>
  <c r="S15" i="2"/>
  <c r="U15" i="2" s="1"/>
  <c r="S14" i="2"/>
  <c r="U14" i="2" s="1"/>
  <c r="S13" i="2"/>
  <c r="S12" i="2"/>
  <c r="U9" i="2"/>
  <c r="U8" i="2"/>
  <c r="U7" i="2"/>
  <c r="U5" i="2"/>
  <c r="S3" i="2"/>
  <c r="S2" i="2"/>
  <c r="U16" i="2" l="1"/>
  <c r="U24" i="2"/>
  <c r="G31" i="3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G24" i="3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J17" i="2" s="1"/>
  <c r="E33" i="2"/>
  <c r="H4" i="2"/>
  <c r="I4" i="2" s="1"/>
  <c r="I8" i="2"/>
  <c r="I12" i="2"/>
  <c r="C33" i="2"/>
  <c r="J13" i="2" l="1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<sst xmlns="http://schemas.openxmlformats.org/spreadsheetml/2006/main" count="77" uniqueCount="40">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</sst>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7" workbookViewId="0">
      <selection activeCell="T35" sqref="T35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IF('November 2025'!C2&lt;0,"0",'November 2025'!C2)+(IF('November 2025'!E2&lt;0,"0",'November 2025'!E2)-(IF('November 2025'!G2&lt;0,"0",'November 2025'!G2)))</f>
        <v>5975</v>
      </c>
      <c r="F2" s="110">
        <f>('November 2025'!C2*0.27)/('November 2025'!C2+'November 2025'!E2)</f>
        <v>0.22892384937238497</v>
      </c>
      <c r="G2" s="97">
        <f>'November 2025'!U2</f>
        <v>115</v>
      </c>
      <c r="H2" s="113">
        <v>0.62</v>
      </c>
      <c r="I2" s="98">
        <f>'November 2025'!W2</f>
        <v>108</v>
      </c>
      <c r="J2" s="99">
        <v>2.42</v>
      </c>
      <c r="K2" s="106">
        <f>'November 2025'!AB2*5.04</f>
        <v>0</v>
      </c>
      <c r="L2" s="116">
        <v>0.11509999999999999</v>
      </c>
      <c r="M2" s="107">
        <f>'November 2025'!M2</f>
        <v>0</v>
      </c>
      <c r="N2" s="119">
        <v>0.88</v>
      </c>
      <c r="O2" s="100">
        <f>'November 2025'!AC2</f>
        <v>153</v>
      </c>
      <c r="P2" s="100">
        <f>'November 2025'!AD2</f>
        <v>312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IF('November 2025'!C3&lt;0,"0",'November 2025'!C3)+(IF('November 2025'!E3&lt;0,"0",'November 2025'!E3)-(IF('November 2025'!G3&lt;0,"0",'November 2025'!G3)))</f>
        <v>5917</v>
      </c>
      <c r="F3" s="110">
        <f>('November 2025'!C3*0.27)/('November 2025'!C3+'November 2025'!E3)</f>
        <v>0.23614162582389725</v>
      </c>
      <c r="G3" s="97">
        <f>'November 2025'!U3</f>
        <v>160</v>
      </c>
      <c r="H3" s="113">
        <v>0.62</v>
      </c>
      <c r="I3" s="98">
        <f>'November 2025'!W3</f>
        <v>102</v>
      </c>
      <c r="J3" s="99">
        <v>2.42</v>
      </c>
      <c r="K3" s="106">
        <f>'November 2025'!AB3*5.04</f>
        <v>0</v>
      </c>
      <c r="L3" s="116">
        <v>0.11509999999999999</v>
      </c>
      <c r="M3" s="107">
        <f>'November 2025'!M3</f>
        <v>0</v>
      </c>
      <c r="N3" s="119">
        <v>0.88</v>
      </c>
      <c r="O3" s="100">
        <f>'November 2025'!AC3</f>
        <v>141</v>
      </c>
      <c r="P3" s="100">
        <f>'November 2025'!AD3</f>
        <v>274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IF('November 2025'!C4&lt;0,"0",'November 2025'!C4)+(IF('November 2025'!E4&lt;0,"0",'November 2025'!E4)-(IF('November 2025'!G4&lt;0,"0",'November 2025'!G4)))</f>
        <v>5680</v>
      </c>
      <c r="F4" s="110">
        <f>('November 2025'!C4*0.27)/('November 2025'!C4+'November 2025'!E4)</f>
        <v>0.24319014084507046</v>
      </c>
      <c r="G4" s="97">
        <f>'November 2025'!U4</f>
        <v>111</v>
      </c>
      <c r="H4" s="113">
        <v>0.62</v>
      </c>
      <c r="I4" s="98">
        <f>'November 2025'!W4</f>
        <v>103</v>
      </c>
      <c r="J4" s="99">
        <v>2.42</v>
      </c>
      <c r="K4" s="106">
        <f>'November 2025'!AB4*5.04</f>
        <v>0</v>
      </c>
      <c r="L4" s="116">
        <v>0.11509999999999999</v>
      </c>
      <c r="M4" s="107">
        <f>'November 2025'!M4</f>
        <v>0</v>
      </c>
      <c r="N4" s="119">
        <v>0.88</v>
      </c>
      <c r="O4" s="100">
        <f>'November 2025'!AC4</f>
        <v>133</v>
      </c>
      <c r="P4" s="100">
        <f>'November 2025'!AD4</f>
        <v>257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IF('November 2025'!C5&lt;0,"0",'November 2025'!C5)+(IF('November 2025'!E5&lt;0,"0",'November 2025'!E5)-(IF('November 2025'!G5&lt;0,"0",'November 2025'!G5)))</f>
        <v>5565</v>
      </c>
      <c r="F5" s="110">
        <f>('November 2025'!C5*0.27)/('November 2025'!C5+'November 2025'!E5)</f>
        <v>0.2294878706199461</v>
      </c>
      <c r="G5" s="97">
        <f>'November 2025'!U5</f>
        <v>125</v>
      </c>
      <c r="H5" s="113">
        <v>0.62</v>
      </c>
      <c r="I5" s="98">
        <f>'November 2025'!W5</f>
        <v>90</v>
      </c>
      <c r="J5" s="99">
        <v>2.42</v>
      </c>
      <c r="K5" s="106">
        <f>'November 2025'!AB5*5.04</f>
        <v>0</v>
      </c>
      <c r="L5" s="116">
        <v>0.11509999999999999</v>
      </c>
      <c r="M5" s="107">
        <f>'November 2025'!M5</f>
        <v>0</v>
      </c>
      <c r="N5" s="119">
        <v>0.88</v>
      </c>
      <c r="O5" s="100">
        <f>'November 2025'!AC5</f>
        <v>145</v>
      </c>
      <c r="P5" s="100">
        <f>'November 2025'!AD5</f>
        <v>277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IF('November 2025'!C6&lt;0,"0",'November 2025'!C6)+(IF('November 2025'!E6&lt;0,"0",'November 2025'!E6)-(IF('November 2025'!G6&lt;0,"0",'November 2025'!G6)))</f>
        <v>6732</v>
      </c>
      <c r="F6" s="110">
        <f>('November 2025'!C6*0.27)/('November 2025'!C6+'November 2025'!E6)</f>
        <v>0.23895721925133692</v>
      </c>
      <c r="G6" s="97">
        <f>'November 2025'!U6</f>
        <v>125</v>
      </c>
      <c r="H6" s="113">
        <v>0.62</v>
      </c>
      <c r="I6" s="98">
        <f>'November 2025'!W6</f>
        <v>105</v>
      </c>
      <c r="J6" s="99">
        <v>2.42</v>
      </c>
      <c r="K6" s="106">
        <f>'November 2025'!AB6*5.04</f>
        <v>0</v>
      </c>
      <c r="L6" s="116">
        <v>0.11509999999999999</v>
      </c>
      <c r="M6" s="107">
        <f>'November 2025'!M6</f>
        <v>0</v>
      </c>
      <c r="N6" s="119">
        <v>0.88</v>
      </c>
      <c r="O6" s="100">
        <f>'November 2025'!AC6</f>
        <v>202</v>
      </c>
      <c r="P6" s="100">
        <f>'November 2025'!AD6</f>
        <v>368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IF('November 2025'!C7&lt;0,"0",'November 2025'!C7)+(IF('November 2025'!E7&lt;0,"0",'November 2025'!E7)-(IF('November 2025'!G7&lt;0,"0",'November 2025'!G7)))</f>
        <v>6855</v>
      </c>
      <c r="F7" s="110">
        <f>('November 2025'!C7*0.27)/('November 2025'!C7+'November 2025'!E7)</f>
        <v>0.24026258205689277</v>
      </c>
      <c r="G7" s="97">
        <f>'November 2025'!U7</f>
        <v>165</v>
      </c>
      <c r="H7" s="113">
        <v>0.62</v>
      </c>
      <c r="I7" s="98">
        <f>'November 2025'!W7</f>
        <v>135</v>
      </c>
      <c r="J7" s="99">
        <v>2.42</v>
      </c>
      <c r="K7" s="106">
        <f>'November 2025'!AB7*5.04</f>
        <v>0</v>
      </c>
      <c r="L7" s="116">
        <v>0.11509999999999999</v>
      </c>
      <c r="M7" s="107">
        <f>'November 2025'!M7</f>
        <v>0</v>
      </c>
      <c r="N7" s="119">
        <v>0.88</v>
      </c>
      <c r="O7" s="100">
        <f>'November 2025'!AC7</f>
        <v>237</v>
      </c>
      <c r="P7" s="100">
        <f>'November 2025'!AD7</f>
        <v>426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IF('November 2025'!C8&lt;0,"0",'November 2025'!C8)+(IF('November 2025'!E8&lt;0,"0",'November 2025'!E8)-(IF('November 2025'!G8&lt;0,"0",'November 2025'!G8)))</f>
        <v>6215</v>
      </c>
      <c r="F8" s="110">
        <f>('November 2025'!C8*0.27)/('November 2025'!C8+'November 2025'!E8)</f>
        <v>0.24102333065164924</v>
      </c>
      <c r="G8" s="97">
        <f>'November 2025'!U8</f>
        <v>95</v>
      </c>
      <c r="H8" s="113">
        <v>0.62</v>
      </c>
      <c r="I8" s="98">
        <f>'November 2025'!W8</f>
        <v>119</v>
      </c>
      <c r="J8" s="99">
        <v>2.42</v>
      </c>
      <c r="K8" s="106">
        <f>'November 2025'!AB8*5.04</f>
        <v>0</v>
      </c>
      <c r="L8" s="116">
        <v>0.11509999999999999</v>
      </c>
      <c r="M8" s="107">
        <f>'November 2025'!M8</f>
        <v>0</v>
      </c>
      <c r="N8" s="119">
        <v>0.88</v>
      </c>
      <c r="O8" s="100">
        <f>'November 2025'!AC8</f>
        <v>237</v>
      </c>
      <c r="P8" s="100">
        <f>'November 2025'!AD8</f>
        <v>431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IF('November 2025'!C9&lt;0,"0",'November 2025'!C9)+(IF('November 2025'!E9&lt;0,"0",'November 2025'!E9)-(IF('November 2025'!G9&lt;0,"0",'November 2025'!G9)))</f>
        <v>6216</v>
      </c>
      <c r="F9" s="110">
        <f>('November 2025'!C9*0.27)/('November 2025'!C9+'November 2025'!E9)</f>
        <v>0.23394787644787646</v>
      </c>
      <c r="G9" s="97">
        <f>'November 2025'!U9</f>
        <v>105</v>
      </c>
      <c r="H9" s="113">
        <v>0.62</v>
      </c>
      <c r="I9" s="98">
        <f>'November 2025'!W9</f>
        <v>125</v>
      </c>
      <c r="J9" s="99">
        <v>2.42</v>
      </c>
      <c r="K9" s="106">
        <f>'November 2025'!AB9*5.04</f>
        <v>0</v>
      </c>
      <c r="L9" s="116">
        <v>0.11509999999999999</v>
      </c>
      <c r="M9" s="107">
        <f>'November 2025'!M9</f>
        <v>0</v>
      </c>
      <c r="N9" s="119">
        <v>0.88</v>
      </c>
      <c r="O9" s="100">
        <f>'November 2025'!AC9</f>
        <v>241</v>
      </c>
      <c r="P9" s="100">
        <f>'November 2025'!AD9</f>
        <v>440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IF('November 2025'!C10&lt;0,"0",'November 2025'!C10)+(IF('November 2025'!E10&lt;0,"0",'November 2025'!E10)-(IF('November 2025'!G10&lt;0,"0",'November 2025'!G10)))</f>
        <v>6177</v>
      </c>
      <c r="F10" s="110">
        <f>('November 2025'!C10*0.27)/('November 2025'!C10+'November 2025'!E10)</f>
        <v>0.23363283147158817</v>
      </c>
      <c r="G10" s="97">
        <f>'November 2025'!U10</f>
        <v>75</v>
      </c>
      <c r="H10" s="113">
        <v>0.62</v>
      </c>
      <c r="I10" s="98">
        <f>'November 2025'!W10</f>
        <v>111</v>
      </c>
      <c r="J10" s="99">
        <v>2.42</v>
      </c>
      <c r="K10" s="106">
        <f>'November 2025'!AB10*5.04</f>
        <v>0</v>
      </c>
      <c r="L10" s="116">
        <v>0.11509999999999999</v>
      </c>
      <c r="M10" s="107">
        <f>'November 2025'!M10</f>
        <v>0</v>
      </c>
      <c r="N10" s="119">
        <v>0.88</v>
      </c>
      <c r="O10" s="100">
        <f>'November 2025'!AC10</f>
        <v>226</v>
      </c>
      <c r="P10" s="100">
        <f>'November 2025'!AD10</f>
        <v>419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IF('November 2025'!C11&lt;0,"0",'November 2025'!C11)+(IF('November 2025'!E11&lt;0,"0",'November 2025'!E11)-(IF('November 2025'!G11&lt;0,"0",'November 2025'!G11)))</f>
        <v>5871</v>
      </c>
      <c r="F11" s="110">
        <f>('November 2025'!C11*0.27)/('November 2025'!C11+'November 2025'!E11)</f>
        <v>0.23583035258048035</v>
      </c>
      <c r="G11" s="97">
        <f>'November 2025'!U11</f>
        <v>164</v>
      </c>
      <c r="H11" s="113">
        <v>0.62</v>
      </c>
      <c r="I11" s="98">
        <f>'November 2025'!W11</f>
        <v>115</v>
      </c>
      <c r="J11" s="99">
        <v>2.42</v>
      </c>
      <c r="K11" s="106">
        <f>'November 2025'!AB11*5.04</f>
        <v>0</v>
      </c>
      <c r="L11" s="116">
        <v>0.11509999999999999</v>
      </c>
      <c r="M11" s="107">
        <f>'November 2025'!M11</f>
        <v>7000</v>
      </c>
      <c r="N11" s="119">
        <v>0.88</v>
      </c>
      <c r="O11" s="100">
        <f>'November 2025'!AC11</f>
        <v>221</v>
      </c>
      <c r="P11" s="100">
        <f>'November 2025'!AD11</f>
        <v>409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IF('November 2025'!C12&lt;0,"0",'November 2025'!C12)+(IF('November 2025'!E12&lt;0,"0",'November 2025'!E12)-(IF('November 2025'!G12&lt;0,"0",'November 2025'!G12)))</f>
        <v>6041</v>
      </c>
      <c r="F12" s="110">
        <f>('November 2025'!C12*0.27)/('November 2025'!C12+'November 2025'!E12)</f>
        <v>0.23554047343155107</v>
      </c>
      <c r="G12" s="97">
        <f>'November 2025'!U12</f>
        <v>125</v>
      </c>
      <c r="H12" s="113">
        <v>0.62</v>
      </c>
      <c r="I12" s="98">
        <f>'November 2025'!W12</f>
        <v>113</v>
      </c>
      <c r="J12" s="99">
        <v>2.42</v>
      </c>
      <c r="K12" s="106">
        <f>'November 2025'!AB12*5.04</f>
        <v>0</v>
      </c>
      <c r="L12" s="116">
        <v>0.11509999999999999</v>
      </c>
      <c r="M12" s="107">
        <f>'November 2025'!M12</f>
        <v>0</v>
      </c>
      <c r="N12" s="119">
        <v>0.88</v>
      </c>
      <c r="O12" s="100">
        <f>'November 2025'!AC12</f>
        <v>219</v>
      </c>
      <c r="P12" s="100">
        <f>'November 2025'!AD12</f>
        <v>391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IF('November 2025'!C13&lt;0,"0",'November 2025'!C13)+(IF('November 2025'!E13&lt;0,"0",'November 2025'!E13)-(IF('November 2025'!G13&lt;0,"0",'November 2025'!G13)))</f>
        <v>5943</v>
      </c>
      <c r="F13" s="110">
        <f>('November 2025'!C13*0.27)/('November 2025'!C13+'November 2025'!E13)</f>
        <v>0.24696617869762746</v>
      </c>
      <c r="G13" s="97">
        <f>'November 2025'!U13</f>
        <v>85</v>
      </c>
      <c r="H13" s="113">
        <v>0.62</v>
      </c>
      <c r="I13" s="98">
        <f>'November 2025'!W13</f>
        <v>111</v>
      </c>
      <c r="J13" s="99">
        <v>2.42</v>
      </c>
      <c r="K13" s="106">
        <f>'November 2025'!AB13*5.04</f>
        <v>0</v>
      </c>
      <c r="L13" s="116">
        <v>0.11509999999999999</v>
      </c>
      <c r="M13" s="107">
        <f>'November 2025'!M13</f>
        <v>0</v>
      </c>
      <c r="N13" s="119">
        <v>0.88</v>
      </c>
      <c r="O13" s="100">
        <f>'November 2025'!AC13</f>
        <v>231</v>
      </c>
      <c r="P13" s="100">
        <f>'November 2025'!AD13</f>
        <v>397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IF('November 2025'!C14&lt;0,"0",'November 2025'!C14)+(IF('November 2025'!E14&lt;0,"0",'November 2025'!E14)-(IF('November 2025'!G14&lt;0,"0",'November 2025'!G14)))</f>
        <v>5721</v>
      </c>
      <c r="F14" s="110">
        <f>('November 2025'!C14*0.27)/('November 2025'!C14+'November 2025'!E14)</f>
        <v>0.2515469323544835</v>
      </c>
      <c r="G14" s="97">
        <f>'November 2025'!U14</f>
        <v>200</v>
      </c>
      <c r="H14" s="113">
        <v>0.62</v>
      </c>
      <c r="I14" s="98">
        <f>'November 2025'!W14</f>
        <v>106</v>
      </c>
      <c r="J14" s="99">
        <v>2.42</v>
      </c>
      <c r="K14" s="106">
        <f>'November 2025'!AB14*5.04</f>
        <v>0</v>
      </c>
      <c r="L14" s="116">
        <v>0.11509999999999999</v>
      </c>
      <c r="M14" s="107">
        <f>'November 2025'!M14</f>
        <v>0</v>
      </c>
      <c r="N14" s="119">
        <v>0.88</v>
      </c>
      <c r="O14" s="100">
        <f>'November 2025'!AC14</f>
        <v>214</v>
      </c>
      <c r="P14" s="100">
        <f>'November 2025'!AD14</f>
        <v>376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IF('November 2025'!C15&lt;0,"0",'November 2025'!C15)+(IF('November 2025'!E15&lt;0,"0",'November 2025'!E15)-(IF('November 2025'!G15&lt;0,"0",'November 2025'!G15)))</f>
        <v>0</v>
      </c>
      <c r="F15" s="110" t="e">
        <f>('November 2025'!C15*0.27)/('November 2025'!C15+'November 2025'!E15)</f>
        <v>#DIV/0!</v>
      </c>
      <c r="G15" s="97" t="str">
        <f>'November 2025'!U15</f>
        <v>0</v>
      </c>
      <c r="H15" s="113">
        <v>0.62</v>
      </c>
      <c r="I15" s="98" t="str">
        <f>'November 2025'!W15</f>
        <v>0</v>
      </c>
      <c r="J15" s="99">
        <v>2.42</v>
      </c>
      <c r="K15" s="106">
        <f>'November 2025'!AB15*5.04</f>
        <v>0</v>
      </c>
      <c r="L15" s="116">
        <v>0.11509999999999999</v>
      </c>
      <c r="M15" s="107">
        <f>'November 2025'!M15</f>
        <v>0</v>
      </c>
      <c r="N15" s="119">
        <v>0.88</v>
      </c>
      <c r="O15" s="100">
        <f>'November 2025'!AC15</f>
        <v>201</v>
      </c>
      <c r="P15" s="100">
        <f>'November 2025'!AD15</f>
        <v>372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IF('November 2025'!C16&lt;0,"0",'November 2025'!C16)+(IF('November 2025'!E16&lt;0,"0",'November 2025'!E16)-(IF('November 2025'!G16&lt;0,"0",'November 2025'!G16)))</f>
        <v>0</v>
      </c>
      <c r="F16" s="110" t="e">
        <f>('November 2025'!C16*0.27)/('November 2025'!C16+'November 2025'!E16)</f>
        <v>#DIV/0!</v>
      </c>
      <c r="G16" s="97" t="str">
        <f>'November 2025'!U16</f>
        <v>0</v>
      </c>
      <c r="H16" s="113">
        <v>0.62</v>
      </c>
      <c r="I16" s="98">
        <f>'November 2025'!W16</f>
        <v>0</v>
      </c>
      <c r="J16" s="99">
        <v>2.42</v>
      </c>
      <c r="K16" s="106">
        <f>'November 2025'!AB16*5.04</f>
        <v>0</v>
      </c>
      <c r="L16" s="116">
        <v>0.11509999999999999</v>
      </c>
      <c r="M16" s="107">
        <f>'November 2025'!M16</f>
        <v>0</v>
      </c>
      <c r="N16" s="119">
        <v>0.88</v>
      </c>
      <c r="O16" s="100">
        <f>'November 2025'!AC16</f>
        <v>0</v>
      </c>
      <c r="P16" s="100">
        <f>'November 2025'!AD16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IF('November 2025'!C17&lt;0,"0",'November 2025'!C17)+(IF('November 2025'!E17&lt;0,"0",'November 2025'!E17)-(IF('November 2025'!G17&lt;0,"0",'November 2025'!G17)))</f>
        <v>0</v>
      </c>
      <c r="F17" s="110" t="e">
        <f>('November 2025'!C17*0.27)/('November 2025'!C17+'November 2025'!E17)</f>
        <v>#DIV/0!</v>
      </c>
      <c r="G17" s="97" t="str">
        <f>'November 2025'!U17</f>
        <v>0</v>
      </c>
      <c r="H17" s="113">
        <v>0.62</v>
      </c>
      <c r="I17" s="98">
        <f>'November 2025'!W17</f>
        <v>0</v>
      </c>
      <c r="J17" s="99">
        <v>2.42</v>
      </c>
      <c r="K17" s="106">
        <f>'November 2025'!AB17*5.04</f>
        <v>0</v>
      </c>
      <c r="L17" s="116">
        <v>0.11509999999999999</v>
      </c>
      <c r="M17" s="107">
        <f>'November 2025'!M17</f>
        <v>0</v>
      </c>
      <c r="N17" s="119">
        <v>0.88</v>
      </c>
      <c r="O17" s="100">
        <f>'November 2025'!AC17</f>
        <v>0</v>
      </c>
      <c r="P17" s="100">
        <f>'November 2025'!AD17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IF('November 2025'!C18&lt;0,"0",'November 2025'!C18)+(IF('November 2025'!E18&lt;0,"0",'November 2025'!E18)-(IF('November 2025'!G18&lt;0,"0",'November 2025'!G18)))</f>
        <v>0</v>
      </c>
      <c r="F18" s="110" t="e">
        <f>('November 2025'!C18*0.27)/('November 2025'!C18+'November 2025'!E18)</f>
        <v>#DIV/0!</v>
      </c>
      <c r="G18" s="97" t="str">
        <f>'November 2025'!U18</f>
        <v>0</v>
      </c>
      <c r="H18" s="113">
        <v>0.62</v>
      </c>
      <c r="I18" s="98">
        <f>'November 2025'!W18</f>
        <v>0</v>
      </c>
      <c r="J18" s="99">
        <v>2.42</v>
      </c>
      <c r="K18" s="106">
        <f>'November 2025'!AB18*5.04</f>
        <v>0</v>
      </c>
      <c r="L18" s="116">
        <v>0.11509999999999999</v>
      </c>
      <c r="M18" s="107">
        <f>'November 2025'!M18</f>
        <v>0</v>
      </c>
      <c r="N18" s="119">
        <v>0.88</v>
      </c>
      <c r="O18" s="100">
        <f>'November 2025'!AC18</f>
        <v>0</v>
      </c>
      <c r="P18" s="100">
        <f>'November 2025'!AD18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IF('November 2025'!C19&lt;0,"0",'November 2025'!C19)+(IF('November 2025'!E19&lt;0,"0",'November 2025'!E19)-(IF('November 2025'!G19&lt;0,"0",'November 2025'!G19)))</f>
        <v>0</v>
      </c>
      <c r="F19" s="110" t="e">
        <f>('November 2025'!C19*0.27)/('November 2025'!C19+'November 2025'!E19)</f>
        <v>#DIV/0!</v>
      </c>
      <c r="G19" s="97" t="str">
        <f>'November 2025'!U19</f>
        <v>0</v>
      </c>
      <c r="H19" s="113">
        <v>0.62</v>
      </c>
      <c r="I19" s="98">
        <f>'November 2025'!W19</f>
        <v>0</v>
      </c>
      <c r="J19" s="99">
        <v>2.42</v>
      </c>
      <c r="K19" s="106">
        <f>'November 2025'!AB19*5.04</f>
        <v>0</v>
      </c>
      <c r="L19" s="116">
        <v>0.11509999999999999</v>
      </c>
      <c r="M19" s="107">
        <f>'November 2025'!M19</f>
        <v>0</v>
      </c>
      <c r="N19" s="119">
        <v>0.88</v>
      </c>
      <c r="O19" s="100">
        <f>'November 2025'!AC19</f>
        <v>0</v>
      </c>
      <c r="P19" s="100">
        <f>'November 2025'!AD19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IF('November 2025'!C20&lt;0,"0",'November 2025'!C20)+(IF('November 2025'!E20&lt;0,"0",'November 2025'!E20)-(IF('November 2025'!G20&lt;0,"0",'November 2025'!G20)))</f>
        <v>0</v>
      </c>
      <c r="F20" s="110" t="e">
        <f>('November 2025'!C20*0.27)/('November 2025'!C20+'November 2025'!E20)</f>
        <v>#DIV/0!</v>
      </c>
      <c r="G20" s="97" t="str">
        <f>'November 2025'!U20</f>
        <v>0</v>
      </c>
      <c r="H20" s="113">
        <v>0.62</v>
      </c>
      <c r="I20" s="98">
        <f>'November 2025'!W20</f>
        <v>0</v>
      </c>
      <c r="J20" s="99">
        <v>2.42</v>
      </c>
      <c r="K20" s="106">
        <f>'November 2025'!AB20*5.04</f>
        <v>0</v>
      </c>
      <c r="L20" s="116">
        <v>0.11509999999999999</v>
      </c>
      <c r="M20" s="107">
        <f>'November 2025'!M20</f>
        <v>0</v>
      </c>
      <c r="N20" s="119">
        <v>0.88</v>
      </c>
      <c r="O20" s="100">
        <f>'November 2025'!AC20</f>
        <v>0</v>
      </c>
      <c r="P20" s="100">
        <f>'November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IF('November 2025'!C21&lt;0,"0",'November 2025'!C21)+(IF('November 2025'!E21&lt;0,"0",'November 2025'!E21)-(IF('November 2025'!G21&lt;0,"0",'November 2025'!G21)))</f>
        <v>0</v>
      </c>
      <c r="F21" s="110" t="e">
        <f>('November 2025'!C21*0.27)/('November 2025'!C21+'November 2025'!E21)</f>
        <v>#DIV/0!</v>
      </c>
      <c r="G21" s="97" t="str">
        <f>'November 2025'!U21</f>
        <v>0</v>
      </c>
      <c r="H21" s="113">
        <v>0.62</v>
      </c>
      <c r="I21" s="98">
        <f>'November 2025'!W21</f>
        <v>0</v>
      </c>
      <c r="J21" s="99">
        <v>2.42</v>
      </c>
      <c r="K21" s="106">
        <f>'November 2025'!AB21*5.04</f>
        <v>0</v>
      </c>
      <c r="L21" s="116">
        <v>0.11509999999999999</v>
      </c>
      <c r="M21" s="107">
        <f>'November 2025'!M21</f>
        <v>0</v>
      </c>
      <c r="N21" s="119">
        <v>0.88</v>
      </c>
      <c r="O21" s="100">
        <f>'November 2025'!AC21</f>
        <v>0</v>
      </c>
      <c r="P21" s="100">
        <f>'November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IF('November 2025'!C22&lt;0,"0",'November 2025'!C22)+(IF('November 2025'!E22&lt;0,"0",'November 2025'!E22)-(IF('November 2025'!G22&lt;0,"0",'November 2025'!G22)))</f>
        <v>0</v>
      </c>
      <c r="F22" s="110" t="e">
        <f>('November 2025'!C22*0.27)/('November 2025'!C22+'November 2025'!E22)</f>
        <v>#DIV/0!</v>
      </c>
      <c r="G22" s="97" t="str">
        <f>'November 2025'!U22</f>
        <v>0</v>
      </c>
      <c r="H22" s="113">
        <v>0.62</v>
      </c>
      <c r="I22" s="98">
        <f>'November 2025'!W22</f>
        <v>0</v>
      </c>
      <c r="J22" s="99">
        <v>2.42</v>
      </c>
      <c r="K22" s="106">
        <f>'November 2025'!AB22*5.04</f>
        <v>0</v>
      </c>
      <c r="L22" s="116">
        <v>0.11509999999999999</v>
      </c>
      <c r="M22" s="107">
        <f>'November 2025'!M22</f>
        <v>0</v>
      </c>
      <c r="N22" s="119">
        <v>0.88</v>
      </c>
      <c r="O22" s="100">
        <f>'November 2025'!AC22</f>
        <v>0</v>
      </c>
      <c r="P22" s="100">
        <f>'November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IF('November 2025'!C23&lt;0,"0",'November 2025'!C23)+(IF('November 2025'!E23&lt;0,"0",'November 2025'!E23)-(IF('November 2025'!G23&lt;0,"0",'November 2025'!G23)))</f>
        <v>0</v>
      </c>
      <c r="F23" s="110" t="e">
        <f>('November 2025'!C23*0.27)/('November 2025'!C23+'November 2025'!E23)</f>
        <v>#DIV/0!</v>
      </c>
      <c r="G23" s="97" t="str">
        <f>'November 2025'!U23</f>
        <v>0</v>
      </c>
      <c r="H23" s="113">
        <v>0.62</v>
      </c>
      <c r="I23" s="98">
        <f>'November 2025'!W23</f>
        <v>0</v>
      </c>
      <c r="J23" s="99">
        <v>2.42</v>
      </c>
      <c r="K23" s="106">
        <f>'November 2025'!AB23*5.04</f>
        <v>0</v>
      </c>
      <c r="L23" s="116">
        <v>0.11509999999999999</v>
      </c>
      <c r="M23" s="107">
        <f>'November 2025'!M23</f>
        <v>0</v>
      </c>
      <c r="N23" s="119">
        <v>0.88</v>
      </c>
      <c r="O23" s="100">
        <f>'November 2025'!AC23</f>
        <v>0</v>
      </c>
      <c r="P23" s="100">
        <f>'November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IF('November 2025'!C24&lt;0,"0",'November 2025'!C24)+(IF('November 2025'!E24&lt;0,"0",'November 2025'!E24)-(IF('November 2025'!G24&lt;0,"0",'November 2025'!G24)))</f>
        <v>0</v>
      </c>
      <c r="F24" s="110" t="e">
        <f>('November 2025'!C24*0.27)/('November 2025'!C24+'November 2025'!E24)</f>
        <v>#DIV/0!</v>
      </c>
      <c r="G24" s="97" t="str">
        <f>'November 2025'!U24</f>
        <v>0</v>
      </c>
      <c r="H24" s="113">
        <v>0.62</v>
      </c>
      <c r="I24" s="98">
        <f>'November 2025'!W24</f>
        <v>0</v>
      </c>
      <c r="J24" s="99">
        <v>2.42</v>
      </c>
      <c r="K24" s="106">
        <f>'November 2025'!AB24*5.04</f>
        <v>0</v>
      </c>
      <c r="L24" s="116">
        <v>0.11509999999999999</v>
      </c>
      <c r="M24" s="107">
        <f>'November 2025'!M24</f>
        <v>0</v>
      </c>
      <c r="N24" s="119">
        <v>0.88</v>
      </c>
      <c r="O24" s="100">
        <f>'November 2025'!AC24</f>
        <v>0</v>
      </c>
      <c r="P24" s="100">
        <f>'November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IF('November 2025'!C25&lt;0,"0",'November 2025'!C25)+(IF('November 2025'!E25&lt;0,"0",'November 2025'!E25)-(IF('November 2025'!G25&lt;0,"0",'November 2025'!G25)))</f>
        <v>0</v>
      </c>
      <c r="F25" s="110" t="e">
        <f>('November 2025'!C25*0.27)/('November 2025'!C25+'November 2025'!E25)</f>
        <v>#DIV/0!</v>
      </c>
      <c r="G25" s="97" t="str">
        <f>'November 2025'!U25</f>
        <v>0</v>
      </c>
      <c r="H25" s="113">
        <v>0.62</v>
      </c>
      <c r="I25" s="98">
        <f>'November 2025'!W25</f>
        <v>0</v>
      </c>
      <c r="J25" s="99">
        <v>2.42</v>
      </c>
      <c r="K25" s="106">
        <f>'November 2025'!AB25*5.04</f>
        <v>0</v>
      </c>
      <c r="L25" s="116">
        <v>0.11509999999999999</v>
      </c>
      <c r="M25" s="107">
        <f>'November 2025'!M25</f>
        <v>0</v>
      </c>
      <c r="N25" s="119">
        <v>0.88</v>
      </c>
      <c r="O25" s="100">
        <f>'November 2025'!AC25</f>
        <v>0</v>
      </c>
      <c r="P25" s="100">
        <f>'November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IF('November 2025'!C26&lt;0,"0",'November 2025'!C26)+(IF('November 2025'!E26&lt;0,"0",'November 2025'!E26)-(IF('November 2025'!G26&lt;0,"0",'November 2025'!G26)))</f>
        <v>0</v>
      </c>
      <c r="F26" s="110" t="e">
        <f>('November 2025'!C26*0.27)/('November 2025'!C26+'November 2025'!E26)</f>
        <v>#DIV/0!</v>
      </c>
      <c r="G26" s="97" t="str">
        <f>'November 2025'!U26</f>
        <v>0</v>
      </c>
      <c r="H26" s="113">
        <v>0.62</v>
      </c>
      <c r="I26" s="98">
        <f>'November 2025'!W26</f>
        <v>0</v>
      </c>
      <c r="J26" s="99">
        <v>2.42</v>
      </c>
      <c r="K26" s="106">
        <f>'November 2025'!AB26*5.04</f>
        <v>0</v>
      </c>
      <c r="L26" s="116">
        <v>0.11509999999999999</v>
      </c>
      <c r="M26" s="107">
        <f>'November 2025'!M26</f>
        <v>0</v>
      </c>
      <c r="N26" s="119">
        <v>0.88</v>
      </c>
      <c r="O26" s="100">
        <f>'November 2025'!AC26</f>
        <v>0</v>
      </c>
      <c r="P26" s="100">
        <f>'November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IF('November 2025'!C27&lt;0,"0",'November 2025'!C27)+(IF('November 2025'!E27&lt;0,"0",'November 2025'!E27)-(IF('November 2025'!G27&lt;0,"0",'November 2025'!G27)))</f>
        <v>0</v>
      </c>
      <c r="F27" s="110" t="e">
        <f>('November 2025'!C27*0.27)/('November 2025'!C27+'November 2025'!E27)</f>
        <v>#DIV/0!</v>
      </c>
      <c r="G27" s="97" t="str">
        <f>'November 2025'!U27</f>
        <v>0</v>
      </c>
      <c r="H27" s="113">
        <v>0.62</v>
      </c>
      <c r="I27" s="98">
        <f>'November 2025'!W27</f>
        <v>0</v>
      </c>
      <c r="J27" s="99">
        <v>2.42</v>
      </c>
      <c r="K27" s="106">
        <f>'November 2025'!AB27*5.04</f>
        <v>0</v>
      </c>
      <c r="L27" s="116">
        <v>0.11509999999999999</v>
      </c>
      <c r="M27" s="107">
        <f>'November 2025'!M27</f>
        <v>0</v>
      </c>
      <c r="N27" s="119">
        <v>0.88</v>
      </c>
      <c r="O27" s="100">
        <f>'November 2025'!AC27</f>
        <v>0</v>
      </c>
      <c r="P27" s="100">
        <f>'November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IF('November 2025'!C28&lt;0,"0",'November 2025'!C28)+(IF('November 2025'!E28&lt;0,"0",'November 2025'!E28)-(IF('November 2025'!G28&lt;0,"0",'November 2025'!G28)))</f>
        <v>0</v>
      </c>
      <c r="F28" s="110" t="e">
        <f>('November 2025'!C28*0.27)/('November 2025'!C28+'November 2025'!E28)</f>
        <v>#DIV/0!</v>
      </c>
      <c r="G28" s="97" t="str">
        <f>'November 2025'!U28</f>
        <v>0</v>
      </c>
      <c r="H28" s="113">
        <v>0.62</v>
      </c>
      <c r="I28" s="98">
        <f>'November 2025'!W28</f>
        <v>0</v>
      </c>
      <c r="J28" s="99">
        <v>2.42</v>
      </c>
      <c r="K28" s="106">
        <f>'November 2025'!AB28*5.04</f>
        <v>0</v>
      </c>
      <c r="L28" s="116">
        <v>0.11509999999999999</v>
      </c>
      <c r="M28" s="107">
        <f>'November 2025'!M28</f>
        <v>0</v>
      </c>
      <c r="N28" s="119">
        <v>0.88</v>
      </c>
      <c r="O28" s="100">
        <f>'November 2025'!AC28</f>
        <v>0</v>
      </c>
      <c r="P28" s="100">
        <f>'November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IF('November 2025'!C29&lt;0,"0",'November 2025'!C29)+(IF('November 2025'!E29&lt;0,"0",'November 2025'!E29)-(IF('November 2025'!G29&lt;0,"0",'November 2025'!G29)))</f>
        <v>0</v>
      </c>
      <c r="F29" s="110" t="e">
        <f>('November 2025'!C29*0.27)/('November 2025'!C29+'November 2025'!E29)</f>
        <v>#DIV/0!</v>
      </c>
      <c r="G29" s="97" t="str">
        <f>'November 2025'!U29</f>
        <v>0</v>
      </c>
      <c r="H29" s="113">
        <v>0.62</v>
      </c>
      <c r="I29" s="98">
        <f>'November 2025'!W29</f>
        <v>0</v>
      </c>
      <c r="J29" s="99">
        <v>2.42</v>
      </c>
      <c r="K29" s="106">
        <f>'November 2025'!AB29*5.04</f>
        <v>0</v>
      </c>
      <c r="L29" s="116">
        <v>0.11509999999999999</v>
      </c>
      <c r="M29" s="107">
        <f>'November 2025'!M29</f>
        <v>0</v>
      </c>
      <c r="N29" s="119">
        <v>0.88</v>
      </c>
      <c r="O29" s="100">
        <f>'November 2025'!AC29</f>
        <v>0</v>
      </c>
      <c r="P29" s="100">
        <f>'November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IF('November 2025'!C30&lt;0,"0",'November 2025'!C30)+(IF('November 2025'!E30&lt;0,"0",'November 2025'!E30)-(IF('November 2025'!G30&lt;0,"0",'November 2025'!G30)))</f>
        <v>0</v>
      </c>
      <c r="F30" s="110" t="e">
        <f>('November 2025'!C30*0.27)/('November 2025'!C30+'November 2025'!E30)</f>
        <v>#DIV/0!</v>
      </c>
      <c r="G30" s="97" t="str">
        <f>'November 2025'!U30</f>
        <v>0</v>
      </c>
      <c r="H30" s="113">
        <v>0.62</v>
      </c>
      <c r="I30" s="98">
        <f>'November 2025'!W30</f>
        <v>0</v>
      </c>
      <c r="J30" s="99">
        <v>2.42</v>
      </c>
      <c r="K30" s="106">
        <f>'November 2025'!AB30*5.04</f>
        <v>0</v>
      </c>
      <c r="L30" s="116">
        <v>0.11509999999999999</v>
      </c>
      <c r="M30" s="107">
        <f>'November 2025'!M30</f>
        <v>0</v>
      </c>
      <c r="N30" s="119">
        <v>0.88</v>
      </c>
      <c r="O30" s="100">
        <f>'November 2025'!AC30</f>
        <v>0</v>
      </c>
      <c r="P30" s="100">
        <f>'November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IF('November 2025'!C31&lt;0,"0",'November 2025'!C31)+(IF('November 2025'!E31&lt;0,"0",'November 2025'!E31)-(IF('November 2025'!G31&lt;0,"0",'November 2025'!G31)))</f>
        <v>0</v>
      </c>
      <c r="F31" s="110" t="e">
        <f>('November 2025'!C31*0.27)/('November 2025'!C31+'November 2025'!E31)</f>
        <v>#DIV/0!</v>
      </c>
      <c r="G31" s="97" t="str">
        <f>'November 2025'!U31</f>
        <v>0</v>
      </c>
      <c r="H31" s="113">
        <v>0.62</v>
      </c>
      <c r="I31" s="98">
        <f>'November 2025'!W31</f>
        <v>0</v>
      </c>
      <c r="J31" s="99">
        <v>2.42</v>
      </c>
      <c r="K31" s="106">
        <f>'November 2025'!AB31*5.04</f>
        <v>0</v>
      </c>
      <c r="L31" s="116">
        <v>0.11509999999999999</v>
      </c>
      <c r="M31" s="107">
        <f>'November 2025'!M31</f>
        <v>0</v>
      </c>
      <c r="N31" s="119">
        <v>0.88</v>
      </c>
      <c r="O31" s="100">
        <f>'November 2025'!AC31</f>
        <v>0</v>
      </c>
      <c r="P31" s="100">
        <f>'November 2025'!AD31</f>
        <v>0</v>
      </c>
    </row>
    <row r="32" spans="1:16" ht="15" x14ac:dyDescent="0.25">
      <c r="A32" s="95" t="s">
        <v>37</v>
      </c>
      <c r="B32" s="5">
        <v>31</v>
      </c>
      <c r="C32" s="122">
        <v>10</v>
      </c>
      <c r="D32" s="4">
        <v>2025</v>
      </c>
      <c r="E32" s="96">
        <f>IF('November 2025'!C32&lt;0,"0",'November 2025'!C32)+(IF('November 2025'!E32&lt;0,"0",'November 2025'!E32)-(IF('November 2025'!G32&lt;0,"0",'November 2025'!G32)))</f>
        <v>0</v>
      </c>
      <c r="F32" s="110" t="e">
        <f>('November 2025'!C32*0.27)/('November 2025'!C32+'November 2025'!E32)</f>
        <v>#DIV/0!</v>
      </c>
      <c r="G32" s="97">
        <f>'November 2025'!U32</f>
        <v>0</v>
      </c>
      <c r="H32" s="113">
        <v>0.62</v>
      </c>
      <c r="I32" s="98">
        <f>'November 2025'!W32</f>
        <v>0</v>
      </c>
      <c r="J32" s="99">
        <v>2.42</v>
      </c>
      <c r="K32" s="106">
        <f>'November 2025'!AB32*5.04</f>
        <v>0</v>
      </c>
      <c r="L32" s="116">
        <v>0.11509999999999999</v>
      </c>
      <c r="M32" s="107">
        <f>'November 2025'!M32</f>
        <v>0</v>
      </c>
      <c r="N32" s="119">
        <v>0.88</v>
      </c>
      <c r="O32" s="100">
        <f>'November 2025'!AC32</f>
        <v>174</v>
      </c>
      <c r="P32" s="100">
        <f>'November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zoomScale="115" zoomScaleNormal="115" workbookViewId="0">
      <selection activeCell="AD15" sqref="AD15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45962</v>
      </c>
      <c r="B2" s="8">
        <v>1252523</v>
      </c>
      <c r="C2" s="14">
        <f>IF((B3-B2)&lt;0,"0",B3-B2)</f>
        <v>5066</v>
      </c>
      <c r="D2" s="9">
        <v>975091</v>
      </c>
      <c r="E2" s="14">
        <f>IF((D3-D2)&lt;0,"0",D3-D2)</f>
        <v>909</v>
      </c>
      <c r="F2" s="27">
        <v>1704</v>
      </c>
      <c r="G2" s="67">
        <f>F3-F2</f>
        <v>0</v>
      </c>
      <c r="H2" s="69">
        <f>C2+E2-G2</f>
        <v>5975</v>
      </c>
      <c r="I2" s="73">
        <f>H2-K2-M2-O2-Q2</f>
        <v>-39988.22</v>
      </c>
      <c r="J2" s="32">
        <f t="shared" ref="J2:J31" si="0">I3-I2</f>
        <v>-58.910000000003492</v>
      </c>
      <c r="K2" s="19">
        <f>A2</f>
        <v>45962</v>
      </c>
      <c r="L2" s="30">
        <v>3520</v>
      </c>
      <c r="M2" s="31">
        <v>0</v>
      </c>
      <c r="N2" s="32">
        <f>IF((L2-L3+M2)=L2,"0",(L2-L3+M2))</f>
        <v>287</v>
      </c>
      <c r="O2" s="83">
        <v>0.6</v>
      </c>
      <c r="P2" s="84">
        <v>0.63</v>
      </c>
      <c r="Q2" s="83">
        <v>0.62</v>
      </c>
      <c r="R2" s="84">
        <v>0.61</v>
      </c>
      <c r="S2" s="38">
        <f>(2500*O2)+(2500*P2)+(500*Q2)+(500*R2)</f>
        <v>3690</v>
      </c>
      <c r="T2" s="123"/>
      <c r="U2" s="32">
        <f>IF((S2-S3+T2)=S2,"0",(S2-S3+T2))</f>
        <v>115</v>
      </c>
      <c r="V2" s="40">
        <v>35221</v>
      </c>
      <c r="W2" s="32">
        <f t="shared" ref="W2:W31" si="1">IF(V3-V2&lt;0,"0",V3-V2)</f>
        <v>108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153</v>
      </c>
      <c r="AD2" s="17">
        <v>312</v>
      </c>
    </row>
    <row r="3" spans="1:30" ht="20.65" customHeight="1" x14ac:dyDescent="0.2">
      <c r="A3" s="19">
        <v>45963</v>
      </c>
      <c r="B3" s="10">
        <v>1257589</v>
      </c>
      <c r="C3" s="14">
        <f t="shared" ref="C3:C31" si="2">IF((B4-B3)&lt;0,"0",B4-B3)</f>
        <v>5175</v>
      </c>
      <c r="D3" s="11">
        <v>976000</v>
      </c>
      <c r="E3" s="14">
        <f t="shared" ref="E3:E31" si="3">IF((D4-D3)&lt;0,"0",D4-D3)</f>
        <v>742</v>
      </c>
      <c r="F3" s="27">
        <v>1704</v>
      </c>
      <c r="G3" s="67">
        <f t="shared" ref="G3:G30" si="4">F4-F3</f>
        <v>0</v>
      </c>
      <c r="H3" s="69">
        <f t="shared" ref="H3:H30" si="5">C3+E3-G3</f>
        <v>5917</v>
      </c>
      <c r="I3" s="73">
        <f t="shared" ref="I3:I30" si="6">H3-K3-M3-O3-Q3</f>
        <v>-40047.130000000005</v>
      </c>
      <c r="J3" s="32">
        <f t="shared" si="0"/>
        <v>-237.90999999999622</v>
      </c>
      <c r="K3" s="20">
        <f t="shared" ref="K3:K32" si="7">A3</f>
        <v>45963</v>
      </c>
      <c r="L3" s="33">
        <v>3233</v>
      </c>
      <c r="M3" s="31">
        <v>0</v>
      </c>
      <c r="N3" s="32">
        <f t="shared" ref="N3:N32" si="8">IF((L3-L4+M3)=L3,"0",(L3-L4+M3))</f>
        <v>285</v>
      </c>
      <c r="O3" s="85">
        <v>0.57999999999999996</v>
      </c>
      <c r="P3" s="86">
        <v>0.63</v>
      </c>
      <c r="Q3" s="85">
        <v>0.55000000000000004</v>
      </c>
      <c r="R3" s="86">
        <v>0.55000000000000004</v>
      </c>
      <c r="S3" s="38">
        <f t="shared" ref="S3:S32" si="9">(2500*O3)+(2500*P3)+(500*Q3)+(500*R3)</f>
        <v>3575</v>
      </c>
      <c r="T3" s="123"/>
      <c r="U3" s="32">
        <f t="shared" ref="U3:U31" si="10">IF((S3-S4+T3)=S3,"0",(S3-S4+T3))</f>
        <v>160</v>
      </c>
      <c r="V3" s="41">
        <v>35329</v>
      </c>
      <c r="W3" s="32">
        <f t="shared" si="1"/>
        <v>102</v>
      </c>
      <c r="X3" s="43">
        <v>61265</v>
      </c>
      <c r="Y3" s="14">
        <f t="shared" ref="Y3:Y31" si="11">IF((X4-X3)&lt;0,"0",X4-X3)</f>
        <v>0</v>
      </c>
      <c r="Z3" s="46">
        <v>2405</v>
      </c>
      <c r="AA3" s="52"/>
      <c r="AB3" s="32">
        <f t="shared" ref="AB3:AB31" si="12">IF((Z3-Z4+AA3)=Z3,"0",(Z3-Z4+AA3))</f>
        <v>0</v>
      </c>
      <c r="AC3" s="13">
        <v>141</v>
      </c>
      <c r="AD3" s="18">
        <v>274</v>
      </c>
    </row>
    <row r="4" spans="1:30" ht="20.65" customHeight="1" x14ac:dyDescent="0.2">
      <c r="A4" s="19">
        <v>45964</v>
      </c>
      <c r="B4" s="10">
        <v>1262764</v>
      </c>
      <c r="C4" s="14">
        <f t="shared" si="2"/>
        <v>5116</v>
      </c>
      <c r="D4" s="11">
        <v>976742</v>
      </c>
      <c r="E4" s="14">
        <f t="shared" si="3"/>
        <v>564</v>
      </c>
      <c r="F4" s="27">
        <v>1704</v>
      </c>
      <c r="G4" s="67">
        <f t="shared" si="4"/>
        <v>0</v>
      </c>
      <c r="H4" s="69">
        <f t="shared" si="5"/>
        <v>5680</v>
      </c>
      <c r="I4" s="73">
        <f t="shared" si="6"/>
        <v>-40285.040000000001</v>
      </c>
      <c r="J4" s="32">
        <f t="shared" si="0"/>
        <v>-116.66000000000349</v>
      </c>
      <c r="K4" s="20">
        <f t="shared" si="7"/>
        <v>45964</v>
      </c>
      <c r="L4" s="33">
        <v>2948</v>
      </c>
      <c r="M4" s="31">
        <v>0</v>
      </c>
      <c r="N4" s="32">
        <f t="shared" si="8"/>
        <v>280</v>
      </c>
      <c r="O4" s="85">
        <v>0.55000000000000004</v>
      </c>
      <c r="P4" s="86">
        <v>0.61</v>
      </c>
      <c r="Q4" s="85">
        <v>0.49</v>
      </c>
      <c r="R4" s="86">
        <v>0.54</v>
      </c>
      <c r="S4" s="38">
        <f t="shared" si="9"/>
        <v>3415</v>
      </c>
      <c r="T4" s="123">
        <v>1606</v>
      </c>
      <c r="U4" s="32">
        <f t="shared" si="10"/>
        <v>111</v>
      </c>
      <c r="V4" s="41">
        <v>35431</v>
      </c>
      <c r="W4" s="32">
        <f t="shared" si="1"/>
        <v>103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133</v>
      </c>
      <c r="AD4" s="18">
        <v>257</v>
      </c>
    </row>
    <row r="5" spans="1:30" ht="20.65" customHeight="1" x14ac:dyDescent="0.2">
      <c r="A5" s="19">
        <v>45965</v>
      </c>
      <c r="B5" s="10">
        <v>1267880</v>
      </c>
      <c r="C5" s="14">
        <f t="shared" si="2"/>
        <v>4730</v>
      </c>
      <c r="D5" s="11">
        <v>977306</v>
      </c>
      <c r="E5" s="14">
        <f t="shared" si="3"/>
        <v>835</v>
      </c>
      <c r="F5" s="27">
        <v>1704</v>
      </c>
      <c r="G5" s="67">
        <f t="shared" si="4"/>
        <v>0</v>
      </c>
      <c r="H5" s="69">
        <f t="shared" si="5"/>
        <v>5565</v>
      </c>
      <c r="I5" s="73">
        <f t="shared" si="6"/>
        <v>-40401.700000000004</v>
      </c>
      <c r="J5" s="32">
        <f t="shared" si="0"/>
        <v>1166.0600000000049</v>
      </c>
      <c r="K5" s="20">
        <f t="shared" si="7"/>
        <v>45965</v>
      </c>
      <c r="L5" s="33">
        <v>2668</v>
      </c>
      <c r="M5" s="31">
        <v>0</v>
      </c>
      <c r="N5" s="32">
        <f t="shared" si="8"/>
        <v>265</v>
      </c>
      <c r="O5" s="85">
        <v>0.83</v>
      </c>
      <c r="P5" s="86">
        <v>0.8</v>
      </c>
      <c r="Q5" s="85">
        <v>0.87</v>
      </c>
      <c r="R5" s="86">
        <v>0.8</v>
      </c>
      <c r="S5" s="38">
        <f t="shared" si="9"/>
        <v>4910</v>
      </c>
      <c r="T5" s="123"/>
      <c r="U5" s="32">
        <f t="shared" si="10"/>
        <v>125</v>
      </c>
      <c r="V5" s="41">
        <v>35534</v>
      </c>
      <c r="W5" s="32">
        <f t="shared" si="1"/>
        <v>90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145</v>
      </c>
      <c r="AD5" s="18">
        <v>277</v>
      </c>
    </row>
    <row r="6" spans="1:30" ht="20.65" customHeight="1" x14ac:dyDescent="0.2">
      <c r="A6" s="19">
        <v>45966</v>
      </c>
      <c r="B6" s="10">
        <v>1272610</v>
      </c>
      <c r="C6" s="14">
        <f t="shared" si="2"/>
        <v>5958</v>
      </c>
      <c r="D6" s="11">
        <v>978141</v>
      </c>
      <c r="E6" s="14">
        <f t="shared" si="3"/>
        <v>774</v>
      </c>
      <c r="F6" s="27">
        <v>1704</v>
      </c>
      <c r="G6" s="67">
        <f t="shared" si="4"/>
        <v>0</v>
      </c>
      <c r="H6" s="69">
        <f t="shared" si="5"/>
        <v>6732</v>
      </c>
      <c r="I6" s="73">
        <f t="shared" si="6"/>
        <v>-39235.64</v>
      </c>
      <c r="J6" s="32">
        <f t="shared" si="0"/>
        <v>122.05999999999767</v>
      </c>
      <c r="K6" s="20">
        <f t="shared" si="7"/>
        <v>45966</v>
      </c>
      <c r="L6" s="33">
        <v>2403</v>
      </c>
      <c r="M6" s="31">
        <v>0</v>
      </c>
      <c r="N6" s="32">
        <f t="shared" si="8"/>
        <v>265</v>
      </c>
      <c r="O6" s="85">
        <v>0.82</v>
      </c>
      <c r="P6" s="86">
        <v>0.78</v>
      </c>
      <c r="Q6" s="85">
        <v>0.82</v>
      </c>
      <c r="R6" s="86">
        <v>0.75</v>
      </c>
      <c r="S6" s="38">
        <f t="shared" si="9"/>
        <v>4785</v>
      </c>
      <c r="T6" s="123"/>
      <c r="U6" s="32">
        <f t="shared" si="10"/>
        <v>125</v>
      </c>
      <c r="V6" s="41">
        <v>35624</v>
      </c>
      <c r="W6" s="32">
        <f t="shared" si="1"/>
        <v>105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202</v>
      </c>
      <c r="AD6" s="18">
        <v>368</v>
      </c>
    </row>
    <row r="7" spans="1:30" ht="20.65" customHeight="1" x14ac:dyDescent="0.2">
      <c r="A7" s="19">
        <v>45967</v>
      </c>
      <c r="B7" s="10">
        <v>1278568</v>
      </c>
      <c r="C7" s="14">
        <f t="shared" si="2"/>
        <v>6100</v>
      </c>
      <c r="D7" s="11">
        <v>978915</v>
      </c>
      <c r="E7" s="14">
        <f t="shared" si="3"/>
        <v>755</v>
      </c>
      <c r="F7" s="27">
        <v>1704</v>
      </c>
      <c r="G7" s="67">
        <f t="shared" si="4"/>
        <v>0</v>
      </c>
      <c r="H7" s="69">
        <f t="shared" si="5"/>
        <v>6855</v>
      </c>
      <c r="I7" s="73">
        <f t="shared" si="6"/>
        <v>-39113.58</v>
      </c>
      <c r="J7" s="32">
        <f t="shared" si="0"/>
        <v>-640.90999999999622</v>
      </c>
      <c r="K7" s="20">
        <f t="shared" si="7"/>
        <v>45967</v>
      </c>
      <c r="L7" s="33">
        <v>2138</v>
      </c>
      <c r="M7" s="31">
        <v>0</v>
      </c>
      <c r="N7" s="32">
        <f t="shared" si="8"/>
        <v>285</v>
      </c>
      <c r="O7" s="85">
        <v>0.79</v>
      </c>
      <c r="P7" s="86">
        <v>0.77</v>
      </c>
      <c r="Q7" s="85">
        <v>0.79</v>
      </c>
      <c r="R7" s="86">
        <v>0.73</v>
      </c>
      <c r="S7" s="38">
        <f t="shared" si="9"/>
        <v>4660</v>
      </c>
      <c r="T7" s="123"/>
      <c r="U7" s="32">
        <f t="shared" si="10"/>
        <v>165</v>
      </c>
      <c r="V7" s="41">
        <v>35729</v>
      </c>
      <c r="W7" s="32">
        <f t="shared" si="1"/>
        <v>135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237</v>
      </c>
      <c r="AD7" s="18">
        <v>426</v>
      </c>
    </row>
    <row r="8" spans="1:30" ht="20.65" customHeight="1" x14ac:dyDescent="0.2">
      <c r="A8" s="19">
        <v>45968</v>
      </c>
      <c r="B8" s="10">
        <v>1284668</v>
      </c>
      <c r="C8" s="14">
        <f t="shared" si="2"/>
        <v>5548</v>
      </c>
      <c r="D8" s="11">
        <v>979670</v>
      </c>
      <c r="E8" s="14">
        <f t="shared" si="3"/>
        <v>667</v>
      </c>
      <c r="F8" s="27">
        <v>1704</v>
      </c>
      <c r="G8" s="67">
        <f t="shared" si="4"/>
        <v>0</v>
      </c>
      <c r="H8" s="69">
        <f t="shared" si="5"/>
        <v>6215</v>
      </c>
      <c r="I8" s="73">
        <f t="shared" si="6"/>
        <v>-39754.49</v>
      </c>
      <c r="J8" s="32">
        <f t="shared" si="0"/>
        <v>5.9999999997671694E-2</v>
      </c>
      <c r="K8" s="20">
        <f t="shared" si="7"/>
        <v>45968</v>
      </c>
      <c r="L8" s="33">
        <v>1853</v>
      </c>
      <c r="M8" s="31">
        <v>0</v>
      </c>
      <c r="N8" s="32">
        <f t="shared" si="8"/>
        <v>274</v>
      </c>
      <c r="O8" s="85">
        <v>0.77</v>
      </c>
      <c r="P8" s="86">
        <v>0.75</v>
      </c>
      <c r="Q8" s="85">
        <v>0.72</v>
      </c>
      <c r="R8" s="86">
        <v>0.67</v>
      </c>
      <c r="S8" s="38">
        <f t="shared" si="9"/>
        <v>4495</v>
      </c>
      <c r="T8" s="123"/>
      <c r="U8" s="32">
        <f t="shared" si="10"/>
        <v>95</v>
      </c>
      <c r="V8" s="41">
        <v>35864</v>
      </c>
      <c r="W8" s="32">
        <f t="shared" si="1"/>
        <v>119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237</v>
      </c>
      <c r="AD8" s="18">
        <v>431</v>
      </c>
    </row>
    <row r="9" spans="1:30" ht="20.65" customHeight="1" x14ac:dyDescent="0.2">
      <c r="A9" s="19">
        <v>45969</v>
      </c>
      <c r="B9" s="10">
        <v>1290216</v>
      </c>
      <c r="C9" s="14">
        <f t="shared" si="2"/>
        <v>5386</v>
      </c>
      <c r="D9" s="11">
        <v>980337</v>
      </c>
      <c r="E9" s="14">
        <f t="shared" si="3"/>
        <v>830</v>
      </c>
      <c r="F9" s="27">
        <v>1704</v>
      </c>
      <c r="G9" s="67">
        <f t="shared" si="4"/>
        <v>0</v>
      </c>
      <c r="H9" s="69">
        <f t="shared" si="5"/>
        <v>6216</v>
      </c>
      <c r="I9" s="73">
        <f t="shared" si="6"/>
        <v>-39754.43</v>
      </c>
      <c r="J9" s="32">
        <f t="shared" si="0"/>
        <v>-39.899999999994179</v>
      </c>
      <c r="K9" s="20">
        <f t="shared" si="7"/>
        <v>45969</v>
      </c>
      <c r="L9" s="33">
        <v>1579</v>
      </c>
      <c r="M9" s="31">
        <v>0</v>
      </c>
      <c r="N9" s="32">
        <f t="shared" si="8"/>
        <v>337</v>
      </c>
      <c r="O9" s="85">
        <v>0.75</v>
      </c>
      <c r="P9" s="86">
        <v>0.75</v>
      </c>
      <c r="Q9" s="85">
        <v>0.68</v>
      </c>
      <c r="R9" s="86">
        <v>0.62</v>
      </c>
      <c r="S9" s="38">
        <f t="shared" si="9"/>
        <v>4400</v>
      </c>
      <c r="T9" s="123"/>
      <c r="U9" s="32">
        <f t="shared" si="10"/>
        <v>105</v>
      </c>
      <c r="V9" s="41">
        <v>35983</v>
      </c>
      <c r="W9" s="32">
        <f t="shared" si="1"/>
        <v>125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241</v>
      </c>
      <c r="AD9" s="18">
        <v>440</v>
      </c>
    </row>
    <row r="10" spans="1:30" ht="20.65" customHeight="1" x14ac:dyDescent="0.2">
      <c r="A10" s="19">
        <v>45970</v>
      </c>
      <c r="B10" s="10">
        <v>1295602</v>
      </c>
      <c r="C10" s="14">
        <f t="shared" si="2"/>
        <v>5345</v>
      </c>
      <c r="D10" s="11">
        <v>981167</v>
      </c>
      <c r="E10" s="14">
        <f t="shared" si="3"/>
        <v>832</v>
      </c>
      <c r="F10" s="27">
        <v>1704</v>
      </c>
      <c r="G10" s="67">
        <f t="shared" si="4"/>
        <v>0</v>
      </c>
      <c r="H10" s="69">
        <f t="shared" si="5"/>
        <v>6177</v>
      </c>
      <c r="I10" s="73">
        <f t="shared" si="6"/>
        <v>-39794.329999999994</v>
      </c>
      <c r="J10" s="32">
        <f t="shared" si="0"/>
        <v>-7306.9700000000084</v>
      </c>
      <c r="K10" s="20">
        <f t="shared" si="7"/>
        <v>45970</v>
      </c>
      <c r="L10" s="33">
        <v>1242</v>
      </c>
      <c r="M10" s="31">
        <v>0</v>
      </c>
      <c r="N10" s="32">
        <f t="shared" si="8"/>
        <v>327</v>
      </c>
      <c r="O10" s="85">
        <v>0.74</v>
      </c>
      <c r="P10" s="86">
        <v>0.74</v>
      </c>
      <c r="Q10" s="85">
        <v>0.59</v>
      </c>
      <c r="R10" s="86">
        <v>0.6</v>
      </c>
      <c r="S10" s="38">
        <f t="shared" si="9"/>
        <v>4295</v>
      </c>
      <c r="T10" s="123"/>
      <c r="U10" s="32">
        <f t="shared" si="10"/>
        <v>75</v>
      </c>
      <c r="V10" s="41">
        <v>36108</v>
      </c>
      <c r="W10" s="32">
        <f t="shared" si="1"/>
        <v>111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226</v>
      </c>
      <c r="AD10" s="18">
        <v>419</v>
      </c>
    </row>
    <row r="11" spans="1:30" ht="20.65" customHeight="1" x14ac:dyDescent="0.2">
      <c r="A11" s="19">
        <v>45971</v>
      </c>
      <c r="B11" s="10">
        <v>1300947</v>
      </c>
      <c r="C11" s="14">
        <f t="shared" si="2"/>
        <v>5128</v>
      </c>
      <c r="D11" s="11">
        <v>981999</v>
      </c>
      <c r="E11" s="14">
        <f t="shared" si="3"/>
        <v>743</v>
      </c>
      <c r="F11" s="27">
        <v>1704</v>
      </c>
      <c r="G11" s="67">
        <f t="shared" si="4"/>
        <v>0</v>
      </c>
      <c r="H11" s="69">
        <f t="shared" si="5"/>
        <v>5871</v>
      </c>
      <c r="I11" s="73">
        <f t="shared" si="6"/>
        <v>-47101.3</v>
      </c>
      <c r="J11" s="32">
        <f t="shared" si="0"/>
        <v>7168.7500000000073</v>
      </c>
      <c r="K11" s="20">
        <f t="shared" si="7"/>
        <v>45971</v>
      </c>
      <c r="L11" s="33">
        <v>915</v>
      </c>
      <c r="M11" s="31">
        <v>7000</v>
      </c>
      <c r="N11" s="32">
        <f t="shared" si="8"/>
        <v>289</v>
      </c>
      <c r="O11" s="85">
        <v>0.72</v>
      </c>
      <c r="P11" s="86">
        <v>0.74</v>
      </c>
      <c r="Q11" s="85">
        <v>0.57999999999999996</v>
      </c>
      <c r="R11" s="86">
        <v>0.56000000000000005</v>
      </c>
      <c r="S11" s="38">
        <f t="shared" si="9"/>
        <v>4220</v>
      </c>
      <c r="T11" s="123">
        <v>269</v>
      </c>
      <c r="U11" s="32">
        <f t="shared" si="10"/>
        <v>164</v>
      </c>
      <c r="V11" s="41">
        <v>36219</v>
      </c>
      <c r="W11" s="32">
        <f t="shared" si="1"/>
        <v>115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221</v>
      </c>
      <c r="AD11" s="18">
        <v>409</v>
      </c>
    </row>
    <row r="12" spans="1:30" ht="21.4" customHeight="1" x14ac:dyDescent="0.2">
      <c r="A12" s="19">
        <v>45972</v>
      </c>
      <c r="B12" s="10">
        <v>1306075</v>
      </c>
      <c r="C12" s="14">
        <f t="shared" si="2"/>
        <v>5270</v>
      </c>
      <c r="D12" s="11">
        <v>982742</v>
      </c>
      <c r="E12" s="14">
        <f t="shared" si="3"/>
        <v>771</v>
      </c>
      <c r="F12" s="27">
        <v>1704</v>
      </c>
      <c r="G12" s="67">
        <f t="shared" si="4"/>
        <v>0</v>
      </c>
      <c r="H12" s="69">
        <f t="shared" si="5"/>
        <v>6041</v>
      </c>
      <c r="I12" s="73">
        <f t="shared" si="6"/>
        <v>-39932.549999999996</v>
      </c>
      <c r="J12" s="32">
        <f t="shared" si="0"/>
        <v>-98.930000000007567</v>
      </c>
      <c r="K12" s="20">
        <f t="shared" si="7"/>
        <v>45972</v>
      </c>
      <c r="L12" s="33">
        <v>7626</v>
      </c>
      <c r="M12" s="31">
        <v>0</v>
      </c>
      <c r="N12" s="32">
        <f t="shared" si="8"/>
        <v>307</v>
      </c>
      <c r="O12" s="85">
        <v>0.7</v>
      </c>
      <c r="P12" s="86">
        <v>0.7</v>
      </c>
      <c r="Q12" s="85">
        <v>0.85</v>
      </c>
      <c r="R12" s="86">
        <v>0.8</v>
      </c>
      <c r="S12" s="38">
        <f t="shared" si="9"/>
        <v>4325</v>
      </c>
      <c r="T12" s="123"/>
      <c r="U12" s="32">
        <f t="shared" si="10"/>
        <v>125</v>
      </c>
      <c r="V12" s="41">
        <v>36334</v>
      </c>
      <c r="W12" s="32">
        <f t="shared" si="1"/>
        <v>113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219</v>
      </c>
      <c r="AD12" s="18">
        <v>391</v>
      </c>
    </row>
    <row r="13" spans="1:30" ht="20.65" customHeight="1" x14ac:dyDescent="0.2">
      <c r="A13" s="19">
        <v>45973</v>
      </c>
      <c r="B13" s="10">
        <v>1311345</v>
      </c>
      <c r="C13" s="14">
        <f t="shared" si="2"/>
        <v>5436</v>
      </c>
      <c r="D13" s="11">
        <v>983513</v>
      </c>
      <c r="E13" s="14">
        <f t="shared" si="3"/>
        <v>507</v>
      </c>
      <c r="F13" s="27">
        <v>1704</v>
      </c>
      <c r="G13" s="67">
        <f t="shared" si="4"/>
        <v>0</v>
      </c>
      <c r="H13" s="69">
        <f t="shared" si="5"/>
        <v>5943</v>
      </c>
      <c r="I13" s="73">
        <f t="shared" si="6"/>
        <v>-40031.480000000003</v>
      </c>
      <c r="J13" s="32">
        <f t="shared" si="0"/>
        <v>-222.97000000000116</v>
      </c>
      <c r="K13" s="20">
        <f t="shared" si="7"/>
        <v>45973</v>
      </c>
      <c r="L13" s="33">
        <v>7319</v>
      </c>
      <c r="M13" s="31">
        <v>0</v>
      </c>
      <c r="N13" s="32">
        <f t="shared" si="8"/>
        <v>301</v>
      </c>
      <c r="O13" s="85">
        <v>0.68</v>
      </c>
      <c r="P13" s="86">
        <v>0.69</v>
      </c>
      <c r="Q13" s="85">
        <v>0.8</v>
      </c>
      <c r="R13" s="86">
        <v>0.75</v>
      </c>
      <c r="S13" s="38">
        <f t="shared" si="9"/>
        <v>4200</v>
      </c>
      <c r="T13" s="123"/>
      <c r="U13" s="32">
        <f t="shared" si="10"/>
        <v>85</v>
      </c>
      <c r="V13" s="41">
        <v>36447</v>
      </c>
      <c r="W13" s="32">
        <f t="shared" si="1"/>
        <v>111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231</v>
      </c>
      <c r="AD13" s="18">
        <v>397</v>
      </c>
    </row>
    <row r="14" spans="1:30" ht="20.65" customHeight="1" x14ac:dyDescent="0.2">
      <c r="A14" s="19">
        <v>45974</v>
      </c>
      <c r="B14" s="10">
        <v>1316781</v>
      </c>
      <c r="C14" s="14">
        <f t="shared" si="2"/>
        <v>5330</v>
      </c>
      <c r="D14" s="11">
        <v>984020</v>
      </c>
      <c r="E14" s="14">
        <f t="shared" si="3"/>
        <v>391</v>
      </c>
      <c r="F14" s="27">
        <v>1704</v>
      </c>
      <c r="G14" s="67">
        <f t="shared" si="4"/>
        <v>0</v>
      </c>
      <c r="H14" s="69">
        <f t="shared" si="5"/>
        <v>5721</v>
      </c>
      <c r="I14" s="73">
        <f t="shared" si="6"/>
        <v>-40254.450000000004</v>
      </c>
      <c r="J14" s="32">
        <f t="shared" si="0"/>
        <v>-5721.9399999999951</v>
      </c>
      <c r="K14" s="20">
        <f t="shared" si="7"/>
        <v>45974</v>
      </c>
      <c r="L14" s="33">
        <v>7018</v>
      </c>
      <c r="M14" s="31">
        <v>0</v>
      </c>
      <c r="N14" s="32">
        <f t="shared" si="8"/>
        <v>355</v>
      </c>
      <c r="O14" s="85">
        <v>0.66</v>
      </c>
      <c r="P14" s="86">
        <v>0.68</v>
      </c>
      <c r="Q14" s="85">
        <v>0.79</v>
      </c>
      <c r="R14" s="86">
        <v>0.74</v>
      </c>
      <c r="S14" s="38">
        <f t="shared" si="9"/>
        <v>4115</v>
      </c>
      <c r="T14" s="123"/>
      <c r="U14" s="32">
        <f t="shared" si="10"/>
        <v>200</v>
      </c>
      <c r="V14" s="41">
        <v>36558</v>
      </c>
      <c r="W14" s="32">
        <f t="shared" si="1"/>
        <v>106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214</v>
      </c>
      <c r="AD14" s="18">
        <v>376</v>
      </c>
    </row>
    <row r="15" spans="1:30" ht="20.65" customHeight="1" x14ac:dyDescent="0.2">
      <c r="A15" s="19">
        <v>45975</v>
      </c>
      <c r="B15" s="10">
        <v>1322111</v>
      </c>
      <c r="C15" s="14" t="str">
        <f t="shared" si="2"/>
        <v>0</v>
      </c>
      <c r="D15" s="11">
        <v>984411</v>
      </c>
      <c r="E15" s="14" t="str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-45976.39</v>
      </c>
      <c r="J15" s="32">
        <f t="shared" si="0"/>
        <v>0.38999999999941792</v>
      </c>
      <c r="K15" s="20">
        <f t="shared" si="7"/>
        <v>45975</v>
      </c>
      <c r="L15" s="33">
        <v>6663</v>
      </c>
      <c r="M15" s="34">
        <v>0</v>
      </c>
      <c r="N15" s="32" t="str">
        <f t="shared" si="8"/>
        <v>0</v>
      </c>
      <c r="O15" s="85">
        <v>0.64</v>
      </c>
      <c r="P15" s="86">
        <v>0.66</v>
      </c>
      <c r="Q15" s="85">
        <v>0.75</v>
      </c>
      <c r="R15" s="86">
        <v>0.57999999999999996</v>
      </c>
      <c r="S15" s="38">
        <f t="shared" si="9"/>
        <v>3915</v>
      </c>
      <c r="T15" s="123"/>
      <c r="U15" s="32" t="str">
        <f t="shared" si="10"/>
        <v>0</v>
      </c>
      <c r="V15" s="41">
        <v>36664</v>
      </c>
      <c r="W15" s="32" t="str">
        <f t="shared" si="1"/>
        <v>0</v>
      </c>
      <c r="X15" s="44">
        <v>61265</v>
      </c>
      <c r="Y15" s="14" t="str">
        <f t="shared" si="11"/>
        <v>0</v>
      </c>
      <c r="Z15" s="47">
        <v>2405</v>
      </c>
      <c r="AA15" s="52"/>
      <c r="AB15" s="32" t="str">
        <f t="shared" si="12"/>
        <v>0</v>
      </c>
      <c r="AC15" s="13">
        <v>201</v>
      </c>
      <c r="AD15" s="18">
        <v>372</v>
      </c>
    </row>
    <row r="16" spans="1:30" ht="20.65" customHeight="1" x14ac:dyDescent="0.2">
      <c r="A16" s="19">
        <v>45976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-45976</v>
      </c>
      <c r="J16" s="32">
        <f t="shared" si="0"/>
        <v>-1</v>
      </c>
      <c r="K16" s="20">
        <f t="shared" si="7"/>
        <v>45976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45977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-45977</v>
      </c>
      <c r="J17" s="32">
        <f t="shared" si="0"/>
        <v>-1</v>
      </c>
      <c r="K17" s="20">
        <f t="shared" si="7"/>
        <v>45977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45978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-45978</v>
      </c>
      <c r="J18" s="32">
        <f t="shared" si="0"/>
        <v>-1</v>
      </c>
      <c r="K18" s="20">
        <f t="shared" si="7"/>
        <v>45978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45979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-45979</v>
      </c>
      <c r="J19" s="32">
        <f t="shared" si="0"/>
        <v>-1</v>
      </c>
      <c r="K19" s="20">
        <f t="shared" si="7"/>
        <v>45979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45980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-45980</v>
      </c>
      <c r="J20" s="32">
        <f t="shared" si="0"/>
        <v>-1</v>
      </c>
      <c r="K20" s="20">
        <f t="shared" si="7"/>
        <v>45980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45981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-45981</v>
      </c>
      <c r="J21" s="32">
        <f t="shared" si="0"/>
        <v>-1</v>
      </c>
      <c r="K21" s="20">
        <f t="shared" si="7"/>
        <v>45981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45982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-45982</v>
      </c>
      <c r="J22" s="32">
        <f t="shared" si="0"/>
        <v>-1</v>
      </c>
      <c r="K22" s="20">
        <f t="shared" si="7"/>
        <v>45982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45983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-45983</v>
      </c>
      <c r="J23" s="32">
        <f t="shared" si="0"/>
        <v>-1</v>
      </c>
      <c r="K23" s="20">
        <f t="shared" si="7"/>
        <v>45983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45984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-45984</v>
      </c>
      <c r="J24" s="32">
        <f t="shared" si="0"/>
        <v>-1</v>
      </c>
      <c r="K24" s="20">
        <f t="shared" si="7"/>
        <v>45984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45985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-45985</v>
      </c>
      <c r="J25" s="32">
        <f t="shared" si="0"/>
        <v>-1</v>
      </c>
      <c r="K25" s="20">
        <f t="shared" si="7"/>
        <v>45985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45986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-45986</v>
      </c>
      <c r="J26" s="32">
        <f t="shared" si="0"/>
        <v>-1</v>
      </c>
      <c r="K26" s="20">
        <f t="shared" si="7"/>
        <v>45986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45987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-45987</v>
      </c>
      <c r="J27" s="32">
        <f t="shared" si="0"/>
        <v>-1</v>
      </c>
      <c r="K27" s="20">
        <f t="shared" si="7"/>
        <v>45987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45988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-45988</v>
      </c>
      <c r="J28" s="32">
        <f t="shared" si="0"/>
        <v>-1</v>
      </c>
      <c r="K28" s="20">
        <f t="shared" si="7"/>
        <v>45988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45989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-45989</v>
      </c>
      <c r="J29" s="32">
        <f t="shared" si="0"/>
        <v>-1</v>
      </c>
      <c r="K29" s="20">
        <f t="shared" si="7"/>
        <v>45989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45990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-45990</v>
      </c>
      <c r="J30" s="32">
        <f t="shared" si="0"/>
        <v>-1</v>
      </c>
      <c r="K30" s="20">
        <f t="shared" si="7"/>
        <v>45990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45991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-45991</v>
      </c>
      <c r="J31" s="32">
        <f t="shared" si="0"/>
        <v>45991</v>
      </c>
      <c r="K31" s="20">
        <f t="shared" si="7"/>
        <v>45991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6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45992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45992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5" thickTop="1" x14ac:dyDescent="0.2">
      <c r="A33" s="75"/>
      <c r="B33" s="75"/>
      <c r="C33" s="76">
        <f>SUM(C2:C32)</f>
        <v>69588</v>
      </c>
      <c r="D33" s="77"/>
      <c r="E33" s="76">
        <f>SUM(E2:E32)</f>
        <v>9320</v>
      </c>
      <c r="F33" s="78"/>
      <c r="G33" s="76">
        <f>SUM(G2:G32)</f>
        <v>0</v>
      </c>
      <c r="H33" s="77">
        <f>SUM(H2:H32)</f>
        <v>78908</v>
      </c>
      <c r="I33" s="76">
        <f>SUM(I2:I31)</f>
        <v>-1307406.73</v>
      </c>
      <c r="J33" s="76">
        <f>SUM(J2:J32)</f>
        <v>39988.22</v>
      </c>
      <c r="K33" s="75"/>
      <c r="L33" s="77"/>
      <c r="M33" s="77"/>
      <c r="N33" s="76">
        <f>SUM(N2:N32)</f>
        <v>3857</v>
      </c>
      <c r="O33" s="75"/>
      <c r="P33" s="75"/>
      <c r="Q33" s="75"/>
      <c r="R33" s="75"/>
      <c r="S33" s="75"/>
      <c r="T33" s="77">
        <f>SUM(T2:T32)</f>
        <v>1875</v>
      </c>
      <c r="U33" s="76">
        <f>SUM(U2:U32)</f>
        <v>1650</v>
      </c>
      <c r="V33" s="75"/>
      <c r="W33" s="76">
        <f>SUM(W2:W32)</f>
        <v>1443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0</v>
      </c>
      <c r="AC33" s="79">
        <f>SUM(AC2:AC32)</f>
        <v>2975</v>
      </c>
      <c r="AD33" s="80">
        <f>SUM(AD2:AD32)</f>
        <v>5519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2025-11-14T06:46:51Z</dcterms:modified>
  <cp:category/>
  <cp:contentStatus/>
</cp:coreProperties>
</file>