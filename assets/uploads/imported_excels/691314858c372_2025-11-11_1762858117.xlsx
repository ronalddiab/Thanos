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13B9E29F-82F6-409B-8C49-E92203459D41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2" i="1" l="1"/>
  <c r="E32" i="1"/>
  <c r="T24" i="1"/>
  <c r="T10" i="1"/>
  <c r="T9" i="1"/>
  <c r="T11" i="1"/>
  <c r="T12" i="1"/>
  <c r="N3" i="1"/>
  <c r="N10" i="1"/>
  <c r="N17" i="1"/>
  <c r="N31" i="1"/>
  <c r="N9" i="1"/>
  <c r="N11" i="1"/>
  <c r="N12" i="1"/>
  <c r="T1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 l="1"/>
  <c r="C19" i="1"/>
  <c r="C18" i="1"/>
  <c r="C17" i="1"/>
  <c r="C16" i="1"/>
  <c r="C15" i="1"/>
  <c r="C14" i="1"/>
  <c r="C13" i="1"/>
  <c r="C12" i="1"/>
  <c r="C11" i="1"/>
  <c r="C10" i="1"/>
  <c r="C9" i="1"/>
  <c r="C7" i="1"/>
  <c r="C8" i="1"/>
  <c r="C6" i="1"/>
  <c r="C5" i="1"/>
  <c r="C4" i="1"/>
  <c r="C3" i="1"/>
  <c r="C2" i="1"/>
  <c r="AC31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N24" i="1" s="1"/>
  <c r="L26" i="1"/>
  <c r="L27" i="1"/>
  <c r="N26" i="1" s="1"/>
  <c r="L28" i="1"/>
  <c r="L29" i="1"/>
  <c r="L30" i="1"/>
  <c r="L31" i="1"/>
  <c r="N5" i="1" l="1"/>
  <c r="N14" i="1"/>
  <c r="N15" i="1"/>
  <c r="N13" i="1"/>
  <c r="N22" i="1"/>
  <c r="N23" i="1"/>
  <c r="N8" i="1"/>
  <c r="N7" i="1"/>
  <c r="N30" i="1"/>
  <c r="N18" i="1"/>
  <c r="N6" i="1"/>
  <c r="N4" i="1"/>
  <c r="N29" i="1"/>
  <c r="N28" i="1"/>
  <c r="N27" i="1"/>
  <c r="N25" i="1"/>
  <c r="N20" i="1"/>
  <c r="N19" i="1"/>
  <c r="N16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Z6" i="1" s="1"/>
  <c r="Y8" i="1"/>
  <c r="Y9" i="1"/>
  <c r="Y10" i="1"/>
  <c r="Z5" i="1" l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7" i="1" l="1"/>
  <c r="T18" i="1"/>
  <c r="T5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Z24" i="1" l="1"/>
  <c r="Z25" i="1"/>
  <c r="Z20" i="1"/>
  <c r="K20" i="2" s="1"/>
  <c r="N2" i="1"/>
  <c r="G2" i="2" s="1"/>
  <c r="U21" i="1"/>
  <c r="Z26" i="1"/>
  <c r="K26" i="2" s="1"/>
  <c r="U3" i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K25" i="2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<sst xmlns="http://schemas.openxmlformats.org/spreadsheetml/2006/main" count="79" uniqueCount="39">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</sst>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" fontId="21" fillId="5" borderId="11" xfId="0" applyNumberFormat="1" applyFont="1" applyFill="1" applyBorder="1" applyAlignment="1">
      <alignment horizontal="center" vertical="center" wrapText="1"/>
    </xf>
    <xf numFmtId="165" fontId="21" fillId="5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1" xfId="0" applyNumberFormat="1" applyFont="1" applyFill="1" applyBorder="1" applyAlignment="1">
      <alignment horizontal="center" vertical="center" wrapText="1"/>
    </xf>
    <xf numFmtId="166" fontId="24" fillId="9" borderId="1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1" fontId="13" fillId="0" borderId="23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0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4" fillId="3" borderId="30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 vertical="center" wrapText="1"/>
    </xf>
    <xf numFmtId="1" fontId="5" fillId="0" borderId="43" xfId="0" applyNumberFormat="1" applyFont="1" applyBorder="1" applyAlignment="1">
      <alignment horizontal="center"/>
    </xf>
    <xf numFmtId="1" fontId="5" fillId="0" borderId="44" xfId="0" applyNumberFormat="1" applyFont="1" applyBorder="1" applyAlignment="1">
      <alignment horizontal="center"/>
    </xf>
    <xf numFmtId="9" fontId="4" fillId="0" borderId="43" xfId="0" applyNumberFormat="1" applyFont="1" applyBorder="1" applyAlignment="1">
      <alignment horizontal="center" vertical="center"/>
    </xf>
    <xf numFmtId="9" fontId="4" fillId="0" borderId="44" xfId="0" applyNumberFormat="1" applyFont="1" applyBorder="1" applyAlignment="1">
      <alignment horizontal="center" vertical="center"/>
    </xf>
    <xf numFmtId="1" fontId="4" fillId="3" borderId="44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44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3" borderId="47" xfId="0" applyNumberFormat="1" applyFill="1" applyBorder="1" applyAlignment="1">
      <alignment horizontal="right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0" borderId="50" xfId="0" applyNumberFormat="1" applyFont="1" applyBorder="1" applyAlignment="1">
      <alignment horizontal="center" vertical="center"/>
    </xf>
    <xf numFmtId="3" fontId="2" fillId="2" borderId="51" xfId="0" applyNumberFormat="1" applyFont="1" applyFill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1" fontId="5" fillId="0" borderId="53" xfId="0" applyNumberFormat="1" applyFont="1" applyBorder="1" applyAlignment="1">
      <alignment horizontal="center"/>
    </xf>
    <xf numFmtId="3" fontId="2" fillId="2" borderId="51" xfId="0" applyNumberFormat="1" applyFont="1" applyFill="1" applyBorder="1" applyAlignment="1">
      <alignment horizontal="center" vertical="center" wrapText="1"/>
    </xf>
    <xf numFmtId="9" fontId="4" fillId="0" borderId="52" xfId="0" applyNumberFormat="1" applyFont="1" applyBorder="1" applyAlignment="1">
      <alignment horizontal="center" vertical="center"/>
    </xf>
    <xf numFmtId="9" fontId="4" fillId="0" borderId="53" xfId="0" applyNumberFormat="1" applyFont="1" applyBorder="1" applyAlignment="1">
      <alignment horizontal="center" vertical="center"/>
    </xf>
    <xf numFmtId="1" fontId="4" fillId="3" borderId="53" xfId="0" applyNumberFormat="1" applyFont="1" applyFill="1" applyBorder="1" applyAlignment="1">
      <alignment horizontal="center" vertical="center"/>
    </xf>
    <xf numFmtId="1" fontId="4" fillId="0" borderId="53" xfId="0" applyNumberFormat="1" applyFont="1" applyBorder="1" applyAlignment="1">
      <alignment horizontal="center"/>
    </xf>
    <xf numFmtId="3" fontId="2" fillId="2" borderId="54" xfId="0" applyNumberFormat="1" applyFont="1" applyFill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1" fontId="6" fillId="0" borderId="53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0" customWidth="1"/>
    <col min="6" max="6" width="12.5703125" style="52" customWidth="1"/>
    <col min="7" max="7" width="8.85546875" style="42"/>
    <col min="8" max="8" width="8.85546875" style="48"/>
    <col min="9" max="9" width="8.85546875" style="44" customWidth="1"/>
    <col min="10" max="10" width="8.85546875" style="57"/>
    <col min="11" max="12" width="8.85546875" style="50"/>
    <col min="13" max="14" width="12.28515625" style="60" bestFit="1" customWidth="1"/>
    <col min="15" max="15" width="8.85546875" style="51"/>
    <col min="16" max="16" width="11.5703125" style="51" customWidth="1"/>
    <col min="17" max="16384" width="8.85546875" style="4"/>
  </cols>
  <sheetData>
    <row r="1" spans="1:16" ht="75.75" thickBot="1" x14ac:dyDescent="0.25">
      <c r="A1" s="31" t="s">
        <v>22</v>
      </c>
      <c r="B1" s="31" t="s">
        <v>23</v>
      </c>
      <c r="C1" s="31" t="s">
        <v>24</v>
      </c>
      <c r="D1" s="31" t="s">
        <v>25</v>
      </c>
      <c r="E1" s="32" t="s">
        <v>26</v>
      </c>
      <c r="F1" s="33" t="s">
        <v>27</v>
      </c>
      <c r="G1" s="34" t="s">
        <v>28</v>
      </c>
      <c r="H1" s="35" t="s">
        <v>38</v>
      </c>
      <c r="I1" s="53" t="s">
        <v>36</v>
      </c>
      <c r="J1" s="54" t="s">
        <v>37</v>
      </c>
      <c r="K1" s="36" t="s">
        <v>29</v>
      </c>
      <c r="L1" s="36" t="s">
        <v>30</v>
      </c>
      <c r="M1" s="37" t="s">
        <v>31</v>
      </c>
      <c r="N1" s="37" t="s">
        <v>32</v>
      </c>
      <c r="O1" s="38" t="s">
        <v>0</v>
      </c>
      <c r="P1" s="38" t="s">
        <v>33</v>
      </c>
    </row>
    <row r="2" spans="1:16" ht="15.75" thickTop="1" x14ac:dyDescent="0.25">
      <c r="A2" s="39" t="s">
        <v>34</v>
      </c>
      <c r="B2" s="4">
        <v>1</v>
      </c>
      <c r="C2" s="4">
        <v>9</v>
      </c>
      <c r="D2" s="3">
        <v>2024</v>
      </c>
      <c r="E2" s="40">
        <f>Anassa!D3-Anassa!D2</f>
        <v>14702.900000000373</v>
      </c>
      <c r="F2" s="41">
        <f>0.2563</f>
        <v>0.25629999999999997</v>
      </c>
      <c r="G2" s="42">
        <f>Anassa!N2</f>
        <v>375</v>
      </c>
      <c r="H2" s="43">
        <v>0.626</v>
      </c>
      <c r="I2" s="55">
        <f>Anassa!AC2*5.04</f>
        <v>1463.2127999999987</v>
      </c>
      <c r="J2" s="56">
        <v>8.2900000000000001E-2</v>
      </c>
      <c r="K2" s="44">
        <f>Anassa!Z2</f>
        <v>111</v>
      </c>
      <c r="L2" s="45">
        <v>1.25</v>
      </c>
      <c r="M2" s="58">
        <f>Anassa!H2</f>
        <v>0</v>
      </c>
      <c r="N2" s="59">
        <v>0.88</v>
      </c>
      <c r="O2" s="46">
        <f>Anassa!AD2</f>
        <v>81</v>
      </c>
      <c r="P2" s="46">
        <f>Anassa!AE2</f>
        <v>156</v>
      </c>
    </row>
    <row r="3" spans="1:16" ht="15" x14ac:dyDescent="0.25">
      <c r="A3" s="39" t="s">
        <v>34</v>
      </c>
      <c r="B3" s="4">
        <f>B2+1</f>
        <v>2</v>
      </c>
      <c r="C3" s="4">
        <v>9</v>
      </c>
      <c r="D3" s="3">
        <v>2024</v>
      </c>
      <c r="E3" s="40">
        <f>Anassa!D4-Anassa!D3</f>
        <v>14100.200000001118</v>
      </c>
      <c r="F3" s="41">
        <f t="shared" ref="F3:F32" si="0">0.2563</f>
        <v>0.25629999999999997</v>
      </c>
      <c r="G3" s="42">
        <f>Anassa!N3</f>
        <v>322.97999999999956</v>
      </c>
      <c r="H3" s="43">
        <v>0.626</v>
      </c>
      <c r="I3" s="55">
        <f>Anassa!AC3*5.04</f>
        <v>1463.2127999999987</v>
      </c>
      <c r="J3" s="56">
        <v>8.2900000000000001E-2</v>
      </c>
      <c r="K3" s="44">
        <f>Anassa!Z3</f>
        <v>125</v>
      </c>
      <c r="L3" s="45">
        <v>1.25</v>
      </c>
      <c r="M3" s="58">
        <f>Anassa!H3</f>
        <v>410</v>
      </c>
      <c r="N3" s="59">
        <v>0.88</v>
      </c>
      <c r="O3" s="46">
        <f>Anassa!AD3</f>
        <v>97</v>
      </c>
      <c r="P3" s="46">
        <f>Anassa!AE3</f>
        <v>175</v>
      </c>
    </row>
    <row r="4" spans="1:16" ht="15" x14ac:dyDescent="0.25">
      <c r="A4" s="39" t="s">
        <v>34</v>
      </c>
      <c r="B4" s="4">
        <f t="shared" ref="B4:B32" si="1">B3+1</f>
        <v>3</v>
      </c>
      <c r="C4" s="4">
        <v>9</v>
      </c>
      <c r="D4" s="3">
        <v>2024</v>
      </c>
      <c r="E4" s="40">
        <f>Anassa!D5-Anassa!D4</f>
        <v>16257.599999999627</v>
      </c>
      <c r="F4" s="41">
        <f t="shared" si="0"/>
        <v>0.25629999999999997</v>
      </c>
      <c r="G4" s="42">
        <f>Anassa!N4</f>
        <v>199.99999999999909</v>
      </c>
      <c r="H4" s="43">
        <v>0.626</v>
      </c>
      <c r="I4" s="55">
        <f>Anassa!AC4*5.04</f>
        <v>1463.2128000000032</v>
      </c>
      <c r="J4" s="56">
        <v>8.2900000000000001E-2</v>
      </c>
      <c r="K4" s="44">
        <f>Anassa!Z4</f>
        <v>150</v>
      </c>
      <c r="L4" s="45">
        <v>1.25</v>
      </c>
      <c r="M4" s="58">
        <f>Anassa!H4</f>
        <v>552</v>
      </c>
      <c r="N4" s="59">
        <v>0.88</v>
      </c>
      <c r="O4" s="46">
        <f>Anassa!AD4</f>
        <v>146</v>
      </c>
      <c r="P4" s="46">
        <f>Anassa!AE4</f>
        <v>281</v>
      </c>
    </row>
    <row r="5" spans="1:16" ht="15" x14ac:dyDescent="0.25">
      <c r="A5" s="39" t="s">
        <v>34</v>
      </c>
      <c r="B5" s="4">
        <f t="shared" si="1"/>
        <v>4</v>
      </c>
      <c r="C5" s="4">
        <v>9</v>
      </c>
      <c r="D5" s="3">
        <v>2024</v>
      </c>
      <c r="E5" s="40">
        <f>Anassa!D6-Anassa!D5</f>
        <v>16255.099999999627</v>
      </c>
      <c r="F5" s="41">
        <f t="shared" si="0"/>
        <v>0.25629999999999997</v>
      </c>
      <c r="G5" s="42">
        <f>Anassa!N5</f>
        <v>-175.00000000000091</v>
      </c>
      <c r="H5" s="43">
        <v>0.626</v>
      </c>
      <c r="I5" s="55">
        <f>Anassa!AC5*5.04</f>
        <v>1463.2127999999987</v>
      </c>
      <c r="J5" s="56">
        <v>8.2900000000000001E-2</v>
      </c>
      <c r="K5" s="44">
        <f>Anassa!Z5</f>
        <v>162</v>
      </c>
      <c r="L5" s="45">
        <v>1.25</v>
      </c>
      <c r="M5" s="58">
        <f>Anassa!H5</f>
        <v>555</v>
      </c>
      <c r="N5" s="59">
        <v>0.88</v>
      </c>
      <c r="O5" s="46">
        <f>Anassa!AD5</f>
        <v>167</v>
      </c>
      <c r="P5" s="46">
        <f>Anassa!AE5</f>
        <v>325</v>
      </c>
    </row>
    <row r="6" spans="1:16" ht="15" x14ac:dyDescent="0.25">
      <c r="A6" s="39" t="s">
        <v>34</v>
      </c>
      <c r="B6" s="4">
        <f t="shared" si="1"/>
        <v>5</v>
      </c>
      <c r="C6" s="4">
        <v>9</v>
      </c>
      <c r="D6" s="3">
        <v>2024</v>
      </c>
      <c r="E6" s="40">
        <f>Anassa!D7-Anassa!D6</f>
        <v>14344.099999999627</v>
      </c>
      <c r="F6" s="41">
        <f t="shared" si="0"/>
        <v>0.25629999999999997</v>
      </c>
      <c r="G6" s="42">
        <f>Anassa!N6</f>
        <v>200</v>
      </c>
      <c r="H6" s="43">
        <v>0.626</v>
      </c>
      <c r="I6" s="55">
        <f>Anassa!AC6*5.04</f>
        <v>1463.2128000000032</v>
      </c>
      <c r="J6" s="56">
        <v>8.2900000000000001E-2</v>
      </c>
      <c r="K6" s="44">
        <f>Anassa!Z6</f>
        <v>160</v>
      </c>
      <c r="L6" s="45">
        <v>1.25</v>
      </c>
      <c r="M6" s="58">
        <f>Anassa!H6</f>
        <v>839</v>
      </c>
      <c r="N6" s="59">
        <v>0.88</v>
      </c>
      <c r="O6" s="46">
        <f>Anassa!AD6</f>
        <v>161</v>
      </c>
      <c r="P6" s="46">
        <f>Anassa!AE6</f>
        <v>312</v>
      </c>
    </row>
    <row r="7" spans="1:16" ht="15" x14ac:dyDescent="0.25">
      <c r="A7" s="39" t="s">
        <v>34</v>
      </c>
      <c r="B7" s="4">
        <f t="shared" si="1"/>
        <v>6</v>
      </c>
      <c r="C7" s="4">
        <v>9</v>
      </c>
      <c r="D7" s="3">
        <v>2024</v>
      </c>
      <c r="E7" s="40">
        <f>Anassa!D8-Anassa!D7</f>
        <v>12987.400000000373</v>
      </c>
      <c r="F7" s="41">
        <f t="shared" si="0"/>
        <v>0.25629999999999997</v>
      </c>
      <c r="G7" s="42">
        <f>Anassa!N7</f>
        <v>375</v>
      </c>
      <c r="H7" s="43">
        <v>0.626</v>
      </c>
      <c r="I7" s="55">
        <f>Anassa!AC7*5.04</f>
        <v>1463.2127999999987</v>
      </c>
      <c r="J7" s="56">
        <v>8.2900000000000001E-2</v>
      </c>
      <c r="K7" s="44">
        <f>Anassa!Z7</f>
        <v>163</v>
      </c>
      <c r="L7" s="45">
        <v>1.25</v>
      </c>
      <c r="M7" s="58">
        <f>Anassa!H7</f>
        <v>1267</v>
      </c>
      <c r="N7" s="59">
        <v>0.88</v>
      </c>
      <c r="O7" s="46">
        <f>Anassa!AD7</f>
        <v>155</v>
      </c>
      <c r="P7" s="46">
        <f>Anassa!AE7</f>
        <v>308</v>
      </c>
    </row>
    <row r="8" spans="1:16" ht="15" x14ac:dyDescent="0.25">
      <c r="A8" s="39" t="s">
        <v>34</v>
      </c>
      <c r="B8" s="4">
        <f t="shared" si="1"/>
        <v>7</v>
      </c>
      <c r="C8" s="4">
        <v>9</v>
      </c>
      <c r="D8" s="3">
        <v>2024</v>
      </c>
      <c r="E8" s="40">
        <f>Anassa!D9-Anassa!D8</f>
        <v>12955.199999999255</v>
      </c>
      <c r="F8" s="41">
        <f t="shared" si="0"/>
        <v>0.25629999999999997</v>
      </c>
      <c r="G8" s="42">
        <f>Anassa!N8</f>
        <v>250.00000000000091</v>
      </c>
      <c r="H8" s="43">
        <v>0.626</v>
      </c>
      <c r="I8" s="55">
        <f>Anassa!AC8*5.04</f>
        <v>1463.2127999999987</v>
      </c>
      <c r="J8" s="56">
        <v>8.2900000000000001E-2</v>
      </c>
      <c r="K8" s="44">
        <f>Anassa!Z8</f>
        <v>164</v>
      </c>
      <c r="L8" s="45">
        <v>1.25</v>
      </c>
      <c r="M8" s="58">
        <f>Anassa!H8</f>
        <v>987</v>
      </c>
      <c r="N8" s="59">
        <v>0.88</v>
      </c>
      <c r="O8" s="46">
        <f>Anassa!AD8</f>
        <v>142</v>
      </c>
      <c r="P8" s="46">
        <f>Anassa!AE8</f>
        <v>293</v>
      </c>
    </row>
    <row r="9" spans="1:16" ht="15" x14ac:dyDescent="0.25">
      <c r="A9" s="39" t="s">
        <v>34</v>
      </c>
      <c r="B9" s="4">
        <f t="shared" si="1"/>
        <v>8</v>
      </c>
      <c r="C9" s="4">
        <v>9</v>
      </c>
      <c r="D9" s="3">
        <v>2024</v>
      </c>
      <c r="E9" s="40">
        <f>Anassa!D10-Anassa!D9</f>
        <v>12406</v>
      </c>
      <c r="F9" s="41">
        <f t="shared" si="0"/>
        <v>0.25629999999999997</v>
      </c>
      <c r="G9" s="42">
        <f>Anassa!N9</f>
        <v>499.99999999999909</v>
      </c>
      <c r="H9" s="43">
        <v>0.626</v>
      </c>
      <c r="I9" s="55">
        <f>Anassa!AC9*5.04</f>
        <v>1463.2128000000032</v>
      </c>
      <c r="J9" s="56">
        <v>8.2900000000000001E-2</v>
      </c>
      <c r="K9" s="44">
        <f>Anassa!Z9</f>
        <v>179</v>
      </c>
      <c r="L9" s="45">
        <v>1.25</v>
      </c>
      <c r="M9" s="58">
        <f>Anassa!H9</f>
        <v>841</v>
      </c>
      <c r="N9" s="59">
        <v>0.88</v>
      </c>
      <c r="O9" s="46">
        <f>Anassa!AD9</f>
        <v>135</v>
      </c>
      <c r="P9" s="46">
        <f>Anassa!AE9</f>
        <v>276</v>
      </c>
    </row>
    <row r="10" spans="1:16" ht="15" x14ac:dyDescent="0.25">
      <c r="A10" s="39" t="s">
        <v>34</v>
      </c>
      <c r="B10" s="4">
        <f t="shared" si="1"/>
        <v>9</v>
      </c>
      <c r="C10" s="4">
        <v>9</v>
      </c>
      <c r="D10" s="3">
        <v>2024</v>
      </c>
      <c r="E10" s="40">
        <f>Anassa!D11-Anassa!D10</f>
        <v>14885.900000002235</v>
      </c>
      <c r="F10" s="41">
        <f t="shared" si="0"/>
        <v>0.25629999999999997</v>
      </c>
      <c r="G10" s="42">
        <f>Anassa!N10</f>
        <v>477.89999999999964</v>
      </c>
      <c r="H10" s="43">
        <v>0.626</v>
      </c>
      <c r="I10" s="55">
        <f>Anassa!AC10*5.04</f>
        <v>1463.2127999999987</v>
      </c>
      <c r="J10" s="56">
        <v>8.2900000000000001E-2</v>
      </c>
      <c r="K10" s="44">
        <f>Anassa!Z10</f>
        <v>238</v>
      </c>
      <c r="L10" s="45">
        <v>1.25</v>
      </c>
      <c r="M10" s="58">
        <f>Anassa!H10</f>
        <v>1120</v>
      </c>
      <c r="N10" s="59">
        <v>0.88</v>
      </c>
      <c r="O10" s="46">
        <f>Anassa!AD10</f>
        <v>127</v>
      </c>
      <c r="P10" s="46">
        <f>Anassa!AE10</f>
        <v>265</v>
      </c>
    </row>
    <row r="11" spans="1:16" ht="15" x14ac:dyDescent="0.25">
      <c r="A11" s="39" t="s">
        <v>34</v>
      </c>
      <c r="B11" s="4">
        <f t="shared" si="1"/>
        <v>10</v>
      </c>
      <c r="C11" s="4">
        <v>9</v>
      </c>
      <c r="D11" s="3">
        <v>2024</v>
      </c>
      <c r="E11" s="40">
        <f>Anassa!D12-Anassa!D11</f>
        <v>9245</v>
      </c>
      <c r="F11" s="41">
        <f t="shared" si="0"/>
        <v>0.25629999999999997</v>
      </c>
      <c r="G11" s="42">
        <f>Anassa!N11</f>
        <v>500</v>
      </c>
      <c r="H11" s="43">
        <v>0.626</v>
      </c>
      <c r="I11" s="55">
        <f>Anassa!AC11*5.04</f>
        <v>1463.2127999999987</v>
      </c>
      <c r="J11" s="56">
        <v>8.2900000000000001E-2</v>
      </c>
      <c r="K11" s="44">
        <f>Anassa!Z11</f>
        <v>238</v>
      </c>
      <c r="L11" s="45">
        <v>1.25</v>
      </c>
      <c r="M11" s="58">
        <f>Anassa!H11</f>
        <v>828</v>
      </c>
      <c r="N11" s="59">
        <v>0.88</v>
      </c>
      <c r="O11" s="46">
        <f>Anassa!AD11</f>
        <v>132</v>
      </c>
      <c r="P11" s="46">
        <f>Anassa!AE11</f>
        <v>263</v>
      </c>
    </row>
    <row r="12" spans="1:16" ht="15" x14ac:dyDescent="0.25">
      <c r="A12" s="39" t="s">
        <v>34</v>
      </c>
      <c r="B12" s="4">
        <f t="shared" si="1"/>
        <v>11</v>
      </c>
      <c r="C12" s="4">
        <v>9</v>
      </c>
      <c r="D12" s="3">
        <v>2024</v>
      </c>
      <c r="E12" s="40">
        <f>Anassa!D13-Anassa!D12</f>
        <v>12124.5</v>
      </c>
      <c r="F12" s="41">
        <f t="shared" si="0"/>
        <v>0.25629999999999997</v>
      </c>
      <c r="G12" s="42">
        <f>Anassa!N12</f>
        <v>249.99999999999909</v>
      </c>
      <c r="H12" s="43">
        <v>0.626</v>
      </c>
      <c r="I12" s="55">
        <f>Anassa!AC12*5.04</f>
        <v>1463.2128000000032</v>
      </c>
      <c r="J12" s="56">
        <v>8.2900000000000001E-2</v>
      </c>
      <c r="K12" s="44">
        <f>Anassa!Z12</f>
        <v>251</v>
      </c>
      <c r="L12" s="45">
        <v>1.25</v>
      </c>
      <c r="M12" s="58">
        <f>Anassa!H12</f>
        <v>1087</v>
      </c>
      <c r="N12" s="59">
        <v>0.88</v>
      </c>
      <c r="O12" s="46">
        <f>Anassa!AD12</f>
        <v>157</v>
      </c>
      <c r="P12" s="46">
        <f>Anassa!AE12</f>
        <v>309</v>
      </c>
    </row>
    <row r="13" spans="1:16" ht="15" x14ac:dyDescent="0.25">
      <c r="A13" s="39" t="s">
        <v>34</v>
      </c>
      <c r="B13" s="4">
        <f t="shared" si="1"/>
        <v>12</v>
      </c>
      <c r="C13" s="4">
        <v>9</v>
      </c>
      <c r="D13" s="3">
        <v>2024</v>
      </c>
      <c r="E13" s="40">
        <f>Anassa!D14-Anassa!D13</f>
        <v>11642.599999997765</v>
      </c>
      <c r="F13" s="41">
        <f t="shared" si="0"/>
        <v>0.25629999999999997</v>
      </c>
      <c r="G13" s="42">
        <f>Anassa!N13</f>
        <v>625.00000000000091</v>
      </c>
      <c r="H13" s="43">
        <v>0.626</v>
      </c>
      <c r="I13" s="55">
        <f>Anassa!AC13*5.04</f>
        <v>1463.2127999999987</v>
      </c>
      <c r="J13" s="56">
        <v>8.2900000000000001E-2</v>
      </c>
      <c r="K13" s="44">
        <f>Anassa!Z13</f>
        <v>205</v>
      </c>
      <c r="L13" s="45">
        <v>1.25</v>
      </c>
      <c r="M13" s="58">
        <f>Anassa!H13</f>
        <v>798</v>
      </c>
      <c r="N13" s="59">
        <v>0.88</v>
      </c>
      <c r="O13" s="46">
        <f>Anassa!AD13</f>
        <v>129</v>
      </c>
      <c r="P13" s="46">
        <f>Anassa!AE13</f>
        <v>26</v>
      </c>
    </row>
    <row r="14" spans="1:16" ht="15" x14ac:dyDescent="0.25">
      <c r="A14" s="39" t="s">
        <v>34</v>
      </c>
      <c r="B14" s="4">
        <f t="shared" si="1"/>
        <v>13</v>
      </c>
      <c r="C14" s="4">
        <v>9</v>
      </c>
      <c r="D14" s="3">
        <v>2024</v>
      </c>
      <c r="E14" s="40">
        <f>Anassa!D15-Anassa!D14</f>
        <v>10742.300000000745</v>
      </c>
      <c r="F14" s="41">
        <f t="shared" si="0"/>
        <v>0.25629999999999997</v>
      </c>
      <c r="G14" s="42">
        <f>Anassa!N14</f>
        <v>250.00000000000091</v>
      </c>
      <c r="H14" s="43">
        <v>0.626</v>
      </c>
      <c r="I14" s="55">
        <f>Anassa!AC14*5.04</f>
        <v>1463.2127999999987</v>
      </c>
      <c r="J14" s="56">
        <v>8.2900000000000001E-2</v>
      </c>
      <c r="K14" s="44">
        <f>Anassa!Z14</f>
        <v>236</v>
      </c>
      <c r="L14" s="45">
        <v>1.25</v>
      </c>
      <c r="M14" s="58">
        <f>Anassa!H14</f>
        <v>907</v>
      </c>
      <c r="N14" s="59">
        <v>0.88</v>
      </c>
      <c r="O14" s="46">
        <f>Anassa!AD14</f>
        <v>122</v>
      </c>
      <c r="P14" s="46">
        <f>Anassa!AE14</f>
        <v>244</v>
      </c>
    </row>
    <row r="15" spans="1:16" ht="15" x14ac:dyDescent="0.25">
      <c r="A15" s="39" t="s">
        <v>34</v>
      </c>
      <c r="B15" s="4">
        <f t="shared" si="1"/>
        <v>14</v>
      </c>
      <c r="C15" s="4">
        <v>9</v>
      </c>
      <c r="D15" s="3">
        <v>2024</v>
      </c>
      <c r="E15" s="40">
        <f>Anassa!D16-Anassa!D15</f>
        <v>1252.5</v>
      </c>
      <c r="F15" s="41">
        <f t="shared" si="0"/>
        <v>0.25629999999999997</v>
      </c>
      <c r="G15" s="42">
        <f>Anassa!N15</f>
        <v>374.99999999999909</v>
      </c>
      <c r="H15" s="43">
        <v>0.626</v>
      </c>
      <c r="I15" s="55">
        <f>Anassa!AC15*5.04</f>
        <v>1463.2127999999987</v>
      </c>
      <c r="J15" s="56">
        <v>8.2900000000000001E-2</v>
      </c>
      <c r="K15" s="44">
        <f>Anassa!Z15</f>
        <v>213</v>
      </c>
      <c r="L15" s="45">
        <v>1.25</v>
      </c>
      <c r="M15" s="58">
        <f>Anassa!H15</f>
        <v>973</v>
      </c>
      <c r="N15" s="59">
        <v>0.88</v>
      </c>
      <c r="O15" s="46">
        <f>Anassa!AD15</f>
        <v>124</v>
      </c>
      <c r="P15" s="46">
        <f>Anassa!AE15</f>
        <v>247</v>
      </c>
    </row>
    <row r="16" spans="1:16" ht="15" x14ac:dyDescent="0.25">
      <c r="A16" s="39" t="s">
        <v>34</v>
      </c>
      <c r="B16" s="4">
        <f t="shared" si="1"/>
        <v>15</v>
      </c>
      <c r="C16" s="4">
        <v>9</v>
      </c>
      <c r="D16" s="3">
        <v>2024</v>
      </c>
      <c r="E16" s="40">
        <f>Anassa!D17-Anassa!D16</f>
        <v>21530.5</v>
      </c>
      <c r="F16" s="41">
        <f t="shared" si="0"/>
        <v>0.25629999999999997</v>
      </c>
      <c r="G16" s="42">
        <f>Anassa!N16</f>
        <v>375</v>
      </c>
      <c r="H16" s="43">
        <v>0.626</v>
      </c>
      <c r="I16" s="55">
        <f>Anassa!AC16*5.04</f>
        <v>1463.2128000000032</v>
      </c>
      <c r="J16" s="56">
        <v>8.2900000000000001E-2</v>
      </c>
      <c r="K16" s="44">
        <f>Anassa!Z16</f>
        <v>227</v>
      </c>
      <c r="L16" s="45">
        <v>1.25</v>
      </c>
      <c r="M16" s="58">
        <f>Anassa!H16</f>
        <v>959</v>
      </c>
      <c r="N16" s="59">
        <v>1.25</v>
      </c>
      <c r="O16" s="46">
        <f>Anassa!AD16</f>
        <v>117</v>
      </c>
      <c r="P16" s="46">
        <f>Anassa!AE16</f>
        <v>228</v>
      </c>
    </row>
    <row r="17" spans="1:16" ht="15" x14ac:dyDescent="0.25">
      <c r="A17" s="39" t="s">
        <v>34</v>
      </c>
      <c r="B17" s="4">
        <f t="shared" si="1"/>
        <v>16</v>
      </c>
      <c r="C17" s="4">
        <v>9</v>
      </c>
      <c r="D17" s="3">
        <v>2024</v>
      </c>
      <c r="E17" s="40">
        <f>Anassa!D18-Anassa!D17</f>
        <v>11313.199999999255</v>
      </c>
      <c r="F17" s="41">
        <f t="shared" si="0"/>
        <v>0.25629999999999997</v>
      </c>
      <c r="G17" s="42">
        <f>Anassa!N17</f>
        <v>283.17000000000007</v>
      </c>
      <c r="H17" s="43">
        <v>0.626</v>
      </c>
      <c r="I17" s="55">
        <f>Anassa!AC17*5.04</f>
        <v>1463.2127999999987</v>
      </c>
      <c r="J17" s="56">
        <v>8.2900000000000001E-2</v>
      </c>
      <c r="K17" s="44">
        <f>Anassa!Z17</f>
        <v>212</v>
      </c>
      <c r="L17" s="45">
        <v>1.25</v>
      </c>
      <c r="M17" s="58">
        <f>Anassa!H17</f>
        <v>833</v>
      </c>
      <c r="N17" s="59">
        <v>0.88</v>
      </c>
      <c r="O17" s="46">
        <f>Anassa!AD17</f>
        <v>116</v>
      </c>
      <c r="P17" s="46">
        <f>Anassa!AE17</f>
        <v>226</v>
      </c>
    </row>
    <row r="18" spans="1:16" ht="15" x14ac:dyDescent="0.25">
      <c r="A18" s="39" t="s">
        <v>34</v>
      </c>
      <c r="B18" s="4">
        <f t="shared" si="1"/>
        <v>17</v>
      </c>
      <c r="C18" s="4">
        <v>9</v>
      </c>
      <c r="D18" s="3">
        <v>2024</v>
      </c>
      <c r="E18" s="40">
        <f>Anassa!D19-Anassa!D18</f>
        <v>11677.300000000745</v>
      </c>
      <c r="F18" s="41">
        <f t="shared" si="0"/>
        <v>0.25629999999999997</v>
      </c>
      <c r="G18" s="42">
        <f>Anassa!N18</f>
        <v>249.99999999999909</v>
      </c>
      <c r="H18" s="43">
        <v>0.626</v>
      </c>
      <c r="I18" s="55">
        <f>Anassa!AC18*5.04</f>
        <v>1463.2128000000009</v>
      </c>
      <c r="J18" s="56">
        <v>8.2900000000000001E-2</v>
      </c>
      <c r="K18" s="44">
        <f>Anassa!Z18</f>
        <v>269</v>
      </c>
      <c r="L18" s="45">
        <v>1.25</v>
      </c>
      <c r="M18" s="58">
        <f>Anassa!H18</f>
        <v>1262</v>
      </c>
      <c r="N18" s="59">
        <v>0.88</v>
      </c>
      <c r="O18" s="46">
        <f>Anassa!AD18</f>
        <v>149</v>
      </c>
      <c r="P18" s="46">
        <f>Anassa!AE18</f>
        <v>292</v>
      </c>
    </row>
    <row r="19" spans="1:16" ht="15" x14ac:dyDescent="0.25">
      <c r="A19" s="39" t="s">
        <v>34</v>
      </c>
      <c r="B19" s="4">
        <f t="shared" si="1"/>
        <v>18</v>
      </c>
      <c r="C19" s="4">
        <v>9</v>
      </c>
      <c r="D19" s="3">
        <v>2024</v>
      </c>
      <c r="E19" s="40">
        <f>Anassa!D20-Anassa!D19</f>
        <v>12449.699999999255</v>
      </c>
      <c r="F19" s="41">
        <f t="shared" si="0"/>
        <v>0.25629999999999997</v>
      </c>
      <c r="G19" s="42">
        <f>Anassa!N19</f>
        <v>375.00000000000091</v>
      </c>
      <c r="H19" s="43">
        <v>0.626</v>
      </c>
      <c r="I19" s="55">
        <f>Anassa!AC19*5.04</f>
        <v>1463.2128000000009</v>
      </c>
      <c r="J19" s="56">
        <v>8.2900000000000001E-2</v>
      </c>
      <c r="K19" s="44">
        <f>Anassa!Z19</f>
        <v>234</v>
      </c>
      <c r="L19" s="45">
        <v>1.25</v>
      </c>
      <c r="M19" s="58">
        <f>Anassa!H19</f>
        <v>987</v>
      </c>
      <c r="N19" s="59">
        <v>0.88</v>
      </c>
      <c r="O19" s="46">
        <f>Anassa!AD19</f>
        <v>14</v>
      </c>
      <c r="P19" s="46">
        <f>Anassa!AE19</f>
        <v>290</v>
      </c>
    </row>
    <row r="20" spans="1:16" ht="15" x14ac:dyDescent="0.25">
      <c r="A20" s="39" t="s">
        <v>34</v>
      </c>
      <c r="B20" s="4">
        <f t="shared" si="1"/>
        <v>19</v>
      </c>
      <c r="C20" s="4">
        <v>9</v>
      </c>
      <c r="D20" s="3">
        <v>2024</v>
      </c>
      <c r="E20" s="40">
        <f>Anassa!D21-Anassa!D20</f>
        <v>11571.300000000745</v>
      </c>
      <c r="F20" s="41">
        <f t="shared" si="0"/>
        <v>0.25629999999999997</v>
      </c>
      <c r="G20" s="42">
        <f>Anassa!N20</f>
        <v>125</v>
      </c>
      <c r="H20" s="43">
        <v>0.626</v>
      </c>
      <c r="I20" s="55">
        <f>Anassa!AC20*5.04</f>
        <v>1463.2127999999987</v>
      </c>
      <c r="J20" s="56">
        <v>8.2900000000000001E-2</v>
      </c>
      <c r="K20" s="44">
        <f>Anassa!Z20</f>
        <v>251</v>
      </c>
      <c r="L20" s="45">
        <v>1.25</v>
      </c>
      <c r="M20" s="58">
        <f>Anassa!H20</f>
        <v>987</v>
      </c>
      <c r="N20" s="59">
        <v>0.88</v>
      </c>
      <c r="O20" s="46">
        <f>Anassa!AD20</f>
        <v>131</v>
      </c>
      <c r="P20" s="46">
        <f>Anassa!AE20</f>
        <v>276</v>
      </c>
    </row>
    <row r="21" spans="1:16" ht="15" x14ac:dyDescent="0.25">
      <c r="A21" s="39" t="s">
        <v>34</v>
      </c>
      <c r="B21" s="4">
        <f t="shared" si="1"/>
        <v>20</v>
      </c>
      <c r="C21" s="4">
        <v>9</v>
      </c>
      <c r="D21" s="3">
        <v>2024</v>
      </c>
      <c r="E21" s="40">
        <f>Anassa!D22-Anassa!D21</f>
        <v>12475.60000000149</v>
      </c>
      <c r="F21" s="41">
        <f t="shared" si="0"/>
        <v>0.25629999999999997</v>
      </c>
      <c r="G21" s="42">
        <f>Anassa!N21</f>
        <v>375.00000000000091</v>
      </c>
      <c r="H21" s="43">
        <v>0.626</v>
      </c>
      <c r="I21" s="55">
        <f>Anassa!AC21*5.04</f>
        <v>1463.2128000000009</v>
      </c>
      <c r="J21" s="56">
        <v>8.2900000000000001E-2</v>
      </c>
      <c r="K21" s="44">
        <f>Anassa!Z21</f>
        <v>231</v>
      </c>
      <c r="L21" s="45">
        <v>1.25</v>
      </c>
      <c r="M21" s="58">
        <f>Anassa!H21</f>
        <v>982</v>
      </c>
      <c r="N21" s="59">
        <v>0.88</v>
      </c>
      <c r="O21" s="46">
        <f>Anassa!AD21</f>
        <v>137</v>
      </c>
      <c r="P21" s="46">
        <f>Anassa!AE21</f>
        <v>290</v>
      </c>
    </row>
    <row r="22" spans="1:16" ht="15" x14ac:dyDescent="0.25">
      <c r="A22" s="39" t="s">
        <v>34</v>
      </c>
      <c r="B22" s="4">
        <f t="shared" si="1"/>
        <v>21</v>
      </c>
      <c r="C22" s="4">
        <v>9</v>
      </c>
      <c r="D22" s="3">
        <v>2024</v>
      </c>
      <c r="E22" s="40">
        <f>Anassa!D23-Anassa!D22</f>
        <v>11503.099999997765</v>
      </c>
      <c r="F22" s="41">
        <f t="shared" si="0"/>
        <v>0.25629999999999997</v>
      </c>
      <c r="G22" s="42">
        <f>Anassa!N22</f>
        <v>374.99999999999909</v>
      </c>
      <c r="H22" s="43">
        <v>0.626</v>
      </c>
      <c r="I22" s="55">
        <f>Anassa!AC22*5.04</f>
        <v>1463.2127999999987</v>
      </c>
      <c r="J22" s="56">
        <v>8.2900000000000001E-2</v>
      </c>
      <c r="K22" s="44">
        <f>Anassa!Z22</f>
        <v>228</v>
      </c>
      <c r="L22" s="45">
        <v>1.25</v>
      </c>
      <c r="M22" s="58">
        <f>Anassa!H22</f>
        <v>1390</v>
      </c>
      <c r="N22" s="59">
        <v>0.88</v>
      </c>
      <c r="O22" s="46">
        <f>Anassa!AD22</f>
        <v>137</v>
      </c>
      <c r="P22" s="46">
        <f>Anassa!AE22</f>
        <v>290</v>
      </c>
    </row>
    <row r="23" spans="1:16" ht="15" x14ac:dyDescent="0.25">
      <c r="A23" s="39" t="s">
        <v>34</v>
      </c>
      <c r="B23" s="4">
        <f t="shared" si="1"/>
        <v>22</v>
      </c>
      <c r="C23" s="4">
        <v>9</v>
      </c>
      <c r="D23" s="3">
        <v>2024</v>
      </c>
      <c r="E23" s="40">
        <f>Anassa!D24-Anassa!D23</f>
        <v>-287648.59999999963</v>
      </c>
      <c r="F23" s="41">
        <f t="shared" si="0"/>
        <v>0.25629999999999997</v>
      </c>
      <c r="G23" s="42">
        <f>Anassa!N23</f>
        <v>125</v>
      </c>
      <c r="H23" s="43">
        <v>0.626</v>
      </c>
      <c r="I23" s="55">
        <f>Anassa!AC23*5.04</f>
        <v>1463.2128000000009</v>
      </c>
      <c r="J23" s="56">
        <v>8.2900000000000001E-2</v>
      </c>
      <c r="K23" s="44">
        <f>Anassa!Z23</f>
        <v>244</v>
      </c>
      <c r="L23" s="45">
        <v>1.25</v>
      </c>
      <c r="M23" s="58">
        <f>Anassa!H23</f>
        <v>1600</v>
      </c>
      <c r="N23" s="59">
        <v>0.88</v>
      </c>
      <c r="O23" s="46">
        <f>Anassa!AD23</f>
        <v>147</v>
      </c>
      <c r="P23" s="46">
        <f>Anassa!AE23</f>
        <v>317</v>
      </c>
    </row>
    <row r="24" spans="1:16" ht="15" x14ac:dyDescent="0.25">
      <c r="A24" s="39" t="s">
        <v>34</v>
      </c>
      <c r="B24" s="4">
        <f t="shared" si="1"/>
        <v>23</v>
      </c>
      <c r="C24" s="4">
        <v>9</v>
      </c>
      <c r="D24" s="3">
        <v>2024</v>
      </c>
      <c r="E24" s="40">
        <f>Anassa!D25-Anassa!D24</f>
        <v>311875.20000000112</v>
      </c>
      <c r="F24" s="41">
        <f t="shared" si="0"/>
        <v>0.25629999999999997</v>
      </c>
      <c r="G24" s="42">
        <f>Anassa!N24</f>
        <v>127.14999999999964</v>
      </c>
      <c r="H24" s="43">
        <v>0.626</v>
      </c>
      <c r="I24" s="55">
        <f>Anassa!AC24*5.04</f>
        <v>1463.2128000000009</v>
      </c>
      <c r="J24" s="56">
        <v>8.2900000000000001E-2</v>
      </c>
      <c r="K24" s="44">
        <f>Anassa!Z24</f>
        <v>246</v>
      </c>
      <c r="L24" s="45">
        <v>1.25</v>
      </c>
      <c r="M24" s="58">
        <f>Anassa!H24</f>
        <v>2212</v>
      </c>
      <c r="N24" s="59">
        <v>0.88</v>
      </c>
      <c r="O24" s="46">
        <f>Anassa!AD24</f>
        <v>138</v>
      </c>
      <c r="P24" s="46">
        <f>Anassa!AE24</f>
        <v>299</v>
      </c>
    </row>
    <row r="25" spans="1:16" ht="15" x14ac:dyDescent="0.25">
      <c r="A25" s="39" t="s">
        <v>34</v>
      </c>
      <c r="B25" s="4">
        <f t="shared" si="1"/>
        <v>24</v>
      </c>
      <c r="C25" s="4">
        <v>9</v>
      </c>
      <c r="D25" s="3">
        <v>2024</v>
      </c>
      <c r="E25" s="40">
        <f>Anassa!D26-Anassa!D25</f>
        <v>11320.300000000745</v>
      </c>
      <c r="F25" s="41">
        <f t="shared" si="0"/>
        <v>0.25629999999999997</v>
      </c>
      <c r="G25" s="42">
        <f>Anassa!N25</f>
        <v>625</v>
      </c>
      <c r="H25" s="43">
        <v>0.626</v>
      </c>
      <c r="I25" s="55">
        <f>Anassa!AC25*5.04</f>
        <v>1463.2127999999998</v>
      </c>
      <c r="J25" s="56">
        <v>8.2900000000000001E-2</v>
      </c>
      <c r="K25" s="44">
        <f>Anassa!Z25</f>
        <v>239</v>
      </c>
      <c r="L25" s="45">
        <v>1.25</v>
      </c>
      <c r="M25" s="58">
        <f>Anassa!H25</f>
        <v>1829</v>
      </c>
      <c r="N25" s="59">
        <v>0.88</v>
      </c>
      <c r="O25" s="46">
        <f>Anassa!AD25</f>
        <v>151</v>
      </c>
      <c r="P25" s="46">
        <f>Anassa!AE25</f>
        <v>328</v>
      </c>
    </row>
    <row r="26" spans="1:16" ht="15" x14ac:dyDescent="0.25">
      <c r="A26" s="39" t="s">
        <v>34</v>
      </c>
      <c r="B26" s="4">
        <f>B25+1</f>
        <v>25</v>
      </c>
      <c r="C26" s="4">
        <v>9</v>
      </c>
      <c r="D26" s="3">
        <v>2024</v>
      </c>
      <c r="E26" s="40">
        <f>Anassa!D27-Anassa!D26</f>
        <v>13104.29999999702</v>
      </c>
      <c r="F26" s="41">
        <f t="shared" si="0"/>
        <v>0.25629999999999997</v>
      </c>
      <c r="G26" s="42">
        <f>Anassa!N26</f>
        <v>0</v>
      </c>
      <c r="H26" s="43">
        <v>0.626</v>
      </c>
      <c r="I26" s="55">
        <f>Anassa!AC26*5.04</f>
        <v>1463.2127999999998</v>
      </c>
      <c r="J26" s="56">
        <v>8.2900000000000001E-2</v>
      </c>
      <c r="K26" s="44">
        <f>Anassa!Z26</f>
        <v>262</v>
      </c>
      <c r="L26" s="45">
        <v>1.25</v>
      </c>
      <c r="M26" s="58">
        <f>Anassa!H26</f>
        <v>1969</v>
      </c>
      <c r="N26" s="59">
        <v>0.88</v>
      </c>
      <c r="O26" s="46">
        <f>Anassa!AD26</f>
        <v>155</v>
      </c>
      <c r="P26" s="46">
        <f>Anassa!AE26</f>
        <v>349</v>
      </c>
    </row>
    <row r="27" spans="1:16" ht="15" x14ac:dyDescent="0.25">
      <c r="A27" s="39" t="s">
        <v>34</v>
      </c>
      <c r="B27" s="4">
        <f t="shared" si="1"/>
        <v>26</v>
      </c>
      <c r="C27" s="4">
        <v>9</v>
      </c>
      <c r="D27" s="3">
        <v>2024</v>
      </c>
      <c r="E27" s="40">
        <f>Anassa!D28-Anassa!D27</f>
        <v>11381.400000002235</v>
      </c>
      <c r="F27" s="41">
        <f t="shared" si="0"/>
        <v>0.25629999999999997</v>
      </c>
      <c r="G27" s="42">
        <f>Anassa!N27</f>
        <v>375</v>
      </c>
      <c r="H27" s="43">
        <v>0.626</v>
      </c>
      <c r="I27" s="55">
        <f>Anassa!AC27*5.04</f>
        <v>1463.2127999999998</v>
      </c>
      <c r="J27" s="56">
        <v>8.2900000000000001E-2</v>
      </c>
      <c r="K27" s="44">
        <f>Anassa!Z27</f>
        <v>233</v>
      </c>
      <c r="L27" s="45">
        <v>1.25</v>
      </c>
      <c r="M27" s="58">
        <f>Anassa!H27</f>
        <v>1662</v>
      </c>
      <c r="N27" s="59">
        <v>0.88</v>
      </c>
      <c r="O27" s="46">
        <f>Anassa!AD27</f>
        <v>158</v>
      </c>
      <c r="P27" s="46">
        <f>Anassa!AE27</f>
        <v>354</v>
      </c>
    </row>
    <row r="28" spans="1:16" ht="15" x14ac:dyDescent="0.25">
      <c r="A28" s="39" t="s">
        <v>34</v>
      </c>
      <c r="B28" s="4">
        <f t="shared" si="1"/>
        <v>27</v>
      </c>
      <c r="C28" s="4">
        <v>9</v>
      </c>
      <c r="D28" s="3">
        <v>2024</v>
      </c>
      <c r="E28" s="40">
        <f>Anassa!D29-Anassa!D28</f>
        <v>12354.099999997765</v>
      </c>
      <c r="F28" s="41">
        <f t="shared" si="0"/>
        <v>0.25629999999999997</v>
      </c>
      <c r="G28" s="42">
        <f>Anassa!N28</f>
        <v>375.00000000000091</v>
      </c>
      <c r="H28" s="43">
        <v>0.626</v>
      </c>
      <c r="I28" s="55">
        <f>Anassa!AC28*5.04</f>
        <v>1463.2128000000009</v>
      </c>
      <c r="J28" s="56">
        <v>8.2900000000000001E-2</v>
      </c>
      <c r="K28" s="44">
        <f>Anassa!Z28</f>
        <v>304</v>
      </c>
      <c r="L28" s="45">
        <v>1.25</v>
      </c>
      <c r="M28" s="58">
        <f>Anassa!H28</f>
        <v>1218</v>
      </c>
      <c r="N28" s="59">
        <v>0.88</v>
      </c>
      <c r="O28" s="46">
        <f>Anassa!AD28</f>
        <v>148</v>
      </c>
      <c r="P28" s="46">
        <f>Anassa!AE28</f>
        <v>328</v>
      </c>
    </row>
    <row r="29" spans="1:16" ht="15" x14ac:dyDescent="0.25">
      <c r="A29" s="39" t="s">
        <v>34</v>
      </c>
      <c r="B29" s="4">
        <f t="shared" si="1"/>
        <v>28</v>
      </c>
      <c r="C29" s="4">
        <v>9</v>
      </c>
      <c r="D29" s="3">
        <v>2024</v>
      </c>
      <c r="E29" s="40">
        <f>Anassa!D30-Anassa!D29</f>
        <v>11478.400000002235</v>
      </c>
      <c r="F29" s="41">
        <f t="shared" si="0"/>
        <v>0.25629999999999997</v>
      </c>
      <c r="G29" s="42">
        <f>Anassa!N29</f>
        <v>374.99999999999909</v>
      </c>
      <c r="H29" s="43">
        <v>0.626</v>
      </c>
      <c r="I29" s="55">
        <f>Anassa!AC29*5.04</f>
        <v>1463.2127999999998</v>
      </c>
      <c r="J29" s="56">
        <v>8.2900000000000001E-2</v>
      </c>
      <c r="K29" s="44">
        <f>Anassa!Z29</f>
        <v>250</v>
      </c>
      <c r="L29" s="45">
        <v>1.25</v>
      </c>
      <c r="M29" s="58">
        <f>Anassa!H29</f>
        <v>1052</v>
      </c>
      <c r="N29" s="59">
        <v>0.88</v>
      </c>
      <c r="O29" s="46">
        <f>Anassa!AD29</f>
        <v>144</v>
      </c>
      <c r="P29" s="46">
        <f>Anassa!AE29</f>
        <v>316</v>
      </c>
    </row>
    <row r="30" spans="1:16" ht="15" x14ac:dyDescent="0.25">
      <c r="A30" s="39" t="s">
        <v>34</v>
      </c>
      <c r="B30" s="4">
        <f t="shared" si="1"/>
        <v>29</v>
      </c>
      <c r="C30" s="4">
        <v>9</v>
      </c>
      <c r="D30" s="3">
        <v>2024</v>
      </c>
      <c r="E30" s="40">
        <f>Anassa!D31-Anassa!D30</f>
        <v>12184.5</v>
      </c>
      <c r="F30" s="41">
        <f t="shared" si="0"/>
        <v>0.25629999999999997</v>
      </c>
      <c r="G30" s="42">
        <f>Anassa!N30</f>
        <v>375</v>
      </c>
      <c r="H30" s="43">
        <v>0.626</v>
      </c>
      <c r="I30" s="55">
        <f>Anassa!AC30*5.04</f>
        <v>1463.2127999999998</v>
      </c>
      <c r="J30" s="56">
        <v>8.2900000000000001E-2</v>
      </c>
      <c r="K30" s="44">
        <f>Anassa!Z30</f>
        <v>225</v>
      </c>
      <c r="L30" s="45">
        <v>1.25</v>
      </c>
      <c r="M30" s="58">
        <f>Anassa!H30</f>
        <v>1385</v>
      </c>
      <c r="N30" s="59">
        <v>0.88</v>
      </c>
      <c r="O30" s="46">
        <f>Anassa!AD30</f>
        <v>123</v>
      </c>
      <c r="P30" s="46">
        <f>Anassa!AE30</f>
        <v>265</v>
      </c>
    </row>
    <row r="31" spans="1:16" ht="15" x14ac:dyDescent="0.25">
      <c r="A31" s="39" t="s">
        <v>34</v>
      </c>
      <c r="B31" s="4">
        <f t="shared" si="1"/>
        <v>30</v>
      </c>
      <c r="C31" s="4">
        <v>9</v>
      </c>
      <c r="D31" s="3">
        <v>2024</v>
      </c>
      <c r="E31" s="40">
        <f>Anassa!D32-Anassa!D31</f>
        <v>11255.300000000745</v>
      </c>
      <c r="F31" s="41">
        <f t="shared" si="0"/>
        <v>0.25629999999999997</v>
      </c>
      <c r="G31" s="42">
        <f>Anassa!N31</f>
        <v>250.07999999999993</v>
      </c>
      <c r="H31" s="43">
        <v>0.626</v>
      </c>
      <c r="I31" s="55">
        <f>Anassa!AC31*5.04</f>
        <v>1463.2128000000002</v>
      </c>
      <c r="J31" s="56">
        <v>8.2900000000000001E-2</v>
      </c>
      <c r="K31" s="44">
        <f>Anassa!Z31</f>
        <v>238</v>
      </c>
      <c r="L31" s="45">
        <v>1.25</v>
      </c>
      <c r="M31" s="58">
        <f>Anassa!H31</f>
        <v>1726</v>
      </c>
      <c r="N31" s="59">
        <v>0.88</v>
      </c>
      <c r="O31" s="46">
        <f>Anassa!AD31</f>
        <v>112</v>
      </c>
      <c r="P31" s="46">
        <f>Anassa!AE31</f>
        <v>238</v>
      </c>
    </row>
    <row r="32" spans="1:16" ht="15" x14ac:dyDescent="0.25">
      <c r="A32" s="39" t="s">
        <v>34</v>
      </c>
      <c r="B32" s="4">
        <f t="shared" si="1"/>
        <v>31</v>
      </c>
      <c r="C32" s="4">
        <v>9</v>
      </c>
      <c r="D32" s="3">
        <v>2024</v>
      </c>
      <c r="E32" s="40">
        <f>Anassa!D33-Anassa!D32</f>
        <v>11037.39999999851</v>
      </c>
      <c r="F32" s="41">
        <f t="shared" si="0"/>
        <v>0.25629999999999997</v>
      </c>
      <c r="G32" s="42">
        <f>Anassa!N32</f>
        <v>0</v>
      </c>
      <c r="H32" s="43">
        <v>0.626</v>
      </c>
      <c r="I32" s="55">
        <f>Anassa!AC32*5.04</f>
        <v>1463.616</v>
      </c>
      <c r="J32" s="56">
        <v>8.2900000000000001E-2</v>
      </c>
      <c r="K32" s="44">
        <f>Anassa!Z32</f>
        <v>0</v>
      </c>
      <c r="L32" s="45">
        <v>1.25</v>
      </c>
      <c r="M32" s="58">
        <f>Anassa!H32</f>
        <v>0</v>
      </c>
      <c r="N32" s="59">
        <v>0.88</v>
      </c>
      <c r="O32" s="46">
        <f>Anassa!AD32</f>
        <v>101</v>
      </c>
      <c r="P32" s="46">
        <f>Anassa!AE32</f>
        <v>214</v>
      </c>
    </row>
    <row r="33" spans="4:16" x14ac:dyDescent="0.2">
      <c r="D33" s="47"/>
      <c r="E33" s="40" t="s">
        <v>35</v>
      </c>
      <c r="F33" s="41"/>
      <c r="I33" s="55"/>
      <c r="J33" s="56"/>
      <c r="K33" s="45"/>
      <c r="L33" s="45"/>
      <c r="O33" s="49"/>
      <c r="P33" s="49"/>
    </row>
    <row r="34" spans="4:16" x14ac:dyDescent="0.2">
      <c r="D34" s="47"/>
      <c r="F34" s="41"/>
      <c r="I34" s="55"/>
      <c r="J34" s="56"/>
      <c r="K34" s="45"/>
      <c r="L34" s="45"/>
      <c r="O34" s="49"/>
      <c r="P34" s="49"/>
    </row>
    <row r="35" spans="4:16" x14ac:dyDescent="0.2">
      <c r="D35" s="47"/>
      <c r="F35" s="41"/>
      <c r="I35" s="55"/>
      <c r="J35" s="56"/>
      <c r="K35" s="45"/>
      <c r="L35" s="45"/>
      <c r="O35" s="49"/>
      <c r="P35" s="49"/>
    </row>
    <row r="36" spans="4:16" x14ac:dyDescent="0.2">
      <c r="D36" s="47"/>
      <c r="F36" s="41"/>
      <c r="I36" s="55"/>
      <c r="J36" s="56"/>
      <c r="K36" s="45"/>
      <c r="L36" s="45"/>
      <c r="O36" s="49"/>
      <c r="P36" s="49"/>
    </row>
    <row r="37" spans="4:16" x14ac:dyDescent="0.2">
      <c r="D37" s="47"/>
      <c r="F37" s="41"/>
      <c r="I37" s="55"/>
      <c r="J37" s="56"/>
      <c r="K37" s="45"/>
      <c r="L37" s="45"/>
      <c r="O37" s="49"/>
      <c r="P37" s="49"/>
    </row>
    <row r="38" spans="4:16" x14ac:dyDescent="0.2">
      <c r="D38" s="47"/>
      <c r="F38" s="41"/>
      <c r="I38" s="55"/>
      <c r="J38" s="56"/>
      <c r="K38" s="45"/>
      <c r="L38" s="45"/>
      <c r="O38" s="49"/>
      <c r="P38" s="49"/>
    </row>
    <row r="39" spans="4:16" x14ac:dyDescent="0.2">
      <c r="D39" s="47"/>
      <c r="F39" s="41"/>
      <c r="I39" s="55"/>
      <c r="J39" s="56"/>
      <c r="K39" s="45"/>
      <c r="L39" s="45"/>
      <c r="O39" s="49"/>
      <c r="P39" s="49"/>
    </row>
    <row r="40" spans="4:16" x14ac:dyDescent="0.2">
      <c r="F40" s="41"/>
      <c r="I40" s="55"/>
      <c r="J40" s="56"/>
    </row>
    <row r="41" spans="4:16" x14ac:dyDescent="0.2">
      <c r="F41" s="41"/>
      <c r="I41" s="55"/>
      <c r="J41" s="56"/>
    </row>
    <row r="42" spans="4:16" x14ac:dyDescent="0.2">
      <c r="F42" s="41"/>
      <c r="I42" s="55"/>
      <c r="J42" s="56"/>
    </row>
    <row r="43" spans="4:16" x14ac:dyDescent="0.2">
      <c r="F43" s="41"/>
      <c r="I43" s="55"/>
      <c r="J43" s="56"/>
    </row>
    <row r="44" spans="4:16" x14ac:dyDescent="0.2">
      <c r="I44" s="55"/>
      <c r="J4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AF29" sqref="AF29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23" customFormat="1" ht="91.5" thickTop="1" thickBot="1" x14ac:dyDescent="0.25">
      <c r="A1" s="99" t="s">
        <v>1</v>
      </c>
      <c r="B1" s="82" t="s">
        <v>19</v>
      </c>
      <c r="C1" s="83" t="s">
        <v>20</v>
      </c>
      <c r="D1" s="84" t="s">
        <v>12</v>
      </c>
      <c r="E1" s="85" t="s">
        <v>3</v>
      </c>
      <c r="F1" s="86" t="s">
        <v>2</v>
      </c>
      <c r="G1" s="87" t="s">
        <v>8</v>
      </c>
      <c r="H1" s="85" t="s">
        <v>3</v>
      </c>
      <c r="I1" s="88" t="s">
        <v>4</v>
      </c>
      <c r="J1" s="89" t="s">
        <v>5</v>
      </c>
      <c r="K1" s="89" t="s">
        <v>13</v>
      </c>
      <c r="L1" s="90" t="s">
        <v>9</v>
      </c>
      <c r="M1" s="91" t="s">
        <v>7</v>
      </c>
      <c r="N1" s="85" t="s">
        <v>3</v>
      </c>
      <c r="O1" s="88" t="s">
        <v>4</v>
      </c>
      <c r="P1" s="89" t="s">
        <v>5</v>
      </c>
      <c r="Q1" s="89" t="s">
        <v>13</v>
      </c>
      <c r="R1" s="90" t="s">
        <v>14</v>
      </c>
      <c r="S1" s="91" t="s">
        <v>7</v>
      </c>
      <c r="T1" s="85" t="s">
        <v>3</v>
      </c>
      <c r="U1" s="85" t="s">
        <v>21</v>
      </c>
      <c r="V1" s="92" t="s">
        <v>15</v>
      </c>
      <c r="W1" s="93" t="s">
        <v>16</v>
      </c>
      <c r="X1" s="93" t="s">
        <v>17</v>
      </c>
      <c r="Y1" s="94" t="s">
        <v>18</v>
      </c>
      <c r="Z1" s="85" t="s">
        <v>3</v>
      </c>
      <c r="AA1" s="95" t="s">
        <v>10</v>
      </c>
      <c r="AB1" s="96" t="s">
        <v>11</v>
      </c>
      <c r="AC1" s="85" t="s">
        <v>3</v>
      </c>
      <c r="AD1" s="97" t="s">
        <v>0</v>
      </c>
      <c r="AE1" s="98" t="s">
        <v>6</v>
      </c>
    </row>
    <row r="2" spans="1:31" x14ac:dyDescent="0.2">
      <c r="A2" s="126">
        <v>45931</v>
      </c>
      <c r="B2" s="127">
        <v>19372929</v>
      </c>
      <c r="C2" s="128">
        <f>SUM(4168+1786935.3+591618+9960+268491+29822)</f>
        <v>2690994.3</v>
      </c>
      <c r="D2" s="129">
        <f>B2-C2</f>
        <v>16681934.699999999</v>
      </c>
      <c r="E2" s="130">
        <f t="shared" ref="E2:E32" si="0">B3-B2</f>
        <v>15253</v>
      </c>
      <c r="F2" s="131">
        <v>15869</v>
      </c>
      <c r="G2" s="132"/>
      <c r="H2" s="130">
        <f>F2+G2-F3</f>
        <v>0</v>
      </c>
      <c r="I2" s="133">
        <v>0.65</v>
      </c>
      <c r="J2" s="134">
        <v>0.65</v>
      </c>
      <c r="K2" s="134">
        <v>0.65</v>
      </c>
      <c r="L2" s="135">
        <f>SUM(I2:K2)/3*7500</f>
        <v>4875</v>
      </c>
      <c r="M2" s="136"/>
      <c r="N2" s="130">
        <f>SUM(L2+M2-L3)</f>
        <v>375</v>
      </c>
      <c r="O2" s="133">
        <v>0.6</v>
      </c>
      <c r="P2" s="134">
        <v>0.6</v>
      </c>
      <c r="Q2" s="134">
        <v>0.55000000000000004</v>
      </c>
      <c r="R2" s="135">
        <f>SUM(O2:Q2)/3*1500</f>
        <v>875</v>
      </c>
      <c r="S2" s="136"/>
      <c r="T2" s="130">
        <f>SUM(R2+S2-R3)</f>
        <v>150</v>
      </c>
      <c r="U2" s="137">
        <f>SUM(N2+T2)</f>
        <v>525</v>
      </c>
      <c r="V2" s="138">
        <v>691651</v>
      </c>
      <c r="W2" s="139">
        <v>81873</v>
      </c>
      <c r="X2" s="139">
        <v>17339</v>
      </c>
      <c r="Y2" s="140">
        <f>SUM(V2-W2-X2)</f>
        <v>592439</v>
      </c>
      <c r="Z2" s="130">
        <f t="shared" ref="Z2:Z31" si="1">SUM(Y3-Y2)</f>
        <v>111</v>
      </c>
      <c r="AA2" s="141">
        <v>9000</v>
      </c>
      <c r="AB2" s="142"/>
      <c r="AC2" s="130">
        <f>SUM(AA2+AB2-AA3)</f>
        <v>290.31999999999971</v>
      </c>
      <c r="AD2" s="143">
        <v>81</v>
      </c>
      <c r="AE2" s="144">
        <v>156</v>
      </c>
    </row>
    <row r="3" spans="1:31" x14ac:dyDescent="0.2">
      <c r="A3" s="100">
        <v>45932</v>
      </c>
      <c r="B3" s="25">
        <v>19388182</v>
      </c>
      <c r="C3" s="61">
        <f>SUM(4169.1+1787326+591618+9960.3+268634+29837)</f>
        <v>2691544.4</v>
      </c>
      <c r="D3" s="62">
        <f t="shared" ref="D3:D33" si="2">B3-C3</f>
        <v>16696637.6</v>
      </c>
      <c r="E3" s="9">
        <f t="shared" si="0"/>
        <v>14600</v>
      </c>
      <c r="F3" s="63">
        <v>15869</v>
      </c>
      <c r="G3" s="8"/>
      <c r="H3" s="12">
        <f t="shared" ref="H3:H31" si="3">F3+G3-F4</f>
        <v>410</v>
      </c>
      <c r="I3" s="64">
        <v>0.6</v>
      </c>
      <c r="J3" s="65">
        <v>0.6</v>
      </c>
      <c r="K3" s="65">
        <v>0.6</v>
      </c>
      <c r="L3" s="11">
        <f>SUM(I3:K3)/3*7500</f>
        <v>4500</v>
      </c>
      <c r="M3" s="10">
        <v>1502.02</v>
      </c>
      <c r="N3" s="12">
        <f>SUM(L4-M3-L3)</f>
        <v>322.97999999999956</v>
      </c>
      <c r="O3" s="64">
        <v>0.5</v>
      </c>
      <c r="P3" s="65">
        <v>0.5</v>
      </c>
      <c r="Q3" s="65">
        <v>0.45</v>
      </c>
      <c r="R3" s="11">
        <f t="shared" ref="R3:R32" si="4">SUM(O3:Q3)/3*1500</f>
        <v>725</v>
      </c>
      <c r="S3" s="10">
        <v>502.02</v>
      </c>
      <c r="T3" s="12">
        <f t="shared" ref="T3:T31" si="5">SUM(R3+S3-R4)</f>
        <v>-72.980000000000018</v>
      </c>
      <c r="U3" s="24">
        <f t="shared" ref="U3:U31" si="6">SUM(N3+T3)</f>
        <v>249.99999999999955</v>
      </c>
      <c r="V3" s="66">
        <v>691872</v>
      </c>
      <c r="W3" s="67">
        <v>81970</v>
      </c>
      <c r="X3" s="67">
        <v>17352</v>
      </c>
      <c r="Y3" s="28">
        <f t="shared" ref="Y3:Y10" si="7">SUM(V3-W3-X3)</f>
        <v>592550</v>
      </c>
      <c r="Z3" s="12">
        <f t="shared" si="1"/>
        <v>125</v>
      </c>
      <c r="AA3" s="68">
        <v>8709.68</v>
      </c>
      <c r="AB3" s="69"/>
      <c r="AC3" s="12">
        <f>SUM(AA3+AB3-AA4)</f>
        <v>290.31999999999971</v>
      </c>
      <c r="AD3" s="70">
        <v>97</v>
      </c>
      <c r="AE3" s="71">
        <v>175</v>
      </c>
    </row>
    <row r="4" spans="1:31" x14ac:dyDescent="0.2">
      <c r="A4" s="100">
        <v>45933</v>
      </c>
      <c r="B4" s="25">
        <v>19402782</v>
      </c>
      <c r="C4" s="61">
        <f>SUM(4169.9+1787684.8+591618+9960.5+268762+29849)</f>
        <v>2692044.2</v>
      </c>
      <c r="D4" s="62">
        <f t="shared" si="2"/>
        <v>16710737.800000001</v>
      </c>
      <c r="E4" s="9">
        <f t="shared" si="0"/>
        <v>16783</v>
      </c>
      <c r="F4" s="63">
        <v>15459</v>
      </c>
      <c r="G4" s="8"/>
      <c r="H4" s="12">
        <f t="shared" si="3"/>
        <v>552</v>
      </c>
      <c r="I4" s="64">
        <v>0.88</v>
      </c>
      <c r="J4" s="65">
        <v>0.85</v>
      </c>
      <c r="K4" s="65">
        <v>0.8</v>
      </c>
      <c r="L4" s="11">
        <f t="shared" ref="L4:L32" si="8">SUM(I4:K4)/3*7500</f>
        <v>6325</v>
      </c>
      <c r="M4" s="10"/>
      <c r="N4" s="12">
        <f t="shared" ref="N4:N31" si="9">SUM(L4+M4-L5)</f>
        <v>199.99999999999909</v>
      </c>
      <c r="O4" s="64">
        <v>0.85</v>
      </c>
      <c r="P4" s="65">
        <v>0.85</v>
      </c>
      <c r="Q4" s="65">
        <v>0.9</v>
      </c>
      <c r="R4" s="11">
        <f t="shared" si="4"/>
        <v>1300</v>
      </c>
      <c r="S4" s="10"/>
      <c r="T4" s="12">
        <f t="shared" si="5"/>
        <v>50</v>
      </c>
      <c r="U4" s="24">
        <f t="shared" si="6"/>
        <v>249.99999999999909</v>
      </c>
      <c r="V4" s="66">
        <v>692101</v>
      </c>
      <c r="W4" s="67">
        <v>82060</v>
      </c>
      <c r="X4" s="67">
        <v>17366</v>
      </c>
      <c r="Y4" s="28">
        <f t="shared" si="7"/>
        <v>592675</v>
      </c>
      <c r="Z4" s="12">
        <f t="shared" si="1"/>
        <v>150</v>
      </c>
      <c r="AA4" s="68">
        <v>8419.36</v>
      </c>
      <c r="AB4" s="69"/>
      <c r="AC4" s="12">
        <f t="shared" ref="AC4" si="10">AA4-AA5</f>
        <v>290.32000000000062</v>
      </c>
      <c r="AD4" s="70">
        <v>146</v>
      </c>
      <c r="AE4" s="71">
        <v>281</v>
      </c>
    </row>
    <row r="5" spans="1:31" x14ac:dyDescent="0.2">
      <c r="A5" s="100">
        <v>45934</v>
      </c>
      <c r="B5" s="25">
        <v>19419565</v>
      </c>
      <c r="C5" s="61">
        <f>SUM(4170.9+1788062.1+591618+9960.6+268890+29868)</f>
        <v>2692569.6</v>
      </c>
      <c r="D5" s="62">
        <f t="shared" si="2"/>
        <v>16726995.4</v>
      </c>
      <c r="E5" s="9">
        <f t="shared" si="0"/>
        <v>16796</v>
      </c>
      <c r="F5" s="63">
        <v>14907</v>
      </c>
      <c r="G5" s="8"/>
      <c r="H5" s="12">
        <f t="shared" si="3"/>
        <v>555</v>
      </c>
      <c r="I5" s="64">
        <v>0.85</v>
      </c>
      <c r="J5" s="65">
        <v>0.8</v>
      </c>
      <c r="K5" s="65">
        <v>0.8</v>
      </c>
      <c r="L5" s="11">
        <f t="shared" si="8"/>
        <v>6125.0000000000009</v>
      </c>
      <c r="M5" s="10"/>
      <c r="N5" s="12">
        <f>SUM(L6-L5-M5)</f>
        <v>-175.00000000000091</v>
      </c>
      <c r="O5" s="64">
        <v>0.85</v>
      </c>
      <c r="P5" s="65">
        <v>0.85</v>
      </c>
      <c r="Q5" s="65">
        <v>0.8</v>
      </c>
      <c r="R5" s="11">
        <f t="shared" si="4"/>
        <v>1250</v>
      </c>
      <c r="S5" s="10"/>
      <c r="T5" s="12">
        <f>SUM(R6-S5-R5)</f>
        <v>-75</v>
      </c>
      <c r="U5" s="24">
        <f t="shared" si="6"/>
        <v>-250.00000000000091</v>
      </c>
      <c r="V5" s="66">
        <v>692362</v>
      </c>
      <c r="W5" s="67">
        <v>82157</v>
      </c>
      <c r="X5" s="67">
        <v>17380</v>
      </c>
      <c r="Y5" s="28">
        <f t="shared" si="7"/>
        <v>592825</v>
      </c>
      <c r="Z5" s="12">
        <f t="shared" si="1"/>
        <v>162</v>
      </c>
      <c r="AA5" s="68">
        <v>8129.04</v>
      </c>
      <c r="AB5" s="69"/>
      <c r="AC5" s="12">
        <f>SUM(AA5+AB5-AA6)</f>
        <v>290.31999999999971</v>
      </c>
      <c r="AD5" s="70">
        <v>167</v>
      </c>
      <c r="AE5" s="71">
        <v>325</v>
      </c>
    </row>
    <row r="6" spans="1:31" ht="13.5" thickBot="1" x14ac:dyDescent="0.25">
      <c r="A6" s="145">
        <v>45935</v>
      </c>
      <c r="B6" s="146">
        <v>19436361</v>
      </c>
      <c r="C6" s="147">
        <f>SUM(4171.7+1788447.8+591618+9961+269024+29888)</f>
        <v>2693110.5</v>
      </c>
      <c r="D6" s="148">
        <f t="shared" si="2"/>
        <v>16743250.5</v>
      </c>
      <c r="E6" s="149">
        <f t="shared" si="0"/>
        <v>14897</v>
      </c>
      <c r="F6" s="150">
        <v>14352</v>
      </c>
      <c r="G6" s="151"/>
      <c r="H6" s="152">
        <f t="shared" si="3"/>
        <v>839</v>
      </c>
      <c r="I6" s="153">
        <v>0.85</v>
      </c>
      <c r="J6" s="154">
        <v>0.75</v>
      </c>
      <c r="K6" s="154">
        <v>0.78</v>
      </c>
      <c r="L6" s="155">
        <f t="shared" si="8"/>
        <v>5950</v>
      </c>
      <c r="M6" s="156"/>
      <c r="N6" s="152">
        <f t="shared" si="9"/>
        <v>200</v>
      </c>
      <c r="O6" s="153">
        <v>0.8</v>
      </c>
      <c r="P6" s="154">
        <v>0.8</v>
      </c>
      <c r="Q6" s="154">
        <v>0.75</v>
      </c>
      <c r="R6" s="155">
        <f t="shared" si="4"/>
        <v>1175</v>
      </c>
      <c r="S6" s="156"/>
      <c r="T6" s="152">
        <f t="shared" si="5"/>
        <v>50</v>
      </c>
      <c r="U6" s="157">
        <f t="shared" si="6"/>
        <v>250</v>
      </c>
      <c r="V6" s="158">
        <v>692626</v>
      </c>
      <c r="W6" s="159">
        <v>82247</v>
      </c>
      <c r="X6" s="159">
        <v>17392</v>
      </c>
      <c r="Y6" s="160">
        <f t="shared" si="7"/>
        <v>592987</v>
      </c>
      <c r="Z6" s="152">
        <f t="shared" si="1"/>
        <v>160</v>
      </c>
      <c r="AA6" s="161">
        <v>7838.72</v>
      </c>
      <c r="AB6" s="162"/>
      <c r="AC6" s="152">
        <f>SUM(AA6+AB6-AA7)</f>
        <v>290.32000000000062</v>
      </c>
      <c r="AD6" s="163">
        <v>161</v>
      </c>
      <c r="AE6" s="164">
        <v>312</v>
      </c>
    </row>
    <row r="7" spans="1:31" x14ac:dyDescent="0.2">
      <c r="A7" s="126">
        <v>45936</v>
      </c>
      <c r="B7" s="127">
        <v>19451258</v>
      </c>
      <c r="C7" s="128">
        <f>SUM(4172.6+1788857+591618+9964.8+269158+29893)</f>
        <v>2693663.4</v>
      </c>
      <c r="D7" s="129">
        <f>B7-C7</f>
        <v>16757594.6</v>
      </c>
      <c r="E7" s="165">
        <f t="shared" si="0"/>
        <v>13443</v>
      </c>
      <c r="F7" s="131">
        <v>13513</v>
      </c>
      <c r="G7" s="132"/>
      <c r="H7" s="130">
        <f t="shared" si="3"/>
        <v>1267</v>
      </c>
      <c r="I7" s="133">
        <v>0.8</v>
      </c>
      <c r="J7" s="134">
        <v>0.75</v>
      </c>
      <c r="K7" s="134">
        <v>0.75</v>
      </c>
      <c r="L7" s="135">
        <f t="shared" si="8"/>
        <v>5750</v>
      </c>
      <c r="M7" s="136"/>
      <c r="N7" s="130">
        <f t="shared" si="9"/>
        <v>375</v>
      </c>
      <c r="O7" s="133">
        <v>0.8</v>
      </c>
      <c r="P7" s="134">
        <v>0.75</v>
      </c>
      <c r="Q7" s="134">
        <v>0.7</v>
      </c>
      <c r="R7" s="135">
        <f t="shared" si="4"/>
        <v>1125</v>
      </c>
      <c r="S7" s="136"/>
      <c r="T7" s="130">
        <f t="shared" si="5"/>
        <v>325</v>
      </c>
      <c r="U7" s="137">
        <f t="shared" si="6"/>
        <v>700</v>
      </c>
      <c r="V7" s="138">
        <v>692888</v>
      </c>
      <c r="W7" s="139">
        <v>82340</v>
      </c>
      <c r="X7" s="139">
        <v>17401</v>
      </c>
      <c r="Y7" s="140">
        <f t="shared" si="7"/>
        <v>593147</v>
      </c>
      <c r="Z7" s="130">
        <f t="shared" si="1"/>
        <v>163</v>
      </c>
      <c r="AA7" s="141">
        <v>7548.4</v>
      </c>
      <c r="AB7" s="142"/>
      <c r="AC7" s="130">
        <f>SUM(AA7+AB7-AA8)</f>
        <v>290.31999999999971</v>
      </c>
      <c r="AD7" s="143">
        <v>155</v>
      </c>
      <c r="AE7" s="144">
        <v>308</v>
      </c>
    </row>
    <row r="8" spans="1:31" x14ac:dyDescent="0.2">
      <c r="A8" s="100">
        <v>45937</v>
      </c>
      <c r="B8" s="25">
        <v>19464701</v>
      </c>
      <c r="C8" s="61">
        <f>SUM(4173.5+1789219.1+591618+9965.4+269234+29909)</f>
        <v>2694119</v>
      </c>
      <c r="D8" s="62">
        <f t="shared" si="2"/>
        <v>16770582</v>
      </c>
      <c r="E8" s="9">
        <f t="shared" si="0"/>
        <v>13579</v>
      </c>
      <c r="F8" s="63">
        <v>12246</v>
      </c>
      <c r="G8" s="8"/>
      <c r="H8" s="12">
        <f t="shared" si="3"/>
        <v>987</v>
      </c>
      <c r="I8" s="64">
        <v>0.75</v>
      </c>
      <c r="J8" s="65">
        <v>0.7</v>
      </c>
      <c r="K8" s="65">
        <v>0.7</v>
      </c>
      <c r="L8" s="11">
        <f t="shared" si="8"/>
        <v>5375</v>
      </c>
      <c r="M8" s="10"/>
      <c r="N8" s="12">
        <f t="shared" si="9"/>
        <v>250.00000000000091</v>
      </c>
      <c r="O8" s="64">
        <v>0.5</v>
      </c>
      <c r="P8" s="65">
        <v>0.55000000000000004</v>
      </c>
      <c r="Q8" s="65">
        <v>0.55000000000000004</v>
      </c>
      <c r="R8" s="11">
        <f t="shared" si="4"/>
        <v>800</v>
      </c>
      <c r="S8" s="10"/>
      <c r="T8" s="12">
        <f t="shared" si="5"/>
        <v>125</v>
      </c>
      <c r="U8" s="24">
        <f t="shared" si="6"/>
        <v>375.00000000000091</v>
      </c>
      <c r="V8" s="66">
        <v>693152</v>
      </c>
      <c r="W8" s="67">
        <v>82428</v>
      </c>
      <c r="X8" s="67">
        <v>17414</v>
      </c>
      <c r="Y8" s="28">
        <f t="shared" si="7"/>
        <v>593310</v>
      </c>
      <c r="Z8" s="12">
        <f t="shared" si="1"/>
        <v>164</v>
      </c>
      <c r="AA8" s="68">
        <v>7258.08</v>
      </c>
      <c r="AB8" s="69"/>
      <c r="AC8" s="12">
        <f t="shared" ref="AC8:AC32" si="11">SUM(AA8+AB8-AA9)</f>
        <v>290.31999999999971</v>
      </c>
      <c r="AD8" s="70">
        <v>142</v>
      </c>
      <c r="AE8" s="71">
        <v>293</v>
      </c>
    </row>
    <row r="9" spans="1:31" x14ac:dyDescent="0.2">
      <c r="A9" s="100">
        <v>45938</v>
      </c>
      <c r="B9" s="25">
        <v>19478280</v>
      </c>
      <c r="C9" s="61">
        <f>SUM(4174.4+1789650.7+591618+9965.7+269410+29924)</f>
        <v>2694742.8</v>
      </c>
      <c r="D9" s="62">
        <f t="shared" si="2"/>
        <v>16783537.199999999</v>
      </c>
      <c r="E9" s="9">
        <f t="shared" si="0"/>
        <v>12976</v>
      </c>
      <c r="F9" s="63">
        <v>11259</v>
      </c>
      <c r="G9" s="8"/>
      <c r="H9" s="12">
        <f t="shared" si="3"/>
        <v>841</v>
      </c>
      <c r="I9" s="64">
        <v>0.7</v>
      </c>
      <c r="J9" s="65">
        <v>0.7</v>
      </c>
      <c r="K9" s="65">
        <v>0.65</v>
      </c>
      <c r="L9" s="11">
        <f t="shared" si="8"/>
        <v>5124.9999999999991</v>
      </c>
      <c r="M9" s="10"/>
      <c r="N9" s="12">
        <f t="shared" si="9"/>
        <v>499.99999999999909</v>
      </c>
      <c r="O9" s="64">
        <v>0.45</v>
      </c>
      <c r="P9" s="65">
        <v>0.45</v>
      </c>
      <c r="Q9" s="65">
        <v>0.45</v>
      </c>
      <c r="R9" s="11">
        <f t="shared" si="4"/>
        <v>675</v>
      </c>
      <c r="S9" s="10"/>
      <c r="T9" s="12">
        <f t="shared" si="5"/>
        <v>25</v>
      </c>
      <c r="U9" s="24">
        <f t="shared" si="6"/>
        <v>524.99999999999909</v>
      </c>
      <c r="V9" s="66">
        <v>693426</v>
      </c>
      <c r="W9" s="67">
        <v>82525</v>
      </c>
      <c r="X9" s="67">
        <v>17427</v>
      </c>
      <c r="Y9" s="28">
        <f t="shared" si="7"/>
        <v>593474</v>
      </c>
      <c r="Z9" s="12">
        <f t="shared" si="1"/>
        <v>179</v>
      </c>
      <c r="AA9" s="68">
        <v>6967.76</v>
      </c>
      <c r="AB9" s="69"/>
      <c r="AC9" s="12">
        <f t="shared" si="11"/>
        <v>290.32000000000062</v>
      </c>
      <c r="AD9" s="70">
        <v>135</v>
      </c>
      <c r="AE9" s="71">
        <v>276</v>
      </c>
    </row>
    <row r="10" spans="1:31" x14ac:dyDescent="0.2">
      <c r="A10" s="100">
        <v>45939</v>
      </c>
      <c r="B10" s="25">
        <v>19491256</v>
      </c>
      <c r="C10" s="61">
        <f>SUM(4175.3+1790071.6+591618+9965.9+269543+29939)</f>
        <v>2695312.8000000003</v>
      </c>
      <c r="D10" s="62">
        <f t="shared" si="2"/>
        <v>16795943.199999999</v>
      </c>
      <c r="E10" s="9">
        <f t="shared" si="0"/>
        <v>12811</v>
      </c>
      <c r="F10" s="63">
        <v>10418</v>
      </c>
      <c r="G10" s="8"/>
      <c r="H10" s="12">
        <f t="shared" si="3"/>
        <v>1120</v>
      </c>
      <c r="I10" s="64">
        <v>0.65</v>
      </c>
      <c r="J10" s="65">
        <v>0.6</v>
      </c>
      <c r="K10" s="65">
        <v>0.6</v>
      </c>
      <c r="L10" s="11">
        <f t="shared" si="8"/>
        <v>4625</v>
      </c>
      <c r="M10" s="10">
        <v>1647.1</v>
      </c>
      <c r="N10" s="12">
        <f>SUM(L11-M10-L10)</f>
        <v>477.89999999999964</v>
      </c>
      <c r="O10" s="64">
        <v>0.45</v>
      </c>
      <c r="P10" s="65">
        <v>0.45</v>
      </c>
      <c r="Q10" s="65">
        <v>0.4</v>
      </c>
      <c r="R10" s="11">
        <f t="shared" si="4"/>
        <v>650</v>
      </c>
      <c r="S10" s="10">
        <v>638.75</v>
      </c>
      <c r="T10" s="12">
        <f>SUM(R11-S10-R10)</f>
        <v>61.25</v>
      </c>
      <c r="U10" s="24">
        <f t="shared" si="6"/>
        <v>539.14999999999964</v>
      </c>
      <c r="V10" s="66">
        <v>693663</v>
      </c>
      <c r="W10" s="67">
        <v>82570</v>
      </c>
      <c r="X10" s="67">
        <v>17440</v>
      </c>
      <c r="Y10" s="28">
        <f t="shared" si="7"/>
        <v>593653</v>
      </c>
      <c r="Z10" s="12">
        <f t="shared" si="1"/>
        <v>238</v>
      </c>
      <c r="AA10" s="68">
        <v>6677.44</v>
      </c>
      <c r="AB10" s="69"/>
      <c r="AC10" s="12">
        <f t="shared" si="11"/>
        <v>290.31999999999971</v>
      </c>
      <c r="AD10" s="70">
        <v>127</v>
      </c>
      <c r="AE10" s="71">
        <v>265</v>
      </c>
    </row>
    <row r="11" spans="1:31" x14ac:dyDescent="0.2">
      <c r="A11" s="100">
        <v>45940</v>
      </c>
      <c r="B11" s="25">
        <v>19504067</v>
      </c>
      <c r="C11" s="61">
        <f>SUM(1476.4+1790522.1+591618+9966.4+269696+29959)</f>
        <v>2693237.9</v>
      </c>
      <c r="D11" s="62">
        <f t="shared" si="2"/>
        <v>16810829.100000001</v>
      </c>
      <c r="E11" s="9">
        <f t="shared" si="0"/>
        <v>12612</v>
      </c>
      <c r="F11" s="63">
        <v>9298</v>
      </c>
      <c r="G11" s="8"/>
      <c r="H11" s="12">
        <f t="shared" si="3"/>
        <v>828</v>
      </c>
      <c r="I11" s="64">
        <v>0.9</v>
      </c>
      <c r="J11" s="65">
        <v>0.9</v>
      </c>
      <c r="K11" s="65">
        <v>0.9</v>
      </c>
      <c r="L11" s="11">
        <f t="shared" si="8"/>
        <v>6750</v>
      </c>
      <c r="M11" s="10"/>
      <c r="N11" s="12">
        <f t="shared" si="9"/>
        <v>500</v>
      </c>
      <c r="O11" s="64">
        <v>0.9</v>
      </c>
      <c r="P11" s="65">
        <v>0.9</v>
      </c>
      <c r="Q11" s="65">
        <v>0.9</v>
      </c>
      <c r="R11" s="11">
        <f t="shared" si="4"/>
        <v>1350</v>
      </c>
      <c r="S11" s="10"/>
      <c r="T11" s="12">
        <f t="shared" si="5"/>
        <v>75</v>
      </c>
      <c r="U11" s="24">
        <f t="shared" si="6"/>
        <v>575</v>
      </c>
      <c r="V11" s="66">
        <v>693922</v>
      </c>
      <c r="W11" s="67">
        <v>82576</v>
      </c>
      <c r="X11" s="67">
        <v>17455</v>
      </c>
      <c r="Y11" s="28">
        <f t="shared" ref="Y11:Y33" si="12">SUM(V11-W11-X11)</f>
        <v>593891</v>
      </c>
      <c r="Z11" s="12">
        <f t="shared" si="1"/>
        <v>238</v>
      </c>
      <c r="AA11" s="68">
        <v>6387.12</v>
      </c>
      <c r="AB11" s="69"/>
      <c r="AC11" s="12">
        <f t="shared" si="11"/>
        <v>290.31999999999971</v>
      </c>
      <c r="AD11" s="70">
        <v>132</v>
      </c>
      <c r="AE11" s="71">
        <v>263</v>
      </c>
    </row>
    <row r="12" spans="1:31" x14ac:dyDescent="0.2">
      <c r="A12" s="100">
        <v>45941</v>
      </c>
      <c r="B12" s="25">
        <v>19516679</v>
      </c>
      <c r="C12" s="61">
        <f>SUM(4177.5+1791002.7+591618+9966.7+269862+29978)</f>
        <v>2696604.9000000004</v>
      </c>
      <c r="D12" s="62">
        <f t="shared" si="2"/>
        <v>16820074.100000001</v>
      </c>
      <c r="E12" s="9">
        <f t="shared" si="0"/>
        <v>12717</v>
      </c>
      <c r="F12" s="63">
        <v>8470</v>
      </c>
      <c r="G12" s="8"/>
      <c r="H12" s="12">
        <f t="shared" si="3"/>
        <v>1087</v>
      </c>
      <c r="I12" s="64">
        <v>0.85</v>
      </c>
      <c r="J12" s="65">
        <v>0.85</v>
      </c>
      <c r="K12" s="65">
        <v>0.8</v>
      </c>
      <c r="L12" s="11">
        <f t="shared" si="8"/>
        <v>6250</v>
      </c>
      <c r="M12" s="10"/>
      <c r="N12" s="12">
        <f t="shared" si="9"/>
        <v>249.99999999999909</v>
      </c>
      <c r="O12" s="64">
        <v>0.85</v>
      </c>
      <c r="P12" s="65">
        <v>0.85</v>
      </c>
      <c r="Q12" s="65">
        <v>0.85</v>
      </c>
      <c r="R12" s="11">
        <f t="shared" si="4"/>
        <v>1275</v>
      </c>
      <c r="S12" s="10"/>
      <c r="T12" s="12">
        <f t="shared" si="5"/>
        <v>49.999999999999773</v>
      </c>
      <c r="U12" s="24">
        <f t="shared" si="6"/>
        <v>299.99999999999886</v>
      </c>
      <c r="V12" s="66">
        <v>694187</v>
      </c>
      <c r="W12" s="67">
        <v>82580</v>
      </c>
      <c r="X12" s="67">
        <v>17478</v>
      </c>
      <c r="Y12" s="28">
        <f t="shared" si="12"/>
        <v>594129</v>
      </c>
      <c r="Z12" s="12">
        <f t="shared" si="1"/>
        <v>251</v>
      </c>
      <c r="AA12" s="68">
        <v>6096.8</v>
      </c>
      <c r="AB12" s="69"/>
      <c r="AC12" s="12">
        <f t="shared" si="11"/>
        <v>290.32000000000062</v>
      </c>
      <c r="AD12" s="70">
        <v>157</v>
      </c>
      <c r="AE12" s="71">
        <v>309</v>
      </c>
    </row>
    <row r="13" spans="1:31" ht="13.5" thickBot="1" x14ac:dyDescent="0.25">
      <c r="A13" s="145">
        <v>45942</v>
      </c>
      <c r="B13" s="146">
        <v>19529396</v>
      </c>
      <c r="C13" s="147">
        <f>SUM(4178.4+1791429.1+591618+9966.9+270006+29999)</f>
        <v>2697197.4</v>
      </c>
      <c r="D13" s="148">
        <f t="shared" si="2"/>
        <v>16832198.600000001</v>
      </c>
      <c r="E13" s="149">
        <f t="shared" si="0"/>
        <v>12202</v>
      </c>
      <c r="F13" s="150">
        <v>7383</v>
      </c>
      <c r="G13" s="151"/>
      <c r="H13" s="152">
        <f t="shared" si="3"/>
        <v>798</v>
      </c>
      <c r="I13" s="153">
        <v>0.75</v>
      </c>
      <c r="J13" s="154">
        <v>0.85</v>
      </c>
      <c r="K13" s="154">
        <v>0.8</v>
      </c>
      <c r="L13" s="155">
        <f t="shared" si="8"/>
        <v>6000.0000000000009</v>
      </c>
      <c r="M13" s="156"/>
      <c r="N13" s="152">
        <f t="shared" si="9"/>
        <v>625.00000000000091</v>
      </c>
      <c r="O13" s="153">
        <v>0.8</v>
      </c>
      <c r="P13" s="154">
        <v>0.85</v>
      </c>
      <c r="Q13" s="154">
        <v>0.8</v>
      </c>
      <c r="R13" s="155">
        <f t="shared" si="4"/>
        <v>1225.0000000000002</v>
      </c>
      <c r="S13" s="156"/>
      <c r="T13" s="152">
        <f t="shared" si="5"/>
        <v>150.00000000000023</v>
      </c>
      <c r="U13" s="157">
        <f t="shared" si="6"/>
        <v>775.00000000000114</v>
      </c>
      <c r="V13" s="158">
        <v>694454</v>
      </c>
      <c r="W13" s="159">
        <v>82582</v>
      </c>
      <c r="X13" s="159">
        <v>17492</v>
      </c>
      <c r="Y13" s="160">
        <f t="shared" si="12"/>
        <v>594380</v>
      </c>
      <c r="Z13" s="12">
        <f t="shared" si="1"/>
        <v>205</v>
      </c>
      <c r="AA13" s="161">
        <v>5806.48</v>
      </c>
      <c r="AB13" s="162"/>
      <c r="AC13" s="152">
        <f t="shared" si="11"/>
        <v>290.31999999999971</v>
      </c>
      <c r="AD13" s="163">
        <v>129</v>
      </c>
      <c r="AE13" s="164">
        <v>26</v>
      </c>
    </row>
    <row r="14" spans="1:31" x14ac:dyDescent="0.2">
      <c r="A14" s="126">
        <v>45943</v>
      </c>
      <c r="B14" s="127">
        <v>19541598</v>
      </c>
      <c r="C14" s="128">
        <f>SUM(4179.2+1791830.4+591618+9967.2+270148+30014)</f>
        <v>2697756.8</v>
      </c>
      <c r="D14" s="129">
        <f t="shared" si="2"/>
        <v>16843841.199999999</v>
      </c>
      <c r="E14" s="165">
        <f t="shared" si="0"/>
        <v>11389</v>
      </c>
      <c r="F14" s="131">
        <v>6585</v>
      </c>
      <c r="G14" s="132"/>
      <c r="H14" s="130">
        <f t="shared" si="3"/>
        <v>907</v>
      </c>
      <c r="I14" s="133">
        <v>0.7</v>
      </c>
      <c r="J14" s="134">
        <v>0.75</v>
      </c>
      <c r="K14" s="134">
        <v>0.7</v>
      </c>
      <c r="L14" s="135">
        <f t="shared" si="8"/>
        <v>5375</v>
      </c>
      <c r="M14" s="136"/>
      <c r="N14" s="130">
        <f t="shared" si="9"/>
        <v>250.00000000000091</v>
      </c>
      <c r="O14" s="133">
        <v>0.75</v>
      </c>
      <c r="P14" s="134">
        <v>0.7</v>
      </c>
      <c r="Q14" s="134">
        <v>0.7</v>
      </c>
      <c r="R14" s="135">
        <f t="shared" si="4"/>
        <v>1075</v>
      </c>
      <c r="S14" s="136"/>
      <c r="T14" s="130">
        <f t="shared" si="5"/>
        <v>175</v>
      </c>
      <c r="U14" s="137">
        <f t="shared" si="6"/>
        <v>425.00000000000091</v>
      </c>
      <c r="V14" s="138">
        <v>694681</v>
      </c>
      <c r="W14" s="139">
        <v>82588</v>
      </c>
      <c r="X14" s="139">
        <v>17508</v>
      </c>
      <c r="Y14" s="140">
        <f t="shared" si="12"/>
        <v>594585</v>
      </c>
      <c r="Z14" s="130">
        <f t="shared" si="1"/>
        <v>236</v>
      </c>
      <c r="AA14" s="141">
        <v>5516.16</v>
      </c>
      <c r="AB14" s="142"/>
      <c r="AC14" s="130">
        <f t="shared" si="11"/>
        <v>290.31999999999971</v>
      </c>
      <c r="AD14" s="143">
        <v>122</v>
      </c>
      <c r="AE14" s="144">
        <v>244</v>
      </c>
    </row>
    <row r="15" spans="1:31" x14ac:dyDescent="0.2">
      <c r="A15" s="100">
        <v>45944</v>
      </c>
      <c r="B15" s="25">
        <v>19552987</v>
      </c>
      <c r="C15" s="61">
        <f>SUM(4180.3+1792299.7+591618+9967.5+270305+30033)</f>
        <v>2698403.5</v>
      </c>
      <c r="D15" s="62">
        <f t="shared" si="2"/>
        <v>16854583.5</v>
      </c>
      <c r="E15" s="9">
        <f t="shared" si="0"/>
        <v>11807</v>
      </c>
      <c r="F15" s="63">
        <v>5678</v>
      </c>
      <c r="G15" s="8">
        <v>11300</v>
      </c>
      <c r="H15" s="12">
        <f t="shared" si="3"/>
        <v>973</v>
      </c>
      <c r="I15" s="64">
        <v>0.7</v>
      </c>
      <c r="J15" s="65">
        <v>0.7</v>
      </c>
      <c r="K15" s="65">
        <v>0.65</v>
      </c>
      <c r="L15" s="11">
        <f t="shared" si="8"/>
        <v>5124.9999999999991</v>
      </c>
      <c r="M15" s="10"/>
      <c r="N15" s="12">
        <f t="shared" si="9"/>
        <v>374.99999999999909</v>
      </c>
      <c r="O15" s="64">
        <v>0.6</v>
      </c>
      <c r="P15" s="65">
        <v>0.6</v>
      </c>
      <c r="Q15" s="65">
        <v>0.6</v>
      </c>
      <c r="R15" s="11">
        <f t="shared" si="4"/>
        <v>900</v>
      </c>
      <c r="S15" s="10"/>
      <c r="T15" s="12">
        <f t="shared" si="5"/>
        <v>175</v>
      </c>
      <c r="U15" s="24">
        <f t="shared" si="6"/>
        <v>549.99999999999909</v>
      </c>
      <c r="V15" s="66">
        <v>694933</v>
      </c>
      <c r="W15" s="67">
        <v>82591</v>
      </c>
      <c r="X15" s="67">
        <v>17521</v>
      </c>
      <c r="Y15" s="28">
        <f t="shared" si="12"/>
        <v>594821</v>
      </c>
      <c r="Z15" s="12">
        <f t="shared" si="1"/>
        <v>213</v>
      </c>
      <c r="AA15" s="68">
        <v>5225.84</v>
      </c>
      <c r="AB15" s="69"/>
      <c r="AC15" s="12">
        <f t="shared" si="11"/>
        <v>290.31999999999971</v>
      </c>
      <c r="AD15" s="70">
        <v>124</v>
      </c>
      <c r="AE15" s="71">
        <v>247</v>
      </c>
    </row>
    <row r="16" spans="1:31" x14ac:dyDescent="0.2">
      <c r="A16" s="100">
        <v>45945</v>
      </c>
      <c r="B16" s="25">
        <v>19564794</v>
      </c>
      <c r="C16" s="61">
        <f>SUM(4181.3+1792724.1+591618+9967.8+9967.8+270447+30052)</f>
        <v>2708958</v>
      </c>
      <c r="D16" s="62">
        <f t="shared" si="2"/>
        <v>16855836</v>
      </c>
      <c r="E16" s="9">
        <f t="shared" si="0"/>
        <v>12157</v>
      </c>
      <c r="F16" s="63">
        <v>16005</v>
      </c>
      <c r="G16" s="8"/>
      <c r="H16" s="12">
        <f t="shared" si="3"/>
        <v>959</v>
      </c>
      <c r="I16" s="64">
        <v>0.65</v>
      </c>
      <c r="J16" s="65">
        <v>0.65</v>
      </c>
      <c r="K16" s="65">
        <v>0.6</v>
      </c>
      <c r="L16" s="11">
        <f t="shared" si="8"/>
        <v>4750</v>
      </c>
      <c r="M16" s="10"/>
      <c r="N16" s="12">
        <f t="shared" si="9"/>
        <v>375</v>
      </c>
      <c r="O16" s="64">
        <v>0.45</v>
      </c>
      <c r="P16" s="65">
        <v>0.5</v>
      </c>
      <c r="Q16" s="65">
        <v>0.5</v>
      </c>
      <c r="R16" s="11">
        <f t="shared" si="4"/>
        <v>725</v>
      </c>
      <c r="S16" s="10"/>
      <c r="T16" s="12">
        <f t="shared" si="5"/>
        <v>100</v>
      </c>
      <c r="U16" s="24">
        <f t="shared" si="6"/>
        <v>475</v>
      </c>
      <c r="V16" s="66">
        <v>695161</v>
      </c>
      <c r="W16" s="67">
        <v>82593</v>
      </c>
      <c r="X16" s="67">
        <v>17534</v>
      </c>
      <c r="Y16" s="28">
        <f t="shared" si="12"/>
        <v>595034</v>
      </c>
      <c r="Z16" s="12">
        <f t="shared" si="1"/>
        <v>227</v>
      </c>
      <c r="AA16" s="68">
        <v>4935.5200000000004</v>
      </c>
      <c r="AB16" s="69"/>
      <c r="AC16" s="12">
        <f t="shared" si="11"/>
        <v>290.32000000000062</v>
      </c>
      <c r="AD16" s="70">
        <v>117</v>
      </c>
      <c r="AE16" s="71">
        <v>228</v>
      </c>
    </row>
    <row r="17" spans="1:31" x14ac:dyDescent="0.2">
      <c r="A17" s="100">
        <v>45946</v>
      </c>
      <c r="B17" s="25">
        <v>19576951</v>
      </c>
      <c r="C17" s="61">
        <f>SUM(4182.2+1793158.1+591618+9968.2+270599+30059)</f>
        <v>2699584.5</v>
      </c>
      <c r="D17" s="62">
        <f t="shared" si="2"/>
        <v>16877366.5</v>
      </c>
      <c r="E17" s="9">
        <f t="shared" si="0"/>
        <v>11874</v>
      </c>
      <c r="F17" s="63">
        <v>15046</v>
      </c>
      <c r="G17" s="8"/>
      <c r="H17" s="12">
        <f t="shared" si="3"/>
        <v>833</v>
      </c>
      <c r="I17" s="64">
        <v>0.6</v>
      </c>
      <c r="J17" s="65">
        <v>0.6</v>
      </c>
      <c r="K17" s="65">
        <v>0.55000000000000004</v>
      </c>
      <c r="L17" s="11">
        <f t="shared" si="8"/>
        <v>4375</v>
      </c>
      <c r="M17" s="10">
        <v>1716.83</v>
      </c>
      <c r="N17" s="12">
        <f>SUM(L18-M17-L17)</f>
        <v>283.17000000000007</v>
      </c>
      <c r="O17" s="64">
        <v>0.4</v>
      </c>
      <c r="P17" s="65">
        <v>0.45</v>
      </c>
      <c r="Q17" s="65">
        <v>0.4</v>
      </c>
      <c r="R17" s="11">
        <f t="shared" si="4"/>
        <v>625</v>
      </c>
      <c r="S17" s="10">
        <v>638.94000000000005</v>
      </c>
      <c r="T17" s="12">
        <f>SUM(R18-S17-R17)</f>
        <v>36.059999999999945</v>
      </c>
      <c r="U17" s="24">
        <f t="shared" si="6"/>
        <v>319.23</v>
      </c>
      <c r="V17" s="66">
        <v>695401</v>
      </c>
      <c r="W17" s="67">
        <v>82592</v>
      </c>
      <c r="X17" s="67">
        <v>17548</v>
      </c>
      <c r="Y17" s="28">
        <f t="shared" si="12"/>
        <v>595261</v>
      </c>
      <c r="Z17" s="12">
        <f t="shared" si="1"/>
        <v>212</v>
      </c>
      <c r="AA17" s="68">
        <v>4645.2</v>
      </c>
      <c r="AB17" s="69"/>
      <c r="AC17" s="12">
        <f t="shared" si="11"/>
        <v>290.31999999999971</v>
      </c>
      <c r="AD17" s="70">
        <v>116</v>
      </c>
      <c r="AE17" s="71">
        <v>226</v>
      </c>
    </row>
    <row r="18" spans="1:31" x14ac:dyDescent="0.2">
      <c r="A18" s="100">
        <v>45947</v>
      </c>
      <c r="B18" s="25">
        <v>19588825</v>
      </c>
      <c r="C18" s="61">
        <f>SUM(4183.1+1793559.5+591618+9968.7+270742+30074)</f>
        <v>2700145.3000000003</v>
      </c>
      <c r="D18" s="62">
        <f t="shared" si="2"/>
        <v>16888679.699999999</v>
      </c>
      <c r="E18" s="9">
        <f t="shared" si="0"/>
        <v>12252</v>
      </c>
      <c r="F18" s="63">
        <v>14213</v>
      </c>
      <c r="G18" s="8"/>
      <c r="H18" s="12">
        <f>F18+G18-F19</f>
        <v>1262</v>
      </c>
      <c r="I18" s="64">
        <v>0.85</v>
      </c>
      <c r="J18" s="65">
        <v>0.85</v>
      </c>
      <c r="K18" s="65">
        <v>0.85</v>
      </c>
      <c r="L18" s="11">
        <f t="shared" si="8"/>
        <v>6375</v>
      </c>
      <c r="M18" s="10"/>
      <c r="N18" s="12">
        <f t="shared" si="9"/>
        <v>249.99999999999909</v>
      </c>
      <c r="O18" s="64">
        <v>0.9</v>
      </c>
      <c r="P18" s="65">
        <v>0.85</v>
      </c>
      <c r="Q18" s="65">
        <v>0.85</v>
      </c>
      <c r="R18" s="11">
        <f t="shared" si="4"/>
        <v>1300</v>
      </c>
      <c r="S18" s="10"/>
      <c r="T18" s="12">
        <f t="shared" si="5"/>
        <v>74.999999999999773</v>
      </c>
      <c r="U18" s="24">
        <f t="shared" si="6"/>
        <v>324.99999999999886</v>
      </c>
      <c r="V18" s="66">
        <v>695630</v>
      </c>
      <c r="W18" s="67">
        <v>82597</v>
      </c>
      <c r="X18" s="67">
        <v>17560</v>
      </c>
      <c r="Y18" s="28">
        <f t="shared" si="12"/>
        <v>595473</v>
      </c>
      <c r="Z18" s="12">
        <f t="shared" si="1"/>
        <v>269</v>
      </c>
      <c r="AA18" s="68">
        <v>4354.88</v>
      </c>
      <c r="AB18" s="69"/>
      <c r="AC18" s="12">
        <f t="shared" si="11"/>
        <v>290.32000000000016</v>
      </c>
      <c r="AD18" s="70">
        <v>149</v>
      </c>
      <c r="AE18" s="71">
        <v>292</v>
      </c>
    </row>
    <row r="19" spans="1:31" x14ac:dyDescent="0.2">
      <c r="A19" s="100">
        <v>45948</v>
      </c>
      <c r="B19" s="25">
        <v>19601077</v>
      </c>
      <c r="C19" s="61">
        <f>SUM(4184+1793968.5+591618+9969.5+270891+30089)</f>
        <v>2700720</v>
      </c>
      <c r="D19" s="62">
        <f t="shared" si="2"/>
        <v>16900357</v>
      </c>
      <c r="E19" s="9">
        <f t="shared" si="0"/>
        <v>13001</v>
      </c>
      <c r="F19" s="63">
        <v>12951</v>
      </c>
      <c r="G19" s="8"/>
      <c r="H19" s="12">
        <f t="shared" si="3"/>
        <v>987</v>
      </c>
      <c r="I19" s="64">
        <v>0.8</v>
      </c>
      <c r="J19" s="65">
        <v>0.8</v>
      </c>
      <c r="K19" s="65">
        <v>0.85</v>
      </c>
      <c r="L19" s="11">
        <f t="shared" si="8"/>
        <v>6125.0000000000009</v>
      </c>
      <c r="M19" s="10"/>
      <c r="N19" s="12">
        <f t="shared" si="9"/>
        <v>375.00000000000091</v>
      </c>
      <c r="O19" s="64">
        <v>0.85</v>
      </c>
      <c r="P19" s="65">
        <v>0.8</v>
      </c>
      <c r="Q19" s="65">
        <v>0.8</v>
      </c>
      <c r="R19" s="11">
        <f t="shared" si="4"/>
        <v>1225.0000000000002</v>
      </c>
      <c r="S19" s="10"/>
      <c r="T19" s="12">
        <f t="shared" si="5"/>
        <v>50.000000000000227</v>
      </c>
      <c r="U19" s="24">
        <f t="shared" si="6"/>
        <v>425.00000000000114</v>
      </c>
      <c r="V19" s="66">
        <v>695914</v>
      </c>
      <c r="W19" s="67">
        <v>82599</v>
      </c>
      <c r="X19" s="67">
        <v>17573</v>
      </c>
      <c r="Y19" s="28">
        <f t="shared" si="12"/>
        <v>595742</v>
      </c>
      <c r="Z19" s="12">
        <f t="shared" si="1"/>
        <v>234</v>
      </c>
      <c r="AA19" s="68">
        <v>4064.56</v>
      </c>
      <c r="AB19" s="69"/>
      <c r="AC19" s="12">
        <f t="shared" si="11"/>
        <v>290.32000000000016</v>
      </c>
      <c r="AD19" s="70">
        <v>14</v>
      </c>
      <c r="AE19" s="71">
        <v>290</v>
      </c>
    </row>
    <row r="20" spans="1:31" ht="13.5" thickBot="1" x14ac:dyDescent="0.25">
      <c r="A20" s="145">
        <v>45949</v>
      </c>
      <c r="B20" s="146">
        <v>19614078</v>
      </c>
      <c r="C20" s="147">
        <f>SUM(4184.9+1794375.1+591618+9970.3+271020+30103)</f>
        <v>2701271.3</v>
      </c>
      <c r="D20" s="148">
        <f t="shared" si="2"/>
        <v>16912806.699999999</v>
      </c>
      <c r="E20" s="149">
        <f t="shared" si="0"/>
        <v>12102</v>
      </c>
      <c r="F20" s="150">
        <v>11964</v>
      </c>
      <c r="G20" s="151"/>
      <c r="H20" s="152">
        <f t="shared" si="3"/>
        <v>987</v>
      </c>
      <c r="I20" s="153">
        <v>0.75</v>
      </c>
      <c r="J20" s="154">
        <v>0.75</v>
      </c>
      <c r="K20" s="154">
        <v>0.8</v>
      </c>
      <c r="L20" s="155">
        <f t="shared" si="8"/>
        <v>5750</v>
      </c>
      <c r="M20" s="156"/>
      <c r="N20" s="152">
        <f t="shared" si="9"/>
        <v>125</v>
      </c>
      <c r="O20" s="153">
        <v>0.8</v>
      </c>
      <c r="P20" s="154">
        <v>0.8</v>
      </c>
      <c r="Q20" s="154">
        <v>0.75</v>
      </c>
      <c r="R20" s="155">
        <f t="shared" si="4"/>
        <v>1175</v>
      </c>
      <c r="S20" s="156"/>
      <c r="T20" s="152">
        <f t="shared" si="5"/>
        <v>200</v>
      </c>
      <c r="U20" s="157">
        <f t="shared" si="6"/>
        <v>325</v>
      </c>
      <c r="V20" s="158">
        <v>696161</v>
      </c>
      <c r="W20" s="159">
        <v>82601</v>
      </c>
      <c r="X20" s="159">
        <v>17584</v>
      </c>
      <c r="Y20" s="160">
        <f t="shared" si="12"/>
        <v>595976</v>
      </c>
      <c r="Z20" s="12">
        <f t="shared" si="1"/>
        <v>251</v>
      </c>
      <c r="AA20" s="161">
        <v>3774.24</v>
      </c>
      <c r="AB20" s="162"/>
      <c r="AC20" s="152">
        <f t="shared" si="11"/>
        <v>290.31999999999971</v>
      </c>
      <c r="AD20" s="163">
        <v>131</v>
      </c>
      <c r="AE20" s="164">
        <v>276</v>
      </c>
    </row>
    <row r="21" spans="1:31" x14ac:dyDescent="0.2">
      <c r="A21" s="126">
        <v>45950</v>
      </c>
      <c r="B21" s="127">
        <v>19626180</v>
      </c>
      <c r="C21" s="128">
        <f>SUM(4185.7+1794757.6+591618+9970.7+271153+30117)</f>
        <v>2701802</v>
      </c>
      <c r="D21" s="129">
        <f t="shared" si="2"/>
        <v>16924378</v>
      </c>
      <c r="E21" s="165">
        <f t="shared" si="0"/>
        <v>13111</v>
      </c>
      <c r="F21" s="131">
        <v>10977</v>
      </c>
      <c r="G21" s="132"/>
      <c r="H21" s="130">
        <f t="shared" si="3"/>
        <v>982</v>
      </c>
      <c r="I21" s="133">
        <v>0.75</v>
      </c>
      <c r="J21" s="134">
        <v>0.75</v>
      </c>
      <c r="K21" s="134">
        <v>0.75</v>
      </c>
      <c r="L21" s="135">
        <f t="shared" si="8"/>
        <v>5625</v>
      </c>
      <c r="M21" s="136"/>
      <c r="N21" s="130">
        <f t="shared" si="9"/>
        <v>375.00000000000091</v>
      </c>
      <c r="O21" s="133">
        <v>0.65</v>
      </c>
      <c r="P21" s="134">
        <v>0.65</v>
      </c>
      <c r="Q21" s="134">
        <v>0.65</v>
      </c>
      <c r="R21" s="135">
        <f t="shared" si="4"/>
        <v>975</v>
      </c>
      <c r="S21" s="136"/>
      <c r="T21" s="130">
        <f t="shared" si="5"/>
        <v>100</v>
      </c>
      <c r="U21" s="137">
        <f t="shared" si="6"/>
        <v>475.00000000000091</v>
      </c>
      <c r="V21" s="138">
        <v>696424</v>
      </c>
      <c r="W21" s="139">
        <v>82603</v>
      </c>
      <c r="X21" s="139">
        <v>17594</v>
      </c>
      <c r="Y21" s="140">
        <f t="shared" si="12"/>
        <v>596227</v>
      </c>
      <c r="Z21" s="130">
        <f t="shared" si="1"/>
        <v>231</v>
      </c>
      <c r="AA21" s="141">
        <v>3483.92</v>
      </c>
      <c r="AB21" s="142"/>
      <c r="AC21" s="130">
        <f t="shared" si="11"/>
        <v>290.32000000000016</v>
      </c>
      <c r="AD21" s="143">
        <v>137</v>
      </c>
      <c r="AE21" s="144">
        <v>290</v>
      </c>
    </row>
    <row r="22" spans="1:31" x14ac:dyDescent="0.2">
      <c r="A22" s="100">
        <v>45951</v>
      </c>
      <c r="B22" s="25">
        <v>19639291</v>
      </c>
      <c r="C22" s="61">
        <f>SUM(4186.7+1795214.4+591618+9971.3+271311+30136)</f>
        <v>2702437.3999999994</v>
      </c>
      <c r="D22" s="62">
        <f t="shared" si="2"/>
        <v>16936853.600000001</v>
      </c>
      <c r="E22" s="9">
        <f t="shared" si="0"/>
        <v>12058</v>
      </c>
      <c r="F22" s="63">
        <v>9995</v>
      </c>
      <c r="G22" s="8">
        <v>9000</v>
      </c>
      <c r="H22" s="12">
        <f t="shared" si="3"/>
        <v>1390</v>
      </c>
      <c r="I22" s="64">
        <v>0.7</v>
      </c>
      <c r="J22" s="65">
        <v>0.7</v>
      </c>
      <c r="K22" s="65">
        <v>0.7</v>
      </c>
      <c r="L22" s="11">
        <f t="shared" si="8"/>
        <v>5249.9999999999991</v>
      </c>
      <c r="M22" s="10"/>
      <c r="N22" s="12">
        <f t="shared" si="9"/>
        <v>374.99999999999909</v>
      </c>
      <c r="O22" s="64">
        <v>0.55000000000000004</v>
      </c>
      <c r="P22" s="65">
        <v>0.6</v>
      </c>
      <c r="Q22" s="65">
        <v>0.6</v>
      </c>
      <c r="R22" s="11">
        <f>SUM(O22:Q22)/3*1500</f>
        <v>875</v>
      </c>
      <c r="S22" s="10"/>
      <c r="T22" s="12">
        <f t="shared" si="5"/>
        <v>125</v>
      </c>
      <c r="U22" s="24">
        <f t="shared" si="6"/>
        <v>499.99999999999909</v>
      </c>
      <c r="V22" s="66">
        <v>696671</v>
      </c>
      <c r="W22" s="67">
        <v>82606</v>
      </c>
      <c r="X22" s="67">
        <v>17607</v>
      </c>
      <c r="Y22" s="28">
        <f t="shared" si="12"/>
        <v>596458</v>
      </c>
      <c r="Z22" s="12">
        <f t="shared" si="1"/>
        <v>228</v>
      </c>
      <c r="AA22" s="68">
        <v>3193.6</v>
      </c>
      <c r="AB22" s="69"/>
      <c r="AC22" s="12">
        <f t="shared" si="11"/>
        <v>290.31999999999971</v>
      </c>
      <c r="AD22" s="70">
        <v>137</v>
      </c>
      <c r="AE22" s="71">
        <v>290</v>
      </c>
    </row>
    <row r="23" spans="1:31" x14ac:dyDescent="0.2">
      <c r="A23" s="100">
        <v>45952</v>
      </c>
      <c r="B23" s="25">
        <v>19651349</v>
      </c>
      <c r="C23" s="61">
        <f>SUM(4187.6+1795617.1+591618+9971.6+271444+30154)</f>
        <v>2702992.3000000003</v>
      </c>
      <c r="D23" s="62">
        <f t="shared" si="2"/>
        <v>16948356.699999999</v>
      </c>
      <c r="E23" s="9">
        <f t="shared" si="0"/>
        <v>12968</v>
      </c>
      <c r="F23" s="63">
        <v>17605</v>
      </c>
      <c r="G23" s="8"/>
      <c r="H23" s="12">
        <f t="shared" si="3"/>
        <v>1600</v>
      </c>
      <c r="I23" s="64">
        <v>0.65</v>
      </c>
      <c r="J23" s="65">
        <v>0.65</v>
      </c>
      <c r="K23" s="65">
        <v>0.65</v>
      </c>
      <c r="L23" s="11">
        <f t="shared" si="8"/>
        <v>4875</v>
      </c>
      <c r="M23" s="10"/>
      <c r="N23" s="12">
        <f t="shared" si="9"/>
        <v>125</v>
      </c>
      <c r="O23" s="64">
        <v>0.5</v>
      </c>
      <c r="P23" s="65">
        <v>0.5</v>
      </c>
      <c r="Q23" s="65">
        <v>0.5</v>
      </c>
      <c r="R23" s="11">
        <f t="shared" si="4"/>
        <v>750</v>
      </c>
      <c r="S23" s="10"/>
      <c r="T23" s="12">
        <f t="shared" si="5"/>
        <v>100</v>
      </c>
      <c r="U23" s="24">
        <f t="shared" si="6"/>
        <v>225</v>
      </c>
      <c r="V23" s="66">
        <v>696912</v>
      </c>
      <c r="W23" s="67">
        <v>82607</v>
      </c>
      <c r="X23" s="67">
        <v>17619</v>
      </c>
      <c r="Y23" s="28">
        <f t="shared" si="12"/>
        <v>596686</v>
      </c>
      <c r="Z23" s="12">
        <f t="shared" si="1"/>
        <v>244</v>
      </c>
      <c r="AA23" s="68">
        <v>2903.28</v>
      </c>
      <c r="AB23" s="69"/>
      <c r="AC23" s="12">
        <f t="shared" si="11"/>
        <v>290.32000000000016</v>
      </c>
      <c r="AD23" s="70">
        <v>147</v>
      </c>
      <c r="AE23" s="71">
        <v>317</v>
      </c>
    </row>
    <row r="24" spans="1:31" x14ac:dyDescent="0.2">
      <c r="A24" s="100">
        <v>45953</v>
      </c>
      <c r="B24" s="25">
        <v>19664317</v>
      </c>
      <c r="C24" s="61">
        <f>SUM(4188.6+1796067.2+891618+9973.1+271595+30167)</f>
        <v>3003608.9</v>
      </c>
      <c r="D24" s="62">
        <f t="shared" si="2"/>
        <v>16660708.1</v>
      </c>
      <c r="E24" s="9">
        <f t="shared" si="0"/>
        <v>12400</v>
      </c>
      <c r="F24" s="63">
        <v>16005</v>
      </c>
      <c r="G24" s="8"/>
      <c r="H24" s="12">
        <f t="shared" si="3"/>
        <v>2212</v>
      </c>
      <c r="I24" s="64">
        <v>0.65</v>
      </c>
      <c r="J24" s="65">
        <v>0.65</v>
      </c>
      <c r="K24" s="65">
        <v>0.6</v>
      </c>
      <c r="L24" s="11">
        <f t="shared" si="8"/>
        <v>4750</v>
      </c>
      <c r="M24" s="10">
        <v>1622.85</v>
      </c>
      <c r="N24" s="12">
        <f>SUM(L25-M24-L24)</f>
        <v>127.14999999999964</v>
      </c>
      <c r="O24" s="64">
        <v>0.45</v>
      </c>
      <c r="P24" s="65">
        <v>0.4</v>
      </c>
      <c r="Q24" s="65">
        <v>0.45</v>
      </c>
      <c r="R24" s="11">
        <f t="shared" si="4"/>
        <v>650</v>
      </c>
      <c r="S24" s="10">
        <v>564.59</v>
      </c>
      <c r="T24" s="12">
        <f>SUM(R25-S24-R24)</f>
        <v>135.40999999999997</v>
      </c>
      <c r="U24" s="24">
        <f t="shared" si="6"/>
        <v>262.5599999999996</v>
      </c>
      <c r="V24" s="66">
        <v>697170</v>
      </c>
      <c r="W24" s="67">
        <v>82608</v>
      </c>
      <c r="X24" s="67">
        <v>17632</v>
      </c>
      <c r="Y24" s="28">
        <f t="shared" si="12"/>
        <v>596930</v>
      </c>
      <c r="Z24" s="12">
        <f t="shared" si="1"/>
        <v>246</v>
      </c>
      <c r="AA24" s="68">
        <v>2612.96</v>
      </c>
      <c r="AB24" s="69"/>
      <c r="AC24" s="12">
        <f t="shared" si="11"/>
        <v>290.32000000000016</v>
      </c>
      <c r="AD24" s="70">
        <v>138</v>
      </c>
      <c r="AE24" s="71">
        <v>299</v>
      </c>
    </row>
    <row r="25" spans="1:31" x14ac:dyDescent="0.2">
      <c r="A25" s="100">
        <v>45954</v>
      </c>
      <c r="B25" s="25">
        <v>19676717</v>
      </c>
      <c r="C25" s="61">
        <f>SUM(4189.4+1796450.4+591618+9974.9+271725+30176)</f>
        <v>2704133.6999999997</v>
      </c>
      <c r="D25" s="62">
        <f t="shared" si="2"/>
        <v>16972583.300000001</v>
      </c>
      <c r="E25" s="9">
        <f t="shared" si="0"/>
        <v>11892</v>
      </c>
      <c r="F25" s="63">
        <v>13793</v>
      </c>
      <c r="G25" s="8"/>
      <c r="H25" s="12">
        <f t="shared" si="3"/>
        <v>1829</v>
      </c>
      <c r="I25" s="64">
        <v>0.85</v>
      </c>
      <c r="J25" s="65">
        <v>0.9</v>
      </c>
      <c r="K25" s="65">
        <v>0.85</v>
      </c>
      <c r="L25" s="11">
        <f t="shared" si="8"/>
        <v>6500</v>
      </c>
      <c r="M25" s="10"/>
      <c r="N25" s="12">
        <f t="shared" si="9"/>
        <v>625</v>
      </c>
      <c r="O25" s="64">
        <v>0.9</v>
      </c>
      <c r="P25" s="65">
        <v>0.9</v>
      </c>
      <c r="Q25" s="65">
        <v>0.9</v>
      </c>
      <c r="R25" s="11">
        <f t="shared" si="4"/>
        <v>1350</v>
      </c>
      <c r="S25" s="10"/>
      <c r="T25" s="12">
        <f t="shared" si="5"/>
        <v>75</v>
      </c>
      <c r="U25" s="24">
        <f t="shared" si="6"/>
        <v>700</v>
      </c>
      <c r="V25" s="66">
        <v>697427</v>
      </c>
      <c r="W25" s="67">
        <v>82610</v>
      </c>
      <c r="X25" s="67">
        <v>17641</v>
      </c>
      <c r="Y25" s="28">
        <f t="shared" si="12"/>
        <v>597176</v>
      </c>
      <c r="Z25" s="12">
        <f t="shared" si="1"/>
        <v>239</v>
      </c>
      <c r="AA25" s="68">
        <v>2322.64</v>
      </c>
      <c r="AB25" s="69"/>
      <c r="AC25" s="12">
        <f t="shared" si="11"/>
        <v>290.31999999999994</v>
      </c>
      <c r="AD25" s="70">
        <v>151</v>
      </c>
      <c r="AE25" s="71">
        <v>328</v>
      </c>
    </row>
    <row r="26" spans="1:31" x14ac:dyDescent="0.2">
      <c r="A26" s="100">
        <v>45955</v>
      </c>
      <c r="B26" s="25">
        <v>19688609</v>
      </c>
      <c r="C26" s="61">
        <f>SUM(4190.3+1796876.3+591618+9977.8+271866+30177)</f>
        <v>2704705.4</v>
      </c>
      <c r="D26" s="62">
        <f t="shared" si="2"/>
        <v>16983903.600000001</v>
      </c>
      <c r="E26" s="9">
        <f t="shared" si="0"/>
        <v>13701</v>
      </c>
      <c r="F26" s="63">
        <v>11964</v>
      </c>
      <c r="G26" s="8"/>
      <c r="H26" s="12">
        <f t="shared" si="3"/>
        <v>1969</v>
      </c>
      <c r="I26" s="64">
        <v>0.75</v>
      </c>
      <c r="J26" s="65">
        <v>0.8</v>
      </c>
      <c r="K26" s="65">
        <v>0.8</v>
      </c>
      <c r="L26" s="11">
        <f t="shared" si="8"/>
        <v>5875</v>
      </c>
      <c r="M26" s="10"/>
      <c r="N26" s="12">
        <f>SUM(L27-M26-L26)</f>
        <v>0</v>
      </c>
      <c r="O26" s="64">
        <v>0.85</v>
      </c>
      <c r="P26" s="65">
        <v>0.85</v>
      </c>
      <c r="Q26" s="65">
        <v>0.85</v>
      </c>
      <c r="R26" s="11">
        <f t="shared" si="4"/>
        <v>1275</v>
      </c>
      <c r="S26" s="10"/>
      <c r="T26" s="12">
        <f t="shared" si="5"/>
        <v>74.999999999999773</v>
      </c>
      <c r="U26" s="24">
        <f t="shared" si="6"/>
        <v>74.999999999999773</v>
      </c>
      <c r="V26" s="66">
        <v>697675</v>
      </c>
      <c r="W26" s="67">
        <v>82610</v>
      </c>
      <c r="X26" s="67">
        <v>17650</v>
      </c>
      <c r="Y26" s="28">
        <f t="shared" si="12"/>
        <v>597415</v>
      </c>
      <c r="Z26" s="12">
        <f t="shared" si="1"/>
        <v>262</v>
      </c>
      <c r="AA26" s="68">
        <v>2032.32</v>
      </c>
      <c r="AB26" s="69"/>
      <c r="AC26" s="12">
        <f t="shared" si="11"/>
        <v>290.31999999999994</v>
      </c>
      <c r="AD26" s="70">
        <v>155</v>
      </c>
      <c r="AE26" s="71">
        <v>349</v>
      </c>
    </row>
    <row r="27" spans="1:31" ht="13.5" thickBot="1" x14ac:dyDescent="0.25">
      <c r="A27" s="145">
        <v>45956</v>
      </c>
      <c r="B27" s="146">
        <v>19702310</v>
      </c>
      <c r="C27" s="147">
        <f>SUM(4191.3+1797334.4+591618+9981.4+271998+30179)</f>
        <v>2705302.1</v>
      </c>
      <c r="D27" s="148">
        <f t="shared" si="2"/>
        <v>16997007.899999999</v>
      </c>
      <c r="E27" s="149">
        <f t="shared" si="0"/>
        <v>11925</v>
      </c>
      <c r="F27" s="150">
        <v>9995</v>
      </c>
      <c r="G27" s="151"/>
      <c r="H27" s="152">
        <f t="shared" si="3"/>
        <v>1662</v>
      </c>
      <c r="I27" s="153">
        <v>0.75</v>
      </c>
      <c r="J27" s="154">
        <v>0.8</v>
      </c>
      <c r="K27" s="154">
        <v>0.8</v>
      </c>
      <c r="L27" s="155">
        <f t="shared" si="8"/>
        <v>5875</v>
      </c>
      <c r="M27" s="156"/>
      <c r="N27" s="152">
        <f t="shared" si="9"/>
        <v>375</v>
      </c>
      <c r="O27" s="153">
        <v>0.8</v>
      </c>
      <c r="P27" s="154">
        <v>0.8</v>
      </c>
      <c r="Q27" s="154">
        <v>0.8</v>
      </c>
      <c r="R27" s="155">
        <f t="shared" si="4"/>
        <v>1200.0000000000002</v>
      </c>
      <c r="S27" s="156"/>
      <c r="T27" s="152">
        <f t="shared" si="5"/>
        <v>150.00000000000045</v>
      </c>
      <c r="U27" s="157">
        <f t="shared" si="6"/>
        <v>525.00000000000045</v>
      </c>
      <c r="V27" s="158">
        <v>697951</v>
      </c>
      <c r="W27" s="159">
        <v>82611</v>
      </c>
      <c r="X27" s="159">
        <v>17663</v>
      </c>
      <c r="Y27" s="160">
        <f t="shared" si="12"/>
        <v>597677</v>
      </c>
      <c r="Z27" s="152">
        <f t="shared" si="1"/>
        <v>233</v>
      </c>
      <c r="AA27" s="161">
        <v>1742</v>
      </c>
      <c r="AB27" s="162"/>
      <c r="AC27" s="152">
        <f t="shared" si="11"/>
        <v>290.31999999999994</v>
      </c>
      <c r="AD27" s="163">
        <v>158</v>
      </c>
      <c r="AE27" s="164">
        <v>354</v>
      </c>
    </row>
    <row r="28" spans="1:31" x14ac:dyDescent="0.2">
      <c r="A28" s="112">
        <v>45957</v>
      </c>
      <c r="B28" s="101">
        <v>19714235</v>
      </c>
      <c r="C28" s="118">
        <f>SUM(4192.1+1797727.9+591618+9982.7+272130+30195)</f>
        <v>2705845.7</v>
      </c>
      <c r="D28" s="102">
        <f t="shared" si="2"/>
        <v>17008389.300000001</v>
      </c>
      <c r="E28" s="119">
        <f t="shared" si="0"/>
        <v>12992</v>
      </c>
      <c r="F28" s="103">
        <v>8333</v>
      </c>
      <c r="G28" s="120"/>
      <c r="H28" s="121">
        <f t="shared" si="3"/>
        <v>1218</v>
      </c>
      <c r="I28" s="104">
        <v>0.7</v>
      </c>
      <c r="J28" s="105">
        <v>0.75</v>
      </c>
      <c r="K28" s="105">
        <v>0.75</v>
      </c>
      <c r="L28" s="122">
        <f t="shared" si="8"/>
        <v>5500</v>
      </c>
      <c r="M28" s="106"/>
      <c r="N28" s="121">
        <f t="shared" si="9"/>
        <v>375.00000000000091</v>
      </c>
      <c r="O28" s="104">
        <v>0.7</v>
      </c>
      <c r="P28" s="105">
        <v>0.7</v>
      </c>
      <c r="Q28" s="105">
        <v>0.7</v>
      </c>
      <c r="R28" s="122">
        <f t="shared" si="4"/>
        <v>1049.9999999999998</v>
      </c>
      <c r="S28" s="106"/>
      <c r="T28" s="121">
        <f t="shared" si="5"/>
        <v>49.999999999999773</v>
      </c>
      <c r="U28" s="123">
        <f t="shared" si="6"/>
        <v>425.00000000000068</v>
      </c>
      <c r="V28" s="107">
        <v>698195</v>
      </c>
      <c r="W28" s="108">
        <v>82611</v>
      </c>
      <c r="X28" s="108">
        <v>17674</v>
      </c>
      <c r="Y28" s="109">
        <f t="shared" si="12"/>
        <v>597910</v>
      </c>
      <c r="Z28" s="121">
        <f t="shared" si="1"/>
        <v>304</v>
      </c>
      <c r="AA28" s="110">
        <v>1451.68</v>
      </c>
      <c r="AB28" s="111"/>
      <c r="AC28" s="121">
        <f t="shared" si="11"/>
        <v>290.32000000000016</v>
      </c>
      <c r="AD28" s="124">
        <v>148</v>
      </c>
      <c r="AE28" s="125">
        <v>328</v>
      </c>
    </row>
    <row r="29" spans="1:31" x14ac:dyDescent="0.2">
      <c r="A29" s="100">
        <v>45958</v>
      </c>
      <c r="B29" s="25">
        <v>19727227</v>
      </c>
      <c r="C29" s="61">
        <f>SUM(4193.1+1798195.4+591618+9983.1+272275+30219)</f>
        <v>2706483.6</v>
      </c>
      <c r="D29" s="62">
        <f t="shared" si="2"/>
        <v>17020743.399999999</v>
      </c>
      <c r="E29" s="9">
        <f t="shared" si="0"/>
        <v>12041</v>
      </c>
      <c r="F29" s="63">
        <v>7115</v>
      </c>
      <c r="G29" s="8"/>
      <c r="H29" s="12">
        <f t="shared" si="3"/>
        <v>1052</v>
      </c>
      <c r="I29" s="64">
        <v>0.7</v>
      </c>
      <c r="J29" s="65">
        <v>0.7</v>
      </c>
      <c r="K29" s="65">
        <v>0.65</v>
      </c>
      <c r="L29" s="11">
        <f t="shared" si="8"/>
        <v>5124.9999999999991</v>
      </c>
      <c r="M29" s="10"/>
      <c r="N29" s="12">
        <f t="shared" si="9"/>
        <v>374.99999999999909</v>
      </c>
      <c r="O29" s="64">
        <v>0.65</v>
      </c>
      <c r="P29" s="65">
        <v>0.65</v>
      </c>
      <c r="Q29" s="65">
        <v>0.7</v>
      </c>
      <c r="R29" s="11">
        <f t="shared" si="4"/>
        <v>1000</v>
      </c>
      <c r="S29" s="10"/>
      <c r="T29" s="12">
        <f t="shared" si="5"/>
        <v>125</v>
      </c>
      <c r="U29" s="24">
        <f t="shared" si="6"/>
        <v>499.99999999999909</v>
      </c>
      <c r="V29" s="66">
        <v>698513</v>
      </c>
      <c r="W29" s="67">
        <v>82611</v>
      </c>
      <c r="X29" s="67">
        <v>17688</v>
      </c>
      <c r="Y29" s="28">
        <f t="shared" si="12"/>
        <v>598214</v>
      </c>
      <c r="Z29" s="12">
        <f t="shared" si="1"/>
        <v>250</v>
      </c>
      <c r="AA29" s="68">
        <v>1161.3599999999999</v>
      </c>
      <c r="AB29" s="69"/>
      <c r="AC29" s="12">
        <f t="shared" si="11"/>
        <v>290.31999999999994</v>
      </c>
      <c r="AD29" s="70">
        <v>144</v>
      </c>
      <c r="AE29" s="71">
        <v>316</v>
      </c>
    </row>
    <row r="30" spans="1:31" x14ac:dyDescent="0.2">
      <c r="A30" s="100">
        <v>45959</v>
      </c>
      <c r="B30" s="25">
        <v>19739268</v>
      </c>
      <c r="C30" s="61">
        <f>SUM(4193.9+1798606+591618+9983.3+272404+30241)</f>
        <v>2707046.1999999997</v>
      </c>
      <c r="D30" s="62">
        <f t="shared" si="2"/>
        <v>17032221.800000001</v>
      </c>
      <c r="E30" s="9">
        <f t="shared" si="0"/>
        <v>12763</v>
      </c>
      <c r="F30" s="63">
        <v>6063</v>
      </c>
      <c r="G30" s="8"/>
      <c r="H30" s="12">
        <f t="shared" si="3"/>
        <v>1385</v>
      </c>
      <c r="I30" s="64">
        <v>0.65</v>
      </c>
      <c r="J30" s="65">
        <v>0.65</v>
      </c>
      <c r="K30" s="65">
        <v>0.6</v>
      </c>
      <c r="L30" s="11">
        <f t="shared" si="8"/>
        <v>4750</v>
      </c>
      <c r="M30" s="10"/>
      <c r="N30" s="12">
        <f t="shared" si="9"/>
        <v>375</v>
      </c>
      <c r="O30" s="64">
        <v>0.55000000000000004</v>
      </c>
      <c r="P30" s="65">
        <v>0.6</v>
      </c>
      <c r="Q30" s="65">
        <v>0.6</v>
      </c>
      <c r="R30" s="11">
        <f t="shared" si="4"/>
        <v>875</v>
      </c>
      <c r="S30" s="10"/>
      <c r="T30" s="12">
        <f t="shared" si="5"/>
        <v>99.999999999999886</v>
      </c>
      <c r="U30" s="24">
        <f t="shared" si="6"/>
        <v>474.99999999999989</v>
      </c>
      <c r="V30" s="66">
        <v>698777</v>
      </c>
      <c r="W30" s="67">
        <v>82611</v>
      </c>
      <c r="X30" s="67">
        <v>17702</v>
      </c>
      <c r="Y30" s="28">
        <f t="shared" si="12"/>
        <v>598464</v>
      </c>
      <c r="Z30" s="12">
        <f t="shared" si="1"/>
        <v>225</v>
      </c>
      <c r="AA30" s="68">
        <v>871.04</v>
      </c>
      <c r="AB30" s="69"/>
      <c r="AC30" s="12">
        <f t="shared" si="11"/>
        <v>290.31999999999994</v>
      </c>
      <c r="AD30" s="70">
        <v>123</v>
      </c>
      <c r="AE30" s="71">
        <v>265</v>
      </c>
    </row>
    <row r="31" spans="1:31" x14ac:dyDescent="0.2">
      <c r="A31" s="100">
        <v>45960</v>
      </c>
      <c r="B31" s="25">
        <v>19752031</v>
      </c>
      <c r="C31" s="61">
        <f>SUM(4194.8+1799037.2+591618+9983.7+272530+30261)</f>
        <v>2707624.7</v>
      </c>
      <c r="D31" s="62">
        <f t="shared" si="2"/>
        <v>17044406.300000001</v>
      </c>
      <c r="E31" s="9">
        <f t="shared" si="0"/>
        <v>11864</v>
      </c>
      <c r="F31" s="63">
        <v>4678</v>
      </c>
      <c r="G31" s="8">
        <v>11400</v>
      </c>
      <c r="H31" s="12">
        <f t="shared" si="3"/>
        <v>1726</v>
      </c>
      <c r="I31" s="64">
        <v>0.6</v>
      </c>
      <c r="J31" s="65">
        <v>0.6</v>
      </c>
      <c r="K31" s="65">
        <v>0.55000000000000004</v>
      </c>
      <c r="L31" s="11">
        <f t="shared" si="8"/>
        <v>4375</v>
      </c>
      <c r="M31" s="10">
        <v>1624.92</v>
      </c>
      <c r="N31" s="12">
        <f>SUM(L32-M31-L31)</f>
        <v>250.07999999999993</v>
      </c>
      <c r="O31" s="64">
        <v>0.5</v>
      </c>
      <c r="P31" s="65">
        <v>0.5</v>
      </c>
      <c r="Q31" s="65">
        <v>0.55000000000000004</v>
      </c>
      <c r="R31" s="11">
        <f t="shared" si="4"/>
        <v>775.00000000000011</v>
      </c>
      <c r="S31" s="10">
        <v>494.59</v>
      </c>
      <c r="T31" s="12">
        <f t="shared" si="5"/>
        <v>-55.409999999999854</v>
      </c>
      <c r="U31" s="24">
        <f t="shared" si="6"/>
        <v>194.67000000000007</v>
      </c>
      <c r="V31" s="66">
        <v>699017</v>
      </c>
      <c r="W31" s="67">
        <v>82611</v>
      </c>
      <c r="X31" s="67">
        <v>17717</v>
      </c>
      <c r="Y31" s="28">
        <f t="shared" si="12"/>
        <v>598689</v>
      </c>
      <c r="Z31" s="12">
        <f t="shared" si="1"/>
        <v>238</v>
      </c>
      <c r="AA31" s="68">
        <v>580.72</v>
      </c>
      <c r="AB31" s="69"/>
      <c r="AC31" s="12">
        <f t="shared" si="11"/>
        <v>290.32000000000005</v>
      </c>
      <c r="AD31" s="70">
        <v>112</v>
      </c>
      <c r="AE31" s="71">
        <v>238</v>
      </c>
    </row>
    <row r="32" spans="1:31" ht="13.5" thickBot="1" x14ac:dyDescent="0.25">
      <c r="A32" s="113">
        <v>45961</v>
      </c>
      <c r="B32" s="72">
        <v>19763895</v>
      </c>
      <c r="C32" s="117">
        <f>SUM(4195.8+1799490+591618+9985.6+272670+30274)</f>
        <v>2708233.4</v>
      </c>
      <c r="D32" s="117">
        <f t="shared" si="2"/>
        <v>17055661.600000001</v>
      </c>
      <c r="E32" s="9">
        <f t="shared" si="0"/>
        <v>11597</v>
      </c>
      <c r="F32" s="73">
        <v>14352</v>
      </c>
      <c r="G32" s="29"/>
      <c r="H32" s="9">
        <v>0</v>
      </c>
      <c r="I32" s="74">
        <v>0.8</v>
      </c>
      <c r="J32" s="75">
        <v>0.85</v>
      </c>
      <c r="K32" s="75">
        <v>0.85</v>
      </c>
      <c r="L32" s="76">
        <f t="shared" si="8"/>
        <v>6250</v>
      </c>
      <c r="M32" s="77"/>
      <c r="N32" s="12">
        <v>0</v>
      </c>
      <c r="O32" s="74">
        <v>0.9</v>
      </c>
      <c r="P32" s="75">
        <v>0.9</v>
      </c>
      <c r="Q32" s="75">
        <v>0.85</v>
      </c>
      <c r="R32" s="76">
        <f t="shared" si="4"/>
        <v>1325</v>
      </c>
      <c r="S32" s="77"/>
      <c r="T32" s="12">
        <v>0</v>
      </c>
      <c r="U32" s="24">
        <v>0</v>
      </c>
      <c r="V32" s="78">
        <v>699268</v>
      </c>
      <c r="W32" s="79">
        <v>82611</v>
      </c>
      <c r="X32" s="79">
        <v>17730</v>
      </c>
      <c r="Y32" s="30">
        <f t="shared" si="12"/>
        <v>598927</v>
      </c>
      <c r="Z32" s="12">
        <v>0</v>
      </c>
      <c r="AA32" s="80">
        <v>290.39999999999998</v>
      </c>
      <c r="AB32" s="81"/>
      <c r="AC32" s="12">
        <f t="shared" si="11"/>
        <v>290.39999999999998</v>
      </c>
      <c r="AD32" s="70">
        <v>101</v>
      </c>
      <c r="AE32" s="71">
        <v>214</v>
      </c>
    </row>
    <row r="33" spans="1:31" ht="14.25" thickTop="1" thickBot="1" x14ac:dyDescent="0.25">
      <c r="A33" s="113">
        <v>45962</v>
      </c>
      <c r="B33" s="101">
        <v>19775492</v>
      </c>
      <c r="C33" s="114">
        <v>2708793</v>
      </c>
      <c r="D33" s="102">
        <f t="shared" si="2"/>
        <v>17066699</v>
      </c>
      <c r="E33" s="15"/>
      <c r="F33" s="103">
        <v>11823</v>
      </c>
      <c r="G33" s="115"/>
      <c r="H33" s="15"/>
      <c r="I33" s="104"/>
      <c r="J33" s="105"/>
      <c r="K33" s="105"/>
      <c r="L33" s="116"/>
      <c r="M33" s="106"/>
      <c r="N33" s="15"/>
      <c r="O33" s="104"/>
      <c r="P33" s="105"/>
      <c r="Q33" s="105"/>
      <c r="R33" s="116"/>
      <c r="S33" s="106"/>
      <c r="T33" s="26"/>
      <c r="U33" s="27"/>
      <c r="V33" s="107">
        <v>699511</v>
      </c>
      <c r="W33" s="108">
        <v>82611</v>
      </c>
      <c r="X33" s="108">
        <v>17742</v>
      </c>
      <c r="Y33" s="109">
        <f t="shared" si="12"/>
        <v>599158</v>
      </c>
      <c r="Z33" s="15"/>
      <c r="AA33" s="110">
        <v>0</v>
      </c>
      <c r="AB33" s="111"/>
      <c r="AC33" s="13"/>
      <c r="AD33" s="14"/>
      <c r="AE33" s="14"/>
    </row>
    <row r="34" spans="1:31" s="22" customFormat="1" ht="10.5" thickTop="1" x14ac:dyDescent="0.2">
      <c r="A34" s="16"/>
      <c r="B34" s="19"/>
      <c r="C34" s="19"/>
      <c r="D34" s="19"/>
      <c r="E34" s="17">
        <f>SUM(E2:E33)</f>
        <v>402563</v>
      </c>
      <c r="F34" s="18"/>
      <c r="G34" s="18"/>
      <c r="H34" s="17">
        <f>SUM(H2:H33)</f>
        <v>33217</v>
      </c>
      <c r="I34" s="16"/>
      <c r="J34" s="16"/>
      <c r="K34" s="16"/>
      <c r="L34" s="16"/>
      <c r="M34" s="18">
        <f>SUM(M2:M33)</f>
        <v>8113.7199999999993</v>
      </c>
      <c r="N34" s="17">
        <f>SUM(N2:N33)</f>
        <v>9311.279999999997</v>
      </c>
      <c r="O34" s="16"/>
      <c r="P34" s="16"/>
      <c r="Q34" s="16"/>
      <c r="R34" s="16"/>
      <c r="S34" s="18">
        <f>SUM(S2:S33)</f>
        <v>2838.8900000000003</v>
      </c>
      <c r="T34" s="17">
        <f>SUM(T2:T33)</f>
        <v>2704.33</v>
      </c>
      <c r="U34" s="17">
        <f>SUM(U2:U33)</f>
        <v>12015.609999999995</v>
      </c>
      <c r="V34" s="16"/>
      <c r="W34" s="16"/>
      <c r="X34" s="16"/>
      <c r="Y34" s="16"/>
      <c r="Z34" s="17">
        <f>SUM(Z2:Z33)</f>
        <v>6488</v>
      </c>
      <c r="AA34" s="16"/>
      <c r="AB34" s="16">
        <f>SUM(AB2:AB33)</f>
        <v>0</v>
      </c>
      <c r="AC34" s="17">
        <f>SUM(AC2:AC33)</f>
        <v>8999.9999999999964</v>
      </c>
      <c r="AD34" s="20">
        <f>SUM(AD2:AD33)</f>
        <v>4053</v>
      </c>
      <c r="AE34" s="21">
        <f>SUM(AE2:AE32)</f>
        <v>8380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N5 N26 T5 N24:N25 N17 N10 N3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2025-11-10T09:05:29Z</dcterms:modified>
  <cp:category/>
  <cp:contentStatus/>
</cp:coreProperties>
</file>