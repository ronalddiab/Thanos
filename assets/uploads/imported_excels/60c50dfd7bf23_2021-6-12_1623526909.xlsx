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0" i="7" l="1"/>
  <c r="F9" i="7" l="1"/>
  <c r="F8" i="7"/>
  <c r="CL9" i="7"/>
  <c r="G13" i="3" l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11" i="3" l="1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<sst xmlns="http://schemas.openxmlformats.org/spreadsheetml/2006/main" count="313" uniqueCount="148">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</sst>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20.146499999999996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 t="e">
        <f>Submetering!E13+Submetering!F13+Submetering!G13+Submetering!H13+Submetering!J13-Submetering!AV13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 t="str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21400.000000000302</v>
      </c>
      <c r="F33" s="17">
        <f t="shared" ref="F33:BC33" si="1">SUM(F2:F32)</f>
        <v>33299.999999999665</v>
      </c>
      <c r="G33" s="17">
        <f t="shared" si="1"/>
        <v>29500.000000000076</v>
      </c>
      <c r="H33" s="17">
        <f t="shared" si="1"/>
        <v>14399.999999999965</v>
      </c>
      <c r="I33" s="17">
        <f t="shared" si="1"/>
        <v>23300.000000000324</v>
      </c>
      <c r="J33" s="17">
        <f t="shared" si="1"/>
        <v>11099.999999999889</v>
      </c>
      <c r="K33" s="17">
        <f t="shared" si="1"/>
        <v>83</v>
      </c>
      <c r="L33" s="17">
        <f t="shared" si="1"/>
        <v>34</v>
      </c>
      <c r="M33" s="17">
        <f t="shared" si="1"/>
        <v>7875</v>
      </c>
      <c r="N33" s="17">
        <f t="shared" si="1"/>
        <v>3366.0999999999767</v>
      </c>
      <c r="O33" s="17">
        <f t="shared" si="1"/>
        <v>3469.9999999999704</v>
      </c>
      <c r="P33" s="17">
        <f t="shared" si="1"/>
        <v>28199.999999999996</v>
      </c>
      <c r="Q33" s="17">
        <f t="shared" si="1"/>
        <v>3149.9999999999773</v>
      </c>
      <c r="R33" s="17">
        <f t="shared" si="1"/>
        <v>3069.9999999999932</v>
      </c>
      <c r="S33" s="17">
        <f t="shared" si="1"/>
        <v>3110.0000000000136</v>
      </c>
      <c r="T33" s="17">
        <f t="shared" si="1"/>
        <v>371</v>
      </c>
      <c r="U33" s="35">
        <f t="shared" si="1"/>
        <v>5269.9999999999818</v>
      </c>
      <c r="V33" s="35">
        <f t="shared" si="1"/>
        <v>2419.9999999999877</v>
      </c>
      <c r="W33" s="35">
        <f t="shared" si="1"/>
        <v>1740.0000000000091</v>
      </c>
      <c r="X33" s="35">
        <f t="shared" si="1"/>
        <v>1010.0000000000193</v>
      </c>
      <c r="Y33" s="35">
        <f t="shared" si="1"/>
        <v>1629.9999999999955</v>
      </c>
      <c r="Z33" s="35">
        <f t="shared" si="1"/>
        <v>2119.9999999999477</v>
      </c>
      <c r="AA33" s="35">
        <f t="shared" si="1"/>
        <v>2119.9999999999477</v>
      </c>
      <c r="AB33" s="35">
        <f t="shared" si="1"/>
        <v>620.00000000000455</v>
      </c>
      <c r="AC33" s="35">
        <f t="shared" si="1"/>
        <v>469.99999999997044</v>
      </c>
      <c r="AD33" s="35">
        <f t="shared" si="1"/>
        <v>259.99999999999091</v>
      </c>
      <c r="AE33" s="35">
        <f t="shared" si="1"/>
        <v>280.00000000000114</v>
      </c>
      <c r="AF33" s="17">
        <f t="shared" si="1"/>
        <v>349</v>
      </c>
      <c r="AG33" s="32">
        <f t="shared" si="1"/>
        <v>329.99999999998408</v>
      </c>
      <c r="AH33" s="32">
        <f t="shared" si="1"/>
        <v>300.00000000001137</v>
      </c>
      <c r="AI33" s="32">
        <f t="shared" si="1"/>
        <v>349.99999999999432</v>
      </c>
      <c r="AJ33" s="32">
        <f t="shared" si="1"/>
        <v>400.00000000000568</v>
      </c>
      <c r="AK33" s="32">
        <f t="shared" si="1"/>
        <v>349.99999999996589</v>
      </c>
      <c r="AL33" s="32">
        <f t="shared" si="1"/>
        <v>247</v>
      </c>
      <c r="AM33" s="32">
        <f t="shared" si="1"/>
        <v>259.99999999999091</v>
      </c>
      <c r="AN33" s="32">
        <f t="shared" si="1"/>
        <v>468</v>
      </c>
      <c r="AO33" s="32">
        <f t="shared" si="1"/>
        <v>270.00000000001023</v>
      </c>
      <c r="AP33" s="32">
        <f t="shared" si="1"/>
        <v>383</v>
      </c>
      <c r="AQ33" s="17">
        <f t="shared" si="1"/>
        <v>313.09999999999854</v>
      </c>
      <c r="AR33" s="17">
        <f t="shared" si="1"/>
        <v>88.299999999999272</v>
      </c>
      <c r="AS33" s="17">
        <f t="shared" si="1"/>
        <v>40.5</v>
      </c>
      <c r="AT33" s="17">
        <f t="shared" si="1"/>
        <v>365.90000000000146</v>
      </c>
      <c r="AU33" s="17">
        <f t="shared" si="1"/>
        <v>3046</v>
      </c>
      <c r="AV33" s="17">
        <f t="shared" si="1"/>
        <v>8079.9999999999272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75.091499999999996</v>
      </c>
      <c r="BC33" s="17">
        <f t="shared" si="1"/>
        <v>102</v>
      </c>
    </row>
    <row r="35" spans="5:55" x14ac:dyDescent="0.25">
      <c r="E35" s="38">
        <f>E33/E37</f>
        <v>0.2122215831333458</v>
      </c>
      <c r="G35" s="29">
        <f>G33-M36</f>
        <v>18258.9000000001</v>
      </c>
      <c r="AE35" s="35">
        <f>SUM(U33:AE33)</f>
        <v>17939.999999999854</v>
      </c>
      <c r="AG35" s="32">
        <f>SUM(AG33:AP33)</f>
        <v>3357.9999999999627</v>
      </c>
    </row>
    <row r="36" spans="5:55" x14ac:dyDescent="0.25">
      <c r="G36" s="29">
        <f>G35-633*14</f>
        <v>9396.9000000000997</v>
      </c>
      <c r="M36" s="29">
        <f>M33+N33</f>
        <v>11241.099999999977</v>
      </c>
    </row>
    <row r="37" spans="5:55" x14ac:dyDescent="0.25">
      <c r="E37" s="17">
        <f>E33+F33+G33+H33+J33-633*14</f>
        <v>100837.9999999999</v>
      </c>
      <c r="G37" s="37">
        <f>M36/E37</f>
        <v>0.11147682421309416</v>
      </c>
      <c r="M37" s="35">
        <f>AE35</f>
        <v>17939.999999999854</v>
      </c>
    </row>
    <row r="38" spans="5:55" x14ac:dyDescent="0.25">
      <c r="L38" s="27">
        <f>M38/E37</f>
        <v>3.330093813839987E-2</v>
      </c>
      <c r="M38" s="29">
        <f>AG35</f>
        <v>3357.9999999999627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CP19" sqref="CP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/>
      <c r="D15" s="64" t="str">
        <f t="shared" si="0"/>
        <v>0</v>
      </c>
      <c r="E15" s="58"/>
      <c r="F15" s="64" t="str">
        <f t="shared" si="1"/>
        <v>0</v>
      </c>
      <c r="G15" s="58"/>
      <c r="H15" s="64" t="str">
        <f t="shared" si="2"/>
        <v>0</v>
      </c>
      <c r="I15" s="58"/>
      <c r="J15" s="64" t="str">
        <f t="shared" si="3"/>
        <v>0</v>
      </c>
      <c r="K15" s="58"/>
      <c r="L15" s="64" t="str">
        <f t="shared" si="4"/>
        <v>0</v>
      </c>
      <c r="M15" s="58"/>
      <c r="N15" s="64" t="str">
        <f t="shared" si="5"/>
        <v/>
      </c>
      <c r="O15" s="58"/>
      <c r="P15" s="67" t="str">
        <f t="shared" si="44"/>
        <v/>
      </c>
      <c r="Q15" s="58"/>
      <c r="R15" s="67" t="str">
        <f t="shared" si="6"/>
        <v/>
      </c>
      <c r="S15" s="58"/>
      <c r="T15" s="67" t="str">
        <f t="shared" si="7"/>
        <v/>
      </c>
      <c r="U15" s="58"/>
      <c r="V15" s="67" t="str">
        <f t="shared" si="8"/>
        <v/>
      </c>
      <c r="W15" s="58"/>
      <c r="X15" s="65" t="str">
        <f t="shared" si="9"/>
        <v/>
      </c>
      <c r="Y15" s="58"/>
      <c r="Z15" s="65" t="str">
        <f t="shared" si="10"/>
        <v/>
      </c>
      <c r="AA15" s="58"/>
      <c r="AB15" s="65" t="str">
        <f t="shared" si="11"/>
        <v/>
      </c>
      <c r="AC15" s="58"/>
      <c r="AD15" s="65" t="str">
        <f t="shared" si="12"/>
        <v/>
      </c>
      <c r="AE15" s="58"/>
      <c r="AF15" s="65" t="str">
        <f t="shared" si="13"/>
        <v/>
      </c>
      <c r="AG15" s="58"/>
      <c r="AH15" s="67" t="str">
        <f t="shared" si="14"/>
        <v/>
      </c>
      <c r="AI15" s="58"/>
      <c r="AJ15" s="65" t="str">
        <f t="shared" si="15"/>
        <v/>
      </c>
      <c r="AK15" s="58"/>
      <c r="AL15" s="65" t="str">
        <f t="shared" si="15"/>
        <v/>
      </c>
      <c r="AM15" s="58"/>
      <c r="AN15" s="65" t="str">
        <f t="shared" si="15"/>
        <v/>
      </c>
      <c r="AO15" s="58"/>
      <c r="AP15" s="65" t="str">
        <f t="shared" si="15"/>
        <v/>
      </c>
      <c r="AQ15" s="58"/>
      <c r="AR15" s="65" t="str">
        <f t="shared" si="16"/>
        <v/>
      </c>
      <c r="AS15" s="58"/>
      <c r="AT15" s="65" t="str">
        <f t="shared" si="17"/>
        <v/>
      </c>
      <c r="AU15" s="58"/>
      <c r="AV15" s="65" t="str">
        <f t="shared" si="18"/>
        <v/>
      </c>
      <c r="AW15" s="58"/>
      <c r="AX15" s="65" t="str">
        <f t="shared" si="19"/>
        <v/>
      </c>
      <c r="AY15" s="58"/>
      <c r="AZ15" s="65" t="str">
        <f t="shared" si="20"/>
        <v/>
      </c>
      <c r="BA15" s="58"/>
      <c r="BB15" s="65" t="str">
        <f t="shared" si="21"/>
        <v/>
      </c>
      <c r="BC15" s="58"/>
      <c r="BD15" s="65" t="str">
        <f t="shared" si="22"/>
        <v/>
      </c>
      <c r="BE15" s="59"/>
      <c r="BF15" s="67" t="str">
        <f t="shared" si="39"/>
        <v/>
      </c>
      <c r="BG15" s="60"/>
      <c r="BH15" s="65" t="str">
        <f t="shared" si="23"/>
        <v/>
      </c>
      <c r="BI15" s="60"/>
      <c r="BJ15" s="65" t="str">
        <f t="shared" si="40"/>
        <v/>
      </c>
      <c r="BK15" s="60"/>
      <c r="BL15" s="65" t="str">
        <f t="shared" si="24"/>
        <v/>
      </c>
      <c r="BM15" s="60"/>
      <c r="BN15" s="65" t="str">
        <f t="shared" si="25"/>
        <v/>
      </c>
      <c r="BO15" s="60"/>
      <c r="BP15" s="65" t="str">
        <f t="shared" si="26"/>
        <v/>
      </c>
      <c r="BQ15" s="60"/>
      <c r="BR15" s="65" t="str">
        <f t="shared" si="27"/>
        <v/>
      </c>
      <c r="BS15" s="60"/>
      <c r="BT15" s="65" t="str">
        <f t="shared" si="42"/>
        <v/>
      </c>
      <c r="BU15" s="60"/>
      <c r="BV15" s="65" t="str">
        <f t="shared" si="29"/>
        <v/>
      </c>
      <c r="BW15" s="60"/>
      <c r="BX15" s="65" t="str">
        <f t="shared" si="30"/>
        <v/>
      </c>
      <c r="BY15" s="60"/>
      <c r="BZ15" s="67" t="str">
        <f t="shared" si="31"/>
        <v/>
      </c>
      <c r="CA15" s="60"/>
      <c r="CB15" s="67" t="str">
        <f t="shared" si="32"/>
        <v/>
      </c>
      <c r="CC15" s="60"/>
      <c r="CD15" s="67" t="str">
        <f t="shared" si="33"/>
        <v/>
      </c>
      <c r="CE15" s="60"/>
      <c r="CF15" s="67" t="str">
        <f t="shared" si="34"/>
        <v/>
      </c>
      <c r="CG15" s="60"/>
      <c r="CH15" s="67" t="str">
        <f t="shared" si="35"/>
        <v/>
      </c>
      <c r="CI15" s="60"/>
      <c r="CJ15" s="67" t="str">
        <f t="shared" si="36"/>
        <v/>
      </c>
      <c r="CK15" s="60"/>
      <c r="CL15" s="64" t="str">
        <f t="shared" si="37"/>
        <v/>
      </c>
      <c r="CM15" s="65" t="e">
        <f t="shared" si="41"/>
        <v>#VALUE!</v>
      </c>
      <c r="CN15" s="62">
        <v>0</v>
      </c>
      <c r="CO15" s="62">
        <v>0</v>
      </c>
      <c r="CP15" s="68"/>
      <c r="CQ15" s="67" t="str">
        <f t="shared" si="38"/>
        <v/>
      </c>
      <c r="CR15" s="68"/>
      <c r="CS15" s="67" t="str">
        <f t="shared" si="38"/>
        <v/>
      </c>
      <c r="CT15" s="75"/>
      <c r="CU15" s="67" t="str">
        <f t="shared" si="38"/>
        <v/>
      </c>
      <c r="CV15" s="68"/>
      <c r="CW15" s="67" t="str">
        <f t="shared" si="38"/>
        <v/>
      </c>
    </row>
    <row r="16" spans="1:102" ht="25.5" customHeight="1" thickBot="1" x14ac:dyDescent="0.45">
      <c r="A16" s="63">
        <v>44360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44361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44362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44363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44364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44365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44366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44367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44368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B4" zoomScaleNormal="100" workbookViewId="0">
      <selection activeCell="S19" sqref="S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0</v>
      </c>
      <c r="D18" s="40">
        <v>0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-197</v>
      </c>
    </row>
    <row r="20" spans="1:20" x14ac:dyDescent="0.25">
      <c r="A20" s="73">
        <v>44360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44365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44367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2021-06-12T19:40:07Z</dcterms:modified>
</cp:coreProperties>
</file>