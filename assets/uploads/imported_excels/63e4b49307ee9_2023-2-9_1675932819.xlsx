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0" documentId="8_{EC7A1935-F226-4B16-8FAC-467E957218B5}" xr6:coauthVersionLast="47" xr6:coauthVersionMax="47" xr10:uidLastSave="{00000000-0000-0000-0000-000000000000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Jan 2023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" i="15" l="1"/>
  <c r="BO2" i="15"/>
  <c r="BH2" i="15"/>
  <c r="BI2" i="15"/>
  <c r="BJ2" i="15"/>
  <c r="BK2" i="15"/>
  <c r="BD2" i="15"/>
  <c r="BE2" i="15"/>
  <c r="BF2" i="15"/>
  <c r="BG2" i="15"/>
  <c r="BA2" i="15"/>
  <c r="BB2" i="15"/>
  <c r="BC2" i="15"/>
  <c r="AX2" i="15"/>
  <c r="AY2" i="15"/>
  <c r="AZ2" i="15"/>
  <c r="AS2" i="15"/>
  <c r="AT2" i="15"/>
  <c r="AU2" i="15"/>
  <c r="AV2" i="15"/>
  <c r="AW2" i="15"/>
  <c r="AO2" i="15"/>
  <c r="AP2" i="15"/>
  <c r="AQ2" i="15"/>
  <c r="AR2" i="15"/>
  <c r="AL2" i="15"/>
  <c r="AM2" i="15"/>
  <c r="AN2" i="15"/>
  <c r="AI2" i="15"/>
  <c r="AJ2" i="15"/>
  <c r="AK2" i="15"/>
  <c r="AE2" i="15"/>
  <c r="AF2" i="15"/>
  <c r="AG2" i="15"/>
  <c r="AH2" i="15"/>
  <c r="AB2" i="15"/>
  <c r="AC2" i="15"/>
  <c r="AD2" i="15"/>
  <c r="Y2" i="15"/>
  <c r="Z2" i="15"/>
  <c r="AA2" i="15"/>
  <c r="W2" i="15"/>
  <c r="X2" i="15"/>
  <c r="T2" i="15"/>
  <c r="U2" i="15"/>
  <c r="V2" i="15"/>
  <c r="O2" i="15"/>
  <c r="P2" i="15"/>
  <c r="Q2" i="15"/>
  <c r="R2" i="15"/>
  <c r="S2" i="15"/>
  <c r="L2" i="15"/>
  <c r="M2" i="15"/>
  <c r="N2" i="15"/>
  <c r="I2" i="15"/>
  <c r="J2" i="15"/>
  <c r="K2" i="15"/>
  <c r="G2" i="15"/>
  <c r="H2" i="15"/>
  <c r="E2" i="15"/>
  <c r="F2" i="15"/>
  <c r="D2" i="15"/>
  <c r="E2" i="11"/>
  <c r="Z4" i="14"/>
  <c r="Y3" i="14"/>
  <c r="N45" i="14"/>
  <c r="M45" i="14"/>
  <c r="O6" i="14"/>
  <c r="O5" i="14"/>
  <c r="F45" i="14"/>
  <c r="E45" i="14"/>
  <c r="L45" i="14"/>
  <c r="K45" i="14"/>
  <c r="AJ45" i="14"/>
  <c r="AA45" i="14"/>
  <c r="C45" i="14"/>
  <c r="M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I31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2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BM33" i="11"/>
  <c r="BL2" i="15" s="1"/>
  <c r="BN33" i="11"/>
  <c r="BM2" i="15" s="1"/>
  <c r="E33" i="11"/>
  <c r="AT45" i="14" l="1"/>
  <c r="AS45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P33" i="11" s="1"/>
  <c r="BO2" i="11"/>
  <c r="BO33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L33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K33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J33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I33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H33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G33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F33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E33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D33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C33" i="11" s="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2" i="11"/>
  <c r="BB33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BA33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Z33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Y33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X33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W33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V33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U33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T33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S33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R33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Q33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P33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O33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N33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M33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L33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K33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J33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H33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G33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F33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E33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D33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C33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B33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Z33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X33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W33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V33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U33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T33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S33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R33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Q33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P33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O33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N33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L33" i="11" s="1"/>
  <c r="K33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J33" i="11" s="1"/>
  <c r="I33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H33" i="11" s="1"/>
  <c r="G33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2" i="11"/>
  <c r="F33" i="11" s="1"/>
  <c r="Z45" i="14"/>
  <c r="AK45" i="14"/>
  <c r="AI45" i="14"/>
  <c r="AC45" i="14"/>
  <c r="Y45" i="14"/>
  <c r="U45" i="14"/>
  <c r="S45" i="14"/>
  <c r="Q45" i="14"/>
  <c r="G45" i="14"/>
  <c r="I45" i="14"/>
  <c r="AI33" i="11" l="1"/>
  <c r="AA33" i="11"/>
  <c r="Y33" i="11"/>
  <c r="D45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<sst xmlns="http://schemas.openxmlformats.org/spreadsheetml/2006/main" count="254" uniqueCount="83">
  <si>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</si>
  <si>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</si>
  <si>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</si>
  <si>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</si>
  <si>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</si>
  <si>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</si>
  <si>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</si>
  <si>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</si>
  <si>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</si>
  <si>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</si>
  <si>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</si>
  <si>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</si>
  <si>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</si>
  <si>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</si>
  <si>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</si>
  <si>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</si>
  <si>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</si>
  <si>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</si>
  <si>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</si>
  <si>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</si>
  <si>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</si>
  <si>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</si>
  <si>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</si>
  <si>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</si>
  <si>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</si>
  <si>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</si>
  <si>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</si>
  <si>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</si>
  <si>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</si>
  <si>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</si>
  <si>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</si>
  <si>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</si>
  <si>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</si>
  <si>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</si>
  <si>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</si>
  <si>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</si>
  <si>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</si>
  <si>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</si>
  <si>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</si>
  <si>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</si>
  <si>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</si>
  <si>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</si>
  <si>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</si>
  <si>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</si>
  <si>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</si>
  <si>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</si>
  <si>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</si>
  <si>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</si>
  <si>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</si>
  <si>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</si>
  <si>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</si>
  <si>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</si>
  <si>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</si>
  <si>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</si>
  <si>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</si>
  <si>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</si>
  <si>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</si>
  <si>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</si>
  <si>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</si>
  <si>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</si>
  <si>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</si>
  <si>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</si>
  <si>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</si>
  <si>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</si>
  <si>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</si>
  <si>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</si>
  <si>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</si>
  <si>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</si>
  <si>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</si>
  <si>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</si>
  <si>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</si>
  <si>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</si>
  <si>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Jan 2023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</si>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</sst>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  <numFmt numFmtId="171" formatCode="_(* #,##0.0_);_(* \(#,##0.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102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/>
    <xf numFmtId="0" fontId="13" fillId="0" borderId="2" xfId="0" applyFont="1" applyBorder="1" applyAlignment="1">
      <alignment horizontal="right"/>
    </xf>
    <xf numFmtId="0" fontId="13" fillId="0" borderId="2" xfId="0" applyFont="1" applyBorder="1"/>
    <xf numFmtId="0" fontId="13" fillId="0" borderId="5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6" xfId="0" applyNumberFormat="1" applyFill="1" applyBorder="1"/>
    <xf numFmtId="165" fontId="0" fillId="0" borderId="16" xfId="0" applyNumberFormat="1" applyBorder="1"/>
    <xf numFmtId="0" fontId="0" fillId="0" borderId="1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14" fillId="0" borderId="16" xfId="0" applyFont="1" applyBorder="1"/>
    <xf numFmtId="0" fontId="17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13" xfId="0" applyFont="1" applyFill="1" applyBorder="1" applyAlignment="1">
      <alignment horizontal="center" vertical="center" shrinkToFit="1"/>
    </xf>
    <xf numFmtId="0" fontId="8" fillId="7" borderId="17" xfId="0" applyFont="1" applyFill="1" applyBorder="1" applyAlignment="1">
      <alignment horizontal="center" vertical="center" shrinkToFit="1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2" xfId="0" applyBorder="1"/>
    <xf numFmtId="37" fontId="0" fillId="0" borderId="2" xfId="0" applyNumberFormat="1" applyBorder="1"/>
    <xf numFmtId="43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6" fontId="4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2" xfId="0" applyNumberFormat="1" applyFont="1" applyBorder="1" applyAlignment="1">
      <alignment vertical="center" wrapText="1"/>
    </xf>
    <xf numFmtId="166" fontId="13" fillId="0" borderId="5" xfId="6" applyNumberFormat="1" applyFont="1" applyBorder="1"/>
    <xf numFmtId="166" fontId="13" fillId="0" borderId="18" xfId="6" applyNumberFormat="1" applyFont="1" applyBorder="1" applyAlignment="1">
      <alignment horizontal="right"/>
    </xf>
    <xf numFmtId="166" fontId="13" fillId="0" borderId="5" xfId="6" applyNumberFormat="1" applyFont="1" applyBorder="1" applyAlignment="1">
      <alignment horizontal="right"/>
    </xf>
    <xf numFmtId="166" fontId="0" fillId="3" borderId="2" xfId="0" applyNumberFormat="1" applyFill="1" applyBorder="1"/>
    <xf numFmtId="166" fontId="0" fillId="3" borderId="5" xfId="0" applyNumberFormat="1" applyFill="1" applyBorder="1" applyAlignment="1">
      <alignment vertical="center"/>
    </xf>
    <xf numFmtId="166" fontId="0" fillId="3" borderId="16" xfId="0" applyNumberFormat="1" applyFill="1" applyBorder="1" applyAlignment="1">
      <alignment vertical="center"/>
    </xf>
    <xf numFmtId="166" fontId="13" fillId="12" borderId="19" xfId="6" applyNumberFormat="1" applyFont="1" applyFill="1" applyBorder="1"/>
    <xf numFmtId="166" fontId="13" fillId="12" borderId="19" xfId="6" applyNumberFormat="1" applyFont="1" applyFill="1" applyBorder="1" applyAlignment="1">
      <alignment horizontal="right"/>
    </xf>
    <xf numFmtId="0" fontId="0" fillId="0" borderId="4" xfId="0" applyBorder="1" applyAlignment="1">
      <alignment vertical="center"/>
    </xf>
    <xf numFmtId="166" fontId="0" fillId="0" borderId="5" xfId="0" applyNumberFormat="1" applyBorder="1" applyAlignment="1">
      <alignment vertical="center"/>
    </xf>
    <xf numFmtId="171" fontId="13" fillId="0" borderId="5" xfId="3" applyNumberFormat="1" applyFont="1" applyBorder="1" applyAlignment="1">
      <alignment horizontal="right"/>
    </xf>
    <xf numFmtId="171" fontId="13" fillId="0" borderId="5" xfId="3" applyNumberFormat="1" applyFont="1" applyFill="1" applyBorder="1"/>
    <xf numFmtId="171" fontId="13" fillId="0" borderId="5" xfId="3" applyNumberFormat="1" applyFont="1" applyBorder="1"/>
    <xf numFmtId="171" fontId="13" fillId="0" borderId="2" xfId="3" applyNumberFormat="1" applyFont="1" applyFill="1" applyBorder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3"/>
  <sheetViews>
    <sheetView tabSelected="1" workbookViewId="0">
      <selection activeCell="C2" sqref="C2:C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9" s="53" customFormat="1" ht="30">
      <c r="A1" s="53" t="s">
        <v>0</v>
      </c>
      <c r="B1" s="53" t="s">
        <v>1</v>
      </c>
      <c r="C1" s="53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4" t="s">
        <v>22</v>
      </c>
      <c r="X1" s="54" t="s">
        <v>23</v>
      </c>
      <c r="Y1" s="54" t="s">
        <v>24</v>
      </c>
      <c r="Z1" s="54" t="s">
        <v>25</v>
      </c>
      <c r="AA1" s="54" t="s">
        <v>26</v>
      </c>
      <c r="AB1" s="54" t="s">
        <v>27</v>
      </c>
      <c r="AC1" s="54" t="s">
        <v>28</v>
      </c>
      <c r="AD1" s="54" t="s">
        <v>29</v>
      </c>
      <c r="AE1" s="54" t="s">
        <v>30</v>
      </c>
      <c r="AF1" s="54" t="s">
        <v>31</v>
      </c>
      <c r="AG1" s="54" t="s">
        <v>32</v>
      </c>
      <c r="AH1" s="54" t="s">
        <v>33</v>
      </c>
      <c r="AI1" s="54" t="s">
        <v>34</v>
      </c>
      <c r="AJ1" s="54" t="s">
        <v>35</v>
      </c>
      <c r="AK1" s="54" t="s">
        <v>36</v>
      </c>
      <c r="AL1" s="54" t="s">
        <v>37</v>
      </c>
      <c r="AM1" s="54" t="s">
        <v>38</v>
      </c>
      <c r="AN1" s="54" t="s">
        <v>39</v>
      </c>
      <c r="AO1" s="54" t="s">
        <v>40</v>
      </c>
      <c r="AP1" s="54" t="s">
        <v>41</v>
      </c>
      <c r="AQ1" s="54" t="s">
        <v>42</v>
      </c>
      <c r="AR1" s="54" t="s">
        <v>43</v>
      </c>
      <c r="AS1" s="54" t="s">
        <v>44</v>
      </c>
      <c r="AT1" s="54" t="s">
        <v>45</v>
      </c>
      <c r="AU1" s="54" t="s">
        <v>46</v>
      </c>
      <c r="AV1" s="54" t="s">
        <v>47</v>
      </c>
      <c r="AW1" s="54" t="s">
        <v>48</v>
      </c>
      <c r="AX1" s="54" t="s">
        <v>49</v>
      </c>
      <c r="AY1" s="54" t="s">
        <v>50</v>
      </c>
      <c r="AZ1" s="54" t="s">
        <v>51</v>
      </c>
      <c r="BA1" s="54" t="s">
        <v>52</v>
      </c>
      <c r="BB1" s="54" t="s">
        <v>53</v>
      </c>
      <c r="BC1" s="54" t="s">
        <v>54</v>
      </c>
      <c r="BD1" s="54" t="s">
        <v>55</v>
      </c>
      <c r="BE1" s="54" t="s">
        <v>56</v>
      </c>
      <c r="BF1" s="54" t="s">
        <v>57</v>
      </c>
      <c r="BG1" s="54" t="s">
        <v>58</v>
      </c>
      <c r="BH1" s="54" t="s">
        <v>59</v>
      </c>
      <c r="BI1" s="54" t="s">
        <v>60</v>
      </c>
      <c r="BJ1" s="54" t="s">
        <v>61</v>
      </c>
      <c r="BK1" s="54" t="s">
        <v>62</v>
      </c>
      <c r="BL1" s="54" t="s">
        <v>63</v>
      </c>
      <c r="BM1" s="54" t="s">
        <v>64</v>
      </c>
      <c r="BN1" s="54" t="s">
        <v>65</v>
      </c>
      <c r="BO1" s="54" t="s">
        <v>66</v>
      </c>
    </row>
    <row r="2" spans="1:69">
      <c r="A2" t="s">
        <v>67</v>
      </c>
      <c r="B2" s="55">
        <v>1</v>
      </c>
      <c r="C2" s="55">
        <v>2023</v>
      </c>
      <c r="D2" s="12">
        <f>TOTAL!E33</f>
        <v>465</v>
      </c>
      <c r="E2" s="12">
        <f>TOTAL!F33</f>
        <v>-87600</v>
      </c>
      <c r="F2" s="12">
        <f>TOTAL!G33</f>
        <v>508.99999999999972</v>
      </c>
      <c r="G2" s="12">
        <f>TOTAL!H33</f>
        <v>0</v>
      </c>
      <c r="H2" s="12">
        <f>TOTAL!I33</f>
        <v>0</v>
      </c>
      <c r="I2" s="12">
        <f>TOTAL!J33</f>
        <v>0</v>
      </c>
      <c r="J2" s="12">
        <f>TOTAL!K33</f>
        <v>465</v>
      </c>
      <c r="K2" s="12">
        <f>TOTAL!L33</f>
        <v>-35900</v>
      </c>
      <c r="L2" s="12">
        <f>TOTAL!M33</f>
        <v>0</v>
      </c>
      <c r="M2" s="12">
        <f>TOTAL!N33</f>
        <v>0</v>
      </c>
      <c r="N2" s="12">
        <f>TOTAL!O33</f>
        <v>174.99999999999991</v>
      </c>
      <c r="O2" s="12">
        <f>TOTAL!P33</f>
        <v>-170675</v>
      </c>
      <c r="P2" s="12">
        <f>TOTAL!Q33</f>
        <v>0</v>
      </c>
      <c r="Q2" s="12">
        <f>TOTAL!R33</f>
        <v>0</v>
      </c>
      <c r="R2" s="12">
        <f>TOTAL!S33</f>
        <v>0</v>
      </c>
      <c r="S2" s="12">
        <f>TOTAL!T33</f>
        <v>0</v>
      </c>
      <c r="T2" s="12">
        <f>TOTAL!U33</f>
        <v>0</v>
      </c>
      <c r="U2" s="12">
        <f>TOTAL!V33</f>
        <v>0</v>
      </c>
      <c r="V2" s="12">
        <f>TOTAL!W33</f>
        <v>13270</v>
      </c>
      <c r="W2" s="12">
        <f>TOTAL!X33</f>
        <v>1500000</v>
      </c>
      <c r="X2" s="12">
        <f>TOTAL!Y33</f>
        <v>-198.40000000000009</v>
      </c>
      <c r="Y2" s="12">
        <f>TOTAL!Z33</f>
        <v>0</v>
      </c>
      <c r="Z2" s="12">
        <f>TOTAL!AA33</f>
        <v>0</v>
      </c>
      <c r="AA2" s="12">
        <f>TOTAL!AB33</f>
        <v>0</v>
      </c>
      <c r="AB2" s="12">
        <f>TOTAL!AC33</f>
        <v>0</v>
      </c>
      <c r="AC2" s="12">
        <f>TOTAL!AD33</f>
        <v>0</v>
      </c>
      <c r="AD2" s="12">
        <f>TOTAL!AE33</f>
        <v>0</v>
      </c>
      <c r="AE2" s="12">
        <f>TOTAL!AF33</f>
        <v>0</v>
      </c>
      <c r="AF2" s="12">
        <f>TOTAL!AG33</f>
        <v>0</v>
      </c>
      <c r="AG2" s="12">
        <f>TOTAL!AH33</f>
        <v>0</v>
      </c>
      <c r="AH2" s="12">
        <f>TOTAL!AI33</f>
        <v>0</v>
      </c>
      <c r="AI2" s="12">
        <f>TOTAL!AJ33</f>
        <v>0</v>
      </c>
      <c r="AJ2" s="12">
        <f>TOTAL!AK33</f>
        <v>0</v>
      </c>
      <c r="AK2" s="12">
        <f>TOTAL!AL33</f>
        <v>0</v>
      </c>
      <c r="AL2" s="12">
        <f>TOTAL!AM33</f>
        <v>0</v>
      </c>
      <c r="AM2" s="12">
        <f>TOTAL!AN33</f>
        <v>0</v>
      </c>
      <c r="AN2" s="12">
        <f>TOTAL!AO33</f>
        <v>0</v>
      </c>
      <c r="AO2" s="12">
        <f>TOTAL!AP33</f>
        <v>0</v>
      </c>
      <c r="AP2" s="12">
        <f>TOTAL!AQ33</f>
        <v>0</v>
      </c>
      <c r="AQ2" s="12">
        <f>TOTAL!AR33</f>
        <v>0</v>
      </c>
      <c r="AR2" s="12">
        <f>TOTAL!AS33</f>
        <v>0</v>
      </c>
      <c r="AS2" s="12">
        <f>TOTAL!AT33</f>
        <v>0</v>
      </c>
      <c r="AT2" s="12">
        <f>TOTAL!AU33</f>
        <v>0</v>
      </c>
      <c r="AU2" s="12">
        <f>TOTAL!AV33</f>
        <v>0</v>
      </c>
      <c r="AV2" s="12">
        <f>TOTAL!AW33</f>
        <v>508.99999999999972</v>
      </c>
      <c r="AW2" s="12">
        <f>TOTAL!AX33</f>
        <v>-486800</v>
      </c>
      <c r="AX2" s="12">
        <f>TOTAL!AY33</f>
        <v>0</v>
      </c>
      <c r="AY2" s="12">
        <f>TOTAL!AZ33</f>
        <v>0</v>
      </c>
      <c r="AZ2" s="12">
        <f>TOTAL!BA33</f>
        <v>0</v>
      </c>
      <c r="BA2" s="12">
        <f>TOTAL!BB33</f>
        <v>0</v>
      </c>
      <c r="BB2" s="12">
        <f>TOTAL!BC33</f>
        <v>12776.4</v>
      </c>
      <c r="BC2" s="12">
        <f>TOTAL!BD33</f>
        <v>9000000</v>
      </c>
      <c r="BD2" s="12">
        <f>TOTAL!BE33</f>
        <v>0</v>
      </c>
      <c r="BE2" s="12">
        <f>TOTAL!BF33</f>
        <v>0</v>
      </c>
      <c r="BF2" s="12">
        <f>TOTAL!BG33</f>
        <v>0</v>
      </c>
      <c r="BG2" s="12">
        <f>TOTAL!BH33</f>
        <v>0</v>
      </c>
      <c r="BH2" s="12">
        <f>TOTAL!BI33</f>
        <v>0</v>
      </c>
      <c r="BI2" s="12">
        <f>TOTAL!BJ33</f>
        <v>0</v>
      </c>
      <c r="BJ2" s="12">
        <f>TOTAL!BK33</f>
        <v>0</v>
      </c>
      <c r="BK2" s="12">
        <f>TOTAL!BL33</f>
        <v>0</v>
      </c>
      <c r="BL2" s="12">
        <f>TOTAL!BM33</f>
        <v>0</v>
      </c>
      <c r="BM2" s="12">
        <f>TOTAL!BN33</f>
        <v>0</v>
      </c>
      <c r="BN2" s="12">
        <f>TOTAL!BO33</f>
        <v>0</v>
      </c>
      <c r="BO2" s="12">
        <f>TOTAL!BP33</f>
        <v>0</v>
      </c>
      <c r="BP2" s="12"/>
      <c r="BQ2" s="12"/>
    </row>
    <row r="3" spans="1:69">
      <c r="A3" t="s">
        <v>67</v>
      </c>
      <c r="B3" s="55">
        <v>2</v>
      </c>
      <c r="C3" s="55">
        <v>2023</v>
      </c>
      <c r="D3" s="21"/>
      <c r="E3" s="54"/>
      <c r="F3" s="56"/>
      <c r="G3" s="54"/>
      <c r="H3" s="21"/>
      <c r="I3" s="54"/>
      <c r="J3" s="21"/>
      <c r="K3" s="54"/>
      <c r="L3" s="54"/>
      <c r="M3" s="54"/>
      <c r="N3" s="56"/>
      <c r="O3" s="54"/>
      <c r="P3" s="54"/>
      <c r="Q3" s="54"/>
      <c r="R3" s="54"/>
      <c r="S3" s="54"/>
      <c r="T3" s="54"/>
      <c r="U3" s="54"/>
      <c r="V3" s="12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7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</row>
    <row r="4" spans="1:69">
      <c r="A4" t="s">
        <v>67</v>
      </c>
      <c r="B4" s="55">
        <v>3</v>
      </c>
      <c r="C4" s="55">
        <v>2023</v>
      </c>
      <c r="D4" s="21"/>
      <c r="E4" s="54"/>
      <c r="F4" s="56"/>
      <c r="G4" s="54"/>
      <c r="H4" s="21"/>
      <c r="I4" s="54"/>
      <c r="J4" s="21"/>
      <c r="K4" s="54"/>
      <c r="L4" s="54"/>
      <c r="M4" s="54"/>
      <c r="N4" s="56"/>
      <c r="O4" s="54"/>
      <c r="P4" s="54"/>
      <c r="Q4" s="54"/>
      <c r="R4" s="54"/>
      <c r="S4" s="54"/>
      <c r="T4" s="54"/>
      <c r="U4" s="54"/>
      <c r="V4" s="12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7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</row>
    <row r="5" spans="1:69">
      <c r="A5" t="s">
        <v>67</v>
      </c>
      <c r="B5" s="55">
        <v>4</v>
      </c>
      <c r="C5" s="55">
        <v>2023</v>
      </c>
      <c r="D5" s="21"/>
      <c r="E5" s="54"/>
      <c r="F5" s="56"/>
      <c r="G5" s="54"/>
      <c r="H5" s="21"/>
      <c r="I5" s="54"/>
      <c r="J5" s="21"/>
      <c r="K5" s="54"/>
      <c r="L5" s="54"/>
      <c r="M5" s="54"/>
      <c r="N5" s="56"/>
      <c r="O5" s="54"/>
      <c r="P5" s="54"/>
      <c r="Q5" s="54"/>
      <c r="R5" s="54"/>
      <c r="S5" s="54"/>
      <c r="T5" s="54"/>
      <c r="U5" s="54"/>
      <c r="V5" s="12"/>
      <c r="W5" s="21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7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</row>
    <row r="6" spans="1:69">
      <c r="A6" t="s">
        <v>67</v>
      </c>
      <c r="B6" s="55">
        <v>5</v>
      </c>
      <c r="C6" s="55">
        <v>2023</v>
      </c>
      <c r="D6" s="21"/>
      <c r="E6" s="54"/>
      <c r="F6" s="58"/>
      <c r="G6" s="54"/>
      <c r="H6" s="21"/>
      <c r="I6" s="54"/>
      <c r="J6" s="21"/>
      <c r="K6" s="54"/>
      <c r="L6" s="54"/>
      <c r="M6" s="54"/>
      <c r="N6" s="58"/>
      <c r="O6" s="54"/>
      <c r="P6" s="54"/>
      <c r="Q6" s="54"/>
      <c r="R6" s="54"/>
      <c r="S6" s="54"/>
      <c r="T6" s="54"/>
      <c r="U6" s="54"/>
      <c r="V6" s="12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12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</row>
    <row r="7" spans="1:69">
      <c r="A7" t="s">
        <v>67</v>
      </c>
      <c r="B7" s="55">
        <v>6</v>
      </c>
      <c r="C7" s="55">
        <v>2023</v>
      </c>
      <c r="D7" s="21"/>
      <c r="E7" s="54"/>
      <c r="F7" s="58"/>
      <c r="G7" s="54"/>
      <c r="H7" s="21"/>
      <c r="I7" s="54"/>
      <c r="J7" s="21"/>
      <c r="K7" s="54"/>
      <c r="L7" s="54"/>
      <c r="M7" s="54"/>
      <c r="N7" s="58"/>
      <c r="O7" s="54"/>
      <c r="P7" s="54"/>
      <c r="Q7" s="54"/>
      <c r="R7" s="54"/>
      <c r="S7" s="54"/>
      <c r="T7" s="54"/>
      <c r="U7" s="54"/>
      <c r="V7" s="57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12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</row>
    <row r="8" spans="1:69">
      <c r="A8" t="s">
        <v>67</v>
      </c>
      <c r="B8" s="55">
        <v>7</v>
      </c>
      <c r="C8" s="55">
        <v>2023</v>
      </c>
      <c r="D8" s="21"/>
      <c r="E8" s="54"/>
      <c r="F8" s="58"/>
      <c r="G8" s="54"/>
      <c r="H8" s="21"/>
      <c r="I8" s="54"/>
      <c r="J8" s="21"/>
      <c r="K8" s="54"/>
      <c r="L8" s="54"/>
      <c r="M8" s="54"/>
      <c r="N8" s="58"/>
      <c r="O8" s="54"/>
      <c r="P8" s="54"/>
      <c r="Q8" s="54"/>
      <c r="R8" s="54"/>
      <c r="S8" s="54"/>
      <c r="T8" s="54"/>
      <c r="U8" s="54"/>
      <c r="V8" s="57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12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</row>
    <row r="9" spans="1:69">
      <c r="A9" t="s">
        <v>67</v>
      </c>
      <c r="B9" s="55">
        <v>8</v>
      </c>
      <c r="C9" s="55">
        <v>2023</v>
      </c>
      <c r="D9" s="21"/>
      <c r="E9" s="54"/>
      <c r="F9" s="58"/>
      <c r="G9" s="54"/>
      <c r="H9" s="21"/>
      <c r="I9" s="54"/>
      <c r="J9" s="21"/>
      <c r="K9" s="54"/>
      <c r="L9" s="54"/>
      <c r="M9" s="54"/>
      <c r="N9" s="58"/>
      <c r="O9" s="54"/>
      <c r="P9" s="54"/>
      <c r="Q9" s="54"/>
      <c r="R9" s="54"/>
      <c r="S9" s="54"/>
      <c r="T9" s="54"/>
      <c r="U9" s="54"/>
      <c r="V9" s="57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12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</row>
    <row r="10" spans="1:69">
      <c r="A10" t="s">
        <v>67</v>
      </c>
      <c r="B10" s="55">
        <v>9</v>
      </c>
      <c r="C10" s="55">
        <v>2023</v>
      </c>
      <c r="D10" s="21"/>
      <c r="E10" s="54"/>
      <c r="F10" s="58"/>
      <c r="G10" s="54"/>
      <c r="H10" s="21"/>
      <c r="I10" s="54"/>
      <c r="J10" s="21"/>
      <c r="K10" s="54"/>
      <c r="L10" s="54"/>
      <c r="M10" s="54"/>
      <c r="N10" s="58"/>
      <c r="O10" s="54"/>
      <c r="P10" s="54"/>
      <c r="Q10" s="54"/>
      <c r="R10" s="54"/>
      <c r="S10" s="54"/>
      <c r="T10" s="54"/>
      <c r="U10" s="54"/>
      <c r="V10" s="57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12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</row>
    <row r="11" spans="1:69">
      <c r="A11" t="s">
        <v>67</v>
      </c>
      <c r="B11" s="55">
        <v>10</v>
      </c>
      <c r="C11" s="55">
        <v>2023</v>
      </c>
      <c r="D11" s="21"/>
      <c r="E11" s="54"/>
      <c r="F11" s="58"/>
      <c r="G11" s="54"/>
      <c r="H11" s="21"/>
      <c r="I11" s="54"/>
      <c r="J11" s="21"/>
      <c r="K11" s="54"/>
      <c r="L11" s="54"/>
      <c r="M11" s="54"/>
      <c r="N11" s="58"/>
      <c r="O11" s="54"/>
      <c r="P11" s="54"/>
      <c r="Q11" s="54"/>
      <c r="R11" s="54"/>
      <c r="S11" s="54"/>
      <c r="T11" s="54"/>
      <c r="U11" s="54"/>
      <c r="V11" s="57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12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</row>
    <row r="12" spans="1:69">
      <c r="A12" t="s">
        <v>67</v>
      </c>
      <c r="B12" s="55">
        <v>11</v>
      </c>
      <c r="C12" s="55">
        <v>2023</v>
      </c>
      <c r="D12" s="21"/>
      <c r="E12" s="54"/>
      <c r="F12" s="58"/>
      <c r="G12" s="54"/>
      <c r="H12" s="21"/>
      <c r="I12" s="54"/>
      <c r="J12" s="21"/>
      <c r="K12" s="54"/>
      <c r="L12" s="54"/>
      <c r="M12" s="54"/>
      <c r="N12" s="58"/>
      <c r="O12" s="54"/>
      <c r="P12" s="54"/>
      <c r="Q12" s="54"/>
      <c r="R12" s="54"/>
      <c r="S12" s="54"/>
      <c r="T12" s="54"/>
      <c r="U12" s="54"/>
      <c r="V12" s="57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12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</row>
    <row r="13" spans="1:69">
      <c r="A13" t="s">
        <v>67</v>
      </c>
      <c r="B13" s="55">
        <v>12</v>
      </c>
      <c r="C13" s="55">
        <v>2023</v>
      </c>
      <c r="D13" s="21"/>
      <c r="E13" s="54"/>
      <c r="F13" s="58"/>
      <c r="G13" s="54"/>
      <c r="H13" s="21"/>
      <c r="I13" s="54"/>
      <c r="J13" s="21"/>
      <c r="K13" s="54"/>
      <c r="L13" s="54"/>
      <c r="M13" s="54"/>
      <c r="N13" s="58"/>
      <c r="O13" s="54"/>
      <c r="P13" s="54"/>
      <c r="Q13" s="54"/>
      <c r="R13" s="54"/>
      <c r="S13" s="54"/>
      <c r="T13" s="54"/>
      <c r="U13" s="54"/>
      <c r="V13" s="57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12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topLeftCell="AY30" workbookViewId="0">
      <selection activeCell="BO3" sqref="BO3"/>
    </sheetView>
  </sheetViews>
  <sheetFormatPr defaultColWidth="11.5703125" defaultRowHeight="15"/>
  <cols>
    <col min="1" max="1" width="18.42578125" customWidth="1"/>
    <col min="2" max="2" width="8.28515625" style="51" customWidth="1"/>
    <col min="3" max="3" width="7.5703125" style="52" customWidth="1"/>
    <col min="4" max="4" width="13.42578125" style="5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7" customFormat="1" ht="113.25" customHeight="1">
      <c r="A1" s="42" t="s">
        <v>0</v>
      </c>
      <c r="B1" s="42" t="s">
        <v>68</v>
      </c>
      <c r="C1" s="43" t="s">
        <v>1</v>
      </c>
      <c r="D1" s="44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69</v>
      </c>
      <c r="L1" s="45" t="s">
        <v>70</v>
      </c>
      <c r="M1" s="45" t="s">
        <v>11</v>
      </c>
      <c r="N1" s="45" t="s">
        <v>12</v>
      </c>
      <c r="O1" s="45" t="s">
        <v>13</v>
      </c>
      <c r="P1" s="45" t="s">
        <v>14</v>
      </c>
      <c r="Q1" s="45" t="s">
        <v>15</v>
      </c>
      <c r="R1" s="45" t="s">
        <v>16</v>
      </c>
      <c r="S1" s="45" t="s">
        <v>17</v>
      </c>
      <c r="T1" s="45" t="s">
        <v>18</v>
      </c>
      <c r="U1" s="45" t="s">
        <v>19</v>
      </c>
      <c r="V1" s="45" t="s">
        <v>20</v>
      </c>
      <c r="W1" s="45" t="s">
        <v>21</v>
      </c>
      <c r="X1" s="45" t="s">
        <v>22</v>
      </c>
      <c r="Y1" s="45" t="s">
        <v>23</v>
      </c>
      <c r="Z1" s="45" t="s">
        <v>24</v>
      </c>
      <c r="AA1" s="45" t="s">
        <v>25</v>
      </c>
      <c r="AB1" s="45" t="s">
        <v>26</v>
      </c>
      <c r="AC1" s="45" t="s">
        <v>27</v>
      </c>
      <c r="AD1" s="45" t="s">
        <v>28</v>
      </c>
      <c r="AE1" s="45" t="s">
        <v>29</v>
      </c>
      <c r="AF1" s="45" t="s">
        <v>30</v>
      </c>
      <c r="AG1" s="45" t="s">
        <v>31</v>
      </c>
      <c r="AH1" s="45" t="s">
        <v>32</v>
      </c>
      <c r="AI1" s="45" t="s">
        <v>33</v>
      </c>
      <c r="AJ1" s="45" t="s">
        <v>34</v>
      </c>
      <c r="AK1" s="45" t="s">
        <v>35</v>
      </c>
      <c r="AL1" s="45" t="s">
        <v>36</v>
      </c>
      <c r="AM1" s="45" t="s">
        <v>37</v>
      </c>
      <c r="AN1" s="45" t="s">
        <v>38</v>
      </c>
      <c r="AO1" s="45" t="s">
        <v>39</v>
      </c>
      <c r="AP1" s="45" t="s">
        <v>40</v>
      </c>
      <c r="AQ1" s="45" t="s">
        <v>41</v>
      </c>
      <c r="AR1" s="45" t="s">
        <v>42</v>
      </c>
      <c r="AS1" s="45" t="s">
        <v>43</v>
      </c>
      <c r="AT1" s="45" t="s">
        <v>44</v>
      </c>
      <c r="AU1" s="45" t="s">
        <v>45</v>
      </c>
      <c r="AV1" s="45" t="s">
        <v>46</v>
      </c>
      <c r="AW1" s="45" t="s">
        <v>47</v>
      </c>
      <c r="AX1" s="45" t="s">
        <v>48</v>
      </c>
      <c r="AY1" s="45" t="s">
        <v>49</v>
      </c>
      <c r="AZ1" s="45" t="s">
        <v>50</v>
      </c>
      <c r="BA1" s="45" t="s">
        <v>51</v>
      </c>
      <c r="BB1" s="45" t="s">
        <v>52</v>
      </c>
      <c r="BC1" s="45" t="s">
        <v>53</v>
      </c>
      <c r="BD1" s="45" t="s">
        <v>54</v>
      </c>
      <c r="BE1" s="45" t="s">
        <v>55</v>
      </c>
      <c r="BF1" s="45" t="s">
        <v>56</v>
      </c>
      <c r="BG1" s="45" t="s">
        <v>57</v>
      </c>
      <c r="BH1" s="45" t="s">
        <v>58</v>
      </c>
      <c r="BI1" s="45" t="s">
        <v>59</v>
      </c>
      <c r="BJ1" s="45" t="s">
        <v>60</v>
      </c>
      <c r="BK1" s="45" t="s">
        <v>61</v>
      </c>
      <c r="BL1" s="45" t="s">
        <v>62</v>
      </c>
      <c r="BM1" s="45" t="s">
        <v>63</v>
      </c>
      <c r="BN1" s="45" t="s">
        <v>64</v>
      </c>
      <c r="BO1" s="46" t="s">
        <v>65</v>
      </c>
      <c r="BP1" s="45" t="s">
        <v>66</v>
      </c>
    </row>
    <row r="2" spans="1:68">
      <c r="A2" s="40" t="s">
        <v>67</v>
      </c>
      <c r="B2" s="48">
        <v>1</v>
      </c>
      <c r="C2" s="49">
        <v>1</v>
      </c>
      <c r="D2" s="50">
        <v>2022</v>
      </c>
      <c r="E2" s="41">
        <f>'FS Jimbaran Jan 2023'!K12</f>
        <v>15</v>
      </c>
      <c r="F2" s="45">
        <f>'FS Jimbaran Jan 2023'!N12</f>
        <v>0</v>
      </c>
      <c r="G2" s="45">
        <f>'FS Jimbaran Jan 2023'!E12</f>
        <v>16.399999999999999</v>
      </c>
      <c r="H2" s="45">
        <f>'FS Jimbaran Jan 2023'!H12</f>
        <v>0</v>
      </c>
      <c r="I2" s="45">
        <f>'FS Jimbaran Jan 2023'!I12</f>
        <v>0</v>
      </c>
      <c r="J2" s="45">
        <f>'FS Jimbaran Jan 2023'!J12</f>
        <v>0</v>
      </c>
      <c r="K2" s="45">
        <f>'FS Jimbaran Jan 2023'!K12</f>
        <v>15</v>
      </c>
      <c r="L2" s="45">
        <f>'FS Jimbaran Jan 2023'!L12</f>
        <v>0</v>
      </c>
      <c r="M2" s="45">
        <f>'FS Jimbaran Jan 2023'!S12</f>
        <v>0</v>
      </c>
      <c r="N2" s="45">
        <f>'FS Jimbaran Jan 2023'!T12</f>
        <v>0</v>
      </c>
      <c r="O2" s="45">
        <f>'FS Jimbaran Jan 2023'!U12</f>
        <v>5.6</v>
      </c>
      <c r="P2" s="45">
        <f>'FS Jimbaran Jan 2023'!V12</f>
        <v>0</v>
      </c>
      <c r="Q2" s="45">
        <f>'FS Jimbaran Jan 2023'!BE12</f>
        <v>0</v>
      </c>
      <c r="R2" s="45">
        <f>'FS Jimbaran Jan 2023'!BF12</f>
        <v>0</v>
      </c>
      <c r="S2" s="45">
        <f>'FS Jimbaran Jan 2023'!BH12</f>
        <v>0</v>
      </c>
      <c r="T2" s="45">
        <f>'FS Jimbaran Jan 2023'!BH12</f>
        <v>0</v>
      </c>
      <c r="U2" s="45">
        <f>'FS Jimbaran Jan 2023'!BI12</f>
        <v>0</v>
      </c>
      <c r="V2" s="45">
        <f>'FS Jimbaran Jan 2023'!BJ12</f>
        <v>0</v>
      </c>
      <c r="W2" s="45">
        <f>'FS Jimbaran Jan 2023'!Y12</f>
        <v>435</v>
      </c>
      <c r="X2" s="45">
        <f>'FS Jimbaran Jan 2023'!Z12</f>
        <v>1500000</v>
      </c>
      <c r="Y2" s="45">
        <f>'FS Jimbaran Jan 2023'!AA12</f>
        <v>-6.4</v>
      </c>
      <c r="Z2" s="45">
        <f>'FS Jimbaran Jan 2023'!AB12</f>
        <v>0</v>
      </c>
      <c r="AA2" s="45">
        <f>'FS Jimbaran Jan 2023'!AC12</f>
        <v>0</v>
      </c>
      <c r="AB2" s="45">
        <f>'FS Jimbaran Jan 2023'!AD12</f>
        <v>0</v>
      </c>
      <c r="AC2" s="45">
        <f>'FS Jimbaran Jan 2023'!AE12</f>
        <v>0</v>
      </c>
      <c r="AD2" s="45">
        <f>'FS Jimbaran Jan 2023'!AF12</f>
        <v>0</v>
      </c>
      <c r="AE2" s="45">
        <f>'FS Jimbaran Jan 2023'!AG12</f>
        <v>0</v>
      </c>
      <c r="AF2" s="45">
        <f>'FS Jimbaran Jan 2023'!AH12</f>
        <v>0</v>
      </c>
      <c r="AG2" s="45">
        <f>'FS Jimbaran Jan 2023'!AM12</f>
        <v>0</v>
      </c>
      <c r="AH2" s="45">
        <f>'FS Jimbaran Jan 2023'!AR12</f>
        <v>0</v>
      </c>
      <c r="AI2" s="45">
        <f>'FS Jimbaran Jan 2023'!AQ12</f>
        <v>0</v>
      </c>
      <c r="AJ2" s="45">
        <f>'FS Jimbaran Jan 2023'!AR12</f>
        <v>0</v>
      </c>
      <c r="AK2" s="45">
        <f>'FS Jimbaran Jan 2023'!AY12</f>
        <v>0</v>
      </c>
      <c r="AL2" s="45">
        <f>'FS Jimbaran Jan 2023'!AZ12</f>
        <v>0</v>
      </c>
      <c r="AM2" s="45">
        <f>'FS Jimbaran Jan 2023'!BB12</f>
        <v>0</v>
      </c>
      <c r="AN2" s="45">
        <f>'FS Jimbaran Jan 2023'!BB12</f>
        <v>0</v>
      </c>
      <c r="AO2" s="45">
        <f>'FS Jimbaran Jan 2023'!BK12</f>
        <v>0</v>
      </c>
      <c r="AP2" s="45">
        <f>'FS Jimbaran Jan 2023'!BL12</f>
        <v>0</v>
      </c>
      <c r="AQ2" s="45">
        <f>'FS Jimbaran Jan 2023'!BC12</f>
        <v>0</v>
      </c>
      <c r="AR2" s="45">
        <f>'FS Jimbaran Jan 2023'!BD12</f>
        <v>0</v>
      </c>
      <c r="AS2" s="45">
        <f>'FS Jimbaran Jan 2023'!BM12</f>
        <v>0</v>
      </c>
      <c r="AT2" s="45">
        <f>'FS Jimbaran Jan 2023'!BN12</f>
        <v>0</v>
      </c>
      <c r="AU2" s="45">
        <f>'FS Jimbaran Jan 2023'!BO12</f>
        <v>0</v>
      </c>
      <c r="AV2" s="45">
        <f>'FS Jimbaran Jan 2023'!BP12</f>
        <v>0</v>
      </c>
      <c r="AW2" s="45">
        <f>'FS Jimbaran Jan 2023'!E12</f>
        <v>16.399999999999999</v>
      </c>
      <c r="AX2" s="45">
        <f>'FS Jimbaran Jan 2023'!F12</f>
        <v>0</v>
      </c>
      <c r="AY2" s="45">
        <f>'FS Jimbaran Jan 2023'!O12</f>
        <v>0</v>
      </c>
      <c r="AZ2" s="45">
        <f>'FS Jimbaran Jan 2023'!P12</f>
        <v>0</v>
      </c>
      <c r="BA2" s="45">
        <f>'FS Jimbaran Jan 2023'!W12</f>
        <v>0</v>
      </c>
      <c r="BB2" s="45">
        <f>'FS Jimbaran Jan 2023'!X12</f>
        <v>0</v>
      </c>
      <c r="BC2" s="45">
        <f>'FS Jimbaran Jan 2023'!AI12</f>
        <v>533</v>
      </c>
      <c r="BD2" s="45">
        <f>'FS Jimbaran Jan 2023'!AJ12</f>
        <v>9000000</v>
      </c>
      <c r="BE2" s="45">
        <f>'FS Jimbaran Jan 2023'!AK12</f>
        <v>0</v>
      </c>
      <c r="BF2" s="45">
        <f>'FS Jimbaran Jan 2023'!AL12</f>
        <v>0</v>
      </c>
      <c r="BG2" s="45">
        <f>'FS Jimbaran Jan 2023'!AM12</f>
        <v>0</v>
      </c>
      <c r="BH2" s="45">
        <f>'FS Jimbaran Jan 2023'!AN12</f>
        <v>0</v>
      </c>
      <c r="BI2" s="45">
        <f>'FS Jimbaran Jan 2023'!AO12</f>
        <v>0</v>
      </c>
      <c r="BJ2" s="45">
        <f>'FS Jimbaran Jan 2023'!AO12</f>
        <v>0</v>
      </c>
      <c r="BK2" s="45">
        <f>'FS Jimbaran Jan 2023'!AQ12</f>
        <v>0</v>
      </c>
      <c r="BL2" s="45">
        <f>'FS Jimbaran Jan 2023'!AR12</f>
        <v>0</v>
      </c>
      <c r="BM2" s="45">
        <v>0</v>
      </c>
      <c r="BN2" s="45">
        <v>0</v>
      </c>
      <c r="BO2" s="46">
        <f>'FS Jimbaran Jan 2023'!Q12</f>
        <v>0</v>
      </c>
      <c r="BP2" s="45">
        <f>'FS Jimbaran Jan 2023'!R12</f>
        <v>0</v>
      </c>
    </row>
    <row r="3" spans="1:68">
      <c r="A3" s="40" t="s">
        <v>67</v>
      </c>
      <c r="B3" s="48">
        <f>B2+1</f>
        <v>2</v>
      </c>
      <c r="C3" s="49">
        <v>1</v>
      </c>
      <c r="D3" s="50">
        <v>2022</v>
      </c>
      <c r="E3" s="41">
        <f>'FS Jimbaran Jan 2023'!K13</f>
        <v>15</v>
      </c>
      <c r="F3" s="45">
        <f>'FS Jimbaran Jan 2023'!N13</f>
        <v>0</v>
      </c>
      <c r="G3" s="45">
        <f>'FS Jimbaran Jan 2023'!E13</f>
        <v>16.399999999999999</v>
      </c>
      <c r="H3" s="45">
        <f>'FS Jimbaran Jan 2023'!H13</f>
        <v>0</v>
      </c>
      <c r="I3" s="45">
        <f>'FS Jimbaran Jan 2023'!I13</f>
        <v>0</v>
      </c>
      <c r="J3" s="45">
        <f>'FS Jimbaran Jan 2023'!J13</f>
        <v>0</v>
      </c>
      <c r="K3" s="45">
        <f>'FS Jimbaran Jan 2023'!K13</f>
        <v>15</v>
      </c>
      <c r="L3" s="45">
        <f>'FS Jimbaran Jan 2023'!L13</f>
        <v>0</v>
      </c>
      <c r="M3" s="45">
        <f>'FS Jimbaran Jan 2023'!S13</f>
        <v>0</v>
      </c>
      <c r="N3" s="45">
        <f>'FS Jimbaran Jan 2023'!T13</f>
        <v>0</v>
      </c>
      <c r="O3" s="45">
        <f>'FS Jimbaran Jan 2023'!U13</f>
        <v>5.6</v>
      </c>
      <c r="P3" s="45">
        <f>'FS Jimbaran Jan 2023'!V13</f>
        <v>0</v>
      </c>
      <c r="Q3" s="45">
        <f>'FS Jimbaran Jan 2023'!BE13</f>
        <v>0</v>
      </c>
      <c r="R3" s="45">
        <f>'FS Jimbaran Jan 2023'!BF13</f>
        <v>0</v>
      </c>
      <c r="S3" s="45">
        <f>'FS Jimbaran Jan 2023'!BH13</f>
        <v>0</v>
      </c>
      <c r="T3" s="45">
        <f>'FS Jimbaran Jan 2023'!BH13</f>
        <v>0</v>
      </c>
      <c r="U3" s="45">
        <f>'FS Jimbaran Jan 2023'!BI13</f>
        <v>0</v>
      </c>
      <c r="V3" s="45">
        <f>'FS Jimbaran Jan 2023'!BJ13</f>
        <v>0</v>
      </c>
      <c r="W3" s="45">
        <f>'FS Jimbaran Jan 2023'!Y13</f>
        <v>430</v>
      </c>
      <c r="X3" s="45">
        <f>'FS Jimbaran Jan 2023'!Z13</f>
        <v>0</v>
      </c>
      <c r="Y3" s="45">
        <f>'FS Jimbaran Jan 2023'!AA13</f>
        <v>-6.4</v>
      </c>
      <c r="Z3" s="45">
        <f>'FS Jimbaran Jan 2023'!AB13</f>
        <v>0</v>
      </c>
      <c r="AA3" s="45">
        <f>'FS Jimbaran Jan 2023'!AC13</f>
        <v>0</v>
      </c>
      <c r="AB3" s="45">
        <f>'FS Jimbaran Jan 2023'!AD13</f>
        <v>0</v>
      </c>
      <c r="AC3" s="45">
        <f>'FS Jimbaran Jan 2023'!AE13</f>
        <v>0</v>
      </c>
      <c r="AD3" s="45">
        <f>'FS Jimbaran Jan 2023'!AF13</f>
        <v>0</v>
      </c>
      <c r="AE3" s="45">
        <f>'FS Jimbaran Jan 2023'!AG13</f>
        <v>0</v>
      </c>
      <c r="AF3" s="45">
        <f>'FS Jimbaran Jan 2023'!AH13</f>
        <v>0</v>
      </c>
      <c r="AG3" s="45">
        <f>'FS Jimbaran Jan 2023'!AM13</f>
        <v>0</v>
      </c>
      <c r="AH3" s="45">
        <f>'FS Jimbaran Jan 2023'!AR13</f>
        <v>0</v>
      </c>
      <c r="AI3" s="45">
        <f>'FS Jimbaran Jan 2023'!AQ13</f>
        <v>0</v>
      </c>
      <c r="AJ3" s="45">
        <f>'FS Jimbaran Jan 2023'!AR13</f>
        <v>0</v>
      </c>
      <c r="AK3" s="45">
        <f>'FS Jimbaran Jan 2023'!AY13</f>
        <v>0</v>
      </c>
      <c r="AL3" s="45">
        <f>'FS Jimbaran Jan 2023'!AZ13</f>
        <v>0</v>
      </c>
      <c r="AM3" s="45">
        <f>'FS Jimbaran Jan 2023'!BB13</f>
        <v>0</v>
      </c>
      <c r="AN3" s="45">
        <f>'FS Jimbaran Jan 2023'!BB13</f>
        <v>0</v>
      </c>
      <c r="AO3" s="45">
        <f>'FS Jimbaran Jan 2023'!BK13</f>
        <v>0</v>
      </c>
      <c r="AP3" s="45">
        <f>'FS Jimbaran Jan 2023'!BL13</f>
        <v>0</v>
      </c>
      <c r="AQ3" s="45">
        <f>'FS Jimbaran Jan 2023'!BC13</f>
        <v>0</v>
      </c>
      <c r="AR3" s="45">
        <f>'FS Jimbaran Jan 2023'!BD13</f>
        <v>0</v>
      </c>
      <c r="AS3" s="45">
        <f>'FS Jimbaran Jan 2023'!BM13</f>
        <v>0</v>
      </c>
      <c r="AT3" s="45">
        <f>'FS Jimbaran Jan 2023'!BN13</f>
        <v>0</v>
      </c>
      <c r="AU3" s="45">
        <f>'FS Jimbaran Jan 2023'!BO13</f>
        <v>0</v>
      </c>
      <c r="AV3" s="45">
        <f>'FS Jimbaran Jan 2023'!BP13</f>
        <v>0</v>
      </c>
      <c r="AW3" s="45">
        <f>'FS Jimbaran Jan 2023'!E13</f>
        <v>16.399999999999999</v>
      </c>
      <c r="AX3" s="45">
        <f>'FS Jimbaran Jan 2023'!F13</f>
        <v>0</v>
      </c>
      <c r="AY3" s="45">
        <f>'FS Jimbaran Jan 2023'!O13</f>
        <v>0</v>
      </c>
      <c r="AZ3" s="45">
        <f>'FS Jimbaran Jan 2023'!P13</f>
        <v>0</v>
      </c>
      <c r="BA3" s="45">
        <f>'FS Jimbaran Jan 2023'!W13</f>
        <v>0</v>
      </c>
      <c r="BB3" s="45">
        <f>'FS Jimbaran Jan 2023'!X13</f>
        <v>0</v>
      </c>
      <c r="BC3" s="45">
        <f>'FS Jimbaran Jan 2023'!AI13</f>
        <v>330.2</v>
      </c>
      <c r="BD3" s="45">
        <f>'FS Jimbaran Jan 2023'!AJ13</f>
        <v>0</v>
      </c>
      <c r="BE3" s="45">
        <f>'FS Jimbaran Jan 2023'!AK13</f>
        <v>0</v>
      </c>
      <c r="BF3" s="45">
        <f>'FS Jimbaran Jan 2023'!AL13</f>
        <v>0</v>
      </c>
      <c r="BG3" s="45">
        <f>'FS Jimbaran Jan 2023'!AM13</f>
        <v>0</v>
      </c>
      <c r="BH3" s="45">
        <f>'FS Jimbaran Jan 2023'!AN13</f>
        <v>0</v>
      </c>
      <c r="BI3" s="45">
        <f>'FS Jimbaran Jan 2023'!AO13</f>
        <v>0</v>
      </c>
      <c r="BJ3" s="45">
        <f>'FS Jimbaran Jan 2023'!AO13</f>
        <v>0</v>
      </c>
      <c r="BK3" s="45">
        <f>'FS Jimbaran Jan 2023'!AQ13</f>
        <v>0</v>
      </c>
      <c r="BL3" s="45">
        <f>'FS Jimbaran Jan 2023'!AR13</f>
        <v>0</v>
      </c>
      <c r="BM3" s="45">
        <v>0</v>
      </c>
      <c r="BN3" s="45">
        <v>0</v>
      </c>
      <c r="BO3" s="46">
        <f>'FS Jimbaran Jan 2023'!Q13</f>
        <v>0</v>
      </c>
      <c r="BP3" s="45">
        <f>'FS Jimbaran Jan 2023'!R13</f>
        <v>0</v>
      </c>
    </row>
    <row r="4" spans="1:68">
      <c r="A4" s="40" t="s">
        <v>67</v>
      </c>
      <c r="B4" s="48">
        <f t="shared" ref="B4:B32" si="0">B3+1</f>
        <v>3</v>
      </c>
      <c r="C4" s="49">
        <v>1</v>
      </c>
      <c r="D4" s="50">
        <v>2022</v>
      </c>
      <c r="E4" s="41">
        <f>'FS Jimbaran Jan 2023'!K14</f>
        <v>15</v>
      </c>
      <c r="F4" s="45">
        <f>'FS Jimbaran Jan 2023'!N14</f>
        <v>0</v>
      </c>
      <c r="G4" s="45">
        <f>'FS Jimbaran Jan 2023'!E14</f>
        <v>16.399999999999999</v>
      </c>
      <c r="H4" s="45">
        <f>'FS Jimbaran Jan 2023'!H14</f>
        <v>0</v>
      </c>
      <c r="I4" s="45">
        <f>'FS Jimbaran Jan 2023'!I14</f>
        <v>0</v>
      </c>
      <c r="J4" s="45">
        <f>'FS Jimbaran Jan 2023'!J14</f>
        <v>0</v>
      </c>
      <c r="K4" s="45">
        <f>'FS Jimbaran Jan 2023'!K14</f>
        <v>15</v>
      </c>
      <c r="L4" s="45">
        <f>'FS Jimbaran Jan 2023'!L14</f>
        <v>0</v>
      </c>
      <c r="M4" s="45">
        <f>'FS Jimbaran Jan 2023'!S14</f>
        <v>0</v>
      </c>
      <c r="N4" s="45">
        <f>'FS Jimbaran Jan 2023'!T14</f>
        <v>0</v>
      </c>
      <c r="O4" s="45">
        <f>'FS Jimbaran Jan 2023'!U14</f>
        <v>5.6</v>
      </c>
      <c r="P4" s="45">
        <f>'FS Jimbaran Jan 2023'!V14</f>
        <v>0</v>
      </c>
      <c r="Q4" s="45">
        <f>'FS Jimbaran Jan 2023'!BE14</f>
        <v>0</v>
      </c>
      <c r="R4" s="45">
        <f>'FS Jimbaran Jan 2023'!BF14</f>
        <v>0</v>
      </c>
      <c r="S4" s="45">
        <f>'FS Jimbaran Jan 2023'!BH14</f>
        <v>0</v>
      </c>
      <c r="T4" s="45">
        <f>'FS Jimbaran Jan 2023'!BH14</f>
        <v>0</v>
      </c>
      <c r="U4" s="45">
        <f>'FS Jimbaran Jan 2023'!BI14</f>
        <v>0</v>
      </c>
      <c r="V4" s="45">
        <f>'FS Jimbaran Jan 2023'!BJ14</f>
        <v>0</v>
      </c>
      <c r="W4" s="45">
        <f>'FS Jimbaran Jan 2023'!Y14</f>
        <v>400</v>
      </c>
      <c r="X4" s="45">
        <f>'FS Jimbaran Jan 2023'!Z14</f>
        <v>0</v>
      </c>
      <c r="Y4" s="45">
        <f>'FS Jimbaran Jan 2023'!AA14</f>
        <v>-6.4</v>
      </c>
      <c r="Z4" s="45">
        <f>'FS Jimbaran Jan 2023'!AB14</f>
        <v>0</v>
      </c>
      <c r="AA4" s="45">
        <f>'FS Jimbaran Jan 2023'!AC14</f>
        <v>0</v>
      </c>
      <c r="AB4" s="45">
        <f>'FS Jimbaran Jan 2023'!AD14</f>
        <v>0</v>
      </c>
      <c r="AC4" s="45">
        <f>'FS Jimbaran Jan 2023'!AE14</f>
        <v>0</v>
      </c>
      <c r="AD4" s="45">
        <f>'FS Jimbaran Jan 2023'!AF14</f>
        <v>0</v>
      </c>
      <c r="AE4" s="45">
        <f>'FS Jimbaran Jan 2023'!AG14</f>
        <v>0</v>
      </c>
      <c r="AF4" s="45">
        <f>'FS Jimbaran Jan 2023'!AH14</f>
        <v>0</v>
      </c>
      <c r="AG4" s="45">
        <f>'FS Jimbaran Jan 2023'!AM14</f>
        <v>0</v>
      </c>
      <c r="AH4" s="45">
        <f>'FS Jimbaran Jan 2023'!AR14</f>
        <v>0</v>
      </c>
      <c r="AI4" s="45">
        <f>'FS Jimbaran Jan 2023'!AQ14</f>
        <v>0</v>
      </c>
      <c r="AJ4" s="45">
        <f>'FS Jimbaran Jan 2023'!AR14</f>
        <v>0</v>
      </c>
      <c r="AK4" s="45">
        <f>'FS Jimbaran Jan 2023'!AY14</f>
        <v>0</v>
      </c>
      <c r="AL4" s="45">
        <f>'FS Jimbaran Jan 2023'!AZ14</f>
        <v>0</v>
      </c>
      <c r="AM4" s="45">
        <f>'FS Jimbaran Jan 2023'!BB14</f>
        <v>0</v>
      </c>
      <c r="AN4" s="45">
        <f>'FS Jimbaran Jan 2023'!BB14</f>
        <v>0</v>
      </c>
      <c r="AO4" s="45">
        <f>'FS Jimbaran Jan 2023'!BK14</f>
        <v>0</v>
      </c>
      <c r="AP4" s="45">
        <f>'FS Jimbaran Jan 2023'!BL14</f>
        <v>0</v>
      </c>
      <c r="AQ4" s="45">
        <f>'FS Jimbaran Jan 2023'!BC14</f>
        <v>0</v>
      </c>
      <c r="AR4" s="45">
        <f>'FS Jimbaran Jan 2023'!BD14</f>
        <v>0</v>
      </c>
      <c r="AS4" s="45">
        <f>'FS Jimbaran Jan 2023'!BM14</f>
        <v>0</v>
      </c>
      <c r="AT4" s="45">
        <f>'FS Jimbaran Jan 2023'!BN14</f>
        <v>0</v>
      </c>
      <c r="AU4" s="45">
        <f>'FS Jimbaran Jan 2023'!BO14</f>
        <v>0</v>
      </c>
      <c r="AV4" s="45">
        <f>'FS Jimbaran Jan 2023'!BP14</f>
        <v>0</v>
      </c>
      <c r="AW4" s="45">
        <f>'FS Jimbaran Jan 2023'!E14</f>
        <v>16.399999999999999</v>
      </c>
      <c r="AX4" s="45">
        <f>'FS Jimbaran Jan 2023'!F14</f>
        <v>0</v>
      </c>
      <c r="AY4" s="45">
        <f>'FS Jimbaran Jan 2023'!O14</f>
        <v>0</v>
      </c>
      <c r="AZ4" s="45">
        <f>'FS Jimbaran Jan 2023'!P14</f>
        <v>0</v>
      </c>
      <c r="BA4" s="45">
        <f>'FS Jimbaran Jan 2023'!W14</f>
        <v>0</v>
      </c>
      <c r="BB4" s="45">
        <f>'FS Jimbaran Jan 2023'!X14</f>
        <v>0</v>
      </c>
      <c r="BC4" s="45">
        <f>'FS Jimbaran Jan 2023'!AI14</f>
        <v>338</v>
      </c>
      <c r="BD4" s="45">
        <f>'FS Jimbaran Jan 2023'!AJ14</f>
        <v>0</v>
      </c>
      <c r="BE4" s="45">
        <f>'FS Jimbaran Jan 2023'!AK14</f>
        <v>0</v>
      </c>
      <c r="BF4" s="45">
        <f>'FS Jimbaran Jan 2023'!AL14</f>
        <v>0</v>
      </c>
      <c r="BG4" s="45">
        <f>'FS Jimbaran Jan 2023'!AM14</f>
        <v>0</v>
      </c>
      <c r="BH4" s="45">
        <f>'FS Jimbaran Jan 2023'!AN14</f>
        <v>0</v>
      </c>
      <c r="BI4" s="45">
        <f>'FS Jimbaran Jan 2023'!AO14</f>
        <v>0</v>
      </c>
      <c r="BJ4" s="45">
        <f>'FS Jimbaran Jan 2023'!AO14</f>
        <v>0</v>
      </c>
      <c r="BK4" s="45">
        <f>'FS Jimbaran Jan 2023'!AQ14</f>
        <v>0</v>
      </c>
      <c r="BL4" s="45">
        <f>'FS Jimbaran Jan 2023'!AR14</f>
        <v>0</v>
      </c>
      <c r="BM4" s="45">
        <v>0</v>
      </c>
      <c r="BN4" s="45">
        <v>0</v>
      </c>
      <c r="BO4" s="46">
        <f>'FS Jimbaran Jan 2023'!Q14</f>
        <v>0</v>
      </c>
      <c r="BP4" s="45">
        <f>'FS Jimbaran Jan 2023'!R14</f>
        <v>0</v>
      </c>
    </row>
    <row r="5" spans="1:68">
      <c r="A5" s="40" t="s">
        <v>67</v>
      </c>
      <c r="B5" s="48">
        <f t="shared" si="0"/>
        <v>4</v>
      </c>
      <c r="C5" s="49">
        <v>1</v>
      </c>
      <c r="D5" s="50">
        <v>2022</v>
      </c>
      <c r="E5" s="41">
        <f>'FS Jimbaran Jan 2023'!K15</f>
        <v>15</v>
      </c>
      <c r="F5" s="45">
        <f>'FS Jimbaran Jan 2023'!N15</f>
        <v>0</v>
      </c>
      <c r="G5" s="45">
        <f>'FS Jimbaran Jan 2023'!E15</f>
        <v>16.399999999999999</v>
      </c>
      <c r="H5" s="45">
        <f>'FS Jimbaran Jan 2023'!H15</f>
        <v>0</v>
      </c>
      <c r="I5" s="45">
        <f>'FS Jimbaran Jan 2023'!I15</f>
        <v>0</v>
      </c>
      <c r="J5" s="45">
        <f>'FS Jimbaran Jan 2023'!J15</f>
        <v>0</v>
      </c>
      <c r="K5" s="45">
        <f>'FS Jimbaran Jan 2023'!K15</f>
        <v>15</v>
      </c>
      <c r="L5" s="45">
        <f>'FS Jimbaran Jan 2023'!L15</f>
        <v>0</v>
      </c>
      <c r="M5" s="45">
        <f>'FS Jimbaran Jan 2023'!S15</f>
        <v>0</v>
      </c>
      <c r="N5" s="45">
        <f>'FS Jimbaran Jan 2023'!T15</f>
        <v>0</v>
      </c>
      <c r="O5" s="45">
        <f>'FS Jimbaran Jan 2023'!U15</f>
        <v>5.6</v>
      </c>
      <c r="P5" s="45">
        <f>'FS Jimbaran Jan 2023'!V15</f>
        <v>0</v>
      </c>
      <c r="Q5" s="45">
        <f>'FS Jimbaran Jan 2023'!BE15</f>
        <v>0</v>
      </c>
      <c r="R5" s="45">
        <f>'FS Jimbaran Jan 2023'!BF15</f>
        <v>0</v>
      </c>
      <c r="S5" s="45">
        <f>'FS Jimbaran Jan 2023'!BH15</f>
        <v>0</v>
      </c>
      <c r="T5" s="45">
        <f>'FS Jimbaran Jan 2023'!BH15</f>
        <v>0</v>
      </c>
      <c r="U5" s="45">
        <f>'FS Jimbaran Jan 2023'!BI15</f>
        <v>0</v>
      </c>
      <c r="V5" s="45">
        <f>'FS Jimbaran Jan 2023'!BJ15</f>
        <v>0</v>
      </c>
      <c r="W5" s="45">
        <f>'FS Jimbaran Jan 2023'!Y15</f>
        <v>410</v>
      </c>
      <c r="X5" s="45">
        <f>'FS Jimbaran Jan 2023'!Z15</f>
        <v>0</v>
      </c>
      <c r="Y5" s="45">
        <f>'FS Jimbaran Jan 2023'!AA15</f>
        <v>-6.4</v>
      </c>
      <c r="Z5" s="45">
        <f>'FS Jimbaran Jan 2023'!AB15</f>
        <v>0</v>
      </c>
      <c r="AA5" s="45">
        <f>'FS Jimbaran Jan 2023'!AC15</f>
        <v>0</v>
      </c>
      <c r="AB5" s="45">
        <f>'FS Jimbaran Jan 2023'!AD15</f>
        <v>0</v>
      </c>
      <c r="AC5" s="45">
        <f>'FS Jimbaran Jan 2023'!AE15</f>
        <v>0</v>
      </c>
      <c r="AD5" s="45">
        <f>'FS Jimbaran Jan 2023'!AF15</f>
        <v>0</v>
      </c>
      <c r="AE5" s="45">
        <f>'FS Jimbaran Jan 2023'!AG15</f>
        <v>0</v>
      </c>
      <c r="AF5" s="45">
        <f>'FS Jimbaran Jan 2023'!AH15</f>
        <v>0</v>
      </c>
      <c r="AG5" s="45">
        <f>'FS Jimbaran Jan 2023'!AM15</f>
        <v>0</v>
      </c>
      <c r="AH5" s="45">
        <f>'FS Jimbaran Jan 2023'!AR15</f>
        <v>0</v>
      </c>
      <c r="AI5" s="45">
        <f>'FS Jimbaran Jan 2023'!AQ15</f>
        <v>0</v>
      </c>
      <c r="AJ5" s="45">
        <f>'FS Jimbaran Jan 2023'!AR15</f>
        <v>0</v>
      </c>
      <c r="AK5" s="45">
        <f>'FS Jimbaran Jan 2023'!AY15</f>
        <v>0</v>
      </c>
      <c r="AL5" s="45">
        <f>'FS Jimbaran Jan 2023'!AZ15</f>
        <v>0</v>
      </c>
      <c r="AM5" s="45">
        <f>'FS Jimbaran Jan 2023'!BB15</f>
        <v>0</v>
      </c>
      <c r="AN5" s="45">
        <f>'FS Jimbaran Jan 2023'!BB15</f>
        <v>0</v>
      </c>
      <c r="AO5" s="45">
        <f>'FS Jimbaran Jan 2023'!BK15</f>
        <v>0</v>
      </c>
      <c r="AP5" s="45">
        <f>'FS Jimbaran Jan 2023'!BL15</f>
        <v>0</v>
      </c>
      <c r="AQ5" s="45">
        <f>'FS Jimbaran Jan 2023'!BC15</f>
        <v>0</v>
      </c>
      <c r="AR5" s="45">
        <f>'FS Jimbaran Jan 2023'!BD15</f>
        <v>0</v>
      </c>
      <c r="AS5" s="45">
        <f>'FS Jimbaran Jan 2023'!BM15</f>
        <v>0</v>
      </c>
      <c r="AT5" s="45">
        <f>'FS Jimbaran Jan 2023'!BN15</f>
        <v>0</v>
      </c>
      <c r="AU5" s="45">
        <f>'FS Jimbaran Jan 2023'!BO15</f>
        <v>0</v>
      </c>
      <c r="AV5" s="45">
        <f>'FS Jimbaran Jan 2023'!BP15</f>
        <v>0</v>
      </c>
      <c r="AW5" s="45">
        <f>'FS Jimbaran Jan 2023'!E15</f>
        <v>16.399999999999999</v>
      </c>
      <c r="AX5" s="45">
        <f>'FS Jimbaran Jan 2023'!F15</f>
        <v>0</v>
      </c>
      <c r="AY5" s="45">
        <f>'FS Jimbaran Jan 2023'!O15</f>
        <v>0</v>
      </c>
      <c r="AZ5" s="45">
        <f>'FS Jimbaran Jan 2023'!P15</f>
        <v>0</v>
      </c>
      <c r="BA5" s="45">
        <f>'FS Jimbaran Jan 2023'!W15</f>
        <v>0</v>
      </c>
      <c r="BB5" s="45">
        <f>'FS Jimbaran Jan 2023'!X15</f>
        <v>0</v>
      </c>
      <c r="BC5" s="45">
        <f>'FS Jimbaran Jan 2023'!AI15</f>
        <v>369.2</v>
      </c>
      <c r="BD5" s="45">
        <f>'FS Jimbaran Jan 2023'!AJ15</f>
        <v>0</v>
      </c>
      <c r="BE5" s="45">
        <f>'FS Jimbaran Jan 2023'!AK15</f>
        <v>0</v>
      </c>
      <c r="BF5" s="45">
        <f>'FS Jimbaran Jan 2023'!AL15</f>
        <v>0</v>
      </c>
      <c r="BG5" s="45">
        <f>'FS Jimbaran Jan 2023'!AM15</f>
        <v>0</v>
      </c>
      <c r="BH5" s="45">
        <f>'FS Jimbaran Jan 2023'!AN15</f>
        <v>0</v>
      </c>
      <c r="BI5" s="45">
        <f>'FS Jimbaran Jan 2023'!AO15</f>
        <v>0</v>
      </c>
      <c r="BJ5" s="45">
        <f>'FS Jimbaran Jan 2023'!AO15</f>
        <v>0</v>
      </c>
      <c r="BK5" s="45">
        <f>'FS Jimbaran Jan 2023'!AQ15</f>
        <v>0</v>
      </c>
      <c r="BL5" s="45">
        <f>'FS Jimbaran Jan 2023'!AR15</f>
        <v>0</v>
      </c>
      <c r="BM5" s="45">
        <v>0</v>
      </c>
      <c r="BN5" s="45">
        <v>0</v>
      </c>
      <c r="BO5" s="46">
        <f>'FS Jimbaran Jan 2023'!Q15</f>
        <v>0</v>
      </c>
      <c r="BP5" s="45">
        <f>'FS Jimbaran Jan 2023'!R15</f>
        <v>0</v>
      </c>
    </row>
    <row r="6" spans="1:68">
      <c r="A6" s="40" t="s">
        <v>67</v>
      </c>
      <c r="B6" s="48">
        <f t="shared" si="0"/>
        <v>5</v>
      </c>
      <c r="C6" s="49">
        <v>1</v>
      </c>
      <c r="D6" s="50">
        <v>2022</v>
      </c>
      <c r="E6" s="41">
        <f>'FS Jimbaran Jan 2023'!K16</f>
        <v>15</v>
      </c>
      <c r="F6" s="45">
        <f>'FS Jimbaran Jan 2023'!N16</f>
        <v>0</v>
      </c>
      <c r="G6" s="45">
        <f>'FS Jimbaran Jan 2023'!E16</f>
        <v>16.399999999999999</v>
      </c>
      <c r="H6" s="45">
        <f>'FS Jimbaran Jan 2023'!H16</f>
        <v>0</v>
      </c>
      <c r="I6" s="45">
        <f>'FS Jimbaran Jan 2023'!I16</f>
        <v>0</v>
      </c>
      <c r="J6" s="45">
        <f>'FS Jimbaran Jan 2023'!J16</f>
        <v>0</v>
      </c>
      <c r="K6" s="45">
        <f>'FS Jimbaran Jan 2023'!K16</f>
        <v>15</v>
      </c>
      <c r="L6" s="45">
        <f>'FS Jimbaran Jan 2023'!L16</f>
        <v>0</v>
      </c>
      <c r="M6" s="45">
        <f>'FS Jimbaran Jan 2023'!S16</f>
        <v>0</v>
      </c>
      <c r="N6" s="45">
        <f>'FS Jimbaran Jan 2023'!T16</f>
        <v>0</v>
      </c>
      <c r="O6" s="45">
        <f>'FS Jimbaran Jan 2023'!U16</f>
        <v>5.6</v>
      </c>
      <c r="P6" s="45">
        <f>'FS Jimbaran Jan 2023'!V16</f>
        <v>0</v>
      </c>
      <c r="Q6" s="45">
        <f>'FS Jimbaran Jan 2023'!BE16</f>
        <v>0</v>
      </c>
      <c r="R6" s="45">
        <f>'FS Jimbaran Jan 2023'!BF16</f>
        <v>0</v>
      </c>
      <c r="S6" s="45">
        <f>'FS Jimbaran Jan 2023'!BH16</f>
        <v>0</v>
      </c>
      <c r="T6" s="45">
        <f>'FS Jimbaran Jan 2023'!BH16</f>
        <v>0</v>
      </c>
      <c r="U6" s="45">
        <f>'FS Jimbaran Jan 2023'!BI16</f>
        <v>0</v>
      </c>
      <c r="V6" s="45">
        <f>'FS Jimbaran Jan 2023'!BJ16</f>
        <v>0</v>
      </c>
      <c r="W6" s="45">
        <f>'FS Jimbaran Jan 2023'!Y16</f>
        <v>415</v>
      </c>
      <c r="X6" s="45">
        <f>'FS Jimbaran Jan 2023'!Z16</f>
        <v>0</v>
      </c>
      <c r="Y6" s="45">
        <f>'FS Jimbaran Jan 2023'!AA16</f>
        <v>-6.4</v>
      </c>
      <c r="Z6" s="45">
        <f>'FS Jimbaran Jan 2023'!AB16</f>
        <v>0</v>
      </c>
      <c r="AA6" s="45">
        <f>'FS Jimbaran Jan 2023'!AC16</f>
        <v>0</v>
      </c>
      <c r="AB6" s="45">
        <f>'FS Jimbaran Jan 2023'!AD16</f>
        <v>0</v>
      </c>
      <c r="AC6" s="45">
        <f>'FS Jimbaran Jan 2023'!AE16</f>
        <v>0</v>
      </c>
      <c r="AD6" s="45">
        <f>'FS Jimbaran Jan 2023'!AF16</f>
        <v>0</v>
      </c>
      <c r="AE6" s="45">
        <f>'FS Jimbaran Jan 2023'!AG16</f>
        <v>0</v>
      </c>
      <c r="AF6" s="45">
        <f>'FS Jimbaran Jan 2023'!AH16</f>
        <v>0</v>
      </c>
      <c r="AG6" s="45">
        <f>'FS Jimbaran Jan 2023'!AM16</f>
        <v>0</v>
      </c>
      <c r="AH6" s="45">
        <f>'FS Jimbaran Jan 2023'!AR16</f>
        <v>0</v>
      </c>
      <c r="AI6" s="45">
        <f>'FS Jimbaran Jan 2023'!AQ16</f>
        <v>0</v>
      </c>
      <c r="AJ6" s="45">
        <f>'FS Jimbaran Jan 2023'!AR16</f>
        <v>0</v>
      </c>
      <c r="AK6" s="45">
        <f>'FS Jimbaran Jan 2023'!AY16</f>
        <v>0</v>
      </c>
      <c r="AL6" s="45">
        <f>'FS Jimbaran Jan 2023'!AZ16</f>
        <v>0</v>
      </c>
      <c r="AM6" s="45">
        <f>'FS Jimbaran Jan 2023'!BB16</f>
        <v>0</v>
      </c>
      <c r="AN6" s="45">
        <f>'FS Jimbaran Jan 2023'!BB16</f>
        <v>0</v>
      </c>
      <c r="AO6" s="45">
        <f>'FS Jimbaran Jan 2023'!BK16</f>
        <v>0</v>
      </c>
      <c r="AP6" s="45">
        <f>'FS Jimbaran Jan 2023'!BL16</f>
        <v>0</v>
      </c>
      <c r="AQ6" s="45">
        <f>'FS Jimbaran Jan 2023'!BC16</f>
        <v>0</v>
      </c>
      <c r="AR6" s="45">
        <f>'FS Jimbaran Jan 2023'!BD16</f>
        <v>0</v>
      </c>
      <c r="AS6" s="45">
        <f>'FS Jimbaran Jan 2023'!BM16</f>
        <v>0</v>
      </c>
      <c r="AT6" s="45">
        <f>'FS Jimbaran Jan 2023'!BN16</f>
        <v>0</v>
      </c>
      <c r="AU6" s="45">
        <f>'FS Jimbaran Jan 2023'!BO16</f>
        <v>0</v>
      </c>
      <c r="AV6" s="45">
        <f>'FS Jimbaran Jan 2023'!BP16</f>
        <v>0</v>
      </c>
      <c r="AW6" s="45">
        <f>'FS Jimbaran Jan 2023'!E16</f>
        <v>16.399999999999999</v>
      </c>
      <c r="AX6" s="45">
        <f>'FS Jimbaran Jan 2023'!F16</f>
        <v>0</v>
      </c>
      <c r="AY6" s="45">
        <f>'FS Jimbaran Jan 2023'!O16</f>
        <v>0</v>
      </c>
      <c r="AZ6" s="45">
        <f>'FS Jimbaran Jan 2023'!P16</f>
        <v>0</v>
      </c>
      <c r="BA6" s="45">
        <f>'FS Jimbaran Jan 2023'!W16</f>
        <v>0</v>
      </c>
      <c r="BB6" s="45">
        <f>'FS Jimbaran Jan 2023'!X16</f>
        <v>0</v>
      </c>
      <c r="BC6" s="45">
        <f>'FS Jimbaran Jan 2023'!AI16</f>
        <v>423.8</v>
      </c>
      <c r="BD6" s="45">
        <f>'FS Jimbaran Jan 2023'!AJ16</f>
        <v>0</v>
      </c>
      <c r="BE6" s="45">
        <f>'FS Jimbaran Jan 2023'!AK16</f>
        <v>0</v>
      </c>
      <c r="BF6" s="45">
        <f>'FS Jimbaran Jan 2023'!AL16</f>
        <v>0</v>
      </c>
      <c r="BG6" s="45">
        <f>'FS Jimbaran Jan 2023'!AM16</f>
        <v>0</v>
      </c>
      <c r="BH6" s="45">
        <f>'FS Jimbaran Jan 2023'!AN16</f>
        <v>0</v>
      </c>
      <c r="BI6" s="45">
        <f>'FS Jimbaran Jan 2023'!AO16</f>
        <v>0</v>
      </c>
      <c r="BJ6" s="45">
        <f>'FS Jimbaran Jan 2023'!AO16</f>
        <v>0</v>
      </c>
      <c r="BK6" s="45">
        <f>'FS Jimbaran Jan 2023'!AQ16</f>
        <v>0</v>
      </c>
      <c r="BL6" s="45">
        <f>'FS Jimbaran Jan 2023'!AR16</f>
        <v>0</v>
      </c>
      <c r="BM6" s="45">
        <v>0</v>
      </c>
      <c r="BN6" s="45">
        <v>0</v>
      </c>
      <c r="BO6" s="46">
        <f>'FS Jimbaran Jan 2023'!Q16</f>
        <v>0</v>
      </c>
      <c r="BP6" s="45">
        <f>'FS Jimbaran Jan 2023'!R16</f>
        <v>0</v>
      </c>
    </row>
    <row r="7" spans="1:68">
      <c r="A7" s="40" t="s">
        <v>67</v>
      </c>
      <c r="B7" s="48">
        <f t="shared" si="0"/>
        <v>6</v>
      </c>
      <c r="C7" s="49">
        <v>1</v>
      </c>
      <c r="D7" s="50">
        <v>2022</v>
      </c>
      <c r="E7" s="41">
        <f>'FS Jimbaran Jan 2023'!K17</f>
        <v>15</v>
      </c>
      <c r="F7" s="45">
        <f>'FS Jimbaran Jan 2023'!N17</f>
        <v>0</v>
      </c>
      <c r="G7" s="45">
        <f>'FS Jimbaran Jan 2023'!E17</f>
        <v>16.399999999999999</v>
      </c>
      <c r="H7" s="45">
        <f>'FS Jimbaran Jan 2023'!H17</f>
        <v>0</v>
      </c>
      <c r="I7" s="45">
        <f>'FS Jimbaran Jan 2023'!I17</f>
        <v>0</v>
      </c>
      <c r="J7" s="45">
        <f>'FS Jimbaran Jan 2023'!J17</f>
        <v>0</v>
      </c>
      <c r="K7" s="45">
        <f>'FS Jimbaran Jan 2023'!K17</f>
        <v>15</v>
      </c>
      <c r="L7" s="45">
        <f>'FS Jimbaran Jan 2023'!L17</f>
        <v>0</v>
      </c>
      <c r="M7" s="45">
        <f>'FS Jimbaran Jan 2023'!S17</f>
        <v>0</v>
      </c>
      <c r="N7" s="45">
        <f>'FS Jimbaran Jan 2023'!T17</f>
        <v>0</v>
      </c>
      <c r="O7" s="45">
        <f>'FS Jimbaran Jan 2023'!U17</f>
        <v>5.6</v>
      </c>
      <c r="P7" s="45">
        <f>'FS Jimbaran Jan 2023'!V17</f>
        <v>0</v>
      </c>
      <c r="Q7" s="45">
        <f>'FS Jimbaran Jan 2023'!BE17</f>
        <v>0</v>
      </c>
      <c r="R7" s="45">
        <f>'FS Jimbaran Jan 2023'!BF17</f>
        <v>0</v>
      </c>
      <c r="S7" s="45">
        <f>'FS Jimbaran Jan 2023'!BH17</f>
        <v>0</v>
      </c>
      <c r="T7" s="45">
        <f>'FS Jimbaran Jan 2023'!BH17</f>
        <v>0</v>
      </c>
      <c r="U7" s="45">
        <f>'FS Jimbaran Jan 2023'!BI17</f>
        <v>0</v>
      </c>
      <c r="V7" s="45">
        <f>'FS Jimbaran Jan 2023'!BJ17</f>
        <v>0</v>
      </c>
      <c r="W7" s="45">
        <f>'FS Jimbaran Jan 2023'!Y17</f>
        <v>440</v>
      </c>
      <c r="X7" s="45">
        <f>'FS Jimbaran Jan 2023'!Z17</f>
        <v>0</v>
      </c>
      <c r="Y7" s="45">
        <f>'FS Jimbaran Jan 2023'!AA17</f>
        <v>-6.4</v>
      </c>
      <c r="Z7" s="45">
        <f>'FS Jimbaran Jan 2023'!AB17</f>
        <v>0</v>
      </c>
      <c r="AA7" s="45">
        <f>'FS Jimbaran Jan 2023'!AC17</f>
        <v>0</v>
      </c>
      <c r="AB7" s="45">
        <f>'FS Jimbaran Jan 2023'!AD17</f>
        <v>0</v>
      </c>
      <c r="AC7" s="45">
        <f>'FS Jimbaran Jan 2023'!AE17</f>
        <v>0</v>
      </c>
      <c r="AD7" s="45">
        <f>'FS Jimbaran Jan 2023'!AF17</f>
        <v>0</v>
      </c>
      <c r="AE7" s="45">
        <f>'FS Jimbaran Jan 2023'!AG17</f>
        <v>0</v>
      </c>
      <c r="AF7" s="45">
        <f>'FS Jimbaran Jan 2023'!AH17</f>
        <v>0</v>
      </c>
      <c r="AG7" s="45">
        <f>'FS Jimbaran Jan 2023'!AM17</f>
        <v>0</v>
      </c>
      <c r="AH7" s="45">
        <f>'FS Jimbaran Jan 2023'!AR17</f>
        <v>0</v>
      </c>
      <c r="AI7" s="45">
        <f>'FS Jimbaran Jan 2023'!AQ17</f>
        <v>0</v>
      </c>
      <c r="AJ7" s="45">
        <f>'FS Jimbaran Jan 2023'!AR17</f>
        <v>0</v>
      </c>
      <c r="AK7" s="45">
        <f>'FS Jimbaran Jan 2023'!AY17</f>
        <v>0</v>
      </c>
      <c r="AL7" s="45">
        <f>'FS Jimbaran Jan 2023'!AZ17</f>
        <v>0</v>
      </c>
      <c r="AM7" s="45">
        <f>'FS Jimbaran Jan 2023'!BB17</f>
        <v>0</v>
      </c>
      <c r="AN7" s="45">
        <f>'FS Jimbaran Jan 2023'!BB17</f>
        <v>0</v>
      </c>
      <c r="AO7" s="45">
        <f>'FS Jimbaran Jan 2023'!BK17</f>
        <v>0</v>
      </c>
      <c r="AP7" s="45">
        <f>'FS Jimbaran Jan 2023'!BL17</f>
        <v>0</v>
      </c>
      <c r="AQ7" s="45">
        <f>'FS Jimbaran Jan 2023'!BC17</f>
        <v>0</v>
      </c>
      <c r="AR7" s="45">
        <f>'FS Jimbaran Jan 2023'!BD17</f>
        <v>0</v>
      </c>
      <c r="AS7" s="45">
        <f>'FS Jimbaran Jan 2023'!BM17</f>
        <v>0</v>
      </c>
      <c r="AT7" s="45">
        <f>'FS Jimbaran Jan 2023'!BN17</f>
        <v>0</v>
      </c>
      <c r="AU7" s="45">
        <f>'FS Jimbaran Jan 2023'!BO17</f>
        <v>0</v>
      </c>
      <c r="AV7" s="45">
        <f>'FS Jimbaran Jan 2023'!BP17</f>
        <v>0</v>
      </c>
      <c r="AW7" s="45">
        <f>'FS Jimbaran Jan 2023'!E17</f>
        <v>16.399999999999999</v>
      </c>
      <c r="AX7" s="45">
        <f>'FS Jimbaran Jan 2023'!F17</f>
        <v>0</v>
      </c>
      <c r="AY7" s="45">
        <f>'FS Jimbaran Jan 2023'!O17</f>
        <v>0</v>
      </c>
      <c r="AZ7" s="45">
        <f>'FS Jimbaran Jan 2023'!P17</f>
        <v>0</v>
      </c>
      <c r="BA7" s="45">
        <f>'FS Jimbaran Jan 2023'!W17</f>
        <v>0</v>
      </c>
      <c r="BB7" s="45">
        <f>'FS Jimbaran Jan 2023'!X17</f>
        <v>0</v>
      </c>
      <c r="BC7" s="45">
        <f>'FS Jimbaran Jan 2023'!AI17</f>
        <v>561.6</v>
      </c>
      <c r="BD7" s="45">
        <f>'FS Jimbaran Jan 2023'!AJ17</f>
        <v>0</v>
      </c>
      <c r="BE7" s="45">
        <f>'FS Jimbaran Jan 2023'!AK17</f>
        <v>0</v>
      </c>
      <c r="BF7" s="45">
        <f>'FS Jimbaran Jan 2023'!AL17</f>
        <v>0</v>
      </c>
      <c r="BG7" s="45">
        <f>'FS Jimbaran Jan 2023'!AM17</f>
        <v>0</v>
      </c>
      <c r="BH7" s="45">
        <f>'FS Jimbaran Jan 2023'!AN17</f>
        <v>0</v>
      </c>
      <c r="BI7" s="45">
        <f>'FS Jimbaran Jan 2023'!AO17</f>
        <v>0</v>
      </c>
      <c r="BJ7" s="45">
        <f>'FS Jimbaran Jan 2023'!AO17</f>
        <v>0</v>
      </c>
      <c r="BK7" s="45">
        <f>'FS Jimbaran Jan 2023'!AQ17</f>
        <v>0</v>
      </c>
      <c r="BL7" s="45">
        <f>'FS Jimbaran Jan 2023'!AR17</f>
        <v>0</v>
      </c>
      <c r="BM7" s="45">
        <v>0</v>
      </c>
      <c r="BN7" s="45">
        <v>0</v>
      </c>
      <c r="BO7" s="46">
        <f>'FS Jimbaran Jan 2023'!Q17</f>
        <v>0</v>
      </c>
      <c r="BP7" s="45">
        <f>'FS Jimbaran Jan 2023'!R17</f>
        <v>0</v>
      </c>
    </row>
    <row r="8" spans="1:68">
      <c r="A8" s="40" t="s">
        <v>67</v>
      </c>
      <c r="B8" s="48">
        <f t="shared" si="0"/>
        <v>7</v>
      </c>
      <c r="C8" s="49">
        <v>1</v>
      </c>
      <c r="D8" s="50">
        <v>2022</v>
      </c>
      <c r="E8" s="41">
        <f>'FS Jimbaran Jan 2023'!K18</f>
        <v>15</v>
      </c>
      <c r="F8" s="45">
        <f>'FS Jimbaran Jan 2023'!N18</f>
        <v>0</v>
      </c>
      <c r="G8" s="45">
        <f>'FS Jimbaran Jan 2023'!E18</f>
        <v>16.399999999999999</v>
      </c>
      <c r="H8" s="45">
        <f>'FS Jimbaran Jan 2023'!H18</f>
        <v>0</v>
      </c>
      <c r="I8" s="45">
        <f>'FS Jimbaran Jan 2023'!I18</f>
        <v>0</v>
      </c>
      <c r="J8" s="45">
        <f>'FS Jimbaran Jan 2023'!J18</f>
        <v>0</v>
      </c>
      <c r="K8" s="45">
        <f>'FS Jimbaran Jan 2023'!K18</f>
        <v>15</v>
      </c>
      <c r="L8" s="45">
        <f>'FS Jimbaran Jan 2023'!L18</f>
        <v>0</v>
      </c>
      <c r="M8" s="45">
        <f>'FS Jimbaran Jan 2023'!S18</f>
        <v>0</v>
      </c>
      <c r="N8" s="45">
        <f>'FS Jimbaran Jan 2023'!T18</f>
        <v>0</v>
      </c>
      <c r="O8" s="45">
        <f>'FS Jimbaran Jan 2023'!U18</f>
        <v>5.6</v>
      </c>
      <c r="P8" s="45">
        <f>'FS Jimbaran Jan 2023'!V18</f>
        <v>0</v>
      </c>
      <c r="Q8" s="45">
        <f>'FS Jimbaran Jan 2023'!BE18</f>
        <v>0</v>
      </c>
      <c r="R8" s="45">
        <f>'FS Jimbaran Jan 2023'!BF18</f>
        <v>0</v>
      </c>
      <c r="S8" s="45">
        <f>'FS Jimbaran Jan 2023'!BH18</f>
        <v>0</v>
      </c>
      <c r="T8" s="45">
        <f>'FS Jimbaran Jan 2023'!BH18</f>
        <v>0</v>
      </c>
      <c r="U8" s="45">
        <f>'FS Jimbaran Jan 2023'!BI18</f>
        <v>0</v>
      </c>
      <c r="V8" s="45">
        <f>'FS Jimbaran Jan 2023'!BJ18</f>
        <v>0</v>
      </c>
      <c r="W8" s="45">
        <f>'FS Jimbaran Jan 2023'!Y18</f>
        <v>425</v>
      </c>
      <c r="X8" s="45">
        <f>'FS Jimbaran Jan 2023'!Z18</f>
        <v>0</v>
      </c>
      <c r="Y8" s="45">
        <f>'FS Jimbaran Jan 2023'!AA18</f>
        <v>-6.4</v>
      </c>
      <c r="Z8" s="45">
        <f>'FS Jimbaran Jan 2023'!AB18</f>
        <v>0</v>
      </c>
      <c r="AA8" s="45">
        <f>'FS Jimbaran Jan 2023'!AC18</f>
        <v>0</v>
      </c>
      <c r="AB8" s="45">
        <f>'FS Jimbaran Jan 2023'!AD18</f>
        <v>0</v>
      </c>
      <c r="AC8" s="45">
        <f>'FS Jimbaran Jan 2023'!AE18</f>
        <v>0</v>
      </c>
      <c r="AD8" s="45">
        <f>'FS Jimbaran Jan 2023'!AF18</f>
        <v>0</v>
      </c>
      <c r="AE8" s="45">
        <f>'FS Jimbaran Jan 2023'!AG18</f>
        <v>0</v>
      </c>
      <c r="AF8" s="45">
        <f>'FS Jimbaran Jan 2023'!AH18</f>
        <v>0</v>
      </c>
      <c r="AG8" s="45">
        <f>'FS Jimbaran Jan 2023'!AM18</f>
        <v>0</v>
      </c>
      <c r="AH8" s="45">
        <f>'FS Jimbaran Jan 2023'!AR18</f>
        <v>0</v>
      </c>
      <c r="AI8" s="45">
        <f>'FS Jimbaran Jan 2023'!AQ18</f>
        <v>0</v>
      </c>
      <c r="AJ8" s="45">
        <f>'FS Jimbaran Jan 2023'!AR18</f>
        <v>0</v>
      </c>
      <c r="AK8" s="45">
        <f>'FS Jimbaran Jan 2023'!AY18</f>
        <v>0</v>
      </c>
      <c r="AL8" s="45">
        <f>'FS Jimbaran Jan 2023'!AZ18</f>
        <v>0</v>
      </c>
      <c r="AM8" s="45">
        <f>'FS Jimbaran Jan 2023'!BB18</f>
        <v>0</v>
      </c>
      <c r="AN8" s="45">
        <f>'FS Jimbaran Jan 2023'!BB18</f>
        <v>0</v>
      </c>
      <c r="AO8" s="45">
        <f>'FS Jimbaran Jan 2023'!BK18</f>
        <v>0</v>
      </c>
      <c r="AP8" s="45">
        <f>'FS Jimbaran Jan 2023'!BL18</f>
        <v>0</v>
      </c>
      <c r="AQ8" s="45">
        <f>'FS Jimbaran Jan 2023'!BC18</f>
        <v>0</v>
      </c>
      <c r="AR8" s="45">
        <f>'FS Jimbaran Jan 2023'!BD18</f>
        <v>0</v>
      </c>
      <c r="AS8" s="45">
        <f>'FS Jimbaran Jan 2023'!BM18</f>
        <v>0</v>
      </c>
      <c r="AT8" s="45">
        <f>'FS Jimbaran Jan 2023'!BN18</f>
        <v>0</v>
      </c>
      <c r="AU8" s="45">
        <f>'FS Jimbaran Jan 2023'!BO18</f>
        <v>0</v>
      </c>
      <c r="AV8" s="45">
        <f>'FS Jimbaran Jan 2023'!BP18</f>
        <v>0</v>
      </c>
      <c r="AW8" s="45">
        <f>'FS Jimbaran Jan 2023'!E18</f>
        <v>16.399999999999999</v>
      </c>
      <c r="AX8" s="45">
        <f>'FS Jimbaran Jan 2023'!F18</f>
        <v>0</v>
      </c>
      <c r="AY8" s="45">
        <f>'FS Jimbaran Jan 2023'!O18</f>
        <v>0</v>
      </c>
      <c r="AZ8" s="45">
        <f>'FS Jimbaran Jan 2023'!P18</f>
        <v>0</v>
      </c>
      <c r="BA8" s="45">
        <f>'FS Jimbaran Jan 2023'!W18</f>
        <v>0</v>
      </c>
      <c r="BB8" s="45">
        <f>'FS Jimbaran Jan 2023'!X18</f>
        <v>0</v>
      </c>
      <c r="BC8" s="45">
        <f>'FS Jimbaran Jan 2023'!AI18</f>
        <v>470.6</v>
      </c>
      <c r="BD8" s="45">
        <f>'FS Jimbaran Jan 2023'!AJ18</f>
        <v>0</v>
      </c>
      <c r="BE8" s="45">
        <f>'FS Jimbaran Jan 2023'!AK18</f>
        <v>0</v>
      </c>
      <c r="BF8" s="45">
        <f>'FS Jimbaran Jan 2023'!AL18</f>
        <v>0</v>
      </c>
      <c r="BG8" s="45">
        <f>'FS Jimbaran Jan 2023'!AM18</f>
        <v>0</v>
      </c>
      <c r="BH8" s="45">
        <f>'FS Jimbaran Jan 2023'!AN18</f>
        <v>0</v>
      </c>
      <c r="BI8" s="45">
        <f>'FS Jimbaran Jan 2023'!AO18</f>
        <v>0</v>
      </c>
      <c r="BJ8" s="45">
        <f>'FS Jimbaran Jan 2023'!AO18</f>
        <v>0</v>
      </c>
      <c r="BK8" s="45">
        <f>'FS Jimbaran Jan 2023'!AQ18</f>
        <v>0</v>
      </c>
      <c r="BL8" s="45">
        <f>'FS Jimbaran Jan 2023'!AR18</f>
        <v>0</v>
      </c>
      <c r="BM8" s="45">
        <v>0</v>
      </c>
      <c r="BN8" s="45">
        <v>0</v>
      </c>
      <c r="BO8" s="46">
        <f>'FS Jimbaran Jan 2023'!Q18</f>
        <v>0</v>
      </c>
      <c r="BP8" s="45">
        <f>'FS Jimbaran Jan 2023'!R18</f>
        <v>0</v>
      </c>
    </row>
    <row r="9" spans="1:68">
      <c r="A9" s="40" t="s">
        <v>67</v>
      </c>
      <c r="B9" s="48">
        <f t="shared" si="0"/>
        <v>8</v>
      </c>
      <c r="C9" s="49">
        <v>1</v>
      </c>
      <c r="D9" s="50">
        <v>2022</v>
      </c>
      <c r="E9" s="41">
        <f>'FS Jimbaran Jan 2023'!K19</f>
        <v>15</v>
      </c>
      <c r="F9" s="45">
        <f>'FS Jimbaran Jan 2023'!N19</f>
        <v>0</v>
      </c>
      <c r="G9" s="45">
        <f>'FS Jimbaran Jan 2023'!E19</f>
        <v>16.399999999999999</v>
      </c>
      <c r="H9" s="45">
        <f>'FS Jimbaran Jan 2023'!H19</f>
        <v>0</v>
      </c>
      <c r="I9" s="45">
        <f>'FS Jimbaran Jan 2023'!I19</f>
        <v>0</v>
      </c>
      <c r="J9" s="45">
        <f>'FS Jimbaran Jan 2023'!J19</f>
        <v>0</v>
      </c>
      <c r="K9" s="45">
        <f>'FS Jimbaran Jan 2023'!K19</f>
        <v>15</v>
      </c>
      <c r="L9" s="45">
        <f>'FS Jimbaran Jan 2023'!L19</f>
        <v>0</v>
      </c>
      <c r="M9" s="45">
        <f>'FS Jimbaran Jan 2023'!S19</f>
        <v>0</v>
      </c>
      <c r="N9" s="45">
        <f>'FS Jimbaran Jan 2023'!T19</f>
        <v>0</v>
      </c>
      <c r="O9" s="45">
        <f>'FS Jimbaran Jan 2023'!U19</f>
        <v>5.6</v>
      </c>
      <c r="P9" s="45">
        <f>'FS Jimbaran Jan 2023'!V19</f>
        <v>0</v>
      </c>
      <c r="Q9" s="45">
        <f>'FS Jimbaran Jan 2023'!BE19</f>
        <v>0</v>
      </c>
      <c r="R9" s="45">
        <f>'FS Jimbaran Jan 2023'!BF19</f>
        <v>0</v>
      </c>
      <c r="S9" s="45">
        <f>'FS Jimbaran Jan 2023'!BH19</f>
        <v>0</v>
      </c>
      <c r="T9" s="45">
        <f>'FS Jimbaran Jan 2023'!BH19</f>
        <v>0</v>
      </c>
      <c r="U9" s="45">
        <f>'FS Jimbaran Jan 2023'!BI19</f>
        <v>0</v>
      </c>
      <c r="V9" s="45">
        <f>'FS Jimbaran Jan 2023'!BJ19</f>
        <v>0</v>
      </c>
      <c r="W9" s="45">
        <f>'FS Jimbaran Jan 2023'!Y19</f>
        <v>445</v>
      </c>
      <c r="X9" s="45">
        <f>'FS Jimbaran Jan 2023'!Z19</f>
        <v>0</v>
      </c>
      <c r="Y9" s="45">
        <f>'FS Jimbaran Jan 2023'!AA19</f>
        <v>-6.4</v>
      </c>
      <c r="Z9" s="45">
        <f>'FS Jimbaran Jan 2023'!AB19</f>
        <v>0</v>
      </c>
      <c r="AA9" s="45">
        <f>'FS Jimbaran Jan 2023'!AC19</f>
        <v>0</v>
      </c>
      <c r="AB9" s="45">
        <f>'FS Jimbaran Jan 2023'!AD19</f>
        <v>0</v>
      </c>
      <c r="AC9" s="45">
        <f>'FS Jimbaran Jan 2023'!AE19</f>
        <v>0</v>
      </c>
      <c r="AD9" s="45">
        <f>'FS Jimbaran Jan 2023'!AF19</f>
        <v>0</v>
      </c>
      <c r="AE9" s="45">
        <f>'FS Jimbaran Jan 2023'!AG19</f>
        <v>0</v>
      </c>
      <c r="AF9" s="45">
        <f>'FS Jimbaran Jan 2023'!AH19</f>
        <v>0</v>
      </c>
      <c r="AG9" s="45">
        <f>'FS Jimbaran Jan 2023'!AM19</f>
        <v>0</v>
      </c>
      <c r="AH9" s="45">
        <f>'FS Jimbaran Jan 2023'!AR19</f>
        <v>0</v>
      </c>
      <c r="AI9" s="45">
        <f>'FS Jimbaran Jan 2023'!AQ19</f>
        <v>0</v>
      </c>
      <c r="AJ9" s="45">
        <f>'FS Jimbaran Jan 2023'!AR19</f>
        <v>0</v>
      </c>
      <c r="AK9" s="45">
        <f>'FS Jimbaran Jan 2023'!AY19</f>
        <v>0</v>
      </c>
      <c r="AL9" s="45">
        <f>'FS Jimbaran Jan 2023'!AZ19</f>
        <v>0</v>
      </c>
      <c r="AM9" s="45">
        <f>'FS Jimbaran Jan 2023'!BB19</f>
        <v>0</v>
      </c>
      <c r="AN9" s="45">
        <f>'FS Jimbaran Jan 2023'!BB19</f>
        <v>0</v>
      </c>
      <c r="AO9" s="45">
        <f>'FS Jimbaran Jan 2023'!BK19</f>
        <v>0</v>
      </c>
      <c r="AP9" s="45">
        <f>'FS Jimbaran Jan 2023'!BL19</f>
        <v>0</v>
      </c>
      <c r="AQ9" s="45">
        <f>'FS Jimbaran Jan 2023'!BC19</f>
        <v>0</v>
      </c>
      <c r="AR9" s="45">
        <f>'FS Jimbaran Jan 2023'!BD19</f>
        <v>0</v>
      </c>
      <c r="AS9" s="45">
        <f>'FS Jimbaran Jan 2023'!BM19</f>
        <v>0</v>
      </c>
      <c r="AT9" s="45">
        <f>'FS Jimbaran Jan 2023'!BN19</f>
        <v>0</v>
      </c>
      <c r="AU9" s="45">
        <f>'FS Jimbaran Jan 2023'!BO19</f>
        <v>0</v>
      </c>
      <c r="AV9" s="45">
        <f>'FS Jimbaran Jan 2023'!BP19</f>
        <v>0</v>
      </c>
      <c r="AW9" s="45">
        <f>'FS Jimbaran Jan 2023'!E19</f>
        <v>16.399999999999999</v>
      </c>
      <c r="AX9" s="45">
        <f>'FS Jimbaran Jan 2023'!F19</f>
        <v>0</v>
      </c>
      <c r="AY9" s="45">
        <f>'FS Jimbaran Jan 2023'!O19</f>
        <v>0</v>
      </c>
      <c r="AZ9" s="45">
        <f>'FS Jimbaran Jan 2023'!P19</f>
        <v>0</v>
      </c>
      <c r="BA9" s="45">
        <f>'FS Jimbaran Jan 2023'!W19</f>
        <v>0</v>
      </c>
      <c r="BB9" s="45">
        <f>'FS Jimbaran Jan 2023'!X19</f>
        <v>0</v>
      </c>
      <c r="BC9" s="45">
        <f>'FS Jimbaran Jan 2023'!AI19</f>
        <v>397.8</v>
      </c>
      <c r="BD9" s="45">
        <f>'FS Jimbaran Jan 2023'!AJ19</f>
        <v>0</v>
      </c>
      <c r="BE9" s="45">
        <f>'FS Jimbaran Jan 2023'!AK19</f>
        <v>0</v>
      </c>
      <c r="BF9" s="45">
        <f>'FS Jimbaran Jan 2023'!AL19</f>
        <v>0</v>
      </c>
      <c r="BG9" s="45">
        <f>'FS Jimbaran Jan 2023'!AM19</f>
        <v>0</v>
      </c>
      <c r="BH9" s="45">
        <f>'FS Jimbaran Jan 2023'!AN19</f>
        <v>0</v>
      </c>
      <c r="BI9" s="45">
        <f>'FS Jimbaran Jan 2023'!AO19</f>
        <v>0</v>
      </c>
      <c r="BJ9" s="45">
        <f>'FS Jimbaran Jan 2023'!AO19</f>
        <v>0</v>
      </c>
      <c r="BK9" s="45">
        <f>'FS Jimbaran Jan 2023'!AQ19</f>
        <v>0</v>
      </c>
      <c r="BL9" s="45">
        <f>'FS Jimbaran Jan 2023'!AR19</f>
        <v>0</v>
      </c>
      <c r="BM9" s="45">
        <v>0</v>
      </c>
      <c r="BN9" s="45">
        <v>0</v>
      </c>
      <c r="BO9" s="46">
        <f>'FS Jimbaran Jan 2023'!Q19</f>
        <v>0</v>
      </c>
      <c r="BP9" s="45">
        <f>'FS Jimbaran Jan 2023'!R19</f>
        <v>0</v>
      </c>
    </row>
    <row r="10" spans="1:68">
      <c r="A10" s="40" t="s">
        <v>67</v>
      </c>
      <c r="B10" s="48">
        <f t="shared" si="0"/>
        <v>9</v>
      </c>
      <c r="C10" s="49">
        <v>1</v>
      </c>
      <c r="D10" s="50">
        <v>2022</v>
      </c>
      <c r="E10" s="41">
        <f>'FS Jimbaran Jan 2023'!K20</f>
        <v>15</v>
      </c>
      <c r="F10" s="45">
        <f>'FS Jimbaran Jan 2023'!N20</f>
        <v>0</v>
      </c>
      <c r="G10" s="45">
        <f>'FS Jimbaran Jan 2023'!E20</f>
        <v>16.399999999999999</v>
      </c>
      <c r="H10" s="45">
        <f>'FS Jimbaran Jan 2023'!H20</f>
        <v>0</v>
      </c>
      <c r="I10" s="45">
        <f>'FS Jimbaran Jan 2023'!I20</f>
        <v>0</v>
      </c>
      <c r="J10" s="45">
        <f>'FS Jimbaran Jan 2023'!J20</f>
        <v>0</v>
      </c>
      <c r="K10" s="45">
        <f>'FS Jimbaran Jan 2023'!K20</f>
        <v>15</v>
      </c>
      <c r="L10" s="45">
        <f>'FS Jimbaran Jan 2023'!L20</f>
        <v>0</v>
      </c>
      <c r="M10" s="45">
        <f>'FS Jimbaran Jan 2023'!S20</f>
        <v>0</v>
      </c>
      <c r="N10" s="45">
        <f>'FS Jimbaran Jan 2023'!T20</f>
        <v>0</v>
      </c>
      <c r="O10" s="45">
        <f>'FS Jimbaran Jan 2023'!U20</f>
        <v>5.6</v>
      </c>
      <c r="P10" s="45">
        <f>'FS Jimbaran Jan 2023'!V20</f>
        <v>0</v>
      </c>
      <c r="Q10" s="45">
        <f>'FS Jimbaran Jan 2023'!BE20</f>
        <v>0</v>
      </c>
      <c r="R10" s="45">
        <f>'FS Jimbaran Jan 2023'!BF20</f>
        <v>0</v>
      </c>
      <c r="S10" s="45">
        <f>'FS Jimbaran Jan 2023'!BH20</f>
        <v>0</v>
      </c>
      <c r="T10" s="45">
        <f>'FS Jimbaran Jan 2023'!BH20</f>
        <v>0</v>
      </c>
      <c r="U10" s="45">
        <f>'FS Jimbaran Jan 2023'!BI20</f>
        <v>0</v>
      </c>
      <c r="V10" s="45">
        <f>'FS Jimbaran Jan 2023'!BJ20</f>
        <v>0</v>
      </c>
      <c r="W10" s="45">
        <f>'FS Jimbaran Jan 2023'!Y20</f>
        <v>450</v>
      </c>
      <c r="X10" s="45">
        <f>'FS Jimbaran Jan 2023'!Z20</f>
        <v>0</v>
      </c>
      <c r="Y10" s="45">
        <f>'FS Jimbaran Jan 2023'!AA20</f>
        <v>-6.4</v>
      </c>
      <c r="Z10" s="45">
        <f>'FS Jimbaran Jan 2023'!AB20</f>
        <v>0</v>
      </c>
      <c r="AA10" s="45">
        <f>'FS Jimbaran Jan 2023'!AC20</f>
        <v>0</v>
      </c>
      <c r="AB10" s="45">
        <f>'FS Jimbaran Jan 2023'!AD20</f>
        <v>0</v>
      </c>
      <c r="AC10" s="45">
        <f>'FS Jimbaran Jan 2023'!AE20</f>
        <v>0</v>
      </c>
      <c r="AD10" s="45">
        <f>'FS Jimbaran Jan 2023'!AF20</f>
        <v>0</v>
      </c>
      <c r="AE10" s="45">
        <f>'FS Jimbaran Jan 2023'!AG20</f>
        <v>0</v>
      </c>
      <c r="AF10" s="45">
        <f>'FS Jimbaran Jan 2023'!AH20</f>
        <v>0</v>
      </c>
      <c r="AG10" s="45">
        <f>'FS Jimbaran Jan 2023'!AM20</f>
        <v>0</v>
      </c>
      <c r="AH10" s="45">
        <f>'FS Jimbaran Jan 2023'!AR20</f>
        <v>0</v>
      </c>
      <c r="AI10" s="45">
        <f>'FS Jimbaran Jan 2023'!AQ20</f>
        <v>0</v>
      </c>
      <c r="AJ10" s="45">
        <f>'FS Jimbaran Jan 2023'!AR20</f>
        <v>0</v>
      </c>
      <c r="AK10" s="45">
        <f>'FS Jimbaran Jan 2023'!AY20</f>
        <v>0</v>
      </c>
      <c r="AL10" s="45">
        <f>'FS Jimbaran Jan 2023'!AZ20</f>
        <v>0</v>
      </c>
      <c r="AM10" s="45">
        <f>'FS Jimbaran Jan 2023'!BB20</f>
        <v>0</v>
      </c>
      <c r="AN10" s="45">
        <f>'FS Jimbaran Jan 2023'!BB20</f>
        <v>0</v>
      </c>
      <c r="AO10" s="45">
        <f>'FS Jimbaran Jan 2023'!BK20</f>
        <v>0</v>
      </c>
      <c r="AP10" s="45">
        <f>'FS Jimbaran Jan 2023'!BL20</f>
        <v>0</v>
      </c>
      <c r="AQ10" s="45">
        <f>'FS Jimbaran Jan 2023'!BC20</f>
        <v>0</v>
      </c>
      <c r="AR10" s="45">
        <f>'FS Jimbaran Jan 2023'!BD20</f>
        <v>0</v>
      </c>
      <c r="AS10" s="45">
        <f>'FS Jimbaran Jan 2023'!BM20</f>
        <v>0</v>
      </c>
      <c r="AT10" s="45">
        <f>'FS Jimbaran Jan 2023'!BN20</f>
        <v>0</v>
      </c>
      <c r="AU10" s="45">
        <f>'FS Jimbaran Jan 2023'!BO20</f>
        <v>0</v>
      </c>
      <c r="AV10" s="45">
        <f>'FS Jimbaran Jan 2023'!BP20</f>
        <v>0</v>
      </c>
      <c r="AW10" s="45">
        <f>'FS Jimbaran Jan 2023'!E20</f>
        <v>16.399999999999999</v>
      </c>
      <c r="AX10" s="45">
        <f>'FS Jimbaran Jan 2023'!F20</f>
        <v>0</v>
      </c>
      <c r="AY10" s="45">
        <f>'FS Jimbaran Jan 2023'!O20</f>
        <v>0</v>
      </c>
      <c r="AZ10" s="45">
        <f>'FS Jimbaran Jan 2023'!P20</f>
        <v>0</v>
      </c>
      <c r="BA10" s="45">
        <f>'FS Jimbaran Jan 2023'!W20</f>
        <v>0</v>
      </c>
      <c r="BB10" s="45">
        <f>'FS Jimbaran Jan 2023'!X20</f>
        <v>0</v>
      </c>
      <c r="BC10" s="45">
        <f>'FS Jimbaran Jan 2023'!AI20</f>
        <v>364</v>
      </c>
      <c r="BD10" s="45">
        <f>'FS Jimbaran Jan 2023'!AJ20</f>
        <v>0</v>
      </c>
      <c r="BE10" s="45">
        <f>'FS Jimbaran Jan 2023'!AK20</f>
        <v>0</v>
      </c>
      <c r="BF10" s="45">
        <f>'FS Jimbaran Jan 2023'!AL20</f>
        <v>0</v>
      </c>
      <c r="BG10" s="45">
        <f>'FS Jimbaran Jan 2023'!AM20</f>
        <v>0</v>
      </c>
      <c r="BH10" s="45">
        <f>'FS Jimbaran Jan 2023'!AN20</f>
        <v>0</v>
      </c>
      <c r="BI10" s="45">
        <f>'FS Jimbaran Jan 2023'!AO20</f>
        <v>0</v>
      </c>
      <c r="BJ10" s="45">
        <f>'FS Jimbaran Jan 2023'!AO20</f>
        <v>0</v>
      </c>
      <c r="BK10" s="45">
        <f>'FS Jimbaran Jan 2023'!AQ20</f>
        <v>0</v>
      </c>
      <c r="BL10" s="45">
        <f>'FS Jimbaran Jan 2023'!AR20</f>
        <v>0</v>
      </c>
      <c r="BM10" s="45">
        <v>0</v>
      </c>
      <c r="BN10" s="45">
        <v>0</v>
      </c>
      <c r="BO10" s="46">
        <f>'FS Jimbaran Jan 2023'!Q20</f>
        <v>0</v>
      </c>
      <c r="BP10" s="45">
        <f>'FS Jimbaran Jan 2023'!R20</f>
        <v>0</v>
      </c>
    </row>
    <row r="11" spans="1:68">
      <c r="A11" s="40" t="s">
        <v>67</v>
      </c>
      <c r="B11" s="48">
        <f t="shared" si="0"/>
        <v>10</v>
      </c>
      <c r="C11" s="49">
        <v>1</v>
      </c>
      <c r="D11" s="50">
        <v>2022</v>
      </c>
      <c r="E11" s="41">
        <f>'FS Jimbaran Jan 2023'!K21</f>
        <v>15</v>
      </c>
      <c r="F11" s="45">
        <f>'FS Jimbaran Jan 2023'!N21</f>
        <v>0</v>
      </c>
      <c r="G11" s="45">
        <f>'FS Jimbaran Jan 2023'!E21</f>
        <v>16.399999999999999</v>
      </c>
      <c r="H11" s="45">
        <f>'FS Jimbaran Jan 2023'!H21</f>
        <v>0</v>
      </c>
      <c r="I11" s="45">
        <f>'FS Jimbaran Jan 2023'!I21</f>
        <v>0</v>
      </c>
      <c r="J11" s="45">
        <f>'FS Jimbaran Jan 2023'!J21</f>
        <v>0</v>
      </c>
      <c r="K11" s="45">
        <f>'FS Jimbaran Jan 2023'!K21</f>
        <v>15</v>
      </c>
      <c r="L11" s="45">
        <f>'FS Jimbaran Jan 2023'!L21</f>
        <v>0</v>
      </c>
      <c r="M11" s="45">
        <f>'FS Jimbaran Jan 2023'!S21</f>
        <v>0</v>
      </c>
      <c r="N11" s="45">
        <f>'FS Jimbaran Jan 2023'!T21</f>
        <v>0</v>
      </c>
      <c r="O11" s="45">
        <f>'FS Jimbaran Jan 2023'!U21</f>
        <v>5.6</v>
      </c>
      <c r="P11" s="45">
        <f>'FS Jimbaran Jan 2023'!V21</f>
        <v>0</v>
      </c>
      <c r="Q11" s="45">
        <f>'FS Jimbaran Jan 2023'!BE21</f>
        <v>0</v>
      </c>
      <c r="R11" s="45">
        <f>'FS Jimbaran Jan 2023'!BF21</f>
        <v>0</v>
      </c>
      <c r="S11" s="45">
        <f>'FS Jimbaran Jan 2023'!BH21</f>
        <v>0</v>
      </c>
      <c r="T11" s="45">
        <f>'FS Jimbaran Jan 2023'!BH21</f>
        <v>0</v>
      </c>
      <c r="U11" s="45">
        <f>'FS Jimbaran Jan 2023'!BI21</f>
        <v>0</v>
      </c>
      <c r="V11" s="45">
        <f>'FS Jimbaran Jan 2023'!BJ21</f>
        <v>0</v>
      </c>
      <c r="W11" s="45">
        <f>'FS Jimbaran Jan 2023'!Y21</f>
        <v>440</v>
      </c>
      <c r="X11" s="45">
        <f>'FS Jimbaran Jan 2023'!Z21</f>
        <v>0</v>
      </c>
      <c r="Y11" s="45">
        <f>'FS Jimbaran Jan 2023'!AA21</f>
        <v>-6.4</v>
      </c>
      <c r="Z11" s="45">
        <f>'FS Jimbaran Jan 2023'!AB21</f>
        <v>0</v>
      </c>
      <c r="AA11" s="45">
        <f>'FS Jimbaran Jan 2023'!AC21</f>
        <v>0</v>
      </c>
      <c r="AB11" s="45">
        <f>'FS Jimbaran Jan 2023'!AD21</f>
        <v>0</v>
      </c>
      <c r="AC11" s="45">
        <f>'FS Jimbaran Jan 2023'!AE21</f>
        <v>0</v>
      </c>
      <c r="AD11" s="45">
        <f>'FS Jimbaran Jan 2023'!AF21</f>
        <v>0</v>
      </c>
      <c r="AE11" s="45">
        <f>'FS Jimbaran Jan 2023'!AG21</f>
        <v>0</v>
      </c>
      <c r="AF11" s="45">
        <f>'FS Jimbaran Jan 2023'!AH21</f>
        <v>0</v>
      </c>
      <c r="AG11" s="45">
        <f>'FS Jimbaran Jan 2023'!AM21</f>
        <v>0</v>
      </c>
      <c r="AH11" s="45">
        <f>'FS Jimbaran Jan 2023'!AR21</f>
        <v>0</v>
      </c>
      <c r="AI11" s="45">
        <f>'FS Jimbaran Jan 2023'!AQ21</f>
        <v>0</v>
      </c>
      <c r="AJ11" s="45">
        <f>'FS Jimbaran Jan 2023'!AR21</f>
        <v>0</v>
      </c>
      <c r="AK11" s="45">
        <f>'FS Jimbaran Jan 2023'!AY21</f>
        <v>0</v>
      </c>
      <c r="AL11" s="45">
        <f>'FS Jimbaran Jan 2023'!AZ21</f>
        <v>0</v>
      </c>
      <c r="AM11" s="45">
        <f>'FS Jimbaran Jan 2023'!BB21</f>
        <v>0</v>
      </c>
      <c r="AN11" s="45">
        <f>'FS Jimbaran Jan 2023'!BB21</f>
        <v>0</v>
      </c>
      <c r="AO11" s="45">
        <f>'FS Jimbaran Jan 2023'!BK21</f>
        <v>0</v>
      </c>
      <c r="AP11" s="45">
        <f>'FS Jimbaran Jan 2023'!BL21</f>
        <v>0</v>
      </c>
      <c r="AQ11" s="45">
        <f>'FS Jimbaran Jan 2023'!BC21</f>
        <v>0</v>
      </c>
      <c r="AR11" s="45">
        <f>'FS Jimbaran Jan 2023'!BD21</f>
        <v>0</v>
      </c>
      <c r="AS11" s="45">
        <f>'FS Jimbaran Jan 2023'!BM21</f>
        <v>0</v>
      </c>
      <c r="AT11" s="45">
        <f>'FS Jimbaran Jan 2023'!BN21</f>
        <v>0</v>
      </c>
      <c r="AU11" s="45">
        <f>'FS Jimbaran Jan 2023'!BO21</f>
        <v>0</v>
      </c>
      <c r="AV11" s="45">
        <f>'FS Jimbaran Jan 2023'!BP21</f>
        <v>0</v>
      </c>
      <c r="AW11" s="45">
        <f>'FS Jimbaran Jan 2023'!E21</f>
        <v>16.399999999999999</v>
      </c>
      <c r="AX11" s="45">
        <f>'FS Jimbaran Jan 2023'!F21</f>
        <v>0</v>
      </c>
      <c r="AY11" s="45">
        <f>'FS Jimbaran Jan 2023'!O21</f>
        <v>0</v>
      </c>
      <c r="AZ11" s="45">
        <f>'FS Jimbaran Jan 2023'!P21</f>
        <v>0</v>
      </c>
      <c r="BA11" s="45">
        <f>'FS Jimbaran Jan 2023'!W21</f>
        <v>0</v>
      </c>
      <c r="BB11" s="45">
        <f>'FS Jimbaran Jan 2023'!X21</f>
        <v>0</v>
      </c>
      <c r="BC11" s="45">
        <f>'FS Jimbaran Jan 2023'!AI21</f>
        <v>514.79999999999995</v>
      </c>
      <c r="BD11" s="45">
        <f>'FS Jimbaran Jan 2023'!AJ21</f>
        <v>0</v>
      </c>
      <c r="BE11" s="45">
        <f>'FS Jimbaran Jan 2023'!AK21</f>
        <v>0</v>
      </c>
      <c r="BF11" s="45">
        <f>'FS Jimbaran Jan 2023'!AL21</f>
        <v>0</v>
      </c>
      <c r="BG11" s="45">
        <f>'FS Jimbaran Jan 2023'!AM21</f>
        <v>0</v>
      </c>
      <c r="BH11" s="45">
        <f>'FS Jimbaran Jan 2023'!AN21</f>
        <v>0</v>
      </c>
      <c r="BI11" s="45">
        <f>'FS Jimbaran Jan 2023'!AO21</f>
        <v>0</v>
      </c>
      <c r="BJ11" s="45">
        <f>'FS Jimbaran Jan 2023'!AO21</f>
        <v>0</v>
      </c>
      <c r="BK11" s="45">
        <f>'FS Jimbaran Jan 2023'!AQ21</f>
        <v>0</v>
      </c>
      <c r="BL11" s="45">
        <f>'FS Jimbaran Jan 2023'!AR21</f>
        <v>0</v>
      </c>
      <c r="BM11" s="45">
        <v>0</v>
      </c>
      <c r="BN11" s="45">
        <v>0</v>
      </c>
      <c r="BO11" s="46">
        <f>'FS Jimbaran Jan 2023'!Q21</f>
        <v>0</v>
      </c>
      <c r="BP11" s="45">
        <f>'FS Jimbaran Jan 2023'!R21</f>
        <v>0</v>
      </c>
    </row>
    <row r="12" spans="1:68">
      <c r="A12" s="40" t="s">
        <v>67</v>
      </c>
      <c r="B12" s="48">
        <f t="shared" si="0"/>
        <v>11</v>
      </c>
      <c r="C12" s="49">
        <v>1</v>
      </c>
      <c r="D12" s="50">
        <v>2022</v>
      </c>
      <c r="E12" s="41">
        <f>'FS Jimbaran Jan 2023'!K22</f>
        <v>15</v>
      </c>
      <c r="F12" s="45">
        <f>'FS Jimbaran Jan 2023'!N22</f>
        <v>0</v>
      </c>
      <c r="G12" s="45">
        <f>'FS Jimbaran Jan 2023'!E22</f>
        <v>16.399999999999999</v>
      </c>
      <c r="H12" s="45">
        <f>'FS Jimbaran Jan 2023'!H22</f>
        <v>0</v>
      </c>
      <c r="I12" s="45">
        <f>'FS Jimbaran Jan 2023'!I22</f>
        <v>0</v>
      </c>
      <c r="J12" s="45">
        <f>'FS Jimbaran Jan 2023'!J22</f>
        <v>0</v>
      </c>
      <c r="K12" s="45">
        <f>'FS Jimbaran Jan 2023'!K22</f>
        <v>15</v>
      </c>
      <c r="L12" s="45">
        <f>'FS Jimbaran Jan 2023'!L22</f>
        <v>0</v>
      </c>
      <c r="M12" s="45">
        <f>'FS Jimbaran Jan 2023'!S22</f>
        <v>0</v>
      </c>
      <c r="N12" s="45">
        <f>'FS Jimbaran Jan 2023'!T22</f>
        <v>0</v>
      </c>
      <c r="O12" s="45">
        <f>'FS Jimbaran Jan 2023'!U22</f>
        <v>5.6</v>
      </c>
      <c r="P12" s="45">
        <f>'FS Jimbaran Jan 2023'!V22</f>
        <v>0</v>
      </c>
      <c r="Q12" s="45">
        <f>'FS Jimbaran Jan 2023'!BE22</f>
        <v>0</v>
      </c>
      <c r="R12" s="45">
        <f>'FS Jimbaran Jan 2023'!BF22</f>
        <v>0</v>
      </c>
      <c r="S12" s="45">
        <f>'FS Jimbaran Jan 2023'!BH22</f>
        <v>0</v>
      </c>
      <c r="T12" s="45">
        <f>'FS Jimbaran Jan 2023'!BH22</f>
        <v>0</v>
      </c>
      <c r="U12" s="45">
        <f>'FS Jimbaran Jan 2023'!BI22</f>
        <v>0</v>
      </c>
      <c r="V12" s="45">
        <f>'FS Jimbaran Jan 2023'!BJ22</f>
        <v>0</v>
      </c>
      <c r="W12" s="45">
        <f>'FS Jimbaran Jan 2023'!Y22</f>
        <v>430</v>
      </c>
      <c r="X12" s="45">
        <f>'FS Jimbaran Jan 2023'!Z22</f>
        <v>0</v>
      </c>
      <c r="Y12" s="45">
        <f>'FS Jimbaran Jan 2023'!AA22</f>
        <v>-6.4</v>
      </c>
      <c r="Z12" s="45">
        <f>'FS Jimbaran Jan 2023'!AB22</f>
        <v>0</v>
      </c>
      <c r="AA12" s="45">
        <f>'FS Jimbaran Jan 2023'!AC22</f>
        <v>0</v>
      </c>
      <c r="AB12" s="45">
        <f>'FS Jimbaran Jan 2023'!AD22</f>
        <v>0</v>
      </c>
      <c r="AC12" s="45">
        <f>'FS Jimbaran Jan 2023'!AE22</f>
        <v>0</v>
      </c>
      <c r="AD12" s="45">
        <f>'FS Jimbaran Jan 2023'!AF22</f>
        <v>0</v>
      </c>
      <c r="AE12" s="45">
        <f>'FS Jimbaran Jan 2023'!AG22</f>
        <v>0</v>
      </c>
      <c r="AF12" s="45">
        <f>'FS Jimbaran Jan 2023'!AH22</f>
        <v>0</v>
      </c>
      <c r="AG12" s="45">
        <f>'FS Jimbaran Jan 2023'!AM22</f>
        <v>0</v>
      </c>
      <c r="AH12" s="45">
        <f>'FS Jimbaran Jan 2023'!AR22</f>
        <v>0</v>
      </c>
      <c r="AI12" s="45">
        <f>'FS Jimbaran Jan 2023'!AQ22</f>
        <v>0</v>
      </c>
      <c r="AJ12" s="45">
        <f>'FS Jimbaran Jan 2023'!AR22</f>
        <v>0</v>
      </c>
      <c r="AK12" s="45">
        <f>'FS Jimbaran Jan 2023'!AY22</f>
        <v>0</v>
      </c>
      <c r="AL12" s="45">
        <f>'FS Jimbaran Jan 2023'!AZ22</f>
        <v>0</v>
      </c>
      <c r="AM12" s="45">
        <f>'FS Jimbaran Jan 2023'!BB22</f>
        <v>0</v>
      </c>
      <c r="AN12" s="45">
        <f>'FS Jimbaran Jan 2023'!BB22</f>
        <v>0</v>
      </c>
      <c r="AO12" s="45">
        <f>'FS Jimbaran Jan 2023'!BK22</f>
        <v>0</v>
      </c>
      <c r="AP12" s="45">
        <f>'FS Jimbaran Jan 2023'!BL22</f>
        <v>0</v>
      </c>
      <c r="AQ12" s="45">
        <f>'FS Jimbaran Jan 2023'!BC22</f>
        <v>0</v>
      </c>
      <c r="AR12" s="45">
        <f>'FS Jimbaran Jan 2023'!BD22</f>
        <v>0</v>
      </c>
      <c r="AS12" s="45">
        <f>'FS Jimbaran Jan 2023'!BM22</f>
        <v>0</v>
      </c>
      <c r="AT12" s="45">
        <f>'FS Jimbaran Jan 2023'!BN22</f>
        <v>0</v>
      </c>
      <c r="AU12" s="45">
        <f>'FS Jimbaran Jan 2023'!BO22</f>
        <v>0</v>
      </c>
      <c r="AV12" s="45">
        <f>'FS Jimbaran Jan 2023'!BP22</f>
        <v>0</v>
      </c>
      <c r="AW12" s="45">
        <f>'FS Jimbaran Jan 2023'!E22</f>
        <v>16.399999999999999</v>
      </c>
      <c r="AX12" s="45">
        <f>'FS Jimbaran Jan 2023'!F22</f>
        <v>0</v>
      </c>
      <c r="AY12" s="45">
        <f>'FS Jimbaran Jan 2023'!O22</f>
        <v>0</v>
      </c>
      <c r="AZ12" s="45">
        <f>'FS Jimbaran Jan 2023'!P22</f>
        <v>0</v>
      </c>
      <c r="BA12" s="45">
        <f>'FS Jimbaran Jan 2023'!W22</f>
        <v>0</v>
      </c>
      <c r="BB12" s="45">
        <f>'FS Jimbaran Jan 2023'!X22</f>
        <v>0</v>
      </c>
      <c r="BC12" s="45">
        <f>'FS Jimbaran Jan 2023'!AI22</f>
        <v>564.20000000000005</v>
      </c>
      <c r="BD12" s="45">
        <f>'FS Jimbaran Jan 2023'!AJ22</f>
        <v>0</v>
      </c>
      <c r="BE12" s="45">
        <f>'FS Jimbaran Jan 2023'!AK22</f>
        <v>0</v>
      </c>
      <c r="BF12" s="45">
        <f>'FS Jimbaran Jan 2023'!AL22</f>
        <v>0</v>
      </c>
      <c r="BG12" s="45">
        <f>'FS Jimbaran Jan 2023'!AM22</f>
        <v>0</v>
      </c>
      <c r="BH12" s="45">
        <f>'FS Jimbaran Jan 2023'!AN22</f>
        <v>0</v>
      </c>
      <c r="BI12" s="45">
        <f>'FS Jimbaran Jan 2023'!AO22</f>
        <v>0</v>
      </c>
      <c r="BJ12" s="45">
        <f>'FS Jimbaran Jan 2023'!AO22</f>
        <v>0</v>
      </c>
      <c r="BK12" s="45">
        <f>'FS Jimbaran Jan 2023'!AQ22</f>
        <v>0</v>
      </c>
      <c r="BL12" s="45">
        <f>'FS Jimbaran Jan 2023'!AR22</f>
        <v>0</v>
      </c>
      <c r="BM12" s="45">
        <v>0</v>
      </c>
      <c r="BN12" s="45">
        <v>0</v>
      </c>
      <c r="BO12" s="46">
        <f>'FS Jimbaran Jan 2023'!Q22</f>
        <v>0</v>
      </c>
      <c r="BP12" s="45">
        <f>'FS Jimbaran Jan 2023'!R22</f>
        <v>0</v>
      </c>
    </row>
    <row r="13" spans="1:68">
      <c r="A13" s="40" t="s">
        <v>67</v>
      </c>
      <c r="B13" s="48">
        <f t="shared" si="0"/>
        <v>12</v>
      </c>
      <c r="C13" s="49">
        <v>1</v>
      </c>
      <c r="D13" s="50">
        <v>2022</v>
      </c>
      <c r="E13" s="41">
        <f>'FS Jimbaran Jan 2023'!K23</f>
        <v>15</v>
      </c>
      <c r="F13" s="45">
        <f>'FS Jimbaran Jan 2023'!N23</f>
        <v>0</v>
      </c>
      <c r="G13" s="45">
        <f>'FS Jimbaran Jan 2023'!E23</f>
        <v>16.399999999999999</v>
      </c>
      <c r="H13" s="45">
        <f>'FS Jimbaran Jan 2023'!H23</f>
        <v>0</v>
      </c>
      <c r="I13" s="45">
        <f>'FS Jimbaran Jan 2023'!I23</f>
        <v>0</v>
      </c>
      <c r="J13" s="45">
        <f>'FS Jimbaran Jan 2023'!J23</f>
        <v>0</v>
      </c>
      <c r="K13" s="45">
        <f>'FS Jimbaran Jan 2023'!K23</f>
        <v>15</v>
      </c>
      <c r="L13" s="45">
        <f>'FS Jimbaran Jan 2023'!L23</f>
        <v>0</v>
      </c>
      <c r="M13" s="45">
        <f>'FS Jimbaran Jan 2023'!S23</f>
        <v>0</v>
      </c>
      <c r="N13" s="45">
        <f>'FS Jimbaran Jan 2023'!T23</f>
        <v>0</v>
      </c>
      <c r="O13" s="45">
        <f>'FS Jimbaran Jan 2023'!U23</f>
        <v>5.6</v>
      </c>
      <c r="P13" s="45">
        <f>'FS Jimbaran Jan 2023'!V23</f>
        <v>0</v>
      </c>
      <c r="Q13" s="45">
        <f>'FS Jimbaran Jan 2023'!BE23</f>
        <v>0</v>
      </c>
      <c r="R13" s="45">
        <f>'FS Jimbaran Jan 2023'!BF23</f>
        <v>0</v>
      </c>
      <c r="S13" s="45">
        <f>'FS Jimbaran Jan 2023'!BH23</f>
        <v>0</v>
      </c>
      <c r="T13" s="45">
        <f>'FS Jimbaran Jan 2023'!BH23</f>
        <v>0</v>
      </c>
      <c r="U13" s="45">
        <f>'FS Jimbaran Jan 2023'!BI23</f>
        <v>0</v>
      </c>
      <c r="V13" s="45">
        <f>'FS Jimbaran Jan 2023'!BJ23</f>
        <v>0</v>
      </c>
      <c r="W13" s="45">
        <f>'FS Jimbaran Jan 2023'!Y23</f>
        <v>420</v>
      </c>
      <c r="X13" s="45">
        <f>'FS Jimbaran Jan 2023'!Z23</f>
        <v>0</v>
      </c>
      <c r="Y13" s="45">
        <f>'FS Jimbaran Jan 2023'!AA23</f>
        <v>-6.4</v>
      </c>
      <c r="Z13" s="45">
        <f>'FS Jimbaran Jan 2023'!AB23</f>
        <v>0</v>
      </c>
      <c r="AA13" s="45">
        <f>'FS Jimbaran Jan 2023'!AC23</f>
        <v>0</v>
      </c>
      <c r="AB13" s="45">
        <f>'FS Jimbaran Jan 2023'!AD23</f>
        <v>0</v>
      </c>
      <c r="AC13" s="45">
        <f>'FS Jimbaran Jan 2023'!AE23</f>
        <v>0</v>
      </c>
      <c r="AD13" s="45">
        <f>'FS Jimbaran Jan 2023'!AF23</f>
        <v>0</v>
      </c>
      <c r="AE13" s="45">
        <f>'FS Jimbaran Jan 2023'!AG23</f>
        <v>0</v>
      </c>
      <c r="AF13" s="45">
        <f>'FS Jimbaran Jan 2023'!AH23</f>
        <v>0</v>
      </c>
      <c r="AG13" s="45">
        <f>'FS Jimbaran Jan 2023'!AM23</f>
        <v>0</v>
      </c>
      <c r="AH13" s="45">
        <f>'FS Jimbaran Jan 2023'!AR23</f>
        <v>0</v>
      </c>
      <c r="AI13" s="45">
        <f>'FS Jimbaran Jan 2023'!AQ23</f>
        <v>0</v>
      </c>
      <c r="AJ13" s="45">
        <f>'FS Jimbaran Jan 2023'!AR23</f>
        <v>0</v>
      </c>
      <c r="AK13" s="45">
        <f>'FS Jimbaran Jan 2023'!AY23</f>
        <v>0</v>
      </c>
      <c r="AL13" s="45">
        <f>'FS Jimbaran Jan 2023'!AZ23</f>
        <v>0</v>
      </c>
      <c r="AM13" s="45">
        <f>'FS Jimbaran Jan 2023'!BB23</f>
        <v>0</v>
      </c>
      <c r="AN13" s="45">
        <f>'FS Jimbaran Jan 2023'!BB23</f>
        <v>0</v>
      </c>
      <c r="AO13" s="45">
        <f>'FS Jimbaran Jan 2023'!BK23</f>
        <v>0</v>
      </c>
      <c r="AP13" s="45">
        <f>'FS Jimbaran Jan 2023'!BL23</f>
        <v>0</v>
      </c>
      <c r="AQ13" s="45">
        <f>'FS Jimbaran Jan 2023'!BC23</f>
        <v>0</v>
      </c>
      <c r="AR13" s="45">
        <f>'FS Jimbaran Jan 2023'!BD23</f>
        <v>0</v>
      </c>
      <c r="AS13" s="45">
        <f>'FS Jimbaran Jan 2023'!BM23</f>
        <v>0</v>
      </c>
      <c r="AT13" s="45">
        <f>'FS Jimbaran Jan 2023'!BN23</f>
        <v>0</v>
      </c>
      <c r="AU13" s="45">
        <f>'FS Jimbaran Jan 2023'!BO23</f>
        <v>0</v>
      </c>
      <c r="AV13" s="45">
        <f>'FS Jimbaran Jan 2023'!BP23</f>
        <v>0</v>
      </c>
      <c r="AW13" s="45">
        <f>'FS Jimbaran Jan 2023'!E23</f>
        <v>16.399999999999999</v>
      </c>
      <c r="AX13" s="45">
        <f>'FS Jimbaran Jan 2023'!F23</f>
        <v>0</v>
      </c>
      <c r="AY13" s="45">
        <f>'FS Jimbaran Jan 2023'!O23</f>
        <v>0</v>
      </c>
      <c r="AZ13" s="45">
        <f>'FS Jimbaran Jan 2023'!P23</f>
        <v>0</v>
      </c>
      <c r="BA13" s="45">
        <f>'FS Jimbaran Jan 2023'!W23</f>
        <v>0</v>
      </c>
      <c r="BB13" s="45">
        <f>'FS Jimbaran Jan 2023'!X23</f>
        <v>0</v>
      </c>
      <c r="BC13" s="45">
        <f>'FS Jimbaran Jan 2023'!AI23</f>
        <v>332.8</v>
      </c>
      <c r="BD13" s="45">
        <f>'FS Jimbaran Jan 2023'!AJ23</f>
        <v>0</v>
      </c>
      <c r="BE13" s="45">
        <f>'FS Jimbaran Jan 2023'!AK23</f>
        <v>0</v>
      </c>
      <c r="BF13" s="45">
        <f>'FS Jimbaran Jan 2023'!AL23</f>
        <v>0</v>
      </c>
      <c r="BG13" s="45">
        <f>'FS Jimbaran Jan 2023'!AM23</f>
        <v>0</v>
      </c>
      <c r="BH13" s="45">
        <f>'FS Jimbaran Jan 2023'!AN23</f>
        <v>0</v>
      </c>
      <c r="BI13" s="45">
        <f>'FS Jimbaran Jan 2023'!AO23</f>
        <v>0</v>
      </c>
      <c r="BJ13" s="45">
        <f>'FS Jimbaran Jan 2023'!AO23</f>
        <v>0</v>
      </c>
      <c r="BK13" s="45">
        <f>'FS Jimbaran Jan 2023'!AQ23</f>
        <v>0</v>
      </c>
      <c r="BL13" s="45">
        <f>'FS Jimbaran Jan 2023'!AR23</f>
        <v>0</v>
      </c>
      <c r="BM13" s="45">
        <v>0</v>
      </c>
      <c r="BN13" s="45">
        <v>0</v>
      </c>
      <c r="BO13" s="46">
        <f>'FS Jimbaran Jan 2023'!Q23</f>
        <v>0</v>
      </c>
      <c r="BP13" s="45">
        <f>'FS Jimbaran Jan 2023'!R23</f>
        <v>0</v>
      </c>
    </row>
    <row r="14" spans="1:68">
      <c r="A14" s="40" t="s">
        <v>67</v>
      </c>
      <c r="B14" s="48">
        <f t="shared" si="0"/>
        <v>13</v>
      </c>
      <c r="C14" s="49">
        <v>1</v>
      </c>
      <c r="D14" s="50">
        <v>2022</v>
      </c>
      <c r="E14" s="41">
        <f>'FS Jimbaran Jan 2023'!K24</f>
        <v>15</v>
      </c>
      <c r="F14" s="45">
        <f>'FS Jimbaran Jan 2023'!N24</f>
        <v>0</v>
      </c>
      <c r="G14" s="45">
        <f>'FS Jimbaran Jan 2023'!E24</f>
        <v>16.399999999999999</v>
      </c>
      <c r="H14" s="45">
        <f>'FS Jimbaran Jan 2023'!H24</f>
        <v>0</v>
      </c>
      <c r="I14" s="45">
        <f>'FS Jimbaran Jan 2023'!I24</f>
        <v>0</v>
      </c>
      <c r="J14" s="45">
        <f>'FS Jimbaran Jan 2023'!J24</f>
        <v>0</v>
      </c>
      <c r="K14" s="45">
        <f>'FS Jimbaran Jan 2023'!K24</f>
        <v>15</v>
      </c>
      <c r="L14" s="45">
        <f>'FS Jimbaran Jan 2023'!L24</f>
        <v>0</v>
      </c>
      <c r="M14" s="45">
        <f>'FS Jimbaran Jan 2023'!S24</f>
        <v>0</v>
      </c>
      <c r="N14" s="45">
        <f>'FS Jimbaran Jan 2023'!T24</f>
        <v>0</v>
      </c>
      <c r="O14" s="45">
        <f>'FS Jimbaran Jan 2023'!U24</f>
        <v>5.6</v>
      </c>
      <c r="P14" s="45">
        <f>'FS Jimbaran Jan 2023'!V24</f>
        <v>0</v>
      </c>
      <c r="Q14" s="45">
        <f>'FS Jimbaran Jan 2023'!BE24</f>
        <v>0</v>
      </c>
      <c r="R14" s="45">
        <f>'FS Jimbaran Jan 2023'!BF24</f>
        <v>0</v>
      </c>
      <c r="S14" s="45">
        <f>'FS Jimbaran Jan 2023'!BH24</f>
        <v>0</v>
      </c>
      <c r="T14" s="45">
        <f>'FS Jimbaran Jan 2023'!BH24</f>
        <v>0</v>
      </c>
      <c r="U14" s="45">
        <f>'FS Jimbaran Jan 2023'!BI24</f>
        <v>0</v>
      </c>
      <c r="V14" s="45">
        <f>'FS Jimbaran Jan 2023'!BJ24</f>
        <v>0</v>
      </c>
      <c r="W14" s="45">
        <f>'FS Jimbaran Jan 2023'!Y24</f>
        <v>405</v>
      </c>
      <c r="X14" s="45">
        <f>'FS Jimbaran Jan 2023'!Z24</f>
        <v>0</v>
      </c>
      <c r="Y14" s="45">
        <f>'FS Jimbaran Jan 2023'!AA24</f>
        <v>-6.4</v>
      </c>
      <c r="Z14" s="45">
        <f>'FS Jimbaran Jan 2023'!AB24</f>
        <v>0</v>
      </c>
      <c r="AA14" s="45">
        <f>'FS Jimbaran Jan 2023'!AC24</f>
        <v>0</v>
      </c>
      <c r="AB14" s="45">
        <f>'FS Jimbaran Jan 2023'!AD24</f>
        <v>0</v>
      </c>
      <c r="AC14" s="45">
        <f>'FS Jimbaran Jan 2023'!AE24</f>
        <v>0</v>
      </c>
      <c r="AD14" s="45">
        <f>'FS Jimbaran Jan 2023'!AF24</f>
        <v>0</v>
      </c>
      <c r="AE14" s="45">
        <f>'FS Jimbaran Jan 2023'!AG24</f>
        <v>0</v>
      </c>
      <c r="AF14" s="45">
        <f>'FS Jimbaran Jan 2023'!AH24</f>
        <v>0</v>
      </c>
      <c r="AG14" s="45">
        <f>'FS Jimbaran Jan 2023'!AM24</f>
        <v>0</v>
      </c>
      <c r="AH14" s="45">
        <f>'FS Jimbaran Jan 2023'!AR24</f>
        <v>0</v>
      </c>
      <c r="AI14" s="45">
        <f>'FS Jimbaran Jan 2023'!AQ24</f>
        <v>0</v>
      </c>
      <c r="AJ14" s="45">
        <f>'FS Jimbaran Jan 2023'!AR24</f>
        <v>0</v>
      </c>
      <c r="AK14" s="45">
        <f>'FS Jimbaran Jan 2023'!AY24</f>
        <v>0</v>
      </c>
      <c r="AL14" s="45">
        <f>'FS Jimbaran Jan 2023'!AZ24</f>
        <v>0</v>
      </c>
      <c r="AM14" s="45">
        <f>'FS Jimbaran Jan 2023'!BB24</f>
        <v>0</v>
      </c>
      <c r="AN14" s="45">
        <f>'FS Jimbaran Jan 2023'!BB24</f>
        <v>0</v>
      </c>
      <c r="AO14" s="45">
        <f>'FS Jimbaran Jan 2023'!BK24</f>
        <v>0</v>
      </c>
      <c r="AP14" s="45">
        <f>'FS Jimbaran Jan 2023'!BL24</f>
        <v>0</v>
      </c>
      <c r="AQ14" s="45">
        <f>'FS Jimbaran Jan 2023'!BC24</f>
        <v>0</v>
      </c>
      <c r="AR14" s="45">
        <f>'FS Jimbaran Jan 2023'!BD24</f>
        <v>0</v>
      </c>
      <c r="AS14" s="45">
        <f>'FS Jimbaran Jan 2023'!BM24</f>
        <v>0</v>
      </c>
      <c r="AT14" s="45">
        <f>'FS Jimbaran Jan 2023'!BN24</f>
        <v>0</v>
      </c>
      <c r="AU14" s="45">
        <f>'FS Jimbaran Jan 2023'!BO24</f>
        <v>0</v>
      </c>
      <c r="AV14" s="45">
        <f>'FS Jimbaran Jan 2023'!BP24</f>
        <v>0</v>
      </c>
      <c r="AW14" s="45">
        <f>'FS Jimbaran Jan 2023'!E24</f>
        <v>16.399999999999999</v>
      </c>
      <c r="AX14" s="45">
        <f>'FS Jimbaran Jan 2023'!F24</f>
        <v>0</v>
      </c>
      <c r="AY14" s="45">
        <f>'FS Jimbaran Jan 2023'!O24</f>
        <v>0</v>
      </c>
      <c r="AZ14" s="45">
        <f>'FS Jimbaran Jan 2023'!P24</f>
        <v>0</v>
      </c>
      <c r="BA14" s="45">
        <f>'FS Jimbaran Jan 2023'!W24</f>
        <v>0</v>
      </c>
      <c r="BB14" s="45">
        <f>'FS Jimbaran Jan 2023'!X24</f>
        <v>0</v>
      </c>
      <c r="BC14" s="45">
        <f>'FS Jimbaran Jan 2023'!AI24</f>
        <v>330.2</v>
      </c>
      <c r="BD14" s="45">
        <f>'FS Jimbaran Jan 2023'!AJ24</f>
        <v>0</v>
      </c>
      <c r="BE14" s="45">
        <f>'FS Jimbaran Jan 2023'!AK24</f>
        <v>0</v>
      </c>
      <c r="BF14" s="45">
        <f>'FS Jimbaran Jan 2023'!AL24</f>
        <v>0</v>
      </c>
      <c r="BG14" s="45">
        <f>'FS Jimbaran Jan 2023'!AM24</f>
        <v>0</v>
      </c>
      <c r="BH14" s="45">
        <f>'FS Jimbaran Jan 2023'!AN24</f>
        <v>0</v>
      </c>
      <c r="BI14" s="45">
        <f>'FS Jimbaran Jan 2023'!AO24</f>
        <v>0</v>
      </c>
      <c r="BJ14" s="45">
        <f>'FS Jimbaran Jan 2023'!AO24</f>
        <v>0</v>
      </c>
      <c r="BK14" s="45">
        <f>'FS Jimbaran Jan 2023'!AQ24</f>
        <v>0</v>
      </c>
      <c r="BL14" s="45">
        <f>'FS Jimbaran Jan 2023'!AR24</f>
        <v>0</v>
      </c>
      <c r="BM14" s="45">
        <v>0</v>
      </c>
      <c r="BN14" s="45">
        <v>0</v>
      </c>
      <c r="BO14" s="46">
        <f>'FS Jimbaran Jan 2023'!Q24</f>
        <v>0</v>
      </c>
      <c r="BP14" s="45">
        <f>'FS Jimbaran Jan 2023'!R24</f>
        <v>0</v>
      </c>
    </row>
    <row r="15" spans="1:68">
      <c r="A15" s="40" t="s">
        <v>67</v>
      </c>
      <c r="B15" s="48">
        <f t="shared" si="0"/>
        <v>14</v>
      </c>
      <c r="C15" s="49">
        <v>1</v>
      </c>
      <c r="D15" s="50">
        <v>2022</v>
      </c>
      <c r="E15" s="41">
        <f>'FS Jimbaran Jan 2023'!K25</f>
        <v>15</v>
      </c>
      <c r="F15" s="45">
        <f>'FS Jimbaran Jan 2023'!N25</f>
        <v>0</v>
      </c>
      <c r="G15" s="45">
        <f>'FS Jimbaran Jan 2023'!E25</f>
        <v>16.399999999999999</v>
      </c>
      <c r="H15" s="45">
        <f>'FS Jimbaran Jan 2023'!H25</f>
        <v>0</v>
      </c>
      <c r="I15" s="45">
        <f>'FS Jimbaran Jan 2023'!I25</f>
        <v>0</v>
      </c>
      <c r="J15" s="45">
        <f>'FS Jimbaran Jan 2023'!J25</f>
        <v>0</v>
      </c>
      <c r="K15" s="45">
        <f>'FS Jimbaran Jan 2023'!K25</f>
        <v>15</v>
      </c>
      <c r="L15" s="45">
        <f>'FS Jimbaran Jan 2023'!L25</f>
        <v>0</v>
      </c>
      <c r="M15" s="45">
        <f>'FS Jimbaran Jan 2023'!S25</f>
        <v>0</v>
      </c>
      <c r="N15" s="45">
        <f>'FS Jimbaran Jan 2023'!T25</f>
        <v>0</v>
      </c>
      <c r="O15" s="45">
        <f>'FS Jimbaran Jan 2023'!U25</f>
        <v>5.6</v>
      </c>
      <c r="P15" s="45">
        <f>'FS Jimbaran Jan 2023'!V25</f>
        <v>0</v>
      </c>
      <c r="Q15" s="45">
        <f>'FS Jimbaran Jan 2023'!BE25</f>
        <v>0</v>
      </c>
      <c r="R15" s="45">
        <f>'FS Jimbaran Jan 2023'!BF25</f>
        <v>0</v>
      </c>
      <c r="S15" s="45">
        <f>'FS Jimbaran Jan 2023'!BH25</f>
        <v>0</v>
      </c>
      <c r="T15" s="45">
        <f>'FS Jimbaran Jan 2023'!BH25</f>
        <v>0</v>
      </c>
      <c r="U15" s="45">
        <f>'FS Jimbaran Jan 2023'!BI25</f>
        <v>0</v>
      </c>
      <c r="V15" s="45">
        <f>'FS Jimbaran Jan 2023'!BJ25</f>
        <v>0</v>
      </c>
      <c r="W15" s="45">
        <f>'FS Jimbaran Jan 2023'!Y25</f>
        <v>460</v>
      </c>
      <c r="X15" s="45">
        <f>'FS Jimbaran Jan 2023'!Z25</f>
        <v>0</v>
      </c>
      <c r="Y15" s="45">
        <f>'FS Jimbaran Jan 2023'!AA25</f>
        <v>-6.4</v>
      </c>
      <c r="Z15" s="45">
        <f>'FS Jimbaran Jan 2023'!AB25</f>
        <v>0</v>
      </c>
      <c r="AA15" s="45">
        <f>'FS Jimbaran Jan 2023'!AC25</f>
        <v>0</v>
      </c>
      <c r="AB15" s="45">
        <f>'FS Jimbaran Jan 2023'!AD25</f>
        <v>0</v>
      </c>
      <c r="AC15" s="45">
        <f>'FS Jimbaran Jan 2023'!AE25</f>
        <v>0</v>
      </c>
      <c r="AD15" s="45">
        <f>'FS Jimbaran Jan 2023'!AF25</f>
        <v>0</v>
      </c>
      <c r="AE15" s="45">
        <f>'FS Jimbaran Jan 2023'!AG25</f>
        <v>0</v>
      </c>
      <c r="AF15" s="45">
        <f>'FS Jimbaran Jan 2023'!AH25</f>
        <v>0</v>
      </c>
      <c r="AG15" s="45">
        <f>'FS Jimbaran Jan 2023'!AM25</f>
        <v>0</v>
      </c>
      <c r="AH15" s="45">
        <f>'FS Jimbaran Jan 2023'!AR25</f>
        <v>0</v>
      </c>
      <c r="AI15" s="45">
        <f>'FS Jimbaran Jan 2023'!AQ25</f>
        <v>0</v>
      </c>
      <c r="AJ15" s="45">
        <f>'FS Jimbaran Jan 2023'!AR25</f>
        <v>0</v>
      </c>
      <c r="AK15" s="45">
        <f>'FS Jimbaran Jan 2023'!AY25</f>
        <v>0</v>
      </c>
      <c r="AL15" s="45">
        <f>'FS Jimbaran Jan 2023'!AZ25</f>
        <v>0</v>
      </c>
      <c r="AM15" s="45">
        <f>'FS Jimbaran Jan 2023'!BB25</f>
        <v>0</v>
      </c>
      <c r="AN15" s="45">
        <f>'FS Jimbaran Jan 2023'!BB25</f>
        <v>0</v>
      </c>
      <c r="AO15" s="45">
        <f>'FS Jimbaran Jan 2023'!BK25</f>
        <v>0</v>
      </c>
      <c r="AP15" s="45">
        <f>'FS Jimbaran Jan 2023'!BL25</f>
        <v>0</v>
      </c>
      <c r="AQ15" s="45">
        <f>'FS Jimbaran Jan 2023'!BC25</f>
        <v>0</v>
      </c>
      <c r="AR15" s="45">
        <f>'FS Jimbaran Jan 2023'!BD25</f>
        <v>0</v>
      </c>
      <c r="AS15" s="45">
        <f>'FS Jimbaran Jan 2023'!BM25</f>
        <v>0</v>
      </c>
      <c r="AT15" s="45">
        <f>'FS Jimbaran Jan 2023'!BN25</f>
        <v>0</v>
      </c>
      <c r="AU15" s="45">
        <f>'FS Jimbaran Jan 2023'!BO25</f>
        <v>0</v>
      </c>
      <c r="AV15" s="45">
        <f>'FS Jimbaran Jan 2023'!BP25</f>
        <v>0</v>
      </c>
      <c r="AW15" s="45">
        <f>'FS Jimbaran Jan 2023'!E25</f>
        <v>16.399999999999999</v>
      </c>
      <c r="AX15" s="45">
        <f>'FS Jimbaran Jan 2023'!F25</f>
        <v>0</v>
      </c>
      <c r="AY15" s="45">
        <f>'FS Jimbaran Jan 2023'!O25</f>
        <v>0</v>
      </c>
      <c r="AZ15" s="45">
        <f>'FS Jimbaran Jan 2023'!P25</f>
        <v>0</v>
      </c>
      <c r="BA15" s="45">
        <f>'FS Jimbaran Jan 2023'!W25</f>
        <v>0</v>
      </c>
      <c r="BB15" s="45">
        <f>'FS Jimbaran Jan 2023'!X25</f>
        <v>0</v>
      </c>
      <c r="BC15" s="45">
        <f>'FS Jimbaran Jan 2023'!AI25</f>
        <v>509.6</v>
      </c>
      <c r="BD15" s="45">
        <f>'FS Jimbaran Jan 2023'!AJ25</f>
        <v>0</v>
      </c>
      <c r="BE15" s="45">
        <f>'FS Jimbaran Jan 2023'!AK25</f>
        <v>0</v>
      </c>
      <c r="BF15" s="45">
        <f>'FS Jimbaran Jan 2023'!AL25</f>
        <v>0</v>
      </c>
      <c r="BG15" s="45">
        <f>'FS Jimbaran Jan 2023'!AM25</f>
        <v>0</v>
      </c>
      <c r="BH15" s="45">
        <f>'FS Jimbaran Jan 2023'!AN25</f>
        <v>0</v>
      </c>
      <c r="BI15" s="45">
        <f>'FS Jimbaran Jan 2023'!AO25</f>
        <v>0</v>
      </c>
      <c r="BJ15" s="45">
        <f>'FS Jimbaran Jan 2023'!AO25</f>
        <v>0</v>
      </c>
      <c r="BK15" s="45">
        <f>'FS Jimbaran Jan 2023'!AQ25</f>
        <v>0</v>
      </c>
      <c r="BL15" s="45">
        <f>'FS Jimbaran Jan 2023'!AR25</f>
        <v>0</v>
      </c>
      <c r="BM15" s="45">
        <v>0</v>
      </c>
      <c r="BN15" s="45">
        <v>0</v>
      </c>
      <c r="BO15" s="46">
        <f>'FS Jimbaran Jan 2023'!Q25</f>
        <v>0</v>
      </c>
      <c r="BP15" s="45">
        <f>'FS Jimbaran Jan 2023'!R25</f>
        <v>0</v>
      </c>
    </row>
    <row r="16" spans="1:68">
      <c r="A16" s="40" t="s">
        <v>67</v>
      </c>
      <c r="B16" s="48">
        <f t="shared" si="0"/>
        <v>15</v>
      </c>
      <c r="C16" s="49">
        <v>1</v>
      </c>
      <c r="D16" s="50">
        <v>2022</v>
      </c>
      <c r="E16" s="41">
        <f>'FS Jimbaran Jan 2023'!K26</f>
        <v>15</v>
      </c>
      <c r="F16" s="45">
        <f>'FS Jimbaran Jan 2023'!N26</f>
        <v>0</v>
      </c>
      <c r="G16" s="45">
        <f>'FS Jimbaran Jan 2023'!E26</f>
        <v>16.399999999999999</v>
      </c>
      <c r="H16" s="45">
        <f>'FS Jimbaran Jan 2023'!H26</f>
        <v>0</v>
      </c>
      <c r="I16" s="45">
        <f>'FS Jimbaran Jan 2023'!I26</f>
        <v>0</v>
      </c>
      <c r="J16" s="45">
        <f>'FS Jimbaran Jan 2023'!J26</f>
        <v>0</v>
      </c>
      <c r="K16" s="45">
        <f>'FS Jimbaran Jan 2023'!K26</f>
        <v>15</v>
      </c>
      <c r="L16" s="45">
        <f>'FS Jimbaran Jan 2023'!L26</f>
        <v>0</v>
      </c>
      <c r="M16" s="45">
        <f>'FS Jimbaran Jan 2023'!S26</f>
        <v>0</v>
      </c>
      <c r="N16" s="45">
        <f>'FS Jimbaran Jan 2023'!T26</f>
        <v>0</v>
      </c>
      <c r="O16" s="45">
        <f>'FS Jimbaran Jan 2023'!U26</f>
        <v>5.6</v>
      </c>
      <c r="P16" s="45">
        <f>'FS Jimbaran Jan 2023'!V26</f>
        <v>0</v>
      </c>
      <c r="Q16" s="45">
        <f>'FS Jimbaran Jan 2023'!BE26</f>
        <v>0</v>
      </c>
      <c r="R16" s="45">
        <f>'FS Jimbaran Jan 2023'!BF26</f>
        <v>0</v>
      </c>
      <c r="S16" s="45">
        <f>'FS Jimbaran Jan 2023'!BH26</f>
        <v>0</v>
      </c>
      <c r="T16" s="45">
        <f>'FS Jimbaran Jan 2023'!BH26</f>
        <v>0</v>
      </c>
      <c r="U16" s="45">
        <f>'FS Jimbaran Jan 2023'!BI26</f>
        <v>0</v>
      </c>
      <c r="V16" s="45">
        <f>'FS Jimbaran Jan 2023'!BJ26</f>
        <v>0</v>
      </c>
      <c r="W16" s="45">
        <f>'FS Jimbaran Jan 2023'!Y26</f>
        <v>420</v>
      </c>
      <c r="X16" s="45">
        <f>'FS Jimbaran Jan 2023'!Z26</f>
        <v>0</v>
      </c>
      <c r="Y16" s="45">
        <f>'FS Jimbaran Jan 2023'!AA26</f>
        <v>-6.4</v>
      </c>
      <c r="Z16" s="45">
        <f>'FS Jimbaran Jan 2023'!AB26</f>
        <v>0</v>
      </c>
      <c r="AA16" s="45">
        <f>'FS Jimbaran Jan 2023'!AC26</f>
        <v>0</v>
      </c>
      <c r="AB16" s="45">
        <f>'FS Jimbaran Jan 2023'!AD26</f>
        <v>0</v>
      </c>
      <c r="AC16" s="45">
        <f>'FS Jimbaran Jan 2023'!AE26</f>
        <v>0</v>
      </c>
      <c r="AD16" s="45">
        <f>'FS Jimbaran Jan 2023'!AF26</f>
        <v>0</v>
      </c>
      <c r="AE16" s="45">
        <f>'FS Jimbaran Jan 2023'!AG26</f>
        <v>0</v>
      </c>
      <c r="AF16" s="45">
        <f>'FS Jimbaran Jan 2023'!AH26</f>
        <v>0</v>
      </c>
      <c r="AG16" s="45">
        <f>'FS Jimbaran Jan 2023'!AM26</f>
        <v>0</v>
      </c>
      <c r="AH16" s="45">
        <f>'FS Jimbaran Jan 2023'!AR26</f>
        <v>0</v>
      </c>
      <c r="AI16" s="45">
        <f>'FS Jimbaran Jan 2023'!AQ26</f>
        <v>0</v>
      </c>
      <c r="AJ16" s="45">
        <f>'FS Jimbaran Jan 2023'!AR26</f>
        <v>0</v>
      </c>
      <c r="AK16" s="45">
        <f>'FS Jimbaran Jan 2023'!AY26</f>
        <v>0</v>
      </c>
      <c r="AL16" s="45">
        <f>'FS Jimbaran Jan 2023'!AZ26</f>
        <v>0</v>
      </c>
      <c r="AM16" s="45">
        <f>'FS Jimbaran Jan 2023'!BB26</f>
        <v>0</v>
      </c>
      <c r="AN16" s="45">
        <f>'FS Jimbaran Jan 2023'!BB26</f>
        <v>0</v>
      </c>
      <c r="AO16" s="45">
        <f>'FS Jimbaran Jan 2023'!BK26</f>
        <v>0</v>
      </c>
      <c r="AP16" s="45">
        <f>'FS Jimbaran Jan 2023'!BL26</f>
        <v>0</v>
      </c>
      <c r="AQ16" s="45">
        <f>'FS Jimbaran Jan 2023'!BC26</f>
        <v>0</v>
      </c>
      <c r="AR16" s="45">
        <f>'FS Jimbaran Jan 2023'!BD26</f>
        <v>0</v>
      </c>
      <c r="AS16" s="45">
        <f>'FS Jimbaran Jan 2023'!BM26</f>
        <v>0</v>
      </c>
      <c r="AT16" s="45">
        <f>'FS Jimbaran Jan 2023'!BN26</f>
        <v>0</v>
      </c>
      <c r="AU16" s="45">
        <f>'FS Jimbaran Jan 2023'!BO26</f>
        <v>0</v>
      </c>
      <c r="AV16" s="45">
        <f>'FS Jimbaran Jan 2023'!BP26</f>
        <v>0</v>
      </c>
      <c r="AW16" s="45">
        <f>'FS Jimbaran Jan 2023'!E26</f>
        <v>16.399999999999999</v>
      </c>
      <c r="AX16" s="45">
        <f>'FS Jimbaran Jan 2023'!F26</f>
        <v>0</v>
      </c>
      <c r="AY16" s="45">
        <f>'FS Jimbaran Jan 2023'!O26</f>
        <v>0</v>
      </c>
      <c r="AZ16" s="45">
        <f>'FS Jimbaran Jan 2023'!P26</f>
        <v>0</v>
      </c>
      <c r="BA16" s="45">
        <f>'FS Jimbaran Jan 2023'!W26</f>
        <v>0</v>
      </c>
      <c r="BB16" s="45">
        <f>'FS Jimbaran Jan 2023'!X26</f>
        <v>0</v>
      </c>
      <c r="BC16" s="45">
        <f>'FS Jimbaran Jan 2023'!AI26</f>
        <v>522.6</v>
      </c>
      <c r="BD16" s="45">
        <f>'FS Jimbaran Jan 2023'!AJ26</f>
        <v>0</v>
      </c>
      <c r="BE16" s="45">
        <f>'FS Jimbaran Jan 2023'!AK26</f>
        <v>0</v>
      </c>
      <c r="BF16" s="45">
        <f>'FS Jimbaran Jan 2023'!AL26</f>
        <v>0</v>
      </c>
      <c r="BG16" s="45">
        <f>'FS Jimbaran Jan 2023'!AM26</f>
        <v>0</v>
      </c>
      <c r="BH16" s="45">
        <f>'FS Jimbaran Jan 2023'!AN26</f>
        <v>0</v>
      </c>
      <c r="BI16" s="45">
        <f>'FS Jimbaran Jan 2023'!AO26</f>
        <v>0</v>
      </c>
      <c r="BJ16" s="45">
        <f>'FS Jimbaran Jan 2023'!AO26</f>
        <v>0</v>
      </c>
      <c r="BK16" s="45">
        <f>'FS Jimbaran Jan 2023'!AQ26</f>
        <v>0</v>
      </c>
      <c r="BL16" s="45">
        <f>'FS Jimbaran Jan 2023'!AR26</f>
        <v>0</v>
      </c>
      <c r="BM16" s="45">
        <v>0</v>
      </c>
      <c r="BN16" s="45">
        <v>0</v>
      </c>
      <c r="BO16" s="46">
        <f>'FS Jimbaran Jan 2023'!Q26</f>
        <v>0</v>
      </c>
      <c r="BP16" s="45">
        <f>'FS Jimbaran Jan 2023'!R26</f>
        <v>0</v>
      </c>
    </row>
    <row r="17" spans="1:68">
      <c r="A17" s="40" t="s">
        <v>67</v>
      </c>
      <c r="B17" s="48">
        <f t="shared" si="0"/>
        <v>16</v>
      </c>
      <c r="C17" s="49">
        <v>1</v>
      </c>
      <c r="D17" s="50">
        <v>2022</v>
      </c>
      <c r="E17" s="41">
        <f>'FS Jimbaran Jan 2023'!K27</f>
        <v>15</v>
      </c>
      <c r="F17" s="45">
        <f>'FS Jimbaran Jan 2023'!N27</f>
        <v>0</v>
      </c>
      <c r="G17" s="45">
        <f>'FS Jimbaran Jan 2023'!E27</f>
        <v>16.399999999999999</v>
      </c>
      <c r="H17" s="45">
        <f>'FS Jimbaran Jan 2023'!H27</f>
        <v>0</v>
      </c>
      <c r="I17" s="45">
        <f>'FS Jimbaran Jan 2023'!I27</f>
        <v>0</v>
      </c>
      <c r="J17" s="45">
        <f>'FS Jimbaran Jan 2023'!J27</f>
        <v>0</v>
      </c>
      <c r="K17" s="45">
        <f>'FS Jimbaran Jan 2023'!K27</f>
        <v>15</v>
      </c>
      <c r="L17" s="45">
        <f>'FS Jimbaran Jan 2023'!L27</f>
        <v>0</v>
      </c>
      <c r="M17" s="45">
        <f>'FS Jimbaran Jan 2023'!S27</f>
        <v>0</v>
      </c>
      <c r="N17" s="45">
        <f>'FS Jimbaran Jan 2023'!T27</f>
        <v>0</v>
      </c>
      <c r="O17" s="45">
        <f>'FS Jimbaran Jan 2023'!U27</f>
        <v>5.6</v>
      </c>
      <c r="P17" s="45">
        <f>'FS Jimbaran Jan 2023'!V27</f>
        <v>0</v>
      </c>
      <c r="Q17" s="45">
        <f>'FS Jimbaran Jan 2023'!BE27</f>
        <v>0</v>
      </c>
      <c r="R17" s="45">
        <f>'FS Jimbaran Jan 2023'!BF27</f>
        <v>0</v>
      </c>
      <c r="S17" s="45">
        <f>'FS Jimbaran Jan 2023'!BH27</f>
        <v>0</v>
      </c>
      <c r="T17" s="45">
        <f>'FS Jimbaran Jan 2023'!BH27</f>
        <v>0</v>
      </c>
      <c r="U17" s="45">
        <f>'FS Jimbaran Jan 2023'!BI27</f>
        <v>0</v>
      </c>
      <c r="V17" s="45">
        <f>'FS Jimbaran Jan 2023'!BJ27</f>
        <v>0</v>
      </c>
      <c r="W17" s="45">
        <f>'FS Jimbaran Jan 2023'!Y27</f>
        <v>455</v>
      </c>
      <c r="X17" s="45">
        <f>'FS Jimbaran Jan 2023'!Z27</f>
        <v>0</v>
      </c>
      <c r="Y17" s="45">
        <f>'FS Jimbaran Jan 2023'!AA27</f>
        <v>-6.4</v>
      </c>
      <c r="Z17" s="45">
        <f>'FS Jimbaran Jan 2023'!AB27</f>
        <v>0</v>
      </c>
      <c r="AA17" s="45">
        <f>'FS Jimbaran Jan 2023'!AC27</f>
        <v>0</v>
      </c>
      <c r="AB17" s="45">
        <f>'FS Jimbaran Jan 2023'!AD27</f>
        <v>0</v>
      </c>
      <c r="AC17" s="45">
        <f>'FS Jimbaran Jan 2023'!AE27</f>
        <v>0</v>
      </c>
      <c r="AD17" s="45">
        <f>'FS Jimbaran Jan 2023'!AF27</f>
        <v>0</v>
      </c>
      <c r="AE17" s="45">
        <f>'FS Jimbaran Jan 2023'!AG27</f>
        <v>0</v>
      </c>
      <c r="AF17" s="45">
        <f>'FS Jimbaran Jan 2023'!AH27</f>
        <v>0</v>
      </c>
      <c r="AG17" s="45">
        <f>'FS Jimbaran Jan 2023'!AM27</f>
        <v>0</v>
      </c>
      <c r="AH17" s="45">
        <f>'FS Jimbaran Jan 2023'!AR27</f>
        <v>0</v>
      </c>
      <c r="AI17" s="45">
        <f>'FS Jimbaran Jan 2023'!AQ27</f>
        <v>0</v>
      </c>
      <c r="AJ17" s="45">
        <f>'FS Jimbaran Jan 2023'!AR27</f>
        <v>0</v>
      </c>
      <c r="AK17" s="45">
        <f>'FS Jimbaran Jan 2023'!AY27</f>
        <v>0</v>
      </c>
      <c r="AL17" s="45">
        <f>'FS Jimbaran Jan 2023'!AZ27</f>
        <v>0</v>
      </c>
      <c r="AM17" s="45">
        <f>'FS Jimbaran Jan 2023'!BB27</f>
        <v>0</v>
      </c>
      <c r="AN17" s="45">
        <f>'FS Jimbaran Jan 2023'!BB27</f>
        <v>0</v>
      </c>
      <c r="AO17" s="45">
        <f>'FS Jimbaran Jan 2023'!BK27</f>
        <v>0</v>
      </c>
      <c r="AP17" s="45">
        <f>'FS Jimbaran Jan 2023'!BL27</f>
        <v>0</v>
      </c>
      <c r="AQ17" s="45">
        <f>'FS Jimbaran Jan 2023'!BC27</f>
        <v>0</v>
      </c>
      <c r="AR17" s="45">
        <f>'FS Jimbaran Jan 2023'!BD27</f>
        <v>0</v>
      </c>
      <c r="AS17" s="45">
        <f>'FS Jimbaran Jan 2023'!BM27</f>
        <v>0</v>
      </c>
      <c r="AT17" s="45">
        <f>'FS Jimbaran Jan 2023'!BN27</f>
        <v>0</v>
      </c>
      <c r="AU17" s="45">
        <f>'FS Jimbaran Jan 2023'!BO27</f>
        <v>0</v>
      </c>
      <c r="AV17" s="45">
        <f>'FS Jimbaran Jan 2023'!BP27</f>
        <v>0</v>
      </c>
      <c r="AW17" s="45">
        <f>'FS Jimbaran Jan 2023'!E27</f>
        <v>16.399999999999999</v>
      </c>
      <c r="AX17" s="45">
        <f>'FS Jimbaran Jan 2023'!F27</f>
        <v>0</v>
      </c>
      <c r="AY17" s="45">
        <f>'FS Jimbaran Jan 2023'!O27</f>
        <v>0</v>
      </c>
      <c r="AZ17" s="45">
        <f>'FS Jimbaran Jan 2023'!P27</f>
        <v>0</v>
      </c>
      <c r="BA17" s="45">
        <f>'FS Jimbaran Jan 2023'!W27</f>
        <v>0</v>
      </c>
      <c r="BB17" s="45">
        <f>'FS Jimbaran Jan 2023'!X27</f>
        <v>0</v>
      </c>
      <c r="BC17" s="45">
        <f>'FS Jimbaran Jan 2023'!AI27</f>
        <v>283.39999999999998</v>
      </c>
      <c r="BD17" s="45">
        <f>'FS Jimbaran Jan 2023'!AJ27</f>
        <v>0</v>
      </c>
      <c r="BE17" s="45">
        <f>'FS Jimbaran Jan 2023'!AK27</f>
        <v>0</v>
      </c>
      <c r="BF17" s="45">
        <f>'FS Jimbaran Jan 2023'!AL27</f>
        <v>0</v>
      </c>
      <c r="BG17" s="45">
        <f>'FS Jimbaran Jan 2023'!AM27</f>
        <v>0</v>
      </c>
      <c r="BH17" s="45">
        <f>'FS Jimbaran Jan 2023'!AN27</f>
        <v>0</v>
      </c>
      <c r="BI17" s="45">
        <f>'FS Jimbaran Jan 2023'!AO27</f>
        <v>0</v>
      </c>
      <c r="BJ17" s="45">
        <f>'FS Jimbaran Jan 2023'!AO27</f>
        <v>0</v>
      </c>
      <c r="BK17" s="45">
        <f>'FS Jimbaran Jan 2023'!AQ27</f>
        <v>0</v>
      </c>
      <c r="BL17" s="45">
        <f>'FS Jimbaran Jan 2023'!AR27</f>
        <v>0</v>
      </c>
      <c r="BM17" s="45">
        <v>0</v>
      </c>
      <c r="BN17" s="45">
        <v>0</v>
      </c>
      <c r="BO17" s="46">
        <f>'FS Jimbaran Jan 2023'!Q27</f>
        <v>0</v>
      </c>
      <c r="BP17" s="45">
        <f>'FS Jimbaran Jan 2023'!R27</f>
        <v>0</v>
      </c>
    </row>
    <row r="18" spans="1:68">
      <c r="A18" s="40" t="s">
        <v>67</v>
      </c>
      <c r="B18" s="48">
        <f t="shared" si="0"/>
        <v>17</v>
      </c>
      <c r="C18" s="49">
        <v>1</v>
      </c>
      <c r="D18" s="50">
        <v>2022</v>
      </c>
      <c r="E18" s="41">
        <f>'FS Jimbaran Jan 2023'!K28</f>
        <v>15</v>
      </c>
      <c r="F18" s="45">
        <f>'FS Jimbaran Jan 2023'!N28</f>
        <v>0</v>
      </c>
      <c r="G18" s="45">
        <f>'FS Jimbaran Jan 2023'!E28</f>
        <v>16.399999999999999</v>
      </c>
      <c r="H18" s="45">
        <f>'FS Jimbaran Jan 2023'!H28</f>
        <v>0</v>
      </c>
      <c r="I18" s="45">
        <f>'FS Jimbaran Jan 2023'!I28</f>
        <v>0</v>
      </c>
      <c r="J18" s="45">
        <f>'FS Jimbaran Jan 2023'!J28</f>
        <v>0</v>
      </c>
      <c r="K18" s="45">
        <f>'FS Jimbaran Jan 2023'!K28</f>
        <v>15</v>
      </c>
      <c r="L18" s="45">
        <f>'FS Jimbaran Jan 2023'!L28</f>
        <v>0</v>
      </c>
      <c r="M18" s="45">
        <f>'FS Jimbaran Jan 2023'!S28</f>
        <v>0</v>
      </c>
      <c r="N18" s="45">
        <f>'FS Jimbaran Jan 2023'!T28</f>
        <v>0</v>
      </c>
      <c r="O18" s="45">
        <f>'FS Jimbaran Jan 2023'!U28</f>
        <v>5.6</v>
      </c>
      <c r="P18" s="45">
        <f>'FS Jimbaran Jan 2023'!V28</f>
        <v>0</v>
      </c>
      <c r="Q18" s="45">
        <f>'FS Jimbaran Jan 2023'!BE28</f>
        <v>0</v>
      </c>
      <c r="R18" s="45">
        <f>'FS Jimbaran Jan 2023'!BF28</f>
        <v>0</v>
      </c>
      <c r="S18" s="45">
        <f>'FS Jimbaran Jan 2023'!BH28</f>
        <v>0</v>
      </c>
      <c r="T18" s="45">
        <f>'FS Jimbaran Jan 2023'!BH28</f>
        <v>0</v>
      </c>
      <c r="U18" s="45">
        <f>'FS Jimbaran Jan 2023'!BI28</f>
        <v>0</v>
      </c>
      <c r="V18" s="45">
        <f>'FS Jimbaran Jan 2023'!BJ28</f>
        <v>0</v>
      </c>
      <c r="W18" s="45">
        <f>'FS Jimbaran Jan 2023'!Y28</f>
        <v>410</v>
      </c>
      <c r="X18" s="45">
        <f>'FS Jimbaran Jan 2023'!Z28</f>
        <v>0</v>
      </c>
      <c r="Y18" s="45">
        <f>'FS Jimbaran Jan 2023'!AA28</f>
        <v>-6.4</v>
      </c>
      <c r="Z18" s="45">
        <f>'FS Jimbaran Jan 2023'!AB28</f>
        <v>0</v>
      </c>
      <c r="AA18" s="45">
        <f>'FS Jimbaran Jan 2023'!AC28</f>
        <v>0</v>
      </c>
      <c r="AB18" s="45">
        <f>'FS Jimbaran Jan 2023'!AD28</f>
        <v>0</v>
      </c>
      <c r="AC18" s="45">
        <f>'FS Jimbaran Jan 2023'!AE28</f>
        <v>0</v>
      </c>
      <c r="AD18" s="45">
        <f>'FS Jimbaran Jan 2023'!AF28</f>
        <v>0</v>
      </c>
      <c r="AE18" s="45">
        <f>'FS Jimbaran Jan 2023'!AG28</f>
        <v>0</v>
      </c>
      <c r="AF18" s="45">
        <f>'FS Jimbaran Jan 2023'!AH28</f>
        <v>0</v>
      </c>
      <c r="AG18" s="45">
        <f>'FS Jimbaran Jan 2023'!AM28</f>
        <v>0</v>
      </c>
      <c r="AH18" s="45">
        <f>'FS Jimbaran Jan 2023'!AR28</f>
        <v>0</v>
      </c>
      <c r="AI18" s="45">
        <f>'FS Jimbaran Jan 2023'!AQ28</f>
        <v>0</v>
      </c>
      <c r="AJ18" s="45">
        <f>'FS Jimbaran Jan 2023'!AR28</f>
        <v>0</v>
      </c>
      <c r="AK18" s="45">
        <f>'FS Jimbaran Jan 2023'!AY28</f>
        <v>0</v>
      </c>
      <c r="AL18" s="45">
        <f>'FS Jimbaran Jan 2023'!AZ28</f>
        <v>0</v>
      </c>
      <c r="AM18" s="45">
        <f>'FS Jimbaran Jan 2023'!BB28</f>
        <v>0</v>
      </c>
      <c r="AN18" s="45">
        <f>'FS Jimbaran Jan 2023'!BB28</f>
        <v>0</v>
      </c>
      <c r="AO18" s="45">
        <f>'FS Jimbaran Jan 2023'!BK28</f>
        <v>0</v>
      </c>
      <c r="AP18" s="45">
        <f>'FS Jimbaran Jan 2023'!BL28</f>
        <v>0</v>
      </c>
      <c r="AQ18" s="45">
        <f>'FS Jimbaran Jan 2023'!BC28</f>
        <v>0</v>
      </c>
      <c r="AR18" s="45">
        <f>'FS Jimbaran Jan 2023'!BD28</f>
        <v>0</v>
      </c>
      <c r="AS18" s="45">
        <f>'FS Jimbaran Jan 2023'!BM28</f>
        <v>0</v>
      </c>
      <c r="AT18" s="45">
        <f>'FS Jimbaran Jan 2023'!BN28</f>
        <v>0</v>
      </c>
      <c r="AU18" s="45">
        <f>'FS Jimbaran Jan 2023'!BO28</f>
        <v>0</v>
      </c>
      <c r="AV18" s="45">
        <f>'FS Jimbaran Jan 2023'!BP28</f>
        <v>0</v>
      </c>
      <c r="AW18" s="45">
        <f>'FS Jimbaran Jan 2023'!E28</f>
        <v>16.399999999999999</v>
      </c>
      <c r="AX18" s="45">
        <f>'FS Jimbaran Jan 2023'!F28</f>
        <v>0</v>
      </c>
      <c r="AY18" s="45">
        <f>'FS Jimbaran Jan 2023'!O28</f>
        <v>0</v>
      </c>
      <c r="AZ18" s="45">
        <f>'FS Jimbaran Jan 2023'!P28</f>
        <v>0</v>
      </c>
      <c r="BA18" s="45">
        <f>'FS Jimbaran Jan 2023'!W28</f>
        <v>0</v>
      </c>
      <c r="BB18" s="45">
        <f>'FS Jimbaran Jan 2023'!X28</f>
        <v>0</v>
      </c>
      <c r="BC18" s="45">
        <f>'FS Jimbaran Jan 2023'!AI28</f>
        <v>377</v>
      </c>
      <c r="BD18" s="45">
        <f>'FS Jimbaran Jan 2023'!AJ28</f>
        <v>0</v>
      </c>
      <c r="BE18" s="45">
        <f>'FS Jimbaran Jan 2023'!AK28</f>
        <v>0</v>
      </c>
      <c r="BF18" s="45">
        <f>'FS Jimbaran Jan 2023'!AL28</f>
        <v>0</v>
      </c>
      <c r="BG18" s="45">
        <f>'FS Jimbaran Jan 2023'!AM28</f>
        <v>0</v>
      </c>
      <c r="BH18" s="45">
        <f>'FS Jimbaran Jan 2023'!AN28</f>
        <v>0</v>
      </c>
      <c r="BI18" s="45">
        <f>'FS Jimbaran Jan 2023'!AO28</f>
        <v>0</v>
      </c>
      <c r="BJ18" s="45">
        <f>'FS Jimbaran Jan 2023'!AO28</f>
        <v>0</v>
      </c>
      <c r="BK18" s="45">
        <f>'FS Jimbaran Jan 2023'!AQ28</f>
        <v>0</v>
      </c>
      <c r="BL18" s="45">
        <f>'FS Jimbaran Jan 2023'!AR28</f>
        <v>0</v>
      </c>
      <c r="BM18" s="45">
        <v>0</v>
      </c>
      <c r="BN18" s="45">
        <v>0</v>
      </c>
      <c r="BO18" s="46">
        <f>'FS Jimbaran Jan 2023'!Q28</f>
        <v>0</v>
      </c>
      <c r="BP18" s="45">
        <f>'FS Jimbaran Jan 2023'!R28</f>
        <v>0</v>
      </c>
    </row>
    <row r="19" spans="1:68">
      <c r="A19" s="40" t="s">
        <v>67</v>
      </c>
      <c r="B19" s="48">
        <f t="shared" si="0"/>
        <v>18</v>
      </c>
      <c r="C19" s="49">
        <v>1</v>
      </c>
      <c r="D19" s="50">
        <v>2022</v>
      </c>
      <c r="E19" s="41">
        <f>'FS Jimbaran Jan 2023'!K29</f>
        <v>15</v>
      </c>
      <c r="F19" s="45">
        <f>'FS Jimbaran Jan 2023'!N29</f>
        <v>0</v>
      </c>
      <c r="G19" s="45">
        <f>'FS Jimbaran Jan 2023'!E29</f>
        <v>16.399999999999999</v>
      </c>
      <c r="H19" s="45">
        <f>'FS Jimbaran Jan 2023'!H29</f>
        <v>0</v>
      </c>
      <c r="I19" s="45">
        <f>'FS Jimbaran Jan 2023'!I29</f>
        <v>0</v>
      </c>
      <c r="J19" s="45">
        <f>'FS Jimbaran Jan 2023'!J29</f>
        <v>0</v>
      </c>
      <c r="K19" s="45">
        <f>'FS Jimbaran Jan 2023'!K29</f>
        <v>15</v>
      </c>
      <c r="L19" s="45">
        <f>'FS Jimbaran Jan 2023'!L29</f>
        <v>0</v>
      </c>
      <c r="M19" s="45">
        <f>'FS Jimbaran Jan 2023'!S29</f>
        <v>0</v>
      </c>
      <c r="N19" s="45">
        <f>'FS Jimbaran Jan 2023'!T29</f>
        <v>0</v>
      </c>
      <c r="O19" s="45">
        <f>'FS Jimbaran Jan 2023'!U29</f>
        <v>5.6</v>
      </c>
      <c r="P19" s="45">
        <f>'FS Jimbaran Jan 2023'!V29</f>
        <v>0</v>
      </c>
      <c r="Q19" s="45">
        <f>'FS Jimbaran Jan 2023'!BE29</f>
        <v>0</v>
      </c>
      <c r="R19" s="45">
        <f>'FS Jimbaran Jan 2023'!BF29</f>
        <v>0</v>
      </c>
      <c r="S19" s="45">
        <f>'FS Jimbaran Jan 2023'!BH29</f>
        <v>0</v>
      </c>
      <c r="T19" s="45">
        <f>'FS Jimbaran Jan 2023'!BH29</f>
        <v>0</v>
      </c>
      <c r="U19" s="45">
        <f>'FS Jimbaran Jan 2023'!BI29</f>
        <v>0</v>
      </c>
      <c r="V19" s="45">
        <f>'FS Jimbaran Jan 2023'!BJ29</f>
        <v>0</v>
      </c>
      <c r="W19" s="45">
        <f>'FS Jimbaran Jan 2023'!Y29</f>
        <v>420</v>
      </c>
      <c r="X19" s="45">
        <f>'FS Jimbaran Jan 2023'!Z29</f>
        <v>0</v>
      </c>
      <c r="Y19" s="45">
        <f>'FS Jimbaran Jan 2023'!AA29</f>
        <v>-6.4</v>
      </c>
      <c r="Z19" s="45">
        <f>'FS Jimbaran Jan 2023'!AB29</f>
        <v>0</v>
      </c>
      <c r="AA19" s="45">
        <f>'FS Jimbaran Jan 2023'!AC29</f>
        <v>0</v>
      </c>
      <c r="AB19" s="45">
        <f>'FS Jimbaran Jan 2023'!AD29</f>
        <v>0</v>
      </c>
      <c r="AC19" s="45">
        <f>'FS Jimbaran Jan 2023'!AE29</f>
        <v>0</v>
      </c>
      <c r="AD19" s="45">
        <f>'FS Jimbaran Jan 2023'!AF29</f>
        <v>0</v>
      </c>
      <c r="AE19" s="45">
        <f>'FS Jimbaran Jan 2023'!AG29</f>
        <v>0</v>
      </c>
      <c r="AF19" s="45">
        <f>'FS Jimbaran Jan 2023'!AH29</f>
        <v>0</v>
      </c>
      <c r="AG19" s="45">
        <f>'FS Jimbaran Jan 2023'!AM29</f>
        <v>0</v>
      </c>
      <c r="AH19" s="45">
        <f>'FS Jimbaran Jan 2023'!AR29</f>
        <v>0</v>
      </c>
      <c r="AI19" s="45">
        <f>'FS Jimbaran Jan 2023'!AQ29</f>
        <v>0</v>
      </c>
      <c r="AJ19" s="45">
        <f>'FS Jimbaran Jan 2023'!AR29</f>
        <v>0</v>
      </c>
      <c r="AK19" s="45">
        <f>'FS Jimbaran Jan 2023'!AY29</f>
        <v>0</v>
      </c>
      <c r="AL19" s="45">
        <f>'FS Jimbaran Jan 2023'!AZ29</f>
        <v>0</v>
      </c>
      <c r="AM19" s="45">
        <f>'FS Jimbaran Jan 2023'!BB29</f>
        <v>0</v>
      </c>
      <c r="AN19" s="45">
        <f>'FS Jimbaran Jan 2023'!BB29</f>
        <v>0</v>
      </c>
      <c r="AO19" s="45">
        <f>'FS Jimbaran Jan 2023'!BK29</f>
        <v>0</v>
      </c>
      <c r="AP19" s="45">
        <f>'FS Jimbaran Jan 2023'!BL29</f>
        <v>0</v>
      </c>
      <c r="AQ19" s="45">
        <f>'FS Jimbaran Jan 2023'!BC29</f>
        <v>0</v>
      </c>
      <c r="AR19" s="45">
        <f>'FS Jimbaran Jan 2023'!BD29</f>
        <v>0</v>
      </c>
      <c r="AS19" s="45">
        <f>'FS Jimbaran Jan 2023'!BM29</f>
        <v>0</v>
      </c>
      <c r="AT19" s="45">
        <f>'FS Jimbaran Jan 2023'!BN29</f>
        <v>0</v>
      </c>
      <c r="AU19" s="45">
        <f>'FS Jimbaran Jan 2023'!BO29</f>
        <v>0</v>
      </c>
      <c r="AV19" s="45">
        <f>'FS Jimbaran Jan 2023'!BP29</f>
        <v>0</v>
      </c>
      <c r="AW19" s="45">
        <f>'FS Jimbaran Jan 2023'!E29</f>
        <v>16.399999999999999</v>
      </c>
      <c r="AX19" s="45">
        <f>'FS Jimbaran Jan 2023'!F29</f>
        <v>0</v>
      </c>
      <c r="AY19" s="45">
        <f>'FS Jimbaran Jan 2023'!O29</f>
        <v>0</v>
      </c>
      <c r="AZ19" s="45">
        <f>'FS Jimbaran Jan 2023'!P29</f>
        <v>0</v>
      </c>
      <c r="BA19" s="45">
        <f>'FS Jimbaran Jan 2023'!W29</f>
        <v>0</v>
      </c>
      <c r="BB19" s="45">
        <f>'FS Jimbaran Jan 2023'!X29</f>
        <v>0</v>
      </c>
      <c r="BC19" s="45">
        <f>'FS Jimbaran Jan 2023'!AI29</f>
        <v>332.8</v>
      </c>
      <c r="BD19" s="45">
        <f>'FS Jimbaran Jan 2023'!AJ29</f>
        <v>0</v>
      </c>
      <c r="BE19" s="45">
        <f>'FS Jimbaran Jan 2023'!AK29</f>
        <v>0</v>
      </c>
      <c r="BF19" s="45">
        <f>'FS Jimbaran Jan 2023'!AL29</f>
        <v>0</v>
      </c>
      <c r="BG19" s="45">
        <f>'FS Jimbaran Jan 2023'!AM29</f>
        <v>0</v>
      </c>
      <c r="BH19" s="45">
        <f>'FS Jimbaran Jan 2023'!AN29</f>
        <v>0</v>
      </c>
      <c r="BI19" s="45">
        <f>'FS Jimbaran Jan 2023'!AO29</f>
        <v>0</v>
      </c>
      <c r="BJ19" s="45">
        <f>'FS Jimbaran Jan 2023'!AO29</f>
        <v>0</v>
      </c>
      <c r="BK19" s="45">
        <f>'FS Jimbaran Jan 2023'!AQ29</f>
        <v>0</v>
      </c>
      <c r="BL19" s="45">
        <f>'FS Jimbaran Jan 2023'!AR29</f>
        <v>0</v>
      </c>
      <c r="BM19" s="45">
        <v>0</v>
      </c>
      <c r="BN19" s="45">
        <v>0</v>
      </c>
      <c r="BO19" s="46">
        <f>'FS Jimbaran Jan 2023'!Q29</f>
        <v>0</v>
      </c>
      <c r="BP19" s="45">
        <f>'FS Jimbaran Jan 2023'!R29</f>
        <v>0</v>
      </c>
    </row>
    <row r="20" spans="1:68">
      <c r="A20" s="40" t="s">
        <v>67</v>
      </c>
      <c r="B20" s="48">
        <f t="shared" si="0"/>
        <v>19</v>
      </c>
      <c r="C20" s="49">
        <v>1</v>
      </c>
      <c r="D20" s="50">
        <v>2022</v>
      </c>
      <c r="E20" s="41">
        <f>'FS Jimbaran Jan 2023'!K30</f>
        <v>15</v>
      </c>
      <c r="F20" s="45">
        <f>'FS Jimbaran Jan 2023'!N30</f>
        <v>-18000</v>
      </c>
      <c r="G20" s="45">
        <f>'FS Jimbaran Jan 2023'!E30</f>
        <v>16.399999999999999</v>
      </c>
      <c r="H20" s="45">
        <f>'FS Jimbaran Jan 2023'!H30</f>
        <v>0</v>
      </c>
      <c r="I20" s="45">
        <f>'FS Jimbaran Jan 2023'!I30</f>
        <v>0</v>
      </c>
      <c r="J20" s="45">
        <f>'FS Jimbaran Jan 2023'!J30</f>
        <v>0</v>
      </c>
      <c r="K20" s="45">
        <f>'FS Jimbaran Jan 2023'!K30</f>
        <v>15</v>
      </c>
      <c r="L20" s="45">
        <f>'FS Jimbaran Jan 2023'!L30</f>
        <v>-10000</v>
      </c>
      <c r="M20" s="45">
        <f>'FS Jimbaran Jan 2023'!S30</f>
        <v>0</v>
      </c>
      <c r="N20" s="45">
        <f>'FS Jimbaran Jan 2023'!T30</f>
        <v>0</v>
      </c>
      <c r="O20" s="45">
        <f>'FS Jimbaran Jan 2023'!U30</f>
        <v>5.6</v>
      </c>
      <c r="P20" s="45">
        <f>'FS Jimbaran Jan 2023'!V30</f>
        <v>-120225</v>
      </c>
      <c r="Q20" s="45">
        <f>'FS Jimbaran Jan 2023'!BE30</f>
        <v>0</v>
      </c>
      <c r="R20" s="45">
        <f>'FS Jimbaran Jan 2023'!BF30</f>
        <v>0</v>
      </c>
      <c r="S20" s="45">
        <f>'FS Jimbaran Jan 2023'!BH30</f>
        <v>0</v>
      </c>
      <c r="T20" s="45">
        <f>'FS Jimbaran Jan 2023'!BH30</f>
        <v>0</v>
      </c>
      <c r="U20" s="45">
        <f>'FS Jimbaran Jan 2023'!BI30</f>
        <v>0</v>
      </c>
      <c r="V20" s="45">
        <f>'FS Jimbaran Jan 2023'!BJ30</f>
        <v>0</v>
      </c>
      <c r="W20" s="45">
        <f>'FS Jimbaran Jan 2023'!Y30</f>
        <v>445</v>
      </c>
      <c r="X20" s="45">
        <f>'FS Jimbaran Jan 2023'!Z30</f>
        <v>0</v>
      </c>
      <c r="Y20" s="45">
        <f>'FS Jimbaran Jan 2023'!AA30</f>
        <v>-6.4</v>
      </c>
      <c r="Z20" s="45">
        <f>'FS Jimbaran Jan 2023'!AB30</f>
        <v>0</v>
      </c>
      <c r="AA20" s="45">
        <f>'FS Jimbaran Jan 2023'!AC30</f>
        <v>0</v>
      </c>
      <c r="AB20" s="45">
        <f>'FS Jimbaran Jan 2023'!AD30</f>
        <v>0</v>
      </c>
      <c r="AC20" s="45">
        <f>'FS Jimbaran Jan 2023'!AE30</f>
        <v>0</v>
      </c>
      <c r="AD20" s="45">
        <f>'FS Jimbaran Jan 2023'!AF30</f>
        <v>0</v>
      </c>
      <c r="AE20" s="45">
        <f>'FS Jimbaran Jan 2023'!AG30</f>
        <v>0</v>
      </c>
      <c r="AF20" s="45">
        <f>'FS Jimbaran Jan 2023'!AH30</f>
        <v>0</v>
      </c>
      <c r="AG20" s="45">
        <f>'FS Jimbaran Jan 2023'!AM30</f>
        <v>0</v>
      </c>
      <c r="AH20" s="45">
        <f>'FS Jimbaran Jan 2023'!AR30</f>
        <v>0</v>
      </c>
      <c r="AI20" s="45">
        <f>'FS Jimbaran Jan 2023'!AQ30</f>
        <v>0</v>
      </c>
      <c r="AJ20" s="45">
        <f>'FS Jimbaran Jan 2023'!AR30</f>
        <v>0</v>
      </c>
      <c r="AK20" s="45">
        <f>'FS Jimbaran Jan 2023'!AY30</f>
        <v>0</v>
      </c>
      <c r="AL20" s="45">
        <f>'FS Jimbaran Jan 2023'!AZ30</f>
        <v>0</v>
      </c>
      <c r="AM20" s="45">
        <f>'FS Jimbaran Jan 2023'!BB30</f>
        <v>0</v>
      </c>
      <c r="AN20" s="45">
        <f>'FS Jimbaran Jan 2023'!BB30</f>
        <v>0</v>
      </c>
      <c r="AO20" s="45">
        <f>'FS Jimbaran Jan 2023'!BK30</f>
        <v>0</v>
      </c>
      <c r="AP20" s="45">
        <f>'FS Jimbaran Jan 2023'!BL30</f>
        <v>0</v>
      </c>
      <c r="AQ20" s="45">
        <f>'FS Jimbaran Jan 2023'!BC30</f>
        <v>0</v>
      </c>
      <c r="AR20" s="45">
        <f>'FS Jimbaran Jan 2023'!BD30</f>
        <v>0</v>
      </c>
      <c r="AS20" s="45">
        <f>'FS Jimbaran Jan 2023'!BM30</f>
        <v>0</v>
      </c>
      <c r="AT20" s="45">
        <f>'FS Jimbaran Jan 2023'!BN30</f>
        <v>0</v>
      </c>
      <c r="AU20" s="45">
        <f>'FS Jimbaran Jan 2023'!BO30</f>
        <v>0</v>
      </c>
      <c r="AV20" s="45">
        <f>'FS Jimbaran Jan 2023'!BP30</f>
        <v>0</v>
      </c>
      <c r="AW20" s="45">
        <f>'FS Jimbaran Jan 2023'!E30</f>
        <v>16.399999999999999</v>
      </c>
      <c r="AX20" s="45">
        <f>'FS Jimbaran Jan 2023'!F30</f>
        <v>-261300</v>
      </c>
      <c r="AY20" s="45">
        <f>'FS Jimbaran Jan 2023'!O30</f>
        <v>0</v>
      </c>
      <c r="AZ20" s="45">
        <f>'FS Jimbaran Jan 2023'!P30</f>
        <v>0</v>
      </c>
      <c r="BA20" s="45">
        <f>'FS Jimbaran Jan 2023'!W30</f>
        <v>0</v>
      </c>
      <c r="BB20" s="45">
        <f>'FS Jimbaran Jan 2023'!X30</f>
        <v>0</v>
      </c>
      <c r="BC20" s="45">
        <f>'FS Jimbaran Jan 2023'!AI30</f>
        <v>621.4</v>
      </c>
      <c r="BD20" s="45">
        <f>'FS Jimbaran Jan 2023'!AJ30</f>
        <v>0</v>
      </c>
      <c r="BE20" s="45">
        <f>'FS Jimbaran Jan 2023'!AK30</f>
        <v>0</v>
      </c>
      <c r="BF20" s="45">
        <f>'FS Jimbaran Jan 2023'!AL30</f>
        <v>0</v>
      </c>
      <c r="BG20" s="45">
        <f>'FS Jimbaran Jan 2023'!AM30</f>
        <v>0</v>
      </c>
      <c r="BH20" s="45">
        <f>'FS Jimbaran Jan 2023'!AN30</f>
        <v>0</v>
      </c>
      <c r="BI20" s="45">
        <f>'FS Jimbaran Jan 2023'!AO30</f>
        <v>0</v>
      </c>
      <c r="BJ20" s="45">
        <f>'FS Jimbaran Jan 2023'!AO30</f>
        <v>0</v>
      </c>
      <c r="BK20" s="45">
        <f>'FS Jimbaran Jan 2023'!AQ30</f>
        <v>0</v>
      </c>
      <c r="BL20" s="45">
        <f>'FS Jimbaran Jan 2023'!AR30</f>
        <v>0</v>
      </c>
      <c r="BM20" s="45">
        <v>0</v>
      </c>
      <c r="BN20" s="45">
        <v>0</v>
      </c>
      <c r="BO20" s="46">
        <f>'FS Jimbaran Jan 2023'!Q30</f>
        <v>0</v>
      </c>
      <c r="BP20" s="45">
        <f>'FS Jimbaran Jan 2023'!R30</f>
        <v>0</v>
      </c>
    </row>
    <row r="21" spans="1:68">
      <c r="A21" s="40" t="s">
        <v>67</v>
      </c>
      <c r="B21" s="48">
        <f t="shared" si="0"/>
        <v>20</v>
      </c>
      <c r="C21" s="49">
        <v>1</v>
      </c>
      <c r="D21" s="50">
        <v>2022</v>
      </c>
      <c r="E21" s="41">
        <f>'FS Jimbaran Jan 2023'!K31</f>
        <v>15</v>
      </c>
      <c r="F21" s="45">
        <f>'FS Jimbaran Jan 2023'!N31</f>
        <v>0</v>
      </c>
      <c r="G21" s="45">
        <f>'FS Jimbaran Jan 2023'!E31</f>
        <v>16.399999999999999</v>
      </c>
      <c r="H21" s="45">
        <f>'FS Jimbaran Jan 2023'!H31</f>
        <v>0</v>
      </c>
      <c r="I21" s="45">
        <f>'FS Jimbaran Jan 2023'!I31</f>
        <v>0</v>
      </c>
      <c r="J21" s="45">
        <f>'FS Jimbaran Jan 2023'!J31</f>
        <v>0</v>
      </c>
      <c r="K21" s="45">
        <f>'FS Jimbaran Jan 2023'!K31</f>
        <v>15</v>
      </c>
      <c r="L21" s="45">
        <f>'FS Jimbaran Jan 2023'!L31</f>
        <v>0</v>
      </c>
      <c r="M21" s="45">
        <f>'FS Jimbaran Jan 2023'!S31</f>
        <v>0</v>
      </c>
      <c r="N21" s="45">
        <f>'FS Jimbaran Jan 2023'!T31</f>
        <v>0</v>
      </c>
      <c r="O21" s="45">
        <f>'FS Jimbaran Jan 2023'!U31</f>
        <v>5.6</v>
      </c>
      <c r="P21" s="45">
        <f>'FS Jimbaran Jan 2023'!V31</f>
        <v>0</v>
      </c>
      <c r="Q21" s="45">
        <f>'FS Jimbaran Jan 2023'!BE31</f>
        <v>0</v>
      </c>
      <c r="R21" s="45">
        <f>'FS Jimbaran Jan 2023'!BF31</f>
        <v>0</v>
      </c>
      <c r="S21" s="45">
        <f>'FS Jimbaran Jan 2023'!BH31</f>
        <v>0</v>
      </c>
      <c r="T21" s="45">
        <f>'FS Jimbaran Jan 2023'!BH31</f>
        <v>0</v>
      </c>
      <c r="U21" s="45">
        <f>'FS Jimbaran Jan 2023'!BI31</f>
        <v>0</v>
      </c>
      <c r="V21" s="45">
        <f>'FS Jimbaran Jan 2023'!BJ31</f>
        <v>0</v>
      </c>
      <c r="W21" s="45">
        <f>'FS Jimbaran Jan 2023'!Y31</f>
        <v>420</v>
      </c>
      <c r="X21" s="45">
        <f>'FS Jimbaran Jan 2023'!Z31</f>
        <v>0</v>
      </c>
      <c r="Y21" s="45">
        <f>'FS Jimbaran Jan 2023'!AA31</f>
        <v>-6.4</v>
      </c>
      <c r="Z21" s="45">
        <f>'FS Jimbaran Jan 2023'!AB31</f>
        <v>0</v>
      </c>
      <c r="AA21" s="45">
        <f>'FS Jimbaran Jan 2023'!AC31</f>
        <v>0</v>
      </c>
      <c r="AB21" s="45">
        <f>'FS Jimbaran Jan 2023'!AD31</f>
        <v>0</v>
      </c>
      <c r="AC21" s="45">
        <f>'FS Jimbaran Jan 2023'!AE31</f>
        <v>0</v>
      </c>
      <c r="AD21" s="45">
        <f>'FS Jimbaran Jan 2023'!AF31</f>
        <v>0</v>
      </c>
      <c r="AE21" s="45">
        <f>'FS Jimbaran Jan 2023'!AG31</f>
        <v>0</v>
      </c>
      <c r="AF21" s="45">
        <f>'FS Jimbaran Jan 2023'!AH31</f>
        <v>0</v>
      </c>
      <c r="AG21" s="45">
        <f>'FS Jimbaran Jan 2023'!AM31</f>
        <v>0</v>
      </c>
      <c r="AH21" s="45">
        <f>'FS Jimbaran Jan 2023'!AR31</f>
        <v>0</v>
      </c>
      <c r="AI21" s="45">
        <f>'FS Jimbaran Jan 2023'!AQ31</f>
        <v>0</v>
      </c>
      <c r="AJ21" s="45">
        <f>'FS Jimbaran Jan 2023'!AR31</f>
        <v>0</v>
      </c>
      <c r="AK21" s="45">
        <f>'FS Jimbaran Jan 2023'!AY31</f>
        <v>0</v>
      </c>
      <c r="AL21" s="45">
        <f>'FS Jimbaran Jan 2023'!AZ31</f>
        <v>0</v>
      </c>
      <c r="AM21" s="45">
        <f>'FS Jimbaran Jan 2023'!BB31</f>
        <v>0</v>
      </c>
      <c r="AN21" s="45">
        <f>'FS Jimbaran Jan 2023'!BB31</f>
        <v>0</v>
      </c>
      <c r="AO21" s="45">
        <f>'FS Jimbaran Jan 2023'!BK31</f>
        <v>0</v>
      </c>
      <c r="AP21" s="45">
        <f>'FS Jimbaran Jan 2023'!BL31</f>
        <v>0</v>
      </c>
      <c r="AQ21" s="45">
        <f>'FS Jimbaran Jan 2023'!BC31</f>
        <v>0</v>
      </c>
      <c r="AR21" s="45">
        <f>'FS Jimbaran Jan 2023'!BD31</f>
        <v>0</v>
      </c>
      <c r="AS21" s="45">
        <f>'FS Jimbaran Jan 2023'!BM31</f>
        <v>0</v>
      </c>
      <c r="AT21" s="45">
        <f>'FS Jimbaran Jan 2023'!BN31</f>
        <v>0</v>
      </c>
      <c r="AU21" s="45">
        <f>'FS Jimbaran Jan 2023'!BO31</f>
        <v>0</v>
      </c>
      <c r="AV21" s="45">
        <f>'FS Jimbaran Jan 2023'!BP31</f>
        <v>0</v>
      </c>
      <c r="AW21" s="45">
        <f>'FS Jimbaran Jan 2023'!E31</f>
        <v>16.399999999999999</v>
      </c>
      <c r="AX21" s="45">
        <f>'FS Jimbaran Jan 2023'!F31</f>
        <v>0</v>
      </c>
      <c r="AY21" s="45">
        <f>'FS Jimbaran Jan 2023'!O31</f>
        <v>0</v>
      </c>
      <c r="AZ21" s="45">
        <f>'FS Jimbaran Jan 2023'!P31</f>
        <v>0</v>
      </c>
      <c r="BA21" s="45">
        <f>'FS Jimbaran Jan 2023'!W31</f>
        <v>0</v>
      </c>
      <c r="BB21" s="45">
        <f>'FS Jimbaran Jan 2023'!X31</f>
        <v>0</v>
      </c>
      <c r="BC21" s="45">
        <f>'FS Jimbaran Jan 2023'!AI31</f>
        <v>468</v>
      </c>
      <c r="BD21" s="45">
        <f>'FS Jimbaran Jan 2023'!AJ31</f>
        <v>0</v>
      </c>
      <c r="BE21" s="45">
        <f>'FS Jimbaran Jan 2023'!AK31</f>
        <v>0</v>
      </c>
      <c r="BF21" s="45">
        <f>'FS Jimbaran Jan 2023'!AL31</f>
        <v>0</v>
      </c>
      <c r="BG21" s="45">
        <f>'FS Jimbaran Jan 2023'!AM31</f>
        <v>0</v>
      </c>
      <c r="BH21" s="45">
        <f>'FS Jimbaran Jan 2023'!AN31</f>
        <v>0</v>
      </c>
      <c r="BI21" s="45">
        <f>'FS Jimbaran Jan 2023'!AO31</f>
        <v>0</v>
      </c>
      <c r="BJ21" s="45">
        <f>'FS Jimbaran Jan 2023'!AO31</f>
        <v>0</v>
      </c>
      <c r="BK21" s="45">
        <f>'FS Jimbaran Jan 2023'!AQ31</f>
        <v>0</v>
      </c>
      <c r="BL21" s="45">
        <f>'FS Jimbaran Jan 2023'!AR31</f>
        <v>0</v>
      </c>
      <c r="BM21" s="45">
        <v>0</v>
      </c>
      <c r="BN21" s="45">
        <v>0</v>
      </c>
      <c r="BO21" s="46">
        <f>'FS Jimbaran Jan 2023'!Q31</f>
        <v>0</v>
      </c>
      <c r="BP21" s="45">
        <f>'FS Jimbaran Jan 2023'!R31</f>
        <v>0</v>
      </c>
    </row>
    <row r="22" spans="1:68">
      <c r="A22" s="40" t="s">
        <v>67</v>
      </c>
      <c r="B22" s="48">
        <f t="shared" si="0"/>
        <v>21</v>
      </c>
      <c r="C22" s="49">
        <v>1</v>
      </c>
      <c r="D22" s="50">
        <v>2022</v>
      </c>
      <c r="E22" s="41">
        <f>'FS Jimbaran Jan 2023'!K32</f>
        <v>15</v>
      </c>
      <c r="F22" s="45">
        <f>'FS Jimbaran Jan 2023'!N32</f>
        <v>0</v>
      </c>
      <c r="G22" s="45">
        <f>'FS Jimbaran Jan 2023'!E32</f>
        <v>16.399999999999999</v>
      </c>
      <c r="H22" s="45">
        <f>'FS Jimbaran Jan 2023'!H32</f>
        <v>0</v>
      </c>
      <c r="I22" s="45">
        <f>'FS Jimbaran Jan 2023'!I32</f>
        <v>0</v>
      </c>
      <c r="J22" s="45">
        <f>'FS Jimbaran Jan 2023'!J32</f>
        <v>0</v>
      </c>
      <c r="K22" s="45">
        <f>'FS Jimbaran Jan 2023'!K32</f>
        <v>15</v>
      </c>
      <c r="L22" s="45">
        <f>'FS Jimbaran Jan 2023'!L32</f>
        <v>0</v>
      </c>
      <c r="M22" s="45">
        <f>'FS Jimbaran Jan 2023'!S32</f>
        <v>0</v>
      </c>
      <c r="N22" s="45">
        <f>'FS Jimbaran Jan 2023'!T32</f>
        <v>0</v>
      </c>
      <c r="O22" s="45">
        <f>'FS Jimbaran Jan 2023'!U32</f>
        <v>5.6</v>
      </c>
      <c r="P22" s="45">
        <f>'FS Jimbaran Jan 2023'!V32</f>
        <v>0</v>
      </c>
      <c r="Q22" s="45">
        <f>'FS Jimbaran Jan 2023'!BE32</f>
        <v>0</v>
      </c>
      <c r="R22" s="45">
        <f>'FS Jimbaran Jan 2023'!BF32</f>
        <v>0</v>
      </c>
      <c r="S22" s="45">
        <f>'FS Jimbaran Jan 2023'!BH32</f>
        <v>0</v>
      </c>
      <c r="T22" s="45">
        <f>'FS Jimbaran Jan 2023'!BH32</f>
        <v>0</v>
      </c>
      <c r="U22" s="45">
        <f>'FS Jimbaran Jan 2023'!BI32</f>
        <v>0</v>
      </c>
      <c r="V22" s="45">
        <f>'FS Jimbaran Jan 2023'!BJ32</f>
        <v>0</v>
      </c>
      <c r="W22" s="45">
        <f>'FS Jimbaran Jan 2023'!Y32</f>
        <v>430</v>
      </c>
      <c r="X22" s="45">
        <f>'FS Jimbaran Jan 2023'!Z32</f>
        <v>0</v>
      </c>
      <c r="Y22" s="45">
        <f>'FS Jimbaran Jan 2023'!AA32</f>
        <v>-6.4</v>
      </c>
      <c r="Z22" s="45">
        <f>'FS Jimbaran Jan 2023'!AB32</f>
        <v>0</v>
      </c>
      <c r="AA22" s="45">
        <f>'FS Jimbaran Jan 2023'!AC32</f>
        <v>0</v>
      </c>
      <c r="AB22" s="45">
        <f>'FS Jimbaran Jan 2023'!AD32</f>
        <v>0</v>
      </c>
      <c r="AC22" s="45">
        <f>'FS Jimbaran Jan 2023'!AE32</f>
        <v>0</v>
      </c>
      <c r="AD22" s="45">
        <f>'FS Jimbaran Jan 2023'!AF32</f>
        <v>0</v>
      </c>
      <c r="AE22" s="45">
        <f>'FS Jimbaran Jan 2023'!AG32</f>
        <v>0</v>
      </c>
      <c r="AF22" s="45">
        <f>'FS Jimbaran Jan 2023'!AH32</f>
        <v>0</v>
      </c>
      <c r="AG22" s="45">
        <f>'FS Jimbaran Jan 2023'!AM32</f>
        <v>0</v>
      </c>
      <c r="AH22" s="45">
        <f>'FS Jimbaran Jan 2023'!AR32</f>
        <v>0</v>
      </c>
      <c r="AI22" s="45">
        <f>'FS Jimbaran Jan 2023'!AQ32</f>
        <v>0</v>
      </c>
      <c r="AJ22" s="45">
        <f>'FS Jimbaran Jan 2023'!AR32</f>
        <v>0</v>
      </c>
      <c r="AK22" s="45">
        <f>'FS Jimbaran Jan 2023'!AY32</f>
        <v>0</v>
      </c>
      <c r="AL22" s="45">
        <f>'FS Jimbaran Jan 2023'!AZ32</f>
        <v>0</v>
      </c>
      <c r="AM22" s="45">
        <f>'FS Jimbaran Jan 2023'!BB32</f>
        <v>0</v>
      </c>
      <c r="AN22" s="45">
        <f>'FS Jimbaran Jan 2023'!BB32</f>
        <v>0</v>
      </c>
      <c r="AO22" s="45">
        <f>'FS Jimbaran Jan 2023'!BK32</f>
        <v>0</v>
      </c>
      <c r="AP22" s="45">
        <f>'FS Jimbaran Jan 2023'!BL32</f>
        <v>0</v>
      </c>
      <c r="AQ22" s="45">
        <f>'FS Jimbaran Jan 2023'!BC32</f>
        <v>0</v>
      </c>
      <c r="AR22" s="45">
        <f>'FS Jimbaran Jan 2023'!BD32</f>
        <v>0</v>
      </c>
      <c r="AS22" s="45">
        <f>'FS Jimbaran Jan 2023'!BM32</f>
        <v>0</v>
      </c>
      <c r="AT22" s="45">
        <f>'FS Jimbaran Jan 2023'!BN32</f>
        <v>0</v>
      </c>
      <c r="AU22" s="45">
        <f>'FS Jimbaran Jan 2023'!BO32</f>
        <v>0</v>
      </c>
      <c r="AV22" s="45">
        <f>'FS Jimbaran Jan 2023'!BP32</f>
        <v>0</v>
      </c>
      <c r="AW22" s="45">
        <f>'FS Jimbaran Jan 2023'!E32</f>
        <v>16.399999999999999</v>
      </c>
      <c r="AX22" s="45">
        <f>'FS Jimbaran Jan 2023'!F32</f>
        <v>0</v>
      </c>
      <c r="AY22" s="45">
        <f>'FS Jimbaran Jan 2023'!O32</f>
        <v>0</v>
      </c>
      <c r="AZ22" s="45">
        <f>'FS Jimbaran Jan 2023'!P32</f>
        <v>0</v>
      </c>
      <c r="BA22" s="45">
        <f>'FS Jimbaran Jan 2023'!W32</f>
        <v>0</v>
      </c>
      <c r="BB22" s="45">
        <f>'FS Jimbaran Jan 2023'!X32</f>
        <v>0</v>
      </c>
      <c r="BC22" s="45">
        <f>'FS Jimbaran Jan 2023'!AI32</f>
        <v>340.6</v>
      </c>
      <c r="BD22" s="45">
        <f>'FS Jimbaran Jan 2023'!AJ32</f>
        <v>0</v>
      </c>
      <c r="BE22" s="45">
        <f>'FS Jimbaran Jan 2023'!AK32</f>
        <v>0</v>
      </c>
      <c r="BF22" s="45">
        <f>'FS Jimbaran Jan 2023'!AL32</f>
        <v>0</v>
      </c>
      <c r="BG22" s="45">
        <f>'FS Jimbaran Jan 2023'!AM32</f>
        <v>0</v>
      </c>
      <c r="BH22" s="45">
        <f>'FS Jimbaran Jan 2023'!AN32</f>
        <v>0</v>
      </c>
      <c r="BI22" s="45">
        <f>'FS Jimbaran Jan 2023'!AO32</f>
        <v>0</v>
      </c>
      <c r="BJ22" s="45">
        <f>'FS Jimbaran Jan 2023'!AO32</f>
        <v>0</v>
      </c>
      <c r="BK22" s="45">
        <f>'FS Jimbaran Jan 2023'!AQ32</f>
        <v>0</v>
      </c>
      <c r="BL22" s="45">
        <f>'FS Jimbaran Jan 2023'!AR32</f>
        <v>0</v>
      </c>
      <c r="BM22" s="45">
        <v>0</v>
      </c>
      <c r="BN22" s="45">
        <v>0</v>
      </c>
      <c r="BO22" s="46">
        <f>'FS Jimbaran Jan 2023'!Q32</f>
        <v>0</v>
      </c>
      <c r="BP22" s="45">
        <f>'FS Jimbaran Jan 2023'!R32</f>
        <v>0</v>
      </c>
    </row>
    <row r="23" spans="1:68">
      <c r="A23" s="40" t="s">
        <v>67</v>
      </c>
      <c r="B23" s="48">
        <f t="shared" si="0"/>
        <v>22</v>
      </c>
      <c r="C23" s="49">
        <v>1</v>
      </c>
      <c r="D23" s="50">
        <v>2022</v>
      </c>
      <c r="E23" s="41">
        <f>'FS Jimbaran Jan 2023'!K33</f>
        <v>15</v>
      </c>
      <c r="F23" s="45">
        <f>'FS Jimbaran Jan 2023'!N33</f>
        <v>0</v>
      </c>
      <c r="G23" s="45">
        <f>'FS Jimbaran Jan 2023'!E33</f>
        <v>16.399999999999999</v>
      </c>
      <c r="H23" s="45">
        <f>'FS Jimbaran Jan 2023'!H33</f>
        <v>0</v>
      </c>
      <c r="I23" s="45">
        <f>'FS Jimbaran Jan 2023'!I33</f>
        <v>0</v>
      </c>
      <c r="J23" s="45">
        <f>'FS Jimbaran Jan 2023'!J33</f>
        <v>0</v>
      </c>
      <c r="K23" s="45">
        <f>'FS Jimbaran Jan 2023'!K33</f>
        <v>15</v>
      </c>
      <c r="L23" s="45">
        <f>'FS Jimbaran Jan 2023'!L33</f>
        <v>0</v>
      </c>
      <c r="M23" s="45">
        <f>'FS Jimbaran Jan 2023'!S33</f>
        <v>0</v>
      </c>
      <c r="N23" s="45">
        <f>'FS Jimbaran Jan 2023'!T33</f>
        <v>0</v>
      </c>
      <c r="O23" s="45">
        <f>'FS Jimbaran Jan 2023'!U33</f>
        <v>5.6</v>
      </c>
      <c r="P23" s="45">
        <f>'FS Jimbaran Jan 2023'!V33</f>
        <v>0</v>
      </c>
      <c r="Q23" s="45">
        <f>'FS Jimbaran Jan 2023'!BE33</f>
        <v>0</v>
      </c>
      <c r="R23" s="45">
        <f>'FS Jimbaran Jan 2023'!BF33</f>
        <v>0</v>
      </c>
      <c r="S23" s="45">
        <f>'FS Jimbaran Jan 2023'!BH33</f>
        <v>0</v>
      </c>
      <c r="T23" s="45">
        <f>'FS Jimbaran Jan 2023'!BH33</f>
        <v>0</v>
      </c>
      <c r="U23" s="45">
        <f>'FS Jimbaran Jan 2023'!BI33</f>
        <v>0</v>
      </c>
      <c r="V23" s="45">
        <f>'FS Jimbaran Jan 2023'!BJ33</f>
        <v>0</v>
      </c>
      <c r="W23" s="45">
        <f>'FS Jimbaran Jan 2023'!Y33</f>
        <v>405</v>
      </c>
      <c r="X23" s="45">
        <f>'FS Jimbaran Jan 2023'!Z33</f>
        <v>0</v>
      </c>
      <c r="Y23" s="45">
        <f>'FS Jimbaran Jan 2023'!AA33</f>
        <v>-6.4</v>
      </c>
      <c r="Z23" s="45">
        <f>'FS Jimbaran Jan 2023'!AB33</f>
        <v>0</v>
      </c>
      <c r="AA23" s="45">
        <f>'FS Jimbaran Jan 2023'!AC33</f>
        <v>0</v>
      </c>
      <c r="AB23" s="45">
        <f>'FS Jimbaran Jan 2023'!AD33</f>
        <v>0</v>
      </c>
      <c r="AC23" s="45">
        <f>'FS Jimbaran Jan 2023'!AE33</f>
        <v>0</v>
      </c>
      <c r="AD23" s="45">
        <f>'FS Jimbaran Jan 2023'!AF33</f>
        <v>0</v>
      </c>
      <c r="AE23" s="45">
        <f>'FS Jimbaran Jan 2023'!AG33</f>
        <v>0</v>
      </c>
      <c r="AF23" s="45">
        <f>'FS Jimbaran Jan 2023'!AH33</f>
        <v>0</v>
      </c>
      <c r="AG23" s="45">
        <f>'FS Jimbaran Jan 2023'!AM33</f>
        <v>0</v>
      </c>
      <c r="AH23" s="45">
        <f>'FS Jimbaran Jan 2023'!AR33</f>
        <v>0</v>
      </c>
      <c r="AI23" s="45">
        <f>'FS Jimbaran Jan 2023'!AQ33</f>
        <v>0</v>
      </c>
      <c r="AJ23" s="45">
        <f>'FS Jimbaran Jan 2023'!AR33</f>
        <v>0</v>
      </c>
      <c r="AK23" s="45">
        <f>'FS Jimbaran Jan 2023'!AY33</f>
        <v>0</v>
      </c>
      <c r="AL23" s="45">
        <f>'FS Jimbaran Jan 2023'!AZ33</f>
        <v>0</v>
      </c>
      <c r="AM23" s="45">
        <f>'FS Jimbaran Jan 2023'!BB33</f>
        <v>0</v>
      </c>
      <c r="AN23" s="45">
        <f>'FS Jimbaran Jan 2023'!BB33</f>
        <v>0</v>
      </c>
      <c r="AO23" s="45">
        <f>'FS Jimbaran Jan 2023'!BK33</f>
        <v>0</v>
      </c>
      <c r="AP23" s="45">
        <f>'FS Jimbaran Jan 2023'!BL33</f>
        <v>0</v>
      </c>
      <c r="AQ23" s="45">
        <f>'FS Jimbaran Jan 2023'!BC33</f>
        <v>0</v>
      </c>
      <c r="AR23" s="45">
        <f>'FS Jimbaran Jan 2023'!BD33</f>
        <v>0</v>
      </c>
      <c r="AS23" s="45">
        <f>'FS Jimbaran Jan 2023'!BM33</f>
        <v>0</v>
      </c>
      <c r="AT23" s="45">
        <f>'FS Jimbaran Jan 2023'!BN33</f>
        <v>0</v>
      </c>
      <c r="AU23" s="45">
        <f>'FS Jimbaran Jan 2023'!BO33</f>
        <v>0</v>
      </c>
      <c r="AV23" s="45">
        <f>'FS Jimbaran Jan 2023'!BP33</f>
        <v>0</v>
      </c>
      <c r="AW23" s="45">
        <f>'FS Jimbaran Jan 2023'!E33</f>
        <v>16.399999999999999</v>
      </c>
      <c r="AX23" s="45">
        <f>'FS Jimbaran Jan 2023'!F33</f>
        <v>0</v>
      </c>
      <c r="AY23" s="45">
        <f>'FS Jimbaran Jan 2023'!O33</f>
        <v>0</v>
      </c>
      <c r="AZ23" s="45">
        <f>'FS Jimbaran Jan 2023'!P33</f>
        <v>0</v>
      </c>
      <c r="BA23" s="45">
        <f>'FS Jimbaran Jan 2023'!W33</f>
        <v>0</v>
      </c>
      <c r="BB23" s="45">
        <f>'FS Jimbaran Jan 2023'!X33</f>
        <v>0</v>
      </c>
      <c r="BC23" s="45">
        <f>'FS Jimbaran Jan 2023'!AI33</f>
        <v>384.8</v>
      </c>
      <c r="BD23" s="45">
        <f>'FS Jimbaran Jan 2023'!AJ33</f>
        <v>0</v>
      </c>
      <c r="BE23" s="45">
        <f>'FS Jimbaran Jan 2023'!AK33</f>
        <v>0</v>
      </c>
      <c r="BF23" s="45">
        <f>'FS Jimbaran Jan 2023'!AL33</f>
        <v>0</v>
      </c>
      <c r="BG23" s="45">
        <f>'FS Jimbaran Jan 2023'!AM33</f>
        <v>0</v>
      </c>
      <c r="BH23" s="45">
        <f>'FS Jimbaran Jan 2023'!AN33</f>
        <v>0</v>
      </c>
      <c r="BI23" s="45">
        <f>'FS Jimbaran Jan 2023'!AO33</f>
        <v>0</v>
      </c>
      <c r="BJ23" s="45">
        <f>'FS Jimbaran Jan 2023'!AO33</f>
        <v>0</v>
      </c>
      <c r="BK23" s="45">
        <f>'FS Jimbaran Jan 2023'!AQ33</f>
        <v>0</v>
      </c>
      <c r="BL23" s="45">
        <f>'FS Jimbaran Jan 2023'!AR33</f>
        <v>0</v>
      </c>
      <c r="BM23" s="45">
        <v>0</v>
      </c>
      <c r="BN23" s="45">
        <v>0</v>
      </c>
      <c r="BO23" s="46">
        <f>'FS Jimbaran Jan 2023'!Q33</f>
        <v>0</v>
      </c>
      <c r="BP23" s="45">
        <f>'FS Jimbaran Jan 2023'!R33</f>
        <v>0</v>
      </c>
    </row>
    <row r="24" spans="1:68">
      <c r="A24" s="40" t="s">
        <v>67</v>
      </c>
      <c r="B24" s="48">
        <f t="shared" si="0"/>
        <v>23</v>
      </c>
      <c r="C24" s="49">
        <v>1</v>
      </c>
      <c r="D24" s="50">
        <v>2022</v>
      </c>
      <c r="E24" s="41">
        <f>'FS Jimbaran Jan 2023'!K34</f>
        <v>15</v>
      </c>
      <c r="F24" s="45">
        <f>'FS Jimbaran Jan 2023'!N34</f>
        <v>0</v>
      </c>
      <c r="G24" s="45">
        <f>'FS Jimbaran Jan 2023'!E34</f>
        <v>16.399999999999999</v>
      </c>
      <c r="H24" s="45">
        <f>'FS Jimbaran Jan 2023'!H34</f>
        <v>0</v>
      </c>
      <c r="I24" s="45">
        <f>'FS Jimbaran Jan 2023'!I34</f>
        <v>0</v>
      </c>
      <c r="J24" s="45">
        <f>'FS Jimbaran Jan 2023'!J34</f>
        <v>0</v>
      </c>
      <c r="K24" s="45">
        <f>'FS Jimbaran Jan 2023'!K34</f>
        <v>15</v>
      </c>
      <c r="L24" s="45">
        <f>'FS Jimbaran Jan 2023'!L34</f>
        <v>0</v>
      </c>
      <c r="M24" s="45">
        <f>'FS Jimbaran Jan 2023'!S34</f>
        <v>0</v>
      </c>
      <c r="N24" s="45">
        <f>'FS Jimbaran Jan 2023'!T34</f>
        <v>0</v>
      </c>
      <c r="O24" s="45">
        <f>'FS Jimbaran Jan 2023'!U34</f>
        <v>5.6</v>
      </c>
      <c r="P24" s="45">
        <f>'FS Jimbaran Jan 2023'!V34</f>
        <v>0</v>
      </c>
      <c r="Q24" s="45">
        <f>'FS Jimbaran Jan 2023'!BE34</f>
        <v>0</v>
      </c>
      <c r="R24" s="45">
        <f>'FS Jimbaran Jan 2023'!BF34</f>
        <v>0</v>
      </c>
      <c r="S24" s="45">
        <f>'FS Jimbaran Jan 2023'!BH34</f>
        <v>0</v>
      </c>
      <c r="T24" s="45">
        <f>'FS Jimbaran Jan 2023'!BH34</f>
        <v>0</v>
      </c>
      <c r="U24" s="45">
        <f>'FS Jimbaran Jan 2023'!BI34</f>
        <v>0</v>
      </c>
      <c r="V24" s="45">
        <f>'FS Jimbaran Jan 2023'!BJ34</f>
        <v>0</v>
      </c>
      <c r="W24" s="45">
        <f>'FS Jimbaran Jan 2023'!Y34</f>
        <v>435</v>
      </c>
      <c r="X24" s="45">
        <f>'FS Jimbaran Jan 2023'!Z34</f>
        <v>0</v>
      </c>
      <c r="Y24" s="45">
        <f>'FS Jimbaran Jan 2023'!AA34</f>
        <v>-6.4</v>
      </c>
      <c r="Z24" s="45">
        <f>'FS Jimbaran Jan 2023'!AB34</f>
        <v>0</v>
      </c>
      <c r="AA24" s="45">
        <f>'FS Jimbaran Jan 2023'!AC34</f>
        <v>0</v>
      </c>
      <c r="AB24" s="45">
        <f>'FS Jimbaran Jan 2023'!AD34</f>
        <v>0</v>
      </c>
      <c r="AC24" s="45">
        <f>'FS Jimbaran Jan 2023'!AE34</f>
        <v>0</v>
      </c>
      <c r="AD24" s="45">
        <f>'FS Jimbaran Jan 2023'!AF34</f>
        <v>0</v>
      </c>
      <c r="AE24" s="45">
        <f>'FS Jimbaran Jan 2023'!AG34</f>
        <v>0</v>
      </c>
      <c r="AF24" s="45">
        <f>'FS Jimbaran Jan 2023'!AH34</f>
        <v>0</v>
      </c>
      <c r="AG24" s="45">
        <f>'FS Jimbaran Jan 2023'!AM34</f>
        <v>0</v>
      </c>
      <c r="AH24" s="45">
        <f>'FS Jimbaran Jan 2023'!AR34</f>
        <v>0</v>
      </c>
      <c r="AI24" s="45">
        <f>'FS Jimbaran Jan 2023'!AQ34</f>
        <v>0</v>
      </c>
      <c r="AJ24" s="45">
        <f>'FS Jimbaran Jan 2023'!AR34</f>
        <v>0</v>
      </c>
      <c r="AK24" s="45">
        <f>'FS Jimbaran Jan 2023'!AY34</f>
        <v>0</v>
      </c>
      <c r="AL24" s="45">
        <f>'FS Jimbaran Jan 2023'!AZ34</f>
        <v>0</v>
      </c>
      <c r="AM24" s="45">
        <f>'FS Jimbaran Jan 2023'!BB34</f>
        <v>0</v>
      </c>
      <c r="AN24" s="45">
        <f>'FS Jimbaran Jan 2023'!BB34</f>
        <v>0</v>
      </c>
      <c r="AO24" s="45">
        <f>'FS Jimbaran Jan 2023'!BK34</f>
        <v>0</v>
      </c>
      <c r="AP24" s="45">
        <f>'FS Jimbaran Jan 2023'!BL34</f>
        <v>0</v>
      </c>
      <c r="AQ24" s="45">
        <f>'FS Jimbaran Jan 2023'!BC34</f>
        <v>0</v>
      </c>
      <c r="AR24" s="45">
        <f>'FS Jimbaran Jan 2023'!BD34</f>
        <v>0</v>
      </c>
      <c r="AS24" s="45">
        <f>'FS Jimbaran Jan 2023'!BM34</f>
        <v>0</v>
      </c>
      <c r="AT24" s="45">
        <f>'FS Jimbaran Jan 2023'!BN34</f>
        <v>0</v>
      </c>
      <c r="AU24" s="45">
        <f>'FS Jimbaran Jan 2023'!BO34</f>
        <v>0</v>
      </c>
      <c r="AV24" s="45">
        <f>'FS Jimbaran Jan 2023'!BP34</f>
        <v>0</v>
      </c>
      <c r="AW24" s="45">
        <f>'FS Jimbaran Jan 2023'!E34</f>
        <v>16.399999999999999</v>
      </c>
      <c r="AX24" s="45">
        <f>'FS Jimbaran Jan 2023'!F34</f>
        <v>0</v>
      </c>
      <c r="AY24" s="45">
        <f>'FS Jimbaran Jan 2023'!O34</f>
        <v>0</v>
      </c>
      <c r="AZ24" s="45">
        <f>'FS Jimbaran Jan 2023'!P34</f>
        <v>0</v>
      </c>
      <c r="BA24" s="45">
        <f>'FS Jimbaran Jan 2023'!W34</f>
        <v>0</v>
      </c>
      <c r="BB24" s="45">
        <f>'FS Jimbaran Jan 2023'!X34</f>
        <v>0</v>
      </c>
      <c r="BC24" s="45">
        <f>'FS Jimbaran Jan 2023'!AI34</f>
        <v>319.8</v>
      </c>
      <c r="BD24" s="45">
        <f>'FS Jimbaran Jan 2023'!AJ34</f>
        <v>0</v>
      </c>
      <c r="BE24" s="45">
        <f>'FS Jimbaran Jan 2023'!AK34</f>
        <v>0</v>
      </c>
      <c r="BF24" s="45">
        <f>'FS Jimbaran Jan 2023'!AL34</f>
        <v>0</v>
      </c>
      <c r="BG24" s="45">
        <f>'FS Jimbaran Jan 2023'!AM34</f>
        <v>0</v>
      </c>
      <c r="BH24" s="45">
        <f>'FS Jimbaran Jan 2023'!AN34</f>
        <v>0</v>
      </c>
      <c r="BI24" s="45">
        <f>'FS Jimbaran Jan 2023'!AO34</f>
        <v>0</v>
      </c>
      <c r="BJ24" s="45">
        <f>'FS Jimbaran Jan 2023'!AO34</f>
        <v>0</v>
      </c>
      <c r="BK24" s="45">
        <f>'FS Jimbaran Jan 2023'!AQ34</f>
        <v>0</v>
      </c>
      <c r="BL24" s="45">
        <f>'FS Jimbaran Jan 2023'!AR34</f>
        <v>0</v>
      </c>
      <c r="BM24" s="45">
        <v>0</v>
      </c>
      <c r="BN24" s="45">
        <v>0</v>
      </c>
      <c r="BO24" s="46">
        <f>'FS Jimbaran Jan 2023'!Q34</f>
        <v>0</v>
      </c>
      <c r="BP24" s="45">
        <f>'FS Jimbaran Jan 2023'!R34</f>
        <v>0</v>
      </c>
    </row>
    <row r="25" spans="1:68">
      <c r="A25" s="40" t="s">
        <v>67</v>
      </c>
      <c r="B25" s="48">
        <f t="shared" si="0"/>
        <v>24</v>
      </c>
      <c r="C25" s="49">
        <v>1</v>
      </c>
      <c r="D25" s="50">
        <v>2022</v>
      </c>
      <c r="E25" s="41">
        <f>'FS Jimbaran Jan 2023'!K35</f>
        <v>15</v>
      </c>
      <c r="F25" s="45">
        <f>'FS Jimbaran Jan 2023'!N35</f>
        <v>0</v>
      </c>
      <c r="G25" s="45">
        <f>'FS Jimbaran Jan 2023'!E35</f>
        <v>16.399999999999999</v>
      </c>
      <c r="H25" s="45">
        <f>'FS Jimbaran Jan 2023'!H35</f>
        <v>0</v>
      </c>
      <c r="I25" s="45">
        <f>'FS Jimbaran Jan 2023'!I35</f>
        <v>0</v>
      </c>
      <c r="J25" s="45">
        <f>'FS Jimbaran Jan 2023'!J35</f>
        <v>0</v>
      </c>
      <c r="K25" s="45">
        <f>'FS Jimbaran Jan 2023'!K35</f>
        <v>15</v>
      </c>
      <c r="L25" s="45">
        <f>'FS Jimbaran Jan 2023'!L35</f>
        <v>-25900</v>
      </c>
      <c r="M25" s="45">
        <f>'FS Jimbaran Jan 2023'!S35</f>
        <v>0</v>
      </c>
      <c r="N25" s="45">
        <f>'FS Jimbaran Jan 2023'!T35</f>
        <v>0</v>
      </c>
      <c r="O25" s="45">
        <f>'FS Jimbaran Jan 2023'!U35</f>
        <v>5.6</v>
      </c>
      <c r="P25" s="45">
        <f>'FS Jimbaran Jan 2023'!V35</f>
        <v>0</v>
      </c>
      <c r="Q25" s="45">
        <f>'FS Jimbaran Jan 2023'!BE35</f>
        <v>0</v>
      </c>
      <c r="R25" s="45">
        <f>'FS Jimbaran Jan 2023'!BF35</f>
        <v>0</v>
      </c>
      <c r="S25" s="45">
        <f>'FS Jimbaran Jan 2023'!BH35</f>
        <v>0</v>
      </c>
      <c r="T25" s="45">
        <f>'FS Jimbaran Jan 2023'!BH35</f>
        <v>0</v>
      </c>
      <c r="U25" s="45">
        <f>'FS Jimbaran Jan 2023'!BI35</f>
        <v>0</v>
      </c>
      <c r="V25" s="45">
        <f>'FS Jimbaran Jan 2023'!BJ35</f>
        <v>0</v>
      </c>
      <c r="W25" s="45">
        <f>'FS Jimbaran Jan 2023'!Y35</f>
        <v>425</v>
      </c>
      <c r="X25" s="45">
        <f>'FS Jimbaran Jan 2023'!Z35</f>
        <v>0</v>
      </c>
      <c r="Y25" s="45">
        <f>'FS Jimbaran Jan 2023'!AA35</f>
        <v>-6.4</v>
      </c>
      <c r="Z25" s="45">
        <f>'FS Jimbaran Jan 2023'!AB35</f>
        <v>0</v>
      </c>
      <c r="AA25" s="45">
        <f>'FS Jimbaran Jan 2023'!AC35</f>
        <v>0</v>
      </c>
      <c r="AB25" s="45">
        <f>'FS Jimbaran Jan 2023'!AD35</f>
        <v>0</v>
      </c>
      <c r="AC25" s="45">
        <f>'FS Jimbaran Jan 2023'!AE35</f>
        <v>0</v>
      </c>
      <c r="AD25" s="45">
        <f>'FS Jimbaran Jan 2023'!AF35</f>
        <v>0</v>
      </c>
      <c r="AE25" s="45">
        <f>'FS Jimbaran Jan 2023'!AG35</f>
        <v>0</v>
      </c>
      <c r="AF25" s="45">
        <f>'FS Jimbaran Jan 2023'!AH35</f>
        <v>0</v>
      </c>
      <c r="AG25" s="45">
        <f>'FS Jimbaran Jan 2023'!AM35</f>
        <v>0</v>
      </c>
      <c r="AH25" s="45">
        <f>'FS Jimbaran Jan 2023'!AR35</f>
        <v>0</v>
      </c>
      <c r="AI25" s="45">
        <f>'FS Jimbaran Jan 2023'!AQ35</f>
        <v>0</v>
      </c>
      <c r="AJ25" s="45">
        <f>'FS Jimbaran Jan 2023'!AR35</f>
        <v>0</v>
      </c>
      <c r="AK25" s="45">
        <f>'FS Jimbaran Jan 2023'!AY35</f>
        <v>0</v>
      </c>
      <c r="AL25" s="45">
        <f>'FS Jimbaran Jan 2023'!AZ35</f>
        <v>0</v>
      </c>
      <c r="AM25" s="45">
        <f>'FS Jimbaran Jan 2023'!BB35</f>
        <v>0</v>
      </c>
      <c r="AN25" s="45">
        <f>'FS Jimbaran Jan 2023'!BB35</f>
        <v>0</v>
      </c>
      <c r="AO25" s="45">
        <f>'FS Jimbaran Jan 2023'!BK35</f>
        <v>0</v>
      </c>
      <c r="AP25" s="45">
        <f>'FS Jimbaran Jan 2023'!BL35</f>
        <v>0</v>
      </c>
      <c r="AQ25" s="45">
        <f>'FS Jimbaran Jan 2023'!BC35</f>
        <v>0</v>
      </c>
      <c r="AR25" s="45">
        <f>'FS Jimbaran Jan 2023'!BD35</f>
        <v>0</v>
      </c>
      <c r="AS25" s="45">
        <f>'FS Jimbaran Jan 2023'!BM35</f>
        <v>0</v>
      </c>
      <c r="AT25" s="45">
        <f>'FS Jimbaran Jan 2023'!BN35</f>
        <v>0</v>
      </c>
      <c r="AU25" s="45">
        <f>'FS Jimbaran Jan 2023'!BO35</f>
        <v>0</v>
      </c>
      <c r="AV25" s="45">
        <f>'FS Jimbaran Jan 2023'!BP35</f>
        <v>0</v>
      </c>
      <c r="AW25" s="45">
        <f>'FS Jimbaran Jan 2023'!E35</f>
        <v>16.399999999999999</v>
      </c>
      <c r="AX25" s="45">
        <f>'FS Jimbaran Jan 2023'!F35</f>
        <v>0</v>
      </c>
      <c r="AY25" s="45">
        <f>'FS Jimbaran Jan 2023'!O35</f>
        <v>0</v>
      </c>
      <c r="AZ25" s="45">
        <f>'FS Jimbaran Jan 2023'!P35</f>
        <v>0</v>
      </c>
      <c r="BA25" s="45">
        <f>'FS Jimbaran Jan 2023'!W35</f>
        <v>0</v>
      </c>
      <c r="BB25" s="45">
        <f>'FS Jimbaran Jan 2023'!X35</f>
        <v>0</v>
      </c>
      <c r="BC25" s="45">
        <f>'FS Jimbaran Jan 2023'!AI35</f>
        <v>314.60000000000002</v>
      </c>
      <c r="BD25" s="45">
        <f>'FS Jimbaran Jan 2023'!AJ35</f>
        <v>0</v>
      </c>
      <c r="BE25" s="45">
        <f>'FS Jimbaran Jan 2023'!AK35</f>
        <v>0</v>
      </c>
      <c r="BF25" s="45">
        <f>'FS Jimbaran Jan 2023'!AL35</f>
        <v>0</v>
      </c>
      <c r="BG25" s="45">
        <f>'FS Jimbaran Jan 2023'!AM35</f>
        <v>0</v>
      </c>
      <c r="BH25" s="45">
        <f>'FS Jimbaran Jan 2023'!AN35</f>
        <v>0</v>
      </c>
      <c r="BI25" s="45">
        <f>'FS Jimbaran Jan 2023'!AO35</f>
        <v>0</v>
      </c>
      <c r="BJ25" s="45">
        <f>'FS Jimbaran Jan 2023'!AO35</f>
        <v>0</v>
      </c>
      <c r="BK25" s="45">
        <f>'FS Jimbaran Jan 2023'!AQ35</f>
        <v>0</v>
      </c>
      <c r="BL25" s="45">
        <f>'FS Jimbaran Jan 2023'!AR35</f>
        <v>0</v>
      </c>
      <c r="BM25" s="45">
        <v>0</v>
      </c>
      <c r="BN25" s="45">
        <v>0</v>
      </c>
      <c r="BO25" s="46">
        <f>'FS Jimbaran Jan 2023'!Q35</f>
        <v>0</v>
      </c>
      <c r="BP25" s="45">
        <f>'FS Jimbaran Jan 2023'!R35</f>
        <v>0</v>
      </c>
    </row>
    <row r="26" spans="1:68">
      <c r="A26" s="40" t="s">
        <v>67</v>
      </c>
      <c r="B26" s="48">
        <f>B25+1</f>
        <v>25</v>
      </c>
      <c r="C26" s="49">
        <v>1</v>
      </c>
      <c r="D26" s="50">
        <v>2022</v>
      </c>
      <c r="E26" s="41">
        <f>'FS Jimbaran Jan 2023'!K36</f>
        <v>15</v>
      </c>
      <c r="F26" s="45">
        <f>'FS Jimbaran Jan 2023'!N36</f>
        <v>0</v>
      </c>
      <c r="G26" s="45">
        <f>'FS Jimbaran Jan 2023'!E36</f>
        <v>16.399999999999999</v>
      </c>
      <c r="H26" s="45">
        <f>'FS Jimbaran Jan 2023'!H36</f>
        <v>0</v>
      </c>
      <c r="I26" s="45">
        <f>'FS Jimbaran Jan 2023'!I36</f>
        <v>0</v>
      </c>
      <c r="J26" s="45">
        <f>'FS Jimbaran Jan 2023'!J36</f>
        <v>0</v>
      </c>
      <c r="K26" s="45">
        <f>'FS Jimbaran Jan 2023'!K36</f>
        <v>15</v>
      </c>
      <c r="L26" s="45">
        <f>'FS Jimbaran Jan 2023'!L36</f>
        <v>0</v>
      </c>
      <c r="M26" s="45">
        <f>'FS Jimbaran Jan 2023'!S36</f>
        <v>0</v>
      </c>
      <c r="N26" s="45">
        <f>'FS Jimbaran Jan 2023'!T36</f>
        <v>0</v>
      </c>
      <c r="O26" s="45">
        <f>'FS Jimbaran Jan 2023'!U36</f>
        <v>5.6</v>
      </c>
      <c r="P26" s="45">
        <f>'FS Jimbaran Jan 2023'!V36</f>
        <v>0</v>
      </c>
      <c r="Q26" s="45">
        <f>'FS Jimbaran Jan 2023'!BE36</f>
        <v>0</v>
      </c>
      <c r="R26" s="45">
        <f>'FS Jimbaran Jan 2023'!BF36</f>
        <v>0</v>
      </c>
      <c r="S26" s="45">
        <f>'FS Jimbaran Jan 2023'!BH36</f>
        <v>0</v>
      </c>
      <c r="T26" s="45">
        <f>'FS Jimbaran Jan 2023'!BH36</f>
        <v>0</v>
      </c>
      <c r="U26" s="45">
        <f>'FS Jimbaran Jan 2023'!BI36</f>
        <v>0</v>
      </c>
      <c r="V26" s="45">
        <f>'FS Jimbaran Jan 2023'!BJ36</f>
        <v>0</v>
      </c>
      <c r="W26" s="45">
        <f>'FS Jimbaran Jan 2023'!Y36</f>
        <v>430</v>
      </c>
      <c r="X26" s="45">
        <f>'FS Jimbaran Jan 2023'!Z36</f>
        <v>0</v>
      </c>
      <c r="Y26" s="45">
        <f>'FS Jimbaran Jan 2023'!AA36</f>
        <v>-6.4</v>
      </c>
      <c r="Z26" s="45">
        <f>'FS Jimbaran Jan 2023'!AB36</f>
        <v>0</v>
      </c>
      <c r="AA26" s="45">
        <f>'FS Jimbaran Jan 2023'!AC36</f>
        <v>0</v>
      </c>
      <c r="AB26" s="45">
        <f>'FS Jimbaran Jan 2023'!AD36</f>
        <v>0</v>
      </c>
      <c r="AC26" s="45">
        <f>'FS Jimbaran Jan 2023'!AE36</f>
        <v>0</v>
      </c>
      <c r="AD26" s="45">
        <f>'FS Jimbaran Jan 2023'!AF36</f>
        <v>0</v>
      </c>
      <c r="AE26" s="45">
        <f>'FS Jimbaran Jan 2023'!AG36</f>
        <v>0</v>
      </c>
      <c r="AF26" s="45">
        <f>'FS Jimbaran Jan 2023'!AH36</f>
        <v>0</v>
      </c>
      <c r="AG26" s="45">
        <f>'FS Jimbaran Jan 2023'!AM36</f>
        <v>0</v>
      </c>
      <c r="AH26" s="45">
        <f>'FS Jimbaran Jan 2023'!AR36</f>
        <v>0</v>
      </c>
      <c r="AI26" s="45">
        <f>'FS Jimbaran Jan 2023'!AQ36</f>
        <v>0</v>
      </c>
      <c r="AJ26" s="45">
        <f>'FS Jimbaran Jan 2023'!AR36</f>
        <v>0</v>
      </c>
      <c r="AK26" s="45">
        <f>'FS Jimbaran Jan 2023'!AY36</f>
        <v>0</v>
      </c>
      <c r="AL26" s="45">
        <f>'FS Jimbaran Jan 2023'!AZ36</f>
        <v>0</v>
      </c>
      <c r="AM26" s="45">
        <f>'FS Jimbaran Jan 2023'!BB36</f>
        <v>0</v>
      </c>
      <c r="AN26" s="45">
        <f>'FS Jimbaran Jan 2023'!BB36</f>
        <v>0</v>
      </c>
      <c r="AO26" s="45">
        <f>'FS Jimbaran Jan 2023'!BK36</f>
        <v>0</v>
      </c>
      <c r="AP26" s="45">
        <f>'FS Jimbaran Jan 2023'!BL36</f>
        <v>0</v>
      </c>
      <c r="AQ26" s="45">
        <f>'FS Jimbaran Jan 2023'!BC36</f>
        <v>0</v>
      </c>
      <c r="AR26" s="45">
        <f>'FS Jimbaran Jan 2023'!BD36</f>
        <v>0</v>
      </c>
      <c r="AS26" s="45">
        <f>'FS Jimbaran Jan 2023'!BM36</f>
        <v>0</v>
      </c>
      <c r="AT26" s="45">
        <f>'FS Jimbaran Jan 2023'!BN36</f>
        <v>0</v>
      </c>
      <c r="AU26" s="45">
        <f>'FS Jimbaran Jan 2023'!BO36</f>
        <v>0</v>
      </c>
      <c r="AV26" s="45">
        <f>'FS Jimbaran Jan 2023'!BP36</f>
        <v>0</v>
      </c>
      <c r="AW26" s="45">
        <f>'FS Jimbaran Jan 2023'!E36</f>
        <v>16.399999999999999</v>
      </c>
      <c r="AX26" s="45">
        <f>'FS Jimbaran Jan 2023'!F36</f>
        <v>0</v>
      </c>
      <c r="AY26" s="45">
        <f>'FS Jimbaran Jan 2023'!O36</f>
        <v>0</v>
      </c>
      <c r="AZ26" s="45">
        <f>'FS Jimbaran Jan 2023'!P36</f>
        <v>0</v>
      </c>
      <c r="BA26" s="45">
        <f>'FS Jimbaran Jan 2023'!W36</f>
        <v>0</v>
      </c>
      <c r="BB26" s="45">
        <f>'FS Jimbaran Jan 2023'!X36</f>
        <v>0</v>
      </c>
      <c r="BC26" s="45">
        <f>'FS Jimbaran Jan 2023'!AI36</f>
        <v>327.60000000000002</v>
      </c>
      <c r="BD26" s="45">
        <f>'FS Jimbaran Jan 2023'!AJ36</f>
        <v>0</v>
      </c>
      <c r="BE26" s="45">
        <f>'FS Jimbaran Jan 2023'!AK36</f>
        <v>0</v>
      </c>
      <c r="BF26" s="45">
        <f>'FS Jimbaran Jan 2023'!AL36</f>
        <v>0</v>
      </c>
      <c r="BG26" s="45">
        <f>'FS Jimbaran Jan 2023'!AM36</f>
        <v>0</v>
      </c>
      <c r="BH26" s="45">
        <f>'FS Jimbaran Jan 2023'!AN36</f>
        <v>0</v>
      </c>
      <c r="BI26" s="45">
        <f>'FS Jimbaran Jan 2023'!AO36</f>
        <v>0</v>
      </c>
      <c r="BJ26" s="45">
        <f>'FS Jimbaran Jan 2023'!AO36</f>
        <v>0</v>
      </c>
      <c r="BK26" s="45">
        <f>'FS Jimbaran Jan 2023'!AQ36</f>
        <v>0</v>
      </c>
      <c r="BL26" s="45">
        <f>'FS Jimbaran Jan 2023'!AR36</f>
        <v>0</v>
      </c>
      <c r="BM26" s="45">
        <v>0</v>
      </c>
      <c r="BN26" s="45">
        <v>0</v>
      </c>
      <c r="BO26" s="46">
        <f>'FS Jimbaran Jan 2023'!Q36</f>
        <v>0</v>
      </c>
      <c r="BP26" s="45">
        <f>'FS Jimbaran Jan 2023'!R36</f>
        <v>0</v>
      </c>
    </row>
    <row r="27" spans="1:68">
      <c r="A27" s="40" t="s">
        <v>67</v>
      </c>
      <c r="B27" s="48">
        <f t="shared" si="0"/>
        <v>26</v>
      </c>
      <c r="C27" s="49">
        <v>1</v>
      </c>
      <c r="D27" s="50">
        <v>2022</v>
      </c>
      <c r="E27" s="41">
        <f>'FS Jimbaran Jan 2023'!K37</f>
        <v>15</v>
      </c>
      <c r="F27" s="45">
        <f>'FS Jimbaran Jan 2023'!N37</f>
        <v>0</v>
      </c>
      <c r="G27" s="45">
        <f>'FS Jimbaran Jan 2023'!E37</f>
        <v>16.399999999999999</v>
      </c>
      <c r="H27" s="45">
        <f>'FS Jimbaran Jan 2023'!H37</f>
        <v>0</v>
      </c>
      <c r="I27" s="45">
        <f>'FS Jimbaran Jan 2023'!I37</f>
        <v>0</v>
      </c>
      <c r="J27" s="45">
        <f>'FS Jimbaran Jan 2023'!J37</f>
        <v>0</v>
      </c>
      <c r="K27" s="45">
        <f>'FS Jimbaran Jan 2023'!K37</f>
        <v>15</v>
      </c>
      <c r="L27" s="45">
        <f>'FS Jimbaran Jan 2023'!L37</f>
        <v>0</v>
      </c>
      <c r="M27" s="45">
        <f>'FS Jimbaran Jan 2023'!S37</f>
        <v>0</v>
      </c>
      <c r="N27" s="45">
        <f>'FS Jimbaran Jan 2023'!T37</f>
        <v>0</v>
      </c>
      <c r="O27" s="45">
        <f>'FS Jimbaran Jan 2023'!U37</f>
        <v>5.6</v>
      </c>
      <c r="P27" s="45">
        <f>'FS Jimbaran Jan 2023'!V37</f>
        <v>0</v>
      </c>
      <c r="Q27" s="45">
        <f>'FS Jimbaran Jan 2023'!BE37</f>
        <v>0</v>
      </c>
      <c r="R27" s="45">
        <f>'FS Jimbaran Jan 2023'!BF37</f>
        <v>0</v>
      </c>
      <c r="S27" s="45">
        <f>'FS Jimbaran Jan 2023'!BH37</f>
        <v>0</v>
      </c>
      <c r="T27" s="45">
        <f>'FS Jimbaran Jan 2023'!BH37</f>
        <v>0</v>
      </c>
      <c r="U27" s="45">
        <f>'FS Jimbaran Jan 2023'!BI37</f>
        <v>0</v>
      </c>
      <c r="V27" s="45">
        <f>'FS Jimbaran Jan 2023'!BJ37</f>
        <v>0</v>
      </c>
      <c r="W27" s="45">
        <f>'FS Jimbaran Jan 2023'!Y37</f>
        <v>440</v>
      </c>
      <c r="X27" s="45">
        <f>'FS Jimbaran Jan 2023'!Z37</f>
        <v>0</v>
      </c>
      <c r="Y27" s="45">
        <f>'FS Jimbaran Jan 2023'!AA37</f>
        <v>-6.4</v>
      </c>
      <c r="Z27" s="45">
        <f>'FS Jimbaran Jan 2023'!AB37</f>
        <v>0</v>
      </c>
      <c r="AA27" s="45">
        <f>'FS Jimbaran Jan 2023'!AC37</f>
        <v>0</v>
      </c>
      <c r="AB27" s="45">
        <f>'FS Jimbaran Jan 2023'!AD37</f>
        <v>0</v>
      </c>
      <c r="AC27" s="45">
        <f>'FS Jimbaran Jan 2023'!AE37</f>
        <v>0</v>
      </c>
      <c r="AD27" s="45">
        <f>'FS Jimbaran Jan 2023'!AF37</f>
        <v>0</v>
      </c>
      <c r="AE27" s="45">
        <f>'FS Jimbaran Jan 2023'!AG37</f>
        <v>0</v>
      </c>
      <c r="AF27" s="45">
        <f>'FS Jimbaran Jan 2023'!AH37</f>
        <v>0</v>
      </c>
      <c r="AG27" s="45">
        <f>'FS Jimbaran Jan 2023'!AM37</f>
        <v>0</v>
      </c>
      <c r="AH27" s="45">
        <f>'FS Jimbaran Jan 2023'!AR37</f>
        <v>0</v>
      </c>
      <c r="AI27" s="45">
        <f>'FS Jimbaran Jan 2023'!AQ37</f>
        <v>0</v>
      </c>
      <c r="AJ27" s="45">
        <f>'FS Jimbaran Jan 2023'!AR37</f>
        <v>0</v>
      </c>
      <c r="AK27" s="45">
        <f>'FS Jimbaran Jan 2023'!AY37</f>
        <v>0</v>
      </c>
      <c r="AL27" s="45">
        <f>'FS Jimbaran Jan 2023'!AZ37</f>
        <v>0</v>
      </c>
      <c r="AM27" s="45">
        <f>'FS Jimbaran Jan 2023'!BB37</f>
        <v>0</v>
      </c>
      <c r="AN27" s="45">
        <f>'FS Jimbaran Jan 2023'!BB37</f>
        <v>0</v>
      </c>
      <c r="AO27" s="45">
        <f>'FS Jimbaran Jan 2023'!BK37</f>
        <v>0</v>
      </c>
      <c r="AP27" s="45">
        <f>'FS Jimbaran Jan 2023'!BL37</f>
        <v>0</v>
      </c>
      <c r="AQ27" s="45">
        <f>'FS Jimbaran Jan 2023'!BC37</f>
        <v>0</v>
      </c>
      <c r="AR27" s="45">
        <f>'FS Jimbaran Jan 2023'!BD37</f>
        <v>0</v>
      </c>
      <c r="AS27" s="45">
        <f>'FS Jimbaran Jan 2023'!BM37</f>
        <v>0</v>
      </c>
      <c r="AT27" s="45">
        <f>'FS Jimbaran Jan 2023'!BN37</f>
        <v>0</v>
      </c>
      <c r="AU27" s="45">
        <f>'FS Jimbaran Jan 2023'!BO37</f>
        <v>0</v>
      </c>
      <c r="AV27" s="45">
        <f>'FS Jimbaran Jan 2023'!BP37</f>
        <v>0</v>
      </c>
      <c r="AW27" s="45">
        <f>'FS Jimbaran Jan 2023'!E37</f>
        <v>16.399999999999999</v>
      </c>
      <c r="AX27" s="45">
        <f>'FS Jimbaran Jan 2023'!F37</f>
        <v>0</v>
      </c>
      <c r="AY27" s="45">
        <f>'FS Jimbaran Jan 2023'!O37</f>
        <v>0</v>
      </c>
      <c r="AZ27" s="45">
        <f>'FS Jimbaran Jan 2023'!P37</f>
        <v>0</v>
      </c>
      <c r="BA27" s="45">
        <f>'FS Jimbaran Jan 2023'!W37</f>
        <v>0</v>
      </c>
      <c r="BB27" s="45">
        <f>'FS Jimbaran Jan 2023'!X37</f>
        <v>0</v>
      </c>
      <c r="BC27" s="45">
        <f>'FS Jimbaran Jan 2023'!AI37</f>
        <v>283.39999999999998</v>
      </c>
      <c r="BD27" s="45">
        <f>'FS Jimbaran Jan 2023'!AJ37</f>
        <v>0</v>
      </c>
      <c r="BE27" s="45">
        <f>'FS Jimbaran Jan 2023'!AK37</f>
        <v>0</v>
      </c>
      <c r="BF27" s="45">
        <f>'FS Jimbaran Jan 2023'!AL37</f>
        <v>0</v>
      </c>
      <c r="BG27" s="45">
        <f>'FS Jimbaran Jan 2023'!AM37</f>
        <v>0</v>
      </c>
      <c r="BH27" s="45">
        <f>'FS Jimbaran Jan 2023'!AN37</f>
        <v>0</v>
      </c>
      <c r="BI27" s="45">
        <f>'FS Jimbaran Jan 2023'!AO37</f>
        <v>0</v>
      </c>
      <c r="BJ27" s="45">
        <f>'FS Jimbaran Jan 2023'!AO37</f>
        <v>0</v>
      </c>
      <c r="BK27" s="45">
        <f>'FS Jimbaran Jan 2023'!AQ37</f>
        <v>0</v>
      </c>
      <c r="BL27" s="45">
        <f>'FS Jimbaran Jan 2023'!AR37</f>
        <v>0</v>
      </c>
      <c r="BM27" s="45">
        <v>0</v>
      </c>
      <c r="BN27" s="45">
        <v>0</v>
      </c>
      <c r="BO27" s="46">
        <f>'FS Jimbaran Jan 2023'!Q37</f>
        <v>0</v>
      </c>
      <c r="BP27" s="45">
        <f>'FS Jimbaran Jan 2023'!R37</f>
        <v>0</v>
      </c>
    </row>
    <row r="28" spans="1:68">
      <c r="A28" s="40" t="s">
        <v>67</v>
      </c>
      <c r="B28" s="48">
        <f t="shared" si="0"/>
        <v>27</v>
      </c>
      <c r="C28" s="49">
        <v>1</v>
      </c>
      <c r="D28" s="50">
        <v>2022</v>
      </c>
      <c r="E28" s="41">
        <f>'FS Jimbaran Jan 2023'!K38</f>
        <v>15</v>
      </c>
      <c r="F28" s="45">
        <f>'FS Jimbaran Jan 2023'!N38</f>
        <v>0</v>
      </c>
      <c r="G28" s="45">
        <f>'FS Jimbaran Jan 2023'!E38</f>
        <v>16.399999999999999</v>
      </c>
      <c r="H28" s="45">
        <f>'FS Jimbaran Jan 2023'!H38</f>
        <v>0</v>
      </c>
      <c r="I28" s="45">
        <f>'FS Jimbaran Jan 2023'!I38</f>
        <v>0</v>
      </c>
      <c r="J28" s="45">
        <f>'FS Jimbaran Jan 2023'!J38</f>
        <v>0</v>
      </c>
      <c r="K28" s="45">
        <f>'FS Jimbaran Jan 2023'!K38</f>
        <v>15</v>
      </c>
      <c r="L28" s="45">
        <f>'FS Jimbaran Jan 2023'!L38</f>
        <v>0</v>
      </c>
      <c r="M28" s="45">
        <f>'FS Jimbaran Jan 2023'!S38</f>
        <v>0</v>
      </c>
      <c r="N28" s="45">
        <f>'FS Jimbaran Jan 2023'!T38</f>
        <v>0</v>
      </c>
      <c r="O28" s="45">
        <f>'FS Jimbaran Jan 2023'!U38</f>
        <v>5.6</v>
      </c>
      <c r="P28" s="45">
        <f>'FS Jimbaran Jan 2023'!V38</f>
        <v>0</v>
      </c>
      <c r="Q28" s="45">
        <f>'FS Jimbaran Jan 2023'!BE38</f>
        <v>0</v>
      </c>
      <c r="R28" s="45">
        <f>'FS Jimbaran Jan 2023'!BF38</f>
        <v>0</v>
      </c>
      <c r="S28" s="45">
        <f>'FS Jimbaran Jan 2023'!BH38</f>
        <v>0</v>
      </c>
      <c r="T28" s="45">
        <f>'FS Jimbaran Jan 2023'!BH38</f>
        <v>0</v>
      </c>
      <c r="U28" s="45">
        <f>'FS Jimbaran Jan 2023'!BI38</f>
        <v>0</v>
      </c>
      <c r="V28" s="45">
        <f>'FS Jimbaran Jan 2023'!BJ38</f>
        <v>0</v>
      </c>
      <c r="W28" s="45">
        <f>'FS Jimbaran Jan 2023'!Y38</f>
        <v>425</v>
      </c>
      <c r="X28" s="45">
        <f>'FS Jimbaran Jan 2023'!Z38</f>
        <v>0</v>
      </c>
      <c r="Y28" s="45">
        <f>'FS Jimbaran Jan 2023'!AA38</f>
        <v>-6.4</v>
      </c>
      <c r="Z28" s="45">
        <f>'FS Jimbaran Jan 2023'!AB38</f>
        <v>0</v>
      </c>
      <c r="AA28" s="45">
        <f>'FS Jimbaran Jan 2023'!AC38</f>
        <v>0</v>
      </c>
      <c r="AB28" s="45">
        <f>'FS Jimbaran Jan 2023'!AD38</f>
        <v>0</v>
      </c>
      <c r="AC28" s="45">
        <f>'FS Jimbaran Jan 2023'!AE38</f>
        <v>0</v>
      </c>
      <c r="AD28" s="45">
        <f>'FS Jimbaran Jan 2023'!AF38</f>
        <v>0</v>
      </c>
      <c r="AE28" s="45">
        <f>'FS Jimbaran Jan 2023'!AG38</f>
        <v>0</v>
      </c>
      <c r="AF28" s="45">
        <f>'FS Jimbaran Jan 2023'!AH38</f>
        <v>0</v>
      </c>
      <c r="AG28" s="45">
        <f>'FS Jimbaran Jan 2023'!AM38</f>
        <v>0</v>
      </c>
      <c r="AH28" s="45">
        <f>'FS Jimbaran Jan 2023'!AR38</f>
        <v>0</v>
      </c>
      <c r="AI28" s="45">
        <f>'FS Jimbaran Jan 2023'!AQ38</f>
        <v>0</v>
      </c>
      <c r="AJ28" s="45">
        <f>'FS Jimbaran Jan 2023'!AR38</f>
        <v>0</v>
      </c>
      <c r="AK28" s="45">
        <f>'FS Jimbaran Jan 2023'!AY38</f>
        <v>0</v>
      </c>
      <c r="AL28" s="45">
        <f>'FS Jimbaran Jan 2023'!AZ38</f>
        <v>0</v>
      </c>
      <c r="AM28" s="45">
        <f>'FS Jimbaran Jan 2023'!BB38</f>
        <v>0</v>
      </c>
      <c r="AN28" s="45">
        <f>'FS Jimbaran Jan 2023'!BB38</f>
        <v>0</v>
      </c>
      <c r="AO28" s="45">
        <f>'FS Jimbaran Jan 2023'!BK38</f>
        <v>0</v>
      </c>
      <c r="AP28" s="45">
        <f>'FS Jimbaran Jan 2023'!BL38</f>
        <v>0</v>
      </c>
      <c r="AQ28" s="45">
        <f>'FS Jimbaran Jan 2023'!BC38</f>
        <v>0</v>
      </c>
      <c r="AR28" s="45">
        <f>'FS Jimbaran Jan 2023'!BD38</f>
        <v>0</v>
      </c>
      <c r="AS28" s="45">
        <f>'FS Jimbaran Jan 2023'!BM38</f>
        <v>0</v>
      </c>
      <c r="AT28" s="45">
        <f>'FS Jimbaran Jan 2023'!BN38</f>
        <v>0</v>
      </c>
      <c r="AU28" s="45">
        <f>'FS Jimbaran Jan 2023'!BO38</f>
        <v>0</v>
      </c>
      <c r="AV28" s="45">
        <f>'FS Jimbaran Jan 2023'!BP38</f>
        <v>0</v>
      </c>
      <c r="AW28" s="45">
        <f>'FS Jimbaran Jan 2023'!E38</f>
        <v>16.399999999999999</v>
      </c>
      <c r="AX28" s="45">
        <f>'FS Jimbaran Jan 2023'!F38</f>
        <v>0</v>
      </c>
      <c r="AY28" s="45">
        <f>'FS Jimbaran Jan 2023'!O38</f>
        <v>0</v>
      </c>
      <c r="AZ28" s="45">
        <f>'FS Jimbaran Jan 2023'!P38</f>
        <v>0</v>
      </c>
      <c r="BA28" s="45">
        <f>'FS Jimbaran Jan 2023'!W38</f>
        <v>0</v>
      </c>
      <c r="BB28" s="45">
        <f>'FS Jimbaran Jan 2023'!X38</f>
        <v>0</v>
      </c>
      <c r="BC28" s="45">
        <f>'FS Jimbaran Jan 2023'!AI38</f>
        <v>265.2</v>
      </c>
      <c r="BD28" s="45">
        <f>'FS Jimbaran Jan 2023'!AJ38</f>
        <v>0</v>
      </c>
      <c r="BE28" s="45">
        <f>'FS Jimbaran Jan 2023'!AK38</f>
        <v>0</v>
      </c>
      <c r="BF28" s="45">
        <f>'FS Jimbaran Jan 2023'!AL38</f>
        <v>0</v>
      </c>
      <c r="BG28" s="45">
        <f>'FS Jimbaran Jan 2023'!AM38</f>
        <v>0</v>
      </c>
      <c r="BH28" s="45">
        <f>'FS Jimbaran Jan 2023'!AN38</f>
        <v>0</v>
      </c>
      <c r="BI28" s="45">
        <f>'FS Jimbaran Jan 2023'!AO38</f>
        <v>0</v>
      </c>
      <c r="BJ28" s="45">
        <f>'FS Jimbaran Jan 2023'!AO38</f>
        <v>0</v>
      </c>
      <c r="BK28" s="45">
        <f>'FS Jimbaran Jan 2023'!AQ38</f>
        <v>0</v>
      </c>
      <c r="BL28" s="45">
        <f>'FS Jimbaran Jan 2023'!AR38</f>
        <v>0</v>
      </c>
      <c r="BM28" s="45">
        <v>0</v>
      </c>
      <c r="BN28" s="45">
        <v>0</v>
      </c>
      <c r="BO28" s="46">
        <f>'FS Jimbaran Jan 2023'!Q38</f>
        <v>0</v>
      </c>
      <c r="BP28" s="45">
        <f>'FS Jimbaran Jan 2023'!R38</f>
        <v>0</v>
      </c>
    </row>
    <row r="29" spans="1:68">
      <c r="A29" s="40" t="s">
        <v>67</v>
      </c>
      <c r="B29" s="48">
        <f t="shared" si="0"/>
        <v>28</v>
      </c>
      <c r="C29" s="49">
        <v>1</v>
      </c>
      <c r="D29" s="50">
        <v>2022</v>
      </c>
      <c r="E29" s="41">
        <f>'FS Jimbaran Jan 2023'!K39</f>
        <v>15</v>
      </c>
      <c r="F29" s="45">
        <f>'FS Jimbaran Jan 2023'!N39</f>
        <v>0</v>
      </c>
      <c r="G29" s="45">
        <f>'FS Jimbaran Jan 2023'!E39</f>
        <v>16.399999999999999</v>
      </c>
      <c r="H29" s="45">
        <f>'FS Jimbaran Jan 2023'!H39</f>
        <v>0</v>
      </c>
      <c r="I29" s="45">
        <f>'FS Jimbaran Jan 2023'!I39</f>
        <v>0</v>
      </c>
      <c r="J29" s="45">
        <f>'FS Jimbaran Jan 2023'!J39</f>
        <v>0</v>
      </c>
      <c r="K29" s="45">
        <f>'FS Jimbaran Jan 2023'!K39</f>
        <v>15</v>
      </c>
      <c r="L29" s="45">
        <f>'FS Jimbaran Jan 2023'!L39</f>
        <v>0</v>
      </c>
      <c r="M29" s="45">
        <f>'FS Jimbaran Jan 2023'!S39</f>
        <v>0</v>
      </c>
      <c r="N29" s="45">
        <f>'FS Jimbaran Jan 2023'!T39</f>
        <v>0</v>
      </c>
      <c r="O29" s="45">
        <f>'FS Jimbaran Jan 2023'!U39</f>
        <v>5.6</v>
      </c>
      <c r="P29" s="45">
        <f>'FS Jimbaran Jan 2023'!V39</f>
        <v>0</v>
      </c>
      <c r="Q29" s="45">
        <f>'FS Jimbaran Jan 2023'!BE39</f>
        <v>0</v>
      </c>
      <c r="R29" s="45">
        <f>'FS Jimbaran Jan 2023'!BF39</f>
        <v>0</v>
      </c>
      <c r="S29" s="45">
        <f>'FS Jimbaran Jan 2023'!BH39</f>
        <v>0</v>
      </c>
      <c r="T29" s="45">
        <f>'FS Jimbaran Jan 2023'!BH39</f>
        <v>0</v>
      </c>
      <c r="U29" s="45">
        <f>'FS Jimbaran Jan 2023'!BI39</f>
        <v>0</v>
      </c>
      <c r="V29" s="45">
        <f>'FS Jimbaran Jan 2023'!BJ39</f>
        <v>0</v>
      </c>
      <c r="W29" s="45">
        <f>'FS Jimbaran Jan 2023'!Y39</f>
        <v>430</v>
      </c>
      <c r="X29" s="45">
        <f>'FS Jimbaran Jan 2023'!Z39</f>
        <v>0</v>
      </c>
      <c r="Y29" s="45">
        <f>'FS Jimbaran Jan 2023'!AA39</f>
        <v>-6.4</v>
      </c>
      <c r="Z29" s="45">
        <f>'FS Jimbaran Jan 2023'!AB39</f>
        <v>0</v>
      </c>
      <c r="AA29" s="45">
        <f>'FS Jimbaran Jan 2023'!AC39</f>
        <v>0</v>
      </c>
      <c r="AB29" s="45">
        <f>'FS Jimbaran Jan 2023'!AD39</f>
        <v>0</v>
      </c>
      <c r="AC29" s="45">
        <f>'FS Jimbaran Jan 2023'!AE39</f>
        <v>0</v>
      </c>
      <c r="AD29" s="45">
        <f>'FS Jimbaran Jan 2023'!AF39</f>
        <v>0</v>
      </c>
      <c r="AE29" s="45">
        <f>'FS Jimbaran Jan 2023'!AG39</f>
        <v>0</v>
      </c>
      <c r="AF29" s="45">
        <f>'FS Jimbaran Jan 2023'!AH39</f>
        <v>0</v>
      </c>
      <c r="AG29" s="45">
        <f>'FS Jimbaran Jan 2023'!AM39</f>
        <v>0</v>
      </c>
      <c r="AH29" s="45">
        <f>'FS Jimbaran Jan 2023'!AR39</f>
        <v>0</v>
      </c>
      <c r="AI29" s="45">
        <f>'FS Jimbaran Jan 2023'!AQ39</f>
        <v>0</v>
      </c>
      <c r="AJ29" s="45">
        <f>'FS Jimbaran Jan 2023'!AR39</f>
        <v>0</v>
      </c>
      <c r="AK29" s="45">
        <f>'FS Jimbaran Jan 2023'!AY39</f>
        <v>0</v>
      </c>
      <c r="AL29" s="45">
        <f>'FS Jimbaran Jan 2023'!AZ39</f>
        <v>0</v>
      </c>
      <c r="AM29" s="45">
        <f>'FS Jimbaran Jan 2023'!BB39</f>
        <v>0</v>
      </c>
      <c r="AN29" s="45">
        <f>'FS Jimbaran Jan 2023'!BB39</f>
        <v>0</v>
      </c>
      <c r="AO29" s="45">
        <f>'FS Jimbaran Jan 2023'!BK39</f>
        <v>0</v>
      </c>
      <c r="AP29" s="45">
        <f>'FS Jimbaran Jan 2023'!BL39</f>
        <v>0</v>
      </c>
      <c r="AQ29" s="45">
        <f>'FS Jimbaran Jan 2023'!BC39</f>
        <v>0</v>
      </c>
      <c r="AR29" s="45">
        <f>'FS Jimbaran Jan 2023'!BD39</f>
        <v>0</v>
      </c>
      <c r="AS29" s="45">
        <f>'FS Jimbaran Jan 2023'!BM39</f>
        <v>0</v>
      </c>
      <c r="AT29" s="45">
        <f>'FS Jimbaran Jan 2023'!BN39</f>
        <v>0</v>
      </c>
      <c r="AU29" s="45">
        <f>'FS Jimbaran Jan 2023'!BO39</f>
        <v>0</v>
      </c>
      <c r="AV29" s="45">
        <f>'FS Jimbaran Jan 2023'!BP39</f>
        <v>0</v>
      </c>
      <c r="AW29" s="45">
        <f>'FS Jimbaran Jan 2023'!E39</f>
        <v>16.399999999999999</v>
      </c>
      <c r="AX29" s="45">
        <f>'FS Jimbaran Jan 2023'!F39</f>
        <v>0</v>
      </c>
      <c r="AY29" s="45">
        <f>'FS Jimbaran Jan 2023'!O39</f>
        <v>0</v>
      </c>
      <c r="AZ29" s="45">
        <f>'FS Jimbaran Jan 2023'!P39</f>
        <v>0</v>
      </c>
      <c r="BA29" s="45">
        <f>'FS Jimbaran Jan 2023'!W39</f>
        <v>0</v>
      </c>
      <c r="BB29" s="45">
        <f>'FS Jimbaran Jan 2023'!X39</f>
        <v>0</v>
      </c>
      <c r="BC29" s="45">
        <f>'FS Jimbaran Jan 2023'!AI39</f>
        <v>754</v>
      </c>
      <c r="BD29" s="45">
        <f>'FS Jimbaran Jan 2023'!AJ39</f>
        <v>0</v>
      </c>
      <c r="BE29" s="45">
        <f>'FS Jimbaran Jan 2023'!AK39</f>
        <v>0</v>
      </c>
      <c r="BF29" s="45">
        <f>'FS Jimbaran Jan 2023'!AL39</f>
        <v>0</v>
      </c>
      <c r="BG29" s="45">
        <f>'FS Jimbaran Jan 2023'!AM39</f>
        <v>0</v>
      </c>
      <c r="BH29" s="45">
        <f>'FS Jimbaran Jan 2023'!AN39</f>
        <v>0</v>
      </c>
      <c r="BI29" s="45">
        <f>'FS Jimbaran Jan 2023'!AO39</f>
        <v>0</v>
      </c>
      <c r="BJ29" s="45">
        <f>'FS Jimbaran Jan 2023'!AO39</f>
        <v>0</v>
      </c>
      <c r="BK29" s="45">
        <f>'FS Jimbaran Jan 2023'!AQ39</f>
        <v>0</v>
      </c>
      <c r="BL29" s="45">
        <f>'FS Jimbaran Jan 2023'!AR39</f>
        <v>0</v>
      </c>
      <c r="BM29" s="45">
        <v>0</v>
      </c>
      <c r="BN29" s="45">
        <v>0</v>
      </c>
      <c r="BO29" s="46">
        <f>'FS Jimbaran Jan 2023'!Q39</f>
        <v>0</v>
      </c>
      <c r="BP29" s="45">
        <f>'FS Jimbaran Jan 2023'!R39</f>
        <v>0</v>
      </c>
    </row>
    <row r="30" spans="1:68">
      <c r="A30" s="40" t="s">
        <v>67</v>
      </c>
      <c r="B30" s="48">
        <f t="shared" si="0"/>
        <v>29</v>
      </c>
      <c r="C30" s="49">
        <v>1</v>
      </c>
      <c r="D30" s="50">
        <v>2022</v>
      </c>
      <c r="E30" s="41">
        <f>'FS Jimbaran Jan 2023'!K40</f>
        <v>15</v>
      </c>
      <c r="F30" s="45">
        <f>'FS Jimbaran Jan 2023'!N40</f>
        <v>0</v>
      </c>
      <c r="G30" s="45">
        <f>'FS Jimbaran Jan 2023'!E40</f>
        <v>16.399999999999999</v>
      </c>
      <c r="H30" s="45">
        <f>'FS Jimbaran Jan 2023'!H40</f>
        <v>0</v>
      </c>
      <c r="I30" s="45">
        <f>'FS Jimbaran Jan 2023'!I40</f>
        <v>0</v>
      </c>
      <c r="J30" s="45">
        <f>'FS Jimbaran Jan 2023'!J40</f>
        <v>0</v>
      </c>
      <c r="K30" s="45">
        <f>'FS Jimbaran Jan 2023'!K40</f>
        <v>15</v>
      </c>
      <c r="L30" s="45">
        <f>'FS Jimbaran Jan 2023'!L40</f>
        <v>0</v>
      </c>
      <c r="M30" s="45">
        <f>'FS Jimbaran Jan 2023'!S40</f>
        <v>0</v>
      </c>
      <c r="N30" s="45">
        <f>'FS Jimbaran Jan 2023'!T40</f>
        <v>0</v>
      </c>
      <c r="O30" s="45">
        <f>'FS Jimbaran Jan 2023'!U40</f>
        <v>5.6</v>
      </c>
      <c r="P30" s="45">
        <f>'FS Jimbaran Jan 2023'!V40</f>
        <v>0</v>
      </c>
      <c r="Q30" s="45">
        <f>'FS Jimbaran Jan 2023'!BE40</f>
        <v>0</v>
      </c>
      <c r="R30" s="45">
        <f>'FS Jimbaran Jan 2023'!BF40</f>
        <v>0</v>
      </c>
      <c r="S30" s="45">
        <f>'FS Jimbaran Jan 2023'!BH40</f>
        <v>0</v>
      </c>
      <c r="T30" s="45">
        <f>'FS Jimbaran Jan 2023'!BH40</f>
        <v>0</v>
      </c>
      <c r="U30" s="45">
        <f>'FS Jimbaran Jan 2023'!BI40</f>
        <v>0</v>
      </c>
      <c r="V30" s="45">
        <f>'FS Jimbaran Jan 2023'!BJ40</f>
        <v>0</v>
      </c>
      <c r="W30" s="45">
        <f>'FS Jimbaran Jan 2023'!Y40</f>
        <v>460</v>
      </c>
      <c r="X30" s="45">
        <f>'FS Jimbaran Jan 2023'!Z40</f>
        <v>0</v>
      </c>
      <c r="Y30" s="45">
        <f>'FS Jimbaran Jan 2023'!AA40</f>
        <v>-6.4</v>
      </c>
      <c r="Z30" s="45">
        <f>'FS Jimbaran Jan 2023'!AB40</f>
        <v>0</v>
      </c>
      <c r="AA30" s="45">
        <f>'FS Jimbaran Jan 2023'!AC40</f>
        <v>0</v>
      </c>
      <c r="AB30" s="45">
        <f>'FS Jimbaran Jan 2023'!AD40</f>
        <v>0</v>
      </c>
      <c r="AC30" s="45">
        <f>'FS Jimbaran Jan 2023'!AE40</f>
        <v>0</v>
      </c>
      <c r="AD30" s="45">
        <f>'FS Jimbaran Jan 2023'!AF40</f>
        <v>0</v>
      </c>
      <c r="AE30" s="45">
        <f>'FS Jimbaran Jan 2023'!AG40</f>
        <v>0</v>
      </c>
      <c r="AF30" s="45">
        <f>'FS Jimbaran Jan 2023'!AH40</f>
        <v>0</v>
      </c>
      <c r="AG30" s="45">
        <f>'FS Jimbaran Jan 2023'!AM40</f>
        <v>0</v>
      </c>
      <c r="AH30" s="45">
        <f>'FS Jimbaran Jan 2023'!AR40</f>
        <v>0</v>
      </c>
      <c r="AI30" s="45">
        <f>'FS Jimbaran Jan 2023'!AQ40</f>
        <v>0</v>
      </c>
      <c r="AJ30" s="45">
        <f>'FS Jimbaran Jan 2023'!AR40</f>
        <v>0</v>
      </c>
      <c r="AK30" s="45">
        <f>'FS Jimbaran Jan 2023'!AY40</f>
        <v>0</v>
      </c>
      <c r="AL30" s="45">
        <f>'FS Jimbaran Jan 2023'!AZ40</f>
        <v>0</v>
      </c>
      <c r="AM30" s="45">
        <f>'FS Jimbaran Jan 2023'!BB40</f>
        <v>0</v>
      </c>
      <c r="AN30" s="45">
        <f>'FS Jimbaran Jan 2023'!BB40</f>
        <v>0</v>
      </c>
      <c r="AO30" s="45">
        <f>'FS Jimbaran Jan 2023'!BK40</f>
        <v>0</v>
      </c>
      <c r="AP30" s="45">
        <f>'FS Jimbaran Jan 2023'!BL40</f>
        <v>0</v>
      </c>
      <c r="AQ30" s="45">
        <f>'FS Jimbaran Jan 2023'!BC40</f>
        <v>0</v>
      </c>
      <c r="AR30" s="45">
        <f>'FS Jimbaran Jan 2023'!BD40</f>
        <v>0</v>
      </c>
      <c r="AS30" s="45">
        <f>'FS Jimbaran Jan 2023'!BM40</f>
        <v>0</v>
      </c>
      <c r="AT30" s="45">
        <f>'FS Jimbaran Jan 2023'!BN40</f>
        <v>0</v>
      </c>
      <c r="AU30" s="45">
        <f>'FS Jimbaran Jan 2023'!BO40</f>
        <v>0</v>
      </c>
      <c r="AV30" s="45">
        <f>'FS Jimbaran Jan 2023'!BP40</f>
        <v>0</v>
      </c>
      <c r="AW30" s="45">
        <f>'FS Jimbaran Jan 2023'!E40</f>
        <v>16.399999999999999</v>
      </c>
      <c r="AX30" s="45">
        <f>'FS Jimbaran Jan 2023'!F40</f>
        <v>0</v>
      </c>
      <c r="AY30" s="45">
        <f>'FS Jimbaran Jan 2023'!O40</f>
        <v>0</v>
      </c>
      <c r="AZ30" s="45">
        <f>'FS Jimbaran Jan 2023'!P40</f>
        <v>0</v>
      </c>
      <c r="BA30" s="45">
        <f>'FS Jimbaran Jan 2023'!W40</f>
        <v>0</v>
      </c>
      <c r="BB30" s="45">
        <f>'FS Jimbaran Jan 2023'!X40</f>
        <v>0</v>
      </c>
      <c r="BC30" s="45">
        <f>'FS Jimbaran Jan 2023'!AI40</f>
        <v>413.4</v>
      </c>
      <c r="BD30" s="45">
        <f>'FS Jimbaran Jan 2023'!AJ40</f>
        <v>0</v>
      </c>
      <c r="BE30" s="45">
        <f>'FS Jimbaran Jan 2023'!AK40</f>
        <v>0</v>
      </c>
      <c r="BF30" s="45">
        <f>'FS Jimbaran Jan 2023'!AL40</f>
        <v>0</v>
      </c>
      <c r="BG30" s="45">
        <f>'FS Jimbaran Jan 2023'!AM40</f>
        <v>0</v>
      </c>
      <c r="BH30" s="45">
        <f>'FS Jimbaran Jan 2023'!AN40</f>
        <v>0</v>
      </c>
      <c r="BI30" s="45">
        <f>'FS Jimbaran Jan 2023'!AO40</f>
        <v>0</v>
      </c>
      <c r="BJ30" s="45">
        <f>'FS Jimbaran Jan 2023'!AO40</f>
        <v>0</v>
      </c>
      <c r="BK30" s="45">
        <f>'FS Jimbaran Jan 2023'!AQ40</f>
        <v>0</v>
      </c>
      <c r="BL30" s="45">
        <f>'FS Jimbaran Jan 2023'!AR40</f>
        <v>0</v>
      </c>
      <c r="BM30" s="45">
        <v>0</v>
      </c>
      <c r="BN30" s="45">
        <v>0</v>
      </c>
      <c r="BO30" s="46">
        <f>'FS Jimbaran Jan 2023'!Q40</f>
        <v>0</v>
      </c>
      <c r="BP30" s="45">
        <f>'FS Jimbaran Jan 2023'!R40</f>
        <v>0</v>
      </c>
    </row>
    <row r="31" spans="1:68">
      <c r="A31" s="40" t="s">
        <v>67</v>
      </c>
      <c r="B31" s="48">
        <f t="shared" si="0"/>
        <v>30</v>
      </c>
      <c r="C31" s="49">
        <v>1</v>
      </c>
      <c r="D31" s="50">
        <v>2022</v>
      </c>
      <c r="E31" s="41">
        <f>'FS Jimbaran Jan 2023'!K41</f>
        <v>15</v>
      </c>
      <c r="F31" s="45">
        <f>'FS Jimbaran Jan 2023'!N41</f>
        <v>0</v>
      </c>
      <c r="G31" s="45">
        <f>'FS Jimbaran Jan 2023'!E41</f>
        <v>16.399999999999999</v>
      </c>
      <c r="H31" s="45">
        <f>'FS Jimbaran Jan 2023'!H41</f>
        <v>0</v>
      </c>
      <c r="I31" s="45">
        <f>'FS Jimbaran Jan 2023'!I41</f>
        <v>0</v>
      </c>
      <c r="J31" s="45">
        <f>'FS Jimbaran Jan 2023'!J41</f>
        <v>0</v>
      </c>
      <c r="K31" s="45">
        <f>'FS Jimbaran Jan 2023'!K41</f>
        <v>15</v>
      </c>
      <c r="L31" s="45">
        <f>'FS Jimbaran Jan 2023'!L41</f>
        <v>0</v>
      </c>
      <c r="M31" s="45">
        <f>'FS Jimbaran Jan 2023'!S41</f>
        <v>0</v>
      </c>
      <c r="N31" s="45">
        <f>'FS Jimbaran Jan 2023'!T41</f>
        <v>0</v>
      </c>
      <c r="O31" s="45">
        <f>'FS Jimbaran Jan 2023'!U41</f>
        <v>5.6</v>
      </c>
      <c r="P31" s="45">
        <f>'FS Jimbaran Jan 2023'!V41</f>
        <v>0</v>
      </c>
      <c r="Q31" s="45">
        <f>'FS Jimbaran Jan 2023'!BE41</f>
        <v>0</v>
      </c>
      <c r="R31" s="45">
        <f>'FS Jimbaran Jan 2023'!BF41</f>
        <v>0</v>
      </c>
      <c r="S31" s="45">
        <f>'FS Jimbaran Jan 2023'!BH41</f>
        <v>0</v>
      </c>
      <c r="T31" s="45">
        <f>'FS Jimbaran Jan 2023'!BH41</f>
        <v>0</v>
      </c>
      <c r="U31" s="45">
        <f>'FS Jimbaran Jan 2023'!BI41</f>
        <v>0</v>
      </c>
      <c r="V31" s="45">
        <f>'FS Jimbaran Jan 2023'!BJ41</f>
        <v>0</v>
      </c>
      <c r="W31" s="45">
        <f>'FS Jimbaran Jan 2023'!Y41</f>
        <v>400</v>
      </c>
      <c r="X31" s="45">
        <f>'FS Jimbaran Jan 2023'!Z41</f>
        <v>0</v>
      </c>
      <c r="Y31" s="45">
        <f>'FS Jimbaran Jan 2023'!AA41</f>
        <v>-6.4</v>
      </c>
      <c r="Z31" s="45">
        <f>'FS Jimbaran Jan 2023'!AB41</f>
        <v>0</v>
      </c>
      <c r="AA31" s="45">
        <f>'FS Jimbaran Jan 2023'!AC41</f>
        <v>0</v>
      </c>
      <c r="AB31" s="45">
        <f>'FS Jimbaran Jan 2023'!AD41</f>
        <v>0</v>
      </c>
      <c r="AC31" s="45">
        <f>'FS Jimbaran Jan 2023'!AE41</f>
        <v>0</v>
      </c>
      <c r="AD31" s="45">
        <f>'FS Jimbaran Jan 2023'!AF41</f>
        <v>0</v>
      </c>
      <c r="AE31" s="45">
        <f>'FS Jimbaran Jan 2023'!AG41</f>
        <v>0</v>
      </c>
      <c r="AF31" s="45">
        <f>'FS Jimbaran Jan 2023'!AH41</f>
        <v>0</v>
      </c>
      <c r="AG31" s="45">
        <f>'FS Jimbaran Jan 2023'!AM41</f>
        <v>0</v>
      </c>
      <c r="AH31" s="45">
        <f>'FS Jimbaran Jan 2023'!AR41</f>
        <v>0</v>
      </c>
      <c r="AI31" s="45">
        <f>'FS Jimbaran Jan 2023'!AQ41</f>
        <v>0</v>
      </c>
      <c r="AJ31" s="45">
        <f>'FS Jimbaran Jan 2023'!AR41</f>
        <v>0</v>
      </c>
      <c r="AK31" s="45">
        <f>'FS Jimbaran Jan 2023'!AY41</f>
        <v>0</v>
      </c>
      <c r="AL31" s="45">
        <f>'FS Jimbaran Jan 2023'!AZ41</f>
        <v>0</v>
      </c>
      <c r="AM31" s="45">
        <f>'FS Jimbaran Jan 2023'!BB41</f>
        <v>0</v>
      </c>
      <c r="AN31" s="45">
        <f>'FS Jimbaran Jan 2023'!BB41</f>
        <v>0</v>
      </c>
      <c r="AO31" s="45">
        <f>'FS Jimbaran Jan 2023'!BK41</f>
        <v>0</v>
      </c>
      <c r="AP31" s="45">
        <f>'FS Jimbaran Jan 2023'!BL41</f>
        <v>0</v>
      </c>
      <c r="AQ31" s="45">
        <f>'FS Jimbaran Jan 2023'!BC41</f>
        <v>0</v>
      </c>
      <c r="AR31" s="45">
        <f>'FS Jimbaran Jan 2023'!BD41</f>
        <v>0</v>
      </c>
      <c r="AS31" s="45">
        <f>'FS Jimbaran Jan 2023'!BM41</f>
        <v>0</v>
      </c>
      <c r="AT31" s="45">
        <f>'FS Jimbaran Jan 2023'!BN41</f>
        <v>0</v>
      </c>
      <c r="AU31" s="45">
        <f>'FS Jimbaran Jan 2023'!BO41</f>
        <v>0</v>
      </c>
      <c r="AV31" s="45">
        <f>'FS Jimbaran Jan 2023'!BP41</f>
        <v>0</v>
      </c>
      <c r="AW31" s="45">
        <f>'FS Jimbaran Jan 2023'!E41</f>
        <v>16.399999999999999</v>
      </c>
      <c r="AX31" s="45">
        <f>'FS Jimbaran Jan 2023'!F41</f>
        <v>0</v>
      </c>
      <c r="AY31" s="45">
        <f>'FS Jimbaran Jan 2023'!O41</f>
        <v>0</v>
      </c>
      <c r="AZ31" s="45">
        <f>'FS Jimbaran Jan 2023'!P41</f>
        <v>0</v>
      </c>
      <c r="BA31" s="45">
        <f>'FS Jimbaran Jan 2023'!W41</f>
        <v>0</v>
      </c>
      <c r="BB31" s="45">
        <f>'FS Jimbaran Jan 2023'!X41</f>
        <v>0</v>
      </c>
      <c r="BC31" s="45">
        <f>'FS Jimbaran Jan 2023'!AI41</f>
        <v>392.6</v>
      </c>
      <c r="BD31" s="45">
        <f>'FS Jimbaran Jan 2023'!AJ41</f>
        <v>0</v>
      </c>
      <c r="BE31" s="45">
        <f>'FS Jimbaran Jan 2023'!AK41</f>
        <v>0</v>
      </c>
      <c r="BF31" s="45">
        <f>'FS Jimbaran Jan 2023'!AL41</f>
        <v>0</v>
      </c>
      <c r="BG31" s="45">
        <f>'FS Jimbaran Jan 2023'!AM41</f>
        <v>0</v>
      </c>
      <c r="BH31" s="45">
        <f>'FS Jimbaran Jan 2023'!AN41</f>
        <v>0</v>
      </c>
      <c r="BI31" s="45">
        <f>'FS Jimbaran Jan 2023'!AO41</f>
        <v>0</v>
      </c>
      <c r="BJ31" s="45">
        <f>'FS Jimbaran Jan 2023'!AO41</f>
        <v>0</v>
      </c>
      <c r="BK31" s="45">
        <f>'FS Jimbaran Jan 2023'!AQ41</f>
        <v>0</v>
      </c>
      <c r="BL31" s="45">
        <f>'FS Jimbaran Jan 2023'!AR41</f>
        <v>0</v>
      </c>
      <c r="BM31" s="45">
        <v>0</v>
      </c>
      <c r="BN31" s="45">
        <v>0</v>
      </c>
      <c r="BO31" s="46">
        <f>'FS Jimbaran Jan 2023'!Q41</f>
        <v>0</v>
      </c>
      <c r="BP31" s="45">
        <f>'FS Jimbaran Jan 2023'!R41</f>
        <v>0</v>
      </c>
    </row>
    <row r="32" spans="1:68">
      <c r="A32" s="40" t="s">
        <v>67</v>
      </c>
      <c r="B32" s="48">
        <f t="shared" si="0"/>
        <v>31</v>
      </c>
      <c r="C32" s="49">
        <v>1</v>
      </c>
      <c r="D32" s="50">
        <v>2022</v>
      </c>
      <c r="E32" s="41">
        <f>'FS Jimbaran Jan 2023'!K42</f>
        <v>15</v>
      </c>
      <c r="F32" s="45">
        <f>'FS Jimbaran Jan 2023'!N42</f>
        <v>-69600</v>
      </c>
      <c r="G32" s="45">
        <f>'FS Jimbaran Jan 2023'!E42</f>
        <v>17</v>
      </c>
      <c r="H32" s="45">
        <f>'FS Jimbaran Jan 2023'!H42</f>
        <v>0</v>
      </c>
      <c r="I32" s="45">
        <f>'FS Jimbaran Jan 2023'!I42</f>
        <v>0</v>
      </c>
      <c r="J32" s="45">
        <f>'FS Jimbaran Jan 2023'!J42</f>
        <v>0</v>
      </c>
      <c r="K32" s="45">
        <f>'FS Jimbaran Jan 2023'!K42</f>
        <v>15</v>
      </c>
      <c r="L32" s="45">
        <f>'FS Jimbaran Jan 2023'!L42</f>
        <v>0</v>
      </c>
      <c r="M32" s="45">
        <f>'FS Jimbaran Jan 2023'!S42</f>
        <v>0</v>
      </c>
      <c r="N32" s="45">
        <f>'FS Jimbaran Jan 2023'!T42</f>
        <v>0</v>
      </c>
      <c r="O32" s="45">
        <f>'FS Jimbaran Jan 2023'!U42</f>
        <v>7</v>
      </c>
      <c r="P32" s="45">
        <f>'FS Jimbaran Jan 2023'!V42</f>
        <v>-50450</v>
      </c>
      <c r="Q32" s="45">
        <f>'FS Jimbaran Jan 2023'!BE42</f>
        <v>0</v>
      </c>
      <c r="R32" s="45">
        <f>'FS Jimbaran Jan 2023'!BF42</f>
        <v>0</v>
      </c>
      <c r="S32" s="45">
        <f>'FS Jimbaran Jan 2023'!BH42</f>
        <v>0</v>
      </c>
      <c r="T32" s="45">
        <f>'FS Jimbaran Jan 2023'!BH42</f>
        <v>0</v>
      </c>
      <c r="U32" s="45">
        <f>'FS Jimbaran Jan 2023'!BI42</f>
        <v>0</v>
      </c>
      <c r="V32" s="45">
        <f>'FS Jimbaran Jan 2023'!BJ42</f>
        <v>0</v>
      </c>
      <c r="W32" s="45">
        <f>'FS Jimbaran Jan 2023'!Y42</f>
        <v>415</v>
      </c>
      <c r="X32" s="45">
        <f>'FS Jimbaran Jan 2023'!Z42</f>
        <v>0</v>
      </c>
      <c r="Y32" s="45">
        <f>'FS Jimbaran Jan 2023'!AA42</f>
        <v>-6.4</v>
      </c>
      <c r="Z32" s="45">
        <f>'FS Jimbaran Jan 2023'!AB42</f>
        <v>0</v>
      </c>
      <c r="AA32" s="45">
        <f>'FS Jimbaran Jan 2023'!AC42</f>
        <v>0</v>
      </c>
      <c r="AB32" s="45">
        <f>'FS Jimbaran Jan 2023'!AD42</f>
        <v>0</v>
      </c>
      <c r="AC32" s="45">
        <f>'FS Jimbaran Jan 2023'!AE42</f>
        <v>0</v>
      </c>
      <c r="AD32" s="45">
        <f>'FS Jimbaran Jan 2023'!AF42</f>
        <v>0</v>
      </c>
      <c r="AE32" s="45">
        <f>'FS Jimbaran Jan 2023'!AG42</f>
        <v>0</v>
      </c>
      <c r="AF32" s="45">
        <f>'FS Jimbaran Jan 2023'!AH42</f>
        <v>0</v>
      </c>
      <c r="AG32" s="45">
        <f>'FS Jimbaran Jan 2023'!AM42</f>
        <v>0</v>
      </c>
      <c r="AH32" s="45">
        <f>'FS Jimbaran Jan 2023'!AR42</f>
        <v>0</v>
      </c>
      <c r="AI32" s="45">
        <f>'FS Jimbaran Jan 2023'!AQ42</f>
        <v>0</v>
      </c>
      <c r="AJ32" s="45">
        <f>'FS Jimbaran Jan 2023'!AR42</f>
        <v>0</v>
      </c>
      <c r="AK32" s="45">
        <f>'FS Jimbaran Jan 2023'!AY42</f>
        <v>0</v>
      </c>
      <c r="AL32" s="45">
        <f>'FS Jimbaran Jan 2023'!AZ42</f>
        <v>0</v>
      </c>
      <c r="AM32" s="45">
        <f>'FS Jimbaran Jan 2023'!BB42</f>
        <v>0</v>
      </c>
      <c r="AN32" s="45">
        <f>'FS Jimbaran Jan 2023'!BB42</f>
        <v>0</v>
      </c>
      <c r="AO32" s="45">
        <f>'FS Jimbaran Jan 2023'!BK42</f>
        <v>0</v>
      </c>
      <c r="AP32" s="45">
        <f>'FS Jimbaran Jan 2023'!BL42</f>
        <v>0</v>
      </c>
      <c r="AQ32" s="45">
        <f>'FS Jimbaran Jan 2023'!BC42</f>
        <v>0</v>
      </c>
      <c r="AR32" s="45">
        <f>'FS Jimbaran Jan 2023'!BD42</f>
        <v>0</v>
      </c>
      <c r="AS32" s="45">
        <f>'FS Jimbaran Jan 2023'!BM42</f>
        <v>0</v>
      </c>
      <c r="AT32" s="45">
        <f>'FS Jimbaran Jan 2023'!BN42</f>
        <v>0</v>
      </c>
      <c r="AU32" s="45">
        <f>'FS Jimbaran Jan 2023'!BO42</f>
        <v>0</v>
      </c>
      <c r="AV32" s="45">
        <f>'FS Jimbaran Jan 2023'!BP42</f>
        <v>0</v>
      </c>
      <c r="AW32" s="45">
        <f>'FS Jimbaran Jan 2023'!E42</f>
        <v>17</v>
      </c>
      <c r="AX32" s="45">
        <f>'FS Jimbaran Jan 2023'!F42</f>
        <v>-225500</v>
      </c>
      <c r="AY32" s="45">
        <f>'FS Jimbaran Jan 2023'!O42</f>
        <v>0</v>
      </c>
      <c r="AZ32" s="45">
        <f>'FS Jimbaran Jan 2023'!P42</f>
        <v>0</v>
      </c>
      <c r="BA32" s="45">
        <f>'FS Jimbaran Jan 2023'!W42</f>
        <v>0</v>
      </c>
      <c r="BB32" s="45">
        <f>'FS Jimbaran Jan 2023'!X42</f>
        <v>0</v>
      </c>
      <c r="BC32" s="45">
        <f>'FS Jimbaran Jan 2023'!AI42</f>
        <v>335.4</v>
      </c>
      <c r="BD32" s="45">
        <f>'FS Jimbaran Jan 2023'!AJ42</f>
        <v>0</v>
      </c>
      <c r="BE32" s="45">
        <f>'FS Jimbaran Jan 2023'!AK42</f>
        <v>0</v>
      </c>
      <c r="BF32" s="45">
        <f>'FS Jimbaran Jan 2023'!AL42</f>
        <v>0</v>
      </c>
      <c r="BG32" s="45">
        <f>'FS Jimbaran Jan 2023'!AM42</f>
        <v>0</v>
      </c>
      <c r="BH32" s="45">
        <f>'FS Jimbaran Jan 2023'!AN42</f>
        <v>0</v>
      </c>
      <c r="BI32" s="45">
        <f>'FS Jimbaran Jan 2023'!AO42</f>
        <v>0</v>
      </c>
      <c r="BJ32" s="45">
        <f>'FS Jimbaran Jan 2023'!AO42</f>
        <v>0</v>
      </c>
      <c r="BK32" s="45">
        <f>'FS Jimbaran Jan 2023'!AQ42</f>
        <v>0</v>
      </c>
      <c r="BL32" s="45">
        <f>'FS Jimbaran Jan 2023'!AR42</f>
        <v>0</v>
      </c>
      <c r="BM32" s="45">
        <v>0</v>
      </c>
      <c r="BN32" s="45">
        <v>0</v>
      </c>
      <c r="BO32" s="46">
        <f>'FS Jimbaran Jan 2023'!Q42</f>
        <v>0</v>
      </c>
      <c r="BP32" s="45">
        <f>'FS Jimbaran Jan 2023'!R42</f>
        <v>0</v>
      </c>
    </row>
    <row r="33" spans="5:68">
      <c r="E33" s="12">
        <f>SUM(E2:E32)</f>
        <v>465</v>
      </c>
      <c r="F33" s="12">
        <f t="shared" ref="F33:BP33" si="1">SUM(F2:F32)</f>
        <v>-87600</v>
      </c>
      <c r="G33" s="12">
        <f t="shared" si="1"/>
        <v>508.99999999999972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465</v>
      </c>
      <c r="L33" s="12">
        <f t="shared" si="1"/>
        <v>-35900</v>
      </c>
      <c r="M33" s="12">
        <f t="shared" si="1"/>
        <v>0</v>
      </c>
      <c r="N33" s="12">
        <f t="shared" si="1"/>
        <v>0</v>
      </c>
      <c r="O33" s="12">
        <f t="shared" si="1"/>
        <v>174.99999999999991</v>
      </c>
      <c r="P33" s="12">
        <f t="shared" si="1"/>
        <v>-170675</v>
      </c>
      <c r="Q33" s="12">
        <f t="shared" si="1"/>
        <v>0</v>
      </c>
      <c r="R33" s="12">
        <f t="shared" si="1"/>
        <v>0</v>
      </c>
      <c r="S33" s="12">
        <f t="shared" si="1"/>
        <v>0</v>
      </c>
      <c r="T33" s="12">
        <f t="shared" si="1"/>
        <v>0</v>
      </c>
      <c r="U33" s="12">
        <f t="shared" si="1"/>
        <v>0</v>
      </c>
      <c r="V33" s="12">
        <f t="shared" si="1"/>
        <v>0</v>
      </c>
      <c r="W33" s="12">
        <f t="shared" si="1"/>
        <v>13270</v>
      </c>
      <c r="X33" s="12">
        <f t="shared" si="1"/>
        <v>1500000</v>
      </c>
      <c r="Y33" s="12">
        <f t="shared" si="1"/>
        <v>-198.40000000000009</v>
      </c>
      <c r="Z33" s="12">
        <f t="shared" si="1"/>
        <v>0</v>
      </c>
      <c r="AA33" s="12">
        <f t="shared" si="1"/>
        <v>0</v>
      </c>
      <c r="AB33" s="12">
        <f t="shared" si="1"/>
        <v>0</v>
      </c>
      <c r="AC33" s="12">
        <f t="shared" si="1"/>
        <v>0</v>
      </c>
      <c r="AD33" s="12">
        <f t="shared" si="1"/>
        <v>0</v>
      </c>
      <c r="AE33" s="12">
        <f t="shared" si="1"/>
        <v>0</v>
      </c>
      <c r="AF33" s="12">
        <f t="shared" si="1"/>
        <v>0</v>
      </c>
      <c r="AG33" s="12">
        <f t="shared" si="1"/>
        <v>0</v>
      </c>
      <c r="AH33" s="12">
        <f t="shared" si="1"/>
        <v>0</v>
      </c>
      <c r="AI33" s="12">
        <f t="shared" si="1"/>
        <v>0</v>
      </c>
      <c r="AJ33" s="12">
        <f t="shared" si="1"/>
        <v>0</v>
      </c>
      <c r="AK33" s="12">
        <f t="shared" si="1"/>
        <v>0</v>
      </c>
      <c r="AL33" s="12">
        <f t="shared" si="1"/>
        <v>0</v>
      </c>
      <c r="AM33" s="12">
        <f t="shared" si="1"/>
        <v>0</v>
      </c>
      <c r="AN33" s="12">
        <f t="shared" si="1"/>
        <v>0</v>
      </c>
      <c r="AO33" s="12">
        <f t="shared" si="1"/>
        <v>0</v>
      </c>
      <c r="AP33" s="12">
        <f t="shared" si="1"/>
        <v>0</v>
      </c>
      <c r="AQ33" s="12">
        <f t="shared" si="1"/>
        <v>0</v>
      </c>
      <c r="AR33" s="12">
        <f t="shared" si="1"/>
        <v>0</v>
      </c>
      <c r="AS33" s="12">
        <f t="shared" si="1"/>
        <v>0</v>
      </c>
      <c r="AT33" s="12">
        <f t="shared" si="1"/>
        <v>0</v>
      </c>
      <c r="AU33" s="12">
        <f t="shared" si="1"/>
        <v>0</v>
      </c>
      <c r="AV33" s="12">
        <f t="shared" si="1"/>
        <v>0</v>
      </c>
      <c r="AW33" s="12">
        <f t="shared" si="1"/>
        <v>508.99999999999972</v>
      </c>
      <c r="AX33" s="12">
        <f t="shared" si="1"/>
        <v>-486800</v>
      </c>
      <c r="AY33" s="12">
        <f t="shared" si="1"/>
        <v>0</v>
      </c>
      <c r="AZ33" s="12">
        <f t="shared" si="1"/>
        <v>0</v>
      </c>
      <c r="BA33" s="12">
        <f t="shared" si="1"/>
        <v>0</v>
      </c>
      <c r="BB33" s="12">
        <f t="shared" si="1"/>
        <v>0</v>
      </c>
      <c r="BC33" s="12">
        <f t="shared" si="1"/>
        <v>12776.4</v>
      </c>
      <c r="BD33" s="12">
        <f t="shared" si="1"/>
        <v>9000000</v>
      </c>
      <c r="BE33" s="12">
        <f t="shared" si="1"/>
        <v>0</v>
      </c>
      <c r="BF33" s="12">
        <f t="shared" si="1"/>
        <v>0</v>
      </c>
      <c r="BG33" s="12">
        <f t="shared" si="1"/>
        <v>0</v>
      </c>
      <c r="BH33" s="12">
        <f t="shared" si="1"/>
        <v>0</v>
      </c>
      <c r="BI33" s="12">
        <f t="shared" si="1"/>
        <v>0</v>
      </c>
      <c r="BJ33" s="12">
        <f t="shared" si="1"/>
        <v>0</v>
      </c>
      <c r="BK33" s="12">
        <f t="shared" si="1"/>
        <v>0</v>
      </c>
      <c r="BL33" s="12">
        <f t="shared" si="1"/>
        <v>0</v>
      </c>
      <c r="BM33" s="12">
        <f t="shared" si="1"/>
        <v>0</v>
      </c>
      <c r="BN33" s="12">
        <f t="shared" si="1"/>
        <v>0</v>
      </c>
      <c r="BO33" s="12">
        <f t="shared" si="1"/>
        <v>0</v>
      </c>
      <c r="BP33" s="12">
        <f t="shared" si="1"/>
        <v>0</v>
      </c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5:68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5:68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  <row r="50" spans="5:68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P46"/>
  <sheetViews>
    <sheetView zoomScale="85" zoomScaleNormal="85" workbookViewId="0">
      <pane xSplit="4" ySplit="10" topLeftCell="E11" activePane="bottomRight" state="frozen"/>
      <selection pane="bottomRight" activeCell="BE12" sqref="BE1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12.5703125" customWidth="1"/>
    <col min="5" max="7" width="15.42578125" style="21" customWidth="1"/>
    <col min="8" max="24" width="14.28515625" style="21" customWidth="1"/>
    <col min="25" max="25" width="14.28515625" style="82" customWidth="1"/>
    <col min="26" max="68" width="14.28515625" style="21" customWidth="1"/>
  </cols>
  <sheetData>
    <row r="2" spans="1:68"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1:68">
      <c r="Y3" s="82">
        <f>3+16+8+27+4+63+4+6+14+11+19</f>
        <v>175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 spans="1:68">
      <c r="Z4" s="81">
        <f>Y3/31</f>
        <v>5.645161290322581</v>
      </c>
    </row>
    <row r="5" spans="1:68">
      <c r="O5" s="21">
        <f>58+15</f>
        <v>73</v>
      </c>
    </row>
    <row r="6" spans="1:68" s="5" customFormat="1" ht="19.5" thickBot="1">
      <c r="B6" s="5" t="s">
        <v>71</v>
      </c>
      <c r="C6" s="9"/>
      <c r="E6" s="22"/>
      <c r="F6" s="22"/>
      <c r="G6" s="22"/>
      <c r="H6" s="22"/>
      <c r="I6" s="22"/>
      <c r="J6" s="22"/>
      <c r="K6" s="22"/>
      <c r="L6" s="22"/>
      <c r="M6" s="22"/>
      <c r="N6" s="22"/>
      <c r="O6" s="22">
        <f>O5/31</f>
        <v>2.3548387096774195</v>
      </c>
      <c r="P6" s="22"/>
      <c r="Q6" s="22"/>
      <c r="R6" s="22"/>
      <c r="S6" s="22"/>
      <c r="T6" s="22"/>
      <c r="U6" s="22"/>
      <c r="V6" s="22"/>
      <c r="W6" s="22"/>
      <c r="X6" s="22"/>
      <c r="Y6" s="83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 spans="1:68" s="3" customFormat="1" ht="16.5" thickBot="1">
      <c r="A7" s="7"/>
      <c r="B7" s="63" t="s">
        <v>72</v>
      </c>
      <c r="C7" s="64"/>
      <c r="D7" s="6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84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</row>
    <row r="8" spans="1:68" s="6" customFormat="1" ht="15.75" customHeight="1">
      <c r="A8" s="14"/>
      <c r="B8" s="65" t="s">
        <v>73</v>
      </c>
      <c r="C8" s="68" t="s">
        <v>74</v>
      </c>
      <c r="D8" s="71" t="s">
        <v>75</v>
      </c>
      <c r="E8" s="61" t="s">
        <v>76</v>
      </c>
      <c r="F8" s="62"/>
      <c r="G8" s="62"/>
      <c r="H8" s="62"/>
      <c r="I8" s="62"/>
      <c r="J8" s="62"/>
      <c r="K8" s="77" t="s">
        <v>77</v>
      </c>
      <c r="L8" s="77"/>
      <c r="M8" s="78" t="s">
        <v>78</v>
      </c>
      <c r="N8" s="78"/>
      <c r="O8" s="78"/>
      <c r="P8" s="78"/>
      <c r="Q8" s="78"/>
      <c r="R8" s="78"/>
      <c r="S8" s="78"/>
      <c r="T8" s="78"/>
      <c r="U8" s="73" t="s">
        <v>79</v>
      </c>
      <c r="V8" s="73"/>
      <c r="W8" s="73"/>
      <c r="X8" s="73"/>
      <c r="Y8" s="74" t="s">
        <v>80</v>
      </c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5" t="s">
        <v>81</v>
      </c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 t="s">
        <v>82</v>
      </c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</row>
    <row r="9" spans="1:68" s="15" customFormat="1" ht="15" customHeight="1">
      <c r="A9" s="6"/>
      <c r="B9" s="66"/>
      <c r="C9" s="69"/>
      <c r="D9" s="72"/>
      <c r="E9" s="61"/>
      <c r="F9" s="62"/>
      <c r="G9" s="62"/>
      <c r="H9" s="62"/>
      <c r="I9" s="62"/>
      <c r="J9" s="62"/>
      <c r="K9" s="77"/>
      <c r="L9" s="77"/>
      <c r="M9" s="78"/>
      <c r="N9" s="78"/>
      <c r="O9" s="78"/>
      <c r="P9" s="78"/>
      <c r="Q9" s="78"/>
      <c r="R9" s="78"/>
      <c r="S9" s="78"/>
      <c r="T9" s="78"/>
      <c r="U9" s="73"/>
      <c r="V9" s="73"/>
      <c r="W9" s="73"/>
      <c r="X9" s="73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</row>
    <row r="10" spans="1:68" s="15" customFormat="1" ht="78" customHeight="1" thickBot="1">
      <c r="A10" s="6"/>
      <c r="B10" s="67"/>
      <c r="C10" s="70"/>
      <c r="D10" s="72"/>
      <c r="E10" s="19" t="s">
        <v>47</v>
      </c>
      <c r="F10" s="19" t="s">
        <v>48</v>
      </c>
      <c r="G10" s="19" t="s">
        <v>5</v>
      </c>
      <c r="H10" s="19" t="s">
        <v>6</v>
      </c>
      <c r="I10" s="19" t="s">
        <v>7</v>
      </c>
      <c r="J10" s="19" t="s">
        <v>8</v>
      </c>
      <c r="K10" s="19" t="s">
        <v>69</v>
      </c>
      <c r="L10" s="19" t="s">
        <v>70</v>
      </c>
      <c r="M10" s="20" t="s">
        <v>3</v>
      </c>
      <c r="N10" s="20" t="s">
        <v>4</v>
      </c>
      <c r="O10" s="20" t="s">
        <v>49</v>
      </c>
      <c r="P10" s="20" t="s">
        <v>50</v>
      </c>
      <c r="Q10" s="20" t="s">
        <v>65</v>
      </c>
      <c r="R10" s="20" t="s">
        <v>66</v>
      </c>
      <c r="S10" s="20" t="s">
        <v>11</v>
      </c>
      <c r="T10" s="20" t="s">
        <v>12</v>
      </c>
      <c r="U10" s="20" t="s">
        <v>51</v>
      </c>
      <c r="V10" s="20" t="s">
        <v>52</v>
      </c>
      <c r="W10" s="20" t="s">
        <v>13</v>
      </c>
      <c r="X10" s="20" t="s">
        <v>14</v>
      </c>
      <c r="Y10" s="85" t="s">
        <v>21</v>
      </c>
      <c r="Z10" s="20" t="s">
        <v>22</v>
      </c>
      <c r="AA10" s="20" t="s">
        <v>23</v>
      </c>
      <c r="AB10" s="20" t="s">
        <v>24</v>
      </c>
      <c r="AC10" s="20" t="s">
        <v>25</v>
      </c>
      <c r="AD10" s="20" t="s">
        <v>26</v>
      </c>
      <c r="AE10" s="20" t="s">
        <v>27</v>
      </c>
      <c r="AF10" s="20" t="s">
        <v>28</v>
      </c>
      <c r="AG10" s="20" t="s">
        <v>29</v>
      </c>
      <c r="AH10" s="20" t="s">
        <v>30</v>
      </c>
      <c r="AI10" s="20" t="s">
        <v>53</v>
      </c>
      <c r="AJ10" s="20" t="s">
        <v>54</v>
      </c>
      <c r="AK10" s="20" t="s">
        <v>55</v>
      </c>
      <c r="AL10" s="20" t="s">
        <v>56</v>
      </c>
      <c r="AM10" s="20" t="s">
        <v>57</v>
      </c>
      <c r="AN10" s="20" t="s">
        <v>58</v>
      </c>
      <c r="AO10" s="20" t="s">
        <v>59</v>
      </c>
      <c r="AP10" s="20" t="s">
        <v>60</v>
      </c>
      <c r="AQ10" s="20" t="s">
        <v>61</v>
      </c>
      <c r="AR10" s="20" t="s">
        <v>62</v>
      </c>
      <c r="AS10" s="20" t="s">
        <v>63</v>
      </c>
      <c r="AT10" s="20" t="s">
        <v>64</v>
      </c>
      <c r="AU10" s="20" t="s">
        <v>31</v>
      </c>
      <c r="AV10" s="20" t="s">
        <v>32</v>
      </c>
      <c r="AW10" s="20" t="s">
        <v>33</v>
      </c>
      <c r="AX10" s="20" t="s">
        <v>34</v>
      </c>
      <c r="AY10" s="20" t="s">
        <v>35</v>
      </c>
      <c r="AZ10" s="20" t="s">
        <v>36</v>
      </c>
      <c r="BA10" s="20" t="s">
        <v>37</v>
      </c>
      <c r="BB10" s="20" t="s">
        <v>38</v>
      </c>
      <c r="BC10" s="20" t="s">
        <v>41</v>
      </c>
      <c r="BD10" s="20" t="s">
        <v>42</v>
      </c>
      <c r="BE10" s="20" t="s">
        <v>15</v>
      </c>
      <c r="BF10" s="20" t="s">
        <v>16</v>
      </c>
      <c r="BG10" s="20" t="s">
        <v>17</v>
      </c>
      <c r="BH10" s="20" t="s">
        <v>18</v>
      </c>
      <c r="BI10" s="20" t="s">
        <v>19</v>
      </c>
      <c r="BJ10" s="20" t="s">
        <v>20</v>
      </c>
      <c r="BK10" s="20" t="s">
        <v>39</v>
      </c>
      <c r="BL10" s="20" t="s">
        <v>40</v>
      </c>
      <c r="BM10" s="20" t="s">
        <v>43</v>
      </c>
      <c r="BN10" s="20" t="s">
        <v>44</v>
      </c>
      <c r="BO10" s="20" t="s">
        <v>45</v>
      </c>
      <c r="BP10" s="20" t="s">
        <v>46</v>
      </c>
    </row>
    <row r="11" spans="1:68">
      <c r="A11" s="6"/>
      <c r="B11" s="10"/>
      <c r="C11" s="11"/>
      <c r="D11" s="13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95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</row>
    <row r="12" spans="1:68">
      <c r="A12" s="8"/>
      <c r="B12" s="59">
        <v>1</v>
      </c>
      <c r="C12" s="79">
        <v>145</v>
      </c>
      <c r="D12" s="80">
        <v>881</v>
      </c>
      <c r="E12" s="29">
        <v>16.399999999999999</v>
      </c>
      <c r="F12" s="100">
        <v>0</v>
      </c>
      <c r="G12" s="94">
        <v>0</v>
      </c>
      <c r="H12" s="28">
        <v>0</v>
      </c>
      <c r="I12" s="28">
        <v>0</v>
      </c>
      <c r="J12" s="28">
        <v>0</v>
      </c>
      <c r="K12" s="24">
        <v>15</v>
      </c>
      <c r="L12" s="29">
        <v>0</v>
      </c>
      <c r="M12" s="28">
        <v>2.2999999999999998</v>
      </c>
      <c r="N12" s="28">
        <v>0</v>
      </c>
      <c r="O12" s="28">
        <v>0</v>
      </c>
      <c r="P12" s="28">
        <v>0</v>
      </c>
      <c r="Q12" s="25">
        <v>0</v>
      </c>
      <c r="R12" s="28">
        <v>0</v>
      </c>
      <c r="S12" s="26">
        <v>0</v>
      </c>
      <c r="T12" s="28">
        <v>0</v>
      </c>
      <c r="U12" s="25">
        <v>5.6</v>
      </c>
      <c r="V12" s="28">
        <v>0</v>
      </c>
      <c r="W12" s="28">
        <v>0</v>
      </c>
      <c r="X12" s="29">
        <v>0</v>
      </c>
      <c r="Y12" s="92">
        <v>435</v>
      </c>
      <c r="Z12" s="94">
        <v>1500000</v>
      </c>
      <c r="AA12" s="25">
        <v>-6.4</v>
      </c>
      <c r="AB12" s="28">
        <v>0</v>
      </c>
      <c r="AC12" s="25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96">
        <v>533</v>
      </c>
      <c r="AJ12" s="28">
        <v>9000000</v>
      </c>
      <c r="AK12" s="25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</row>
    <row r="13" spans="1:68">
      <c r="A13" s="8"/>
      <c r="B13" s="59">
        <v>2</v>
      </c>
      <c r="C13" s="79">
        <v>132</v>
      </c>
      <c r="D13" s="80">
        <v>872</v>
      </c>
      <c r="E13" s="29">
        <v>16.399999999999999</v>
      </c>
      <c r="F13" s="100">
        <v>0</v>
      </c>
      <c r="G13" s="94">
        <v>0</v>
      </c>
      <c r="H13" s="28">
        <v>0</v>
      </c>
      <c r="I13" s="28">
        <v>0</v>
      </c>
      <c r="J13" s="28">
        <v>0</v>
      </c>
      <c r="K13" s="24">
        <v>15</v>
      </c>
      <c r="L13" s="29">
        <v>0</v>
      </c>
      <c r="M13" s="28">
        <v>2.2999999999999998</v>
      </c>
      <c r="N13" s="28">
        <v>0</v>
      </c>
      <c r="O13" s="28">
        <v>0</v>
      </c>
      <c r="P13" s="28">
        <v>0</v>
      </c>
      <c r="Q13" s="26">
        <v>0</v>
      </c>
      <c r="R13" s="28">
        <v>0</v>
      </c>
      <c r="S13" s="26">
        <v>0</v>
      </c>
      <c r="T13" s="28">
        <v>0</v>
      </c>
      <c r="U13" s="25">
        <v>5.6</v>
      </c>
      <c r="V13" s="28">
        <v>0</v>
      </c>
      <c r="W13" s="28">
        <v>0</v>
      </c>
      <c r="X13" s="29">
        <v>0</v>
      </c>
      <c r="Y13" s="92">
        <v>430</v>
      </c>
      <c r="Z13" s="94">
        <v>0</v>
      </c>
      <c r="AA13" s="25">
        <v>-6.4</v>
      </c>
      <c r="AB13" s="28">
        <v>0</v>
      </c>
      <c r="AC13" s="25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96">
        <v>330.2</v>
      </c>
      <c r="AJ13" s="28">
        <v>0</v>
      </c>
      <c r="AK13" s="25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</row>
    <row r="14" spans="1:68">
      <c r="A14" s="8"/>
      <c r="B14" s="59">
        <v>3</v>
      </c>
      <c r="C14" s="79">
        <v>126</v>
      </c>
      <c r="D14" s="80">
        <v>803</v>
      </c>
      <c r="E14" s="29">
        <v>16.399999999999999</v>
      </c>
      <c r="F14" s="100">
        <v>0</v>
      </c>
      <c r="G14" s="94">
        <v>0</v>
      </c>
      <c r="H14" s="28">
        <v>0</v>
      </c>
      <c r="I14" s="28">
        <v>0</v>
      </c>
      <c r="J14" s="28">
        <v>0</v>
      </c>
      <c r="K14" s="24">
        <v>15</v>
      </c>
      <c r="L14" s="29">
        <v>0</v>
      </c>
      <c r="M14" s="28">
        <v>2.2999999999999998</v>
      </c>
      <c r="N14" s="28">
        <v>0</v>
      </c>
      <c r="O14" s="28">
        <v>0</v>
      </c>
      <c r="P14" s="28">
        <v>0</v>
      </c>
      <c r="Q14" s="26">
        <v>0</v>
      </c>
      <c r="R14" s="28">
        <v>0</v>
      </c>
      <c r="S14" s="26">
        <v>0</v>
      </c>
      <c r="T14" s="28">
        <v>0</v>
      </c>
      <c r="U14" s="25">
        <v>5.6</v>
      </c>
      <c r="V14" s="28">
        <v>0</v>
      </c>
      <c r="W14" s="28">
        <v>0</v>
      </c>
      <c r="X14" s="29">
        <v>0</v>
      </c>
      <c r="Y14" s="92">
        <v>400</v>
      </c>
      <c r="Z14" s="94">
        <v>0</v>
      </c>
      <c r="AA14" s="25">
        <v>-6.4</v>
      </c>
      <c r="AB14" s="28">
        <v>0</v>
      </c>
      <c r="AC14" s="25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96">
        <v>338</v>
      </c>
      <c r="AJ14" s="28">
        <v>0</v>
      </c>
      <c r="AK14" s="25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</row>
    <row r="15" spans="1:68">
      <c r="A15" s="8"/>
      <c r="B15" s="59">
        <v>4</v>
      </c>
      <c r="C15" s="79">
        <v>131</v>
      </c>
      <c r="D15" s="80">
        <v>819</v>
      </c>
      <c r="E15" s="29">
        <v>16.399999999999999</v>
      </c>
      <c r="F15" s="100">
        <v>0</v>
      </c>
      <c r="G15" s="94">
        <v>0</v>
      </c>
      <c r="H15" s="28">
        <v>0</v>
      </c>
      <c r="I15" s="28">
        <v>0</v>
      </c>
      <c r="J15" s="28">
        <v>0</v>
      </c>
      <c r="K15" s="24">
        <v>15</v>
      </c>
      <c r="L15" s="29">
        <v>0</v>
      </c>
      <c r="M15" s="28">
        <v>2.2999999999999998</v>
      </c>
      <c r="N15" s="28">
        <v>0</v>
      </c>
      <c r="O15" s="28">
        <v>0</v>
      </c>
      <c r="P15" s="28">
        <v>0</v>
      </c>
      <c r="Q15" s="25">
        <v>0</v>
      </c>
      <c r="R15" s="28">
        <v>0</v>
      </c>
      <c r="S15" s="26">
        <v>0</v>
      </c>
      <c r="T15" s="28">
        <v>0</v>
      </c>
      <c r="U15" s="25">
        <v>5.6</v>
      </c>
      <c r="V15" s="28">
        <v>0</v>
      </c>
      <c r="W15" s="28">
        <v>0</v>
      </c>
      <c r="X15" s="29">
        <v>0</v>
      </c>
      <c r="Y15" s="92">
        <v>410</v>
      </c>
      <c r="Z15" s="94">
        <v>0</v>
      </c>
      <c r="AA15" s="25">
        <v>-6.4</v>
      </c>
      <c r="AB15" s="28">
        <v>0</v>
      </c>
      <c r="AC15" s="25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96">
        <v>369.2</v>
      </c>
      <c r="AJ15" s="28">
        <v>0</v>
      </c>
      <c r="AK15" s="25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</row>
    <row r="16" spans="1:68">
      <c r="A16" s="8"/>
      <c r="B16" s="59">
        <v>5</v>
      </c>
      <c r="C16" s="79">
        <v>127</v>
      </c>
      <c r="D16" s="80">
        <v>835</v>
      </c>
      <c r="E16" s="29">
        <v>16.399999999999999</v>
      </c>
      <c r="F16" s="100">
        <v>0</v>
      </c>
      <c r="G16" s="94">
        <v>0</v>
      </c>
      <c r="H16" s="28">
        <v>0</v>
      </c>
      <c r="I16" s="28">
        <v>0</v>
      </c>
      <c r="J16" s="28">
        <v>0</v>
      </c>
      <c r="K16" s="24">
        <v>15</v>
      </c>
      <c r="L16" s="29">
        <v>0</v>
      </c>
      <c r="M16" s="28">
        <v>2.2999999999999998</v>
      </c>
      <c r="N16" s="28">
        <v>0</v>
      </c>
      <c r="O16" s="28">
        <v>0</v>
      </c>
      <c r="P16" s="28">
        <v>0</v>
      </c>
      <c r="Q16" s="26">
        <v>0</v>
      </c>
      <c r="R16" s="28">
        <v>0</v>
      </c>
      <c r="S16" s="26">
        <v>0</v>
      </c>
      <c r="T16" s="28">
        <v>0</v>
      </c>
      <c r="U16" s="25">
        <v>5.6</v>
      </c>
      <c r="V16" s="28">
        <v>0</v>
      </c>
      <c r="W16" s="28">
        <v>0</v>
      </c>
      <c r="X16" s="29">
        <v>0</v>
      </c>
      <c r="Y16" s="92">
        <v>415</v>
      </c>
      <c r="Z16" s="94">
        <v>0</v>
      </c>
      <c r="AA16" s="25">
        <v>-6.4</v>
      </c>
      <c r="AB16" s="28">
        <v>0</v>
      </c>
      <c r="AC16" s="25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97">
        <v>423.8</v>
      </c>
      <c r="AJ16" s="28">
        <v>0</v>
      </c>
      <c r="AK16" s="25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</row>
    <row r="17" spans="1:68">
      <c r="A17" s="8"/>
      <c r="B17" s="59">
        <v>6</v>
      </c>
      <c r="C17" s="79">
        <v>120</v>
      </c>
      <c r="D17" s="80">
        <v>730</v>
      </c>
      <c r="E17" s="29">
        <v>16.399999999999999</v>
      </c>
      <c r="F17" s="100">
        <v>0</v>
      </c>
      <c r="G17" s="94">
        <v>0</v>
      </c>
      <c r="H17" s="28">
        <v>0</v>
      </c>
      <c r="I17" s="28">
        <v>0</v>
      </c>
      <c r="J17" s="28">
        <v>0</v>
      </c>
      <c r="K17" s="24">
        <v>15</v>
      </c>
      <c r="L17" s="29">
        <v>0</v>
      </c>
      <c r="M17" s="28">
        <v>2.2999999999999998</v>
      </c>
      <c r="N17" s="28">
        <v>0</v>
      </c>
      <c r="O17" s="28">
        <v>0</v>
      </c>
      <c r="P17" s="28">
        <v>0</v>
      </c>
      <c r="Q17" s="26">
        <v>0</v>
      </c>
      <c r="R17" s="28">
        <v>0</v>
      </c>
      <c r="S17" s="26">
        <v>0</v>
      </c>
      <c r="T17" s="28">
        <v>0</v>
      </c>
      <c r="U17" s="25">
        <v>5.6</v>
      </c>
      <c r="V17" s="28">
        <v>0</v>
      </c>
      <c r="W17" s="28">
        <v>0</v>
      </c>
      <c r="X17" s="29">
        <v>0</v>
      </c>
      <c r="Y17" s="93">
        <v>440</v>
      </c>
      <c r="Z17" s="94">
        <v>0</v>
      </c>
      <c r="AA17" s="25">
        <v>-6.4</v>
      </c>
      <c r="AB17" s="28">
        <v>0</v>
      </c>
      <c r="AC17" s="25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97">
        <v>561.6</v>
      </c>
      <c r="AJ17" s="28">
        <v>0</v>
      </c>
      <c r="AK17" s="25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</row>
    <row r="18" spans="1:68">
      <c r="A18" s="8"/>
      <c r="B18" s="59">
        <v>7</v>
      </c>
      <c r="C18" s="79">
        <v>121</v>
      </c>
      <c r="D18" s="80">
        <v>765</v>
      </c>
      <c r="E18" s="29">
        <v>16.399999999999999</v>
      </c>
      <c r="F18" s="100">
        <v>0</v>
      </c>
      <c r="G18" s="94">
        <v>0</v>
      </c>
      <c r="H18" s="28">
        <v>0</v>
      </c>
      <c r="I18" s="28">
        <v>0</v>
      </c>
      <c r="J18" s="28">
        <v>0</v>
      </c>
      <c r="K18" s="24">
        <v>15</v>
      </c>
      <c r="L18" s="29">
        <v>0</v>
      </c>
      <c r="M18" s="28">
        <v>2.2999999999999998</v>
      </c>
      <c r="N18" s="28">
        <v>0</v>
      </c>
      <c r="O18" s="28">
        <v>0</v>
      </c>
      <c r="P18" s="28">
        <v>0</v>
      </c>
      <c r="Q18" s="26">
        <v>0</v>
      </c>
      <c r="R18" s="28">
        <v>0</v>
      </c>
      <c r="S18" s="26">
        <v>0</v>
      </c>
      <c r="T18" s="28">
        <v>0</v>
      </c>
      <c r="U18" s="25">
        <v>5.6</v>
      </c>
      <c r="V18" s="28">
        <v>0</v>
      </c>
      <c r="W18" s="28">
        <v>0</v>
      </c>
      <c r="X18" s="29">
        <v>0</v>
      </c>
      <c r="Y18" s="93">
        <v>425</v>
      </c>
      <c r="Z18" s="94">
        <v>0</v>
      </c>
      <c r="AA18" s="25">
        <v>-6.4</v>
      </c>
      <c r="AB18" s="28">
        <v>0</v>
      </c>
      <c r="AC18" s="25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97">
        <v>470.6</v>
      </c>
      <c r="AJ18" s="28">
        <v>0</v>
      </c>
      <c r="AK18" s="25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</row>
    <row r="19" spans="1:68">
      <c r="A19" s="8"/>
      <c r="B19" s="59">
        <v>8</v>
      </c>
      <c r="C19" s="79">
        <v>105</v>
      </c>
      <c r="D19" s="80">
        <v>672</v>
      </c>
      <c r="E19" s="29">
        <v>16.399999999999999</v>
      </c>
      <c r="F19" s="100">
        <v>0</v>
      </c>
      <c r="G19" s="94">
        <v>0</v>
      </c>
      <c r="H19" s="28">
        <v>0</v>
      </c>
      <c r="I19" s="28">
        <v>0</v>
      </c>
      <c r="J19" s="28">
        <v>0</v>
      </c>
      <c r="K19" s="24">
        <v>15</v>
      </c>
      <c r="L19" s="29">
        <v>0</v>
      </c>
      <c r="M19" s="28">
        <v>2.2999999999999998</v>
      </c>
      <c r="N19" s="28">
        <v>0</v>
      </c>
      <c r="O19" s="28">
        <v>0</v>
      </c>
      <c r="P19" s="28">
        <v>0</v>
      </c>
      <c r="Q19" s="26">
        <v>0</v>
      </c>
      <c r="R19" s="28">
        <v>0</v>
      </c>
      <c r="S19" s="26">
        <v>0</v>
      </c>
      <c r="T19" s="28">
        <v>0</v>
      </c>
      <c r="U19" s="25">
        <v>5.6</v>
      </c>
      <c r="V19" s="28">
        <v>0</v>
      </c>
      <c r="W19" s="28">
        <v>0</v>
      </c>
      <c r="X19" s="29">
        <v>0</v>
      </c>
      <c r="Y19" s="93">
        <v>445</v>
      </c>
      <c r="Z19" s="94">
        <v>0</v>
      </c>
      <c r="AA19" s="25">
        <v>-6.4</v>
      </c>
      <c r="AB19" s="28">
        <v>0</v>
      </c>
      <c r="AC19" s="25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97">
        <v>397.8</v>
      </c>
      <c r="AJ19" s="28">
        <v>0</v>
      </c>
      <c r="AK19" s="25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</row>
    <row r="20" spans="1:68">
      <c r="A20" s="8"/>
      <c r="B20" s="59">
        <v>9</v>
      </c>
      <c r="C20" s="79">
        <v>101</v>
      </c>
      <c r="D20" s="80">
        <v>670</v>
      </c>
      <c r="E20" s="29">
        <v>16.399999999999999</v>
      </c>
      <c r="F20" s="100">
        <v>0</v>
      </c>
      <c r="G20" s="94">
        <v>0</v>
      </c>
      <c r="H20" s="28">
        <v>0</v>
      </c>
      <c r="I20" s="28">
        <v>0</v>
      </c>
      <c r="J20" s="28">
        <v>0</v>
      </c>
      <c r="K20" s="24">
        <v>15</v>
      </c>
      <c r="L20" s="29">
        <v>0</v>
      </c>
      <c r="M20" s="28">
        <v>2.2999999999999998</v>
      </c>
      <c r="N20" s="28">
        <v>0</v>
      </c>
      <c r="O20" s="28">
        <v>0</v>
      </c>
      <c r="P20" s="28">
        <v>0</v>
      </c>
      <c r="Q20" s="26">
        <v>0</v>
      </c>
      <c r="R20" s="28">
        <v>0</v>
      </c>
      <c r="S20" s="26">
        <v>0</v>
      </c>
      <c r="T20" s="28">
        <v>0</v>
      </c>
      <c r="U20" s="25">
        <v>5.6</v>
      </c>
      <c r="V20" s="28">
        <v>0</v>
      </c>
      <c r="W20" s="28">
        <v>0</v>
      </c>
      <c r="X20" s="29">
        <v>0</v>
      </c>
      <c r="Y20" s="93">
        <v>450</v>
      </c>
      <c r="Z20" s="94">
        <v>0</v>
      </c>
      <c r="AA20" s="25">
        <v>-6.4</v>
      </c>
      <c r="AB20" s="28">
        <v>0</v>
      </c>
      <c r="AC20" s="25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97">
        <v>364</v>
      </c>
      <c r="AJ20" s="28">
        <v>0</v>
      </c>
      <c r="AK20" s="25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</row>
    <row r="21" spans="1:68">
      <c r="A21" s="8"/>
      <c r="B21" s="59">
        <v>10</v>
      </c>
      <c r="C21" s="79">
        <v>82</v>
      </c>
      <c r="D21" s="80">
        <v>523</v>
      </c>
      <c r="E21" s="29">
        <v>16.399999999999999</v>
      </c>
      <c r="F21" s="100">
        <v>0</v>
      </c>
      <c r="G21" s="94">
        <v>0</v>
      </c>
      <c r="H21" s="28">
        <v>0</v>
      </c>
      <c r="I21" s="28">
        <v>0</v>
      </c>
      <c r="J21" s="28">
        <v>0</v>
      </c>
      <c r="K21" s="24">
        <v>15</v>
      </c>
      <c r="L21" s="29">
        <v>0</v>
      </c>
      <c r="M21" s="28">
        <v>2.2999999999999998</v>
      </c>
      <c r="N21" s="28">
        <v>0</v>
      </c>
      <c r="O21" s="28">
        <v>0</v>
      </c>
      <c r="P21" s="28">
        <v>0</v>
      </c>
      <c r="Q21" s="26">
        <v>0</v>
      </c>
      <c r="R21" s="28">
        <v>0</v>
      </c>
      <c r="S21" s="26">
        <v>0</v>
      </c>
      <c r="T21" s="28">
        <v>0</v>
      </c>
      <c r="U21" s="25">
        <v>5.6</v>
      </c>
      <c r="V21" s="28">
        <v>0</v>
      </c>
      <c r="W21" s="28">
        <v>0</v>
      </c>
      <c r="X21" s="29">
        <v>0</v>
      </c>
      <c r="Y21" s="93">
        <v>440</v>
      </c>
      <c r="Z21" s="94">
        <v>0</v>
      </c>
      <c r="AA21" s="25">
        <v>-6.4</v>
      </c>
      <c r="AB21" s="28">
        <v>0</v>
      </c>
      <c r="AC21" s="25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97">
        <v>514.79999999999995</v>
      </c>
      <c r="AJ21" s="28">
        <v>0</v>
      </c>
      <c r="AK21" s="25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</row>
    <row r="22" spans="1:68">
      <c r="A22" s="8"/>
      <c r="B22" s="59">
        <v>11</v>
      </c>
      <c r="C22" s="79">
        <v>83</v>
      </c>
      <c r="D22" s="80">
        <v>520</v>
      </c>
      <c r="E22" s="29">
        <v>16.399999999999999</v>
      </c>
      <c r="F22" s="100">
        <v>0</v>
      </c>
      <c r="G22" s="94">
        <v>0</v>
      </c>
      <c r="H22" s="28">
        <v>0</v>
      </c>
      <c r="I22" s="28">
        <v>0</v>
      </c>
      <c r="J22" s="28">
        <v>0</v>
      </c>
      <c r="K22" s="24">
        <v>15</v>
      </c>
      <c r="L22" s="29">
        <v>0</v>
      </c>
      <c r="M22" s="28">
        <v>2.2999999999999998</v>
      </c>
      <c r="N22" s="28">
        <v>0</v>
      </c>
      <c r="O22" s="28">
        <v>0</v>
      </c>
      <c r="P22" s="28">
        <v>0</v>
      </c>
      <c r="Q22" s="26">
        <v>0</v>
      </c>
      <c r="R22" s="28">
        <v>0</v>
      </c>
      <c r="S22" s="26">
        <v>0</v>
      </c>
      <c r="T22" s="28">
        <v>0</v>
      </c>
      <c r="U22" s="25">
        <v>5.6</v>
      </c>
      <c r="V22" s="28">
        <v>0</v>
      </c>
      <c r="W22" s="28">
        <v>0</v>
      </c>
      <c r="X22" s="29">
        <v>0</v>
      </c>
      <c r="Y22" s="93">
        <v>430</v>
      </c>
      <c r="Z22" s="94">
        <v>0</v>
      </c>
      <c r="AA22" s="25">
        <v>-6.4</v>
      </c>
      <c r="AB22" s="28">
        <v>0</v>
      </c>
      <c r="AC22" s="25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97">
        <v>564.20000000000005</v>
      </c>
      <c r="AJ22" s="28">
        <v>0</v>
      </c>
      <c r="AK22" s="25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</row>
    <row r="23" spans="1:68">
      <c r="A23" s="8"/>
      <c r="B23" s="59">
        <v>12</v>
      </c>
      <c r="C23" s="79">
        <v>77</v>
      </c>
      <c r="D23" s="80">
        <v>519</v>
      </c>
      <c r="E23" s="29">
        <v>16.399999999999999</v>
      </c>
      <c r="F23" s="100">
        <v>0</v>
      </c>
      <c r="G23" s="94">
        <v>0</v>
      </c>
      <c r="H23" s="28">
        <v>0</v>
      </c>
      <c r="I23" s="28">
        <v>0</v>
      </c>
      <c r="J23" s="28">
        <v>0</v>
      </c>
      <c r="K23" s="24">
        <v>15</v>
      </c>
      <c r="L23" s="29">
        <v>0</v>
      </c>
      <c r="M23" s="28">
        <v>2.2999999999999998</v>
      </c>
      <c r="N23" s="28">
        <v>0</v>
      </c>
      <c r="O23" s="28">
        <v>0</v>
      </c>
      <c r="P23" s="28">
        <v>0</v>
      </c>
      <c r="Q23" s="26">
        <v>0</v>
      </c>
      <c r="R23" s="28">
        <v>0</v>
      </c>
      <c r="S23" s="26">
        <v>0</v>
      </c>
      <c r="T23" s="28">
        <v>0</v>
      </c>
      <c r="U23" s="25">
        <v>5.6</v>
      </c>
      <c r="V23" s="28">
        <v>0</v>
      </c>
      <c r="W23" s="28">
        <v>0</v>
      </c>
      <c r="X23" s="29">
        <v>0</v>
      </c>
      <c r="Y23" s="93">
        <v>420</v>
      </c>
      <c r="Z23" s="94">
        <v>0</v>
      </c>
      <c r="AA23" s="25">
        <v>-6.4</v>
      </c>
      <c r="AB23" s="28">
        <v>0</v>
      </c>
      <c r="AC23" s="25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97">
        <v>332.8</v>
      </c>
      <c r="AJ23" s="28">
        <v>0</v>
      </c>
      <c r="AK23" s="25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</row>
    <row r="24" spans="1:68">
      <c r="A24" s="8"/>
      <c r="B24" s="59">
        <v>13</v>
      </c>
      <c r="C24" s="79">
        <v>68</v>
      </c>
      <c r="D24" s="80">
        <v>465</v>
      </c>
      <c r="E24" s="29">
        <v>16.399999999999999</v>
      </c>
      <c r="F24" s="100">
        <v>0</v>
      </c>
      <c r="G24" s="94">
        <v>0</v>
      </c>
      <c r="H24" s="28">
        <v>0</v>
      </c>
      <c r="I24" s="28">
        <v>0</v>
      </c>
      <c r="J24" s="28">
        <v>0</v>
      </c>
      <c r="K24" s="24">
        <v>15</v>
      </c>
      <c r="L24" s="29">
        <v>0</v>
      </c>
      <c r="M24" s="28">
        <v>2.2999999999999998</v>
      </c>
      <c r="N24" s="28">
        <v>0</v>
      </c>
      <c r="O24" s="28">
        <v>0</v>
      </c>
      <c r="P24" s="28">
        <v>0</v>
      </c>
      <c r="Q24" s="25">
        <v>0</v>
      </c>
      <c r="R24" s="28">
        <v>0</v>
      </c>
      <c r="S24" s="26">
        <v>0</v>
      </c>
      <c r="T24" s="28">
        <v>0</v>
      </c>
      <c r="U24" s="25">
        <v>5.6</v>
      </c>
      <c r="V24" s="28">
        <v>0</v>
      </c>
      <c r="W24" s="28">
        <v>0</v>
      </c>
      <c r="X24" s="29">
        <v>0</v>
      </c>
      <c r="Y24" s="93">
        <v>405</v>
      </c>
      <c r="Z24" s="94">
        <v>0</v>
      </c>
      <c r="AA24" s="25">
        <v>-6.4</v>
      </c>
      <c r="AB24" s="28">
        <v>0</v>
      </c>
      <c r="AC24" s="25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98">
        <v>330.2</v>
      </c>
      <c r="AJ24" s="28">
        <v>0</v>
      </c>
      <c r="AK24" s="25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</row>
    <row r="25" spans="1:68">
      <c r="A25" s="8"/>
      <c r="B25" s="59">
        <v>14</v>
      </c>
      <c r="C25" s="79">
        <v>61</v>
      </c>
      <c r="D25" s="80">
        <v>410</v>
      </c>
      <c r="E25" s="29">
        <v>16.399999999999999</v>
      </c>
      <c r="F25" s="101">
        <v>0</v>
      </c>
      <c r="G25" s="94">
        <v>0</v>
      </c>
      <c r="H25" s="28">
        <v>0</v>
      </c>
      <c r="I25" s="28">
        <v>0</v>
      </c>
      <c r="J25" s="28">
        <v>0</v>
      </c>
      <c r="K25" s="24">
        <v>15</v>
      </c>
      <c r="L25" s="29">
        <v>0</v>
      </c>
      <c r="M25" s="28">
        <v>2.2999999999999998</v>
      </c>
      <c r="N25" s="28">
        <v>0</v>
      </c>
      <c r="O25" s="28">
        <v>0</v>
      </c>
      <c r="P25" s="28">
        <v>0</v>
      </c>
      <c r="Q25" s="26">
        <v>0</v>
      </c>
      <c r="R25" s="28">
        <v>0</v>
      </c>
      <c r="S25" s="26">
        <v>0</v>
      </c>
      <c r="T25" s="28">
        <v>0</v>
      </c>
      <c r="U25" s="25">
        <v>5.6</v>
      </c>
      <c r="V25" s="28">
        <v>0</v>
      </c>
      <c r="W25" s="28">
        <v>0</v>
      </c>
      <c r="X25" s="29">
        <v>0</v>
      </c>
      <c r="Y25" s="93">
        <v>460</v>
      </c>
      <c r="Z25" s="94">
        <v>0</v>
      </c>
      <c r="AA25" s="25">
        <v>-6.4</v>
      </c>
      <c r="AB25" s="28">
        <v>0</v>
      </c>
      <c r="AC25" s="25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98">
        <v>509.6</v>
      </c>
      <c r="AJ25" s="28">
        <v>0</v>
      </c>
      <c r="AK25" s="25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</row>
    <row r="26" spans="1:68">
      <c r="A26" s="8"/>
      <c r="B26" s="59">
        <v>15</v>
      </c>
      <c r="C26" s="79">
        <v>57</v>
      </c>
      <c r="D26" s="80">
        <v>385</v>
      </c>
      <c r="E26" s="29">
        <v>16.399999999999999</v>
      </c>
      <c r="F26" s="28">
        <v>0</v>
      </c>
      <c r="G26" s="94">
        <v>0</v>
      </c>
      <c r="H26" s="28">
        <v>0</v>
      </c>
      <c r="I26" s="28">
        <v>0</v>
      </c>
      <c r="J26" s="28">
        <v>0</v>
      </c>
      <c r="K26" s="24">
        <v>15</v>
      </c>
      <c r="L26" s="29">
        <v>0</v>
      </c>
      <c r="M26" s="28">
        <v>2.2999999999999998</v>
      </c>
      <c r="N26" s="28">
        <v>0</v>
      </c>
      <c r="O26" s="28">
        <v>0</v>
      </c>
      <c r="P26" s="28">
        <v>0</v>
      </c>
      <c r="Q26" s="25">
        <v>0</v>
      </c>
      <c r="R26" s="28">
        <v>0</v>
      </c>
      <c r="S26" s="26">
        <v>0</v>
      </c>
      <c r="T26" s="28">
        <v>0</v>
      </c>
      <c r="U26" s="25">
        <v>5.6</v>
      </c>
      <c r="V26" s="28">
        <v>0</v>
      </c>
      <c r="W26" s="28">
        <v>0</v>
      </c>
      <c r="X26" s="29">
        <v>0</v>
      </c>
      <c r="Y26" s="93">
        <v>420</v>
      </c>
      <c r="Z26" s="94">
        <v>0</v>
      </c>
      <c r="AA26" s="25">
        <v>-6.4</v>
      </c>
      <c r="AB26" s="28">
        <v>0</v>
      </c>
      <c r="AC26" s="25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98">
        <v>522.6</v>
      </c>
      <c r="AJ26" s="28">
        <v>0</v>
      </c>
      <c r="AK26" s="25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</row>
    <row r="27" spans="1:68">
      <c r="A27" s="8"/>
      <c r="B27" s="59">
        <v>16</v>
      </c>
      <c r="C27" s="79">
        <v>63</v>
      </c>
      <c r="D27" s="80">
        <v>345</v>
      </c>
      <c r="E27" s="29">
        <v>16.399999999999999</v>
      </c>
      <c r="F27" s="28">
        <v>0</v>
      </c>
      <c r="G27" s="94">
        <v>0</v>
      </c>
      <c r="H27" s="28">
        <v>0</v>
      </c>
      <c r="I27" s="28">
        <v>0</v>
      </c>
      <c r="J27" s="28">
        <v>0</v>
      </c>
      <c r="K27" s="24">
        <v>15</v>
      </c>
      <c r="L27" s="29">
        <v>0</v>
      </c>
      <c r="M27" s="28">
        <v>2.2999999999999998</v>
      </c>
      <c r="N27" s="28">
        <v>0</v>
      </c>
      <c r="O27" s="28">
        <v>0</v>
      </c>
      <c r="P27" s="28">
        <v>0</v>
      </c>
      <c r="Q27" s="25">
        <v>0</v>
      </c>
      <c r="R27" s="28">
        <v>0</v>
      </c>
      <c r="S27" s="26">
        <v>0</v>
      </c>
      <c r="T27" s="28">
        <v>0</v>
      </c>
      <c r="U27" s="25">
        <v>5.6</v>
      </c>
      <c r="V27" s="28">
        <v>0</v>
      </c>
      <c r="W27" s="28">
        <v>0</v>
      </c>
      <c r="X27" s="29">
        <v>0</v>
      </c>
      <c r="Y27" s="93">
        <v>455</v>
      </c>
      <c r="Z27" s="94">
        <v>0</v>
      </c>
      <c r="AA27" s="25">
        <v>-6.4</v>
      </c>
      <c r="AB27" s="28">
        <v>0</v>
      </c>
      <c r="AC27" s="25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98">
        <v>283.39999999999998</v>
      </c>
      <c r="AJ27" s="28">
        <v>0</v>
      </c>
      <c r="AK27" s="25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</row>
    <row r="28" spans="1:68">
      <c r="A28" s="8"/>
      <c r="B28" s="59">
        <v>17</v>
      </c>
      <c r="C28" s="79">
        <v>54</v>
      </c>
      <c r="D28" s="80">
        <v>420</v>
      </c>
      <c r="E28" s="29">
        <v>16.399999999999999</v>
      </c>
      <c r="F28" s="28">
        <v>0</v>
      </c>
      <c r="G28" s="94">
        <v>0</v>
      </c>
      <c r="H28" s="28">
        <v>0</v>
      </c>
      <c r="I28" s="28">
        <v>0</v>
      </c>
      <c r="J28" s="28">
        <v>0</v>
      </c>
      <c r="K28" s="24">
        <v>15</v>
      </c>
      <c r="L28" s="29">
        <v>0</v>
      </c>
      <c r="M28" s="28">
        <v>2.2999999999999998</v>
      </c>
      <c r="N28" s="28">
        <v>0</v>
      </c>
      <c r="O28" s="28">
        <v>0</v>
      </c>
      <c r="P28" s="28">
        <v>0</v>
      </c>
      <c r="Q28" s="25">
        <v>0</v>
      </c>
      <c r="R28" s="28">
        <v>0</v>
      </c>
      <c r="S28" s="26">
        <v>0</v>
      </c>
      <c r="T28" s="28">
        <v>0</v>
      </c>
      <c r="U28" s="25">
        <v>5.6</v>
      </c>
      <c r="V28" s="28">
        <v>0</v>
      </c>
      <c r="W28" s="28">
        <v>0</v>
      </c>
      <c r="X28" s="29">
        <v>0</v>
      </c>
      <c r="Y28" s="93">
        <v>410</v>
      </c>
      <c r="Z28" s="94">
        <v>0</v>
      </c>
      <c r="AA28" s="25">
        <v>-6.4</v>
      </c>
      <c r="AB28" s="28">
        <v>0</v>
      </c>
      <c r="AC28" s="25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99">
        <v>377</v>
      </c>
      <c r="AJ28" s="28">
        <v>0</v>
      </c>
      <c r="AK28" s="25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</row>
    <row r="29" spans="1:68">
      <c r="A29" s="8"/>
      <c r="B29" s="59">
        <v>18</v>
      </c>
      <c r="C29" s="79">
        <v>61</v>
      </c>
      <c r="D29" s="80">
        <v>357</v>
      </c>
      <c r="E29" s="29">
        <v>16.399999999999999</v>
      </c>
      <c r="F29" s="28">
        <v>0</v>
      </c>
      <c r="G29" s="94">
        <v>0</v>
      </c>
      <c r="H29" s="28">
        <v>0</v>
      </c>
      <c r="I29" s="28">
        <v>0</v>
      </c>
      <c r="J29" s="28">
        <v>0</v>
      </c>
      <c r="K29" s="24">
        <v>15</v>
      </c>
      <c r="L29" s="29">
        <v>0</v>
      </c>
      <c r="M29" s="28">
        <v>2.2999999999999998</v>
      </c>
      <c r="N29" s="28">
        <v>0</v>
      </c>
      <c r="O29" s="28">
        <v>0</v>
      </c>
      <c r="P29" s="28">
        <v>0</v>
      </c>
      <c r="Q29" s="26">
        <v>0</v>
      </c>
      <c r="R29" s="28">
        <v>0</v>
      </c>
      <c r="S29" s="26">
        <v>0</v>
      </c>
      <c r="T29" s="28">
        <v>0</v>
      </c>
      <c r="U29" s="25">
        <v>5.6</v>
      </c>
      <c r="V29" s="28">
        <v>0</v>
      </c>
      <c r="W29" s="28">
        <v>0</v>
      </c>
      <c r="X29" s="29">
        <v>0</v>
      </c>
      <c r="Y29" s="93">
        <v>420</v>
      </c>
      <c r="Z29" s="94">
        <v>0</v>
      </c>
      <c r="AA29" s="25">
        <v>-6.4</v>
      </c>
      <c r="AB29" s="28">
        <v>0</v>
      </c>
      <c r="AC29" s="25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99">
        <v>332.8</v>
      </c>
      <c r="AJ29" s="28">
        <v>0</v>
      </c>
      <c r="AK29" s="25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</row>
    <row r="30" spans="1:68">
      <c r="A30" s="8"/>
      <c r="B30" s="59">
        <v>19</v>
      </c>
      <c r="C30" s="79">
        <v>67</v>
      </c>
      <c r="D30" s="80">
        <v>388</v>
      </c>
      <c r="E30" s="29">
        <v>16.399999999999999</v>
      </c>
      <c r="F30" s="28">
        <v>-261300</v>
      </c>
      <c r="G30" s="94">
        <v>0</v>
      </c>
      <c r="H30" s="28">
        <v>0</v>
      </c>
      <c r="I30" s="28">
        <v>0</v>
      </c>
      <c r="J30" s="28">
        <v>0</v>
      </c>
      <c r="K30" s="24">
        <v>15</v>
      </c>
      <c r="L30" s="29">
        <v>-10000</v>
      </c>
      <c r="M30" s="28">
        <v>2.2999999999999998</v>
      </c>
      <c r="N30" s="28">
        <v>-18000</v>
      </c>
      <c r="O30" s="28">
        <v>0</v>
      </c>
      <c r="P30" s="28">
        <v>0</v>
      </c>
      <c r="Q30" s="25">
        <v>0</v>
      </c>
      <c r="R30" s="28">
        <v>0</v>
      </c>
      <c r="S30" s="26">
        <v>0</v>
      </c>
      <c r="T30" s="28">
        <v>0</v>
      </c>
      <c r="U30" s="25">
        <v>5.6</v>
      </c>
      <c r="V30" s="28">
        <v>-120225</v>
      </c>
      <c r="W30" s="28">
        <v>0</v>
      </c>
      <c r="X30" s="29">
        <v>0</v>
      </c>
      <c r="Y30" s="93">
        <v>445</v>
      </c>
      <c r="Z30" s="94">
        <v>0</v>
      </c>
      <c r="AA30" s="25">
        <v>-6.4</v>
      </c>
      <c r="AB30" s="28">
        <v>0</v>
      </c>
      <c r="AC30" s="25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99">
        <v>621.4</v>
      </c>
      <c r="AJ30" s="28">
        <v>0</v>
      </c>
      <c r="AK30" s="25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</row>
    <row r="31" spans="1:68">
      <c r="A31" s="8"/>
      <c r="B31" s="59">
        <v>20</v>
      </c>
      <c r="C31" s="79">
        <v>65</v>
      </c>
      <c r="D31" s="80">
        <v>416</v>
      </c>
      <c r="E31" s="29">
        <v>16.399999999999999</v>
      </c>
      <c r="F31" s="28">
        <v>0</v>
      </c>
      <c r="G31" s="94">
        <v>0</v>
      </c>
      <c r="H31" s="28">
        <v>0</v>
      </c>
      <c r="I31" s="28">
        <v>0</v>
      </c>
      <c r="J31" s="28">
        <v>0</v>
      </c>
      <c r="K31" s="24">
        <v>15</v>
      </c>
      <c r="L31" s="29">
        <v>0</v>
      </c>
      <c r="M31" s="28">
        <v>2.2999999999999998</v>
      </c>
      <c r="N31" s="28">
        <v>0</v>
      </c>
      <c r="O31" s="28">
        <v>0</v>
      </c>
      <c r="P31" s="28">
        <v>0</v>
      </c>
      <c r="Q31" s="25">
        <v>0</v>
      </c>
      <c r="R31" s="28">
        <v>0</v>
      </c>
      <c r="S31" s="26">
        <v>0</v>
      </c>
      <c r="T31" s="28">
        <v>0</v>
      </c>
      <c r="U31" s="25">
        <v>5.6</v>
      </c>
      <c r="V31" s="28">
        <v>0</v>
      </c>
      <c r="W31" s="28">
        <v>0</v>
      </c>
      <c r="X31" s="29">
        <v>0</v>
      </c>
      <c r="Y31" s="93">
        <v>420</v>
      </c>
      <c r="Z31" s="94">
        <v>0</v>
      </c>
      <c r="AA31" s="25">
        <v>-6.4</v>
      </c>
      <c r="AB31" s="28">
        <v>0</v>
      </c>
      <c r="AC31" s="25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99">
        <v>468</v>
      </c>
      <c r="AJ31" s="28">
        <v>0</v>
      </c>
      <c r="AK31" s="25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</row>
    <row r="32" spans="1:68">
      <c r="A32" s="8"/>
      <c r="B32" s="59">
        <v>21</v>
      </c>
      <c r="C32" s="79">
        <v>85</v>
      </c>
      <c r="D32" s="80">
        <v>546</v>
      </c>
      <c r="E32" s="29">
        <v>16.399999999999999</v>
      </c>
      <c r="F32" s="28">
        <v>0</v>
      </c>
      <c r="G32" s="94">
        <v>0</v>
      </c>
      <c r="H32" s="28">
        <v>0</v>
      </c>
      <c r="I32" s="28">
        <v>0</v>
      </c>
      <c r="J32" s="28">
        <v>0</v>
      </c>
      <c r="K32" s="24">
        <v>15</v>
      </c>
      <c r="L32" s="29">
        <v>0</v>
      </c>
      <c r="M32" s="28">
        <v>2.2999999999999998</v>
      </c>
      <c r="N32" s="28">
        <v>0</v>
      </c>
      <c r="O32" s="28">
        <v>0</v>
      </c>
      <c r="P32" s="28">
        <v>0</v>
      </c>
      <c r="Q32" s="25">
        <v>0</v>
      </c>
      <c r="R32" s="28">
        <v>0</v>
      </c>
      <c r="S32" s="26">
        <v>0</v>
      </c>
      <c r="T32" s="28">
        <v>0</v>
      </c>
      <c r="U32" s="25">
        <v>5.6</v>
      </c>
      <c r="V32" s="28">
        <v>0</v>
      </c>
      <c r="W32" s="28">
        <v>0</v>
      </c>
      <c r="X32" s="28">
        <v>0</v>
      </c>
      <c r="Y32" s="87">
        <v>430</v>
      </c>
      <c r="Z32" s="28">
        <v>0</v>
      </c>
      <c r="AA32" s="25">
        <v>-6.4</v>
      </c>
      <c r="AB32" s="28">
        <v>0</v>
      </c>
      <c r="AC32" s="25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99">
        <v>340.6</v>
      </c>
      <c r="AJ32" s="28">
        <v>0</v>
      </c>
      <c r="AK32" s="25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</row>
    <row r="33" spans="1:68">
      <c r="A33" s="8"/>
      <c r="B33" s="59">
        <v>22</v>
      </c>
      <c r="C33" s="79">
        <v>83</v>
      </c>
      <c r="D33" s="80">
        <v>598</v>
      </c>
      <c r="E33" s="29">
        <v>16.399999999999999</v>
      </c>
      <c r="F33" s="28">
        <v>0</v>
      </c>
      <c r="G33" s="94">
        <v>0</v>
      </c>
      <c r="H33" s="28">
        <v>0</v>
      </c>
      <c r="I33" s="28">
        <v>0</v>
      </c>
      <c r="J33" s="28">
        <v>0</v>
      </c>
      <c r="K33" s="24">
        <v>15</v>
      </c>
      <c r="L33" s="29">
        <v>0</v>
      </c>
      <c r="M33" s="28">
        <v>2.2999999999999998</v>
      </c>
      <c r="N33" s="28">
        <v>0</v>
      </c>
      <c r="O33" s="28">
        <v>0</v>
      </c>
      <c r="P33" s="28">
        <v>0</v>
      </c>
      <c r="Q33" s="25">
        <v>0</v>
      </c>
      <c r="R33" s="28">
        <v>0</v>
      </c>
      <c r="S33" s="26">
        <v>0</v>
      </c>
      <c r="T33" s="28">
        <v>0</v>
      </c>
      <c r="U33" s="25">
        <v>5.6</v>
      </c>
      <c r="V33" s="28">
        <v>0</v>
      </c>
      <c r="W33" s="28">
        <v>0</v>
      </c>
      <c r="X33" s="28">
        <v>0</v>
      </c>
      <c r="Y33" s="88">
        <v>405</v>
      </c>
      <c r="Z33" s="28">
        <v>0</v>
      </c>
      <c r="AA33" s="25">
        <v>-6.4</v>
      </c>
      <c r="AB33" s="28">
        <v>0</v>
      </c>
      <c r="AC33" s="25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99">
        <v>384.8</v>
      </c>
      <c r="AJ33" s="28">
        <v>0</v>
      </c>
      <c r="AK33" s="25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</row>
    <row r="34" spans="1:68">
      <c r="A34" s="8"/>
      <c r="B34" s="59">
        <v>23</v>
      </c>
      <c r="C34" s="79">
        <v>91</v>
      </c>
      <c r="D34" s="80">
        <v>521</v>
      </c>
      <c r="E34" s="29">
        <v>16.399999999999999</v>
      </c>
      <c r="F34" s="28">
        <v>0</v>
      </c>
      <c r="G34" s="94">
        <v>0</v>
      </c>
      <c r="H34" s="28">
        <v>0</v>
      </c>
      <c r="I34" s="28">
        <v>0</v>
      </c>
      <c r="J34" s="28">
        <v>0</v>
      </c>
      <c r="K34" s="24">
        <v>15</v>
      </c>
      <c r="L34" s="29">
        <v>0</v>
      </c>
      <c r="M34" s="28">
        <v>2.2999999999999998</v>
      </c>
      <c r="N34" s="28">
        <v>0</v>
      </c>
      <c r="O34" s="28">
        <v>0</v>
      </c>
      <c r="P34" s="28">
        <v>0</v>
      </c>
      <c r="Q34" s="25">
        <v>0</v>
      </c>
      <c r="R34" s="28">
        <v>0</v>
      </c>
      <c r="S34" s="26">
        <v>0</v>
      </c>
      <c r="T34" s="28">
        <v>0</v>
      </c>
      <c r="U34" s="25">
        <v>5.6</v>
      </c>
      <c r="V34" s="28">
        <v>0</v>
      </c>
      <c r="W34" s="28">
        <v>0</v>
      </c>
      <c r="X34" s="28">
        <v>0</v>
      </c>
      <c r="Y34" s="88">
        <v>435</v>
      </c>
      <c r="Z34" s="28">
        <v>0</v>
      </c>
      <c r="AA34" s="25">
        <v>-6.4</v>
      </c>
      <c r="AB34" s="28">
        <v>0</v>
      </c>
      <c r="AC34" s="25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99">
        <v>319.8</v>
      </c>
      <c r="AJ34" s="28">
        <v>0</v>
      </c>
      <c r="AK34" s="25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</row>
    <row r="35" spans="1:68">
      <c r="A35" s="8"/>
      <c r="B35" s="59">
        <v>24</v>
      </c>
      <c r="C35" s="79">
        <v>92</v>
      </c>
      <c r="D35" s="80">
        <v>517</v>
      </c>
      <c r="E35" s="29">
        <v>16.399999999999999</v>
      </c>
      <c r="F35" s="28">
        <v>0</v>
      </c>
      <c r="G35" s="94">
        <v>0</v>
      </c>
      <c r="H35" s="28">
        <v>0</v>
      </c>
      <c r="I35" s="28">
        <v>0</v>
      </c>
      <c r="J35" s="28">
        <v>0</v>
      </c>
      <c r="K35" s="24">
        <v>15</v>
      </c>
      <c r="L35" s="29">
        <v>-25900</v>
      </c>
      <c r="M35" s="28">
        <v>2.2999999999999998</v>
      </c>
      <c r="N35" s="28">
        <v>0</v>
      </c>
      <c r="O35" s="28">
        <v>0</v>
      </c>
      <c r="P35" s="28">
        <v>0</v>
      </c>
      <c r="Q35" s="26">
        <v>0</v>
      </c>
      <c r="R35" s="28">
        <v>0</v>
      </c>
      <c r="S35" s="26">
        <v>0</v>
      </c>
      <c r="T35" s="28">
        <v>0</v>
      </c>
      <c r="U35" s="25">
        <v>5.6</v>
      </c>
      <c r="V35" s="28">
        <v>0</v>
      </c>
      <c r="W35" s="28">
        <v>0</v>
      </c>
      <c r="X35" s="28">
        <v>0</v>
      </c>
      <c r="Y35" s="88">
        <v>425</v>
      </c>
      <c r="Z35" s="28">
        <v>0</v>
      </c>
      <c r="AA35" s="25">
        <v>-6.4</v>
      </c>
      <c r="AB35" s="28">
        <v>0</v>
      </c>
      <c r="AC35" s="25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99">
        <v>314.60000000000002</v>
      </c>
      <c r="AJ35" s="28">
        <v>0</v>
      </c>
      <c r="AK35" s="25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</row>
    <row r="36" spans="1:68">
      <c r="A36" s="8"/>
      <c r="B36" s="59">
        <v>25</v>
      </c>
      <c r="C36" s="79">
        <v>84</v>
      </c>
      <c r="D36" s="80">
        <v>462</v>
      </c>
      <c r="E36" s="29">
        <v>16.399999999999999</v>
      </c>
      <c r="F36" s="28">
        <v>0</v>
      </c>
      <c r="G36" s="94">
        <v>0</v>
      </c>
      <c r="H36" s="28">
        <v>0</v>
      </c>
      <c r="I36" s="28">
        <v>0</v>
      </c>
      <c r="J36" s="28">
        <v>0</v>
      </c>
      <c r="K36" s="24">
        <v>15</v>
      </c>
      <c r="L36" s="29">
        <v>0</v>
      </c>
      <c r="M36" s="28">
        <v>2.2999999999999998</v>
      </c>
      <c r="N36" s="28">
        <v>0</v>
      </c>
      <c r="O36" s="28">
        <v>0</v>
      </c>
      <c r="P36" s="28">
        <v>0</v>
      </c>
      <c r="Q36" s="26">
        <v>0</v>
      </c>
      <c r="R36" s="28">
        <v>0</v>
      </c>
      <c r="S36" s="26">
        <v>0</v>
      </c>
      <c r="T36" s="28">
        <v>0</v>
      </c>
      <c r="U36" s="25">
        <v>5.6</v>
      </c>
      <c r="V36" s="28">
        <v>0</v>
      </c>
      <c r="W36" s="28">
        <v>0</v>
      </c>
      <c r="X36" s="28">
        <v>0</v>
      </c>
      <c r="Y36" s="88">
        <v>430</v>
      </c>
      <c r="Z36" s="28">
        <v>0</v>
      </c>
      <c r="AA36" s="25">
        <v>-6.4</v>
      </c>
      <c r="AB36" s="28">
        <v>0</v>
      </c>
      <c r="AC36" s="25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99">
        <v>327.60000000000002</v>
      </c>
      <c r="AJ36" s="28">
        <v>0</v>
      </c>
      <c r="AK36" s="25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</row>
    <row r="37" spans="1:68">
      <c r="A37" s="8"/>
      <c r="B37" s="59">
        <v>26</v>
      </c>
      <c r="C37" s="79">
        <v>77</v>
      </c>
      <c r="D37" s="80">
        <v>473</v>
      </c>
      <c r="E37" s="29">
        <v>16.399999999999999</v>
      </c>
      <c r="F37" s="28">
        <v>0</v>
      </c>
      <c r="G37" s="94">
        <v>0</v>
      </c>
      <c r="H37" s="28">
        <v>0</v>
      </c>
      <c r="I37" s="28">
        <v>0</v>
      </c>
      <c r="J37" s="28">
        <v>0</v>
      </c>
      <c r="K37" s="24">
        <v>15</v>
      </c>
      <c r="L37" s="29">
        <v>0</v>
      </c>
      <c r="M37" s="28">
        <v>2.2999999999999998</v>
      </c>
      <c r="N37" s="28">
        <v>0</v>
      </c>
      <c r="O37" s="28">
        <v>0</v>
      </c>
      <c r="P37" s="28">
        <v>0</v>
      </c>
      <c r="Q37" s="26">
        <v>0</v>
      </c>
      <c r="R37" s="28">
        <v>0</v>
      </c>
      <c r="S37" s="26">
        <v>0</v>
      </c>
      <c r="T37" s="28">
        <v>0</v>
      </c>
      <c r="U37" s="25">
        <v>5.6</v>
      </c>
      <c r="V37" s="28">
        <v>0</v>
      </c>
      <c r="W37" s="28">
        <v>0</v>
      </c>
      <c r="X37" s="28">
        <v>0</v>
      </c>
      <c r="Y37" s="86">
        <v>440</v>
      </c>
      <c r="Z37" s="28">
        <v>0</v>
      </c>
      <c r="AA37" s="25">
        <v>-6.4</v>
      </c>
      <c r="AB37" s="28">
        <v>0</v>
      </c>
      <c r="AC37" s="25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99">
        <v>283.39999999999998</v>
      </c>
      <c r="AJ37" s="28">
        <v>0</v>
      </c>
      <c r="AK37" s="25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</row>
    <row r="38" spans="1:68">
      <c r="A38" s="8"/>
      <c r="B38" s="59">
        <v>27</v>
      </c>
      <c r="C38" s="79">
        <v>86</v>
      </c>
      <c r="D38" s="80">
        <v>492</v>
      </c>
      <c r="E38" s="29">
        <v>16.399999999999999</v>
      </c>
      <c r="F38" s="28">
        <v>0</v>
      </c>
      <c r="G38" s="94">
        <v>0</v>
      </c>
      <c r="H38" s="28">
        <v>0</v>
      </c>
      <c r="I38" s="28">
        <v>0</v>
      </c>
      <c r="J38" s="28">
        <v>0</v>
      </c>
      <c r="K38" s="24">
        <v>15</v>
      </c>
      <c r="L38" s="29">
        <v>0</v>
      </c>
      <c r="M38" s="28">
        <v>2.2999999999999998</v>
      </c>
      <c r="N38" s="28">
        <v>0</v>
      </c>
      <c r="O38" s="28">
        <v>0</v>
      </c>
      <c r="P38" s="28">
        <v>0</v>
      </c>
      <c r="Q38" s="26">
        <v>0</v>
      </c>
      <c r="R38" s="28">
        <v>0</v>
      </c>
      <c r="S38" s="26">
        <v>0</v>
      </c>
      <c r="T38" s="28">
        <v>0</v>
      </c>
      <c r="U38" s="25">
        <v>5.6</v>
      </c>
      <c r="V38" s="28">
        <v>0</v>
      </c>
      <c r="W38" s="28">
        <v>0</v>
      </c>
      <c r="X38" s="28">
        <v>0</v>
      </c>
      <c r="Y38" s="86">
        <v>425</v>
      </c>
      <c r="Z38" s="28">
        <v>0</v>
      </c>
      <c r="AA38" s="25">
        <v>-6.4</v>
      </c>
      <c r="AB38" s="28">
        <v>0</v>
      </c>
      <c r="AC38" s="25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99">
        <v>265.2</v>
      </c>
      <c r="AJ38" s="28">
        <v>0</v>
      </c>
      <c r="AK38" s="25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</row>
    <row r="39" spans="1:68">
      <c r="A39" s="8"/>
      <c r="B39" s="59">
        <v>28</v>
      </c>
      <c r="C39" s="79">
        <v>76</v>
      </c>
      <c r="D39" s="80">
        <v>517</v>
      </c>
      <c r="E39" s="29">
        <v>16.399999999999999</v>
      </c>
      <c r="F39" s="28">
        <v>0</v>
      </c>
      <c r="G39" s="94">
        <v>0</v>
      </c>
      <c r="H39" s="28">
        <v>0</v>
      </c>
      <c r="I39" s="28">
        <v>0</v>
      </c>
      <c r="J39" s="28">
        <v>0</v>
      </c>
      <c r="K39" s="24">
        <v>15</v>
      </c>
      <c r="L39" s="29">
        <v>0</v>
      </c>
      <c r="M39" s="28">
        <v>2.2999999999999998</v>
      </c>
      <c r="N39" s="28">
        <v>0</v>
      </c>
      <c r="O39" s="28">
        <v>0</v>
      </c>
      <c r="P39" s="28">
        <v>0</v>
      </c>
      <c r="Q39" s="26">
        <v>0</v>
      </c>
      <c r="R39" s="28">
        <v>0</v>
      </c>
      <c r="S39" s="26">
        <v>0</v>
      </c>
      <c r="T39" s="28">
        <v>0</v>
      </c>
      <c r="U39" s="25">
        <v>5.6</v>
      </c>
      <c r="V39" s="28">
        <v>0</v>
      </c>
      <c r="W39" s="28">
        <v>0</v>
      </c>
      <c r="X39" s="28">
        <v>0</v>
      </c>
      <c r="Y39" s="86">
        <v>430</v>
      </c>
      <c r="Z39" s="28">
        <v>0</v>
      </c>
      <c r="AA39" s="25">
        <v>-6.4</v>
      </c>
      <c r="AB39" s="28">
        <v>0</v>
      </c>
      <c r="AC39" s="25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99">
        <v>754</v>
      </c>
      <c r="AJ39" s="28">
        <v>0</v>
      </c>
      <c r="AK39" s="25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</row>
    <row r="40" spans="1:68">
      <c r="A40" s="8"/>
      <c r="B40" s="59">
        <v>29</v>
      </c>
      <c r="C40" s="79">
        <v>58</v>
      </c>
      <c r="D40" s="80">
        <v>463</v>
      </c>
      <c r="E40" s="29">
        <v>16.399999999999999</v>
      </c>
      <c r="F40" s="28">
        <v>0</v>
      </c>
      <c r="G40" s="94">
        <v>0</v>
      </c>
      <c r="H40" s="28">
        <v>0</v>
      </c>
      <c r="I40" s="28">
        <v>0</v>
      </c>
      <c r="J40" s="28">
        <v>0</v>
      </c>
      <c r="K40" s="24">
        <v>15</v>
      </c>
      <c r="L40" s="29">
        <v>0</v>
      </c>
      <c r="M40" s="28">
        <v>2.2999999999999998</v>
      </c>
      <c r="N40" s="28">
        <v>0</v>
      </c>
      <c r="O40" s="28">
        <v>0</v>
      </c>
      <c r="P40" s="28">
        <v>0</v>
      </c>
      <c r="Q40" s="26">
        <v>0</v>
      </c>
      <c r="R40" s="28">
        <v>0</v>
      </c>
      <c r="S40" s="26">
        <v>0</v>
      </c>
      <c r="T40" s="28">
        <v>0</v>
      </c>
      <c r="U40" s="25">
        <v>5.6</v>
      </c>
      <c r="V40" s="28">
        <v>0</v>
      </c>
      <c r="W40" s="28">
        <v>0</v>
      </c>
      <c r="X40" s="28">
        <v>0</v>
      </c>
      <c r="Y40" s="86">
        <v>460</v>
      </c>
      <c r="Z40" s="28">
        <v>0</v>
      </c>
      <c r="AA40" s="25">
        <v>-6.4</v>
      </c>
      <c r="AB40" s="28">
        <v>0</v>
      </c>
      <c r="AC40" s="25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99">
        <v>413.4</v>
      </c>
      <c r="AJ40" s="28">
        <v>0</v>
      </c>
      <c r="AK40" s="25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</row>
    <row r="41" spans="1:68" ht="17.25" customHeight="1">
      <c r="A41" s="8"/>
      <c r="B41" s="59">
        <v>30</v>
      </c>
      <c r="C41" s="79">
        <v>59</v>
      </c>
      <c r="D41" s="80">
        <v>335</v>
      </c>
      <c r="E41" s="29">
        <v>16.399999999999999</v>
      </c>
      <c r="F41" s="28">
        <v>0</v>
      </c>
      <c r="G41" s="94">
        <v>0</v>
      </c>
      <c r="H41" s="28">
        <v>0</v>
      </c>
      <c r="I41" s="28">
        <v>0</v>
      </c>
      <c r="J41" s="28">
        <v>0</v>
      </c>
      <c r="K41" s="24">
        <v>15</v>
      </c>
      <c r="L41" s="29">
        <v>0</v>
      </c>
      <c r="M41" s="28">
        <v>2.2999999999999998</v>
      </c>
      <c r="N41" s="28">
        <v>0</v>
      </c>
      <c r="O41" s="28">
        <v>0</v>
      </c>
      <c r="P41" s="28">
        <v>0</v>
      </c>
      <c r="Q41" s="26">
        <v>0</v>
      </c>
      <c r="R41" s="28">
        <v>0</v>
      </c>
      <c r="S41" s="26">
        <v>0</v>
      </c>
      <c r="T41" s="28">
        <v>0</v>
      </c>
      <c r="U41" s="25">
        <v>5.6</v>
      </c>
      <c r="V41" s="28">
        <v>0</v>
      </c>
      <c r="W41" s="28">
        <v>0</v>
      </c>
      <c r="X41" s="28">
        <v>0</v>
      </c>
      <c r="Y41" s="86">
        <v>400</v>
      </c>
      <c r="Z41" s="28">
        <v>0</v>
      </c>
      <c r="AA41" s="25">
        <v>-6.4</v>
      </c>
      <c r="AB41" s="28">
        <v>0</v>
      </c>
      <c r="AC41" s="25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99">
        <v>392.6</v>
      </c>
      <c r="AJ41" s="28">
        <v>0</v>
      </c>
      <c r="AK41" s="25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</row>
    <row r="42" spans="1:68">
      <c r="A42" s="8"/>
      <c r="B42" s="60">
        <v>31</v>
      </c>
      <c r="C42" s="79">
        <v>51</v>
      </c>
      <c r="D42" s="80">
        <v>246</v>
      </c>
      <c r="E42" s="29">
        <v>17</v>
      </c>
      <c r="F42" s="34">
        <v>-225500</v>
      </c>
      <c r="G42" s="94">
        <v>0</v>
      </c>
      <c r="H42" s="34">
        <v>0</v>
      </c>
      <c r="I42" s="28">
        <v>0</v>
      </c>
      <c r="J42" s="34">
        <v>0</v>
      </c>
      <c r="K42" s="24">
        <v>15</v>
      </c>
      <c r="L42" s="35">
        <v>0</v>
      </c>
      <c r="M42" s="28">
        <v>4</v>
      </c>
      <c r="N42" s="34">
        <v>-69600</v>
      </c>
      <c r="O42" s="34">
        <v>0</v>
      </c>
      <c r="P42" s="34">
        <v>0</v>
      </c>
      <c r="Q42" s="27">
        <v>0</v>
      </c>
      <c r="R42" s="34">
        <v>0</v>
      </c>
      <c r="S42" s="26">
        <v>0</v>
      </c>
      <c r="T42" s="34">
        <v>0</v>
      </c>
      <c r="U42" s="25">
        <v>7</v>
      </c>
      <c r="V42" s="34">
        <v>-50450</v>
      </c>
      <c r="W42" s="34">
        <v>0</v>
      </c>
      <c r="X42" s="34">
        <v>0</v>
      </c>
      <c r="Y42" s="86">
        <v>415</v>
      </c>
      <c r="Z42" s="34">
        <v>0</v>
      </c>
      <c r="AA42" s="25">
        <v>-6.4</v>
      </c>
      <c r="AB42" s="34">
        <v>0</v>
      </c>
      <c r="AC42" s="25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99">
        <v>335.4</v>
      </c>
      <c r="AJ42" s="34">
        <v>0</v>
      </c>
      <c r="AK42" s="25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4">
        <v>0</v>
      </c>
      <c r="AX42" s="34">
        <v>0</v>
      </c>
      <c r="AY42" s="34">
        <v>0</v>
      </c>
      <c r="AZ42" s="34">
        <v>0</v>
      </c>
      <c r="BA42" s="34">
        <v>0</v>
      </c>
      <c r="BB42" s="34">
        <v>0</v>
      </c>
      <c r="BC42" s="34">
        <v>0</v>
      </c>
      <c r="BD42" s="34">
        <v>0</v>
      </c>
      <c r="BE42" s="34">
        <v>0</v>
      </c>
      <c r="BF42" s="34">
        <v>0</v>
      </c>
      <c r="BG42" s="34">
        <v>0</v>
      </c>
      <c r="BH42" s="34">
        <v>0</v>
      </c>
      <c r="BI42" s="34">
        <v>0</v>
      </c>
      <c r="BJ42" s="34">
        <v>0</v>
      </c>
      <c r="BK42" s="34">
        <v>0</v>
      </c>
      <c r="BL42" s="34">
        <v>0</v>
      </c>
      <c r="BM42" s="34">
        <v>0</v>
      </c>
      <c r="BN42" s="34">
        <v>0</v>
      </c>
      <c r="BO42" s="34">
        <v>0</v>
      </c>
      <c r="BP42" s="34">
        <v>0</v>
      </c>
    </row>
    <row r="43" spans="1:68" s="2" customFormat="1" ht="13.5" customHeight="1">
      <c r="B43" s="16"/>
      <c r="C43" s="16"/>
      <c r="D43" s="16"/>
      <c r="E43" s="16"/>
      <c r="F43" s="16"/>
      <c r="G43" s="16"/>
      <c r="H43" s="16"/>
      <c r="I43" s="28">
        <v>0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89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</row>
    <row r="44" spans="1:68" s="2" customFormat="1" ht="15.75" thickBot="1">
      <c r="B44" s="30"/>
      <c r="C44" s="30"/>
      <c r="D44" s="30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90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</row>
    <row r="45" spans="1:68" ht="15.75" thickTop="1">
      <c r="A45" s="4"/>
      <c r="B45" s="31"/>
      <c r="C45" s="32">
        <f>SUM(C12:C42)</f>
        <v>2688</v>
      </c>
      <c r="D45" s="32">
        <f t="shared" ref="D45" si="0">SUM(D12:D42)</f>
        <v>16965</v>
      </c>
      <c r="E45" s="37">
        <f>SUM(E12:E42)</f>
        <v>508.99999999999972</v>
      </c>
      <c r="F45" s="37">
        <f>SUM(F12:F42)</f>
        <v>-486800</v>
      </c>
      <c r="G45" s="37">
        <f>SUM(G12:G42)</f>
        <v>0</v>
      </c>
      <c r="H45" s="33">
        <v>0</v>
      </c>
      <c r="I45" s="37">
        <f>SUM(I12:I42)</f>
        <v>0</v>
      </c>
      <c r="J45" s="33">
        <v>0</v>
      </c>
      <c r="K45" s="37">
        <f>SUM(K12:K42)</f>
        <v>465</v>
      </c>
      <c r="L45" s="37">
        <f>SUM(L12:L42)</f>
        <v>-35900</v>
      </c>
      <c r="M45" s="37">
        <f>SUM(M12:M42)</f>
        <v>72.999999999999957</v>
      </c>
      <c r="N45" s="37">
        <f>SUM(N12:N42)</f>
        <v>-87600</v>
      </c>
      <c r="O45" s="37"/>
      <c r="P45" s="37"/>
      <c r="Q45" s="37">
        <f>SUM(Q12:Q42)</f>
        <v>0</v>
      </c>
      <c r="R45" s="37"/>
      <c r="S45" s="37">
        <f>SUM(S12:S42)</f>
        <v>0</v>
      </c>
      <c r="T45" s="37"/>
      <c r="U45" s="37">
        <f>SUM(U12:U42)</f>
        <v>174.99999999999991</v>
      </c>
      <c r="V45" s="37"/>
      <c r="W45" s="37"/>
      <c r="X45" s="37"/>
      <c r="Y45" s="91">
        <f>SUM(Y12:Y42)</f>
        <v>13270</v>
      </c>
      <c r="Z45" s="38">
        <f>SUM(Z12:Z42)</f>
        <v>1500000</v>
      </c>
      <c r="AA45" s="39">
        <f>SUM(AA12:AA42)</f>
        <v>-198.40000000000009</v>
      </c>
      <c r="AB45" s="37"/>
      <c r="AC45" s="37">
        <f>SUM(AC12:AC42)</f>
        <v>0</v>
      </c>
      <c r="AD45" s="37"/>
      <c r="AE45" s="37"/>
      <c r="AF45" s="37"/>
      <c r="AG45" s="37"/>
      <c r="AH45" s="37"/>
      <c r="AI45" s="37">
        <f>SUM(AI12:AI42)</f>
        <v>12776.4</v>
      </c>
      <c r="AJ45" s="37">
        <f>SUM(AJ12:AJ44)</f>
        <v>9000000</v>
      </c>
      <c r="AK45" s="37">
        <f>SUM(AK12:AK42)</f>
        <v>0</v>
      </c>
      <c r="AL45" s="37"/>
      <c r="AM45" s="37"/>
      <c r="AN45" s="37"/>
      <c r="AO45" s="37"/>
      <c r="AP45" s="37"/>
      <c r="AQ45" s="37"/>
      <c r="AR45" s="37"/>
      <c r="AS45" s="37">
        <f>SUM(AS12:AS42)</f>
        <v>0</v>
      </c>
      <c r="AT45" s="37">
        <f>SUM(AT12:AT42)</f>
        <v>0</v>
      </c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</row>
    <row r="46" spans="1:68">
      <c r="A46" s="4"/>
      <c r="B46" s="4"/>
      <c r="C46" s="17"/>
      <c r="D46" s="18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/>
  <cp:revision/>
  <dcterms:created xsi:type="dcterms:W3CDTF">2020-09-16T08:52:25Z</dcterms:created>
  <dcterms:modified xsi:type="dcterms:W3CDTF">2023-02-09T08:53:13Z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