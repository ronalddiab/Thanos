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E083C5FF-3522-468F-A8A6-F1DDB7970AED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D18" i="8" s="1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G33" i="6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G33" i="4" s="1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R8" i="8"/>
  <c r="R24" i="8"/>
  <c r="T16" i="8"/>
  <c r="L30" i="8" l="1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<sst xmlns="http://schemas.openxmlformats.org/spreadsheetml/2006/main" count="206" uniqueCount="131">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</sst>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-570270</c:v>
                </c:pt>
                <c:pt idx="1">
                  <c:v>-3169900</c:v>
                </c:pt>
                <c:pt idx="2">
                  <c:v>-306020</c:v>
                </c:pt>
                <c:pt idx="3">
                  <c:v>-1202440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0.27693021223080938</c:v>
                </c:pt>
                <c:pt idx="2" formatCode="_(* #,##0.00_);_(* \(#,##0.00\);_(* &quot;-&quot;??_);_(@_)">
                  <c:v>-261709</c:v>
                </c:pt>
                <c:pt idx="3">
                  <c:v>1.1671089070938339</c:v>
                </c:pt>
                <c:pt idx="4" formatCode="0.00">
                  <c:v>-30909</c:v>
                </c:pt>
                <c:pt idx="5">
                  <c:v>0.13784076668881584</c:v>
                </c:pt>
                <c:pt idx="6" formatCode="0.00">
                  <c:v>-43585</c:v>
                </c:pt>
                <c:pt idx="7">
                  <c:v>0.19437024219910184</c:v>
                </c:pt>
                <c:pt idx="8" formatCode="0.00">
                  <c:v>-61</c:v>
                </c:pt>
                <c:pt idx="9">
                  <c:v>2.7203360729941982E-4</c:v>
                </c:pt>
                <c:pt idx="10" formatCode="0.00">
                  <c:v>-1618</c:v>
                </c:pt>
                <c:pt idx="11">
                  <c:v>7.2155799444337913E-3</c:v>
                </c:pt>
                <c:pt idx="12" formatCode="0.00">
                  <c:v>-67162</c:v>
                </c:pt>
                <c:pt idx="13">
                  <c:v>0.29951346120399397</c:v>
                </c:pt>
                <c:pt idx="14" formatCode="_(* #,##0.00_);_(* \(#,##0.00\);_(* &quot;-&quot;??_);_(@_)">
                  <c:v>-268385</c:v>
                </c:pt>
                <c:pt idx="15">
                  <c:v>1.1968809786074555</c:v>
                </c:pt>
                <c:pt idx="16" formatCode="0.00">
                  <c:v>-118898</c:v>
                </c:pt>
                <c:pt idx="17">
                  <c:v>0.53023363673256418</c:v>
                </c:pt>
                <c:pt idx="18" formatCode="0.00">
                  <c:v>-22650</c:v>
                </c:pt>
                <c:pt idx="19">
                  <c:v>0.10100920008740752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-877075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5</v>
      </c>
      <c r="D2" s="114">
        <v>2022</v>
      </c>
      <c r="E2" s="54">
        <v>23699.999999999134</v>
      </c>
      <c r="F2" s="120"/>
      <c r="G2" s="103">
        <v>6599</v>
      </c>
      <c r="H2" s="121"/>
      <c r="I2" s="63">
        <v>313</v>
      </c>
      <c r="J2" s="73"/>
      <c r="K2" s="100"/>
      <c r="L2" s="73"/>
      <c r="M2" s="69">
        <v>49</v>
      </c>
      <c r="N2" s="69">
        <v>140</v>
      </c>
      <c r="O2" s="69">
        <v>396</v>
      </c>
    </row>
    <row r="3" spans="1:15" ht="15" x14ac:dyDescent="0.25">
      <c r="A3" s="44" t="s">
        <v>9</v>
      </c>
      <c r="B3" s="45">
        <f>B2+1</f>
        <v>2</v>
      </c>
      <c r="C3" s="46">
        <v>5</v>
      </c>
      <c r="D3" s="114">
        <v>2022</v>
      </c>
      <c r="E3" s="54">
        <v>26439.99999999869</v>
      </c>
      <c r="F3" s="120"/>
      <c r="G3" s="103">
        <v>7590</v>
      </c>
      <c r="H3" s="121"/>
      <c r="I3" s="63">
        <v>389</v>
      </c>
      <c r="J3" s="73"/>
      <c r="K3" s="100"/>
      <c r="L3" s="73"/>
      <c r="M3" s="69">
        <v>63</v>
      </c>
      <c r="N3" s="69">
        <v>188</v>
      </c>
      <c r="O3" s="69">
        <v>489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5</v>
      </c>
      <c r="D4" s="114">
        <v>2022</v>
      </c>
      <c r="E4" s="54">
        <v>26170.000000000982</v>
      </c>
      <c r="F4" s="120"/>
      <c r="G4" s="103">
        <v>7052</v>
      </c>
      <c r="H4" s="121"/>
      <c r="I4" s="63">
        <v>375</v>
      </c>
      <c r="J4" s="73"/>
      <c r="K4" s="100"/>
      <c r="L4" s="73"/>
      <c r="M4" s="69">
        <v>59</v>
      </c>
      <c r="N4" s="69">
        <v>173</v>
      </c>
      <c r="O4" s="69">
        <v>429</v>
      </c>
    </row>
    <row r="5" spans="1:15" ht="15" x14ac:dyDescent="0.25">
      <c r="A5" s="44" t="s">
        <v>9</v>
      </c>
      <c r="B5" s="45">
        <f t="shared" si="0"/>
        <v>4</v>
      </c>
      <c r="C5" s="46">
        <v>5</v>
      </c>
      <c r="D5" s="114">
        <v>2022</v>
      </c>
      <c r="E5" s="54">
        <v>27901.209999999774</v>
      </c>
      <c r="F5" s="120"/>
      <c r="G5" s="103">
        <v>7372</v>
      </c>
      <c r="H5" s="121"/>
      <c r="I5" s="63">
        <v>404</v>
      </c>
      <c r="J5" s="73"/>
      <c r="K5" s="100"/>
      <c r="L5" s="73"/>
      <c r="M5" s="69">
        <v>58</v>
      </c>
      <c r="N5" s="69">
        <v>167</v>
      </c>
      <c r="O5" s="69">
        <v>454</v>
      </c>
    </row>
    <row r="6" spans="1:15" ht="15" x14ac:dyDescent="0.25">
      <c r="A6" s="44" t="s">
        <v>9</v>
      </c>
      <c r="B6" s="45">
        <f t="shared" si="0"/>
        <v>5</v>
      </c>
      <c r="C6" s="46">
        <v>5</v>
      </c>
      <c r="D6" s="114">
        <v>2022</v>
      </c>
      <c r="E6" s="54">
        <v>25470.000000000255</v>
      </c>
      <c r="F6" s="120"/>
      <c r="G6" s="103">
        <v>7164</v>
      </c>
      <c r="H6" s="121"/>
      <c r="I6" s="63">
        <v>358</v>
      </c>
      <c r="J6" s="73"/>
      <c r="K6" s="100"/>
      <c r="L6" s="73"/>
      <c r="M6" s="69">
        <v>53</v>
      </c>
      <c r="N6" s="69">
        <v>147</v>
      </c>
      <c r="O6" s="69">
        <v>407</v>
      </c>
    </row>
    <row r="7" spans="1:15" ht="15" x14ac:dyDescent="0.25">
      <c r="A7" s="44" t="s">
        <v>9</v>
      </c>
      <c r="B7" s="45">
        <f t="shared" si="0"/>
        <v>6</v>
      </c>
      <c r="C7" s="46">
        <v>5</v>
      </c>
      <c r="D7" s="114">
        <v>2022</v>
      </c>
      <c r="E7" s="54">
        <v>25940.000000000284</v>
      </c>
      <c r="F7" s="120"/>
      <c r="G7" s="103">
        <v>7097</v>
      </c>
      <c r="H7" s="121"/>
      <c r="I7" s="63">
        <v>371</v>
      </c>
      <c r="J7" s="73"/>
      <c r="K7" s="100"/>
      <c r="L7" s="73"/>
      <c r="M7" s="69">
        <v>53</v>
      </c>
      <c r="N7" s="69">
        <v>134</v>
      </c>
      <c r="O7" s="69">
        <v>357</v>
      </c>
    </row>
    <row r="8" spans="1:15" ht="15" x14ac:dyDescent="0.25">
      <c r="A8" s="44" t="s">
        <v>9</v>
      </c>
      <c r="B8" s="45">
        <f t="shared" si="0"/>
        <v>7</v>
      </c>
      <c r="C8" s="46">
        <v>5</v>
      </c>
      <c r="D8" s="114">
        <v>2022</v>
      </c>
      <c r="E8" s="103">
        <v>24799.999999999498</v>
      </c>
      <c r="F8" s="120"/>
      <c r="G8" s="103">
        <v>6934</v>
      </c>
      <c r="H8" s="121"/>
      <c r="I8" s="63">
        <v>314</v>
      </c>
      <c r="J8" s="73"/>
      <c r="K8" s="100"/>
      <c r="L8" s="73"/>
      <c r="M8" s="69">
        <v>48</v>
      </c>
      <c r="N8" s="69">
        <v>118</v>
      </c>
      <c r="O8" s="69">
        <v>319</v>
      </c>
    </row>
    <row r="9" spans="1:15" ht="15" x14ac:dyDescent="0.25">
      <c r="A9" s="44" t="s">
        <v>9</v>
      </c>
      <c r="B9" s="45">
        <f t="shared" si="0"/>
        <v>8</v>
      </c>
      <c r="C9" s="46">
        <v>5</v>
      </c>
      <c r="D9" s="114">
        <v>2022</v>
      </c>
      <c r="E9" s="103">
        <v>27030.000000001106</v>
      </c>
      <c r="F9" s="120"/>
      <c r="G9" s="103">
        <v>7576</v>
      </c>
      <c r="H9" s="121"/>
      <c r="I9" s="63">
        <v>334</v>
      </c>
      <c r="J9" s="73"/>
      <c r="K9" s="100"/>
      <c r="L9" s="73"/>
      <c r="M9" s="69">
        <v>60</v>
      </c>
      <c r="N9" s="69">
        <v>131</v>
      </c>
      <c r="O9" s="69">
        <v>322</v>
      </c>
    </row>
    <row r="10" spans="1:15" ht="15" x14ac:dyDescent="0.25">
      <c r="A10" s="44" t="s">
        <v>9</v>
      </c>
      <c r="B10" s="45">
        <f t="shared" si="0"/>
        <v>9</v>
      </c>
      <c r="C10" s="46">
        <v>5</v>
      </c>
      <c r="D10" s="114">
        <v>2022</v>
      </c>
      <c r="E10" s="103">
        <v>27829.999999999243</v>
      </c>
      <c r="F10" s="120"/>
      <c r="G10" s="103">
        <v>7724</v>
      </c>
      <c r="H10" s="121"/>
      <c r="I10" s="63">
        <v>330</v>
      </c>
      <c r="J10" s="73"/>
      <c r="K10" s="100"/>
      <c r="L10" s="73"/>
      <c r="M10" s="69">
        <v>57</v>
      </c>
      <c r="N10" s="69">
        <v>120</v>
      </c>
      <c r="O10" s="69">
        <v>381</v>
      </c>
    </row>
    <row r="11" spans="1:15" ht="15" x14ac:dyDescent="0.25">
      <c r="A11" s="44" t="s">
        <v>9</v>
      </c>
      <c r="B11" s="45">
        <f t="shared" si="0"/>
        <v>10</v>
      </c>
      <c r="C11" s="46">
        <v>5</v>
      </c>
      <c r="D11" s="114">
        <v>2022</v>
      </c>
      <c r="E11" s="103">
        <v>26319.999999999025</v>
      </c>
      <c r="F11" s="120"/>
      <c r="G11" s="103">
        <v>7285</v>
      </c>
      <c r="H11" s="121"/>
      <c r="I11" s="63">
        <v>280</v>
      </c>
      <c r="J11" s="73"/>
      <c r="K11" s="100"/>
      <c r="L11" s="73"/>
      <c r="M11" s="69">
        <v>56</v>
      </c>
      <c r="N11" s="69">
        <v>118</v>
      </c>
      <c r="O11" s="69">
        <v>356</v>
      </c>
    </row>
    <row r="12" spans="1:15" ht="15" x14ac:dyDescent="0.25">
      <c r="A12" s="44" t="s">
        <v>9</v>
      </c>
      <c r="B12" s="45">
        <f t="shared" si="0"/>
        <v>11</v>
      </c>
      <c r="C12" s="46">
        <v>5</v>
      </c>
      <c r="D12" s="114">
        <v>2022</v>
      </c>
      <c r="E12" s="103">
        <v>23189.999999999825</v>
      </c>
      <c r="F12" s="120"/>
      <c r="G12" s="103">
        <v>6583</v>
      </c>
      <c r="H12" s="121"/>
      <c r="I12" s="63">
        <v>268</v>
      </c>
      <c r="J12" s="73"/>
      <c r="K12" s="100"/>
      <c r="L12" s="73"/>
      <c r="M12" s="69">
        <v>56</v>
      </c>
      <c r="N12" s="69">
        <v>126</v>
      </c>
      <c r="O12" s="69">
        <v>379</v>
      </c>
    </row>
    <row r="13" spans="1:15" ht="15" x14ac:dyDescent="0.25">
      <c r="A13" s="44" t="s">
        <v>9</v>
      </c>
      <c r="B13" s="45">
        <f t="shared" si="0"/>
        <v>12</v>
      </c>
      <c r="C13" s="46">
        <v>5</v>
      </c>
      <c r="D13" s="114">
        <v>2022</v>
      </c>
      <c r="E13" s="103">
        <v>22990.000000000466</v>
      </c>
      <c r="F13" s="120"/>
      <c r="G13" s="103">
        <v>6185</v>
      </c>
      <c r="H13" s="121"/>
      <c r="I13" s="63">
        <v>259</v>
      </c>
      <c r="J13" s="73"/>
      <c r="K13" s="100"/>
      <c r="L13" s="73"/>
      <c r="M13" s="69">
        <v>57</v>
      </c>
      <c r="N13" s="69">
        <v>126</v>
      </c>
      <c r="O13" s="69">
        <v>338</v>
      </c>
    </row>
    <row r="14" spans="1:15" ht="15" x14ac:dyDescent="0.25">
      <c r="A14" s="44" t="s">
        <v>9</v>
      </c>
      <c r="B14" s="45">
        <f t="shared" si="0"/>
        <v>13</v>
      </c>
      <c r="C14" s="46">
        <v>5</v>
      </c>
      <c r="D14" s="114">
        <v>2022</v>
      </c>
      <c r="E14" s="103">
        <v>22510.000000001808</v>
      </c>
      <c r="F14" s="120"/>
      <c r="G14" s="103">
        <v>6226</v>
      </c>
      <c r="H14" s="121"/>
      <c r="I14" s="63">
        <v>289</v>
      </c>
      <c r="J14" s="73"/>
      <c r="K14" s="100"/>
      <c r="L14" s="73"/>
      <c r="M14" s="69">
        <v>28</v>
      </c>
      <c r="N14" s="69">
        <v>73</v>
      </c>
      <c r="O14" s="69">
        <v>215</v>
      </c>
    </row>
    <row r="15" spans="1:15" ht="15" x14ac:dyDescent="0.25">
      <c r="A15" s="44" t="s">
        <v>9</v>
      </c>
      <c r="B15" s="45">
        <f t="shared" si="0"/>
        <v>14</v>
      </c>
      <c r="C15" s="46">
        <v>5</v>
      </c>
      <c r="D15" s="114">
        <v>2022</v>
      </c>
      <c r="E15" s="103">
        <v>21610.000000000357</v>
      </c>
      <c r="F15" s="120"/>
      <c r="G15" s="103">
        <v>6030</v>
      </c>
      <c r="H15" s="121"/>
      <c r="I15" s="63">
        <v>301</v>
      </c>
      <c r="J15" s="73"/>
      <c r="K15" s="100"/>
      <c r="L15" s="73"/>
      <c r="M15" s="69">
        <v>21</v>
      </c>
      <c r="N15" s="69">
        <v>55</v>
      </c>
      <c r="O15" s="69">
        <v>174</v>
      </c>
    </row>
    <row r="16" spans="1:15" ht="15" x14ac:dyDescent="0.25">
      <c r="A16" s="44" t="s">
        <v>9</v>
      </c>
      <c r="B16" s="45">
        <f t="shared" si="0"/>
        <v>15</v>
      </c>
      <c r="C16" s="46">
        <v>5</v>
      </c>
      <c r="D16" s="114">
        <v>2022</v>
      </c>
      <c r="E16" s="103">
        <v>22339.999999999236</v>
      </c>
      <c r="F16" s="120"/>
      <c r="G16" s="103">
        <v>6201</v>
      </c>
      <c r="H16" s="121"/>
      <c r="I16" s="63">
        <v>311</v>
      </c>
      <c r="J16" s="73"/>
      <c r="K16" s="100"/>
      <c r="L16" s="73"/>
      <c r="M16" s="69">
        <v>24</v>
      </c>
      <c r="N16" s="69">
        <v>65</v>
      </c>
      <c r="O16" s="69">
        <v>159</v>
      </c>
    </row>
    <row r="17" spans="1:15" ht="15" x14ac:dyDescent="0.25">
      <c r="A17" s="44" t="s">
        <v>9</v>
      </c>
      <c r="B17" s="45">
        <f t="shared" si="0"/>
        <v>16</v>
      </c>
      <c r="C17" s="46">
        <v>5</v>
      </c>
      <c r="D17" s="114">
        <v>2022</v>
      </c>
      <c r="E17" s="103">
        <v>22190.000000000509</v>
      </c>
      <c r="F17" s="120"/>
      <c r="G17" s="103">
        <v>6472</v>
      </c>
      <c r="H17" s="121"/>
      <c r="I17" s="63">
        <v>306</v>
      </c>
      <c r="J17" s="73"/>
      <c r="K17" s="100"/>
      <c r="L17" s="73"/>
      <c r="M17" s="69">
        <v>26</v>
      </c>
      <c r="N17" s="69">
        <v>63</v>
      </c>
      <c r="O17" s="69">
        <v>168</v>
      </c>
    </row>
    <row r="18" spans="1:15" ht="15" x14ac:dyDescent="0.25">
      <c r="A18" s="44" t="s">
        <v>9</v>
      </c>
      <c r="B18" s="45">
        <f t="shared" si="0"/>
        <v>17</v>
      </c>
      <c r="C18" s="46">
        <v>5</v>
      </c>
      <c r="D18" s="114">
        <v>2022</v>
      </c>
      <c r="E18" s="103">
        <v>21000</v>
      </c>
      <c r="F18" s="120"/>
      <c r="G18" s="103">
        <v>5621</v>
      </c>
      <c r="H18" s="121"/>
      <c r="I18" s="63">
        <v>362</v>
      </c>
      <c r="J18" s="73"/>
      <c r="K18" s="100"/>
      <c r="L18" s="73"/>
      <c r="M18" s="69">
        <v>39</v>
      </c>
      <c r="N18" s="69">
        <v>78</v>
      </c>
      <c r="O18" s="69">
        <v>175</v>
      </c>
    </row>
    <row r="19" spans="1:15" ht="15" x14ac:dyDescent="0.25">
      <c r="A19" s="44" t="s">
        <v>9</v>
      </c>
      <c r="B19" s="45">
        <f t="shared" si="0"/>
        <v>18</v>
      </c>
      <c r="C19" s="46">
        <v>5</v>
      </c>
      <c r="D19" s="114">
        <v>2022</v>
      </c>
      <c r="E19" s="103">
        <v>19769.999999999072</v>
      </c>
      <c r="F19" s="120"/>
      <c r="G19" s="103">
        <v>5502</v>
      </c>
      <c r="H19" s="121"/>
      <c r="I19" s="63">
        <v>308</v>
      </c>
      <c r="J19" s="73"/>
      <c r="K19" s="100"/>
      <c r="L19" s="73"/>
      <c r="M19" s="69">
        <v>42</v>
      </c>
      <c r="N19" s="69">
        <v>84</v>
      </c>
      <c r="O19" s="69">
        <v>206</v>
      </c>
    </row>
    <row r="20" spans="1:15" ht="15" x14ac:dyDescent="0.25">
      <c r="A20" s="44" t="s">
        <v>9</v>
      </c>
      <c r="B20" s="45">
        <f t="shared" si="0"/>
        <v>19</v>
      </c>
      <c r="C20" s="46">
        <v>5</v>
      </c>
      <c r="D20" s="114">
        <v>2022</v>
      </c>
      <c r="E20" s="103">
        <v>20940.000000000284</v>
      </c>
      <c r="F20" s="120"/>
      <c r="G20" s="103">
        <v>5757</v>
      </c>
      <c r="H20" s="121"/>
      <c r="I20" s="63">
        <v>324</v>
      </c>
      <c r="J20" s="73"/>
      <c r="K20" s="100"/>
      <c r="L20" s="73"/>
      <c r="M20" s="69">
        <v>47</v>
      </c>
      <c r="N20" s="69">
        <v>97</v>
      </c>
      <c r="O20" s="69">
        <v>276</v>
      </c>
    </row>
    <row r="21" spans="1:15" ht="15" x14ac:dyDescent="0.25">
      <c r="A21" s="44" t="s">
        <v>9</v>
      </c>
      <c r="B21" s="45">
        <f t="shared" si="0"/>
        <v>20</v>
      </c>
      <c r="C21" s="46">
        <v>5</v>
      </c>
      <c r="D21" s="114">
        <v>2022</v>
      </c>
      <c r="E21" s="103">
        <v>21539.999999999738</v>
      </c>
      <c r="F21" s="120"/>
      <c r="G21" s="103">
        <v>5910</v>
      </c>
      <c r="H21" s="121"/>
      <c r="I21" s="63">
        <v>350</v>
      </c>
      <c r="J21" s="73"/>
      <c r="K21" s="100"/>
      <c r="L21" s="73"/>
      <c r="M21" s="69">
        <v>52</v>
      </c>
      <c r="N21" s="69">
        <v>100</v>
      </c>
      <c r="O21" s="69">
        <v>302</v>
      </c>
    </row>
    <row r="22" spans="1:15" ht="15" x14ac:dyDescent="0.25">
      <c r="A22" s="44" t="s">
        <v>9</v>
      </c>
      <c r="B22" s="45">
        <f t="shared" si="0"/>
        <v>21</v>
      </c>
      <c r="C22" s="46">
        <v>5</v>
      </c>
      <c r="D22" s="114">
        <v>2022</v>
      </c>
      <c r="E22" s="103">
        <v>22859.999999999898</v>
      </c>
      <c r="F22" s="120"/>
      <c r="G22" s="103">
        <v>6320</v>
      </c>
      <c r="H22" s="121"/>
      <c r="I22" s="63">
        <v>294</v>
      </c>
      <c r="J22" s="73"/>
      <c r="K22" s="100"/>
      <c r="L22" s="73"/>
      <c r="M22" s="69">
        <v>53</v>
      </c>
      <c r="N22" s="69">
        <v>102</v>
      </c>
      <c r="O22" s="69">
        <v>317</v>
      </c>
    </row>
    <row r="23" spans="1:15" ht="15" x14ac:dyDescent="0.25">
      <c r="A23" s="44" t="s">
        <v>9</v>
      </c>
      <c r="B23" s="45">
        <f t="shared" si="0"/>
        <v>22</v>
      </c>
      <c r="C23" s="46">
        <v>5</v>
      </c>
      <c r="D23" s="114">
        <v>2022</v>
      </c>
      <c r="E23" s="103">
        <v>23359.999999999898</v>
      </c>
      <c r="F23" s="120"/>
      <c r="G23" s="103">
        <v>6522</v>
      </c>
      <c r="H23" s="121"/>
      <c r="I23" s="63">
        <v>320</v>
      </c>
      <c r="J23" s="73"/>
      <c r="K23" s="100"/>
      <c r="L23" s="73"/>
      <c r="M23" s="69">
        <v>30</v>
      </c>
      <c r="N23" s="69">
        <v>58</v>
      </c>
      <c r="O23" s="69">
        <v>196</v>
      </c>
    </row>
    <row r="24" spans="1:15" ht="15" x14ac:dyDescent="0.25">
      <c r="A24" s="44" t="s">
        <v>9</v>
      </c>
      <c r="B24" s="45">
        <f t="shared" si="0"/>
        <v>23</v>
      </c>
      <c r="C24" s="46">
        <v>5</v>
      </c>
      <c r="D24" s="114">
        <v>2022</v>
      </c>
      <c r="E24" s="103">
        <v>22929.999999999607</v>
      </c>
      <c r="F24" s="120"/>
      <c r="G24" s="103">
        <v>6370</v>
      </c>
      <c r="H24" s="121"/>
      <c r="I24" s="63"/>
      <c r="J24" s="73"/>
      <c r="K24" s="100"/>
      <c r="L24" s="73"/>
      <c r="M24" s="69">
        <v>23</v>
      </c>
      <c r="N24" s="69">
        <v>55</v>
      </c>
      <c r="O24" s="69">
        <v>150</v>
      </c>
    </row>
    <row r="25" spans="1:15" ht="15" x14ac:dyDescent="0.25">
      <c r="A25" s="44" t="s">
        <v>9</v>
      </c>
      <c r="B25" s="45">
        <f t="shared" si="0"/>
        <v>24</v>
      </c>
      <c r="C25" s="46">
        <v>5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>
        <v>25</v>
      </c>
      <c r="N25" s="69">
        <v>67</v>
      </c>
      <c r="O25" s="69">
        <v>140</v>
      </c>
    </row>
    <row r="26" spans="1:15" ht="15" x14ac:dyDescent="0.25">
      <c r="A26" s="44" t="s">
        <v>9</v>
      </c>
      <c r="B26" s="45">
        <f>B25+1</f>
        <v>25</v>
      </c>
      <c r="C26" s="46">
        <v>5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>
        <v>23</v>
      </c>
      <c r="N26" s="69">
        <v>65</v>
      </c>
      <c r="O26" s="69">
        <v>164</v>
      </c>
    </row>
    <row r="27" spans="1:15" ht="15" x14ac:dyDescent="0.25">
      <c r="A27" s="44" t="s">
        <v>9</v>
      </c>
      <c r="B27" s="45">
        <f t="shared" si="0"/>
        <v>26</v>
      </c>
      <c r="C27" s="46">
        <v>5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>
        <v>24</v>
      </c>
      <c r="N27" s="69">
        <v>75</v>
      </c>
      <c r="O27" s="69">
        <v>153</v>
      </c>
    </row>
    <row r="28" spans="1:15" ht="15" x14ac:dyDescent="0.25">
      <c r="A28" s="44" t="s">
        <v>9</v>
      </c>
      <c r="B28" s="45">
        <f t="shared" si="0"/>
        <v>27</v>
      </c>
      <c r="C28" s="46">
        <v>5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5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5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5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5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>
        <f>SUM(E2:E32)</f>
        <v>548831.20999999868</v>
      </c>
      <c r="F33" s="96">
        <v>0</v>
      </c>
      <c r="G33" s="113">
        <f>SUM(G2:G32)</f>
        <v>152092</v>
      </c>
      <c r="H33" s="94">
        <v>0</v>
      </c>
      <c r="I33" s="95">
        <f>SUM(I2:I32)</f>
        <v>7160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1126</v>
      </c>
      <c r="N33" s="98">
        <f t="shared" si="1"/>
        <v>2725</v>
      </c>
      <c r="O33" s="98">
        <f t="shared" si="1"/>
        <v>7422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44682</v>
      </c>
      <c r="B4" s="105">
        <v>1.3480000000000001</v>
      </c>
      <c r="C4" s="106">
        <v>306.02</v>
      </c>
      <c r="D4" s="106">
        <v>8123398.1600000001</v>
      </c>
      <c r="E4" s="106">
        <v>9046610.9900000002</v>
      </c>
      <c r="F4" s="106">
        <v>3.1699000000000002</v>
      </c>
      <c r="G4" s="106">
        <v>1.0179</v>
      </c>
      <c r="H4" s="106">
        <v>906.51</v>
      </c>
      <c r="I4" s="106">
        <v>328.08</v>
      </c>
      <c r="J4" s="106">
        <v>450.64</v>
      </c>
      <c r="K4" s="106">
        <v>447.9</v>
      </c>
      <c r="L4" s="106">
        <v>303.89999999999998</v>
      </c>
      <c r="M4" s="106">
        <v>750.17</v>
      </c>
      <c r="N4" s="106">
        <v>710.28</v>
      </c>
      <c r="O4" s="106">
        <v>216.89</v>
      </c>
      <c r="P4" s="106">
        <v>919.29</v>
      </c>
      <c r="Q4" s="106">
        <v>680.89</v>
      </c>
      <c r="R4" s="106">
        <v>190.15</v>
      </c>
      <c r="S4" s="106">
        <v>156.55000000000001</v>
      </c>
      <c r="T4" s="106">
        <v>570.27</v>
      </c>
      <c r="V4" s="69">
        <v>49</v>
      </c>
      <c r="W4" s="69">
        <v>140</v>
      </c>
      <c r="X4" s="69">
        <v>396</v>
      </c>
      <c r="Y4" s="17"/>
    </row>
    <row r="5" spans="1:25" ht="21" customHeight="1" x14ac:dyDescent="0.25">
      <c r="A5" s="8">
        <v>44683</v>
      </c>
      <c r="B5" s="107">
        <v>1.3491</v>
      </c>
      <c r="C5" s="108">
        <v>306.26</v>
      </c>
      <c r="D5" s="108">
        <v>8125961.5</v>
      </c>
      <c r="E5" s="108">
        <v>9050192.2799999993</v>
      </c>
      <c r="F5" s="108">
        <v>3.1728000000000001</v>
      </c>
      <c r="G5" s="108">
        <v>1.0187999999999999</v>
      </c>
      <c r="H5" s="108">
        <v>907.88</v>
      </c>
      <c r="I5" s="108">
        <v>328.38</v>
      </c>
      <c r="J5" s="108">
        <v>451.28</v>
      </c>
      <c r="K5" s="108">
        <v>448.26</v>
      </c>
      <c r="L5" s="108">
        <v>304.17</v>
      </c>
      <c r="M5" s="108">
        <v>751.18</v>
      </c>
      <c r="N5" s="108">
        <v>711.07</v>
      </c>
      <c r="O5" s="108">
        <v>217.14</v>
      </c>
      <c r="P5" s="108">
        <v>920.29</v>
      </c>
      <c r="Q5" s="108">
        <v>681.67</v>
      </c>
      <c r="R5" s="108">
        <v>190.15</v>
      </c>
      <c r="S5" s="108">
        <v>156.69999999999999</v>
      </c>
      <c r="T5" s="108">
        <v>570.79999999999995</v>
      </c>
      <c r="V5" s="69">
        <v>63</v>
      </c>
      <c r="W5" s="69">
        <v>188</v>
      </c>
      <c r="X5" s="69">
        <v>489</v>
      </c>
      <c r="Y5" s="17"/>
    </row>
    <row r="6" spans="1:25" ht="21" customHeight="1" x14ac:dyDescent="0.25">
      <c r="A6" s="8">
        <v>44684</v>
      </c>
      <c r="B6" s="107">
        <v>1.3503000000000001</v>
      </c>
      <c r="C6" s="108">
        <v>306.52</v>
      </c>
      <c r="D6" s="108">
        <v>8128804.2400000002</v>
      </c>
      <c r="E6" s="108">
        <v>9054340.2100000009</v>
      </c>
      <c r="F6" s="108">
        <v>3.1758000000000002</v>
      </c>
      <c r="G6" s="108">
        <v>1.0198</v>
      </c>
      <c r="H6" s="108">
        <v>909.29</v>
      </c>
      <c r="I6" s="108">
        <v>328.74</v>
      </c>
      <c r="J6" s="108">
        <v>452.05</v>
      </c>
      <c r="K6" s="108">
        <v>448.64</v>
      </c>
      <c r="L6" s="108">
        <v>304.45999999999998</v>
      </c>
      <c r="M6" s="108">
        <v>752.21</v>
      </c>
      <c r="N6" s="108">
        <v>712.08</v>
      </c>
      <c r="O6" s="108">
        <v>217.36</v>
      </c>
      <c r="P6" s="108">
        <v>921.29</v>
      </c>
      <c r="Q6" s="108">
        <v>682.54</v>
      </c>
      <c r="R6" s="108">
        <v>190.15</v>
      </c>
      <c r="S6" s="108">
        <v>156.85</v>
      </c>
      <c r="T6" s="108">
        <v>571.34</v>
      </c>
      <c r="V6" s="69">
        <v>59</v>
      </c>
      <c r="W6" s="69">
        <v>173</v>
      </c>
      <c r="X6" s="69">
        <v>429</v>
      </c>
      <c r="Y6" s="17"/>
    </row>
    <row r="7" spans="1:25" ht="21" customHeight="1" x14ac:dyDescent="0.25">
      <c r="A7" s="8">
        <v>44685</v>
      </c>
      <c r="B7" s="107">
        <v>1.3514999999999999</v>
      </c>
      <c r="C7" s="108">
        <v>306.77</v>
      </c>
      <c r="D7" s="108">
        <v>8131254.8799999999</v>
      </c>
      <c r="E7" s="108">
        <v>9058126.4800000004</v>
      </c>
      <c r="F7" s="108">
        <v>3.1785999999999999</v>
      </c>
      <c r="G7" s="108">
        <v>1.0207999999999999</v>
      </c>
      <c r="H7" s="108">
        <v>910.58</v>
      </c>
      <c r="I7" s="108">
        <v>329.05</v>
      </c>
      <c r="J7" s="108">
        <v>452.42</v>
      </c>
      <c r="K7" s="108">
        <v>449.02</v>
      </c>
      <c r="L7" s="108">
        <v>304.73</v>
      </c>
      <c r="M7" s="108">
        <v>753.18</v>
      </c>
      <c r="N7" s="108">
        <v>713.06</v>
      </c>
      <c r="O7" s="108">
        <v>217.6</v>
      </c>
      <c r="P7" s="108">
        <v>922.39</v>
      </c>
      <c r="Q7" s="108">
        <v>683.41</v>
      </c>
      <c r="R7" s="108">
        <v>190.15</v>
      </c>
      <c r="S7" s="108">
        <v>157.1</v>
      </c>
      <c r="T7" s="108">
        <v>571.91</v>
      </c>
      <c r="V7" s="69">
        <v>58</v>
      </c>
      <c r="W7" s="69">
        <v>167</v>
      </c>
      <c r="X7" s="69">
        <v>454</v>
      </c>
      <c r="Y7" s="17"/>
    </row>
    <row r="8" spans="1:25" ht="21" customHeight="1" x14ac:dyDescent="0.25">
      <c r="A8" s="8">
        <v>44686</v>
      </c>
      <c r="B8" s="107">
        <v>1.3527</v>
      </c>
      <c r="C8" s="108">
        <v>307</v>
      </c>
      <c r="D8" s="108">
        <v>8133606.0999999996</v>
      </c>
      <c r="E8" s="108">
        <v>9061772.0500000007</v>
      </c>
      <c r="F8" s="108">
        <v>3.1814</v>
      </c>
      <c r="G8" s="108">
        <v>1.0218</v>
      </c>
      <c r="H8" s="108">
        <v>911.92</v>
      </c>
      <c r="I8" s="108">
        <v>329.41</v>
      </c>
      <c r="J8" s="108">
        <v>453.13</v>
      </c>
      <c r="K8" s="108">
        <v>449.44</v>
      </c>
      <c r="L8" s="108">
        <v>305</v>
      </c>
      <c r="M8" s="108">
        <v>754.03</v>
      </c>
      <c r="N8" s="108">
        <v>714.03</v>
      </c>
      <c r="O8" s="108">
        <v>217.82</v>
      </c>
      <c r="P8" s="108">
        <v>923.55</v>
      </c>
      <c r="Q8" s="108">
        <v>684.21</v>
      </c>
      <c r="R8" s="108">
        <v>190.15</v>
      </c>
      <c r="S8" s="108">
        <v>157.15</v>
      </c>
      <c r="T8" s="108">
        <v>572.47</v>
      </c>
      <c r="V8" s="102">
        <v>53</v>
      </c>
      <c r="W8" s="102">
        <v>147</v>
      </c>
      <c r="X8" s="124">
        <v>407</v>
      </c>
      <c r="Y8" s="17"/>
    </row>
    <row r="9" spans="1:25" ht="21" customHeight="1" x14ac:dyDescent="0.25">
      <c r="A9" s="8">
        <v>44687</v>
      </c>
      <c r="B9" s="109">
        <v>1.3537999999999999</v>
      </c>
      <c r="C9" s="108">
        <v>307.27</v>
      </c>
      <c r="D9" s="108">
        <v>8135813.4699999997</v>
      </c>
      <c r="E9" s="108">
        <v>9065245.4800000004</v>
      </c>
      <c r="F9" s="108">
        <v>3.1842999999999999</v>
      </c>
      <c r="G9" s="108">
        <v>1.0227999999999999</v>
      </c>
      <c r="H9" s="108">
        <v>913.21</v>
      </c>
      <c r="I9" s="108">
        <v>329.73</v>
      </c>
      <c r="J9" s="108">
        <v>453.93</v>
      </c>
      <c r="K9" s="108">
        <v>449.88</v>
      </c>
      <c r="L9" s="108">
        <v>305.27999999999997</v>
      </c>
      <c r="M9" s="108">
        <v>754.93</v>
      </c>
      <c r="N9" s="108">
        <v>714.97</v>
      </c>
      <c r="O9" s="108">
        <v>218.06</v>
      </c>
      <c r="P9" s="108">
        <v>924.67</v>
      </c>
      <c r="Q9" s="108">
        <v>685.02</v>
      </c>
      <c r="R9" s="108">
        <v>190.15</v>
      </c>
      <c r="S9" s="108">
        <v>157.30000000000001</v>
      </c>
      <c r="T9" s="108">
        <v>573.03</v>
      </c>
      <c r="V9" s="102">
        <v>53</v>
      </c>
      <c r="W9" s="102">
        <v>134</v>
      </c>
      <c r="X9" s="124">
        <v>357</v>
      </c>
      <c r="Y9" s="17"/>
    </row>
    <row r="10" spans="1:25" ht="21" customHeight="1" x14ac:dyDescent="0.25">
      <c r="A10" s="8">
        <v>44688</v>
      </c>
      <c r="B10" s="105">
        <v>1.355</v>
      </c>
      <c r="C10" s="106">
        <v>307.51</v>
      </c>
      <c r="D10" s="106">
        <v>8137985.9699999997</v>
      </c>
      <c r="E10" s="106">
        <v>9068643.4600000009</v>
      </c>
      <c r="F10" s="106">
        <v>3.1871</v>
      </c>
      <c r="G10" s="106">
        <v>1.0238</v>
      </c>
      <c r="H10" s="106">
        <v>914.68</v>
      </c>
      <c r="I10" s="106">
        <v>330.07</v>
      </c>
      <c r="J10" s="108">
        <v>454.68</v>
      </c>
      <c r="K10" s="108">
        <v>450.29</v>
      </c>
      <c r="L10" s="108">
        <v>305.55</v>
      </c>
      <c r="M10" s="108">
        <v>755.85</v>
      </c>
      <c r="N10" s="108">
        <v>715.96</v>
      </c>
      <c r="O10" s="108">
        <v>218.29</v>
      </c>
      <c r="P10" s="108">
        <v>925.8</v>
      </c>
      <c r="Q10" s="108">
        <v>685.79</v>
      </c>
      <c r="R10" s="108">
        <v>190.15</v>
      </c>
      <c r="S10" s="108">
        <v>157.44999999999999</v>
      </c>
      <c r="T10" s="108">
        <v>573.25</v>
      </c>
      <c r="V10" s="102">
        <v>48</v>
      </c>
      <c r="W10" s="102">
        <v>118</v>
      </c>
      <c r="X10" s="102">
        <v>319</v>
      </c>
      <c r="Y10" s="17"/>
    </row>
    <row r="11" spans="1:25" ht="21" customHeight="1" x14ac:dyDescent="0.25">
      <c r="A11" s="8">
        <v>44689</v>
      </c>
      <c r="B11" s="107">
        <v>1.3561000000000001</v>
      </c>
      <c r="C11" s="108">
        <v>307.77</v>
      </c>
      <c r="D11" s="108">
        <v>8140302.4000000004</v>
      </c>
      <c r="E11" s="108">
        <v>9072432.3200000003</v>
      </c>
      <c r="F11" s="108">
        <v>3.19</v>
      </c>
      <c r="G11" s="108">
        <v>1.0246999999999999</v>
      </c>
      <c r="H11" s="108">
        <v>916.05</v>
      </c>
      <c r="I11" s="108">
        <v>330.39</v>
      </c>
      <c r="J11" s="108">
        <v>455.52</v>
      </c>
      <c r="K11" s="108">
        <v>450.71</v>
      </c>
      <c r="L11" s="108">
        <v>305.85000000000002</v>
      </c>
      <c r="M11" s="108">
        <v>756.68</v>
      </c>
      <c r="N11" s="108">
        <v>716.75</v>
      </c>
      <c r="O11" s="108">
        <v>218.48</v>
      </c>
      <c r="P11" s="108">
        <v>926.92</v>
      </c>
      <c r="Q11" s="108">
        <v>686.61</v>
      </c>
      <c r="R11" s="108">
        <v>190.15</v>
      </c>
      <c r="S11" s="108">
        <v>157.61000000000001</v>
      </c>
      <c r="T11" s="108">
        <v>573.88</v>
      </c>
      <c r="V11" s="102">
        <v>60</v>
      </c>
      <c r="W11" s="102">
        <v>131</v>
      </c>
      <c r="X11" s="102">
        <v>322</v>
      </c>
      <c r="Y11" s="17"/>
    </row>
    <row r="12" spans="1:25" ht="21" customHeight="1" x14ac:dyDescent="0.25">
      <c r="A12" s="8">
        <v>44690</v>
      </c>
      <c r="B12" s="107">
        <v>1.3573999999999999</v>
      </c>
      <c r="C12" s="108">
        <v>308.01</v>
      </c>
      <c r="D12" s="108">
        <v>8143277.96</v>
      </c>
      <c r="E12" s="108">
        <v>9076566.3200000003</v>
      </c>
      <c r="F12" s="108">
        <v>3.1928999999999998</v>
      </c>
      <c r="G12" s="108">
        <v>1.0257000000000001</v>
      </c>
      <c r="H12" s="108">
        <v>917.56</v>
      </c>
      <c r="I12" s="108">
        <v>330.76</v>
      </c>
      <c r="J12" s="108">
        <v>456.19</v>
      </c>
      <c r="K12" s="108">
        <v>451.11</v>
      </c>
      <c r="L12" s="108">
        <v>306.14</v>
      </c>
      <c r="M12" s="108">
        <v>757.63</v>
      </c>
      <c r="N12" s="108">
        <v>717.63</v>
      </c>
      <c r="O12" s="108">
        <v>218.71</v>
      </c>
      <c r="P12" s="108">
        <v>928.12</v>
      </c>
      <c r="Q12" s="108">
        <v>687.58</v>
      </c>
      <c r="R12" s="108">
        <v>190.15</v>
      </c>
      <c r="S12" s="108">
        <v>157.76</v>
      </c>
      <c r="T12" s="108">
        <v>574.41</v>
      </c>
      <c r="V12" s="102">
        <v>57</v>
      </c>
      <c r="W12" s="102">
        <v>120</v>
      </c>
      <c r="X12" s="102">
        <v>381</v>
      </c>
      <c r="Y12" s="17"/>
    </row>
    <row r="13" spans="1:25" ht="21" customHeight="1" x14ac:dyDescent="0.25">
      <c r="A13" s="8">
        <v>44691</v>
      </c>
      <c r="B13" s="107">
        <v>1.3587</v>
      </c>
      <c r="C13" s="109">
        <v>308.26</v>
      </c>
      <c r="D13" s="108">
        <v>8146337.96</v>
      </c>
      <c r="E13" s="108">
        <v>9080818.3800000008</v>
      </c>
      <c r="F13" s="108">
        <v>3.1958000000000002</v>
      </c>
      <c r="G13" s="108">
        <v>1.0267999999999999</v>
      </c>
      <c r="H13" s="108">
        <v>919.17</v>
      </c>
      <c r="I13" s="108">
        <v>331.16</v>
      </c>
      <c r="J13" s="108">
        <v>456.85</v>
      </c>
      <c r="K13" s="108">
        <v>451.48</v>
      </c>
      <c r="L13" s="108">
        <v>306.39999999999998</v>
      </c>
      <c r="M13" s="108">
        <v>758.67</v>
      </c>
      <c r="N13" s="108">
        <v>718.46</v>
      </c>
      <c r="O13" s="108">
        <v>218.95</v>
      </c>
      <c r="P13" s="108">
        <v>929.5</v>
      </c>
      <c r="Q13" s="108">
        <v>688.51</v>
      </c>
      <c r="R13" s="108">
        <v>190.15</v>
      </c>
      <c r="S13" s="108">
        <v>157.9</v>
      </c>
      <c r="T13" s="108">
        <v>574.94000000000005</v>
      </c>
      <c r="V13" s="102">
        <v>56</v>
      </c>
      <c r="W13" s="102">
        <v>118</v>
      </c>
      <c r="X13" s="102">
        <v>356</v>
      </c>
      <c r="Y13" s="17"/>
    </row>
    <row r="14" spans="1:25" ht="21" customHeight="1" x14ac:dyDescent="0.25">
      <c r="A14" s="8">
        <v>44692</v>
      </c>
      <c r="B14" s="107">
        <v>1.3599000000000001</v>
      </c>
      <c r="C14" s="105">
        <v>308.52999999999997</v>
      </c>
      <c r="D14" s="108">
        <v>8149120.75</v>
      </c>
      <c r="E14" s="108">
        <v>9084721.7300000004</v>
      </c>
      <c r="F14" s="108">
        <v>3.1985999999999999</v>
      </c>
      <c r="G14" s="108">
        <v>1.028</v>
      </c>
      <c r="H14" s="108">
        <v>920.67</v>
      </c>
      <c r="I14" s="108">
        <v>331.52</v>
      </c>
      <c r="J14" s="108">
        <v>457.64</v>
      </c>
      <c r="K14" s="108">
        <v>451.89</v>
      </c>
      <c r="L14" s="108">
        <v>306.68</v>
      </c>
      <c r="M14" s="108">
        <v>759.65</v>
      </c>
      <c r="N14" s="108">
        <v>719.21</v>
      </c>
      <c r="O14" s="108">
        <v>219.17</v>
      </c>
      <c r="P14" s="108">
        <v>930.68</v>
      </c>
      <c r="Q14" s="108">
        <v>689.39</v>
      </c>
      <c r="R14" s="108">
        <v>190.15</v>
      </c>
      <c r="S14" s="108">
        <v>158.04</v>
      </c>
      <c r="T14" s="108">
        <v>575.52</v>
      </c>
      <c r="V14" s="102">
        <v>56</v>
      </c>
      <c r="W14" s="102">
        <v>126</v>
      </c>
      <c r="X14" s="102">
        <v>379</v>
      </c>
      <c r="Y14" s="17"/>
    </row>
    <row r="15" spans="1:25" ht="21" customHeight="1" x14ac:dyDescent="0.25">
      <c r="A15" s="8">
        <v>44693</v>
      </c>
      <c r="B15" s="107">
        <v>1.361</v>
      </c>
      <c r="C15" s="107">
        <v>308.76</v>
      </c>
      <c r="D15" s="108">
        <v>8151256.4299999997</v>
      </c>
      <c r="E15" s="108">
        <v>9087795.9399999995</v>
      </c>
      <c r="F15" s="108">
        <v>3.2012999999999998</v>
      </c>
      <c r="G15" s="108">
        <v>1.0288999999999999</v>
      </c>
      <c r="H15" s="108">
        <v>921.92</v>
      </c>
      <c r="I15" s="108">
        <v>331.85</v>
      </c>
      <c r="J15" s="108">
        <v>458.15</v>
      </c>
      <c r="K15" s="108">
        <v>452.22</v>
      </c>
      <c r="L15" s="108">
        <v>306.89999999999998</v>
      </c>
      <c r="M15" s="108">
        <v>760.48</v>
      </c>
      <c r="N15" s="108">
        <v>719.79</v>
      </c>
      <c r="O15" s="108">
        <v>219.4</v>
      </c>
      <c r="P15" s="108">
        <v>931.72</v>
      </c>
      <c r="Q15" s="108">
        <v>690.14</v>
      </c>
      <c r="R15" s="108">
        <v>190.15</v>
      </c>
      <c r="S15" s="108">
        <v>158.19999999999999</v>
      </c>
      <c r="T15" s="108">
        <v>576.08000000000004</v>
      </c>
      <c r="V15" s="102">
        <v>57</v>
      </c>
      <c r="W15" s="102">
        <v>126</v>
      </c>
      <c r="X15" s="102">
        <v>338</v>
      </c>
      <c r="Y15" s="17"/>
    </row>
    <row r="16" spans="1:25" ht="21" customHeight="1" x14ac:dyDescent="0.25">
      <c r="A16" s="8">
        <v>44694</v>
      </c>
      <c r="B16" s="107">
        <v>1.3620000000000001</v>
      </c>
      <c r="C16" s="107">
        <v>308.99</v>
      </c>
      <c r="D16" s="108">
        <v>8153338.5499999998</v>
      </c>
      <c r="E16" s="108">
        <v>9090740.2699999996</v>
      </c>
      <c r="F16" s="108">
        <v>3.2040000000000002</v>
      </c>
      <c r="G16" s="108">
        <v>1.0299</v>
      </c>
      <c r="H16" s="108">
        <v>923.04</v>
      </c>
      <c r="I16" s="108">
        <v>332.17</v>
      </c>
      <c r="J16" s="108">
        <v>458.82</v>
      </c>
      <c r="K16" s="108">
        <v>452.57</v>
      </c>
      <c r="L16" s="108">
        <v>307.14999999999998</v>
      </c>
      <c r="M16" s="108">
        <v>761.28</v>
      </c>
      <c r="N16" s="108">
        <v>720.37</v>
      </c>
      <c r="O16" s="108">
        <v>219.6</v>
      </c>
      <c r="P16" s="108">
        <v>932.67</v>
      </c>
      <c r="Q16" s="108">
        <v>690.95</v>
      </c>
      <c r="R16" s="108">
        <v>190.15</v>
      </c>
      <c r="S16" s="108">
        <v>158.35</v>
      </c>
      <c r="T16" s="108">
        <v>576.67999999999995</v>
      </c>
      <c r="V16" s="102">
        <v>28</v>
      </c>
      <c r="W16" s="102">
        <v>73</v>
      </c>
      <c r="X16" s="102">
        <v>215</v>
      </c>
      <c r="Y16" s="17"/>
    </row>
    <row r="17" spans="1:25" ht="21" customHeight="1" x14ac:dyDescent="0.25">
      <c r="A17" s="8">
        <v>44695</v>
      </c>
      <c r="B17" s="107">
        <v>1.3631</v>
      </c>
      <c r="C17" s="108">
        <v>309.24</v>
      </c>
      <c r="D17" s="108">
        <v>8155464.8499999996</v>
      </c>
      <c r="E17" s="108">
        <v>9093813.2200000007</v>
      </c>
      <c r="F17" s="108">
        <v>3.2067000000000001</v>
      </c>
      <c r="G17" s="108">
        <v>1.0306999999999999</v>
      </c>
      <c r="H17" s="108">
        <v>924.15</v>
      </c>
      <c r="I17" s="108">
        <v>332.46</v>
      </c>
      <c r="J17" s="108">
        <v>459.45</v>
      </c>
      <c r="K17" s="108">
        <v>452.9</v>
      </c>
      <c r="L17" s="108">
        <v>307.39</v>
      </c>
      <c r="M17" s="108">
        <v>762.21</v>
      </c>
      <c r="N17" s="108">
        <v>720.94</v>
      </c>
      <c r="O17" s="108">
        <v>219.84</v>
      </c>
      <c r="P17" s="108">
        <v>933.58</v>
      </c>
      <c r="Q17" s="108">
        <v>691.76</v>
      </c>
      <c r="R17" s="108">
        <v>190.15</v>
      </c>
      <c r="S17" s="108">
        <v>158.5</v>
      </c>
      <c r="T17" s="108">
        <v>577.17999999999995</v>
      </c>
      <c r="V17" s="102">
        <v>21</v>
      </c>
      <c r="W17" s="102">
        <v>55</v>
      </c>
      <c r="X17" s="102">
        <v>174</v>
      </c>
      <c r="Y17" s="17"/>
    </row>
    <row r="18" spans="1:25" ht="21" customHeight="1" x14ac:dyDescent="0.25">
      <c r="A18" s="8">
        <v>44696</v>
      </c>
      <c r="B18" s="107">
        <v>1.3640000000000001</v>
      </c>
      <c r="C18" s="108">
        <v>309.49</v>
      </c>
      <c r="D18" s="108">
        <v>8157445.6100000003</v>
      </c>
      <c r="E18" s="108">
        <v>9096431.8000000007</v>
      </c>
      <c r="F18" s="108">
        <v>3.2094</v>
      </c>
      <c r="G18" s="108">
        <v>1.0315000000000001</v>
      </c>
      <c r="H18" s="108">
        <v>925.2</v>
      </c>
      <c r="I18" s="108">
        <v>332.74</v>
      </c>
      <c r="J18" s="108">
        <v>460.02</v>
      </c>
      <c r="K18" s="108">
        <v>453.26</v>
      </c>
      <c r="L18" s="108">
        <v>307.64</v>
      </c>
      <c r="M18" s="108">
        <v>763.12</v>
      </c>
      <c r="N18" s="108">
        <v>721.42</v>
      </c>
      <c r="O18" s="108">
        <v>220.02</v>
      </c>
      <c r="P18" s="108">
        <v>934.46</v>
      </c>
      <c r="Q18" s="108">
        <v>692.51</v>
      </c>
      <c r="R18" s="108">
        <v>190.15</v>
      </c>
      <c r="S18" s="108">
        <v>158.63999999999999</v>
      </c>
      <c r="T18" s="108">
        <v>577.46</v>
      </c>
      <c r="V18" s="102">
        <v>24</v>
      </c>
      <c r="W18" s="102">
        <v>65</v>
      </c>
      <c r="X18" s="102">
        <v>159</v>
      </c>
      <c r="Y18" s="17"/>
    </row>
    <row r="19" spans="1:25" ht="21" customHeight="1" x14ac:dyDescent="0.25">
      <c r="A19" s="8">
        <v>44697</v>
      </c>
      <c r="B19" s="107">
        <v>1.3652</v>
      </c>
      <c r="C19" s="108">
        <v>309.73</v>
      </c>
      <c r="D19" s="108">
        <v>8159718.5700000003</v>
      </c>
      <c r="E19" s="108">
        <v>9099734.3900000006</v>
      </c>
      <c r="F19" s="108">
        <v>3.2122000000000002</v>
      </c>
      <c r="G19" s="108">
        <v>1.0324</v>
      </c>
      <c r="H19" s="108">
        <v>926.46</v>
      </c>
      <c r="I19" s="108">
        <v>333.09</v>
      </c>
      <c r="J19" s="108">
        <v>460.46</v>
      </c>
      <c r="K19" s="108">
        <v>453.61</v>
      </c>
      <c r="L19" s="108">
        <v>307.89999999999998</v>
      </c>
      <c r="M19" s="108">
        <v>764.03</v>
      </c>
      <c r="N19" s="108">
        <v>721.94</v>
      </c>
      <c r="O19" s="108">
        <v>220.21</v>
      </c>
      <c r="P19" s="108">
        <v>935.52</v>
      </c>
      <c r="Q19" s="108">
        <v>693.34</v>
      </c>
      <c r="R19" s="108">
        <v>190.15</v>
      </c>
      <c r="S19" s="108">
        <v>158.78</v>
      </c>
      <c r="T19" s="108">
        <v>577.98</v>
      </c>
      <c r="U19" t="s">
        <v>126</v>
      </c>
      <c r="V19" s="102">
        <v>26</v>
      </c>
      <c r="W19" s="102">
        <v>63</v>
      </c>
      <c r="X19" s="102">
        <v>168</v>
      </c>
      <c r="Y19" s="17"/>
    </row>
    <row r="20" spans="1:25" ht="21" customHeight="1" x14ac:dyDescent="0.25">
      <c r="A20" s="8">
        <v>44698</v>
      </c>
      <c r="B20" s="107">
        <v>1.3663000000000001</v>
      </c>
      <c r="C20" s="108">
        <v>309.95999999999998</v>
      </c>
      <c r="D20" s="108">
        <v>8161830.8099999996</v>
      </c>
      <c r="E20" s="108">
        <v>9102798.0099999998</v>
      </c>
      <c r="F20" s="108">
        <v>3.2147999999999999</v>
      </c>
      <c r="G20" s="108">
        <v>1.0331999999999999</v>
      </c>
      <c r="H20" s="108">
        <v>927.68</v>
      </c>
      <c r="I20" s="108">
        <v>333.41</v>
      </c>
      <c r="J20" s="108">
        <v>460.86</v>
      </c>
      <c r="K20" s="108">
        <v>453.89</v>
      </c>
      <c r="L20" s="108">
        <v>308.08999999999997</v>
      </c>
      <c r="M20" s="108">
        <v>764.82</v>
      </c>
      <c r="N20" s="108">
        <v>722.43</v>
      </c>
      <c r="O20" s="108">
        <v>220.38</v>
      </c>
      <c r="P20" s="108">
        <v>936.56</v>
      </c>
      <c r="Q20" s="108">
        <v>694.12</v>
      </c>
      <c r="R20" s="108">
        <v>190.15</v>
      </c>
      <c r="S20" s="108">
        <v>158.91999999999999</v>
      </c>
      <c r="T20" s="108">
        <v>578.5</v>
      </c>
      <c r="V20" s="102">
        <v>39</v>
      </c>
      <c r="W20" s="102">
        <v>78</v>
      </c>
      <c r="X20" s="102">
        <v>175</v>
      </c>
      <c r="Y20" s="17"/>
    </row>
    <row r="21" spans="1:25" ht="21" customHeight="1" x14ac:dyDescent="0.25">
      <c r="A21" s="8">
        <v>44699</v>
      </c>
      <c r="B21" s="107">
        <v>1.3673</v>
      </c>
      <c r="C21" s="108">
        <v>310.20999999999998</v>
      </c>
      <c r="D21" s="108">
        <v>8163756.6500000004</v>
      </c>
      <c r="E21" s="108">
        <v>9105814.9299999997</v>
      </c>
      <c r="F21" s="108">
        <v>3.2172999999999998</v>
      </c>
      <c r="G21" s="108">
        <v>1.034</v>
      </c>
      <c r="H21" s="108">
        <v>928.74</v>
      </c>
      <c r="I21" s="108">
        <v>333.72</v>
      </c>
      <c r="J21" s="108">
        <v>461.37</v>
      </c>
      <c r="K21" s="108">
        <v>454.16</v>
      </c>
      <c r="L21" s="108">
        <v>308.33999999999997</v>
      </c>
      <c r="M21" s="108">
        <v>765.58</v>
      </c>
      <c r="N21" s="108">
        <v>722.86</v>
      </c>
      <c r="O21" s="108">
        <v>220.56</v>
      </c>
      <c r="P21" s="108">
        <v>937.47</v>
      </c>
      <c r="Q21" s="108">
        <v>694.88</v>
      </c>
      <c r="R21" s="108">
        <v>190.15</v>
      </c>
      <c r="S21" s="108">
        <v>159.06</v>
      </c>
      <c r="T21" s="108">
        <v>579.97</v>
      </c>
      <c r="V21" s="102">
        <v>42</v>
      </c>
      <c r="W21" s="102">
        <v>84</v>
      </c>
      <c r="X21" s="102">
        <v>206</v>
      </c>
      <c r="Y21" s="17"/>
    </row>
    <row r="22" spans="1:25" ht="21" customHeight="1" x14ac:dyDescent="0.25">
      <c r="A22" s="8">
        <v>44700</v>
      </c>
      <c r="B22" s="107">
        <v>1.3681000000000001</v>
      </c>
      <c r="C22" s="108">
        <v>310.44</v>
      </c>
      <c r="D22" s="108">
        <v>8165434.0899999999</v>
      </c>
      <c r="E22" s="108">
        <v>9108374.0099999998</v>
      </c>
      <c r="F22" s="108">
        <v>3.2198000000000002</v>
      </c>
      <c r="G22" s="108">
        <v>1.0347999999999999</v>
      </c>
      <c r="H22" s="108">
        <v>929.57</v>
      </c>
      <c r="I22" s="108">
        <v>333.98</v>
      </c>
      <c r="J22" s="108">
        <v>461.8</v>
      </c>
      <c r="K22" s="108">
        <v>454.46</v>
      </c>
      <c r="L22" s="108">
        <v>308.56</v>
      </c>
      <c r="M22" s="108">
        <v>766.23</v>
      </c>
      <c r="N22" s="108">
        <v>723.22</v>
      </c>
      <c r="O22" s="108">
        <v>220.74</v>
      </c>
      <c r="P22" s="108">
        <v>938.18</v>
      </c>
      <c r="Q22" s="108">
        <v>695.53</v>
      </c>
      <c r="R22" s="108">
        <v>190.15</v>
      </c>
      <c r="S22" s="108">
        <v>159.21</v>
      </c>
      <c r="T22" s="108">
        <v>579.97</v>
      </c>
      <c r="V22" s="102">
        <v>47</v>
      </c>
      <c r="W22" s="102">
        <v>97</v>
      </c>
      <c r="X22" s="102">
        <v>276</v>
      </c>
      <c r="Y22" s="17"/>
    </row>
    <row r="23" spans="1:25" ht="21" customHeight="1" x14ac:dyDescent="0.25">
      <c r="A23" s="8">
        <v>44701</v>
      </c>
      <c r="B23" s="107">
        <v>1.3693</v>
      </c>
      <c r="C23" s="108">
        <v>310.69</v>
      </c>
      <c r="D23" s="108">
        <v>8167136.1399999997</v>
      </c>
      <c r="E23" s="108">
        <v>9111307.5500000007</v>
      </c>
      <c r="F23" s="108">
        <v>3.2225999999999999</v>
      </c>
      <c r="G23" s="108">
        <v>1.0358000000000001</v>
      </c>
      <c r="H23" s="108">
        <v>930.71</v>
      </c>
      <c r="I23" s="108">
        <v>334.3</v>
      </c>
      <c r="J23" s="108">
        <v>462.25</v>
      </c>
      <c r="K23" s="108">
        <v>454.77</v>
      </c>
      <c r="L23" s="108">
        <v>308.85000000000002</v>
      </c>
      <c r="M23" s="108">
        <v>767.01</v>
      </c>
      <c r="N23" s="108">
        <v>723.59</v>
      </c>
      <c r="O23" s="108">
        <v>220.95</v>
      </c>
      <c r="P23" s="108">
        <v>938.98</v>
      </c>
      <c r="Q23" s="108">
        <v>696.4</v>
      </c>
      <c r="R23" s="108">
        <v>190.15</v>
      </c>
      <c r="S23" s="108">
        <v>159.32</v>
      </c>
      <c r="T23" s="108">
        <v>579.98</v>
      </c>
      <c r="V23" s="102">
        <v>52</v>
      </c>
      <c r="W23" s="102">
        <v>100</v>
      </c>
      <c r="X23" s="102">
        <v>302</v>
      </c>
      <c r="Y23" s="17"/>
    </row>
    <row r="24" spans="1:25" ht="21" customHeight="1" x14ac:dyDescent="0.25">
      <c r="A24" s="8">
        <v>44702</v>
      </c>
      <c r="B24" s="107">
        <v>1.3704000000000001</v>
      </c>
      <c r="C24" s="108">
        <v>310.92</v>
      </c>
      <c r="D24" s="108">
        <v>8168721.0999999996</v>
      </c>
      <c r="E24" s="108">
        <v>9113922.3200000003</v>
      </c>
      <c r="F24" s="108">
        <v>3.2252000000000001</v>
      </c>
      <c r="G24" s="108">
        <v>1.0366</v>
      </c>
      <c r="H24" s="108">
        <v>931.75</v>
      </c>
      <c r="I24" s="108">
        <v>334.59</v>
      </c>
      <c r="J24" s="108">
        <v>462.64</v>
      </c>
      <c r="K24" s="108">
        <v>455.01</v>
      </c>
      <c r="L24" s="108">
        <v>309.04000000000002</v>
      </c>
      <c r="M24" s="108">
        <v>767.74</v>
      </c>
      <c r="N24" s="108">
        <v>723.95</v>
      </c>
      <c r="O24" s="108">
        <v>221.16</v>
      </c>
      <c r="P24" s="108">
        <v>939.81</v>
      </c>
      <c r="Q24" s="108">
        <v>697.18</v>
      </c>
      <c r="R24" s="108">
        <v>190.15</v>
      </c>
      <c r="S24" s="108">
        <v>159.49</v>
      </c>
      <c r="T24" s="108">
        <v>580.29999999999995</v>
      </c>
      <c r="V24" s="102">
        <v>53</v>
      </c>
      <c r="W24" s="102">
        <v>102</v>
      </c>
      <c r="X24" s="102">
        <v>317</v>
      </c>
      <c r="Y24" s="17"/>
    </row>
    <row r="25" spans="1:25" ht="21" customHeight="1" x14ac:dyDescent="0.25">
      <c r="A25" s="8">
        <v>44703</v>
      </c>
      <c r="B25" s="107">
        <v>1.3715999999999999</v>
      </c>
      <c r="C25" s="108">
        <v>311.16000000000003</v>
      </c>
      <c r="D25" s="108">
        <v>8170546.9699999997</v>
      </c>
      <c r="E25" s="108">
        <v>9117073.5899999999</v>
      </c>
      <c r="F25" s="108">
        <v>3.2280000000000002</v>
      </c>
      <c r="G25" s="108">
        <v>1.0376000000000001</v>
      </c>
      <c r="H25" s="108">
        <v>932.95</v>
      </c>
      <c r="I25" s="108">
        <v>334.93</v>
      </c>
      <c r="J25" s="108">
        <v>463.27</v>
      </c>
      <c r="K25" s="108">
        <v>455.36</v>
      </c>
      <c r="L25" s="108">
        <v>309.32</v>
      </c>
      <c r="M25" s="108">
        <v>768.59</v>
      </c>
      <c r="N25" s="108">
        <v>724.34</v>
      </c>
      <c r="O25" s="108">
        <v>221.39</v>
      </c>
      <c r="P25" s="108">
        <v>940.7</v>
      </c>
      <c r="Q25" s="108">
        <v>697.96</v>
      </c>
      <c r="R25" s="108">
        <v>190.15</v>
      </c>
      <c r="S25" s="108">
        <v>159.63999999999999</v>
      </c>
      <c r="T25" s="108">
        <v>580.91</v>
      </c>
      <c r="V25" s="102">
        <v>30</v>
      </c>
      <c r="W25" s="102">
        <v>58</v>
      </c>
      <c r="X25" s="102">
        <v>196</v>
      </c>
      <c r="Y25" s="17"/>
    </row>
    <row r="26" spans="1:25" ht="21" customHeight="1" x14ac:dyDescent="0.25">
      <c r="A26" s="8">
        <v>44704</v>
      </c>
      <c r="B26" s="107">
        <v>1.3728</v>
      </c>
      <c r="C26" s="108">
        <v>311.41000000000003</v>
      </c>
      <c r="D26" s="108">
        <v>8172568.4900000002</v>
      </c>
      <c r="E26" s="108">
        <v>9120343.7100000009</v>
      </c>
      <c r="F26" s="108">
        <v>3.2307000000000001</v>
      </c>
      <c r="G26" s="108">
        <v>1.0386</v>
      </c>
      <c r="H26" s="108">
        <v>934.24</v>
      </c>
      <c r="I26" s="108">
        <v>335.29</v>
      </c>
      <c r="J26" s="108">
        <v>463.75</v>
      </c>
      <c r="K26" s="108">
        <v>455.68</v>
      </c>
      <c r="L26" s="108">
        <v>309.56</v>
      </c>
      <c r="M26" s="108">
        <v>769.44</v>
      </c>
      <c r="N26" s="108">
        <v>724.67</v>
      </c>
      <c r="O26" s="108">
        <v>221.61</v>
      </c>
      <c r="P26" s="108">
        <v>941.67</v>
      </c>
      <c r="Q26" s="108">
        <v>698.76</v>
      </c>
      <c r="R26" s="108">
        <v>190.15</v>
      </c>
      <c r="S26" s="108">
        <v>159.77000000000001</v>
      </c>
      <c r="T26" s="108">
        <v>581.41</v>
      </c>
      <c r="V26" s="102">
        <v>23</v>
      </c>
      <c r="W26" s="102">
        <v>55</v>
      </c>
      <c r="X26" s="102">
        <v>150</v>
      </c>
      <c r="Y26" s="17"/>
    </row>
    <row r="27" spans="1:25" ht="21" customHeight="1" x14ac:dyDescent="0.25">
      <c r="A27" s="8">
        <v>44705</v>
      </c>
      <c r="B27" s="107">
        <v>1.3740000000000001</v>
      </c>
      <c r="C27" s="108">
        <v>311.63</v>
      </c>
      <c r="D27" s="108">
        <v>8174706.8200000003</v>
      </c>
      <c r="E27" s="108">
        <v>9123653.0899999999</v>
      </c>
      <c r="F27" s="108">
        <v>3.2334999999999998</v>
      </c>
      <c r="G27" s="108">
        <v>1.0395000000000001</v>
      </c>
      <c r="H27" s="108">
        <v>935.51</v>
      </c>
      <c r="I27" s="108">
        <v>335.65</v>
      </c>
      <c r="J27" s="108">
        <v>464.19</v>
      </c>
      <c r="K27" s="108">
        <v>456</v>
      </c>
      <c r="L27" s="108">
        <v>309.77</v>
      </c>
      <c r="M27" s="108">
        <v>770.31</v>
      </c>
      <c r="N27" s="108">
        <v>725.03</v>
      </c>
      <c r="O27" s="108">
        <v>221.83</v>
      </c>
      <c r="P27" s="108">
        <v>942.63</v>
      </c>
      <c r="Q27" s="108">
        <v>699.58</v>
      </c>
      <c r="R27" s="108">
        <v>190.15</v>
      </c>
      <c r="S27" s="108">
        <v>159.91</v>
      </c>
      <c r="T27" s="108">
        <v>581.9</v>
      </c>
      <c r="V27" s="102">
        <v>25</v>
      </c>
      <c r="W27" s="102">
        <v>67</v>
      </c>
      <c r="X27" s="102">
        <v>140</v>
      </c>
      <c r="Y27" s="17"/>
    </row>
    <row r="28" spans="1:25" ht="21" customHeight="1" x14ac:dyDescent="0.25">
      <c r="A28" s="8">
        <v>44706</v>
      </c>
      <c r="B28" s="107">
        <v>1.3751</v>
      </c>
      <c r="C28" s="108">
        <v>311.86</v>
      </c>
      <c r="D28" s="108">
        <v>8176706.0800000001</v>
      </c>
      <c r="E28" s="108">
        <v>9126734.2899999991</v>
      </c>
      <c r="F28" s="108">
        <v>3.2361</v>
      </c>
      <c r="G28" s="108">
        <v>1.0404</v>
      </c>
      <c r="H28" s="108">
        <v>931.12</v>
      </c>
      <c r="I28" s="108">
        <v>335.98</v>
      </c>
      <c r="J28" s="108">
        <v>464.5</v>
      </c>
      <c r="K28" s="108">
        <v>456.25</v>
      </c>
      <c r="L28" s="108">
        <v>309.97000000000003</v>
      </c>
      <c r="M28" s="108">
        <v>771.13</v>
      </c>
      <c r="N28" s="108">
        <v>725.33</v>
      </c>
      <c r="O28" s="108">
        <v>222.04</v>
      </c>
      <c r="P28" s="108">
        <v>943.57</v>
      </c>
      <c r="Q28" s="108">
        <v>700.28</v>
      </c>
      <c r="R28" s="108">
        <v>190.15</v>
      </c>
      <c r="S28" s="108">
        <v>160.06</v>
      </c>
      <c r="T28" s="108">
        <v>582.39</v>
      </c>
      <c r="V28" s="102">
        <v>23</v>
      </c>
      <c r="W28" s="102">
        <v>65</v>
      </c>
      <c r="X28" s="102">
        <v>164</v>
      </c>
      <c r="Y28" s="17"/>
    </row>
    <row r="29" spans="1:25" ht="21" customHeight="1" x14ac:dyDescent="0.25">
      <c r="A29" s="8">
        <v>44707</v>
      </c>
      <c r="B29" s="107">
        <v>1.3763000000000001</v>
      </c>
      <c r="C29" s="108">
        <v>312.06</v>
      </c>
      <c r="D29" s="108">
        <v>8178652.4299999997</v>
      </c>
      <c r="E29" s="108">
        <v>9129668.3000000007</v>
      </c>
      <c r="F29" s="108">
        <v>3.2389000000000001</v>
      </c>
      <c r="G29" s="108">
        <v>1.0412999999999999</v>
      </c>
      <c r="H29" s="108">
        <v>937.87</v>
      </c>
      <c r="I29" s="108">
        <v>336.33</v>
      </c>
      <c r="J29" s="108">
        <v>464.96</v>
      </c>
      <c r="K29" s="108">
        <v>456.52</v>
      </c>
      <c r="L29" s="108">
        <v>310.24</v>
      </c>
      <c r="M29" s="108">
        <v>771.91</v>
      </c>
      <c r="N29" s="108">
        <v>725.6</v>
      </c>
      <c r="O29" s="108">
        <v>222.24</v>
      </c>
      <c r="P29" s="108">
        <v>944.47</v>
      </c>
      <c r="Q29" s="108">
        <v>700.9</v>
      </c>
      <c r="R29" s="108">
        <v>190.15</v>
      </c>
      <c r="S29" s="108">
        <v>160.19</v>
      </c>
      <c r="T29" s="108">
        <v>582.70000000000005</v>
      </c>
      <c r="V29" s="102">
        <v>24</v>
      </c>
      <c r="W29" s="102">
        <v>75</v>
      </c>
      <c r="X29" s="102">
        <v>153</v>
      </c>
      <c r="Y29" s="17"/>
    </row>
    <row r="30" spans="1:25" ht="21" customHeight="1" x14ac:dyDescent="0.25">
      <c r="A30" s="8">
        <v>44708</v>
      </c>
      <c r="B30" s="107">
        <v>1.3774</v>
      </c>
      <c r="C30" s="108">
        <v>312.27</v>
      </c>
      <c r="D30" s="108">
        <v>8180549.0800000001</v>
      </c>
      <c r="E30" s="108">
        <v>9132634.2300000004</v>
      </c>
      <c r="F30" s="108">
        <v>3.2416</v>
      </c>
      <c r="G30" s="108">
        <v>1.0422</v>
      </c>
      <c r="H30" s="108">
        <v>938.95</v>
      </c>
      <c r="I30" s="108">
        <v>336.68</v>
      </c>
      <c r="J30" s="108">
        <v>465.29</v>
      </c>
      <c r="K30" s="108">
        <v>456.79</v>
      </c>
      <c r="L30" s="108">
        <v>310.45</v>
      </c>
      <c r="M30" s="108">
        <v>772.69</v>
      </c>
      <c r="N30" s="108">
        <v>725.84</v>
      </c>
      <c r="O30" s="108">
        <v>222.47</v>
      </c>
      <c r="P30" s="108">
        <v>945.34</v>
      </c>
      <c r="Q30" s="108">
        <v>701.46</v>
      </c>
      <c r="R30" s="108">
        <v>190.15</v>
      </c>
      <c r="S30" s="108">
        <v>160.33000000000001</v>
      </c>
      <c r="T30" s="108">
        <v>583.35</v>
      </c>
      <c r="V30" s="102"/>
      <c r="W30" s="102"/>
      <c r="X30" s="102"/>
      <c r="Y30" s="17"/>
    </row>
    <row r="31" spans="1:25" ht="21" customHeight="1" x14ac:dyDescent="0.25">
      <c r="A31" s="8">
        <v>44709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44710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44711</v>
      </c>
      <c r="B33" s="105"/>
      <c r="C33" s="110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44712</v>
      </c>
      <c r="B34" s="117"/>
      <c r="C34" s="1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>
        <v>44713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1126</v>
      </c>
      <c r="W35" s="75">
        <f>SUM(W4:W34)</f>
        <v>2725</v>
      </c>
      <c r="X35" s="75">
        <f>SUM(X4:X34)</f>
        <v>7422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F30" sqref="F3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44682</v>
      </c>
      <c r="B4" s="26">
        <f>TOTAL!E2</f>
        <v>23699.999999999134</v>
      </c>
      <c r="C4" s="4">
        <f>('Kwh Reading'!T5-'Kwh Reading'!T4)*1000</f>
        <v>529.99999999997272</v>
      </c>
      <c r="D4" s="2">
        <f>('Kwh Reading'!F5-'Kwh Reading'!F4)*1000000</f>
        <v>2899.9999999999027</v>
      </c>
      <c r="E4" s="2">
        <f>('Kwh Reading'!C5-'Kwh Reading'!C4)*1000</f>
        <v>240.00000000000909</v>
      </c>
      <c r="F4" s="2">
        <f>('Kwh Reading'!J5-'Kwh Reading'!J4)*1000</f>
        <v>639.99999999998636</v>
      </c>
      <c r="G4" s="2">
        <f>('Kwh Reading'!K5-'Kwh Reading'!K4)*1000</f>
        <v>360.00000000001364</v>
      </c>
      <c r="H4" s="2">
        <f>('Kwh Reading'!L5-'Kwh Reading'!L4)*1000</f>
        <v>270.00000000003865</v>
      </c>
      <c r="I4" s="2">
        <f>('Kwh Reading'!R5-'Kwh Reading'!R4)*1000</f>
        <v>0</v>
      </c>
      <c r="J4" s="2">
        <f>('Kwh Reading'!S5-'Kwh Reading'!S4)*1000</f>
        <v>149.99999999997726</v>
      </c>
      <c r="K4" s="2">
        <f>('Kwh Reading'!I5-'Kwh Reading'!I4)*1000</f>
        <v>300.00000000001137</v>
      </c>
      <c r="L4" s="2">
        <f>('Kwh Reading'!B5-'Kwh Reading'!B4)*1000000</f>
        <v>1099.9999999998788</v>
      </c>
      <c r="M4" s="2">
        <f>('Kwh Reading'!M5-'Kwh Reading'!M4)*1000</f>
        <v>1009.9999999999909</v>
      </c>
      <c r="N4" s="2">
        <f>('Kwh Reading'!H5-'Kwh Reading'!H4)*1000</f>
        <v>1370.0000000000045</v>
      </c>
      <c r="O4" s="2">
        <f>('Kwh Reading'!P5-'Kwh Reading'!P4)*1000</f>
        <v>1000</v>
      </c>
      <c r="P4" s="2">
        <f>('Kwh Reading'!G5-'Kwh Reading'!G4)*1000000</f>
        <v>899.99999999990087</v>
      </c>
      <c r="Q4" s="2">
        <f>('Kwh Reading'!Q5-'Kwh Reading'!Q4)*1000</f>
        <v>779.99999999997272</v>
      </c>
      <c r="R4" s="2">
        <f>('Kwh Reading'!N5-'Kwh Reading'!N4)*1000</f>
        <v>790.00000000007731</v>
      </c>
      <c r="S4" s="2">
        <f>'Kwh Reading'!E5-'Kwh Reading'!E4</f>
        <v>3581.2899999991059</v>
      </c>
      <c r="T4" s="2">
        <f>'Kwh Reading'!D5-'Kwh Reading'!D4</f>
        <v>2563.339999999851</v>
      </c>
      <c r="U4" s="27">
        <f>('Kwh Reading'!O5-'Kwh Reading'!O4)*1000</f>
        <v>250</v>
      </c>
      <c r="V4" s="16">
        <f>B4-(SUM(C4:U4))</f>
        <v>4965.3700000004392</v>
      </c>
    </row>
    <row r="5" spans="1:22" x14ac:dyDescent="0.25">
      <c r="A5" s="3">
        <f>'Kwh Reading'!A5</f>
        <v>44683</v>
      </c>
      <c r="B5" s="26">
        <f>TOTAL!E3</f>
        <v>26439.99999999869</v>
      </c>
      <c r="C5" s="4">
        <f>('Kwh Reading'!T6-'Kwh Reading'!T5)*1000</f>
        <v>540.00000000007731</v>
      </c>
      <c r="D5" s="2">
        <f>('Kwh Reading'!F6-'Kwh Reading'!F5)*1000000</f>
        <v>3000.0000000001137</v>
      </c>
      <c r="E5" s="2">
        <f>('Kwh Reading'!C6-'Kwh Reading'!C5)*1000</f>
        <v>259.99999999999091</v>
      </c>
      <c r="F5" s="2">
        <f>('Kwh Reading'!J6-'Kwh Reading'!J5)*1000</f>
        <v>770.00000000003865</v>
      </c>
      <c r="G5" s="2">
        <f>('Kwh Reading'!K6-'Kwh Reading'!K5)*1000</f>
        <v>379.99999999999545</v>
      </c>
      <c r="H5" s="2">
        <f>('Kwh Reading'!L6-'Kwh Reading'!L5)*1000</f>
        <v>289.99999999996362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1200.0000000000898</v>
      </c>
      <c r="M5" s="2">
        <f>('Kwh Reading'!M6-'Kwh Reading'!M5)*1000</f>
        <v>1030.0000000000864</v>
      </c>
      <c r="N5" s="2">
        <f>('Kwh Reading'!H6-'Kwh Reading'!H5)*1000</f>
        <v>1409.9999999999682</v>
      </c>
      <c r="O5" s="2">
        <f>('Kwh Reading'!P6-'Kwh Reading'!P5)*1000</f>
        <v>1000</v>
      </c>
      <c r="P5" s="2">
        <f>('Kwh Reading'!G6-'Kwh Reading'!G5)*1000000</f>
        <v>1000.0000000001119</v>
      </c>
      <c r="Q5" s="2">
        <f>('Kwh Reading'!Q6-'Kwh Reading'!Q5)*1000</f>
        <v>870.00000000000455</v>
      </c>
      <c r="R5" s="2">
        <f>('Kwh Reading'!N6-'Kwh Reading'!N5)*1000</f>
        <v>1009.9999999999909</v>
      </c>
      <c r="S5" s="2">
        <f>'Kwh Reading'!E6-'Kwh Reading'!E5</f>
        <v>4147.9300000015646</v>
      </c>
      <c r="T5" s="2">
        <f>'Kwh Reading'!D6-'Kwh Reading'!D5</f>
        <v>2842.7400000002235</v>
      </c>
      <c r="U5" s="27">
        <f>('Kwh Reading'!O6-'Kwh Reading'!O5)*1000</f>
        <v>220.00000000002728</v>
      </c>
      <c r="V5" s="16">
        <f t="shared" ref="V5:V11" si="0">B5-(SUM(C5:U5))</f>
        <v>5959.329999996422</v>
      </c>
    </row>
    <row r="6" spans="1:22" x14ac:dyDescent="0.25">
      <c r="A6" s="3">
        <f>'Kwh Reading'!A6</f>
        <v>44684</v>
      </c>
      <c r="B6" s="26">
        <f>TOTAL!E4</f>
        <v>26170.000000000982</v>
      </c>
      <c r="C6" s="4">
        <f>('Kwh Reading'!T7-'Kwh Reading'!T6)*1000</f>
        <v>569.99999999993634</v>
      </c>
      <c r="D6" s="2">
        <f>('Kwh Reading'!F7-'Kwh Reading'!F6)*1000000</f>
        <v>2799.9999999996917</v>
      </c>
      <c r="E6" s="2">
        <f>('Kwh Reading'!C7-'Kwh Reading'!C6)*1000</f>
        <v>250</v>
      </c>
      <c r="F6" s="2">
        <f>('Kwh Reading'!J7-'Kwh Reading'!J6)*1000</f>
        <v>370.00000000000455</v>
      </c>
      <c r="G6" s="2">
        <f>('Kwh Reading'!K7-'Kwh Reading'!K6)*1000</f>
        <v>379.99999999999545</v>
      </c>
      <c r="H6" s="2">
        <f>('Kwh Reading'!L7-'Kwh Reading'!L6)*1000</f>
        <v>270.00000000003865</v>
      </c>
      <c r="I6" s="2">
        <f>('Kwh Reading'!R7-'Kwh Reading'!R6)*1000</f>
        <v>0</v>
      </c>
      <c r="J6" s="2">
        <f>('Kwh Reading'!S7-'Kwh Reading'!S6)*1000</f>
        <v>250</v>
      </c>
      <c r="K6" s="2">
        <f>('Kwh Reading'!I7-'Kwh Reading'!I6)*1000</f>
        <v>310.00000000000227</v>
      </c>
      <c r="L6" s="2">
        <f>('Kwh Reading'!B7-'Kwh Reading'!B6)*1000000</f>
        <v>1199.9999999998679</v>
      </c>
      <c r="M6" s="2">
        <f>('Kwh Reading'!M7-'Kwh Reading'!M6)*1000</f>
        <v>969.9999999999136</v>
      </c>
      <c r="N6" s="2">
        <f>('Kwh Reading'!H7-'Kwh Reading'!H6)*1000</f>
        <v>1290.0000000000773</v>
      </c>
      <c r="O6" s="2">
        <f>('Kwh Reading'!P7-'Kwh Reading'!P6)*1000</f>
        <v>1100.0000000000227</v>
      </c>
      <c r="P6" s="2">
        <f>('Kwh Reading'!G7-'Kwh Reading'!G6)*1000000</f>
        <v>999.99999999988984</v>
      </c>
      <c r="Q6" s="2">
        <f>('Kwh Reading'!Q7-'Kwh Reading'!Q6)*1000</f>
        <v>870.00000000000455</v>
      </c>
      <c r="R6" s="2">
        <f>('Kwh Reading'!N7-'Kwh Reading'!N6)*1000</f>
        <v>979.9999999999045</v>
      </c>
      <c r="S6" s="2">
        <f>'Kwh Reading'!E7-'Kwh Reading'!E6</f>
        <v>3786.269999999553</v>
      </c>
      <c r="T6" s="2">
        <f>'Kwh Reading'!D7-'Kwh Reading'!D6</f>
        <v>2450.6399999996647</v>
      </c>
      <c r="U6" s="27">
        <f>('Kwh Reading'!O7-'Kwh Reading'!O6)*1000</f>
        <v>239.99999999998067</v>
      </c>
      <c r="V6" s="16">
        <f t="shared" si="0"/>
        <v>7083.090000002434</v>
      </c>
    </row>
    <row r="7" spans="1:22" x14ac:dyDescent="0.25">
      <c r="A7" s="3">
        <f>'Kwh Reading'!A7</f>
        <v>44685</v>
      </c>
      <c r="B7" s="26">
        <f>TOTAL!E5</f>
        <v>27901.209999999774</v>
      </c>
      <c r="C7" s="4">
        <f>('Kwh Reading'!T8-'Kwh Reading'!T7)*1000</f>
        <v>560.00000000005912</v>
      </c>
      <c r="D7" s="2">
        <f>('Kwh Reading'!F8-'Kwh Reading'!F7)*1000000</f>
        <v>2800.0000000001355</v>
      </c>
      <c r="E7" s="2">
        <f>('Kwh Reading'!C8-'Kwh Reading'!C7)*1000</f>
        <v>230.00000000001819</v>
      </c>
      <c r="F7" s="2">
        <f>('Kwh Reading'!J8-'Kwh Reading'!J7)*1000</f>
        <v>709.99999999997954</v>
      </c>
      <c r="G7" s="2">
        <f>('Kwh Reading'!K8-'Kwh Reading'!K7)*1000</f>
        <v>420.00000000001592</v>
      </c>
      <c r="H7" s="2">
        <f>('Kwh Reading'!L8-'Kwh Reading'!L7)*1000</f>
        <v>269.99999999998181</v>
      </c>
      <c r="I7" s="2">
        <f>('Kwh Reading'!R8-'Kwh Reading'!R7)*1000</f>
        <v>0</v>
      </c>
      <c r="J7" s="2">
        <f>('Kwh Reading'!S8-'Kwh Reading'!S7)*1000</f>
        <v>50.000000000011369</v>
      </c>
      <c r="K7" s="2">
        <f>('Kwh Reading'!I8-'Kwh Reading'!I7)*1000</f>
        <v>360.00000000001364</v>
      </c>
      <c r="L7" s="2">
        <f>('Kwh Reading'!B8-'Kwh Reading'!B7)*1000000</f>
        <v>1200.0000000000898</v>
      </c>
      <c r="M7" s="2">
        <f>('Kwh Reading'!M8-'Kwh Reading'!M7)*1000</f>
        <v>850.00000000002274</v>
      </c>
      <c r="N7" s="2">
        <f>('Kwh Reading'!H8-'Kwh Reading'!H7)*1000</f>
        <v>1339.9999999999181</v>
      </c>
      <c r="O7" s="2">
        <f>('Kwh Reading'!P8-'Kwh Reading'!P7)*1000</f>
        <v>1159.9999999999682</v>
      </c>
      <c r="P7" s="2">
        <f>('Kwh Reading'!G8-'Kwh Reading'!G7)*1000000</f>
        <v>1000.0000000001119</v>
      </c>
      <c r="Q7" s="2">
        <f>('Kwh Reading'!Q8-'Kwh Reading'!Q7)*1000</f>
        <v>800.00000000006821</v>
      </c>
      <c r="R7" s="2">
        <f>('Kwh Reading'!N8-'Kwh Reading'!N7)*1000</f>
        <v>970.00000000002728</v>
      </c>
      <c r="S7" s="2">
        <f>'Kwh Reading'!E8-'Kwh Reading'!E7</f>
        <v>3645.570000000298</v>
      </c>
      <c r="T7" s="2">
        <f>'Kwh Reading'!D8-'Kwh Reading'!D7</f>
        <v>2351.2199999997392</v>
      </c>
      <c r="U7" s="27">
        <f>('Kwh Reading'!O8-'Kwh Reading'!O7)*1000</f>
        <v>219.99999999999886</v>
      </c>
      <c r="V7" s="16">
        <f t="shared" si="0"/>
        <v>8964.4199999993143</v>
      </c>
    </row>
    <row r="8" spans="1:22" x14ac:dyDescent="0.25">
      <c r="A8" s="3">
        <f>'Kwh Reading'!A8</f>
        <v>44686</v>
      </c>
      <c r="B8" s="26">
        <f>TOTAL!E6</f>
        <v>25470.000000000255</v>
      </c>
      <c r="C8" s="4">
        <f>('Kwh Reading'!T9-'Kwh Reading'!T8)*1000</f>
        <v>559.99999999994543</v>
      </c>
      <c r="D8" s="2">
        <f>('Kwh Reading'!F9-'Kwh Reading'!F8)*1000000</f>
        <v>2899.9999999999027</v>
      </c>
      <c r="E8" s="2">
        <f>('Kwh Reading'!C9-'Kwh Reading'!C8)*1000</f>
        <v>269.99999999998181</v>
      </c>
      <c r="F8" s="2">
        <f>('Kwh Reading'!J9-'Kwh Reading'!J8)*1000</f>
        <v>800.00000000001137</v>
      </c>
      <c r="G8" s="2">
        <f>('Kwh Reading'!K9-'Kwh Reading'!K8)*1000</f>
        <v>439.99999999999773</v>
      </c>
      <c r="H8" s="2">
        <f>('Kwh Reading'!L9-'Kwh Reading'!L8)*1000</f>
        <v>279.99999999997272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319.99999999999318</v>
      </c>
      <c r="L8" s="2">
        <f>('Kwh Reading'!B9-'Kwh Reading'!B8)*1000000</f>
        <v>1099.9999999998788</v>
      </c>
      <c r="M8" s="2">
        <f>('Kwh Reading'!M9-'Kwh Reading'!M8)*1000</f>
        <v>899.99999999997726</v>
      </c>
      <c r="N8" s="2">
        <f>('Kwh Reading'!H9-'Kwh Reading'!H8)*1000</f>
        <v>1290.0000000000773</v>
      </c>
      <c r="O8" s="2">
        <f>('Kwh Reading'!P9-'Kwh Reading'!P8)*1000</f>
        <v>1120.0000000000045</v>
      </c>
      <c r="P8" s="2">
        <f>('Kwh Reading'!G9-'Kwh Reading'!G8)*1000000</f>
        <v>999.99999999988984</v>
      </c>
      <c r="Q8" s="2">
        <f>('Kwh Reading'!Q9-'Kwh Reading'!Q8)*1000</f>
        <v>809.99999999994543</v>
      </c>
      <c r="R8" s="2">
        <f>('Kwh Reading'!N9-'Kwh Reading'!N8)*1000</f>
        <v>940.00000000005457</v>
      </c>
      <c r="S8" s="2">
        <f>'Kwh Reading'!E9-'Kwh Reading'!E8</f>
        <v>3473.429999999702</v>
      </c>
      <c r="T8" s="2">
        <f>'Kwh Reading'!D9-'Kwh Reading'!D8</f>
        <v>2207.3700000001118</v>
      </c>
      <c r="U8" s="27">
        <f>('Kwh Reading'!O9-'Kwh Reading'!O8)*1000</f>
        <v>240.00000000000909</v>
      </c>
      <c r="V8" s="16">
        <f t="shared" si="0"/>
        <v>6669.2000000007974</v>
      </c>
    </row>
    <row r="9" spans="1:22" x14ac:dyDescent="0.25">
      <c r="A9" s="3">
        <f>'Kwh Reading'!A9</f>
        <v>44687</v>
      </c>
      <c r="B9" s="26">
        <f>TOTAL!E7</f>
        <v>25940.000000000284</v>
      </c>
      <c r="C9" s="4">
        <f>('Kwh Reading'!T10-'Kwh Reading'!T9)*1000</f>
        <v>220.00000000002728</v>
      </c>
      <c r="D9" s="2">
        <f>('Kwh Reading'!F10-'Kwh Reading'!F9)*1000000</f>
        <v>2800.0000000001355</v>
      </c>
      <c r="E9" s="2">
        <f>('Kwh Reading'!C10-'Kwh Reading'!C9)*1000</f>
        <v>240.00000000000909</v>
      </c>
      <c r="F9" s="2">
        <f>('Kwh Reading'!J10-'Kwh Reading'!J9)*1000</f>
        <v>750</v>
      </c>
      <c r="G9" s="2">
        <f>('Kwh Reading'!K10-'Kwh Reading'!K9)*1000</f>
        <v>410.00000000002501</v>
      </c>
      <c r="H9" s="2">
        <f>('Kwh Reading'!L10-'Kwh Reading'!L9)*1000</f>
        <v>270.00000000003865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339.99999999997499</v>
      </c>
      <c r="L9" s="2">
        <f>('Kwh Reading'!B10-'Kwh Reading'!B9)*1000000</f>
        <v>1200.0000000000898</v>
      </c>
      <c r="M9" s="2">
        <f>('Kwh Reading'!M10-'Kwh Reading'!M9)*1000</f>
        <v>920.00000000007276</v>
      </c>
      <c r="N9" s="2">
        <f>('Kwh Reading'!H10-'Kwh Reading'!H9)*1000</f>
        <v>1469.9999999999136</v>
      </c>
      <c r="O9" s="2">
        <f>('Kwh Reading'!P10-'Kwh Reading'!P9)*1000</f>
        <v>1129.9999999999955</v>
      </c>
      <c r="P9" s="2">
        <f>('Kwh Reading'!G10-'Kwh Reading'!G9)*1000000</f>
        <v>1000.0000000001119</v>
      </c>
      <c r="Q9" s="2">
        <f>('Kwh Reading'!Q10-'Kwh Reading'!Q9)*1000</f>
        <v>769.99999999998181</v>
      </c>
      <c r="R9" s="2">
        <f>('Kwh Reading'!N10-'Kwh Reading'!N9)*1000</f>
        <v>990.00000000000909</v>
      </c>
      <c r="S9" s="2">
        <f>'Kwh Reading'!E10-'Kwh Reading'!E9</f>
        <v>3397.980000000447</v>
      </c>
      <c r="T9" s="2">
        <f>'Kwh Reading'!D10-'Kwh Reading'!D9</f>
        <v>2172.5</v>
      </c>
      <c r="U9" s="27">
        <f>('Kwh Reading'!O10-'Kwh Reading'!O9)*1000</f>
        <v>229.99999999998977</v>
      </c>
      <c r="V9" s="16">
        <f t="shared" si="0"/>
        <v>7479.5199999994838</v>
      </c>
    </row>
    <row r="10" spans="1:22" x14ac:dyDescent="0.25">
      <c r="A10" s="3">
        <f>'Kwh Reading'!A10</f>
        <v>44688</v>
      </c>
      <c r="B10" s="26">
        <f>TOTAL!E8</f>
        <v>24799.999999999498</v>
      </c>
      <c r="C10" s="4">
        <f>('Kwh Reading'!T11-'Kwh Reading'!T10)*1000</f>
        <v>629.99999999999545</v>
      </c>
      <c r="D10" s="2">
        <f>('Kwh Reading'!F11-'Kwh Reading'!F10)*1000000</f>
        <v>2899.9999999999027</v>
      </c>
      <c r="E10" s="2">
        <f>('Kwh Reading'!C11-'Kwh Reading'!C10)*1000</f>
        <v>259.99999999999091</v>
      </c>
      <c r="F10" s="2">
        <f>('Kwh Reading'!J11-'Kwh Reading'!J10)*1000</f>
        <v>839.99999999997499</v>
      </c>
      <c r="G10" s="2">
        <f>('Kwh Reading'!K11-'Kwh Reading'!K10)*1000</f>
        <v>419.99999999995907</v>
      </c>
      <c r="H10" s="2">
        <f>('Kwh Reading'!L11-'Kwh Reading'!L10)*1000</f>
        <v>300.00000000001137</v>
      </c>
      <c r="I10" s="2">
        <f>('Kwh Reading'!R11-'Kwh Reading'!R10)*1000</f>
        <v>0</v>
      </c>
      <c r="J10" s="2">
        <f>('Kwh Reading'!S11-'Kwh Reading'!S10)*1000</f>
        <v>160.00000000002501</v>
      </c>
      <c r="K10" s="2">
        <f>('Kwh Reading'!I11-'Kwh Reading'!I10)*1000</f>
        <v>319.99999999999318</v>
      </c>
      <c r="L10" s="2">
        <f>('Kwh Reading'!B11-'Kwh Reading'!B10)*1000000</f>
        <v>1100.000000000101</v>
      </c>
      <c r="M10" s="2">
        <f>('Kwh Reading'!M11-'Kwh Reading'!M10)*1000</f>
        <v>829.99999999992724</v>
      </c>
      <c r="N10" s="2">
        <f>('Kwh Reading'!H11-'Kwh Reading'!H10)*1000</f>
        <v>1370.0000000000045</v>
      </c>
      <c r="O10" s="2">
        <f>('Kwh Reading'!P11-'Kwh Reading'!P10)*1000</f>
        <v>1120.0000000000045</v>
      </c>
      <c r="P10" s="2">
        <f>('Kwh Reading'!G11-'Kwh Reading'!G10)*1000000</f>
        <v>899.99999999990087</v>
      </c>
      <c r="Q10" s="2">
        <f>('Kwh Reading'!Q11-'Kwh Reading'!Q10)*1000</f>
        <v>820.00000000005002</v>
      </c>
      <c r="R10" s="2">
        <f>('Kwh Reading'!N11-'Kwh Reading'!N10)*1000</f>
        <v>789.99999999996362</v>
      </c>
      <c r="S10" s="33">
        <f>'Kwh Reading'!E11-'Kwh Reading'!E10</f>
        <v>3788.859999999404</v>
      </c>
      <c r="T10" s="33">
        <f>'Kwh Reading'!D11-'Kwh Reading'!D10</f>
        <v>2316.4300000006333</v>
      </c>
      <c r="U10" s="27">
        <f>('Kwh Reading'!O11-'Kwh Reading'!O10)*1000</f>
        <v>189.99999999999773</v>
      </c>
      <c r="V10" s="16">
        <f t="shared" si="0"/>
        <v>5744.7099999996572</v>
      </c>
    </row>
    <row r="11" spans="1:22" x14ac:dyDescent="0.25">
      <c r="A11" s="3">
        <f>'Kwh Reading'!A11</f>
        <v>44689</v>
      </c>
      <c r="B11" s="26">
        <f>TOTAL!E9</f>
        <v>27030.000000001106</v>
      </c>
      <c r="C11" s="4">
        <f>('Kwh Reading'!T12-'Kwh Reading'!T11)*1000</f>
        <v>529.99999999997272</v>
      </c>
      <c r="D11" s="2">
        <f>('Kwh Reading'!F12-'Kwh Reading'!F11)*1000000</f>
        <v>2899.9999999999027</v>
      </c>
      <c r="E11" s="2">
        <f>('Kwh Reading'!C12-'Kwh Reading'!C11)*1000</f>
        <v>240.00000000000909</v>
      </c>
      <c r="F11" s="2">
        <f>('Kwh Reading'!J12-'Kwh Reading'!J11)*1000</f>
        <v>670.00000000001592</v>
      </c>
      <c r="G11" s="2">
        <f>('Kwh Reading'!K12-'Kwh Reading'!K11)*1000</f>
        <v>400.00000000003411</v>
      </c>
      <c r="H11" s="2">
        <f>('Kwh Reading'!L12-'Kwh Reading'!L11)*1000</f>
        <v>289.99999999996362</v>
      </c>
      <c r="I11" s="2">
        <f>('Kwh Reading'!R12-'Kwh Reading'!R11)*1000</f>
        <v>0</v>
      </c>
      <c r="J11" s="2">
        <f>('Kwh Reading'!S12-'Kwh Reading'!S11)*1000</f>
        <v>149.99999999997726</v>
      </c>
      <c r="K11" s="2">
        <f>('Kwh Reading'!I12-'Kwh Reading'!I11)*1000</f>
        <v>370.00000000000455</v>
      </c>
      <c r="L11" s="2">
        <f>('Kwh Reading'!B12-'Kwh Reading'!B11)*1000000</f>
        <v>1299.9999999998568</v>
      </c>
      <c r="M11" s="2">
        <f>('Kwh Reading'!M12-'Kwh Reading'!M11)*1000</f>
        <v>950.00000000004547</v>
      </c>
      <c r="N11" s="2">
        <f>('Kwh Reading'!H12-'Kwh Reading'!H11)*1000</f>
        <v>1509.9999999999909</v>
      </c>
      <c r="O11" s="2">
        <f>('Kwh Reading'!P12-'Kwh Reading'!P11)*1000</f>
        <v>1200.0000000000455</v>
      </c>
      <c r="P11" s="2">
        <f>('Kwh Reading'!G12-'Kwh Reading'!G11)*1000000</f>
        <v>1000.0000000001119</v>
      </c>
      <c r="Q11" s="2">
        <f>('Kwh Reading'!Q12-'Kwh Reading'!Q11)*1000</f>
        <v>970.00000000002728</v>
      </c>
      <c r="R11" s="2">
        <f>('Kwh Reading'!N12-'Kwh Reading'!N11)*1000</f>
        <v>879.99999999999545</v>
      </c>
      <c r="S11" s="33">
        <f>'Kwh Reading'!E12-'Kwh Reading'!E11</f>
        <v>4134</v>
      </c>
      <c r="T11" s="33">
        <f>'Kwh Reading'!D12-'Kwh Reading'!D11</f>
        <v>2975.5599999995902</v>
      </c>
      <c r="U11" s="27">
        <f>('Kwh Reading'!O12-'Kwh Reading'!O11)*1000</f>
        <v>230.00000000001819</v>
      </c>
      <c r="V11" s="16">
        <f t="shared" si="0"/>
        <v>6330.4400000015448</v>
      </c>
    </row>
    <row r="12" spans="1:22" x14ac:dyDescent="0.25">
      <c r="A12" s="3">
        <f>'Kwh Reading'!A12</f>
        <v>44690</v>
      </c>
      <c r="B12" s="26">
        <f>TOTAL!E10</f>
        <v>27829.999999999243</v>
      </c>
      <c r="C12" s="4">
        <f>('Kwh Reading'!T13-'Kwh Reading'!T12)*1000</f>
        <v>530.0000000000864</v>
      </c>
      <c r="D12" s="2">
        <f>('Kwh Reading'!F13-'Kwh Reading'!F12)*1000000</f>
        <v>2900.0000000003465</v>
      </c>
      <c r="E12" s="2">
        <f>('Kwh Reading'!C13-'Kwh Reading'!C12)*1000</f>
        <v>250</v>
      </c>
      <c r="F12" s="2">
        <f>('Kwh Reading'!J13-'Kwh Reading'!J12)*1000</f>
        <v>660.00000000002501</v>
      </c>
      <c r="G12" s="2">
        <f>('Kwh Reading'!K13-'Kwh Reading'!K12)*1000</f>
        <v>370.00000000000455</v>
      </c>
      <c r="H12" s="2">
        <f>('Kwh Reading'!L13-'Kwh Reading'!L12)*1000</f>
        <v>259.99999999999091</v>
      </c>
      <c r="I12" s="2">
        <f>('Kwh Reading'!R13-'Kwh Reading'!R12)*1000</f>
        <v>0</v>
      </c>
      <c r="J12" s="2">
        <f>('Kwh Reading'!S13-'Kwh Reading'!S12)*1000</f>
        <v>140.00000000001478</v>
      </c>
      <c r="K12" s="2">
        <f>('Kwh Reading'!I13-'Kwh Reading'!I12)*1000</f>
        <v>400.00000000003411</v>
      </c>
      <c r="L12" s="2">
        <f>('Kwh Reading'!B13-'Kwh Reading'!B12)*1000000</f>
        <v>1300.0000000000789</v>
      </c>
      <c r="M12" s="2">
        <f>('Kwh Reading'!M13-'Kwh Reading'!M12)*1000</f>
        <v>1039.9999999999636</v>
      </c>
      <c r="N12" s="2">
        <f>('Kwh Reading'!H13-'Kwh Reading'!H12)*1000</f>
        <v>1610.0000000000136</v>
      </c>
      <c r="O12" s="2">
        <f>('Kwh Reading'!P13-'Kwh Reading'!P12)*1000</f>
        <v>1379.9999999999955</v>
      </c>
      <c r="P12" s="2">
        <f>('Kwh Reading'!G13-'Kwh Reading'!G12)*1000000</f>
        <v>1099.9999999998788</v>
      </c>
      <c r="Q12" s="2">
        <f>('Kwh Reading'!Q13-'Kwh Reading'!Q12)*1000</f>
        <v>929.99999999994998</v>
      </c>
      <c r="R12" s="2">
        <f>('Kwh Reading'!N13-'Kwh Reading'!N12)*1000</f>
        <v>830.00000000004093</v>
      </c>
      <c r="S12" s="33">
        <f>'Kwh Reading'!E13-'Kwh Reading'!E12</f>
        <v>4252.0600000005215</v>
      </c>
      <c r="T12" s="33">
        <f>'Kwh Reading'!D13-'Kwh Reading'!D12</f>
        <v>3060</v>
      </c>
      <c r="U12" s="27">
        <f>('Kwh Reading'!O13-'Kwh Reading'!O12)*1000</f>
        <v>239.99999999998067</v>
      </c>
      <c r="V12" s="16">
        <f t="shared" ref="V12:V34" si="1">B12-(SUM(C12:U12))</f>
        <v>6577.9399999983179</v>
      </c>
    </row>
    <row r="13" spans="1:22" x14ac:dyDescent="0.25">
      <c r="A13" s="3">
        <f>'Kwh Reading'!A13</f>
        <v>44691</v>
      </c>
      <c r="B13" s="26">
        <f>TOTAL!E11</f>
        <v>26319.999999999025</v>
      </c>
      <c r="C13" s="4">
        <f>('Kwh Reading'!T14-'Kwh Reading'!T13)*1000</f>
        <v>579.99999999992724</v>
      </c>
      <c r="D13" s="2">
        <f>('Kwh Reading'!F14-'Kwh Reading'!F13)*1000000</f>
        <v>2799.9999999996917</v>
      </c>
      <c r="E13" s="2">
        <f>('Kwh Reading'!C14-'Kwh Reading'!C13)*1000</f>
        <v>269.99999999998181</v>
      </c>
      <c r="F13" s="2">
        <f>('Kwh Reading'!J14-'Kwh Reading'!J13)*1000</f>
        <v>789.99999999996362</v>
      </c>
      <c r="G13" s="2">
        <f>('Kwh Reading'!K14-'Kwh Reading'!K13)*1000</f>
        <v>409.99999999996817</v>
      </c>
      <c r="H13" s="2">
        <f>('Kwh Reading'!L14-'Kwh Reading'!L13)*1000</f>
        <v>280.00000000002956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359.9999999999568</v>
      </c>
      <c r="L13" s="2">
        <f>('Kwh Reading'!B14-'Kwh Reading'!B13)*1000000</f>
        <v>1200.0000000000898</v>
      </c>
      <c r="M13" s="2">
        <f>('Kwh Reading'!M14-'Kwh Reading'!M13)*1000</f>
        <v>980.00000000001819</v>
      </c>
      <c r="N13" s="2">
        <f>('Kwh Reading'!H14-'Kwh Reading'!H13)*1000</f>
        <v>1500</v>
      </c>
      <c r="O13" s="2">
        <f>('Kwh Reading'!P14-'Kwh Reading'!P13)*1000</f>
        <v>1179.99999999995</v>
      </c>
      <c r="P13" s="2">
        <f>('Kwh Reading'!G14-'Kwh Reading'!G13)*1000000</f>
        <v>1200.0000000000898</v>
      </c>
      <c r="Q13" s="2">
        <f>('Kwh Reading'!Q14-'Kwh Reading'!Q13)*1000</f>
        <v>879.99999999999545</v>
      </c>
      <c r="R13" s="2">
        <f>('Kwh Reading'!N14-'Kwh Reading'!N13)*1000</f>
        <v>750</v>
      </c>
      <c r="S13" s="33">
        <f>'Kwh Reading'!E14-'Kwh Reading'!E13</f>
        <v>3903.3499999996275</v>
      </c>
      <c r="T13" s="33">
        <f>'Kwh Reading'!D14-'Kwh Reading'!D13</f>
        <v>2782.7900000000373</v>
      </c>
      <c r="U13" s="27">
        <f>('Kwh Reading'!O14-'Kwh Reading'!O13)*1000</f>
        <v>219.99999999999886</v>
      </c>
      <c r="V13" s="16">
        <f t="shared" si="1"/>
        <v>6093.8599999997132</v>
      </c>
    </row>
    <row r="14" spans="1:22" x14ac:dyDescent="0.25">
      <c r="A14" s="3">
        <f>'Kwh Reading'!A14</f>
        <v>44692</v>
      </c>
      <c r="B14" s="26">
        <f>TOTAL!E12</f>
        <v>23189.999999999825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230.00000000001819</v>
      </c>
      <c r="F14" s="2">
        <f>('Kwh Reading'!J15-'Kwh Reading'!J14)*1000</f>
        <v>509.99999999999091</v>
      </c>
      <c r="G14" s="2">
        <f>('Kwh Reading'!K15-'Kwh Reading'!K14)*1000</f>
        <v>330.00000000004093</v>
      </c>
      <c r="H14" s="2">
        <f>('Kwh Reading'!L15-'Kwh Reading'!L14)*1000</f>
        <v>219.99999999997044</v>
      </c>
      <c r="I14" s="2">
        <f>('Kwh Reading'!R15-'Kwh Reading'!R14)*1000</f>
        <v>0</v>
      </c>
      <c r="J14" s="2">
        <f>('Kwh Reading'!S15-'Kwh Reading'!S14)*1000</f>
        <v>159.99999999999659</v>
      </c>
      <c r="K14" s="2">
        <f>('Kwh Reading'!I15-'Kwh Reading'!I14)*1000</f>
        <v>330.00000000004093</v>
      </c>
      <c r="L14" s="2">
        <f>('Kwh Reading'!B15-'Kwh Reading'!B14)*1000000</f>
        <v>1099.9999999998788</v>
      </c>
      <c r="M14" s="2">
        <f>('Kwh Reading'!M15-'Kwh Reading'!M14)*1000</f>
        <v>830.00000000004093</v>
      </c>
      <c r="N14" s="2">
        <f>('Kwh Reading'!H15-'Kwh Reading'!H14)*1000</f>
        <v>1250</v>
      </c>
      <c r="O14" s="2">
        <f>('Kwh Reading'!P15-'Kwh Reading'!P14)*1000</f>
        <v>1040.0000000000773</v>
      </c>
      <c r="P14" s="2">
        <f>('Kwh Reading'!G15-'Kwh Reading'!G14)*1000000</f>
        <v>899.99999999990087</v>
      </c>
      <c r="Q14" s="2">
        <f>('Kwh Reading'!Q15-'Kwh Reading'!Q14)*1000</f>
        <v>750</v>
      </c>
      <c r="R14" s="2">
        <f>('Kwh Reading'!N15-'Kwh Reading'!N14)*1000</f>
        <v>579.99999999992724</v>
      </c>
      <c r="S14" s="33">
        <f>'Kwh Reading'!E15-'Kwh Reading'!E14</f>
        <v>3074.2099999990314</v>
      </c>
      <c r="T14" s="33">
        <f>'Kwh Reading'!D15-'Kwh Reading'!D14</f>
        <v>2135.679999999702</v>
      </c>
      <c r="U14" s="27">
        <f>('Kwh Reading'!O15-'Kwh Reading'!O14)*1000</f>
        <v>230.00000000001819</v>
      </c>
      <c r="V14" s="16">
        <f t="shared" si="1"/>
        <v>6260.1100000012084</v>
      </c>
    </row>
    <row r="15" spans="1:22" x14ac:dyDescent="0.25">
      <c r="A15" s="3">
        <f>'Kwh Reading'!A15</f>
        <v>44693</v>
      </c>
      <c r="B15" s="26">
        <f>TOTAL!E13</f>
        <v>22990.000000000466</v>
      </c>
      <c r="C15" s="4">
        <f>('Kwh Reading'!T16-'Kwh Reading'!T15)*1000</f>
        <v>599.99999999990905</v>
      </c>
      <c r="D15" s="2">
        <f>('Kwh Reading'!F16-'Kwh Reading'!F15)*1000000</f>
        <v>2700.0000000003688</v>
      </c>
      <c r="E15" s="2">
        <f>('Kwh Reading'!C16-'Kwh Reading'!C15)*1000</f>
        <v>230.00000000001819</v>
      </c>
      <c r="F15" s="2">
        <f>('Kwh Reading'!J16-'Kwh Reading'!J15)*1000</f>
        <v>670.00000000001592</v>
      </c>
      <c r="G15" s="2">
        <f>('Kwh Reading'!K16-'Kwh Reading'!K15)*1000</f>
        <v>349.99999999996589</v>
      </c>
      <c r="H15" s="2">
        <f>('Kwh Reading'!L16-'Kwh Reading'!L15)*1000</f>
        <v>250</v>
      </c>
      <c r="I15" s="2">
        <f>('Kwh Reading'!R16-'Kwh Reading'!R15)*1000</f>
        <v>0</v>
      </c>
      <c r="J15" s="2">
        <f>('Kwh Reading'!S16-'Kwh Reading'!S15)*1000</f>
        <v>150.00000000000568</v>
      </c>
      <c r="K15" s="2">
        <f>('Kwh Reading'!I16-'Kwh Reading'!I15)*1000</f>
        <v>319.99999999999318</v>
      </c>
      <c r="L15" s="2">
        <f>('Kwh Reading'!B16-'Kwh Reading'!B15)*1000000</f>
        <v>1000.0000000001119</v>
      </c>
      <c r="M15" s="2">
        <f>('Kwh Reading'!M16-'Kwh Reading'!M15)*1000</f>
        <v>799.99999999995453</v>
      </c>
      <c r="N15" s="2">
        <f>('Kwh Reading'!H16-'Kwh Reading'!H15)*1000</f>
        <v>1120.0000000000045</v>
      </c>
      <c r="O15" s="2">
        <f>('Kwh Reading'!P16-'Kwh Reading'!P15)*1000</f>
        <v>949.99999999993179</v>
      </c>
      <c r="P15" s="2">
        <f>('Kwh Reading'!G16-'Kwh Reading'!G15)*1000000</f>
        <v>1000.0000000001119</v>
      </c>
      <c r="Q15" s="2">
        <f>('Kwh Reading'!Q16-'Kwh Reading'!Q15)*1000</f>
        <v>810.00000000005912</v>
      </c>
      <c r="R15" s="2">
        <f>('Kwh Reading'!N16-'Kwh Reading'!N15)*1000</f>
        <v>580.00000000004093</v>
      </c>
      <c r="S15" s="33">
        <f>'Kwh Reading'!E16-'Kwh Reading'!E15</f>
        <v>2944.3300000000745</v>
      </c>
      <c r="T15" s="33">
        <f>'Kwh Reading'!D16-'Kwh Reading'!D15</f>
        <v>2082.1200000001118</v>
      </c>
      <c r="U15" s="27">
        <f>('Kwh Reading'!O16-'Kwh Reading'!O15)*1000</f>
        <v>199.99999999998863</v>
      </c>
      <c r="V15" s="16">
        <f t="shared" si="1"/>
        <v>6233.5499999997992</v>
      </c>
    </row>
    <row r="16" spans="1:22" x14ac:dyDescent="0.25">
      <c r="A16" s="3">
        <f>'Kwh Reading'!A16</f>
        <v>44694</v>
      </c>
      <c r="B16" s="26">
        <f>TOTAL!E14</f>
        <v>22510.000000001808</v>
      </c>
      <c r="C16" s="4">
        <f>('Kwh Reading'!T17-'Kwh Reading'!T16)*1000</f>
        <v>500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629.99999999999545</v>
      </c>
      <c r="G16" s="2">
        <f>('Kwh Reading'!K17-'Kwh Reading'!K16)*1000</f>
        <v>329.99999999998408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289.99999999996362</v>
      </c>
      <c r="L16" s="2">
        <f>('Kwh Reading'!B17-'Kwh Reading'!B16)*1000000</f>
        <v>1099.9999999998788</v>
      </c>
      <c r="M16" s="2">
        <f>('Kwh Reading'!M17-'Kwh Reading'!M16)*1000</f>
        <v>930.00000000006366</v>
      </c>
      <c r="N16" s="2">
        <f>('Kwh Reading'!H17-'Kwh Reading'!H16)*1000</f>
        <v>1110.0000000000136</v>
      </c>
      <c r="O16" s="2">
        <f>('Kwh Reading'!P17-'Kwh Reading'!P16)*1000</f>
        <v>910.00000000008185</v>
      </c>
      <c r="P16" s="2">
        <f>('Kwh Reading'!G17-'Kwh Reading'!G16)*1000000</f>
        <v>799.99999999991189</v>
      </c>
      <c r="Q16" s="2">
        <f>('Kwh Reading'!Q17-'Kwh Reading'!Q16)*1000</f>
        <v>809.99999999994543</v>
      </c>
      <c r="R16" s="2">
        <f>('Kwh Reading'!N17-'Kwh Reading'!N16)*1000</f>
        <v>570.00000000005002</v>
      </c>
      <c r="S16" s="33">
        <f>'Kwh Reading'!E17-'Kwh Reading'!E16</f>
        <v>3072.9500000011176</v>
      </c>
      <c r="T16" s="33">
        <f>'Kwh Reading'!D17-'Kwh Reading'!D16</f>
        <v>2126.2999999998137</v>
      </c>
      <c r="U16" s="27">
        <f>('Kwh Reading'!O17-'Kwh Reading'!O16)*1000</f>
        <v>240.00000000000909</v>
      </c>
      <c r="V16" s="16">
        <f t="shared" si="1"/>
        <v>5750.7500000010368</v>
      </c>
    </row>
    <row r="17" spans="1:22" x14ac:dyDescent="0.25">
      <c r="A17" s="3">
        <f>'Kwh Reading'!A17</f>
        <v>44695</v>
      </c>
      <c r="B17" s="26">
        <f>TOTAL!E15</f>
        <v>21610.000000000357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569.99999999999318</v>
      </c>
      <c r="G17" s="2">
        <f>('Kwh Reading'!K18-'Kwh Reading'!K17)*1000</f>
        <v>360.00000000001364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280.00000000002956</v>
      </c>
      <c r="L17" s="2">
        <f>('Kwh Reading'!B18-'Kwh Reading'!B17)*1000000</f>
        <v>900.0000000001229</v>
      </c>
      <c r="M17" s="2">
        <f>('Kwh Reading'!M18-'Kwh Reading'!M17)*1000</f>
        <v>909.99999999996817</v>
      </c>
      <c r="N17" s="2">
        <f>('Kwh Reading'!H18-'Kwh Reading'!H17)*1000</f>
        <v>1050.0000000000682</v>
      </c>
      <c r="O17" s="2">
        <f>('Kwh Reading'!P18-'Kwh Reading'!P17)*1000</f>
        <v>879.99999999999545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479.9999999999045</v>
      </c>
      <c r="S17" s="33">
        <f>'Kwh Reading'!E18-'Kwh Reading'!E17</f>
        <v>2618.5800000000745</v>
      </c>
      <c r="T17" s="33">
        <f>'Kwh Reading'!D18-'Kwh Reading'!D17</f>
        <v>1980.7600000007078</v>
      </c>
      <c r="U17" s="27">
        <f>('Kwh Reading'!O18-'Kwh Reading'!O17)*1000</f>
        <v>180.00000000000682</v>
      </c>
      <c r="V17" s="16">
        <f t="shared" si="1"/>
        <v>6230.6599999993377</v>
      </c>
    </row>
    <row r="18" spans="1:22" x14ac:dyDescent="0.25">
      <c r="A18" s="3">
        <f>'Kwh Reading'!A18</f>
        <v>44696</v>
      </c>
      <c r="B18" s="26">
        <f>TOTAL!E16</f>
        <v>22339.999999999236</v>
      </c>
      <c r="C18" s="4">
        <f>('Kwh Reading'!T19-'Kwh Reading'!T18)*1000</f>
        <v>519.99999999998181</v>
      </c>
      <c r="D18" s="2">
        <f>('Kwh Reading'!F19-'Kwh Reading'!F18)*1000000</f>
        <v>2800.0000000001355</v>
      </c>
      <c r="E18" s="2">
        <f>('Kwh Reading'!C19-'Kwh Reading'!C18)*1000</f>
        <v>240.00000000000909</v>
      </c>
      <c r="F18" s="2">
        <f>('Kwh Reading'!J19-'Kwh Reading'!J18)*1000</f>
        <v>439.99999999999773</v>
      </c>
      <c r="G18" s="2">
        <f>('Kwh Reading'!K19-'Kwh Reading'!K18)*1000</f>
        <v>350.00000000002274</v>
      </c>
      <c r="H18" s="2">
        <f>('Kwh Reading'!L19-'Kwh Reading'!L18)*1000</f>
        <v>259.99999999999091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349.99999999996589</v>
      </c>
      <c r="L18" s="2">
        <f>('Kwh Reading'!B19-'Kwh Reading'!B18)*1000000</f>
        <v>1199.9999999998679</v>
      </c>
      <c r="M18" s="2">
        <f>('Kwh Reading'!M19-'Kwh Reading'!M18)*1000</f>
        <v>909.99999999996817</v>
      </c>
      <c r="N18" s="2">
        <f>('Kwh Reading'!H19-'Kwh Reading'!H18)*1000</f>
        <v>1259.9999999999909</v>
      </c>
      <c r="O18" s="2">
        <f>('Kwh Reading'!P19-'Kwh Reading'!P18)*1000</f>
        <v>1059.9999999999454</v>
      </c>
      <c r="P18" s="2">
        <f>('Kwh Reading'!G19-'Kwh Reading'!G18)*1000000</f>
        <v>899.99999999990087</v>
      </c>
      <c r="Q18" s="2">
        <f>('Kwh Reading'!Q19-'Kwh Reading'!Q18)*1000</f>
        <v>830.00000000004093</v>
      </c>
      <c r="R18" s="2">
        <f>('Kwh Reading'!N19-'Kwh Reading'!N18)*1000</f>
        <v>520.0000000000955</v>
      </c>
      <c r="S18" s="33">
        <f>'Kwh Reading'!E19-'Kwh Reading'!E18</f>
        <v>3302.589999999851</v>
      </c>
      <c r="T18" s="33">
        <f>'Kwh Reading'!D19-'Kwh Reading'!D18</f>
        <v>2272.9599999999627</v>
      </c>
      <c r="U18" s="27">
        <f>('Kwh Reading'!O19-'Kwh Reading'!O18)*1000</f>
        <v>189.99999999999773</v>
      </c>
      <c r="V18" s="16">
        <f t="shared" si="1"/>
        <v>4794.4499999994987</v>
      </c>
    </row>
    <row r="19" spans="1:22" x14ac:dyDescent="0.25">
      <c r="A19" s="3">
        <f>'Kwh Reading'!A19</f>
        <v>44697</v>
      </c>
      <c r="B19" s="26">
        <f>TOTAL!E17</f>
        <v>22190.000000000509</v>
      </c>
      <c r="C19" s="4">
        <f>('Kwh Reading'!T20-'Kwh Reading'!T19)*1000</f>
        <v>519.99999999998181</v>
      </c>
      <c r="D19" s="2">
        <f>('Kwh Reading'!F20-'Kwh Reading'!F19)*1000000</f>
        <v>2599.9999999997135</v>
      </c>
      <c r="E19" s="2">
        <f>('Kwh Reading'!C20-'Kwh Reading'!C19)*1000</f>
        <v>229.99999999996135</v>
      </c>
      <c r="F19" s="2">
        <f>('Kwh Reading'!J20-'Kwh Reading'!J19)*1000</f>
        <v>400.00000000003411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320.00000000005002</v>
      </c>
      <c r="L19" s="2">
        <f>('Kwh Reading'!B20-'Kwh Reading'!B19)*1000000</f>
        <v>1100.000000000101</v>
      </c>
      <c r="M19" s="2">
        <f>('Kwh Reading'!M20-'Kwh Reading'!M19)*1000</f>
        <v>790.00000000007731</v>
      </c>
      <c r="N19" s="2">
        <f>('Kwh Reading'!H20-'Kwh Reading'!H19)*1000</f>
        <v>1219.9999999999136</v>
      </c>
      <c r="O19" s="2">
        <f>('Kwh Reading'!P20-'Kwh Reading'!P19)*1000</f>
        <v>1039.9999999999636</v>
      </c>
      <c r="P19" s="2">
        <f>('Kwh Reading'!G20-'Kwh Reading'!G19)*1000000</f>
        <v>799.99999999991189</v>
      </c>
      <c r="Q19" s="2">
        <f>('Kwh Reading'!Q20-'Kwh Reading'!Q19)*1000</f>
        <v>779.99999999997272</v>
      </c>
      <c r="R19" s="2">
        <f>('Kwh Reading'!N20-'Kwh Reading'!N19)*1000</f>
        <v>489.99999999989541</v>
      </c>
      <c r="S19" s="33">
        <f>'Kwh Reading'!E20-'Kwh Reading'!E19</f>
        <v>3063.6199999991804</v>
      </c>
      <c r="T19" s="33">
        <f>'Kwh Reading'!D20-'Kwh Reading'!D19</f>
        <v>2112.2399999992922</v>
      </c>
      <c r="U19" s="27">
        <f>('Kwh Reading'!O20-'Kwh Reading'!O19)*1000</f>
        <v>169.99999999998749</v>
      </c>
      <c r="V19" s="16">
        <f t="shared" si="1"/>
        <v>5944.1400000025151</v>
      </c>
    </row>
    <row r="20" spans="1:22" x14ac:dyDescent="0.25">
      <c r="A20" s="3">
        <f>'Kwh Reading'!A20</f>
        <v>44698</v>
      </c>
      <c r="B20" s="26">
        <f>TOTAL!E18</f>
        <v>21000</v>
      </c>
      <c r="C20" s="4">
        <f>('Kwh Reading'!T21-'Kwh Reading'!T20)*1000</f>
        <v>1470.0000000000273</v>
      </c>
      <c r="D20" s="2">
        <f>('Kwh Reading'!F21-'Kwh Reading'!F20)*1000000</f>
        <v>2499.9999999999468</v>
      </c>
      <c r="E20" s="2">
        <f>('Kwh Reading'!C21-'Kwh Reading'!C20)*1000</f>
        <v>250</v>
      </c>
      <c r="F20" s="2">
        <f>('Kwh Reading'!J21-'Kwh Reading'!J20)*1000</f>
        <v>509.99999999999091</v>
      </c>
      <c r="G20" s="2">
        <f>('Kwh Reading'!K21-'Kwh Reading'!K20)*1000</f>
        <v>270.00000000003865</v>
      </c>
      <c r="H20" s="2">
        <f>('Kwh Reading'!L21-'Kwh Reading'!L20)*1000</f>
        <v>250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310.00000000000227</v>
      </c>
      <c r="L20" s="2">
        <f>('Kwh Reading'!B21-'Kwh Reading'!B20)*1000000</f>
        <v>999.99999999988984</v>
      </c>
      <c r="M20" s="2">
        <f>('Kwh Reading'!M21-'Kwh Reading'!M20)*1000</f>
        <v>759.99999999999091</v>
      </c>
      <c r="N20" s="2">
        <f>('Kwh Reading'!H21-'Kwh Reading'!H20)*1000</f>
        <v>1060.0000000000591</v>
      </c>
      <c r="O20" s="2">
        <f>('Kwh Reading'!P21-'Kwh Reading'!P20)*1000</f>
        <v>910.00000000008185</v>
      </c>
      <c r="P20" s="2">
        <f>('Kwh Reading'!G21-'Kwh Reading'!G20)*1000000</f>
        <v>800.00000000013392</v>
      </c>
      <c r="Q20" s="2">
        <f>('Kwh Reading'!Q21-'Kwh Reading'!Q20)*1000</f>
        <v>759.99999999999091</v>
      </c>
      <c r="R20" s="2">
        <f>('Kwh Reading'!N21-'Kwh Reading'!N20)*1000</f>
        <v>430.00000000006366</v>
      </c>
      <c r="S20" s="33">
        <f>'Kwh Reading'!E21-'Kwh Reading'!E20</f>
        <v>3016.9199999999255</v>
      </c>
      <c r="T20" s="33">
        <f>'Kwh Reading'!D21-'Kwh Reading'!D20</f>
        <v>1925.8400000007823</v>
      </c>
      <c r="U20" s="27">
        <f>('Kwh Reading'!O21-'Kwh Reading'!O20)*1000</f>
        <v>180.00000000000682</v>
      </c>
      <c r="V20" s="16">
        <f t="shared" si="1"/>
        <v>4457.2399999990557</v>
      </c>
    </row>
    <row r="21" spans="1:22" ht="16.5" customHeight="1" x14ac:dyDescent="0.25">
      <c r="A21" s="3">
        <f>'Kwh Reading'!A21</f>
        <v>44699</v>
      </c>
      <c r="B21" s="26">
        <f>TOTAL!E19</f>
        <v>19769.999999999072</v>
      </c>
      <c r="C21" s="4">
        <f>('Kwh Reading'!T22-'Kwh Reading'!T21)*1000</f>
        <v>0</v>
      </c>
      <c r="D21" s="2">
        <f>('Kwh Reading'!F22-'Kwh Reading'!F21)*1000000</f>
        <v>2500.0000000003906</v>
      </c>
      <c r="E21" s="2">
        <f>('Kwh Reading'!C22-'Kwh Reading'!C21)*1000</f>
        <v>230.00000000001819</v>
      </c>
      <c r="F21" s="2">
        <f>('Kwh Reading'!J22-'Kwh Reading'!J21)*1000</f>
        <v>430.00000000000682</v>
      </c>
      <c r="G21" s="2">
        <f>('Kwh Reading'!K22-'Kwh Reading'!K21)*1000</f>
        <v>299.99999999995453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259.99999999999091</v>
      </c>
      <c r="L21" s="2">
        <f>('Kwh Reading'!B22-'Kwh Reading'!B21)*1000000</f>
        <v>800.00000000013392</v>
      </c>
      <c r="M21" s="2">
        <f>('Kwh Reading'!M22-'Kwh Reading'!M21)*1000</f>
        <v>649.99999999997726</v>
      </c>
      <c r="N21" s="2">
        <f>('Kwh Reading'!H22-'Kwh Reading'!H21)*1000</f>
        <v>830.00000000004093</v>
      </c>
      <c r="O21" s="2">
        <f>('Kwh Reading'!P22-'Kwh Reading'!P21)*1000</f>
        <v>709.99999999992269</v>
      </c>
      <c r="P21" s="2">
        <f>('Kwh Reading'!G22-'Kwh Reading'!G21)*1000000</f>
        <v>799.99999999991189</v>
      </c>
      <c r="Q21" s="2">
        <f>('Kwh Reading'!Q22-'Kwh Reading'!Q21)*1000</f>
        <v>649.99999999997726</v>
      </c>
      <c r="R21" s="2">
        <f>('Kwh Reading'!N22-'Kwh Reading'!N21)*1000</f>
        <v>360.00000000001364</v>
      </c>
      <c r="S21" s="33">
        <f>'Kwh Reading'!E22-'Kwh Reading'!E21</f>
        <v>2559.0800000000745</v>
      </c>
      <c r="T21" s="33">
        <f>'Kwh Reading'!D22-'Kwh Reading'!D21</f>
        <v>1677.4399999994785</v>
      </c>
      <c r="U21" s="27">
        <f>('Kwh Reading'!O22-'Kwh Reading'!O21)*1000</f>
        <v>180.00000000000682</v>
      </c>
      <c r="V21" s="16">
        <f t="shared" si="1"/>
        <v>6463.479999999141</v>
      </c>
    </row>
    <row r="22" spans="1:22" x14ac:dyDescent="0.25">
      <c r="A22" s="3">
        <f>'Kwh Reading'!A22</f>
        <v>44700</v>
      </c>
      <c r="B22" s="26">
        <f>TOTAL!E20</f>
        <v>20940.000000000284</v>
      </c>
      <c r="C22" s="4">
        <f>('Kwh Reading'!T23-'Kwh Reading'!T22)*1000</f>
        <v>9.9999999999909051</v>
      </c>
      <c r="D22" s="2">
        <f>('Kwh Reading'!F23-'Kwh Reading'!F22)*1000000</f>
        <v>2799.9999999996917</v>
      </c>
      <c r="E22" s="2">
        <f>('Kwh Reading'!C23-'Kwh Reading'!C22)*1000</f>
        <v>250</v>
      </c>
      <c r="F22" s="2">
        <f>('Kwh Reading'!J23-'Kwh Reading'!J22)*1000</f>
        <v>449.99999999998863</v>
      </c>
      <c r="G22" s="2">
        <f>('Kwh Reading'!K23-'Kwh Reading'!K22)*1000</f>
        <v>310.00000000000227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109.99999999998522</v>
      </c>
      <c r="K22" s="2">
        <f>('Kwh Reading'!I23-'Kwh Reading'!I22)*1000</f>
        <v>319.99999999999318</v>
      </c>
      <c r="L22" s="2">
        <f>('Kwh Reading'!B23-'Kwh Reading'!B22)*1000000</f>
        <v>1199.9999999998679</v>
      </c>
      <c r="M22" s="2">
        <f>('Kwh Reading'!M23-'Kwh Reading'!M22)*1000</f>
        <v>779.99999999997272</v>
      </c>
      <c r="N22" s="2">
        <f>('Kwh Reading'!H23-'Kwh Reading'!H22)*1000</f>
        <v>1139.9999999999864</v>
      </c>
      <c r="O22" s="2">
        <f>('Kwh Reading'!P23-'Kwh Reading'!P22)*1000</f>
        <v>800.00000000006821</v>
      </c>
      <c r="P22" s="2">
        <f>('Kwh Reading'!G23-'Kwh Reading'!G22)*1000000</f>
        <v>1000.0000000001119</v>
      </c>
      <c r="Q22" s="2">
        <f>('Kwh Reading'!Q23-'Kwh Reading'!Q22)*1000</f>
        <v>870.00000000000455</v>
      </c>
      <c r="R22" s="2">
        <f>('Kwh Reading'!N23-'Kwh Reading'!N22)*1000</f>
        <v>370.00000000000455</v>
      </c>
      <c r="S22" s="33">
        <f>'Kwh Reading'!E23-'Kwh Reading'!E22</f>
        <v>2933.5400000009686</v>
      </c>
      <c r="T22" s="33">
        <f>'Kwh Reading'!D23-'Kwh Reading'!D22</f>
        <v>1702.0499999998137</v>
      </c>
      <c r="U22" s="27">
        <f>('Kwh Reading'!O23-'Kwh Reading'!O22)*1000</f>
        <v>209.99999999997954</v>
      </c>
      <c r="V22" s="16">
        <f t="shared" si="1"/>
        <v>5394.4099999998343</v>
      </c>
    </row>
    <row r="23" spans="1:22" x14ac:dyDescent="0.25">
      <c r="A23" s="3">
        <f>'Kwh Reading'!A23</f>
        <v>44701</v>
      </c>
      <c r="B23" s="26">
        <f>TOTAL!E21</f>
        <v>21539.999999999738</v>
      </c>
      <c r="C23" s="4">
        <f>('Kwh Reading'!T24-'Kwh Reading'!T23)*1000</f>
        <v>319.99999999993634</v>
      </c>
      <c r="D23" s="2">
        <f>('Kwh Reading'!F24-'Kwh Reading'!F23)*1000000</f>
        <v>2600.0000000001578</v>
      </c>
      <c r="E23" s="2">
        <f>('Kwh Reading'!C24-'Kwh Reading'!C23)*1000</f>
        <v>230.00000000001819</v>
      </c>
      <c r="F23" s="2">
        <f>('Kwh Reading'!J24-'Kwh Reading'!J23)*1000</f>
        <v>389.99999999998636</v>
      </c>
      <c r="G23" s="2">
        <f>('Kwh Reading'!K24-'Kwh Reading'!K23)*1000</f>
        <v>240.00000000000909</v>
      </c>
      <c r="H23" s="2">
        <f>('Kwh Reading'!L24-'Kwh Reading'!L23)*1000</f>
        <v>189.99999999999773</v>
      </c>
      <c r="I23" s="2">
        <f>('Kwh Reading'!R24-'Kwh Reading'!R23)*1000</f>
        <v>0</v>
      </c>
      <c r="J23" s="2">
        <f>('Kwh Reading'!S24-'Kwh Reading'!S23)*1000</f>
        <v>170.00000000001592</v>
      </c>
      <c r="K23" s="2">
        <f>('Kwh Reading'!I24-'Kwh Reading'!I23)*1000</f>
        <v>289.99999999996362</v>
      </c>
      <c r="L23" s="2">
        <f>('Kwh Reading'!B24-'Kwh Reading'!B23)*1000000</f>
        <v>1100.000000000101</v>
      </c>
      <c r="M23" s="2">
        <f>('Kwh Reading'!M24-'Kwh Reading'!M23)*1000</f>
        <v>730.00000000001819</v>
      </c>
      <c r="N23" s="2">
        <f>('Kwh Reading'!H24-'Kwh Reading'!H23)*1000</f>
        <v>1039.9999999999636</v>
      </c>
      <c r="O23" s="2">
        <f>('Kwh Reading'!P24-'Kwh Reading'!P23)*1000</f>
        <v>829.99999999992724</v>
      </c>
      <c r="P23" s="2">
        <f>('Kwh Reading'!G24-'Kwh Reading'!G23)*1000000</f>
        <v>799.99999999991189</v>
      </c>
      <c r="Q23" s="2">
        <f>('Kwh Reading'!Q24-'Kwh Reading'!Q23)*1000</f>
        <v>779.99999999997272</v>
      </c>
      <c r="R23" s="2">
        <f>('Kwh Reading'!N24-'Kwh Reading'!N23)*1000</f>
        <v>360.00000000001364</v>
      </c>
      <c r="S23" s="33">
        <f>'Kwh Reading'!E24-'Kwh Reading'!E23</f>
        <v>2614.769999999553</v>
      </c>
      <c r="T23" s="33">
        <f>'Kwh Reading'!D24-'Kwh Reading'!D23</f>
        <v>1584.9599999999627</v>
      </c>
      <c r="U23" s="27">
        <f>('Kwh Reading'!O24-'Kwh Reading'!O23)*1000</f>
        <v>210.00000000000796</v>
      </c>
      <c r="V23" s="16">
        <f t="shared" si="1"/>
        <v>7060.2700000002224</v>
      </c>
    </row>
    <row r="24" spans="1:22" x14ac:dyDescent="0.25">
      <c r="A24" s="3">
        <f>'Kwh Reading'!A24</f>
        <v>44702</v>
      </c>
      <c r="B24" s="26">
        <f>TOTAL!E22</f>
        <v>22859.999999999898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629.99999999999545</v>
      </c>
      <c r="G24" s="2">
        <f>('Kwh Reading'!K25-'Kwh Reading'!K24)*1000</f>
        <v>350.00000000002274</v>
      </c>
      <c r="H24" s="2">
        <f>('Kwh Reading'!L25-'Kwh Reading'!L24)*1000</f>
        <v>279.99999999997272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340.00000000003183</v>
      </c>
      <c r="L24" s="2">
        <f>('Kwh Reading'!B25-'Kwh Reading'!B24)*1000000</f>
        <v>1199.9999999998679</v>
      </c>
      <c r="M24" s="2">
        <f>('Kwh Reading'!M25-'Kwh Reading'!M24)*1000</f>
        <v>850.00000000002274</v>
      </c>
      <c r="N24" s="2">
        <f>('Kwh Reading'!H25-'Kwh Reading'!H24)*1000</f>
        <v>1200.0000000000455</v>
      </c>
      <c r="O24" s="2">
        <f>('Kwh Reading'!P25-'Kwh Reading'!P24)*1000</f>
        <v>890.00000000010004</v>
      </c>
      <c r="P24" s="2">
        <f>('Kwh Reading'!G25-'Kwh Reading'!G24)*1000000</f>
        <v>1000.0000000001119</v>
      </c>
      <c r="Q24" s="2">
        <f>('Kwh Reading'!Q25-'Kwh Reading'!Q24)*1000</f>
        <v>780.0000000000864</v>
      </c>
      <c r="R24" s="2">
        <f>('Kwh Reading'!N25-'Kwh Reading'!N24)*1000</f>
        <v>389.99999999998636</v>
      </c>
      <c r="S24" s="2">
        <f>'Kwh Reading'!E25-'Kwh Reading'!E24</f>
        <v>3151.269999999553</v>
      </c>
      <c r="T24" s="2">
        <f>'Kwh Reading'!D25-'Kwh Reading'!D24</f>
        <v>1825.8700000001118</v>
      </c>
      <c r="U24" s="27">
        <f>('Kwh Reading'!O25-'Kwh Reading'!O24)*1000</f>
        <v>229.99999999998977</v>
      </c>
      <c r="V24" s="16">
        <f t="shared" si="1"/>
        <v>5942.859999999866</v>
      </c>
    </row>
    <row r="25" spans="1:22" x14ac:dyDescent="0.25">
      <c r="A25" s="3">
        <f>'Kwh Reading'!A25</f>
        <v>44703</v>
      </c>
      <c r="B25" s="26">
        <f>TOTAL!E23</f>
        <v>23359.999999999898</v>
      </c>
      <c r="C25" s="4">
        <f>('Kwh Reading'!T26-'Kwh Reading'!T25)*1000</f>
        <v>500</v>
      </c>
      <c r="D25" s="2">
        <f>('Kwh Reading'!F26-'Kwh Reading'!F25)*1000000</f>
        <v>2699.9999999999245</v>
      </c>
      <c r="E25" s="2">
        <f>('Kwh Reading'!C26-'Kwh Reading'!C25)*1000</f>
        <v>250</v>
      </c>
      <c r="F25" s="2">
        <f>('Kwh Reading'!J26-'Kwh Reading'!J25)*1000</f>
        <v>480.00000000001819</v>
      </c>
      <c r="G25" s="2">
        <f>('Kwh Reading'!K26-'Kwh Reading'!K25)*1000</f>
        <v>319.99999999999318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130.00000000002387</v>
      </c>
      <c r="K25" s="2">
        <f>('Kwh Reading'!I26-'Kwh Reading'!I25)*1000</f>
        <v>360.00000000001364</v>
      </c>
      <c r="L25" s="2">
        <f>('Kwh Reading'!B26-'Kwh Reading'!B25)*1000000</f>
        <v>1200.0000000000898</v>
      </c>
      <c r="M25" s="2">
        <f>('Kwh Reading'!M26-'Kwh Reading'!M25)*1000</f>
        <v>850.00000000002274</v>
      </c>
      <c r="N25" s="2">
        <f>('Kwh Reading'!H26-'Kwh Reading'!H25)*1000</f>
        <v>1289.9999999999636</v>
      </c>
      <c r="O25" s="2">
        <f>('Kwh Reading'!P26-'Kwh Reading'!P25)*1000</f>
        <v>969.9999999999136</v>
      </c>
      <c r="P25" s="2">
        <f>('Kwh Reading'!G26-'Kwh Reading'!G25)*1000000</f>
        <v>999.99999999988984</v>
      </c>
      <c r="Q25" s="2">
        <f>('Kwh Reading'!Q26-'Kwh Reading'!Q25)*1000</f>
        <v>799.99999999995453</v>
      </c>
      <c r="R25" s="2">
        <f>('Kwh Reading'!N26-'Kwh Reading'!N25)*1000</f>
        <v>329.99999999992724</v>
      </c>
      <c r="S25" s="2">
        <f>'Kwh Reading'!E26-'Kwh Reading'!E25</f>
        <v>3270.1200000010431</v>
      </c>
      <c r="T25" s="2">
        <f>'Kwh Reading'!D26-'Kwh Reading'!D25</f>
        <v>2021.5200000004843</v>
      </c>
      <c r="U25" s="27">
        <f>('Kwh Reading'!O26-'Kwh Reading'!O25)*1000</f>
        <v>220.00000000002728</v>
      </c>
      <c r="V25" s="16">
        <f t="shared" si="1"/>
        <v>6428.3599999986036</v>
      </c>
    </row>
    <row r="26" spans="1:22" x14ac:dyDescent="0.25">
      <c r="A26" s="3">
        <f>'Kwh Reading'!A26</f>
        <v>44704</v>
      </c>
      <c r="B26" s="26">
        <f>TOTAL!E24</f>
        <v>22929.999999999607</v>
      </c>
      <c r="C26" s="4">
        <f>('Kwh Reading'!T27-'Kwh Reading'!T26)*1000</f>
        <v>490.00000000000909</v>
      </c>
      <c r="D26" s="2">
        <f>('Kwh Reading'!F27-'Kwh Reading'!F26)*1000000</f>
        <v>2799.9999999996917</v>
      </c>
      <c r="E26" s="2">
        <f>('Kwh Reading'!C27-'Kwh Reading'!C26)*1000</f>
        <v>219.99999999997044</v>
      </c>
      <c r="F26" s="2">
        <f>('Kwh Reading'!J27-'Kwh Reading'!J26)*1000</f>
        <v>439.99999999999773</v>
      </c>
      <c r="G26" s="2">
        <f>('Kwh Reading'!K27-'Kwh Reading'!K26)*1000</f>
        <v>319.99999999999318</v>
      </c>
      <c r="H26" s="2">
        <f>('Kwh Reading'!L27-'Kwh Reading'!L26)*1000</f>
        <v>209.99999999997954</v>
      </c>
      <c r="I26" s="2">
        <f>('Kwh Reading'!R27-'Kwh Reading'!R26)*1000</f>
        <v>0</v>
      </c>
      <c r="J26" s="2">
        <f>('Kwh Reading'!S27-'Kwh Reading'!S26)*1000</f>
        <v>139.99999999998636</v>
      </c>
      <c r="K26" s="2">
        <f>('Kwh Reading'!I27-'Kwh Reading'!I26)*1000</f>
        <v>359.9999999999568</v>
      </c>
      <c r="L26" s="2">
        <f>('Kwh Reading'!B27-'Kwh Reading'!B26)*1000000</f>
        <v>1200.0000000000898</v>
      </c>
      <c r="M26" s="2">
        <f>('Kwh Reading'!M27-'Kwh Reading'!M26)*1000</f>
        <v>869.99999999989086</v>
      </c>
      <c r="N26" s="2">
        <f>('Kwh Reading'!H27-'Kwh Reading'!H26)*1000</f>
        <v>1269.9999999999818</v>
      </c>
      <c r="O26" s="2">
        <f>('Kwh Reading'!P27-'Kwh Reading'!P26)*1000</f>
        <v>960.00000000003638</v>
      </c>
      <c r="P26" s="2">
        <f>('Kwh Reading'!G27-'Kwh Reading'!G26)*1000000</f>
        <v>900.0000000001229</v>
      </c>
      <c r="Q26" s="2">
        <f>('Kwh Reading'!Q27-'Kwh Reading'!Q26)*1000</f>
        <v>820.00000000005002</v>
      </c>
      <c r="R26" s="2">
        <f>('Kwh Reading'!N27-'Kwh Reading'!N26)*1000</f>
        <v>360.00000000001364</v>
      </c>
      <c r="S26" s="2">
        <f>'Kwh Reading'!E27-'Kwh Reading'!E26</f>
        <v>3309.3799999989569</v>
      </c>
      <c r="T26" s="2">
        <f>'Kwh Reading'!D27-'Kwh Reading'!D26</f>
        <v>2138.3300000000745</v>
      </c>
      <c r="U26" s="27">
        <f>('Kwh Reading'!O27-'Kwh Reading'!O26)*1000</f>
        <v>219.99999999999886</v>
      </c>
      <c r="V26" s="16">
        <f t="shared" si="1"/>
        <v>5902.2900000008012</v>
      </c>
    </row>
    <row r="27" spans="1:22" x14ac:dyDescent="0.25">
      <c r="A27" s="3">
        <f>'Kwh Reading'!A27</f>
        <v>44705</v>
      </c>
      <c r="B27" s="26">
        <f>TOTAL!E25</f>
        <v>0</v>
      </c>
      <c r="C27" s="4">
        <f>('Kwh Reading'!T28-'Kwh Reading'!T27)*1000</f>
        <v>490.00000000000909</v>
      </c>
      <c r="D27" s="2">
        <f>('Kwh Reading'!F28-'Kwh Reading'!F27)*1000000</f>
        <v>2600.0000000001578</v>
      </c>
      <c r="E27" s="2">
        <f>('Kwh Reading'!C28-'Kwh Reading'!C27)*1000</f>
        <v>230.00000000001819</v>
      </c>
      <c r="F27" s="2">
        <f>('Kwh Reading'!J28-'Kwh Reading'!J27)*1000</f>
        <v>310.00000000000227</v>
      </c>
      <c r="G27" s="2">
        <f>('Kwh Reading'!K28-'Kwh Reading'!K27)*1000</f>
        <v>250</v>
      </c>
      <c r="H27" s="2">
        <f>('Kwh Reading'!L28-'Kwh Reading'!L27)*1000</f>
        <v>200.00000000004547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330.00000000004093</v>
      </c>
      <c r="L27" s="2">
        <f>('Kwh Reading'!B28-'Kwh Reading'!B27)*1000000</f>
        <v>1099.9999999998788</v>
      </c>
      <c r="M27" s="2">
        <f>('Kwh Reading'!M28-'Kwh Reading'!M27)*1000</f>
        <v>820.00000000005002</v>
      </c>
      <c r="N27" s="2">
        <f>('Kwh Reading'!H28-'Kwh Reading'!H27)*1000</f>
        <v>-4389.9999999999864</v>
      </c>
      <c r="O27" s="2">
        <f>('Kwh Reading'!P28-'Kwh Reading'!P27)*1000</f>
        <v>940.00000000005457</v>
      </c>
      <c r="P27" s="2">
        <f>('Kwh Reading'!G28-'Kwh Reading'!G27)*1000000</f>
        <v>899.99999999990087</v>
      </c>
      <c r="Q27" s="2">
        <f>('Kwh Reading'!Q28-'Kwh Reading'!Q27)*1000</f>
        <v>699.99999999993179</v>
      </c>
      <c r="R27" s="2">
        <f>('Kwh Reading'!N28-'Kwh Reading'!N27)*1000</f>
        <v>300.00000000006821</v>
      </c>
      <c r="S27" s="2">
        <f>'Kwh Reading'!E28-'Kwh Reading'!E27</f>
        <v>3081.1999999992549</v>
      </c>
      <c r="T27" s="2">
        <f>'Kwh Reading'!D28-'Kwh Reading'!D27</f>
        <v>1999.2599999997765</v>
      </c>
      <c r="U27" s="27">
        <f>('Kwh Reading'!O28-'Kwh Reading'!O27)*1000</f>
        <v>209.99999999997954</v>
      </c>
      <c r="V27" s="16">
        <f t="shared" si="1"/>
        <v>-10220.45999999919</v>
      </c>
    </row>
    <row r="28" spans="1:22" x14ac:dyDescent="0.25">
      <c r="A28" s="3">
        <f>'Kwh Reading'!A28</f>
        <v>44706</v>
      </c>
      <c r="B28" s="26">
        <f>TOTAL!E26</f>
        <v>0</v>
      </c>
      <c r="C28" s="4">
        <f>('Kwh Reading'!T29-'Kwh Reading'!T28)*1000</f>
        <v>310.00000000005912</v>
      </c>
      <c r="D28" s="2">
        <f>('Kwh Reading'!F29-'Kwh Reading'!F28)*1000000</f>
        <v>2800.0000000001355</v>
      </c>
      <c r="E28" s="2">
        <f>('Kwh Reading'!C29-'Kwh Reading'!C28)*1000</f>
        <v>199.99999999998863</v>
      </c>
      <c r="F28" s="2">
        <f>('Kwh Reading'!J29-'Kwh Reading'!J28)*1000</f>
        <v>459.99999999997954</v>
      </c>
      <c r="G28" s="2">
        <f>('Kwh Reading'!K29-'Kwh Reading'!K28)*1000</f>
        <v>269.99999999998181</v>
      </c>
      <c r="H28" s="2">
        <f>('Kwh Reading'!L29-'Kwh Reading'!L28)*1000</f>
        <v>269.99999999998181</v>
      </c>
      <c r="I28" s="2">
        <f>('Kwh Reading'!R29-'Kwh Reading'!R28)*1000</f>
        <v>0</v>
      </c>
      <c r="J28" s="2">
        <f>('Kwh Reading'!S29-'Kwh Reading'!S28)*1000</f>
        <v>129.99999999999545</v>
      </c>
      <c r="K28" s="2">
        <f>('Kwh Reading'!I29-'Kwh Reading'!I28)*1000</f>
        <v>349.99999999996589</v>
      </c>
      <c r="L28" s="2">
        <f>('Kwh Reading'!B29-'Kwh Reading'!B28)*1000000</f>
        <v>1200.0000000000898</v>
      </c>
      <c r="M28" s="2">
        <f>('Kwh Reading'!M29-'Kwh Reading'!M28)*1000</f>
        <v>779.99999999997272</v>
      </c>
      <c r="N28" s="2">
        <f>('Kwh Reading'!H29-'Kwh Reading'!H28)*1000</f>
        <v>6750</v>
      </c>
      <c r="O28" s="2">
        <f>('Kwh Reading'!P29-'Kwh Reading'!P28)*1000</f>
        <v>899.99999999997726</v>
      </c>
      <c r="P28" s="2">
        <f>('Kwh Reading'!G29-'Kwh Reading'!G28)*1000000</f>
        <v>899.99999999990087</v>
      </c>
      <c r="Q28" s="2">
        <f>('Kwh Reading'!Q29-'Kwh Reading'!Q28)*1000</f>
        <v>620.00000000000455</v>
      </c>
      <c r="R28" s="2">
        <f>('Kwh Reading'!N29-'Kwh Reading'!N28)*1000</f>
        <v>269.99999999998181</v>
      </c>
      <c r="S28" s="2">
        <f>'Kwh Reading'!E29-'Kwh Reading'!E28</f>
        <v>2934.0100000016391</v>
      </c>
      <c r="T28" s="2">
        <f>'Kwh Reading'!D29-'Kwh Reading'!D28</f>
        <v>1946.3499999996275</v>
      </c>
      <c r="U28" s="27">
        <f>('Kwh Reading'!O29-'Kwh Reading'!O28)*1000</f>
        <v>200.00000000001705</v>
      </c>
      <c r="V28" s="16">
        <f t="shared" si="1"/>
        <v>-21290.360000001299</v>
      </c>
    </row>
    <row r="29" spans="1:22" x14ac:dyDescent="0.25">
      <c r="A29" s="3">
        <f>'Kwh Reading'!A29</f>
        <v>44707</v>
      </c>
      <c r="B29" s="26">
        <f>TOTAL!E27</f>
        <v>0</v>
      </c>
      <c r="C29" s="4">
        <f>('Kwh Reading'!T30-'Kwh Reading'!T29)*1000</f>
        <v>649.99999999997726</v>
      </c>
      <c r="D29" s="2">
        <f>('Kwh Reading'!F30-'Kwh Reading'!F29)*1000000</f>
        <v>2699.9999999999245</v>
      </c>
      <c r="E29" s="2">
        <f>('Kwh Reading'!C30-'Kwh Reading'!C29)*1000</f>
        <v>209.99999999997954</v>
      </c>
      <c r="F29" s="2">
        <f>('Kwh Reading'!J30-'Kwh Reading'!J29)*1000</f>
        <v>330.00000000004093</v>
      </c>
      <c r="G29" s="2">
        <f>('Kwh Reading'!K30-'Kwh Reading'!K29)*1000</f>
        <v>270.00000000003865</v>
      </c>
      <c r="H29" s="2">
        <f>('Kwh Reading'!L30-'Kwh Reading'!L29)*1000</f>
        <v>209.99999999997954</v>
      </c>
      <c r="I29" s="2">
        <f>('Kwh Reading'!R30-'Kwh Reading'!R29)*1000</f>
        <v>0</v>
      </c>
      <c r="J29" s="2">
        <f>('Kwh Reading'!S30-'Kwh Reading'!S29)*1000</f>
        <v>140.00000000001478</v>
      </c>
      <c r="K29" s="2">
        <f>('Kwh Reading'!I30-'Kwh Reading'!I29)*1000</f>
        <v>350.00000000002274</v>
      </c>
      <c r="L29" s="2">
        <f>('Kwh Reading'!B30-'Kwh Reading'!B29)*1000000</f>
        <v>1099.9999999998788</v>
      </c>
      <c r="M29" s="2">
        <f>('Kwh Reading'!M30-'Kwh Reading'!M29)*1000</f>
        <v>780.0000000000864</v>
      </c>
      <c r="N29" s="2">
        <f>('Kwh Reading'!H30-'Kwh Reading'!H29)*1000</f>
        <v>1080.0000000000409</v>
      </c>
      <c r="O29" s="2">
        <f>('Kwh Reading'!P30-'Kwh Reading'!P29)*1000</f>
        <v>870.00000000000455</v>
      </c>
      <c r="P29" s="2">
        <f>('Kwh Reading'!G30-'Kwh Reading'!G29)*1000000</f>
        <v>900.0000000001229</v>
      </c>
      <c r="Q29" s="2">
        <f>('Kwh Reading'!Q30-'Kwh Reading'!Q29)*1000</f>
        <v>560.00000000005912</v>
      </c>
      <c r="R29" s="2">
        <f>('Kwh Reading'!N30-'Kwh Reading'!N29)*1000</f>
        <v>240.00000000000909</v>
      </c>
      <c r="S29" s="2">
        <f>'Kwh Reading'!E30-'Kwh Reading'!E29</f>
        <v>2965.929999999702</v>
      </c>
      <c r="T29" s="2">
        <f>'Kwh Reading'!D30-'Kwh Reading'!D29</f>
        <v>1896.6500000003725</v>
      </c>
      <c r="U29" s="27">
        <f>('Kwh Reading'!O30-'Kwh Reading'!O29)*1000</f>
        <v>229.99999999998977</v>
      </c>
      <c r="V29" s="16">
        <f t="shared" si="1"/>
        <v>-15482.580000000244</v>
      </c>
    </row>
    <row r="30" spans="1:22" x14ac:dyDescent="0.25">
      <c r="A30" s="3">
        <f>'Kwh Reading'!A30</f>
        <v>44708</v>
      </c>
      <c r="B30" s="26">
        <f>TOTAL!E28</f>
        <v>0</v>
      </c>
      <c r="C30" s="4">
        <f>('Kwh Reading'!T31-'Kwh Reading'!T30)*1000</f>
        <v>-583350</v>
      </c>
      <c r="D30" s="2">
        <f>('Kwh Reading'!F31-'Kwh Reading'!F30)*1000000</f>
        <v>-3241600</v>
      </c>
      <c r="E30" s="2">
        <f>('Kwh Reading'!C31-'Kwh Reading'!C30)*1000</f>
        <v>-312270</v>
      </c>
      <c r="F30" s="2">
        <f>('Kwh Reading'!J31-'Kwh Reading'!J30)*1000</f>
        <v>-465290</v>
      </c>
      <c r="G30" s="2">
        <f>('Kwh Reading'!K31-'Kwh Reading'!K30)*1000</f>
        <v>-456790</v>
      </c>
      <c r="H30" s="2">
        <f>('Kwh Reading'!L31-'Kwh Reading'!L30)*1000</f>
        <v>-310450</v>
      </c>
      <c r="I30" s="2">
        <f>('Kwh Reading'!R31-'Kwh Reading'!R30)*1000</f>
        <v>-190150</v>
      </c>
      <c r="J30" s="2">
        <f>('Kwh Reading'!S31-'Kwh Reading'!S30)*1000</f>
        <v>-160330</v>
      </c>
      <c r="K30" s="2">
        <f>('Kwh Reading'!I31-'Kwh Reading'!I30)*1000</f>
        <v>-336680</v>
      </c>
      <c r="L30" s="2">
        <f>('Kwh Reading'!B31-'Kwh Reading'!B30)*1000000</f>
        <v>-1377400</v>
      </c>
      <c r="M30" s="2">
        <f>('Kwh Reading'!M31-'Kwh Reading'!M30)*1000</f>
        <v>-772690</v>
      </c>
      <c r="N30" s="2">
        <f>('Kwh Reading'!H31-'Kwh Reading'!H30)*1000</f>
        <v>-938950</v>
      </c>
      <c r="O30" s="2">
        <f>('Kwh Reading'!P31-'Kwh Reading'!P30)*1000</f>
        <v>-945340</v>
      </c>
      <c r="P30" s="2">
        <f>('Kwh Reading'!G31-'Kwh Reading'!G30)*1000000</f>
        <v>-1042200</v>
      </c>
      <c r="Q30" s="2">
        <f>('Kwh Reading'!Q31-'Kwh Reading'!Q30)*1000</f>
        <v>-701460</v>
      </c>
      <c r="R30" s="2">
        <f>('Kwh Reading'!N31-'Kwh Reading'!N30)*1000</f>
        <v>-725840</v>
      </c>
      <c r="S30" s="2">
        <f>'Kwh Reading'!E31-'Kwh Reading'!E30</f>
        <v>-9132634.2300000004</v>
      </c>
      <c r="T30" s="2">
        <f>'Kwh Reading'!D31-'Kwh Reading'!D30</f>
        <v>-8180549.0800000001</v>
      </c>
      <c r="U30" s="27">
        <f>('Kwh Reading'!O31-'Kwh Reading'!O30)*1000</f>
        <v>-222470</v>
      </c>
      <c r="V30" s="16">
        <f t="shared" si="1"/>
        <v>30096443.310000002</v>
      </c>
    </row>
    <row r="31" spans="1:22" x14ac:dyDescent="0.25">
      <c r="A31" s="3">
        <f>'Kwh Reading'!A31</f>
        <v>44709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44710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44711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44712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548831.20999999868</v>
      </c>
      <c r="C35" s="72">
        <f t="shared" ref="C35" si="2">SUM(C4:C34)</f>
        <v>-570270</v>
      </c>
      <c r="D35" s="72">
        <f t="shared" ref="D35" si="3">SUM(D4:D34)</f>
        <v>-3169900</v>
      </c>
      <c r="E35" s="72">
        <f t="shared" ref="E35" si="4">SUM(E4:E34)</f>
        <v>-306020</v>
      </c>
      <c r="F35" s="72">
        <f t="shared" ref="F35" si="5">SUM(F4:F34)</f>
        <v>-450639.99999999994</v>
      </c>
      <c r="G35" s="72">
        <f t="shared" ref="G35:U35" si="6">SUM(G4:G34)</f>
        <v>-447899.99999999994</v>
      </c>
      <c r="H35" s="72">
        <f t="shared" si="6"/>
        <v>-303900</v>
      </c>
      <c r="I35" s="72">
        <f t="shared" si="6"/>
        <v>-190150</v>
      </c>
      <c r="J35" s="72">
        <f t="shared" si="6"/>
        <v>-156550</v>
      </c>
      <c r="K35" s="72">
        <f t="shared" si="6"/>
        <v>-328080</v>
      </c>
      <c r="L35" s="72">
        <f t="shared" si="6"/>
        <v>-1348000.0000000002</v>
      </c>
      <c r="M35" s="72">
        <f t="shared" si="6"/>
        <v>-750169.99999999988</v>
      </c>
      <c r="N35" s="72">
        <f t="shared" si="6"/>
        <v>-906510</v>
      </c>
      <c r="O35" s="72">
        <f t="shared" si="6"/>
        <v>-919289.99999999988</v>
      </c>
      <c r="P35" s="72">
        <f t="shared" si="6"/>
        <v>-1017900</v>
      </c>
      <c r="Q35" s="72">
        <f t="shared" si="6"/>
        <v>-680890</v>
      </c>
      <c r="R35" s="72">
        <f t="shared" si="6"/>
        <v>-710279.99999999988</v>
      </c>
      <c r="S35" s="72">
        <f t="shared" si="6"/>
        <v>-9046610.9900000002</v>
      </c>
      <c r="T35" s="72">
        <f t="shared" si="6"/>
        <v>-8123398.1600000001</v>
      </c>
      <c r="U35" s="72">
        <f t="shared" si="6"/>
        <v>-216890</v>
      </c>
      <c r="V35" s="72">
        <f>SUM(V4:V34)</f>
        <v>30192180.359999999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44682</v>
      </c>
      <c r="B3" s="80">
        <f>TOTAL!E2</f>
        <v>23699.999999999134</v>
      </c>
      <c r="C3" s="1">
        <f>'Kwh Consumption'!C4</f>
        <v>529.99999999997272</v>
      </c>
      <c r="D3" s="1">
        <f>'Kwh Consumption'!D4</f>
        <v>2899.9999999999027</v>
      </c>
      <c r="E3" s="1">
        <f>'Kwh Consumption'!E4</f>
        <v>240.00000000000909</v>
      </c>
      <c r="F3" s="1">
        <f>('Kwh Consumption'!F4+'Kwh Consumption'!G4+'Kwh Consumption'!H4)</f>
        <v>1270.0000000000387</v>
      </c>
      <c r="G3" s="16">
        <f>('Kwh Consumption'!I4+'Kwh Consumption'!J4)</f>
        <v>149.99999999997726</v>
      </c>
      <c r="H3" s="1">
        <f>('Kwh Consumption'!K4+'Kwh Consumption'!L4)</f>
        <v>1399.9999999998902</v>
      </c>
      <c r="I3" s="1">
        <f>('Kwh Consumption'!M4+'Kwh Consumption'!N4+'Kwh Consumption'!O4+'Kwh Consumption'!P4+'Kwh Consumption'!Q4+'Kwh Consumption'!R4)</f>
        <v>5849.9999999999463</v>
      </c>
      <c r="J3" s="1">
        <f>('Kwh Consumption'!S4+'Kwh Consumption'!T4)</f>
        <v>6144.6299999989569</v>
      </c>
      <c r="K3" s="1">
        <f>'Kwh Consumption'!U4</f>
        <v>250</v>
      </c>
      <c r="L3" s="31">
        <f t="shared" ref="L3:L33" si="0">B3-C3-D3-E3-F3-G3-H3-I3-J3-K3</f>
        <v>4965.3700000004392</v>
      </c>
    </row>
    <row r="4" spans="1:12" x14ac:dyDescent="0.25">
      <c r="A4" s="14">
        <f>'Kwh Reading'!A5</f>
        <v>44683</v>
      </c>
      <c r="B4" s="80">
        <f>TOTAL!E3</f>
        <v>26439.99999999869</v>
      </c>
      <c r="C4" s="1">
        <f>'Kwh Consumption'!C5</f>
        <v>540.00000000007731</v>
      </c>
      <c r="D4" s="1">
        <f>'Kwh Consumption'!D5</f>
        <v>3000.0000000001137</v>
      </c>
      <c r="E4" s="1">
        <f>'Kwh Consumption'!E5</f>
        <v>259.99999999999091</v>
      </c>
      <c r="F4" s="1">
        <f>('Kwh Consumption'!F5+'Kwh Consumption'!G5+'Kwh Consumption'!H5)</f>
        <v>1439.9999999999977</v>
      </c>
      <c r="G4" s="16">
        <f>('Kwh Consumption'!I5+'Kwh Consumption'!J5)</f>
        <v>150.00000000000568</v>
      </c>
      <c r="H4" s="1">
        <f>('Kwh Consumption'!K5+'Kwh Consumption'!L5)</f>
        <v>1560.0000000001035</v>
      </c>
      <c r="I4" s="1">
        <f>('Kwh Consumption'!M5+'Kwh Consumption'!N5+'Kwh Consumption'!O5+'Kwh Consumption'!P5+'Kwh Consumption'!Q5+'Kwh Consumption'!R5)</f>
        <v>6320.0000000001619</v>
      </c>
      <c r="J4" s="1">
        <f>('Kwh Consumption'!S5+'Kwh Consumption'!T5)</f>
        <v>6990.6700000017881</v>
      </c>
      <c r="K4" s="1">
        <f>'Kwh Consumption'!U5</f>
        <v>220.00000000002728</v>
      </c>
      <c r="L4" s="31">
        <f t="shared" si="0"/>
        <v>5959.3299999964256</v>
      </c>
    </row>
    <row r="5" spans="1:12" x14ac:dyDescent="0.25">
      <c r="A5" s="14">
        <f>'Kwh Reading'!A6</f>
        <v>44684</v>
      </c>
      <c r="B5" s="80">
        <f>TOTAL!E4</f>
        <v>26170.000000000982</v>
      </c>
      <c r="C5" s="1">
        <f>'Kwh Consumption'!C6</f>
        <v>569.99999999993634</v>
      </c>
      <c r="D5" s="1">
        <f>'Kwh Consumption'!D6</f>
        <v>2799.9999999996917</v>
      </c>
      <c r="E5" s="1">
        <f>'Kwh Consumption'!E6</f>
        <v>250</v>
      </c>
      <c r="F5" s="1">
        <f>('Kwh Consumption'!F6+'Kwh Consumption'!G6+'Kwh Consumption'!H6)</f>
        <v>1020.0000000000387</v>
      </c>
      <c r="G5" s="16">
        <f>('Kwh Consumption'!I6+'Kwh Consumption'!J6)</f>
        <v>250</v>
      </c>
      <c r="H5" s="1">
        <f>('Kwh Consumption'!K6+'Kwh Consumption'!L6)</f>
        <v>1509.9999999998702</v>
      </c>
      <c r="I5" s="1">
        <f>('Kwh Consumption'!M6+'Kwh Consumption'!N6+'Kwh Consumption'!O6+'Kwh Consumption'!P6+'Kwh Consumption'!Q6+'Kwh Consumption'!R6)</f>
        <v>6209.9999999998126</v>
      </c>
      <c r="J5" s="1">
        <f>('Kwh Consumption'!S6+'Kwh Consumption'!T6)</f>
        <v>6236.9099999992177</v>
      </c>
      <c r="K5" s="1">
        <f>'Kwh Consumption'!U6</f>
        <v>239.99999999998067</v>
      </c>
      <c r="L5" s="31">
        <f t="shared" si="0"/>
        <v>7083.0900000024367</v>
      </c>
    </row>
    <row r="6" spans="1:12" x14ac:dyDescent="0.25">
      <c r="A6" s="14">
        <f>'Kwh Reading'!A7</f>
        <v>44685</v>
      </c>
      <c r="B6" s="80">
        <f>TOTAL!E5</f>
        <v>27901.209999999774</v>
      </c>
      <c r="C6" s="1">
        <f>'Kwh Consumption'!C7</f>
        <v>560.00000000005912</v>
      </c>
      <c r="D6" s="1">
        <f>'Kwh Consumption'!D7</f>
        <v>2800.0000000001355</v>
      </c>
      <c r="E6" s="1">
        <f>'Kwh Consumption'!E7</f>
        <v>230.00000000001819</v>
      </c>
      <c r="F6" s="1">
        <f>('Kwh Consumption'!F7+'Kwh Consumption'!G7+'Kwh Consumption'!H7)</f>
        <v>1399.9999999999773</v>
      </c>
      <c r="G6" s="16">
        <f>('Kwh Consumption'!I7+'Kwh Consumption'!J7)</f>
        <v>50.000000000011369</v>
      </c>
      <c r="H6" s="1">
        <f>('Kwh Consumption'!K7+'Kwh Consumption'!L7)</f>
        <v>1560.0000000001035</v>
      </c>
      <c r="I6" s="1">
        <f>('Kwh Consumption'!M7+'Kwh Consumption'!N7+'Kwh Consumption'!O7+'Kwh Consumption'!P7+'Kwh Consumption'!Q7+'Kwh Consumption'!R7)</f>
        <v>6120.0000000001164</v>
      </c>
      <c r="J6" s="1">
        <f>('Kwh Consumption'!S7+'Kwh Consumption'!T7)</f>
        <v>5996.7900000000373</v>
      </c>
      <c r="K6" s="1">
        <f>'Kwh Consumption'!U7</f>
        <v>219.99999999999886</v>
      </c>
      <c r="L6" s="31">
        <f t="shared" si="0"/>
        <v>8964.4199999993198</v>
      </c>
    </row>
    <row r="7" spans="1:12" x14ac:dyDescent="0.25">
      <c r="A7" s="14">
        <f>'Kwh Reading'!A8</f>
        <v>44686</v>
      </c>
      <c r="B7" s="80">
        <f>TOTAL!E6</f>
        <v>25470.000000000255</v>
      </c>
      <c r="C7" s="1">
        <f>'Kwh Consumption'!C8</f>
        <v>559.99999999994543</v>
      </c>
      <c r="D7" s="1">
        <f>'Kwh Consumption'!D8</f>
        <v>2899.9999999999027</v>
      </c>
      <c r="E7" s="1">
        <f>'Kwh Consumption'!E8</f>
        <v>269.99999999998181</v>
      </c>
      <c r="F7" s="1">
        <f>('Kwh Consumption'!F8+'Kwh Consumption'!G8+'Kwh Consumption'!H8)</f>
        <v>1519.9999999999818</v>
      </c>
      <c r="G7" s="16">
        <f>('Kwh Consumption'!I8+'Kwh Consumption'!J8)</f>
        <v>150.00000000000568</v>
      </c>
      <c r="H7" s="1">
        <f>('Kwh Consumption'!K8+'Kwh Consumption'!L8)</f>
        <v>1419.999999999872</v>
      </c>
      <c r="I7" s="1">
        <f>('Kwh Consumption'!M8+'Kwh Consumption'!N8+'Kwh Consumption'!O8+'Kwh Consumption'!P8+'Kwh Consumption'!Q8+'Kwh Consumption'!R8)</f>
        <v>6059.9999999999491</v>
      </c>
      <c r="J7" s="1">
        <f>('Kwh Consumption'!S8+'Kwh Consumption'!T8)</f>
        <v>5680.7999999998137</v>
      </c>
      <c r="K7" s="1">
        <f>'Kwh Consumption'!U8</f>
        <v>240.00000000000909</v>
      </c>
      <c r="L7" s="31">
        <f t="shared" si="0"/>
        <v>6669.200000000792</v>
      </c>
    </row>
    <row r="8" spans="1:12" x14ac:dyDescent="0.25">
      <c r="A8" s="14">
        <f>'Kwh Reading'!A9</f>
        <v>44687</v>
      </c>
      <c r="B8" s="80">
        <f>TOTAL!E7</f>
        <v>25940.000000000284</v>
      </c>
      <c r="C8" s="1">
        <f>'Kwh Consumption'!C9</f>
        <v>220.00000000002728</v>
      </c>
      <c r="D8" s="1">
        <f>'Kwh Consumption'!D9</f>
        <v>2800.0000000001355</v>
      </c>
      <c r="E8" s="1">
        <f>'Kwh Consumption'!E9</f>
        <v>240.00000000000909</v>
      </c>
      <c r="F8" s="1">
        <f>('Kwh Consumption'!F9+'Kwh Consumption'!G9+'Kwh Consumption'!H9)</f>
        <v>1430.0000000000637</v>
      </c>
      <c r="G8" s="16">
        <f>('Kwh Consumption'!I9+'Kwh Consumption'!J9)</f>
        <v>149.99999999997726</v>
      </c>
      <c r="H8" s="1">
        <f>('Kwh Consumption'!K9+'Kwh Consumption'!L9)</f>
        <v>1540.0000000000648</v>
      </c>
      <c r="I8" s="1">
        <f>('Kwh Consumption'!M9+'Kwh Consumption'!N9+'Kwh Consumption'!O9+'Kwh Consumption'!P9+'Kwh Consumption'!Q9+'Kwh Consumption'!R9)</f>
        <v>6280.0000000000846</v>
      </c>
      <c r="J8" s="1">
        <f>('Kwh Consumption'!S9+'Kwh Consumption'!T9)</f>
        <v>5570.480000000447</v>
      </c>
      <c r="K8" s="1">
        <f>'Kwh Consumption'!U9</f>
        <v>229.99999999998977</v>
      </c>
      <c r="L8" s="31">
        <f t="shared" si="0"/>
        <v>7479.5199999994793</v>
      </c>
    </row>
    <row r="9" spans="1:12" x14ac:dyDescent="0.25">
      <c r="A9" s="14">
        <f>'Kwh Reading'!A10</f>
        <v>44688</v>
      </c>
      <c r="B9" s="80">
        <f>TOTAL!E8</f>
        <v>24799.999999999498</v>
      </c>
      <c r="C9" s="1">
        <f>'Kwh Consumption'!C10</f>
        <v>629.99999999999545</v>
      </c>
      <c r="D9" s="1">
        <f>'Kwh Consumption'!D10</f>
        <v>2899.9999999999027</v>
      </c>
      <c r="E9" s="1">
        <f>'Kwh Consumption'!E10</f>
        <v>259.99999999999091</v>
      </c>
      <c r="F9" s="1">
        <f>('Kwh Consumption'!F10+'Kwh Consumption'!G10+'Kwh Consumption'!H10)</f>
        <v>1559.9999999999454</v>
      </c>
      <c r="G9" s="16">
        <f>('Kwh Consumption'!I10+'Kwh Consumption'!J10)</f>
        <v>160.00000000002501</v>
      </c>
      <c r="H9" s="1">
        <f>('Kwh Consumption'!K10+'Kwh Consumption'!L10)</f>
        <v>1420.0000000000941</v>
      </c>
      <c r="I9" s="1">
        <f>('Kwh Consumption'!M10+'Kwh Consumption'!N10+'Kwh Consumption'!O10+'Kwh Consumption'!P10+'Kwh Consumption'!Q10+'Kwh Consumption'!R10)</f>
        <v>5829.9999999998508</v>
      </c>
      <c r="J9" s="1">
        <f>('Kwh Consumption'!S10+'Kwh Consumption'!T10)</f>
        <v>6105.2900000000373</v>
      </c>
      <c r="K9" s="1">
        <f>'Kwh Consumption'!U10</f>
        <v>189.99999999999773</v>
      </c>
      <c r="L9" s="31">
        <f t="shared" si="0"/>
        <v>5744.7099999996553</v>
      </c>
    </row>
    <row r="10" spans="1:12" x14ac:dyDescent="0.25">
      <c r="A10" s="14">
        <f>'Kwh Reading'!A11</f>
        <v>44689</v>
      </c>
      <c r="B10" s="80">
        <f>TOTAL!E9</f>
        <v>27030.000000001106</v>
      </c>
      <c r="C10" s="1">
        <f>'Kwh Consumption'!C11</f>
        <v>529.99999999997272</v>
      </c>
      <c r="D10" s="1">
        <f>'Kwh Consumption'!D11</f>
        <v>2899.9999999999027</v>
      </c>
      <c r="E10" s="1">
        <f>'Kwh Consumption'!E11</f>
        <v>240.00000000000909</v>
      </c>
      <c r="F10" s="1">
        <f>('Kwh Consumption'!F11+'Kwh Consumption'!G11+'Kwh Consumption'!H11)</f>
        <v>1360.0000000000136</v>
      </c>
      <c r="G10" s="16">
        <f>('Kwh Consumption'!I11+'Kwh Consumption'!J11)</f>
        <v>149.99999999997726</v>
      </c>
      <c r="H10" s="1">
        <f>('Kwh Consumption'!K11+'Kwh Consumption'!L11)</f>
        <v>1669.9999999998613</v>
      </c>
      <c r="I10" s="1">
        <f>('Kwh Consumption'!M11+'Kwh Consumption'!N11+'Kwh Consumption'!O11+'Kwh Consumption'!P11+'Kwh Consumption'!Q11+'Kwh Consumption'!R11)</f>
        <v>6510.0000000002165</v>
      </c>
      <c r="J10" s="1">
        <f>('Kwh Consumption'!S11+'Kwh Consumption'!T11)</f>
        <v>7109.5599999995902</v>
      </c>
      <c r="K10" s="1">
        <f>'Kwh Consumption'!U11</f>
        <v>230.00000000001819</v>
      </c>
      <c r="L10" s="31">
        <f t="shared" si="0"/>
        <v>6330.440000001543</v>
      </c>
    </row>
    <row r="11" spans="1:12" x14ac:dyDescent="0.25">
      <c r="A11" s="14">
        <f>'Kwh Reading'!A12</f>
        <v>44690</v>
      </c>
      <c r="B11" s="80">
        <f>TOTAL!E10</f>
        <v>27829.999999999243</v>
      </c>
      <c r="C11" s="1">
        <f>'Kwh Consumption'!C12</f>
        <v>530.0000000000864</v>
      </c>
      <c r="D11" s="1">
        <f>'Kwh Consumption'!D12</f>
        <v>2900.0000000003465</v>
      </c>
      <c r="E11" s="1">
        <f>'Kwh Consumption'!E12</f>
        <v>250</v>
      </c>
      <c r="F11" s="1">
        <f>('Kwh Consumption'!F12+'Kwh Consumption'!G12+'Kwh Consumption'!H12)</f>
        <v>1290.0000000000205</v>
      </c>
      <c r="G11" s="16">
        <f>('Kwh Consumption'!I12+'Kwh Consumption'!J12)</f>
        <v>140.00000000001478</v>
      </c>
      <c r="H11" s="1">
        <f>('Kwh Consumption'!K12+'Kwh Consumption'!L12)</f>
        <v>1700.000000000113</v>
      </c>
      <c r="I11" s="1">
        <f>('Kwh Consumption'!M12+'Kwh Consumption'!N12+'Kwh Consumption'!O12+'Kwh Consumption'!P12+'Kwh Consumption'!Q12+'Kwh Consumption'!R12)</f>
        <v>6889.9999999998427</v>
      </c>
      <c r="J11" s="1">
        <f>('Kwh Consumption'!S12+'Kwh Consumption'!T12)</f>
        <v>7312.0600000005215</v>
      </c>
      <c r="K11" s="1">
        <f>'Kwh Consumption'!U12</f>
        <v>239.99999999998067</v>
      </c>
      <c r="L11" s="31">
        <f t="shared" si="0"/>
        <v>6577.9399999983152</v>
      </c>
    </row>
    <row r="12" spans="1:12" x14ac:dyDescent="0.25">
      <c r="A12" s="14">
        <f>'Kwh Reading'!A13</f>
        <v>44691</v>
      </c>
      <c r="B12" s="80">
        <f>TOTAL!E11</f>
        <v>26319.999999999025</v>
      </c>
      <c r="C12" s="1">
        <f>'Kwh Consumption'!C13</f>
        <v>579.99999999992724</v>
      </c>
      <c r="D12" s="1">
        <f>'Kwh Consumption'!D13</f>
        <v>2799.9999999996917</v>
      </c>
      <c r="E12" s="1">
        <f>'Kwh Consumption'!E13</f>
        <v>269.99999999998181</v>
      </c>
      <c r="F12" s="1">
        <f>('Kwh Consumption'!F13+'Kwh Consumption'!G13+'Kwh Consumption'!H13)</f>
        <v>1479.9999999999613</v>
      </c>
      <c r="G12" s="16">
        <f>('Kwh Consumption'!I13+'Kwh Consumption'!J13)</f>
        <v>139.99999999998636</v>
      </c>
      <c r="H12" s="1">
        <f>('Kwh Consumption'!K13+'Kwh Consumption'!L13)</f>
        <v>1560.0000000000466</v>
      </c>
      <c r="I12" s="1">
        <f>('Kwh Consumption'!M13+'Kwh Consumption'!N13+'Kwh Consumption'!O13+'Kwh Consumption'!P13+'Kwh Consumption'!Q13+'Kwh Consumption'!R13)</f>
        <v>6490.0000000000537</v>
      </c>
      <c r="J12" s="1">
        <f>('Kwh Consumption'!S13+'Kwh Consumption'!T13)</f>
        <v>6686.1399999996647</v>
      </c>
      <c r="K12" s="1">
        <f>'Kwh Consumption'!U13</f>
        <v>219.99999999999886</v>
      </c>
      <c r="L12" s="31">
        <f t="shared" si="0"/>
        <v>6093.8599999997141</v>
      </c>
    </row>
    <row r="13" spans="1:12" x14ac:dyDescent="0.25">
      <c r="A13" s="14">
        <f>'Kwh Reading'!A14</f>
        <v>44692</v>
      </c>
      <c r="B13" s="80">
        <f>TOTAL!E12</f>
        <v>23189.999999999825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230.00000000001819</v>
      </c>
      <c r="F13" s="1">
        <f>('Kwh Consumption'!F14+'Kwh Consumption'!G14+'Kwh Consumption'!H14)</f>
        <v>1060.0000000000023</v>
      </c>
      <c r="G13" s="16">
        <f>('Kwh Consumption'!I14+'Kwh Consumption'!J14)</f>
        <v>159.99999999999659</v>
      </c>
      <c r="H13" s="1">
        <f>('Kwh Consumption'!K14+'Kwh Consumption'!L14)</f>
        <v>1429.9999999999197</v>
      </c>
      <c r="I13" s="1">
        <f>('Kwh Consumption'!M14+'Kwh Consumption'!N14+'Kwh Consumption'!O14+'Kwh Consumption'!P14+'Kwh Consumption'!Q14+'Kwh Consumption'!R14)</f>
        <v>5349.9999999999463</v>
      </c>
      <c r="J13" s="1">
        <f>('Kwh Consumption'!S14+'Kwh Consumption'!T14)</f>
        <v>5209.8899999987334</v>
      </c>
      <c r="K13" s="1">
        <f>'Kwh Consumption'!U14</f>
        <v>230.00000000001819</v>
      </c>
      <c r="L13" s="31">
        <f t="shared" si="0"/>
        <v>6260.1100000012084</v>
      </c>
    </row>
    <row r="14" spans="1:12" x14ac:dyDescent="0.25">
      <c r="A14" s="14">
        <f>'Kwh Reading'!A15</f>
        <v>44693</v>
      </c>
      <c r="B14" s="80">
        <f>TOTAL!E13</f>
        <v>22990.000000000466</v>
      </c>
      <c r="C14" s="1">
        <f>'Kwh Consumption'!C15</f>
        <v>599.99999999990905</v>
      </c>
      <c r="D14" s="1">
        <f>'Kwh Consumption'!D15</f>
        <v>2700.0000000003688</v>
      </c>
      <c r="E14" s="1">
        <f>'Kwh Consumption'!E15</f>
        <v>230.00000000001819</v>
      </c>
      <c r="F14" s="1">
        <f>('Kwh Consumption'!F15+'Kwh Consumption'!G15+'Kwh Consumption'!H15)</f>
        <v>1269.9999999999818</v>
      </c>
      <c r="G14" s="16">
        <f>('Kwh Consumption'!I15+'Kwh Consumption'!J15)</f>
        <v>150.00000000000568</v>
      </c>
      <c r="H14" s="1">
        <f>('Kwh Consumption'!K15+'Kwh Consumption'!L15)</f>
        <v>1320.000000000105</v>
      </c>
      <c r="I14" s="1">
        <f>('Kwh Consumption'!M15+'Kwh Consumption'!N15+'Kwh Consumption'!O15+'Kwh Consumption'!P15+'Kwh Consumption'!Q15+'Kwh Consumption'!R15)</f>
        <v>5260.0000000001028</v>
      </c>
      <c r="J14" s="1">
        <f>('Kwh Consumption'!S15+'Kwh Consumption'!T15)</f>
        <v>5026.4500000001863</v>
      </c>
      <c r="K14" s="1">
        <f>'Kwh Consumption'!U15</f>
        <v>199.99999999998863</v>
      </c>
      <c r="L14" s="31">
        <f t="shared" si="0"/>
        <v>6233.5499999997992</v>
      </c>
    </row>
    <row r="15" spans="1:12" x14ac:dyDescent="0.25">
      <c r="A15" s="14">
        <f>'Kwh Reading'!A16</f>
        <v>44694</v>
      </c>
      <c r="B15" s="80">
        <f>TOTAL!E14</f>
        <v>22510.000000001808</v>
      </c>
      <c r="C15" s="1">
        <f>'Kwh Consumption'!C16</f>
        <v>500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1199.9999999999886</v>
      </c>
      <c r="G15" s="16">
        <f>('Kwh Consumption'!I16+'Kwh Consumption'!J16)</f>
        <v>150.00000000000568</v>
      </c>
      <c r="H15" s="1">
        <f>('Kwh Consumption'!K16+'Kwh Consumption'!L16)</f>
        <v>1389.9999999998424</v>
      </c>
      <c r="I15" s="1">
        <f>('Kwh Consumption'!M16+'Kwh Consumption'!N16+'Kwh Consumption'!O16+'Kwh Consumption'!P16+'Kwh Consumption'!Q16+'Kwh Consumption'!R16)</f>
        <v>5130.0000000000664</v>
      </c>
      <c r="J15" s="1">
        <f>('Kwh Consumption'!S16+'Kwh Consumption'!T16)</f>
        <v>5199.2500000009313</v>
      </c>
      <c r="K15" s="1">
        <f>'Kwh Consumption'!U16</f>
        <v>240.00000000000909</v>
      </c>
      <c r="L15" s="31">
        <f t="shared" si="0"/>
        <v>5750.7500000010386</v>
      </c>
    </row>
    <row r="16" spans="1:12" x14ac:dyDescent="0.25">
      <c r="A16" s="14">
        <f>'Kwh Reading'!A17</f>
        <v>44695</v>
      </c>
      <c r="B16" s="80">
        <f>TOTAL!E15</f>
        <v>21610.000000000357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1180.0000000000068</v>
      </c>
      <c r="G16" s="16">
        <f>('Kwh Consumption'!I17+'Kwh Consumption'!J17)</f>
        <v>139.99999999998636</v>
      </c>
      <c r="H16" s="1">
        <f>('Kwh Consumption'!K17+'Kwh Consumption'!L17)</f>
        <v>1180.0000000001523</v>
      </c>
      <c r="I16" s="1">
        <f>('Kwh Consumption'!M17+'Kwh Consumption'!N17+'Kwh Consumption'!O17+'Kwh Consumption'!P17+'Kwh Consumption'!Q17+'Kwh Consumption'!R17)</f>
        <v>4870.00000000007</v>
      </c>
      <c r="J16" s="1">
        <f>('Kwh Consumption'!S17+'Kwh Consumption'!T17)</f>
        <v>4599.3400000007823</v>
      </c>
      <c r="K16" s="1">
        <f>'Kwh Consumption'!U17</f>
        <v>180.00000000000682</v>
      </c>
      <c r="L16" s="31">
        <f t="shared" si="0"/>
        <v>6230.6599999993414</v>
      </c>
    </row>
    <row r="17" spans="1:12" x14ac:dyDescent="0.25">
      <c r="A17" s="14">
        <f>'Kwh Reading'!A18</f>
        <v>44696</v>
      </c>
      <c r="B17" s="80">
        <f>TOTAL!E16</f>
        <v>22339.999999999236</v>
      </c>
      <c r="C17" s="1">
        <f>'Kwh Consumption'!C18</f>
        <v>519.99999999998181</v>
      </c>
      <c r="D17" s="1">
        <f>'Kwh Consumption'!D18</f>
        <v>2800.0000000001355</v>
      </c>
      <c r="E17" s="1">
        <f>'Kwh Consumption'!E18</f>
        <v>240.00000000000909</v>
      </c>
      <c r="F17" s="1">
        <f>('Kwh Consumption'!F18+'Kwh Consumption'!G18+'Kwh Consumption'!H18)</f>
        <v>1050.0000000000114</v>
      </c>
      <c r="G17" s="16">
        <f>('Kwh Consumption'!I18+'Kwh Consumption'!J18)</f>
        <v>140.00000000001478</v>
      </c>
      <c r="H17" s="1">
        <f>('Kwh Consumption'!K18+'Kwh Consumption'!L18)</f>
        <v>1549.9999999998338</v>
      </c>
      <c r="I17" s="1">
        <f>('Kwh Consumption'!M18+'Kwh Consumption'!N18+'Kwh Consumption'!O18+'Kwh Consumption'!P18+'Kwh Consumption'!Q18+'Kwh Consumption'!R18)</f>
        <v>5479.9999999999418</v>
      </c>
      <c r="J17" s="1">
        <f>('Kwh Consumption'!S18+'Kwh Consumption'!T18)</f>
        <v>5575.5499999998137</v>
      </c>
      <c r="K17" s="30">
        <f>'Kwh Consumption'!U18</f>
        <v>189.99999999999773</v>
      </c>
      <c r="L17" s="31">
        <f t="shared" si="0"/>
        <v>4794.4499999994987</v>
      </c>
    </row>
    <row r="18" spans="1:12" x14ac:dyDescent="0.25">
      <c r="A18" s="14">
        <f>'Kwh Reading'!A19</f>
        <v>44697</v>
      </c>
      <c r="B18" s="80">
        <f>TOTAL!E17</f>
        <v>22190.000000000509</v>
      </c>
      <c r="C18" s="1">
        <f>'Kwh Consumption'!C19</f>
        <v>519.99999999998181</v>
      </c>
      <c r="D18" s="1">
        <f>'Kwh Consumption'!D19</f>
        <v>2599.9999999997135</v>
      </c>
      <c r="E18" s="1">
        <f>'Kwh Consumption'!E19</f>
        <v>229.99999999996135</v>
      </c>
      <c r="F18" s="1">
        <f>('Kwh Consumption'!F19+'Kwh Consumption'!G19+'Kwh Consumption'!H19)</f>
        <v>870.00000000000455</v>
      </c>
      <c r="G18" s="16">
        <f>('Kwh Consumption'!I19+'Kwh Consumption'!J19)</f>
        <v>139.99999999998636</v>
      </c>
      <c r="H18" s="1">
        <f>('Kwh Consumption'!K19+'Kwh Consumption'!L19)</f>
        <v>1420.000000000151</v>
      </c>
      <c r="I18" s="1">
        <f>('Kwh Consumption'!M19+'Kwh Consumption'!N19+'Kwh Consumption'!O19+'Kwh Consumption'!P19+'Kwh Consumption'!Q19+'Kwh Consumption'!R19)</f>
        <v>5119.9999999997344</v>
      </c>
      <c r="J18" s="1">
        <f>('Kwh Consumption'!S19+'Kwh Consumption'!T19)</f>
        <v>5175.8599999984726</v>
      </c>
      <c r="K18" s="30">
        <f>'Kwh Consumption'!U19</f>
        <v>169.99999999998749</v>
      </c>
      <c r="L18" s="31">
        <f t="shared" si="0"/>
        <v>5944.1400000025187</v>
      </c>
    </row>
    <row r="19" spans="1:12" x14ac:dyDescent="0.25">
      <c r="A19" s="14">
        <f>'Kwh Reading'!A20</f>
        <v>44698</v>
      </c>
      <c r="B19" s="80">
        <f>TOTAL!E18</f>
        <v>21000</v>
      </c>
      <c r="C19" s="1">
        <f>'Kwh Consumption'!C20</f>
        <v>1470.0000000000273</v>
      </c>
      <c r="D19" s="1">
        <f>'Kwh Consumption'!D20</f>
        <v>2499.9999999999468</v>
      </c>
      <c r="E19" s="1">
        <f>'Kwh Consumption'!E20</f>
        <v>250</v>
      </c>
      <c r="F19" s="1">
        <f>('Kwh Consumption'!F20+'Kwh Consumption'!G20+'Kwh Consumption'!H20)</f>
        <v>1030.0000000000296</v>
      </c>
      <c r="G19" s="16">
        <f>('Kwh Consumption'!I20+'Kwh Consumption'!J20)</f>
        <v>140.00000000001478</v>
      </c>
      <c r="H19" s="1">
        <f>('Kwh Consumption'!K20+'Kwh Consumption'!L20)</f>
        <v>1309.9999999998922</v>
      </c>
      <c r="I19" s="1">
        <f>('Kwh Consumption'!M20+'Kwh Consumption'!N20+'Kwh Consumption'!O20+'Kwh Consumption'!P20+'Kwh Consumption'!Q20+'Kwh Consumption'!R20)</f>
        <v>4720.0000000003201</v>
      </c>
      <c r="J19" s="1">
        <f>('Kwh Consumption'!S20+'Kwh Consumption'!T20)</f>
        <v>4942.7600000007078</v>
      </c>
      <c r="K19" s="1">
        <f>'Kwh Consumption'!U20</f>
        <v>180.00000000000682</v>
      </c>
      <c r="L19" s="31">
        <f t="shared" si="0"/>
        <v>4457.2399999990539</v>
      </c>
    </row>
    <row r="20" spans="1:12" x14ac:dyDescent="0.25">
      <c r="A20" s="14">
        <f>'Kwh Reading'!A21</f>
        <v>44699</v>
      </c>
      <c r="B20" s="80">
        <f>TOTAL!E19</f>
        <v>19769.999999999072</v>
      </c>
      <c r="C20" s="1">
        <f>'Kwh Consumption'!C21</f>
        <v>0</v>
      </c>
      <c r="D20" s="1">
        <f>'Kwh Consumption'!D21</f>
        <v>2500.0000000003906</v>
      </c>
      <c r="E20" s="1">
        <f>'Kwh Consumption'!E21</f>
        <v>230.00000000001819</v>
      </c>
      <c r="F20" s="1">
        <f>('Kwh Consumption'!F21+'Kwh Consumption'!G21+'Kwh Consumption'!H21)</f>
        <v>949.99999999998863</v>
      </c>
      <c r="G20" s="16">
        <f>('Kwh Consumption'!I21+'Kwh Consumption'!J21)</f>
        <v>150.00000000000568</v>
      </c>
      <c r="H20" s="1">
        <f>('Kwh Consumption'!K21+'Kwh Consumption'!L21)</f>
        <v>1060.0000000001248</v>
      </c>
      <c r="I20" s="1">
        <f>('Kwh Consumption'!M21+'Kwh Consumption'!N21+'Kwh Consumption'!O21+'Kwh Consumption'!P21+'Kwh Consumption'!Q21+'Kwh Consumption'!R21)</f>
        <v>3999.9999999998436</v>
      </c>
      <c r="J20" s="1">
        <f>('Kwh Consumption'!S21+'Kwh Consumption'!T21)</f>
        <v>4236.519999999553</v>
      </c>
      <c r="K20" s="1">
        <f>'Kwh Consumption'!U21</f>
        <v>180.00000000000682</v>
      </c>
      <c r="L20" s="31">
        <f t="shared" si="0"/>
        <v>6463.479999999141</v>
      </c>
    </row>
    <row r="21" spans="1:12" x14ac:dyDescent="0.25">
      <c r="A21" s="14">
        <f>'Kwh Reading'!A22</f>
        <v>44700</v>
      </c>
      <c r="B21" s="80">
        <f>TOTAL!E20</f>
        <v>20940.000000000284</v>
      </c>
      <c r="C21" s="1">
        <f>'Kwh Consumption'!C22</f>
        <v>9.9999999999909051</v>
      </c>
      <c r="D21" s="1">
        <f>'Kwh Consumption'!D22</f>
        <v>2799.9999999996917</v>
      </c>
      <c r="E21" s="1">
        <f>'Kwh Consumption'!E22</f>
        <v>250</v>
      </c>
      <c r="F21" s="1">
        <f>('Kwh Consumption'!F22+'Kwh Consumption'!G22+'Kwh Consumption'!H22)</f>
        <v>1050.0000000000114</v>
      </c>
      <c r="G21" s="16">
        <f>('Kwh Consumption'!I22+'Kwh Consumption'!J22)</f>
        <v>109.99999999998522</v>
      </c>
      <c r="H21" s="1">
        <f>('Kwh Consumption'!K22+'Kwh Consumption'!L22)</f>
        <v>1519.9999999998611</v>
      </c>
      <c r="I21" s="1">
        <f>('Kwh Consumption'!M22+'Kwh Consumption'!N22+'Kwh Consumption'!O22+'Kwh Consumption'!P22+'Kwh Consumption'!Q22+'Kwh Consumption'!R22)</f>
        <v>4960.0000000001482</v>
      </c>
      <c r="J21" s="1">
        <f>('Kwh Consumption'!S22+'Kwh Consumption'!T22)</f>
        <v>4635.5900000007823</v>
      </c>
      <c r="K21" s="1">
        <f>'Kwh Consumption'!U22</f>
        <v>209.99999999997954</v>
      </c>
      <c r="L21" s="31">
        <f t="shared" si="0"/>
        <v>5394.4099999998307</v>
      </c>
    </row>
    <row r="22" spans="1:12" x14ac:dyDescent="0.25">
      <c r="A22" s="14">
        <f>'Kwh Reading'!A23</f>
        <v>44701</v>
      </c>
      <c r="B22" s="80">
        <f>TOTAL!E21</f>
        <v>21539.999999999738</v>
      </c>
      <c r="C22" s="1">
        <f>'Kwh Consumption'!C23</f>
        <v>319.99999999993634</v>
      </c>
      <c r="D22" s="1">
        <f>'Kwh Consumption'!D23</f>
        <v>2600.0000000001578</v>
      </c>
      <c r="E22" s="1">
        <f>'Kwh Consumption'!E23</f>
        <v>230.00000000001819</v>
      </c>
      <c r="F22" s="1">
        <f>('Kwh Consumption'!F23+'Kwh Consumption'!G23+'Kwh Consumption'!H23)</f>
        <v>819.99999999999318</v>
      </c>
      <c r="G22" s="16">
        <f>('Kwh Consumption'!I23+'Kwh Consumption'!J23)</f>
        <v>170.00000000001592</v>
      </c>
      <c r="H22" s="1">
        <f>('Kwh Consumption'!K23+'Kwh Consumption'!L23)</f>
        <v>1390.0000000000646</v>
      </c>
      <c r="I22" s="1">
        <f>('Kwh Consumption'!M23+'Kwh Consumption'!N23+'Kwh Consumption'!O23+'Kwh Consumption'!P23+'Kwh Consumption'!Q23+'Kwh Consumption'!R23)</f>
        <v>4539.9999999998072</v>
      </c>
      <c r="J22" s="1">
        <f>('Kwh Consumption'!S23+'Kwh Consumption'!T23)</f>
        <v>4199.7299999995157</v>
      </c>
      <c r="K22" s="1">
        <f>'Kwh Consumption'!U23</f>
        <v>210.00000000000796</v>
      </c>
      <c r="L22" s="31">
        <f t="shared" si="0"/>
        <v>7060.2700000002251</v>
      </c>
    </row>
    <row r="23" spans="1:12" x14ac:dyDescent="0.25">
      <c r="A23" s="14">
        <f>'Kwh Reading'!A24</f>
        <v>44702</v>
      </c>
      <c r="B23" s="80">
        <f>TOTAL!E22</f>
        <v>22859.999999999898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1259.9999999999909</v>
      </c>
      <c r="G23" s="16">
        <f>('Kwh Consumption'!I24+'Kwh Consumption'!J24)</f>
        <v>149.99999999997726</v>
      </c>
      <c r="H23" s="1">
        <f>('Kwh Consumption'!K24+'Kwh Consumption'!L24)</f>
        <v>1539.9999999998997</v>
      </c>
      <c r="I23" s="1">
        <f>('Kwh Consumption'!M24+'Kwh Consumption'!N24+'Kwh Consumption'!O24+'Kwh Consumption'!P24+'Kwh Consumption'!Q24+'Kwh Consumption'!R24)</f>
        <v>5110.0000000003529</v>
      </c>
      <c r="J23" s="1">
        <f>('Kwh Consumption'!S24+'Kwh Consumption'!T24)</f>
        <v>4977.1399999996647</v>
      </c>
      <c r="K23" s="1">
        <f>'Kwh Consumption'!U24</f>
        <v>229.99999999998977</v>
      </c>
      <c r="L23" s="31">
        <f t="shared" si="0"/>
        <v>5942.8599999998596</v>
      </c>
    </row>
    <row r="24" spans="1:12" x14ac:dyDescent="0.25">
      <c r="A24" s="14">
        <f>'Kwh Reading'!A25</f>
        <v>44703</v>
      </c>
      <c r="B24" s="80">
        <f>TOTAL!E23</f>
        <v>23359.999999999898</v>
      </c>
      <c r="C24" s="1">
        <f>'Kwh Consumption'!C25</f>
        <v>500</v>
      </c>
      <c r="D24" s="1">
        <f>'Kwh Consumption'!D25</f>
        <v>2699.9999999999245</v>
      </c>
      <c r="E24" s="1">
        <f>'Kwh Consumption'!E25</f>
        <v>250</v>
      </c>
      <c r="F24" s="1">
        <f>('Kwh Consumption'!F25+'Kwh Consumption'!G25+'Kwh Consumption'!H25)</f>
        <v>1040.0000000000205</v>
      </c>
      <c r="G24" s="16">
        <f>('Kwh Consumption'!I25+'Kwh Consumption'!J25)</f>
        <v>130.00000000002387</v>
      </c>
      <c r="H24" s="1">
        <f>('Kwh Consumption'!K25+'Kwh Consumption'!L25)</f>
        <v>1560.0000000001035</v>
      </c>
      <c r="I24" s="1">
        <f>('Kwh Consumption'!M25+'Kwh Consumption'!N25+'Kwh Consumption'!O25+'Kwh Consumption'!P25+'Kwh Consumption'!Q25+'Kwh Consumption'!R25)</f>
        <v>5239.9999999996717</v>
      </c>
      <c r="J24" s="1">
        <f>('Kwh Consumption'!S25+'Kwh Consumption'!T25)</f>
        <v>5291.6400000015274</v>
      </c>
      <c r="K24" s="1">
        <f>'Kwh Consumption'!U25</f>
        <v>220.00000000002728</v>
      </c>
      <c r="L24" s="31">
        <f t="shared" si="0"/>
        <v>6428.3599999985981</v>
      </c>
    </row>
    <row r="25" spans="1:12" x14ac:dyDescent="0.25">
      <c r="A25" s="14">
        <f>'Kwh Reading'!A26</f>
        <v>44704</v>
      </c>
      <c r="B25" s="80">
        <f>TOTAL!E24</f>
        <v>22929.999999999607</v>
      </c>
      <c r="C25" s="1">
        <f>'Kwh Consumption'!C26</f>
        <v>490.00000000000909</v>
      </c>
      <c r="D25" s="1">
        <f>'Kwh Consumption'!D26</f>
        <v>2799.9999999996917</v>
      </c>
      <c r="E25" s="1">
        <f>'Kwh Consumption'!E26</f>
        <v>219.99999999997044</v>
      </c>
      <c r="F25" s="1">
        <f>('Kwh Consumption'!F26+'Kwh Consumption'!G26+'Kwh Consumption'!H26)</f>
        <v>969.99999999997044</v>
      </c>
      <c r="G25" s="16">
        <f>('Kwh Consumption'!I26+'Kwh Consumption'!J26)</f>
        <v>139.99999999998636</v>
      </c>
      <c r="H25" s="1">
        <f>('Kwh Consumption'!K26+'Kwh Consumption'!L26)</f>
        <v>1560.0000000000466</v>
      </c>
      <c r="I25" s="1">
        <f>('Kwh Consumption'!M26+'Kwh Consumption'!N26+'Kwh Consumption'!O26+'Kwh Consumption'!P26+'Kwh Consumption'!Q26+'Kwh Consumption'!R26)</f>
        <v>5180.0000000000955</v>
      </c>
      <c r="J25" s="1">
        <f>('Kwh Consumption'!S26+'Kwh Consumption'!T26)</f>
        <v>5447.7099999990314</v>
      </c>
      <c r="K25" s="1">
        <f>'Kwh Consumption'!U26</f>
        <v>219.99999999999886</v>
      </c>
      <c r="L25" s="31">
        <f t="shared" si="0"/>
        <v>5902.2900000008094</v>
      </c>
    </row>
    <row r="26" spans="1:12" x14ac:dyDescent="0.25">
      <c r="A26" s="14">
        <f>'Kwh Reading'!A27</f>
        <v>44705</v>
      </c>
      <c r="B26" s="80">
        <f>TOTAL!E25</f>
        <v>0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230.00000000001819</v>
      </c>
      <c r="F26" s="1">
        <f>('Kwh Consumption'!F27+'Kwh Consumption'!G27+'Kwh Consumption'!H27)</f>
        <v>760.00000000004775</v>
      </c>
      <c r="G26" s="16">
        <f>('Kwh Consumption'!I27+'Kwh Consumption'!J27)</f>
        <v>150.00000000000568</v>
      </c>
      <c r="H26" s="1">
        <f>('Kwh Consumption'!K27+'Kwh Consumption'!L27)</f>
        <v>1429.9999999999197</v>
      </c>
      <c r="I26" s="1">
        <f>('Kwh Consumption'!M27+'Kwh Consumption'!N27+'Kwh Consumption'!O27+'Kwh Consumption'!P27+'Kwh Consumption'!Q27+'Kwh Consumption'!R27)</f>
        <v>-729.9999999999809</v>
      </c>
      <c r="J26" s="1">
        <f>('Kwh Consumption'!S27+'Kwh Consumption'!T27)</f>
        <v>5080.4599999990314</v>
      </c>
      <c r="K26" s="1">
        <f>'Kwh Consumption'!U27</f>
        <v>209.99999999997954</v>
      </c>
      <c r="L26" s="31">
        <f t="shared" si="0"/>
        <v>-10220.45999999919</v>
      </c>
    </row>
    <row r="27" spans="1:12" x14ac:dyDescent="0.25">
      <c r="A27" s="14">
        <f>'Kwh Reading'!A28</f>
        <v>44706</v>
      </c>
      <c r="B27" s="80">
        <f>TOTAL!E26</f>
        <v>0</v>
      </c>
      <c r="C27" s="1">
        <f>'Kwh Consumption'!C28</f>
        <v>310.00000000005912</v>
      </c>
      <c r="D27" s="1">
        <f>'Kwh Consumption'!D28</f>
        <v>2800.0000000001355</v>
      </c>
      <c r="E27" s="1">
        <f>'Kwh Consumption'!E28</f>
        <v>199.99999999998863</v>
      </c>
      <c r="F27" s="1">
        <f>('Kwh Consumption'!F28+'Kwh Consumption'!G28+'Kwh Consumption'!H28)</f>
        <v>999.99999999994316</v>
      </c>
      <c r="G27" s="16">
        <f>('Kwh Consumption'!I28+'Kwh Consumption'!J28)</f>
        <v>129.99999999999545</v>
      </c>
      <c r="H27" s="1">
        <f>('Kwh Consumption'!K28+'Kwh Consumption'!L28)</f>
        <v>1550.0000000000557</v>
      </c>
      <c r="I27" s="1">
        <f>('Kwh Consumption'!M28+'Kwh Consumption'!N28+'Kwh Consumption'!O28+'Kwh Consumption'!P28+'Kwh Consumption'!Q28+'Kwh Consumption'!R28)</f>
        <v>10219.999999999836</v>
      </c>
      <c r="J27" s="1">
        <f>('Kwh Consumption'!S28+'Kwh Consumption'!T28)</f>
        <v>4880.3600000012666</v>
      </c>
      <c r="K27" s="1">
        <f>'Kwh Consumption'!U28</f>
        <v>200.00000000001705</v>
      </c>
      <c r="L27" s="31">
        <f t="shared" si="0"/>
        <v>-21290.360000001299</v>
      </c>
    </row>
    <row r="28" spans="1:12" x14ac:dyDescent="0.25">
      <c r="A28" s="14">
        <f>'Kwh Reading'!A29</f>
        <v>44707</v>
      </c>
      <c r="B28" s="80">
        <f>TOTAL!E27</f>
        <v>0</v>
      </c>
      <c r="C28" s="1">
        <f>'Kwh Consumption'!C29</f>
        <v>649.99999999997726</v>
      </c>
      <c r="D28" s="1">
        <f>'Kwh Consumption'!D29</f>
        <v>2699.9999999999245</v>
      </c>
      <c r="E28" s="1">
        <f>'Kwh Consumption'!E29</f>
        <v>209.99999999997954</v>
      </c>
      <c r="F28" s="1">
        <f>('Kwh Consumption'!F29+'Kwh Consumption'!G29+'Kwh Consumption'!H29)</f>
        <v>810.00000000005912</v>
      </c>
      <c r="G28" s="16">
        <f>('Kwh Consumption'!I29+'Kwh Consumption'!J29)</f>
        <v>140.00000000001478</v>
      </c>
      <c r="H28" s="1">
        <f>('Kwh Consumption'!K29+'Kwh Consumption'!L29)</f>
        <v>1449.9999999999015</v>
      </c>
      <c r="I28" s="1">
        <f>('Kwh Consumption'!M29+'Kwh Consumption'!N29+'Kwh Consumption'!O29+'Kwh Consumption'!P29+'Kwh Consumption'!Q29+'Kwh Consumption'!R29)</f>
        <v>4430.0000000003229</v>
      </c>
      <c r="J28" s="1">
        <f>('Kwh Consumption'!S29+'Kwh Consumption'!T29)</f>
        <v>4862.5800000000745</v>
      </c>
      <c r="K28" s="1">
        <f>'Kwh Consumption'!U29</f>
        <v>229.99999999998977</v>
      </c>
      <c r="L28" s="31">
        <f t="shared" si="0"/>
        <v>-15482.580000000242</v>
      </c>
    </row>
    <row r="29" spans="1:12" x14ac:dyDescent="0.25">
      <c r="A29" s="14">
        <f>'Kwh Reading'!A30</f>
        <v>44708</v>
      </c>
      <c r="B29" s="80">
        <f>TOTAL!E28</f>
        <v>0</v>
      </c>
      <c r="C29" s="1">
        <f>'Kwh Consumption'!C30</f>
        <v>-583350</v>
      </c>
      <c r="D29" s="1">
        <f>'Kwh Consumption'!D30</f>
        <v>-3241600</v>
      </c>
      <c r="E29" s="1">
        <f>'Kwh Consumption'!E30</f>
        <v>-312270</v>
      </c>
      <c r="F29" s="1">
        <f>('Kwh Consumption'!F30+'Kwh Consumption'!G30+'Kwh Consumption'!H30)</f>
        <v>-1232530</v>
      </c>
      <c r="G29" s="16">
        <f>('Kwh Consumption'!I30+'Kwh Consumption'!J30)</f>
        <v>-350480</v>
      </c>
      <c r="H29" s="1">
        <f>('Kwh Consumption'!K30+'Kwh Consumption'!L30)</f>
        <v>-1714080</v>
      </c>
      <c r="I29" s="1">
        <f>('Kwh Consumption'!M30+'Kwh Consumption'!N30+'Kwh Consumption'!O30+'Kwh Consumption'!P30+'Kwh Consumption'!Q30+'Kwh Consumption'!R30)</f>
        <v>-5126480</v>
      </c>
      <c r="J29" s="1">
        <f>('Kwh Consumption'!S30+'Kwh Consumption'!T30)</f>
        <v>-17313183.310000002</v>
      </c>
      <c r="K29" s="1">
        <f>'Kwh Consumption'!U30</f>
        <v>-222470</v>
      </c>
      <c r="L29" s="31">
        <f t="shared" si="0"/>
        <v>30096443.310000002</v>
      </c>
    </row>
    <row r="30" spans="1:12" x14ac:dyDescent="0.25">
      <c r="A30" s="14">
        <f>'Kwh Reading'!A31</f>
        <v>44709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44710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44711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44712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548831.20999999868</v>
      </c>
      <c r="C34" s="72">
        <f>SUM(C3:C33)</f>
        <v>-570270</v>
      </c>
      <c r="D34" s="72">
        <f t="shared" ref="D34:L34" si="1">SUM(D3:D33)</f>
        <v>-3169900</v>
      </c>
      <c r="E34" s="72">
        <f t="shared" si="1"/>
        <v>-306020</v>
      </c>
      <c r="F34" s="72">
        <f t="shared" si="1"/>
        <v>-1202440</v>
      </c>
      <c r="G34" s="72">
        <f t="shared" si="1"/>
        <v>-346700</v>
      </c>
      <c r="H34" s="72">
        <f t="shared" si="1"/>
        <v>-1676080</v>
      </c>
      <c r="I34" s="72">
        <f t="shared" si="1"/>
        <v>-4985040</v>
      </c>
      <c r="J34" s="72">
        <f t="shared" si="1"/>
        <v>-17170009.150000002</v>
      </c>
      <c r="K34" s="72">
        <f t="shared" si="1"/>
        <v>-216890</v>
      </c>
      <c r="L34" s="72">
        <f t="shared" si="1"/>
        <v>30192180.359999999</v>
      </c>
      <c r="M34" s="81">
        <f>C34+D34+E34+F34+G34+H34+I34+J34+K34+L34</f>
        <v>548831.20999999717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44682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44683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44684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44685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44686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44687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44688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44689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44690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44691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44692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44693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44694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44695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44696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44697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44698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44699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44700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44701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44702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44703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44704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44705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44706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44707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44708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44709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44710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44711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44712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9" sqref="B2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44682</v>
      </c>
      <c r="B3" s="32">
        <v>224237</v>
      </c>
      <c r="C3" s="32"/>
      <c r="D3" s="53">
        <v>263398</v>
      </c>
      <c r="E3" s="53">
        <v>268385</v>
      </c>
      <c r="F3" s="53">
        <v>67162</v>
      </c>
      <c r="G3" s="53">
        <v>118898</v>
      </c>
      <c r="H3" s="54">
        <v>62098</v>
      </c>
      <c r="I3" s="32">
        <v>74494</v>
      </c>
      <c r="J3" s="53">
        <v>22650</v>
      </c>
      <c r="K3" s="53">
        <v>1024</v>
      </c>
      <c r="L3" s="53">
        <v>18762</v>
      </c>
      <c r="M3" s="53">
        <v>27322</v>
      </c>
      <c r="N3" s="53">
        <v>8570</v>
      </c>
      <c r="O3" s="53">
        <v>2084</v>
      </c>
      <c r="P3" s="53">
        <v>30909</v>
      </c>
      <c r="Q3" s="53">
        <v>1618</v>
      </c>
      <c r="R3" s="53">
        <v>65</v>
      </c>
    </row>
    <row r="4" spans="1:21" x14ac:dyDescent="0.25">
      <c r="A4" s="52">
        <v>44683</v>
      </c>
      <c r="B4" s="32">
        <v>224435</v>
      </c>
      <c r="C4" s="32"/>
      <c r="D4" s="32">
        <v>263577</v>
      </c>
      <c r="E4" s="32">
        <v>268461</v>
      </c>
      <c r="F4" s="32">
        <v>67164</v>
      </c>
      <c r="G4" s="32">
        <v>118926</v>
      </c>
      <c r="H4" s="32">
        <v>62098</v>
      </c>
      <c r="I4" s="32">
        <v>74524</v>
      </c>
      <c r="J4" s="54">
        <v>22656</v>
      </c>
      <c r="K4" s="54">
        <v>1024</v>
      </c>
      <c r="L4" s="103">
        <v>18765</v>
      </c>
      <c r="M4" s="103">
        <v>27330</v>
      </c>
      <c r="N4" s="103">
        <v>8575</v>
      </c>
      <c r="O4" s="103">
        <v>2087</v>
      </c>
      <c r="P4" s="103">
        <v>30911</v>
      </c>
      <c r="Q4" s="103">
        <v>1618</v>
      </c>
      <c r="R4" s="103">
        <v>70</v>
      </c>
    </row>
    <row r="5" spans="1:21" x14ac:dyDescent="0.25">
      <c r="A5" s="52">
        <v>44684</v>
      </c>
      <c r="B5" s="32">
        <v>224595</v>
      </c>
      <c r="C5" s="32"/>
      <c r="D5" s="32">
        <v>263748</v>
      </c>
      <c r="E5" s="32">
        <v>268526</v>
      </c>
      <c r="F5" s="32">
        <v>67164</v>
      </c>
      <c r="G5" s="32">
        <v>118954</v>
      </c>
      <c r="H5" s="32">
        <v>62098</v>
      </c>
      <c r="I5" s="32">
        <v>74562</v>
      </c>
      <c r="J5" s="53">
        <v>22662</v>
      </c>
      <c r="K5" s="32">
        <v>1024</v>
      </c>
      <c r="L5" s="103">
        <v>18768</v>
      </c>
      <c r="M5" s="103">
        <v>27330</v>
      </c>
      <c r="N5" s="103">
        <v>8576</v>
      </c>
      <c r="O5" s="103">
        <v>2090</v>
      </c>
      <c r="P5" s="103">
        <v>30934</v>
      </c>
      <c r="Q5" s="103">
        <v>1618.9</v>
      </c>
      <c r="R5" s="103">
        <v>76</v>
      </c>
    </row>
    <row r="6" spans="1:21" x14ac:dyDescent="0.25">
      <c r="A6" s="52">
        <v>44685</v>
      </c>
      <c r="B6" s="32">
        <v>224811</v>
      </c>
      <c r="C6" s="32"/>
      <c r="D6" s="32">
        <v>263948</v>
      </c>
      <c r="E6" s="32">
        <v>268599</v>
      </c>
      <c r="F6" s="32">
        <v>67165</v>
      </c>
      <c r="G6" s="32">
        <v>118984</v>
      </c>
      <c r="H6" s="32">
        <v>62098</v>
      </c>
      <c r="I6" s="32">
        <v>74585</v>
      </c>
      <c r="J6" s="54">
        <v>22668</v>
      </c>
      <c r="K6" s="54">
        <v>1024</v>
      </c>
      <c r="L6" s="103">
        <v>198771</v>
      </c>
      <c r="M6" s="103">
        <v>27341</v>
      </c>
      <c r="N6" s="103">
        <v>8578</v>
      </c>
      <c r="O6" s="103">
        <v>2092</v>
      </c>
      <c r="P6" s="103">
        <v>30934</v>
      </c>
      <c r="Q6" s="103">
        <v>1620.7</v>
      </c>
      <c r="R6" s="103">
        <v>81</v>
      </c>
    </row>
    <row r="7" spans="1:21" x14ac:dyDescent="0.25">
      <c r="A7" s="52">
        <v>44686</v>
      </c>
      <c r="B7" s="54">
        <v>225028</v>
      </c>
      <c r="C7" s="32"/>
      <c r="D7" s="103">
        <v>264138</v>
      </c>
      <c r="E7" s="103">
        <v>268666</v>
      </c>
      <c r="F7" s="103">
        <v>67168</v>
      </c>
      <c r="G7" s="103">
        <v>119013</v>
      </c>
      <c r="H7" s="103">
        <v>62098</v>
      </c>
      <c r="I7" s="103">
        <v>74637</v>
      </c>
      <c r="J7" s="103">
        <v>22674</v>
      </c>
      <c r="K7" s="103">
        <v>1024</v>
      </c>
      <c r="L7" s="103">
        <v>18773</v>
      </c>
      <c r="M7" s="103">
        <v>27346</v>
      </c>
      <c r="N7" s="103">
        <v>8581</v>
      </c>
      <c r="O7" s="103">
        <v>2095</v>
      </c>
      <c r="P7" s="103">
        <v>30962</v>
      </c>
      <c r="Q7" s="103">
        <v>1621.7</v>
      </c>
      <c r="R7" s="103">
        <v>86</v>
      </c>
    </row>
    <row r="8" spans="1:21" x14ac:dyDescent="0.25">
      <c r="A8" s="52">
        <v>44687</v>
      </c>
      <c r="B8" s="54">
        <v>225208</v>
      </c>
      <c r="C8" s="32"/>
      <c r="D8" s="103">
        <v>264302</v>
      </c>
      <c r="E8" s="103">
        <v>268740</v>
      </c>
      <c r="F8" s="103">
        <v>67166</v>
      </c>
      <c r="G8" s="103">
        <v>119047</v>
      </c>
      <c r="H8" s="103">
        <v>62098</v>
      </c>
      <c r="I8" s="103">
        <v>74671</v>
      </c>
      <c r="J8" s="103">
        <v>22680</v>
      </c>
      <c r="K8" s="103">
        <v>1024</v>
      </c>
      <c r="L8" s="103">
        <v>18776</v>
      </c>
      <c r="M8" s="103">
        <v>27352</v>
      </c>
      <c r="N8" s="103">
        <v>8584</v>
      </c>
      <c r="O8" s="103">
        <v>2098</v>
      </c>
      <c r="P8" s="103">
        <v>30976</v>
      </c>
      <c r="Q8" s="103">
        <v>1622.8</v>
      </c>
      <c r="R8" s="103">
        <v>91</v>
      </c>
    </row>
    <row r="9" spans="1:21" x14ac:dyDescent="0.25">
      <c r="A9" s="52">
        <v>44688</v>
      </c>
      <c r="B9" s="54">
        <v>225407</v>
      </c>
      <c r="C9" s="32"/>
      <c r="D9" s="103">
        <v>264451</v>
      </c>
      <c r="E9" s="103">
        <v>268813</v>
      </c>
      <c r="F9" s="103">
        <v>67167</v>
      </c>
      <c r="G9" s="103">
        <v>119079</v>
      </c>
      <c r="H9" s="103">
        <v>62098</v>
      </c>
      <c r="I9" s="103">
        <v>74691</v>
      </c>
      <c r="J9" s="103">
        <v>22684</v>
      </c>
      <c r="K9" s="103">
        <v>1024</v>
      </c>
      <c r="L9" s="103">
        <v>18778</v>
      </c>
      <c r="M9" s="103">
        <v>27357</v>
      </c>
      <c r="N9" s="103">
        <v>8586</v>
      </c>
      <c r="O9" s="103">
        <v>2101</v>
      </c>
      <c r="P9" s="103">
        <v>30976</v>
      </c>
      <c r="Q9" s="103">
        <v>1627.2</v>
      </c>
      <c r="R9" s="103">
        <v>92</v>
      </c>
    </row>
    <row r="10" spans="1:21" x14ac:dyDescent="0.25">
      <c r="A10" s="52">
        <v>44689</v>
      </c>
      <c r="B10" s="32">
        <v>225573</v>
      </c>
      <c r="C10" s="54"/>
      <c r="D10" s="103">
        <v>264604</v>
      </c>
      <c r="E10" s="103">
        <v>268886</v>
      </c>
      <c r="F10" s="103">
        <v>67168</v>
      </c>
      <c r="G10" s="103">
        <v>119111</v>
      </c>
      <c r="H10" s="103">
        <v>62098</v>
      </c>
      <c r="I10" s="103">
        <v>74712</v>
      </c>
      <c r="J10" s="103">
        <v>22689</v>
      </c>
      <c r="K10" s="103">
        <v>1024</v>
      </c>
      <c r="L10" s="103">
        <v>18781</v>
      </c>
      <c r="M10" s="103">
        <v>27362</v>
      </c>
      <c r="N10" s="103">
        <v>8587</v>
      </c>
      <c r="O10" s="103">
        <v>2104</v>
      </c>
      <c r="P10" s="103">
        <v>30976</v>
      </c>
      <c r="Q10" s="103">
        <v>1628</v>
      </c>
      <c r="R10" s="103">
        <v>97</v>
      </c>
    </row>
    <row r="11" spans="1:21" x14ac:dyDescent="0.25">
      <c r="A11" s="52">
        <v>44690</v>
      </c>
      <c r="B11" s="54">
        <v>225758</v>
      </c>
      <c r="C11" s="32"/>
      <c r="D11" s="103">
        <v>264748</v>
      </c>
      <c r="E11" s="103">
        <v>268979</v>
      </c>
      <c r="F11" s="103">
        <v>67169</v>
      </c>
      <c r="G11" s="103">
        <v>119139</v>
      </c>
      <c r="H11" s="103">
        <v>62098</v>
      </c>
      <c r="I11" s="103">
        <v>74747</v>
      </c>
      <c r="J11" s="103">
        <v>22695</v>
      </c>
      <c r="K11" s="103">
        <v>1024</v>
      </c>
      <c r="L11" s="103">
        <v>18784</v>
      </c>
      <c r="M11" s="103">
        <v>27372</v>
      </c>
      <c r="N11" s="103">
        <v>8589</v>
      </c>
      <c r="O11" s="103">
        <v>2106</v>
      </c>
      <c r="P11" s="103">
        <v>30988</v>
      </c>
      <c r="Q11" s="103">
        <v>1632</v>
      </c>
      <c r="R11" s="103">
        <v>100</v>
      </c>
    </row>
    <row r="12" spans="1:21" x14ac:dyDescent="0.25">
      <c r="A12" s="52">
        <v>44691</v>
      </c>
      <c r="B12" s="32">
        <v>225950</v>
      </c>
      <c r="C12" s="54"/>
      <c r="D12" s="103">
        <v>264911</v>
      </c>
      <c r="E12" s="103">
        <v>269010</v>
      </c>
      <c r="F12" s="103">
        <v>67169</v>
      </c>
      <c r="G12" s="103">
        <v>119168</v>
      </c>
      <c r="H12" s="103">
        <v>62098</v>
      </c>
      <c r="I12" s="103">
        <v>74783</v>
      </c>
      <c r="J12" s="103">
        <v>22700</v>
      </c>
      <c r="K12" s="103">
        <v>1024</v>
      </c>
      <c r="L12" s="103">
        <v>18786</v>
      </c>
      <c r="M12" s="103">
        <v>27379</v>
      </c>
      <c r="N12" s="103">
        <v>8592</v>
      </c>
      <c r="O12" s="103">
        <v>2110</v>
      </c>
      <c r="P12" s="103">
        <v>31001</v>
      </c>
      <c r="Q12" s="103">
        <v>1638</v>
      </c>
      <c r="R12" s="103">
        <v>106</v>
      </c>
    </row>
    <row r="13" spans="1:21" x14ac:dyDescent="0.25">
      <c r="A13" s="52">
        <v>44692</v>
      </c>
      <c r="B13" s="54">
        <v>226095</v>
      </c>
      <c r="C13" s="32"/>
      <c r="D13" s="103">
        <v>265046</v>
      </c>
      <c r="E13" s="103">
        <v>269081</v>
      </c>
      <c r="F13" s="103">
        <v>67170</v>
      </c>
      <c r="G13" s="103">
        <v>119199</v>
      </c>
      <c r="H13" s="103">
        <v>62098</v>
      </c>
      <c r="I13" s="103">
        <v>74800</v>
      </c>
      <c r="J13" s="103">
        <v>22706</v>
      </c>
      <c r="K13" s="103">
        <v>1024</v>
      </c>
      <c r="L13" s="103">
        <v>18789</v>
      </c>
      <c r="M13" s="103">
        <v>27384</v>
      </c>
      <c r="N13" s="103">
        <v>8594</v>
      </c>
      <c r="O13" s="103">
        <v>2112</v>
      </c>
      <c r="P13" s="103">
        <v>31001</v>
      </c>
      <c r="Q13" s="103">
        <v>1641</v>
      </c>
      <c r="R13" s="103">
        <v>111</v>
      </c>
    </row>
    <row r="14" spans="1:21" x14ac:dyDescent="0.25">
      <c r="A14" s="52">
        <v>44693</v>
      </c>
      <c r="B14" s="32">
        <v>226225</v>
      </c>
      <c r="C14" s="32"/>
      <c r="D14" s="103">
        <v>265184</v>
      </c>
      <c r="E14" s="103">
        <v>269140</v>
      </c>
      <c r="F14" s="103">
        <v>67170</v>
      </c>
      <c r="G14" s="103">
        <v>119221</v>
      </c>
      <c r="H14" s="103">
        <v>62098</v>
      </c>
      <c r="I14" s="103">
        <v>74811</v>
      </c>
      <c r="J14" s="103">
        <v>22711</v>
      </c>
      <c r="K14" s="103">
        <v>1024</v>
      </c>
      <c r="L14" s="103">
        <v>18791</v>
      </c>
      <c r="M14" s="103">
        <v>27391</v>
      </c>
      <c r="N14" s="103">
        <v>8595</v>
      </c>
      <c r="O14" s="103">
        <v>2114</v>
      </c>
      <c r="P14" s="103">
        <v>31001</v>
      </c>
      <c r="Q14" s="103">
        <v>1642</v>
      </c>
      <c r="R14" s="103">
        <v>116</v>
      </c>
    </row>
    <row r="15" spans="1:21" x14ac:dyDescent="0.25">
      <c r="A15" s="52">
        <v>44694</v>
      </c>
      <c r="B15" s="32">
        <v>226372</v>
      </c>
      <c r="C15" s="32"/>
      <c r="D15" s="103">
        <v>265291</v>
      </c>
      <c r="E15" s="103">
        <v>269199</v>
      </c>
      <c r="F15" s="103">
        <v>67170</v>
      </c>
      <c r="G15" s="103">
        <v>119248</v>
      </c>
      <c r="H15" s="103">
        <v>62098</v>
      </c>
      <c r="I15" s="103">
        <v>74839</v>
      </c>
      <c r="J15" s="103">
        <v>22717</v>
      </c>
      <c r="K15" s="103">
        <v>1024</v>
      </c>
      <c r="L15" s="103">
        <v>18794</v>
      </c>
      <c r="M15" s="103">
        <v>27397</v>
      </c>
      <c r="N15" s="103">
        <v>8598</v>
      </c>
      <c r="O15" s="103">
        <v>2115</v>
      </c>
      <c r="P15" s="103">
        <v>31001</v>
      </c>
      <c r="Q15" s="103">
        <v>1642</v>
      </c>
      <c r="R15" s="103">
        <v>121</v>
      </c>
      <c r="T15" s="101"/>
      <c r="U15" s="101"/>
    </row>
    <row r="16" spans="1:21" x14ac:dyDescent="0.25">
      <c r="A16" s="52">
        <v>44695</v>
      </c>
      <c r="B16" s="32">
        <v>226537</v>
      </c>
      <c r="C16" s="54"/>
      <c r="D16" s="103">
        <v>265447</v>
      </c>
      <c r="E16" s="103">
        <v>269261</v>
      </c>
      <c r="F16" s="103">
        <v>67172</v>
      </c>
      <c r="G16" s="103">
        <v>119273</v>
      </c>
      <c r="H16" s="103">
        <v>62098</v>
      </c>
      <c r="I16" s="103">
        <v>74855</v>
      </c>
      <c r="J16" s="103">
        <v>22722</v>
      </c>
      <c r="K16" s="103">
        <v>1024</v>
      </c>
      <c r="L16" s="103">
        <v>18796</v>
      </c>
      <c r="M16" s="103">
        <v>27403</v>
      </c>
      <c r="N16" s="103">
        <v>8599</v>
      </c>
      <c r="O16" s="103">
        <v>2117</v>
      </c>
      <c r="P16" s="103">
        <v>31001</v>
      </c>
      <c r="Q16" s="103">
        <v>1644</v>
      </c>
      <c r="R16" s="103">
        <v>126</v>
      </c>
    </row>
    <row r="17" spans="1:22" x14ac:dyDescent="0.25">
      <c r="A17" s="52">
        <v>44696</v>
      </c>
      <c r="B17" s="32">
        <v>226695</v>
      </c>
      <c r="C17" s="32"/>
      <c r="D17" s="103">
        <v>265573</v>
      </c>
      <c r="E17" s="103">
        <v>269330</v>
      </c>
      <c r="F17" s="103">
        <v>67173</v>
      </c>
      <c r="G17" s="103">
        <v>119301</v>
      </c>
      <c r="H17" s="103">
        <v>62098</v>
      </c>
      <c r="I17" s="103">
        <v>74880</v>
      </c>
      <c r="J17" s="103">
        <v>22728</v>
      </c>
      <c r="K17" s="103">
        <v>1024</v>
      </c>
      <c r="L17" s="103">
        <v>18800</v>
      </c>
      <c r="M17" s="103">
        <v>27411</v>
      </c>
      <c r="N17" s="103">
        <v>8607</v>
      </c>
      <c r="O17" s="103">
        <v>2118</v>
      </c>
      <c r="P17" s="103">
        <v>31001</v>
      </c>
      <c r="Q17" s="103">
        <v>1647</v>
      </c>
      <c r="R17" s="103">
        <v>126</v>
      </c>
    </row>
    <row r="18" spans="1:22" x14ac:dyDescent="0.25">
      <c r="A18" s="52">
        <v>44697</v>
      </c>
      <c r="B18" s="32">
        <v>226881</v>
      </c>
      <c r="C18" s="54"/>
      <c r="D18" s="103">
        <v>265707</v>
      </c>
      <c r="E18" s="103">
        <v>269405</v>
      </c>
      <c r="F18" s="103">
        <v>67173</v>
      </c>
      <c r="G18" s="103">
        <v>119323</v>
      </c>
      <c r="H18" s="103">
        <v>62098</v>
      </c>
      <c r="I18" s="103">
        <v>74897</v>
      </c>
      <c r="J18" s="103">
        <v>22733</v>
      </c>
      <c r="K18" s="103">
        <v>1024</v>
      </c>
      <c r="L18" s="103">
        <v>18802</v>
      </c>
      <c r="M18" s="103">
        <v>27417</v>
      </c>
      <c r="N18" s="103">
        <v>8608</v>
      </c>
      <c r="O18" s="103">
        <v>2119</v>
      </c>
      <c r="P18" s="103">
        <v>31001</v>
      </c>
      <c r="Q18" s="103">
        <v>1649</v>
      </c>
      <c r="R18" s="103">
        <v>129</v>
      </c>
      <c r="U18" s="101"/>
    </row>
    <row r="19" spans="1:22" x14ac:dyDescent="0.25">
      <c r="A19" s="52">
        <v>44698</v>
      </c>
      <c r="B19" s="32">
        <v>227076</v>
      </c>
      <c r="C19" s="32"/>
      <c r="D19" s="103">
        <v>265857</v>
      </c>
      <c r="E19" s="103">
        <v>269482</v>
      </c>
      <c r="F19" s="103">
        <v>67174</v>
      </c>
      <c r="G19" s="103">
        <v>119343</v>
      </c>
      <c r="H19" s="103">
        <v>62098</v>
      </c>
      <c r="I19" s="103">
        <v>74917</v>
      </c>
      <c r="J19" s="103">
        <v>22738</v>
      </c>
      <c r="K19" s="103">
        <v>1024</v>
      </c>
      <c r="L19" s="103">
        <v>18807</v>
      </c>
      <c r="M19" s="103">
        <v>27424</v>
      </c>
      <c r="N19" s="103">
        <v>8609</v>
      </c>
      <c r="O19" s="103">
        <v>2122</v>
      </c>
      <c r="P19" s="103">
        <v>31001</v>
      </c>
      <c r="Q19" s="103">
        <v>1652</v>
      </c>
      <c r="R19" s="103">
        <v>134</v>
      </c>
    </row>
    <row r="20" spans="1:22" x14ac:dyDescent="0.25">
      <c r="A20" s="52">
        <v>44699</v>
      </c>
      <c r="B20" s="32">
        <v>227296</v>
      </c>
      <c r="C20" s="54"/>
      <c r="D20" s="104">
        <v>266052</v>
      </c>
      <c r="E20" s="103">
        <v>269563</v>
      </c>
      <c r="F20" s="103">
        <v>67174</v>
      </c>
      <c r="G20" s="103">
        <v>119368</v>
      </c>
      <c r="H20" s="103">
        <v>62098</v>
      </c>
      <c r="I20" s="103">
        <v>74957</v>
      </c>
      <c r="J20" s="103">
        <v>22743</v>
      </c>
      <c r="K20" s="103">
        <v>1024</v>
      </c>
      <c r="L20" s="103">
        <v>18812</v>
      </c>
      <c r="M20" s="103">
        <v>27432</v>
      </c>
      <c r="N20" s="103">
        <v>8611</v>
      </c>
      <c r="O20" s="103">
        <v>2124</v>
      </c>
      <c r="P20" s="103">
        <v>31017</v>
      </c>
      <c r="Q20" s="103">
        <v>1665</v>
      </c>
      <c r="R20" s="103">
        <v>137</v>
      </c>
    </row>
    <row r="21" spans="1:22" x14ac:dyDescent="0.25">
      <c r="A21" s="52">
        <v>44700</v>
      </c>
      <c r="B21" s="32">
        <v>227469</v>
      </c>
      <c r="C21" s="32"/>
      <c r="D21" s="103">
        <v>266186</v>
      </c>
      <c r="E21" s="103">
        <v>269626</v>
      </c>
      <c r="F21" s="103">
        <v>67175</v>
      </c>
      <c r="G21" s="103">
        <v>119389</v>
      </c>
      <c r="H21" s="103">
        <v>62098</v>
      </c>
      <c r="I21" s="103">
        <v>74978</v>
      </c>
      <c r="J21" s="103">
        <v>22748</v>
      </c>
      <c r="K21" s="103">
        <v>1024</v>
      </c>
      <c r="L21" s="103">
        <v>18817</v>
      </c>
      <c r="M21" s="103">
        <v>27439</v>
      </c>
      <c r="N21" s="103">
        <v>8611</v>
      </c>
      <c r="O21" s="103">
        <v>2126</v>
      </c>
      <c r="P21" s="103">
        <v>31017</v>
      </c>
      <c r="Q21" s="103">
        <v>1672</v>
      </c>
      <c r="R21" s="103">
        <v>140</v>
      </c>
    </row>
    <row r="22" spans="1:22" x14ac:dyDescent="0.25">
      <c r="A22" s="52">
        <v>44701</v>
      </c>
      <c r="B22" s="32">
        <v>227684</v>
      </c>
      <c r="C22" s="54"/>
      <c r="D22" s="103">
        <v>266370</v>
      </c>
      <c r="E22" s="103">
        <v>269691</v>
      </c>
      <c r="F22" s="103">
        <v>67176</v>
      </c>
      <c r="G22" s="103">
        <v>119412</v>
      </c>
      <c r="H22" s="103">
        <v>62098</v>
      </c>
      <c r="I22" s="103">
        <v>75023</v>
      </c>
      <c r="J22" s="103">
        <v>22755</v>
      </c>
      <c r="K22" s="103">
        <v>1024</v>
      </c>
      <c r="L22" s="103">
        <v>18822</v>
      </c>
      <c r="M22" s="103">
        <v>27444</v>
      </c>
      <c r="N22" s="103">
        <v>8613</v>
      </c>
      <c r="O22" s="103">
        <v>2127</v>
      </c>
      <c r="P22" s="103">
        <v>31031</v>
      </c>
      <c r="Q22" s="103">
        <v>1673</v>
      </c>
      <c r="R22" s="103">
        <v>145</v>
      </c>
    </row>
    <row r="23" spans="1:22" x14ac:dyDescent="0.25">
      <c r="A23" s="52">
        <v>44702</v>
      </c>
      <c r="B23" s="32">
        <v>227859</v>
      </c>
      <c r="C23" s="32"/>
      <c r="D23" s="103">
        <v>266526</v>
      </c>
      <c r="E23" s="103">
        <v>269749</v>
      </c>
      <c r="F23" s="103">
        <v>67177</v>
      </c>
      <c r="G23" s="103">
        <v>119428</v>
      </c>
      <c r="H23" s="103">
        <v>62098</v>
      </c>
      <c r="I23" s="103">
        <v>75041</v>
      </c>
      <c r="J23" s="103">
        <v>22760</v>
      </c>
      <c r="K23" s="103">
        <v>1024</v>
      </c>
      <c r="L23" s="103">
        <v>18826</v>
      </c>
      <c r="M23" s="103">
        <v>27451</v>
      </c>
      <c r="N23" s="103">
        <v>8614</v>
      </c>
      <c r="O23" s="103">
        <v>2131</v>
      </c>
      <c r="P23" s="103">
        <v>31031</v>
      </c>
      <c r="Q23" s="103">
        <v>1675</v>
      </c>
      <c r="R23" s="103">
        <v>147</v>
      </c>
      <c r="S23" s="10" t="s">
        <v>125</v>
      </c>
    </row>
    <row r="24" spans="1:22" x14ac:dyDescent="0.25">
      <c r="A24" s="52">
        <v>44703</v>
      </c>
      <c r="B24" s="32">
        <v>228046</v>
      </c>
      <c r="C24" s="54"/>
      <c r="D24" s="103">
        <v>266670</v>
      </c>
      <c r="E24" s="103">
        <v>269812</v>
      </c>
      <c r="F24" s="103">
        <v>67177</v>
      </c>
      <c r="G24" s="103">
        <v>119456</v>
      </c>
      <c r="H24" s="103">
        <v>62098</v>
      </c>
      <c r="I24" s="103">
        <v>75076</v>
      </c>
      <c r="J24" s="103">
        <v>22766</v>
      </c>
      <c r="K24" s="103">
        <v>1024</v>
      </c>
      <c r="L24" s="103">
        <v>18830</v>
      </c>
      <c r="M24" s="103">
        <v>27458</v>
      </c>
      <c r="N24" s="103">
        <v>8615</v>
      </c>
      <c r="O24" s="103">
        <v>2132</v>
      </c>
      <c r="P24" s="103">
        <v>31044</v>
      </c>
      <c r="Q24" s="103">
        <v>1677</v>
      </c>
      <c r="R24" s="103">
        <v>151</v>
      </c>
      <c r="S24" s="10" t="s">
        <v>127</v>
      </c>
    </row>
    <row r="25" spans="1:22" x14ac:dyDescent="0.25">
      <c r="A25" s="52">
        <v>44704</v>
      </c>
      <c r="B25" s="32">
        <v>228242</v>
      </c>
      <c r="C25" s="32"/>
      <c r="D25" s="103">
        <v>266834</v>
      </c>
      <c r="E25" s="103">
        <v>269875</v>
      </c>
      <c r="F25" s="103">
        <v>67178</v>
      </c>
      <c r="G25" s="103">
        <v>119480</v>
      </c>
      <c r="H25" s="103">
        <v>62098</v>
      </c>
      <c r="I25" s="103">
        <v>75120</v>
      </c>
      <c r="J25" s="103">
        <v>22772</v>
      </c>
      <c r="K25" s="103">
        <v>1024</v>
      </c>
      <c r="L25" s="103">
        <v>18833</v>
      </c>
      <c r="M25" s="103">
        <v>27465</v>
      </c>
      <c r="N25" s="103">
        <v>8617</v>
      </c>
      <c r="O25" s="103">
        <v>2134</v>
      </c>
      <c r="P25" s="103">
        <v>31067</v>
      </c>
      <c r="Q25" s="103">
        <v>1682</v>
      </c>
      <c r="R25" s="103">
        <v>155</v>
      </c>
    </row>
    <row r="26" spans="1:22" x14ac:dyDescent="0.25">
      <c r="A26" s="52">
        <v>44705</v>
      </c>
      <c r="B26" s="32">
        <v>228418</v>
      </c>
      <c r="C26" s="54"/>
      <c r="D26" s="103">
        <v>266979</v>
      </c>
      <c r="E26" s="103">
        <v>269936</v>
      </c>
      <c r="F26" s="103">
        <v>67178</v>
      </c>
      <c r="G26" s="103">
        <v>119502</v>
      </c>
      <c r="H26" s="103">
        <v>62098</v>
      </c>
      <c r="I26" s="103">
        <v>75155</v>
      </c>
      <c r="J26" s="103">
        <v>22777</v>
      </c>
      <c r="K26" s="103">
        <v>1024</v>
      </c>
      <c r="L26" s="103">
        <v>18836</v>
      </c>
      <c r="M26" s="103">
        <v>27473</v>
      </c>
      <c r="N26" s="103">
        <v>8617</v>
      </c>
      <c r="O26" s="103">
        <v>2136</v>
      </c>
      <c r="P26" s="103">
        <v>31080</v>
      </c>
      <c r="Q26" s="103">
        <v>1683</v>
      </c>
      <c r="R26" s="103">
        <v>159</v>
      </c>
    </row>
    <row r="27" spans="1:22" x14ac:dyDescent="0.25">
      <c r="A27" s="52">
        <v>44706</v>
      </c>
      <c r="B27" s="32">
        <v>228584</v>
      </c>
      <c r="C27" s="32"/>
      <c r="D27" s="103">
        <v>267121</v>
      </c>
      <c r="E27" s="103">
        <v>270003</v>
      </c>
      <c r="F27" s="103">
        <v>67179</v>
      </c>
      <c r="G27" s="103">
        <v>119521</v>
      </c>
      <c r="H27" s="103">
        <v>62098</v>
      </c>
      <c r="I27" s="103">
        <v>75170</v>
      </c>
      <c r="J27" s="103">
        <v>22783</v>
      </c>
      <c r="K27" s="103">
        <v>1024</v>
      </c>
      <c r="L27" s="103">
        <v>18840</v>
      </c>
      <c r="M27" s="103">
        <v>27482</v>
      </c>
      <c r="N27" s="103">
        <v>8620</v>
      </c>
      <c r="O27" s="103">
        <v>2138</v>
      </c>
      <c r="P27" s="103">
        <v>31080</v>
      </c>
      <c r="Q27" s="103">
        <v>1685</v>
      </c>
      <c r="R27" s="103">
        <v>163</v>
      </c>
    </row>
    <row r="28" spans="1:22" x14ac:dyDescent="0.25">
      <c r="A28" s="52">
        <v>44707</v>
      </c>
      <c r="B28" s="32">
        <v>228757</v>
      </c>
      <c r="C28" s="54"/>
      <c r="D28" s="103">
        <v>267272</v>
      </c>
      <c r="E28" s="103">
        <v>270076</v>
      </c>
      <c r="F28" s="103">
        <v>67180</v>
      </c>
      <c r="G28" s="103">
        <v>119545</v>
      </c>
      <c r="H28" s="103">
        <v>62098</v>
      </c>
      <c r="I28" s="103">
        <v>75202</v>
      </c>
      <c r="J28" s="103">
        <v>22788</v>
      </c>
      <c r="K28" s="103">
        <v>1024</v>
      </c>
      <c r="L28" s="103">
        <v>18843</v>
      </c>
      <c r="M28" s="103">
        <v>27488</v>
      </c>
      <c r="N28" s="103">
        <v>8620</v>
      </c>
      <c r="O28" s="103">
        <v>2140</v>
      </c>
      <c r="P28" s="103">
        <v>31095</v>
      </c>
      <c r="Q28" s="103">
        <v>1690</v>
      </c>
      <c r="R28" s="103">
        <v>169</v>
      </c>
    </row>
    <row r="29" spans="1:22" x14ac:dyDescent="0.25">
      <c r="A29" s="52">
        <v>44708</v>
      </c>
      <c r="B29" s="32">
        <v>228942</v>
      </c>
      <c r="C29" s="32"/>
      <c r="D29" s="103">
        <v>267425</v>
      </c>
      <c r="E29" s="103">
        <v>270147</v>
      </c>
      <c r="F29" s="103">
        <v>67181</v>
      </c>
      <c r="G29" s="103">
        <v>119565</v>
      </c>
      <c r="H29" s="103">
        <v>62098</v>
      </c>
      <c r="I29" s="104">
        <v>75236</v>
      </c>
      <c r="J29" s="103">
        <v>22793</v>
      </c>
      <c r="K29" s="103">
        <v>1024</v>
      </c>
      <c r="L29" s="103">
        <v>18847</v>
      </c>
      <c r="M29" s="103">
        <v>27492</v>
      </c>
      <c r="N29" s="103">
        <v>8621</v>
      </c>
      <c r="O29" s="103">
        <v>2141</v>
      </c>
      <c r="P29" s="103">
        <v>31109</v>
      </c>
      <c r="Q29" s="103">
        <v>1691</v>
      </c>
      <c r="R29" s="103">
        <v>173</v>
      </c>
    </row>
    <row r="30" spans="1:22" x14ac:dyDescent="0.25">
      <c r="A30" s="52">
        <v>44709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44710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44711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44712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44713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B26" sqref="B2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44682</v>
      </c>
      <c r="B4" s="63">
        <f>TOTAL!I2</f>
        <v>313</v>
      </c>
      <c r="C4" s="64">
        <f>('Water Reading'!B4-'Water Reading'!B3)+('Water Reading'!C4-'Water Reading'!C3)</f>
        <v>198</v>
      </c>
      <c r="D4" s="65">
        <f>C4/B4</f>
        <v>0.63258785942492013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174</v>
      </c>
      <c r="H4" s="84">
        <f>G4/C4</f>
        <v>0.87878787878787878</v>
      </c>
      <c r="I4" s="85">
        <f>'Water Reading'!P4-'Water Reading'!P3</f>
        <v>2</v>
      </c>
      <c r="J4" s="66">
        <f>I4/C4</f>
        <v>1.0101010101010102E-2</v>
      </c>
      <c r="K4" s="86">
        <f>('Water Reading'!I4-'Water Reading'!I3)-('Water Reading'!P4-'Water Reading'!P3)</f>
        <v>28</v>
      </c>
      <c r="L4" s="66">
        <f>K4/C4</f>
        <v>0.14141414141414141</v>
      </c>
      <c r="M4" s="85">
        <f>'Water Reading'!R4-'Water Reading'!R3</f>
        <v>5</v>
      </c>
      <c r="N4" s="87">
        <f>M4/C4</f>
        <v>2.5252525252525252E-2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2</v>
      </c>
      <c r="R4" s="93">
        <f>Q4/C4</f>
        <v>1.0101010101010102E-2</v>
      </c>
      <c r="S4" s="85">
        <f>'Water Reading'!E4-'Water Reading'!E3</f>
        <v>76</v>
      </c>
      <c r="T4" s="93">
        <f>S4/C4</f>
        <v>0.38383838383838381</v>
      </c>
      <c r="U4" s="85">
        <f>'Water Reading'!G4-'Water Reading'!G3</f>
        <v>28</v>
      </c>
      <c r="V4" s="93">
        <f>U4/C4</f>
        <v>0.14141414141414141</v>
      </c>
      <c r="W4" s="86">
        <f>'Water Reading'!J4-'Water Reading'!J3</f>
        <v>6</v>
      </c>
      <c r="X4" s="93">
        <f>W4/C4</f>
        <v>3.0303030303030304E-2</v>
      </c>
      <c r="Y4" s="64">
        <f t="shared" ref="Y4:Y34" si="0">E4+I4+K4+M4+O4+G4+Q4+S4+U4+W4</f>
        <v>321</v>
      </c>
      <c r="Z4" s="65">
        <f t="shared" ref="Z4:Z35" si="1">Y4/B4</f>
        <v>1.02555910543131</v>
      </c>
    </row>
    <row r="5" spans="1:26" x14ac:dyDescent="0.25">
      <c r="A5" s="8">
        <f>'Water Reading'!A4</f>
        <v>44683</v>
      </c>
      <c r="B5" s="63">
        <f>TOTAL!I3</f>
        <v>389</v>
      </c>
      <c r="C5" s="64">
        <f>('Water Reading'!B5-'Water Reading'!B4)+('Water Reading'!C5-'Water Reading'!C4)</f>
        <v>160</v>
      </c>
      <c r="D5" s="65">
        <f t="shared" ref="D5:D34" si="2">C5/B5</f>
        <v>0.41131105398457585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164.09999999999991</v>
      </c>
      <c r="H5" s="84">
        <f t="shared" ref="H5:H34" si="4">G5/C5</f>
        <v>1.0256249999999993</v>
      </c>
      <c r="I5" s="85">
        <f>'Water Reading'!P5-'Water Reading'!P4</f>
        <v>23</v>
      </c>
      <c r="J5" s="66">
        <f t="shared" ref="J5:J34" si="5">I5/C5</f>
        <v>0.14374999999999999</v>
      </c>
      <c r="K5" s="86">
        <f>('Water Reading'!I5-'Water Reading'!I4)-('Water Reading'!P5-'Water Reading'!P4)</f>
        <v>15</v>
      </c>
      <c r="L5" s="66">
        <f t="shared" ref="L5:L34" si="6">K5/C5</f>
        <v>9.375E-2</v>
      </c>
      <c r="M5" s="85">
        <f>'Water Reading'!R5-'Water Reading'!R4</f>
        <v>6</v>
      </c>
      <c r="N5" s="87">
        <f t="shared" ref="N5:N34" si="7">M5/C5</f>
        <v>3.7499999999999999E-2</v>
      </c>
      <c r="O5" s="85">
        <f>'Water Reading'!Q5-'Water Reading'!Q4</f>
        <v>0.90000000000009095</v>
      </c>
      <c r="P5" s="92">
        <f t="shared" ref="P5:P34" si="8">O5/C5</f>
        <v>5.6250000000005688E-3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65</v>
      </c>
      <c r="T5" s="93">
        <f t="shared" ref="T5:T34" si="10">S5/C5</f>
        <v>0.40625</v>
      </c>
      <c r="U5" s="85">
        <f>'Water Reading'!G5-'Water Reading'!G4</f>
        <v>28</v>
      </c>
      <c r="V5" s="93">
        <f t="shared" ref="V5:V34" si="11">U5/C5</f>
        <v>0.17499999999999999</v>
      </c>
      <c r="W5" s="86">
        <f>'Water Reading'!J5-'Water Reading'!J4</f>
        <v>6</v>
      </c>
      <c r="X5" s="93">
        <f t="shared" ref="X5:X34" si="12">W5/C5</f>
        <v>3.7499999999999999E-2</v>
      </c>
      <c r="Y5" s="64">
        <f t="shared" si="0"/>
        <v>308</v>
      </c>
      <c r="Z5" s="65">
        <f t="shared" si="1"/>
        <v>0.79177377892030854</v>
      </c>
    </row>
    <row r="6" spans="1:26" x14ac:dyDescent="0.25">
      <c r="A6" s="8">
        <f>'Water Reading'!A5</f>
        <v>44684</v>
      </c>
      <c r="B6" s="63">
        <f>TOTAL!I4</f>
        <v>375</v>
      </c>
      <c r="C6" s="64">
        <f>('Water Reading'!B6-'Water Reading'!B5)+('Water Reading'!C6-'Water Reading'!C5)</f>
        <v>216</v>
      </c>
      <c r="D6" s="65">
        <f t="shared" si="2"/>
        <v>0.57599999999999996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193.20000000000005</v>
      </c>
      <c r="H6" s="84">
        <f t="shared" si="4"/>
        <v>0.89444444444444471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0.10648148148148148</v>
      </c>
      <c r="M6" s="85">
        <f>'Water Reading'!R6-'Water Reading'!R5</f>
        <v>5</v>
      </c>
      <c r="N6" s="87">
        <f t="shared" si="7"/>
        <v>2.3148148148148147E-2</v>
      </c>
      <c r="O6" s="85">
        <f>'Water Reading'!Q6-'Water Reading'!Q5</f>
        <v>1.7999999999999545</v>
      </c>
      <c r="P6" s="92">
        <f t="shared" si="8"/>
        <v>8.3333333333331233E-3</v>
      </c>
      <c r="Q6" s="86">
        <f>'Water Reading'!F6-'Water Reading'!F5</f>
        <v>1</v>
      </c>
      <c r="R6" s="93">
        <f t="shared" si="9"/>
        <v>4.6296296296296294E-3</v>
      </c>
      <c r="S6" s="85">
        <f>'Water Reading'!E6-'Water Reading'!E5</f>
        <v>73</v>
      </c>
      <c r="T6" s="93">
        <f t="shared" si="10"/>
        <v>0.33796296296296297</v>
      </c>
      <c r="U6" s="85">
        <f>'Water Reading'!G6-'Water Reading'!G5</f>
        <v>30</v>
      </c>
      <c r="V6" s="93">
        <f t="shared" si="11"/>
        <v>0.1388888888888889</v>
      </c>
      <c r="W6" s="86">
        <f>'Water Reading'!J6-'Water Reading'!J5</f>
        <v>6</v>
      </c>
      <c r="X6" s="93">
        <f t="shared" si="12"/>
        <v>2.7777777777777776E-2</v>
      </c>
      <c r="Y6" s="64">
        <f t="shared" si="0"/>
        <v>333</v>
      </c>
      <c r="Z6" s="65">
        <f t="shared" si="1"/>
        <v>0.88800000000000001</v>
      </c>
    </row>
    <row r="7" spans="1:26" x14ac:dyDescent="0.25">
      <c r="A7" s="8">
        <f>'Water Reading'!A6</f>
        <v>44685</v>
      </c>
      <c r="B7" s="63">
        <f>TOTAL!I5</f>
        <v>404</v>
      </c>
      <c r="C7" s="64">
        <f>('Water Reading'!B7-'Water Reading'!B6)+('Water Reading'!C7-'Water Reading'!C6)</f>
        <v>217</v>
      </c>
      <c r="D7" s="65">
        <f t="shared" si="2"/>
        <v>0.53712871287128716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184</v>
      </c>
      <c r="H7" s="84">
        <f t="shared" si="4"/>
        <v>0.84792626728110598</v>
      </c>
      <c r="I7" s="85">
        <f>'Water Reading'!P7-'Water Reading'!P6</f>
        <v>28</v>
      </c>
      <c r="J7" s="66">
        <f t="shared" si="5"/>
        <v>0.12903225806451613</v>
      </c>
      <c r="K7" s="86">
        <f>('Water Reading'!I7-'Water Reading'!I6)-('Water Reading'!P7-'Water Reading'!P6)</f>
        <v>24</v>
      </c>
      <c r="L7" s="66">
        <f t="shared" si="6"/>
        <v>0.11059907834101383</v>
      </c>
      <c r="M7" s="85">
        <f>'Water Reading'!R7-'Water Reading'!R6</f>
        <v>5</v>
      </c>
      <c r="N7" s="87">
        <f t="shared" si="7"/>
        <v>2.3041474654377881E-2</v>
      </c>
      <c r="O7" s="85">
        <f>'Water Reading'!Q7-'Water Reading'!Q6</f>
        <v>1</v>
      </c>
      <c r="P7" s="92">
        <f t="shared" si="8"/>
        <v>4.608294930875576E-3</v>
      </c>
      <c r="Q7" s="86">
        <f>'Water Reading'!F7-'Water Reading'!F6</f>
        <v>3</v>
      </c>
      <c r="R7" s="93">
        <f t="shared" si="9"/>
        <v>1.3824884792626729E-2</v>
      </c>
      <c r="S7" s="85">
        <f>'Water Reading'!E7-'Water Reading'!E6</f>
        <v>67</v>
      </c>
      <c r="T7" s="93">
        <f t="shared" si="10"/>
        <v>0.30875576036866359</v>
      </c>
      <c r="U7" s="85">
        <f>'Water Reading'!G7-'Water Reading'!G6</f>
        <v>29</v>
      </c>
      <c r="V7" s="93">
        <f t="shared" si="11"/>
        <v>0.13364055299539171</v>
      </c>
      <c r="W7" s="86">
        <f>'Water Reading'!J7-'Water Reading'!J6</f>
        <v>6</v>
      </c>
      <c r="X7" s="93">
        <f t="shared" si="12"/>
        <v>2.7649769585253458E-2</v>
      </c>
      <c r="Y7" s="64">
        <f t="shared" si="0"/>
        <v>347</v>
      </c>
      <c r="Z7" s="65">
        <f t="shared" si="1"/>
        <v>0.8589108910891089</v>
      </c>
    </row>
    <row r="8" spans="1:26" x14ac:dyDescent="0.25">
      <c r="A8" s="8">
        <f>'Water Reading'!A7</f>
        <v>44686</v>
      </c>
      <c r="B8" s="63">
        <f>TOTAL!I6</f>
        <v>358</v>
      </c>
      <c r="C8" s="64">
        <f>('Water Reading'!B8-'Water Reading'!B7)+('Water Reading'!C8-'Water Reading'!C7)</f>
        <v>180</v>
      </c>
      <c r="D8" s="65">
        <f t="shared" si="2"/>
        <v>0.5027932960893855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157.90000000000009</v>
      </c>
      <c r="H8" s="84">
        <f t="shared" si="4"/>
        <v>0.87722222222222268</v>
      </c>
      <c r="I8" s="85">
        <f>'Water Reading'!P8-'Water Reading'!P7</f>
        <v>14</v>
      </c>
      <c r="J8" s="66">
        <f t="shared" si="5"/>
        <v>7.7777777777777779E-2</v>
      </c>
      <c r="K8" s="86">
        <f>('Water Reading'!I8-'Water Reading'!I7)-('Water Reading'!P8-'Water Reading'!P7)</f>
        <v>20</v>
      </c>
      <c r="L8" s="66">
        <f t="shared" si="6"/>
        <v>0.1111111111111111</v>
      </c>
      <c r="M8" s="85">
        <f>'Water Reading'!R8-'Water Reading'!R7</f>
        <v>5</v>
      </c>
      <c r="N8" s="87">
        <f t="shared" si="7"/>
        <v>2.7777777777777776E-2</v>
      </c>
      <c r="O8" s="85">
        <f>'Water Reading'!Q8-'Water Reading'!Q7</f>
        <v>1.0999999999999091</v>
      </c>
      <c r="P8" s="92">
        <f t="shared" si="8"/>
        <v>6.1111111111106058E-3</v>
      </c>
      <c r="Q8" s="86">
        <f>'Water Reading'!F8-'Water Reading'!F7</f>
        <v>-2</v>
      </c>
      <c r="R8" s="93">
        <f t="shared" si="9"/>
        <v>-1.1111111111111112E-2</v>
      </c>
      <c r="S8" s="85">
        <f>'Water Reading'!E8-'Water Reading'!E7</f>
        <v>74</v>
      </c>
      <c r="T8" s="93">
        <f t="shared" si="10"/>
        <v>0.41111111111111109</v>
      </c>
      <c r="U8" s="85">
        <f>'Water Reading'!G8-'Water Reading'!G7</f>
        <v>34</v>
      </c>
      <c r="V8" s="93">
        <f t="shared" si="11"/>
        <v>0.18888888888888888</v>
      </c>
      <c r="W8" s="86">
        <f>'Water Reading'!J8-'Water Reading'!J7</f>
        <v>6</v>
      </c>
      <c r="X8" s="93">
        <f t="shared" si="12"/>
        <v>3.3333333333333333E-2</v>
      </c>
      <c r="Y8" s="64">
        <f t="shared" si="0"/>
        <v>310</v>
      </c>
      <c r="Z8" s="65">
        <f t="shared" si="1"/>
        <v>0.86592178770949724</v>
      </c>
    </row>
    <row r="9" spans="1:26" x14ac:dyDescent="0.25">
      <c r="A9" s="8">
        <f>'Water Reading'!A8</f>
        <v>44687</v>
      </c>
      <c r="B9" s="63">
        <f>TOTAL!I7</f>
        <v>371</v>
      </c>
      <c r="C9" s="64">
        <f>('Water Reading'!B9-'Water Reading'!B8)+('Water Reading'!C9-'Water Reading'!C8)</f>
        <v>199</v>
      </c>
      <c r="D9" s="65">
        <f t="shared" si="2"/>
        <v>0.53638814016172509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143.59999999999991</v>
      </c>
      <c r="H9" s="84">
        <f t="shared" si="4"/>
        <v>0.72160804020100455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20</v>
      </c>
      <c r="L9" s="66">
        <f t="shared" si="6"/>
        <v>0.10050251256281408</v>
      </c>
      <c r="M9" s="85">
        <f>'Water Reading'!R9-'Water Reading'!R8</f>
        <v>1</v>
      </c>
      <c r="N9" s="87">
        <f t="shared" si="7"/>
        <v>5.0251256281407036E-3</v>
      </c>
      <c r="O9" s="85">
        <f>'Water Reading'!Q9-'Water Reading'!Q8</f>
        <v>4.4000000000000909</v>
      </c>
      <c r="P9" s="92">
        <f t="shared" si="8"/>
        <v>2.2110552763819551E-2</v>
      </c>
      <c r="Q9" s="86">
        <f>'Water Reading'!F9-'Water Reading'!F8</f>
        <v>1</v>
      </c>
      <c r="R9" s="93">
        <f t="shared" si="9"/>
        <v>5.0251256281407036E-3</v>
      </c>
      <c r="S9" s="85">
        <f>'Water Reading'!E9-'Water Reading'!E8</f>
        <v>73</v>
      </c>
      <c r="T9" s="93">
        <f t="shared" si="10"/>
        <v>0.36683417085427134</v>
      </c>
      <c r="U9" s="85">
        <f>'Water Reading'!G9-'Water Reading'!G8</f>
        <v>32</v>
      </c>
      <c r="V9" s="93">
        <f t="shared" si="11"/>
        <v>0.16080402010050251</v>
      </c>
      <c r="W9" s="86">
        <f>'Water Reading'!J9-'Water Reading'!J8</f>
        <v>4</v>
      </c>
      <c r="X9" s="93">
        <f t="shared" si="12"/>
        <v>2.0100502512562814E-2</v>
      </c>
      <c r="Y9" s="64">
        <f t="shared" si="0"/>
        <v>279</v>
      </c>
      <c r="Z9" s="65">
        <f t="shared" si="1"/>
        <v>0.75202156334231807</v>
      </c>
    </row>
    <row r="10" spans="1:26" x14ac:dyDescent="0.25">
      <c r="A10" s="8">
        <f>'Water Reading'!A9</f>
        <v>44688</v>
      </c>
      <c r="B10" s="63">
        <f>TOTAL!I8</f>
        <v>314</v>
      </c>
      <c r="C10" s="64">
        <f>('Water Reading'!B10-'Water Reading'!B9)+('Water Reading'!C10-'Water Reading'!C9)</f>
        <v>166</v>
      </c>
      <c r="D10" s="65">
        <f t="shared" si="2"/>
        <v>0.5286624203821656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147.20000000000005</v>
      </c>
      <c r="H10" s="84">
        <f t="shared" si="4"/>
        <v>0.88674698795180751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21</v>
      </c>
      <c r="L10" s="66">
        <f t="shared" si="6"/>
        <v>0.12650602409638553</v>
      </c>
      <c r="M10" s="85">
        <f>'Water Reading'!R10-'Water Reading'!R9</f>
        <v>5</v>
      </c>
      <c r="N10" s="87">
        <f t="shared" si="7"/>
        <v>3.0120481927710843E-2</v>
      </c>
      <c r="O10" s="85">
        <f>'Water Reading'!Q10-'Water Reading'!Q9</f>
        <v>0.79999999999995453</v>
      </c>
      <c r="P10" s="92">
        <f t="shared" si="8"/>
        <v>4.8192771084334613E-3</v>
      </c>
      <c r="Q10" s="86">
        <f>'Water Reading'!F10-'Water Reading'!F9</f>
        <v>1</v>
      </c>
      <c r="R10" s="93">
        <f t="shared" si="9"/>
        <v>6.024096385542169E-3</v>
      </c>
      <c r="S10" s="85">
        <f>'Water Reading'!E10-'Water Reading'!E9</f>
        <v>73</v>
      </c>
      <c r="T10" s="93">
        <f t="shared" si="10"/>
        <v>0.43975903614457829</v>
      </c>
      <c r="U10" s="85">
        <f>'Water Reading'!G10-'Water Reading'!G9</f>
        <v>32</v>
      </c>
      <c r="V10" s="93">
        <f t="shared" si="11"/>
        <v>0.19277108433734941</v>
      </c>
      <c r="W10" s="86">
        <f>'Water Reading'!J10-'Water Reading'!J9</f>
        <v>5</v>
      </c>
      <c r="X10" s="93">
        <f t="shared" si="12"/>
        <v>3.0120481927710843E-2</v>
      </c>
      <c r="Y10" s="64">
        <f t="shared" si="0"/>
        <v>285</v>
      </c>
      <c r="Z10" s="65">
        <f t="shared" si="1"/>
        <v>0.90764331210191085</v>
      </c>
    </row>
    <row r="11" spans="1:26" x14ac:dyDescent="0.25">
      <c r="A11" s="8">
        <f>'Water Reading'!A10</f>
        <v>44689</v>
      </c>
      <c r="B11" s="63">
        <f>TOTAL!I9</f>
        <v>334</v>
      </c>
      <c r="C11" s="64">
        <f>('Water Reading'!B11-'Water Reading'!B10)+('Water Reading'!C11-'Water Reading'!C10)</f>
        <v>185</v>
      </c>
      <c r="D11" s="65">
        <f t="shared" si="2"/>
        <v>0.55389221556886226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137</v>
      </c>
      <c r="H11" s="84">
        <f t="shared" si="4"/>
        <v>0.74054054054054053</v>
      </c>
      <c r="I11" s="85">
        <f>'Water Reading'!P11-'Water Reading'!P10</f>
        <v>12</v>
      </c>
      <c r="J11" s="66">
        <f t="shared" si="5"/>
        <v>6.4864864864864868E-2</v>
      </c>
      <c r="K11" s="86">
        <f>('Water Reading'!I11-'Water Reading'!I10)-('Water Reading'!P11-'Water Reading'!P10)</f>
        <v>23</v>
      </c>
      <c r="L11" s="66">
        <f t="shared" si="6"/>
        <v>0.12432432432432433</v>
      </c>
      <c r="M11" s="85">
        <f>'Water Reading'!R11-'Water Reading'!R10</f>
        <v>3</v>
      </c>
      <c r="N11" s="87">
        <f t="shared" si="7"/>
        <v>1.6216216216216217E-2</v>
      </c>
      <c r="O11" s="85">
        <f>'Water Reading'!Q11-'Water Reading'!Q10</f>
        <v>4</v>
      </c>
      <c r="P11" s="92">
        <f t="shared" si="8"/>
        <v>2.1621621621621623E-2</v>
      </c>
      <c r="Q11" s="86">
        <f>'Water Reading'!F11-'Water Reading'!F10</f>
        <v>1</v>
      </c>
      <c r="R11" s="93">
        <f t="shared" si="9"/>
        <v>5.4054054054054057E-3</v>
      </c>
      <c r="S11" s="85">
        <f>'Water Reading'!E11-'Water Reading'!E10</f>
        <v>93</v>
      </c>
      <c r="T11" s="93">
        <f t="shared" si="10"/>
        <v>0.50270270270270268</v>
      </c>
      <c r="U11" s="85">
        <f>'Water Reading'!G11-'Water Reading'!G10</f>
        <v>28</v>
      </c>
      <c r="V11" s="93">
        <f t="shared" si="11"/>
        <v>0.15135135135135136</v>
      </c>
      <c r="W11" s="86">
        <f>'Water Reading'!J11-'Water Reading'!J10</f>
        <v>6</v>
      </c>
      <c r="X11" s="93">
        <f t="shared" si="12"/>
        <v>3.2432432432432434E-2</v>
      </c>
      <c r="Y11" s="64">
        <f t="shared" si="0"/>
        <v>307</v>
      </c>
      <c r="Z11" s="65">
        <f t="shared" si="1"/>
        <v>0.91916167664670656</v>
      </c>
    </row>
    <row r="12" spans="1:26" x14ac:dyDescent="0.25">
      <c r="A12" s="8">
        <f>'Water Reading'!A11</f>
        <v>44690</v>
      </c>
      <c r="B12" s="63">
        <f>TOTAL!I10</f>
        <v>330</v>
      </c>
      <c r="C12" s="64">
        <f>('Water Reading'!B12-'Water Reading'!B11)+('Water Reading'!C12-'Water Reading'!C11)</f>
        <v>192</v>
      </c>
      <c r="D12" s="65">
        <f t="shared" si="2"/>
        <v>0.58181818181818179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151</v>
      </c>
      <c r="H12" s="84">
        <f t="shared" si="4"/>
        <v>0.78645833333333337</v>
      </c>
      <c r="I12" s="85">
        <f>'Water Reading'!P12-'Water Reading'!P11</f>
        <v>13</v>
      </c>
      <c r="J12" s="66">
        <f t="shared" si="5"/>
        <v>6.7708333333333329E-2</v>
      </c>
      <c r="K12" s="86">
        <f>('Water Reading'!I12-'Water Reading'!I11)-('Water Reading'!P12-'Water Reading'!P11)</f>
        <v>23</v>
      </c>
      <c r="L12" s="66">
        <f t="shared" si="6"/>
        <v>0.11979166666666667</v>
      </c>
      <c r="M12" s="85">
        <f>'Water Reading'!R12-'Water Reading'!R11</f>
        <v>6</v>
      </c>
      <c r="N12" s="87">
        <f t="shared" si="7"/>
        <v>3.125E-2</v>
      </c>
      <c r="O12" s="85">
        <f>'Water Reading'!Q12-'Water Reading'!Q11</f>
        <v>6</v>
      </c>
      <c r="P12" s="92">
        <f t="shared" si="8"/>
        <v>3.125E-2</v>
      </c>
      <c r="Q12" s="86">
        <f>'Water Reading'!F12-'Water Reading'!F11</f>
        <v>0</v>
      </c>
      <c r="R12" s="93">
        <f t="shared" si="9"/>
        <v>0</v>
      </c>
      <c r="S12" s="85">
        <f>'Water Reading'!E12-'Water Reading'!E11</f>
        <v>31</v>
      </c>
      <c r="T12" s="93">
        <f t="shared" si="10"/>
        <v>0.16145833333333334</v>
      </c>
      <c r="U12" s="85">
        <f>'Water Reading'!G12-'Water Reading'!G11</f>
        <v>29</v>
      </c>
      <c r="V12" s="93">
        <f t="shared" si="11"/>
        <v>0.15104166666666666</v>
      </c>
      <c r="W12" s="86">
        <f>'Water Reading'!J12-'Water Reading'!J11</f>
        <v>5</v>
      </c>
      <c r="X12" s="93">
        <f t="shared" si="12"/>
        <v>2.6041666666666668E-2</v>
      </c>
      <c r="Y12" s="64">
        <f t="shared" si="0"/>
        <v>264</v>
      </c>
      <c r="Z12" s="65">
        <f t="shared" si="1"/>
        <v>0.8</v>
      </c>
    </row>
    <row r="13" spans="1:26" x14ac:dyDescent="0.25">
      <c r="A13" s="8">
        <f>'Water Reading'!A12</f>
        <v>44691</v>
      </c>
      <c r="B13" s="63">
        <f>TOTAL!I11</f>
        <v>280</v>
      </c>
      <c r="C13" s="64">
        <f>('Water Reading'!B13-'Water Reading'!B12)+('Water Reading'!C13-'Water Reading'!C12)</f>
        <v>145</v>
      </c>
      <c r="D13" s="65">
        <f t="shared" si="2"/>
        <v>0.5178571428571429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127</v>
      </c>
      <c r="H13" s="84">
        <f t="shared" si="4"/>
        <v>0.87586206896551722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17</v>
      </c>
      <c r="L13" s="66">
        <f t="shared" si="6"/>
        <v>0.11724137931034483</v>
      </c>
      <c r="M13" s="85">
        <f>'Water Reading'!R13-'Water Reading'!R12</f>
        <v>5</v>
      </c>
      <c r="N13" s="87">
        <f t="shared" si="7"/>
        <v>3.4482758620689655E-2</v>
      </c>
      <c r="O13" s="85">
        <f>'Water Reading'!Q13-'Water Reading'!Q12</f>
        <v>3</v>
      </c>
      <c r="P13" s="92">
        <f t="shared" si="8"/>
        <v>2.0689655172413793E-2</v>
      </c>
      <c r="Q13" s="86">
        <f>'Water Reading'!F13-'Water Reading'!F12</f>
        <v>1</v>
      </c>
      <c r="R13" s="93">
        <f t="shared" si="9"/>
        <v>6.8965517241379309E-3</v>
      </c>
      <c r="S13" s="85">
        <f>'Water Reading'!E13-'Water Reading'!E12</f>
        <v>71</v>
      </c>
      <c r="T13" s="93">
        <f t="shared" si="10"/>
        <v>0.48965517241379308</v>
      </c>
      <c r="U13" s="85">
        <f>'Water Reading'!G13-'Water Reading'!G12</f>
        <v>31</v>
      </c>
      <c r="V13" s="93">
        <f t="shared" si="11"/>
        <v>0.21379310344827587</v>
      </c>
      <c r="W13" s="86">
        <f>'Water Reading'!J13-'Water Reading'!J12</f>
        <v>6</v>
      </c>
      <c r="X13" s="93">
        <f t="shared" si="12"/>
        <v>4.1379310344827586E-2</v>
      </c>
      <c r="Y13" s="64">
        <f t="shared" si="0"/>
        <v>261</v>
      </c>
      <c r="Z13" s="65">
        <f t="shared" si="1"/>
        <v>0.93214285714285716</v>
      </c>
    </row>
    <row r="14" spans="1:26" x14ac:dyDescent="0.25">
      <c r="A14" s="8">
        <f>'Water Reading'!A13</f>
        <v>44692</v>
      </c>
      <c r="B14" s="63">
        <f>TOTAL!I12</f>
        <v>268</v>
      </c>
      <c r="C14" s="64">
        <f>('Water Reading'!B14-'Water Reading'!B13)+('Water Reading'!C14-'Water Reading'!C13)</f>
        <v>130</v>
      </c>
      <c r="D14" s="65">
        <f t="shared" si="2"/>
        <v>0.48507462686567165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132</v>
      </c>
      <c r="H14" s="84">
        <f t="shared" si="4"/>
        <v>1.0153846153846153</v>
      </c>
      <c r="I14" s="85">
        <f>'Water Reading'!P14-'Water Reading'!P13</f>
        <v>0</v>
      </c>
      <c r="J14" s="66">
        <f t="shared" si="5"/>
        <v>0</v>
      </c>
      <c r="K14" s="86">
        <f>('Water Reading'!I14-'Water Reading'!I13)-('Water Reading'!P14-'Water Reading'!P13)</f>
        <v>11</v>
      </c>
      <c r="L14" s="66">
        <f t="shared" si="6"/>
        <v>8.461538461538462E-2</v>
      </c>
      <c r="M14" s="85">
        <f>'Water Reading'!R14-'Water Reading'!R13</f>
        <v>5</v>
      </c>
      <c r="N14" s="87">
        <f t="shared" si="7"/>
        <v>3.8461538461538464E-2</v>
      </c>
      <c r="O14" s="85">
        <f>'Water Reading'!Q14-'Water Reading'!Q13</f>
        <v>1</v>
      </c>
      <c r="P14" s="92">
        <f t="shared" si="8"/>
        <v>7.6923076923076927E-3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59</v>
      </c>
      <c r="T14" s="93">
        <f t="shared" si="10"/>
        <v>0.45384615384615384</v>
      </c>
      <c r="U14" s="85">
        <f>'Water Reading'!G14-'Water Reading'!G13</f>
        <v>22</v>
      </c>
      <c r="V14" s="93">
        <f t="shared" si="11"/>
        <v>0.16923076923076924</v>
      </c>
      <c r="W14" s="86">
        <f>'Water Reading'!J14-'Water Reading'!J13</f>
        <v>5</v>
      </c>
      <c r="X14" s="93">
        <f t="shared" si="12"/>
        <v>3.8461538461538464E-2</v>
      </c>
      <c r="Y14" s="64">
        <f t="shared" si="0"/>
        <v>235</v>
      </c>
      <c r="Z14" s="65">
        <f t="shared" si="1"/>
        <v>0.87686567164179108</v>
      </c>
    </row>
    <row r="15" spans="1:26" x14ac:dyDescent="0.25">
      <c r="A15" s="8">
        <f>'Water Reading'!A14</f>
        <v>44693</v>
      </c>
      <c r="B15" s="63">
        <f>TOTAL!I13</f>
        <v>259</v>
      </c>
      <c r="C15" s="64">
        <f>('Water Reading'!B15-'Water Reading'!B14)+('Water Reading'!C15-'Water Reading'!C14)</f>
        <v>147</v>
      </c>
      <c r="D15" s="65">
        <f t="shared" si="2"/>
        <v>0.56756756756756754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102</v>
      </c>
      <c r="H15" s="84">
        <f t="shared" si="4"/>
        <v>0.69387755102040816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28</v>
      </c>
      <c r="L15" s="66">
        <f t="shared" si="6"/>
        <v>0.19047619047619047</v>
      </c>
      <c r="M15" s="85">
        <f>'Water Reading'!R15-'Water Reading'!R14</f>
        <v>5</v>
      </c>
      <c r="N15" s="87">
        <f t="shared" si="7"/>
        <v>3.4013605442176874E-2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0</v>
      </c>
      <c r="R15" s="93">
        <f t="shared" si="9"/>
        <v>0</v>
      </c>
      <c r="S15" s="85">
        <f>'Water Reading'!E15-'Water Reading'!E14</f>
        <v>59</v>
      </c>
      <c r="T15" s="93">
        <f t="shared" si="10"/>
        <v>0.40136054421768708</v>
      </c>
      <c r="U15" s="85">
        <f>'Water Reading'!G15-'Water Reading'!G14</f>
        <v>27</v>
      </c>
      <c r="V15" s="93">
        <f t="shared" si="11"/>
        <v>0.18367346938775511</v>
      </c>
      <c r="W15" s="86">
        <f>'Water Reading'!J15-'Water Reading'!J14</f>
        <v>6</v>
      </c>
      <c r="X15" s="93">
        <f t="shared" si="12"/>
        <v>4.0816326530612242E-2</v>
      </c>
      <c r="Y15" s="64">
        <f t="shared" si="0"/>
        <v>227</v>
      </c>
      <c r="Z15" s="65">
        <f t="shared" si="1"/>
        <v>0.87644787644787647</v>
      </c>
    </row>
    <row r="16" spans="1:26" x14ac:dyDescent="0.25">
      <c r="A16" s="8">
        <f>'Water Reading'!A15</f>
        <v>44694</v>
      </c>
      <c r="B16" s="63">
        <f>TOTAL!I14</f>
        <v>289</v>
      </c>
      <c r="C16" s="64">
        <f>('Water Reading'!B16-'Water Reading'!B15)+('Water Reading'!C16-'Water Reading'!C15)</f>
        <v>165</v>
      </c>
      <c r="D16" s="65">
        <f t="shared" si="2"/>
        <v>0.5709342560553633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149</v>
      </c>
      <c r="H16" s="84">
        <f t="shared" si="4"/>
        <v>0.90303030303030307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16</v>
      </c>
      <c r="L16" s="66">
        <f t="shared" si="6"/>
        <v>9.696969696969697E-2</v>
      </c>
      <c r="M16" s="85">
        <f>'Water Reading'!R16-'Water Reading'!R15</f>
        <v>5</v>
      </c>
      <c r="N16" s="87">
        <f t="shared" si="7"/>
        <v>3.0303030303030304E-2</v>
      </c>
      <c r="O16" s="85">
        <f>'Water Reading'!Q16-'Water Reading'!Q15</f>
        <v>2</v>
      </c>
      <c r="P16" s="92">
        <f t="shared" si="8"/>
        <v>1.2121212121212121E-2</v>
      </c>
      <c r="Q16" s="86">
        <f>'Water Reading'!F16-'Water Reading'!F15</f>
        <v>2</v>
      </c>
      <c r="R16" s="93">
        <f t="shared" si="9"/>
        <v>1.2121212121212121E-2</v>
      </c>
      <c r="S16" s="85">
        <f>'Water Reading'!E16-'Water Reading'!E15</f>
        <v>62</v>
      </c>
      <c r="T16" s="93">
        <f t="shared" si="10"/>
        <v>0.37575757575757573</v>
      </c>
      <c r="U16" s="85">
        <f>'Water Reading'!G16-'Water Reading'!G15</f>
        <v>25</v>
      </c>
      <c r="V16" s="93">
        <f t="shared" si="11"/>
        <v>0.15151515151515152</v>
      </c>
      <c r="W16" s="86">
        <f>'Water Reading'!J16-'Water Reading'!J15</f>
        <v>5</v>
      </c>
      <c r="X16" s="93">
        <f t="shared" si="12"/>
        <v>3.0303030303030304E-2</v>
      </c>
      <c r="Y16" s="64">
        <f t="shared" si="0"/>
        <v>266</v>
      </c>
      <c r="Z16" s="65">
        <f t="shared" si="1"/>
        <v>0.92041522491349481</v>
      </c>
    </row>
    <row r="17" spans="1:26" x14ac:dyDescent="0.25">
      <c r="A17" s="8">
        <f>'Water Reading'!A16</f>
        <v>44695</v>
      </c>
      <c r="B17" s="63">
        <f>TOTAL!I15</f>
        <v>301</v>
      </c>
      <c r="C17" s="64">
        <f>('Water Reading'!B17-'Water Reading'!B16)+('Water Reading'!C17-'Water Reading'!C16)</f>
        <v>158</v>
      </c>
      <c r="D17" s="65">
        <f t="shared" si="2"/>
        <v>0.52491694352159468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0.77848101265822789</v>
      </c>
      <c r="I17" s="85">
        <f>'Water Reading'!P17-'Water Reading'!P16</f>
        <v>0</v>
      </c>
      <c r="J17" s="66">
        <f t="shared" si="5"/>
        <v>0</v>
      </c>
      <c r="K17" s="86">
        <f>('Water Reading'!I17-'Water Reading'!I16)-('Water Reading'!P17-'Water Reading'!P16)</f>
        <v>25</v>
      </c>
      <c r="L17" s="66">
        <f t="shared" si="6"/>
        <v>0.15822784810126583</v>
      </c>
      <c r="M17" s="85">
        <f>'Water Reading'!R17-'Water Reading'!R16</f>
        <v>0</v>
      </c>
      <c r="N17" s="87">
        <f t="shared" si="7"/>
        <v>0</v>
      </c>
      <c r="O17" s="85">
        <f>'Water Reading'!Q17-'Water Reading'!Q16</f>
        <v>3</v>
      </c>
      <c r="P17" s="92">
        <f t="shared" si="8"/>
        <v>1.8987341772151899E-2</v>
      </c>
      <c r="Q17" s="86">
        <f>'Water Reading'!F17-'Water Reading'!F16</f>
        <v>1</v>
      </c>
      <c r="R17" s="93">
        <f t="shared" si="9"/>
        <v>6.3291139240506328E-3</v>
      </c>
      <c r="S17" s="85">
        <f>'Water Reading'!E17-'Water Reading'!E16</f>
        <v>69</v>
      </c>
      <c r="T17" s="93">
        <f t="shared" si="10"/>
        <v>0.43670886075949367</v>
      </c>
      <c r="U17" s="85">
        <f>'Water Reading'!G17-'Water Reading'!G16</f>
        <v>28</v>
      </c>
      <c r="V17" s="93">
        <f t="shared" si="11"/>
        <v>0.17721518987341772</v>
      </c>
      <c r="W17" s="86">
        <f>'Water Reading'!J17-'Water Reading'!J16</f>
        <v>6</v>
      </c>
      <c r="X17" s="93">
        <f t="shared" si="12"/>
        <v>3.7974683544303799E-2</v>
      </c>
      <c r="Y17" s="64">
        <f t="shared" si="0"/>
        <v>255</v>
      </c>
      <c r="Z17" s="65">
        <f t="shared" si="1"/>
        <v>0.84717607973421927</v>
      </c>
    </row>
    <row r="18" spans="1:26" x14ac:dyDescent="0.25">
      <c r="A18" s="8">
        <f>'Water Reading'!A17</f>
        <v>44696</v>
      </c>
      <c r="B18" s="63">
        <f>TOTAL!I16</f>
        <v>311</v>
      </c>
      <c r="C18" s="64">
        <f>('Water Reading'!B18-'Water Reading'!B17)+('Water Reading'!C18-'Water Reading'!C17)</f>
        <v>186</v>
      </c>
      <c r="D18" s="65">
        <f t="shared" si="2"/>
        <v>0.59807073954983925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129</v>
      </c>
      <c r="H18" s="84">
        <f t="shared" si="4"/>
        <v>0.69354838709677424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9.1397849462365593E-2</v>
      </c>
      <c r="M18" s="85">
        <f>'Water Reading'!R18-'Water Reading'!R17</f>
        <v>3</v>
      </c>
      <c r="N18" s="87">
        <f t="shared" si="7"/>
        <v>1.6129032258064516E-2</v>
      </c>
      <c r="O18" s="85">
        <f>'Water Reading'!Q18-'Water Reading'!Q17</f>
        <v>2</v>
      </c>
      <c r="P18" s="92">
        <f t="shared" si="8"/>
        <v>1.0752688172043012E-2</v>
      </c>
      <c r="Q18" s="86">
        <f>'Water Reading'!F18-'Water Reading'!F17</f>
        <v>0</v>
      </c>
      <c r="R18" s="93">
        <f t="shared" si="9"/>
        <v>0</v>
      </c>
      <c r="S18" s="85">
        <f>'Water Reading'!E18-'Water Reading'!E17</f>
        <v>75</v>
      </c>
      <c r="T18" s="93">
        <f t="shared" si="10"/>
        <v>0.40322580645161288</v>
      </c>
      <c r="U18" s="85">
        <f>'Water Reading'!G18-'Water Reading'!G17</f>
        <v>22</v>
      </c>
      <c r="V18" s="93">
        <f t="shared" si="11"/>
        <v>0.11827956989247312</v>
      </c>
      <c r="W18" s="86">
        <f>'Water Reading'!J18-'Water Reading'!J17</f>
        <v>5</v>
      </c>
      <c r="X18" s="93">
        <f t="shared" si="12"/>
        <v>2.6881720430107527E-2</v>
      </c>
      <c r="Y18" s="64">
        <f t="shared" si="0"/>
        <v>253</v>
      </c>
      <c r="Z18" s="65">
        <f t="shared" si="1"/>
        <v>0.81350482315112538</v>
      </c>
    </row>
    <row r="19" spans="1:26" x14ac:dyDescent="0.25">
      <c r="A19" s="8">
        <f>'Water Reading'!A18</f>
        <v>44697</v>
      </c>
      <c r="B19" s="63">
        <f>TOTAL!I17</f>
        <v>306</v>
      </c>
      <c r="C19" s="64">
        <f>('Water Reading'!B19-'Water Reading'!B18)+('Water Reading'!C19-'Water Reading'!C18)</f>
        <v>195</v>
      </c>
      <c r="D19" s="65">
        <f t="shared" si="2"/>
        <v>0.63725490196078427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142</v>
      </c>
      <c r="H19" s="84">
        <f t="shared" si="4"/>
        <v>0.72820512820512817</v>
      </c>
      <c r="I19" s="85">
        <f>'Water Reading'!P19-'Water Reading'!P18</f>
        <v>0</v>
      </c>
      <c r="J19" s="66">
        <f t="shared" si="5"/>
        <v>0</v>
      </c>
      <c r="K19" s="86">
        <f>('Water Reading'!I19-'Water Reading'!I18)-('Water Reading'!P19-'Water Reading'!P18)</f>
        <v>20</v>
      </c>
      <c r="L19" s="66">
        <f t="shared" si="6"/>
        <v>0.10256410256410256</v>
      </c>
      <c r="M19" s="85">
        <f>'Water Reading'!R19-'Water Reading'!R18</f>
        <v>5</v>
      </c>
      <c r="N19" s="87">
        <f t="shared" si="7"/>
        <v>2.564102564102564E-2</v>
      </c>
      <c r="O19" s="85">
        <f>'Water Reading'!Q19-'Water Reading'!Q18</f>
        <v>3</v>
      </c>
      <c r="P19" s="92">
        <f t="shared" si="8"/>
        <v>1.5384615384615385E-2</v>
      </c>
      <c r="Q19" s="86">
        <f>'Water Reading'!F19-'Water Reading'!F18</f>
        <v>1</v>
      </c>
      <c r="R19" s="93">
        <f t="shared" si="9"/>
        <v>5.1282051282051282E-3</v>
      </c>
      <c r="S19" s="85">
        <f>'Water Reading'!E19-'Water Reading'!E18</f>
        <v>77</v>
      </c>
      <c r="T19" s="93">
        <f t="shared" si="10"/>
        <v>0.39487179487179486</v>
      </c>
      <c r="U19" s="85">
        <f>'Water Reading'!G19-'Water Reading'!G18</f>
        <v>20</v>
      </c>
      <c r="V19" s="93">
        <f t="shared" si="11"/>
        <v>0.10256410256410256</v>
      </c>
      <c r="W19" s="86">
        <f>'Water Reading'!J19-'Water Reading'!J18</f>
        <v>5</v>
      </c>
      <c r="X19" s="93">
        <f t="shared" si="12"/>
        <v>2.564102564102564E-2</v>
      </c>
      <c r="Y19" s="64">
        <f t="shared" si="0"/>
        <v>273</v>
      </c>
      <c r="Z19" s="65">
        <f t="shared" si="1"/>
        <v>0.89215686274509809</v>
      </c>
    </row>
    <row r="20" spans="1:26" x14ac:dyDescent="0.25">
      <c r="A20" s="8">
        <f>'Water Reading'!A19</f>
        <v>44698</v>
      </c>
      <c r="B20" s="63">
        <f>TOTAL!I18</f>
        <v>362</v>
      </c>
      <c r="C20" s="64">
        <f>('Water Reading'!B20-'Water Reading'!B19)+('Water Reading'!C20-'Water Reading'!C19)</f>
        <v>220</v>
      </c>
      <c r="D20" s="65">
        <f t="shared" si="2"/>
        <v>0.60773480662983426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185</v>
      </c>
      <c r="H20" s="84">
        <f t="shared" si="4"/>
        <v>0.84090909090909094</v>
      </c>
      <c r="I20" s="85">
        <f>'Water Reading'!P20-'Water Reading'!P19</f>
        <v>16</v>
      </c>
      <c r="J20" s="66">
        <f t="shared" si="5"/>
        <v>7.2727272727272724E-2</v>
      </c>
      <c r="K20" s="86">
        <f>('Water Reading'!I20-'Water Reading'!I19)-('Water Reading'!P20-'Water Reading'!P19)</f>
        <v>24</v>
      </c>
      <c r="L20" s="66">
        <f t="shared" si="6"/>
        <v>0.10909090909090909</v>
      </c>
      <c r="M20" s="85">
        <v>7</v>
      </c>
      <c r="N20" s="87">
        <f t="shared" si="7"/>
        <v>3.1818181818181815E-2</v>
      </c>
      <c r="O20" s="85">
        <f>'Water Reading'!Q20-'Water Reading'!Q19</f>
        <v>13</v>
      </c>
      <c r="P20" s="92">
        <f t="shared" si="8"/>
        <v>5.909090909090909E-2</v>
      </c>
      <c r="Q20" s="86">
        <f>'Water Reading'!F20-'Water Reading'!F19</f>
        <v>0</v>
      </c>
      <c r="R20" s="93">
        <f t="shared" si="9"/>
        <v>0</v>
      </c>
      <c r="S20" s="85">
        <f>'Water Reading'!E20-'Water Reading'!E19</f>
        <v>81</v>
      </c>
      <c r="T20" s="93">
        <f t="shared" si="10"/>
        <v>0.36818181818181817</v>
      </c>
      <c r="U20" s="85">
        <f>'Water Reading'!G20-'Water Reading'!G19</f>
        <v>25</v>
      </c>
      <c r="V20" s="93">
        <f t="shared" si="11"/>
        <v>0.11363636363636363</v>
      </c>
      <c r="W20" s="86">
        <f>'Water Reading'!J20-'Water Reading'!J19</f>
        <v>5</v>
      </c>
      <c r="X20" s="93">
        <f t="shared" si="12"/>
        <v>2.2727272727272728E-2</v>
      </c>
      <c r="Y20" s="64">
        <f t="shared" si="0"/>
        <v>356</v>
      </c>
      <c r="Z20" s="65">
        <f t="shared" si="1"/>
        <v>0.98342541436464093</v>
      </c>
    </row>
    <row r="21" spans="1:26" x14ac:dyDescent="0.25">
      <c r="A21" s="8">
        <f>'Water Reading'!A20</f>
        <v>44699</v>
      </c>
      <c r="B21" s="63">
        <f>TOTAL!I19</f>
        <v>308</v>
      </c>
      <c r="C21" s="64">
        <f>('Water Reading'!B21-'Water Reading'!B20)+('Water Reading'!C21-'Water Reading'!C20)</f>
        <v>173</v>
      </c>
      <c r="D21" s="65">
        <f t="shared" si="2"/>
        <v>0.56168831168831168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124</v>
      </c>
      <c r="H21" s="84">
        <f t="shared" si="4"/>
        <v>0.7167630057803468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0.12138728323699421</v>
      </c>
      <c r="M21" s="85">
        <f>'Water Reading'!R21-'Water Reading'!R20</f>
        <v>3</v>
      </c>
      <c r="N21" s="87">
        <f t="shared" si="7"/>
        <v>1.7341040462427744E-2</v>
      </c>
      <c r="O21" s="85">
        <f>'Water Reading'!Q21-'Water Reading'!Q20</f>
        <v>7</v>
      </c>
      <c r="P21" s="92">
        <f t="shared" si="8"/>
        <v>4.046242774566474E-2</v>
      </c>
      <c r="Q21" s="86">
        <f>'Water Reading'!F21-'Water Reading'!F20</f>
        <v>1</v>
      </c>
      <c r="R21" s="93">
        <f t="shared" si="9"/>
        <v>5.7803468208092483E-3</v>
      </c>
      <c r="S21" s="85">
        <f>'Water Reading'!E21-'Water Reading'!E20</f>
        <v>63</v>
      </c>
      <c r="T21" s="93">
        <f t="shared" si="10"/>
        <v>0.36416184971098264</v>
      </c>
      <c r="U21" s="85">
        <f>'Water Reading'!G21-'Water Reading'!G20</f>
        <v>21</v>
      </c>
      <c r="V21" s="93">
        <f t="shared" si="11"/>
        <v>0.12138728323699421</v>
      </c>
      <c r="W21" s="86">
        <f>'Water Reading'!J21-'Water Reading'!J20</f>
        <v>5</v>
      </c>
      <c r="X21" s="93">
        <f t="shared" si="12"/>
        <v>2.8901734104046242E-2</v>
      </c>
      <c r="Y21" s="64">
        <f t="shared" si="0"/>
        <v>245</v>
      </c>
      <c r="Z21" s="65">
        <f t="shared" si="1"/>
        <v>0.79545454545454541</v>
      </c>
    </row>
    <row r="22" spans="1:26" x14ac:dyDescent="0.25">
      <c r="A22" s="8">
        <f>'Water Reading'!A21</f>
        <v>44700</v>
      </c>
      <c r="B22" s="63">
        <f>TOTAL!I20</f>
        <v>324</v>
      </c>
      <c r="C22" s="64">
        <f>('Water Reading'!B22-'Water Reading'!B21)+('Water Reading'!C22-'Water Reading'!C21)</f>
        <v>215</v>
      </c>
      <c r="D22" s="65">
        <f t="shared" si="2"/>
        <v>0.6635802469135802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178</v>
      </c>
      <c r="H22" s="84">
        <f t="shared" si="4"/>
        <v>0.82790697674418601</v>
      </c>
      <c r="I22" s="85">
        <f>'Water Reading'!P22-'Water Reading'!P21</f>
        <v>14</v>
      </c>
      <c r="J22" s="66">
        <f t="shared" si="5"/>
        <v>6.5116279069767441E-2</v>
      </c>
      <c r="K22" s="86">
        <f>('Water Reading'!I22-'Water Reading'!I21)-('Water Reading'!P22-'Water Reading'!P21)</f>
        <v>31</v>
      </c>
      <c r="L22" s="66">
        <f t="shared" si="6"/>
        <v>0.14418604651162792</v>
      </c>
      <c r="M22" s="85">
        <f>'Water Reading'!R22-'Water Reading'!R21</f>
        <v>5</v>
      </c>
      <c r="N22" s="87">
        <f t="shared" si="7"/>
        <v>2.3255813953488372E-2</v>
      </c>
      <c r="O22" s="85">
        <f>'Water Reading'!Q22-'Water Reading'!Q21</f>
        <v>1</v>
      </c>
      <c r="P22" s="92">
        <f t="shared" si="8"/>
        <v>4.6511627906976744E-3</v>
      </c>
      <c r="Q22" s="86">
        <f>'Water Reading'!F22-'Water Reading'!F21</f>
        <v>1</v>
      </c>
      <c r="R22" s="93">
        <f t="shared" si="9"/>
        <v>4.6511627906976744E-3</v>
      </c>
      <c r="S22" s="85">
        <f>'Water Reading'!E22-'Water Reading'!E21</f>
        <v>65</v>
      </c>
      <c r="T22" s="93">
        <f t="shared" si="10"/>
        <v>0.30232558139534882</v>
      </c>
      <c r="U22" s="85">
        <f>'Water Reading'!G22-'Water Reading'!G21</f>
        <v>23</v>
      </c>
      <c r="V22" s="93">
        <f t="shared" si="11"/>
        <v>0.10697674418604651</v>
      </c>
      <c r="W22" s="86">
        <f>'Water Reading'!J22-'Water Reading'!J21</f>
        <v>7</v>
      </c>
      <c r="X22" s="93">
        <f t="shared" si="12"/>
        <v>3.255813953488372E-2</v>
      </c>
      <c r="Y22" s="64">
        <f t="shared" si="0"/>
        <v>325</v>
      </c>
      <c r="Z22" s="65">
        <f t="shared" si="1"/>
        <v>1.0030864197530864</v>
      </c>
    </row>
    <row r="23" spans="1:26" x14ac:dyDescent="0.25">
      <c r="A23" s="8">
        <f>'Water Reading'!A22</f>
        <v>44701</v>
      </c>
      <c r="B23" s="63">
        <f>TOTAL!I21</f>
        <v>350</v>
      </c>
      <c r="C23" s="64">
        <f>('Water Reading'!B23-'Water Reading'!B22)+('Water Reading'!C23-'Water Reading'!C22)</f>
        <v>175</v>
      </c>
      <c r="D23" s="65">
        <f t="shared" si="2"/>
        <v>0.5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152</v>
      </c>
      <c r="H23" s="84">
        <f t="shared" si="4"/>
        <v>0.86857142857142855</v>
      </c>
      <c r="I23" s="85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18</v>
      </c>
      <c r="L23" s="66">
        <f t="shared" si="6"/>
        <v>0.10285714285714286</v>
      </c>
      <c r="M23" s="85">
        <f>'Water Reading'!R23-'Water Reading'!R22</f>
        <v>2</v>
      </c>
      <c r="N23" s="87">
        <f t="shared" si="7"/>
        <v>1.1428571428571429E-2</v>
      </c>
      <c r="O23" s="85">
        <f>'Water Reading'!Q23-'Water Reading'!Q22</f>
        <v>2</v>
      </c>
      <c r="P23" s="92">
        <f t="shared" si="8"/>
        <v>1.1428571428571429E-2</v>
      </c>
      <c r="Q23" s="86">
        <f>'Water Reading'!F23-'Water Reading'!F22</f>
        <v>1</v>
      </c>
      <c r="R23" s="93">
        <f t="shared" si="9"/>
        <v>5.7142857142857143E-3</v>
      </c>
      <c r="S23" s="85">
        <f>'Water Reading'!E23-'Water Reading'!E22</f>
        <v>58</v>
      </c>
      <c r="T23" s="93">
        <f t="shared" si="10"/>
        <v>0.33142857142857141</v>
      </c>
      <c r="U23" s="85">
        <f>'Water Reading'!G23-'Water Reading'!G22</f>
        <v>16</v>
      </c>
      <c r="V23" s="93">
        <f t="shared" si="11"/>
        <v>9.1428571428571428E-2</v>
      </c>
      <c r="W23" s="86">
        <f>'Water Reading'!J23-'Water Reading'!J22</f>
        <v>5</v>
      </c>
      <c r="X23" s="93">
        <f t="shared" si="12"/>
        <v>2.8571428571428571E-2</v>
      </c>
      <c r="Y23" s="64">
        <f t="shared" si="0"/>
        <v>254</v>
      </c>
      <c r="Z23" s="65">
        <f t="shared" si="1"/>
        <v>0.72571428571428576</v>
      </c>
    </row>
    <row r="24" spans="1:26" x14ac:dyDescent="0.25">
      <c r="A24" s="8">
        <f>'Water Reading'!A23</f>
        <v>44702</v>
      </c>
      <c r="B24" s="63">
        <f>TOTAL!I22</f>
        <v>294</v>
      </c>
      <c r="C24" s="64">
        <f>('Water Reading'!B24-'Water Reading'!B23)+('Water Reading'!C24-'Water Reading'!C23)</f>
        <v>187</v>
      </c>
      <c r="D24" s="65">
        <f t="shared" si="2"/>
        <v>0.63605442176870752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138</v>
      </c>
      <c r="H24" s="84">
        <f t="shared" si="4"/>
        <v>0.73796791443850263</v>
      </c>
      <c r="I24" s="85">
        <f>'Water Reading'!P24-'Water Reading'!P23</f>
        <v>13</v>
      </c>
      <c r="J24" s="66">
        <f t="shared" si="5"/>
        <v>6.9518716577540107E-2</v>
      </c>
      <c r="K24" s="86">
        <f>('Water Reading'!I24-'Water Reading'!I23)-('Water Reading'!P24-'Water Reading'!P23)</f>
        <v>22</v>
      </c>
      <c r="L24" s="66">
        <f t="shared" si="6"/>
        <v>0.11764705882352941</v>
      </c>
      <c r="M24" s="85">
        <f>'Water Reading'!R24-'Water Reading'!R23</f>
        <v>4</v>
      </c>
      <c r="N24" s="87">
        <f t="shared" si="7"/>
        <v>2.1390374331550801E-2</v>
      </c>
      <c r="O24" s="85">
        <f>'Water Reading'!Q24-'Water Reading'!Q23</f>
        <v>2</v>
      </c>
      <c r="P24" s="92">
        <f t="shared" si="8"/>
        <v>1.06951871657754E-2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63</v>
      </c>
      <c r="T24" s="93">
        <f t="shared" si="10"/>
        <v>0.33689839572192515</v>
      </c>
      <c r="U24" s="85">
        <f>'Water Reading'!G24-'Water Reading'!G23</f>
        <v>28</v>
      </c>
      <c r="V24" s="93">
        <f t="shared" si="11"/>
        <v>0.1497326203208556</v>
      </c>
      <c r="W24" s="86">
        <f>'Water Reading'!J24-'Water Reading'!J23</f>
        <v>6</v>
      </c>
      <c r="X24" s="93">
        <f t="shared" si="12"/>
        <v>3.2085561497326207E-2</v>
      </c>
      <c r="Y24" s="64">
        <f t="shared" si="0"/>
        <v>276</v>
      </c>
      <c r="Z24" s="65">
        <f t="shared" si="1"/>
        <v>0.93877551020408168</v>
      </c>
    </row>
    <row r="25" spans="1:26" x14ac:dyDescent="0.25">
      <c r="A25" s="8">
        <f>'Water Reading'!A24</f>
        <v>44703</v>
      </c>
      <c r="B25" s="63">
        <f>TOTAL!I23</f>
        <v>320</v>
      </c>
      <c r="C25" s="64">
        <f>('Water Reading'!B25-'Water Reading'!B24)+('Water Reading'!C25-'Water Reading'!C24)</f>
        <v>196</v>
      </c>
      <c r="D25" s="65">
        <f t="shared" si="2"/>
        <v>0.61250000000000004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155</v>
      </c>
      <c r="H25" s="84">
        <f t="shared" si="4"/>
        <v>0.79081632653061229</v>
      </c>
      <c r="I25" s="85">
        <f>'Water Reading'!P25-'Water Reading'!P24</f>
        <v>23</v>
      </c>
      <c r="J25" s="66">
        <f t="shared" si="5"/>
        <v>0.11734693877551021</v>
      </c>
      <c r="K25" s="86">
        <f>('Water Reading'!I25-'Water Reading'!I24)-('Water Reading'!P25-'Water Reading'!P24)</f>
        <v>21</v>
      </c>
      <c r="L25" s="66">
        <f t="shared" si="6"/>
        <v>0.10714285714285714</v>
      </c>
      <c r="M25" s="85">
        <f>'Water Reading'!R25-'Water Reading'!R24</f>
        <v>4</v>
      </c>
      <c r="N25" s="87">
        <f t="shared" si="7"/>
        <v>2.0408163265306121E-2</v>
      </c>
      <c r="O25" s="85">
        <f>'Water Reading'!Q25-'Water Reading'!Q24</f>
        <v>5</v>
      </c>
      <c r="P25" s="92">
        <f t="shared" si="8"/>
        <v>2.5510204081632654E-2</v>
      </c>
      <c r="Q25" s="86">
        <f>'Water Reading'!F25-'Water Reading'!F24</f>
        <v>1</v>
      </c>
      <c r="R25" s="93">
        <f t="shared" si="9"/>
        <v>5.1020408163265302E-3</v>
      </c>
      <c r="S25" s="85">
        <f>'Water Reading'!E25-'Water Reading'!E24</f>
        <v>63</v>
      </c>
      <c r="T25" s="93">
        <f t="shared" si="10"/>
        <v>0.32142857142857145</v>
      </c>
      <c r="U25" s="85">
        <f>'Water Reading'!G25-'Water Reading'!G24</f>
        <v>24</v>
      </c>
      <c r="V25" s="93">
        <f t="shared" si="11"/>
        <v>0.12244897959183673</v>
      </c>
      <c r="W25" s="86">
        <f>'Water Reading'!J25-'Water Reading'!J24</f>
        <v>6</v>
      </c>
      <c r="X25" s="93">
        <f t="shared" si="12"/>
        <v>3.0612244897959183E-2</v>
      </c>
      <c r="Y25" s="64">
        <f t="shared" si="0"/>
        <v>302</v>
      </c>
      <c r="Z25" s="65">
        <f t="shared" si="1"/>
        <v>0.94374999999999998</v>
      </c>
    </row>
    <row r="26" spans="1:26" x14ac:dyDescent="0.25">
      <c r="A26" s="8">
        <f>'Water Reading'!A25</f>
        <v>44704</v>
      </c>
      <c r="B26" s="63">
        <f>TOTAL!I24</f>
        <v>0</v>
      </c>
      <c r="C26" s="64">
        <f>('Water Reading'!B26-'Water Reading'!B25)+('Water Reading'!C26-'Water Reading'!C25)</f>
        <v>176</v>
      </c>
      <c r="D26" s="65" t="e">
        <f t="shared" si="2"/>
        <v>#DIV/0!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140</v>
      </c>
      <c r="H26" s="84">
        <f t="shared" si="4"/>
        <v>0.79545454545454541</v>
      </c>
      <c r="I26" s="85">
        <f>'Water Reading'!P26-'Water Reading'!P25</f>
        <v>13</v>
      </c>
      <c r="J26" s="66">
        <f t="shared" si="5"/>
        <v>7.3863636363636367E-2</v>
      </c>
      <c r="K26" s="86">
        <f>('Water Reading'!I26-'Water Reading'!I25)-('Water Reading'!P26-'Water Reading'!P25)</f>
        <v>22</v>
      </c>
      <c r="L26" s="66">
        <f t="shared" si="6"/>
        <v>0.125</v>
      </c>
      <c r="M26" s="85">
        <f>'Water Reading'!R26-'Water Reading'!R25</f>
        <v>4</v>
      </c>
      <c r="N26" s="87">
        <f t="shared" si="7"/>
        <v>2.2727272727272728E-2</v>
      </c>
      <c r="O26" s="85">
        <f>'Water Reading'!Q26-'Water Reading'!Q25</f>
        <v>1</v>
      </c>
      <c r="P26" s="92">
        <f t="shared" si="8"/>
        <v>5.681818181818182E-3</v>
      </c>
      <c r="Q26" s="86">
        <f>'Water Reading'!F26-'Water Reading'!F25</f>
        <v>0</v>
      </c>
      <c r="R26" s="93">
        <f t="shared" si="9"/>
        <v>0</v>
      </c>
      <c r="S26" s="85">
        <f>'Water Reading'!E26-'Water Reading'!E25</f>
        <v>61</v>
      </c>
      <c r="T26" s="93">
        <f t="shared" si="10"/>
        <v>0.34659090909090912</v>
      </c>
      <c r="U26" s="85">
        <f>'Water Reading'!G26-'Water Reading'!G25</f>
        <v>22</v>
      </c>
      <c r="V26" s="93">
        <f t="shared" si="11"/>
        <v>0.125</v>
      </c>
      <c r="W26" s="86">
        <f>'Water Reading'!J26-'Water Reading'!J25</f>
        <v>5</v>
      </c>
      <c r="X26" s="93">
        <f t="shared" si="12"/>
        <v>2.8409090909090908E-2</v>
      </c>
      <c r="Y26" s="64">
        <f t="shared" si="0"/>
        <v>268</v>
      </c>
      <c r="Z26" s="65" t="e">
        <f t="shared" si="1"/>
        <v>#DIV/0!</v>
      </c>
    </row>
    <row r="27" spans="1:26" x14ac:dyDescent="0.25">
      <c r="A27" s="8">
        <f>'Water Reading'!A26</f>
        <v>44705</v>
      </c>
      <c r="B27" s="63">
        <f>TOTAL!I25</f>
        <v>0</v>
      </c>
      <c r="C27" s="64">
        <f>('Water Reading'!B27-'Water Reading'!B26)+('Water Reading'!C27-'Water Reading'!C26)</f>
        <v>166</v>
      </c>
      <c r="D27" s="65" t="e">
        <f t="shared" si="2"/>
        <v>#DIV/0!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136</v>
      </c>
      <c r="H27" s="84">
        <f t="shared" si="4"/>
        <v>0.81927710843373491</v>
      </c>
      <c r="I27" s="85">
        <f>'Water Reading'!P27-'Water Reading'!P26</f>
        <v>0</v>
      </c>
      <c r="J27" s="66">
        <f t="shared" si="5"/>
        <v>0</v>
      </c>
      <c r="K27" s="86">
        <f>('Water Reading'!I27-'Water Reading'!I26)-('Water Reading'!P27-'Water Reading'!P26)</f>
        <v>15</v>
      </c>
      <c r="L27" s="66">
        <f t="shared" si="6"/>
        <v>9.036144578313253E-2</v>
      </c>
      <c r="M27" s="85">
        <f>'Water Reading'!R27-'Water Reading'!R26</f>
        <v>4</v>
      </c>
      <c r="N27" s="87">
        <f t="shared" si="7"/>
        <v>2.4096385542168676E-2</v>
      </c>
      <c r="O27" s="85">
        <f>'Water Reading'!Q27-'Water Reading'!Q26</f>
        <v>2</v>
      </c>
      <c r="P27" s="92">
        <f t="shared" si="8"/>
        <v>1.2048192771084338E-2</v>
      </c>
      <c r="Q27" s="86">
        <f>'Water Reading'!F27-'Water Reading'!F26</f>
        <v>1</v>
      </c>
      <c r="R27" s="93">
        <f t="shared" si="9"/>
        <v>6.024096385542169E-3</v>
      </c>
      <c r="S27" s="85">
        <f>'Water Reading'!E27-'Water Reading'!E26</f>
        <v>67</v>
      </c>
      <c r="T27" s="93">
        <f t="shared" si="10"/>
        <v>0.40361445783132532</v>
      </c>
      <c r="U27" s="85">
        <f>'Water Reading'!G27-'Water Reading'!G26</f>
        <v>19</v>
      </c>
      <c r="V27" s="93">
        <f t="shared" si="11"/>
        <v>0.1144578313253012</v>
      </c>
      <c r="W27" s="86">
        <f>'Water Reading'!J27-'Water Reading'!J26</f>
        <v>6</v>
      </c>
      <c r="X27" s="93">
        <f t="shared" si="12"/>
        <v>3.614457831325301E-2</v>
      </c>
      <c r="Y27" s="64">
        <f t="shared" si="0"/>
        <v>250</v>
      </c>
      <c r="Z27" s="65" t="e">
        <f t="shared" si="1"/>
        <v>#DIV/0!</v>
      </c>
    </row>
    <row r="28" spans="1:26" x14ac:dyDescent="0.25">
      <c r="A28" s="8">
        <f>'Water Reading'!A27</f>
        <v>44706</v>
      </c>
      <c r="B28" s="63">
        <f>TOTAL!I26</f>
        <v>0</v>
      </c>
      <c r="C28" s="64">
        <f>('Water Reading'!B28-'Water Reading'!B27)+('Water Reading'!C28-'Water Reading'!C27)</f>
        <v>173</v>
      </c>
      <c r="D28" s="65" t="e">
        <f t="shared" si="2"/>
        <v>#DIV/0!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140</v>
      </c>
      <c r="H28" s="84">
        <f t="shared" si="4"/>
        <v>0.80924855491329484</v>
      </c>
      <c r="I28" s="85">
        <f>'Water Reading'!P28-'Water Reading'!P27</f>
        <v>15</v>
      </c>
      <c r="J28" s="66">
        <f t="shared" si="5"/>
        <v>8.6705202312138727E-2</v>
      </c>
      <c r="K28" s="86">
        <f>('Water Reading'!I28-'Water Reading'!I27)-('Water Reading'!P28-'Water Reading'!P27)</f>
        <v>17</v>
      </c>
      <c r="L28" s="66">
        <f t="shared" si="6"/>
        <v>9.8265895953757232E-2</v>
      </c>
      <c r="M28" s="85">
        <f>'Water Reading'!R28-'Water Reading'!R27</f>
        <v>6</v>
      </c>
      <c r="N28" s="87">
        <f t="shared" si="7"/>
        <v>3.4682080924855488E-2</v>
      </c>
      <c r="O28" s="85">
        <f>'Water Reading'!Q28-'Water Reading'!Q27</f>
        <v>5</v>
      </c>
      <c r="P28" s="92">
        <f t="shared" si="8"/>
        <v>2.8901734104046242E-2</v>
      </c>
      <c r="Q28" s="86">
        <f>'Water Reading'!F28-'Water Reading'!F27</f>
        <v>1</v>
      </c>
      <c r="R28" s="93">
        <f t="shared" si="9"/>
        <v>5.7803468208092483E-3</v>
      </c>
      <c r="S28" s="85">
        <f>'Water Reading'!E28-'Water Reading'!E27</f>
        <v>73</v>
      </c>
      <c r="T28" s="93">
        <f t="shared" si="10"/>
        <v>0.42196531791907516</v>
      </c>
      <c r="U28" s="85">
        <f>'Water Reading'!G28-'Water Reading'!G27</f>
        <v>24</v>
      </c>
      <c r="V28" s="93">
        <f t="shared" si="11"/>
        <v>0.13872832369942195</v>
      </c>
      <c r="W28" s="86">
        <f>'Water Reading'!J28-'Water Reading'!J27</f>
        <v>5</v>
      </c>
      <c r="X28" s="93">
        <f t="shared" si="12"/>
        <v>2.8901734104046242E-2</v>
      </c>
      <c r="Y28" s="64">
        <f t="shared" si="0"/>
        <v>286</v>
      </c>
      <c r="Z28" s="65" t="e">
        <f t="shared" si="1"/>
        <v>#DIV/0!</v>
      </c>
    </row>
    <row r="29" spans="1:26" x14ac:dyDescent="0.25">
      <c r="A29" s="8">
        <f>'Water Reading'!A28</f>
        <v>44707</v>
      </c>
      <c r="B29" s="63">
        <f>TOTAL!I27</f>
        <v>0</v>
      </c>
      <c r="C29" s="64">
        <f>('Water Reading'!B29-'Water Reading'!B28)+('Water Reading'!C29-'Water Reading'!C28)</f>
        <v>185</v>
      </c>
      <c r="D29" s="65" t="e">
        <f t="shared" si="2"/>
        <v>#DIV/0!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148</v>
      </c>
      <c r="H29" s="84">
        <f t="shared" si="4"/>
        <v>0.8</v>
      </c>
      <c r="I29" s="85">
        <f>'Water Reading'!P29-'Water Reading'!P28</f>
        <v>14</v>
      </c>
      <c r="J29" s="66">
        <f t="shared" si="5"/>
        <v>7.567567567567568E-2</v>
      </c>
      <c r="K29" s="86">
        <f>('Water Reading'!I29-'Water Reading'!I28)-('Water Reading'!P29-'Water Reading'!P28)</f>
        <v>20</v>
      </c>
      <c r="L29" s="66">
        <f t="shared" si="6"/>
        <v>0.10810810810810811</v>
      </c>
      <c r="M29" s="85">
        <f>'Water Reading'!R29-'Water Reading'!R28</f>
        <v>4</v>
      </c>
      <c r="N29" s="87">
        <f t="shared" si="7"/>
        <v>2.1621621621621623E-2</v>
      </c>
      <c r="O29" s="85">
        <f>'Water Reading'!Q29-'Water Reading'!Q28</f>
        <v>1</v>
      </c>
      <c r="P29" s="92">
        <f t="shared" si="8"/>
        <v>5.4054054054054057E-3</v>
      </c>
      <c r="Q29" s="86">
        <f>'Water Reading'!F29-'Water Reading'!F28</f>
        <v>1</v>
      </c>
      <c r="R29" s="93">
        <f t="shared" si="9"/>
        <v>5.4054054054054057E-3</v>
      </c>
      <c r="S29" s="85">
        <f>'Water Reading'!E29-'Water Reading'!E28</f>
        <v>71</v>
      </c>
      <c r="T29" s="93">
        <f t="shared" si="10"/>
        <v>0.38378378378378381</v>
      </c>
      <c r="U29" s="85">
        <f>'Water Reading'!G29-'Water Reading'!G28</f>
        <v>20</v>
      </c>
      <c r="V29" s="93">
        <f t="shared" si="11"/>
        <v>0.10810810810810811</v>
      </c>
      <c r="W29" s="86">
        <f>'Water Reading'!J29-'Water Reading'!J28</f>
        <v>5</v>
      </c>
      <c r="X29" s="93">
        <f t="shared" si="12"/>
        <v>2.7027027027027029E-2</v>
      </c>
      <c r="Y29" s="64">
        <f t="shared" si="0"/>
        <v>284</v>
      </c>
      <c r="Z29" s="65" t="e">
        <f t="shared" si="1"/>
        <v>#DIV/0!</v>
      </c>
    </row>
    <row r="30" spans="1:26" x14ac:dyDescent="0.25">
      <c r="A30" s="8">
        <f>'Water Reading'!A29</f>
        <v>44708</v>
      </c>
      <c r="B30" s="63">
        <f>TOTAL!I28</f>
        <v>0</v>
      </c>
      <c r="C30" s="64">
        <f>('Water Reading'!B30-'Water Reading'!B29)+('Water Reading'!C30-'Water Reading'!C29)</f>
        <v>-228942</v>
      </c>
      <c r="D30" s="65" t="e">
        <f t="shared" si="2"/>
        <v>#DIV/0!</v>
      </c>
      <c r="E30" s="83">
        <f>'Water Reading'!H30-'Water Reading'!H29</f>
        <v>-62098</v>
      </c>
      <c r="F30" s="84">
        <f t="shared" si="3"/>
        <v>0.27123900376514576</v>
      </c>
      <c r="G30" s="88">
        <f>('Water Reading'!D30-'Water Reading'!D29)-('Water Reading'!R30-'Water Reading'!R29)-('Water Reading'!Q30-'Water Reading'!Q29)</f>
        <v>-265561</v>
      </c>
      <c r="H30" s="84">
        <f t="shared" si="4"/>
        <v>1.159948807995038</v>
      </c>
      <c r="I30" s="85">
        <f>'Water Reading'!P30-'Water Reading'!P29</f>
        <v>-31109</v>
      </c>
      <c r="J30" s="66">
        <f t="shared" si="5"/>
        <v>0.13588157699329961</v>
      </c>
      <c r="K30" s="86">
        <f>('Water Reading'!I30-'Water Reading'!I29)-('Water Reading'!P30-'Water Reading'!P29)</f>
        <v>-44127</v>
      </c>
      <c r="L30" s="66">
        <f t="shared" si="6"/>
        <v>0.19274314018397673</v>
      </c>
      <c r="M30" s="85">
        <f>'Water Reading'!R30-'Water Reading'!R29</f>
        <v>-173</v>
      </c>
      <c r="N30" s="87">
        <f t="shared" si="7"/>
        <v>7.5564990259541719E-4</v>
      </c>
      <c r="O30" s="85">
        <f>'Water Reading'!Q30-'Water Reading'!Q29</f>
        <v>-1691</v>
      </c>
      <c r="P30" s="92">
        <f t="shared" si="8"/>
        <v>7.3861502039817943E-3</v>
      </c>
      <c r="Q30" s="86">
        <f>'Water Reading'!F30-'Water Reading'!F29</f>
        <v>-67181</v>
      </c>
      <c r="R30" s="93">
        <f t="shared" si="9"/>
        <v>0.29344113356221224</v>
      </c>
      <c r="S30" s="85">
        <f>'Water Reading'!E30-'Water Reading'!E29</f>
        <v>-270147</v>
      </c>
      <c r="T30" s="93">
        <f t="shared" si="10"/>
        <v>1.1799800822915847</v>
      </c>
      <c r="U30" s="85">
        <f>'Water Reading'!G30-'Water Reading'!G29</f>
        <v>-119565</v>
      </c>
      <c r="V30" s="93">
        <f t="shared" si="11"/>
        <v>0.52225017690069975</v>
      </c>
      <c r="W30" s="86">
        <f>'Water Reading'!J30-'Water Reading'!J29</f>
        <v>-22793</v>
      </c>
      <c r="X30" s="93">
        <f t="shared" si="12"/>
        <v>9.9557966646574236E-2</v>
      </c>
      <c r="Y30" s="64">
        <f t="shared" si="0"/>
        <v>-884445</v>
      </c>
      <c r="Z30" s="65" t="e">
        <f t="shared" si="1"/>
        <v>#DIV/0!</v>
      </c>
    </row>
    <row r="31" spans="1:26" x14ac:dyDescent="0.25">
      <c r="A31" s="8">
        <f>'Water Reading'!A30</f>
        <v>44709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44710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44711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44712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-224237</v>
      </c>
      <c r="D35" s="90" t="e">
        <f>C35/B35</f>
        <v>#VALUE!</v>
      </c>
      <c r="E35" s="7">
        <f>SUM(E4:E34)</f>
        <v>-62098</v>
      </c>
      <c r="F35" s="89">
        <f>E35/C35</f>
        <v>0.27693021223080938</v>
      </c>
      <c r="G35" s="72">
        <f>SUM(G4:G34)</f>
        <v>-261709</v>
      </c>
      <c r="H35" s="89">
        <f>G35/C35</f>
        <v>1.1671089070938339</v>
      </c>
      <c r="I35" s="7">
        <f>SUM(I4:I34)</f>
        <v>-30909</v>
      </c>
      <c r="J35" s="89">
        <f>I35/C35</f>
        <v>0.13784076668881584</v>
      </c>
      <c r="K35" s="7">
        <f>SUM(K4:K34)</f>
        <v>-43585</v>
      </c>
      <c r="L35" s="89">
        <f>K35/C35</f>
        <v>0.19437024219910184</v>
      </c>
      <c r="M35" s="7">
        <f>SUM(M4:M34)</f>
        <v>-61</v>
      </c>
      <c r="N35" s="89">
        <f>M35/C35</f>
        <v>2.7203360729941982E-4</v>
      </c>
      <c r="O35" s="7">
        <f>SUM(O4:O34)</f>
        <v>-1618</v>
      </c>
      <c r="P35" s="89">
        <f>O35/C35</f>
        <v>7.2155799444337913E-3</v>
      </c>
      <c r="Q35" s="7">
        <f>SUM(Q4:Q34)</f>
        <v>-67162</v>
      </c>
      <c r="R35" s="89">
        <f>Q35/C35</f>
        <v>0.29951346120399397</v>
      </c>
      <c r="S35" s="72">
        <f>SUM(S4:S34)</f>
        <v>-268385</v>
      </c>
      <c r="T35" s="89">
        <f>S35/C35</f>
        <v>1.1968809786074555</v>
      </c>
      <c r="U35" s="7">
        <f>SUM(U4:U34)</f>
        <v>-118898</v>
      </c>
      <c r="V35" s="89">
        <f>U35/C35</f>
        <v>0.53023363673256418</v>
      </c>
      <c r="W35" s="7">
        <f>SUM(W4:W34)</f>
        <v>-22650</v>
      </c>
      <c r="X35" s="89">
        <f>W35/C35</f>
        <v>0.10100920008740752</v>
      </c>
      <c r="Y35" s="72">
        <f>SUM(Y4:Y34)</f>
        <v>-877075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2022-05-28T01:20:30Z</dcterms:modified>
  <cp:category/>
  <cp:contentStatus/>
</cp:coreProperties>
</file>