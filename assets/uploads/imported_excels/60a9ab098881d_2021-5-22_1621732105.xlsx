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-120" yWindow="-120" windowWidth="29040" windowHeight="15840" tabRatio="598" activeTab="5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3" l="1"/>
  <c r="Q15" i="1" l="1"/>
  <c r="C15" i="5"/>
  <c r="C15" i="1"/>
  <c r="I3" i="9" l="1"/>
  <c r="I4" i="9"/>
  <c r="I5" i="9"/>
  <c r="I6" i="9"/>
  <c r="I7" i="9"/>
  <c r="I8" i="9"/>
  <c r="I9" i="9"/>
  <c r="I10" i="9"/>
  <c r="I11" i="9"/>
  <c r="I2" i="9"/>
  <c r="C12" i="5"/>
  <c r="F9" i="1" l="1"/>
  <c r="C25" i="4" l="1"/>
  <c r="C26" i="4" s="1"/>
  <c r="C27" i="4" s="1"/>
  <c r="C28" i="4" s="1"/>
  <c r="C29" i="4" s="1"/>
  <c r="C30" i="4" s="1"/>
  <c r="C31" i="4" s="1"/>
  <c r="C32" i="4" s="1"/>
  <c r="C33" i="4" s="1"/>
  <c r="E25" i="4"/>
  <c r="E26" i="4" s="1"/>
  <c r="E27" i="4" s="1"/>
  <c r="E28" i="4" s="1"/>
  <c r="E29" i="4" s="1"/>
  <c r="E30" i="4" s="1"/>
  <c r="E31" i="4" s="1"/>
  <c r="E32" i="4" s="1"/>
  <c r="E33" i="4" s="1"/>
  <c r="G25" i="4"/>
  <c r="G26" i="4" s="1"/>
  <c r="G27" i="4" s="1"/>
  <c r="G28" i="4" s="1"/>
  <c r="G29" i="4" s="1"/>
  <c r="G30" i="4" s="1"/>
  <c r="G31" i="4" s="1"/>
  <c r="G32" i="4" s="1"/>
  <c r="G33" i="4" s="1"/>
  <c r="J25" i="4"/>
  <c r="J26" i="4" s="1"/>
  <c r="J27" i="4" s="1"/>
  <c r="J28" i="4" s="1"/>
  <c r="J29" i="4" s="1"/>
  <c r="J30" i="4" s="1"/>
  <c r="J31" i="4" s="1"/>
  <c r="J32" i="4" s="1"/>
  <c r="J33" i="4" s="1"/>
  <c r="L25" i="4"/>
  <c r="L26" i="4" s="1"/>
  <c r="L27" i="4" s="1"/>
  <c r="L28" i="4" s="1"/>
  <c r="L29" i="4" s="1"/>
  <c r="L30" i="4" s="1"/>
  <c r="L31" i="4" s="1"/>
  <c r="L32" i="4" s="1"/>
  <c r="L33" i="4" s="1"/>
  <c r="N25" i="4"/>
  <c r="N26" i="4" s="1"/>
  <c r="N27" i="4" s="1"/>
  <c r="N28" i="4" s="1"/>
  <c r="N29" i="4" s="1"/>
  <c r="N30" i="4" s="1"/>
  <c r="N31" i="4" s="1"/>
  <c r="N32" i="4" s="1"/>
  <c r="N33" i="4" s="1"/>
  <c r="P25" i="4"/>
  <c r="P26" i="4" s="1"/>
  <c r="P27" i="4" s="1"/>
  <c r="P28" i="4" s="1"/>
  <c r="P29" i="4" s="1"/>
  <c r="P30" i="4" s="1"/>
  <c r="P31" i="4" s="1"/>
  <c r="P32" i="4" s="1"/>
  <c r="P33" i="4" s="1"/>
  <c r="R25" i="4"/>
  <c r="R26" i="4" s="1"/>
  <c r="R27" i="4" s="1"/>
  <c r="R28" i="4" s="1"/>
  <c r="R29" i="4" s="1"/>
  <c r="R30" i="4" s="1"/>
  <c r="R31" i="4" s="1"/>
  <c r="R32" i="4" s="1"/>
  <c r="R33" i="4" s="1"/>
  <c r="V25" i="4"/>
  <c r="V26" i="4" s="1"/>
  <c r="V27" i="4" s="1"/>
  <c r="V28" i="4" s="1"/>
  <c r="V29" i="4" s="1"/>
  <c r="V30" i="4" s="1"/>
  <c r="V31" i="4" s="1"/>
  <c r="V32" i="4" s="1"/>
  <c r="V33" i="4" s="1"/>
  <c r="C8" i="3"/>
  <c r="B25" i="3"/>
  <c r="B26" i="3" s="1"/>
  <c r="B27" i="3" s="1"/>
  <c r="B28" i="3" s="1"/>
  <c r="B29" i="3" s="1"/>
  <c r="B30" i="3" s="1"/>
  <c r="B31" i="3" s="1"/>
  <c r="B32" i="3" s="1"/>
  <c r="B33" i="3" s="1"/>
  <c r="H25" i="3"/>
  <c r="H26" i="3" s="1"/>
  <c r="H27" i="3" s="1"/>
  <c r="H28" i="3" s="1"/>
  <c r="H29" i="3" s="1"/>
  <c r="H30" i="3" s="1"/>
  <c r="H31" i="3" s="1"/>
  <c r="H32" i="3" s="1"/>
  <c r="H33" i="3" s="1"/>
  <c r="F25" i="3"/>
  <c r="F26" i="3" s="1"/>
  <c r="F27" i="3" s="1"/>
  <c r="F28" i="3" s="1"/>
  <c r="F29" i="3" s="1"/>
  <c r="F30" i="3" s="1"/>
  <c r="F31" i="3" s="1"/>
  <c r="F32" i="3" s="1"/>
  <c r="F33" i="3" s="1"/>
  <c r="D24" i="3"/>
  <c r="D25" i="3" s="1"/>
  <c r="D26" i="3" s="1"/>
  <c r="D27" i="3" s="1"/>
  <c r="D28" i="3" s="1"/>
  <c r="D29" i="3" s="1"/>
  <c r="D30" i="3" s="1"/>
  <c r="D31" i="3" s="1"/>
  <c r="D32" i="3" s="1"/>
  <c r="D33" i="3" s="1"/>
  <c r="Q25" i="1" l="1"/>
  <c r="Q26" i="1" s="1"/>
  <c r="Q27" i="1" s="1"/>
  <c r="Q28" i="1" s="1"/>
  <c r="Q29" i="1" s="1"/>
  <c r="Q30" i="1" s="1"/>
  <c r="Q31" i="1" s="1"/>
  <c r="Q32" i="1" s="1"/>
  <c r="Q33" i="1" s="1"/>
  <c r="N25" i="1"/>
  <c r="N26" i="1" s="1"/>
  <c r="N27" i="1" s="1"/>
  <c r="N28" i="1" s="1"/>
  <c r="N29" i="1" s="1"/>
  <c r="N30" i="1" s="1"/>
  <c r="N31" i="1" s="1"/>
  <c r="N32" i="1" s="1"/>
  <c r="N33" i="1" s="1"/>
  <c r="K25" i="1"/>
  <c r="K26" i="1" s="1"/>
  <c r="K27" i="1" s="1"/>
  <c r="K28" i="1" s="1"/>
  <c r="K29" i="1" s="1"/>
  <c r="K30" i="1" s="1"/>
  <c r="K31" i="1" s="1"/>
  <c r="K32" i="1" s="1"/>
  <c r="K33" i="1" s="1"/>
  <c r="H25" i="1"/>
  <c r="H26" i="1" s="1"/>
  <c r="H27" i="1" s="1"/>
  <c r="H28" i="1" s="1"/>
  <c r="H29" i="1" s="1"/>
  <c r="H30" i="1" s="1"/>
  <c r="H31" i="1" s="1"/>
  <c r="H32" i="1" s="1"/>
  <c r="H33" i="1" s="1"/>
  <c r="E25" i="1"/>
  <c r="E26" i="1" s="1"/>
  <c r="E27" i="1" s="1"/>
  <c r="E28" i="1" s="1"/>
  <c r="E29" i="1" s="1"/>
  <c r="E30" i="1" s="1"/>
  <c r="E31" i="1" s="1"/>
  <c r="E32" i="1" s="1"/>
  <c r="E33" i="1" s="1"/>
  <c r="B25" i="5"/>
  <c r="B26" i="5" s="1"/>
  <c r="B27" i="5" s="1"/>
  <c r="B28" i="5" s="1"/>
  <c r="B29" i="5" s="1"/>
  <c r="B30" i="5" s="1"/>
  <c r="B31" i="5" s="1"/>
  <c r="B32" i="5" s="1"/>
  <c r="B33" i="5" s="1"/>
  <c r="T25" i="2"/>
  <c r="T26" i="2" s="1"/>
  <c r="T27" i="2" s="1"/>
  <c r="T28" i="2" s="1"/>
  <c r="T29" i="2" s="1"/>
  <c r="T30" i="2" s="1"/>
  <c r="T31" i="2" s="1"/>
  <c r="T32" i="2" s="1"/>
  <c r="T33" i="2" s="1"/>
  <c r="P13" i="2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25" i="2"/>
  <c r="N26" i="2" s="1"/>
  <c r="N27" i="2" s="1"/>
  <c r="N28" i="2" s="1"/>
  <c r="N29" i="2" s="1"/>
  <c r="N30" i="2" s="1"/>
  <c r="N31" i="2" s="1"/>
  <c r="N32" i="2" s="1"/>
  <c r="N33" i="2" s="1"/>
  <c r="L9" i="2"/>
  <c r="L25" i="2" s="1"/>
  <c r="L26" i="2" s="1"/>
  <c r="L27" i="2" s="1"/>
  <c r="L28" i="2" s="1"/>
  <c r="L29" i="2" s="1"/>
  <c r="L30" i="2" s="1"/>
  <c r="L31" i="2" s="1"/>
  <c r="L32" i="2" s="1"/>
  <c r="L33" i="2" s="1"/>
  <c r="H25" i="2"/>
  <c r="H26" i="2" s="1"/>
  <c r="H27" i="2" s="1"/>
  <c r="H28" i="2" s="1"/>
  <c r="H29" i="2" s="1"/>
  <c r="H30" i="2" s="1"/>
  <c r="H31" i="2" s="1"/>
  <c r="H32" i="2" s="1"/>
  <c r="H33" i="2" s="1"/>
  <c r="F25" i="2"/>
  <c r="F26" i="2" s="1"/>
  <c r="F27" i="2" s="1"/>
  <c r="F28" i="2" s="1"/>
  <c r="F29" i="2" s="1"/>
  <c r="F30" i="2" s="1"/>
  <c r="F31" i="2" s="1"/>
  <c r="F32" i="2" s="1"/>
  <c r="F33" i="2" s="1"/>
  <c r="D25" i="2"/>
  <c r="D26" i="2" s="1"/>
  <c r="D27" i="2" s="1"/>
  <c r="D28" i="2" s="1"/>
  <c r="D29" i="2" s="1"/>
  <c r="D30" i="2" s="1"/>
  <c r="D31" i="2" s="1"/>
  <c r="D32" i="2" s="1"/>
  <c r="D33" i="2" s="1"/>
  <c r="B25" i="2"/>
  <c r="B26" i="2" s="1"/>
  <c r="B27" i="2" s="1"/>
  <c r="B28" i="2" s="1"/>
  <c r="B29" i="2" s="1"/>
  <c r="B30" i="2" s="1"/>
  <c r="B31" i="2" s="1"/>
  <c r="B32" i="2" s="1"/>
  <c r="B33" i="2" s="1"/>
  <c r="W3" i="4" l="1"/>
  <c r="Z3" i="4" s="1"/>
  <c r="AA3" i="4" s="1"/>
  <c r="S3" i="4"/>
  <c r="Q3" i="4"/>
  <c r="O3" i="4"/>
  <c r="M3" i="4"/>
  <c r="K3" i="4"/>
  <c r="X3" i="4" s="1"/>
  <c r="H3" i="4"/>
  <c r="F3" i="4"/>
  <c r="N32" i="8"/>
  <c r="O32" i="8"/>
  <c r="P32" i="8"/>
  <c r="Q32" i="8"/>
  <c r="X32" i="8"/>
  <c r="K32" i="9"/>
  <c r="D3" i="4" l="1"/>
  <c r="J2" i="1"/>
  <c r="I3" i="3"/>
  <c r="C3" i="5"/>
  <c r="R3" i="1"/>
  <c r="O3" i="1"/>
  <c r="P3" i="1" s="1"/>
  <c r="L3" i="1"/>
  <c r="F3" i="1"/>
  <c r="I3" i="1"/>
  <c r="C3" i="1"/>
  <c r="S2" i="1"/>
  <c r="P2" i="1"/>
  <c r="M2" i="1"/>
  <c r="G2" i="1"/>
  <c r="D2" i="1"/>
  <c r="I4" i="3"/>
  <c r="S2" i="2"/>
  <c r="U3" i="2"/>
  <c r="S3" i="2"/>
  <c r="Q3" i="2"/>
  <c r="O3" i="2"/>
  <c r="M3" i="2"/>
  <c r="K3" i="2"/>
  <c r="I3" i="2"/>
  <c r="G3" i="2"/>
  <c r="E3" i="2"/>
  <c r="C3" i="2"/>
  <c r="I3" i="4"/>
  <c r="Y3" i="4" s="1"/>
  <c r="I2" i="4"/>
  <c r="G3" i="3"/>
  <c r="E3" i="3"/>
  <c r="C3" i="3"/>
  <c r="T3" i="1" l="1"/>
  <c r="U3" i="1" s="1"/>
  <c r="T2" i="1"/>
  <c r="U2" i="1" s="1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I8" i="4" s="1"/>
  <c r="F8" i="4"/>
  <c r="D8" i="4"/>
  <c r="R8" i="1"/>
  <c r="S8" i="1" s="1"/>
  <c r="O8" i="1"/>
  <c r="P8" i="1" s="1"/>
  <c r="L8" i="1"/>
  <c r="M8" i="1" s="1"/>
  <c r="I8" i="1"/>
  <c r="J8" i="1" s="1"/>
  <c r="F8" i="1"/>
  <c r="G8" i="1" s="1"/>
  <c r="C8" i="1"/>
  <c r="D8" i="1" s="1"/>
  <c r="T8" i="1" l="1"/>
  <c r="U8" i="1" s="1"/>
  <c r="Z8" i="4"/>
  <c r="X8" i="4"/>
  <c r="J8" i="3"/>
  <c r="K8" i="3" s="1"/>
  <c r="Y8" i="4" l="1"/>
  <c r="C4" i="5"/>
  <c r="U34" i="4" l="1"/>
  <c r="B34" i="4"/>
  <c r="I4" i="1" l="1"/>
  <c r="J17" i="2" l="1"/>
  <c r="J18" i="2" s="1"/>
  <c r="J19" i="2" s="1"/>
  <c r="J20" i="2" s="1"/>
  <c r="J30" i="2" s="1"/>
  <c r="J31" i="2" s="1"/>
  <c r="J32" i="2" s="1"/>
  <c r="J33" i="2" s="1"/>
  <c r="K8" i="2"/>
  <c r="C4" i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G33" i="3"/>
  <c r="I32" i="8" s="1"/>
  <c r="T34" i="4"/>
  <c r="R33" i="1"/>
  <c r="O33" i="1"/>
  <c r="U32" i="8" s="1"/>
  <c r="L33" i="1"/>
  <c r="F33" i="1"/>
  <c r="S32" i="8" s="1"/>
  <c r="S33" i="1" l="1"/>
  <c r="W32" i="8"/>
  <c r="M33" i="1"/>
  <c r="V32" i="8"/>
  <c r="R8" i="2"/>
  <c r="S8" i="2" s="1"/>
  <c r="I10" i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AB32" i="8" s="1"/>
  <c r="J25" i="11"/>
  <c r="H33" i="4"/>
  <c r="J32" i="8" s="1"/>
  <c r="J4" i="11"/>
  <c r="K4" i="11" s="1"/>
  <c r="C33" i="3"/>
  <c r="E32" i="8" s="1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R16" i="2"/>
  <c r="R17" i="2" s="1"/>
  <c r="R19" i="2" s="1"/>
  <c r="R20" i="2" s="1"/>
  <c r="R25" i="2" s="1"/>
  <c r="R31" i="2" s="1"/>
  <c r="C11" i="1"/>
  <c r="I11" i="1"/>
  <c r="I33" i="4"/>
  <c r="AA30" i="8"/>
  <c r="J33" i="3"/>
  <c r="K5" i="11"/>
  <c r="AA31" i="8"/>
  <c r="I32" i="4"/>
  <c r="P31" i="1"/>
  <c r="M31" i="1"/>
  <c r="G31" i="9"/>
  <c r="C33" i="5"/>
  <c r="G32" i="9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I31" i="1"/>
  <c r="J35" i="11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/>
  <c r="Y32" i="8"/>
  <c r="E32" i="9" s="1"/>
  <c r="T30" i="8"/>
  <c r="J31" i="1"/>
  <c r="I33" i="1"/>
  <c r="T32" i="8" s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I6" i="4" s="1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G9" i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O4" i="1"/>
  <c r="P4" i="1" s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T4" i="1" l="1"/>
  <c r="S4" i="1"/>
  <c r="G5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E13" i="8" l="1"/>
  <c r="I13" i="9"/>
  <c r="AE20" i="8"/>
  <c r="I20" i="9" s="1"/>
  <c r="AE23" i="8"/>
  <c r="I23" i="9" s="1"/>
  <c r="AE26" i="8"/>
  <c r="I26" i="9" s="1"/>
  <c r="AE21" i="8"/>
  <c r="I21" i="9" s="1"/>
  <c r="AE16" i="8"/>
  <c r="I16" i="9"/>
  <c r="AE24" i="8"/>
  <c r="I24" i="9" s="1"/>
  <c r="AE22" i="8"/>
  <c r="I22" i="9" s="1"/>
  <c r="AE14" i="8"/>
  <c r="I14" i="9"/>
  <c r="AE25" i="8"/>
  <c r="I25" i="9" s="1"/>
  <c r="AE27" i="8"/>
  <c r="I27" i="9" s="1"/>
  <c r="AE12" i="8"/>
  <c r="I12" i="9"/>
  <c r="AE29" i="8"/>
  <c r="I29" i="9" s="1"/>
  <c r="AE15" i="8"/>
  <c r="I15" i="9"/>
  <c r="AE19" i="8"/>
  <c r="I19" i="9" s="1"/>
  <c r="R34" i="1"/>
  <c r="AA8" i="4"/>
  <c r="W34" i="4"/>
  <c r="I34" i="1"/>
  <c r="Y7" i="4"/>
  <c r="F34" i="1"/>
  <c r="G34" i="3"/>
  <c r="O34" i="1"/>
  <c r="M34" i="4"/>
  <c r="Y3" i="8"/>
  <c r="E3" i="9" s="1"/>
  <c r="Q34" i="4"/>
  <c r="E3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AE17" i="8" l="1"/>
  <c r="I17" i="9" s="1"/>
  <c r="AE18" i="8"/>
  <c r="I18" i="9" s="1"/>
  <c r="M34" i="1"/>
  <c r="G34" i="2"/>
  <c r="Z34" i="4"/>
  <c r="C30" i="1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D30" i="1"/>
  <c r="AA34" i="4"/>
  <c r="T30" i="1"/>
  <c r="U30" i="1" s="1"/>
  <c r="C31" i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C33" i="1"/>
  <c r="R32" i="8" s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J26" i="11"/>
  <c r="K26" i="11" s="1"/>
  <c r="C7" i="11" l="1"/>
  <c r="D7" i="11" s="1"/>
  <c r="C5" i="11"/>
  <c r="D5" i="11" s="1"/>
  <c r="C6" i="11"/>
  <c r="D6" i="11" s="1"/>
  <c r="I34" i="3"/>
  <c r="H3" i="8"/>
  <c r="AD3" i="8" s="1"/>
  <c r="J4" i="3"/>
  <c r="J34" i="3" s="1"/>
  <c r="AE3" i="8" l="1"/>
  <c r="K4" i="3"/>
  <c r="K34" i="3" s="1"/>
</calcChain>
</file>

<file path=xl/sharedStrings.xml><?xml version="1.0" encoding="utf-8"?>
<sst xmlns="http://schemas.openxmlformats.org/spreadsheetml/2006/main" count="444" uniqueCount="143">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</sst>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B22" sqref="B22:K2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5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46519.885351999998</v>
      </c>
      <c r="F2" s="166">
        <v>1.27</v>
      </c>
      <c r="G2" s="47">
        <f>Gas!C3*0.9147</f>
        <v>1407.7232999999999</v>
      </c>
      <c r="H2" s="167">
        <v>3.65</v>
      </c>
      <c r="I2" s="168">
        <f>Submetering!H2+Submetering!AD2+Submetering!AE2</f>
        <v>326</v>
      </c>
      <c r="J2" s="169">
        <v>10.029999999999999</v>
      </c>
      <c r="K2" s="47">
        <f>ELECT.!B3</f>
        <v>78</v>
      </c>
    </row>
    <row r="3" spans="1:14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45073.242528000002</v>
      </c>
      <c r="F3" s="166">
        <v>1.27</v>
      </c>
      <c r="G3" s="47">
        <f>Gas!C4*0.9147</f>
        <v>1737.9299999999998</v>
      </c>
      <c r="H3" s="167">
        <v>3.65</v>
      </c>
      <c r="I3" s="169">
        <f>Submetering!H3+Submetering!AD3+Submetering!AE3</f>
        <v>496</v>
      </c>
      <c r="J3" s="169">
        <v>10.029999999999999</v>
      </c>
      <c r="K3" s="47">
        <f>ELECT.!B4</f>
        <v>79</v>
      </c>
    </row>
    <row r="4" spans="1:14" x14ac:dyDescent="0.2">
      <c r="A4" s="58" t="s">
        <v>53</v>
      </c>
      <c r="B4" s="63">
        <f t="shared" ref="B4:B32" si="0">B3+1</f>
        <v>3</v>
      </c>
      <c r="C4" s="63">
        <v>5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48301.209160000006</v>
      </c>
      <c r="F4" s="166">
        <v>1.27</v>
      </c>
      <c r="G4" s="47">
        <f>Gas!C5*0.9147</f>
        <v>1943.7375</v>
      </c>
      <c r="H4" s="167">
        <v>3.65</v>
      </c>
      <c r="I4" s="169">
        <f>Submetering!H4+Submetering!AD4+Submetering!AE4</f>
        <v>506</v>
      </c>
      <c r="J4" s="169">
        <v>10.029999999999999</v>
      </c>
      <c r="K4" s="47">
        <f>ELECT.!B5</f>
        <v>92</v>
      </c>
    </row>
    <row r="5" spans="1:14" x14ac:dyDescent="0.2">
      <c r="A5" s="58" t="s">
        <v>53</v>
      </c>
      <c r="B5" s="63">
        <f t="shared" si="0"/>
        <v>4</v>
      </c>
      <c r="C5" s="63">
        <v>5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66452.334008000005</v>
      </c>
      <c r="F5" s="166">
        <v>1.27</v>
      </c>
      <c r="G5" s="47">
        <f>Gas!C6*0.9147</f>
        <v>1794.6414</v>
      </c>
      <c r="H5" s="167">
        <v>3.65</v>
      </c>
      <c r="I5" s="169">
        <f>Submetering!H5+Submetering!AD5+Submetering!AE5</f>
        <v>556</v>
      </c>
      <c r="J5" s="169">
        <v>10.029999999999999</v>
      </c>
      <c r="K5" s="47">
        <f>ELECT.!B6</f>
        <v>68</v>
      </c>
    </row>
    <row r="6" spans="1:14" x14ac:dyDescent="0.2">
      <c r="A6" s="58" t="s">
        <v>53</v>
      </c>
      <c r="B6" s="63">
        <f t="shared" si="0"/>
        <v>5</v>
      </c>
      <c r="C6" s="63">
        <v>5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53853.099027999997</v>
      </c>
      <c r="F6" s="166">
        <v>1.27</v>
      </c>
      <c r="G6" s="47">
        <f>Gas!C7*0.9147</f>
        <v>1842.2058</v>
      </c>
      <c r="H6" s="167">
        <v>3.65</v>
      </c>
      <c r="I6" s="169">
        <f>Submetering!H6+Submetering!AD6+Submetering!AE6</f>
        <v>686</v>
      </c>
      <c r="J6" s="169">
        <v>10.029999999999999</v>
      </c>
      <c r="K6" s="47">
        <f>ELECT.!B7</f>
        <v>93</v>
      </c>
    </row>
    <row r="7" spans="1:14" x14ac:dyDescent="0.2">
      <c r="A7" s="58" t="s">
        <v>53</v>
      </c>
      <c r="B7" s="63">
        <f t="shared" si="0"/>
        <v>6</v>
      </c>
      <c r="C7" s="63">
        <v>5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67567.258559999987</v>
      </c>
      <c r="F7" s="166">
        <v>1.27</v>
      </c>
      <c r="G7" s="47">
        <f>Gas!C8*0.9147</f>
        <v>1943.7375</v>
      </c>
      <c r="H7" s="167">
        <v>3.65</v>
      </c>
      <c r="I7" s="169">
        <f>Submetering!H7+Submetering!AD7+Submetering!AE7</f>
        <v>456</v>
      </c>
      <c r="J7" s="169">
        <v>10.029999999999999</v>
      </c>
      <c r="K7" s="47">
        <f>ELECT.!B8</f>
        <v>65</v>
      </c>
    </row>
    <row r="8" spans="1:14" x14ac:dyDescent="0.2">
      <c r="A8" s="58" t="s">
        <v>53</v>
      </c>
      <c r="B8" s="63">
        <f t="shared" si="0"/>
        <v>7</v>
      </c>
      <c r="C8" s="63">
        <v>5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48348.876255999996</v>
      </c>
      <c r="F8" s="166">
        <v>1.27</v>
      </c>
      <c r="G8" s="47">
        <f>Gas!C9*0.9147</f>
        <v>1806.5325</v>
      </c>
      <c r="H8" s="167">
        <v>3.65</v>
      </c>
      <c r="I8" s="169">
        <f>Submetering!H8+Submetering!AD8+Submetering!AE8</f>
        <v>456.00000000000006</v>
      </c>
      <c r="J8" s="169">
        <v>10.029999999999999</v>
      </c>
      <c r="K8" s="47">
        <f>ELECT.!B9</f>
        <v>71</v>
      </c>
    </row>
    <row r="9" spans="1:14" x14ac:dyDescent="0.2">
      <c r="A9" s="58" t="s">
        <v>53</v>
      </c>
      <c r="B9" s="63">
        <f t="shared" si="0"/>
        <v>8</v>
      </c>
      <c r="C9" s="63">
        <v>5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65945.189711999992</v>
      </c>
      <c r="F9" s="166">
        <v>1.27</v>
      </c>
      <c r="G9" s="47">
        <f>Gas!C10*0.9147</f>
        <v>957.69089999999994</v>
      </c>
      <c r="H9" s="167">
        <v>3.65</v>
      </c>
      <c r="I9" s="169">
        <f>Submetering!H9+Submetering!AD9+Submetering!AE9</f>
        <v>416</v>
      </c>
      <c r="J9" s="169">
        <v>10.029999999999999</v>
      </c>
      <c r="K9" s="47">
        <f>ELECT.!B10</f>
        <v>72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5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60596.905976000002</v>
      </c>
      <c r="F10" s="166">
        <v>1.27</v>
      </c>
      <c r="G10" s="47">
        <f>Gas!C11*0.9147</f>
        <v>923.84699999999998</v>
      </c>
      <c r="H10" s="167">
        <v>3.65</v>
      </c>
      <c r="I10" s="169">
        <f>Submetering!H10+Submetering!AD10+Submetering!AE10</f>
        <v>416</v>
      </c>
      <c r="J10" s="169">
        <v>10.029999999999999</v>
      </c>
      <c r="K10" s="47">
        <f>ELECT.!B11</f>
        <v>85</v>
      </c>
    </row>
    <row r="11" spans="1:14" x14ac:dyDescent="0.2">
      <c r="A11" s="58" t="s">
        <v>53</v>
      </c>
      <c r="B11" s="63">
        <f t="shared" si="0"/>
        <v>10</v>
      </c>
      <c r="C11" s="63">
        <v>5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55434.119176000007</v>
      </c>
      <c r="F11" s="166">
        <v>1.27</v>
      </c>
      <c r="G11" s="47">
        <f>Gas!C12*0.9147</f>
        <v>2097.4070999999999</v>
      </c>
      <c r="H11" s="167">
        <v>3.65</v>
      </c>
      <c r="I11" s="169">
        <f>Submetering!H11+Submetering!AD11+Submetering!AE11</f>
        <v>486.00000000000011</v>
      </c>
      <c r="J11" s="169">
        <v>10.029999999999999</v>
      </c>
      <c r="K11" s="47">
        <f>ELECT.!B12</f>
        <v>80</v>
      </c>
    </row>
    <row r="12" spans="1:14" x14ac:dyDescent="0.2">
      <c r="A12" s="58" t="s">
        <v>53</v>
      </c>
      <c r="B12" s="63">
        <f t="shared" si="0"/>
        <v>11</v>
      </c>
      <c r="C12" s="63">
        <v>5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58152.603264000005</v>
      </c>
      <c r="F12" s="166">
        <v>1.27</v>
      </c>
      <c r="G12" s="47">
        <f>Gas!C13*0.9147</f>
        <v>1965.6903</v>
      </c>
      <c r="H12" s="167">
        <v>3.65</v>
      </c>
      <c r="I12" s="169">
        <f>Submetering!H12+Submetering!AD12+Submetering!AE12</f>
        <v>415.99999999999994</v>
      </c>
      <c r="J12" s="169">
        <v>10.029999999999999</v>
      </c>
      <c r="K12" s="47">
        <f>ELECT.!B13</f>
        <v>81</v>
      </c>
    </row>
    <row r="13" spans="1:14" x14ac:dyDescent="0.2">
      <c r="A13" s="58" t="s">
        <v>53</v>
      </c>
      <c r="B13" s="63">
        <f t="shared" si="0"/>
        <v>12</v>
      </c>
      <c r="C13" s="63">
        <v>5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68352.744955999995</v>
      </c>
      <c r="F13" s="166">
        <v>1.27</v>
      </c>
      <c r="G13" s="47">
        <f>Gas!C14*0.9147</f>
        <v>1005.2552999999999</v>
      </c>
      <c r="H13" s="167">
        <v>3.65</v>
      </c>
      <c r="I13" s="169">
        <f>Submetering!H13+Submetering!AD13+Submetering!AE13</f>
        <v>415.99999999999994</v>
      </c>
      <c r="J13" s="169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5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60880.376655999993</v>
      </c>
      <c r="F14" s="166">
        <v>1.27</v>
      </c>
      <c r="G14" s="47">
        <f>Gas!C15*0.9147</f>
        <v>1573.2839999999999</v>
      </c>
      <c r="H14" s="167">
        <v>3.65</v>
      </c>
      <c r="I14" s="169">
        <f>Submetering!H14+Submetering!AD14+Submetering!AE14</f>
        <v>416</v>
      </c>
      <c r="J14" s="169">
        <v>10.029999999999999</v>
      </c>
      <c r="K14" s="47">
        <f>ELECT.!B15</f>
        <v>98</v>
      </c>
    </row>
    <row r="15" spans="1:14" x14ac:dyDescent="0.2">
      <c r="A15" s="58" t="s">
        <v>53</v>
      </c>
      <c r="B15" s="63">
        <f t="shared" si="0"/>
        <v>14</v>
      </c>
      <c r="C15" s="63">
        <v>5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53402.820268000003</v>
      </c>
      <c r="F15" s="166">
        <v>1.27</v>
      </c>
      <c r="G15" s="47">
        <f>Gas!C16*0.9147</f>
        <v>1660.1804999999999</v>
      </c>
      <c r="H15" s="167">
        <v>3.65</v>
      </c>
      <c r="I15" s="169">
        <f>Submetering!H15+Submetering!AD15+Submetering!AE15</f>
        <v>416.00000000000006</v>
      </c>
      <c r="J15" s="169">
        <v>10.029999999999999</v>
      </c>
      <c r="K15" s="47">
        <f>ELECT.!B16</f>
        <v>123</v>
      </c>
    </row>
    <row r="16" spans="1:14" x14ac:dyDescent="0.2">
      <c r="A16" s="58" t="s">
        <v>53</v>
      </c>
      <c r="B16" s="63">
        <f t="shared" si="0"/>
        <v>15</v>
      </c>
      <c r="C16" s="63">
        <v>5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57107.169275999993</v>
      </c>
      <c r="F16" s="166">
        <v>1.27</v>
      </c>
      <c r="G16" s="47">
        <f>Gas!C17*0.9147</f>
        <v>1799.2148999999999</v>
      </c>
      <c r="H16" s="167">
        <v>3.65</v>
      </c>
      <c r="I16" s="169">
        <f>Submetering!H16+Submetering!AD16+Submetering!AE16</f>
        <v>416</v>
      </c>
      <c r="J16" s="169">
        <v>10.029999999999999</v>
      </c>
      <c r="K16" s="47">
        <f>ELECT.!B17</f>
        <v>104</v>
      </c>
    </row>
    <row r="17" spans="1:13" x14ac:dyDescent="0.2">
      <c r="A17" s="58" t="s">
        <v>53</v>
      </c>
      <c r="B17" s="63">
        <f t="shared" si="0"/>
        <v>16</v>
      </c>
      <c r="C17" s="63">
        <v>5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65016.871815999999</v>
      </c>
      <c r="F17" s="166">
        <v>1.27</v>
      </c>
      <c r="G17" s="47">
        <f>Gas!C18*0.9147</f>
        <v>1559.5635</v>
      </c>
      <c r="H17" s="167">
        <v>3.65</v>
      </c>
      <c r="I17" s="169">
        <f>Submetering!H17+Submetering!AD17+Submetering!AE17</f>
        <v>336.00000000000006</v>
      </c>
      <c r="J17" s="169">
        <v>10.029999999999999</v>
      </c>
      <c r="K17" s="47">
        <f>ELECT.!B18</f>
        <v>75</v>
      </c>
    </row>
    <row r="18" spans="1:13" x14ac:dyDescent="0.2">
      <c r="A18" s="58" t="s">
        <v>53</v>
      </c>
      <c r="B18" s="63">
        <f t="shared" si="0"/>
        <v>17</v>
      </c>
      <c r="C18" s="63">
        <v>5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59341.548639999994</v>
      </c>
      <c r="F18" s="166">
        <v>1.27</v>
      </c>
      <c r="G18" s="47">
        <f>Gas!C19*0.9147</f>
        <v>1759.8827999999999</v>
      </c>
      <c r="H18" s="167">
        <v>3.65</v>
      </c>
      <c r="I18" s="169">
        <f>Submetering!H18+Submetering!AD18+Submetering!AE18</f>
        <v>1056</v>
      </c>
      <c r="J18" s="169">
        <v>10.029999999999999</v>
      </c>
      <c r="K18" s="47">
        <f>ELECT.!B19</f>
        <v>132</v>
      </c>
    </row>
    <row r="19" spans="1:13" x14ac:dyDescent="0.2">
      <c r="A19" s="58" t="s">
        <v>53</v>
      </c>
      <c r="B19" s="63">
        <f t="shared" si="0"/>
        <v>18</v>
      </c>
      <c r="C19" s="63">
        <v>5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59321.474931999997</v>
      </c>
      <c r="F19" s="166">
        <v>1.27</v>
      </c>
      <c r="G19" s="47">
        <f>Gas!C20*0.9147</f>
        <v>1690.3655999999999</v>
      </c>
      <c r="H19" s="167">
        <v>3.65</v>
      </c>
      <c r="I19" s="169">
        <f>Submetering!H19+Submetering!AD19+Submetering!AE19</f>
        <v>636</v>
      </c>
      <c r="J19" s="169">
        <v>10.029999999999999</v>
      </c>
      <c r="K19" s="47">
        <f>ELECT.!B20</f>
        <v>151</v>
      </c>
    </row>
    <row r="20" spans="1:13" x14ac:dyDescent="0.2">
      <c r="A20" s="58" t="s">
        <v>53</v>
      </c>
      <c r="B20" s="63">
        <f t="shared" si="0"/>
        <v>19</v>
      </c>
      <c r="C20" s="63">
        <v>5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47910.391691999997</v>
      </c>
      <c r="F20" s="166">
        <v>1.27</v>
      </c>
      <c r="G20" s="47">
        <f>Gas!C21*0.9147</f>
        <v>1737.0153</v>
      </c>
      <c r="H20" s="167">
        <v>3.65</v>
      </c>
      <c r="I20" s="169">
        <f>Submetering!H20+Submetering!AD20+Submetering!AE20</f>
        <v>1006</v>
      </c>
      <c r="J20" s="169">
        <v>10.029999999999999</v>
      </c>
      <c r="K20" s="47">
        <f>ELECT.!B21</f>
        <v>164</v>
      </c>
    </row>
    <row r="21" spans="1:13" x14ac:dyDescent="0.2">
      <c r="A21" s="58" t="s">
        <v>53</v>
      </c>
      <c r="B21" s="63">
        <f t="shared" si="0"/>
        <v>20</v>
      </c>
      <c r="C21" s="63">
        <v>5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174939.37726400001</v>
      </c>
      <c r="F21" s="166">
        <v>1.27</v>
      </c>
      <c r="G21" s="47">
        <f>Gas!C22*0.9147</f>
        <v>1917.2112</v>
      </c>
      <c r="H21" s="167">
        <v>3.65</v>
      </c>
      <c r="I21" s="169">
        <f>Submetering!H21+Submetering!AD21+Submetering!AE21</f>
        <v>276</v>
      </c>
      <c r="J21" s="169">
        <v>10.029999999999999</v>
      </c>
      <c r="K21" s="47">
        <f>ELECT.!B22</f>
        <v>142</v>
      </c>
    </row>
    <row r="22" spans="1:13" x14ac:dyDescent="0.2">
      <c r="A22" s="58" t="s">
        <v>53</v>
      </c>
      <c r="B22" s="63">
        <f t="shared" si="0"/>
        <v>21</v>
      </c>
      <c r="C22" s="63">
        <v>5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60577.730747999994</v>
      </c>
      <c r="F22" s="166">
        <v>1.27</v>
      </c>
      <c r="G22" s="47">
        <f>Gas!C23*0.9147</f>
        <v>1600.7249999999999</v>
      </c>
      <c r="H22" s="167">
        <v>3.65</v>
      </c>
      <c r="I22" s="169">
        <f>Submetering!H22+Submetering!AD22+Submetering!AE22</f>
        <v>556.00000000000011</v>
      </c>
      <c r="J22" s="169">
        <v>10.029999999999999</v>
      </c>
      <c r="K22" s="47">
        <f>ELECT.!B23</f>
        <v>78</v>
      </c>
    </row>
    <row r="23" spans="1:13" x14ac:dyDescent="0.2">
      <c r="A23" s="58" t="s">
        <v>53</v>
      </c>
      <c r="B23" s="63">
        <f t="shared" si="0"/>
        <v>22</v>
      </c>
      <c r="C23" s="63">
        <v>5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55828.765983999998</v>
      </c>
      <c r="F23" s="166">
        <v>1.27</v>
      </c>
      <c r="G23" s="47">
        <f>Gas!C24*0.9147</f>
        <v>1824.8264999999999</v>
      </c>
      <c r="H23" s="167">
        <v>3.65</v>
      </c>
      <c r="I23" s="169">
        <f>Submetering!H23+Submetering!AD23+Submetering!AE23</f>
        <v>1696</v>
      </c>
      <c r="J23" s="169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5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6">
        <v>1.27</v>
      </c>
      <c r="G24" s="47">
        <f>Gas!C25*0.9147</f>
        <v>0</v>
      </c>
      <c r="H24" s="167">
        <v>3.65</v>
      </c>
      <c r="I24" s="169">
        <f>Submetering!H24+Submetering!AD24+Submetering!AE24</f>
        <v>-194</v>
      </c>
      <c r="J24" s="169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5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50</v>
      </c>
      <c r="F25" s="166">
        <v>1.27</v>
      </c>
      <c r="G25" s="47">
        <f>Gas!C26*0.9147</f>
        <v>0</v>
      </c>
      <c r="H25" s="167">
        <v>3.65</v>
      </c>
      <c r="I25" s="169">
        <f>Submetering!H25+Submetering!AD25+Submetering!AE25</f>
        <v>-194</v>
      </c>
      <c r="J25" s="169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6">
        <v>1.27</v>
      </c>
      <c r="G26" s="47">
        <f>Gas!C27*0.9147</f>
        <v>0</v>
      </c>
      <c r="H26" s="167">
        <v>3.65</v>
      </c>
      <c r="I26" s="169">
        <f>Submetering!H26+Submetering!AD26+Submetering!AE26</f>
        <v>-194</v>
      </c>
      <c r="J26" s="169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5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6">
        <v>1.27</v>
      </c>
      <c r="G27" s="47">
        <f>Gas!C28*0.9147</f>
        <v>0</v>
      </c>
      <c r="H27" s="167">
        <v>3.65</v>
      </c>
      <c r="I27" s="169">
        <f>Submetering!H27+Submetering!AD27+Submetering!AE27</f>
        <v>-194</v>
      </c>
      <c r="J27" s="169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5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6">
        <v>1.27</v>
      </c>
      <c r="G28" s="47">
        <f>Gas!C29*0.9147</f>
        <v>0</v>
      </c>
      <c r="H28" s="167">
        <v>3.65</v>
      </c>
      <c r="I28" s="169">
        <f>Submetering!H28+Submetering!AD28+Submetering!AE28</f>
        <v>-194</v>
      </c>
      <c r="J28" s="169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5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6">
        <v>1.27</v>
      </c>
      <c r="G29" s="47">
        <f>Gas!C30*0.9147</f>
        <v>0</v>
      </c>
      <c r="H29" s="167">
        <v>3.65</v>
      </c>
      <c r="I29" s="169">
        <f>Submetering!H29+Submetering!AD29+Submetering!AE29</f>
        <v>-194</v>
      </c>
      <c r="J29" s="169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5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6">
        <v>1.27</v>
      </c>
      <c r="G30" s="47">
        <f>Gas!C31*0.9147</f>
        <v>0</v>
      </c>
      <c r="H30" s="167">
        <v>3.65</v>
      </c>
      <c r="I30" s="169">
        <f>Submetering!H30+Submetering!AD30+Submetering!AE30</f>
        <v>-194</v>
      </c>
      <c r="J30" s="169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5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6">
        <v>1.27</v>
      </c>
      <c r="G31" s="47">
        <f>Gas!C32*0.9147</f>
        <v>0</v>
      </c>
      <c r="H31" s="167">
        <v>3.65</v>
      </c>
      <c r="I31" s="169">
        <f>Submetering!H31+Submetering!AD31+Submetering!AE31</f>
        <v>-194</v>
      </c>
      <c r="J31" s="169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f t="shared" si="0"/>
        <v>31</v>
      </c>
      <c r="C32" s="63">
        <v>5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6">
        <v>1.27</v>
      </c>
      <c r="G32" s="47">
        <f>Gas!C33*0.9147</f>
        <v>0</v>
      </c>
      <c r="H32" s="167">
        <v>3.65</v>
      </c>
      <c r="I32" s="169">
        <f>Submetering!H32+Submetering!AD32+Submetering!AE32</f>
        <v>-194</v>
      </c>
      <c r="J32" s="169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K1" zoomScale="85" zoomScaleNormal="85" workbookViewId="0">
      <selection activeCell="B22" sqref="B22:AD2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6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7" t="s">
        <v>133</v>
      </c>
      <c r="AE1" s="147" t="s">
        <v>134</v>
      </c>
    </row>
    <row r="2" spans="1:31" x14ac:dyDescent="0.2">
      <c r="A2" s="58" t="s">
        <v>53</v>
      </c>
      <c r="B2" s="63">
        <v>1</v>
      </c>
      <c r="C2" s="63">
        <v>5</v>
      </c>
      <c r="D2" s="63">
        <v>2021</v>
      </c>
      <c r="E2" s="47">
        <f>Water!C3</f>
        <v>520</v>
      </c>
      <c r="F2" s="47">
        <f>Water!E3</f>
        <v>288.89999999999998</v>
      </c>
      <c r="G2" s="47">
        <f>Water!G3</f>
        <v>270</v>
      </c>
      <c r="H2" s="47">
        <f>Water!I3</f>
        <v>2.8079999999999998</v>
      </c>
      <c r="I2" s="47">
        <f>ELECT.!F3</f>
        <v>5933</v>
      </c>
      <c r="J2" s="47">
        <f>ELECT.!H3</f>
        <v>43187</v>
      </c>
      <c r="K2" s="47">
        <f>ELECT.!K3</f>
        <v>4797</v>
      </c>
      <c r="L2" s="47">
        <f>ELECT.!M3</f>
        <v>3630</v>
      </c>
      <c r="M2" s="47">
        <f>ELECT.!O3</f>
        <v>1986</v>
      </c>
      <c r="N2" s="47">
        <f>ELECT.!Q3</f>
        <v>10626</v>
      </c>
      <c r="O2" s="47">
        <f>ELECT.!S3</f>
        <v>7902</v>
      </c>
      <c r="P2" s="47">
        <f>ELECT.!W3*2</f>
        <v>18876</v>
      </c>
      <c r="Q2" s="47">
        <f>ELECT.!D3</f>
        <v>320</v>
      </c>
      <c r="R2" s="48">
        <f>BTU!C3</f>
        <v>7.2439999999987776</v>
      </c>
      <c r="S2" s="48">
        <f>BTU!F3</f>
        <v>0.87899999999990541</v>
      </c>
      <c r="T2" s="48">
        <f>BTU!I3</f>
        <v>8</v>
      </c>
      <c r="U2" s="48">
        <f>BTU!O3</f>
        <v>1.3610000000003311</v>
      </c>
      <c r="V2" s="48">
        <f>BTU!L3</f>
        <v>2.6000000000003638</v>
      </c>
      <c r="W2" s="48">
        <f>BTU!R3</f>
        <v>0.5</v>
      </c>
      <c r="X2" s="45">
        <f>ELECT.!B3</f>
        <v>78</v>
      </c>
      <c r="Y2" s="45">
        <f>I2+J2-(K2+L2+M2+N2+O2+P2)</f>
        <v>1303</v>
      </c>
      <c r="Z2">
        <f>'Mall, Citadel, Rotana'!C3+'Mall, Citadel, Rotana'!E3+'Mall, Citadel, Rotana'!G3+'Mall, Citadel, Rotana'!I3</f>
        <v>1355</v>
      </c>
      <c r="AA2">
        <f>'Mall, Citadel, Rotana'!K3+'Mall, Citadel, Rotana'!M3</f>
        <v>480</v>
      </c>
      <c r="AB2">
        <f>'Mall, Citadel, Rotana'!O3</f>
        <v>3</v>
      </c>
      <c r="AC2">
        <f>'Mall, Citadel, Rotana'!Q3+'Mall, Citadel, Rotana'!S3</f>
        <v>109</v>
      </c>
      <c r="AD2" s="45">
        <f>(E2-H2-194)*0.1318</f>
        <v>42.5967056</v>
      </c>
      <c r="AE2" s="45">
        <f>E2-H2-AD2-194</f>
        <v>280.5952944</v>
      </c>
    </row>
    <row r="3" spans="1:31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Water!C4</f>
        <v>690</v>
      </c>
      <c r="F3" s="47">
        <f>Water!E4</f>
        <v>394.2</v>
      </c>
      <c r="G3" s="47">
        <f>Water!G4</f>
        <v>297</v>
      </c>
      <c r="H3" s="47">
        <f>Water!I4</f>
        <v>3.5640000000000001</v>
      </c>
      <c r="I3" s="47">
        <f>ELECT.!F4</f>
        <v>5534</v>
      </c>
      <c r="J3" s="47">
        <f>ELECT.!H4</f>
        <v>41635</v>
      </c>
      <c r="K3" s="47">
        <f>ELECT.!K4</f>
        <v>4668</v>
      </c>
      <c r="L3" s="47">
        <f>ELECT.!M4</f>
        <v>3359</v>
      </c>
      <c r="M3" s="47">
        <f>ELECT.!O4</f>
        <v>2258</v>
      </c>
      <c r="N3" s="47">
        <f>ELECT.!Q4</f>
        <v>10158</v>
      </c>
      <c r="O3" s="47">
        <f>ELECT.!S4</f>
        <v>7744</v>
      </c>
      <c r="P3" s="47">
        <f>ELECT.!W4*2</f>
        <v>18048</v>
      </c>
      <c r="Q3" s="47">
        <f>ELECT.!D4</f>
        <v>480</v>
      </c>
      <c r="R3" s="48">
        <f>BTU!C4</f>
        <v>8.3549999999995634</v>
      </c>
      <c r="S3" s="48">
        <f>BTU!F4</f>
        <v>0.9590000000002874</v>
      </c>
      <c r="T3" s="48">
        <f>BTU!I4</f>
        <v>7</v>
      </c>
      <c r="U3" s="48">
        <f>BTU!O4</f>
        <v>1.4009999999998399</v>
      </c>
      <c r="V3" s="48">
        <f>BTU!L4</f>
        <v>2.819999999999709</v>
      </c>
      <c r="W3" s="48">
        <f>BTU!R4</f>
        <v>0.51999999999952706</v>
      </c>
      <c r="X3" s="45">
        <f>ELECT.!B4</f>
        <v>79</v>
      </c>
      <c r="Y3" s="45">
        <f t="shared" ref="Y3:Y31" si="0">I3+J3-(K3+L3+M3+N3+O3+P3)</f>
        <v>934</v>
      </c>
      <c r="Z3">
        <f>'Mall, Citadel, Rotana'!C4+'Mall, Citadel, Rotana'!E4+'Mall, Citadel, Rotana'!G4+'Mall, Citadel, Rotana'!I4</f>
        <v>1063</v>
      </c>
      <c r="AA3">
        <f>'Mall, Citadel, Rotana'!K4+'Mall, Citadel, Rotana'!M4</f>
        <v>320</v>
      </c>
      <c r="AB3">
        <f>'Mall, Citadel, Rotana'!O4</f>
        <v>3</v>
      </c>
      <c r="AC3">
        <f>'Mall, Citadel, Rotana'!Q4+'Mall, Citadel, Rotana'!S4</f>
        <v>108</v>
      </c>
      <c r="AD3" s="45">
        <f t="shared" ref="AD3:AD31" si="1">(E3-H3-194)*0.1318</f>
        <v>64.90306480000001</v>
      </c>
      <c r="AE3" s="45">
        <f t="shared" ref="AE3:AE31" si="2">E3-H3-AD3-194</f>
        <v>427.5329352</v>
      </c>
    </row>
    <row r="4" spans="1:31" x14ac:dyDescent="0.2">
      <c r="A4" s="58" t="s">
        <v>53</v>
      </c>
      <c r="B4" s="63">
        <f t="shared" ref="B4:B32" si="3">B3+1</f>
        <v>3</v>
      </c>
      <c r="C4" s="63">
        <v>5</v>
      </c>
      <c r="D4" s="63">
        <v>2021</v>
      </c>
      <c r="E4" s="47">
        <f>Water!C5</f>
        <v>700</v>
      </c>
      <c r="F4" s="47">
        <f>Water!E5</f>
        <v>351</v>
      </c>
      <c r="G4" s="47">
        <f>Water!G5</f>
        <v>394.2</v>
      </c>
      <c r="H4" s="47">
        <f>Water!I5</f>
        <v>3.1859999999999999</v>
      </c>
      <c r="I4" s="47">
        <f>ELECT.!F5</f>
        <v>6247</v>
      </c>
      <c r="J4" s="47">
        <f>ELECT.!H5</f>
        <v>44712</v>
      </c>
      <c r="K4" s="47">
        <f>ELECT.!K5</f>
        <v>4862</v>
      </c>
      <c r="L4" s="47">
        <f>ELECT.!M5</f>
        <v>3823</v>
      </c>
      <c r="M4" s="47">
        <f>ELECT.!O5</f>
        <v>2296</v>
      </c>
      <c r="N4" s="47">
        <f>ELECT.!Q5</f>
        <v>11595</v>
      </c>
      <c r="O4" s="47">
        <f>ELECT.!S5</f>
        <v>8162</v>
      </c>
      <c r="P4" s="47">
        <f>ELECT.!W5*2</f>
        <v>19028</v>
      </c>
      <c r="Q4" s="47">
        <f>ELECT.!D5</f>
        <v>480</v>
      </c>
      <c r="R4" s="48">
        <f>BTU!C5</f>
        <v>9.3340000000025611</v>
      </c>
      <c r="S4" s="48">
        <f>BTU!F5</f>
        <v>0.94299999999975626</v>
      </c>
      <c r="T4" s="48">
        <f>BTU!I5</f>
        <v>9</v>
      </c>
      <c r="U4" s="48">
        <f>BTU!O5</f>
        <v>0.87699999999995271</v>
      </c>
      <c r="V4" s="48">
        <f>BTU!L5</f>
        <v>2.7600000000002183</v>
      </c>
      <c r="W4" s="48">
        <f>BTU!R5</f>
        <v>4.1300000000001091</v>
      </c>
      <c r="X4" s="45">
        <f>ELECT.!B5</f>
        <v>92</v>
      </c>
      <c r="Y4" s="45">
        <f t="shared" si="0"/>
        <v>1193</v>
      </c>
      <c r="Z4">
        <f>'Mall, Citadel, Rotana'!C5+'Mall, Citadel, Rotana'!E5+'Mall, Citadel, Rotana'!G5+'Mall, Citadel, Rotana'!I5</f>
        <v>1247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96</v>
      </c>
      <c r="AD4" s="45">
        <f t="shared" si="1"/>
        <v>66.270885199999995</v>
      </c>
      <c r="AE4" s="45">
        <f t="shared" si="2"/>
        <v>436.54311480000001</v>
      </c>
    </row>
    <row r="5" spans="1:31" x14ac:dyDescent="0.2">
      <c r="A5" s="58" t="s">
        <v>53</v>
      </c>
      <c r="B5" s="63">
        <f t="shared" si="3"/>
        <v>4</v>
      </c>
      <c r="C5" s="63">
        <v>5</v>
      </c>
      <c r="D5" s="63">
        <v>2021</v>
      </c>
      <c r="E5" s="47">
        <f>Water!C6</f>
        <v>750</v>
      </c>
      <c r="F5" s="47">
        <f>Water!E6</f>
        <v>321.3</v>
      </c>
      <c r="G5" s="47">
        <f>Water!G6</f>
        <v>475.2</v>
      </c>
      <c r="H5" s="47">
        <f>Water!I6</f>
        <v>4.0229999999999997</v>
      </c>
      <c r="I5" s="47">
        <f>ELECT.!F6</f>
        <v>11275</v>
      </c>
      <c r="J5" s="47">
        <f>ELECT.!H6</f>
        <v>57947</v>
      </c>
      <c r="K5" s="47">
        <f>ELECT.!K6</f>
        <v>6781</v>
      </c>
      <c r="L5" s="47">
        <f>ELECT.!M6</f>
        <v>5120</v>
      </c>
      <c r="M5" s="47">
        <f>ELECT.!O6</f>
        <v>5992</v>
      </c>
      <c r="N5" s="47">
        <f>ELECT.!Q6</f>
        <v>14337</v>
      </c>
      <c r="O5" s="47">
        <f>ELECT.!S6</f>
        <v>10434</v>
      </c>
      <c r="P5" s="47">
        <f>ELECT.!W6*2</f>
        <v>25028</v>
      </c>
      <c r="Q5" s="47">
        <f>ELECT.!D6</f>
        <v>640</v>
      </c>
      <c r="R5" s="48">
        <f>BTU!C6</f>
        <v>9.683999999997468</v>
      </c>
      <c r="S5" s="48">
        <f>BTU!F6</f>
        <v>1.7910000000001673</v>
      </c>
      <c r="T5" s="48">
        <f>BTU!I6</f>
        <v>9</v>
      </c>
      <c r="U5" s="48">
        <f>BTU!O6</f>
        <v>1.4160000000001673</v>
      </c>
      <c r="V5" s="48">
        <f>BTU!L6</f>
        <v>2.5199999999986176</v>
      </c>
      <c r="W5" s="48">
        <f>BTU!R6</f>
        <v>1.6199999999998909</v>
      </c>
      <c r="X5" s="45">
        <f>ELECT.!B6</f>
        <v>68</v>
      </c>
      <c r="Y5" s="45">
        <f t="shared" si="0"/>
        <v>1530</v>
      </c>
      <c r="Z5">
        <f>'Mall, Citadel, Rotana'!C6+'Mall, Citadel, Rotana'!E6+'Mall, Citadel, Rotana'!G6+'Mall, Citadel, Rotana'!I6</f>
        <v>1234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106</v>
      </c>
      <c r="AD5" s="45">
        <f t="shared" si="1"/>
        <v>72.750568599999994</v>
      </c>
      <c r="AE5" s="45">
        <f t="shared" si="2"/>
        <v>479.22643140000002</v>
      </c>
    </row>
    <row r="6" spans="1:31" x14ac:dyDescent="0.2">
      <c r="A6" s="58" t="s">
        <v>53</v>
      </c>
      <c r="B6" s="63">
        <f t="shared" si="3"/>
        <v>5</v>
      </c>
      <c r="C6" s="63">
        <v>5</v>
      </c>
      <c r="D6" s="63">
        <v>2021</v>
      </c>
      <c r="E6" s="47">
        <f>Water!C7</f>
        <v>880</v>
      </c>
      <c r="F6" s="47">
        <f>Water!E7</f>
        <v>318.60000000000002</v>
      </c>
      <c r="G6" s="47">
        <f>Water!G7</f>
        <v>353.7</v>
      </c>
      <c r="H6" s="47">
        <f>Water!I7</f>
        <v>3.4830000000000001</v>
      </c>
      <c r="I6" s="47">
        <f>ELECT.!F7</f>
        <v>11918</v>
      </c>
      <c r="J6" s="47">
        <f>ELECT.!H7</f>
        <v>44756</v>
      </c>
      <c r="K6" s="47">
        <f>ELECT.!K7</f>
        <v>5530</v>
      </c>
      <c r="L6" s="47">
        <f>ELECT.!M7</f>
        <v>3535</v>
      </c>
      <c r="M6" s="47">
        <f>ELECT.!O7</f>
        <v>8216</v>
      </c>
      <c r="N6" s="47">
        <f>ELECT.!Q7</f>
        <v>10354</v>
      </c>
      <c r="O6" s="47">
        <f>ELECT.!S7</f>
        <v>8515</v>
      </c>
      <c r="P6" s="47">
        <f>ELECT.!W7*2</f>
        <v>19252</v>
      </c>
      <c r="Q6" s="47">
        <f>ELECT.!D7</f>
        <v>480</v>
      </c>
      <c r="R6" s="48">
        <f>BTU!C7</f>
        <v>10.014000000002852</v>
      </c>
      <c r="S6" s="48">
        <f>BTU!F7</f>
        <v>2.6579999999999018</v>
      </c>
      <c r="T6" s="48">
        <f>BTU!I7</f>
        <v>9</v>
      </c>
      <c r="U6" s="48">
        <f>BTU!O7</f>
        <v>1.0509999999999309</v>
      </c>
      <c r="V6" s="48">
        <f>BTU!L7</f>
        <v>2.1500000000014552</v>
      </c>
      <c r="W6" s="48">
        <f>BTU!R7</f>
        <v>2.4800000000004729</v>
      </c>
      <c r="X6" s="45">
        <f>ELECT.!B7</f>
        <v>93</v>
      </c>
      <c r="Y6" s="45">
        <f t="shared" si="0"/>
        <v>1272</v>
      </c>
      <c r="Z6">
        <f>'Mall, Citadel, Rotana'!C7+'Mall, Citadel, Rotana'!E7+'Mall, Citadel, Rotana'!G7+'Mall, Citadel, Rotana'!I7</f>
        <v>1231</v>
      </c>
      <c r="AA6">
        <f>'Mall, Citadel, Rotana'!K7+'Mall, Citadel, Rotana'!M7</f>
        <v>640</v>
      </c>
      <c r="AB6">
        <f>'Mall, Citadel, Rotana'!O7</f>
        <v>5</v>
      </c>
      <c r="AC6">
        <f>'Mall, Citadel, Rotana'!Q7+'Mall, Citadel, Rotana'!S7</f>
        <v>110</v>
      </c>
      <c r="AD6" s="45">
        <f t="shared" si="1"/>
        <v>89.955740600000013</v>
      </c>
      <c r="AE6" s="45">
        <f t="shared" si="2"/>
        <v>592.56125940000004</v>
      </c>
    </row>
    <row r="7" spans="1:31" x14ac:dyDescent="0.2">
      <c r="A7" s="58" t="s">
        <v>53</v>
      </c>
      <c r="B7" s="63">
        <f t="shared" si="3"/>
        <v>6</v>
      </c>
      <c r="C7" s="63">
        <v>5</v>
      </c>
      <c r="D7" s="63">
        <v>2021</v>
      </c>
      <c r="E7" s="47">
        <f>Water!C8</f>
        <v>650</v>
      </c>
      <c r="F7" s="47">
        <f>Water!E8</f>
        <v>264.60000000000002</v>
      </c>
      <c r="G7" s="47">
        <f>Water!G8</f>
        <v>334.8</v>
      </c>
      <c r="H7" s="47">
        <f>Water!I8</f>
        <v>3.456</v>
      </c>
      <c r="I7" s="47">
        <f>ELECT.!F8</f>
        <v>15069</v>
      </c>
      <c r="J7" s="47">
        <f>ELECT.!H8</f>
        <v>55195</v>
      </c>
      <c r="K7" s="47">
        <f>ELECT.!K8</f>
        <v>6541</v>
      </c>
      <c r="L7" s="47">
        <f>ELECT.!M8</f>
        <v>4739</v>
      </c>
      <c r="M7" s="47">
        <f>ELECT.!O8</f>
        <v>10104</v>
      </c>
      <c r="N7" s="47">
        <f>ELECT.!Q8</f>
        <v>6193</v>
      </c>
      <c r="O7" s="47">
        <f>ELECT.!S8</f>
        <v>10940</v>
      </c>
      <c r="P7" s="47">
        <f>ELECT.!W8*2</f>
        <v>24100</v>
      </c>
      <c r="Q7" s="47">
        <f>ELECT.!D8</f>
        <v>320</v>
      </c>
      <c r="R7" s="48">
        <f>BTU!C8</f>
        <v>10.733000000000175</v>
      </c>
      <c r="S7" s="48">
        <f>BTU!F8</f>
        <v>2.3429999999998472</v>
      </c>
      <c r="T7" s="48">
        <f>BTU!I8</f>
        <v>9</v>
      </c>
      <c r="U7" s="48">
        <f>BTU!O8</f>
        <v>1.0459999999998217</v>
      </c>
      <c r="V7" s="48">
        <f>BTU!L8</f>
        <v>2.1599999999998545</v>
      </c>
      <c r="W7" s="48">
        <f>BTU!R8</f>
        <v>1.569999999999709</v>
      </c>
      <c r="X7" s="45">
        <f>ELECT.!B8</f>
        <v>65</v>
      </c>
      <c r="Y7" s="45">
        <f t="shared" si="0"/>
        <v>7647</v>
      </c>
      <c r="Z7">
        <f>'Mall, Citadel, Rotana'!C8+'Mall, Citadel, Rotana'!E8+'Mall, Citadel, Rotana'!G8+'Mall, Citadel, Rotana'!I8</f>
        <v>1058</v>
      </c>
      <c r="AA7">
        <f>'Mall, Citadel, Rotana'!K8+'Mall, Citadel, Rotana'!M8</f>
        <v>480</v>
      </c>
      <c r="AB7">
        <f>'Mall, Citadel, Rotana'!O8</f>
        <v>1</v>
      </c>
      <c r="AC7">
        <f>'Mall, Citadel, Rotana'!Q8+'Mall, Citadel, Rotana'!S8</f>
        <v>98</v>
      </c>
      <c r="AD7" s="45">
        <f t="shared" si="1"/>
        <v>59.645299199999997</v>
      </c>
      <c r="AE7" s="45">
        <f t="shared" si="2"/>
        <v>392.89870080000003</v>
      </c>
    </row>
    <row r="8" spans="1:31" x14ac:dyDescent="0.2">
      <c r="A8" s="58" t="s">
        <v>53</v>
      </c>
      <c r="B8" s="63">
        <f t="shared" si="3"/>
        <v>7</v>
      </c>
      <c r="C8" s="63">
        <v>5</v>
      </c>
      <c r="D8" s="63">
        <v>2021</v>
      </c>
      <c r="E8" s="47">
        <f>Water!C9</f>
        <v>650</v>
      </c>
      <c r="F8" s="47">
        <f>Water!E9</f>
        <v>275.39999999999998</v>
      </c>
      <c r="G8" s="47">
        <f>Water!G9</f>
        <v>337.5</v>
      </c>
      <c r="H8" s="47">
        <f>Water!I9</f>
        <v>4.077</v>
      </c>
      <c r="I8" s="47">
        <f>ELECT.!F9</f>
        <v>10835</v>
      </c>
      <c r="J8" s="47">
        <f>ELECT.!H9</f>
        <v>40128</v>
      </c>
      <c r="K8" s="47" t="str">
        <f>ELECT.!K9</f>
        <v>0</v>
      </c>
      <c r="L8" s="47" t="str">
        <f>ELECT.!M9</f>
        <v>0</v>
      </c>
      <c r="M8" s="47">
        <f>ELECT.!O9</f>
        <v>7452</v>
      </c>
      <c r="N8" s="47">
        <f>ELECT.!Q9</f>
        <v>14757</v>
      </c>
      <c r="O8" s="47">
        <f>ELECT.!S9</f>
        <v>8000</v>
      </c>
      <c r="P8" s="47">
        <f>ELECT.!W9*2</f>
        <v>18084</v>
      </c>
      <c r="Q8" s="47">
        <f>ELECT.!D9</f>
        <v>480</v>
      </c>
      <c r="R8" s="48">
        <f>BTU!C9</f>
        <v>12.182999999997264</v>
      </c>
      <c r="S8" s="48">
        <f>BTU!F9</f>
        <v>1.7570000000000618</v>
      </c>
      <c r="T8" s="48">
        <f>BTU!I9</f>
        <v>9</v>
      </c>
      <c r="U8" s="48">
        <f>BTU!O9</f>
        <v>1.2119999999999891</v>
      </c>
      <c r="V8" s="48">
        <f>BTU!L9</f>
        <v>1.3500000000003638</v>
      </c>
      <c r="W8" s="48">
        <f>BTU!R9</f>
        <v>3.3400000000001455</v>
      </c>
      <c r="X8" s="45">
        <f>ELECT.!B9</f>
        <v>71</v>
      </c>
      <c r="Y8" s="45">
        <f t="shared" si="0"/>
        <v>2670</v>
      </c>
      <c r="Z8">
        <f>'Mall, Citadel, Rotana'!C9+'Mall, Citadel, Rotana'!E9+'Mall, Citadel, Rotana'!G9+'Mall, Citadel, Rotana'!I9</f>
        <v>1232</v>
      </c>
      <c r="AA8">
        <f>'Mall, Citadel, Rotana'!K9+'Mall, Citadel, Rotana'!M9</f>
        <v>0</v>
      </c>
      <c r="AB8">
        <f>'Mall, Citadel, Rotana'!O9</f>
        <v>3</v>
      </c>
      <c r="AC8">
        <f>'Mall, Citadel, Rotana'!Q9+'Mall, Citadel, Rotana'!S9</f>
        <v>392</v>
      </c>
      <c r="AD8" s="45">
        <f t="shared" si="1"/>
        <v>59.563451399999998</v>
      </c>
      <c r="AE8" s="45">
        <f t="shared" si="2"/>
        <v>392.35954860000004</v>
      </c>
    </row>
    <row r="9" spans="1:31" x14ac:dyDescent="0.2">
      <c r="A9" s="58" t="s">
        <v>53</v>
      </c>
      <c r="B9" s="63">
        <f t="shared" si="3"/>
        <v>8</v>
      </c>
      <c r="C9" s="63">
        <v>5</v>
      </c>
      <c r="D9" s="63">
        <v>2021</v>
      </c>
      <c r="E9" s="47">
        <f>Water!C10</f>
        <v>610</v>
      </c>
      <c r="F9" s="47">
        <f>Water!E10</f>
        <v>275.39999999999998</v>
      </c>
      <c r="G9" s="47">
        <f>Water!G10</f>
        <v>394.2</v>
      </c>
      <c r="H9" s="47">
        <f>Water!I10</f>
        <v>3.9420000000000002</v>
      </c>
      <c r="I9" s="47">
        <f>ELECT.!F10</f>
        <v>13433</v>
      </c>
      <c r="J9" s="47">
        <f>ELECT.!H10</f>
        <v>52431</v>
      </c>
      <c r="K9" s="47">
        <f>ELECT.!K10</f>
        <v>55992</v>
      </c>
      <c r="L9" s="47">
        <f>ELECT.!M10</f>
        <v>53582</v>
      </c>
      <c r="M9" s="47">
        <f>ELECT.!O10</f>
        <v>9680</v>
      </c>
      <c r="N9" s="47">
        <f>ELECT.!Q10</f>
        <v>11482</v>
      </c>
      <c r="O9" s="47">
        <f>ELECT.!S10</f>
        <v>10346</v>
      </c>
      <c r="P9" s="47">
        <f>ELECT.!W10*2</f>
        <v>23322</v>
      </c>
      <c r="Q9" s="47">
        <f>ELECT.!D10</f>
        <v>480</v>
      </c>
      <c r="R9" s="48">
        <f>BTU!C10</f>
        <v>10.615000000001601</v>
      </c>
      <c r="S9" s="48">
        <f>BTU!F10</f>
        <v>1.7359999999998763</v>
      </c>
      <c r="T9" s="48">
        <f>BTU!I10</f>
        <v>9</v>
      </c>
      <c r="U9" s="48">
        <f>BTU!O10</f>
        <v>1.3200000000001637</v>
      </c>
      <c r="V9" s="48">
        <f>BTU!L10</f>
        <v>0</v>
      </c>
      <c r="W9" s="48">
        <f>BTU!R10</f>
        <v>0.93999999999959982</v>
      </c>
      <c r="X9" s="45">
        <f>ELECT.!B10</f>
        <v>72</v>
      </c>
      <c r="Y9" s="45">
        <f t="shared" si="0"/>
        <v>-98540</v>
      </c>
      <c r="Z9">
        <f>'Mall, Citadel, Rotana'!C10+'Mall, Citadel, Rotana'!E10+'Mall, Citadel, Rotana'!G10+'Mall, Citadel, Rotana'!I10</f>
        <v>1224</v>
      </c>
      <c r="AA9">
        <f>'Mall, Citadel, Rotana'!K10+'Mall, Citadel, Rotana'!M10</f>
        <v>960</v>
      </c>
      <c r="AB9">
        <f>'Mall, Citadel, Rotana'!O10</f>
        <v>4</v>
      </c>
      <c r="AC9">
        <f>'Mall, Citadel, Rotana'!Q10+'Mall, Citadel, Rotana'!S10</f>
        <v>71</v>
      </c>
      <c r="AD9" s="45">
        <f t="shared" si="1"/>
        <v>54.309244399999997</v>
      </c>
      <c r="AE9" s="45">
        <f t="shared" si="2"/>
        <v>357.74875559999998</v>
      </c>
    </row>
    <row r="10" spans="1:31" x14ac:dyDescent="0.2">
      <c r="A10" s="58" t="s">
        <v>53</v>
      </c>
      <c r="B10" s="63">
        <f t="shared" si="3"/>
        <v>9</v>
      </c>
      <c r="C10" s="63">
        <v>5</v>
      </c>
      <c r="D10" s="63">
        <v>2021</v>
      </c>
      <c r="E10" s="47">
        <f>Water!C11</f>
        <v>610</v>
      </c>
      <c r="F10" s="47">
        <f>Water!E11</f>
        <v>234.9</v>
      </c>
      <c r="G10" s="47">
        <f>Water!G11</f>
        <v>305.10000000000002</v>
      </c>
      <c r="H10" s="47">
        <f>Water!I11</f>
        <v>3.5640000000000001</v>
      </c>
      <c r="I10" s="47">
        <f>ELECT.!F11</f>
        <v>14110</v>
      </c>
      <c r="J10" s="47">
        <f>ELECT.!H11</f>
        <v>49247</v>
      </c>
      <c r="K10" s="47">
        <f>ELECT.!K11</f>
        <v>5817</v>
      </c>
      <c r="L10" s="47">
        <f>ELECT.!M11</f>
        <v>4630</v>
      </c>
      <c r="M10" s="47">
        <f>ELECT.!O11</f>
        <v>9292</v>
      </c>
      <c r="N10" s="47">
        <f>ELECT.!Q11</f>
        <v>11694</v>
      </c>
      <c r="O10" s="47">
        <f>ELECT.!S11</f>
        <v>10812</v>
      </c>
      <c r="P10" s="47">
        <f>ELECT.!W11*2</f>
        <v>20702</v>
      </c>
      <c r="Q10" s="47">
        <f>ELECT.!D11</f>
        <v>640</v>
      </c>
      <c r="R10" s="48">
        <f>BTU!C11</f>
        <v>16.434000000001106</v>
      </c>
      <c r="S10" s="48">
        <f>BTU!F11</f>
        <v>2.9600000000000364</v>
      </c>
      <c r="T10" s="48">
        <f>BTU!I11</f>
        <v>13</v>
      </c>
      <c r="U10" s="48">
        <f>BTU!O11</f>
        <v>2.0019999999999527</v>
      </c>
      <c r="V10" s="48">
        <f>BTU!L11</f>
        <v>2.2599999999983993</v>
      </c>
      <c r="W10" s="48">
        <f>BTU!R11</f>
        <v>0.89000000000032742</v>
      </c>
      <c r="X10" s="45">
        <f>ELECT.!B11</f>
        <v>85</v>
      </c>
      <c r="Y10" s="45">
        <f t="shared" si="0"/>
        <v>410</v>
      </c>
      <c r="Z10">
        <f>'Mall, Citadel, Rotana'!C11+'Mall, Citadel, Rotana'!E11+'Mall, Citadel, Rotana'!G11+'Mall, Citadel, Rotana'!I11</f>
        <v>1223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158</v>
      </c>
      <c r="AD10" s="45">
        <f t="shared" si="1"/>
        <v>54.359064800000006</v>
      </c>
      <c r="AE10" s="45">
        <f t="shared" si="2"/>
        <v>358.07693519999998</v>
      </c>
    </row>
    <row r="11" spans="1:31" x14ac:dyDescent="0.2">
      <c r="A11" s="58" t="s">
        <v>53</v>
      </c>
      <c r="B11" s="63">
        <f t="shared" si="3"/>
        <v>10</v>
      </c>
      <c r="C11" s="63">
        <v>5</v>
      </c>
      <c r="D11" s="63">
        <v>2021</v>
      </c>
      <c r="E11" s="47">
        <f>Water!C12</f>
        <v>680</v>
      </c>
      <c r="F11" s="47">
        <f>Water!E12</f>
        <v>345.6</v>
      </c>
      <c r="G11" s="47">
        <f>Water!G12</f>
        <v>388.8</v>
      </c>
      <c r="H11" s="47">
        <f>Water!I12</f>
        <v>3.8340000000000001</v>
      </c>
      <c r="I11" s="47">
        <f>ELECT.!F12</f>
        <v>13321</v>
      </c>
      <c r="J11" s="47">
        <f>ELECT.!H12</f>
        <v>45004</v>
      </c>
      <c r="K11" s="47">
        <f>ELECT.!K12</f>
        <v>5408</v>
      </c>
      <c r="L11" s="47">
        <f>ELECT.!M12</f>
        <v>4494</v>
      </c>
      <c r="M11" s="47">
        <f>ELECT.!O12</f>
        <v>8654</v>
      </c>
      <c r="N11" s="47">
        <f>ELECT.!Q12</f>
        <v>10692</v>
      </c>
      <c r="O11" s="47">
        <f>ELECT.!S12</f>
        <v>8138</v>
      </c>
      <c r="P11" s="47">
        <f>ELECT.!W12*2</f>
        <v>18576</v>
      </c>
      <c r="Q11" s="47">
        <f>ELECT.!D12</f>
        <v>800</v>
      </c>
      <c r="R11" s="48">
        <f>BTU!C12</f>
        <v>9.0349999999998545</v>
      </c>
      <c r="S11" s="48">
        <f>BTU!F12</f>
        <v>2.343000000000302</v>
      </c>
      <c r="T11" s="48">
        <f>BTU!I12</f>
        <v>7</v>
      </c>
      <c r="U11" s="48">
        <f>BTU!O12</f>
        <v>0.931999999999789</v>
      </c>
      <c r="V11" s="48">
        <f>BTU!L12</f>
        <v>1.4200000000000728</v>
      </c>
      <c r="W11" s="48">
        <f>BTU!R12</f>
        <v>0.6000000000003638</v>
      </c>
      <c r="X11" s="45">
        <f>ELECT.!B12</f>
        <v>80</v>
      </c>
      <c r="Y11" s="45">
        <f t="shared" si="0"/>
        <v>2363</v>
      </c>
      <c r="Z11">
        <f>'Mall, Citadel, Rotana'!C12+'Mall, Citadel, Rotana'!E12+'Mall, Citadel, Rotana'!G12+'Mall, Citadel, Rotana'!I12</f>
        <v>1240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168</v>
      </c>
      <c r="AD11" s="45">
        <f t="shared" si="1"/>
        <v>63.54947880000001</v>
      </c>
      <c r="AE11" s="45">
        <f t="shared" si="2"/>
        <v>418.61652120000008</v>
      </c>
    </row>
    <row r="12" spans="1:31" x14ac:dyDescent="0.2">
      <c r="A12" s="58" t="s">
        <v>53</v>
      </c>
      <c r="B12" s="63">
        <f t="shared" si="3"/>
        <v>11</v>
      </c>
      <c r="C12" s="63">
        <v>5</v>
      </c>
      <c r="D12" s="63">
        <v>2021</v>
      </c>
      <c r="E12" s="47">
        <f>Water!C13</f>
        <v>610</v>
      </c>
      <c r="F12" s="47">
        <f>Water!E13</f>
        <v>291.60000000000002</v>
      </c>
      <c r="G12" s="47">
        <f>Water!G13</f>
        <v>345.6</v>
      </c>
      <c r="H12" s="47">
        <f>Water!I13</f>
        <v>3.105</v>
      </c>
      <c r="I12" s="47">
        <f>ELECT.!F13</f>
        <v>16445</v>
      </c>
      <c r="J12" s="47">
        <f>ELECT.!H13</f>
        <v>44157</v>
      </c>
      <c r="K12" s="47">
        <f>ELECT.!K13</f>
        <v>5384</v>
      </c>
      <c r="L12" s="47">
        <f>ELECT.!M13</f>
        <v>5757</v>
      </c>
      <c r="M12" s="47">
        <f>ELECT.!O13</f>
        <v>10512</v>
      </c>
      <c r="N12" s="47">
        <f>ELECT.!Q13</f>
        <v>10208</v>
      </c>
      <c r="O12" s="47">
        <f>ELECT.!S13</f>
        <v>8842</v>
      </c>
      <c r="P12" s="47">
        <f>ELECT.!W13*2</f>
        <v>18554</v>
      </c>
      <c r="Q12" s="47">
        <f>ELECT.!D13</f>
        <v>480</v>
      </c>
      <c r="R12" s="48">
        <f>BTU!C13</f>
        <v>12.121999999999389</v>
      </c>
      <c r="S12" s="48">
        <f>BTU!F13</f>
        <v>2.7089999999998327</v>
      </c>
      <c r="T12" s="48">
        <f>BTU!I13</f>
        <v>10</v>
      </c>
      <c r="U12" s="48">
        <f>BTU!O13</f>
        <v>1.0210000000001855</v>
      </c>
      <c r="V12" s="48">
        <f>BTU!L13</f>
        <v>2.4500000000007276</v>
      </c>
      <c r="W12" s="48">
        <f>BTU!R13</f>
        <v>2.9799999999995634</v>
      </c>
      <c r="X12" s="45">
        <f>ELECT.!B13</f>
        <v>81</v>
      </c>
      <c r="Y12" s="45">
        <f t="shared" si="0"/>
        <v>1345</v>
      </c>
      <c r="Z12">
        <f>'Mall, Citadel, Rotana'!C13+'Mall, Citadel, Rotana'!E13+'Mall, Citadel, Rotana'!G13+'Mall, Citadel, Rotana'!I13</f>
        <v>1061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54.419560999999995</v>
      </c>
      <c r="AE12" s="45">
        <f t="shared" si="2"/>
        <v>358.47543899999994</v>
      </c>
    </row>
    <row r="13" spans="1:31" x14ac:dyDescent="0.2">
      <c r="A13" s="58" t="s">
        <v>53</v>
      </c>
      <c r="B13" s="63">
        <f t="shared" si="3"/>
        <v>12</v>
      </c>
      <c r="C13" s="63">
        <v>5</v>
      </c>
      <c r="D13" s="63">
        <v>2021</v>
      </c>
      <c r="E13" s="47">
        <f>Water!C14</f>
        <v>610</v>
      </c>
      <c r="F13" s="47">
        <f>Water!E14</f>
        <v>267.3</v>
      </c>
      <c r="G13" s="47">
        <f>Water!G14</f>
        <v>310.5</v>
      </c>
      <c r="H13" s="47">
        <f>Water!I14</f>
        <v>3.5909999999999997</v>
      </c>
      <c r="I13" s="47">
        <f>ELECT.!F14</f>
        <v>19410</v>
      </c>
      <c r="J13" s="47">
        <f>ELECT.!H14</f>
        <v>52219</v>
      </c>
      <c r="K13" s="47">
        <f>ELECT.!K14</f>
        <v>5976</v>
      </c>
      <c r="L13" s="47">
        <f>ELECT.!M14</f>
        <v>6101</v>
      </c>
      <c r="M13" s="47">
        <f>ELECT.!O14</f>
        <v>13104</v>
      </c>
      <c r="N13" s="47">
        <f>ELECT.!Q14</f>
        <v>11629</v>
      </c>
      <c r="O13" s="47">
        <f>ELECT.!S14</f>
        <v>10289</v>
      </c>
      <c r="P13" s="47">
        <f>ELECT.!W14*2</f>
        <v>22920</v>
      </c>
      <c r="Q13" s="47">
        <f>ELECT.!D14</f>
        <v>480</v>
      </c>
      <c r="R13" s="48">
        <f>BTU!C14</f>
        <v>8.0789999999979045</v>
      </c>
      <c r="S13" s="48">
        <f>BTU!F14</f>
        <v>1.3539999999998145</v>
      </c>
      <c r="T13" s="48">
        <f>BTU!I14</f>
        <v>7</v>
      </c>
      <c r="U13" s="48">
        <f>BTU!O14</f>
        <v>1</v>
      </c>
      <c r="V13" s="48">
        <f>BTU!L14</f>
        <v>1.8899999999994179</v>
      </c>
      <c r="W13" s="48">
        <f>BTU!R14</f>
        <v>5</v>
      </c>
      <c r="X13" s="45">
        <f>ELECT.!B14</f>
        <v>0</v>
      </c>
      <c r="Y13" s="45">
        <f t="shared" si="0"/>
        <v>1610</v>
      </c>
      <c r="Z13">
        <f>'Mall, Citadel, Rotana'!C14+'Mall, Citadel, Rotana'!E14+'Mall, Citadel, Rotana'!G14+'Mall, Citadel, Rotana'!I14</f>
        <v>1389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305</v>
      </c>
      <c r="AD13" s="45">
        <f t="shared" si="1"/>
        <v>54.355506200000001</v>
      </c>
      <c r="AE13" s="45">
        <f t="shared" si="2"/>
        <v>358.05349379999996</v>
      </c>
    </row>
    <row r="14" spans="1:31" x14ac:dyDescent="0.2">
      <c r="A14" s="58" t="s">
        <v>53</v>
      </c>
      <c r="B14" s="63">
        <f t="shared" si="3"/>
        <v>13</v>
      </c>
      <c r="C14" s="63">
        <v>5</v>
      </c>
      <c r="D14" s="63">
        <v>2021</v>
      </c>
      <c r="E14" s="47">
        <f>Water!C15</f>
        <v>610</v>
      </c>
      <c r="F14" s="47">
        <f>Water!E15</f>
        <v>318.60000000000002</v>
      </c>
      <c r="G14" s="47">
        <f>Water!G15</f>
        <v>310.5</v>
      </c>
      <c r="H14" s="47">
        <f>Water!I15</f>
        <v>1.782</v>
      </c>
      <c r="I14" s="47">
        <f>ELECT.!F15</f>
        <v>17810</v>
      </c>
      <c r="J14" s="47">
        <f>ELECT.!H15</f>
        <v>45905</v>
      </c>
      <c r="K14" s="47">
        <f>ELECT.!K15</f>
        <v>5037</v>
      </c>
      <c r="L14" s="47">
        <f>ELECT.!M15</f>
        <v>5454</v>
      </c>
      <c r="M14" s="47">
        <f>ELECT.!O15</f>
        <v>12118</v>
      </c>
      <c r="N14" s="47">
        <f>ELECT.!Q15</f>
        <v>10117</v>
      </c>
      <c r="O14" s="47">
        <f>ELECT.!S15</f>
        <v>9218</v>
      </c>
      <c r="P14" s="47">
        <f>ELECT.!W15*2</f>
        <v>20266</v>
      </c>
      <c r="Q14" s="47">
        <f>ELECT.!D15</f>
        <v>480</v>
      </c>
      <c r="R14" s="48">
        <f>BTU!C15</f>
        <v>8.4770000000025902</v>
      </c>
      <c r="S14" s="48">
        <f>BTU!F15</f>
        <v>0.80500000000029104</v>
      </c>
      <c r="T14" s="48">
        <f>BTU!I15</f>
        <v>8</v>
      </c>
      <c r="U14" s="48">
        <f>BTU!O15</f>
        <v>1.2789999999999964</v>
      </c>
      <c r="V14" s="48">
        <f>BTU!L15</f>
        <v>2.2100000000009459</v>
      </c>
      <c r="W14" s="48">
        <f>BTU!R15</f>
        <v>0</v>
      </c>
      <c r="X14" s="45">
        <f>ELECT.!B15</f>
        <v>98</v>
      </c>
      <c r="Y14" s="45">
        <f t="shared" si="0"/>
        <v>1505</v>
      </c>
      <c r="Z14">
        <f>'Mall, Citadel, Rotana'!C15+'Mall, Citadel, Rotana'!E15+'Mall, Citadel, Rotana'!G15+'Mall, Citadel, Rotana'!I15</f>
        <v>1263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108</v>
      </c>
      <c r="AD14" s="45">
        <f t="shared" si="1"/>
        <v>54.593932399999993</v>
      </c>
      <c r="AE14" s="45">
        <f t="shared" si="2"/>
        <v>359.62406759999999</v>
      </c>
    </row>
    <row r="15" spans="1:31" x14ac:dyDescent="0.2">
      <c r="A15" s="58" t="s">
        <v>53</v>
      </c>
      <c r="B15" s="63">
        <f t="shared" si="3"/>
        <v>14</v>
      </c>
      <c r="C15" s="63">
        <v>5</v>
      </c>
      <c r="D15" s="63">
        <v>2021</v>
      </c>
      <c r="E15" s="47">
        <f>Water!C16</f>
        <v>610</v>
      </c>
      <c r="F15" s="47">
        <f>Water!E16</f>
        <v>307.8</v>
      </c>
      <c r="G15" s="47">
        <f>Water!G16</f>
        <v>180.9</v>
      </c>
      <c r="H15" s="47">
        <f>Water!I16</f>
        <v>1.593</v>
      </c>
      <c r="I15" s="47">
        <f>ELECT.!F16</f>
        <v>14616</v>
      </c>
      <c r="J15" s="47">
        <f>ELECT.!H16</f>
        <v>41451</v>
      </c>
      <c r="K15" s="47">
        <f>ELECT.!K16</f>
        <v>4530</v>
      </c>
      <c r="L15" s="47">
        <f>ELECT.!M16</f>
        <v>4113</v>
      </c>
      <c r="M15" s="47">
        <f>ELECT.!O16</f>
        <v>10058</v>
      </c>
      <c r="N15" s="47">
        <f>ELECT.!Q16</f>
        <v>8473</v>
      </c>
      <c r="O15" s="47">
        <f>ELECT.!S16</f>
        <v>8589</v>
      </c>
      <c r="P15" s="47">
        <f>ELECT.!W16*2</f>
        <v>18288</v>
      </c>
      <c r="Q15" s="47">
        <f>ELECT.!D16</f>
        <v>320</v>
      </c>
      <c r="R15" s="48">
        <f>BTU!C16</f>
        <v>8.6529999999984284</v>
      </c>
      <c r="S15" s="48">
        <f>BTU!F16</f>
        <v>0.80799999999999272</v>
      </c>
      <c r="T15" s="48">
        <f>BTU!I16</f>
        <v>7</v>
      </c>
      <c r="U15" s="48">
        <f>BTU!O16</f>
        <v>1.0700000000001637</v>
      </c>
      <c r="V15" s="48">
        <f>BTU!L16</f>
        <v>2.1299999999991996</v>
      </c>
      <c r="W15" s="48">
        <f>BTU!R16</f>
        <v>4.0900000000001455</v>
      </c>
      <c r="X15" s="45">
        <f>ELECT.!B16</f>
        <v>123</v>
      </c>
      <c r="Y15" s="45">
        <f t="shared" si="0"/>
        <v>2016</v>
      </c>
      <c r="Z15">
        <f>'Mall, Citadel, Rotana'!C16+'Mall, Citadel, Rotana'!E16+'Mall, Citadel, Rotana'!G16+'Mall, Citadel, Rotana'!I16</f>
        <v>1241</v>
      </c>
      <c r="AA15">
        <f>'Mall, Citadel, Rotana'!K16+'Mall, Citadel, Rotana'!M16</f>
        <v>480</v>
      </c>
      <c r="AB15">
        <f>'Mall, Citadel, Rotana'!O16</f>
        <v>3</v>
      </c>
      <c r="AC15">
        <f>'Mall, Citadel, Rotana'!Q16+'Mall, Citadel, Rotana'!S16</f>
        <v>66</v>
      </c>
      <c r="AD15" s="45">
        <f t="shared" si="1"/>
        <v>54.618842600000008</v>
      </c>
      <c r="AE15" s="45">
        <f t="shared" si="2"/>
        <v>359.78815740000005</v>
      </c>
    </row>
    <row r="16" spans="1:31" x14ac:dyDescent="0.2">
      <c r="A16" s="58" t="s">
        <v>53</v>
      </c>
      <c r="B16" s="63">
        <f t="shared" si="3"/>
        <v>15</v>
      </c>
      <c r="C16" s="63">
        <v>5</v>
      </c>
      <c r="D16" s="63">
        <v>2021</v>
      </c>
      <c r="E16" s="47">
        <f>Water!C17</f>
        <v>610</v>
      </c>
      <c r="F16" s="47">
        <f>Water!E17</f>
        <v>340.2</v>
      </c>
      <c r="G16" s="47">
        <f>Water!G17</f>
        <v>575.1</v>
      </c>
      <c r="H16" s="47">
        <f>Water!I17</f>
        <v>2.133</v>
      </c>
      <c r="I16" s="47">
        <f>ELECT.!F17</f>
        <v>15721</v>
      </c>
      <c r="J16" s="47">
        <f>ELECT.!H17</f>
        <v>43784</v>
      </c>
      <c r="K16" s="47">
        <f>ELECT.!K17</f>
        <v>4818</v>
      </c>
      <c r="L16" s="47">
        <f>ELECT.!M17</f>
        <v>4739</v>
      </c>
      <c r="M16" s="47">
        <f>ELECT.!O17</f>
        <v>11108</v>
      </c>
      <c r="N16" s="47">
        <f>ELECT.!Q17</f>
        <v>9929</v>
      </c>
      <c r="O16" s="47">
        <f>ELECT.!S17</f>
        <v>9189</v>
      </c>
      <c r="P16" s="47">
        <f>ELECT.!W17*2</f>
        <v>19300</v>
      </c>
      <c r="Q16" s="47">
        <f>ELECT.!D17</f>
        <v>320</v>
      </c>
      <c r="R16" s="48">
        <f>BTU!C17</f>
        <v>8.0540000000000873</v>
      </c>
      <c r="S16" s="48">
        <f>BTU!F17</f>
        <v>1.0380000000000109</v>
      </c>
      <c r="T16" s="48">
        <f>BTU!I17</f>
        <v>7</v>
      </c>
      <c r="U16" s="48">
        <f>BTU!O17</f>
        <v>1.0799999999999272</v>
      </c>
      <c r="V16" s="48">
        <f>BTU!L17</f>
        <v>1.1700000000000728</v>
      </c>
      <c r="W16" s="48">
        <f>BTU!R17</f>
        <v>1.5299999999997453</v>
      </c>
      <c r="X16" s="45">
        <f>ELECT.!B17</f>
        <v>104</v>
      </c>
      <c r="Y16" s="45">
        <f t="shared" si="0"/>
        <v>422</v>
      </c>
      <c r="Z16">
        <f>'Mall, Citadel, Rotana'!C17+'Mall, Citadel, Rotana'!E17+'Mall, Citadel, Rotana'!G17+'Mall, Citadel, Rotana'!I17</f>
        <v>1064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92</v>
      </c>
      <c r="AD16" s="45">
        <f t="shared" si="1"/>
        <v>54.547670599999996</v>
      </c>
      <c r="AE16" s="45">
        <f t="shared" si="2"/>
        <v>359.31932940000002</v>
      </c>
    </row>
    <row r="17" spans="1:31" x14ac:dyDescent="0.2">
      <c r="A17" s="58" t="s">
        <v>53</v>
      </c>
      <c r="B17" s="63">
        <f t="shared" si="3"/>
        <v>16</v>
      </c>
      <c r="C17" s="63">
        <v>5</v>
      </c>
      <c r="D17" s="63">
        <v>2021</v>
      </c>
      <c r="E17" s="47">
        <f>Water!C18</f>
        <v>530</v>
      </c>
      <c r="F17" s="47">
        <f>Water!E18</f>
        <v>334.8</v>
      </c>
      <c r="G17" s="47">
        <f>Water!G18</f>
        <v>445.5</v>
      </c>
      <c r="H17" s="47">
        <f>Water!I18</f>
        <v>2.7269999999999999</v>
      </c>
      <c r="I17" s="47">
        <f>ELECT.!F18</f>
        <v>19029</v>
      </c>
      <c r="J17" s="47">
        <f>ELECT.!H18</f>
        <v>49623</v>
      </c>
      <c r="K17" s="47">
        <f>ELECT.!K18</f>
        <v>5571</v>
      </c>
      <c r="L17" s="47">
        <f>ELECT.!M18</f>
        <v>5684</v>
      </c>
      <c r="M17" s="47">
        <f>ELECT.!O18</f>
        <v>13156</v>
      </c>
      <c r="N17" s="47">
        <f>ELECT.!Q18</f>
        <v>10907</v>
      </c>
      <c r="O17" s="47">
        <f>ELECT.!S18</f>
        <v>10218</v>
      </c>
      <c r="P17" s="47">
        <f>ELECT.!W18*2</f>
        <v>21656</v>
      </c>
      <c r="Q17" s="47">
        <f>ELECT.!D18</f>
        <v>480</v>
      </c>
      <c r="R17" s="48">
        <f>BTU!C18</f>
        <v>8.8129999999982829</v>
      </c>
      <c r="S17" s="48">
        <f>BTU!F18</f>
        <v>1.7919999999999163</v>
      </c>
      <c r="T17" s="48">
        <f>BTU!I18</f>
        <v>8</v>
      </c>
      <c r="U17" s="48">
        <f>BTU!O18</f>
        <v>1.4690000000000509</v>
      </c>
      <c r="V17" s="48">
        <f>BTU!L18</f>
        <v>0.12000000000080036</v>
      </c>
      <c r="W17" s="48">
        <f>BTU!R18</f>
        <v>1.4099999999998545</v>
      </c>
      <c r="X17" s="45">
        <f>ELECT.!B18</f>
        <v>75</v>
      </c>
      <c r="Y17" s="45">
        <f t="shared" si="0"/>
        <v>1460</v>
      </c>
      <c r="Z17">
        <f>'Mall, Citadel, Rotana'!C18+'Mall, Citadel, Rotana'!E18+'Mall, Citadel, Rotana'!G18+'Mall, Citadel, Rotana'!I18</f>
        <v>1736</v>
      </c>
      <c r="AA17">
        <f>'Mall, Citadel, Rotana'!K18+'Mall, Citadel, Rotana'!M18</f>
        <v>640</v>
      </c>
      <c r="AB17">
        <f>'Mall, Citadel, Rotana'!O18</f>
        <v>4</v>
      </c>
      <c r="AC17">
        <f>'Mall, Citadel, Rotana'!Q18+'Mall, Citadel, Rotana'!S18</f>
        <v>195</v>
      </c>
      <c r="AD17" s="45">
        <f t="shared" si="1"/>
        <v>43.925381400000006</v>
      </c>
      <c r="AE17" s="45">
        <f t="shared" si="2"/>
        <v>289.34761860000003</v>
      </c>
    </row>
    <row r="18" spans="1:31" x14ac:dyDescent="0.2">
      <c r="A18" s="58" t="s">
        <v>53</v>
      </c>
      <c r="B18" s="63">
        <f t="shared" si="3"/>
        <v>17</v>
      </c>
      <c r="C18" s="63">
        <v>5</v>
      </c>
      <c r="D18" s="63">
        <v>2021</v>
      </c>
      <c r="E18" s="47">
        <f>Water!C19</f>
        <v>1250</v>
      </c>
      <c r="F18" s="47">
        <f>Water!E19</f>
        <v>378</v>
      </c>
      <c r="G18" s="47">
        <f>Water!G19</f>
        <v>621</v>
      </c>
      <c r="H18" s="47">
        <f>Water!I19</f>
        <v>3.8609999999999998</v>
      </c>
      <c r="I18" s="47">
        <f>ELECT.!F19</f>
        <v>16580</v>
      </c>
      <c r="J18" s="47">
        <f>ELECT.!H19</f>
        <v>45289</v>
      </c>
      <c r="K18" s="47">
        <f>ELECT.!K19</f>
        <v>5595</v>
      </c>
      <c r="L18" s="47">
        <f>ELECT.!M19</f>
        <v>5435</v>
      </c>
      <c r="M18" s="47">
        <f>ELECT.!O19</f>
        <v>10930</v>
      </c>
      <c r="N18" s="47">
        <f>ELECT.!Q19</f>
        <v>9769</v>
      </c>
      <c r="O18" s="47">
        <f>ELECT.!S19</f>
        <v>9116</v>
      </c>
      <c r="P18" s="47">
        <f>ELECT.!W19*2</f>
        <v>19544</v>
      </c>
      <c r="Q18" s="47">
        <f>ELECT.!D19</f>
        <v>480</v>
      </c>
      <c r="R18" s="48">
        <f>BTU!C19</f>
        <v>8.6430000000000291</v>
      </c>
      <c r="S18" s="48">
        <f>BTU!F19</f>
        <v>2.4450000000001637</v>
      </c>
      <c r="T18" s="48">
        <f>BTU!I19</f>
        <v>8</v>
      </c>
      <c r="U18" s="48">
        <f>BTU!O19</f>
        <v>1.1979999999998654</v>
      </c>
      <c r="V18" s="48">
        <f>BTU!L19</f>
        <v>2.1399999999994179</v>
      </c>
      <c r="W18" s="48">
        <f>BTU!R19</f>
        <v>2.0100000000002183</v>
      </c>
      <c r="X18" s="45">
        <f>ELECT.!B19</f>
        <v>132</v>
      </c>
      <c r="Y18" s="45">
        <f t="shared" si="0"/>
        <v>1480</v>
      </c>
      <c r="Z18">
        <f>'Mall, Citadel, Rotana'!C19+'Mall, Citadel, Rotana'!E19+'Mall, Citadel, Rotana'!G19+'Mall, Citadel, Rotana'!I19</f>
        <v>925</v>
      </c>
      <c r="AA18">
        <f>'Mall, Citadel, Rotana'!K19+'Mall, Citadel, Rotana'!M19</f>
        <v>480</v>
      </c>
      <c r="AB18">
        <f>'Mall, Citadel, Rotana'!O19</f>
        <v>3</v>
      </c>
      <c r="AC18">
        <f>'Mall, Citadel, Rotana'!Q19+'Mall, Citadel, Rotana'!S19</f>
        <v>199</v>
      </c>
      <c r="AD18" s="45">
        <f t="shared" si="1"/>
        <v>138.67192019999999</v>
      </c>
      <c r="AE18" s="45">
        <f t="shared" si="2"/>
        <v>913.46707979999996</v>
      </c>
    </row>
    <row r="19" spans="1:31" x14ac:dyDescent="0.2">
      <c r="A19" s="58" t="s">
        <v>53</v>
      </c>
      <c r="B19" s="63">
        <f t="shared" si="3"/>
        <v>18</v>
      </c>
      <c r="C19" s="63">
        <v>5</v>
      </c>
      <c r="D19" s="63">
        <v>2021</v>
      </c>
      <c r="E19" s="47">
        <f>Water!C20</f>
        <v>830</v>
      </c>
      <c r="F19" s="47">
        <f>Water!E20</f>
        <v>386.1</v>
      </c>
      <c r="G19" s="47">
        <f>Water!G20</f>
        <v>86.4</v>
      </c>
      <c r="H19" s="47">
        <f>Water!I20</f>
        <v>3.6989999999999998</v>
      </c>
      <c r="I19" s="47">
        <f>ELECT.!F20</f>
        <v>13411</v>
      </c>
      <c r="J19" s="47">
        <f>ELECT.!H20</f>
        <v>49256</v>
      </c>
      <c r="K19" s="47">
        <f>ELECT.!K20</f>
        <v>5830</v>
      </c>
      <c r="L19" s="47">
        <f>ELECT.!M20</f>
        <v>4253</v>
      </c>
      <c r="M19" s="47">
        <f>ELECT.!O20</f>
        <v>8962</v>
      </c>
      <c r="N19" s="47">
        <f>ELECT.!Q20</f>
        <v>10868</v>
      </c>
      <c r="O19" s="47">
        <f>ELECT.!S20</f>
        <v>9731</v>
      </c>
      <c r="P19" s="47">
        <f>ELECT.!W20*2</f>
        <v>21592</v>
      </c>
      <c r="Q19" s="47">
        <f>ELECT.!D20</f>
        <v>320</v>
      </c>
      <c r="R19" s="48">
        <f>BTU!C20</f>
        <v>11.947000000000116</v>
      </c>
      <c r="S19" s="48">
        <f>BTU!F20</f>
        <v>4.1999999999998181</v>
      </c>
      <c r="T19" s="48">
        <f>BTU!I20</f>
        <v>11</v>
      </c>
      <c r="U19" s="48">
        <f>BTU!O20</f>
        <v>1.5940000000000509</v>
      </c>
      <c r="V19" s="48">
        <f>BTU!L20</f>
        <v>3.0400000000008731</v>
      </c>
      <c r="W19" s="48">
        <f>BTU!R20</f>
        <v>0</v>
      </c>
      <c r="X19" s="45">
        <f>ELECT.!B20</f>
        <v>151</v>
      </c>
      <c r="Y19" s="45">
        <f t="shared" si="0"/>
        <v>1431</v>
      </c>
      <c r="Z19">
        <f>'Mall, Citadel, Rotana'!C20+'Mall, Citadel, Rotana'!E20+'Mall, Citadel, Rotana'!G20+'Mall, Citadel, Rotana'!I20</f>
        <v>1567</v>
      </c>
      <c r="AA19">
        <f>'Mall, Citadel, Rotana'!K20+'Mall, Citadel, Rotana'!M20</f>
        <v>640</v>
      </c>
      <c r="AB19">
        <f>'Mall, Citadel, Rotana'!O20</f>
        <v>4</v>
      </c>
      <c r="AC19">
        <f>'Mall, Citadel, Rotana'!Q20+'Mall, Citadel, Rotana'!S20</f>
        <v>197</v>
      </c>
      <c r="AD19" s="45">
        <f t="shared" si="1"/>
        <v>83.337271800000011</v>
      </c>
      <c r="AE19" s="45">
        <f t="shared" si="2"/>
        <v>548.96372819999999</v>
      </c>
    </row>
    <row r="20" spans="1:31" x14ac:dyDescent="0.2">
      <c r="A20" s="58" t="s">
        <v>53</v>
      </c>
      <c r="B20" s="63">
        <f t="shared" si="3"/>
        <v>19</v>
      </c>
      <c r="C20" s="63">
        <v>5</v>
      </c>
      <c r="D20" s="63">
        <v>2021</v>
      </c>
      <c r="E20" s="47">
        <f>Water!C21</f>
        <v>1200</v>
      </c>
      <c r="F20" s="47">
        <f>Water!E21</f>
        <v>0</v>
      </c>
      <c r="G20" s="47">
        <f>Water!G21</f>
        <v>413.1</v>
      </c>
      <c r="H20" s="47">
        <f>Water!I21</f>
        <v>3.1320000000000001</v>
      </c>
      <c r="I20" s="47">
        <f>ELECT.!F21</f>
        <v>11133</v>
      </c>
      <c r="J20" s="47">
        <f>ELECT.!H21</f>
        <v>40090</v>
      </c>
      <c r="K20" s="47">
        <f>ELECT.!K21</f>
        <v>4965</v>
      </c>
      <c r="L20" s="47">
        <f>ELECT.!M21</f>
        <v>3604</v>
      </c>
      <c r="M20" s="47">
        <f>ELECT.!O21</f>
        <v>7408</v>
      </c>
      <c r="N20" s="47">
        <f>ELECT.!Q21</f>
        <v>9027</v>
      </c>
      <c r="O20" s="47">
        <f>ELECT.!S21</f>
        <v>8065</v>
      </c>
      <c r="P20" s="47">
        <f>ELECT.!W21*2</f>
        <v>17148</v>
      </c>
      <c r="Q20" s="47">
        <f>ELECT.!D21</f>
        <v>640</v>
      </c>
      <c r="R20" s="48">
        <f>BTU!C21</f>
        <v>9.7640000000028522</v>
      </c>
      <c r="S20" s="48">
        <f>BTU!F21</f>
        <v>2.8580000000001746</v>
      </c>
      <c r="T20" s="48">
        <f>BTU!I21</f>
        <v>8</v>
      </c>
      <c r="U20" s="48">
        <f>BTU!O21</f>
        <v>1.3200000000001637</v>
      </c>
      <c r="V20" s="48">
        <f>BTU!L21</f>
        <v>1.7799999999988358</v>
      </c>
      <c r="W20" s="48">
        <f>BTU!R21</f>
        <v>2.0200000000004366</v>
      </c>
      <c r="X20" s="45">
        <f>ELECT.!B21</f>
        <v>164</v>
      </c>
      <c r="Y20" s="45">
        <f t="shared" si="0"/>
        <v>1006</v>
      </c>
      <c r="Z20">
        <f>'Mall, Citadel, Rotana'!C21+'Mall, Citadel, Rotana'!E21+'Mall, Citadel, Rotana'!G21+'Mall, Citadel, Rotana'!I21</f>
        <v>1567</v>
      </c>
      <c r="AA20">
        <f>'Mall, Citadel, Rotana'!K21+'Mall, Citadel, Rotana'!M21</f>
        <v>640</v>
      </c>
      <c r="AB20">
        <f>'Mall, Citadel, Rotana'!O21</f>
        <v>2</v>
      </c>
      <c r="AC20">
        <f>'Mall, Citadel, Rotana'!Q21+'Mall, Citadel, Rotana'!S21</f>
        <v>395</v>
      </c>
      <c r="AD20" s="45">
        <f t="shared" si="1"/>
        <v>132.1780024</v>
      </c>
      <c r="AE20" s="45">
        <f t="shared" si="2"/>
        <v>870.68999759999997</v>
      </c>
    </row>
    <row r="21" spans="1:31" x14ac:dyDescent="0.2">
      <c r="A21" s="58" t="s">
        <v>53</v>
      </c>
      <c r="B21" s="63">
        <f t="shared" si="3"/>
        <v>20</v>
      </c>
      <c r="C21" s="63">
        <v>5</v>
      </c>
      <c r="D21" s="63">
        <v>2021</v>
      </c>
      <c r="E21" s="47">
        <f>Water!C22</f>
        <v>470</v>
      </c>
      <c r="F21" s="47">
        <f>Water!E22</f>
        <v>0</v>
      </c>
      <c r="G21" s="47">
        <f>Water!G22</f>
        <v>423.9</v>
      </c>
      <c r="H21" s="47">
        <f>Water!I22</f>
        <v>3.9420000000000002</v>
      </c>
      <c r="I21" s="47">
        <f>ELECT.!F22</f>
        <v>15556</v>
      </c>
      <c r="J21" s="47">
        <f>ELECT.!H22</f>
        <v>57328</v>
      </c>
      <c r="K21" s="47">
        <f>ELECT.!K22</f>
        <v>6612</v>
      </c>
      <c r="L21" s="47">
        <f>ELECT.!M22</f>
        <v>4940</v>
      </c>
      <c r="M21" s="47">
        <f>ELECT.!O22</f>
        <v>10428</v>
      </c>
      <c r="N21" s="47">
        <f>ELECT.!Q22</f>
        <v>13074</v>
      </c>
      <c r="O21" s="47">
        <f>ELECT.!S22</f>
        <v>11596</v>
      </c>
      <c r="P21" s="47">
        <f>ELECT.!W22*2</f>
        <v>24600</v>
      </c>
      <c r="Q21" s="47">
        <f>ELECT.!D22</f>
        <v>320</v>
      </c>
      <c r="R21" s="48">
        <f>BTU!C22</f>
        <v>9.8869999999988067</v>
      </c>
      <c r="S21" s="48">
        <f>BTU!F22</f>
        <v>2.9029999999997926</v>
      </c>
      <c r="T21" s="48">
        <f>BTU!I22</f>
        <v>8</v>
      </c>
      <c r="U21" s="48">
        <f>BTU!O22</f>
        <v>1.3649999999997817</v>
      </c>
      <c r="V21" s="48">
        <f>BTU!L22</f>
        <v>3.6200000000008004</v>
      </c>
      <c r="W21" s="48">
        <f>BTU!R22</f>
        <v>2.4399999999995998</v>
      </c>
      <c r="X21" s="45">
        <f>ELECT.!B22</f>
        <v>142</v>
      </c>
      <c r="Y21" s="45">
        <f t="shared" si="0"/>
        <v>1634</v>
      </c>
      <c r="Z21">
        <f>'Mall, Citadel, Rotana'!C22+'Mall, Citadel, Rotana'!E22+'Mall, Citadel, Rotana'!G22+'Mall, Citadel, Rotana'!I22</f>
        <v>1075</v>
      </c>
      <c r="AA21">
        <f>'Mall, Citadel, Rotana'!K22+'Mall, Citadel, Rotana'!M22</f>
        <v>480</v>
      </c>
      <c r="AB21">
        <f>'Mall, Citadel, Rotana'!O22</f>
        <v>4</v>
      </c>
      <c r="AC21">
        <f>'Mall, Citadel, Rotana'!Q22+'Mall, Citadel, Rotana'!S22</f>
        <v>-104724</v>
      </c>
      <c r="AD21" s="45">
        <f t="shared" si="1"/>
        <v>35.857244399999999</v>
      </c>
      <c r="AE21" s="45">
        <f t="shared" si="2"/>
        <v>236.20075559999998</v>
      </c>
    </row>
    <row r="22" spans="1:31" x14ac:dyDescent="0.2">
      <c r="A22" s="58" t="s">
        <v>53</v>
      </c>
      <c r="B22" s="63">
        <f t="shared" si="3"/>
        <v>21</v>
      </c>
      <c r="C22" s="63">
        <v>5</v>
      </c>
      <c r="D22" s="63">
        <v>2021</v>
      </c>
      <c r="E22" s="47">
        <f>Water!C23</f>
        <v>750</v>
      </c>
      <c r="F22" s="47">
        <f>Water!E23</f>
        <v>0</v>
      </c>
      <c r="G22" s="47">
        <f>Water!G23</f>
        <v>386.1</v>
      </c>
      <c r="H22" s="47">
        <f>Water!I23</f>
        <v>3.2130000000000001</v>
      </c>
      <c r="I22" s="47">
        <f>ELECT.!F23</f>
        <v>13244</v>
      </c>
      <c r="J22" s="47">
        <f>ELECT.!H23</f>
        <v>50504</v>
      </c>
      <c r="K22" s="47">
        <f>ELECT.!K23</f>
        <v>5311</v>
      </c>
      <c r="L22" s="47">
        <f>ELECT.!M23</f>
        <v>4107</v>
      </c>
      <c r="M22" s="47">
        <f>ELECT.!O23</f>
        <v>8904</v>
      </c>
      <c r="N22" s="47">
        <f>ELECT.!Q23</f>
        <v>11778</v>
      </c>
      <c r="O22" s="47">
        <f>ELECT.!S23</f>
        <v>11017</v>
      </c>
      <c r="P22" s="47">
        <f>ELECT.!W23*2</f>
        <v>21880</v>
      </c>
      <c r="Q22" s="47">
        <f>ELECT.!D23</f>
        <v>320</v>
      </c>
      <c r="R22" s="48">
        <f>BTU!C23</f>
        <v>10.700000000000728</v>
      </c>
      <c r="S22" s="48">
        <f>BTU!F23</f>
        <v>1.0410000000001673</v>
      </c>
      <c r="T22" s="48">
        <f>BTU!I23</f>
        <v>8</v>
      </c>
      <c r="U22" s="48">
        <f>BTU!O23</f>
        <v>1.3719999999998436</v>
      </c>
      <c r="V22" s="48">
        <f>BTU!L23</f>
        <v>1.5499999999992724</v>
      </c>
      <c r="W22" s="48">
        <f>BTU!R23</f>
        <v>1.4700000000002547</v>
      </c>
      <c r="X22" s="45">
        <f>ELECT.!B23</f>
        <v>78</v>
      </c>
      <c r="Y22" s="45">
        <f t="shared" si="0"/>
        <v>751</v>
      </c>
      <c r="Z22">
        <f>'Mall, Citadel, Rotana'!C23+'Mall, Citadel, Rotana'!E23+'Mall, Citadel, Rotana'!G23+'Mall, Citadel, Rotana'!I23</f>
        <v>1730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0</v>
      </c>
      <c r="AD22" s="45">
        <f t="shared" si="1"/>
        <v>72.857326600000007</v>
      </c>
      <c r="AE22" s="45">
        <f t="shared" si="2"/>
        <v>479.92967340000007</v>
      </c>
    </row>
    <row r="23" spans="1:31" x14ac:dyDescent="0.2">
      <c r="A23" s="58" t="s">
        <v>53</v>
      </c>
      <c r="B23" s="63">
        <f t="shared" si="3"/>
        <v>22</v>
      </c>
      <c r="C23" s="63">
        <v>5</v>
      </c>
      <c r="D23" s="63">
        <v>2021</v>
      </c>
      <c r="E23" s="47">
        <f>Water!C24</f>
        <v>1890</v>
      </c>
      <c r="F23" s="47">
        <f>Water!E24</f>
        <v>0</v>
      </c>
      <c r="G23" s="47">
        <f>Water!G24</f>
        <v>342.9</v>
      </c>
      <c r="H23" s="47">
        <f>Water!I24</f>
        <v>3.0779999999999998</v>
      </c>
      <c r="I23" s="47">
        <f>ELECT.!F24</f>
        <v>13140</v>
      </c>
      <c r="J23" s="47">
        <f>ELECT.!H24</f>
        <v>46262</v>
      </c>
      <c r="K23" s="47">
        <f>ELECT.!K24</f>
        <v>5511</v>
      </c>
      <c r="L23" s="47">
        <f>ELECT.!M24</f>
        <v>4507</v>
      </c>
      <c r="M23" s="47">
        <f>ELECT.!O24</f>
        <v>8496</v>
      </c>
      <c r="N23" s="47">
        <f>ELECT.!Q24</f>
        <v>10422</v>
      </c>
      <c r="O23" s="47">
        <f>ELECT.!S24</f>
        <v>8368</v>
      </c>
      <c r="P23" s="47">
        <f>ELECT.!W24*2</f>
        <v>20008</v>
      </c>
      <c r="Q23" s="47">
        <f>ELECT.!D24</f>
        <v>640</v>
      </c>
      <c r="R23" s="48">
        <f>BTU!C24</f>
        <v>10.299999999999272</v>
      </c>
      <c r="S23" s="48">
        <f>BTU!F24</f>
        <v>1.9139999999997599</v>
      </c>
      <c r="T23" s="48">
        <f>BTU!I24</f>
        <v>9</v>
      </c>
      <c r="U23" s="48">
        <f>BTU!O24</f>
        <v>1.1190000000001419</v>
      </c>
      <c r="V23" s="48">
        <f>BTU!L24</f>
        <v>3.5599999999994907</v>
      </c>
      <c r="W23" s="48">
        <f>BTU!R24</f>
        <v>2.2399999999997817</v>
      </c>
      <c r="X23" s="45">
        <f>ELECT.!B24</f>
        <v>0</v>
      </c>
      <c r="Y23" s="45">
        <f t="shared" si="0"/>
        <v>2090</v>
      </c>
      <c r="Z23">
        <f>'Mall, Citadel, Rotana'!C24+'Mall, Citadel, Rotana'!E24+'Mall, Citadel, Rotana'!G24+'Mall, Citadel, Rotana'!I24</f>
        <v>2185</v>
      </c>
      <c r="AA23">
        <f>'Mall, Citadel, Rotana'!K24+'Mall, Citadel, Rotana'!M24</f>
        <v>480</v>
      </c>
      <c r="AB23">
        <f>'Mall, Citadel, Rotana'!O24</f>
        <v>3</v>
      </c>
      <c r="AC23">
        <f>'Mall, Citadel, Rotana'!Q24+'Mall, Citadel, Rotana'!S24</f>
        <v>50</v>
      </c>
      <c r="AD23" s="45">
        <f t="shared" si="1"/>
        <v>223.12711960000001</v>
      </c>
      <c r="AE23" s="45">
        <f t="shared" si="2"/>
        <v>1469.7948804</v>
      </c>
    </row>
    <row r="24" spans="1:31" x14ac:dyDescent="0.2">
      <c r="A24" s="58" t="s">
        <v>53</v>
      </c>
      <c r="B24" s="63">
        <f t="shared" si="3"/>
        <v>23</v>
      </c>
      <c r="C24" s="63">
        <v>5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 t="str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5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-50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5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5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5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5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5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f t="shared" si="3"/>
        <v>31</v>
      </c>
      <c r="C32" s="63">
        <v>5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 t="shared" ref="AD32" si="5">(E32-H32-194)*0.1318</f>
        <v>-25.569199999999999</v>
      </c>
      <c r="AE32" s="45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B4" workbookViewId="0">
      <selection activeCell="V24" sqref="V24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44316</v>
      </c>
      <c r="B2" s="42">
        <v>45185</v>
      </c>
      <c r="C2" s="16"/>
      <c r="D2" s="42">
        <v>39472</v>
      </c>
      <c r="E2" s="16"/>
      <c r="F2" s="42">
        <v>20316</v>
      </c>
      <c r="G2" s="16"/>
      <c r="H2" s="42">
        <v>240785</v>
      </c>
      <c r="I2" s="16"/>
      <c r="J2" s="42">
        <v>303517</v>
      </c>
      <c r="K2" s="16"/>
      <c r="L2" s="42">
        <v>24882</v>
      </c>
      <c r="M2" s="16"/>
      <c r="N2" s="42">
        <v>215446</v>
      </c>
      <c r="O2" s="16"/>
      <c r="P2" s="42">
        <v>101751</v>
      </c>
      <c r="Q2" s="16"/>
      <c r="R2" s="1">
        <v>55047</v>
      </c>
      <c r="S2" s="16" t="e">
        <f t="shared" ref="S2" si="0">R2-R1</f>
        <v>#VALUE!</v>
      </c>
      <c r="T2" s="42">
        <v>3620</v>
      </c>
      <c r="U2" s="16"/>
    </row>
    <row r="3" spans="1:24" ht="13.5" thickBot="1" x14ac:dyDescent="0.25">
      <c r="A3" s="10">
        <v>44317</v>
      </c>
      <c r="B3" s="42">
        <v>45190</v>
      </c>
      <c r="C3" s="16">
        <f t="shared" ref="C3" si="1">(B3-B2)*800/5</f>
        <v>800</v>
      </c>
      <c r="D3" s="42">
        <v>39475</v>
      </c>
      <c r="E3" s="16">
        <f t="shared" ref="E3" si="2">(D3-D2)*800/5</f>
        <v>480</v>
      </c>
      <c r="F3" s="42">
        <v>20319</v>
      </c>
      <c r="G3" s="16">
        <f t="shared" ref="G3" si="3">(F3-F2)*100/5</f>
        <v>60</v>
      </c>
      <c r="H3" s="42">
        <v>240800</v>
      </c>
      <c r="I3" s="16">
        <f t="shared" ref="I3" si="4">(H3-H2)</f>
        <v>15</v>
      </c>
      <c r="J3" s="42">
        <v>303517</v>
      </c>
      <c r="K3" s="16">
        <f t="shared" ref="K3" si="5">(J3-J2)*800/5</f>
        <v>0</v>
      </c>
      <c r="L3" s="42">
        <v>24885</v>
      </c>
      <c r="M3" s="16">
        <f t="shared" ref="M3" si="6">(L3-L2)*800/5</f>
        <v>480</v>
      </c>
      <c r="N3" s="42">
        <v>215449</v>
      </c>
      <c r="O3" s="16">
        <f t="shared" ref="O3" si="7">N3-N2</f>
        <v>3</v>
      </c>
      <c r="P3" s="42">
        <v>101860</v>
      </c>
      <c r="Q3" s="16">
        <f t="shared" ref="Q3" si="8">P3-P2</f>
        <v>109</v>
      </c>
      <c r="R3" s="1">
        <v>55047</v>
      </c>
      <c r="S3" s="16">
        <f t="shared" ref="S3" si="9">R3-R2</f>
        <v>0</v>
      </c>
      <c r="T3" s="42">
        <v>3621</v>
      </c>
      <c r="U3" s="16">
        <f t="shared" ref="U3" si="10">(T3-T2)*800/5</f>
        <v>160</v>
      </c>
    </row>
    <row r="4" spans="1:24" ht="13.5" thickBot="1" x14ac:dyDescent="0.25">
      <c r="A4" s="10">
        <v>44318</v>
      </c>
      <c r="B4" s="42">
        <v>45194</v>
      </c>
      <c r="C4" s="16">
        <f t="shared" ref="C4:C33" si="11">(B4-B3)*800/5</f>
        <v>640</v>
      </c>
      <c r="D4" s="42">
        <v>39477</v>
      </c>
      <c r="E4" s="16">
        <f t="shared" ref="E4:E33" si="12">(D4-D3)*800/5</f>
        <v>320</v>
      </c>
      <c r="F4" s="42">
        <v>20322</v>
      </c>
      <c r="G4" s="16">
        <f t="shared" ref="G4:G33" si="13">(F4-F3)*100/5</f>
        <v>60</v>
      </c>
      <c r="H4" s="42">
        <v>240843</v>
      </c>
      <c r="I4" s="16">
        <f t="shared" ref="I4:I33" si="14">(H4-H3)</f>
        <v>43</v>
      </c>
      <c r="J4" s="42">
        <v>303517</v>
      </c>
      <c r="K4" s="16">
        <f t="shared" ref="K4:K33" si="15">(J4-J3)*800/5</f>
        <v>0</v>
      </c>
      <c r="L4" s="42">
        <v>24887</v>
      </c>
      <c r="M4" s="16">
        <f t="shared" ref="M4:M33" si="16">(L4-L3)*800/5</f>
        <v>320</v>
      </c>
      <c r="N4" s="42">
        <v>215452</v>
      </c>
      <c r="O4" s="16">
        <f t="shared" ref="O4:O33" si="17">N4-N3</f>
        <v>3</v>
      </c>
      <c r="P4" s="42">
        <v>101968</v>
      </c>
      <c r="Q4" s="16">
        <f t="shared" ref="Q4:Q33" si="18">P4-P3</f>
        <v>108</v>
      </c>
      <c r="R4" s="1">
        <f t="shared" ref="R4:R31" si="19">R3</f>
        <v>55047</v>
      </c>
      <c r="S4" s="16">
        <f t="shared" ref="S4:S33" si="20">R4-R3</f>
        <v>0</v>
      </c>
      <c r="T4" s="42">
        <v>3622</v>
      </c>
      <c r="U4" s="16">
        <f t="shared" ref="U4:U33" si="21">(T4-T3)*800/5</f>
        <v>160</v>
      </c>
    </row>
    <row r="5" spans="1:24" ht="13.5" thickBot="1" x14ac:dyDescent="0.25">
      <c r="A5" s="10">
        <v>44319</v>
      </c>
      <c r="B5" s="42">
        <v>45198</v>
      </c>
      <c r="C5" s="16">
        <f t="shared" si="11"/>
        <v>640</v>
      </c>
      <c r="D5" s="42">
        <v>39480</v>
      </c>
      <c r="E5" s="16">
        <f t="shared" si="12"/>
        <v>480</v>
      </c>
      <c r="F5" s="42">
        <v>20325</v>
      </c>
      <c r="G5" s="16">
        <f t="shared" si="13"/>
        <v>60</v>
      </c>
      <c r="H5" s="42">
        <v>240910</v>
      </c>
      <c r="I5" s="16">
        <f t="shared" si="14"/>
        <v>67</v>
      </c>
      <c r="J5" s="42">
        <v>303517</v>
      </c>
      <c r="K5" s="16">
        <f t="shared" si="15"/>
        <v>0</v>
      </c>
      <c r="L5" s="42">
        <v>24891</v>
      </c>
      <c r="M5" s="16">
        <f t="shared" si="16"/>
        <v>640</v>
      </c>
      <c r="N5" s="42">
        <v>215455</v>
      </c>
      <c r="O5" s="16">
        <f t="shared" si="17"/>
        <v>3</v>
      </c>
      <c r="P5" s="42">
        <v>102064</v>
      </c>
      <c r="Q5" s="16">
        <f t="shared" si="18"/>
        <v>96</v>
      </c>
      <c r="R5" s="1">
        <f t="shared" si="19"/>
        <v>55047</v>
      </c>
      <c r="S5" s="16">
        <f t="shared" si="20"/>
        <v>0</v>
      </c>
      <c r="T5" s="42">
        <v>3622</v>
      </c>
      <c r="U5" s="16">
        <f t="shared" si="21"/>
        <v>0</v>
      </c>
    </row>
    <row r="6" spans="1:24" ht="13.5" thickBot="1" x14ac:dyDescent="0.25">
      <c r="A6" s="10">
        <v>44320</v>
      </c>
      <c r="B6" s="42">
        <v>45203</v>
      </c>
      <c r="C6" s="16">
        <f t="shared" si="11"/>
        <v>800</v>
      </c>
      <c r="D6" s="42">
        <v>39482</v>
      </c>
      <c r="E6" s="16">
        <f t="shared" si="12"/>
        <v>320</v>
      </c>
      <c r="F6" s="42">
        <v>20328</v>
      </c>
      <c r="G6" s="16">
        <f t="shared" si="13"/>
        <v>60</v>
      </c>
      <c r="H6" s="42">
        <v>240964</v>
      </c>
      <c r="I6" s="16">
        <f t="shared" si="14"/>
        <v>54</v>
      </c>
      <c r="J6" s="42">
        <v>303517</v>
      </c>
      <c r="K6" s="16">
        <f t="shared" si="15"/>
        <v>0</v>
      </c>
      <c r="L6" s="42">
        <v>24894</v>
      </c>
      <c r="M6" s="16">
        <f t="shared" si="16"/>
        <v>480</v>
      </c>
      <c r="N6" s="42">
        <v>215458</v>
      </c>
      <c r="O6" s="16">
        <f t="shared" si="17"/>
        <v>3</v>
      </c>
      <c r="P6" s="42">
        <v>102170</v>
      </c>
      <c r="Q6" s="16">
        <f t="shared" si="18"/>
        <v>106</v>
      </c>
      <c r="R6" s="1">
        <f t="shared" si="19"/>
        <v>55047</v>
      </c>
      <c r="S6" s="16">
        <f>R30-R5</f>
        <v>0</v>
      </c>
      <c r="T6" s="42">
        <v>3623</v>
      </c>
      <c r="U6" s="16">
        <f t="shared" si="21"/>
        <v>160</v>
      </c>
    </row>
    <row r="7" spans="1:24" ht="13.5" thickBot="1" x14ac:dyDescent="0.25">
      <c r="A7" s="10">
        <v>44321</v>
      </c>
      <c r="B7" s="42">
        <v>45208</v>
      </c>
      <c r="C7" s="16">
        <f t="shared" si="11"/>
        <v>800</v>
      </c>
      <c r="D7" s="42">
        <v>39484</v>
      </c>
      <c r="E7" s="16">
        <f t="shared" si="12"/>
        <v>320</v>
      </c>
      <c r="F7" s="42">
        <v>20331</v>
      </c>
      <c r="G7" s="16">
        <f t="shared" si="13"/>
        <v>60</v>
      </c>
      <c r="H7" s="42">
        <v>241015</v>
      </c>
      <c r="I7" s="16">
        <f t="shared" si="14"/>
        <v>51</v>
      </c>
      <c r="J7" s="42">
        <v>303517</v>
      </c>
      <c r="K7" s="16">
        <f t="shared" si="15"/>
        <v>0</v>
      </c>
      <c r="L7" s="42">
        <v>24898</v>
      </c>
      <c r="M7" s="16">
        <f t="shared" si="16"/>
        <v>640</v>
      </c>
      <c r="N7" s="42">
        <v>215463</v>
      </c>
      <c r="O7" s="16">
        <f t="shared" si="17"/>
        <v>5</v>
      </c>
      <c r="P7" s="42">
        <v>102280</v>
      </c>
      <c r="Q7" s="16">
        <f t="shared" si="18"/>
        <v>110</v>
      </c>
      <c r="R7" s="1">
        <f t="shared" si="19"/>
        <v>55047</v>
      </c>
      <c r="S7" s="16">
        <f>R7-R30</f>
        <v>0</v>
      </c>
      <c r="T7" s="42">
        <v>3624</v>
      </c>
      <c r="U7" s="16">
        <f t="shared" si="21"/>
        <v>160</v>
      </c>
    </row>
    <row r="8" spans="1:24" ht="13.5" thickBot="1" x14ac:dyDescent="0.25">
      <c r="A8" s="10">
        <v>44322</v>
      </c>
      <c r="B8" s="42">
        <v>45211</v>
      </c>
      <c r="C8" s="16">
        <f t="shared" si="11"/>
        <v>480</v>
      </c>
      <c r="D8" s="42">
        <v>39487</v>
      </c>
      <c r="E8" s="16">
        <f t="shared" si="12"/>
        <v>480</v>
      </c>
      <c r="F8" s="42">
        <v>20334</v>
      </c>
      <c r="G8" s="16">
        <f t="shared" si="13"/>
        <v>60</v>
      </c>
      <c r="H8" s="42">
        <v>241053</v>
      </c>
      <c r="I8" s="16">
        <f t="shared" si="14"/>
        <v>38</v>
      </c>
      <c r="J8" s="42">
        <v>303517</v>
      </c>
      <c r="K8" s="16">
        <f t="shared" si="15"/>
        <v>0</v>
      </c>
      <c r="L8" s="42">
        <v>24901</v>
      </c>
      <c r="M8" s="16">
        <f t="shared" si="16"/>
        <v>480</v>
      </c>
      <c r="N8" s="42">
        <v>215464</v>
      </c>
      <c r="O8" s="16">
        <f t="shared" si="17"/>
        <v>1</v>
      </c>
      <c r="P8" s="42">
        <v>102378</v>
      </c>
      <c r="Q8" s="16">
        <f t="shared" si="18"/>
        <v>98</v>
      </c>
      <c r="R8" s="1">
        <f t="shared" si="19"/>
        <v>55047</v>
      </c>
      <c r="S8" s="16">
        <f t="shared" ref="S8" si="22">R8-R7</f>
        <v>0</v>
      </c>
      <c r="T8" s="42">
        <v>3625</v>
      </c>
      <c r="U8" s="16">
        <f t="shared" si="21"/>
        <v>160</v>
      </c>
    </row>
    <row r="9" spans="1:24" ht="13.5" thickBot="1" x14ac:dyDescent="0.25">
      <c r="A9" s="10">
        <v>44323</v>
      </c>
      <c r="B9" s="42">
        <v>45215</v>
      </c>
      <c r="C9" s="16">
        <f t="shared" si="11"/>
        <v>640</v>
      </c>
      <c r="D9" s="42">
        <v>39490</v>
      </c>
      <c r="E9" s="16">
        <f t="shared" si="12"/>
        <v>480</v>
      </c>
      <c r="F9" s="42">
        <v>20337</v>
      </c>
      <c r="G9" s="16">
        <f t="shared" si="13"/>
        <v>60</v>
      </c>
      <c r="H9" s="42">
        <v>241105</v>
      </c>
      <c r="I9" s="16">
        <f t="shared" si="14"/>
        <v>52</v>
      </c>
      <c r="J9" s="42">
        <v>303517</v>
      </c>
      <c r="K9" s="16">
        <f t="shared" si="15"/>
        <v>0</v>
      </c>
      <c r="L9" s="42">
        <f t="shared" ref="L9:L33" si="23">L8</f>
        <v>24901</v>
      </c>
      <c r="M9" s="16">
        <f t="shared" si="16"/>
        <v>0</v>
      </c>
      <c r="N9" s="42">
        <v>215467</v>
      </c>
      <c r="O9" s="16">
        <f t="shared" si="17"/>
        <v>3</v>
      </c>
      <c r="P9" s="42">
        <v>102770</v>
      </c>
      <c r="Q9" s="16">
        <f>P9-P8</f>
        <v>392</v>
      </c>
      <c r="R9" s="1">
        <v>55047</v>
      </c>
      <c r="S9" s="16">
        <f>R9-R8</f>
        <v>0</v>
      </c>
      <c r="T9" s="42">
        <v>3626</v>
      </c>
      <c r="U9" s="16">
        <f t="shared" si="21"/>
        <v>160</v>
      </c>
    </row>
    <row r="10" spans="1:24" ht="13.5" thickBot="1" x14ac:dyDescent="0.25">
      <c r="A10" s="10">
        <v>44324</v>
      </c>
      <c r="B10" s="42">
        <v>45220</v>
      </c>
      <c r="C10" s="16">
        <f t="shared" si="11"/>
        <v>800</v>
      </c>
      <c r="D10" s="42">
        <v>39492</v>
      </c>
      <c r="E10" s="16">
        <f t="shared" si="12"/>
        <v>320</v>
      </c>
      <c r="F10" s="42">
        <v>20340</v>
      </c>
      <c r="G10" s="16">
        <f t="shared" si="13"/>
        <v>60</v>
      </c>
      <c r="H10" s="42">
        <v>241149</v>
      </c>
      <c r="I10" s="16">
        <f t="shared" si="14"/>
        <v>44</v>
      </c>
      <c r="J10" s="42">
        <v>303517</v>
      </c>
      <c r="K10" s="16">
        <f t="shared" si="15"/>
        <v>0</v>
      </c>
      <c r="L10" s="42">
        <v>24907</v>
      </c>
      <c r="M10" s="16">
        <f t="shared" si="16"/>
        <v>960</v>
      </c>
      <c r="N10" s="42">
        <v>215471</v>
      </c>
      <c r="O10" s="16">
        <f t="shared" si="17"/>
        <v>4</v>
      </c>
      <c r="P10" s="42">
        <v>102841</v>
      </c>
      <c r="Q10" s="16">
        <f>P10-P9</f>
        <v>71</v>
      </c>
      <c r="R10" s="1">
        <v>55047</v>
      </c>
      <c r="S10" s="16">
        <f>R10-R9</f>
        <v>0</v>
      </c>
      <c r="T10" s="42">
        <v>3627</v>
      </c>
      <c r="U10" s="16">
        <f t="shared" si="21"/>
        <v>160</v>
      </c>
    </row>
    <row r="11" spans="1:24" ht="13.5" thickBot="1" x14ac:dyDescent="0.25">
      <c r="A11" s="10">
        <v>44325</v>
      </c>
      <c r="B11" s="42">
        <v>45224</v>
      </c>
      <c r="C11" s="16">
        <f t="shared" si="11"/>
        <v>640</v>
      </c>
      <c r="D11" s="42">
        <v>39495</v>
      </c>
      <c r="E11" s="16">
        <f t="shared" si="12"/>
        <v>480</v>
      </c>
      <c r="F11" s="42">
        <v>20343</v>
      </c>
      <c r="G11" s="16">
        <f t="shared" si="13"/>
        <v>60</v>
      </c>
      <c r="H11" s="42">
        <v>241192</v>
      </c>
      <c r="I11" s="16">
        <f t="shared" si="14"/>
        <v>43</v>
      </c>
      <c r="J11" s="42">
        <v>303517</v>
      </c>
      <c r="K11" s="16">
        <f t="shared" si="15"/>
        <v>0</v>
      </c>
      <c r="L11" s="42">
        <v>24910</v>
      </c>
      <c r="M11" s="16">
        <f t="shared" si="16"/>
        <v>480</v>
      </c>
      <c r="N11" s="42">
        <v>215474</v>
      </c>
      <c r="O11" s="16">
        <f t="shared" si="17"/>
        <v>3</v>
      </c>
      <c r="P11" s="42">
        <v>102999</v>
      </c>
      <c r="Q11" s="16">
        <f t="shared" si="18"/>
        <v>158</v>
      </c>
      <c r="R11" s="1">
        <v>55047</v>
      </c>
      <c r="S11" s="16">
        <f t="shared" si="20"/>
        <v>0</v>
      </c>
      <c r="T11" s="42">
        <v>3628</v>
      </c>
      <c r="U11" s="16">
        <f t="shared" si="21"/>
        <v>160</v>
      </c>
    </row>
    <row r="12" spans="1:24" ht="13.5" thickBot="1" x14ac:dyDescent="0.25">
      <c r="A12" s="10">
        <v>44326</v>
      </c>
      <c r="B12" s="42">
        <v>45229</v>
      </c>
      <c r="C12" s="16">
        <f t="shared" si="11"/>
        <v>800</v>
      </c>
      <c r="D12" s="42">
        <v>39497</v>
      </c>
      <c r="E12" s="16">
        <f t="shared" si="12"/>
        <v>320</v>
      </c>
      <c r="F12" s="42">
        <v>20346</v>
      </c>
      <c r="G12" s="16">
        <f t="shared" si="13"/>
        <v>60</v>
      </c>
      <c r="H12" s="42">
        <v>241252</v>
      </c>
      <c r="I12" s="16">
        <f t="shared" si="14"/>
        <v>60</v>
      </c>
      <c r="J12" s="42">
        <v>303517</v>
      </c>
      <c r="K12" s="16">
        <f t="shared" si="15"/>
        <v>0</v>
      </c>
      <c r="L12" s="42">
        <v>24914</v>
      </c>
      <c r="M12" s="16">
        <f t="shared" si="16"/>
        <v>640</v>
      </c>
      <c r="N12" s="42">
        <v>215477</v>
      </c>
      <c r="O12" s="16">
        <f t="shared" si="17"/>
        <v>3</v>
      </c>
      <c r="P12" s="42">
        <v>103167</v>
      </c>
      <c r="Q12" s="16">
        <f t="shared" si="18"/>
        <v>168</v>
      </c>
      <c r="R12" s="1">
        <v>55047</v>
      </c>
      <c r="S12" s="16">
        <f t="shared" si="20"/>
        <v>0</v>
      </c>
      <c r="T12" s="42">
        <v>3629</v>
      </c>
      <c r="U12" s="16">
        <f t="shared" si="21"/>
        <v>160</v>
      </c>
    </row>
    <row r="13" spans="1:24" ht="13.5" thickBot="1" x14ac:dyDescent="0.25">
      <c r="A13" s="10">
        <v>44327</v>
      </c>
      <c r="B13" s="42">
        <v>45233</v>
      </c>
      <c r="C13" s="16">
        <f t="shared" si="11"/>
        <v>640</v>
      </c>
      <c r="D13" s="42">
        <v>39499</v>
      </c>
      <c r="E13" s="16">
        <f t="shared" si="12"/>
        <v>320</v>
      </c>
      <c r="F13" s="42">
        <v>20349</v>
      </c>
      <c r="G13" s="16">
        <f t="shared" si="13"/>
        <v>60</v>
      </c>
      <c r="H13" s="42">
        <v>241293</v>
      </c>
      <c r="I13" s="16">
        <f t="shared" si="14"/>
        <v>41</v>
      </c>
      <c r="J13" s="42">
        <v>303517</v>
      </c>
      <c r="K13" s="16">
        <f t="shared" si="15"/>
        <v>0</v>
      </c>
      <c r="L13" s="42">
        <v>24917</v>
      </c>
      <c r="M13" s="16">
        <f t="shared" si="16"/>
        <v>480</v>
      </c>
      <c r="N13" s="42">
        <v>215480</v>
      </c>
      <c r="O13" s="16">
        <f t="shared" si="17"/>
        <v>3</v>
      </c>
      <c r="P13" s="42">
        <f t="shared" ref="P13:P33" si="24">P12</f>
        <v>103167</v>
      </c>
      <c r="Q13" s="16">
        <f t="shared" si="18"/>
        <v>0</v>
      </c>
      <c r="R13" s="1">
        <v>55047</v>
      </c>
      <c r="S13" s="16">
        <f t="shared" si="20"/>
        <v>0</v>
      </c>
      <c r="T13" s="42">
        <v>3629</v>
      </c>
      <c r="U13" s="16">
        <f t="shared" si="21"/>
        <v>0</v>
      </c>
    </row>
    <row r="14" spans="1:24" ht="13.5" thickBot="1" x14ac:dyDescent="0.25">
      <c r="A14" s="10">
        <v>44328</v>
      </c>
      <c r="B14" s="42">
        <v>45238</v>
      </c>
      <c r="C14" s="16">
        <f t="shared" si="11"/>
        <v>800</v>
      </c>
      <c r="D14" s="42">
        <v>39502</v>
      </c>
      <c r="E14" s="16">
        <f t="shared" si="12"/>
        <v>480</v>
      </c>
      <c r="F14" s="42">
        <v>20352</v>
      </c>
      <c r="G14" s="16">
        <f t="shared" si="13"/>
        <v>60</v>
      </c>
      <c r="H14" s="42">
        <v>241342</v>
      </c>
      <c r="I14" s="16">
        <f t="shared" si="14"/>
        <v>49</v>
      </c>
      <c r="J14" s="42">
        <v>303517</v>
      </c>
      <c r="K14" s="16">
        <f t="shared" si="15"/>
        <v>0</v>
      </c>
      <c r="L14" s="42">
        <v>24920</v>
      </c>
      <c r="M14" s="16">
        <f t="shared" si="16"/>
        <v>480</v>
      </c>
      <c r="N14" s="42">
        <v>215483</v>
      </c>
      <c r="O14" s="16">
        <f t="shared" si="17"/>
        <v>3</v>
      </c>
      <c r="P14" s="42">
        <v>103472</v>
      </c>
      <c r="Q14" s="16">
        <f t="shared" si="18"/>
        <v>305</v>
      </c>
      <c r="R14" s="1">
        <v>55047</v>
      </c>
      <c r="S14" s="16">
        <f t="shared" si="20"/>
        <v>0</v>
      </c>
      <c r="T14" s="42">
        <v>3630</v>
      </c>
      <c r="U14" s="16">
        <f>(T14-T13)*800/5</f>
        <v>160</v>
      </c>
    </row>
    <row r="15" spans="1:24" ht="13.5" thickBot="1" x14ac:dyDescent="0.25">
      <c r="A15" s="10">
        <v>44329</v>
      </c>
      <c r="B15" s="42">
        <v>45242</v>
      </c>
      <c r="C15" s="16">
        <f t="shared" si="11"/>
        <v>640</v>
      </c>
      <c r="D15" s="42">
        <v>39505</v>
      </c>
      <c r="E15" s="16">
        <f t="shared" si="12"/>
        <v>480</v>
      </c>
      <c r="F15" s="42">
        <v>20356</v>
      </c>
      <c r="G15" s="16">
        <f t="shared" si="13"/>
        <v>80</v>
      </c>
      <c r="H15" s="42">
        <v>241405</v>
      </c>
      <c r="I15" s="16">
        <f t="shared" si="14"/>
        <v>63</v>
      </c>
      <c r="J15" s="42">
        <v>303517</v>
      </c>
      <c r="K15" s="16">
        <f t="shared" si="15"/>
        <v>0</v>
      </c>
      <c r="L15" s="42">
        <v>24923</v>
      </c>
      <c r="M15" s="16">
        <f t="shared" si="16"/>
        <v>480</v>
      </c>
      <c r="N15" s="42">
        <v>215487</v>
      </c>
      <c r="O15" s="16">
        <f t="shared" si="17"/>
        <v>4</v>
      </c>
      <c r="P15" s="42">
        <v>103580</v>
      </c>
      <c r="Q15" s="16">
        <f t="shared" si="18"/>
        <v>108</v>
      </c>
      <c r="R15" s="1">
        <v>55047</v>
      </c>
      <c r="S15" s="16">
        <f t="shared" si="20"/>
        <v>0</v>
      </c>
      <c r="T15" s="42">
        <v>3631</v>
      </c>
      <c r="U15" s="16">
        <f t="shared" ref="U15" si="25">(T15-T14)*800/5</f>
        <v>160</v>
      </c>
      <c r="X15" t="s">
        <v>12</v>
      </c>
    </row>
    <row r="16" spans="1:24" ht="13.5" thickBot="1" x14ac:dyDescent="0.25">
      <c r="A16" s="10">
        <v>44330</v>
      </c>
      <c r="B16" s="42">
        <v>45247</v>
      </c>
      <c r="C16" s="16">
        <f t="shared" si="11"/>
        <v>800</v>
      </c>
      <c r="D16" s="42">
        <v>39507</v>
      </c>
      <c r="E16" s="16">
        <f t="shared" si="12"/>
        <v>320</v>
      </c>
      <c r="F16" s="42">
        <v>20359</v>
      </c>
      <c r="G16" s="16">
        <f t="shared" si="13"/>
        <v>60</v>
      </c>
      <c r="H16" s="42">
        <v>241466</v>
      </c>
      <c r="I16" s="16">
        <f t="shared" si="14"/>
        <v>61</v>
      </c>
      <c r="J16" s="42">
        <v>303517</v>
      </c>
      <c r="K16" s="16">
        <f t="shared" si="15"/>
        <v>0</v>
      </c>
      <c r="L16" s="42">
        <v>24926</v>
      </c>
      <c r="M16" s="16">
        <f t="shared" si="16"/>
        <v>480</v>
      </c>
      <c r="N16" s="42">
        <v>215490</v>
      </c>
      <c r="O16" s="16">
        <f t="shared" si="17"/>
        <v>3</v>
      </c>
      <c r="P16" s="42">
        <v>103646</v>
      </c>
      <c r="Q16" s="16">
        <f t="shared" si="18"/>
        <v>66</v>
      </c>
      <c r="R16" s="1">
        <f t="shared" si="19"/>
        <v>55047</v>
      </c>
      <c r="S16" s="16">
        <f t="shared" si="20"/>
        <v>0</v>
      </c>
      <c r="T16" s="42">
        <v>3632</v>
      </c>
      <c r="U16" s="16">
        <f t="shared" si="21"/>
        <v>160</v>
      </c>
      <c r="W16" t="s">
        <v>12</v>
      </c>
    </row>
    <row r="17" spans="1:23" ht="13.5" thickBot="1" x14ac:dyDescent="0.25">
      <c r="A17" s="10">
        <v>44331</v>
      </c>
      <c r="B17" s="42">
        <v>45251</v>
      </c>
      <c r="C17" s="16">
        <f t="shared" si="11"/>
        <v>640</v>
      </c>
      <c r="D17" s="42">
        <v>39509</v>
      </c>
      <c r="E17" s="16">
        <f t="shared" si="12"/>
        <v>320</v>
      </c>
      <c r="F17" s="42">
        <v>20362</v>
      </c>
      <c r="G17" s="16">
        <f t="shared" si="13"/>
        <v>60</v>
      </c>
      <c r="H17" s="42">
        <v>241510</v>
      </c>
      <c r="I17" s="16">
        <f t="shared" si="14"/>
        <v>44</v>
      </c>
      <c r="J17" s="42">
        <f t="shared" ref="J17:J32" si="26">J16</f>
        <v>303517</v>
      </c>
      <c r="K17" s="16">
        <f t="shared" si="15"/>
        <v>0</v>
      </c>
      <c r="L17" s="42">
        <v>24928</v>
      </c>
      <c r="M17" s="16">
        <f t="shared" si="16"/>
        <v>320</v>
      </c>
      <c r="N17" s="42">
        <v>215493</v>
      </c>
      <c r="O17" s="16">
        <f t="shared" si="17"/>
        <v>3</v>
      </c>
      <c r="P17" s="42">
        <v>103738</v>
      </c>
      <c r="Q17" s="16">
        <f t="shared" si="18"/>
        <v>92</v>
      </c>
      <c r="R17" s="1">
        <f t="shared" si="19"/>
        <v>55047</v>
      </c>
      <c r="S17" s="16">
        <f>S16</f>
        <v>0</v>
      </c>
      <c r="T17" s="42">
        <v>3633</v>
      </c>
      <c r="U17" s="16">
        <f t="shared" si="21"/>
        <v>160</v>
      </c>
    </row>
    <row r="18" spans="1:23" ht="13.5" thickBot="1" x14ac:dyDescent="0.25">
      <c r="A18" s="10">
        <v>44332</v>
      </c>
      <c r="B18" s="42">
        <v>45257</v>
      </c>
      <c r="C18" s="16">
        <f t="shared" si="11"/>
        <v>960</v>
      </c>
      <c r="D18" s="42">
        <v>39513</v>
      </c>
      <c r="E18" s="16">
        <f t="shared" si="12"/>
        <v>640</v>
      </c>
      <c r="F18" s="42">
        <v>20365</v>
      </c>
      <c r="G18" s="16">
        <f t="shared" si="13"/>
        <v>60</v>
      </c>
      <c r="H18" s="42">
        <v>241586</v>
      </c>
      <c r="I18" s="16">
        <f t="shared" si="14"/>
        <v>76</v>
      </c>
      <c r="J18" s="42">
        <f t="shared" si="26"/>
        <v>303517</v>
      </c>
      <c r="K18" s="16">
        <f t="shared" si="15"/>
        <v>0</v>
      </c>
      <c r="L18" s="42">
        <v>24932</v>
      </c>
      <c r="M18" s="16">
        <f t="shared" si="16"/>
        <v>640</v>
      </c>
      <c r="N18" s="42">
        <v>215497</v>
      </c>
      <c r="O18" s="16">
        <f t="shared" si="17"/>
        <v>4</v>
      </c>
      <c r="P18" s="42">
        <v>103933</v>
      </c>
      <c r="Q18" s="16">
        <f t="shared" si="18"/>
        <v>195</v>
      </c>
      <c r="R18" s="1">
        <v>55047</v>
      </c>
      <c r="S18" s="16">
        <f t="shared" si="20"/>
        <v>0</v>
      </c>
      <c r="T18" s="42">
        <v>3634</v>
      </c>
      <c r="U18" s="16">
        <f t="shared" si="21"/>
        <v>160</v>
      </c>
    </row>
    <row r="19" spans="1:23" ht="13.5" thickBot="1" x14ac:dyDescent="0.25">
      <c r="A19" s="10">
        <v>44333</v>
      </c>
      <c r="B19" s="42">
        <v>45261</v>
      </c>
      <c r="C19" s="16">
        <f t="shared" si="11"/>
        <v>640</v>
      </c>
      <c r="D19" s="42">
        <v>39514</v>
      </c>
      <c r="E19" s="16">
        <f t="shared" si="12"/>
        <v>160</v>
      </c>
      <c r="F19" s="42">
        <v>20368</v>
      </c>
      <c r="G19" s="16">
        <f t="shared" si="13"/>
        <v>60</v>
      </c>
      <c r="H19" s="42">
        <v>241651</v>
      </c>
      <c r="I19" s="16">
        <f t="shared" si="14"/>
        <v>65</v>
      </c>
      <c r="J19" s="42">
        <f t="shared" si="26"/>
        <v>303517</v>
      </c>
      <c r="K19" s="16">
        <f t="shared" si="15"/>
        <v>0</v>
      </c>
      <c r="L19" s="42">
        <v>24935</v>
      </c>
      <c r="M19" s="16">
        <f t="shared" si="16"/>
        <v>480</v>
      </c>
      <c r="N19" s="42">
        <v>215500</v>
      </c>
      <c r="O19" s="16">
        <f t="shared" si="17"/>
        <v>3</v>
      </c>
      <c r="P19" s="42">
        <v>104132</v>
      </c>
      <c r="Q19" s="16">
        <f t="shared" si="18"/>
        <v>199</v>
      </c>
      <c r="R19" s="1">
        <f t="shared" si="19"/>
        <v>55047</v>
      </c>
      <c r="S19" s="16">
        <f t="shared" si="20"/>
        <v>0</v>
      </c>
      <c r="T19" s="42">
        <v>3635</v>
      </c>
      <c r="U19" s="16">
        <f t="shared" si="21"/>
        <v>160</v>
      </c>
      <c r="W19" t="s">
        <v>12</v>
      </c>
    </row>
    <row r="20" spans="1:23" ht="13.5" thickBot="1" x14ac:dyDescent="0.25">
      <c r="A20" s="10">
        <v>44334</v>
      </c>
      <c r="B20" s="42">
        <v>45267</v>
      </c>
      <c r="C20" s="16">
        <f t="shared" si="11"/>
        <v>960</v>
      </c>
      <c r="D20" s="42">
        <v>39517</v>
      </c>
      <c r="E20" s="16">
        <f t="shared" si="12"/>
        <v>480</v>
      </c>
      <c r="F20" s="42">
        <v>20371</v>
      </c>
      <c r="G20" s="16">
        <f t="shared" si="13"/>
        <v>60</v>
      </c>
      <c r="H20" s="42">
        <v>241718</v>
      </c>
      <c r="I20" s="16">
        <f t="shared" si="14"/>
        <v>67</v>
      </c>
      <c r="J20" s="42">
        <f t="shared" si="26"/>
        <v>303517</v>
      </c>
      <c r="K20" s="16">
        <v>0</v>
      </c>
      <c r="L20" s="42">
        <v>24939</v>
      </c>
      <c r="M20" s="16">
        <f t="shared" si="16"/>
        <v>640</v>
      </c>
      <c r="N20" s="42">
        <v>215504</v>
      </c>
      <c r="O20" s="16">
        <f t="shared" si="17"/>
        <v>4</v>
      </c>
      <c r="P20" s="42">
        <v>104329</v>
      </c>
      <c r="Q20" s="16">
        <f t="shared" si="18"/>
        <v>197</v>
      </c>
      <c r="R20" s="1">
        <f t="shared" si="19"/>
        <v>55047</v>
      </c>
      <c r="S20" s="16">
        <f t="shared" si="20"/>
        <v>0</v>
      </c>
      <c r="T20" s="42">
        <v>3636</v>
      </c>
      <c r="U20" s="16">
        <f t="shared" si="21"/>
        <v>160</v>
      </c>
    </row>
    <row r="21" spans="1:23" ht="13.5" thickBot="1" x14ac:dyDescent="0.25">
      <c r="A21" s="10">
        <v>44335</v>
      </c>
      <c r="B21" s="42">
        <v>45272</v>
      </c>
      <c r="C21" s="16">
        <f t="shared" si="11"/>
        <v>800</v>
      </c>
      <c r="D21" s="42">
        <v>39521</v>
      </c>
      <c r="E21" s="16">
        <f t="shared" si="12"/>
        <v>640</v>
      </c>
      <c r="F21" s="42">
        <v>20374</v>
      </c>
      <c r="G21" s="16">
        <f t="shared" si="13"/>
        <v>60</v>
      </c>
      <c r="H21" s="42">
        <v>241785</v>
      </c>
      <c r="I21" s="16">
        <f t="shared" si="14"/>
        <v>67</v>
      </c>
      <c r="J21" s="42">
        <v>303517</v>
      </c>
      <c r="K21" s="16">
        <f t="shared" si="15"/>
        <v>0</v>
      </c>
      <c r="L21" s="42">
        <v>24943</v>
      </c>
      <c r="M21" s="16">
        <f t="shared" si="16"/>
        <v>640</v>
      </c>
      <c r="N21" s="42">
        <v>215506</v>
      </c>
      <c r="O21" s="16">
        <f t="shared" si="17"/>
        <v>2</v>
      </c>
      <c r="P21" s="42">
        <v>104524</v>
      </c>
      <c r="Q21" s="16">
        <f t="shared" si="18"/>
        <v>195</v>
      </c>
      <c r="R21" s="1">
        <v>55247</v>
      </c>
      <c r="S21" s="16">
        <f t="shared" si="20"/>
        <v>200</v>
      </c>
      <c r="T21" s="42">
        <v>3638</v>
      </c>
      <c r="U21" s="16">
        <f t="shared" si="21"/>
        <v>320</v>
      </c>
    </row>
    <row r="22" spans="1:23" ht="13.5" thickBot="1" x14ac:dyDescent="0.25">
      <c r="A22" s="10">
        <v>44336</v>
      </c>
      <c r="B22" s="42">
        <v>45277</v>
      </c>
      <c r="C22" s="16">
        <f t="shared" si="11"/>
        <v>800</v>
      </c>
      <c r="D22" s="42">
        <v>39522</v>
      </c>
      <c r="E22" s="16">
        <f t="shared" si="12"/>
        <v>160</v>
      </c>
      <c r="F22" s="42">
        <v>20377</v>
      </c>
      <c r="G22" s="16">
        <f t="shared" si="13"/>
        <v>60</v>
      </c>
      <c r="H22" s="42">
        <v>241840</v>
      </c>
      <c r="I22" s="16">
        <f t="shared" si="14"/>
        <v>55</v>
      </c>
      <c r="J22" s="42">
        <v>303517</v>
      </c>
      <c r="K22" s="16">
        <f t="shared" si="15"/>
        <v>0</v>
      </c>
      <c r="L22" s="42">
        <v>24946</v>
      </c>
      <c r="M22" s="16">
        <f t="shared" si="16"/>
        <v>480</v>
      </c>
      <c r="N22" s="42">
        <v>215510</v>
      </c>
      <c r="O22" s="16">
        <f t="shared" si="17"/>
        <v>4</v>
      </c>
      <c r="P22" s="42"/>
      <c r="Q22" s="16">
        <f t="shared" si="18"/>
        <v>-104524</v>
      </c>
      <c r="R22" s="1">
        <v>55047</v>
      </c>
      <c r="S22" s="16">
        <f t="shared" si="20"/>
        <v>-200</v>
      </c>
      <c r="T22" s="42">
        <v>3639</v>
      </c>
      <c r="U22" s="16">
        <f t="shared" si="21"/>
        <v>160</v>
      </c>
    </row>
    <row r="23" spans="1:23" ht="13.5" thickBot="1" x14ac:dyDescent="0.25">
      <c r="A23" s="10">
        <v>44337</v>
      </c>
      <c r="B23" s="42">
        <v>45281</v>
      </c>
      <c r="C23" s="16">
        <f t="shared" si="11"/>
        <v>640</v>
      </c>
      <c r="D23" s="42">
        <v>39528</v>
      </c>
      <c r="E23" s="16">
        <f t="shared" si="12"/>
        <v>960</v>
      </c>
      <c r="F23" s="42">
        <v>20380</v>
      </c>
      <c r="G23" s="16">
        <f t="shared" si="13"/>
        <v>60</v>
      </c>
      <c r="H23" s="42">
        <v>241910</v>
      </c>
      <c r="I23" s="16">
        <f t="shared" si="14"/>
        <v>70</v>
      </c>
      <c r="J23" s="42">
        <v>303517</v>
      </c>
      <c r="K23" s="16">
        <f t="shared" si="15"/>
        <v>0</v>
      </c>
      <c r="L23" s="42">
        <v>24949</v>
      </c>
      <c r="M23" s="16">
        <f t="shared" si="16"/>
        <v>480</v>
      </c>
      <c r="N23" s="42">
        <v>215513</v>
      </c>
      <c r="O23" s="16">
        <f t="shared" si="17"/>
        <v>3</v>
      </c>
      <c r="P23" s="42"/>
      <c r="Q23" s="16">
        <f t="shared" si="18"/>
        <v>0</v>
      </c>
      <c r="R23" s="1">
        <v>55047</v>
      </c>
      <c r="S23" s="16">
        <f t="shared" si="20"/>
        <v>0</v>
      </c>
      <c r="T23" s="42">
        <v>3640</v>
      </c>
      <c r="U23" s="16">
        <f t="shared" si="21"/>
        <v>160</v>
      </c>
    </row>
    <row r="24" spans="1:23" s="156" customFormat="1" ht="13.5" thickBot="1" x14ac:dyDescent="0.25">
      <c r="A24" s="10">
        <v>44338</v>
      </c>
      <c r="B24" s="42">
        <v>45285</v>
      </c>
      <c r="C24" s="16">
        <f t="shared" si="11"/>
        <v>640</v>
      </c>
      <c r="D24" s="42">
        <v>39537</v>
      </c>
      <c r="E24" s="16">
        <f t="shared" si="12"/>
        <v>1440</v>
      </c>
      <c r="F24" s="42">
        <v>20382</v>
      </c>
      <c r="G24" s="16">
        <f t="shared" si="13"/>
        <v>40</v>
      </c>
      <c r="H24" s="42">
        <v>241975</v>
      </c>
      <c r="I24" s="16">
        <f t="shared" si="14"/>
        <v>65</v>
      </c>
      <c r="J24" s="42">
        <v>303517</v>
      </c>
      <c r="K24" s="16">
        <f t="shared" si="15"/>
        <v>0</v>
      </c>
      <c r="L24" s="42">
        <v>24952</v>
      </c>
      <c r="M24" s="16">
        <f t="shared" si="16"/>
        <v>480</v>
      </c>
      <c r="N24" s="42">
        <v>215516</v>
      </c>
      <c r="O24" s="16">
        <f t="shared" si="17"/>
        <v>3</v>
      </c>
      <c r="P24" s="42">
        <f t="shared" si="24"/>
        <v>0</v>
      </c>
      <c r="Q24" s="16">
        <f t="shared" si="18"/>
        <v>0</v>
      </c>
      <c r="R24" s="1">
        <v>55097</v>
      </c>
      <c r="S24" s="16">
        <f t="shared" si="20"/>
        <v>50</v>
      </c>
      <c r="T24" s="42">
        <v>3641</v>
      </c>
      <c r="U24" s="16">
        <f t="shared" si="21"/>
        <v>160</v>
      </c>
    </row>
    <row r="25" spans="1:23" ht="13.5" thickBot="1" x14ac:dyDescent="0.25">
      <c r="A25" s="10">
        <v>44339</v>
      </c>
      <c r="B25" s="42">
        <f t="shared" ref="B24:B33" si="27">B24</f>
        <v>45285</v>
      </c>
      <c r="C25" s="16">
        <f t="shared" si="11"/>
        <v>0</v>
      </c>
      <c r="D25" s="42">
        <f t="shared" ref="D24:D33" si="28">D24</f>
        <v>39537</v>
      </c>
      <c r="E25" s="16">
        <f t="shared" si="12"/>
        <v>0</v>
      </c>
      <c r="F25" s="42">
        <f t="shared" ref="F24:F33" si="29">F24</f>
        <v>20382</v>
      </c>
      <c r="G25" s="16">
        <f t="shared" si="13"/>
        <v>0</v>
      </c>
      <c r="H25" s="42">
        <f t="shared" ref="H24:H33" si="30">H24</f>
        <v>241975</v>
      </c>
      <c r="I25" s="16">
        <f t="shared" si="14"/>
        <v>0</v>
      </c>
      <c r="J25" s="42">
        <v>303517</v>
      </c>
      <c r="K25" s="16">
        <f t="shared" si="15"/>
        <v>0</v>
      </c>
      <c r="L25" s="42">
        <f t="shared" si="23"/>
        <v>24952</v>
      </c>
      <c r="M25" s="16">
        <f t="shared" si="16"/>
        <v>0</v>
      </c>
      <c r="N25" s="42">
        <f t="shared" ref="N24:N33" si="31">N24</f>
        <v>215516</v>
      </c>
      <c r="O25" s="16">
        <f t="shared" si="17"/>
        <v>0</v>
      </c>
      <c r="P25" s="42">
        <f t="shared" si="24"/>
        <v>0</v>
      </c>
      <c r="Q25" s="16">
        <f t="shared" si="18"/>
        <v>0</v>
      </c>
      <c r="R25" s="1">
        <f t="shared" si="19"/>
        <v>55097</v>
      </c>
      <c r="S25" s="16">
        <f t="shared" si="20"/>
        <v>0</v>
      </c>
      <c r="T25" s="42">
        <f t="shared" ref="T24:T33" si="32">T24</f>
        <v>3641</v>
      </c>
      <c r="U25" s="16">
        <f t="shared" si="21"/>
        <v>0</v>
      </c>
      <c r="V25" t="s">
        <v>12</v>
      </c>
    </row>
    <row r="26" spans="1:23" ht="12.75" customHeight="1" thickBot="1" x14ac:dyDescent="0.25">
      <c r="A26" s="10">
        <v>44340</v>
      </c>
      <c r="B26" s="42">
        <f t="shared" si="27"/>
        <v>45285</v>
      </c>
      <c r="C26" s="16">
        <f t="shared" si="11"/>
        <v>0</v>
      </c>
      <c r="D26" s="42">
        <f t="shared" si="28"/>
        <v>39537</v>
      </c>
      <c r="E26" s="16">
        <f t="shared" si="12"/>
        <v>0</v>
      </c>
      <c r="F26" s="42">
        <f t="shared" si="29"/>
        <v>20382</v>
      </c>
      <c r="G26" s="16">
        <f t="shared" si="13"/>
        <v>0</v>
      </c>
      <c r="H26" s="42">
        <f t="shared" si="30"/>
        <v>241975</v>
      </c>
      <c r="I26" s="16">
        <f t="shared" si="14"/>
        <v>0</v>
      </c>
      <c r="J26" s="42">
        <v>303517</v>
      </c>
      <c r="K26" s="16">
        <f t="shared" si="15"/>
        <v>0</v>
      </c>
      <c r="L26" s="42">
        <f t="shared" si="23"/>
        <v>24952</v>
      </c>
      <c r="M26" s="16">
        <f t="shared" si="16"/>
        <v>0</v>
      </c>
      <c r="N26" s="42">
        <f t="shared" si="31"/>
        <v>215516</v>
      </c>
      <c r="O26" s="16">
        <f t="shared" si="17"/>
        <v>0</v>
      </c>
      <c r="P26" s="42">
        <f t="shared" si="24"/>
        <v>0</v>
      </c>
      <c r="Q26" s="16">
        <f t="shared" si="18"/>
        <v>0</v>
      </c>
      <c r="R26" s="1">
        <v>55047</v>
      </c>
      <c r="S26" s="16">
        <f t="shared" si="20"/>
        <v>-50</v>
      </c>
      <c r="T26" s="42">
        <f t="shared" si="32"/>
        <v>3641</v>
      </c>
      <c r="U26" s="16">
        <f t="shared" si="21"/>
        <v>0</v>
      </c>
      <c r="W26" t="s">
        <v>12</v>
      </c>
    </row>
    <row r="27" spans="1:23" ht="13.5" thickBot="1" x14ac:dyDescent="0.25">
      <c r="A27" s="10">
        <v>44341</v>
      </c>
      <c r="B27" s="42">
        <f t="shared" si="27"/>
        <v>45285</v>
      </c>
      <c r="C27" s="16">
        <f t="shared" si="11"/>
        <v>0</v>
      </c>
      <c r="D27" s="42">
        <f t="shared" si="28"/>
        <v>39537</v>
      </c>
      <c r="E27" s="16">
        <f t="shared" si="12"/>
        <v>0</v>
      </c>
      <c r="F27" s="42">
        <f t="shared" si="29"/>
        <v>20382</v>
      </c>
      <c r="G27" s="16">
        <f t="shared" si="13"/>
        <v>0</v>
      </c>
      <c r="H27" s="42">
        <f t="shared" si="30"/>
        <v>241975</v>
      </c>
      <c r="I27" s="16">
        <f t="shared" si="14"/>
        <v>0</v>
      </c>
      <c r="J27" s="42">
        <v>303517</v>
      </c>
      <c r="K27" s="16">
        <f t="shared" si="15"/>
        <v>0</v>
      </c>
      <c r="L27" s="42">
        <f t="shared" si="23"/>
        <v>24952</v>
      </c>
      <c r="M27" s="16">
        <f t="shared" si="16"/>
        <v>0</v>
      </c>
      <c r="N27" s="42">
        <f t="shared" si="31"/>
        <v>215516</v>
      </c>
      <c r="O27" s="16">
        <f t="shared" si="17"/>
        <v>0</v>
      </c>
      <c r="P27" s="42">
        <f t="shared" si="24"/>
        <v>0</v>
      </c>
      <c r="Q27" s="16">
        <f t="shared" si="18"/>
        <v>0</v>
      </c>
      <c r="R27" s="1">
        <v>55047</v>
      </c>
      <c r="S27" s="16">
        <f t="shared" si="20"/>
        <v>0</v>
      </c>
      <c r="T27" s="42">
        <f t="shared" si="32"/>
        <v>3641</v>
      </c>
      <c r="U27" s="16">
        <f t="shared" si="21"/>
        <v>0</v>
      </c>
    </row>
    <row r="28" spans="1:23" ht="13.5" thickBot="1" x14ac:dyDescent="0.25">
      <c r="A28" s="10">
        <v>44342</v>
      </c>
      <c r="B28" s="42">
        <f t="shared" si="27"/>
        <v>45285</v>
      </c>
      <c r="C28" s="16">
        <f t="shared" si="11"/>
        <v>0</v>
      </c>
      <c r="D28" s="42">
        <f t="shared" si="28"/>
        <v>39537</v>
      </c>
      <c r="E28" s="16">
        <f t="shared" si="12"/>
        <v>0</v>
      </c>
      <c r="F28" s="42">
        <f t="shared" si="29"/>
        <v>20382</v>
      </c>
      <c r="G28" s="16">
        <f t="shared" si="13"/>
        <v>0</v>
      </c>
      <c r="H28" s="42">
        <f t="shared" si="30"/>
        <v>241975</v>
      </c>
      <c r="I28" s="16">
        <f t="shared" si="14"/>
        <v>0</v>
      </c>
      <c r="J28" s="42">
        <v>303517</v>
      </c>
      <c r="K28" s="16">
        <f t="shared" si="15"/>
        <v>0</v>
      </c>
      <c r="L28" s="42">
        <f t="shared" si="23"/>
        <v>24952</v>
      </c>
      <c r="M28" s="16">
        <f t="shared" si="16"/>
        <v>0</v>
      </c>
      <c r="N28" s="42">
        <f t="shared" si="31"/>
        <v>215516</v>
      </c>
      <c r="O28" s="16">
        <f t="shared" si="17"/>
        <v>0</v>
      </c>
      <c r="P28" s="42">
        <f t="shared" si="24"/>
        <v>0</v>
      </c>
      <c r="Q28" s="17">
        <f t="shared" si="18"/>
        <v>0</v>
      </c>
      <c r="R28" s="1">
        <v>55047</v>
      </c>
      <c r="S28" s="17">
        <f t="shared" si="20"/>
        <v>0</v>
      </c>
      <c r="T28" s="42">
        <f t="shared" si="32"/>
        <v>3641</v>
      </c>
      <c r="U28" s="16">
        <f t="shared" si="21"/>
        <v>0</v>
      </c>
    </row>
    <row r="29" spans="1:23" ht="13.5" thickBot="1" x14ac:dyDescent="0.25">
      <c r="A29" s="10">
        <v>44343</v>
      </c>
      <c r="B29" s="42">
        <f t="shared" si="27"/>
        <v>45285</v>
      </c>
      <c r="C29" s="16">
        <f t="shared" si="11"/>
        <v>0</v>
      </c>
      <c r="D29" s="42">
        <f t="shared" si="28"/>
        <v>39537</v>
      </c>
      <c r="E29" s="16">
        <f t="shared" si="12"/>
        <v>0</v>
      </c>
      <c r="F29" s="42">
        <f t="shared" si="29"/>
        <v>20382</v>
      </c>
      <c r="G29" s="16">
        <f t="shared" si="13"/>
        <v>0</v>
      </c>
      <c r="H29" s="42">
        <f t="shared" si="30"/>
        <v>241975</v>
      </c>
      <c r="I29" s="16">
        <f t="shared" si="14"/>
        <v>0</v>
      </c>
      <c r="J29" s="42">
        <v>303517</v>
      </c>
      <c r="K29" s="16">
        <f t="shared" si="15"/>
        <v>0</v>
      </c>
      <c r="L29" s="42">
        <f t="shared" si="23"/>
        <v>24952</v>
      </c>
      <c r="M29" s="16">
        <f t="shared" si="16"/>
        <v>0</v>
      </c>
      <c r="N29" s="42">
        <f t="shared" si="31"/>
        <v>215516</v>
      </c>
      <c r="O29" s="16">
        <f t="shared" si="17"/>
        <v>0</v>
      </c>
      <c r="P29" s="42">
        <f t="shared" si="24"/>
        <v>0</v>
      </c>
      <c r="Q29" s="16">
        <f t="shared" si="18"/>
        <v>0</v>
      </c>
      <c r="R29" s="1">
        <v>55047</v>
      </c>
      <c r="S29" s="16">
        <f t="shared" si="20"/>
        <v>0</v>
      </c>
      <c r="T29" s="42">
        <f t="shared" si="32"/>
        <v>3641</v>
      </c>
      <c r="U29" s="16">
        <f t="shared" si="21"/>
        <v>0</v>
      </c>
    </row>
    <row r="30" spans="1:23" ht="13.5" thickBot="1" x14ac:dyDescent="0.25">
      <c r="A30" s="10">
        <v>44344</v>
      </c>
      <c r="B30" s="42">
        <f t="shared" si="27"/>
        <v>45285</v>
      </c>
      <c r="C30" s="16">
        <f t="shared" si="11"/>
        <v>0</v>
      </c>
      <c r="D30" s="42">
        <f t="shared" si="28"/>
        <v>39537</v>
      </c>
      <c r="E30" s="16">
        <f t="shared" si="12"/>
        <v>0</v>
      </c>
      <c r="F30" s="42">
        <f t="shared" si="29"/>
        <v>20382</v>
      </c>
      <c r="G30" s="16">
        <f t="shared" si="13"/>
        <v>0</v>
      </c>
      <c r="H30" s="42">
        <f t="shared" si="30"/>
        <v>241975</v>
      </c>
      <c r="I30" s="16">
        <f t="shared" si="14"/>
        <v>0</v>
      </c>
      <c r="J30" s="42">
        <f t="shared" si="26"/>
        <v>303517</v>
      </c>
      <c r="K30" s="16">
        <f t="shared" si="15"/>
        <v>0</v>
      </c>
      <c r="L30" s="42">
        <f t="shared" si="23"/>
        <v>24952</v>
      </c>
      <c r="M30" s="16">
        <f t="shared" si="16"/>
        <v>0</v>
      </c>
      <c r="N30" s="42">
        <f t="shared" si="31"/>
        <v>215516</v>
      </c>
      <c r="O30" s="16">
        <f t="shared" si="17"/>
        <v>0</v>
      </c>
      <c r="P30" s="42">
        <f t="shared" si="24"/>
        <v>0</v>
      </c>
      <c r="Q30" s="16">
        <f t="shared" si="18"/>
        <v>0</v>
      </c>
      <c r="R30" s="1">
        <v>55047</v>
      </c>
      <c r="S30" s="16">
        <f t="shared" si="20"/>
        <v>0</v>
      </c>
      <c r="T30" s="42">
        <f t="shared" si="32"/>
        <v>3641</v>
      </c>
      <c r="U30" s="16">
        <f t="shared" si="21"/>
        <v>0</v>
      </c>
    </row>
    <row r="31" spans="1:23" ht="13.5" thickBot="1" x14ac:dyDescent="0.25">
      <c r="A31" s="10">
        <v>44345</v>
      </c>
      <c r="B31" s="42">
        <f t="shared" si="27"/>
        <v>45285</v>
      </c>
      <c r="C31" s="16">
        <f t="shared" si="11"/>
        <v>0</v>
      </c>
      <c r="D31" s="42">
        <f t="shared" si="28"/>
        <v>39537</v>
      </c>
      <c r="E31" s="16">
        <f t="shared" si="12"/>
        <v>0</v>
      </c>
      <c r="F31" s="42">
        <f t="shared" si="29"/>
        <v>20382</v>
      </c>
      <c r="G31" s="16">
        <f t="shared" si="13"/>
        <v>0</v>
      </c>
      <c r="H31" s="42">
        <f t="shared" si="30"/>
        <v>241975</v>
      </c>
      <c r="I31" s="16">
        <f t="shared" si="14"/>
        <v>0</v>
      </c>
      <c r="J31" s="42">
        <f t="shared" si="26"/>
        <v>303517</v>
      </c>
      <c r="K31" s="16">
        <f t="shared" si="15"/>
        <v>0</v>
      </c>
      <c r="L31" s="42">
        <f t="shared" si="23"/>
        <v>24952</v>
      </c>
      <c r="M31" s="16">
        <f t="shared" si="16"/>
        <v>0</v>
      </c>
      <c r="N31" s="42">
        <f t="shared" si="31"/>
        <v>215516</v>
      </c>
      <c r="O31" s="16">
        <f t="shared" si="17"/>
        <v>0</v>
      </c>
      <c r="P31" s="42">
        <f t="shared" si="24"/>
        <v>0</v>
      </c>
      <c r="Q31" s="16">
        <f t="shared" si="18"/>
        <v>0</v>
      </c>
      <c r="R31" s="1">
        <f t="shared" si="19"/>
        <v>55047</v>
      </c>
      <c r="S31" s="16">
        <f t="shared" si="20"/>
        <v>0</v>
      </c>
      <c r="T31" s="42">
        <f t="shared" si="32"/>
        <v>3641</v>
      </c>
      <c r="U31" s="16">
        <f t="shared" si="21"/>
        <v>0</v>
      </c>
    </row>
    <row r="32" spans="1:23" ht="15" customHeight="1" thickBot="1" x14ac:dyDescent="0.25">
      <c r="A32" s="10">
        <v>44346</v>
      </c>
      <c r="B32" s="42">
        <f t="shared" si="27"/>
        <v>45285</v>
      </c>
      <c r="C32" s="16">
        <f t="shared" si="11"/>
        <v>0</v>
      </c>
      <c r="D32" s="42">
        <f t="shared" si="28"/>
        <v>39537</v>
      </c>
      <c r="E32" s="16">
        <f t="shared" si="12"/>
        <v>0</v>
      </c>
      <c r="F32" s="42">
        <f t="shared" si="29"/>
        <v>20382</v>
      </c>
      <c r="G32" s="16">
        <f t="shared" si="13"/>
        <v>0</v>
      </c>
      <c r="H32" s="42">
        <f t="shared" si="30"/>
        <v>241975</v>
      </c>
      <c r="I32" s="16">
        <f t="shared" si="14"/>
        <v>0</v>
      </c>
      <c r="J32" s="42">
        <f t="shared" si="26"/>
        <v>303517</v>
      </c>
      <c r="K32" s="16">
        <f t="shared" si="15"/>
        <v>0</v>
      </c>
      <c r="L32" s="42">
        <f t="shared" si="23"/>
        <v>24952</v>
      </c>
      <c r="M32" s="16">
        <f t="shared" si="16"/>
        <v>0</v>
      </c>
      <c r="N32" s="42">
        <f t="shared" si="31"/>
        <v>215516</v>
      </c>
      <c r="O32" s="16">
        <f t="shared" si="17"/>
        <v>0</v>
      </c>
      <c r="P32" s="42">
        <f t="shared" si="24"/>
        <v>0</v>
      </c>
      <c r="Q32" s="16">
        <f t="shared" si="18"/>
        <v>0</v>
      </c>
      <c r="R32" s="1">
        <v>55047</v>
      </c>
      <c r="S32" s="16">
        <f t="shared" si="20"/>
        <v>0</v>
      </c>
      <c r="T32" s="42">
        <f t="shared" si="32"/>
        <v>3641</v>
      </c>
      <c r="U32" s="16">
        <f t="shared" si="21"/>
        <v>0</v>
      </c>
      <c r="V32" t="s">
        <v>12</v>
      </c>
    </row>
    <row r="33" spans="1:21" ht="13.5" thickBot="1" x14ac:dyDescent="0.25">
      <c r="A33" s="10">
        <v>44347</v>
      </c>
      <c r="B33" s="42">
        <f t="shared" si="27"/>
        <v>45285</v>
      </c>
      <c r="C33" s="16">
        <f t="shared" si="11"/>
        <v>0</v>
      </c>
      <c r="D33" s="42">
        <f t="shared" si="28"/>
        <v>39537</v>
      </c>
      <c r="E33" s="16">
        <f t="shared" si="12"/>
        <v>0</v>
      </c>
      <c r="F33" s="42">
        <f t="shared" si="29"/>
        <v>20382</v>
      </c>
      <c r="G33" s="16">
        <f t="shared" si="13"/>
        <v>0</v>
      </c>
      <c r="H33" s="42">
        <f t="shared" si="30"/>
        <v>241975</v>
      </c>
      <c r="I33" s="16">
        <f t="shared" si="14"/>
        <v>0</v>
      </c>
      <c r="J33" s="42">
        <f t="shared" ref="J33" si="33">J32</f>
        <v>303517</v>
      </c>
      <c r="K33" s="16">
        <f t="shared" si="15"/>
        <v>0</v>
      </c>
      <c r="L33" s="42">
        <f t="shared" si="23"/>
        <v>24952</v>
      </c>
      <c r="M33" s="16">
        <f t="shared" si="16"/>
        <v>0</v>
      </c>
      <c r="N33" s="42">
        <f t="shared" si="31"/>
        <v>215516</v>
      </c>
      <c r="O33" s="16">
        <f t="shared" si="17"/>
        <v>0</v>
      </c>
      <c r="P33" s="42">
        <f t="shared" si="24"/>
        <v>0</v>
      </c>
      <c r="Q33" s="16">
        <f t="shared" si="18"/>
        <v>0</v>
      </c>
      <c r="R33" s="1">
        <v>55047</v>
      </c>
      <c r="S33" s="16">
        <f t="shared" si="20"/>
        <v>0</v>
      </c>
      <c r="T33" s="42">
        <f t="shared" si="32"/>
        <v>3641</v>
      </c>
      <c r="U33" s="16">
        <f t="shared" si="21"/>
        <v>0</v>
      </c>
    </row>
    <row r="34" spans="1:21" ht="16.5" thickBot="1" x14ac:dyDescent="0.3">
      <c r="A34" s="10" t="s">
        <v>23</v>
      </c>
      <c r="B34" s="1"/>
      <c r="C34" s="11">
        <f>SUM(C3:C33)</f>
        <v>16000</v>
      </c>
      <c r="D34" s="13"/>
      <c r="E34" s="11">
        <f>SUM(E3:E33)</f>
        <v>10400</v>
      </c>
      <c r="F34" s="13"/>
      <c r="G34" s="11">
        <f>SUM(G3:G33)</f>
        <v>1320</v>
      </c>
      <c r="H34" s="13"/>
      <c r="I34" s="11">
        <f>SUM(I3:I33)</f>
        <v>1190</v>
      </c>
      <c r="J34" s="13"/>
      <c r="K34" s="11">
        <f>SUM(K3:K33)</f>
        <v>0</v>
      </c>
      <c r="L34" s="13"/>
      <c r="M34" s="11">
        <f>SUM(M3:M33)</f>
        <v>11200</v>
      </c>
      <c r="N34" s="43"/>
      <c r="O34" s="11">
        <f>SUM(O3:O33)</f>
        <v>70</v>
      </c>
      <c r="P34" s="13"/>
      <c r="Q34" s="11">
        <f>SUM(Q3:Q33)</f>
        <v>-101751</v>
      </c>
      <c r="R34" s="1"/>
      <c r="S34" s="11">
        <f>SUM(S3:S33)</f>
        <v>0</v>
      </c>
      <c r="T34" s="1"/>
      <c r="U34" s="11">
        <f>SUM(U3:U33)</f>
        <v>3360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A16" zoomScale="110" zoomScaleNormal="110" workbookViewId="0">
      <selection activeCell="J24" sqref="J24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44316</v>
      </c>
      <c r="B2" s="3">
        <v>409858</v>
      </c>
      <c r="C2" s="49"/>
      <c r="D2" s="3">
        <v>4167000</v>
      </c>
      <c r="E2" s="49"/>
      <c r="F2" s="3">
        <v>2826800</v>
      </c>
      <c r="G2" s="49"/>
      <c r="H2" s="3">
        <v>730558</v>
      </c>
      <c r="I2" s="54"/>
      <c r="J2" s="23"/>
      <c r="K2" s="24"/>
    </row>
    <row r="3" spans="1:14" ht="16.5" thickBot="1" x14ac:dyDescent="0.3">
      <c r="A3" s="10">
        <v>44317</v>
      </c>
      <c r="B3" s="3">
        <v>409910</v>
      </c>
      <c r="C3" s="49">
        <f t="shared" ref="C3" si="0">(IF((B3-B2)&lt;0,"0",(B3-B2)))*10</f>
        <v>520</v>
      </c>
      <c r="D3" s="3">
        <v>4177700</v>
      </c>
      <c r="E3" s="49">
        <f t="shared" ref="E3" si="1">(IF((D3-D2)&lt;0,"0",(D3-D2)))*0.027</f>
        <v>288.89999999999998</v>
      </c>
      <c r="F3" s="3">
        <v>2836800</v>
      </c>
      <c r="G3" s="49">
        <f t="shared" ref="G3" si="2">(IF((F3-F2)&lt;0,"0",(F3-F2)))*0.027</f>
        <v>270</v>
      </c>
      <c r="H3" s="3">
        <v>730662</v>
      </c>
      <c r="I3" s="54">
        <f>(IF((H3-H2)&lt;0,"0",(H3-H2)))*0.027</f>
        <v>2.8079999999999998</v>
      </c>
      <c r="J3" s="23">
        <v>1294.1479999999999</v>
      </c>
      <c r="K3" s="24">
        <v>7583.7072799999996</v>
      </c>
    </row>
    <row r="4" spans="1:14" ht="16.5" thickBot="1" x14ac:dyDescent="0.3">
      <c r="A4" s="10">
        <v>44318</v>
      </c>
      <c r="B4" s="3">
        <v>409979</v>
      </c>
      <c r="C4" s="49">
        <f t="shared" ref="C4:C8" si="3">(IF((B4-B3)&lt;0,"0",(B4-B3)))*10</f>
        <v>690</v>
      </c>
      <c r="D4" s="3">
        <v>4192300</v>
      </c>
      <c r="E4" s="49">
        <f t="shared" ref="E4:E33" si="4">(IF((D4-D3)&lt;0,"0",(D4-D3)))*0.027</f>
        <v>394.2</v>
      </c>
      <c r="F4" s="3">
        <v>2847800</v>
      </c>
      <c r="G4" s="49">
        <f>(IF((F4-F3)&lt;0,"0",(F4-F3)))*0.027</f>
        <v>297</v>
      </c>
      <c r="H4" s="3">
        <v>730794</v>
      </c>
      <c r="I4" s="54">
        <f>(IF((H4-H3)&lt;0,"0",(H4-H3)))*0.027</f>
        <v>3.5640000000000001</v>
      </c>
      <c r="J4" s="23">
        <f t="shared" ref="J4:J33" si="5">C4+E4+G4+I4</f>
        <v>1384.7640000000001</v>
      </c>
      <c r="K4" s="24">
        <f t="shared" ref="K4:K33" si="6">J4*5.86</f>
        <v>8114.7170400000014</v>
      </c>
    </row>
    <row r="5" spans="1:14" ht="16.5" thickBot="1" x14ac:dyDescent="0.3">
      <c r="A5" s="10">
        <v>44319</v>
      </c>
      <c r="B5" s="3">
        <v>410049</v>
      </c>
      <c r="C5" s="49">
        <f t="shared" si="3"/>
        <v>700</v>
      </c>
      <c r="D5" s="3">
        <v>4205300</v>
      </c>
      <c r="E5" s="49">
        <f t="shared" si="4"/>
        <v>351</v>
      </c>
      <c r="F5" s="3">
        <v>2862400</v>
      </c>
      <c r="G5" s="49">
        <f t="shared" ref="G5:G33" si="7">(IF((F5-F4)&lt;0,"0",(F5-F4)))*0.027</f>
        <v>394.2</v>
      </c>
      <c r="H5" s="3">
        <v>730912</v>
      </c>
      <c r="I5" s="54">
        <f t="shared" ref="I5:I33" si="8">(IF((H5-H4)&lt;0,"0",(H5-H4)))*0.027</f>
        <v>3.1859999999999999</v>
      </c>
      <c r="J5" s="23">
        <f t="shared" si="5"/>
        <v>1448.386</v>
      </c>
      <c r="K5" s="24">
        <f t="shared" si="6"/>
        <v>8487.5419600000005</v>
      </c>
    </row>
    <row r="6" spans="1:14" ht="16.5" thickBot="1" x14ac:dyDescent="0.3">
      <c r="A6" s="10">
        <v>44320</v>
      </c>
      <c r="B6" s="3">
        <v>410124</v>
      </c>
      <c r="C6" s="49">
        <f t="shared" si="3"/>
        <v>750</v>
      </c>
      <c r="D6" s="3">
        <v>4217200</v>
      </c>
      <c r="E6" s="49">
        <f t="shared" si="4"/>
        <v>321.3</v>
      </c>
      <c r="F6" s="3">
        <v>2880000</v>
      </c>
      <c r="G6" s="49">
        <f t="shared" si="7"/>
        <v>475.2</v>
      </c>
      <c r="H6" s="3">
        <v>731061</v>
      </c>
      <c r="I6" s="54">
        <f t="shared" si="8"/>
        <v>4.0229999999999997</v>
      </c>
      <c r="J6" s="23">
        <f t="shared" si="5"/>
        <v>1550.5229999999999</v>
      </c>
      <c r="K6" s="24">
        <f t="shared" si="6"/>
        <v>9086.0647800000006</v>
      </c>
    </row>
    <row r="7" spans="1:14" ht="16.5" thickBot="1" x14ac:dyDescent="0.3">
      <c r="A7" s="10">
        <v>44321</v>
      </c>
      <c r="B7" s="3">
        <v>410212</v>
      </c>
      <c r="C7" s="49">
        <f t="shared" si="3"/>
        <v>880</v>
      </c>
      <c r="D7" s="3">
        <v>4229000</v>
      </c>
      <c r="E7" s="49">
        <f t="shared" si="4"/>
        <v>318.60000000000002</v>
      </c>
      <c r="F7" s="3">
        <v>2893100</v>
      </c>
      <c r="G7" s="49">
        <f t="shared" si="7"/>
        <v>353.7</v>
      </c>
      <c r="H7" s="3">
        <v>731190</v>
      </c>
      <c r="I7" s="54">
        <f t="shared" si="8"/>
        <v>3.4830000000000001</v>
      </c>
      <c r="J7" s="23">
        <f t="shared" si="5"/>
        <v>1555.7829999999999</v>
      </c>
      <c r="K7" s="24">
        <f t="shared" si="6"/>
        <v>9116.8883800000003</v>
      </c>
      <c r="L7" t="s">
        <v>12</v>
      </c>
      <c r="N7" t="s">
        <v>12</v>
      </c>
    </row>
    <row r="8" spans="1:14" ht="16.5" thickBot="1" x14ac:dyDescent="0.3">
      <c r="A8" s="10">
        <v>44322</v>
      </c>
      <c r="B8" s="3">
        <v>410277</v>
      </c>
      <c r="C8" s="49">
        <f t="shared" si="3"/>
        <v>650</v>
      </c>
      <c r="D8" s="3">
        <v>4238800</v>
      </c>
      <c r="E8" s="49">
        <f t="shared" si="4"/>
        <v>264.60000000000002</v>
      </c>
      <c r="F8" s="3">
        <v>2905500</v>
      </c>
      <c r="G8" s="49">
        <f t="shared" si="7"/>
        <v>334.8</v>
      </c>
      <c r="H8" s="3">
        <v>731318</v>
      </c>
      <c r="I8" s="54">
        <f t="shared" si="8"/>
        <v>3.456</v>
      </c>
      <c r="J8" s="23">
        <f t="shared" si="5"/>
        <v>1252.856</v>
      </c>
      <c r="K8" s="24">
        <f t="shared" si="6"/>
        <v>7341.7361600000004</v>
      </c>
    </row>
    <row r="9" spans="1:14" ht="16.5" thickBot="1" x14ac:dyDescent="0.3">
      <c r="A9" s="10">
        <v>44323</v>
      </c>
      <c r="B9" s="3">
        <v>410342</v>
      </c>
      <c r="C9" s="49">
        <f t="shared" ref="C9:C33" si="9">(IF((B9-B8)&lt;0,"0",(B9-B8)))*10</f>
        <v>650</v>
      </c>
      <c r="D9" s="3">
        <v>4249000</v>
      </c>
      <c r="E9" s="49">
        <f t="shared" si="4"/>
        <v>275.39999999999998</v>
      </c>
      <c r="F9" s="3">
        <v>2918000</v>
      </c>
      <c r="G9" s="49">
        <f t="shared" si="7"/>
        <v>337.5</v>
      </c>
      <c r="H9" s="3">
        <v>731469</v>
      </c>
      <c r="I9" s="54">
        <f t="shared" si="8"/>
        <v>4.077</v>
      </c>
      <c r="J9" s="23">
        <f t="shared" si="5"/>
        <v>1266.9770000000001</v>
      </c>
      <c r="K9" s="24">
        <f t="shared" si="6"/>
        <v>7424.4852200000005</v>
      </c>
    </row>
    <row r="10" spans="1:14" ht="16.5" thickBot="1" x14ac:dyDescent="0.3">
      <c r="A10" s="10">
        <v>44324</v>
      </c>
      <c r="B10" s="3">
        <v>410403</v>
      </c>
      <c r="C10" s="49">
        <f>(IF((B10-B9)&lt;0,"0",(B10-B9)))*10</f>
        <v>610</v>
      </c>
      <c r="D10" s="3">
        <v>4259200</v>
      </c>
      <c r="E10" s="49">
        <f t="shared" si="4"/>
        <v>275.39999999999998</v>
      </c>
      <c r="F10" s="3">
        <v>2932600</v>
      </c>
      <c r="G10" s="49">
        <f t="shared" si="7"/>
        <v>394.2</v>
      </c>
      <c r="H10" s="3">
        <v>731615</v>
      </c>
      <c r="I10" s="54">
        <f t="shared" si="8"/>
        <v>3.9420000000000002</v>
      </c>
      <c r="J10" s="23">
        <f t="shared" si="5"/>
        <v>1283.5419999999999</v>
      </c>
      <c r="K10" s="24">
        <f t="shared" si="6"/>
        <v>7521.5561200000002</v>
      </c>
    </row>
    <row r="11" spans="1:14" ht="16.5" thickBot="1" x14ac:dyDescent="0.3">
      <c r="A11" s="10">
        <v>44325</v>
      </c>
      <c r="B11" s="3">
        <v>410464</v>
      </c>
      <c r="C11" s="49">
        <f t="shared" si="9"/>
        <v>610</v>
      </c>
      <c r="D11" s="3">
        <v>4267900</v>
      </c>
      <c r="E11" s="49">
        <f t="shared" si="4"/>
        <v>234.9</v>
      </c>
      <c r="F11" s="3">
        <v>2943900</v>
      </c>
      <c r="G11" s="49">
        <f t="shared" si="7"/>
        <v>305.10000000000002</v>
      </c>
      <c r="H11" s="3">
        <v>731747</v>
      </c>
      <c r="I11" s="54">
        <f t="shared" si="8"/>
        <v>3.5640000000000001</v>
      </c>
      <c r="J11" s="23">
        <f t="shared" si="5"/>
        <v>1153.5640000000001</v>
      </c>
      <c r="K11" s="24">
        <f t="shared" si="6"/>
        <v>6759.885040000001</v>
      </c>
      <c r="N11" t="s">
        <v>12</v>
      </c>
    </row>
    <row r="12" spans="1:14" ht="16.5" thickBot="1" x14ac:dyDescent="0.3">
      <c r="A12" s="10">
        <v>44326</v>
      </c>
      <c r="B12" s="3">
        <v>410532</v>
      </c>
      <c r="C12" s="49">
        <f t="shared" si="9"/>
        <v>680</v>
      </c>
      <c r="D12" s="3">
        <v>4280700</v>
      </c>
      <c r="E12" s="49">
        <f t="shared" si="4"/>
        <v>345.6</v>
      </c>
      <c r="F12" s="3">
        <v>2958300</v>
      </c>
      <c r="G12" s="49">
        <f t="shared" si="7"/>
        <v>388.8</v>
      </c>
      <c r="H12" s="3">
        <v>731889</v>
      </c>
      <c r="I12" s="54">
        <f t="shared" si="8"/>
        <v>3.8340000000000001</v>
      </c>
      <c r="J12" s="23">
        <f t="shared" si="5"/>
        <v>1418.2339999999999</v>
      </c>
      <c r="K12" s="24">
        <f t="shared" si="6"/>
        <v>8310.85124</v>
      </c>
    </row>
    <row r="13" spans="1:14" ht="16.5" thickBot="1" x14ac:dyDescent="0.3">
      <c r="A13" s="10">
        <v>44327</v>
      </c>
      <c r="B13" s="3">
        <v>410593</v>
      </c>
      <c r="C13" s="49">
        <f t="shared" si="9"/>
        <v>610</v>
      </c>
      <c r="D13" s="3">
        <v>4291500</v>
      </c>
      <c r="E13" s="49">
        <f t="shared" si="4"/>
        <v>291.60000000000002</v>
      </c>
      <c r="F13" s="3">
        <v>2971100</v>
      </c>
      <c r="G13" s="49">
        <f t="shared" si="7"/>
        <v>345.6</v>
      </c>
      <c r="H13" s="3">
        <v>732004</v>
      </c>
      <c r="I13" s="54">
        <f t="shared" si="8"/>
        <v>3.105</v>
      </c>
      <c r="J13" s="23">
        <f t="shared" si="5"/>
        <v>1250.3050000000001</v>
      </c>
      <c r="K13" s="24">
        <f t="shared" si="6"/>
        <v>7326.7873000000009</v>
      </c>
    </row>
    <row r="14" spans="1:14" ht="16.5" thickBot="1" x14ac:dyDescent="0.3">
      <c r="A14" s="10">
        <v>44328</v>
      </c>
      <c r="B14" s="3">
        <v>410654</v>
      </c>
      <c r="C14" s="49">
        <f t="shared" si="9"/>
        <v>610</v>
      </c>
      <c r="D14" s="3">
        <v>4301400</v>
      </c>
      <c r="E14" s="49">
        <f t="shared" si="4"/>
        <v>267.3</v>
      </c>
      <c r="F14" s="3">
        <v>2982600</v>
      </c>
      <c r="G14" s="49">
        <f t="shared" si="7"/>
        <v>310.5</v>
      </c>
      <c r="H14" s="3">
        <v>732137</v>
      </c>
      <c r="I14" s="54">
        <f t="shared" si="8"/>
        <v>3.5909999999999997</v>
      </c>
      <c r="J14" s="23">
        <f t="shared" si="5"/>
        <v>1191.3909999999998</v>
      </c>
      <c r="K14" s="24">
        <f t="shared" si="6"/>
        <v>6981.5512599999993</v>
      </c>
    </row>
    <row r="15" spans="1:14" ht="16.5" thickBot="1" x14ac:dyDescent="0.3">
      <c r="A15" s="10">
        <v>44329</v>
      </c>
      <c r="B15" s="3">
        <v>410715</v>
      </c>
      <c r="C15" s="49">
        <f t="shared" si="9"/>
        <v>610</v>
      </c>
      <c r="D15" s="3">
        <v>4313200</v>
      </c>
      <c r="E15" s="49">
        <f t="shared" si="4"/>
        <v>318.60000000000002</v>
      </c>
      <c r="F15" s="3">
        <v>2994100</v>
      </c>
      <c r="G15" s="49">
        <f t="shared" si="7"/>
        <v>310.5</v>
      </c>
      <c r="H15" s="3">
        <v>732203</v>
      </c>
      <c r="I15" s="54">
        <f t="shared" si="8"/>
        <v>1.782</v>
      </c>
      <c r="J15" s="23">
        <f t="shared" si="5"/>
        <v>1240.8819999999998</v>
      </c>
      <c r="K15" s="24">
        <f t="shared" si="6"/>
        <v>7271.5685199999998</v>
      </c>
    </row>
    <row r="16" spans="1:14" ht="16.5" thickBot="1" x14ac:dyDescent="0.3">
      <c r="A16" s="10">
        <v>44330</v>
      </c>
      <c r="B16" s="3">
        <v>410776</v>
      </c>
      <c r="C16" s="49">
        <f t="shared" si="9"/>
        <v>610</v>
      </c>
      <c r="D16" s="3">
        <v>4324600</v>
      </c>
      <c r="E16" s="49">
        <f t="shared" si="4"/>
        <v>307.8</v>
      </c>
      <c r="F16" s="3">
        <v>3000800</v>
      </c>
      <c r="G16" s="49">
        <f t="shared" si="7"/>
        <v>180.9</v>
      </c>
      <c r="H16" s="3">
        <v>732262</v>
      </c>
      <c r="I16" s="54">
        <f t="shared" si="8"/>
        <v>1.593</v>
      </c>
      <c r="J16" s="23">
        <f t="shared" si="5"/>
        <v>1100.2930000000001</v>
      </c>
      <c r="K16" s="24">
        <f t="shared" si="6"/>
        <v>6447.7169800000011</v>
      </c>
    </row>
    <row r="17" spans="1:25" ht="16.5" thickBot="1" x14ac:dyDescent="0.3">
      <c r="A17" s="10">
        <v>44331</v>
      </c>
      <c r="B17" s="3">
        <v>410837</v>
      </c>
      <c r="C17" s="49">
        <f t="shared" si="9"/>
        <v>610</v>
      </c>
      <c r="D17" s="3">
        <v>4337200</v>
      </c>
      <c r="E17" s="49">
        <f t="shared" si="4"/>
        <v>340.2</v>
      </c>
      <c r="F17" s="3">
        <v>3022100</v>
      </c>
      <c r="G17" s="49">
        <f t="shared" si="7"/>
        <v>575.1</v>
      </c>
      <c r="H17" s="3">
        <v>732341</v>
      </c>
      <c r="I17" s="54">
        <f t="shared" si="8"/>
        <v>2.133</v>
      </c>
      <c r="J17" s="23">
        <f t="shared" si="5"/>
        <v>1527.4330000000002</v>
      </c>
      <c r="K17" s="24">
        <f t="shared" si="6"/>
        <v>8950.7573800000009</v>
      </c>
      <c r="P17" t="s">
        <v>12</v>
      </c>
      <c r="R17" t="s">
        <v>12</v>
      </c>
    </row>
    <row r="18" spans="1:25" ht="16.5" thickBot="1" x14ac:dyDescent="0.3">
      <c r="A18" s="10">
        <v>44332</v>
      </c>
      <c r="B18" s="3">
        <v>410890</v>
      </c>
      <c r="C18" s="49">
        <f t="shared" si="9"/>
        <v>530</v>
      </c>
      <c r="D18" s="3">
        <v>4349600</v>
      </c>
      <c r="E18" s="49">
        <f t="shared" si="4"/>
        <v>334.8</v>
      </c>
      <c r="F18" s="3">
        <v>3038600</v>
      </c>
      <c r="G18" s="49">
        <f t="shared" si="7"/>
        <v>445.5</v>
      </c>
      <c r="H18" s="3">
        <v>732442</v>
      </c>
      <c r="I18" s="54">
        <f t="shared" si="8"/>
        <v>2.7269999999999999</v>
      </c>
      <c r="J18" s="23">
        <f t="shared" si="5"/>
        <v>1313.027</v>
      </c>
      <c r="K18" s="24">
        <f t="shared" si="6"/>
        <v>7694.3382200000005</v>
      </c>
      <c r="Q18" t="s">
        <v>43</v>
      </c>
    </row>
    <row r="19" spans="1:25" ht="16.5" thickBot="1" x14ac:dyDescent="0.3">
      <c r="A19" s="10">
        <v>44333</v>
      </c>
      <c r="B19" s="3">
        <v>411015</v>
      </c>
      <c r="C19" s="49">
        <f t="shared" si="9"/>
        <v>1250</v>
      </c>
      <c r="D19" s="3">
        <v>4363600</v>
      </c>
      <c r="E19" s="49">
        <f t="shared" si="4"/>
        <v>378</v>
      </c>
      <c r="F19" s="3">
        <v>3061600</v>
      </c>
      <c r="G19" s="49">
        <f t="shared" si="7"/>
        <v>621</v>
      </c>
      <c r="H19" s="3">
        <v>732585</v>
      </c>
      <c r="I19" s="54">
        <f t="shared" si="8"/>
        <v>3.8609999999999998</v>
      </c>
      <c r="J19" s="23">
        <f t="shared" si="5"/>
        <v>2252.8609999999999</v>
      </c>
      <c r="K19" s="24">
        <f t="shared" si="6"/>
        <v>13201.765460000001</v>
      </c>
      <c r="Q19" t="s">
        <v>12</v>
      </c>
    </row>
    <row r="20" spans="1:25" ht="16.5" thickBot="1" x14ac:dyDescent="0.3">
      <c r="A20" s="10">
        <v>44334</v>
      </c>
      <c r="B20" s="3">
        <v>411098</v>
      </c>
      <c r="C20" s="49">
        <f t="shared" si="9"/>
        <v>830</v>
      </c>
      <c r="D20" s="3">
        <v>4377900</v>
      </c>
      <c r="E20" s="49">
        <f t="shared" si="4"/>
        <v>386.1</v>
      </c>
      <c r="F20" s="3">
        <v>3064800</v>
      </c>
      <c r="G20" s="49">
        <f t="shared" si="7"/>
        <v>86.4</v>
      </c>
      <c r="H20" s="3">
        <v>732722</v>
      </c>
      <c r="I20" s="54">
        <f t="shared" si="8"/>
        <v>3.6989999999999998</v>
      </c>
      <c r="J20" s="23">
        <f t="shared" si="5"/>
        <v>1306.1990000000001</v>
      </c>
      <c r="K20" s="24">
        <f t="shared" si="6"/>
        <v>7654.326140000001</v>
      </c>
    </row>
    <row r="21" spans="1:25" ht="16.5" thickBot="1" x14ac:dyDescent="0.3">
      <c r="A21" s="10">
        <v>44335</v>
      </c>
      <c r="B21" s="3">
        <v>411218</v>
      </c>
      <c r="C21" s="49">
        <f t="shared" si="9"/>
        <v>1200</v>
      </c>
      <c r="D21" s="3">
        <v>4377900</v>
      </c>
      <c r="E21" s="49">
        <f t="shared" si="4"/>
        <v>0</v>
      </c>
      <c r="F21" s="3">
        <v>3080100</v>
      </c>
      <c r="G21" s="49">
        <f t="shared" si="7"/>
        <v>413.1</v>
      </c>
      <c r="H21" s="3">
        <v>732838</v>
      </c>
      <c r="I21" s="54">
        <f t="shared" si="8"/>
        <v>3.1320000000000001</v>
      </c>
      <c r="J21" s="23">
        <f t="shared" si="5"/>
        <v>1616.232</v>
      </c>
      <c r="K21" s="24">
        <f t="shared" si="6"/>
        <v>9471.1195200000002</v>
      </c>
    </row>
    <row r="22" spans="1:25" ht="16.5" thickBot="1" x14ac:dyDescent="0.3">
      <c r="A22" s="10">
        <v>44336</v>
      </c>
      <c r="B22" s="3">
        <v>411265</v>
      </c>
      <c r="C22" s="49">
        <f t="shared" si="9"/>
        <v>470</v>
      </c>
      <c r="D22" s="3">
        <v>4377900</v>
      </c>
      <c r="E22" s="49">
        <f t="shared" si="4"/>
        <v>0</v>
      </c>
      <c r="F22" s="3">
        <v>3095800</v>
      </c>
      <c r="G22" s="49">
        <f t="shared" si="7"/>
        <v>423.9</v>
      </c>
      <c r="H22" s="3">
        <v>732984</v>
      </c>
      <c r="I22" s="54">
        <f t="shared" si="8"/>
        <v>3.9420000000000002</v>
      </c>
      <c r="J22" s="23">
        <f t="shared" si="5"/>
        <v>897.84199999999998</v>
      </c>
      <c r="K22" s="24">
        <f t="shared" si="6"/>
        <v>5261.35412</v>
      </c>
      <c r="P22" t="s">
        <v>12</v>
      </c>
      <c r="S22" s="36" t="s">
        <v>12</v>
      </c>
    </row>
    <row r="23" spans="1:25" ht="16.5" thickBot="1" x14ac:dyDescent="0.3">
      <c r="A23" s="10">
        <v>44337</v>
      </c>
      <c r="B23" s="3">
        <v>411340</v>
      </c>
      <c r="C23" s="49">
        <f t="shared" si="9"/>
        <v>750</v>
      </c>
      <c r="D23" s="3">
        <v>4377900</v>
      </c>
      <c r="E23" s="49">
        <f t="shared" si="4"/>
        <v>0</v>
      </c>
      <c r="F23" s="3">
        <v>3110100</v>
      </c>
      <c r="G23" s="49">
        <f t="shared" si="7"/>
        <v>386.1</v>
      </c>
      <c r="H23" s="3">
        <v>733103</v>
      </c>
      <c r="I23" s="54">
        <f t="shared" si="8"/>
        <v>3.2130000000000001</v>
      </c>
      <c r="J23" s="23">
        <f t="shared" si="5"/>
        <v>1139.3129999999999</v>
      </c>
      <c r="K23" s="24">
        <f t="shared" si="6"/>
        <v>6676.3741799999998</v>
      </c>
      <c r="Q23" t="s">
        <v>12</v>
      </c>
    </row>
    <row r="24" spans="1:25" ht="16.5" thickBot="1" x14ac:dyDescent="0.3">
      <c r="A24" s="10">
        <v>44338</v>
      </c>
      <c r="B24" s="3">
        <v>411529</v>
      </c>
      <c r="C24" s="49">
        <f t="shared" si="9"/>
        <v>1890</v>
      </c>
      <c r="D24" s="3">
        <f t="shared" ref="D24:D33" si="10">D23</f>
        <v>4377900</v>
      </c>
      <c r="E24" s="49">
        <f t="shared" si="4"/>
        <v>0</v>
      </c>
      <c r="F24" s="3">
        <v>3122800</v>
      </c>
      <c r="G24" s="49">
        <f t="shared" si="7"/>
        <v>342.9</v>
      </c>
      <c r="H24" s="3">
        <v>733217</v>
      </c>
      <c r="I24" s="54">
        <f t="shared" si="8"/>
        <v>3.0779999999999998</v>
      </c>
      <c r="J24" s="23">
        <f t="shared" si="5"/>
        <v>2235.9780000000001</v>
      </c>
      <c r="K24" s="24">
        <f t="shared" si="6"/>
        <v>13102.831080000002</v>
      </c>
    </row>
    <row r="25" spans="1:25" ht="17.25" customHeight="1" thickBot="1" x14ac:dyDescent="0.4">
      <c r="A25" s="10">
        <v>44339</v>
      </c>
      <c r="B25" s="3">
        <f t="shared" ref="B24:B33" si="11">B24</f>
        <v>411529</v>
      </c>
      <c r="C25" s="49">
        <f t="shared" si="9"/>
        <v>0</v>
      </c>
      <c r="D25" s="3">
        <f t="shared" si="10"/>
        <v>4377900</v>
      </c>
      <c r="E25" s="49">
        <f t="shared" si="4"/>
        <v>0</v>
      </c>
      <c r="F25" s="3">
        <f t="shared" ref="F24:F33" si="12">F24</f>
        <v>3122800</v>
      </c>
      <c r="G25" s="49">
        <f>F25-F24</f>
        <v>0</v>
      </c>
      <c r="H25" s="3">
        <f t="shared" ref="H24:H33" si="13">H24</f>
        <v>733217</v>
      </c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44340</v>
      </c>
      <c r="B26" s="3">
        <f t="shared" si="11"/>
        <v>411529</v>
      </c>
      <c r="C26" s="49">
        <f t="shared" si="9"/>
        <v>0</v>
      </c>
      <c r="D26" s="3">
        <f t="shared" si="10"/>
        <v>4377900</v>
      </c>
      <c r="E26" s="49">
        <f t="shared" si="4"/>
        <v>0</v>
      </c>
      <c r="F26" s="3">
        <f t="shared" si="12"/>
        <v>3122800</v>
      </c>
      <c r="G26" s="49">
        <f t="shared" si="7"/>
        <v>0</v>
      </c>
      <c r="H26" s="3">
        <f t="shared" si="13"/>
        <v>733217</v>
      </c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44341</v>
      </c>
      <c r="B27" s="3">
        <f t="shared" si="11"/>
        <v>411529</v>
      </c>
      <c r="C27" s="49">
        <f t="shared" si="9"/>
        <v>0</v>
      </c>
      <c r="D27" s="3">
        <f t="shared" si="10"/>
        <v>4377900</v>
      </c>
      <c r="E27" s="49">
        <f t="shared" si="4"/>
        <v>0</v>
      </c>
      <c r="F27" s="3">
        <f t="shared" si="12"/>
        <v>3122800</v>
      </c>
      <c r="G27" s="49">
        <f t="shared" si="7"/>
        <v>0</v>
      </c>
      <c r="H27" s="3">
        <f t="shared" si="13"/>
        <v>733217</v>
      </c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44342</v>
      </c>
      <c r="B28" s="3">
        <f t="shared" si="11"/>
        <v>411529</v>
      </c>
      <c r="C28" s="49">
        <f t="shared" si="9"/>
        <v>0</v>
      </c>
      <c r="D28" s="3">
        <f t="shared" si="10"/>
        <v>4377900</v>
      </c>
      <c r="E28" s="49">
        <f t="shared" si="4"/>
        <v>0</v>
      </c>
      <c r="F28" s="3">
        <f t="shared" si="12"/>
        <v>3122800</v>
      </c>
      <c r="G28" s="49">
        <f t="shared" si="7"/>
        <v>0</v>
      </c>
      <c r="H28" s="3">
        <f t="shared" si="13"/>
        <v>733217</v>
      </c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44343</v>
      </c>
      <c r="B29" s="3">
        <f t="shared" si="11"/>
        <v>411529</v>
      </c>
      <c r="C29" s="49">
        <f t="shared" si="9"/>
        <v>0</v>
      </c>
      <c r="D29" s="3">
        <f t="shared" si="10"/>
        <v>4377900</v>
      </c>
      <c r="E29" s="49">
        <f t="shared" si="4"/>
        <v>0</v>
      </c>
      <c r="F29" s="3">
        <f t="shared" si="12"/>
        <v>3122800</v>
      </c>
      <c r="G29" s="49">
        <f t="shared" si="7"/>
        <v>0</v>
      </c>
      <c r="H29" s="3">
        <f t="shared" si="13"/>
        <v>733217</v>
      </c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44344</v>
      </c>
      <c r="B30" s="3">
        <f t="shared" si="11"/>
        <v>411529</v>
      </c>
      <c r="C30" s="49">
        <f t="shared" si="9"/>
        <v>0</v>
      </c>
      <c r="D30" s="3">
        <f t="shared" si="10"/>
        <v>4377900</v>
      </c>
      <c r="E30" s="49">
        <f t="shared" si="4"/>
        <v>0</v>
      </c>
      <c r="F30" s="3">
        <f t="shared" si="12"/>
        <v>3122800</v>
      </c>
      <c r="G30" s="49">
        <f t="shared" si="7"/>
        <v>0</v>
      </c>
      <c r="H30" s="3">
        <f t="shared" si="13"/>
        <v>733217</v>
      </c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44345</v>
      </c>
      <c r="B31" s="3">
        <f t="shared" si="11"/>
        <v>411529</v>
      </c>
      <c r="C31" s="49">
        <f t="shared" si="9"/>
        <v>0</v>
      </c>
      <c r="D31" s="3">
        <f t="shared" si="10"/>
        <v>4377900</v>
      </c>
      <c r="E31" s="49">
        <f t="shared" si="4"/>
        <v>0</v>
      </c>
      <c r="F31" s="3">
        <f t="shared" si="12"/>
        <v>3122800</v>
      </c>
      <c r="G31" s="49">
        <f t="shared" si="7"/>
        <v>0</v>
      </c>
      <c r="H31" s="3">
        <f t="shared" si="13"/>
        <v>733217</v>
      </c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44346</v>
      </c>
      <c r="B32" s="3">
        <f t="shared" si="11"/>
        <v>411529</v>
      </c>
      <c r="C32" s="49">
        <f t="shared" si="9"/>
        <v>0</v>
      </c>
      <c r="D32" s="3">
        <f t="shared" si="10"/>
        <v>4377900</v>
      </c>
      <c r="E32" s="49">
        <f t="shared" si="4"/>
        <v>0</v>
      </c>
      <c r="F32" s="3">
        <f t="shared" si="12"/>
        <v>3122800</v>
      </c>
      <c r="G32" s="49">
        <f t="shared" si="7"/>
        <v>0</v>
      </c>
      <c r="H32" s="3">
        <f t="shared" si="13"/>
        <v>733217</v>
      </c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44347</v>
      </c>
      <c r="B33" s="3">
        <f t="shared" si="11"/>
        <v>411529</v>
      </c>
      <c r="C33" s="49">
        <f t="shared" si="9"/>
        <v>0</v>
      </c>
      <c r="D33" s="3">
        <f t="shared" si="10"/>
        <v>4377900</v>
      </c>
      <c r="E33" s="49">
        <f t="shared" si="4"/>
        <v>0</v>
      </c>
      <c r="F33" s="3">
        <f t="shared" si="12"/>
        <v>3122800</v>
      </c>
      <c r="G33" s="49">
        <f t="shared" si="7"/>
        <v>0</v>
      </c>
      <c r="H33" s="3">
        <f t="shared" si="13"/>
        <v>733217</v>
      </c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16710</v>
      </c>
      <c r="D34" s="3"/>
      <c r="E34" s="66">
        <f>SUM(E3:E33)</f>
        <v>5694.3</v>
      </c>
      <c r="F34" s="3"/>
      <c r="G34" s="66">
        <f>SUM(G3:G33)</f>
        <v>7992</v>
      </c>
      <c r="H34" s="3"/>
      <c r="I34" s="66">
        <f>SUM(I3:I33)</f>
        <v>71.793000000000006</v>
      </c>
      <c r="J34" s="66">
        <f>SUM(J3:J33)</f>
        <v>30680.533000000007</v>
      </c>
      <c r="K34" s="66">
        <f>SUM(K3:K33)</f>
        <v>179787.92338000002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N13" zoomScale="120" zoomScaleNormal="120" zoomScaleSheetLayoutView="110" workbookViewId="0">
      <selection activeCell="AA24" sqref="AA24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44316</v>
      </c>
      <c r="B2" s="49"/>
      <c r="C2" s="165">
        <v>18151</v>
      </c>
      <c r="D2" s="49"/>
      <c r="E2" s="140">
        <v>25714262</v>
      </c>
      <c r="F2" s="49"/>
      <c r="G2" s="144">
        <v>81240726</v>
      </c>
      <c r="H2" s="49"/>
      <c r="I2" s="28">
        <f t="shared" ref="I2:I3" si="0">F2+H2</f>
        <v>0</v>
      </c>
      <c r="J2" s="140">
        <v>7916972</v>
      </c>
      <c r="K2" s="49"/>
      <c r="L2" s="142">
        <v>7931158</v>
      </c>
      <c r="M2" s="49"/>
      <c r="N2" s="140">
        <v>5068618</v>
      </c>
      <c r="O2" s="49"/>
      <c r="P2" s="142">
        <v>3187872</v>
      </c>
      <c r="Q2" s="49"/>
      <c r="R2" s="140">
        <v>17259708</v>
      </c>
      <c r="S2" s="49"/>
      <c r="T2" s="140">
        <v>0</v>
      </c>
      <c r="U2" s="29"/>
      <c r="V2" s="140">
        <v>4897522</v>
      </c>
      <c r="W2" s="49"/>
      <c r="X2" s="28"/>
      <c r="Y2" s="35"/>
      <c r="Z2" s="27"/>
      <c r="AA2" s="27"/>
    </row>
    <row r="3" spans="1:27" ht="16.5" thickBot="1" x14ac:dyDescent="0.25">
      <c r="A3" s="10">
        <v>44317</v>
      </c>
      <c r="B3" s="49">
        <v>78</v>
      </c>
      <c r="C3" s="165">
        <v>18153</v>
      </c>
      <c r="D3" s="49">
        <f t="shared" ref="D3:D33" si="1">IF((C3-C2)&lt;0,"0",(C3-C2))*160</f>
        <v>320</v>
      </c>
      <c r="E3" s="140">
        <v>25720195</v>
      </c>
      <c r="F3" s="49">
        <f t="shared" ref="F3:F33" si="2">IF((E3-E2)&lt;0,"0",(E3-E2))</f>
        <v>5933</v>
      </c>
      <c r="G3" s="144">
        <v>81283913</v>
      </c>
      <c r="H3" s="49">
        <f t="shared" ref="H3:H33" si="3">IF((G3-G2)&lt;0,"0",(G3-G2))</f>
        <v>43187</v>
      </c>
      <c r="I3" s="28">
        <f t="shared" si="0"/>
        <v>49120</v>
      </c>
      <c r="J3" s="140">
        <v>7921769</v>
      </c>
      <c r="K3" s="49">
        <f t="shared" ref="K3:K33" si="4">IF((J3-J2)&lt;0,"0",(J3-J2))</f>
        <v>4797</v>
      </c>
      <c r="L3" s="142">
        <v>7934788</v>
      </c>
      <c r="M3" s="49">
        <f t="shared" ref="M3:M33" si="5">IF((L3-L2)&lt;0,"0",(L3-L2))</f>
        <v>3630</v>
      </c>
      <c r="N3" s="140">
        <v>5069611</v>
      </c>
      <c r="O3" s="49">
        <f>(IF((N3-N2)&lt;P95,"0",(N3-N2)))*2</f>
        <v>1986</v>
      </c>
      <c r="P3" s="142">
        <v>3198498</v>
      </c>
      <c r="Q3" s="49">
        <f t="shared" ref="Q3:Q33" si="6">IF((P3-P2)&lt;0,"0",(P3-P2))</f>
        <v>10626</v>
      </c>
      <c r="R3" s="140">
        <v>17267610</v>
      </c>
      <c r="S3" s="49">
        <f t="shared" ref="S3:S33" si="7">IF((R3-R2)&lt;0,"0",(R3-R2))</f>
        <v>7902</v>
      </c>
      <c r="T3" s="140">
        <v>0</v>
      </c>
      <c r="U3" s="143"/>
      <c r="V3" s="140">
        <v>4906960</v>
      </c>
      <c r="W3" s="49">
        <f t="shared" ref="W3:W33" si="8">IF((V3-V2)&lt;0,"0",(V3-V2))</f>
        <v>9438</v>
      </c>
      <c r="X3" s="28">
        <f t="shared" ref="X3:X33" si="9">K3+M3+O3+Q3+S3+U3+W3</f>
        <v>38379</v>
      </c>
      <c r="Y3" s="35">
        <f t="shared" ref="Y3:Y33" si="10">I3-X3</f>
        <v>10741</v>
      </c>
      <c r="Z3" s="27">
        <f t="shared" ref="Z3:Z33" si="11">(0.93352*(W3+S3)+0.5568*(Q3+O3))*0.26</f>
        <v>6034.4955840000002</v>
      </c>
      <c r="AA3" s="27">
        <f>SUM(Z1:Z3)</f>
        <v>6034.4955840000002</v>
      </c>
    </row>
    <row r="4" spans="1:27" ht="16.5" thickBot="1" x14ac:dyDescent="0.25">
      <c r="A4" s="10">
        <v>44318</v>
      </c>
      <c r="B4" s="49">
        <v>79</v>
      </c>
      <c r="C4" s="165">
        <v>18156</v>
      </c>
      <c r="D4" s="49">
        <f t="shared" si="1"/>
        <v>480</v>
      </c>
      <c r="E4" s="140">
        <v>25725729</v>
      </c>
      <c r="F4" s="49">
        <f t="shared" si="2"/>
        <v>5534</v>
      </c>
      <c r="G4" s="144">
        <v>81325548</v>
      </c>
      <c r="H4" s="49">
        <f t="shared" si="3"/>
        <v>41635</v>
      </c>
      <c r="I4" s="141">
        <f t="shared" ref="I4:I30" si="12">F4+H4</f>
        <v>47169</v>
      </c>
      <c r="J4" s="140">
        <v>7926437</v>
      </c>
      <c r="K4" s="49">
        <f t="shared" si="4"/>
        <v>4668</v>
      </c>
      <c r="L4" s="142">
        <v>7938147</v>
      </c>
      <c r="M4" s="49">
        <f t="shared" si="5"/>
        <v>3359</v>
      </c>
      <c r="N4" s="140">
        <v>5070740</v>
      </c>
      <c r="O4" s="49">
        <f>(IF((N4-N3)&lt;P96,"0",(N4-N3)))*2</f>
        <v>2258</v>
      </c>
      <c r="P4" s="142">
        <v>3208656</v>
      </c>
      <c r="Q4" s="49">
        <f t="shared" si="6"/>
        <v>10158</v>
      </c>
      <c r="R4" s="140">
        <v>17275354</v>
      </c>
      <c r="S4" s="49">
        <f t="shared" si="7"/>
        <v>7744</v>
      </c>
      <c r="T4" s="140">
        <v>0</v>
      </c>
      <c r="U4" s="143"/>
      <c r="V4" s="140">
        <v>4915984</v>
      </c>
      <c r="W4" s="49">
        <f t="shared" si="8"/>
        <v>9024</v>
      </c>
      <c r="X4" s="28">
        <f t="shared" si="9"/>
        <v>37211</v>
      </c>
      <c r="Y4" s="35">
        <f t="shared" si="10"/>
        <v>9958</v>
      </c>
      <c r="Z4" s="27">
        <f t="shared" si="11"/>
        <v>5867.2879616000009</v>
      </c>
      <c r="AA4" s="27">
        <f>SUM(Z2:Z4)</f>
        <v>11901.783545600001</v>
      </c>
    </row>
    <row r="5" spans="1:27" ht="16.5" thickBot="1" x14ac:dyDescent="0.25">
      <c r="A5" s="10">
        <v>44319</v>
      </c>
      <c r="B5" s="49">
        <v>92</v>
      </c>
      <c r="C5" s="165">
        <v>18159</v>
      </c>
      <c r="D5" s="49">
        <f t="shared" si="1"/>
        <v>480</v>
      </c>
      <c r="E5" s="140">
        <v>25731976</v>
      </c>
      <c r="F5" s="49">
        <f t="shared" si="2"/>
        <v>6247</v>
      </c>
      <c r="G5" s="144">
        <v>81370260</v>
      </c>
      <c r="H5" s="49">
        <f t="shared" si="3"/>
        <v>44712</v>
      </c>
      <c r="I5" s="141">
        <f t="shared" si="12"/>
        <v>50959</v>
      </c>
      <c r="J5" s="140">
        <v>7931299</v>
      </c>
      <c r="K5" s="49">
        <f t="shared" si="4"/>
        <v>4862</v>
      </c>
      <c r="L5" s="142">
        <v>7941970</v>
      </c>
      <c r="M5" s="49">
        <f t="shared" si="5"/>
        <v>3823</v>
      </c>
      <c r="N5" s="140">
        <v>5071888</v>
      </c>
      <c r="O5" s="49">
        <f t="shared" ref="O5:O33" si="13">(IF((N5-N4)&lt;0,"0",(N5-N4)))*2</f>
        <v>2296</v>
      </c>
      <c r="P5" s="142">
        <v>3220251</v>
      </c>
      <c r="Q5" s="49">
        <f t="shared" si="6"/>
        <v>11595</v>
      </c>
      <c r="R5" s="140">
        <v>17283516</v>
      </c>
      <c r="S5" s="49">
        <f t="shared" si="7"/>
        <v>8162</v>
      </c>
      <c r="T5" s="140">
        <v>0</v>
      </c>
      <c r="U5" s="143"/>
      <c r="V5" s="140">
        <v>4925498</v>
      </c>
      <c r="W5" s="49">
        <f t="shared" si="8"/>
        <v>9514</v>
      </c>
      <c r="X5" s="28">
        <f t="shared" si="9"/>
        <v>40252</v>
      </c>
      <c r="Y5" s="35">
        <f t="shared" si="10"/>
        <v>10707</v>
      </c>
      <c r="Z5" s="27">
        <f t="shared" si="11"/>
        <v>6301.2061631999995</v>
      </c>
      <c r="AA5" s="27">
        <f>SUM(Z3:Z5)</f>
        <v>18202.9897088</v>
      </c>
    </row>
    <row r="6" spans="1:27" ht="16.5" thickBot="1" x14ac:dyDescent="0.25">
      <c r="A6" s="10">
        <v>44320</v>
      </c>
      <c r="B6" s="49">
        <v>68</v>
      </c>
      <c r="C6" s="165">
        <v>18163</v>
      </c>
      <c r="D6" s="49">
        <f t="shared" si="1"/>
        <v>640</v>
      </c>
      <c r="E6" s="140">
        <v>25743251</v>
      </c>
      <c r="F6" s="49">
        <f t="shared" si="2"/>
        <v>11275</v>
      </c>
      <c r="G6" s="144">
        <v>81428207</v>
      </c>
      <c r="H6" s="49">
        <f t="shared" si="3"/>
        <v>57947</v>
      </c>
      <c r="I6" s="141">
        <f t="shared" si="12"/>
        <v>69222</v>
      </c>
      <c r="J6" s="140">
        <v>7938080</v>
      </c>
      <c r="K6" s="49">
        <f t="shared" si="4"/>
        <v>6781</v>
      </c>
      <c r="L6" s="142">
        <v>7947090</v>
      </c>
      <c r="M6" s="49">
        <f t="shared" si="5"/>
        <v>5120</v>
      </c>
      <c r="N6" s="140">
        <v>5074884</v>
      </c>
      <c r="O6" s="49">
        <f t="shared" si="13"/>
        <v>5992</v>
      </c>
      <c r="P6" s="142">
        <v>3234588</v>
      </c>
      <c r="Q6" s="49">
        <f t="shared" si="6"/>
        <v>14337</v>
      </c>
      <c r="R6" s="140">
        <v>17293950</v>
      </c>
      <c r="S6" s="49">
        <f t="shared" si="7"/>
        <v>10434</v>
      </c>
      <c r="T6" s="140">
        <v>0</v>
      </c>
      <c r="U6" s="143"/>
      <c r="V6" s="140">
        <v>4938012</v>
      </c>
      <c r="W6" s="49">
        <f t="shared" si="8"/>
        <v>12514</v>
      </c>
      <c r="X6" s="28">
        <f t="shared" si="9"/>
        <v>55178</v>
      </c>
      <c r="Y6" s="35">
        <f t="shared" si="10"/>
        <v>14044</v>
      </c>
      <c r="Z6" s="27">
        <f t="shared" si="11"/>
        <v>8512.8170815999983</v>
      </c>
      <c r="AA6" s="27">
        <f>SUM(Z4:Z6)</f>
        <v>20681.311206399998</v>
      </c>
    </row>
    <row r="7" spans="1:27" ht="16.5" thickBot="1" x14ac:dyDescent="0.25">
      <c r="A7" s="10">
        <v>44321</v>
      </c>
      <c r="B7" s="49">
        <v>93</v>
      </c>
      <c r="C7" s="165">
        <v>18166</v>
      </c>
      <c r="D7" s="49">
        <f t="shared" si="1"/>
        <v>480</v>
      </c>
      <c r="E7" s="140">
        <v>25755169</v>
      </c>
      <c r="F7" s="49">
        <f t="shared" si="2"/>
        <v>11918</v>
      </c>
      <c r="G7" s="144">
        <v>81472963</v>
      </c>
      <c r="H7" s="49">
        <f t="shared" si="3"/>
        <v>44756</v>
      </c>
      <c r="I7" s="141">
        <f t="shared" si="12"/>
        <v>56674</v>
      </c>
      <c r="J7" s="140">
        <v>7943610</v>
      </c>
      <c r="K7" s="49">
        <f t="shared" si="4"/>
        <v>5530</v>
      </c>
      <c r="L7" s="142">
        <v>7950625</v>
      </c>
      <c r="M7" s="49">
        <f t="shared" si="5"/>
        <v>3535</v>
      </c>
      <c r="N7" s="140">
        <v>5078992</v>
      </c>
      <c r="O7" s="49">
        <f t="shared" si="13"/>
        <v>8216</v>
      </c>
      <c r="P7" s="142">
        <v>3244942</v>
      </c>
      <c r="Q7" s="49">
        <f t="shared" si="6"/>
        <v>10354</v>
      </c>
      <c r="R7" s="140">
        <v>17302465</v>
      </c>
      <c r="S7" s="49">
        <f t="shared" si="7"/>
        <v>8515</v>
      </c>
      <c r="T7" s="140">
        <v>0</v>
      </c>
      <c r="U7" s="143"/>
      <c r="V7" s="140">
        <v>4947638</v>
      </c>
      <c r="W7" s="49">
        <f t="shared" si="8"/>
        <v>9626</v>
      </c>
      <c r="X7" s="28">
        <f t="shared" si="9"/>
        <v>45776</v>
      </c>
      <c r="Y7" s="35">
        <f t="shared" si="10"/>
        <v>10898</v>
      </c>
      <c r="Z7" s="27">
        <f t="shared" si="11"/>
        <v>7091.4382032000003</v>
      </c>
      <c r="AA7" s="27">
        <f t="shared" ref="AA7:AA33" si="14">SUM(Z4:Z7)</f>
        <v>27772.749409599997</v>
      </c>
    </row>
    <row r="8" spans="1:27" ht="16.5" thickBot="1" x14ac:dyDescent="0.25">
      <c r="A8" s="10">
        <v>44322</v>
      </c>
      <c r="B8" s="49">
        <v>65</v>
      </c>
      <c r="C8" s="165">
        <v>18168</v>
      </c>
      <c r="D8" s="49">
        <f t="shared" si="1"/>
        <v>320</v>
      </c>
      <c r="E8" s="140">
        <v>25770238</v>
      </c>
      <c r="F8" s="49">
        <f t="shared" si="2"/>
        <v>15069</v>
      </c>
      <c r="G8" s="144">
        <v>81528158</v>
      </c>
      <c r="H8" s="49">
        <f t="shared" si="3"/>
        <v>55195</v>
      </c>
      <c r="I8" s="141">
        <f t="shared" si="12"/>
        <v>70264</v>
      </c>
      <c r="J8" s="140">
        <v>7950151</v>
      </c>
      <c r="K8" s="49">
        <f t="shared" si="4"/>
        <v>6541</v>
      </c>
      <c r="L8" s="142">
        <v>7955364</v>
      </c>
      <c r="M8" s="49">
        <f t="shared" si="5"/>
        <v>4739</v>
      </c>
      <c r="N8" s="140">
        <v>5084044</v>
      </c>
      <c r="O8" s="49">
        <f t="shared" si="13"/>
        <v>10104</v>
      </c>
      <c r="P8" s="142">
        <v>3251135</v>
      </c>
      <c r="Q8" s="49">
        <f t="shared" si="6"/>
        <v>6193</v>
      </c>
      <c r="R8" s="140">
        <v>17313405</v>
      </c>
      <c r="S8" s="49">
        <f t="shared" si="7"/>
        <v>10940</v>
      </c>
      <c r="T8" s="140">
        <v>0</v>
      </c>
      <c r="U8" s="143"/>
      <c r="V8" s="140">
        <v>4959688</v>
      </c>
      <c r="W8" s="49">
        <f t="shared" si="8"/>
        <v>12050</v>
      </c>
      <c r="X8" s="28">
        <f t="shared" si="9"/>
        <v>50567</v>
      </c>
      <c r="Y8" s="35">
        <f t="shared" si="10"/>
        <v>19697</v>
      </c>
      <c r="Z8" s="27">
        <f t="shared" si="11"/>
        <v>7939.306544</v>
      </c>
      <c r="AA8" s="27">
        <f t="shared" si="14"/>
        <v>29844.767991999997</v>
      </c>
    </row>
    <row r="9" spans="1:27" ht="16.5" thickBot="1" x14ac:dyDescent="0.25">
      <c r="A9" s="10">
        <v>44323</v>
      </c>
      <c r="B9" s="49">
        <v>71</v>
      </c>
      <c r="C9" s="165">
        <v>18171</v>
      </c>
      <c r="D9" s="49">
        <f t="shared" si="1"/>
        <v>480</v>
      </c>
      <c r="E9" s="140">
        <v>25781073</v>
      </c>
      <c r="F9" s="49">
        <f t="shared" si="2"/>
        <v>10835</v>
      </c>
      <c r="G9" s="144">
        <v>81568286</v>
      </c>
      <c r="H9" s="49">
        <f t="shared" si="3"/>
        <v>40128</v>
      </c>
      <c r="I9" s="141">
        <f t="shared" si="12"/>
        <v>50963</v>
      </c>
      <c r="J9" s="140">
        <v>7904613</v>
      </c>
      <c r="K9" s="49" t="str">
        <f t="shared" si="4"/>
        <v>0</v>
      </c>
      <c r="L9" s="142">
        <v>7908626</v>
      </c>
      <c r="M9" s="49" t="str">
        <f t="shared" si="5"/>
        <v>0</v>
      </c>
      <c r="N9" s="140">
        <v>5087770</v>
      </c>
      <c r="O9" s="49">
        <f t="shared" si="13"/>
        <v>7452</v>
      </c>
      <c r="P9" s="142">
        <v>3265892</v>
      </c>
      <c r="Q9" s="49">
        <f t="shared" si="6"/>
        <v>14757</v>
      </c>
      <c r="R9" s="140">
        <v>17321405</v>
      </c>
      <c r="S9" s="49">
        <f t="shared" si="7"/>
        <v>8000</v>
      </c>
      <c r="T9" s="140">
        <v>0</v>
      </c>
      <c r="U9" s="143"/>
      <c r="V9" s="140">
        <v>4968730</v>
      </c>
      <c r="W9" s="49">
        <f t="shared" si="8"/>
        <v>9042</v>
      </c>
      <c r="X9" s="28">
        <f t="shared" si="9"/>
        <v>39251</v>
      </c>
      <c r="Y9" s="35">
        <f t="shared" si="10"/>
        <v>11712</v>
      </c>
      <c r="Z9" s="27">
        <f t="shared" si="11"/>
        <v>7351.5049503999999</v>
      </c>
      <c r="AA9" s="27">
        <f t="shared" si="14"/>
        <v>30895.066779199995</v>
      </c>
    </row>
    <row r="10" spans="1:27" ht="16.5" thickBot="1" x14ac:dyDescent="0.25">
      <c r="A10" s="10">
        <v>44324</v>
      </c>
      <c r="B10" s="49">
        <v>72</v>
      </c>
      <c r="C10" s="165">
        <v>18174</v>
      </c>
      <c r="D10" s="49">
        <f t="shared" si="1"/>
        <v>480</v>
      </c>
      <c r="E10" s="140">
        <v>25794506</v>
      </c>
      <c r="F10" s="49">
        <f t="shared" si="2"/>
        <v>13433</v>
      </c>
      <c r="G10" s="144">
        <v>81620717</v>
      </c>
      <c r="H10" s="49">
        <f t="shared" si="3"/>
        <v>52431</v>
      </c>
      <c r="I10" s="141">
        <f t="shared" si="12"/>
        <v>65864</v>
      </c>
      <c r="J10" s="140">
        <v>7960605</v>
      </c>
      <c r="K10" s="49">
        <f t="shared" si="4"/>
        <v>55992</v>
      </c>
      <c r="L10" s="142">
        <v>7962208</v>
      </c>
      <c r="M10" s="49">
        <f t="shared" si="5"/>
        <v>53582</v>
      </c>
      <c r="N10" s="140">
        <v>5092610</v>
      </c>
      <c r="O10" s="49">
        <f t="shared" si="13"/>
        <v>9680</v>
      </c>
      <c r="P10" s="142">
        <v>3277374</v>
      </c>
      <c r="Q10" s="49">
        <f t="shared" si="6"/>
        <v>11482</v>
      </c>
      <c r="R10" s="140">
        <v>17331751</v>
      </c>
      <c r="S10" s="49">
        <f t="shared" si="7"/>
        <v>10346</v>
      </c>
      <c r="T10" s="140">
        <v>0</v>
      </c>
      <c r="U10" s="143"/>
      <c r="V10" s="140">
        <v>4980391</v>
      </c>
      <c r="W10" s="49">
        <f t="shared" si="8"/>
        <v>11661</v>
      </c>
      <c r="X10" s="28">
        <f t="shared" si="9"/>
        <v>152743</v>
      </c>
      <c r="Y10" s="35">
        <f t="shared" si="10"/>
        <v>-86879</v>
      </c>
      <c r="Z10" s="27">
        <f t="shared" si="11"/>
        <v>8405.0138224000002</v>
      </c>
      <c r="AA10" s="27">
        <f t="shared" si="14"/>
        <v>30787.26352</v>
      </c>
    </row>
    <row r="11" spans="1:27" ht="15.75" customHeight="1" thickBot="1" x14ac:dyDescent="0.25">
      <c r="A11" s="10">
        <v>44325</v>
      </c>
      <c r="B11" s="49">
        <v>85</v>
      </c>
      <c r="C11" s="165">
        <v>18178</v>
      </c>
      <c r="D11" s="49">
        <f t="shared" si="1"/>
        <v>640</v>
      </c>
      <c r="E11" s="140">
        <v>25808616</v>
      </c>
      <c r="F11" s="49">
        <f t="shared" si="2"/>
        <v>14110</v>
      </c>
      <c r="G11" s="144">
        <v>81669964</v>
      </c>
      <c r="H11" s="49">
        <f t="shared" si="3"/>
        <v>49247</v>
      </c>
      <c r="I11" s="141">
        <f t="shared" si="12"/>
        <v>63357</v>
      </c>
      <c r="J11" s="140">
        <v>7966422</v>
      </c>
      <c r="K11" s="49">
        <f t="shared" si="4"/>
        <v>5817</v>
      </c>
      <c r="L11" s="142">
        <v>7966838</v>
      </c>
      <c r="M11" s="49">
        <f t="shared" si="5"/>
        <v>4630</v>
      </c>
      <c r="N11" s="140">
        <v>5097256</v>
      </c>
      <c r="O11" s="49">
        <f t="shared" si="13"/>
        <v>9292</v>
      </c>
      <c r="P11" s="142">
        <v>3289068</v>
      </c>
      <c r="Q11" s="49">
        <f t="shared" si="6"/>
        <v>11694</v>
      </c>
      <c r="R11" s="140">
        <v>17342563</v>
      </c>
      <c r="S11" s="49">
        <f t="shared" si="7"/>
        <v>10812</v>
      </c>
      <c r="T11" s="140">
        <v>0</v>
      </c>
      <c r="U11" s="143"/>
      <c r="V11" s="140">
        <v>4990742</v>
      </c>
      <c r="W11" s="49">
        <f t="shared" si="8"/>
        <v>10351</v>
      </c>
      <c r="X11" s="28">
        <f t="shared" si="9"/>
        <v>52596</v>
      </c>
      <c r="Y11" s="35">
        <f t="shared" si="10"/>
        <v>10761</v>
      </c>
      <c r="Z11" s="27">
        <f t="shared" si="11"/>
        <v>8174.6830256000003</v>
      </c>
      <c r="AA11" s="27">
        <f t="shared" si="14"/>
        <v>31870.5083424</v>
      </c>
    </row>
    <row r="12" spans="1:27" ht="16.5" thickBot="1" x14ac:dyDescent="0.25">
      <c r="A12" s="10">
        <v>44326</v>
      </c>
      <c r="B12" s="49">
        <v>80</v>
      </c>
      <c r="C12" s="165">
        <v>18183</v>
      </c>
      <c r="D12" s="49">
        <f t="shared" si="1"/>
        <v>800</v>
      </c>
      <c r="E12" s="140">
        <v>25821937</v>
      </c>
      <c r="F12" s="49">
        <f t="shared" si="2"/>
        <v>13321</v>
      </c>
      <c r="G12" s="144">
        <v>81714968</v>
      </c>
      <c r="H12" s="49">
        <f t="shared" si="3"/>
        <v>45004</v>
      </c>
      <c r="I12" s="141">
        <f t="shared" si="12"/>
        <v>58325</v>
      </c>
      <c r="J12" s="140">
        <v>7971830</v>
      </c>
      <c r="K12" s="49">
        <f t="shared" si="4"/>
        <v>5408</v>
      </c>
      <c r="L12" s="142">
        <v>7971332</v>
      </c>
      <c r="M12" s="49">
        <f t="shared" si="5"/>
        <v>4494</v>
      </c>
      <c r="N12" s="140">
        <v>5101583</v>
      </c>
      <c r="O12" s="49">
        <f t="shared" si="13"/>
        <v>8654</v>
      </c>
      <c r="P12" s="142">
        <v>3299760</v>
      </c>
      <c r="Q12" s="49">
        <f t="shared" si="6"/>
        <v>10692</v>
      </c>
      <c r="R12" s="140">
        <v>17350701</v>
      </c>
      <c r="S12" s="49">
        <f t="shared" si="7"/>
        <v>8138</v>
      </c>
      <c r="T12" s="140">
        <v>0</v>
      </c>
      <c r="U12" s="143"/>
      <c r="V12" s="140">
        <v>5000030</v>
      </c>
      <c r="W12" s="49">
        <f t="shared" si="8"/>
        <v>9288</v>
      </c>
      <c r="X12" s="28">
        <f t="shared" si="9"/>
        <v>46674</v>
      </c>
      <c r="Y12" s="35">
        <f t="shared" si="10"/>
        <v>11651</v>
      </c>
      <c r="Z12" s="27">
        <f t="shared" si="11"/>
        <v>7030.2368031999995</v>
      </c>
      <c r="AA12" s="27">
        <f t="shared" si="14"/>
        <v>30961.438601599999</v>
      </c>
    </row>
    <row r="13" spans="1:27" ht="16.5" thickBot="1" x14ac:dyDescent="0.25">
      <c r="A13" s="10">
        <v>44327</v>
      </c>
      <c r="B13" s="49">
        <v>81</v>
      </c>
      <c r="C13" s="165">
        <v>18186</v>
      </c>
      <c r="D13" s="49">
        <f t="shared" si="1"/>
        <v>480</v>
      </c>
      <c r="E13" s="140">
        <v>25838382</v>
      </c>
      <c r="F13" s="49">
        <f t="shared" si="2"/>
        <v>16445</v>
      </c>
      <c r="G13" s="144">
        <v>81759125</v>
      </c>
      <c r="H13" s="49">
        <f t="shared" si="3"/>
        <v>44157</v>
      </c>
      <c r="I13" s="141">
        <f t="shared" si="12"/>
        <v>60602</v>
      </c>
      <c r="J13" s="140">
        <v>7977214</v>
      </c>
      <c r="K13" s="49">
        <f t="shared" si="4"/>
        <v>5384</v>
      </c>
      <c r="L13" s="142">
        <v>7977089</v>
      </c>
      <c r="M13" s="49">
        <f t="shared" si="5"/>
        <v>5757</v>
      </c>
      <c r="N13" s="140">
        <v>5106839</v>
      </c>
      <c r="O13" s="49">
        <f t="shared" si="13"/>
        <v>10512</v>
      </c>
      <c r="P13" s="142">
        <v>3309968</v>
      </c>
      <c r="Q13" s="49">
        <f t="shared" si="6"/>
        <v>10208</v>
      </c>
      <c r="R13" s="140">
        <v>17359543</v>
      </c>
      <c r="S13" s="49">
        <f>IF((R13-R12)&lt;0,"0",(R13-R12))</f>
        <v>8842</v>
      </c>
      <c r="T13" s="140">
        <v>0</v>
      </c>
      <c r="U13" s="143"/>
      <c r="V13" s="140">
        <v>5009307</v>
      </c>
      <c r="W13" s="49">
        <f t="shared" si="8"/>
        <v>9277</v>
      </c>
      <c r="X13" s="28">
        <f t="shared" si="9"/>
        <v>49980</v>
      </c>
      <c r="Y13" s="35">
        <f t="shared" si="10"/>
        <v>10622</v>
      </c>
      <c r="Z13" s="27">
        <f t="shared" si="11"/>
        <v>7397.3496687999996</v>
      </c>
      <c r="AA13" s="27">
        <f t="shared" si="14"/>
        <v>31007.283320000002</v>
      </c>
    </row>
    <row r="14" spans="1:27" ht="16.5" thickBot="1" x14ac:dyDescent="0.25">
      <c r="A14" s="10">
        <v>44328</v>
      </c>
      <c r="B14" s="49"/>
      <c r="C14" s="165">
        <v>18189</v>
      </c>
      <c r="D14" s="49">
        <f t="shared" si="1"/>
        <v>480</v>
      </c>
      <c r="E14" s="140">
        <v>25857792</v>
      </c>
      <c r="F14" s="49">
        <f>IF((E14-E13)&lt;0,"0",(E14-E13))</f>
        <v>19410</v>
      </c>
      <c r="G14" s="144">
        <v>81811344</v>
      </c>
      <c r="H14" s="49">
        <f t="shared" si="3"/>
        <v>52219</v>
      </c>
      <c r="I14" s="141">
        <f t="shared" si="12"/>
        <v>71629</v>
      </c>
      <c r="J14" s="140">
        <v>7983190</v>
      </c>
      <c r="K14" s="49">
        <f t="shared" si="4"/>
        <v>5976</v>
      </c>
      <c r="L14" s="142">
        <v>7983190</v>
      </c>
      <c r="M14" s="49">
        <f t="shared" si="5"/>
        <v>6101</v>
      </c>
      <c r="N14" s="140">
        <v>5113391</v>
      </c>
      <c r="O14" s="49">
        <f t="shared" si="13"/>
        <v>13104</v>
      </c>
      <c r="P14" s="142">
        <v>3321597</v>
      </c>
      <c r="Q14" s="49">
        <f t="shared" si="6"/>
        <v>11629</v>
      </c>
      <c r="R14" s="140">
        <v>17369832</v>
      </c>
      <c r="S14" s="49">
        <f>IF((R14-R13)&lt;0,"0",(R14-R13))</f>
        <v>10289</v>
      </c>
      <c r="T14" s="140">
        <v>0</v>
      </c>
      <c r="U14" s="143"/>
      <c r="V14" s="140">
        <v>5020767</v>
      </c>
      <c r="W14" s="49">
        <f t="shared" si="8"/>
        <v>11460</v>
      </c>
      <c r="X14" s="28">
        <f t="shared" si="9"/>
        <v>58559</v>
      </c>
      <c r="Y14" s="35">
        <f t="shared" si="10"/>
        <v>13070</v>
      </c>
      <c r="Z14" s="27">
        <f t="shared" si="11"/>
        <v>8859.3598287999994</v>
      </c>
      <c r="AA14" s="27">
        <f t="shared" si="14"/>
        <v>31461.629326399998</v>
      </c>
    </row>
    <row r="15" spans="1:27" ht="16.5" thickBot="1" x14ac:dyDescent="0.25">
      <c r="A15" s="10">
        <v>44329</v>
      </c>
      <c r="B15" s="49">
        <v>98</v>
      </c>
      <c r="C15" s="165">
        <v>18192</v>
      </c>
      <c r="D15" s="49">
        <f t="shared" si="1"/>
        <v>480</v>
      </c>
      <c r="E15" s="140">
        <v>25875602</v>
      </c>
      <c r="F15" s="49">
        <f>IF((E15-E14)&lt;0,"0",(E15-E14))</f>
        <v>17810</v>
      </c>
      <c r="G15" s="144">
        <v>81857249</v>
      </c>
      <c r="H15" s="49">
        <f t="shared" si="3"/>
        <v>45905</v>
      </c>
      <c r="I15" s="141">
        <f t="shared" si="12"/>
        <v>63715</v>
      </c>
      <c r="J15" s="140">
        <v>7988227</v>
      </c>
      <c r="K15" s="49">
        <f t="shared" si="4"/>
        <v>5037</v>
      </c>
      <c r="L15" s="142">
        <v>7988644</v>
      </c>
      <c r="M15" s="49">
        <f t="shared" si="5"/>
        <v>5454</v>
      </c>
      <c r="N15" s="140">
        <v>5119450</v>
      </c>
      <c r="O15" s="49">
        <f t="shared" si="13"/>
        <v>12118</v>
      </c>
      <c r="P15" s="142">
        <v>3331714</v>
      </c>
      <c r="Q15" s="49">
        <f t="shared" si="6"/>
        <v>10117</v>
      </c>
      <c r="R15" s="140">
        <v>17379050</v>
      </c>
      <c r="S15" s="49">
        <f>IF((R15-R14)&lt;0,"0",(R15-R14))</f>
        <v>9218</v>
      </c>
      <c r="T15" s="140">
        <v>0</v>
      </c>
      <c r="U15" s="143"/>
      <c r="V15" s="140">
        <v>5030900</v>
      </c>
      <c r="W15" s="49">
        <f t="shared" si="8"/>
        <v>10133</v>
      </c>
      <c r="X15" s="28">
        <f t="shared" si="9"/>
        <v>52077</v>
      </c>
      <c r="Y15" s="35">
        <f t="shared" si="10"/>
        <v>11638</v>
      </c>
      <c r="Z15" s="27">
        <f t="shared" si="11"/>
        <v>7915.6983151999993</v>
      </c>
      <c r="AA15" s="27">
        <f t="shared" si="14"/>
        <v>31202.644615999998</v>
      </c>
    </row>
    <row r="16" spans="1:27" ht="16.5" thickBot="1" x14ac:dyDescent="0.25">
      <c r="A16" s="10">
        <v>44330</v>
      </c>
      <c r="B16" s="49">
        <v>123</v>
      </c>
      <c r="C16" s="165">
        <v>18194</v>
      </c>
      <c r="D16" s="49">
        <f t="shared" si="1"/>
        <v>320</v>
      </c>
      <c r="E16" s="140">
        <v>25890218</v>
      </c>
      <c r="F16" s="49">
        <f>IF((E16-E15)&lt;0,"0",(E16-E15))</f>
        <v>14616</v>
      </c>
      <c r="G16" s="144">
        <v>81898700</v>
      </c>
      <c r="H16" s="49">
        <f t="shared" si="3"/>
        <v>41451</v>
      </c>
      <c r="I16" s="141">
        <f t="shared" si="12"/>
        <v>56067</v>
      </c>
      <c r="J16" s="140">
        <v>7992757</v>
      </c>
      <c r="K16" s="49">
        <f t="shared" si="4"/>
        <v>4530</v>
      </c>
      <c r="L16" s="142">
        <v>7992757</v>
      </c>
      <c r="M16" s="49">
        <f t="shared" si="5"/>
        <v>4113</v>
      </c>
      <c r="N16" s="140">
        <v>5124479</v>
      </c>
      <c r="O16" s="49">
        <f t="shared" si="13"/>
        <v>10058</v>
      </c>
      <c r="P16" s="142">
        <v>3340187</v>
      </c>
      <c r="Q16" s="49">
        <f t="shared" si="6"/>
        <v>8473</v>
      </c>
      <c r="R16" s="140">
        <v>17387639</v>
      </c>
      <c r="S16" s="49">
        <f t="shared" si="7"/>
        <v>8589</v>
      </c>
      <c r="T16" s="140">
        <v>0</v>
      </c>
      <c r="U16" s="143"/>
      <c r="V16" s="140">
        <v>5040044</v>
      </c>
      <c r="W16" s="49">
        <f t="shared" si="8"/>
        <v>9144</v>
      </c>
      <c r="X16" s="28">
        <f t="shared" si="9"/>
        <v>44907</v>
      </c>
      <c r="Y16" s="35">
        <f t="shared" si="10"/>
        <v>11160</v>
      </c>
      <c r="Z16" s="27">
        <f t="shared" si="11"/>
        <v>6986.7644496000003</v>
      </c>
      <c r="AA16" s="27">
        <f t="shared" si="14"/>
        <v>31159.172262399996</v>
      </c>
    </row>
    <row r="17" spans="1:27" s="154" customFormat="1" ht="16.5" thickBot="1" x14ac:dyDescent="0.25">
      <c r="A17" s="10">
        <v>44331</v>
      </c>
      <c r="B17" s="149">
        <v>104</v>
      </c>
      <c r="C17" s="165">
        <v>18196</v>
      </c>
      <c r="D17" s="49">
        <f t="shared" si="1"/>
        <v>320</v>
      </c>
      <c r="E17" s="140">
        <v>25905939</v>
      </c>
      <c r="F17" s="149">
        <f t="shared" si="2"/>
        <v>15721</v>
      </c>
      <c r="G17" s="144">
        <v>81942484</v>
      </c>
      <c r="H17" s="49">
        <f t="shared" si="3"/>
        <v>43784</v>
      </c>
      <c r="I17" s="151">
        <f t="shared" si="12"/>
        <v>59505</v>
      </c>
      <c r="J17" s="140">
        <v>7997575</v>
      </c>
      <c r="K17" s="149">
        <f t="shared" si="4"/>
        <v>4818</v>
      </c>
      <c r="L17" s="142">
        <v>7997496</v>
      </c>
      <c r="M17" s="149">
        <f t="shared" si="5"/>
        <v>4739</v>
      </c>
      <c r="N17" s="140">
        <v>5130033</v>
      </c>
      <c r="O17" s="149">
        <f t="shared" si="13"/>
        <v>11108</v>
      </c>
      <c r="P17" s="142">
        <v>3350116</v>
      </c>
      <c r="Q17" s="149">
        <f t="shared" si="6"/>
        <v>9929</v>
      </c>
      <c r="R17" s="140">
        <v>17396828</v>
      </c>
      <c r="S17" s="149">
        <f t="shared" si="7"/>
        <v>9189</v>
      </c>
      <c r="T17" s="150">
        <v>0</v>
      </c>
      <c r="U17" s="143"/>
      <c r="V17" s="140">
        <v>5049694</v>
      </c>
      <c r="W17" s="149">
        <f t="shared" si="8"/>
        <v>9650</v>
      </c>
      <c r="X17" s="28">
        <f t="shared" si="9"/>
        <v>49433</v>
      </c>
      <c r="Y17" s="152">
        <f t="shared" si="10"/>
        <v>10072</v>
      </c>
      <c r="Z17" s="153">
        <f t="shared" si="11"/>
        <v>7617.9960687999992</v>
      </c>
      <c r="AA17" s="153">
        <f t="shared" si="14"/>
        <v>31379.818662399997</v>
      </c>
    </row>
    <row r="18" spans="1:27" s="154" customFormat="1" ht="16.5" thickBot="1" x14ac:dyDescent="0.25">
      <c r="A18" s="10">
        <v>44332</v>
      </c>
      <c r="B18" s="149">
        <v>75</v>
      </c>
      <c r="C18" s="165">
        <v>18199</v>
      </c>
      <c r="D18" s="49">
        <f t="shared" si="1"/>
        <v>480</v>
      </c>
      <c r="E18" s="140">
        <v>25924968</v>
      </c>
      <c r="F18" s="149">
        <f t="shared" si="2"/>
        <v>19029</v>
      </c>
      <c r="G18" s="144">
        <v>81992107</v>
      </c>
      <c r="H18" s="49">
        <f t="shared" si="3"/>
        <v>49623</v>
      </c>
      <c r="I18" s="151">
        <f t="shared" si="12"/>
        <v>68652</v>
      </c>
      <c r="J18" s="140">
        <v>8003146</v>
      </c>
      <c r="K18" s="149">
        <f t="shared" si="4"/>
        <v>5571</v>
      </c>
      <c r="L18" s="142">
        <v>8003180</v>
      </c>
      <c r="M18" s="149">
        <f t="shared" si="5"/>
        <v>5684</v>
      </c>
      <c r="N18" s="140">
        <v>5136611</v>
      </c>
      <c r="O18" s="149">
        <f t="shared" si="13"/>
        <v>13156</v>
      </c>
      <c r="P18" s="142">
        <v>3361023</v>
      </c>
      <c r="Q18" s="149">
        <f t="shared" si="6"/>
        <v>10907</v>
      </c>
      <c r="R18" s="140">
        <v>17407046</v>
      </c>
      <c r="S18" s="149">
        <f t="shared" si="7"/>
        <v>10218</v>
      </c>
      <c r="T18" s="150">
        <v>0</v>
      </c>
      <c r="U18" s="143"/>
      <c r="V18" s="140">
        <v>5060522</v>
      </c>
      <c r="W18" s="149">
        <f t="shared" si="8"/>
        <v>10828</v>
      </c>
      <c r="X18" s="28">
        <f t="shared" si="9"/>
        <v>56364</v>
      </c>
      <c r="Y18" s="152">
        <f t="shared" si="10"/>
        <v>12288</v>
      </c>
      <c r="Z18" s="153">
        <f t="shared" si="11"/>
        <v>8591.7364832000003</v>
      </c>
      <c r="AA18" s="153">
        <f t="shared" si="14"/>
        <v>31112.195316799996</v>
      </c>
    </row>
    <row r="19" spans="1:27" s="154" customFormat="1" ht="16.5" thickBot="1" x14ac:dyDescent="0.25">
      <c r="A19" s="10">
        <v>44333</v>
      </c>
      <c r="B19" s="149">
        <v>132</v>
      </c>
      <c r="C19" s="165">
        <v>18202</v>
      </c>
      <c r="D19" s="49">
        <f>IF((C19-C18)&lt;0,"0",(C19-C18))*160</f>
        <v>480</v>
      </c>
      <c r="E19" s="140">
        <v>25941548</v>
      </c>
      <c r="F19" s="149">
        <f t="shared" si="2"/>
        <v>16580</v>
      </c>
      <c r="G19" s="144">
        <v>82037396</v>
      </c>
      <c r="H19" s="49">
        <f t="shared" si="3"/>
        <v>45289</v>
      </c>
      <c r="I19" s="151">
        <f t="shared" si="12"/>
        <v>61869</v>
      </c>
      <c r="J19" s="140">
        <v>8008741</v>
      </c>
      <c r="K19" s="149">
        <f t="shared" si="4"/>
        <v>5595</v>
      </c>
      <c r="L19" s="142">
        <v>8008615</v>
      </c>
      <c r="M19" s="149">
        <f t="shared" si="5"/>
        <v>5435</v>
      </c>
      <c r="N19" s="140">
        <v>5142076</v>
      </c>
      <c r="O19" s="149">
        <f t="shared" si="13"/>
        <v>10930</v>
      </c>
      <c r="P19" s="142">
        <v>3370792</v>
      </c>
      <c r="Q19" s="149">
        <f t="shared" si="6"/>
        <v>9769</v>
      </c>
      <c r="R19" s="140">
        <v>17416162</v>
      </c>
      <c r="S19" s="149">
        <f t="shared" si="7"/>
        <v>9116</v>
      </c>
      <c r="T19" s="150">
        <v>0</v>
      </c>
      <c r="U19" s="143"/>
      <c r="V19" s="140">
        <v>5070294</v>
      </c>
      <c r="W19" s="149">
        <f t="shared" si="8"/>
        <v>9772</v>
      </c>
      <c r="X19" s="28">
        <f t="shared" si="9"/>
        <v>50617</v>
      </c>
      <c r="Y19" s="152">
        <f t="shared" si="10"/>
        <v>11252</v>
      </c>
      <c r="Z19" s="153">
        <f t="shared" si="11"/>
        <v>7580.9575296000003</v>
      </c>
      <c r="AA19" s="153">
        <f t="shared" si="14"/>
        <v>30777.454531200001</v>
      </c>
    </row>
    <row r="20" spans="1:27" s="154" customFormat="1" ht="16.5" thickBot="1" x14ac:dyDescent="0.25">
      <c r="A20" s="10">
        <v>44334</v>
      </c>
      <c r="B20" s="149">
        <v>151</v>
      </c>
      <c r="C20" s="165">
        <v>18204</v>
      </c>
      <c r="D20" s="49">
        <f>IF((C20-C19)&lt;0,"0",(C20-C19))*160</f>
        <v>320</v>
      </c>
      <c r="E20" s="140">
        <v>25954959</v>
      </c>
      <c r="F20" s="149">
        <f t="shared" si="2"/>
        <v>13411</v>
      </c>
      <c r="G20" s="144">
        <v>82086652</v>
      </c>
      <c r="H20" s="49">
        <f t="shared" si="3"/>
        <v>49256</v>
      </c>
      <c r="I20" s="151">
        <f t="shared" si="12"/>
        <v>62667</v>
      </c>
      <c r="J20" s="140">
        <v>8014571</v>
      </c>
      <c r="K20" s="149">
        <f t="shared" si="4"/>
        <v>5830</v>
      </c>
      <c r="L20" s="142">
        <v>8012868</v>
      </c>
      <c r="M20" s="149">
        <f t="shared" si="5"/>
        <v>4253</v>
      </c>
      <c r="N20" s="140">
        <v>5146557</v>
      </c>
      <c r="O20" s="149">
        <f t="shared" si="13"/>
        <v>8962</v>
      </c>
      <c r="P20" s="142">
        <v>3381660</v>
      </c>
      <c r="Q20" s="149">
        <f t="shared" si="6"/>
        <v>10868</v>
      </c>
      <c r="R20" s="140">
        <v>17425893</v>
      </c>
      <c r="S20" s="149">
        <f t="shared" si="7"/>
        <v>9731</v>
      </c>
      <c r="T20" s="150">
        <v>0</v>
      </c>
      <c r="U20" s="143"/>
      <c r="V20" s="140">
        <v>5081090</v>
      </c>
      <c r="W20" s="149">
        <f t="shared" si="8"/>
        <v>10796</v>
      </c>
      <c r="X20" s="28">
        <f t="shared" si="9"/>
        <v>50440</v>
      </c>
      <c r="Y20" s="152">
        <f t="shared" si="10"/>
        <v>12227</v>
      </c>
      <c r="Z20" s="153">
        <f t="shared" si="11"/>
        <v>7852.9643504000005</v>
      </c>
      <c r="AA20" s="153">
        <f t="shared" si="14"/>
        <v>31643.654431999999</v>
      </c>
    </row>
    <row r="21" spans="1:27" s="154" customFormat="1" ht="16.5" thickBot="1" x14ac:dyDescent="0.25">
      <c r="A21" s="10">
        <v>44335</v>
      </c>
      <c r="B21" s="149">
        <v>164</v>
      </c>
      <c r="C21" s="165">
        <v>18208</v>
      </c>
      <c r="D21" s="49">
        <f>IF((C21-C20)&lt;0,"0",(C21-C20))*160</f>
        <v>640</v>
      </c>
      <c r="E21" s="140">
        <v>25966092</v>
      </c>
      <c r="F21" s="149">
        <f t="shared" si="2"/>
        <v>11133</v>
      </c>
      <c r="G21" s="144">
        <v>82126742</v>
      </c>
      <c r="H21" s="49">
        <f t="shared" si="3"/>
        <v>40090</v>
      </c>
      <c r="I21" s="151">
        <f t="shared" si="12"/>
        <v>51223</v>
      </c>
      <c r="J21" s="140">
        <v>8019536</v>
      </c>
      <c r="K21" s="149">
        <f t="shared" si="4"/>
        <v>4965</v>
      </c>
      <c r="L21" s="142">
        <v>8016472</v>
      </c>
      <c r="M21" s="149">
        <f t="shared" si="5"/>
        <v>3604</v>
      </c>
      <c r="N21" s="140">
        <v>5150261</v>
      </c>
      <c r="O21" s="149">
        <f t="shared" si="13"/>
        <v>7408</v>
      </c>
      <c r="P21" s="142">
        <v>3390687</v>
      </c>
      <c r="Q21" s="149">
        <f t="shared" si="6"/>
        <v>9027</v>
      </c>
      <c r="R21" s="140">
        <v>17433958</v>
      </c>
      <c r="S21" s="149">
        <f t="shared" si="7"/>
        <v>8065</v>
      </c>
      <c r="T21" s="150">
        <v>0</v>
      </c>
      <c r="U21" s="143"/>
      <c r="V21" s="140">
        <v>5089664</v>
      </c>
      <c r="W21" s="149">
        <f t="shared" si="8"/>
        <v>8574</v>
      </c>
      <c r="X21" s="28">
        <f t="shared" si="9"/>
        <v>41643</v>
      </c>
      <c r="Y21" s="152">
        <f t="shared" si="10"/>
        <v>9580</v>
      </c>
      <c r="Z21" s="153">
        <f t="shared" si="11"/>
        <v>6417.8002928000005</v>
      </c>
      <c r="AA21" s="153">
        <f t="shared" si="14"/>
        <v>30443.458656000003</v>
      </c>
    </row>
    <row r="22" spans="1:27" ht="16.5" thickBot="1" x14ac:dyDescent="0.25">
      <c r="A22" s="10">
        <v>44336</v>
      </c>
      <c r="B22" s="49">
        <v>142</v>
      </c>
      <c r="C22" s="165">
        <v>18210</v>
      </c>
      <c r="D22" s="49">
        <f t="shared" si="1"/>
        <v>320</v>
      </c>
      <c r="E22" s="140">
        <v>25981648</v>
      </c>
      <c r="F22" s="49">
        <f t="shared" si="2"/>
        <v>15556</v>
      </c>
      <c r="G22" s="144">
        <v>82184070</v>
      </c>
      <c r="H22" s="49">
        <f t="shared" si="3"/>
        <v>57328</v>
      </c>
      <c r="I22" s="141">
        <f t="shared" si="12"/>
        <v>72884</v>
      </c>
      <c r="J22" s="140">
        <v>8026148</v>
      </c>
      <c r="K22" s="49">
        <f t="shared" si="4"/>
        <v>6612</v>
      </c>
      <c r="L22" s="142">
        <v>8021412</v>
      </c>
      <c r="M22" s="49">
        <f t="shared" si="5"/>
        <v>4940</v>
      </c>
      <c r="N22" s="140">
        <v>5155475</v>
      </c>
      <c r="O22" s="49">
        <f t="shared" si="13"/>
        <v>10428</v>
      </c>
      <c r="P22" s="142">
        <v>3403761</v>
      </c>
      <c r="Q22" s="49">
        <f t="shared" si="6"/>
        <v>13074</v>
      </c>
      <c r="R22" s="140">
        <v>17445554</v>
      </c>
      <c r="S22" s="49">
        <f t="shared" si="7"/>
        <v>11596</v>
      </c>
      <c r="T22" s="140">
        <v>0</v>
      </c>
      <c r="U22" s="143"/>
      <c r="V22" s="140">
        <v>5101964</v>
      </c>
      <c r="W22" s="49">
        <f t="shared" si="8"/>
        <v>12300</v>
      </c>
      <c r="X22" s="28">
        <f t="shared" si="9"/>
        <v>58950</v>
      </c>
      <c r="Y22" s="35">
        <f t="shared" si="10"/>
        <v>13934</v>
      </c>
      <c r="Z22" s="27">
        <f t="shared" si="11"/>
        <v>9202.2599552000011</v>
      </c>
      <c r="AA22" s="27">
        <f t="shared" si="14"/>
        <v>31053.982128000003</v>
      </c>
    </row>
    <row r="23" spans="1:27" ht="16.5" thickBot="1" x14ac:dyDescent="0.25">
      <c r="A23" s="10">
        <v>44337</v>
      </c>
      <c r="B23" s="49">
        <v>78</v>
      </c>
      <c r="C23" s="165">
        <v>18212</v>
      </c>
      <c r="D23" s="49">
        <f t="shared" si="1"/>
        <v>320</v>
      </c>
      <c r="E23" s="140">
        <v>25994892</v>
      </c>
      <c r="F23" s="49">
        <f t="shared" si="2"/>
        <v>13244</v>
      </c>
      <c r="G23" s="144">
        <v>82234574</v>
      </c>
      <c r="H23" s="49">
        <f t="shared" si="3"/>
        <v>50504</v>
      </c>
      <c r="I23" s="141">
        <f t="shared" si="12"/>
        <v>63748</v>
      </c>
      <c r="J23" s="140">
        <v>8031459</v>
      </c>
      <c r="K23" s="49">
        <f t="shared" si="4"/>
        <v>5311</v>
      </c>
      <c r="L23" s="142">
        <v>8025519</v>
      </c>
      <c r="M23" s="49">
        <f t="shared" si="5"/>
        <v>4107</v>
      </c>
      <c r="N23" s="140">
        <v>5159927</v>
      </c>
      <c r="O23" s="49">
        <f t="shared" si="13"/>
        <v>8904</v>
      </c>
      <c r="P23" s="142">
        <v>3415539</v>
      </c>
      <c r="Q23" s="49">
        <f t="shared" si="6"/>
        <v>11778</v>
      </c>
      <c r="R23" s="140">
        <v>17456571</v>
      </c>
      <c r="S23" s="49">
        <f t="shared" si="7"/>
        <v>11017</v>
      </c>
      <c r="T23" s="140">
        <v>0</v>
      </c>
      <c r="U23" s="143"/>
      <c r="V23" s="140">
        <v>5112904</v>
      </c>
      <c r="W23" s="49">
        <f t="shared" si="8"/>
        <v>10940</v>
      </c>
      <c r="X23" s="28">
        <f t="shared" si="9"/>
        <v>52057</v>
      </c>
      <c r="Y23" s="35">
        <f t="shared" si="10"/>
        <v>11691</v>
      </c>
      <c r="Z23" s="27">
        <f t="shared" si="11"/>
        <v>8323.3894224000014</v>
      </c>
      <c r="AA23" s="27">
        <f t="shared" si="14"/>
        <v>31796.414020800003</v>
      </c>
    </row>
    <row r="24" spans="1:27" ht="16.5" thickBot="1" x14ac:dyDescent="0.25">
      <c r="A24" s="10">
        <v>44338</v>
      </c>
      <c r="B24" s="49"/>
      <c r="C24" s="165">
        <v>18216</v>
      </c>
      <c r="D24" s="49">
        <f t="shared" si="1"/>
        <v>640</v>
      </c>
      <c r="E24" s="140">
        <v>26008032</v>
      </c>
      <c r="F24" s="49">
        <f t="shared" si="2"/>
        <v>13140</v>
      </c>
      <c r="G24" s="144">
        <v>82280836</v>
      </c>
      <c r="H24" s="49">
        <f t="shared" si="3"/>
        <v>46262</v>
      </c>
      <c r="I24" s="141">
        <f t="shared" si="12"/>
        <v>59402</v>
      </c>
      <c r="J24" s="140">
        <v>8036970</v>
      </c>
      <c r="K24" s="49">
        <f t="shared" si="4"/>
        <v>5511</v>
      </c>
      <c r="L24" s="142">
        <v>8030026</v>
      </c>
      <c r="M24" s="49">
        <f t="shared" si="5"/>
        <v>4507</v>
      </c>
      <c r="N24" s="140">
        <v>5164175</v>
      </c>
      <c r="O24" s="49">
        <f t="shared" si="13"/>
        <v>8496</v>
      </c>
      <c r="P24" s="142">
        <v>3425961</v>
      </c>
      <c r="Q24" s="49">
        <f t="shared" si="6"/>
        <v>10422</v>
      </c>
      <c r="R24" s="140">
        <v>17464939</v>
      </c>
      <c r="S24" s="49">
        <f t="shared" si="7"/>
        <v>8368</v>
      </c>
      <c r="T24" s="140">
        <v>0</v>
      </c>
      <c r="U24" s="143"/>
      <c r="V24" s="140">
        <v>5122908</v>
      </c>
      <c r="W24" s="49">
        <f t="shared" si="8"/>
        <v>10004</v>
      </c>
      <c r="X24" s="28">
        <f t="shared" si="9"/>
        <v>47308</v>
      </c>
      <c r="Y24" s="35">
        <f t="shared" si="10"/>
        <v>12094</v>
      </c>
      <c r="Z24" s="27">
        <f t="shared" si="11"/>
        <v>7197.8846783999998</v>
      </c>
      <c r="AA24" s="27">
        <f t="shared" si="14"/>
        <v>31141.334348800003</v>
      </c>
    </row>
    <row r="25" spans="1:27" ht="16.5" thickBot="1" x14ac:dyDescent="0.25">
      <c r="A25" s="10">
        <v>44339</v>
      </c>
      <c r="B25" s="49"/>
      <c r="C25" s="165">
        <f t="shared" ref="C24:C33" si="15">C24</f>
        <v>18216</v>
      </c>
      <c r="D25" s="49">
        <f t="shared" si="1"/>
        <v>0</v>
      </c>
      <c r="E25" s="140">
        <f t="shared" ref="E24:E33" si="16">E24</f>
        <v>26008032</v>
      </c>
      <c r="F25" s="49">
        <f t="shared" si="2"/>
        <v>0</v>
      </c>
      <c r="G25" s="144">
        <f t="shared" ref="G24:G33" si="17">G24</f>
        <v>82280836</v>
      </c>
      <c r="H25" s="49">
        <f t="shared" si="3"/>
        <v>0</v>
      </c>
      <c r="I25" s="141">
        <f t="shared" si="12"/>
        <v>0</v>
      </c>
      <c r="J25" s="140">
        <f t="shared" ref="J24:J33" si="18">J24</f>
        <v>8036970</v>
      </c>
      <c r="K25" s="49">
        <f t="shared" si="4"/>
        <v>0</v>
      </c>
      <c r="L25" s="142">
        <f t="shared" ref="L24:L33" si="19">L24</f>
        <v>8030026</v>
      </c>
      <c r="M25" s="49">
        <f t="shared" si="5"/>
        <v>0</v>
      </c>
      <c r="N25" s="140">
        <f t="shared" ref="N24:N33" si="20">N24</f>
        <v>5164175</v>
      </c>
      <c r="O25" s="49">
        <f t="shared" si="13"/>
        <v>0</v>
      </c>
      <c r="P25" s="142">
        <f t="shared" ref="P24:P33" si="21">P24</f>
        <v>3425961</v>
      </c>
      <c r="Q25" s="49">
        <f t="shared" si="6"/>
        <v>0</v>
      </c>
      <c r="R25" s="140">
        <f t="shared" ref="R24:R33" si="22">R24</f>
        <v>17464939</v>
      </c>
      <c r="S25" s="49">
        <f t="shared" si="7"/>
        <v>0</v>
      </c>
      <c r="T25" s="140">
        <v>0</v>
      </c>
      <c r="U25" s="143"/>
      <c r="V25" s="140">
        <f t="shared" ref="V24:V33" si="23">V24</f>
        <v>5122908</v>
      </c>
      <c r="W25" s="49">
        <f t="shared" si="8"/>
        <v>0</v>
      </c>
      <c r="X25" s="28">
        <f t="shared" si="9"/>
        <v>0</v>
      </c>
      <c r="Y25" s="35">
        <f t="shared" si="10"/>
        <v>0</v>
      </c>
      <c r="Z25" s="27">
        <f t="shared" si="11"/>
        <v>0</v>
      </c>
      <c r="AA25" s="27">
        <f t="shared" si="14"/>
        <v>24723.534056000004</v>
      </c>
    </row>
    <row r="26" spans="1:27" ht="16.5" thickBot="1" x14ac:dyDescent="0.25">
      <c r="A26" s="10">
        <v>44340</v>
      </c>
      <c r="B26" s="49"/>
      <c r="C26" s="165">
        <f t="shared" si="15"/>
        <v>18216</v>
      </c>
      <c r="D26" s="49">
        <f t="shared" si="1"/>
        <v>0</v>
      </c>
      <c r="E26" s="140">
        <f t="shared" si="16"/>
        <v>26008032</v>
      </c>
      <c r="F26" s="49">
        <f t="shared" si="2"/>
        <v>0</v>
      </c>
      <c r="G26" s="144">
        <f t="shared" si="17"/>
        <v>82280836</v>
      </c>
      <c r="H26" s="49">
        <f t="shared" si="3"/>
        <v>0</v>
      </c>
      <c r="I26" s="141">
        <f t="shared" si="12"/>
        <v>0</v>
      </c>
      <c r="J26" s="140">
        <f t="shared" si="18"/>
        <v>8036970</v>
      </c>
      <c r="K26" s="49">
        <f t="shared" si="4"/>
        <v>0</v>
      </c>
      <c r="L26" s="142">
        <f t="shared" si="19"/>
        <v>8030026</v>
      </c>
      <c r="M26" s="49">
        <f t="shared" si="5"/>
        <v>0</v>
      </c>
      <c r="N26" s="140">
        <f t="shared" si="20"/>
        <v>5164175</v>
      </c>
      <c r="O26" s="49">
        <f t="shared" si="13"/>
        <v>0</v>
      </c>
      <c r="P26" s="142">
        <f t="shared" si="21"/>
        <v>3425961</v>
      </c>
      <c r="Q26" s="49">
        <f t="shared" si="6"/>
        <v>0</v>
      </c>
      <c r="R26" s="140">
        <f t="shared" si="22"/>
        <v>17464939</v>
      </c>
      <c r="S26" s="49">
        <f t="shared" si="7"/>
        <v>0</v>
      </c>
      <c r="T26" s="140">
        <v>0</v>
      </c>
      <c r="U26" s="143"/>
      <c r="V26" s="140">
        <f t="shared" si="23"/>
        <v>5122908</v>
      </c>
      <c r="W26" s="49">
        <f t="shared" si="8"/>
        <v>0</v>
      </c>
      <c r="X26" s="28">
        <f t="shared" si="9"/>
        <v>0</v>
      </c>
      <c r="Y26" s="35">
        <f t="shared" si="10"/>
        <v>0</v>
      </c>
      <c r="Z26" s="27">
        <f t="shared" si="11"/>
        <v>0</v>
      </c>
      <c r="AA26" s="27">
        <f t="shared" si="14"/>
        <v>15521.274100800001</v>
      </c>
    </row>
    <row r="27" spans="1:27" ht="16.5" thickBot="1" x14ac:dyDescent="0.25">
      <c r="A27" s="10">
        <v>44341</v>
      </c>
      <c r="B27" s="49"/>
      <c r="C27" s="165">
        <f t="shared" si="15"/>
        <v>18216</v>
      </c>
      <c r="D27" s="49">
        <f t="shared" si="1"/>
        <v>0</v>
      </c>
      <c r="E27" s="140">
        <f t="shared" si="16"/>
        <v>26008032</v>
      </c>
      <c r="F27" s="49">
        <f t="shared" si="2"/>
        <v>0</v>
      </c>
      <c r="G27" s="144">
        <f t="shared" si="17"/>
        <v>82280836</v>
      </c>
      <c r="H27" s="49">
        <f t="shared" si="3"/>
        <v>0</v>
      </c>
      <c r="I27" s="141">
        <f t="shared" si="12"/>
        <v>0</v>
      </c>
      <c r="J27" s="140">
        <f t="shared" si="18"/>
        <v>8036970</v>
      </c>
      <c r="K27" s="49">
        <f t="shared" si="4"/>
        <v>0</v>
      </c>
      <c r="L27" s="142">
        <f t="shared" si="19"/>
        <v>8030026</v>
      </c>
      <c r="M27" s="49">
        <f t="shared" si="5"/>
        <v>0</v>
      </c>
      <c r="N27" s="140">
        <f t="shared" si="20"/>
        <v>5164175</v>
      </c>
      <c r="O27" s="49">
        <f t="shared" si="13"/>
        <v>0</v>
      </c>
      <c r="P27" s="142">
        <f t="shared" si="21"/>
        <v>3425961</v>
      </c>
      <c r="Q27" s="49">
        <f t="shared" si="6"/>
        <v>0</v>
      </c>
      <c r="R27" s="140">
        <f t="shared" si="22"/>
        <v>17464939</v>
      </c>
      <c r="S27" s="49">
        <f t="shared" si="7"/>
        <v>0</v>
      </c>
      <c r="T27" s="140">
        <v>0</v>
      </c>
      <c r="U27" s="143"/>
      <c r="V27" s="140">
        <f t="shared" si="23"/>
        <v>5122908</v>
      </c>
      <c r="W27" s="49">
        <f t="shared" si="8"/>
        <v>0</v>
      </c>
      <c r="X27" s="28">
        <f t="shared" si="9"/>
        <v>0</v>
      </c>
      <c r="Y27" s="35">
        <f t="shared" si="10"/>
        <v>0</v>
      </c>
      <c r="Z27" s="27">
        <f t="shared" si="11"/>
        <v>0</v>
      </c>
      <c r="AA27" s="27">
        <f t="shared" si="14"/>
        <v>7197.8846783999998</v>
      </c>
    </row>
    <row r="28" spans="1:27" ht="16.5" thickBot="1" x14ac:dyDescent="0.25">
      <c r="A28" s="10">
        <v>44342</v>
      </c>
      <c r="B28" s="49"/>
      <c r="C28" s="165">
        <f t="shared" si="15"/>
        <v>18216</v>
      </c>
      <c r="D28" s="49">
        <f t="shared" si="1"/>
        <v>0</v>
      </c>
      <c r="E28" s="140">
        <f t="shared" si="16"/>
        <v>26008032</v>
      </c>
      <c r="F28" s="49">
        <f t="shared" si="2"/>
        <v>0</v>
      </c>
      <c r="G28" s="144">
        <f t="shared" si="17"/>
        <v>82280836</v>
      </c>
      <c r="H28" s="49">
        <f t="shared" si="3"/>
        <v>0</v>
      </c>
      <c r="I28" s="141">
        <f t="shared" si="12"/>
        <v>0</v>
      </c>
      <c r="J28" s="140">
        <f t="shared" si="18"/>
        <v>8036970</v>
      </c>
      <c r="K28" s="49">
        <f t="shared" si="4"/>
        <v>0</v>
      </c>
      <c r="L28" s="142">
        <f t="shared" si="19"/>
        <v>8030026</v>
      </c>
      <c r="M28" s="49">
        <f t="shared" si="5"/>
        <v>0</v>
      </c>
      <c r="N28" s="140">
        <f t="shared" si="20"/>
        <v>5164175</v>
      </c>
      <c r="O28" s="49">
        <f t="shared" si="13"/>
        <v>0</v>
      </c>
      <c r="P28" s="142">
        <f t="shared" si="21"/>
        <v>3425961</v>
      </c>
      <c r="Q28" s="49">
        <f t="shared" si="6"/>
        <v>0</v>
      </c>
      <c r="R28" s="140">
        <f t="shared" si="22"/>
        <v>17464939</v>
      </c>
      <c r="S28" s="49">
        <f t="shared" si="7"/>
        <v>0</v>
      </c>
      <c r="T28" s="140">
        <v>0</v>
      </c>
      <c r="U28" s="143"/>
      <c r="V28" s="140">
        <f t="shared" si="23"/>
        <v>5122908</v>
      </c>
      <c r="W28" s="49">
        <f t="shared" si="8"/>
        <v>0</v>
      </c>
      <c r="X28" s="28">
        <f t="shared" si="9"/>
        <v>0</v>
      </c>
      <c r="Y28" s="35">
        <f t="shared" si="10"/>
        <v>0</v>
      </c>
      <c r="Z28" s="27">
        <f t="shared" si="11"/>
        <v>0</v>
      </c>
      <c r="AA28" s="27">
        <f t="shared" si="14"/>
        <v>0</v>
      </c>
    </row>
    <row r="29" spans="1:27" ht="16.5" thickBot="1" x14ac:dyDescent="0.25">
      <c r="A29" s="10">
        <v>44343</v>
      </c>
      <c r="B29" s="49"/>
      <c r="C29" s="165">
        <f t="shared" si="15"/>
        <v>18216</v>
      </c>
      <c r="D29" s="49">
        <f t="shared" si="1"/>
        <v>0</v>
      </c>
      <c r="E29" s="140">
        <f t="shared" si="16"/>
        <v>26008032</v>
      </c>
      <c r="F29" s="49">
        <f t="shared" si="2"/>
        <v>0</v>
      </c>
      <c r="G29" s="144">
        <f t="shared" si="17"/>
        <v>82280836</v>
      </c>
      <c r="H29" s="49">
        <f t="shared" si="3"/>
        <v>0</v>
      </c>
      <c r="I29" s="141">
        <f t="shared" si="12"/>
        <v>0</v>
      </c>
      <c r="J29" s="140">
        <f t="shared" si="18"/>
        <v>8036970</v>
      </c>
      <c r="K29" s="49">
        <f t="shared" si="4"/>
        <v>0</v>
      </c>
      <c r="L29" s="142">
        <f t="shared" si="19"/>
        <v>8030026</v>
      </c>
      <c r="M29" s="49">
        <f t="shared" si="5"/>
        <v>0</v>
      </c>
      <c r="N29" s="140">
        <f t="shared" si="20"/>
        <v>5164175</v>
      </c>
      <c r="O29" s="49">
        <f t="shared" si="13"/>
        <v>0</v>
      </c>
      <c r="P29" s="142">
        <f t="shared" si="21"/>
        <v>3425961</v>
      </c>
      <c r="Q29" s="49">
        <f t="shared" si="6"/>
        <v>0</v>
      </c>
      <c r="R29" s="140">
        <f t="shared" si="22"/>
        <v>17464939</v>
      </c>
      <c r="S29" s="49">
        <f t="shared" si="7"/>
        <v>0</v>
      </c>
      <c r="T29" s="140">
        <v>0</v>
      </c>
      <c r="U29" s="143"/>
      <c r="V29" s="140">
        <f t="shared" si="23"/>
        <v>5122908</v>
      </c>
      <c r="W29" s="49">
        <f t="shared" si="8"/>
        <v>0</v>
      </c>
      <c r="X29" s="28">
        <f t="shared" si="9"/>
        <v>0</v>
      </c>
      <c r="Y29" s="35">
        <f t="shared" si="10"/>
        <v>0</v>
      </c>
      <c r="Z29" s="27">
        <f t="shared" si="11"/>
        <v>0</v>
      </c>
      <c r="AA29" s="27">
        <f t="shared" si="14"/>
        <v>0</v>
      </c>
    </row>
    <row r="30" spans="1:27" ht="16.5" thickBot="1" x14ac:dyDescent="0.25">
      <c r="A30" s="10">
        <v>44344</v>
      </c>
      <c r="B30" s="49"/>
      <c r="C30" s="165">
        <f t="shared" si="15"/>
        <v>18216</v>
      </c>
      <c r="D30" s="49">
        <f t="shared" si="1"/>
        <v>0</v>
      </c>
      <c r="E30" s="140">
        <f t="shared" si="16"/>
        <v>26008032</v>
      </c>
      <c r="F30" s="49">
        <f t="shared" si="2"/>
        <v>0</v>
      </c>
      <c r="G30" s="144">
        <f t="shared" si="17"/>
        <v>82280836</v>
      </c>
      <c r="H30" s="49">
        <f t="shared" si="3"/>
        <v>0</v>
      </c>
      <c r="I30" s="141">
        <f t="shared" si="12"/>
        <v>0</v>
      </c>
      <c r="J30" s="140">
        <f t="shared" si="18"/>
        <v>8036970</v>
      </c>
      <c r="K30" s="49">
        <f t="shared" si="4"/>
        <v>0</v>
      </c>
      <c r="L30" s="142">
        <f t="shared" si="19"/>
        <v>8030026</v>
      </c>
      <c r="M30" s="49">
        <f t="shared" si="5"/>
        <v>0</v>
      </c>
      <c r="N30" s="140">
        <f t="shared" si="20"/>
        <v>5164175</v>
      </c>
      <c r="O30" s="49">
        <f t="shared" si="13"/>
        <v>0</v>
      </c>
      <c r="P30" s="142">
        <f t="shared" si="21"/>
        <v>3425961</v>
      </c>
      <c r="Q30" s="49">
        <f t="shared" si="6"/>
        <v>0</v>
      </c>
      <c r="R30" s="140">
        <f t="shared" si="22"/>
        <v>17464939</v>
      </c>
      <c r="S30" s="49">
        <f t="shared" si="7"/>
        <v>0</v>
      </c>
      <c r="T30" s="140">
        <v>0</v>
      </c>
      <c r="U30" s="143"/>
      <c r="V30" s="140">
        <f t="shared" si="23"/>
        <v>5122908</v>
      </c>
      <c r="W30" s="49">
        <f t="shared" si="8"/>
        <v>0</v>
      </c>
      <c r="X30" s="28">
        <f t="shared" si="9"/>
        <v>0</v>
      </c>
      <c r="Y30" s="35">
        <f t="shared" si="10"/>
        <v>0</v>
      </c>
      <c r="Z30" s="27">
        <f t="shared" si="11"/>
        <v>0</v>
      </c>
      <c r="AA30" s="27">
        <f t="shared" si="14"/>
        <v>0</v>
      </c>
    </row>
    <row r="31" spans="1:27" ht="16.5" thickBot="1" x14ac:dyDescent="0.25">
      <c r="A31" s="10">
        <v>44345</v>
      </c>
      <c r="B31" s="49"/>
      <c r="C31" s="165">
        <f t="shared" si="15"/>
        <v>18216</v>
      </c>
      <c r="D31" s="49">
        <f t="shared" si="1"/>
        <v>0</v>
      </c>
      <c r="E31" s="140">
        <f t="shared" si="16"/>
        <v>26008032</v>
      </c>
      <c r="F31" s="49">
        <f t="shared" si="2"/>
        <v>0</v>
      </c>
      <c r="G31" s="144">
        <f t="shared" si="17"/>
        <v>82280836</v>
      </c>
      <c r="H31" s="49">
        <f t="shared" si="3"/>
        <v>0</v>
      </c>
      <c r="I31" s="28">
        <f>F31+H31</f>
        <v>0</v>
      </c>
      <c r="J31" s="140">
        <f t="shared" si="18"/>
        <v>8036970</v>
      </c>
      <c r="K31" s="49">
        <f t="shared" si="4"/>
        <v>0</v>
      </c>
      <c r="L31" s="142">
        <f t="shared" si="19"/>
        <v>8030026</v>
      </c>
      <c r="M31" s="49">
        <f t="shared" si="5"/>
        <v>0</v>
      </c>
      <c r="N31" s="140">
        <f t="shared" si="20"/>
        <v>5164175</v>
      </c>
      <c r="O31" s="49">
        <f t="shared" si="13"/>
        <v>0</v>
      </c>
      <c r="P31" s="142">
        <f t="shared" si="21"/>
        <v>3425961</v>
      </c>
      <c r="Q31" s="49">
        <f t="shared" si="6"/>
        <v>0</v>
      </c>
      <c r="R31" s="140">
        <f t="shared" si="22"/>
        <v>17464939</v>
      </c>
      <c r="S31" s="49">
        <f t="shared" si="7"/>
        <v>0</v>
      </c>
      <c r="T31" s="140">
        <v>0</v>
      </c>
      <c r="U31" s="29"/>
      <c r="V31" s="140">
        <f t="shared" si="23"/>
        <v>5122908</v>
      </c>
      <c r="W31" s="49">
        <f t="shared" si="8"/>
        <v>0</v>
      </c>
      <c r="X31" s="28">
        <f t="shared" si="9"/>
        <v>0</v>
      </c>
      <c r="Y31" s="35">
        <f t="shared" si="10"/>
        <v>0</v>
      </c>
      <c r="Z31" s="27">
        <f t="shared" si="11"/>
        <v>0</v>
      </c>
      <c r="AA31" s="27">
        <f t="shared" si="14"/>
        <v>0</v>
      </c>
    </row>
    <row r="32" spans="1:27" ht="16.5" thickBot="1" x14ac:dyDescent="0.25">
      <c r="A32" s="10">
        <v>44346</v>
      </c>
      <c r="B32" s="49"/>
      <c r="C32" s="165">
        <f t="shared" si="15"/>
        <v>18216</v>
      </c>
      <c r="D32" s="49">
        <f t="shared" si="1"/>
        <v>0</v>
      </c>
      <c r="E32" s="140">
        <f t="shared" si="16"/>
        <v>26008032</v>
      </c>
      <c r="F32" s="49">
        <f t="shared" si="2"/>
        <v>0</v>
      </c>
      <c r="G32" s="144">
        <f t="shared" si="17"/>
        <v>82280836</v>
      </c>
      <c r="H32" s="49">
        <f t="shared" si="3"/>
        <v>0</v>
      </c>
      <c r="I32" s="28">
        <f t="shared" ref="I32:I33" si="24">F32+H32</f>
        <v>0</v>
      </c>
      <c r="J32" s="140">
        <f t="shared" si="18"/>
        <v>8036970</v>
      </c>
      <c r="K32" s="49">
        <f t="shared" si="4"/>
        <v>0</v>
      </c>
      <c r="L32" s="142">
        <f t="shared" si="19"/>
        <v>8030026</v>
      </c>
      <c r="M32" s="49">
        <f t="shared" si="5"/>
        <v>0</v>
      </c>
      <c r="N32" s="140">
        <f t="shared" si="20"/>
        <v>5164175</v>
      </c>
      <c r="O32" s="49">
        <f t="shared" si="13"/>
        <v>0</v>
      </c>
      <c r="P32" s="142">
        <f t="shared" si="21"/>
        <v>3425961</v>
      </c>
      <c r="Q32" s="49">
        <f t="shared" si="6"/>
        <v>0</v>
      </c>
      <c r="R32" s="140">
        <f t="shared" si="22"/>
        <v>17464939</v>
      </c>
      <c r="S32" s="49">
        <f t="shared" si="7"/>
        <v>0</v>
      </c>
      <c r="T32" s="140">
        <v>0</v>
      </c>
      <c r="U32" s="29"/>
      <c r="V32" s="140">
        <f t="shared" si="23"/>
        <v>5122908</v>
      </c>
      <c r="W32" s="49">
        <f t="shared" si="8"/>
        <v>0</v>
      </c>
      <c r="X32" s="28">
        <f t="shared" si="9"/>
        <v>0</v>
      </c>
      <c r="Y32" s="35">
        <f t="shared" si="10"/>
        <v>0</v>
      </c>
      <c r="Z32" s="27">
        <f t="shared" si="11"/>
        <v>0</v>
      </c>
      <c r="AA32" s="27">
        <f t="shared" si="14"/>
        <v>0</v>
      </c>
    </row>
    <row r="33" spans="1:28" ht="16.5" thickBot="1" x14ac:dyDescent="0.25">
      <c r="A33" s="10">
        <v>44347</v>
      </c>
      <c r="B33" s="49"/>
      <c r="C33" s="165">
        <f t="shared" si="15"/>
        <v>18216</v>
      </c>
      <c r="D33" s="49">
        <f t="shared" si="1"/>
        <v>0</v>
      </c>
      <c r="E33" s="140">
        <f t="shared" si="16"/>
        <v>26008032</v>
      </c>
      <c r="F33" s="49">
        <f t="shared" si="2"/>
        <v>0</v>
      </c>
      <c r="G33" s="144">
        <f t="shared" si="17"/>
        <v>82280836</v>
      </c>
      <c r="H33" s="49">
        <f t="shared" si="3"/>
        <v>0</v>
      </c>
      <c r="I33" s="28">
        <f t="shared" si="24"/>
        <v>0</v>
      </c>
      <c r="J33" s="140">
        <f t="shared" si="18"/>
        <v>8036970</v>
      </c>
      <c r="K33" s="49">
        <f t="shared" si="4"/>
        <v>0</v>
      </c>
      <c r="L33" s="142">
        <f t="shared" si="19"/>
        <v>8030026</v>
      </c>
      <c r="M33" s="49">
        <f t="shared" si="5"/>
        <v>0</v>
      </c>
      <c r="N33" s="140">
        <f t="shared" si="20"/>
        <v>5164175</v>
      </c>
      <c r="O33" s="49">
        <f t="shared" si="13"/>
        <v>0</v>
      </c>
      <c r="P33" s="142">
        <f t="shared" si="21"/>
        <v>3425961</v>
      </c>
      <c r="Q33" s="49">
        <f t="shared" si="6"/>
        <v>0</v>
      </c>
      <c r="R33" s="140">
        <f t="shared" si="22"/>
        <v>17464939</v>
      </c>
      <c r="S33" s="49">
        <f t="shared" si="7"/>
        <v>0</v>
      </c>
      <c r="T33" s="140">
        <v>0</v>
      </c>
      <c r="U33" s="29"/>
      <c r="V33" s="140">
        <f t="shared" si="23"/>
        <v>5122908</v>
      </c>
      <c r="W33" s="49">
        <f t="shared" si="8"/>
        <v>0</v>
      </c>
      <c r="X33" s="28">
        <f t="shared" si="9"/>
        <v>0</v>
      </c>
      <c r="Y33" s="35">
        <f t="shared" si="10"/>
        <v>0</v>
      </c>
      <c r="Z33" s="27">
        <f t="shared" si="11"/>
        <v>0</v>
      </c>
      <c r="AA33" s="27">
        <f t="shared" si="14"/>
        <v>0</v>
      </c>
    </row>
    <row r="34" spans="1:28" ht="16.5" thickBot="1" x14ac:dyDescent="0.25">
      <c r="A34" s="6" t="s">
        <v>23</v>
      </c>
      <c r="B34" s="162">
        <f>SUM(B2:B33)</f>
        <v>1931</v>
      </c>
      <c r="C34" s="162"/>
      <c r="D34" s="162">
        <f>SUM(D2:D33)</f>
        <v>10400</v>
      </c>
      <c r="E34" s="162">
        <v>0</v>
      </c>
      <c r="F34" s="162">
        <f>SUM(F2:F33)</f>
        <v>293770</v>
      </c>
      <c r="G34" s="162">
        <v>0</v>
      </c>
      <c r="H34" s="162">
        <f>SUM(H2:H33)</f>
        <v>1040110</v>
      </c>
      <c r="I34" s="162">
        <f t="shared" ref="I34:X34" si="25">SUM(I5:I33)</f>
        <v>1237591</v>
      </c>
      <c r="J34" s="162">
        <v>0</v>
      </c>
      <c r="K34" s="162">
        <f>SUM(K2:K33)</f>
        <v>165536</v>
      </c>
      <c r="L34" s="162">
        <v>0</v>
      </c>
      <c r="M34" s="162">
        <f>SUM(M2:M33)</f>
        <v>145606</v>
      </c>
      <c r="N34" s="162">
        <v>0</v>
      </c>
      <c r="O34" s="162">
        <f>SUM(O2:O33)</f>
        <v>191114</v>
      </c>
      <c r="P34" s="162">
        <v>0</v>
      </c>
      <c r="Q34" s="162">
        <f>SUM(Q2:Q33)</f>
        <v>238089</v>
      </c>
      <c r="R34" s="162">
        <v>0</v>
      </c>
      <c r="S34" s="162">
        <f>SUM(S2:S33)</f>
        <v>205231</v>
      </c>
      <c r="T34" s="162">
        <f t="shared" si="25"/>
        <v>0</v>
      </c>
      <c r="U34" s="162">
        <f>SUM(U2:U33)</f>
        <v>0</v>
      </c>
      <c r="V34" s="162">
        <v>0</v>
      </c>
      <c r="W34" s="162">
        <f>SUM(W2:W33)</f>
        <v>225386</v>
      </c>
      <c r="X34" s="162">
        <f t="shared" si="25"/>
        <v>1095372</v>
      </c>
      <c r="Y34" s="162">
        <f>SUM(Y2:Y33)</f>
        <v>162918</v>
      </c>
      <c r="Z34" s="162">
        <f>SUM(Z2:Z33)</f>
        <v>166652.1511824</v>
      </c>
      <c r="AA34" s="162">
        <f>SUM(AA2:AA33)</f>
        <v>660574.1091456</v>
      </c>
    </row>
    <row r="35" spans="1:28" x14ac:dyDescent="0.25">
      <c r="U35" s="26" t="s">
        <v>12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topLeftCell="A16" zoomScale="80" zoomScaleNormal="55" zoomScaleSheetLayoutView="80" workbookViewId="0">
      <selection activeCell="F26" sqref="F26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44316</v>
      </c>
      <c r="B2" s="157">
        <v>17315561</v>
      </c>
      <c r="C2" s="55"/>
    </row>
    <row r="3" spans="1:9" ht="24" thickBot="1" x14ac:dyDescent="0.4">
      <c r="A3" s="10">
        <v>44317</v>
      </c>
      <c r="B3" s="157">
        <v>17317100</v>
      </c>
      <c r="C3" s="55">
        <f t="shared" ref="C3" si="0">IF((B3-B2)&lt;0,"0",(B3-B2))</f>
        <v>1539</v>
      </c>
    </row>
    <row r="4" spans="1:9" ht="24" thickBot="1" x14ac:dyDescent="0.4">
      <c r="A4" s="10">
        <v>44318</v>
      </c>
      <c r="B4" s="157">
        <v>17319000</v>
      </c>
      <c r="C4" s="55">
        <f t="shared" ref="C4:C30" si="1">IF((B4-B3)&lt;0,"0",(B4-B3))</f>
        <v>1900</v>
      </c>
    </row>
    <row r="5" spans="1:9" ht="24" thickBot="1" x14ac:dyDescent="0.4">
      <c r="A5" s="10">
        <v>44319</v>
      </c>
      <c r="B5" s="157">
        <v>17321125</v>
      </c>
      <c r="C5" s="55">
        <f t="shared" si="1"/>
        <v>2125</v>
      </c>
    </row>
    <row r="6" spans="1:9" ht="24" thickBot="1" x14ac:dyDescent="0.4">
      <c r="A6" s="10">
        <v>44320</v>
      </c>
      <c r="B6" s="157">
        <v>17323087</v>
      </c>
      <c r="C6" s="55">
        <f t="shared" si="1"/>
        <v>1962</v>
      </c>
    </row>
    <row r="7" spans="1:9" ht="24" thickBot="1" x14ac:dyDescent="0.4">
      <c r="A7" s="10">
        <v>44321</v>
      </c>
      <c r="B7" s="157">
        <v>17325101</v>
      </c>
      <c r="C7" s="55">
        <f t="shared" si="1"/>
        <v>2014</v>
      </c>
    </row>
    <row r="8" spans="1:9" ht="24" thickBot="1" x14ac:dyDescent="0.4">
      <c r="A8" s="10">
        <v>44322</v>
      </c>
      <c r="B8" s="157">
        <v>17327226</v>
      </c>
      <c r="C8" s="55">
        <f t="shared" si="1"/>
        <v>2125</v>
      </c>
    </row>
    <row r="9" spans="1:9" ht="24" thickBot="1" x14ac:dyDescent="0.4">
      <c r="A9" s="10">
        <v>44323</v>
      </c>
      <c r="B9" s="157">
        <v>17329201</v>
      </c>
      <c r="C9" s="55">
        <f t="shared" si="1"/>
        <v>1975</v>
      </c>
    </row>
    <row r="10" spans="1:9" ht="24" thickBot="1" x14ac:dyDescent="0.4">
      <c r="A10" s="10">
        <v>44324</v>
      </c>
      <c r="B10" s="157">
        <v>17330248</v>
      </c>
      <c r="C10" s="55">
        <f t="shared" si="1"/>
        <v>1047</v>
      </c>
    </row>
    <row r="11" spans="1:9" ht="24" thickBot="1" x14ac:dyDescent="0.4">
      <c r="A11" s="10">
        <v>44325</v>
      </c>
      <c r="B11" s="157">
        <v>17331258</v>
      </c>
      <c r="C11" s="55">
        <f t="shared" si="1"/>
        <v>1010</v>
      </c>
    </row>
    <row r="12" spans="1:9" ht="24" thickBot="1" x14ac:dyDescent="0.4">
      <c r="A12" s="10">
        <v>44326</v>
      </c>
      <c r="B12" s="157">
        <v>17333551</v>
      </c>
      <c r="C12" s="55">
        <f t="shared" si="1"/>
        <v>2293</v>
      </c>
    </row>
    <row r="13" spans="1:9" ht="24" thickBot="1" x14ac:dyDescent="0.4">
      <c r="A13" s="10">
        <v>44327</v>
      </c>
      <c r="B13" s="157">
        <v>17335700</v>
      </c>
      <c r="C13" s="55">
        <f t="shared" si="1"/>
        <v>2149</v>
      </c>
    </row>
    <row r="14" spans="1:9" ht="24" thickBot="1" x14ac:dyDescent="0.4">
      <c r="A14" s="10">
        <v>44328</v>
      </c>
      <c r="B14" s="157">
        <v>17336799</v>
      </c>
      <c r="C14" s="55">
        <f t="shared" si="1"/>
        <v>1099</v>
      </c>
    </row>
    <row r="15" spans="1:9" ht="24" thickBot="1" x14ac:dyDescent="0.4">
      <c r="A15" s="10">
        <v>44329</v>
      </c>
      <c r="B15" s="157">
        <v>17338519</v>
      </c>
      <c r="C15" s="55">
        <f t="shared" si="1"/>
        <v>1720</v>
      </c>
      <c r="I15" t="s">
        <v>12</v>
      </c>
    </row>
    <row r="16" spans="1:9" ht="26.25" customHeight="1" thickBot="1" x14ac:dyDescent="0.4">
      <c r="A16" s="10">
        <v>44330</v>
      </c>
      <c r="B16" s="157">
        <v>17340334</v>
      </c>
      <c r="C16" s="55">
        <f t="shared" si="1"/>
        <v>1815</v>
      </c>
    </row>
    <row r="17" spans="1:9" ht="25.5" customHeight="1" thickBot="1" x14ac:dyDescent="0.4">
      <c r="A17" s="10">
        <v>44331</v>
      </c>
      <c r="B17" s="157">
        <v>17342301</v>
      </c>
      <c r="C17" s="55">
        <f t="shared" si="1"/>
        <v>1967</v>
      </c>
      <c r="F17" s="155"/>
    </row>
    <row r="18" spans="1:9" ht="24" thickBot="1" x14ac:dyDescent="0.4">
      <c r="A18" s="10">
        <v>44332</v>
      </c>
      <c r="B18" s="157">
        <v>17344006</v>
      </c>
      <c r="C18" s="55">
        <f t="shared" si="1"/>
        <v>1705</v>
      </c>
    </row>
    <row r="19" spans="1:9" ht="24" thickBot="1" x14ac:dyDescent="0.4">
      <c r="A19" s="10">
        <v>44333</v>
      </c>
      <c r="B19" s="157">
        <v>17345930</v>
      </c>
      <c r="C19" s="55">
        <f t="shared" si="1"/>
        <v>1924</v>
      </c>
    </row>
    <row r="20" spans="1:9" ht="24" thickBot="1" x14ac:dyDescent="0.4">
      <c r="A20" s="10">
        <v>44334</v>
      </c>
      <c r="B20" s="157">
        <v>17347778</v>
      </c>
      <c r="C20" s="55">
        <f t="shared" si="1"/>
        <v>1848</v>
      </c>
    </row>
    <row r="21" spans="1:9" ht="24" thickBot="1" x14ac:dyDescent="0.4">
      <c r="A21" s="10">
        <v>44335</v>
      </c>
      <c r="B21" s="157">
        <v>17349677</v>
      </c>
      <c r="C21" s="55">
        <f t="shared" si="1"/>
        <v>1899</v>
      </c>
    </row>
    <row r="22" spans="1:9" ht="24" thickBot="1" x14ac:dyDescent="0.4">
      <c r="A22" s="10">
        <v>44336</v>
      </c>
      <c r="B22" s="157">
        <v>17351773</v>
      </c>
      <c r="C22" s="55">
        <f t="shared" si="1"/>
        <v>2096</v>
      </c>
    </row>
    <row r="23" spans="1:9" ht="24" thickBot="1" x14ac:dyDescent="0.4">
      <c r="A23" s="10">
        <v>44337</v>
      </c>
      <c r="B23" s="157">
        <v>17353523</v>
      </c>
      <c r="C23" s="55">
        <f t="shared" si="1"/>
        <v>1750</v>
      </c>
      <c r="F23" t="s">
        <v>12</v>
      </c>
    </row>
    <row r="24" spans="1:9" ht="24" thickBot="1" x14ac:dyDescent="0.4">
      <c r="A24" s="10">
        <v>44338</v>
      </c>
      <c r="B24" s="157">
        <v>17355518</v>
      </c>
      <c r="C24" s="55">
        <f t="shared" si="1"/>
        <v>1995</v>
      </c>
      <c r="E24" t="s">
        <v>12</v>
      </c>
    </row>
    <row r="25" spans="1:9" ht="24" thickBot="1" x14ac:dyDescent="0.4">
      <c r="A25" s="10">
        <v>44339</v>
      </c>
      <c r="B25" s="157">
        <f t="shared" ref="B24:B33" si="2">B24</f>
        <v>17355518</v>
      </c>
      <c r="C25" s="55">
        <f t="shared" si="1"/>
        <v>0</v>
      </c>
    </row>
    <row r="26" spans="1:9" ht="24" thickBot="1" x14ac:dyDescent="0.4">
      <c r="A26" s="10">
        <v>44340</v>
      </c>
      <c r="B26" s="157">
        <f t="shared" si="2"/>
        <v>17355518</v>
      </c>
      <c r="C26" s="55">
        <f t="shared" si="1"/>
        <v>0</v>
      </c>
    </row>
    <row r="27" spans="1:9" ht="24" thickBot="1" x14ac:dyDescent="0.4">
      <c r="A27" s="10">
        <v>44341</v>
      </c>
      <c r="B27" s="157">
        <f t="shared" si="2"/>
        <v>17355518</v>
      </c>
      <c r="C27" s="55">
        <f t="shared" si="1"/>
        <v>0</v>
      </c>
    </row>
    <row r="28" spans="1:9" ht="24" thickBot="1" x14ac:dyDescent="0.4">
      <c r="A28" s="10">
        <v>44342</v>
      </c>
      <c r="B28" s="157">
        <f t="shared" si="2"/>
        <v>17355518</v>
      </c>
      <c r="C28" s="55">
        <f t="shared" si="1"/>
        <v>0</v>
      </c>
      <c r="I28" t="s">
        <v>12</v>
      </c>
    </row>
    <row r="29" spans="1:9" ht="24" thickBot="1" x14ac:dyDescent="0.4">
      <c r="A29" s="10">
        <v>44343</v>
      </c>
      <c r="B29" s="157">
        <f t="shared" si="2"/>
        <v>17355518</v>
      </c>
      <c r="C29" s="55">
        <f t="shared" si="1"/>
        <v>0</v>
      </c>
    </row>
    <row r="30" spans="1:9" ht="24" thickBot="1" x14ac:dyDescent="0.4">
      <c r="A30" s="10">
        <v>44344</v>
      </c>
      <c r="B30" s="157">
        <f t="shared" si="2"/>
        <v>17355518</v>
      </c>
      <c r="C30" s="55">
        <f t="shared" si="1"/>
        <v>0</v>
      </c>
    </row>
    <row r="31" spans="1:9" ht="24" thickBot="1" x14ac:dyDescent="0.4">
      <c r="A31" s="10">
        <v>44345</v>
      </c>
      <c r="B31" s="157">
        <f t="shared" si="2"/>
        <v>17355518</v>
      </c>
      <c r="C31" s="55">
        <f>IF((B31-B30)&lt;0,"0",(B31-B30))</f>
        <v>0</v>
      </c>
    </row>
    <row r="32" spans="1:9" ht="24" thickBot="1" x14ac:dyDescent="0.4">
      <c r="A32" s="10">
        <v>44346</v>
      </c>
      <c r="B32" s="157">
        <f t="shared" si="2"/>
        <v>17355518</v>
      </c>
      <c r="C32" s="55">
        <f t="shared" ref="C32:C33" si="3">IF((B32-B31)&lt;0,"0",(B32-B31))</f>
        <v>0</v>
      </c>
    </row>
    <row r="33" spans="1:3" ht="24" thickBot="1" x14ac:dyDescent="0.4">
      <c r="A33" s="10">
        <v>44347</v>
      </c>
      <c r="B33" s="157">
        <f t="shared" si="2"/>
        <v>17355518</v>
      </c>
      <c r="C33" s="55">
        <f t="shared" si="3"/>
        <v>0</v>
      </c>
    </row>
    <row r="34" spans="1:3" ht="24" thickBot="1" x14ac:dyDescent="0.4">
      <c r="A34" s="170" t="s">
        <v>140</v>
      </c>
      <c r="B34" s="171"/>
      <c r="C34" s="160">
        <f>SUM(C3:C33)</f>
        <v>39957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opLeftCell="A7" zoomScale="98" zoomScaleNormal="98" workbookViewId="0">
      <pane xSplit="1" topLeftCell="I1" activePane="topRight" state="frozen"/>
      <selection pane="topRight" activeCell="V24" sqref="V24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44316</v>
      </c>
      <c r="B2" s="1">
        <v>20444.93</v>
      </c>
      <c r="C2" s="54"/>
      <c r="D2" s="38">
        <f t="shared" ref="D2" si="0">C2*1.9*1000</f>
        <v>0</v>
      </c>
      <c r="E2" s="1">
        <v>3550</v>
      </c>
      <c r="F2" s="54"/>
      <c r="G2" s="38">
        <f t="shared" ref="G2" si="1">F2*1.9*1000</f>
        <v>0</v>
      </c>
      <c r="H2" s="1">
        <v>2917</v>
      </c>
      <c r="I2" s="54"/>
      <c r="J2" s="38">
        <f t="shared" ref="J2" si="2">I2*1.9*1000</f>
        <v>0</v>
      </c>
      <c r="K2" s="7">
        <v>13349.51</v>
      </c>
      <c r="L2" s="54"/>
      <c r="M2" s="38">
        <f t="shared" ref="M2" si="3">L2*1.9*1000</f>
        <v>0</v>
      </c>
      <c r="N2" s="7">
        <v>3012.3609999999999</v>
      </c>
      <c r="O2" s="54"/>
      <c r="P2" s="38">
        <f t="shared" ref="P2:P4" si="4">O2*1.9*1000</f>
        <v>0</v>
      </c>
      <c r="Q2" s="7">
        <v>4751.76</v>
      </c>
      <c r="R2" s="54"/>
      <c r="S2" s="38">
        <f t="shared" ref="S2" si="5">R2*1.9*1000</f>
        <v>0</v>
      </c>
      <c r="T2" s="8">
        <f t="shared" ref="T2:T5" si="6">C2+F2+I2+L2+O2+R2</f>
        <v>0</v>
      </c>
      <c r="U2" s="40">
        <f t="shared" ref="U2:U3" si="7">T2*1.9*1000</f>
        <v>0</v>
      </c>
    </row>
    <row r="3" spans="1:25" ht="16.5" thickBot="1" x14ac:dyDescent="0.25">
      <c r="A3" s="10">
        <v>44317</v>
      </c>
      <c r="B3" s="1">
        <v>20452.173999999999</v>
      </c>
      <c r="C3" s="54">
        <f t="shared" ref="C3" si="8">IF((B3-B2)&lt;0,"0",(B3-B2))</f>
        <v>7.2439999999987776</v>
      </c>
      <c r="D3" s="38">
        <v>7837.4999999999991</v>
      </c>
      <c r="E3" s="1">
        <v>3550.8789999999999</v>
      </c>
      <c r="F3" s="54">
        <f t="shared" ref="F3" si="9">IF((E3-E2)&lt;0,"0",(E3-E2))</f>
        <v>0.87899999999990541</v>
      </c>
      <c r="G3" s="38">
        <v>2452.8999999994539</v>
      </c>
      <c r="H3" s="1">
        <v>2925</v>
      </c>
      <c r="I3" s="54">
        <f t="shared" ref="I3" si="10">IF((H3-H2)&lt;0,"0",(H3-H2))</f>
        <v>8</v>
      </c>
      <c r="J3" s="38">
        <v>9500</v>
      </c>
      <c r="K3" s="7">
        <v>13352.11</v>
      </c>
      <c r="L3" s="54">
        <f t="shared" ref="L3" si="11">IF((K3-K2)&lt;0,"0",(K3-K2))</f>
        <v>2.6000000000003638</v>
      </c>
      <c r="M3" s="38">
        <v>1538.9999999990323</v>
      </c>
      <c r="N3" s="7">
        <v>3013.7220000000002</v>
      </c>
      <c r="O3" s="54">
        <f t="shared" ref="O3" si="12">IF((N3-N2)&lt;0,"0",(N3-N2))</f>
        <v>1.3610000000003311</v>
      </c>
      <c r="P3" s="38">
        <f t="shared" si="4"/>
        <v>2585.900000000629</v>
      </c>
      <c r="Q3" s="7">
        <v>4752.26</v>
      </c>
      <c r="R3" s="54">
        <f t="shared" ref="R3" si="13">IF((Q3-Q2)&lt;0,"0",(Q3-Q2))</f>
        <v>0.5</v>
      </c>
      <c r="S3" s="38">
        <v>218.49999999958524</v>
      </c>
      <c r="T3" s="8">
        <f t="shared" si="6"/>
        <v>20.583999999999378</v>
      </c>
      <c r="U3" s="40">
        <f t="shared" si="7"/>
        <v>39109.599999998813</v>
      </c>
    </row>
    <row r="4" spans="1:25" ht="16.5" thickBot="1" x14ac:dyDescent="0.25">
      <c r="A4" s="10">
        <v>44318</v>
      </c>
      <c r="B4" s="1">
        <v>20460.528999999999</v>
      </c>
      <c r="C4" s="54">
        <f t="shared" ref="C4:C33" si="14">IF((B4-B3)&lt;0,"0",(B4-B3))</f>
        <v>8.3549999999995634</v>
      </c>
      <c r="D4" s="38">
        <f t="shared" ref="D4:D33" si="15">C4*1.9*1000</f>
        <v>15874.499999999171</v>
      </c>
      <c r="E4" s="1">
        <v>3551.8380000000002</v>
      </c>
      <c r="F4" s="54">
        <f t="shared" ref="F4:F33" si="16">IF((E4-E3)&lt;0,"0",(E4-E3))</f>
        <v>0.9590000000002874</v>
      </c>
      <c r="G4" s="38">
        <f t="shared" ref="G4:G33" si="17">F4*1.9*1000</f>
        <v>1822.1000000005461</v>
      </c>
      <c r="H4" s="1">
        <v>2932</v>
      </c>
      <c r="I4" s="54">
        <f t="shared" ref="I4:I33" si="18">IF((H4-H3)&lt;0,"0",(H4-H3))</f>
        <v>7</v>
      </c>
      <c r="J4" s="38">
        <f t="shared" ref="J4:J33" si="19">I4*1.9*1000</f>
        <v>13299.999999999998</v>
      </c>
      <c r="K4" s="7">
        <v>13354.93</v>
      </c>
      <c r="L4" s="54">
        <f t="shared" ref="L4:L33" si="20">IF((K4-K3)&lt;0,"0",(K4-K3))</f>
        <v>2.819999999999709</v>
      </c>
      <c r="M4" s="38">
        <f t="shared" ref="M4:M33" si="21">L4*1.9*1000</f>
        <v>5357.999999999447</v>
      </c>
      <c r="N4" s="7">
        <v>3015.123</v>
      </c>
      <c r="O4" s="54">
        <f t="shared" ref="O4:O33" si="22">IF((N4-N3)&lt;0,"0",(N4-N3))</f>
        <v>1.4009999999998399</v>
      </c>
      <c r="P4" s="38">
        <f t="shared" si="4"/>
        <v>2661.8999999996959</v>
      </c>
      <c r="Q4" s="7">
        <v>4752.78</v>
      </c>
      <c r="R4" s="54">
        <f t="shared" ref="R4:R33" si="23">IF((Q4-Q3)&lt;0,"0",(Q4-Q3))</f>
        <v>0.51999999999952706</v>
      </c>
      <c r="S4" s="38">
        <f t="shared" ref="S4:S33" si="24">R4*1.9*1000</f>
        <v>987.99999999910142</v>
      </c>
      <c r="T4" s="8">
        <f t="shared" si="6"/>
        <v>21.054999999998927</v>
      </c>
      <c r="U4" s="40">
        <f t="shared" ref="U4:U33" si="25">T4*1.9*1000</f>
        <v>40004.499999997963</v>
      </c>
    </row>
    <row r="5" spans="1:25" ht="16.5" thickBot="1" x14ac:dyDescent="0.25">
      <c r="A5" s="10">
        <v>44319</v>
      </c>
      <c r="B5" s="1">
        <v>20469.863000000001</v>
      </c>
      <c r="C5" s="54">
        <f t="shared" si="14"/>
        <v>9.3340000000025611</v>
      </c>
      <c r="D5" s="38">
        <f t="shared" si="15"/>
        <v>17734.600000004863</v>
      </c>
      <c r="E5" s="1">
        <v>3552.7809999999999</v>
      </c>
      <c r="F5" s="54">
        <f t="shared" si="16"/>
        <v>0.94299999999975626</v>
      </c>
      <c r="G5" s="38">
        <f t="shared" si="17"/>
        <v>1791.6999999995369</v>
      </c>
      <c r="H5" s="1">
        <v>2941</v>
      </c>
      <c r="I5" s="54">
        <f t="shared" si="18"/>
        <v>9</v>
      </c>
      <c r="J5" s="38">
        <f t="shared" si="19"/>
        <v>17099.999999999996</v>
      </c>
      <c r="K5" s="7">
        <v>13357.69</v>
      </c>
      <c r="L5" s="54">
        <f t="shared" si="20"/>
        <v>2.7600000000002183</v>
      </c>
      <c r="M5" s="38">
        <f t="shared" si="21"/>
        <v>5244.0000000004147</v>
      </c>
      <c r="N5" s="7">
        <v>3016</v>
      </c>
      <c r="O5" s="54">
        <f t="shared" si="22"/>
        <v>0.87699999999995271</v>
      </c>
      <c r="P5" s="38">
        <f t="shared" ref="P5:P33" si="26">O5*1.9*1000</f>
        <v>1666.2999999999099</v>
      </c>
      <c r="Q5" s="7">
        <v>4756.91</v>
      </c>
      <c r="R5" s="54">
        <f t="shared" si="23"/>
        <v>4.1300000000001091</v>
      </c>
      <c r="S5" s="38">
        <f t="shared" si="24"/>
        <v>7847.0000000002074</v>
      </c>
      <c r="T5" s="8">
        <f t="shared" si="6"/>
        <v>27.044000000002598</v>
      </c>
      <c r="U5" s="40">
        <f t="shared" si="25"/>
        <v>51383.600000004932</v>
      </c>
    </row>
    <row r="6" spans="1:25" ht="16.5" thickBot="1" x14ac:dyDescent="0.25">
      <c r="A6" s="10">
        <v>44320</v>
      </c>
      <c r="B6" s="1">
        <v>20479.546999999999</v>
      </c>
      <c r="C6" s="54">
        <f t="shared" si="14"/>
        <v>9.683999999997468</v>
      </c>
      <c r="D6" s="38">
        <f t="shared" si="15"/>
        <v>18399.599999995189</v>
      </c>
      <c r="E6" s="1">
        <v>3554.5720000000001</v>
      </c>
      <c r="F6" s="54">
        <f t="shared" si="16"/>
        <v>1.7910000000001673</v>
      </c>
      <c r="G6" s="38">
        <f t="shared" si="17"/>
        <v>3402.900000000318</v>
      </c>
      <c r="H6" s="1">
        <v>2950</v>
      </c>
      <c r="I6" s="54">
        <f t="shared" si="18"/>
        <v>9</v>
      </c>
      <c r="J6" s="38">
        <f t="shared" si="19"/>
        <v>17099.999999999996</v>
      </c>
      <c r="K6" s="7">
        <v>13360.21</v>
      </c>
      <c r="L6" s="54">
        <f t="shared" si="20"/>
        <v>2.5199999999986176</v>
      </c>
      <c r="M6" s="38">
        <f t="shared" si="21"/>
        <v>4787.9999999973734</v>
      </c>
      <c r="N6" s="7">
        <v>3017.4160000000002</v>
      </c>
      <c r="O6" s="54">
        <f t="shared" si="22"/>
        <v>1.4160000000001673</v>
      </c>
      <c r="P6" s="38">
        <f t="shared" si="26"/>
        <v>2690.400000000318</v>
      </c>
      <c r="Q6" s="7">
        <v>4758.53</v>
      </c>
      <c r="R6" s="54">
        <f t="shared" si="23"/>
        <v>1.6199999999998909</v>
      </c>
      <c r="S6" s="38">
        <f t="shared" si="24"/>
        <v>3077.9999999997926</v>
      </c>
      <c r="T6" s="8">
        <f t="shared" ref="T6:T33" si="27">C6+F6+I6+L6+O6+R6</f>
        <v>26.030999999996311</v>
      </c>
      <c r="U6" s="40">
        <f t="shared" si="25"/>
        <v>49458.899999992987</v>
      </c>
    </row>
    <row r="7" spans="1:25" ht="16.5" thickBot="1" x14ac:dyDescent="0.25">
      <c r="A7" s="10">
        <v>44321</v>
      </c>
      <c r="B7" s="1">
        <v>20489.561000000002</v>
      </c>
      <c r="C7" s="54">
        <f t="shared" si="14"/>
        <v>10.014000000002852</v>
      </c>
      <c r="D7" s="38">
        <f t="shared" si="15"/>
        <v>19026.600000005419</v>
      </c>
      <c r="E7" s="1">
        <v>3557.23</v>
      </c>
      <c r="F7" s="54">
        <f t="shared" si="16"/>
        <v>2.6579999999999018</v>
      </c>
      <c r="G7" s="38">
        <f t="shared" si="17"/>
        <v>5050.1999999998125</v>
      </c>
      <c r="H7" s="1">
        <v>2959</v>
      </c>
      <c r="I7" s="54">
        <f t="shared" si="18"/>
        <v>9</v>
      </c>
      <c r="J7" s="38">
        <f t="shared" si="19"/>
        <v>17099.999999999996</v>
      </c>
      <c r="K7" s="7">
        <v>13362.36</v>
      </c>
      <c r="L7" s="54">
        <f t="shared" si="20"/>
        <v>2.1500000000014552</v>
      </c>
      <c r="M7" s="38">
        <f t="shared" si="21"/>
        <v>4085.0000000027649</v>
      </c>
      <c r="N7" s="7">
        <v>3018.4670000000001</v>
      </c>
      <c r="O7" s="54">
        <f t="shared" si="22"/>
        <v>1.0509999999999309</v>
      </c>
      <c r="P7" s="38">
        <f t="shared" si="26"/>
        <v>1996.8999999998687</v>
      </c>
      <c r="Q7" s="7">
        <v>4761.01</v>
      </c>
      <c r="R7" s="54">
        <f t="shared" si="23"/>
        <v>2.4800000000004729</v>
      </c>
      <c r="S7" s="38">
        <f t="shared" si="24"/>
        <v>4712.0000000008986</v>
      </c>
      <c r="T7" s="8">
        <f t="shared" si="27"/>
        <v>27.353000000004613</v>
      </c>
      <c r="U7" s="40">
        <f t="shared" si="25"/>
        <v>51970.700000008765</v>
      </c>
    </row>
    <row r="8" spans="1:25" ht="16.5" thickBot="1" x14ac:dyDescent="0.25">
      <c r="A8" s="10">
        <v>44322</v>
      </c>
      <c r="B8" s="1">
        <v>20500.294000000002</v>
      </c>
      <c r="C8" s="54">
        <f t="shared" si="14"/>
        <v>10.733000000000175</v>
      </c>
      <c r="D8" s="38">
        <f t="shared" si="15"/>
        <v>20392.700000000332</v>
      </c>
      <c r="E8" s="1">
        <v>3559.5729999999999</v>
      </c>
      <c r="F8" s="54">
        <f t="shared" si="16"/>
        <v>2.3429999999998472</v>
      </c>
      <c r="G8" s="38">
        <f t="shared" si="17"/>
        <v>4451.6999999997097</v>
      </c>
      <c r="H8" s="1">
        <v>2968</v>
      </c>
      <c r="I8" s="54">
        <f t="shared" si="18"/>
        <v>9</v>
      </c>
      <c r="J8" s="38">
        <f t="shared" si="19"/>
        <v>17099.999999999996</v>
      </c>
      <c r="K8" s="7">
        <v>13364.52</v>
      </c>
      <c r="L8" s="54">
        <f>IF((K8-K7)&lt;0,"0",(K8-K7))</f>
        <v>2.1599999999998545</v>
      </c>
      <c r="M8" s="38">
        <f t="shared" si="21"/>
        <v>4103.9999999997226</v>
      </c>
      <c r="N8" s="7">
        <v>3019.5129999999999</v>
      </c>
      <c r="O8" s="54">
        <f t="shared" si="22"/>
        <v>1.0459999999998217</v>
      </c>
      <c r="P8" s="38">
        <f t="shared" si="26"/>
        <v>1987.3999999996613</v>
      </c>
      <c r="Q8" s="7">
        <v>4762.58</v>
      </c>
      <c r="R8" s="54">
        <f t="shared" si="23"/>
        <v>1.569999999999709</v>
      </c>
      <c r="S8" s="38">
        <f t="shared" si="24"/>
        <v>2982.9999999994466</v>
      </c>
      <c r="T8" s="8">
        <f t="shared" si="27"/>
        <v>26.851999999999407</v>
      </c>
      <c r="U8" s="40">
        <f t="shared" si="25"/>
        <v>51018.799999998868</v>
      </c>
    </row>
    <row r="9" spans="1:25" ht="16.5" thickBot="1" x14ac:dyDescent="0.25">
      <c r="A9" s="10">
        <v>44323</v>
      </c>
      <c r="B9" s="1">
        <v>20512.476999999999</v>
      </c>
      <c r="C9" s="54">
        <f t="shared" si="14"/>
        <v>12.182999999997264</v>
      </c>
      <c r="D9" s="38">
        <f t="shared" si="15"/>
        <v>23147.699999994798</v>
      </c>
      <c r="E9" s="1">
        <v>3561.33</v>
      </c>
      <c r="F9" s="54">
        <f t="shared" si="16"/>
        <v>1.7570000000000618</v>
      </c>
      <c r="G9" s="38">
        <f t="shared" si="17"/>
        <v>3338.3000000001175</v>
      </c>
      <c r="H9" s="1">
        <v>2977</v>
      </c>
      <c r="I9" s="54">
        <f t="shared" si="18"/>
        <v>9</v>
      </c>
      <c r="J9" s="38">
        <f t="shared" si="19"/>
        <v>17099.999999999996</v>
      </c>
      <c r="K9" s="7">
        <v>13365.87</v>
      </c>
      <c r="L9" s="54">
        <f t="shared" si="20"/>
        <v>1.3500000000003638</v>
      </c>
      <c r="M9" s="38">
        <f t="shared" si="21"/>
        <v>2565.0000000006908</v>
      </c>
      <c r="N9" s="7">
        <v>3020.7249999999999</v>
      </c>
      <c r="O9" s="54">
        <f t="shared" si="22"/>
        <v>1.2119999999999891</v>
      </c>
      <c r="P9" s="38">
        <f t="shared" si="26"/>
        <v>2302.7999999999793</v>
      </c>
      <c r="Q9" s="7">
        <v>4765.92</v>
      </c>
      <c r="R9" s="54">
        <f t="shared" si="23"/>
        <v>3.3400000000001455</v>
      </c>
      <c r="S9" s="38">
        <f t="shared" si="24"/>
        <v>6346.0000000002765</v>
      </c>
      <c r="T9" s="8">
        <f t="shared" si="27"/>
        <v>28.841999999997824</v>
      </c>
      <c r="U9" s="40">
        <f t="shared" si="25"/>
        <v>54799.799999995863</v>
      </c>
    </row>
    <row r="10" spans="1:25" ht="16.5" thickBot="1" x14ac:dyDescent="0.25">
      <c r="A10" s="10">
        <v>44324</v>
      </c>
      <c r="B10" s="1">
        <v>20523.092000000001</v>
      </c>
      <c r="C10" s="54">
        <f t="shared" si="14"/>
        <v>10.615000000001601</v>
      </c>
      <c r="D10" s="38">
        <f t="shared" si="15"/>
        <v>20168.500000003038</v>
      </c>
      <c r="E10" s="1">
        <v>3563.0659999999998</v>
      </c>
      <c r="F10" s="54">
        <f t="shared" si="16"/>
        <v>1.7359999999998763</v>
      </c>
      <c r="G10" s="38">
        <f t="shared" si="17"/>
        <v>3298.3999999997645</v>
      </c>
      <c r="H10" s="1">
        <v>2986</v>
      </c>
      <c r="I10" s="54">
        <f t="shared" si="18"/>
        <v>9</v>
      </c>
      <c r="J10" s="38">
        <f t="shared" si="19"/>
        <v>17099.999999999996</v>
      </c>
      <c r="K10" s="7">
        <v>13365.87</v>
      </c>
      <c r="L10" s="54">
        <f t="shared" si="20"/>
        <v>0</v>
      </c>
      <c r="M10" s="38">
        <f t="shared" si="21"/>
        <v>0</v>
      </c>
      <c r="N10" s="7">
        <v>3022.0450000000001</v>
      </c>
      <c r="O10" s="54">
        <f t="shared" si="22"/>
        <v>1.3200000000001637</v>
      </c>
      <c r="P10" s="38">
        <f t="shared" si="26"/>
        <v>2508.000000000311</v>
      </c>
      <c r="Q10" s="7">
        <v>4766.8599999999997</v>
      </c>
      <c r="R10" s="54">
        <f t="shared" si="23"/>
        <v>0.93999999999959982</v>
      </c>
      <c r="S10" s="38">
        <f t="shared" si="24"/>
        <v>1785.9999999992394</v>
      </c>
      <c r="T10" s="8">
        <f t="shared" si="27"/>
        <v>23.611000000001241</v>
      </c>
      <c r="U10" s="40">
        <f t="shared" si="25"/>
        <v>44860.900000002352</v>
      </c>
    </row>
    <row r="11" spans="1:25" ht="16.5" thickBot="1" x14ac:dyDescent="0.25">
      <c r="A11" s="10">
        <v>44325</v>
      </c>
      <c r="B11" s="1">
        <v>20539.526000000002</v>
      </c>
      <c r="C11" s="54">
        <f t="shared" si="14"/>
        <v>16.434000000001106</v>
      </c>
      <c r="D11" s="38">
        <f t="shared" si="15"/>
        <v>31224.600000002098</v>
      </c>
      <c r="E11" s="1">
        <v>3566.0259999999998</v>
      </c>
      <c r="F11" s="54">
        <f t="shared" si="16"/>
        <v>2.9600000000000364</v>
      </c>
      <c r="G11" s="38">
        <f t="shared" si="17"/>
        <v>5624.0000000000691</v>
      </c>
      <c r="H11" s="1">
        <v>2999</v>
      </c>
      <c r="I11" s="54">
        <f t="shared" si="18"/>
        <v>13</v>
      </c>
      <c r="J11" s="38">
        <f t="shared" si="19"/>
        <v>24700</v>
      </c>
      <c r="K11" s="7">
        <v>13368.13</v>
      </c>
      <c r="L11" s="54">
        <f t="shared" si="20"/>
        <v>2.2599999999983993</v>
      </c>
      <c r="M11" s="38">
        <f t="shared" si="21"/>
        <v>4293.9999999969586</v>
      </c>
      <c r="N11" s="7">
        <v>3024.047</v>
      </c>
      <c r="O11" s="54">
        <f t="shared" si="22"/>
        <v>2.0019999999999527</v>
      </c>
      <c r="P11" s="38">
        <f t="shared" si="26"/>
        <v>3803.7999999999101</v>
      </c>
      <c r="Q11" s="7">
        <v>4767.75</v>
      </c>
      <c r="R11" s="54">
        <f t="shared" si="23"/>
        <v>0.89000000000032742</v>
      </c>
      <c r="S11" s="38">
        <f t="shared" si="24"/>
        <v>1691.0000000006221</v>
      </c>
      <c r="T11" s="8">
        <f t="shared" si="27"/>
        <v>37.545999999999822</v>
      </c>
      <c r="U11" s="40">
        <f t="shared" si="25"/>
        <v>71337.399999999659</v>
      </c>
    </row>
    <row r="12" spans="1:25" ht="16.5" thickBot="1" x14ac:dyDescent="0.25">
      <c r="A12" s="10">
        <v>44326</v>
      </c>
      <c r="B12" s="1">
        <v>20548.561000000002</v>
      </c>
      <c r="C12" s="54">
        <f t="shared" si="14"/>
        <v>9.0349999999998545</v>
      </c>
      <c r="D12" s="38">
        <f t="shared" si="15"/>
        <v>17166.499999999724</v>
      </c>
      <c r="E12" s="1">
        <v>3568.3690000000001</v>
      </c>
      <c r="F12" s="54">
        <f t="shared" si="16"/>
        <v>2.343000000000302</v>
      </c>
      <c r="G12" s="38">
        <f t="shared" si="17"/>
        <v>4451.7000000005737</v>
      </c>
      <c r="H12" s="1">
        <v>3006</v>
      </c>
      <c r="I12" s="54">
        <f t="shared" si="18"/>
        <v>7</v>
      </c>
      <c r="J12" s="38">
        <f t="shared" si="19"/>
        <v>13299.999999999998</v>
      </c>
      <c r="K12" s="7">
        <v>13369.55</v>
      </c>
      <c r="L12" s="54">
        <f t="shared" si="20"/>
        <v>1.4200000000000728</v>
      </c>
      <c r="M12" s="38">
        <f t="shared" si="21"/>
        <v>2698.0000000001382</v>
      </c>
      <c r="N12" s="7">
        <v>3024.9789999999998</v>
      </c>
      <c r="O12" s="54">
        <f t="shared" si="22"/>
        <v>0.931999999999789</v>
      </c>
      <c r="P12" s="38">
        <f t="shared" si="26"/>
        <v>1770.7999999995989</v>
      </c>
      <c r="Q12" s="7">
        <v>4768.3500000000004</v>
      </c>
      <c r="R12" s="54">
        <f t="shared" si="23"/>
        <v>0.6000000000003638</v>
      </c>
      <c r="S12" s="38">
        <f t="shared" si="24"/>
        <v>1140.0000000006912</v>
      </c>
      <c r="T12" s="8">
        <f t="shared" si="27"/>
        <v>21.330000000000382</v>
      </c>
      <c r="U12" s="40">
        <f t="shared" si="25"/>
        <v>40527.000000000728</v>
      </c>
    </row>
    <row r="13" spans="1:25" ht="16.5" thickBot="1" x14ac:dyDescent="0.25">
      <c r="A13" s="10">
        <v>44327</v>
      </c>
      <c r="B13" s="1">
        <v>20560.683000000001</v>
      </c>
      <c r="C13" s="54">
        <f t="shared" si="14"/>
        <v>12.121999999999389</v>
      </c>
      <c r="D13" s="38">
        <f t="shared" si="15"/>
        <v>23031.799999998839</v>
      </c>
      <c r="E13" s="1">
        <v>3571.078</v>
      </c>
      <c r="F13" s="54">
        <f t="shared" si="16"/>
        <v>2.7089999999998327</v>
      </c>
      <c r="G13" s="38">
        <f t="shared" si="17"/>
        <v>5147.099999999682</v>
      </c>
      <c r="H13" s="1">
        <v>3016</v>
      </c>
      <c r="I13" s="54">
        <f t="shared" si="18"/>
        <v>10</v>
      </c>
      <c r="J13" s="38">
        <f t="shared" si="19"/>
        <v>19000</v>
      </c>
      <c r="K13" s="7">
        <v>13372</v>
      </c>
      <c r="L13" s="54">
        <f t="shared" si="20"/>
        <v>2.4500000000007276</v>
      </c>
      <c r="M13" s="38">
        <f t="shared" si="21"/>
        <v>4655.0000000013824</v>
      </c>
      <c r="N13" s="7">
        <v>3026</v>
      </c>
      <c r="O13" s="54">
        <f t="shared" si="22"/>
        <v>1.0210000000001855</v>
      </c>
      <c r="P13" s="38">
        <f t="shared" si="26"/>
        <v>1939.9000000003523</v>
      </c>
      <c r="Q13" s="7">
        <v>4771.33</v>
      </c>
      <c r="R13" s="54">
        <f t="shared" si="23"/>
        <v>2.9799999999995634</v>
      </c>
      <c r="S13" s="38">
        <f t="shared" si="24"/>
        <v>5661.9999999991705</v>
      </c>
      <c r="T13" s="8">
        <f t="shared" si="27"/>
        <v>31.281999999999698</v>
      </c>
      <c r="U13" s="40">
        <f t="shared" si="25"/>
        <v>59435.799999999428</v>
      </c>
    </row>
    <row r="14" spans="1:25" ht="16.5" thickBot="1" x14ac:dyDescent="0.25">
      <c r="A14" s="10">
        <v>44328</v>
      </c>
      <c r="B14" s="1">
        <v>20568.761999999999</v>
      </c>
      <c r="C14" s="54">
        <f t="shared" si="14"/>
        <v>8.0789999999979045</v>
      </c>
      <c r="D14" s="38">
        <f t="shared" si="15"/>
        <v>15350.099999996019</v>
      </c>
      <c r="E14" s="1">
        <v>3572.4319999999998</v>
      </c>
      <c r="F14" s="54">
        <f t="shared" si="16"/>
        <v>1.3539999999998145</v>
      </c>
      <c r="G14" s="38">
        <f t="shared" si="17"/>
        <v>2572.5999999996475</v>
      </c>
      <c r="H14" s="1">
        <v>3023</v>
      </c>
      <c r="I14" s="54">
        <f t="shared" si="18"/>
        <v>7</v>
      </c>
      <c r="J14" s="38">
        <f t="shared" si="19"/>
        <v>13299.999999999998</v>
      </c>
      <c r="K14" s="7">
        <v>13373.89</v>
      </c>
      <c r="L14" s="54">
        <f t="shared" si="20"/>
        <v>1.8899999999994179</v>
      </c>
      <c r="M14" s="38">
        <f t="shared" si="21"/>
        <v>3590.9999999988941</v>
      </c>
      <c r="N14" s="7">
        <v>3027</v>
      </c>
      <c r="O14" s="54">
        <f t="shared" si="22"/>
        <v>1</v>
      </c>
      <c r="P14" s="38">
        <f t="shared" si="26"/>
        <v>1900</v>
      </c>
      <c r="Q14" s="7">
        <v>4776.33</v>
      </c>
      <c r="R14" s="54">
        <f t="shared" si="23"/>
        <v>5</v>
      </c>
      <c r="S14" s="38">
        <f t="shared" si="24"/>
        <v>9500</v>
      </c>
      <c r="T14" s="8">
        <f t="shared" si="27"/>
        <v>24.322999999997137</v>
      </c>
      <c r="U14" s="40">
        <f t="shared" si="25"/>
        <v>46213.699999994562</v>
      </c>
    </row>
    <row r="15" spans="1:25" ht="16.5" thickBot="1" x14ac:dyDescent="0.25">
      <c r="A15" s="10">
        <v>44329</v>
      </c>
      <c r="B15" s="1">
        <v>20577.239000000001</v>
      </c>
      <c r="C15" s="54">
        <f t="shared" si="14"/>
        <v>8.4770000000025902</v>
      </c>
      <c r="D15" s="38">
        <f t="shared" si="15"/>
        <v>16106.300000004921</v>
      </c>
      <c r="E15" s="1">
        <v>3573.2370000000001</v>
      </c>
      <c r="F15" s="54">
        <f t="shared" si="16"/>
        <v>0.80500000000029104</v>
      </c>
      <c r="G15" s="38">
        <f t="shared" si="17"/>
        <v>1529.500000000553</v>
      </c>
      <c r="H15" s="1">
        <v>3031</v>
      </c>
      <c r="I15" s="54">
        <f t="shared" si="18"/>
        <v>8</v>
      </c>
      <c r="J15" s="38">
        <f t="shared" si="19"/>
        <v>15200</v>
      </c>
      <c r="K15" s="7">
        <v>13376.1</v>
      </c>
      <c r="L15" s="54">
        <f t="shared" si="20"/>
        <v>2.2100000000009459</v>
      </c>
      <c r="M15" s="38">
        <f t="shared" si="21"/>
        <v>4199.0000000017963</v>
      </c>
      <c r="N15" s="7">
        <v>3028.279</v>
      </c>
      <c r="O15" s="54">
        <f t="shared" si="22"/>
        <v>1.2789999999999964</v>
      </c>
      <c r="P15" s="38">
        <f t="shared" si="26"/>
        <v>2430.0999999999926</v>
      </c>
      <c r="Q15" s="7">
        <f t="shared" ref="Q15:Q33" si="28">Q14</f>
        <v>4776.33</v>
      </c>
      <c r="R15" s="54">
        <f t="shared" si="23"/>
        <v>0</v>
      </c>
      <c r="S15" s="38">
        <f t="shared" si="24"/>
        <v>0</v>
      </c>
      <c r="T15" s="8">
        <f t="shared" si="27"/>
        <v>20.771000000003824</v>
      </c>
      <c r="U15" s="40">
        <f t="shared" si="25"/>
        <v>39464.900000007263</v>
      </c>
      <c r="W15" t="s">
        <v>12</v>
      </c>
    </row>
    <row r="16" spans="1:25" ht="16.5" thickBot="1" x14ac:dyDescent="0.25">
      <c r="A16" s="10">
        <v>44330</v>
      </c>
      <c r="B16" s="1">
        <v>20585.892</v>
      </c>
      <c r="C16" s="54">
        <f t="shared" si="14"/>
        <v>8.6529999999984284</v>
      </c>
      <c r="D16" s="38">
        <f t="shared" si="15"/>
        <v>16440.69999999701</v>
      </c>
      <c r="E16" s="1">
        <v>3574.0450000000001</v>
      </c>
      <c r="F16" s="54">
        <f t="shared" si="16"/>
        <v>0.80799999999999272</v>
      </c>
      <c r="G16" s="38">
        <f t="shared" si="17"/>
        <v>1535.1999999999862</v>
      </c>
      <c r="H16" s="1">
        <v>3038</v>
      </c>
      <c r="I16" s="54">
        <f t="shared" si="18"/>
        <v>7</v>
      </c>
      <c r="J16" s="38">
        <f t="shared" si="19"/>
        <v>13299.999999999998</v>
      </c>
      <c r="K16" s="7">
        <v>13378.23</v>
      </c>
      <c r="L16" s="54">
        <f t="shared" si="20"/>
        <v>2.1299999999991996</v>
      </c>
      <c r="M16" s="38">
        <f t="shared" si="21"/>
        <v>4046.9999999984793</v>
      </c>
      <c r="N16" s="7">
        <v>3029.3490000000002</v>
      </c>
      <c r="O16" s="54">
        <f t="shared" si="22"/>
        <v>1.0700000000001637</v>
      </c>
      <c r="P16" s="38">
        <f t="shared" si="26"/>
        <v>2033.0000000003108</v>
      </c>
      <c r="Q16" s="7">
        <v>4780.42</v>
      </c>
      <c r="R16" s="54">
        <f t="shared" si="23"/>
        <v>4.0900000000001455</v>
      </c>
      <c r="S16" s="38">
        <f t="shared" si="24"/>
        <v>7771.0000000002765</v>
      </c>
      <c r="T16" s="8">
        <f t="shared" si="27"/>
        <v>23.75099999999793</v>
      </c>
      <c r="U16" s="40">
        <f t="shared" si="25"/>
        <v>45126.899999996065</v>
      </c>
      <c r="Y16" t="s">
        <v>12</v>
      </c>
    </row>
    <row r="17" spans="1:24" ht="16.5" thickBot="1" x14ac:dyDescent="0.25">
      <c r="A17" s="10">
        <v>44331</v>
      </c>
      <c r="B17" s="1">
        <v>20593.946</v>
      </c>
      <c r="C17" s="54">
        <f>IF((B17-B16)&lt;0,"0",(B17-B16))</f>
        <v>8.0540000000000873</v>
      </c>
      <c r="D17" s="38">
        <f t="shared" si="15"/>
        <v>15302.600000000166</v>
      </c>
      <c r="E17" s="1">
        <v>3575.0830000000001</v>
      </c>
      <c r="F17" s="54">
        <f t="shared" si="16"/>
        <v>1.0380000000000109</v>
      </c>
      <c r="G17" s="38">
        <f t="shared" si="17"/>
        <v>1972.2000000000205</v>
      </c>
      <c r="H17" s="1">
        <v>3045</v>
      </c>
      <c r="I17" s="54">
        <f t="shared" si="18"/>
        <v>7</v>
      </c>
      <c r="J17" s="38">
        <f t="shared" si="19"/>
        <v>13299.999999999998</v>
      </c>
      <c r="K17" s="7">
        <v>13379.4</v>
      </c>
      <c r="L17" s="54">
        <f t="shared" si="20"/>
        <v>1.1700000000000728</v>
      </c>
      <c r="M17" s="38">
        <f t="shared" si="21"/>
        <v>2223.0000000001378</v>
      </c>
      <c r="N17" s="7">
        <v>3030.4290000000001</v>
      </c>
      <c r="O17" s="54">
        <f t="shared" si="22"/>
        <v>1.0799999999999272</v>
      </c>
      <c r="P17" s="38">
        <f t="shared" si="26"/>
        <v>2051.9999999998613</v>
      </c>
      <c r="Q17" s="7">
        <v>4781.95</v>
      </c>
      <c r="R17" s="54">
        <f t="shared" si="23"/>
        <v>1.5299999999997453</v>
      </c>
      <c r="S17" s="38">
        <f t="shared" si="24"/>
        <v>2906.9999999995161</v>
      </c>
      <c r="T17" s="8">
        <f t="shared" si="27"/>
        <v>19.871999999999844</v>
      </c>
      <c r="U17" s="40">
        <f t="shared" si="25"/>
        <v>37756.799999999697</v>
      </c>
    </row>
    <row r="18" spans="1:24" ht="16.5" thickBot="1" x14ac:dyDescent="0.25">
      <c r="A18" s="10">
        <v>44332</v>
      </c>
      <c r="B18" s="1">
        <v>20602.758999999998</v>
      </c>
      <c r="C18" s="54">
        <f>IF((B18-B17)&lt;0,"0",(B18-B17))</f>
        <v>8.8129999999982829</v>
      </c>
      <c r="D18" s="38">
        <f t="shared" si="15"/>
        <v>16744.699999996737</v>
      </c>
      <c r="E18" s="1">
        <v>3576.875</v>
      </c>
      <c r="F18" s="54">
        <f t="shared" si="16"/>
        <v>1.7919999999999163</v>
      </c>
      <c r="G18" s="38">
        <f t="shared" si="17"/>
        <v>3404.799999999841</v>
      </c>
      <c r="H18" s="1">
        <v>3053</v>
      </c>
      <c r="I18" s="54">
        <f t="shared" si="18"/>
        <v>8</v>
      </c>
      <c r="J18" s="38">
        <f t="shared" si="19"/>
        <v>15200</v>
      </c>
      <c r="K18" s="7">
        <v>13379.52</v>
      </c>
      <c r="L18" s="54">
        <f t="shared" si="20"/>
        <v>0.12000000000080036</v>
      </c>
      <c r="M18" s="38">
        <f t="shared" si="21"/>
        <v>228.00000000152065</v>
      </c>
      <c r="N18" s="7">
        <v>3031.8980000000001</v>
      </c>
      <c r="O18" s="54">
        <f t="shared" si="22"/>
        <v>1.4690000000000509</v>
      </c>
      <c r="P18" s="38">
        <f t="shared" si="26"/>
        <v>2791.1000000000963</v>
      </c>
      <c r="Q18" s="7">
        <v>4783.3599999999997</v>
      </c>
      <c r="R18" s="54">
        <f t="shared" si="23"/>
        <v>1.4099999999998545</v>
      </c>
      <c r="S18" s="38">
        <f t="shared" si="24"/>
        <v>2678.9999999997235</v>
      </c>
      <c r="T18" s="8">
        <f t="shared" si="27"/>
        <v>21.603999999998905</v>
      </c>
      <c r="U18" s="40">
        <f t="shared" si="25"/>
        <v>41047.599999997918</v>
      </c>
    </row>
    <row r="19" spans="1:24" ht="16.5" thickBot="1" x14ac:dyDescent="0.25">
      <c r="A19" s="10">
        <v>44333</v>
      </c>
      <c r="B19" s="1">
        <v>20611.401999999998</v>
      </c>
      <c r="C19" s="54">
        <f>IF((B19-B18)&lt;0,"0",(B19-B18))</f>
        <v>8.6430000000000291</v>
      </c>
      <c r="D19" s="38">
        <f t="shared" si="15"/>
        <v>16421.700000000055</v>
      </c>
      <c r="E19" s="1">
        <v>3579.32</v>
      </c>
      <c r="F19" s="54">
        <f t="shared" si="16"/>
        <v>2.4450000000001637</v>
      </c>
      <c r="G19" s="38">
        <f t="shared" si="17"/>
        <v>4645.500000000311</v>
      </c>
      <c r="H19" s="1">
        <v>3061</v>
      </c>
      <c r="I19" s="54">
        <f t="shared" si="18"/>
        <v>8</v>
      </c>
      <c r="J19" s="38">
        <f t="shared" si="19"/>
        <v>15200</v>
      </c>
      <c r="K19" s="7">
        <v>13381.66</v>
      </c>
      <c r="L19" s="54">
        <f t="shared" si="20"/>
        <v>2.1399999999994179</v>
      </c>
      <c r="M19" s="38">
        <f t="shared" si="21"/>
        <v>4065.9999999988941</v>
      </c>
      <c r="N19" s="7">
        <v>3033.096</v>
      </c>
      <c r="O19" s="54">
        <f t="shared" si="22"/>
        <v>1.1979999999998654</v>
      </c>
      <c r="P19" s="38">
        <f t="shared" si="26"/>
        <v>2276.1999999997438</v>
      </c>
      <c r="Q19" s="7">
        <v>4785.37</v>
      </c>
      <c r="R19" s="54">
        <f t="shared" si="23"/>
        <v>2.0100000000002183</v>
      </c>
      <c r="S19" s="38">
        <f t="shared" si="24"/>
        <v>3819.0000000004147</v>
      </c>
      <c r="T19" s="8">
        <f t="shared" si="27"/>
        <v>24.435999999999694</v>
      </c>
      <c r="U19" s="40">
        <f t="shared" si="25"/>
        <v>46428.399999999412</v>
      </c>
    </row>
    <row r="20" spans="1:24" ht="16.5" thickBot="1" x14ac:dyDescent="0.25">
      <c r="A20" s="10">
        <v>44334</v>
      </c>
      <c r="B20" s="1">
        <v>20623.348999999998</v>
      </c>
      <c r="C20" s="54">
        <f t="shared" si="14"/>
        <v>11.947000000000116</v>
      </c>
      <c r="D20" s="38">
        <f t="shared" si="15"/>
        <v>22699.300000000221</v>
      </c>
      <c r="E20" s="1">
        <v>3583.52</v>
      </c>
      <c r="F20" s="54">
        <f t="shared" si="16"/>
        <v>4.1999999999998181</v>
      </c>
      <c r="G20" s="38">
        <f t="shared" si="17"/>
        <v>7979.9999999996544</v>
      </c>
      <c r="H20" s="1">
        <v>3072</v>
      </c>
      <c r="I20" s="54">
        <f t="shared" si="18"/>
        <v>11</v>
      </c>
      <c r="J20" s="38">
        <f t="shared" si="19"/>
        <v>20900</v>
      </c>
      <c r="K20" s="7">
        <v>13384.7</v>
      </c>
      <c r="L20" s="54">
        <f t="shared" si="20"/>
        <v>3.0400000000008731</v>
      </c>
      <c r="M20" s="38">
        <f t="shared" si="21"/>
        <v>5776.0000000016589</v>
      </c>
      <c r="N20" s="7">
        <v>3034.69</v>
      </c>
      <c r="O20" s="54">
        <f t="shared" si="22"/>
        <v>1.5940000000000509</v>
      </c>
      <c r="P20" s="38">
        <f t="shared" si="26"/>
        <v>3028.6000000000968</v>
      </c>
      <c r="Q20" s="7">
        <v>4788.1499999999996</v>
      </c>
      <c r="R20" s="54">
        <v>0</v>
      </c>
      <c r="S20" s="38">
        <f t="shared" si="24"/>
        <v>0</v>
      </c>
      <c r="T20" s="8">
        <f t="shared" si="27"/>
        <v>31.781000000000859</v>
      </c>
      <c r="U20" s="40">
        <f t="shared" si="25"/>
        <v>60383.900000001631</v>
      </c>
      <c r="X20" t="s">
        <v>12</v>
      </c>
    </row>
    <row r="21" spans="1:24" ht="16.5" thickBot="1" x14ac:dyDescent="0.25">
      <c r="A21" s="10">
        <v>44335</v>
      </c>
      <c r="B21" s="1">
        <v>20633.113000000001</v>
      </c>
      <c r="C21" s="54">
        <f t="shared" si="14"/>
        <v>9.7640000000028522</v>
      </c>
      <c r="D21" s="38">
        <f t="shared" si="15"/>
        <v>18551.600000005419</v>
      </c>
      <c r="E21" s="1">
        <v>3586.3780000000002</v>
      </c>
      <c r="F21" s="54">
        <f t="shared" si="16"/>
        <v>2.8580000000001746</v>
      </c>
      <c r="G21" s="38">
        <f t="shared" si="17"/>
        <v>5430.2000000003318</v>
      </c>
      <c r="H21" s="1">
        <v>3080</v>
      </c>
      <c r="I21" s="54">
        <f t="shared" si="18"/>
        <v>8</v>
      </c>
      <c r="J21" s="38">
        <f t="shared" si="19"/>
        <v>15200</v>
      </c>
      <c r="K21" s="7">
        <v>13386.48</v>
      </c>
      <c r="L21" s="54">
        <f t="shared" si="20"/>
        <v>1.7799999999988358</v>
      </c>
      <c r="M21" s="38">
        <f t="shared" si="21"/>
        <v>3381.9999999977881</v>
      </c>
      <c r="N21" s="7">
        <v>3036.01</v>
      </c>
      <c r="O21" s="54">
        <f t="shared" si="22"/>
        <v>1.3200000000001637</v>
      </c>
      <c r="P21" s="38">
        <f t="shared" si="26"/>
        <v>2508.000000000311</v>
      </c>
      <c r="Q21" s="7">
        <v>4790.17</v>
      </c>
      <c r="R21" s="54">
        <f t="shared" si="23"/>
        <v>2.0200000000004366</v>
      </c>
      <c r="S21" s="38">
        <f t="shared" si="24"/>
        <v>3838.000000000829</v>
      </c>
      <c r="T21" s="8">
        <f t="shared" si="27"/>
        <v>25.742000000002463</v>
      </c>
      <c r="U21" s="40">
        <f t="shared" si="25"/>
        <v>48909.800000004681</v>
      </c>
    </row>
    <row r="22" spans="1:24" ht="16.5" thickBot="1" x14ac:dyDescent="0.25">
      <c r="A22" s="10">
        <v>44336</v>
      </c>
      <c r="B22" s="1">
        <v>20643</v>
      </c>
      <c r="C22" s="54">
        <f t="shared" si="14"/>
        <v>9.8869999999988067</v>
      </c>
      <c r="D22" s="38">
        <f t="shared" si="15"/>
        <v>18785.299999997733</v>
      </c>
      <c r="E22" s="1">
        <v>3589.2809999999999</v>
      </c>
      <c r="F22" s="54">
        <f t="shared" si="16"/>
        <v>2.9029999999997926</v>
      </c>
      <c r="G22" s="38">
        <f t="shared" si="17"/>
        <v>5515.6999999996051</v>
      </c>
      <c r="H22" s="1">
        <v>3088</v>
      </c>
      <c r="I22" s="54">
        <f t="shared" si="18"/>
        <v>8</v>
      </c>
      <c r="J22" s="38">
        <f t="shared" si="19"/>
        <v>15200</v>
      </c>
      <c r="K22" s="7">
        <v>13390.1</v>
      </c>
      <c r="L22" s="54">
        <f t="shared" si="20"/>
        <v>3.6200000000008004</v>
      </c>
      <c r="M22" s="38">
        <f t="shared" si="21"/>
        <v>6878.0000000015207</v>
      </c>
      <c r="N22" s="7">
        <v>3037.375</v>
      </c>
      <c r="O22" s="54">
        <f t="shared" si="22"/>
        <v>1.3649999999997817</v>
      </c>
      <c r="P22" s="38">
        <f t="shared" si="26"/>
        <v>2593.4999999995853</v>
      </c>
      <c r="Q22" s="7">
        <v>4792.6099999999997</v>
      </c>
      <c r="R22" s="54">
        <f t="shared" si="23"/>
        <v>2.4399999999995998</v>
      </c>
      <c r="S22" s="38">
        <f t="shared" si="24"/>
        <v>4635.9999999992397</v>
      </c>
      <c r="T22" s="8">
        <f t="shared" si="27"/>
        <v>28.214999999998781</v>
      </c>
      <c r="U22" s="40">
        <f t="shared" si="25"/>
        <v>53608.499999997686</v>
      </c>
    </row>
    <row r="23" spans="1:24" ht="16.5" thickBot="1" x14ac:dyDescent="0.25">
      <c r="A23" s="10">
        <v>44337</v>
      </c>
      <c r="B23" s="1">
        <v>20653.7</v>
      </c>
      <c r="C23" s="54">
        <f t="shared" si="14"/>
        <v>10.700000000000728</v>
      </c>
      <c r="D23" s="38">
        <f t="shared" si="15"/>
        <v>20330.000000001379</v>
      </c>
      <c r="E23" s="1">
        <v>3590.3220000000001</v>
      </c>
      <c r="F23" s="54">
        <f t="shared" si="16"/>
        <v>1.0410000000001673</v>
      </c>
      <c r="G23" s="38">
        <f t="shared" si="17"/>
        <v>1977.900000000318</v>
      </c>
      <c r="H23" s="1">
        <v>3096</v>
      </c>
      <c r="I23" s="54">
        <f t="shared" si="18"/>
        <v>8</v>
      </c>
      <c r="J23" s="38">
        <f t="shared" si="19"/>
        <v>15200</v>
      </c>
      <c r="K23" s="7">
        <v>13391.65</v>
      </c>
      <c r="L23" s="54">
        <f t="shared" si="20"/>
        <v>1.5499999999992724</v>
      </c>
      <c r="M23" s="38">
        <f t="shared" si="21"/>
        <v>2944.9999999986176</v>
      </c>
      <c r="N23" s="7">
        <v>3038.7469999999998</v>
      </c>
      <c r="O23" s="54">
        <f t="shared" si="22"/>
        <v>1.3719999999998436</v>
      </c>
      <c r="P23" s="38">
        <f t="shared" si="26"/>
        <v>2606.7999999997028</v>
      </c>
      <c r="Q23" s="7">
        <v>4794.08</v>
      </c>
      <c r="R23" s="54">
        <f t="shared" si="23"/>
        <v>1.4700000000002547</v>
      </c>
      <c r="S23" s="38">
        <f t="shared" si="24"/>
        <v>2793.0000000004839</v>
      </c>
      <c r="T23" s="8">
        <f t="shared" si="27"/>
        <v>24.133000000000266</v>
      </c>
      <c r="U23" s="40">
        <f t="shared" si="25"/>
        <v>45852.700000000506</v>
      </c>
    </row>
    <row r="24" spans="1:24" ht="16.5" thickBot="1" x14ac:dyDescent="0.25">
      <c r="A24" s="10">
        <v>44338</v>
      </c>
      <c r="B24" s="1">
        <v>20664</v>
      </c>
      <c r="C24" s="54">
        <f t="shared" si="14"/>
        <v>10.299999999999272</v>
      </c>
      <c r="D24" s="38">
        <f t="shared" si="15"/>
        <v>19569.999999998618</v>
      </c>
      <c r="E24" s="1">
        <v>3592.2359999999999</v>
      </c>
      <c r="F24" s="54">
        <f t="shared" si="16"/>
        <v>1.9139999999997599</v>
      </c>
      <c r="G24" s="38">
        <f t="shared" si="17"/>
        <v>3636.5999999995433</v>
      </c>
      <c r="H24" s="1">
        <v>3105</v>
      </c>
      <c r="I24" s="54">
        <f t="shared" si="18"/>
        <v>9</v>
      </c>
      <c r="J24" s="38">
        <f t="shared" si="19"/>
        <v>17099.999999999996</v>
      </c>
      <c r="K24" s="7">
        <v>13395.21</v>
      </c>
      <c r="L24" s="54">
        <f t="shared" si="20"/>
        <v>3.5599999999994907</v>
      </c>
      <c r="M24" s="38">
        <f t="shared" si="21"/>
        <v>6763.9999999990323</v>
      </c>
      <c r="N24" s="7">
        <v>3039.866</v>
      </c>
      <c r="O24" s="54">
        <f t="shared" si="22"/>
        <v>1.1190000000001419</v>
      </c>
      <c r="P24" s="38">
        <f t="shared" si="26"/>
        <v>2126.1000000002696</v>
      </c>
      <c r="Q24" s="7">
        <v>4796.32</v>
      </c>
      <c r="R24" s="54">
        <f t="shared" si="23"/>
        <v>2.2399999999997817</v>
      </c>
      <c r="S24" s="38">
        <f t="shared" si="24"/>
        <v>4255.9999999995853</v>
      </c>
      <c r="T24" s="8">
        <f t="shared" si="27"/>
        <v>28.132999999998447</v>
      </c>
      <c r="U24" s="40">
        <f t="shared" si="25"/>
        <v>53452.699999997043</v>
      </c>
    </row>
    <row r="25" spans="1:24" ht="16.5" thickBot="1" x14ac:dyDescent="0.25">
      <c r="A25" s="10">
        <v>44339</v>
      </c>
      <c r="B25" s="1">
        <v>20489.561000000002</v>
      </c>
      <c r="C25" s="54" t="str">
        <f t="shared" si="14"/>
        <v>0</v>
      </c>
      <c r="D25" s="38">
        <f t="shared" si="15"/>
        <v>0</v>
      </c>
      <c r="E25" s="1">
        <f t="shared" ref="E24:E33" si="29">E24</f>
        <v>3592.2359999999999</v>
      </c>
      <c r="F25" s="54">
        <f t="shared" si="16"/>
        <v>0</v>
      </c>
      <c r="G25" s="38">
        <f t="shared" si="17"/>
        <v>0</v>
      </c>
      <c r="H25" s="1">
        <f t="shared" ref="H24:H33" si="30">H24</f>
        <v>3105</v>
      </c>
      <c r="I25" s="54">
        <f t="shared" si="18"/>
        <v>0</v>
      </c>
      <c r="J25" s="38">
        <f t="shared" si="19"/>
        <v>0</v>
      </c>
      <c r="K25" s="7">
        <f t="shared" ref="K24:K33" si="31">K24</f>
        <v>13395.21</v>
      </c>
      <c r="L25" s="54">
        <f t="shared" si="20"/>
        <v>0</v>
      </c>
      <c r="M25" s="38">
        <f t="shared" si="21"/>
        <v>0</v>
      </c>
      <c r="N25" s="7">
        <f t="shared" ref="N24:N33" si="32">N24</f>
        <v>3039.866</v>
      </c>
      <c r="O25" s="54">
        <f t="shared" si="22"/>
        <v>0</v>
      </c>
      <c r="P25" s="38">
        <f t="shared" si="26"/>
        <v>0</v>
      </c>
      <c r="Q25" s="7">
        <f t="shared" si="28"/>
        <v>4796.32</v>
      </c>
      <c r="R25" s="54">
        <f t="shared" si="23"/>
        <v>0</v>
      </c>
      <c r="S25" s="38">
        <f t="shared" si="24"/>
        <v>0</v>
      </c>
      <c r="T25" s="8">
        <f t="shared" si="27"/>
        <v>0</v>
      </c>
      <c r="U25" s="40">
        <f t="shared" si="25"/>
        <v>0</v>
      </c>
    </row>
    <row r="26" spans="1:24" ht="16.5" thickBot="1" x14ac:dyDescent="0.25">
      <c r="A26" s="10">
        <v>44340</v>
      </c>
      <c r="B26" s="1">
        <v>20489.561000000002</v>
      </c>
      <c r="C26" s="54">
        <f t="shared" si="14"/>
        <v>0</v>
      </c>
      <c r="D26" s="38">
        <f t="shared" si="15"/>
        <v>0</v>
      </c>
      <c r="E26" s="1">
        <f t="shared" si="29"/>
        <v>3592.2359999999999</v>
      </c>
      <c r="F26" s="54">
        <f t="shared" si="16"/>
        <v>0</v>
      </c>
      <c r="G26" s="38">
        <f t="shared" si="17"/>
        <v>0</v>
      </c>
      <c r="H26" s="1">
        <f t="shared" si="30"/>
        <v>3105</v>
      </c>
      <c r="I26" s="54">
        <f t="shared" si="18"/>
        <v>0</v>
      </c>
      <c r="J26" s="38">
        <f t="shared" si="19"/>
        <v>0</v>
      </c>
      <c r="K26" s="7">
        <f t="shared" si="31"/>
        <v>13395.21</v>
      </c>
      <c r="L26" s="54">
        <f t="shared" si="20"/>
        <v>0</v>
      </c>
      <c r="M26" s="38">
        <f t="shared" si="21"/>
        <v>0</v>
      </c>
      <c r="N26" s="7">
        <f t="shared" si="32"/>
        <v>3039.866</v>
      </c>
      <c r="O26" s="54">
        <f t="shared" si="22"/>
        <v>0</v>
      </c>
      <c r="P26" s="38">
        <f t="shared" si="26"/>
        <v>0</v>
      </c>
      <c r="Q26" s="7">
        <f t="shared" si="28"/>
        <v>4796.32</v>
      </c>
      <c r="R26" s="54">
        <f t="shared" si="23"/>
        <v>0</v>
      </c>
      <c r="S26" s="38">
        <f t="shared" si="24"/>
        <v>0</v>
      </c>
      <c r="T26" s="8">
        <f t="shared" si="27"/>
        <v>0</v>
      </c>
      <c r="U26" s="40">
        <f t="shared" si="25"/>
        <v>0</v>
      </c>
      <c r="V26" t="s">
        <v>12</v>
      </c>
    </row>
    <row r="27" spans="1:24" ht="16.5" thickBot="1" x14ac:dyDescent="0.25">
      <c r="A27" s="10">
        <v>44341</v>
      </c>
      <c r="B27" s="1">
        <v>20489.561000000002</v>
      </c>
      <c r="C27" s="54">
        <f t="shared" si="14"/>
        <v>0</v>
      </c>
      <c r="D27" s="38">
        <f t="shared" si="15"/>
        <v>0</v>
      </c>
      <c r="E27" s="1">
        <f t="shared" si="29"/>
        <v>3592.2359999999999</v>
      </c>
      <c r="F27" s="54">
        <f t="shared" si="16"/>
        <v>0</v>
      </c>
      <c r="G27" s="38">
        <f t="shared" si="17"/>
        <v>0</v>
      </c>
      <c r="H27" s="1">
        <f t="shared" si="30"/>
        <v>3105</v>
      </c>
      <c r="I27" s="54">
        <f t="shared" si="18"/>
        <v>0</v>
      </c>
      <c r="J27" s="38">
        <f t="shared" si="19"/>
        <v>0</v>
      </c>
      <c r="K27" s="7">
        <f t="shared" si="31"/>
        <v>13395.21</v>
      </c>
      <c r="L27" s="54">
        <f t="shared" si="20"/>
        <v>0</v>
      </c>
      <c r="M27" s="38">
        <f t="shared" si="21"/>
        <v>0</v>
      </c>
      <c r="N27" s="7">
        <f t="shared" si="32"/>
        <v>3039.866</v>
      </c>
      <c r="O27" s="54">
        <f t="shared" si="22"/>
        <v>0</v>
      </c>
      <c r="P27" s="38">
        <f t="shared" si="26"/>
        <v>0</v>
      </c>
      <c r="Q27" s="7">
        <f t="shared" si="28"/>
        <v>4796.32</v>
      </c>
      <c r="R27" s="54">
        <f t="shared" si="23"/>
        <v>0</v>
      </c>
      <c r="S27" s="38">
        <f t="shared" si="24"/>
        <v>0</v>
      </c>
      <c r="T27" s="8">
        <f t="shared" si="27"/>
        <v>0</v>
      </c>
      <c r="U27" s="40">
        <f t="shared" si="25"/>
        <v>0</v>
      </c>
      <c r="V27" t="s">
        <v>12</v>
      </c>
    </row>
    <row r="28" spans="1:24" ht="16.5" thickBot="1" x14ac:dyDescent="0.25">
      <c r="A28" s="10">
        <v>44342</v>
      </c>
      <c r="B28" s="1">
        <v>20489.561000000002</v>
      </c>
      <c r="C28" s="54">
        <f t="shared" si="14"/>
        <v>0</v>
      </c>
      <c r="D28" s="38">
        <f t="shared" si="15"/>
        <v>0</v>
      </c>
      <c r="E28" s="1">
        <f t="shared" si="29"/>
        <v>3592.2359999999999</v>
      </c>
      <c r="F28" s="54">
        <f t="shared" si="16"/>
        <v>0</v>
      </c>
      <c r="G28" s="38">
        <f t="shared" si="17"/>
        <v>0</v>
      </c>
      <c r="H28" s="1">
        <f t="shared" si="30"/>
        <v>3105</v>
      </c>
      <c r="I28" s="54">
        <f t="shared" si="18"/>
        <v>0</v>
      </c>
      <c r="J28" s="38">
        <f t="shared" si="19"/>
        <v>0</v>
      </c>
      <c r="K28" s="7">
        <f t="shared" si="31"/>
        <v>13395.21</v>
      </c>
      <c r="L28" s="54">
        <f t="shared" si="20"/>
        <v>0</v>
      </c>
      <c r="M28" s="38">
        <f t="shared" si="21"/>
        <v>0</v>
      </c>
      <c r="N28" s="7">
        <f t="shared" si="32"/>
        <v>3039.866</v>
      </c>
      <c r="O28" s="54">
        <f t="shared" si="22"/>
        <v>0</v>
      </c>
      <c r="P28" s="38">
        <f t="shared" si="26"/>
        <v>0</v>
      </c>
      <c r="Q28" s="7">
        <f t="shared" si="28"/>
        <v>4796.32</v>
      </c>
      <c r="R28" s="54">
        <f t="shared" si="23"/>
        <v>0</v>
      </c>
      <c r="S28" s="38">
        <f t="shared" si="24"/>
        <v>0</v>
      </c>
      <c r="T28" s="8">
        <f t="shared" si="27"/>
        <v>0</v>
      </c>
      <c r="U28" s="40">
        <f t="shared" si="25"/>
        <v>0</v>
      </c>
    </row>
    <row r="29" spans="1:24" ht="16.5" thickBot="1" x14ac:dyDescent="0.25">
      <c r="A29" s="10">
        <v>44343</v>
      </c>
      <c r="B29" s="1">
        <v>20489.561000000002</v>
      </c>
      <c r="C29" s="54">
        <f t="shared" si="14"/>
        <v>0</v>
      </c>
      <c r="D29" s="38">
        <f t="shared" si="15"/>
        <v>0</v>
      </c>
      <c r="E29" s="1">
        <f t="shared" si="29"/>
        <v>3592.2359999999999</v>
      </c>
      <c r="F29" s="54">
        <f t="shared" si="16"/>
        <v>0</v>
      </c>
      <c r="G29" s="38">
        <f t="shared" si="17"/>
        <v>0</v>
      </c>
      <c r="H29" s="1">
        <f t="shared" si="30"/>
        <v>3105</v>
      </c>
      <c r="I29" s="54">
        <f t="shared" si="18"/>
        <v>0</v>
      </c>
      <c r="J29" s="38">
        <f t="shared" si="19"/>
        <v>0</v>
      </c>
      <c r="K29" s="7">
        <f t="shared" si="31"/>
        <v>13395.21</v>
      </c>
      <c r="L29" s="54">
        <f t="shared" si="20"/>
        <v>0</v>
      </c>
      <c r="M29" s="38">
        <f t="shared" si="21"/>
        <v>0</v>
      </c>
      <c r="N29" s="7">
        <f t="shared" si="32"/>
        <v>3039.866</v>
      </c>
      <c r="O29" s="54">
        <f t="shared" si="22"/>
        <v>0</v>
      </c>
      <c r="P29" s="38">
        <f t="shared" si="26"/>
        <v>0</v>
      </c>
      <c r="Q29" s="7">
        <f t="shared" si="28"/>
        <v>4796.32</v>
      </c>
      <c r="R29" s="54">
        <f t="shared" si="23"/>
        <v>0</v>
      </c>
      <c r="S29" s="38">
        <f t="shared" si="24"/>
        <v>0</v>
      </c>
      <c r="T29" s="8">
        <f t="shared" si="27"/>
        <v>0</v>
      </c>
      <c r="U29" s="40">
        <f t="shared" si="25"/>
        <v>0</v>
      </c>
    </row>
    <row r="30" spans="1:24" ht="16.5" thickBot="1" x14ac:dyDescent="0.25">
      <c r="A30" s="10">
        <v>44344</v>
      </c>
      <c r="B30" s="1">
        <v>20489.561000000002</v>
      </c>
      <c r="C30" s="54">
        <f t="shared" si="14"/>
        <v>0</v>
      </c>
      <c r="D30" s="38">
        <f t="shared" si="15"/>
        <v>0</v>
      </c>
      <c r="E30" s="1">
        <f t="shared" si="29"/>
        <v>3592.2359999999999</v>
      </c>
      <c r="F30" s="54">
        <f t="shared" si="16"/>
        <v>0</v>
      </c>
      <c r="G30" s="38">
        <f t="shared" si="17"/>
        <v>0</v>
      </c>
      <c r="H30" s="1">
        <f t="shared" si="30"/>
        <v>3105</v>
      </c>
      <c r="I30" s="54">
        <f t="shared" si="18"/>
        <v>0</v>
      </c>
      <c r="J30" s="38">
        <f t="shared" si="19"/>
        <v>0</v>
      </c>
      <c r="K30" s="7">
        <f t="shared" si="31"/>
        <v>13395.21</v>
      </c>
      <c r="L30" s="54">
        <f t="shared" si="20"/>
        <v>0</v>
      </c>
      <c r="M30" s="38">
        <f t="shared" si="21"/>
        <v>0</v>
      </c>
      <c r="N30" s="7">
        <f t="shared" si="32"/>
        <v>3039.866</v>
      </c>
      <c r="O30" s="54">
        <f t="shared" si="22"/>
        <v>0</v>
      </c>
      <c r="P30" s="38">
        <f t="shared" si="26"/>
        <v>0</v>
      </c>
      <c r="Q30" s="7">
        <f t="shared" si="28"/>
        <v>4796.32</v>
      </c>
      <c r="R30" s="54">
        <f t="shared" si="23"/>
        <v>0</v>
      </c>
      <c r="S30" s="38">
        <f t="shared" si="24"/>
        <v>0</v>
      </c>
      <c r="T30" s="8">
        <f t="shared" si="27"/>
        <v>0</v>
      </c>
      <c r="U30" s="40">
        <f t="shared" si="25"/>
        <v>0</v>
      </c>
    </row>
    <row r="31" spans="1:24" ht="16.5" thickBot="1" x14ac:dyDescent="0.25">
      <c r="A31" s="10">
        <v>44345</v>
      </c>
      <c r="B31" s="1">
        <v>20489.561000000002</v>
      </c>
      <c r="C31" s="54">
        <f t="shared" si="14"/>
        <v>0</v>
      </c>
      <c r="D31" s="38">
        <f t="shared" si="15"/>
        <v>0</v>
      </c>
      <c r="E31" s="1">
        <f t="shared" si="29"/>
        <v>3592.2359999999999</v>
      </c>
      <c r="F31" s="54">
        <f t="shared" si="16"/>
        <v>0</v>
      </c>
      <c r="G31" s="38">
        <f t="shared" si="17"/>
        <v>0</v>
      </c>
      <c r="H31" s="1">
        <f t="shared" si="30"/>
        <v>3105</v>
      </c>
      <c r="I31" s="54">
        <f t="shared" si="18"/>
        <v>0</v>
      </c>
      <c r="J31" s="38">
        <f t="shared" si="19"/>
        <v>0</v>
      </c>
      <c r="K31" s="7">
        <f t="shared" si="31"/>
        <v>13395.21</v>
      </c>
      <c r="L31" s="54">
        <f t="shared" si="20"/>
        <v>0</v>
      </c>
      <c r="M31" s="38">
        <f t="shared" si="21"/>
        <v>0</v>
      </c>
      <c r="N31" s="7">
        <f t="shared" si="32"/>
        <v>3039.866</v>
      </c>
      <c r="O31" s="54">
        <f t="shared" si="22"/>
        <v>0</v>
      </c>
      <c r="P31" s="38">
        <f t="shared" si="26"/>
        <v>0</v>
      </c>
      <c r="Q31" s="7">
        <f t="shared" si="28"/>
        <v>4796.32</v>
      </c>
      <c r="R31" s="54">
        <f t="shared" si="23"/>
        <v>0</v>
      </c>
      <c r="S31" s="38">
        <f t="shared" si="24"/>
        <v>0</v>
      </c>
      <c r="T31" s="8">
        <f t="shared" si="27"/>
        <v>0</v>
      </c>
      <c r="U31" s="40">
        <f t="shared" si="25"/>
        <v>0</v>
      </c>
    </row>
    <row r="32" spans="1:24" ht="16.5" thickBot="1" x14ac:dyDescent="0.25">
      <c r="A32" s="10">
        <v>44346</v>
      </c>
      <c r="B32" s="1">
        <v>20489.561000000002</v>
      </c>
      <c r="C32" s="54">
        <f t="shared" si="14"/>
        <v>0</v>
      </c>
      <c r="D32" s="38">
        <f t="shared" si="15"/>
        <v>0</v>
      </c>
      <c r="E32" s="1">
        <f t="shared" si="29"/>
        <v>3592.2359999999999</v>
      </c>
      <c r="F32" s="54">
        <f t="shared" si="16"/>
        <v>0</v>
      </c>
      <c r="G32" s="38">
        <f t="shared" si="17"/>
        <v>0</v>
      </c>
      <c r="H32" s="1">
        <f t="shared" si="30"/>
        <v>3105</v>
      </c>
      <c r="I32" s="54">
        <f t="shared" si="18"/>
        <v>0</v>
      </c>
      <c r="J32" s="38">
        <f t="shared" si="19"/>
        <v>0</v>
      </c>
      <c r="K32" s="7">
        <f t="shared" si="31"/>
        <v>13395.21</v>
      </c>
      <c r="L32" s="54">
        <f t="shared" si="20"/>
        <v>0</v>
      </c>
      <c r="M32" s="38">
        <f t="shared" si="21"/>
        <v>0</v>
      </c>
      <c r="N32" s="7">
        <f t="shared" si="32"/>
        <v>3039.866</v>
      </c>
      <c r="O32" s="54">
        <f t="shared" si="22"/>
        <v>0</v>
      </c>
      <c r="P32" s="38">
        <f t="shared" si="26"/>
        <v>0</v>
      </c>
      <c r="Q32" s="7">
        <f t="shared" si="28"/>
        <v>4796.32</v>
      </c>
      <c r="R32" s="54">
        <f t="shared" si="23"/>
        <v>0</v>
      </c>
      <c r="S32" s="38">
        <f t="shared" si="24"/>
        <v>0</v>
      </c>
      <c r="T32" s="8">
        <f t="shared" si="27"/>
        <v>0</v>
      </c>
      <c r="U32" s="40">
        <f t="shared" si="25"/>
        <v>0</v>
      </c>
    </row>
    <row r="33" spans="1:27" ht="16.5" thickBot="1" x14ac:dyDescent="0.25">
      <c r="A33" s="10">
        <v>44347</v>
      </c>
      <c r="B33" s="1">
        <v>20489.561000000002</v>
      </c>
      <c r="C33" s="54">
        <f t="shared" si="14"/>
        <v>0</v>
      </c>
      <c r="D33" s="38">
        <f t="shared" si="15"/>
        <v>0</v>
      </c>
      <c r="E33" s="1">
        <f t="shared" si="29"/>
        <v>3592.2359999999999</v>
      </c>
      <c r="F33" s="54">
        <f t="shared" si="16"/>
        <v>0</v>
      </c>
      <c r="G33" s="38">
        <f t="shared" si="17"/>
        <v>0</v>
      </c>
      <c r="H33" s="1">
        <f t="shared" si="30"/>
        <v>3105</v>
      </c>
      <c r="I33" s="54">
        <f t="shared" si="18"/>
        <v>0</v>
      </c>
      <c r="J33" s="38">
        <f t="shared" si="19"/>
        <v>0</v>
      </c>
      <c r="K33" s="7">
        <f t="shared" si="31"/>
        <v>13395.21</v>
      </c>
      <c r="L33" s="54">
        <f t="shared" si="20"/>
        <v>0</v>
      </c>
      <c r="M33" s="38">
        <f t="shared" si="21"/>
        <v>0</v>
      </c>
      <c r="N33" s="7">
        <f t="shared" si="32"/>
        <v>3039.866</v>
      </c>
      <c r="O33" s="54">
        <f t="shared" si="22"/>
        <v>0</v>
      </c>
      <c r="P33" s="38">
        <f t="shared" si="26"/>
        <v>0</v>
      </c>
      <c r="Q33" s="7">
        <f t="shared" si="28"/>
        <v>4796.32</v>
      </c>
      <c r="R33" s="54">
        <f t="shared" si="23"/>
        <v>0</v>
      </c>
      <c r="S33" s="38">
        <f t="shared" si="24"/>
        <v>0</v>
      </c>
      <c r="T33" s="8">
        <f t="shared" si="27"/>
        <v>0</v>
      </c>
      <c r="U33" s="40">
        <f t="shared" si="25"/>
        <v>0</v>
      </c>
    </row>
    <row r="34" spans="1:27" s="26" customFormat="1" ht="16.5" thickBot="1" x14ac:dyDescent="0.25">
      <c r="A34" s="6" t="s">
        <v>23</v>
      </c>
      <c r="B34" s="162"/>
      <c r="C34" s="162">
        <v>0</v>
      </c>
      <c r="D34" s="162">
        <f>SUM(D2:D33)</f>
        <v>410306.90000000177</v>
      </c>
      <c r="E34" s="162">
        <v>0</v>
      </c>
      <c r="F34" s="162">
        <f>SUM(F2:F33)</f>
        <v>42.235999999999876</v>
      </c>
      <c r="G34" s="162">
        <f>SUM(G2:G33)</f>
        <v>81031.199999999386</v>
      </c>
      <c r="H34" s="162"/>
      <c r="I34" s="162">
        <f>SUM(I2:I33)</f>
        <v>188</v>
      </c>
      <c r="J34" s="162">
        <f>SUM(J2:J33)</f>
        <v>351500</v>
      </c>
      <c r="K34" s="162"/>
      <c r="L34" s="162">
        <f>SUM(L2:L33)</f>
        <v>45.699999999998909</v>
      </c>
      <c r="M34" s="162">
        <f>SUM(M2:M33)</f>
        <v>83428.999999996246</v>
      </c>
      <c r="N34" s="162"/>
      <c r="O34" s="162">
        <f>SUM(O2:O33)</f>
        <v>27.505000000000109</v>
      </c>
      <c r="P34" s="162">
        <f>SUM(P2:P33)</f>
        <v>52259.500000000196</v>
      </c>
      <c r="Q34" s="162"/>
      <c r="R34" s="162">
        <f>SUM(R2:R33)</f>
        <v>41.779999999999745</v>
      </c>
      <c r="S34" s="162">
        <f>SUM(S2:S33)</f>
        <v>78650.499999999098</v>
      </c>
      <c r="T34" s="162">
        <f>SUM(T2:T33)</f>
        <v>564.29099999999835</v>
      </c>
      <c r="U34" s="162">
        <f>SUM(U2:U33)</f>
        <v>1072152.8999999969</v>
      </c>
      <c r="V34"/>
      <c r="W34"/>
      <c r="X34"/>
      <c r="Y34"/>
      <c r="Z34"/>
      <c r="AA34"/>
    </row>
    <row r="35" spans="1:27" x14ac:dyDescent="0.2">
      <c r="D35" t="s">
        <v>12</v>
      </c>
      <c r="I35" s="46" t="s">
        <v>12</v>
      </c>
      <c r="R35" s="46" t="s">
        <v>12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2" t="s">
        <v>142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1" ht="13.5" thickBot="1" x14ac:dyDescent="0.25">
      <c r="A2" s="108"/>
      <c r="B2" s="109" t="s">
        <v>92</v>
      </c>
      <c r="C2" s="110">
        <f>K8+K9+K14</f>
        <v>459011</v>
      </c>
      <c r="D2" s="110">
        <f>C2*1.27</f>
        <v>582943.97</v>
      </c>
      <c r="E2" s="111"/>
      <c r="F2" s="108"/>
      <c r="G2" s="108"/>
      <c r="H2" s="112" t="s">
        <v>93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94</v>
      </c>
      <c r="I3" s="158">
        <f>ELECT.!E2</f>
        <v>25714262</v>
      </c>
      <c r="J3" s="158">
        <f>ELECT.!E33</f>
        <v>26008032</v>
      </c>
      <c r="K3" s="105">
        <f>J3-I3</f>
        <v>293770</v>
      </c>
    </row>
    <row r="4" spans="1:11" ht="13.5" thickBot="1" x14ac:dyDescent="0.25">
      <c r="A4" s="108"/>
      <c r="B4" s="116" t="s">
        <v>95</v>
      </c>
      <c r="C4" s="117" t="s">
        <v>96</v>
      </c>
      <c r="D4" s="117" t="s">
        <v>97</v>
      </c>
      <c r="E4" s="117"/>
      <c r="F4" s="108"/>
      <c r="G4" s="108"/>
      <c r="H4" s="114" t="s">
        <v>98</v>
      </c>
      <c r="I4" s="115">
        <f>ELECT.!G2</f>
        <v>81240726</v>
      </c>
      <c r="J4" s="158">
        <f>ELECT.!G33</f>
        <v>82280836</v>
      </c>
      <c r="K4" s="105">
        <f>J4-I4</f>
        <v>1040110</v>
      </c>
    </row>
    <row r="5" spans="1:11" ht="13.5" thickBot="1" x14ac:dyDescent="0.25">
      <c r="A5" s="108"/>
      <c r="B5" s="114" t="s">
        <v>27</v>
      </c>
      <c r="C5" s="118">
        <f>(K10+K12)*0.842284+K26</f>
        <v>562940.83085200004</v>
      </c>
      <c r="D5" s="118">
        <f t="shared" ref="D5:D11" si="0">C5*1.27</f>
        <v>714934.85518204002</v>
      </c>
      <c r="E5" s="119"/>
      <c r="F5" s="108"/>
      <c r="G5" s="108"/>
      <c r="H5" s="114" t="s">
        <v>23</v>
      </c>
      <c r="I5" s="120"/>
      <c r="J5" s="120"/>
      <c r="K5" s="145">
        <f>K3+K4</f>
        <v>1333880</v>
      </c>
    </row>
    <row r="6" spans="1:11" ht="13.5" thickBot="1" x14ac:dyDescent="0.25">
      <c r="A6" s="108"/>
      <c r="B6" s="114" t="s">
        <v>99</v>
      </c>
      <c r="C6" s="118">
        <f>(K10+K12+K26)*0.1488</f>
        <v>99160.766399999993</v>
      </c>
      <c r="D6" s="118">
        <f t="shared" si="0"/>
        <v>125934.17332799999</v>
      </c>
      <c r="E6" s="119"/>
      <c r="F6" s="108"/>
      <c r="G6" s="108"/>
      <c r="H6" s="114" t="s">
        <v>100</v>
      </c>
      <c r="I6" s="163">
        <f>ELECT.!J2</f>
        <v>7916972</v>
      </c>
      <c r="J6" s="159">
        <f>ELECT.!J33</f>
        <v>8036970</v>
      </c>
      <c r="K6" s="105">
        <f>J6-I6</f>
        <v>119998</v>
      </c>
    </row>
    <row r="7" spans="1:11" ht="13.5" thickBot="1" x14ac:dyDescent="0.25">
      <c r="A7" s="108"/>
      <c r="B7" s="114" t="s">
        <v>101</v>
      </c>
      <c r="C7" s="118">
        <f>(K6+K7)-(C8+C9+C10+C11+K26)</f>
        <v>270677</v>
      </c>
      <c r="D7" s="118">
        <f t="shared" si="0"/>
        <v>343759.79</v>
      </c>
      <c r="E7" s="119"/>
      <c r="F7" s="108"/>
      <c r="G7" s="108"/>
      <c r="H7" s="114" t="s">
        <v>102</v>
      </c>
      <c r="I7" s="163">
        <f>ELECT.!L2</f>
        <v>7931158</v>
      </c>
      <c r="J7" s="159">
        <f>ELECT.!L33</f>
        <v>8030026</v>
      </c>
      <c r="K7" s="105">
        <f>J7-I7</f>
        <v>98868</v>
      </c>
    </row>
    <row r="8" spans="1:11" ht="13.5" thickBot="1" x14ac:dyDescent="0.25">
      <c r="A8" s="108"/>
      <c r="B8" s="114" t="s">
        <v>103</v>
      </c>
      <c r="C8" s="118">
        <f>K21+K22+K23+K24</f>
        <v>24910</v>
      </c>
      <c r="D8" s="118">
        <f t="shared" si="0"/>
        <v>31635.7</v>
      </c>
      <c r="E8" s="119"/>
      <c r="F8" s="108"/>
      <c r="G8" s="108"/>
      <c r="H8" s="114" t="s">
        <v>104</v>
      </c>
      <c r="I8" s="163">
        <f>ELECT.!N2</f>
        <v>5068618</v>
      </c>
      <c r="J8" s="159">
        <f>ELECT.!N33</f>
        <v>5164175</v>
      </c>
      <c r="K8" s="105">
        <f>(J8-I8)*2</f>
        <v>191114</v>
      </c>
    </row>
    <row r="9" spans="1:11" ht="13.5" thickBot="1" x14ac:dyDescent="0.25">
      <c r="A9" s="108"/>
      <c r="B9" s="114" t="s">
        <v>137</v>
      </c>
      <c r="C9" s="118">
        <f>K25+K16+K17</f>
        <v>3430</v>
      </c>
      <c r="D9" s="118">
        <f t="shared" si="0"/>
        <v>4356.1000000000004</v>
      </c>
      <c r="E9" s="119"/>
      <c r="F9" s="108"/>
      <c r="G9" s="108"/>
      <c r="H9" s="114" t="s">
        <v>105</v>
      </c>
      <c r="I9" s="163">
        <f>ELECT.!P2</f>
        <v>3187872</v>
      </c>
      <c r="J9" s="159">
        <f>ELECT.!P33</f>
        <v>3425961</v>
      </c>
      <c r="K9" s="105">
        <f>J9-I9</f>
        <v>238089</v>
      </c>
    </row>
    <row r="10" spans="1:11" ht="13.5" thickBot="1" x14ac:dyDescent="0.25">
      <c r="A10" s="108"/>
      <c r="B10" s="114" t="s">
        <v>106</v>
      </c>
      <c r="C10" s="118">
        <f>K18</f>
        <v>11200</v>
      </c>
      <c r="D10" s="118">
        <f t="shared" si="0"/>
        <v>14224</v>
      </c>
      <c r="E10" s="119"/>
      <c r="F10" s="108"/>
      <c r="G10" s="108"/>
      <c r="H10" s="114" t="s">
        <v>107</v>
      </c>
      <c r="I10" s="163">
        <f>ELECT.!R2</f>
        <v>17259708</v>
      </c>
      <c r="J10" s="159">
        <f>ELECT.!R33</f>
        <v>17464939</v>
      </c>
      <c r="K10" s="105">
        <f>J10-I10</f>
        <v>205231</v>
      </c>
    </row>
    <row r="11" spans="1:11" ht="13.5" thickBot="1" x14ac:dyDescent="0.25">
      <c r="A11" s="108"/>
      <c r="B11" s="114" t="s">
        <v>108</v>
      </c>
      <c r="C11" s="118">
        <f>K19+K20</f>
        <v>-101751</v>
      </c>
      <c r="D11" s="118">
        <f t="shared" si="0"/>
        <v>-129223.77</v>
      </c>
      <c r="E11" s="119"/>
      <c r="F11" s="108"/>
      <c r="G11" s="108"/>
      <c r="H11" s="114" t="s">
        <v>109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110</v>
      </c>
      <c r="I12" s="163">
        <f>ELECT.!V2</f>
        <v>4897522</v>
      </c>
      <c r="J12" s="159">
        <f>ELECT.!V33</f>
        <v>5122908</v>
      </c>
      <c r="K12" s="105">
        <f>(J12-I12)*2</f>
        <v>450772</v>
      </c>
    </row>
    <row r="13" spans="1:11" ht="13.5" thickBot="1" x14ac:dyDescent="0.25">
      <c r="A13" s="108"/>
      <c r="B13" s="112" t="s">
        <v>111</v>
      </c>
      <c r="C13" s="119" t="s">
        <v>112</v>
      </c>
      <c r="D13" s="119" t="s">
        <v>97</v>
      </c>
      <c r="E13" s="119"/>
      <c r="F13" s="108"/>
      <c r="G13" s="108"/>
      <c r="H13" s="114" t="s">
        <v>113</v>
      </c>
      <c r="I13" s="123"/>
      <c r="J13" s="124"/>
      <c r="K13" s="125">
        <f>SUM(K6:K12)</f>
        <v>1304072</v>
      </c>
    </row>
    <row r="14" spans="1:11" ht="13.5" thickBot="1" x14ac:dyDescent="0.25">
      <c r="A14" s="108"/>
      <c r="B14" s="114" t="s">
        <v>42</v>
      </c>
      <c r="C14" s="118">
        <f>K29</f>
        <v>16710</v>
      </c>
      <c r="D14" s="126">
        <f t="shared" ref="D14:D22" si="1">C14*10.03</f>
        <v>167601.29999999999</v>
      </c>
      <c r="E14" s="127"/>
      <c r="F14" s="108"/>
      <c r="G14" s="108"/>
      <c r="H14" s="114" t="s">
        <v>114</v>
      </c>
      <c r="I14" s="123"/>
      <c r="J14" s="124"/>
      <c r="K14" s="106">
        <f>K5-K13</f>
        <v>29808</v>
      </c>
    </row>
    <row r="15" spans="1:11" ht="13.5" thickBot="1" x14ac:dyDescent="0.25">
      <c r="A15" s="108"/>
      <c r="B15" s="114" t="s">
        <v>115</v>
      </c>
      <c r="C15" s="128">
        <f>K30</f>
        <v>71.792999999999992</v>
      </c>
      <c r="D15" s="126">
        <f t="shared" si="1"/>
        <v>720.08378999999991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99</v>
      </c>
      <c r="C16" s="128">
        <f>(C14-C15-C17-C18-C19-C20-C21)*0.1318</f>
        <v>1425.8396825999998</v>
      </c>
      <c r="D16" s="126">
        <f t="shared" si="1"/>
        <v>14301.172016477998</v>
      </c>
      <c r="E16" s="127"/>
      <c r="F16" s="108"/>
      <c r="G16" s="108"/>
      <c r="H16" s="129" t="s">
        <v>136</v>
      </c>
      <c r="I16" s="130">
        <f>'Mall, Citadel, Rotana'!T2</f>
        <v>3620</v>
      </c>
      <c r="J16" s="130">
        <f>'Mall, Citadel, Rotana'!T33</f>
        <v>3641</v>
      </c>
      <c r="K16" s="107">
        <f>(J16-I16)*160</f>
        <v>3360</v>
      </c>
    </row>
    <row r="17" spans="1:11" ht="13.5" thickBot="1" x14ac:dyDescent="0.25">
      <c r="A17" s="108"/>
      <c r="B17" s="114" t="s">
        <v>103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19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108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20</v>
      </c>
      <c r="I18" s="130">
        <f>'Mall, Citadel, Rotana'!L2</f>
        <v>24882</v>
      </c>
      <c r="J18" s="130">
        <f>'Mall, Citadel, Rotana'!L33</f>
        <v>24952</v>
      </c>
      <c r="K18" s="107">
        <f>(J18-I18)*160</f>
        <v>11200</v>
      </c>
    </row>
    <row r="19" spans="1:11" ht="15.75" thickBot="1" x14ac:dyDescent="0.25">
      <c r="A19" s="108"/>
      <c r="B19" s="114" t="s">
        <v>137</v>
      </c>
      <c r="C19" s="128">
        <v>600</v>
      </c>
      <c r="D19" s="126">
        <f t="shared" si="1"/>
        <v>6018</v>
      </c>
      <c r="E19" s="173" t="s">
        <v>116</v>
      </c>
      <c r="F19" s="174"/>
      <c r="G19" s="108"/>
      <c r="H19" s="129" t="s">
        <v>117</v>
      </c>
      <c r="I19" s="130">
        <f>'Mall, Citadel, Rotana'!P2</f>
        <v>101751</v>
      </c>
      <c r="J19" s="130">
        <f>'Mall, Citadel, Rotana'!P33</f>
        <v>0</v>
      </c>
      <c r="K19" s="107">
        <f>J19-I19</f>
        <v>-101751</v>
      </c>
    </row>
    <row r="20" spans="1:11" ht="13.5" thickBot="1" x14ac:dyDescent="0.25">
      <c r="A20" s="108"/>
      <c r="B20" s="114" t="s">
        <v>106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118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92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13</v>
      </c>
      <c r="I21" s="130">
        <f>'Mall, Citadel, Rotana'!B2</f>
        <v>45185</v>
      </c>
      <c r="J21" s="130">
        <f>'Mall, Citadel, Rotana'!B33</f>
        <v>45285</v>
      </c>
      <c r="K21" s="107">
        <f>(J21-I21)*120</f>
        <v>12000</v>
      </c>
    </row>
    <row r="22" spans="1:11" ht="13.5" thickBot="1" x14ac:dyDescent="0.25">
      <c r="A22" s="108"/>
      <c r="B22" s="114" t="s">
        <v>119</v>
      </c>
      <c r="C22" s="126">
        <f>C14-(C15+C16+C17+C18+C19+C20+C21)</f>
        <v>9392.3673173999996</v>
      </c>
      <c r="D22" s="126">
        <f t="shared" si="1"/>
        <v>94205.444193521995</v>
      </c>
      <c r="E22" s="127"/>
      <c r="F22" s="108"/>
      <c r="G22" s="108"/>
      <c r="H22" s="129" t="s">
        <v>15</v>
      </c>
      <c r="I22" s="130">
        <f>'Mall, Citadel, Rotana'!D2</f>
        <v>39472</v>
      </c>
      <c r="J22" s="130">
        <f>'Mall, Citadel, Rotana'!D33</f>
        <v>39537</v>
      </c>
      <c r="K22" s="107">
        <f>(J22-I22)*160</f>
        <v>10400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17</v>
      </c>
      <c r="I23" s="130">
        <f>'Mall, Citadel, Rotana'!F2</f>
        <v>20316</v>
      </c>
      <c r="J23" s="130">
        <f>'Mall, Citadel, Rotana'!F33</f>
        <v>20382</v>
      </c>
      <c r="K23" s="107">
        <f>(J23-I23)*20</f>
        <v>1320</v>
      </c>
    </row>
    <row r="24" spans="1:11" x14ac:dyDescent="0.2">
      <c r="A24" s="108"/>
      <c r="B24" s="112" t="s">
        <v>120</v>
      </c>
      <c r="C24" s="122"/>
      <c r="D24" s="122"/>
      <c r="E24" s="122"/>
      <c r="F24" s="108"/>
      <c r="G24" s="108"/>
      <c r="H24" s="129" t="s">
        <v>18</v>
      </c>
      <c r="I24" s="130">
        <f>'Mall, Citadel, Rotana'!H2</f>
        <v>240785</v>
      </c>
      <c r="J24" s="130">
        <f>'Mall, Citadel, Rotana'!H33</f>
        <v>241975</v>
      </c>
      <c r="K24" s="107">
        <f>J24-I24</f>
        <v>1190</v>
      </c>
    </row>
    <row r="25" spans="1:11" ht="13.5" thickBot="1" x14ac:dyDescent="0.25">
      <c r="A25" s="108"/>
      <c r="B25" s="108"/>
      <c r="C25" s="119" t="s">
        <v>112</v>
      </c>
      <c r="D25" s="119" t="s">
        <v>121</v>
      </c>
      <c r="E25" s="119"/>
      <c r="F25" s="108"/>
      <c r="G25" s="108"/>
      <c r="H25" s="129" t="s">
        <v>122</v>
      </c>
      <c r="I25" s="130">
        <f>'Mall, Citadel, Rotana'!N2</f>
        <v>215446</v>
      </c>
      <c r="J25" s="130">
        <f>'Mall, Citadel, Rotana'!N33</f>
        <v>215516</v>
      </c>
      <c r="K25" s="107">
        <f>J25-I25</f>
        <v>70</v>
      </c>
    </row>
    <row r="26" spans="1:11" ht="13.5" thickBot="1" x14ac:dyDescent="0.25">
      <c r="A26" s="108"/>
      <c r="B26" s="114" t="s">
        <v>42</v>
      </c>
      <c r="C26" s="132">
        <f>K35</f>
        <v>39957</v>
      </c>
      <c r="D26" s="118">
        <f>C26*3.65</f>
        <v>145843.04999999999</v>
      </c>
      <c r="E26" s="119"/>
      <c r="F26" s="108"/>
      <c r="G26" s="108"/>
      <c r="H26" s="129" t="s">
        <v>123</v>
      </c>
      <c r="I26" s="139">
        <f>ELECT.!C2</f>
        <v>18151</v>
      </c>
      <c r="J26" s="139">
        <f>ELECT.!C33</f>
        <v>18216</v>
      </c>
      <c r="K26" s="107">
        <f>(J26-I26)*160</f>
        <v>10400</v>
      </c>
    </row>
    <row r="27" spans="1:11" ht="13.5" thickBot="1" x14ac:dyDescent="0.25">
      <c r="A27" s="108"/>
      <c r="B27" s="109" t="s">
        <v>124</v>
      </c>
      <c r="C27" s="132">
        <f>C26</f>
        <v>39957</v>
      </c>
      <c r="D27" s="118">
        <f>C27*3.65</f>
        <v>145843.04999999999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111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12</v>
      </c>
      <c r="H29" s="129" t="s">
        <v>24</v>
      </c>
      <c r="I29" s="130">
        <f>Water!B2</f>
        <v>409858</v>
      </c>
      <c r="J29" s="130">
        <f>Water!B33</f>
        <v>411529</v>
      </c>
      <c r="K29" s="107">
        <f>(J29-I29)*10</f>
        <v>16710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125</v>
      </c>
      <c r="I30" s="130">
        <f>Water!H2</f>
        <v>730558</v>
      </c>
      <c r="J30" s="130">
        <f>Water!H33</f>
        <v>733217</v>
      </c>
      <c r="K30" s="107">
        <f>(J30-I30)*0.027</f>
        <v>71.792999999999992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126</v>
      </c>
      <c r="I31" s="130">
        <f>Water!D2</f>
        <v>4167000</v>
      </c>
      <c r="J31" s="130">
        <f>Water!D33</f>
        <v>4377900</v>
      </c>
      <c r="K31" s="107">
        <f>(J31-I31)*0.027</f>
        <v>5694.3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127</v>
      </c>
      <c r="I32" s="130">
        <f>Water!F2</f>
        <v>2826800</v>
      </c>
      <c r="J32" s="130">
        <f>Water!F33</f>
        <v>3122800</v>
      </c>
      <c r="K32" s="107">
        <f>(J32-I32)*0.027</f>
        <v>7992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120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42</v>
      </c>
      <c r="I35" s="137">
        <f>Gas!B2</f>
        <v>17315561</v>
      </c>
      <c r="J35" s="161">
        <f>Gas!B33</f>
        <v>17355518</v>
      </c>
      <c r="K35" s="138">
        <f>J35-I35</f>
        <v>39957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3" zoomScaleNormal="100" workbookViewId="0">
      <selection activeCell="J94" sqref="J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77</v>
      </c>
      <c r="D1" s="69" t="s">
        <v>78</v>
      </c>
      <c r="E1" s="69" t="s">
        <v>138</v>
      </c>
      <c r="F1" s="69" t="s">
        <v>139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139</v>
      </c>
      <c r="M1" s="69" t="s">
        <v>141</v>
      </c>
      <c r="N1" s="69" t="s">
        <v>91</v>
      </c>
      <c r="O1" s="70" t="s">
        <v>79</v>
      </c>
    </row>
    <row r="2" spans="2:15" ht="15" x14ac:dyDescent="0.2">
      <c r="B2" s="67"/>
      <c r="C2" s="175">
        <v>6</v>
      </c>
      <c r="D2" s="71" t="s">
        <v>80</v>
      </c>
      <c r="E2" s="72">
        <v>272089</v>
      </c>
      <c r="F2" s="72">
        <v>274698</v>
      </c>
      <c r="G2" s="73">
        <f>F2-E2</f>
        <v>2609</v>
      </c>
      <c r="H2" s="74"/>
      <c r="J2" s="175">
        <v>6</v>
      </c>
      <c r="K2" s="71" t="s">
        <v>80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77"/>
      <c r="D3" s="71" t="s">
        <v>81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77"/>
      <c r="K3" s="71" t="s">
        <v>81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6"/>
      <c r="D4" s="71" t="s">
        <v>82</v>
      </c>
      <c r="E4" s="72">
        <v>186678</v>
      </c>
      <c r="F4" s="72">
        <v>187896</v>
      </c>
      <c r="G4" s="73">
        <f t="shared" si="0"/>
        <v>1218</v>
      </c>
      <c r="H4" s="74"/>
      <c r="J4" s="176"/>
      <c r="K4" s="71" t="s">
        <v>82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5">
        <v>7</v>
      </c>
      <c r="D5" s="71" t="s">
        <v>80</v>
      </c>
      <c r="E5" s="72">
        <v>234919</v>
      </c>
      <c r="F5" s="72">
        <v>235909</v>
      </c>
      <c r="G5" s="73">
        <f t="shared" si="0"/>
        <v>990</v>
      </c>
      <c r="H5" s="74"/>
      <c r="J5" s="175">
        <v>7</v>
      </c>
      <c r="K5" s="71" t="s">
        <v>80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77"/>
      <c r="D6" s="71" t="s">
        <v>81</v>
      </c>
      <c r="E6" s="72">
        <v>153441</v>
      </c>
      <c r="F6" s="72">
        <v>153504</v>
      </c>
      <c r="G6" s="73">
        <f t="shared" si="0"/>
        <v>63</v>
      </c>
      <c r="H6" s="74"/>
      <c r="J6" s="177"/>
      <c r="K6" s="71" t="s">
        <v>81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6"/>
      <c r="D7" s="71" t="s">
        <v>82</v>
      </c>
      <c r="E7" s="72">
        <v>115849</v>
      </c>
      <c r="F7" s="72">
        <v>116610</v>
      </c>
      <c r="G7" s="73">
        <f t="shared" si="0"/>
        <v>761</v>
      </c>
      <c r="H7" s="74"/>
      <c r="J7" s="176"/>
      <c r="K7" s="71" t="s">
        <v>82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5">
        <v>8</v>
      </c>
      <c r="D8" s="71" t="s">
        <v>80</v>
      </c>
      <c r="E8" s="72">
        <v>71827</v>
      </c>
      <c r="F8" s="72">
        <v>72003</v>
      </c>
      <c r="G8" s="73">
        <f t="shared" si="0"/>
        <v>176</v>
      </c>
      <c r="H8" s="74"/>
      <c r="J8" s="175">
        <v>8</v>
      </c>
      <c r="K8" s="71" t="s">
        <v>80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77"/>
      <c r="D9" s="71" t="s">
        <v>81</v>
      </c>
      <c r="E9" s="72">
        <v>1580</v>
      </c>
      <c r="F9" s="72">
        <v>1580</v>
      </c>
      <c r="G9" s="73">
        <f t="shared" si="0"/>
        <v>0</v>
      </c>
      <c r="H9" s="76" t="s">
        <v>12</v>
      </c>
      <c r="J9" s="177"/>
      <c r="K9" s="71" t="s">
        <v>81</v>
      </c>
      <c r="L9" s="72">
        <v>158</v>
      </c>
      <c r="M9" s="72">
        <v>158</v>
      </c>
      <c r="N9" s="73">
        <f t="shared" si="1"/>
        <v>0</v>
      </c>
      <c r="O9" s="76" t="s">
        <v>12</v>
      </c>
    </row>
    <row r="10" spans="2:15" ht="15" x14ac:dyDescent="0.2">
      <c r="B10" s="67"/>
      <c r="C10" s="176"/>
      <c r="D10" s="71" t="s">
        <v>82</v>
      </c>
      <c r="E10" s="72">
        <v>94047</v>
      </c>
      <c r="F10" s="72">
        <v>94510</v>
      </c>
      <c r="G10" s="73">
        <f t="shared" si="0"/>
        <v>463</v>
      </c>
      <c r="H10" s="74"/>
      <c r="J10" s="176"/>
      <c r="K10" s="71" t="s">
        <v>82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5">
        <v>9</v>
      </c>
      <c r="D11" s="71" t="s">
        <v>80</v>
      </c>
      <c r="E11" s="72">
        <v>34479</v>
      </c>
      <c r="F11" s="72">
        <v>39500</v>
      </c>
      <c r="G11" s="73">
        <f t="shared" si="0"/>
        <v>5021</v>
      </c>
      <c r="H11" s="74"/>
      <c r="J11" s="175">
        <v>9</v>
      </c>
      <c r="K11" s="71" t="s">
        <v>80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7"/>
      <c r="D12" s="71" t="s">
        <v>81</v>
      </c>
      <c r="E12" s="72">
        <v>0</v>
      </c>
      <c r="F12" s="72">
        <v>0</v>
      </c>
      <c r="G12" s="73">
        <f t="shared" si="0"/>
        <v>0</v>
      </c>
      <c r="H12" s="76" t="s">
        <v>12</v>
      </c>
      <c r="J12" s="177"/>
      <c r="K12" s="71" t="s">
        <v>81</v>
      </c>
      <c r="L12" s="72">
        <v>0</v>
      </c>
      <c r="M12" s="72">
        <v>0</v>
      </c>
      <c r="N12" s="73">
        <f t="shared" si="1"/>
        <v>0</v>
      </c>
      <c r="O12" s="76" t="s">
        <v>12</v>
      </c>
    </row>
    <row r="13" spans="2:15" ht="15" x14ac:dyDescent="0.2">
      <c r="B13" s="67"/>
      <c r="C13" s="176"/>
      <c r="D13" s="71" t="s">
        <v>82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6"/>
      <c r="K13" s="71" t="s">
        <v>82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5">
        <v>10</v>
      </c>
      <c r="D14" s="71" t="s">
        <v>80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5">
        <v>10</v>
      </c>
      <c r="K14" s="71" t="s">
        <v>80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77"/>
      <c r="D15" s="71" t="s">
        <v>81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77"/>
      <c r="K15" s="71" t="s">
        <v>81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6"/>
      <c r="D16" s="71" t="s">
        <v>82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6"/>
      <c r="K16" s="71" t="s">
        <v>82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5">
        <v>11</v>
      </c>
      <c r="D17" s="71" t="s">
        <v>80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5">
        <v>11</v>
      </c>
      <c r="K17" s="71" t="s">
        <v>80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77"/>
      <c r="D18" s="71" t="s">
        <v>81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77"/>
      <c r="K18" s="71" t="s">
        <v>81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6"/>
      <c r="D19" s="71" t="s">
        <v>82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6"/>
      <c r="K19" s="71" t="s">
        <v>82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5">
        <v>12</v>
      </c>
      <c r="D20" s="71" t="s">
        <v>80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5">
        <v>12</v>
      </c>
      <c r="K20" s="71" t="s">
        <v>80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77"/>
      <c r="D21" s="71" t="s">
        <v>81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12</v>
      </c>
      <c r="J21" s="177"/>
      <c r="K21" s="71" t="s">
        <v>81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6"/>
      <c r="D22" s="71" t="s">
        <v>82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6"/>
      <c r="K22" s="71" t="s">
        <v>82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5">
        <v>14</v>
      </c>
      <c r="D23" s="71" t="s">
        <v>80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5">
        <v>14</v>
      </c>
      <c r="K23" s="71" t="s">
        <v>80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77"/>
      <c r="D24" s="71" t="s">
        <v>81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77"/>
      <c r="K24" s="71" t="s">
        <v>81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6"/>
      <c r="D25" s="71" t="s">
        <v>82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6"/>
      <c r="K25" s="71" t="s">
        <v>82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5">
        <v>15</v>
      </c>
      <c r="D26" s="71" t="s">
        <v>80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12</v>
      </c>
      <c r="J26" s="175">
        <v>15</v>
      </c>
      <c r="K26" s="71" t="s">
        <v>80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7"/>
      <c r="D27" s="71" t="s">
        <v>81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12</v>
      </c>
      <c r="J27" s="177"/>
      <c r="K27" s="71" t="s">
        <v>81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6"/>
      <c r="D28" s="71" t="s">
        <v>82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6"/>
      <c r="K28" s="71" t="s">
        <v>82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5">
        <v>16</v>
      </c>
      <c r="D29" s="71" t="s">
        <v>80</v>
      </c>
      <c r="E29" s="79">
        <v>97965</v>
      </c>
      <c r="F29" s="79">
        <v>97965</v>
      </c>
      <c r="G29" s="73">
        <f t="shared" si="0"/>
        <v>0</v>
      </c>
      <c r="H29" s="76" t="s">
        <v>12</v>
      </c>
      <c r="I29" s="78"/>
      <c r="J29" s="175">
        <v>16</v>
      </c>
      <c r="K29" s="71" t="s">
        <v>80</v>
      </c>
      <c r="L29" s="79">
        <v>97965</v>
      </c>
      <c r="M29" s="79">
        <v>97965</v>
      </c>
      <c r="N29" s="73">
        <f t="shared" si="1"/>
        <v>0</v>
      </c>
      <c r="O29" s="76" t="s">
        <v>12</v>
      </c>
    </row>
    <row r="30" spans="2:15" ht="15" x14ac:dyDescent="0.2">
      <c r="B30" s="67"/>
      <c r="C30" s="177"/>
      <c r="D30" s="71" t="s">
        <v>81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77"/>
      <c r="K30" s="71" t="s">
        <v>81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6"/>
      <c r="D31" s="71" t="s">
        <v>82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6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5">
        <v>17</v>
      </c>
      <c r="D32" s="71" t="s">
        <v>80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5">
        <v>17</v>
      </c>
      <c r="K32" s="71" t="s">
        <v>80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77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7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6"/>
      <c r="D34" s="71" t="s">
        <v>82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6"/>
      <c r="K34" s="71" t="s">
        <v>82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5">
        <v>18</v>
      </c>
      <c r="D35" s="71" t="s">
        <v>80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5">
        <v>18</v>
      </c>
      <c r="K35" s="71" t="s">
        <v>80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77"/>
      <c r="D36" s="71" t="s">
        <v>81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7"/>
      <c r="K36" s="71" t="s">
        <v>81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6"/>
      <c r="D37" s="71" t="s">
        <v>82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6"/>
      <c r="K37" s="71" t="s">
        <v>82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5">
        <v>19</v>
      </c>
      <c r="D38" s="71" t="s">
        <v>80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5">
        <v>19</v>
      </c>
      <c r="K38" s="71" t="s">
        <v>80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77"/>
      <c r="D39" s="71" t="s">
        <v>81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77"/>
      <c r="K39" s="71" t="s">
        <v>81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6"/>
      <c r="D40" s="71" t="s">
        <v>82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6"/>
      <c r="K40" s="71" t="s">
        <v>82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5">
        <v>20</v>
      </c>
      <c r="D41" s="71" t="s">
        <v>80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5">
        <v>20</v>
      </c>
      <c r="K41" s="71" t="s">
        <v>80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77"/>
      <c r="D42" s="71" t="s">
        <v>81</v>
      </c>
      <c r="E42" s="79">
        <v>68225</v>
      </c>
      <c r="F42" s="79">
        <v>68333</v>
      </c>
      <c r="G42" s="73">
        <f t="shared" si="0"/>
        <v>108</v>
      </c>
      <c r="H42" s="74"/>
      <c r="J42" s="177"/>
      <c r="K42" s="71" t="s">
        <v>81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6"/>
      <c r="D43" s="71" t="s">
        <v>82</v>
      </c>
      <c r="E43" s="72">
        <v>3223</v>
      </c>
      <c r="F43" s="72">
        <v>3224</v>
      </c>
      <c r="G43" s="73">
        <f t="shared" si="0"/>
        <v>1</v>
      </c>
      <c r="H43" s="74"/>
      <c r="J43" s="176"/>
      <c r="K43" s="71" t="s">
        <v>82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5">
        <v>21</v>
      </c>
      <c r="D45" s="87" t="s">
        <v>83</v>
      </c>
      <c r="E45" s="72">
        <v>3114</v>
      </c>
      <c r="F45" s="72">
        <v>3182</v>
      </c>
      <c r="G45" s="73">
        <f t="shared" si="0"/>
        <v>68</v>
      </c>
      <c r="H45" s="76" t="s">
        <v>12</v>
      </c>
      <c r="J45" s="175">
        <v>21</v>
      </c>
      <c r="K45" s="87" t="s">
        <v>83</v>
      </c>
      <c r="L45" s="72">
        <v>3182</v>
      </c>
      <c r="M45" s="72">
        <v>3182</v>
      </c>
      <c r="N45" s="73">
        <f t="shared" si="1"/>
        <v>0</v>
      </c>
      <c r="O45" s="76" t="s">
        <v>12</v>
      </c>
    </row>
    <row r="46" spans="2:15" ht="15" x14ac:dyDescent="0.2">
      <c r="B46" s="67"/>
      <c r="C46" s="177"/>
      <c r="D46" s="87" t="s">
        <v>82</v>
      </c>
      <c r="E46" s="72">
        <v>38096</v>
      </c>
      <c r="F46" s="72">
        <v>38125</v>
      </c>
      <c r="G46" s="73">
        <f t="shared" si="0"/>
        <v>29</v>
      </c>
      <c r="H46" s="74"/>
      <c r="J46" s="177"/>
      <c r="K46" s="87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5">
        <v>22</v>
      </c>
      <c r="D47" s="87" t="s">
        <v>83</v>
      </c>
      <c r="E47" s="88">
        <v>13917</v>
      </c>
      <c r="F47" s="88">
        <v>13917</v>
      </c>
      <c r="G47" s="73">
        <f t="shared" si="0"/>
        <v>0</v>
      </c>
      <c r="H47" s="74"/>
      <c r="I47" t="s">
        <v>12</v>
      </c>
      <c r="J47" s="175">
        <v>22</v>
      </c>
      <c r="K47" s="87" t="s">
        <v>83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7"/>
      <c r="D48" s="87" t="s">
        <v>82</v>
      </c>
      <c r="E48" s="88">
        <v>18873</v>
      </c>
      <c r="F48" s="88">
        <v>19003</v>
      </c>
      <c r="G48" s="73">
        <f t="shared" si="0"/>
        <v>130</v>
      </c>
      <c r="H48" s="74"/>
      <c r="J48" s="177"/>
      <c r="K48" s="87" t="s">
        <v>82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5">
        <v>23</v>
      </c>
      <c r="D49" s="71" t="s">
        <v>83</v>
      </c>
      <c r="E49" s="88"/>
      <c r="F49" s="88"/>
      <c r="G49" s="73">
        <f t="shared" si="0"/>
        <v>0</v>
      </c>
      <c r="H49" s="74"/>
      <c r="J49" s="175">
        <v>23</v>
      </c>
      <c r="K49" s="71" t="s">
        <v>83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7"/>
      <c r="D50" s="71" t="s">
        <v>82</v>
      </c>
      <c r="E50" s="88"/>
      <c r="F50" s="88"/>
      <c r="G50" s="73">
        <f t="shared" si="0"/>
        <v>0</v>
      </c>
      <c r="H50" s="74"/>
      <c r="J50" s="177"/>
      <c r="K50" s="71" t="s">
        <v>82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8">
        <v>24</v>
      </c>
      <c r="D52" s="71" t="s">
        <v>84</v>
      </c>
      <c r="E52" s="79">
        <v>236508</v>
      </c>
      <c r="F52" s="79">
        <v>237611</v>
      </c>
      <c r="G52" s="73">
        <f t="shared" si="0"/>
        <v>1103</v>
      </c>
      <c r="H52" s="90"/>
      <c r="J52" s="178">
        <v>24</v>
      </c>
      <c r="K52" s="71" t="s">
        <v>84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79"/>
      <c r="D53" s="71" t="s">
        <v>85</v>
      </c>
      <c r="E53" s="79">
        <v>533385</v>
      </c>
      <c r="F53" s="79">
        <v>533854</v>
      </c>
      <c r="G53" s="73">
        <f t="shared" si="0"/>
        <v>469</v>
      </c>
      <c r="H53" s="82"/>
      <c r="J53" s="179"/>
      <c r="K53" s="71" t="s">
        <v>85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80"/>
      <c r="D54" s="71" t="s">
        <v>84</v>
      </c>
      <c r="E54" s="79">
        <v>34567</v>
      </c>
      <c r="F54" s="79">
        <v>34567</v>
      </c>
      <c r="G54" s="73">
        <f t="shared" si="0"/>
        <v>0</v>
      </c>
      <c r="H54" s="91" t="s">
        <v>12</v>
      </c>
      <c r="J54" s="180"/>
      <c r="K54" s="71" t="s">
        <v>84</v>
      </c>
      <c r="L54" s="79">
        <v>34567</v>
      </c>
      <c r="M54" s="79">
        <v>34567</v>
      </c>
      <c r="N54" s="73">
        <f t="shared" si="1"/>
        <v>0</v>
      </c>
      <c r="O54" s="91" t="s">
        <v>12</v>
      </c>
    </row>
    <row r="55" spans="1:15" ht="15" x14ac:dyDescent="0.2">
      <c r="B55" s="67"/>
      <c r="C55" s="175">
        <v>25</v>
      </c>
      <c r="D55" s="71" t="s">
        <v>84</v>
      </c>
      <c r="E55" s="88">
        <v>330</v>
      </c>
      <c r="F55" s="88">
        <v>330</v>
      </c>
      <c r="G55" s="73">
        <f t="shared" si="0"/>
        <v>0</v>
      </c>
      <c r="H55" s="74"/>
      <c r="J55" s="175">
        <v>25</v>
      </c>
      <c r="K55" s="71" t="s">
        <v>84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6"/>
      <c r="D56" s="71" t="s">
        <v>85</v>
      </c>
      <c r="E56" s="88">
        <v>3</v>
      </c>
      <c r="F56" s="88">
        <v>3</v>
      </c>
      <c r="G56" s="73">
        <f t="shared" si="0"/>
        <v>0</v>
      </c>
      <c r="H56" s="74"/>
      <c r="J56" s="176"/>
      <c r="K56" s="71" t="s">
        <v>85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5">
        <v>26</v>
      </c>
      <c r="D57" s="71" t="s">
        <v>84</v>
      </c>
      <c r="E57" s="72">
        <v>685258</v>
      </c>
      <c r="F57" s="72">
        <v>688763</v>
      </c>
      <c r="G57" s="73">
        <f t="shared" si="0"/>
        <v>3505</v>
      </c>
      <c r="H57" s="74"/>
      <c r="J57" s="175">
        <v>26</v>
      </c>
      <c r="K57" s="71" t="s">
        <v>84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6"/>
      <c r="D58" s="71" t="s">
        <v>85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6"/>
      <c r="K58" s="71" t="s">
        <v>85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5">
        <v>27</v>
      </c>
      <c r="D59" s="71" t="s">
        <v>84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5">
        <v>27</v>
      </c>
      <c r="K59" s="71" t="s">
        <v>84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6"/>
      <c r="D60" s="71" t="s">
        <v>85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6"/>
      <c r="K60" s="71" t="s">
        <v>85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5">
        <v>28</v>
      </c>
      <c r="D62" s="184" t="s">
        <v>86</v>
      </c>
      <c r="E62" s="72"/>
      <c r="F62" s="72"/>
      <c r="G62" s="73"/>
      <c r="H62" s="186" t="s">
        <v>87</v>
      </c>
      <c r="I62" s="78"/>
      <c r="J62" s="175">
        <v>28</v>
      </c>
      <c r="K62" s="184" t="s">
        <v>86</v>
      </c>
      <c r="L62" s="72"/>
      <c r="M62" s="72"/>
      <c r="N62" s="73"/>
      <c r="O62" s="186" t="s">
        <v>87</v>
      </c>
    </row>
    <row r="63" spans="1:15" ht="15" x14ac:dyDescent="0.2">
      <c r="A63" s="78"/>
      <c r="B63" s="67"/>
      <c r="C63" s="176"/>
      <c r="D63" s="185"/>
      <c r="E63" s="72"/>
      <c r="F63" s="72"/>
      <c r="G63" s="73"/>
      <c r="H63" s="187"/>
      <c r="I63" s="78"/>
      <c r="J63" s="176"/>
      <c r="K63" s="185"/>
      <c r="L63" s="72"/>
      <c r="M63" s="72"/>
      <c r="N63" s="73"/>
      <c r="O63" s="187"/>
    </row>
    <row r="64" spans="1:15" x14ac:dyDescent="0.2">
      <c r="A64" s="78"/>
      <c r="B64" s="67"/>
      <c r="C64" s="188" t="s">
        <v>88</v>
      </c>
      <c r="D64" s="188"/>
      <c r="E64" s="188"/>
      <c r="F64" s="188"/>
      <c r="G64" s="93">
        <f>SUM(G2:G63)</f>
        <v>36510</v>
      </c>
      <c r="H64" s="94"/>
      <c r="I64" s="78"/>
      <c r="J64" s="188" t="s">
        <v>88</v>
      </c>
      <c r="K64" s="188"/>
      <c r="L64" s="188"/>
      <c r="M64" s="188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12</v>
      </c>
      <c r="E68" s="95"/>
      <c r="F68" s="95"/>
      <c r="G68" s="95"/>
      <c r="H68" s="95"/>
    </row>
    <row r="69" spans="1:15" ht="13.5" thickBot="1" x14ac:dyDescent="0.25">
      <c r="A69" s="97"/>
      <c r="B69" s="189">
        <v>44256</v>
      </c>
      <c r="C69" s="190"/>
      <c r="D69" s="190"/>
      <c r="E69" s="191"/>
      <c r="F69" s="97"/>
      <c r="G69" s="189">
        <v>44287</v>
      </c>
      <c r="H69" s="190"/>
      <c r="I69" s="190"/>
      <c r="J69" s="191"/>
      <c r="K69" s="97"/>
      <c r="L69" s="181" t="s">
        <v>25</v>
      </c>
      <c r="M69" s="182"/>
      <c r="N69" s="182"/>
      <c r="O69" s="183"/>
    </row>
    <row r="70" spans="1:15" ht="13.5" thickBot="1" x14ac:dyDescent="0.25">
      <c r="A70" s="95"/>
      <c r="B70" s="98" t="s">
        <v>77</v>
      </c>
      <c r="C70" s="98">
        <v>30</v>
      </c>
      <c r="D70" s="98" t="s">
        <v>89</v>
      </c>
      <c r="E70" s="98" t="s">
        <v>90</v>
      </c>
      <c r="F70" s="95"/>
      <c r="G70" s="98" t="s">
        <v>77</v>
      </c>
      <c r="H70" s="98">
        <v>30</v>
      </c>
      <c r="I70" s="98" t="s">
        <v>89</v>
      </c>
      <c r="J70" s="98" t="s">
        <v>90</v>
      </c>
      <c r="K70" s="95"/>
      <c r="L70" s="99" t="s">
        <v>77</v>
      </c>
      <c r="M70" s="99">
        <v>30</v>
      </c>
      <c r="N70" s="99" t="s">
        <v>89</v>
      </c>
      <c r="O70" s="99" t="s">
        <v>90</v>
      </c>
    </row>
    <row r="71" spans="1:15" ht="15.75" thickBot="1" x14ac:dyDescent="0.25">
      <c r="A71" s="95"/>
      <c r="B71" s="100">
        <v>6</v>
      </c>
      <c r="C71" s="101">
        <v>91470</v>
      </c>
      <c r="D71" s="102">
        <v>54889</v>
      </c>
      <c r="E71" s="103">
        <v>78552</v>
      </c>
      <c r="F71" s="95"/>
      <c r="G71" s="100">
        <v>6</v>
      </c>
      <c r="H71" s="101">
        <v>92046</v>
      </c>
      <c r="I71" s="102">
        <v>54912</v>
      </c>
      <c r="J71" s="103">
        <v>78552</v>
      </c>
      <c r="K71" s="95"/>
      <c r="L71" s="99">
        <v>6</v>
      </c>
      <c r="M71" s="104">
        <f>H71-C71</f>
        <v>576</v>
      </c>
      <c r="N71" s="104">
        <f>I71-D71</f>
        <v>23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95126</v>
      </c>
      <c r="D72" s="102">
        <v>103305</v>
      </c>
      <c r="E72" s="103">
        <v>62782</v>
      </c>
      <c r="F72" s="95"/>
      <c r="G72" s="100">
        <v>7</v>
      </c>
      <c r="H72" s="101">
        <v>95364</v>
      </c>
      <c r="I72" s="102">
        <v>103498</v>
      </c>
      <c r="J72" s="103">
        <v>62959</v>
      </c>
      <c r="K72" s="95"/>
      <c r="L72" s="99">
        <v>7</v>
      </c>
      <c r="M72" s="104">
        <f t="shared" ref="M72:O94" si="2">H72-C72</f>
        <v>238</v>
      </c>
      <c r="N72" s="104">
        <f t="shared" si="2"/>
        <v>193</v>
      </c>
      <c r="O72" s="104">
        <f t="shared" si="2"/>
        <v>177</v>
      </c>
    </row>
    <row r="73" spans="1:15" ht="15.75" thickBot="1" x14ac:dyDescent="0.25">
      <c r="A73" s="95"/>
      <c r="B73" s="100">
        <v>8</v>
      </c>
      <c r="C73" s="101">
        <v>110953</v>
      </c>
      <c r="D73" s="102">
        <v>242857</v>
      </c>
      <c r="E73" s="103">
        <v>105408</v>
      </c>
      <c r="F73" s="95"/>
      <c r="G73" s="100">
        <v>8</v>
      </c>
      <c r="H73" s="101">
        <v>111733</v>
      </c>
      <c r="I73" s="102">
        <v>242987</v>
      </c>
      <c r="J73" s="103">
        <v>105524</v>
      </c>
      <c r="K73" s="95"/>
      <c r="L73" s="99">
        <v>8</v>
      </c>
      <c r="M73" s="104">
        <f t="shared" si="2"/>
        <v>780</v>
      </c>
      <c r="N73" s="104">
        <f t="shared" si="2"/>
        <v>130</v>
      </c>
      <c r="O73" s="104">
        <f t="shared" si="2"/>
        <v>116</v>
      </c>
    </row>
    <row r="74" spans="1:15" ht="15.75" thickBot="1" x14ac:dyDescent="0.25">
      <c r="A74" s="95"/>
      <c r="B74" s="100">
        <v>9</v>
      </c>
      <c r="C74" s="101">
        <v>68063</v>
      </c>
      <c r="D74" s="102">
        <v>149328</v>
      </c>
      <c r="E74" s="103">
        <v>148112</v>
      </c>
      <c r="F74" s="95"/>
      <c r="G74" s="100">
        <v>9</v>
      </c>
      <c r="H74" s="101">
        <v>68117</v>
      </c>
      <c r="I74" s="102">
        <v>150572</v>
      </c>
      <c r="J74" s="103">
        <v>149163</v>
      </c>
      <c r="K74" s="95"/>
      <c r="L74" s="99">
        <v>9</v>
      </c>
      <c r="M74" s="104">
        <f t="shared" si="2"/>
        <v>54</v>
      </c>
      <c r="N74" s="104">
        <f t="shared" si="2"/>
        <v>1244</v>
      </c>
      <c r="O74" s="104">
        <f t="shared" si="2"/>
        <v>1051</v>
      </c>
    </row>
    <row r="75" spans="1:15" ht="15.75" thickBot="1" x14ac:dyDescent="0.25">
      <c r="A75" s="95"/>
      <c r="B75" s="100">
        <v>10</v>
      </c>
      <c r="C75" s="101">
        <v>69195</v>
      </c>
      <c r="D75" s="102">
        <v>110744</v>
      </c>
      <c r="E75" s="103">
        <v>141284</v>
      </c>
      <c r="F75" s="95"/>
      <c r="G75" s="100">
        <v>10</v>
      </c>
      <c r="H75" s="101">
        <v>70077</v>
      </c>
      <c r="I75" s="102">
        <v>111196</v>
      </c>
      <c r="J75" s="103">
        <v>141990</v>
      </c>
      <c r="K75" s="95"/>
      <c r="L75" s="99">
        <v>10</v>
      </c>
      <c r="M75" s="104">
        <f t="shared" si="2"/>
        <v>882</v>
      </c>
      <c r="N75" s="104">
        <f t="shared" si="2"/>
        <v>452</v>
      </c>
      <c r="O75" s="104">
        <f t="shared" si="2"/>
        <v>706</v>
      </c>
    </row>
    <row r="76" spans="1:15" ht="15.75" thickBot="1" x14ac:dyDescent="0.25">
      <c r="A76" s="95"/>
      <c r="B76" s="100">
        <v>11</v>
      </c>
      <c r="C76" s="101">
        <v>151372</v>
      </c>
      <c r="D76" s="102">
        <v>179549</v>
      </c>
      <c r="E76" s="103">
        <v>210251</v>
      </c>
      <c r="F76" s="95"/>
      <c r="G76" s="100">
        <v>11</v>
      </c>
      <c r="H76" s="101">
        <v>152018</v>
      </c>
      <c r="I76" s="102">
        <v>180806</v>
      </c>
      <c r="J76" s="103">
        <v>211090</v>
      </c>
      <c r="K76" s="95"/>
      <c r="L76" s="99">
        <v>11</v>
      </c>
      <c r="M76" s="104">
        <f t="shared" si="2"/>
        <v>646</v>
      </c>
      <c r="N76" s="104">
        <f t="shared" si="2"/>
        <v>1257</v>
      </c>
      <c r="O76" s="104">
        <f t="shared" si="2"/>
        <v>839</v>
      </c>
    </row>
    <row r="77" spans="1:15" ht="15.75" thickBot="1" x14ac:dyDescent="0.25">
      <c r="A77" s="95"/>
      <c r="B77" s="100">
        <v>12</v>
      </c>
      <c r="C77" s="101">
        <v>147165</v>
      </c>
      <c r="D77" s="102">
        <v>95707</v>
      </c>
      <c r="E77" s="103">
        <v>100054</v>
      </c>
      <c r="F77" s="95"/>
      <c r="G77" s="100">
        <v>12</v>
      </c>
      <c r="H77" s="101">
        <v>148056</v>
      </c>
      <c r="I77" s="102">
        <v>95975</v>
      </c>
      <c r="J77" s="103">
        <v>100091</v>
      </c>
      <c r="K77" s="95"/>
      <c r="L77" s="99">
        <v>12</v>
      </c>
      <c r="M77" s="104">
        <f t="shared" si="2"/>
        <v>891</v>
      </c>
      <c r="N77" s="104">
        <f>I77-D77</f>
        <v>268</v>
      </c>
      <c r="O77" s="104">
        <f t="shared" si="2"/>
        <v>37</v>
      </c>
    </row>
    <row r="78" spans="1:15" ht="15.75" thickBot="1" x14ac:dyDescent="0.25">
      <c r="A78" s="95"/>
      <c r="B78" s="100">
        <v>14</v>
      </c>
      <c r="C78" s="101">
        <v>123657</v>
      </c>
      <c r="D78" s="102">
        <v>47659</v>
      </c>
      <c r="E78" s="103">
        <v>50711</v>
      </c>
      <c r="F78" s="95"/>
      <c r="G78" s="100">
        <v>14</v>
      </c>
      <c r="H78" s="101">
        <v>123669</v>
      </c>
      <c r="I78" s="102">
        <v>47904</v>
      </c>
      <c r="J78" s="103">
        <v>50814</v>
      </c>
      <c r="K78" s="95"/>
      <c r="L78" s="99">
        <v>14</v>
      </c>
      <c r="M78" s="104">
        <f t="shared" si="2"/>
        <v>12</v>
      </c>
      <c r="N78" s="104">
        <f t="shared" si="2"/>
        <v>245</v>
      </c>
      <c r="O78" s="104">
        <f t="shared" si="2"/>
        <v>103</v>
      </c>
    </row>
    <row r="79" spans="1:15" ht="15.75" thickBot="1" x14ac:dyDescent="0.25">
      <c r="A79" s="95"/>
      <c r="B79" s="100">
        <v>15</v>
      </c>
      <c r="C79" s="101">
        <v>165166</v>
      </c>
      <c r="D79" s="102">
        <v>144390</v>
      </c>
      <c r="E79" s="103">
        <v>156136</v>
      </c>
      <c r="F79" s="95"/>
      <c r="G79" s="100">
        <v>15</v>
      </c>
      <c r="H79" s="101">
        <v>165837</v>
      </c>
      <c r="I79" s="102">
        <v>145209</v>
      </c>
      <c r="J79" s="103">
        <v>156935</v>
      </c>
      <c r="K79" s="95"/>
      <c r="L79" s="99">
        <v>15</v>
      </c>
      <c r="M79" s="104">
        <f t="shared" si="2"/>
        <v>671</v>
      </c>
      <c r="N79" s="104">
        <f t="shared" si="2"/>
        <v>819</v>
      </c>
      <c r="O79" s="104">
        <f t="shared" si="2"/>
        <v>799</v>
      </c>
    </row>
    <row r="80" spans="1:15" ht="15.75" thickBot="1" x14ac:dyDescent="0.25">
      <c r="A80" s="95"/>
      <c r="B80" s="100">
        <v>16</v>
      </c>
      <c r="C80" s="101">
        <v>120591</v>
      </c>
      <c r="D80" s="102">
        <v>145481</v>
      </c>
      <c r="E80" s="103">
        <v>214855</v>
      </c>
      <c r="F80" s="95"/>
      <c r="G80" s="100">
        <v>16</v>
      </c>
      <c r="H80" s="101">
        <v>120734</v>
      </c>
      <c r="I80" s="102">
        <v>145971</v>
      </c>
      <c r="J80" s="103">
        <v>215040</v>
      </c>
      <c r="K80" s="95"/>
      <c r="L80" s="99">
        <v>16</v>
      </c>
      <c r="M80" s="104">
        <f t="shared" si="2"/>
        <v>143</v>
      </c>
      <c r="N80" s="104">
        <f t="shared" si="2"/>
        <v>490</v>
      </c>
      <c r="O80" s="104">
        <f t="shared" si="2"/>
        <v>185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84399</v>
      </c>
      <c r="E81" s="103">
        <v>201455</v>
      </c>
      <c r="F81" s="95"/>
      <c r="G81" s="100">
        <v>17</v>
      </c>
      <c r="H81" s="101">
        <v>38476</v>
      </c>
      <c r="I81" s="102">
        <v>84751</v>
      </c>
      <c r="J81" s="103">
        <v>201722</v>
      </c>
      <c r="K81" s="95"/>
      <c r="L81" s="99">
        <v>17</v>
      </c>
      <c r="M81" s="104">
        <f t="shared" si="2"/>
        <v>0</v>
      </c>
      <c r="N81" s="104">
        <f t="shared" si="2"/>
        <v>352</v>
      </c>
      <c r="O81" s="104">
        <f t="shared" si="2"/>
        <v>267</v>
      </c>
    </row>
    <row r="82" spans="1:15" ht="15.75" thickBot="1" x14ac:dyDescent="0.25">
      <c r="A82" s="95"/>
      <c r="B82" s="100">
        <v>18</v>
      </c>
      <c r="C82" s="101">
        <v>135942</v>
      </c>
      <c r="D82" s="102">
        <v>71992</v>
      </c>
      <c r="E82" s="103">
        <v>162109</v>
      </c>
      <c r="F82" s="95"/>
      <c r="G82" s="100">
        <v>18</v>
      </c>
      <c r="H82" s="101">
        <v>136086</v>
      </c>
      <c r="I82" s="102">
        <v>72072</v>
      </c>
      <c r="J82" s="103">
        <v>162404</v>
      </c>
      <c r="K82" s="95"/>
      <c r="L82" s="99">
        <v>18</v>
      </c>
      <c r="M82" s="104">
        <f t="shared" si="2"/>
        <v>144</v>
      </c>
      <c r="N82" s="104">
        <f t="shared" si="2"/>
        <v>80</v>
      </c>
      <c r="O82" s="104">
        <f t="shared" si="2"/>
        <v>295</v>
      </c>
    </row>
    <row r="83" spans="1:15" ht="15.75" thickBot="1" x14ac:dyDescent="0.25">
      <c r="A83" s="95"/>
      <c r="B83" s="100">
        <v>19</v>
      </c>
      <c r="C83" s="101">
        <v>74916</v>
      </c>
      <c r="D83" s="102">
        <v>169125</v>
      </c>
      <c r="E83" s="103">
        <v>119705</v>
      </c>
      <c r="F83" s="95"/>
      <c r="G83" s="100">
        <v>19</v>
      </c>
      <c r="H83" s="101">
        <v>75060</v>
      </c>
      <c r="I83" s="102">
        <v>169631</v>
      </c>
      <c r="J83" s="103">
        <v>120744</v>
      </c>
      <c r="K83" s="95"/>
      <c r="L83" s="99">
        <v>19</v>
      </c>
      <c r="M83" s="104">
        <f t="shared" si="2"/>
        <v>144</v>
      </c>
      <c r="N83" s="104">
        <f t="shared" si="2"/>
        <v>506</v>
      </c>
      <c r="O83" s="104">
        <f t="shared" si="2"/>
        <v>1039</v>
      </c>
    </row>
    <row r="84" spans="1:15" ht="15.75" thickBot="1" x14ac:dyDescent="0.25">
      <c r="A84" s="95"/>
      <c r="B84" s="100">
        <v>20</v>
      </c>
      <c r="C84" s="101">
        <v>141936</v>
      </c>
      <c r="D84" s="102">
        <v>170122</v>
      </c>
      <c r="E84" s="103">
        <v>87002</v>
      </c>
      <c r="F84" s="95"/>
      <c r="G84" s="100">
        <v>20</v>
      </c>
      <c r="H84" s="101">
        <v>142194</v>
      </c>
      <c r="I84" s="102">
        <v>170566</v>
      </c>
      <c r="J84" s="103">
        <v>87168</v>
      </c>
      <c r="K84" s="95"/>
      <c r="L84" s="99">
        <v>20</v>
      </c>
      <c r="M84" s="104">
        <f>H84-C84</f>
        <v>258</v>
      </c>
      <c r="N84" s="104">
        <f t="shared" si="2"/>
        <v>444</v>
      </c>
      <c r="O84" s="104">
        <f t="shared" si="2"/>
        <v>166</v>
      </c>
    </row>
    <row r="85" spans="1:15" ht="15.75" thickBot="1" x14ac:dyDescent="0.25">
      <c r="A85" s="95"/>
      <c r="B85" s="100">
        <v>21</v>
      </c>
      <c r="C85" s="101">
        <v>190497</v>
      </c>
      <c r="D85" s="102">
        <v>87854</v>
      </c>
      <c r="E85" s="103">
        <v>109217</v>
      </c>
      <c r="F85" s="95"/>
      <c r="G85" s="100">
        <v>21</v>
      </c>
      <c r="H85" s="101">
        <v>190852</v>
      </c>
      <c r="I85" s="102">
        <v>88095</v>
      </c>
      <c r="J85" s="103">
        <v>110023</v>
      </c>
      <c r="K85" s="95"/>
      <c r="L85" s="99">
        <v>21</v>
      </c>
      <c r="M85" s="104">
        <f t="shared" si="2"/>
        <v>355</v>
      </c>
      <c r="N85" s="104">
        <f t="shared" si="2"/>
        <v>241</v>
      </c>
      <c r="O85" s="104">
        <f t="shared" si="2"/>
        <v>806</v>
      </c>
    </row>
    <row r="86" spans="1:15" ht="15.75" thickBot="1" x14ac:dyDescent="0.25">
      <c r="A86" s="95"/>
      <c r="B86" s="100">
        <v>22</v>
      </c>
      <c r="C86" s="101">
        <v>130468</v>
      </c>
      <c r="D86" s="102">
        <v>89706</v>
      </c>
      <c r="E86" s="103">
        <v>113532</v>
      </c>
      <c r="F86" s="95"/>
      <c r="G86" s="100">
        <v>22</v>
      </c>
      <c r="H86" s="101">
        <v>131345</v>
      </c>
      <c r="I86" s="102">
        <v>90173</v>
      </c>
      <c r="J86" s="103">
        <v>115514</v>
      </c>
      <c r="K86" s="95"/>
      <c r="L86" s="99">
        <v>22</v>
      </c>
      <c r="M86" s="104">
        <f t="shared" si="2"/>
        <v>877</v>
      </c>
      <c r="N86" s="104">
        <f t="shared" si="2"/>
        <v>467</v>
      </c>
      <c r="O86" s="104">
        <f t="shared" si="2"/>
        <v>1982</v>
      </c>
    </row>
    <row r="87" spans="1:15" ht="15.75" thickBot="1" x14ac:dyDescent="0.25">
      <c r="A87" s="95"/>
      <c r="B87" s="100">
        <v>23</v>
      </c>
      <c r="C87" s="101">
        <v>126084</v>
      </c>
      <c r="D87" s="102">
        <v>154166</v>
      </c>
      <c r="E87" s="103">
        <v>287362</v>
      </c>
      <c r="F87" s="95"/>
      <c r="G87" s="100">
        <v>23</v>
      </c>
      <c r="H87" s="101">
        <v>126505</v>
      </c>
      <c r="I87" s="102">
        <v>154482</v>
      </c>
      <c r="J87" s="103">
        <v>287611</v>
      </c>
      <c r="K87" s="95"/>
      <c r="L87" s="99">
        <v>23</v>
      </c>
      <c r="M87" s="104">
        <f t="shared" si="2"/>
        <v>421</v>
      </c>
      <c r="N87" s="104">
        <f t="shared" si="2"/>
        <v>316</v>
      </c>
      <c r="O87" s="104">
        <f t="shared" si="2"/>
        <v>249</v>
      </c>
    </row>
    <row r="88" spans="1:15" ht="15.75" thickBot="1" x14ac:dyDescent="0.25">
      <c r="A88" s="95"/>
      <c r="B88" s="100">
        <v>24</v>
      </c>
      <c r="C88" s="101">
        <v>78141</v>
      </c>
      <c r="D88" s="102">
        <v>148871</v>
      </c>
      <c r="E88" s="103">
        <v>101100</v>
      </c>
      <c r="F88" s="95"/>
      <c r="G88" s="100">
        <v>24</v>
      </c>
      <c r="H88" s="101">
        <v>78280</v>
      </c>
      <c r="I88" s="102">
        <v>149297</v>
      </c>
      <c r="J88" s="103">
        <v>101190</v>
      </c>
      <c r="K88" s="95"/>
      <c r="L88" s="99">
        <v>24</v>
      </c>
      <c r="M88" s="104">
        <f t="shared" si="2"/>
        <v>139</v>
      </c>
      <c r="N88" s="104">
        <f t="shared" si="2"/>
        <v>426</v>
      </c>
      <c r="O88" s="104">
        <f>J88-E88</f>
        <v>90</v>
      </c>
    </row>
    <row r="89" spans="1:15" ht="15.75" thickBot="1" x14ac:dyDescent="0.25">
      <c r="A89" s="95"/>
      <c r="B89" s="100">
        <v>25</v>
      </c>
      <c r="C89" s="101">
        <v>120117</v>
      </c>
      <c r="D89" s="102">
        <v>178766</v>
      </c>
      <c r="E89" s="103">
        <v>157645</v>
      </c>
      <c r="F89" s="95"/>
      <c r="G89" s="100">
        <v>25</v>
      </c>
      <c r="H89" s="101">
        <v>120374</v>
      </c>
      <c r="I89" s="102">
        <v>178989</v>
      </c>
      <c r="J89" s="103">
        <v>158466</v>
      </c>
      <c r="K89" s="95"/>
      <c r="L89" s="99">
        <v>25</v>
      </c>
      <c r="M89" s="104">
        <f t="shared" si="2"/>
        <v>257</v>
      </c>
      <c r="N89" s="104">
        <f t="shared" si="2"/>
        <v>223</v>
      </c>
      <c r="O89" s="104">
        <f>J89-E89</f>
        <v>821</v>
      </c>
    </row>
    <row r="90" spans="1:15" ht="15.75" thickBot="1" x14ac:dyDescent="0.25">
      <c r="A90" s="95"/>
      <c r="B90" s="100">
        <v>26</v>
      </c>
      <c r="C90" s="101">
        <v>110959</v>
      </c>
      <c r="D90" s="102">
        <v>50394</v>
      </c>
      <c r="E90" s="103">
        <v>52714</v>
      </c>
      <c r="F90" s="95"/>
      <c r="G90" s="100">
        <v>26</v>
      </c>
      <c r="H90" s="101">
        <v>111648</v>
      </c>
      <c r="I90" s="102">
        <v>50653</v>
      </c>
      <c r="J90" s="103">
        <v>52884</v>
      </c>
      <c r="K90" s="95"/>
      <c r="L90" s="99">
        <v>26</v>
      </c>
      <c r="M90" s="104">
        <f t="shared" si="2"/>
        <v>689</v>
      </c>
      <c r="N90" s="104">
        <f t="shared" si="2"/>
        <v>259</v>
      </c>
      <c r="O90" s="104">
        <f t="shared" si="2"/>
        <v>170</v>
      </c>
    </row>
    <row r="91" spans="1:15" ht="15.75" thickBot="1" x14ac:dyDescent="0.25">
      <c r="A91" s="95"/>
      <c r="B91" s="100">
        <v>27</v>
      </c>
      <c r="C91" s="101">
        <v>101127</v>
      </c>
      <c r="D91" s="102">
        <v>107674</v>
      </c>
      <c r="E91" s="103">
        <v>119724</v>
      </c>
      <c r="F91" s="95"/>
      <c r="G91" s="100">
        <v>27</v>
      </c>
      <c r="H91" s="101">
        <v>101311</v>
      </c>
      <c r="I91" s="102">
        <v>107823</v>
      </c>
      <c r="J91" s="103">
        <v>119857</v>
      </c>
      <c r="K91" s="95"/>
      <c r="L91" s="99">
        <v>27</v>
      </c>
      <c r="M91" s="104">
        <f t="shared" si="2"/>
        <v>184</v>
      </c>
      <c r="N91" s="104">
        <f t="shared" si="2"/>
        <v>149</v>
      </c>
      <c r="O91" s="104">
        <f t="shared" si="2"/>
        <v>133</v>
      </c>
    </row>
    <row r="92" spans="1:15" ht="15.75" thickBot="1" x14ac:dyDescent="0.25">
      <c r="A92" s="95"/>
      <c r="B92" s="100">
        <v>28</v>
      </c>
      <c r="C92" s="101">
        <v>193358</v>
      </c>
      <c r="D92" s="102">
        <v>101990</v>
      </c>
      <c r="E92" s="103">
        <v>109763</v>
      </c>
      <c r="F92" s="95"/>
      <c r="G92" s="100">
        <v>28</v>
      </c>
      <c r="H92" s="101">
        <v>193808</v>
      </c>
      <c r="I92" s="102">
        <v>101990</v>
      </c>
      <c r="J92" s="103">
        <v>110053</v>
      </c>
      <c r="K92" s="95"/>
      <c r="L92" s="99">
        <v>28</v>
      </c>
      <c r="M92" s="104">
        <f t="shared" si="2"/>
        <v>450</v>
      </c>
      <c r="N92" s="104">
        <f t="shared" si="2"/>
        <v>0</v>
      </c>
      <c r="O92" s="104">
        <f t="shared" si="2"/>
        <v>290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80595</v>
      </c>
      <c r="J93" s="103"/>
      <c r="K93" s="95"/>
      <c r="L93" s="99">
        <v>29</v>
      </c>
      <c r="M93" s="104">
        <f t="shared" si="2"/>
        <v>0</v>
      </c>
      <c r="N93" s="104">
        <f t="shared" si="2"/>
        <v>875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2021-05-23T01:01:04Z</dcterms:modified>
</cp:coreProperties>
</file>