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K260" i="4"/>
  <c r="I260" i="4"/>
  <c r="S259" i="4"/>
  <c r="R259" i="4"/>
  <c r="O259" i="4"/>
  <c r="L259" i="4"/>
  <c r="M259" i="4" s="1"/>
  <c r="K259" i="4"/>
  <c r="I259" i="4"/>
  <c r="S258" i="4"/>
  <c r="R258" i="4"/>
  <c r="O258" i="4"/>
  <c r="L258" i="4"/>
  <c r="M258" i="4" s="1"/>
  <c r="K258" i="4"/>
  <c r="I258" i="4"/>
  <c r="S257" i="4"/>
  <c r="R257" i="4"/>
  <c r="O257" i="4"/>
  <c r="L257" i="4"/>
  <c r="M257" i="4" s="1"/>
  <c r="K257" i="4"/>
  <c r="I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K245" i="4" l="1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E257" i="1"/>
  <c r="E261" i="1"/>
  <c r="E265" i="1"/>
  <c r="E269" i="1"/>
  <c r="E274" i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276" i="4" l="1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<sst xmlns="http://schemas.openxmlformats.org/spreadsheetml/2006/main" count="607" uniqueCount="77">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</sst>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40" workbookViewId="0">
      <selection activeCell="R248" sqref="R24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>
        <v>0.85</v>
      </c>
      <c r="G253" s="4" t="str">
        <f>'Gas Water'!M255</f>
        <v/>
      </c>
      <c r="H253" s="153">
        <v>2</v>
      </c>
      <c r="I253" s="2" t="str">
        <f>'Gas Water'!L255</f>
        <v/>
      </c>
      <c r="J253" s="153">
        <v>13.9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>
        <v>0.85</v>
      </c>
      <c r="G254" s="4" t="str">
        <f>'Gas Water'!M256</f>
        <v/>
      </c>
      <c r="H254" s="153">
        <v>2</v>
      </c>
      <c r="I254" s="2" t="str">
        <f>'Gas Water'!L256</f>
        <v/>
      </c>
      <c r="J254" s="153">
        <v>13.9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>
        <v>0.85</v>
      </c>
      <c r="G255" s="4" t="str">
        <f>'Gas Water'!M257</f>
        <v/>
      </c>
      <c r="H255" s="153">
        <v>2</v>
      </c>
      <c r="I255" s="2" t="str">
        <f>'Gas Water'!L257</f>
        <v/>
      </c>
      <c r="J255" s="153">
        <v>13.9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>
        <v>0.85</v>
      </c>
      <c r="G256" s="4" t="str">
        <f>'Gas Water'!M258</f>
        <v/>
      </c>
      <c r="H256" s="153">
        <v>2</v>
      </c>
      <c r="I256" s="2" t="str">
        <f>'Gas Water'!L258</f>
        <v/>
      </c>
      <c r="J256" s="153">
        <v>13.9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>
        <v>0.85</v>
      </c>
      <c r="G257" s="4" t="str">
        <f>'Gas Water'!M259</f>
        <v/>
      </c>
      <c r="H257" s="153">
        <v>2</v>
      </c>
      <c r="I257" s="2" t="str">
        <f>'Gas Water'!L259</f>
        <v/>
      </c>
      <c r="J257" s="153">
        <v>13.9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>
        <v>0.85</v>
      </c>
      <c r="G258" s="4" t="str">
        <f>'Gas Water'!M260</f>
        <v/>
      </c>
      <c r="H258" s="153">
        <v>2</v>
      </c>
      <c r="I258" s="2" t="str">
        <f>'Gas Water'!L260</f>
        <v/>
      </c>
      <c r="J258" s="153">
        <v>13.9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>
        <v>0.85</v>
      </c>
      <c r="G259" s="4" t="str">
        <f>'Gas Water'!M261</f>
        <v/>
      </c>
      <c r="H259" s="153">
        <v>2</v>
      </c>
      <c r="I259" s="2" t="str">
        <f>'Gas Water'!L261</f>
        <v/>
      </c>
      <c r="J259" s="153">
        <v>13.9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>
        <v>0.85</v>
      </c>
      <c r="G260" s="4" t="str">
        <f>'Gas Water'!M262</f>
        <v/>
      </c>
      <c r="H260" s="153">
        <v>2</v>
      </c>
      <c r="I260" s="2" t="str">
        <f>'Gas Water'!L262</f>
        <v/>
      </c>
      <c r="J260" s="153">
        <v>13.9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>
        <v>0.85</v>
      </c>
      <c r="G261" s="4" t="str">
        <f>'Gas Water'!M263</f>
        <v/>
      </c>
      <c r="H261" s="153">
        <v>2</v>
      </c>
      <c r="I261" s="2" t="str">
        <f>'Gas Water'!L263</f>
        <v/>
      </c>
      <c r="J261" s="153">
        <v>13.9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>
        <v>0.85</v>
      </c>
      <c r="G262" s="4" t="str">
        <f>'Gas Water'!M264</f>
        <v/>
      </c>
      <c r="H262" s="153">
        <v>2</v>
      </c>
      <c r="I262" s="2" t="str">
        <f>'Gas Water'!L264</f>
        <v/>
      </c>
      <c r="J262" s="153">
        <v>13.9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>
        <v>0.85</v>
      </c>
      <c r="G263" s="4" t="str">
        <f>'Gas Water'!M265</f>
        <v/>
      </c>
      <c r="H263" s="153">
        <v>2</v>
      </c>
      <c r="I263" s="2" t="str">
        <f>'Gas Water'!L265</f>
        <v/>
      </c>
      <c r="J263" s="153">
        <v>13.9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>
        <v>0.85</v>
      </c>
      <c r="G264" s="4" t="str">
        <f>'Gas Water'!M266</f>
        <v/>
      </c>
      <c r="H264" s="153">
        <v>2</v>
      </c>
      <c r="I264" s="2" t="str">
        <f>'Gas Water'!L266</f>
        <v/>
      </c>
      <c r="J264" s="153">
        <v>13.9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>
        <v>0.85</v>
      </c>
      <c r="G265" s="4" t="str">
        <f>'Gas Water'!M267</f>
        <v/>
      </c>
      <c r="H265" s="153">
        <v>2</v>
      </c>
      <c r="I265" s="2" t="str">
        <f>'Gas Water'!L267</f>
        <v/>
      </c>
      <c r="J265" s="153">
        <v>13.9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>
        <v>0.85</v>
      </c>
      <c r="G266" s="4" t="str">
        <f>'Gas Water'!M268</f>
        <v/>
      </c>
      <c r="H266" s="153">
        <v>2</v>
      </c>
      <c r="I266" s="2" t="str">
        <f>'Gas Water'!L268</f>
        <v/>
      </c>
      <c r="J266" s="153">
        <v>13.9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>
        <v>0.85</v>
      </c>
      <c r="G267" s="4" t="str">
        <f>'Gas Water'!M269</f>
        <v/>
      </c>
      <c r="H267" s="153">
        <v>2</v>
      </c>
      <c r="I267" s="2" t="str">
        <f>'Gas Water'!L269</f>
        <v/>
      </c>
      <c r="J267" s="153">
        <v>13.9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>
        <v>0.85</v>
      </c>
      <c r="G268" s="4" t="str">
        <f>'Gas Water'!M270</f>
        <v/>
      </c>
      <c r="H268" s="153">
        <v>2</v>
      </c>
      <c r="I268" s="2" t="str">
        <f>'Gas Water'!L270</f>
        <v/>
      </c>
      <c r="J268" s="153">
        <v>13.9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>
        <v>0.85</v>
      </c>
      <c r="G269" s="4" t="str">
        <f>'Gas Water'!M271</f>
        <v/>
      </c>
      <c r="H269" s="153">
        <v>2</v>
      </c>
      <c r="I269" s="2" t="str">
        <f>'Gas Water'!L271</f>
        <v/>
      </c>
      <c r="J269" s="153">
        <v>13.9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>
        <v>0.85</v>
      </c>
      <c r="G270" s="4" t="str">
        <f>'Gas Water'!M272</f>
        <v/>
      </c>
      <c r="H270" s="153">
        <v>2</v>
      </c>
      <c r="I270" s="2" t="str">
        <f>'Gas Water'!L272</f>
        <v/>
      </c>
      <c r="J270" s="153">
        <v>13.9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>
        <v>0.85</v>
      </c>
      <c r="G271" s="4" t="str">
        <f>'Gas Water'!M273</f>
        <v/>
      </c>
      <c r="H271" s="153">
        <v>2</v>
      </c>
      <c r="I271" s="2" t="str">
        <f>'Gas Water'!L273</f>
        <v/>
      </c>
      <c r="J271" s="153">
        <v>13.9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>
        <v>0.85</v>
      </c>
      <c r="G272" s="4" t="str">
        <f>'Gas Water'!M274</f>
        <v/>
      </c>
      <c r="H272" s="153">
        <v>2</v>
      </c>
      <c r="I272" s="2" t="str">
        <f>'Gas Water'!L274</f>
        <v/>
      </c>
      <c r="J272" s="153">
        <v>13.9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>
        <v>0.85</v>
      </c>
      <c r="G273" s="4" t="str">
        <f>'Gas Water'!M275</f>
        <v/>
      </c>
      <c r="H273" s="153">
        <v>2</v>
      </c>
      <c r="I273" s="2" t="str">
        <f>'Gas Water'!L275</f>
        <v/>
      </c>
      <c r="J273" s="153">
        <v>13.9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>
        <v>0.85</v>
      </c>
      <c r="G274" s="4" t="str">
        <f>'Gas Water'!M276</f>
        <v/>
      </c>
      <c r="H274" s="153">
        <v>2</v>
      </c>
      <c r="I274" s="2" t="str">
        <f>'Gas Water'!L276</f>
        <v/>
      </c>
      <c r="J274" s="153">
        <v>13.9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17" workbookViewId="0">
      <selection activeCell="O251" sqref="O251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1858</v>
      </c>
      <c r="O270" s="32">
        <f>SUM(M248:M277)</f>
        <v>11060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>
        <f>AVERAGE(L248:L277)</f>
        <v>265.42857142857144</v>
      </c>
      <c r="O273" s="32">
        <f>AVERAGE(M248:M277)</f>
        <v>1580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475362</v>
      </c>
      <c r="J371" s="40">
        <f t="shared" si="30"/>
        <v>43942</v>
      </c>
      <c r="K371" s="40">
        <f t="shared" si="30"/>
        <v>40144</v>
      </c>
      <c r="L371" s="40">
        <f t="shared" si="30"/>
        <v>45702</v>
      </c>
      <c r="M371" s="40">
        <f t="shared" si="30"/>
        <v>559448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235" workbookViewId="0">
      <selection activeCell="W252" sqref="W252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56" si="33">IF(D236="","",+(E236-E235)*4140)</f>
        <v>35318.339999999793</v>
      </c>
      <c r="J236" s="59">
        <f t="shared" ref="J236:J260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33"/>
        <v/>
      </c>
      <c r="J254" s="59" t="str">
        <f t="shared" si="34"/>
        <v/>
      </c>
      <c r="K254" s="60" t="str">
        <f t="shared" si="28"/>
        <v/>
      </c>
      <c r="L254" s="59" t="str">
        <f t="shared" si="31"/>
        <v/>
      </c>
      <c r="M254" s="60" t="str">
        <f t="shared" si="30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33"/>
        <v/>
      </c>
      <c r="J255" s="59" t="str">
        <f t="shared" si="34"/>
        <v/>
      </c>
      <c r="K255" s="60" t="str">
        <f t="shared" si="28"/>
        <v/>
      </c>
      <c r="L255" s="59" t="str">
        <f t="shared" si="31"/>
        <v/>
      </c>
      <c r="M255" s="60" t="str">
        <f t="shared" si="30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33"/>
        <v/>
      </c>
      <c r="J256" s="59" t="str">
        <f t="shared" si="34"/>
        <v/>
      </c>
      <c r="K256" s="60" t="str">
        <f t="shared" si="28"/>
        <v/>
      </c>
      <c r="L256" s="59" t="str">
        <f t="shared" si="31"/>
        <v/>
      </c>
      <c r="M256" s="60" t="str">
        <f t="shared" si="30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ref="I257:I259" si="36">IF(D257="","",+(D257-D256)*4140)</f>
        <v/>
      </c>
      <c r="J257" s="59" t="str">
        <f t="shared" si="34"/>
        <v/>
      </c>
      <c r="K257" s="60" t="str">
        <f t="shared" si="28"/>
        <v/>
      </c>
      <c r="L257" s="59" t="str">
        <f>IF(F257="","",+(F257-F256)*4140)</f>
        <v/>
      </c>
      <c r="M257" s="60" t="str">
        <f t="shared" si="30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36"/>
        <v/>
      </c>
      <c r="J258" s="59" t="str">
        <f t="shared" si="34"/>
        <v/>
      </c>
      <c r="K258" s="60" t="str">
        <f t="shared" si="28"/>
        <v/>
      </c>
      <c r="L258" s="59" t="str">
        <f t="shared" si="31"/>
        <v/>
      </c>
      <c r="M258" s="60" t="str">
        <f t="shared" si="30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36"/>
        <v/>
      </c>
      <c r="J259" s="59" t="str">
        <f t="shared" si="34"/>
        <v/>
      </c>
      <c r="K259" s="60" t="str">
        <f t="shared" si="28"/>
        <v/>
      </c>
      <c r="L259" s="59" t="str">
        <f t="shared" si="31"/>
        <v/>
      </c>
      <c r="M259" s="60" t="str">
        <f t="shared" si="30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si="34"/>
        <v/>
      </c>
      <c r="K260" s="60" t="str">
        <f t="shared" si="28"/>
        <v/>
      </c>
      <c r="L260" s="59" t="str">
        <f t="shared" si="31"/>
        <v/>
      </c>
      <c r="M260" s="60" t="str">
        <f t="shared" si="30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7">IF(D261="","",+(D261-D260)*4140)</f>
        <v/>
      </c>
      <c r="J261" s="59" t="str">
        <f t="shared" ref="J261:J323" si="38">IF(E261="","",+(E261-E260)*4140)</f>
        <v/>
      </c>
      <c r="K261" s="60" t="str">
        <f t="shared" si="28"/>
        <v/>
      </c>
      <c r="L261" s="59" t="str">
        <f t="shared" ref="L261:L324" si="39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7"/>
        <v/>
      </c>
      <c r="J262" s="59" t="str">
        <f t="shared" si="38"/>
        <v/>
      </c>
      <c r="K262" s="60" t="str">
        <f t="shared" si="28"/>
        <v/>
      </c>
      <c r="L262" s="59" t="str">
        <f t="shared" si="39"/>
        <v/>
      </c>
      <c r="M262" s="60" t="str">
        <f t="shared" si="30"/>
        <v/>
      </c>
      <c r="N262" s="61">
        <v>66068309</v>
      </c>
      <c r="O262" s="61">
        <f t="shared" ref="O262:O314" si="40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7"/>
        <v/>
      </c>
      <c r="J263" s="59" t="str">
        <f t="shared" si="38"/>
        <v/>
      </c>
      <c r="K263" s="60" t="str">
        <f t="shared" si="28"/>
        <v/>
      </c>
      <c r="L263" s="59" t="str">
        <f t="shared" si="39"/>
        <v/>
      </c>
      <c r="M263" s="60" t="str">
        <f t="shared" si="30"/>
        <v/>
      </c>
      <c r="N263" s="61">
        <v>66068309</v>
      </c>
      <c r="O263" s="61">
        <f t="shared" si="40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7"/>
        <v/>
      </c>
      <c r="J264" s="59" t="str">
        <f t="shared" si="38"/>
        <v/>
      </c>
      <c r="K264" s="60" t="str">
        <f t="shared" si="28"/>
        <v/>
      </c>
      <c r="L264" s="59" t="str">
        <f t="shared" si="39"/>
        <v/>
      </c>
      <c r="M264" s="60" t="str">
        <f t="shared" si="30"/>
        <v/>
      </c>
      <c r="N264" s="61">
        <v>66068309</v>
      </c>
      <c r="O264" s="61">
        <f t="shared" si="40"/>
        <v>0</v>
      </c>
      <c r="P264" s="202" t="s">
        <v>66</v>
      </c>
      <c r="Q264" s="203"/>
      <c r="R264" s="20">
        <f t="shared" si="35"/>
        <v>1</v>
      </c>
      <c r="S264" s="20">
        <f t="shared" ref="S264:S327" si="41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7"/>
        <v/>
      </c>
      <c r="J265" s="59" t="str">
        <f t="shared" si="38"/>
        <v/>
      </c>
      <c r="K265" s="60" t="str">
        <f t="shared" si="28"/>
        <v/>
      </c>
      <c r="L265" s="59" t="str">
        <f t="shared" si="39"/>
        <v/>
      </c>
      <c r="M265" s="60" t="str">
        <f t="shared" si="30"/>
        <v/>
      </c>
      <c r="N265" s="61">
        <v>66068309</v>
      </c>
      <c r="O265" s="61">
        <f t="shared" si="40"/>
        <v>0</v>
      </c>
      <c r="P265" s="204"/>
      <c r="Q265" s="205"/>
      <c r="R265" s="20">
        <f t="shared" si="35"/>
        <v>1</v>
      </c>
      <c r="S265" s="20">
        <f t="shared" si="41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7"/>
        <v/>
      </c>
      <c r="J266" s="59" t="str">
        <f t="shared" si="38"/>
        <v/>
      </c>
      <c r="K266" s="60" t="str">
        <f t="shared" si="28"/>
        <v/>
      </c>
      <c r="L266" s="59" t="str">
        <f t="shared" si="39"/>
        <v/>
      </c>
      <c r="M266" s="60" t="str">
        <f t="shared" si="30"/>
        <v/>
      </c>
      <c r="N266" s="61">
        <v>66068309</v>
      </c>
      <c r="O266" s="61">
        <f t="shared" si="40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41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7"/>
        <v/>
      </c>
      <c r="J267" s="59" t="str">
        <f t="shared" si="38"/>
        <v/>
      </c>
      <c r="K267" s="60" t="str">
        <f t="shared" si="28"/>
        <v/>
      </c>
      <c r="L267" s="59" t="str">
        <f t="shared" si="39"/>
        <v/>
      </c>
      <c r="M267" s="60" t="str">
        <f t="shared" si="30"/>
        <v/>
      </c>
      <c r="N267" s="61">
        <v>66068309</v>
      </c>
      <c r="O267" s="61">
        <f t="shared" si="40"/>
        <v>0</v>
      </c>
      <c r="P267" s="70">
        <f>IF(J247="",0,+SUM(J247:J276)/SUM(I247:I276))</f>
        <v>2.6858787272690161E-2</v>
      </c>
      <c r="Q267" s="70">
        <f>IF(L247="",0,+SUM(L247:L276)/SUM(I247:I276))</f>
        <v>2.6858787272690161E-2</v>
      </c>
      <c r="R267" s="20">
        <f t="shared" si="35"/>
        <v>1</v>
      </c>
      <c r="S267" s="20">
        <f t="shared" si="41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7"/>
        <v/>
      </c>
      <c r="J268" s="59" t="str">
        <f t="shared" si="38"/>
        <v/>
      </c>
      <c r="K268" s="60" t="str">
        <f t="shared" si="28"/>
        <v/>
      </c>
      <c r="L268" s="59" t="str">
        <f t="shared" si="39"/>
        <v/>
      </c>
      <c r="M268" s="60" t="str">
        <f t="shared" si="30"/>
        <v/>
      </c>
      <c r="N268" s="61">
        <v>66068309</v>
      </c>
      <c r="O268" s="61">
        <f t="shared" si="40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41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7"/>
        <v/>
      </c>
      <c r="J269" s="59" t="str">
        <f t="shared" si="38"/>
        <v/>
      </c>
      <c r="K269" s="60" t="str">
        <f t="shared" ref="K269:K332" si="42">IF(J269="","",+(J269/I269))</f>
        <v/>
      </c>
      <c r="L269" s="59" t="str">
        <f t="shared" si="39"/>
        <v/>
      </c>
      <c r="M269" s="60" t="str">
        <f t="shared" ref="M269:M332" si="43">IF(L269="","",(L269/I269))</f>
        <v/>
      </c>
      <c r="N269" s="61">
        <v>66068309</v>
      </c>
      <c r="O269" s="61">
        <f t="shared" si="40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41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7"/>
        <v/>
      </c>
      <c r="J270" s="59" t="str">
        <f t="shared" si="38"/>
        <v/>
      </c>
      <c r="K270" s="60" t="str">
        <f t="shared" si="42"/>
        <v/>
      </c>
      <c r="L270" s="59" t="str">
        <f t="shared" si="39"/>
        <v/>
      </c>
      <c r="M270" s="60" t="str">
        <f t="shared" si="43"/>
        <v/>
      </c>
      <c r="N270" s="61">
        <v>66068309</v>
      </c>
      <c r="O270" s="61">
        <f t="shared" si="40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41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7"/>
        <v/>
      </c>
      <c r="J271" s="59" t="str">
        <f t="shared" si="38"/>
        <v/>
      </c>
      <c r="K271" s="60" t="str">
        <f t="shared" si="42"/>
        <v/>
      </c>
      <c r="L271" s="59" t="str">
        <f t="shared" si="39"/>
        <v/>
      </c>
      <c r="M271" s="60" t="str">
        <f t="shared" si="43"/>
        <v/>
      </c>
      <c r="N271" s="61">
        <v>66068309</v>
      </c>
      <c r="O271" s="61">
        <f t="shared" si="40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41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7"/>
        <v/>
      </c>
      <c r="J272" s="59" t="str">
        <f t="shared" si="38"/>
        <v/>
      </c>
      <c r="K272" s="60" t="str">
        <f t="shared" si="42"/>
        <v/>
      </c>
      <c r="L272" s="59" t="str">
        <f t="shared" si="39"/>
        <v/>
      </c>
      <c r="M272" s="60" t="str">
        <f t="shared" si="43"/>
        <v/>
      </c>
      <c r="N272" s="61">
        <v>66068309</v>
      </c>
      <c r="O272" s="61">
        <f t="shared" si="40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41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7"/>
        <v/>
      </c>
      <c r="J273" s="59" t="str">
        <f t="shared" si="38"/>
        <v/>
      </c>
      <c r="K273" s="60" t="str">
        <f t="shared" si="42"/>
        <v/>
      </c>
      <c r="L273" s="59" t="str">
        <f t="shared" si="39"/>
        <v/>
      </c>
      <c r="M273" s="60" t="str">
        <f t="shared" si="43"/>
        <v/>
      </c>
      <c r="N273" s="61">
        <v>66068309</v>
      </c>
      <c r="O273" s="61">
        <f t="shared" si="40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41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7"/>
        <v/>
      </c>
      <c r="J274" s="59" t="str">
        <f t="shared" si="38"/>
        <v/>
      </c>
      <c r="K274" s="60" t="str">
        <f t="shared" si="42"/>
        <v/>
      </c>
      <c r="L274" s="59" t="str">
        <f t="shared" si="39"/>
        <v/>
      </c>
      <c r="M274" s="60" t="str">
        <f t="shared" si="43"/>
        <v/>
      </c>
      <c r="N274" s="61">
        <v>66068309</v>
      </c>
      <c r="O274" s="61">
        <f t="shared" si="40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41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8"/>
        <v/>
      </c>
      <c r="K275" s="60" t="str">
        <f t="shared" si="42"/>
        <v/>
      </c>
      <c r="L275" s="59" t="str">
        <f t="shared" si="39"/>
        <v/>
      </c>
      <c r="M275" s="60" t="str">
        <f t="shared" si="43"/>
        <v/>
      </c>
      <c r="N275" s="61">
        <v>66068309</v>
      </c>
      <c r="O275" s="61">
        <f t="shared" si="40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41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7"/>
        <v/>
      </c>
      <c r="J276" s="90" t="str">
        <f t="shared" si="38"/>
        <v/>
      </c>
      <c r="K276" s="60" t="str">
        <f t="shared" si="42"/>
        <v/>
      </c>
      <c r="L276" s="90" t="str">
        <f t="shared" si="39"/>
        <v/>
      </c>
      <c r="M276" s="60" t="str">
        <f t="shared" si="43"/>
        <v/>
      </c>
      <c r="N276" s="92">
        <v>66068309</v>
      </c>
      <c r="O276" s="93">
        <f t="shared" si="40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41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7"/>
        <v/>
      </c>
      <c r="J277" s="59" t="str">
        <f t="shared" si="38"/>
        <v/>
      </c>
      <c r="K277" s="60" t="str">
        <f t="shared" si="42"/>
        <v/>
      </c>
      <c r="L277" s="59" t="str">
        <f t="shared" si="39"/>
        <v/>
      </c>
      <c r="M277" s="60" t="str">
        <f t="shared" si="43"/>
        <v/>
      </c>
      <c r="N277" s="61">
        <v>66068309</v>
      </c>
      <c r="O277" s="61">
        <f t="shared" si="40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41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7"/>
        <v/>
      </c>
      <c r="J278" s="59" t="str">
        <f t="shared" si="38"/>
        <v/>
      </c>
      <c r="K278" s="60" t="str">
        <f t="shared" si="42"/>
        <v/>
      </c>
      <c r="L278" s="59" t="str">
        <f t="shared" si="39"/>
        <v/>
      </c>
      <c r="M278" s="60" t="str">
        <f t="shared" si="43"/>
        <v/>
      </c>
      <c r="N278" s="61">
        <v>66068309</v>
      </c>
      <c r="O278" s="61">
        <f t="shared" si="40"/>
        <v>0</v>
      </c>
      <c r="P278" s="62"/>
      <c r="Q278" s="104"/>
      <c r="R278" s="20">
        <f t="shared" si="35"/>
        <v>1</v>
      </c>
      <c r="S278" s="20">
        <f t="shared" si="41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7"/>
        <v/>
      </c>
      <c r="J279" s="59" t="str">
        <f t="shared" si="38"/>
        <v/>
      </c>
      <c r="K279" s="60" t="str">
        <f t="shared" si="42"/>
        <v/>
      </c>
      <c r="L279" s="59" t="str">
        <f t="shared" si="39"/>
        <v/>
      </c>
      <c r="M279" s="60" t="str">
        <f t="shared" si="43"/>
        <v/>
      </c>
      <c r="N279" s="61">
        <v>66068309</v>
      </c>
      <c r="O279" s="61">
        <f t="shared" si="40"/>
        <v>0</v>
      </c>
      <c r="P279" s="100"/>
      <c r="Q279" s="101"/>
      <c r="R279" s="20">
        <f t="shared" si="35"/>
        <v>1</v>
      </c>
      <c r="S279" s="20">
        <f t="shared" si="41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7"/>
        <v/>
      </c>
      <c r="J280" s="59" t="str">
        <f t="shared" si="38"/>
        <v/>
      </c>
      <c r="K280" s="60" t="str">
        <f t="shared" si="42"/>
        <v/>
      </c>
      <c r="L280" s="59" t="str">
        <f t="shared" si="39"/>
        <v/>
      </c>
      <c r="M280" s="60" t="str">
        <f t="shared" si="43"/>
        <v/>
      </c>
      <c r="N280" s="61">
        <v>66068309</v>
      </c>
      <c r="O280" s="61">
        <f t="shared" si="40"/>
        <v>0</v>
      </c>
      <c r="P280" s="102"/>
      <c r="Q280" s="103"/>
      <c r="R280" s="20">
        <f t="shared" si="35"/>
        <v>1</v>
      </c>
      <c r="S280" s="20">
        <f t="shared" si="41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7"/>
        <v/>
      </c>
      <c r="J281" s="59" t="str">
        <f t="shared" si="38"/>
        <v/>
      </c>
      <c r="K281" s="60" t="str">
        <f t="shared" si="42"/>
        <v/>
      </c>
      <c r="L281" s="59" t="str">
        <f t="shared" si="39"/>
        <v/>
      </c>
      <c r="M281" s="60" t="str">
        <f t="shared" si="43"/>
        <v/>
      </c>
      <c r="N281" s="61">
        <v>66068309</v>
      </c>
      <c r="O281" s="61">
        <f t="shared" si="40"/>
        <v>0</v>
      </c>
      <c r="P281" s="102"/>
      <c r="Q281" s="101"/>
      <c r="R281" s="20">
        <f t="shared" si="35"/>
        <v>1</v>
      </c>
      <c r="S281" s="20">
        <f t="shared" si="41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7"/>
        <v/>
      </c>
      <c r="J282" s="59" t="str">
        <f t="shared" si="38"/>
        <v/>
      </c>
      <c r="K282" s="60" t="str">
        <f t="shared" si="42"/>
        <v/>
      </c>
      <c r="L282" s="59" t="str">
        <f t="shared" si="39"/>
        <v/>
      </c>
      <c r="M282" s="60" t="str">
        <f t="shared" si="43"/>
        <v/>
      </c>
      <c r="N282" s="61">
        <v>66068309</v>
      </c>
      <c r="O282" s="61">
        <f t="shared" si="40"/>
        <v>0</v>
      </c>
      <c r="P282" s="62"/>
      <c r="Q282" s="63"/>
      <c r="R282" s="20">
        <f t="shared" si="35"/>
        <v>1</v>
      </c>
      <c r="S282" s="20">
        <f t="shared" si="41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7"/>
        <v/>
      </c>
      <c r="J283" s="59" t="str">
        <f t="shared" si="38"/>
        <v/>
      </c>
      <c r="K283" s="60" t="str">
        <f t="shared" si="42"/>
        <v/>
      </c>
      <c r="L283" s="59" t="str">
        <f t="shared" si="39"/>
        <v/>
      </c>
      <c r="M283" s="60" t="str">
        <f t="shared" si="43"/>
        <v/>
      </c>
      <c r="N283" s="61">
        <v>66068309</v>
      </c>
      <c r="O283" s="61">
        <f t="shared" si="40"/>
        <v>0</v>
      </c>
      <c r="P283" s="62"/>
      <c r="Q283" s="64"/>
      <c r="R283" s="20">
        <f t="shared" si="35"/>
        <v>1</v>
      </c>
      <c r="S283" s="20">
        <f t="shared" si="41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7"/>
        <v/>
      </c>
      <c r="J284" s="59" t="str">
        <f t="shared" si="38"/>
        <v/>
      </c>
      <c r="K284" s="60" t="str">
        <f t="shared" si="42"/>
        <v/>
      </c>
      <c r="L284" s="59" t="str">
        <f t="shared" si="39"/>
        <v/>
      </c>
      <c r="M284" s="60" t="str">
        <f t="shared" si="43"/>
        <v/>
      </c>
      <c r="N284" s="61">
        <v>66068309</v>
      </c>
      <c r="O284" s="61">
        <f t="shared" si="40"/>
        <v>0</v>
      </c>
      <c r="P284" s="62"/>
      <c r="Q284" s="64"/>
      <c r="R284" s="20">
        <f t="shared" si="35"/>
        <v>1</v>
      </c>
      <c r="S284" s="20">
        <f t="shared" si="41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7"/>
        <v/>
      </c>
      <c r="J285" s="59" t="str">
        <f t="shared" si="38"/>
        <v/>
      </c>
      <c r="K285" s="60" t="str">
        <f t="shared" si="42"/>
        <v/>
      </c>
      <c r="L285" s="59" t="str">
        <f t="shared" si="39"/>
        <v/>
      </c>
      <c r="M285" s="60" t="str">
        <f t="shared" si="43"/>
        <v/>
      </c>
      <c r="N285" s="61">
        <v>66068309</v>
      </c>
      <c r="O285" s="61">
        <f t="shared" si="40"/>
        <v>0</v>
      </c>
      <c r="P285" s="62"/>
      <c r="Q285" s="64"/>
      <c r="R285" s="20">
        <f t="shared" si="35"/>
        <v>1</v>
      </c>
      <c r="S285" s="20">
        <f t="shared" si="41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7"/>
        <v/>
      </c>
      <c r="J286" s="59" t="str">
        <f t="shared" si="38"/>
        <v/>
      </c>
      <c r="K286" s="60" t="str">
        <f t="shared" si="42"/>
        <v/>
      </c>
      <c r="L286" s="59" t="str">
        <f t="shared" si="39"/>
        <v/>
      </c>
      <c r="M286" s="60" t="str">
        <f t="shared" si="43"/>
        <v/>
      </c>
      <c r="N286" s="61">
        <v>66068309</v>
      </c>
      <c r="O286" s="61">
        <f t="shared" si="40"/>
        <v>0</v>
      </c>
      <c r="P286" s="62"/>
      <c r="Q286" s="63"/>
      <c r="R286" s="20">
        <f t="shared" si="35"/>
        <v>1</v>
      </c>
      <c r="S286" s="20">
        <f t="shared" si="41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7"/>
        <v/>
      </c>
      <c r="J287" s="59" t="str">
        <f t="shared" si="38"/>
        <v/>
      </c>
      <c r="K287" s="60" t="str">
        <f t="shared" si="42"/>
        <v/>
      </c>
      <c r="L287" s="59" t="str">
        <f t="shared" si="39"/>
        <v/>
      </c>
      <c r="M287" s="60" t="str">
        <f t="shared" si="43"/>
        <v/>
      </c>
      <c r="N287" s="61">
        <v>66068309</v>
      </c>
      <c r="O287" s="61">
        <f t="shared" si="40"/>
        <v>0</v>
      </c>
      <c r="P287" s="62"/>
      <c r="Q287" s="63"/>
      <c r="R287" s="20">
        <f t="shared" si="35"/>
        <v>1</v>
      </c>
      <c r="S287" s="20">
        <f t="shared" si="41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7"/>
        <v/>
      </c>
      <c r="J288" s="59" t="str">
        <f t="shared" si="38"/>
        <v/>
      </c>
      <c r="K288" s="60" t="str">
        <f t="shared" si="42"/>
        <v/>
      </c>
      <c r="L288" s="59" t="str">
        <f t="shared" si="39"/>
        <v/>
      </c>
      <c r="M288" s="60" t="str">
        <f t="shared" si="43"/>
        <v/>
      </c>
      <c r="N288" s="61">
        <v>66068309</v>
      </c>
      <c r="O288" s="61">
        <f t="shared" si="40"/>
        <v>0</v>
      </c>
      <c r="P288" s="62"/>
      <c r="Q288" s="64"/>
      <c r="R288" s="20">
        <f t="shared" si="35"/>
        <v>1</v>
      </c>
      <c r="S288" s="20">
        <f t="shared" si="41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7"/>
        <v/>
      </c>
      <c r="J289" s="59" t="str">
        <f t="shared" si="38"/>
        <v/>
      </c>
      <c r="K289" s="60" t="str">
        <f t="shared" si="42"/>
        <v/>
      </c>
      <c r="L289" s="59" t="str">
        <f t="shared" si="39"/>
        <v/>
      </c>
      <c r="M289" s="60" t="str">
        <f t="shared" si="43"/>
        <v/>
      </c>
      <c r="N289" s="61">
        <v>66068309</v>
      </c>
      <c r="O289" s="61">
        <f t="shared" si="40"/>
        <v>0</v>
      </c>
      <c r="P289" s="62"/>
      <c r="Q289" s="64"/>
      <c r="R289" s="20">
        <f t="shared" si="35"/>
        <v>1</v>
      </c>
      <c r="S289" s="20">
        <f t="shared" si="41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7"/>
        <v/>
      </c>
      <c r="J290" s="59" t="str">
        <f t="shared" si="38"/>
        <v/>
      </c>
      <c r="K290" s="60" t="str">
        <f t="shared" si="42"/>
        <v/>
      </c>
      <c r="L290" s="59" t="str">
        <f t="shared" si="39"/>
        <v/>
      </c>
      <c r="M290" s="60" t="str">
        <f t="shared" si="43"/>
        <v/>
      </c>
      <c r="N290" s="61">
        <v>66068309</v>
      </c>
      <c r="O290" s="61">
        <f t="shared" si="40"/>
        <v>0</v>
      </c>
      <c r="P290" s="62"/>
      <c r="Q290" s="63"/>
      <c r="R290" s="20">
        <f t="shared" si="35"/>
        <v>1</v>
      </c>
      <c r="S290" s="20">
        <f t="shared" si="41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7"/>
        <v/>
      </c>
      <c r="J291" s="59" t="str">
        <f t="shared" si="38"/>
        <v/>
      </c>
      <c r="K291" s="60" t="str">
        <f t="shared" si="42"/>
        <v/>
      </c>
      <c r="L291" s="59" t="str">
        <f t="shared" si="39"/>
        <v/>
      </c>
      <c r="M291" s="60" t="str">
        <f t="shared" si="43"/>
        <v/>
      </c>
      <c r="N291" s="61">
        <v>66068309</v>
      </c>
      <c r="O291" s="61">
        <f t="shared" si="40"/>
        <v>0</v>
      </c>
      <c r="P291" s="62"/>
      <c r="Q291" s="63"/>
      <c r="R291" s="20">
        <f t="shared" si="35"/>
        <v>1</v>
      </c>
      <c r="S291" s="20">
        <f t="shared" si="41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7"/>
        <v/>
      </c>
      <c r="J292" s="59" t="str">
        <f t="shared" si="38"/>
        <v/>
      </c>
      <c r="K292" s="60" t="str">
        <f t="shared" si="42"/>
        <v/>
      </c>
      <c r="L292" s="59" t="str">
        <f t="shared" si="39"/>
        <v/>
      </c>
      <c r="M292" s="60" t="str">
        <f t="shared" si="43"/>
        <v/>
      </c>
      <c r="N292" s="61">
        <v>66068309</v>
      </c>
      <c r="O292" s="61">
        <f t="shared" si="40"/>
        <v>0</v>
      </c>
      <c r="P292" s="62"/>
      <c r="Q292" s="63"/>
      <c r="R292" s="20">
        <f t="shared" si="35"/>
        <v>1</v>
      </c>
      <c r="S292" s="20">
        <f t="shared" si="41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7"/>
        <v/>
      </c>
      <c r="J293" s="59" t="str">
        <f t="shared" si="38"/>
        <v/>
      </c>
      <c r="K293" s="60" t="str">
        <f t="shared" si="42"/>
        <v/>
      </c>
      <c r="L293" s="59" t="str">
        <f t="shared" si="39"/>
        <v/>
      </c>
      <c r="M293" s="60" t="str">
        <f t="shared" si="43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41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7"/>
        <v/>
      </c>
      <c r="J294" s="59" t="str">
        <f t="shared" si="38"/>
        <v/>
      </c>
      <c r="K294" s="60" t="str">
        <f t="shared" si="42"/>
        <v/>
      </c>
      <c r="L294" s="59" t="str">
        <f t="shared" si="39"/>
        <v/>
      </c>
      <c r="M294" s="60" t="str">
        <f t="shared" si="43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41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7"/>
        <v/>
      </c>
      <c r="J295" s="59" t="str">
        <f t="shared" si="38"/>
        <v/>
      </c>
      <c r="K295" s="60" t="str">
        <f t="shared" si="42"/>
        <v/>
      </c>
      <c r="L295" s="59" t="str">
        <f t="shared" si="39"/>
        <v/>
      </c>
      <c r="M295" s="60" t="str">
        <f t="shared" si="43"/>
        <v/>
      </c>
      <c r="N295" s="61">
        <v>66068309</v>
      </c>
      <c r="O295" s="61">
        <f t="shared" si="40"/>
        <v>0</v>
      </c>
      <c r="P295" s="202" t="s">
        <v>67</v>
      </c>
      <c r="Q295" s="203"/>
      <c r="R295" s="20">
        <f t="shared" si="35"/>
        <v>1</v>
      </c>
      <c r="S295" s="20">
        <f t="shared" si="41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7"/>
        <v/>
      </c>
      <c r="J296" s="59" t="str">
        <f t="shared" si="38"/>
        <v/>
      </c>
      <c r="K296" s="60" t="str">
        <f t="shared" si="42"/>
        <v/>
      </c>
      <c r="L296" s="59" t="str">
        <f t="shared" si="39"/>
        <v/>
      </c>
      <c r="M296" s="60" t="str">
        <f t="shared" si="43"/>
        <v/>
      </c>
      <c r="N296" s="61">
        <v>66068309</v>
      </c>
      <c r="O296" s="61">
        <f t="shared" si="40"/>
        <v>0</v>
      </c>
      <c r="P296" s="204"/>
      <c r="Q296" s="205"/>
      <c r="R296" s="20">
        <f t="shared" si="35"/>
        <v>1</v>
      </c>
      <c r="S296" s="20">
        <f t="shared" si="41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7"/>
        <v/>
      </c>
      <c r="J297" s="59" t="str">
        <f t="shared" si="38"/>
        <v/>
      </c>
      <c r="K297" s="60" t="str">
        <f t="shared" si="42"/>
        <v/>
      </c>
      <c r="L297" s="59" t="str">
        <f t="shared" si="39"/>
        <v/>
      </c>
      <c r="M297" s="60" t="str">
        <f t="shared" si="43"/>
        <v/>
      </c>
      <c r="N297" s="61">
        <v>66068309</v>
      </c>
      <c r="O297" s="61">
        <f t="shared" si="40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41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7"/>
        <v/>
      </c>
      <c r="J298" s="59" t="str">
        <f t="shared" si="38"/>
        <v/>
      </c>
      <c r="K298" s="60" t="str">
        <f t="shared" si="42"/>
        <v/>
      </c>
      <c r="L298" s="59" t="str">
        <f t="shared" si="39"/>
        <v/>
      </c>
      <c r="M298" s="60" t="str">
        <f t="shared" si="43"/>
        <v/>
      </c>
      <c r="N298" s="61">
        <v>66068309</v>
      </c>
      <c r="O298" s="61">
        <f t="shared" si="40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5"/>
        <v>1</v>
      </c>
      <c r="S298" s="20">
        <f t="shared" si="41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7"/>
        <v/>
      </c>
      <c r="J299" s="59" t="str">
        <f t="shared" si="38"/>
        <v/>
      </c>
      <c r="K299" s="60" t="str">
        <f t="shared" si="42"/>
        <v/>
      </c>
      <c r="L299" s="59" t="str">
        <f t="shared" si="39"/>
        <v/>
      </c>
      <c r="M299" s="60" t="str">
        <f t="shared" si="43"/>
        <v/>
      </c>
      <c r="N299" s="61">
        <v>66068309</v>
      </c>
      <c r="O299" s="61">
        <f t="shared" si="40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5"/>
        <v>1</v>
      </c>
      <c r="S299" s="20">
        <f t="shared" si="41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7"/>
        <v/>
      </c>
      <c r="J300" s="59" t="str">
        <f t="shared" si="38"/>
        <v/>
      </c>
      <c r="K300" s="60" t="str">
        <f t="shared" si="42"/>
        <v/>
      </c>
      <c r="L300" s="59" t="str">
        <f t="shared" si="39"/>
        <v/>
      </c>
      <c r="M300" s="60" t="str">
        <f t="shared" si="43"/>
        <v/>
      </c>
      <c r="N300" s="61">
        <v>66068309</v>
      </c>
      <c r="O300" s="61">
        <f t="shared" si="40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41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7"/>
        <v/>
      </c>
      <c r="J301" s="59" t="str">
        <f t="shared" si="38"/>
        <v/>
      </c>
      <c r="K301" s="60" t="str">
        <f t="shared" si="42"/>
        <v/>
      </c>
      <c r="L301" s="59" t="str">
        <f t="shared" si="39"/>
        <v/>
      </c>
      <c r="M301" s="60" t="str">
        <f t="shared" si="43"/>
        <v/>
      </c>
      <c r="N301" s="61">
        <v>66068309</v>
      </c>
      <c r="O301" s="61">
        <f t="shared" si="40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41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7"/>
        <v/>
      </c>
      <c r="J302" s="59" t="str">
        <f t="shared" si="38"/>
        <v/>
      </c>
      <c r="K302" s="60" t="str">
        <f t="shared" si="42"/>
        <v/>
      </c>
      <c r="L302" s="59" t="str">
        <f t="shared" si="39"/>
        <v/>
      </c>
      <c r="M302" s="60" t="str">
        <f t="shared" si="43"/>
        <v/>
      </c>
      <c r="N302" s="61">
        <v>66068309</v>
      </c>
      <c r="O302" s="61">
        <f t="shared" si="40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41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7"/>
        <v/>
      </c>
      <c r="J303" s="59" t="str">
        <f t="shared" si="38"/>
        <v/>
      </c>
      <c r="K303" s="60" t="str">
        <f t="shared" si="42"/>
        <v/>
      </c>
      <c r="L303" s="59" t="str">
        <f t="shared" si="39"/>
        <v/>
      </c>
      <c r="M303" s="60" t="str">
        <f t="shared" si="43"/>
        <v/>
      </c>
      <c r="N303" s="61">
        <v>66068309</v>
      </c>
      <c r="O303" s="61">
        <f t="shared" si="40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41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7"/>
        <v/>
      </c>
      <c r="J304" s="59" t="str">
        <f t="shared" si="38"/>
        <v/>
      </c>
      <c r="K304" s="60" t="str">
        <f t="shared" si="42"/>
        <v/>
      </c>
      <c r="L304" s="59" t="str">
        <f t="shared" si="39"/>
        <v/>
      </c>
      <c r="M304" s="60" t="str">
        <f t="shared" si="43"/>
        <v/>
      </c>
      <c r="N304" s="61">
        <v>66068309</v>
      </c>
      <c r="O304" s="61">
        <f t="shared" si="40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41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7"/>
        <v/>
      </c>
      <c r="J305" s="59" t="str">
        <f t="shared" si="38"/>
        <v/>
      </c>
      <c r="K305" s="60" t="str">
        <f t="shared" si="42"/>
        <v/>
      </c>
      <c r="L305" s="59" t="str">
        <f t="shared" si="39"/>
        <v/>
      </c>
      <c r="M305" s="60" t="str">
        <f t="shared" si="43"/>
        <v/>
      </c>
      <c r="N305" s="61">
        <v>66068309</v>
      </c>
      <c r="O305" s="61">
        <f t="shared" si="40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41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7"/>
        <v/>
      </c>
      <c r="J306" s="59" t="str">
        <f t="shared" si="38"/>
        <v/>
      </c>
      <c r="K306" s="60" t="str">
        <f t="shared" si="42"/>
        <v/>
      </c>
      <c r="L306" s="59" t="str">
        <f t="shared" si="39"/>
        <v/>
      </c>
      <c r="M306" s="60" t="str">
        <f t="shared" si="43"/>
        <v/>
      </c>
      <c r="N306" s="61">
        <v>66068309</v>
      </c>
      <c r="O306" s="61">
        <f t="shared" si="40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41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7"/>
        <v/>
      </c>
      <c r="J307" s="90" t="str">
        <f t="shared" si="38"/>
        <v/>
      </c>
      <c r="K307" s="60" t="str">
        <f t="shared" si="42"/>
        <v/>
      </c>
      <c r="L307" s="90" t="str">
        <f t="shared" si="39"/>
        <v/>
      </c>
      <c r="M307" s="60" t="str">
        <f t="shared" si="43"/>
        <v/>
      </c>
      <c r="N307" s="92">
        <v>66068309</v>
      </c>
      <c r="O307" s="93">
        <f t="shared" si="40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41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7"/>
        <v/>
      </c>
      <c r="J308" s="59" t="str">
        <f t="shared" si="38"/>
        <v/>
      </c>
      <c r="K308" s="60" t="str">
        <f t="shared" si="42"/>
        <v/>
      </c>
      <c r="L308" s="59" t="str">
        <f t="shared" si="39"/>
        <v/>
      </c>
      <c r="M308" s="60" t="str">
        <f t="shared" si="43"/>
        <v/>
      </c>
      <c r="N308" s="61">
        <v>66068309</v>
      </c>
      <c r="O308" s="61">
        <f t="shared" si="40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41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7"/>
        <v/>
      </c>
      <c r="J309" s="59" t="str">
        <f t="shared" si="38"/>
        <v/>
      </c>
      <c r="K309" s="60" t="str">
        <f t="shared" si="42"/>
        <v/>
      </c>
      <c r="L309" s="59" t="str">
        <f t="shared" si="39"/>
        <v/>
      </c>
      <c r="M309" s="60" t="str">
        <f t="shared" si="43"/>
        <v/>
      </c>
      <c r="N309" s="61">
        <v>66068309</v>
      </c>
      <c r="O309" s="61">
        <f t="shared" si="40"/>
        <v>0</v>
      </c>
      <c r="P309" s="130"/>
      <c r="Q309" s="130"/>
      <c r="R309" s="20">
        <f t="shared" si="35"/>
        <v>1</v>
      </c>
      <c r="S309" s="20">
        <f t="shared" si="41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7"/>
        <v/>
      </c>
      <c r="J310" s="59" t="str">
        <f>IF(E310="","",+(E310-E309)*4140)</f>
        <v/>
      </c>
      <c r="K310" s="60" t="str">
        <f t="shared" si="42"/>
        <v/>
      </c>
      <c r="L310" s="59" t="str">
        <f t="shared" si="39"/>
        <v/>
      </c>
      <c r="M310" s="60" t="str">
        <f t="shared" si="43"/>
        <v/>
      </c>
      <c r="N310" s="61">
        <v>66068309</v>
      </c>
      <c r="O310" s="61">
        <f t="shared" si="40"/>
        <v>0</v>
      </c>
      <c r="P310" s="100"/>
      <c r="Q310" s="101"/>
      <c r="R310" s="20">
        <f>IF(N310="",0,1)</f>
        <v>1</v>
      </c>
      <c r="S310" s="20">
        <f t="shared" si="41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7"/>
        <v/>
      </c>
      <c r="J311" s="59" t="str">
        <f t="shared" si="38"/>
        <v/>
      </c>
      <c r="K311" s="60" t="str">
        <f t="shared" si="42"/>
        <v/>
      </c>
      <c r="L311" s="59" t="str">
        <f t="shared" si="39"/>
        <v/>
      </c>
      <c r="M311" s="60" t="str">
        <f t="shared" si="43"/>
        <v/>
      </c>
      <c r="N311" s="61">
        <v>66068309</v>
      </c>
      <c r="O311" s="61">
        <f t="shared" si="40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7"/>
        <v/>
      </c>
      <c r="J312" s="59" t="str">
        <f t="shared" si="38"/>
        <v/>
      </c>
      <c r="K312" s="60" t="str">
        <f t="shared" si="42"/>
        <v/>
      </c>
      <c r="L312" s="59" t="str">
        <f t="shared" si="39"/>
        <v/>
      </c>
      <c r="M312" s="60" t="str">
        <f t="shared" si="43"/>
        <v/>
      </c>
      <c r="N312" s="61">
        <v>66068309</v>
      </c>
      <c r="O312" s="61">
        <f t="shared" si="40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8"/>
        <v/>
      </c>
      <c r="K313" s="60" t="str">
        <f t="shared" si="42"/>
        <v/>
      </c>
      <c r="L313" s="59" t="str">
        <f t="shared" si="39"/>
        <v/>
      </c>
      <c r="M313" s="60" t="str">
        <f t="shared" si="43"/>
        <v/>
      </c>
      <c r="N313" s="61">
        <v>66068309</v>
      </c>
      <c r="O313" s="61">
        <f t="shared" si="40"/>
        <v>0</v>
      </c>
      <c r="P313" s="62"/>
      <c r="Q313" s="64"/>
      <c r="R313" s="20">
        <f t="shared" si="35"/>
        <v>1</v>
      </c>
      <c r="S313" s="20">
        <f t="shared" si="41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7"/>
        <v/>
      </c>
      <c r="J314" s="59" t="str">
        <f t="shared" si="38"/>
        <v/>
      </c>
      <c r="K314" s="60" t="str">
        <f t="shared" si="42"/>
        <v/>
      </c>
      <c r="L314" s="59" t="str">
        <f t="shared" si="39"/>
        <v/>
      </c>
      <c r="M314" s="60" t="str">
        <f t="shared" si="43"/>
        <v/>
      </c>
      <c r="N314" s="61">
        <v>66068309</v>
      </c>
      <c r="O314" s="61">
        <f t="shared" si="40"/>
        <v>0</v>
      </c>
      <c r="P314" s="62"/>
      <c r="Q314" s="64"/>
      <c r="R314" s="20">
        <f t="shared" si="35"/>
        <v>1</v>
      </c>
      <c r="S314" s="20">
        <f t="shared" si="41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7"/>
        <v/>
      </c>
      <c r="J315" s="59" t="str">
        <f t="shared" si="38"/>
        <v/>
      </c>
      <c r="K315" s="60" t="str">
        <f t="shared" si="42"/>
        <v/>
      </c>
      <c r="L315" s="59" t="str">
        <f t="shared" si="39"/>
        <v/>
      </c>
      <c r="M315" s="60" t="str">
        <f t="shared" si="43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41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7"/>
        <v/>
      </c>
      <c r="J316" s="59" t="str">
        <f t="shared" si="38"/>
        <v/>
      </c>
      <c r="K316" s="60" t="str">
        <f t="shared" si="42"/>
        <v/>
      </c>
      <c r="L316" s="59" t="str">
        <f t="shared" si="39"/>
        <v/>
      </c>
      <c r="M316" s="60" t="str">
        <f t="shared" si="43"/>
        <v/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41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7"/>
        <v/>
      </c>
      <c r="J317" s="59" t="str">
        <f t="shared" si="38"/>
        <v/>
      </c>
      <c r="K317" s="60" t="str">
        <f t="shared" si="42"/>
        <v/>
      </c>
      <c r="L317" s="59" t="str">
        <f t="shared" si="39"/>
        <v/>
      </c>
      <c r="M317" s="60" t="str">
        <f t="shared" si="43"/>
        <v/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41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7"/>
        <v/>
      </c>
      <c r="J318" s="59" t="str">
        <f t="shared" si="38"/>
        <v/>
      </c>
      <c r="K318" s="60" t="str">
        <f t="shared" si="42"/>
        <v/>
      </c>
      <c r="L318" s="59" t="str">
        <f t="shared" si="39"/>
        <v/>
      </c>
      <c r="M318" s="60" t="str">
        <f t="shared" si="43"/>
        <v/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41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7"/>
        <v/>
      </c>
      <c r="J319" s="59" t="str">
        <f t="shared" si="38"/>
        <v/>
      </c>
      <c r="K319" s="60" t="str">
        <f t="shared" si="42"/>
        <v/>
      </c>
      <c r="L319" s="59" t="str">
        <f t="shared" si="39"/>
        <v/>
      </c>
      <c r="M319" s="60" t="str">
        <f t="shared" si="43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41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7"/>
        <v/>
      </c>
      <c r="J320" s="59" t="str">
        <f t="shared" si="38"/>
        <v/>
      </c>
      <c r="K320" s="60" t="str">
        <f t="shared" si="42"/>
        <v/>
      </c>
      <c r="L320" s="59" t="str">
        <f t="shared" si="39"/>
        <v/>
      </c>
      <c r="M320" s="60" t="str">
        <f t="shared" si="43"/>
        <v/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41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7"/>
        <v/>
      </c>
      <c r="J321" s="59" t="str">
        <f t="shared" si="38"/>
        <v/>
      </c>
      <c r="K321" s="60" t="str">
        <f t="shared" si="42"/>
        <v/>
      </c>
      <c r="L321" s="59" t="str">
        <f t="shared" si="39"/>
        <v/>
      </c>
      <c r="M321" s="60" t="str">
        <f t="shared" si="43"/>
        <v/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41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7"/>
        <v/>
      </c>
      <c r="J322" s="59" t="str">
        <f t="shared" si="38"/>
        <v/>
      </c>
      <c r="K322" s="60" t="str">
        <f t="shared" si="42"/>
        <v/>
      </c>
      <c r="L322" s="59" t="str">
        <f t="shared" si="39"/>
        <v/>
      </c>
      <c r="M322" s="60" t="str">
        <f t="shared" si="43"/>
        <v/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41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7"/>
        <v/>
      </c>
      <c r="J323" s="59" t="str">
        <f t="shared" si="38"/>
        <v/>
      </c>
      <c r="K323" s="60" t="str">
        <f t="shared" si="42"/>
        <v/>
      </c>
      <c r="L323" s="59" t="str">
        <f t="shared" si="39"/>
        <v/>
      </c>
      <c r="M323" s="60" t="str">
        <f t="shared" si="43"/>
        <v/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41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7"/>
        <v/>
      </c>
      <c r="J324" s="59" t="str">
        <f t="shared" si="37"/>
        <v/>
      </c>
      <c r="K324" s="60" t="str">
        <f t="shared" si="42"/>
        <v/>
      </c>
      <c r="L324" s="59" t="str">
        <f t="shared" si="39"/>
        <v/>
      </c>
      <c r="M324" s="60" t="str">
        <f t="shared" si="43"/>
        <v/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41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6">IF(D325="","",+(D325-D324)*4140)</f>
        <v/>
      </c>
      <c r="J325" s="59" t="str">
        <f t="shared" si="46"/>
        <v/>
      </c>
      <c r="K325" s="60" t="str">
        <f t="shared" si="42"/>
        <v/>
      </c>
      <c r="L325" s="59" t="str">
        <f t="shared" ref="L325:L368" si="47">IF(F325="","",+(F325-F324)*4140)</f>
        <v/>
      </c>
      <c r="M325" s="60" t="str">
        <f t="shared" si="43"/>
        <v/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41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6"/>
        <v/>
      </c>
      <c r="J326" s="59" t="str">
        <f t="shared" si="46"/>
        <v/>
      </c>
      <c r="K326" s="60" t="str">
        <f t="shared" si="42"/>
        <v/>
      </c>
      <c r="L326" s="59" t="str">
        <f t="shared" si="47"/>
        <v/>
      </c>
      <c r="M326" s="60" t="str">
        <f t="shared" si="43"/>
        <v/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41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6"/>
        <v/>
      </c>
      <c r="J327" s="59" t="str">
        <f t="shared" si="46"/>
        <v/>
      </c>
      <c r="K327" s="60" t="str">
        <f t="shared" si="42"/>
        <v/>
      </c>
      <c r="L327" s="59" t="str">
        <f t="shared" si="47"/>
        <v/>
      </c>
      <c r="M327" s="60" t="str">
        <f t="shared" si="43"/>
        <v/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41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6"/>
        <v/>
      </c>
      <c r="J328" s="59" t="str">
        <f t="shared" si="46"/>
        <v/>
      </c>
      <c r="K328" s="60" t="str">
        <f t="shared" si="42"/>
        <v/>
      </c>
      <c r="L328" s="59" t="str">
        <f t="shared" si="47"/>
        <v/>
      </c>
      <c r="M328" s="60" t="str">
        <f t="shared" si="43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6"/>
        <v/>
      </c>
      <c r="J329" s="59" t="str">
        <f t="shared" si="46"/>
        <v/>
      </c>
      <c r="K329" s="60" t="str">
        <f t="shared" si="42"/>
        <v/>
      </c>
      <c r="L329" s="59" t="str">
        <f t="shared" si="47"/>
        <v/>
      </c>
      <c r="M329" s="60" t="str">
        <f t="shared" si="43"/>
        <v/>
      </c>
      <c r="N329" s="61">
        <v>66068309</v>
      </c>
      <c r="O329" s="61">
        <f t="shared" si="44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6"/>
        <v/>
      </c>
      <c r="J330" s="59" t="str">
        <f t="shared" si="46"/>
        <v/>
      </c>
      <c r="K330" s="60" t="str">
        <f t="shared" si="42"/>
        <v/>
      </c>
      <c r="L330" s="59" t="str">
        <f t="shared" si="47"/>
        <v/>
      </c>
      <c r="M330" s="60" t="str">
        <f t="shared" si="43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6"/>
        <v/>
      </c>
      <c r="J331" s="59" t="str">
        <f t="shared" si="46"/>
        <v/>
      </c>
      <c r="K331" s="60" t="str">
        <f t="shared" si="42"/>
        <v/>
      </c>
      <c r="L331" s="59" t="str">
        <f t="shared" si="47"/>
        <v/>
      </c>
      <c r="M331" s="60" t="str">
        <f t="shared" si="43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6"/>
        <v/>
      </c>
      <c r="J332" s="59" t="str">
        <f t="shared" si="46"/>
        <v/>
      </c>
      <c r="K332" s="60" t="str">
        <f t="shared" si="42"/>
        <v/>
      </c>
      <c r="L332" s="59" t="str">
        <f t="shared" si="47"/>
        <v/>
      </c>
      <c r="M332" s="60" t="str">
        <f t="shared" si="43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6"/>
        <v/>
      </c>
      <c r="J333" s="59" t="str">
        <f t="shared" si="46"/>
        <v/>
      </c>
      <c r="K333" s="60" t="str">
        <f t="shared" ref="K333:K337" si="49">IF(J333="","",+(J333/I333))</f>
        <v/>
      </c>
      <c r="L333" s="59" t="str">
        <f t="shared" si="47"/>
        <v/>
      </c>
      <c r="M333" s="60" t="str">
        <f t="shared" ref="M333:M362" si="50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6"/>
        <v/>
      </c>
      <c r="J334" s="59" t="str">
        <f t="shared" si="46"/>
        <v/>
      </c>
      <c r="K334" s="60" t="str">
        <f t="shared" si="49"/>
        <v/>
      </c>
      <c r="L334" s="59" t="str">
        <f t="shared" si="47"/>
        <v/>
      </c>
      <c r="M334" s="60" t="str">
        <f t="shared" si="50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6"/>
        <v/>
      </c>
      <c r="J335" s="59" t="str">
        <f t="shared" si="46"/>
        <v/>
      </c>
      <c r="K335" s="60" t="str">
        <f t="shared" si="49"/>
        <v/>
      </c>
      <c r="L335" s="59" t="str">
        <f t="shared" si="47"/>
        <v/>
      </c>
      <c r="M335" s="60" t="str">
        <f t="shared" si="50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6"/>
        <v/>
      </c>
      <c r="J336" s="59" t="str">
        <f t="shared" si="46"/>
        <v/>
      </c>
      <c r="K336" s="60" t="str">
        <f t="shared" si="49"/>
        <v/>
      </c>
      <c r="L336" s="59" t="str">
        <f t="shared" si="47"/>
        <v/>
      </c>
      <c r="M336" s="60" t="str">
        <f t="shared" si="50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6"/>
        <v/>
      </c>
      <c r="J337" s="90" t="str">
        <f t="shared" si="46"/>
        <v/>
      </c>
      <c r="K337" s="60" t="str">
        <f t="shared" si="49"/>
        <v/>
      </c>
      <c r="L337" s="90" t="str">
        <f t="shared" si="47"/>
        <v/>
      </c>
      <c r="M337" s="60" t="str">
        <f t="shared" si="50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6"/>
        <v/>
      </c>
      <c r="J338" s="59" t="str">
        <f t="shared" si="46"/>
        <v/>
      </c>
      <c r="K338" s="60" t="str">
        <f t="shared" ref="K338:K368" si="51">IF(J338="","",+(J338/I338))</f>
        <v/>
      </c>
      <c r="L338" s="59" t="str">
        <f t="shared" si="47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6"/>
        <v/>
      </c>
      <c r="J339" s="59" t="str">
        <f t="shared" si="46"/>
        <v/>
      </c>
      <c r="K339" s="60" t="str">
        <f t="shared" si="51"/>
        <v/>
      </c>
      <c r="L339" s="59" t="str">
        <f t="shared" si="47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6"/>
        <v/>
      </c>
      <c r="J340" s="59" t="str">
        <f t="shared" si="46"/>
        <v/>
      </c>
      <c r="K340" s="60" t="str">
        <f t="shared" si="51"/>
        <v/>
      </c>
      <c r="L340" s="59" t="str">
        <f t="shared" si="47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6"/>
        <v/>
      </c>
      <c r="J341" s="59" t="str">
        <f t="shared" si="46"/>
        <v/>
      </c>
      <c r="K341" s="60" t="str">
        <f t="shared" si="51"/>
        <v/>
      </c>
      <c r="L341" s="59" t="str">
        <f t="shared" si="47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6"/>
        <v/>
      </c>
      <c r="J342" s="59" t="str">
        <f t="shared" si="46"/>
        <v/>
      </c>
      <c r="K342" s="60" t="str">
        <f t="shared" si="51"/>
        <v/>
      </c>
      <c r="L342" s="59" t="str">
        <f t="shared" si="47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6"/>
        <v/>
      </c>
      <c r="J343" s="59" t="str">
        <f t="shared" si="46"/>
        <v/>
      </c>
      <c r="K343" s="60" t="str">
        <f t="shared" si="51"/>
        <v/>
      </c>
      <c r="L343" s="59" t="str">
        <f t="shared" si="47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6"/>
        <v/>
      </c>
      <c r="J344" s="59" t="str">
        <f t="shared" si="46"/>
        <v/>
      </c>
      <c r="K344" s="60" t="str">
        <f t="shared" si="51"/>
        <v/>
      </c>
      <c r="L344" s="59" t="str">
        <f t="shared" si="47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6"/>
        <v/>
      </c>
      <c r="J345" s="59" t="str">
        <f t="shared" si="46"/>
        <v/>
      </c>
      <c r="K345" s="60" t="str">
        <f t="shared" si="51"/>
        <v/>
      </c>
      <c r="L345" s="59" t="str">
        <f t="shared" si="47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6"/>
        <v/>
      </c>
      <c r="J346" s="59" t="str">
        <f t="shared" si="46"/>
        <v/>
      </c>
      <c r="K346" s="60" t="str">
        <f t="shared" si="51"/>
        <v/>
      </c>
      <c r="L346" s="59" t="str">
        <f t="shared" si="47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6"/>
        <v/>
      </c>
      <c r="J347" s="59" t="str">
        <f t="shared" si="46"/>
        <v/>
      </c>
      <c r="K347" s="60" t="str">
        <f t="shared" si="51"/>
        <v/>
      </c>
      <c r="L347" s="59" t="str">
        <f t="shared" si="47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6"/>
        <v/>
      </c>
      <c r="J348" s="59" t="str">
        <f t="shared" si="46"/>
        <v/>
      </c>
      <c r="K348" s="60" t="str">
        <f t="shared" si="51"/>
        <v/>
      </c>
      <c r="L348" s="59" t="str">
        <f t="shared" si="47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6"/>
        <v/>
      </c>
      <c r="J349" s="59" t="str">
        <f t="shared" si="46"/>
        <v/>
      </c>
      <c r="K349" s="60" t="str">
        <f t="shared" si="51"/>
        <v/>
      </c>
      <c r="L349" s="59" t="str">
        <f t="shared" si="47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6"/>
        <v/>
      </c>
      <c r="J350" s="59" t="str">
        <f t="shared" si="46"/>
        <v/>
      </c>
      <c r="K350" s="60" t="str">
        <f t="shared" si="51"/>
        <v/>
      </c>
      <c r="L350" s="59" t="str">
        <f t="shared" si="47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6"/>
        <v/>
      </c>
      <c r="J351" s="59" t="str">
        <f t="shared" si="46"/>
        <v/>
      </c>
      <c r="K351" s="60" t="str">
        <f t="shared" si="51"/>
        <v/>
      </c>
      <c r="L351" s="59" t="str">
        <f t="shared" si="47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6"/>
        <v/>
      </c>
      <c r="J352" s="59" t="str">
        <f t="shared" si="46"/>
        <v/>
      </c>
      <c r="K352" s="60" t="str">
        <f t="shared" si="51"/>
        <v/>
      </c>
      <c r="L352" s="59" t="str">
        <f t="shared" si="47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6"/>
        <v/>
      </c>
      <c r="J353" s="59" t="str">
        <f t="shared" si="46"/>
        <v/>
      </c>
      <c r="K353" s="60" t="str">
        <f t="shared" si="51"/>
        <v/>
      </c>
      <c r="L353" s="59" t="str">
        <f t="shared" si="47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6"/>
        <v/>
      </c>
      <c r="J354" s="59" t="str">
        <f t="shared" si="46"/>
        <v/>
      </c>
      <c r="K354" s="60" t="str">
        <f t="shared" si="51"/>
        <v/>
      </c>
      <c r="L354" s="59" t="str">
        <f t="shared" si="47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6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7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6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7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6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7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6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7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6"/>
        <v/>
      </c>
      <c r="J359" s="59" t="str">
        <f t="shared" si="46"/>
        <v/>
      </c>
      <c r="K359" s="60" t="str">
        <f t="shared" si="51"/>
        <v/>
      </c>
      <c r="L359" s="59" t="str">
        <f t="shared" si="47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6"/>
        <v/>
      </c>
      <c r="J360" s="59" t="str">
        <f t="shared" si="46"/>
        <v/>
      </c>
      <c r="K360" s="60" t="str">
        <f t="shared" si="51"/>
        <v/>
      </c>
      <c r="L360" s="59" t="str">
        <f t="shared" si="47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6"/>
        <v/>
      </c>
      <c r="J361" s="59" t="str">
        <f t="shared" si="46"/>
        <v/>
      </c>
      <c r="K361" s="60" t="str">
        <f t="shared" si="51"/>
        <v/>
      </c>
      <c r="L361" s="59" t="str">
        <f t="shared" si="47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6"/>
        <v/>
      </c>
      <c r="J362" s="59" t="str">
        <f t="shared" si="46"/>
        <v/>
      </c>
      <c r="K362" s="60" t="str">
        <f t="shared" si="51"/>
        <v/>
      </c>
      <c r="L362" s="59" t="str">
        <f t="shared" si="47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6"/>
        <v/>
      </c>
      <c r="J363" s="59" t="str">
        <f t="shared" si="46"/>
        <v/>
      </c>
      <c r="K363" s="60" t="str">
        <f t="shared" si="51"/>
        <v/>
      </c>
      <c r="L363" s="59" t="str">
        <f t="shared" si="47"/>
        <v/>
      </c>
      <c r="M363" s="60" t="str">
        <f t="shared" ref="M363:M368" si="52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6"/>
        <v/>
      </c>
      <c r="J364" s="59" t="str">
        <f t="shared" si="46"/>
        <v/>
      </c>
      <c r="K364" s="60" t="str">
        <f t="shared" si="51"/>
        <v/>
      </c>
      <c r="L364" s="59" t="str">
        <f t="shared" si="47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6"/>
        <v/>
      </c>
      <c r="J365" s="59" t="str">
        <f t="shared" si="46"/>
        <v/>
      </c>
      <c r="K365" s="60" t="str">
        <f t="shared" si="51"/>
        <v/>
      </c>
      <c r="L365" s="59" t="str">
        <f t="shared" si="47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6"/>
        <v/>
      </c>
      <c r="K366" s="60" t="str">
        <f t="shared" si="51"/>
        <v/>
      </c>
      <c r="L366" s="59" t="str">
        <f t="shared" si="47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6"/>
        <v/>
      </c>
      <c r="J367" s="59" t="str">
        <f t="shared" si="46"/>
        <v/>
      </c>
      <c r="K367" s="60" t="str">
        <f t="shared" si="51"/>
        <v/>
      </c>
      <c r="L367" s="59" t="str">
        <f t="shared" si="47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6"/>
        <v/>
      </c>
      <c r="J368" s="90" t="str">
        <f t="shared" si="46"/>
        <v/>
      </c>
      <c r="K368" s="91" t="str">
        <f t="shared" si="51"/>
        <v/>
      </c>
      <c r="L368" s="90" t="str">
        <f t="shared" si="47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6527218.7399999984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2021-09-09T06:07:34Z</dcterms:modified>
  <cp:category/>
  <cp:contentStatus/>
</cp:coreProperties>
</file>