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-120" windowWidth="20730" windowHeight="11760" tabRatio="935"/>
  </bookViews>
  <sheets>
    <sheet name="TOTAL" sheetId="17" r:id="rId1"/>
    <sheet name="Maldives at LG Daily" sheetId="18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Diesel consumption" sheetId="9" r:id="rId9"/>
    <sheet name="WATER" sheetId="10" r:id="rId10"/>
    <sheet name="SOLAR METER READING" sheetId="11" r:id="rId11"/>
    <sheet name="FEEDER Consumption " sheetId="12" r:id="rId12"/>
    <sheet name="Gas-2" sheetId="8" r:id="rId13"/>
    <sheet name="Focus Data" sheetId="2" r:id="rId14"/>
    <sheet name="KWH Summary" sheetId="15" r:id="rId15"/>
    <sheet name="WATER VILLA PRJECT" sheetId="14" r:id="rId16"/>
    <sheet name="FEEDER summry" sheetId="13" r:id="rId17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8" i="18" l="1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6" i="18"/>
  <c r="G7" i="18"/>
  <c r="G5" i="18"/>
  <c r="G4" i="18"/>
  <c r="V11" i="10"/>
  <c r="V12" i="10"/>
  <c r="V13" i="10"/>
  <c r="V14" i="10"/>
  <c r="V15" i="10"/>
  <c r="V16" i="10"/>
  <c r="V17" i="10"/>
  <c r="V18" i="10"/>
  <c r="V19" i="10"/>
  <c r="V20" i="10"/>
  <c r="V21" i="10"/>
  <c r="V22" i="10"/>
  <c r="V23" i="10"/>
  <c r="V24" i="10"/>
  <c r="V25" i="10"/>
  <c r="V26" i="10"/>
  <c r="V27" i="10"/>
  <c r="V28" i="10"/>
  <c r="V29" i="10"/>
  <c r="V30" i="10"/>
  <c r="V31" i="10"/>
  <c r="V32" i="10"/>
  <c r="V33" i="10"/>
  <c r="V34" i="10"/>
  <c r="V35" i="10"/>
  <c r="V36" i="10"/>
  <c r="V7" i="10"/>
  <c r="V8" i="10"/>
  <c r="V9" i="10"/>
  <c r="V10" i="10"/>
  <c r="V6" i="10"/>
  <c r="Q36" i="10"/>
  <c r="S36" i="10" s="1"/>
  <c r="Q35" i="10"/>
  <c r="S35" i="10" s="1"/>
  <c r="Q34" i="10"/>
  <c r="S34" i="10" s="1"/>
  <c r="Q33" i="10"/>
  <c r="S33" i="10" s="1"/>
  <c r="Q32" i="10"/>
  <c r="S32" i="10" s="1"/>
  <c r="Q31" i="10"/>
  <c r="S31" i="10" s="1"/>
  <c r="Q30" i="10"/>
  <c r="S30" i="10" s="1"/>
  <c r="Q29" i="10"/>
  <c r="S29" i="10" s="1"/>
  <c r="Q28" i="10"/>
  <c r="S28" i="10" s="1"/>
  <c r="Q27" i="10"/>
  <c r="S27" i="10" s="1"/>
  <c r="Q26" i="10"/>
  <c r="S26" i="10" s="1"/>
  <c r="Q25" i="10"/>
  <c r="S25" i="10" s="1"/>
  <c r="Q24" i="10"/>
  <c r="S24" i="10" s="1"/>
  <c r="Q23" i="10"/>
  <c r="S23" i="10" s="1"/>
  <c r="Q22" i="10"/>
  <c r="S22" i="10" s="1"/>
  <c r="Q21" i="10"/>
  <c r="S21" i="10" s="1"/>
  <c r="Q20" i="10"/>
  <c r="S20" i="10" s="1"/>
  <c r="Q19" i="10"/>
  <c r="S19" i="10" s="1"/>
  <c r="Q18" i="10"/>
  <c r="S18" i="10" s="1"/>
  <c r="Q17" i="10"/>
  <c r="S17" i="10" s="1"/>
  <c r="Q16" i="10"/>
  <c r="S16" i="10" s="1"/>
  <c r="Q15" i="10"/>
  <c r="S15" i="10" s="1"/>
  <c r="Q14" i="10"/>
  <c r="S14" i="10" s="1"/>
  <c r="Q13" i="10"/>
  <c r="S13" i="10" s="1"/>
  <c r="Q12" i="10"/>
  <c r="S12" i="10" s="1"/>
  <c r="Q11" i="10"/>
  <c r="S11" i="10" s="1"/>
  <c r="Q10" i="10"/>
  <c r="S10" i="10" s="1"/>
  <c r="Q9" i="10"/>
  <c r="S9" i="10" s="1"/>
  <c r="Q8" i="10"/>
  <c r="S8" i="10" s="1"/>
  <c r="Q7" i="10"/>
  <c r="S7" i="10" s="1"/>
  <c r="S6" i="10"/>
  <c r="L36" i="10"/>
  <c r="N36" i="10" s="1"/>
  <c r="L35" i="10"/>
  <c r="N35" i="10" s="1"/>
  <c r="L34" i="10"/>
  <c r="N34" i="10" s="1"/>
  <c r="L33" i="10"/>
  <c r="N33" i="10" s="1"/>
  <c r="L32" i="10"/>
  <c r="N32" i="10" s="1"/>
  <c r="L31" i="10"/>
  <c r="N31" i="10" s="1"/>
  <c r="L30" i="10"/>
  <c r="N30" i="10" s="1"/>
  <c r="L29" i="10"/>
  <c r="N29" i="10" s="1"/>
  <c r="L28" i="10"/>
  <c r="N28" i="10" s="1"/>
  <c r="L27" i="10"/>
  <c r="N27" i="10" s="1"/>
  <c r="L26" i="10"/>
  <c r="N26" i="10" s="1"/>
  <c r="L25" i="10"/>
  <c r="N25" i="10" s="1"/>
  <c r="L24" i="10"/>
  <c r="N24" i="10" s="1"/>
  <c r="N23" i="10"/>
  <c r="L23" i="10"/>
  <c r="L22" i="10"/>
  <c r="N22" i="10" s="1"/>
  <c r="L21" i="10"/>
  <c r="N21" i="10" s="1"/>
  <c r="L20" i="10"/>
  <c r="N20" i="10" s="1"/>
  <c r="L19" i="10"/>
  <c r="N19" i="10" s="1"/>
  <c r="L18" i="10"/>
  <c r="N18" i="10" s="1"/>
  <c r="L17" i="10"/>
  <c r="N17" i="10" s="1"/>
  <c r="L16" i="10"/>
  <c r="N16" i="10" s="1"/>
  <c r="L15" i="10"/>
  <c r="N15" i="10" s="1"/>
  <c r="L14" i="10"/>
  <c r="N14" i="10" s="1"/>
  <c r="L13" i="10"/>
  <c r="N13" i="10" s="1"/>
  <c r="L12" i="10"/>
  <c r="N12" i="10" s="1"/>
  <c r="L11" i="10"/>
  <c r="N11" i="10" s="1"/>
  <c r="L10" i="10"/>
  <c r="N10" i="10" s="1"/>
  <c r="L9" i="10"/>
  <c r="N9" i="10" s="1"/>
  <c r="L8" i="10"/>
  <c r="N8" i="10" s="1"/>
  <c r="L7" i="10"/>
  <c r="N7" i="10" s="1"/>
  <c r="N6" i="10"/>
  <c r="G36" i="10"/>
  <c r="I36" i="10" s="1"/>
  <c r="G35" i="10"/>
  <c r="I35" i="10" s="1"/>
  <c r="G34" i="10"/>
  <c r="I34" i="10" s="1"/>
  <c r="G33" i="10"/>
  <c r="I33" i="10" s="1"/>
  <c r="G32" i="10"/>
  <c r="I32" i="10" s="1"/>
  <c r="G31" i="10"/>
  <c r="I31" i="10" s="1"/>
  <c r="G30" i="10"/>
  <c r="I30" i="10" s="1"/>
  <c r="G29" i="10"/>
  <c r="I29" i="10" s="1"/>
  <c r="G28" i="10"/>
  <c r="I28" i="10" s="1"/>
  <c r="G27" i="10"/>
  <c r="I27" i="10" s="1"/>
  <c r="G26" i="10"/>
  <c r="I26" i="10" s="1"/>
  <c r="G25" i="10"/>
  <c r="I25" i="10" s="1"/>
  <c r="G24" i="10"/>
  <c r="I24" i="10" s="1"/>
  <c r="G23" i="10"/>
  <c r="I23" i="10" s="1"/>
  <c r="G22" i="10"/>
  <c r="I22" i="10" s="1"/>
  <c r="G21" i="10"/>
  <c r="I21" i="10" s="1"/>
  <c r="G20" i="10"/>
  <c r="I20" i="10" s="1"/>
  <c r="G19" i="10"/>
  <c r="I19" i="10" s="1"/>
  <c r="G18" i="10"/>
  <c r="I18" i="10" s="1"/>
  <c r="G17" i="10"/>
  <c r="I17" i="10" s="1"/>
  <c r="G16" i="10"/>
  <c r="I16" i="10" s="1"/>
  <c r="G15" i="10"/>
  <c r="I15" i="10" s="1"/>
  <c r="G14" i="10"/>
  <c r="I14" i="10" s="1"/>
  <c r="G13" i="10"/>
  <c r="I13" i="10" s="1"/>
  <c r="G12" i="10"/>
  <c r="I12" i="10" s="1"/>
  <c r="G11" i="10"/>
  <c r="I11" i="10" s="1"/>
  <c r="G10" i="10"/>
  <c r="I10" i="10" s="1"/>
  <c r="G9" i="10"/>
  <c r="I9" i="10" s="1"/>
  <c r="G8" i="10"/>
  <c r="I8" i="10" s="1"/>
  <c r="G7" i="10"/>
  <c r="I7" i="10" s="1"/>
  <c r="I6" i="10"/>
  <c r="B36" i="10"/>
  <c r="D36" i="10" s="1"/>
  <c r="B35" i="10"/>
  <c r="D35" i="10" s="1"/>
  <c r="B34" i="10"/>
  <c r="D34" i="10" s="1"/>
  <c r="B33" i="10"/>
  <c r="D33" i="10" s="1"/>
  <c r="B32" i="10"/>
  <c r="D32" i="10" s="1"/>
  <c r="B31" i="10"/>
  <c r="D31" i="10" s="1"/>
  <c r="B30" i="10"/>
  <c r="D30" i="10" s="1"/>
  <c r="B29" i="10"/>
  <c r="D29" i="10" s="1"/>
  <c r="B28" i="10"/>
  <c r="D28" i="10" s="1"/>
  <c r="B27" i="10"/>
  <c r="D27" i="10" s="1"/>
  <c r="B26" i="10"/>
  <c r="D26" i="10" s="1"/>
  <c r="B25" i="10"/>
  <c r="D25" i="10" s="1"/>
  <c r="B24" i="10"/>
  <c r="D24" i="10" s="1"/>
  <c r="B23" i="10"/>
  <c r="D23" i="10" s="1"/>
  <c r="B22" i="10"/>
  <c r="D22" i="10" s="1"/>
  <c r="B21" i="10"/>
  <c r="D21" i="10" s="1"/>
  <c r="B20" i="10"/>
  <c r="D20" i="10" s="1"/>
  <c r="B19" i="10"/>
  <c r="D19" i="10" s="1"/>
  <c r="B18" i="10"/>
  <c r="D18" i="10" s="1"/>
  <c r="B17" i="10"/>
  <c r="D17" i="10" s="1"/>
  <c r="B16" i="10"/>
  <c r="D16" i="10" s="1"/>
  <c r="B15" i="10"/>
  <c r="D15" i="10" s="1"/>
  <c r="B14" i="10"/>
  <c r="D14" i="10" s="1"/>
  <c r="B13" i="10"/>
  <c r="D13" i="10" s="1"/>
  <c r="B12" i="10"/>
  <c r="D12" i="10" s="1"/>
  <c r="B11" i="10"/>
  <c r="D11" i="10" s="1"/>
  <c r="B10" i="10"/>
  <c r="D10" i="10" s="1"/>
  <c r="B9" i="10"/>
  <c r="D9" i="10" s="1"/>
  <c r="B8" i="10"/>
  <c r="D8" i="10" s="1"/>
  <c r="B7" i="10"/>
  <c r="D7" i="10" s="1"/>
  <c r="D6" i="10"/>
  <c r="S37" i="10" l="1"/>
  <c r="I37" i="10"/>
  <c r="N37" i="10"/>
  <c r="D37" i="10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4" i="18"/>
  <c r="G6" i="8" l="1"/>
  <c r="E5" i="18" s="1"/>
  <c r="F6" i="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6" i="18"/>
  <c r="C4" i="18"/>
  <c r="C5" i="18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2" i="17"/>
  <c r="H35" i="18" l="1"/>
  <c r="I32" i="17" s="1"/>
  <c r="F35" i="18"/>
  <c r="G32" i="17" s="1"/>
  <c r="D35" i="18"/>
  <c r="E32" i="17" s="1"/>
  <c r="H34" i="18"/>
  <c r="I31" i="17" s="1"/>
  <c r="F34" i="18"/>
  <c r="G31" i="17" s="1"/>
  <c r="D34" i="18"/>
  <c r="E31" i="17" s="1"/>
  <c r="H33" i="18"/>
  <c r="I30" i="17" s="1"/>
  <c r="F33" i="18"/>
  <c r="G30" i="17" s="1"/>
  <c r="D33" i="18"/>
  <c r="E30" i="17" s="1"/>
  <c r="H32" i="18"/>
  <c r="I29" i="17" s="1"/>
  <c r="F32" i="18"/>
  <c r="G29" i="17" s="1"/>
  <c r="D32" i="18"/>
  <c r="E29" i="17" s="1"/>
  <c r="H31" i="18"/>
  <c r="I28" i="17" s="1"/>
  <c r="F31" i="18"/>
  <c r="G28" i="17" s="1"/>
  <c r="D31" i="18"/>
  <c r="E28" i="17" s="1"/>
  <c r="H30" i="18"/>
  <c r="I27" i="17" s="1"/>
  <c r="F30" i="18"/>
  <c r="G27" i="17" s="1"/>
  <c r="D30" i="18"/>
  <c r="E27" i="17" s="1"/>
  <c r="H29" i="18"/>
  <c r="I26" i="17" s="1"/>
  <c r="F29" i="18"/>
  <c r="G26" i="17" s="1"/>
  <c r="D29" i="18"/>
  <c r="E26" i="17" s="1"/>
  <c r="H28" i="18"/>
  <c r="I25" i="17" s="1"/>
  <c r="F28" i="18"/>
  <c r="G25" i="17" s="1"/>
  <c r="D28" i="18"/>
  <c r="E25" i="17" s="1"/>
  <c r="H27" i="18"/>
  <c r="I24" i="17" s="1"/>
  <c r="F27" i="18"/>
  <c r="G24" i="17" s="1"/>
  <c r="D27" i="18"/>
  <c r="E24" i="17" s="1"/>
  <c r="H26" i="18"/>
  <c r="I23" i="17" s="1"/>
  <c r="F26" i="18"/>
  <c r="G23" i="17" s="1"/>
  <c r="D26" i="18"/>
  <c r="E23" i="17" s="1"/>
  <c r="H25" i="18"/>
  <c r="I22" i="17" s="1"/>
  <c r="F25" i="18"/>
  <c r="G22" i="17" s="1"/>
  <c r="D25" i="18"/>
  <c r="E22" i="17" s="1"/>
  <c r="H24" i="18"/>
  <c r="I21" i="17" s="1"/>
  <c r="F24" i="18"/>
  <c r="G21" i="17" s="1"/>
  <c r="D24" i="18"/>
  <c r="E21" i="17" s="1"/>
  <c r="H23" i="18"/>
  <c r="I20" i="17" s="1"/>
  <c r="F23" i="18"/>
  <c r="G20" i="17" s="1"/>
  <c r="D23" i="18"/>
  <c r="E20" i="17" s="1"/>
  <c r="H22" i="18"/>
  <c r="I19" i="17" s="1"/>
  <c r="F22" i="18"/>
  <c r="G19" i="17" s="1"/>
  <c r="D22" i="18"/>
  <c r="E19" i="17" s="1"/>
  <c r="H21" i="18"/>
  <c r="I18" i="17" s="1"/>
  <c r="F21" i="18"/>
  <c r="G18" i="17" s="1"/>
  <c r="D21" i="18"/>
  <c r="E18" i="17" s="1"/>
  <c r="H20" i="18"/>
  <c r="I17" i="17" s="1"/>
  <c r="F20" i="18"/>
  <c r="G17" i="17" s="1"/>
  <c r="D20" i="18"/>
  <c r="E17" i="17" s="1"/>
  <c r="H19" i="18"/>
  <c r="I16" i="17" s="1"/>
  <c r="F19" i="18"/>
  <c r="G16" i="17" s="1"/>
  <c r="D19" i="18"/>
  <c r="E16" i="17" s="1"/>
  <c r="H18" i="18"/>
  <c r="I15" i="17" s="1"/>
  <c r="F18" i="18"/>
  <c r="G15" i="17" s="1"/>
  <c r="D18" i="18"/>
  <c r="E15" i="17" s="1"/>
  <c r="H17" i="18"/>
  <c r="I14" i="17" s="1"/>
  <c r="F17" i="18"/>
  <c r="G14" i="17" s="1"/>
  <c r="D17" i="18"/>
  <c r="E14" i="17" s="1"/>
  <c r="H16" i="18"/>
  <c r="I13" i="17" s="1"/>
  <c r="F16" i="18"/>
  <c r="G13" i="17" s="1"/>
  <c r="D16" i="18"/>
  <c r="E13" i="17" s="1"/>
  <c r="H15" i="18"/>
  <c r="I12" i="17" s="1"/>
  <c r="F15" i="18"/>
  <c r="G12" i="17" s="1"/>
  <c r="D15" i="18"/>
  <c r="E12" i="17" s="1"/>
  <c r="H14" i="18"/>
  <c r="I11" i="17" s="1"/>
  <c r="F14" i="18"/>
  <c r="G11" i="17" s="1"/>
  <c r="D14" i="18"/>
  <c r="E11" i="17" s="1"/>
  <c r="H13" i="18"/>
  <c r="I10" i="17" s="1"/>
  <c r="F13" i="18"/>
  <c r="G10" i="17" s="1"/>
  <c r="D13" i="18"/>
  <c r="E10" i="17" s="1"/>
  <c r="H12" i="18"/>
  <c r="I9" i="17" s="1"/>
  <c r="F12" i="18"/>
  <c r="G9" i="17" s="1"/>
  <c r="D12" i="18"/>
  <c r="E9" i="17" s="1"/>
  <c r="H11" i="18"/>
  <c r="I8" i="17" s="1"/>
  <c r="F11" i="18"/>
  <c r="G8" i="17" s="1"/>
  <c r="D11" i="18"/>
  <c r="E8" i="17" s="1"/>
  <c r="H10" i="18"/>
  <c r="I7" i="17" s="1"/>
  <c r="F10" i="18"/>
  <c r="G7" i="17" s="1"/>
  <c r="D10" i="18"/>
  <c r="E7" i="17" s="1"/>
  <c r="H9" i="18"/>
  <c r="I6" i="17" s="1"/>
  <c r="D9" i="18"/>
  <c r="E6" i="17" s="1"/>
  <c r="H8" i="18"/>
  <c r="I5" i="17" s="1"/>
  <c r="D8" i="18"/>
  <c r="E5" i="17" s="1"/>
  <c r="H7" i="18"/>
  <c r="I4" i="17" s="1"/>
  <c r="D7" i="18"/>
  <c r="E4" i="17" s="1"/>
  <c r="H6" i="18"/>
  <c r="I3" i="17" s="1"/>
  <c r="H5" i="18"/>
  <c r="I2" i="17" s="1"/>
  <c r="F5" i="18"/>
  <c r="G2" i="17" s="1"/>
  <c r="D5" i="18"/>
  <c r="E2" i="17" s="1"/>
  <c r="B3" i="17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D6" i="18" l="1"/>
  <c r="E3" i="17" s="1"/>
  <c r="CK27" i="12" l="1"/>
  <c r="F37" i="1" l="1"/>
  <c r="CN39" i="12" l="1"/>
  <c r="CP39" i="12" s="1"/>
  <c r="CN38" i="12"/>
  <c r="CP38" i="12" s="1"/>
  <c r="CN37" i="12"/>
  <c r="CP37" i="12" s="1"/>
  <c r="CN36" i="12"/>
  <c r="CP36" i="12" s="1"/>
  <c r="CN35" i="12"/>
  <c r="CP35" i="12" s="1"/>
  <c r="CN34" i="12"/>
  <c r="CP34" i="12" s="1"/>
  <c r="CN33" i="12"/>
  <c r="CP33" i="12" s="1"/>
  <c r="CN32" i="12"/>
  <c r="CP32" i="12" s="1"/>
  <c r="CN31" i="12"/>
  <c r="CP31" i="12" s="1"/>
  <c r="CN30" i="12"/>
  <c r="CP30" i="12" s="1"/>
  <c r="CN29" i="12"/>
  <c r="CP29" i="12" s="1"/>
  <c r="CP28" i="12"/>
  <c r="CN28" i="12"/>
  <c r="CN27" i="12"/>
  <c r="CP27" i="12" s="1"/>
  <c r="CN26" i="12"/>
  <c r="CP26" i="12" s="1"/>
  <c r="CN25" i="12"/>
  <c r="CP25" i="12" s="1"/>
  <c r="CN24" i="12"/>
  <c r="CP24" i="12" s="1"/>
  <c r="CN23" i="12"/>
  <c r="CP23" i="12" s="1"/>
  <c r="CN22" i="12"/>
  <c r="CP22" i="12" s="1"/>
  <c r="CN21" i="12"/>
  <c r="CP21" i="12" s="1"/>
  <c r="CN20" i="12"/>
  <c r="CP20" i="12" s="1"/>
  <c r="CN19" i="12"/>
  <c r="CP19" i="12" s="1"/>
  <c r="CN18" i="12"/>
  <c r="CP18" i="12" s="1"/>
  <c r="CN17" i="12"/>
  <c r="CP17" i="12" s="1"/>
  <c r="CN16" i="12"/>
  <c r="CP16" i="12" s="1"/>
  <c r="CN15" i="12"/>
  <c r="CP15" i="12" s="1"/>
  <c r="CN14" i="12"/>
  <c r="CP14" i="12" s="1"/>
  <c r="CN13" i="12"/>
  <c r="CP13" i="12" s="1"/>
  <c r="CN12" i="12"/>
  <c r="CP12" i="12" s="1"/>
  <c r="CN11" i="12"/>
  <c r="CP11" i="12" s="1"/>
  <c r="CN10" i="12"/>
  <c r="CP10" i="12" s="1"/>
  <c r="CP9" i="12"/>
  <c r="CK39" i="12"/>
  <c r="CM39" i="12" s="1"/>
  <c r="CK38" i="12"/>
  <c r="CM38" i="12" s="1"/>
  <c r="CK37" i="12"/>
  <c r="CM37" i="12" s="1"/>
  <c r="CK36" i="12"/>
  <c r="CM36" i="12" s="1"/>
  <c r="CK35" i="12"/>
  <c r="CM35" i="12" s="1"/>
  <c r="CK34" i="12"/>
  <c r="CM34" i="12" s="1"/>
  <c r="CK33" i="12"/>
  <c r="CM33" i="12" s="1"/>
  <c r="CK32" i="12"/>
  <c r="CM32" i="12" s="1"/>
  <c r="CK31" i="12"/>
  <c r="CM31" i="12" s="1"/>
  <c r="CK30" i="12"/>
  <c r="CM30" i="12" s="1"/>
  <c r="CK29" i="12"/>
  <c r="CM29" i="12" s="1"/>
  <c r="CK28" i="12"/>
  <c r="CM28" i="12" s="1"/>
  <c r="CM27" i="12"/>
  <c r="CK26" i="12"/>
  <c r="CM26" i="12" s="1"/>
  <c r="CK25" i="12"/>
  <c r="CM25" i="12" s="1"/>
  <c r="CK24" i="12"/>
  <c r="CM24" i="12" s="1"/>
  <c r="CK23" i="12"/>
  <c r="CM23" i="12" s="1"/>
  <c r="CK22" i="12"/>
  <c r="CM22" i="12" s="1"/>
  <c r="CK21" i="12"/>
  <c r="CM21" i="12" s="1"/>
  <c r="CK20" i="12"/>
  <c r="CM20" i="12" s="1"/>
  <c r="CK19" i="12"/>
  <c r="CM19" i="12" s="1"/>
  <c r="CK18" i="12"/>
  <c r="CM18" i="12" s="1"/>
  <c r="CK17" i="12"/>
  <c r="CM17" i="12" s="1"/>
  <c r="CK16" i="12"/>
  <c r="CM16" i="12" s="1"/>
  <c r="CK15" i="12"/>
  <c r="CM15" i="12" s="1"/>
  <c r="CK14" i="12"/>
  <c r="CM14" i="12" s="1"/>
  <c r="CK13" i="12"/>
  <c r="CM13" i="12" s="1"/>
  <c r="CK12" i="12"/>
  <c r="CM12" i="12" s="1"/>
  <c r="CK11" i="12"/>
  <c r="CM11" i="12" s="1"/>
  <c r="CK10" i="12"/>
  <c r="CM10" i="12" s="1"/>
  <c r="CM9" i="12"/>
  <c r="CH39" i="12"/>
  <c r="CJ39" i="12" s="1"/>
  <c r="CH38" i="12"/>
  <c r="CJ38" i="12" s="1"/>
  <c r="CH37" i="12"/>
  <c r="CJ37" i="12" s="1"/>
  <c r="CH36" i="12"/>
  <c r="CJ36" i="12" s="1"/>
  <c r="CH35" i="12"/>
  <c r="CJ35" i="12" s="1"/>
  <c r="CH34" i="12"/>
  <c r="CJ34" i="12" s="1"/>
  <c r="CH33" i="12"/>
  <c r="CJ33" i="12" s="1"/>
  <c r="CH32" i="12"/>
  <c r="CJ32" i="12" s="1"/>
  <c r="CH31" i="12"/>
  <c r="CJ31" i="12" s="1"/>
  <c r="CH30" i="12"/>
  <c r="CJ30" i="12" s="1"/>
  <c r="CH29" i="12"/>
  <c r="CJ29" i="12" s="1"/>
  <c r="CH28" i="12"/>
  <c r="CJ28" i="12" s="1"/>
  <c r="CH27" i="12"/>
  <c r="CJ27" i="12" s="1"/>
  <c r="CH26" i="12"/>
  <c r="CJ26" i="12" s="1"/>
  <c r="CH25" i="12"/>
  <c r="CJ25" i="12" s="1"/>
  <c r="CH24" i="12"/>
  <c r="CJ24" i="12" s="1"/>
  <c r="CH23" i="12"/>
  <c r="CJ23" i="12" s="1"/>
  <c r="CH22" i="12"/>
  <c r="CJ22" i="12" s="1"/>
  <c r="CH21" i="12"/>
  <c r="CJ21" i="12" s="1"/>
  <c r="CH20" i="12"/>
  <c r="CJ20" i="12" s="1"/>
  <c r="CH19" i="12"/>
  <c r="CJ19" i="12" s="1"/>
  <c r="CH18" i="12"/>
  <c r="CJ18" i="12" s="1"/>
  <c r="CH17" i="12"/>
  <c r="CJ17" i="12" s="1"/>
  <c r="CH16" i="12"/>
  <c r="CJ16" i="12" s="1"/>
  <c r="CH15" i="12"/>
  <c r="CJ15" i="12" s="1"/>
  <c r="CH14" i="12"/>
  <c r="CJ14" i="12" s="1"/>
  <c r="CH13" i="12"/>
  <c r="CJ13" i="12" s="1"/>
  <c r="CH12" i="12"/>
  <c r="CJ12" i="12" s="1"/>
  <c r="CH11" i="12"/>
  <c r="CJ11" i="12" s="1"/>
  <c r="CH10" i="12"/>
  <c r="CJ10" i="12" s="1"/>
  <c r="CJ9" i="12"/>
  <c r="CE39" i="12"/>
  <c r="CG39" i="12" s="1"/>
  <c r="CE38" i="12"/>
  <c r="CG38" i="12" s="1"/>
  <c r="CE37" i="12"/>
  <c r="CG37" i="12" s="1"/>
  <c r="CE36" i="12"/>
  <c r="CG36" i="12" s="1"/>
  <c r="CE35" i="12"/>
  <c r="CG35" i="12" s="1"/>
  <c r="CE34" i="12"/>
  <c r="CG34" i="12" s="1"/>
  <c r="CE33" i="12"/>
  <c r="CG33" i="12" s="1"/>
  <c r="CE32" i="12"/>
  <c r="CG32" i="12" s="1"/>
  <c r="CE31" i="12"/>
  <c r="CG31" i="12" s="1"/>
  <c r="CE30" i="12"/>
  <c r="CG30" i="12" s="1"/>
  <c r="CE29" i="12"/>
  <c r="CG29" i="12" s="1"/>
  <c r="CE28" i="12"/>
  <c r="CG28" i="12" s="1"/>
  <c r="CE27" i="12"/>
  <c r="CG27" i="12" s="1"/>
  <c r="CE26" i="12"/>
  <c r="CG26" i="12" s="1"/>
  <c r="CE25" i="12"/>
  <c r="CG25" i="12" s="1"/>
  <c r="CE24" i="12"/>
  <c r="CG24" i="12" s="1"/>
  <c r="CE23" i="12"/>
  <c r="CG23" i="12" s="1"/>
  <c r="CE22" i="12"/>
  <c r="CG22" i="12" s="1"/>
  <c r="CE21" i="12"/>
  <c r="CG21" i="12" s="1"/>
  <c r="CE20" i="12"/>
  <c r="CG20" i="12" s="1"/>
  <c r="CE19" i="12"/>
  <c r="CG19" i="12" s="1"/>
  <c r="CE18" i="12"/>
  <c r="CG18" i="12" s="1"/>
  <c r="CE17" i="12"/>
  <c r="CG17" i="12" s="1"/>
  <c r="CE16" i="12"/>
  <c r="CG16" i="12" s="1"/>
  <c r="CE15" i="12"/>
  <c r="CG15" i="12" s="1"/>
  <c r="CE14" i="12"/>
  <c r="CG14" i="12" s="1"/>
  <c r="CE13" i="12"/>
  <c r="CG13" i="12" s="1"/>
  <c r="CE12" i="12"/>
  <c r="CG12" i="12" s="1"/>
  <c r="CE11" i="12"/>
  <c r="CG11" i="12" s="1"/>
  <c r="CE10" i="12"/>
  <c r="CG10" i="12" s="1"/>
  <c r="CG9" i="12"/>
  <c r="CB39" i="12"/>
  <c r="CD39" i="12" s="1"/>
  <c r="CB38" i="12"/>
  <c r="CD38" i="12" s="1"/>
  <c r="CB37" i="12"/>
  <c r="CD37" i="12" s="1"/>
  <c r="CB36" i="12"/>
  <c r="CD36" i="12" s="1"/>
  <c r="CB35" i="12"/>
  <c r="CD35" i="12" s="1"/>
  <c r="CB34" i="12"/>
  <c r="CD34" i="12" s="1"/>
  <c r="CB33" i="12"/>
  <c r="CD33" i="12" s="1"/>
  <c r="CB32" i="12"/>
  <c r="CD32" i="12" s="1"/>
  <c r="CB31" i="12"/>
  <c r="CD31" i="12" s="1"/>
  <c r="CB30" i="12"/>
  <c r="CD30" i="12" s="1"/>
  <c r="CB29" i="12"/>
  <c r="CD29" i="12" s="1"/>
  <c r="CB28" i="12"/>
  <c r="CD28" i="12" s="1"/>
  <c r="CB27" i="12"/>
  <c r="CD27" i="12" s="1"/>
  <c r="CB26" i="12"/>
  <c r="CD26" i="12" s="1"/>
  <c r="CB25" i="12"/>
  <c r="CD25" i="12" s="1"/>
  <c r="CB24" i="12"/>
  <c r="CD24" i="12" s="1"/>
  <c r="CB23" i="12"/>
  <c r="CD23" i="12" s="1"/>
  <c r="CB22" i="12"/>
  <c r="CD22" i="12" s="1"/>
  <c r="CB21" i="12"/>
  <c r="CD21" i="12" s="1"/>
  <c r="CB20" i="12"/>
  <c r="CD20" i="12" s="1"/>
  <c r="CB19" i="12"/>
  <c r="CD19" i="12" s="1"/>
  <c r="CB18" i="12"/>
  <c r="CD18" i="12" s="1"/>
  <c r="CB17" i="12"/>
  <c r="CD17" i="12" s="1"/>
  <c r="CB16" i="12"/>
  <c r="CD16" i="12" s="1"/>
  <c r="CB15" i="12"/>
  <c r="CD15" i="12" s="1"/>
  <c r="CB14" i="12"/>
  <c r="CD14" i="12" s="1"/>
  <c r="CB13" i="12"/>
  <c r="CD13" i="12" s="1"/>
  <c r="CB12" i="12"/>
  <c r="CD12" i="12" s="1"/>
  <c r="CB11" i="12"/>
  <c r="CD11" i="12" s="1"/>
  <c r="CB10" i="12"/>
  <c r="CD10" i="12" s="1"/>
  <c r="CD9" i="12"/>
  <c r="BY39" i="12"/>
  <c r="CA39" i="12" s="1"/>
  <c r="BY38" i="12"/>
  <c r="CA38" i="12" s="1"/>
  <c r="BY37" i="12"/>
  <c r="CA37" i="12" s="1"/>
  <c r="BY36" i="12"/>
  <c r="CA36" i="12" s="1"/>
  <c r="BY35" i="12"/>
  <c r="CA35" i="12" s="1"/>
  <c r="BY34" i="12"/>
  <c r="CA34" i="12" s="1"/>
  <c r="BY33" i="12"/>
  <c r="CA33" i="12" s="1"/>
  <c r="BY32" i="12"/>
  <c r="CA32" i="12" s="1"/>
  <c r="BY31" i="12"/>
  <c r="CA31" i="12" s="1"/>
  <c r="BY30" i="12"/>
  <c r="CA30" i="12" s="1"/>
  <c r="BY29" i="12"/>
  <c r="CA29" i="12" s="1"/>
  <c r="BY28" i="12"/>
  <c r="CA28" i="12" s="1"/>
  <c r="BY27" i="12"/>
  <c r="CA27" i="12" s="1"/>
  <c r="BY26" i="12"/>
  <c r="CA26" i="12" s="1"/>
  <c r="BY25" i="12"/>
  <c r="CA25" i="12" s="1"/>
  <c r="BY24" i="12"/>
  <c r="CA24" i="12" s="1"/>
  <c r="BY23" i="12"/>
  <c r="CA23" i="12" s="1"/>
  <c r="BY22" i="12"/>
  <c r="CA22" i="12" s="1"/>
  <c r="BY21" i="12"/>
  <c r="CA21" i="12" s="1"/>
  <c r="BY20" i="12"/>
  <c r="CA20" i="12" s="1"/>
  <c r="BY19" i="12"/>
  <c r="CA19" i="12" s="1"/>
  <c r="BY18" i="12"/>
  <c r="CA18" i="12" s="1"/>
  <c r="BY17" i="12"/>
  <c r="CA17" i="12" s="1"/>
  <c r="BY16" i="12"/>
  <c r="CA16" i="12" s="1"/>
  <c r="BY15" i="12"/>
  <c r="CA15" i="12" s="1"/>
  <c r="BY14" i="12"/>
  <c r="CA14" i="12" s="1"/>
  <c r="BY13" i="12"/>
  <c r="CA13" i="12" s="1"/>
  <c r="BY12" i="12"/>
  <c r="CA12" i="12" s="1"/>
  <c r="BY11" i="12"/>
  <c r="CA11" i="12" s="1"/>
  <c r="BY10" i="12"/>
  <c r="CA10" i="12" s="1"/>
  <c r="CA9" i="12"/>
  <c r="BV39" i="12"/>
  <c r="BX39" i="12" s="1"/>
  <c r="BV38" i="12"/>
  <c r="BX38" i="12" s="1"/>
  <c r="BV37" i="12"/>
  <c r="BX37" i="12" s="1"/>
  <c r="BV36" i="12"/>
  <c r="BX36" i="12" s="1"/>
  <c r="BV35" i="12"/>
  <c r="BX35" i="12" s="1"/>
  <c r="BV34" i="12"/>
  <c r="BX34" i="12" s="1"/>
  <c r="BV33" i="12"/>
  <c r="BX33" i="12" s="1"/>
  <c r="BV32" i="12"/>
  <c r="BX32" i="12" s="1"/>
  <c r="BV31" i="12"/>
  <c r="BX31" i="12" s="1"/>
  <c r="BV30" i="12"/>
  <c r="BX30" i="12" s="1"/>
  <c r="BV29" i="12"/>
  <c r="BX29" i="12" s="1"/>
  <c r="BV28" i="12"/>
  <c r="BX28" i="12" s="1"/>
  <c r="BV27" i="12"/>
  <c r="BX27" i="12" s="1"/>
  <c r="BV26" i="12"/>
  <c r="BX26" i="12" s="1"/>
  <c r="BV25" i="12"/>
  <c r="BX25" i="12" s="1"/>
  <c r="BV24" i="12"/>
  <c r="BX24" i="12" s="1"/>
  <c r="BV23" i="12"/>
  <c r="BX23" i="12" s="1"/>
  <c r="BV22" i="12"/>
  <c r="BX22" i="12" s="1"/>
  <c r="BV21" i="12"/>
  <c r="BX21" i="12" s="1"/>
  <c r="BV20" i="12"/>
  <c r="BX20" i="12" s="1"/>
  <c r="BV19" i="12"/>
  <c r="BX19" i="12" s="1"/>
  <c r="BV18" i="12"/>
  <c r="BX18" i="12" s="1"/>
  <c r="BV17" i="12"/>
  <c r="BX17" i="12" s="1"/>
  <c r="BV16" i="12"/>
  <c r="BX16" i="12" s="1"/>
  <c r="BV15" i="12"/>
  <c r="BX15" i="12" s="1"/>
  <c r="BV14" i="12"/>
  <c r="BX14" i="12" s="1"/>
  <c r="BV13" i="12"/>
  <c r="BX13" i="12" s="1"/>
  <c r="BV12" i="12"/>
  <c r="BX12" i="12" s="1"/>
  <c r="BV11" i="12"/>
  <c r="BX11" i="12" s="1"/>
  <c r="BV10" i="12"/>
  <c r="BX10" i="12" s="1"/>
  <c r="BX9" i="12"/>
  <c r="CP40" i="12" l="1"/>
  <c r="CM40" i="12"/>
  <c r="CJ40" i="12"/>
  <c r="CG40" i="12"/>
  <c r="CD40" i="12"/>
  <c r="CA40" i="12"/>
  <c r="BX40" i="12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8" i="1"/>
  <c r="B37" i="8" l="1"/>
  <c r="F35" i="8"/>
  <c r="G35" i="8"/>
  <c r="F36" i="8"/>
  <c r="G36" i="8"/>
  <c r="E38" i="1" s="1"/>
  <c r="E37" i="1" l="1"/>
  <c r="K39" i="12"/>
  <c r="M39" i="12" s="1"/>
  <c r="BS38" i="12" l="1"/>
  <c r="BU38" i="12" s="1"/>
  <c r="BS39" i="12"/>
  <c r="BU39" i="12" s="1"/>
  <c r="BP39" i="12"/>
  <c r="BR39" i="12" s="1"/>
  <c r="BM39" i="12"/>
  <c r="BJ38" i="12"/>
  <c r="BL38" i="12" s="1"/>
  <c r="BJ39" i="12"/>
  <c r="BL39" i="12" s="1"/>
  <c r="BG38" i="12"/>
  <c r="BI38" i="12" s="1"/>
  <c r="BG39" i="12"/>
  <c r="BI39" i="12" s="1"/>
  <c r="BD38" i="12"/>
  <c r="BF38" i="12" s="1"/>
  <c r="BD39" i="12"/>
  <c r="BF39" i="12" s="1"/>
  <c r="BA38" i="12"/>
  <c r="BC38" i="12" s="1"/>
  <c r="BA39" i="12"/>
  <c r="BC39" i="12" s="1"/>
  <c r="AX38" i="12"/>
  <c r="AZ38" i="12" s="1"/>
  <c r="AX39" i="12"/>
  <c r="AZ39" i="12" s="1"/>
  <c r="AU38" i="12"/>
  <c r="AW38" i="12" s="1"/>
  <c r="AU39" i="12"/>
  <c r="AW39" i="12" s="1"/>
  <c r="AR38" i="12"/>
  <c r="AT38" i="12" s="1"/>
  <c r="AR39" i="12"/>
  <c r="AT39" i="12" s="1"/>
  <c r="AO38" i="12"/>
  <c r="AQ38" i="12" s="1"/>
  <c r="AO39" i="12"/>
  <c r="AQ39" i="12" s="1"/>
  <c r="AL38" i="12"/>
  <c r="AN38" i="12" s="1"/>
  <c r="AL39" i="12"/>
  <c r="AN39" i="12" s="1"/>
  <c r="AI38" i="12"/>
  <c r="AK38" i="12" s="1"/>
  <c r="AI39" i="12"/>
  <c r="AK39" i="12" s="1"/>
  <c r="AF38" i="12"/>
  <c r="AH38" i="12" s="1"/>
  <c r="AF39" i="12"/>
  <c r="AH39" i="12" s="1"/>
  <c r="AC38" i="12"/>
  <c r="AE38" i="12" s="1"/>
  <c r="AC39" i="12"/>
  <c r="AE39" i="12" s="1"/>
  <c r="Z38" i="12"/>
  <c r="AB38" i="12" s="1"/>
  <c r="Z39" i="12"/>
  <c r="AB39" i="12" s="1"/>
  <c r="W38" i="12"/>
  <c r="Y38" i="12" s="1"/>
  <c r="W39" i="12"/>
  <c r="Y39" i="12" s="1"/>
  <c r="T38" i="12"/>
  <c r="V38" i="12" s="1"/>
  <c r="T39" i="12"/>
  <c r="V39" i="12" s="1"/>
  <c r="Q38" i="12"/>
  <c r="S38" i="12" s="1"/>
  <c r="Q39" i="12"/>
  <c r="S39" i="12" s="1"/>
  <c r="N38" i="12"/>
  <c r="P38" i="12" s="1"/>
  <c r="N39" i="12"/>
  <c r="P39" i="12" s="1"/>
  <c r="H39" i="12"/>
  <c r="J39" i="12" s="1"/>
  <c r="E39" i="12"/>
  <c r="G39" i="12" s="1"/>
  <c r="B39" i="12"/>
  <c r="D39" i="12" s="1"/>
  <c r="B39" i="11"/>
  <c r="B34" i="9"/>
  <c r="D34" i="9" s="1"/>
  <c r="C37" i="1" s="1"/>
  <c r="B35" i="9"/>
  <c r="B40" i="7"/>
  <c r="B40" i="6"/>
  <c r="D40" i="6" s="1"/>
  <c r="F35" i="15"/>
  <c r="B40" i="5"/>
  <c r="B40" i="4"/>
  <c r="B40" i="3"/>
  <c r="D40" i="3" s="1"/>
  <c r="D39" i="11" l="1"/>
  <c r="D38" i="1" s="1"/>
  <c r="D35" i="9"/>
  <c r="C38" i="1" s="1"/>
  <c r="D40" i="7"/>
  <c r="G35" i="15" s="1"/>
  <c r="D40" i="5"/>
  <c r="E35" i="15" s="1"/>
  <c r="D35" i="15"/>
  <c r="D40" i="4"/>
  <c r="C35" i="15"/>
  <c r="B38" i="11"/>
  <c r="D38" i="11" s="1"/>
  <c r="E37" i="8"/>
  <c r="Z34" i="10"/>
  <c r="Z35" i="10" s="1"/>
  <c r="AZ9" i="12"/>
  <c r="AB9" i="12"/>
  <c r="B39" i="4"/>
  <c r="D39" i="4" s="1"/>
  <c r="D34" i="15" s="1"/>
  <c r="B38" i="6"/>
  <c r="D38" i="6" s="1"/>
  <c r="B39" i="6"/>
  <c r="D39" i="6" s="1"/>
  <c r="F34" i="15" s="1"/>
  <c r="D10" i="4"/>
  <c r="B11" i="4"/>
  <c r="D11" i="4" s="1"/>
  <c r="D6" i="15" s="1"/>
  <c r="B12" i="4"/>
  <c r="D12" i="4" s="1"/>
  <c r="D7" i="15" s="1"/>
  <c r="B13" i="4"/>
  <c r="D13" i="4" s="1"/>
  <c r="B14" i="4"/>
  <c r="D14" i="4" s="1"/>
  <c r="B15" i="4"/>
  <c r="D15" i="4" s="1"/>
  <c r="D10" i="15" s="1"/>
  <c r="B16" i="4"/>
  <c r="D16" i="4" s="1"/>
  <c r="D11" i="15" s="1"/>
  <c r="B17" i="4"/>
  <c r="D17" i="4" s="1"/>
  <c r="D12" i="15" s="1"/>
  <c r="B18" i="4"/>
  <c r="D18" i="4" s="1"/>
  <c r="B19" i="4"/>
  <c r="D19" i="4" s="1"/>
  <c r="D14" i="15" s="1"/>
  <c r="B20" i="4"/>
  <c r="D20" i="4" s="1"/>
  <c r="D15" i="15" s="1"/>
  <c r="B21" i="4"/>
  <c r="D21" i="4" s="1"/>
  <c r="B22" i="4"/>
  <c r="D22" i="4" s="1"/>
  <c r="D17" i="15" s="1"/>
  <c r="B23" i="4"/>
  <c r="D23" i="4" s="1"/>
  <c r="B24" i="4"/>
  <c r="D24" i="4" s="1"/>
  <c r="D19" i="15" s="1"/>
  <c r="B25" i="4"/>
  <c r="D25" i="4" s="1"/>
  <c r="B26" i="4"/>
  <c r="D26" i="4" s="1"/>
  <c r="D21" i="15" s="1"/>
  <c r="B27" i="4"/>
  <c r="D27" i="4" s="1"/>
  <c r="D22" i="15" s="1"/>
  <c r="B28" i="4"/>
  <c r="D28" i="4" s="1"/>
  <c r="B29" i="4"/>
  <c r="D29" i="4" s="1"/>
  <c r="D24" i="15" s="1"/>
  <c r="B30" i="4"/>
  <c r="D30" i="4" s="1"/>
  <c r="B31" i="4"/>
  <c r="D31" i="4" s="1"/>
  <c r="D26" i="15" s="1"/>
  <c r="B32" i="4"/>
  <c r="D32" i="4" s="1"/>
  <c r="D27" i="15" s="1"/>
  <c r="B33" i="4"/>
  <c r="D33" i="4" s="1"/>
  <c r="D28" i="15" s="1"/>
  <c r="B34" i="4"/>
  <c r="D34" i="4" s="1"/>
  <c r="D29" i="15" s="1"/>
  <c r="B35" i="4"/>
  <c r="D35" i="4" s="1"/>
  <c r="D30" i="15" s="1"/>
  <c r="B36" i="4"/>
  <c r="D36" i="4" s="1"/>
  <c r="B37" i="4"/>
  <c r="D37" i="4"/>
  <c r="D32" i="15" s="1"/>
  <c r="B38" i="4"/>
  <c r="D38" i="4" s="1"/>
  <c r="B12" i="5"/>
  <c r="D12" i="5" s="1"/>
  <c r="E7" i="15" s="1"/>
  <c r="B13" i="5"/>
  <c r="D13" i="5" s="1"/>
  <c r="E8" i="15" s="1"/>
  <c r="B14" i="5"/>
  <c r="D14" i="5" s="1"/>
  <c r="E9" i="15" s="1"/>
  <c r="F7" i="8"/>
  <c r="G7" i="8"/>
  <c r="Q11" i="12"/>
  <c r="S11" i="12" s="1"/>
  <c r="Q12" i="12"/>
  <c r="S12" i="12" s="1"/>
  <c r="G12" i="13" s="1"/>
  <c r="Q13" i="12"/>
  <c r="S13" i="12" s="1"/>
  <c r="G13" i="13" s="1"/>
  <c r="Q14" i="12"/>
  <c r="S14" i="12" s="1"/>
  <c r="G14" i="13" s="1"/>
  <c r="Q15" i="12"/>
  <c r="S15" i="12" s="1"/>
  <c r="G15" i="13" s="1"/>
  <c r="Q16" i="12"/>
  <c r="S16" i="12" s="1"/>
  <c r="G16" i="13" s="1"/>
  <c r="Q17" i="12"/>
  <c r="S17" i="12" s="1"/>
  <c r="G17" i="13" s="1"/>
  <c r="Q18" i="12"/>
  <c r="S18" i="12" s="1"/>
  <c r="G18" i="13" s="1"/>
  <c r="Q19" i="12"/>
  <c r="S19" i="12" s="1"/>
  <c r="G19" i="13" s="1"/>
  <c r="Q20" i="12"/>
  <c r="S20" i="12" s="1"/>
  <c r="G20" i="13" s="1"/>
  <c r="Q21" i="12"/>
  <c r="S21" i="12" s="1"/>
  <c r="G21" i="13" s="1"/>
  <c r="Q22" i="12"/>
  <c r="S22" i="12" s="1"/>
  <c r="G22" i="13" s="1"/>
  <c r="Q23" i="12"/>
  <c r="S23" i="12" s="1"/>
  <c r="G23" i="13" s="1"/>
  <c r="Q24" i="12"/>
  <c r="S24" i="12" s="1"/>
  <c r="G24" i="13" s="1"/>
  <c r="Q25" i="12"/>
  <c r="S25" i="12" s="1"/>
  <c r="G25" i="13" s="1"/>
  <c r="Q26" i="12"/>
  <c r="S26" i="12" s="1"/>
  <c r="G26" i="13" s="1"/>
  <c r="Q27" i="12"/>
  <c r="S27" i="12" s="1"/>
  <c r="G27" i="13" s="1"/>
  <c r="Q28" i="12"/>
  <c r="S28" i="12" s="1"/>
  <c r="G28" i="13" s="1"/>
  <c r="Q29" i="12"/>
  <c r="S29" i="12" s="1"/>
  <c r="G29" i="13" s="1"/>
  <c r="Q30" i="12"/>
  <c r="Q31" i="12"/>
  <c r="S31" i="12" s="1"/>
  <c r="G31" i="13" s="1"/>
  <c r="Q32" i="12"/>
  <c r="S32" i="12" s="1"/>
  <c r="G32" i="13" s="1"/>
  <c r="Q33" i="12"/>
  <c r="S33" i="12" s="1"/>
  <c r="G33" i="13" s="1"/>
  <c r="Q34" i="12"/>
  <c r="S34" i="12" s="1"/>
  <c r="G34" i="13" s="1"/>
  <c r="Q35" i="12"/>
  <c r="Q36" i="12"/>
  <c r="S36" i="12" s="1"/>
  <c r="G36" i="13" s="1"/>
  <c r="Q37" i="12"/>
  <c r="S37" i="12" s="1"/>
  <c r="G37" i="13" s="1"/>
  <c r="G38" i="13"/>
  <c r="Q10" i="12"/>
  <c r="S10" i="12" s="1"/>
  <c r="G10" i="13" s="1"/>
  <c r="B10" i="11"/>
  <c r="D10" i="11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D20" i="2" s="1"/>
  <c r="B21" i="11"/>
  <c r="D21" i="11" s="1"/>
  <c r="B22" i="11"/>
  <c r="D22" i="11" s="1"/>
  <c r="D21" i="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D29" i="1" s="1"/>
  <c r="B31" i="11"/>
  <c r="D31" i="11" s="1"/>
  <c r="B32" i="11"/>
  <c r="D32" i="11" s="1"/>
  <c r="B33" i="11"/>
  <c r="D33" i="11" s="1"/>
  <c r="B34" i="11"/>
  <c r="D34" i="11" s="1"/>
  <c r="D34" i="2" s="1"/>
  <c r="B35" i="11"/>
  <c r="D35" i="11" s="1"/>
  <c r="B36" i="11"/>
  <c r="D36" i="11" s="1"/>
  <c r="D35" i="1" s="1"/>
  <c r="B37" i="11"/>
  <c r="D37" i="11" s="1"/>
  <c r="D9" i="12"/>
  <c r="G9" i="12"/>
  <c r="J9" i="12"/>
  <c r="M9" i="12"/>
  <c r="P9" i="12"/>
  <c r="F9" i="13" s="1"/>
  <c r="S9" i="12"/>
  <c r="V9" i="12"/>
  <c r="Y9" i="12"/>
  <c r="J9" i="13"/>
  <c r="AE9" i="12"/>
  <c r="AH9" i="12"/>
  <c r="AK9" i="12"/>
  <c r="AN9" i="12"/>
  <c r="AQ9" i="12"/>
  <c r="AT9" i="12"/>
  <c r="AW9" i="12"/>
  <c r="BC9" i="12"/>
  <c r="BF9" i="12"/>
  <c r="BI9" i="12"/>
  <c r="BL9" i="12"/>
  <c r="BO9" i="12"/>
  <c r="BR9" i="12"/>
  <c r="BU9" i="12"/>
  <c r="B10" i="12"/>
  <c r="D10" i="12" s="1"/>
  <c r="E10" i="12"/>
  <c r="G10" i="12" s="1"/>
  <c r="C10" i="13" s="1"/>
  <c r="H10" i="12"/>
  <c r="J10" i="12" s="1"/>
  <c r="D10" i="13" s="1"/>
  <c r="K10" i="12"/>
  <c r="M10" i="12" s="1"/>
  <c r="E10" i="13" s="1"/>
  <c r="N10" i="12"/>
  <c r="P10" i="12" s="1"/>
  <c r="T10" i="12"/>
  <c r="V10" i="12" s="1"/>
  <c r="H10" i="13" s="1"/>
  <c r="W10" i="12"/>
  <c r="Y10" i="12" s="1"/>
  <c r="Z10" i="12"/>
  <c r="AB10" i="12" s="1"/>
  <c r="AC10" i="12"/>
  <c r="AE10" i="12" s="1"/>
  <c r="K10" i="13" s="1"/>
  <c r="AF10" i="12"/>
  <c r="AH10" i="12" s="1"/>
  <c r="AI10" i="12"/>
  <c r="AK10" i="12" s="1"/>
  <c r="AL10" i="12"/>
  <c r="AN10" i="12" s="1"/>
  <c r="AO10" i="12"/>
  <c r="AQ10" i="12" s="1"/>
  <c r="AR10" i="12"/>
  <c r="AT10" i="12" s="1"/>
  <c r="AU10" i="12"/>
  <c r="AW10" i="12" s="1"/>
  <c r="AX10" i="12"/>
  <c r="AZ10" i="12" s="1"/>
  <c r="BA10" i="12"/>
  <c r="BC10" i="12" s="1"/>
  <c r="BD10" i="12"/>
  <c r="BF10" i="12" s="1"/>
  <c r="BG10" i="12"/>
  <c r="BI10" i="12" s="1"/>
  <c r="BJ10" i="12"/>
  <c r="BL10" i="12" s="1"/>
  <c r="BM10" i="12"/>
  <c r="BO10" i="12" s="1"/>
  <c r="BP10" i="12"/>
  <c r="BR10" i="12" s="1"/>
  <c r="BS10" i="12"/>
  <c r="BU10" i="12" s="1"/>
  <c r="B11" i="12"/>
  <c r="D11" i="12" s="1"/>
  <c r="B11" i="13" s="1"/>
  <c r="E11" i="12"/>
  <c r="G11" i="12" s="1"/>
  <c r="H11" i="12"/>
  <c r="J11" i="12" s="1"/>
  <c r="D11" i="13" s="1"/>
  <c r="K11" i="12"/>
  <c r="M11" i="12" s="1"/>
  <c r="E11" i="13" s="1"/>
  <c r="N11" i="12"/>
  <c r="P11" i="12" s="1"/>
  <c r="F11" i="13" s="1"/>
  <c r="T11" i="12"/>
  <c r="V11" i="12" s="1"/>
  <c r="H11" i="13" s="1"/>
  <c r="W11" i="12"/>
  <c r="Y11" i="12" s="1"/>
  <c r="I11" i="13" s="1"/>
  <c r="Z11" i="12"/>
  <c r="AB11" i="12" s="1"/>
  <c r="J11" i="13" s="1"/>
  <c r="AC11" i="12"/>
  <c r="AE11" i="12" s="1"/>
  <c r="AF11" i="12"/>
  <c r="AH11" i="12" s="1"/>
  <c r="AI11" i="12"/>
  <c r="AK11" i="12" s="1"/>
  <c r="AL11" i="12"/>
  <c r="AN11" i="12" s="1"/>
  <c r="AO11" i="12"/>
  <c r="AQ11" i="12" s="1"/>
  <c r="AR11" i="12"/>
  <c r="AT11" i="12" s="1"/>
  <c r="AU11" i="12"/>
  <c r="AW11" i="12" s="1"/>
  <c r="AX11" i="12"/>
  <c r="AZ11" i="12" s="1"/>
  <c r="BA11" i="12"/>
  <c r="BC11" i="12" s="1"/>
  <c r="BD11" i="12"/>
  <c r="BF11" i="12" s="1"/>
  <c r="BG11" i="12"/>
  <c r="BI11" i="12" s="1"/>
  <c r="BJ11" i="12"/>
  <c r="BL11" i="12" s="1"/>
  <c r="BM11" i="12"/>
  <c r="BO11" i="12" s="1"/>
  <c r="BP11" i="12"/>
  <c r="BR11" i="12" s="1"/>
  <c r="BS11" i="12"/>
  <c r="BU11" i="12" s="1"/>
  <c r="B12" i="12"/>
  <c r="D12" i="12" s="1"/>
  <c r="B12" i="13" s="1"/>
  <c r="E12" i="12"/>
  <c r="G12" i="12" s="1"/>
  <c r="C12" i="13" s="1"/>
  <c r="H12" i="12"/>
  <c r="J12" i="12" s="1"/>
  <c r="D12" i="13" s="1"/>
  <c r="K12" i="12"/>
  <c r="M12" i="12" s="1"/>
  <c r="E12" i="13" s="1"/>
  <c r="N12" i="12"/>
  <c r="P12" i="12" s="1"/>
  <c r="F12" i="13" s="1"/>
  <c r="T12" i="12"/>
  <c r="V12" i="12" s="1"/>
  <c r="H12" i="13" s="1"/>
  <c r="W12" i="12"/>
  <c r="Y12" i="12" s="1"/>
  <c r="I12" i="13" s="1"/>
  <c r="Z12" i="12"/>
  <c r="AB12" i="12" s="1"/>
  <c r="J12" i="13" s="1"/>
  <c r="AC12" i="12"/>
  <c r="AE12" i="12" s="1"/>
  <c r="K12" i="13" s="1"/>
  <c r="AF12" i="12"/>
  <c r="AH12" i="12" s="1"/>
  <c r="AI12" i="12"/>
  <c r="AK12" i="12" s="1"/>
  <c r="AL12" i="12"/>
  <c r="AN12" i="12" s="1"/>
  <c r="AO12" i="12"/>
  <c r="AQ12" i="12" s="1"/>
  <c r="AR12" i="12"/>
  <c r="AT12" i="12" s="1"/>
  <c r="AU12" i="12"/>
  <c r="AW12" i="12" s="1"/>
  <c r="AX12" i="12"/>
  <c r="AZ12" i="12" s="1"/>
  <c r="BA12" i="12"/>
  <c r="BC12" i="12" s="1"/>
  <c r="BD12" i="12"/>
  <c r="BF12" i="12" s="1"/>
  <c r="BG12" i="12"/>
  <c r="BI12" i="12" s="1"/>
  <c r="BJ12" i="12"/>
  <c r="BL12" i="12" s="1"/>
  <c r="BM12" i="12"/>
  <c r="BO12" i="12" s="1"/>
  <c r="BP12" i="12"/>
  <c r="BR12" i="12" s="1"/>
  <c r="BS12" i="12"/>
  <c r="BU12" i="12" s="1"/>
  <c r="B13" i="12"/>
  <c r="D13" i="12" s="1"/>
  <c r="B13" i="13" s="1"/>
  <c r="E13" i="12"/>
  <c r="G13" i="12" s="1"/>
  <c r="C13" i="13" s="1"/>
  <c r="H13" i="12"/>
  <c r="J13" i="12" s="1"/>
  <c r="D13" i="13" s="1"/>
  <c r="K13" i="12"/>
  <c r="M13" i="12" s="1"/>
  <c r="E13" i="13" s="1"/>
  <c r="N13" i="12"/>
  <c r="P13" i="12" s="1"/>
  <c r="F13" i="13" s="1"/>
  <c r="T13" i="12"/>
  <c r="V13" i="12" s="1"/>
  <c r="H13" i="13" s="1"/>
  <c r="W13" i="12"/>
  <c r="Y13" i="12" s="1"/>
  <c r="I13" i="13" s="1"/>
  <c r="Z13" i="12"/>
  <c r="AB13" i="12" s="1"/>
  <c r="J13" i="13" s="1"/>
  <c r="AC13" i="12"/>
  <c r="AE13" i="12" s="1"/>
  <c r="K13" i="13" s="1"/>
  <c r="AF13" i="12"/>
  <c r="AH13" i="12" s="1"/>
  <c r="AI13" i="12"/>
  <c r="AK13" i="12" s="1"/>
  <c r="AL13" i="12"/>
  <c r="AN13" i="12" s="1"/>
  <c r="AO13" i="12"/>
  <c r="AQ13" i="12" s="1"/>
  <c r="AR13" i="12"/>
  <c r="AT13" i="12" s="1"/>
  <c r="AU13" i="12"/>
  <c r="AW13" i="12" s="1"/>
  <c r="AX13" i="12"/>
  <c r="AZ13" i="12" s="1"/>
  <c r="BA13" i="12"/>
  <c r="BC13" i="12" s="1"/>
  <c r="BD13" i="12"/>
  <c r="BF13" i="12" s="1"/>
  <c r="BG13" i="12"/>
  <c r="BI13" i="12" s="1"/>
  <c r="BJ13" i="12"/>
  <c r="BL13" i="12" s="1"/>
  <c r="BM13" i="12"/>
  <c r="BO13" i="12" s="1"/>
  <c r="BP13" i="12"/>
  <c r="BR13" i="12" s="1"/>
  <c r="BS13" i="12"/>
  <c r="BU13" i="12" s="1"/>
  <c r="B14" i="12"/>
  <c r="D14" i="12" s="1"/>
  <c r="B14" i="13" s="1"/>
  <c r="E14" i="12"/>
  <c r="G14" i="12" s="1"/>
  <c r="C14" i="13" s="1"/>
  <c r="H14" i="12"/>
  <c r="J14" i="12" s="1"/>
  <c r="D14" i="13" s="1"/>
  <c r="K14" i="12"/>
  <c r="M14" i="12" s="1"/>
  <c r="E14" i="13" s="1"/>
  <c r="N14" i="12"/>
  <c r="P14" i="12" s="1"/>
  <c r="F14" i="13" s="1"/>
  <c r="T14" i="12"/>
  <c r="V14" i="12" s="1"/>
  <c r="H14" i="13" s="1"/>
  <c r="W14" i="12"/>
  <c r="Y14" i="12" s="1"/>
  <c r="I14" i="13" s="1"/>
  <c r="Z14" i="12"/>
  <c r="AB14" i="12" s="1"/>
  <c r="J14" i="13" s="1"/>
  <c r="AC14" i="12"/>
  <c r="AE14" i="12" s="1"/>
  <c r="K14" i="13" s="1"/>
  <c r="AF14" i="12"/>
  <c r="AH14" i="12" s="1"/>
  <c r="AI14" i="12"/>
  <c r="AK14" i="12" s="1"/>
  <c r="AL14" i="12"/>
  <c r="AN14" i="12" s="1"/>
  <c r="AO14" i="12"/>
  <c r="AQ14" i="12" s="1"/>
  <c r="AR14" i="12"/>
  <c r="AT14" i="12" s="1"/>
  <c r="AU14" i="12"/>
  <c r="AW14" i="12" s="1"/>
  <c r="AX14" i="12"/>
  <c r="AZ14" i="12" s="1"/>
  <c r="BA14" i="12"/>
  <c r="BC14" i="12" s="1"/>
  <c r="BD14" i="12"/>
  <c r="BF14" i="12" s="1"/>
  <c r="BG14" i="12"/>
  <c r="BI14" i="12"/>
  <c r="BJ14" i="12"/>
  <c r="BL14" i="12" s="1"/>
  <c r="BM14" i="12"/>
  <c r="BO14" i="12" s="1"/>
  <c r="BP14" i="12"/>
  <c r="BR14" i="12" s="1"/>
  <c r="BS14" i="12"/>
  <c r="BU14" i="12" s="1"/>
  <c r="B15" i="12"/>
  <c r="D15" i="12" s="1"/>
  <c r="B15" i="13" s="1"/>
  <c r="E15" i="12"/>
  <c r="G15" i="12" s="1"/>
  <c r="C15" i="13" s="1"/>
  <c r="H15" i="12"/>
  <c r="J15" i="12" s="1"/>
  <c r="D15" i="13" s="1"/>
  <c r="K15" i="12"/>
  <c r="M15" i="12" s="1"/>
  <c r="E15" i="13" s="1"/>
  <c r="N15" i="12"/>
  <c r="P15" i="12" s="1"/>
  <c r="F15" i="13" s="1"/>
  <c r="T15" i="12"/>
  <c r="V15" i="12" s="1"/>
  <c r="H15" i="13" s="1"/>
  <c r="W15" i="12"/>
  <c r="Y15" i="12" s="1"/>
  <c r="I15" i="13" s="1"/>
  <c r="Z15" i="12"/>
  <c r="AB15" i="12" s="1"/>
  <c r="J15" i="13" s="1"/>
  <c r="AC15" i="12"/>
  <c r="AE15" i="12" s="1"/>
  <c r="K15" i="13" s="1"/>
  <c r="AF15" i="12"/>
  <c r="AH15" i="12" s="1"/>
  <c r="AI15" i="12"/>
  <c r="AK15" i="12" s="1"/>
  <c r="AL15" i="12"/>
  <c r="AN15" i="12" s="1"/>
  <c r="AO15" i="12"/>
  <c r="AQ15" i="12" s="1"/>
  <c r="AR15" i="12"/>
  <c r="AT15" i="12" s="1"/>
  <c r="AU15" i="12"/>
  <c r="AW15" i="12" s="1"/>
  <c r="AX15" i="12"/>
  <c r="AZ15" i="12" s="1"/>
  <c r="BA15" i="12"/>
  <c r="BC15" i="12" s="1"/>
  <c r="BD15" i="12"/>
  <c r="BF15" i="12" s="1"/>
  <c r="BG15" i="12"/>
  <c r="BI15" i="12" s="1"/>
  <c r="BJ15" i="12"/>
  <c r="BL15" i="12" s="1"/>
  <c r="BM15" i="12"/>
  <c r="BO15" i="12" s="1"/>
  <c r="BP15" i="12"/>
  <c r="BR15" i="12" s="1"/>
  <c r="BS15" i="12"/>
  <c r="BU15" i="12" s="1"/>
  <c r="B16" i="12"/>
  <c r="D16" i="12" s="1"/>
  <c r="B16" i="13" s="1"/>
  <c r="E16" i="12"/>
  <c r="G16" i="12" s="1"/>
  <c r="C16" i="13" s="1"/>
  <c r="H16" i="12"/>
  <c r="J16" i="12" s="1"/>
  <c r="D16" i="13" s="1"/>
  <c r="K16" i="12"/>
  <c r="M16" i="12" s="1"/>
  <c r="E16" i="13" s="1"/>
  <c r="N16" i="12"/>
  <c r="P16" i="12"/>
  <c r="F16" i="13" s="1"/>
  <c r="T16" i="12"/>
  <c r="V16" i="12" s="1"/>
  <c r="H16" i="13" s="1"/>
  <c r="W16" i="12"/>
  <c r="Y16" i="12" s="1"/>
  <c r="I16" i="13" s="1"/>
  <c r="Z16" i="12"/>
  <c r="AB16" i="12" s="1"/>
  <c r="J16" i="13" s="1"/>
  <c r="AC16" i="12"/>
  <c r="AE16" i="12" s="1"/>
  <c r="K16" i="13" s="1"/>
  <c r="AF16" i="12"/>
  <c r="AH16" i="12" s="1"/>
  <c r="AI16" i="12"/>
  <c r="AK16" i="12" s="1"/>
  <c r="AL16" i="12"/>
  <c r="AN16" i="12" s="1"/>
  <c r="AO16" i="12"/>
  <c r="AQ16" i="12" s="1"/>
  <c r="AR16" i="12"/>
  <c r="AT16" i="12" s="1"/>
  <c r="AU16" i="12"/>
  <c r="AW16" i="12" s="1"/>
  <c r="AX16" i="12"/>
  <c r="AZ16" i="12" s="1"/>
  <c r="BA16" i="12"/>
  <c r="BC16" i="12" s="1"/>
  <c r="BD16" i="12"/>
  <c r="BF16" i="12" s="1"/>
  <c r="BG16" i="12"/>
  <c r="BI16" i="12" s="1"/>
  <c r="BJ16" i="12"/>
  <c r="BL16" i="12" s="1"/>
  <c r="BM16" i="12"/>
  <c r="BO16" i="12" s="1"/>
  <c r="BP16" i="12"/>
  <c r="BR16" i="12" s="1"/>
  <c r="BS16" i="12"/>
  <c r="BU16" i="12" s="1"/>
  <c r="B17" i="12"/>
  <c r="D17" i="12" s="1"/>
  <c r="B17" i="13" s="1"/>
  <c r="E17" i="12"/>
  <c r="G17" i="12" s="1"/>
  <c r="C17" i="13" s="1"/>
  <c r="H17" i="12"/>
  <c r="J17" i="12" s="1"/>
  <c r="D17" i="13" s="1"/>
  <c r="K17" i="12"/>
  <c r="M17" i="12" s="1"/>
  <c r="E17" i="13" s="1"/>
  <c r="N17" i="12"/>
  <c r="P17" i="12" s="1"/>
  <c r="F17" i="13" s="1"/>
  <c r="T17" i="12"/>
  <c r="V17" i="12" s="1"/>
  <c r="H17" i="13" s="1"/>
  <c r="W17" i="12"/>
  <c r="Y17" i="12" s="1"/>
  <c r="I17" i="13" s="1"/>
  <c r="Z17" i="12"/>
  <c r="AB17" i="12" s="1"/>
  <c r="J17" i="13" s="1"/>
  <c r="AC17" i="12"/>
  <c r="AE17" i="12" s="1"/>
  <c r="K17" i="13" s="1"/>
  <c r="AF17" i="12"/>
  <c r="AH17" i="12" s="1"/>
  <c r="AI17" i="12"/>
  <c r="AK17" i="12" s="1"/>
  <c r="AL17" i="12"/>
  <c r="AN17" i="12" s="1"/>
  <c r="AO17" i="12"/>
  <c r="AQ17" i="12" s="1"/>
  <c r="AR17" i="12"/>
  <c r="AT17" i="12" s="1"/>
  <c r="AU17" i="12"/>
  <c r="AW17" i="12" s="1"/>
  <c r="AX17" i="12"/>
  <c r="AZ17" i="12" s="1"/>
  <c r="BA17" i="12"/>
  <c r="BC17" i="12" s="1"/>
  <c r="BD17" i="12"/>
  <c r="BF17" i="12" s="1"/>
  <c r="BG17" i="12"/>
  <c r="BI17" i="12" s="1"/>
  <c r="BJ17" i="12"/>
  <c r="BL17" i="12" s="1"/>
  <c r="BM17" i="12"/>
  <c r="BO17" i="12" s="1"/>
  <c r="BP17" i="12"/>
  <c r="BR17" i="12" s="1"/>
  <c r="BS17" i="12"/>
  <c r="BU17" i="12" s="1"/>
  <c r="B18" i="12"/>
  <c r="D18" i="12" s="1"/>
  <c r="B18" i="13" s="1"/>
  <c r="E18" i="12"/>
  <c r="G18" i="12" s="1"/>
  <c r="C18" i="13" s="1"/>
  <c r="H18" i="12"/>
  <c r="J18" i="12" s="1"/>
  <c r="D18" i="13" s="1"/>
  <c r="K18" i="12"/>
  <c r="M18" i="12" s="1"/>
  <c r="E18" i="13" s="1"/>
  <c r="N18" i="12"/>
  <c r="P18" i="12" s="1"/>
  <c r="F18" i="13" s="1"/>
  <c r="T18" i="12"/>
  <c r="V18" i="12" s="1"/>
  <c r="H18" i="13" s="1"/>
  <c r="W18" i="12"/>
  <c r="Y18" i="12" s="1"/>
  <c r="I18" i="13" s="1"/>
  <c r="Z18" i="12"/>
  <c r="AB18" i="12" s="1"/>
  <c r="J18" i="13" s="1"/>
  <c r="AC18" i="12"/>
  <c r="AE18" i="12" s="1"/>
  <c r="K18" i="13" s="1"/>
  <c r="AF18" i="12"/>
  <c r="AH18" i="12" s="1"/>
  <c r="AI18" i="12"/>
  <c r="AK18" i="12" s="1"/>
  <c r="AL18" i="12"/>
  <c r="AN18" i="12" s="1"/>
  <c r="AO18" i="12"/>
  <c r="AQ18" i="12" s="1"/>
  <c r="AR18" i="12"/>
  <c r="AT18" i="12" s="1"/>
  <c r="AU18" i="12"/>
  <c r="AW18" i="12" s="1"/>
  <c r="AX18" i="12"/>
  <c r="AZ18" i="12" s="1"/>
  <c r="BA18" i="12"/>
  <c r="BC18" i="12" s="1"/>
  <c r="BD18" i="12"/>
  <c r="BF18" i="12" s="1"/>
  <c r="BG18" i="12"/>
  <c r="BI18" i="12" s="1"/>
  <c r="BJ18" i="12"/>
  <c r="BL18" i="12" s="1"/>
  <c r="BM18" i="12"/>
  <c r="BO18" i="12" s="1"/>
  <c r="BP18" i="12"/>
  <c r="BR18" i="12" s="1"/>
  <c r="BS18" i="12"/>
  <c r="BU18" i="12" s="1"/>
  <c r="B19" i="12"/>
  <c r="D19" i="12" s="1"/>
  <c r="B19" i="13" s="1"/>
  <c r="E19" i="12"/>
  <c r="G19" i="12" s="1"/>
  <c r="C19" i="13" s="1"/>
  <c r="H19" i="12"/>
  <c r="J19" i="12" s="1"/>
  <c r="D19" i="13" s="1"/>
  <c r="K19" i="12"/>
  <c r="M19" i="12" s="1"/>
  <c r="E19" i="13" s="1"/>
  <c r="N19" i="12"/>
  <c r="P19" i="12" s="1"/>
  <c r="F19" i="13" s="1"/>
  <c r="T19" i="12"/>
  <c r="V19" i="12" s="1"/>
  <c r="H19" i="13" s="1"/>
  <c r="W19" i="12"/>
  <c r="Y19" i="12" s="1"/>
  <c r="I19" i="13" s="1"/>
  <c r="Z19" i="12"/>
  <c r="AB19" i="12" s="1"/>
  <c r="J19" i="13" s="1"/>
  <c r="AC19" i="12"/>
  <c r="AE19" i="12" s="1"/>
  <c r="K19" i="13" s="1"/>
  <c r="AF19" i="12"/>
  <c r="AH19" i="12" s="1"/>
  <c r="AI19" i="12"/>
  <c r="AK19" i="12" s="1"/>
  <c r="AL19" i="12"/>
  <c r="AN19" i="12" s="1"/>
  <c r="AO19" i="12"/>
  <c r="AQ19" i="12" s="1"/>
  <c r="AR19" i="12"/>
  <c r="AT19" i="12" s="1"/>
  <c r="AU19" i="12"/>
  <c r="AW19" i="12" s="1"/>
  <c r="AX19" i="12"/>
  <c r="AZ19" i="12" s="1"/>
  <c r="BA19" i="12"/>
  <c r="BC19" i="12" s="1"/>
  <c r="BD19" i="12"/>
  <c r="BF19" i="12" s="1"/>
  <c r="BG19" i="12"/>
  <c r="BI19" i="12" s="1"/>
  <c r="BJ19" i="12"/>
  <c r="BL19" i="12" s="1"/>
  <c r="BM19" i="12"/>
  <c r="BO19" i="12" s="1"/>
  <c r="BP19" i="12"/>
  <c r="BR19" i="12" s="1"/>
  <c r="BS19" i="12"/>
  <c r="BU19" i="12" s="1"/>
  <c r="B20" i="12"/>
  <c r="D20" i="12" s="1"/>
  <c r="B20" i="13" s="1"/>
  <c r="E20" i="12"/>
  <c r="G20" i="12" s="1"/>
  <c r="C20" i="13" s="1"/>
  <c r="H20" i="12"/>
  <c r="J20" i="12" s="1"/>
  <c r="D20" i="13" s="1"/>
  <c r="K20" i="12"/>
  <c r="M20" i="12" s="1"/>
  <c r="E20" i="13" s="1"/>
  <c r="N20" i="12"/>
  <c r="P20" i="12" s="1"/>
  <c r="F20" i="13" s="1"/>
  <c r="T20" i="12"/>
  <c r="V20" i="12" s="1"/>
  <c r="H20" i="13" s="1"/>
  <c r="W20" i="12"/>
  <c r="Y20" i="12" s="1"/>
  <c r="I20" i="13" s="1"/>
  <c r="Z20" i="12"/>
  <c r="AB20" i="12" s="1"/>
  <c r="J20" i="13" s="1"/>
  <c r="AC20" i="12"/>
  <c r="AE20" i="12" s="1"/>
  <c r="K20" i="13" s="1"/>
  <c r="AF20" i="12"/>
  <c r="AH20" i="12" s="1"/>
  <c r="AI20" i="12"/>
  <c r="AK20" i="12" s="1"/>
  <c r="AL20" i="12"/>
  <c r="AN20" i="12" s="1"/>
  <c r="AO20" i="12"/>
  <c r="AQ20" i="12" s="1"/>
  <c r="AR20" i="12"/>
  <c r="AT20" i="12" s="1"/>
  <c r="AU20" i="12"/>
  <c r="AW20" i="12" s="1"/>
  <c r="AX20" i="12"/>
  <c r="AZ20" i="12" s="1"/>
  <c r="BA20" i="12"/>
  <c r="BC20" i="12" s="1"/>
  <c r="BD20" i="12"/>
  <c r="BF20" i="12" s="1"/>
  <c r="BG20" i="12"/>
  <c r="BI20" i="12" s="1"/>
  <c r="BJ20" i="12"/>
  <c r="BL20" i="12" s="1"/>
  <c r="BM20" i="12"/>
  <c r="BO20" i="12" s="1"/>
  <c r="BP20" i="12"/>
  <c r="BR20" i="12" s="1"/>
  <c r="BS20" i="12"/>
  <c r="BU20" i="12" s="1"/>
  <c r="B21" i="12"/>
  <c r="D21" i="12" s="1"/>
  <c r="B21" i="13" s="1"/>
  <c r="E21" i="12"/>
  <c r="G21" i="12" s="1"/>
  <c r="C21" i="13" s="1"/>
  <c r="H21" i="12"/>
  <c r="J21" i="12" s="1"/>
  <c r="D21" i="13" s="1"/>
  <c r="K21" i="12"/>
  <c r="M21" i="12" s="1"/>
  <c r="E21" i="13" s="1"/>
  <c r="N21" i="12"/>
  <c r="P21" i="12" s="1"/>
  <c r="F21" i="13" s="1"/>
  <c r="T21" i="12"/>
  <c r="V21" i="12" s="1"/>
  <c r="H21" i="13" s="1"/>
  <c r="W21" i="12"/>
  <c r="Y21" i="12" s="1"/>
  <c r="I21" i="13" s="1"/>
  <c r="Z21" i="12"/>
  <c r="AB21" i="12" s="1"/>
  <c r="J21" i="13" s="1"/>
  <c r="AC21" i="12"/>
  <c r="AE21" i="12" s="1"/>
  <c r="K21" i="13" s="1"/>
  <c r="AF21" i="12"/>
  <c r="AH21" i="12" s="1"/>
  <c r="AI21" i="12"/>
  <c r="AK21" i="12" s="1"/>
  <c r="AL21" i="12"/>
  <c r="AN21" i="12"/>
  <c r="AO21" i="12"/>
  <c r="AQ21" i="12" s="1"/>
  <c r="AR21" i="12"/>
  <c r="AT21" i="12" s="1"/>
  <c r="AU21" i="12"/>
  <c r="AW21" i="12" s="1"/>
  <c r="AX21" i="12"/>
  <c r="AZ21" i="12" s="1"/>
  <c r="BA21" i="12"/>
  <c r="BC21" i="12" s="1"/>
  <c r="BD21" i="12"/>
  <c r="BF21" i="12" s="1"/>
  <c r="BG21" i="12"/>
  <c r="BI21" i="12" s="1"/>
  <c r="BJ21" i="12"/>
  <c r="BL21" i="12" s="1"/>
  <c r="BM21" i="12"/>
  <c r="BO21" i="12" s="1"/>
  <c r="BP21" i="12"/>
  <c r="BR21" i="12" s="1"/>
  <c r="BS21" i="12"/>
  <c r="BU21" i="12" s="1"/>
  <c r="B22" i="12"/>
  <c r="D22" i="12" s="1"/>
  <c r="B22" i="13" s="1"/>
  <c r="E22" i="12"/>
  <c r="G22" i="12" s="1"/>
  <c r="C22" i="13" s="1"/>
  <c r="H22" i="12"/>
  <c r="J22" i="12" s="1"/>
  <c r="D22" i="13" s="1"/>
  <c r="K22" i="12"/>
  <c r="M22" i="12" s="1"/>
  <c r="E22" i="13" s="1"/>
  <c r="N22" i="12"/>
  <c r="P22" i="12" s="1"/>
  <c r="F22" i="13" s="1"/>
  <c r="T22" i="12"/>
  <c r="V22" i="12" s="1"/>
  <c r="H22" i="13" s="1"/>
  <c r="W22" i="12"/>
  <c r="Y22" i="12" s="1"/>
  <c r="I22" i="13" s="1"/>
  <c r="Z22" i="12"/>
  <c r="AB22" i="12" s="1"/>
  <c r="J22" i="13" s="1"/>
  <c r="AC22" i="12"/>
  <c r="AE22" i="12" s="1"/>
  <c r="K22" i="13" s="1"/>
  <c r="AF22" i="12"/>
  <c r="AH22" i="12" s="1"/>
  <c r="AI22" i="12"/>
  <c r="AK22" i="12" s="1"/>
  <c r="AL22" i="12"/>
  <c r="AN22" i="12" s="1"/>
  <c r="AO22" i="12"/>
  <c r="AQ22" i="12" s="1"/>
  <c r="AR22" i="12"/>
  <c r="AT22" i="12" s="1"/>
  <c r="AU22" i="12"/>
  <c r="AW22" i="12" s="1"/>
  <c r="AX22" i="12"/>
  <c r="AZ22" i="12" s="1"/>
  <c r="BA22" i="12"/>
  <c r="BC22" i="12" s="1"/>
  <c r="BD22" i="12"/>
  <c r="BF22" i="12" s="1"/>
  <c r="BG22" i="12"/>
  <c r="BI22" i="12" s="1"/>
  <c r="BJ22" i="12"/>
  <c r="BL22" i="12" s="1"/>
  <c r="BM22" i="12"/>
  <c r="BO22" i="12" s="1"/>
  <c r="BP22" i="12"/>
  <c r="BR22" i="12" s="1"/>
  <c r="BS22" i="12"/>
  <c r="BU22" i="12" s="1"/>
  <c r="B23" i="12"/>
  <c r="D23" i="12" s="1"/>
  <c r="B23" i="13" s="1"/>
  <c r="E23" i="12"/>
  <c r="G23" i="12" s="1"/>
  <c r="C23" i="13" s="1"/>
  <c r="H23" i="12"/>
  <c r="J23" i="12" s="1"/>
  <c r="D23" i="13" s="1"/>
  <c r="K23" i="12"/>
  <c r="M23" i="12" s="1"/>
  <c r="E23" i="13" s="1"/>
  <c r="N23" i="12"/>
  <c r="P23" i="12" s="1"/>
  <c r="F23" i="13" s="1"/>
  <c r="T23" i="12"/>
  <c r="V23" i="12" s="1"/>
  <c r="H23" i="13" s="1"/>
  <c r="W23" i="12"/>
  <c r="Y23" i="12" s="1"/>
  <c r="I23" i="13" s="1"/>
  <c r="Z23" i="12"/>
  <c r="AB23" i="12"/>
  <c r="J23" i="13" s="1"/>
  <c r="AC23" i="12"/>
  <c r="AE23" i="12" s="1"/>
  <c r="K23" i="13" s="1"/>
  <c r="AF23" i="12"/>
  <c r="AH23" i="12" s="1"/>
  <c r="AI23" i="12"/>
  <c r="AK23" i="12" s="1"/>
  <c r="AL23" i="12"/>
  <c r="AN23" i="12" s="1"/>
  <c r="AO23" i="12"/>
  <c r="AQ23" i="12"/>
  <c r="AR23" i="12"/>
  <c r="AT23" i="12" s="1"/>
  <c r="AU23" i="12"/>
  <c r="AW23" i="12" s="1"/>
  <c r="AX23" i="12"/>
  <c r="AZ23" i="12"/>
  <c r="BA23" i="12"/>
  <c r="BC23" i="12" s="1"/>
  <c r="BD23" i="12"/>
  <c r="BF23" i="12" s="1"/>
  <c r="BG23" i="12"/>
  <c r="BI23" i="12" s="1"/>
  <c r="BJ23" i="12"/>
  <c r="BL23" i="12" s="1"/>
  <c r="BM23" i="12"/>
  <c r="BO23" i="12" s="1"/>
  <c r="BP23" i="12"/>
  <c r="BR23" i="12" s="1"/>
  <c r="BS23" i="12"/>
  <c r="BU23" i="12" s="1"/>
  <c r="B24" i="12"/>
  <c r="D24" i="12" s="1"/>
  <c r="B24" i="13" s="1"/>
  <c r="E24" i="12"/>
  <c r="G24" i="12" s="1"/>
  <c r="C24" i="13" s="1"/>
  <c r="H24" i="12"/>
  <c r="J24" i="12" s="1"/>
  <c r="D24" i="13" s="1"/>
  <c r="K24" i="12"/>
  <c r="M24" i="12" s="1"/>
  <c r="E24" i="13" s="1"/>
  <c r="N24" i="12"/>
  <c r="P24" i="12" s="1"/>
  <c r="F24" i="13" s="1"/>
  <c r="T24" i="12"/>
  <c r="V24" i="12" s="1"/>
  <c r="H24" i="13" s="1"/>
  <c r="W24" i="12"/>
  <c r="Y24" i="12" s="1"/>
  <c r="I24" i="13" s="1"/>
  <c r="Z24" i="12"/>
  <c r="AB24" i="12" s="1"/>
  <c r="J24" i="13" s="1"/>
  <c r="AC24" i="12"/>
  <c r="AE24" i="12" s="1"/>
  <c r="K24" i="13" s="1"/>
  <c r="AF24" i="12"/>
  <c r="AH24" i="12" s="1"/>
  <c r="AI24" i="12"/>
  <c r="AK24" i="12" s="1"/>
  <c r="AL24" i="12"/>
  <c r="AN24" i="12" s="1"/>
  <c r="AO24" i="12"/>
  <c r="AQ24" i="12" s="1"/>
  <c r="AR24" i="12"/>
  <c r="AT24" i="12" s="1"/>
  <c r="AU24" i="12"/>
  <c r="AW24" i="12" s="1"/>
  <c r="AX24" i="12"/>
  <c r="AZ24" i="12"/>
  <c r="BA24" i="12"/>
  <c r="BC24" i="12" s="1"/>
  <c r="BD24" i="12"/>
  <c r="BF24" i="12" s="1"/>
  <c r="BG24" i="12"/>
  <c r="BI24" i="12" s="1"/>
  <c r="BJ24" i="12"/>
  <c r="BL24" i="12" s="1"/>
  <c r="BM24" i="12"/>
  <c r="BO24" i="12" s="1"/>
  <c r="BP24" i="12"/>
  <c r="BR24" i="12" s="1"/>
  <c r="BS24" i="12"/>
  <c r="BU24" i="12" s="1"/>
  <c r="B25" i="12"/>
  <c r="D25" i="12" s="1"/>
  <c r="B25" i="13" s="1"/>
  <c r="E25" i="12"/>
  <c r="G25" i="12" s="1"/>
  <c r="C25" i="13" s="1"/>
  <c r="H25" i="12"/>
  <c r="J25" i="12" s="1"/>
  <c r="D25" i="13" s="1"/>
  <c r="K25" i="12"/>
  <c r="M25" i="12" s="1"/>
  <c r="E25" i="13" s="1"/>
  <c r="N25" i="12"/>
  <c r="P25" i="12" s="1"/>
  <c r="F25" i="13" s="1"/>
  <c r="T25" i="12"/>
  <c r="V25" i="12" s="1"/>
  <c r="H25" i="13" s="1"/>
  <c r="W25" i="12"/>
  <c r="Y25" i="12" s="1"/>
  <c r="I25" i="13" s="1"/>
  <c r="Z25" i="12"/>
  <c r="AB25" i="12" s="1"/>
  <c r="J25" i="13" s="1"/>
  <c r="AC25" i="12"/>
  <c r="AE25" i="12" s="1"/>
  <c r="K25" i="13" s="1"/>
  <c r="AF25" i="12"/>
  <c r="AH25" i="12" s="1"/>
  <c r="AI25" i="12"/>
  <c r="AK25" i="12" s="1"/>
  <c r="AL25" i="12"/>
  <c r="AN25" i="12" s="1"/>
  <c r="AO25" i="12"/>
  <c r="AQ25" i="12" s="1"/>
  <c r="AR25" i="12"/>
  <c r="AT25" i="12" s="1"/>
  <c r="AU25" i="12"/>
  <c r="AW25" i="12" s="1"/>
  <c r="AX25" i="12"/>
  <c r="AZ25" i="12"/>
  <c r="BA25" i="12"/>
  <c r="BC25" i="12" s="1"/>
  <c r="BD25" i="12"/>
  <c r="BF25" i="12" s="1"/>
  <c r="BG25" i="12"/>
  <c r="BI25" i="12" s="1"/>
  <c r="BJ25" i="12"/>
  <c r="BL25" i="12" s="1"/>
  <c r="BM25" i="12"/>
  <c r="BO25" i="12" s="1"/>
  <c r="BP25" i="12"/>
  <c r="BR25" i="12" s="1"/>
  <c r="BS25" i="12"/>
  <c r="BU25" i="12" s="1"/>
  <c r="B26" i="12"/>
  <c r="D26" i="12" s="1"/>
  <c r="B26" i="13" s="1"/>
  <c r="E26" i="12"/>
  <c r="G26" i="12" s="1"/>
  <c r="C26" i="13" s="1"/>
  <c r="H26" i="12"/>
  <c r="J26" i="12" s="1"/>
  <c r="D26" i="13" s="1"/>
  <c r="K26" i="12"/>
  <c r="M26" i="12" s="1"/>
  <c r="E26" i="13" s="1"/>
  <c r="N26" i="12"/>
  <c r="P26" i="12" s="1"/>
  <c r="F26" i="13" s="1"/>
  <c r="T26" i="12"/>
  <c r="V26" i="12" s="1"/>
  <c r="H26" i="13" s="1"/>
  <c r="W26" i="12"/>
  <c r="Y26" i="12" s="1"/>
  <c r="I26" i="13" s="1"/>
  <c r="Z26" i="12"/>
  <c r="AB26" i="12" s="1"/>
  <c r="J26" i="13" s="1"/>
  <c r="AC26" i="12"/>
  <c r="AE26" i="12" s="1"/>
  <c r="K26" i="13" s="1"/>
  <c r="AF26" i="12"/>
  <c r="AH26" i="12" s="1"/>
  <c r="AI26" i="12"/>
  <c r="AK26" i="12" s="1"/>
  <c r="AL26" i="12"/>
  <c r="AN26" i="12" s="1"/>
  <c r="AO26" i="12"/>
  <c r="AQ26" i="12" s="1"/>
  <c r="AR26" i="12"/>
  <c r="AT26" i="12" s="1"/>
  <c r="AU26" i="12"/>
  <c r="AW26" i="12" s="1"/>
  <c r="AX26" i="12"/>
  <c r="AZ26" i="12" s="1"/>
  <c r="BA26" i="12"/>
  <c r="BC26" i="12" s="1"/>
  <c r="BD26" i="12"/>
  <c r="BF26" i="12" s="1"/>
  <c r="BG26" i="12"/>
  <c r="BI26" i="12" s="1"/>
  <c r="BJ26" i="12"/>
  <c r="BL26" i="12" s="1"/>
  <c r="BM26" i="12"/>
  <c r="BO26" i="12" s="1"/>
  <c r="BP26" i="12"/>
  <c r="BR26" i="12" s="1"/>
  <c r="BS26" i="12"/>
  <c r="BU26" i="12" s="1"/>
  <c r="B27" i="12"/>
  <c r="D27" i="12" s="1"/>
  <c r="B27" i="13" s="1"/>
  <c r="E27" i="12"/>
  <c r="G27" i="12" s="1"/>
  <c r="C27" i="13" s="1"/>
  <c r="H27" i="12"/>
  <c r="J27" i="12" s="1"/>
  <c r="D27" i="13" s="1"/>
  <c r="K27" i="12"/>
  <c r="M27" i="12" s="1"/>
  <c r="E27" i="13" s="1"/>
  <c r="N27" i="12"/>
  <c r="P27" i="12" s="1"/>
  <c r="F27" i="13" s="1"/>
  <c r="T27" i="12"/>
  <c r="V27" i="12" s="1"/>
  <c r="H27" i="13" s="1"/>
  <c r="W27" i="12"/>
  <c r="Y27" i="12" s="1"/>
  <c r="I27" i="13" s="1"/>
  <c r="Z27" i="12"/>
  <c r="AB27" i="12" s="1"/>
  <c r="J27" i="13" s="1"/>
  <c r="AC27" i="12"/>
  <c r="AE27" i="12" s="1"/>
  <c r="K27" i="13" s="1"/>
  <c r="AF27" i="12"/>
  <c r="AH27" i="12" s="1"/>
  <c r="AI27" i="12"/>
  <c r="AK27" i="12" s="1"/>
  <c r="AL27" i="12"/>
  <c r="AN27" i="12" s="1"/>
  <c r="AO27" i="12"/>
  <c r="AQ27" i="12" s="1"/>
  <c r="AR27" i="12"/>
  <c r="AT27" i="12" s="1"/>
  <c r="AU27" i="12"/>
  <c r="AW27" i="12" s="1"/>
  <c r="AX27" i="12"/>
  <c r="AZ27" i="12" s="1"/>
  <c r="BA27" i="12"/>
  <c r="BC27" i="12" s="1"/>
  <c r="BD27" i="12"/>
  <c r="BF27" i="12" s="1"/>
  <c r="BG27" i="12"/>
  <c r="BI27" i="12" s="1"/>
  <c r="BJ27" i="12"/>
  <c r="BL27" i="12" s="1"/>
  <c r="BM27" i="12"/>
  <c r="BO27" i="12" s="1"/>
  <c r="BP27" i="12"/>
  <c r="BR27" i="12" s="1"/>
  <c r="BS27" i="12"/>
  <c r="BU27" i="12" s="1"/>
  <c r="B28" i="12"/>
  <c r="D28" i="12" s="1"/>
  <c r="B28" i="13" s="1"/>
  <c r="E28" i="12"/>
  <c r="G28" i="12" s="1"/>
  <c r="C28" i="13" s="1"/>
  <c r="H28" i="12"/>
  <c r="J28" i="12" s="1"/>
  <c r="D28" i="13" s="1"/>
  <c r="K28" i="12"/>
  <c r="M28" i="12" s="1"/>
  <c r="E28" i="13" s="1"/>
  <c r="N28" i="12"/>
  <c r="P28" i="12" s="1"/>
  <c r="F28" i="13" s="1"/>
  <c r="T28" i="12"/>
  <c r="V28" i="12" s="1"/>
  <c r="H28" i="13" s="1"/>
  <c r="W28" i="12"/>
  <c r="Y28" i="12" s="1"/>
  <c r="I28" i="13" s="1"/>
  <c r="Z28" i="12"/>
  <c r="AB28" i="12" s="1"/>
  <c r="J28" i="13" s="1"/>
  <c r="AC28" i="12"/>
  <c r="AE28" i="12" s="1"/>
  <c r="K28" i="13" s="1"/>
  <c r="AF28" i="12"/>
  <c r="AH28" i="12" s="1"/>
  <c r="AI28" i="12"/>
  <c r="AK28" i="12" s="1"/>
  <c r="AL28" i="12"/>
  <c r="AN28" i="12" s="1"/>
  <c r="AO28" i="12"/>
  <c r="AQ28" i="12" s="1"/>
  <c r="AR28" i="12"/>
  <c r="AT28" i="12" s="1"/>
  <c r="AU28" i="12"/>
  <c r="AW28" i="12" s="1"/>
  <c r="AX28" i="12"/>
  <c r="AZ28" i="12"/>
  <c r="BA28" i="12"/>
  <c r="BC28" i="12" s="1"/>
  <c r="BD28" i="12"/>
  <c r="BF28" i="12" s="1"/>
  <c r="BG28" i="12"/>
  <c r="BI28" i="12" s="1"/>
  <c r="BJ28" i="12"/>
  <c r="BL28" i="12" s="1"/>
  <c r="BM28" i="12"/>
  <c r="BO28" i="12" s="1"/>
  <c r="BP28" i="12"/>
  <c r="BR28" i="12" s="1"/>
  <c r="BS28" i="12"/>
  <c r="BU28" i="12" s="1"/>
  <c r="B29" i="12"/>
  <c r="D29" i="12" s="1"/>
  <c r="B29" i="13" s="1"/>
  <c r="E29" i="12"/>
  <c r="G29" i="12" s="1"/>
  <c r="C29" i="13" s="1"/>
  <c r="H29" i="12"/>
  <c r="J29" i="12" s="1"/>
  <c r="D29" i="13" s="1"/>
  <c r="K29" i="12"/>
  <c r="M29" i="12" s="1"/>
  <c r="E29" i="13" s="1"/>
  <c r="N29" i="12"/>
  <c r="P29" i="12" s="1"/>
  <c r="F29" i="13" s="1"/>
  <c r="T29" i="12"/>
  <c r="V29" i="12" s="1"/>
  <c r="H29" i="13" s="1"/>
  <c r="W29" i="12"/>
  <c r="Y29" i="12" s="1"/>
  <c r="I29" i="13" s="1"/>
  <c r="Z29" i="12"/>
  <c r="AB29" i="12" s="1"/>
  <c r="J29" i="13" s="1"/>
  <c r="AC29" i="12"/>
  <c r="AE29" i="12" s="1"/>
  <c r="K29" i="13" s="1"/>
  <c r="AF29" i="12"/>
  <c r="AH29" i="12" s="1"/>
  <c r="AI29" i="12"/>
  <c r="AK29" i="12" s="1"/>
  <c r="AL29" i="12"/>
  <c r="AN29" i="12" s="1"/>
  <c r="AO29" i="12"/>
  <c r="AQ29" i="12" s="1"/>
  <c r="AR29" i="12"/>
  <c r="AT29" i="12" s="1"/>
  <c r="AU29" i="12"/>
  <c r="AW29" i="12" s="1"/>
  <c r="AX29" i="12"/>
  <c r="AZ29" i="12" s="1"/>
  <c r="BA29" i="12"/>
  <c r="BC29" i="12" s="1"/>
  <c r="BD29" i="12"/>
  <c r="BF29" i="12" s="1"/>
  <c r="BG29" i="12"/>
  <c r="BI29" i="12" s="1"/>
  <c r="BJ29" i="12"/>
  <c r="BL29" i="12" s="1"/>
  <c r="BM29" i="12"/>
  <c r="BO29" i="12" s="1"/>
  <c r="BP29" i="12"/>
  <c r="BR29" i="12" s="1"/>
  <c r="BS29" i="12"/>
  <c r="BU29" i="12" s="1"/>
  <c r="B30" i="12"/>
  <c r="D30" i="12" s="1"/>
  <c r="B30" i="13" s="1"/>
  <c r="E30" i="12"/>
  <c r="G30" i="12" s="1"/>
  <c r="C30" i="13" s="1"/>
  <c r="H30" i="12"/>
  <c r="J30" i="12" s="1"/>
  <c r="D30" i="13" s="1"/>
  <c r="K30" i="12"/>
  <c r="M30" i="12" s="1"/>
  <c r="E30" i="13" s="1"/>
  <c r="N30" i="12"/>
  <c r="P30" i="12" s="1"/>
  <c r="F30" i="13" s="1"/>
  <c r="S30" i="12"/>
  <c r="G30" i="13" s="1"/>
  <c r="T30" i="12"/>
  <c r="V30" i="12" s="1"/>
  <c r="H30" i="13" s="1"/>
  <c r="W30" i="12"/>
  <c r="Y30" i="12" s="1"/>
  <c r="I30" i="13" s="1"/>
  <c r="Z30" i="12"/>
  <c r="AB30" i="12" s="1"/>
  <c r="J30" i="13" s="1"/>
  <c r="AC30" i="12"/>
  <c r="AE30" i="12" s="1"/>
  <c r="K30" i="13" s="1"/>
  <c r="AF30" i="12"/>
  <c r="AH30" i="12" s="1"/>
  <c r="AI30" i="12"/>
  <c r="AK30" i="12" s="1"/>
  <c r="AL30" i="12"/>
  <c r="AN30" i="12" s="1"/>
  <c r="AO30" i="12"/>
  <c r="AQ30" i="12" s="1"/>
  <c r="AR30" i="12"/>
  <c r="AT30" i="12" s="1"/>
  <c r="AU30" i="12"/>
  <c r="AW30" i="12" s="1"/>
  <c r="AX30" i="12"/>
  <c r="AZ30" i="12" s="1"/>
  <c r="BA30" i="12"/>
  <c r="BC30" i="12" s="1"/>
  <c r="BD30" i="12"/>
  <c r="BF30" i="12" s="1"/>
  <c r="BG30" i="12"/>
  <c r="BI30" i="12" s="1"/>
  <c r="BJ30" i="12"/>
  <c r="BL30" i="12" s="1"/>
  <c r="BM30" i="12"/>
  <c r="BO30" i="12" s="1"/>
  <c r="BP30" i="12"/>
  <c r="BR30" i="12" s="1"/>
  <c r="BS30" i="12"/>
  <c r="BU30" i="12" s="1"/>
  <c r="B31" i="12"/>
  <c r="D31" i="12"/>
  <c r="B31" i="13" s="1"/>
  <c r="E31" i="12"/>
  <c r="G31" i="12" s="1"/>
  <c r="C31" i="13" s="1"/>
  <c r="H31" i="12"/>
  <c r="J31" i="12" s="1"/>
  <c r="D31" i="13" s="1"/>
  <c r="K31" i="12"/>
  <c r="M31" i="12" s="1"/>
  <c r="E31" i="13" s="1"/>
  <c r="N31" i="12"/>
  <c r="P31" i="12" s="1"/>
  <c r="F31" i="13" s="1"/>
  <c r="T31" i="12"/>
  <c r="V31" i="12" s="1"/>
  <c r="H31" i="13" s="1"/>
  <c r="W31" i="12"/>
  <c r="Y31" i="12" s="1"/>
  <c r="I31" i="13" s="1"/>
  <c r="Z31" i="12"/>
  <c r="AB31" i="12" s="1"/>
  <c r="J31" i="13" s="1"/>
  <c r="AC31" i="12"/>
  <c r="AE31" i="12" s="1"/>
  <c r="K31" i="13" s="1"/>
  <c r="AF31" i="12"/>
  <c r="AH31" i="12" s="1"/>
  <c r="AI31" i="12"/>
  <c r="AK31" i="12" s="1"/>
  <c r="AL31" i="12"/>
  <c r="AN31" i="12" s="1"/>
  <c r="AO31" i="12"/>
  <c r="AQ31" i="12" s="1"/>
  <c r="AR31" i="12"/>
  <c r="AT31" i="12" s="1"/>
  <c r="AU31" i="12"/>
  <c r="AW31" i="12" s="1"/>
  <c r="AX31" i="12"/>
  <c r="AZ31" i="12" s="1"/>
  <c r="BA31" i="12"/>
  <c r="BC31" i="12" s="1"/>
  <c r="BD31" i="12"/>
  <c r="BF31" i="12" s="1"/>
  <c r="BG31" i="12"/>
  <c r="BI31" i="12" s="1"/>
  <c r="BJ31" i="12"/>
  <c r="BL31" i="12" s="1"/>
  <c r="BM31" i="12"/>
  <c r="BO31" i="12" s="1"/>
  <c r="BP31" i="12"/>
  <c r="BR31" i="12" s="1"/>
  <c r="BS31" i="12"/>
  <c r="BU31" i="12" s="1"/>
  <c r="B32" i="12"/>
  <c r="D32" i="12" s="1"/>
  <c r="B32" i="13" s="1"/>
  <c r="E32" i="12"/>
  <c r="G32" i="12" s="1"/>
  <c r="C32" i="13" s="1"/>
  <c r="H32" i="12"/>
  <c r="J32" i="12" s="1"/>
  <c r="D32" i="13" s="1"/>
  <c r="K32" i="12"/>
  <c r="M32" i="12" s="1"/>
  <c r="E32" i="13" s="1"/>
  <c r="N32" i="12"/>
  <c r="P32" i="12" s="1"/>
  <c r="F32" i="13" s="1"/>
  <c r="T32" i="12"/>
  <c r="V32" i="12" s="1"/>
  <c r="H32" i="13" s="1"/>
  <c r="W32" i="12"/>
  <c r="Y32" i="12" s="1"/>
  <c r="I32" i="13" s="1"/>
  <c r="Z32" i="12"/>
  <c r="AB32" i="12" s="1"/>
  <c r="J32" i="13" s="1"/>
  <c r="AC32" i="12"/>
  <c r="AE32" i="12" s="1"/>
  <c r="K32" i="13" s="1"/>
  <c r="AF32" i="12"/>
  <c r="AH32" i="12" s="1"/>
  <c r="AI32" i="12"/>
  <c r="AK32" i="12" s="1"/>
  <c r="AL32" i="12"/>
  <c r="AN32" i="12" s="1"/>
  <c r="AO32" i="12"/>
  <c r="AQ32" i="12" s="1"/>
  <c r="AR32" i="12"/>
  <c r="AT32" i="12" s="1"/>
  <c r="AU32" i="12"/>
  <c r="AW32" i="12" s="1"/>
  <c r="AX32" i="12"/>
  <c r="AZ32" i="12" s="1"/>
  <c r="BA32" i="12"/>
  <c r="BC32" i="12" s="1"/>
  <c r="BD32" i="12"/>
  <c r="BF32" i="12" s="1"/>
  <c r="BG32" i="12"/>
  <c r="BI32" i="12" s="1"/>
  <c r="BJ32" i="12"/>
  <c r="BL32" i="12" s="1"/>
  <c r="BM32" i="12"/>
  <c r="BO32" i="12" s="1"/>
  <c r="BP32" i="12"/>
  <c r="BR32" i="12" s="1"/>
  <c r="BS32" i="12"/>
  <c r="BU32" i="12" s="1"/>
  <c r="B33" i="12"/>
  <c r="D33" i="12" s="1"/>
  <c r="B33" i="13" s="1"/>
  <c r="E33" i="12"/>
  <c r="G33" i="12" s="1"/>
  <c r="C33" i="13" s="1"/>
  <c r="H33" i="12"/>
  <c r="J33" i="12" s="1"/>
  <c r="D33" i="13" s="1"/>
  <c r="K33" i="12"/>
  <c r="M33" i="12" s="1"/>
  <c r="E33" i="13" s="1"/>
  <c r="N33" i="12"/>
  <c r="P33" i="12" s="1"/>
  <c r="F33" i="13" s="1"/>
  <c r="T33" i="12"/>
  <c r="V33" i="12" s="1"/>
  <c r="H33" i="13" s="1"/>
  <c r="W33" i="12"/>
  <c r="Y33" i="12" s="1"/>
  <c r="I33" i="13" s="1"/>
  <c r="Z33" i="12"/>
  <c r="AB33" i="12" s="1"/>
  <c r="J33" i="13" s="1"/>
  <c r="AC33" i="12"/>
  <c r="AE33" i="12" s="1"/>
  <c r="K33" i="13" s="1"/>
  <c r="AF33" i="12"/>
  <c r="AH33" i="12" s="1"/>
  <c r="AI33" i="12"/>
  <c r="AK33" i="12" s="1"/>
  <c r="AL33" i="12"/>
  <c r="AN33" i="12" s="1"/>
  <c r="AO33" i="12"/>
  <c r="AQ33" i="12" s="1"/>
  <c r="AR33" i="12"/>
  <c r="AT33" i="12" s="1"/>
  <c r="AU33" i="12"/>
  <c r="AW33" i="12" s="1"/>
  <c r="AX33" i="12"/>
  <c r="AZ33" i="12" s="1"/>
  <c r="BA33" i="12"/>
  <c r="BC33" i="12" s="1"/>
  <c r="BD33" i="12"/>
  <c r="BF33" i="12" s="1"/>
  <c r="BG33" i="12"/>
  <c r="BI33" i="12" s="1"/>
  <c r="BJ33" i="12"/>
  <c r="BL33" i="12" s="1"/>
  <c r="BM33" i="12"/>
  <c r="BO33" i="12" s="1"/>
  <c r="BP33" i="12"/>
  <c r="BR33" i="12" s="1"/>
  <c r="BS33" i="12"/>
  <c r="BU33" i="12" s="1"/>
  <c r="B34" i="12"/>
  <c r="D34" i="12"/>
  <c r="B34" i="13" s="1"/>
  <c r="E34" i="12"/>
  <c r="G34" i="12" s="1"/>
  <c r="C34" i="13" s="1"/>
  <c r="H34" i="12"/>
  <c r="J34" i="12" s="1"/>
  <c r="D34" i="13" s="1"/>
  <c r="K34" i="12"/>
  <c r="M34" i="12" s="1"/>
  <c r="E34" i="13" s="1"/>
  <c r="N34" i="12"/>
  <c r="P34" i="12" s="1"/>
  <c r="F34" i="13" s="1"/>
  <c r="T34" i="12"/>
  <c r="V34" i="12" s="1"/>
  <c r="H34" i="13" s="1"/>
  <c r="W34" i="12"/>
  <c r="Y34" i="12" s="1"/>
  <c r="I34" i="13" s="1"/>
  <c r="Z34" i="12"/>
  <c r="AB34" i="12" s="1"/>
  <c r="J34" i="13" s="1"/>
  <c r="AC34" i="12"/>
  <c r="AE34" i="12" s="1"/>
  <c r="K34" i="13" s="1"/>
  <c r="AF34" i="12"/>
  <c r="AH34" i="12" s="1"/>
  <c r="AI34" i="12"/>
  <c r="AK34" i="12" s="1"/>
  <c r="AL34" i="12"/>
  <c r="AN34" i="12" s="1"/>
  <c r="AO34" i="12"/>
  <c r="AQ34" i="12" s="1"/>
  <c r="AR34" i="12"/>
  <c r="AT34" i="12" s="1"/>
  <c r="AU34" i="12"/>
  <c r="AW34" i="12" s="1"/>
  <c r="AX34" i="12"/>
  <c r="AZ34" i="12" s="1"/>
  <c r="BA34" i="12"/>
  <c r="BC34" i="12" s="1"/>
  <c r="BD34" i="12"/>
  <c r="BF34" i="12" s="1"/>
  <c r="BG34" i="12"/>
  <c r="BI34" i="12" s="1"/>
  <c r="BJ34" i="12"/>
  <c r="BL34" i="12" s="1"/>
  <c r="BM34" i="12"/>
  <c r="BO34" i="12" s="1"/>
  <c r="BP34" i="12"/>
  <c r="BR34" i="12" s="1"/>
  <c r="BS34" i="12"/>
  <c r="BU34" i="12" s="1"/>
  <c r="B35" i="12"/>
  <c r="D35" i="12" s="1"/>
  <c r="B35" i="13" s="1"/>
  <c r="E35" i="12"/>
  <c r="G35" i="12" s="1"/>
  <c r="C35" i="13" s="1"/>
  <c r="H35" i="12"/>
  <c r="J35" i="12" s="1"/>
  <c r="D35" i="13" s="1"/>
  <c r="K35" i="12"/>
  <c r="M35" i="12" s="1"/>
  <c r="E35" i="13" s="1"/>
  <c r="N35" i="12"/>
  <c r="P35" i="12" s="1"/>
  <c r="F35" i="13" s="1"/>
  <c r="S35" i="12"/>
  <c r="G35" i="13" s="1"/>
  <c r="T35" i="12"/>
  <c r="V35" i="12" s="1"/>
  <c r="H35" i="13" s="1"/>
  <c r="W35" i="12"/>
  <c r="Y35" i="12" s="1"/>
  <c r="I35" i="13" s="1"/>
  <c r="Z35" i="12"/>
  <c r="AB35" i="12" s="1"/>
  <c r="J35" i="13" s="1"/>
  <c r="AC35" i="12"/>
  <c r="AE35" i="12" s="1"/>
  <c r="K35" i="13" s="1"/>
  <c r="AF35" i="12"/>
  <c r="AH35" i="12" s="1"/>
  <c r="AI35" i="12"/>
  <c r="AK35" i="12" s="1"/>
  <c r="AL35" i="12"/>
  <c r="AN35" i="12" s="1"/>
  <c r="AO35" i="12"/>
  <c r="AQ35" i="12" s="1"/>
  <c r="AR35" i="12"/>
  <c r="AT35" i="12" s="1"/>
  <c r="AU35" i="12"/>
  <c r="AW35" i="12" s="1"/>
  <c r="AX35" i="12"/>
  <c r="AZ35" i="12" s="1"/>
  <c r="BA35" i="12"/>
  <c r="BC35" i="12" s="1"/>
  <c r="BD35" i="12"/>
  <c r="BF35" i="12" s="1"/>
  <c r="BG35" i="12"/>
  <c r="BI35" i="12" s="1"/>
  <c r="BJ35" i="12"/>
  <c r="BL35" i="12" s="1"/>
  <c r="BM35" i="12"/>
  <c r="BO35" i="12" s="1"/>
  <c r="BP35" i="12"/>
  <c r="BR35" i="12" s="1"/>
  <c r="BS35" i="12"/>
  <c r="BU35" i="12" s="1"/>
  <c r="B36" i="12"/>
  <c r="D36" i="12" s="1"/>
  <c r="B36" i="13" s="1"/>
  <c r="E36" i="12"/>
  <c r="G36" i="12" s="1"/>
  <c r="C36" i="13" s="1"/>
  <c r="H36" i="12"/>
  <c r="J36" i="12" s="1"/>
  <c r="D36" i="13" s="1"/>
  <c r="K36" i="12"/>
  <c r="M36" i="12" s="1"/>
  <c r="E36" i="13" s="1"/>
  <c r="N36" i="12"/>
  <c r="P36" i="12" s="1"/>
  <c r="F36" i="13" s="1"/>
  <c r="T36" i="12"/>
  <c r="V36" i="12" s="1"/>
  <c r="H36" i="13" s="1"/>
  <c r="W36" i="12"/>
  <c r="Y36" i="12" s="1"/>
  <c r="I36" i="13" s="1"/>
  <c r="Z36" i="12"/>
  <c r="AB36" i="12" s="1"/>
  <c r="J36" i="13" s="1"/>
  <c r="AC36" i="12"/>
  <c r="AE36" i="12" s="1"/>
  <c r="K36" i="13" s="1"/>
  <c r="AF36" i="12"/>
  <c r="AH36" i="12" s="1"/>
  <c r="AI36" i="12"/>
  <c r="AK36" i="12" s="1"/>
  <c r="AL36" i="12"/>
  <c r="AN36" i="12" s="1"/>
  <c r="AO36" i="12"/>
  <c r="AQ36" i="12" s="1"/>
  <c r="AR36" i="12"/>
  <c r="AT36" i="12" s="1"/>
  <c r="AU36" i="12"/>
  <c r="AW36" i="12" s="1"/>
  <c r="AX36" i="12"/>
  <c r="AZ36" i="12" s="1"/>
  <c r="BA36" i="12"/>
  <c r="BC36" i="12" s="1"/>
  <c r="BD36" i="12"/>
  <c r="BF36" i="12" s="1"/>
  <c r="BG36" i="12"/>
  <c r="BI36" i="12" s="1"/>
  <c r="BJ36" i="12"/>
  <c r="BL36" i="12" s="1"/>
  <c r="BM36" i="12"/>
  <c r="BO36" i="12" s="1"/>
  <c r="BP36" i="12"/>
  <c r="BR36" i="12" s="1"/>
  <c r="BS36" i="12"/>
  <c r="BU36" i="12" s="1"/>
  <c r="B37" i="12"/>
  <c r="D37" i="12" s="1"/>
  <c r="B37" i="13" s="1"/>
  <c r="E37" i="12"/>
  <c r="G37" i="12" s="1"/>
  <c r="C37" i="13" s="1"/>
  <c r="H37" i="12"/>
  <c r="J37" i="12" s="1"/>
  <c r="D37" i="13" s="1"/>
  <c r="K37" i="12"/>
  <c r="N37" i="12"/>
  <c r="T37" i="12"/>
  <c r="V37" i="12" s="1"/>
  <c r="H37" i="13" s="1"/>
  <c r="W37" i="12"/>
  <c r="Y37" i="12" s="1"/>
  <c r="I37" i="13" s="1"/>
  <c r="Z37" i="12"/>
  <c r="AB37" i="12" s="1"/>
  <c r="J37" i="13" s="1"/>
  <c r="AC37" i="12"/>
  <c r="AE37" i="12" s="1"/>
  <c r="K37" i="13" s="1"/>
  <c r="AF37" i="12"/>
  <c r="AH37" i="12" s="1"/>
  <c r="AI37" i="12"/>
  <c r="AK37" i="12" s="1"/>
  <c r="AL37" i="12"/>
  <c r="AN37" i="12" s="1"/>
  <c r="AO37" i="12"/>
  <c r="AQ37" i="12" s="1"/>
  <c r="AR37" i="12"/>
  <c r="AT37" i="12" s="1"/>
  <c r="AU37" i="12"/>
  <c r="AW37" i="12" s="1"/>
  <c r="AX37" i="12"/>
  <c r="AZ37" i="12" s="1"/>
  <c r="BA37" i="12"/>
  <c r="BC37" i="12" s="1"/>
  <c r="BD37" i="12"/>
  <c r="BF37" i="12" s="1"/>
  <c r="BG37" i="12"/>
  <c r="BI37" i="12" s="1"/>
  <c r="BJ37" i="12"/>
  <c r="BL37" i="12" s="1"/>
  <c r="BM37" i="12"/>
  <c r="BO37" i="12" s="1"/>
  <c r="BP37" i="12"/>
  <c r="BR37" i="12" s="1"/>
  <c r="BS37" i="12"/>
  <c r="BU37" i="12" s="1"/>
  <c r="B38" i="12"/>
  <c r="D38" i="12" s="1"/>
  <c r="B38" i="13" s="1"/>
  <c r="E38" i="12"/>
  <c r="G38" i="12" s="1"/>
  <c r="C38" i="13" s="1"/>
  <c r="H38" i="12"/>
  <c r="K38" i="12"/>
  <c r="M38" i="12" s="1"/>
  <c r="E38" i="13" s="1"/>
  <c r="F38" i="13"/>
  <c r="H38" i="13"/>
  <c r="I38" i="13"/>
  <c r="J38" i="13"/>
  <c r="K38" i="13"/>
  <c r="BM38" i="12"/>
  <c r="BO38" i="12" s="1"/>
  <c r="BP38" i="12"/>
  <c r="BR38" i="12" s="1"/>
  <c r="B38" i="3"/>
  <c r="D38" i="3" s="1"/>
  <c r="B39" i="3"/>
  <c r="D39" i="3" s="1"/>
  <c r="B39" i="7"/>
  <c r="D39" i="7" s="1"/>
  <c r="G34" i="15" s="1"/>
  <c r="B38" i="7"/>
  <c r="D38" i="7" s="1"/>
  <c r="B39" i="5"/>
  <c r="D39" i="5" s="1"/>
  <c r="E34" i="15" s="1"/>
  <c r="B38" i="5"/>
  <c r="D38" i="5" s="1"/>
  <c r="B33" i="9"/>
  <c r="D33" i="9" s="1"/>
  <c r="C36" i="1" s="1"/>
  <c r="B32" i="9"/>
  <c r="D32" i="9" s="1"/>
  <c r="F3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18" i="2"/>
  <c r="G12" i="2"/>
  <c r="G13" i="2"/>
  <c r="G14" i="2"/>
  <c r="G15" i="2"/>
  <c r="G16" i="2"/>
  <c r="G17" i="2"/>
  <c r="G10" i="2"/>
  <c r="G11" i="2"/>
  <c r="G9" i="2"/>
  <c r="E38" i="2"/>
  <c r="F34" i="8"/>
  <c r="G34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B7" i="9"/>
  <c r="D7" i="9" s="1"/>
  <c r="B8" i="9"/>
  <c r="D8" i="9" s="1"/>
  <c r="B9" i="9"/>
  <c r="D9" i="9" s="1"/>
  <c r="K9" i="9" s="1"/>
  <c r="L9" i="9" s="1"/>
  <c r="B10" i="9"/>
  <c r="D10" i="9" s="1"/>
  <c r="C14" i="2" s="1"/>
  <c r="B11" i="9"/>
  <c r="D11" i="9" s="1"/>
  <c r="B12" i="9"/>
  <c r="D12" i="9" s="1"/>
  <c r="I12" i="9" s="1"/>
  <c r="B13" i="9"/>
  <c r="D13" i="9" s="1"/>
  <c r="K13" i="9" s="1"/>
  <c r="L13" i="9" s="1"/>
  <c r="B14" i="9"/>
  <c r="D14" i="9" s="1"/>
  <c r="K14" i="9" s="1"/>
  <c r="L14" i="9" s="1"/>
  <c r="B15" i="9"/>
  <c r="D15" i="9" s="1"/>
  <c r="C19" i="2" s="1"/>
  <c r="B16" i="9"/>
  <c r="D16" i="9" s="1"/>
  <c r="C19" i="1" s="1"/>
  <c r="B17" i="9"/>
  <c r="D17" i="9" s="1"/>
  <c r="C20" i="1" s="1"/>
  <c r="B18" i="9"/>
  <c r="D18" i="9" s="1"/>
  <c r="B19" i="9"/>
  <c r="D19" i="9" s="1"/>
  <c r="B20" i="9"/>
  <c r="D20" i="9" s="1"/>
  <c r="B21" i="9"/>
  <c r="D21" i="9" s="1"/>
  <c r="B22" i="9"/>
  <c r="D22" i="9" s="1"/>
  <c r="C25" i="1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K28" i="9" s="1"/>
  <c r="L28" i="9" s="1"/>
  <c r="B29" i="9"/>
  <c r="D29" i="9" s="1"/>
  <c r="B30" i="9"/>
  <c r="D30" i="9" s="1"/>
  <c r="B31" i="9"/>
  <c r="D31" i="9" s="1"/>
  <c r="K31" i="9" s="1"/>
  <c r="L31" i="9" s="1"/>
  <c r="B6" i="9"/>
  <c r="D6" i="9" s="1"/>
  <c r="B12" i="7"/>
  <c r="D12" i="7" s="1"/>
  <c r="G7" i="15" s="1"/>
  <c r="B13" i="7"/>
  <c r="D13" i="7" s="1"/>
  <c r="G8" i="15" s="1"/>
  <c r="B14" i="7"/>
  <c r="D14" i="7" s="1"/>
  <c r="G9" i="15" s="1"/>
  <c r="B15" i="7"/>
  <c r="D15" i="7" s="1"/>
  <c r="G10" i="15" s="1"/>
  <c r="B16" i="7"/>
  <c r="D16" i="7" s="1"/>
  <c r="G11" i="15" s="1"/>
  <c r="B17" i="7"/>
  <c r="D17" i="7" s="1"/>
  <c r="G12" i="15" s="1"/>
  <c r="B18" i="7"/>
  <c r="D18" i="7" s="1"/>
  <c r="G13" i="15" s="1"/>
  <c r="B19" i="7"/>
  <c r="D19" i="7" s="1"/>
  <c r="G14" i="15" s="1"/>
  <c r="B20" i="7"/>
  <c r="D20" i="7" s="1"/>
  <c r="G15" i="15" s="1"/>
  <c r="B21" i="7"/>
  <c r="D21" i="7"/>
  <c r="G16" i="15" s="1"/>
  <c r="B22" i="7"/>
  <c r="D22" i="7" s="1"/>
  <c r="G17" i="15" s="1"/>
  <c r="B23" i="7"/>
  <c r="D23" i="7" s="1"/>
  <c r="G18" i="15" s="1"/>
  <c r="B24" i="7"/>
  <c r="D24" i="7" s="1"/>
  <c r="G19" i="15" s="1"/>
  <c r="B25" i="7"/>
  <c r="D25" i="7" s="1"/>
  <c r="G20" i="15" s="1"/>
  <c r="B26" i="7"/>
  <c r="D26" i="7" s="1"/>
  <c r="G21" i="15" s="1"/>
  <c r="B27" i="7"/>
  <c r="D27" i="7" s="1"/>
  <c r="G22" i="15" s="1"/>
  <c r="B28" i="7"/>
  <c r="D28" i="7" s="1"/>
  <c r="G23" i="15" s="1"/>
  <c r="B29" i="7"/>
  <c r="D29" i="7" s="1"/>
  <c r="G24" i="15" s="1"/>
  <c r="B30" i="7"/>
  <c r="D30" i="7" s="1"/>
  <c r="G25" i="15" s="1"/>
  <c r="B31" i="7"/>
  <c r="D31" i="7" s="1"/>
  <c r="G26" i="15" s="1"/>
  <c r="B32" i="7"/>
  <c r="D32" i="7" s="1"/>
  <c r="G27" i="15" s="1"/>
  <c r="B33" i="7"/>
  <c r="D33" i="7" s="1"/>
  <c r="G28" i="15" s="1"/>
  <c r="B34" i="7"/>
  <c r="D34" i="7" s="1"/>
  <c r="G29" i="15" s="1"/>
  <c r="B35" i="7"/>
  <c r="B36" i="7"/>
  <c r="D36" i="7" s="1"/>
  <c r="G31" i="15" s="1"/>
  <c r="B37" i="7"/>
  <c r="D37" i="7" s="1"/>
  <c r="G32" i="15" s="1"/>
  <c r="B11" i="7"/>
  <c r="D11" i="7" s="1"/>
  <c r="G6" i="15" s="1"/>
  <c r="B12" i="6"/>
  <c r="D12" i="6" s="1"/>
  <c r="F7" i="15" s="1"/>
  <c r="B13" i="6"/>
  <c r="D13" i="6" s="1"/>
  <c r="F8" i="15" s="1"/>
  <c r="B14" i="6"/>
  <c r="D14" i="6" s="1"/>
  <c r="F9" i="15" s="1"/>
  <c r="B15" i="6"/>
  <c r="D15" i="6" s="1"/>
  <c r="F10" i="15" s="1"/>
  <c r="B16" i="6"/>
  <c r="D16" i="6" s="1"/>
  <c r="F11" i="15" s="1"/>
  <c r="B17" i="6"/>
  <c r="D17" i="6" s="1"/>
  <c r="F12" i="15" s="1"/>
  <c r="B18" i="6"/>
  <c r="D18" i="6" s="1"/>
  <c r="F13" i="15" s="1"/>
  <c r="B19" i="6"/>
  <c r="D19" i="6" s="1"/>
  <c r="F14" i="15" s="1"/>
  <c r="B20" i="6"/>
  <c r="D20" i="6" s="1"/>
  <c r="F15" i="15" s="1"/>
  <c r="B21" i="6"/>
  <c r="D21" i="6" s="1"/>
  <c r="F16" i="15" s="1"/>
  <c r="B22" i="6"/>
  <c r="D22" i="6" s="1"/>
  <c r="F17" i="15" s="1"/>
  <c r="B23" i="6"/>
  <c r="D23" i="6" s="1"/>
  <c r="F18" i="15" s="1"/>
  <c r="B24" i="6"/>
  <c r="D24" i="6"/>
  <c r="F19" i="15" s="1"/>
  <c r="B25" i="6"/>
  <c r="D25" i="6" s="1"/>
  <c r="F20" i="15" s="1"/>
  <c r="B26" i="6"/>
  <c r="D26" i="6" s="1"/>
  <c r="F21" i="15" s="1"/>
  <c r="B27" i="6"/>
  <c r="D27" i="6" s="1"/>
  <c r="F22" i="15" s="1"/>
  <c r="B28" i="6"/>
  <c r="D28" i="6" s="1"/>
  <c r="F23" i="15" s="1"/>
  <c r="B29" i="6"/>
  <c r="D29" i="6" s="1"/>
  <c r="F24" i="15" s="1"/>
  <c r="B30" i="6"/>
  <c r="D30" i="6" s="1"/>
  <c r="F25" i="15" s="1"/>
  <c r="B31" i="6"/>
  <c r="D31" i="6" s="1"/>
  <c r="F26" i="15" s="1"/>
  <c r="B32" i="6"/>
  <c r="D32" i="6" s="1"/>
  <c r="F27" i="15" s="1"/>
  <c r="B33" i="6"/>
  <c r="D33" i="6" s="1"/>
  <c r="F28" i="15" s="1"/>
  <c r="B34" i="6"/>
  <c r="D34" i="6" s="1"/>
  <c r="F29" i="15" s="1"/>
  <c r="B35" i="6"/>
  <c r="D35" i="6" s="1"/>
  <c r="F30" i="15" s="1"/>
  <c r="B36" i="6"/>
  <c r="D36" i="6" s="1"/>
  <c r="F31" i="15" s="1"/>
  <c r="B37" i="6"/>
  <c r="D37" i="6" s="1"/>
  <c r="F32" i="15" s="1"/>
  <c r="B11" i="6"/>
  <c r="D11" i="6" s="1"/>
  <c r="F6" i="15" s="1"/>
  <c r="B15" i="5"/>
  <c r="D15" i="5" s="1"/>
  <c r="E10" i="15" s="1"/>
  <c r="B16" i="5"/>
  <c r="D16" i="5" s="1"/>
  <c r="E11" i="15" s="1"/>
  <c r="B17" i="5"/>
  <c r="D17" i="5" s="1"/>
  <c r="E12" i="15" s="1"/>
  <c r="B18" i="5"/>
  <c r="D18" i="5" s="1"/>
  <c r="E13" i="15" s="1"/>
  <c r="B19" i="5"/>
  <c r="D19" i="5" s="1"/>
  <c r="B20" i="5"/>
  <c r="D20" i="5" s="1"/>
  <c r="E15" i="15" s="1"/>
  <c r="B21" i="5"/>
  <c r="D21" i="5" s="1"/>
  <c r="E16" i="15" s="1"/>
  <c r="B22" i="5"/>
  <c r="D22" i="5" s="1"/>
  <c r="E17" i="15" s="1"/>
  <c r="B23" i="5"/>
  <c r="D23" i="5" s="1"/>
  <c r="E18" i="15" s="1"/>
  <c r="B24" i="5"/>
  <c r="D24" i="5" s="1"/>
  <c r="B25" i="5"/>
  <c r="D25" i="5" s="1"/>
  <c r="E20" i="15" s="1"/>
  <c r="B26" i="5"/>
  <c r="D26" i="5" s="1"/>
  <c r="E21" i="15" s="1"/>
  <c r="B27" i="5"/>
  <c r="D27" i="5" s="1"/>
  <c r="E22" i="15" s="1"/>
  <c r="B28" i="5"/>
  <c r="D28" i="5" s="1"/>
  <c r="E23" i="15" s="1"/>
  <c r="B29" i="5"/>
  <c r="D29" i="5" s="1"/>
  <c r="E24" i="15" s="1"/>
  <c r="B30" i="5"/>
  <c r="D30" i="5" s="1"/>
  <c r="E25" i="15" s="1"/>
  <c r="B31" i="5"/>
  <c r="D31" i="5" s="1"/>
  <c r="B32" i="5"/>
  <c r="D32" i="5" s="1"/>
  <c r="E27" i="15" s="1"/>
  <c r="B33" i="5"/>
  <c r="D33" i="5" s="1"/>
  <c r="E28" i="15" s="1"/>
  <c r="B34" i="5"/>
  <c r="D34" i="5" s="1"/>
  <c r="E29" i="15" s="1"/>
  <c r="B35" i="5"/>
  <c r="D35" i="5" s="1"/>
  <c r="E30" i="15" s="1"/>
  <c r="B36" i="5"/>
  <c r="D36" i="5" s="1"/>
  <c r="E31" i="15" s="1"/>
  <c r="B37" i="5"/>
  <c r="D37" i="5" s="1"/>
  <c r="E32" i="15" s="1"/>
  <c r="B11" i="5"/>
  <c r="D11" i="5" s="1"/>
  <c r="D5" i="9"/>
  <c r="G8" i="8"/>
  <c r="G9" i="8"/>
  <c r="E8" i="18" s="1"/>
  <c r="F9" i="18" s="1"/>
  <c r="G6" i="17" s="1"/>
  <c r="G10" i="8"/>
  <c r="G11" i="8"/>
  <c r="G12" i="8"/>
  <c r="E14" i="1" s="1"/>
  <c r="G13" i="8"/>
  <c r="G14" i="8"/>
  <c r="E16" i="1" s="1"/>
  <c r="G15" i="8"/>
  <c r="E17" i="1" s="1"/>
  <c r="G16" i="8"/>
  <c r="E18" i="1" s="1"/>
  <c r="G17" i="8"/>
  <c r="E19" i="1" s="1"/>
  <c r="G18" i="8"/>
  <c r="G19" i="8"/>
  <c r="G20" i="8"/>
  <c r="E22" i="1" s="1"/>
  <c r="G21" i="8"/>
  <c r="G22" i="8"/>
  <c r="G23" i="8"/>
  <c r="E25" i="1" s="1"/>
  <c r="G24" i="8"/>
  <c r="E26" i="1" s="1"/>
  <c r="G25" i="8"/>
  <c r="E27" i="1" s="1"/>
  <c r="G26" i="8"/>
  <c r="E28" i="1" s="1"/>
  <c r="G27" i="8"/>
  <c r="E29" i="1" s="1"/>
  <c r="G28" i="8"/>
  <c r="G29" i="8"/>
  <c r="G30" i="8"/>
  <c r="G31" i="8"/>
  <c r="E33" i="1" s="1"/>
  <c r="G32" i="8"/>
  <c r="G33" i="8"/>
  <c r="E35" i="1" s="1"/>
  <c r="D9" i="11"/>
  <c r="B11" i="3"/>
  <c r="D11" i="3" s="1"/>
  <c r="B12" i="3"/>
  <c r="D12" i="3" s="1"/>
  <c r="B13" i="3"/>
  <c r="D13" i="3" s="1"/>
  <c r="C8" i="15" s="1"/>
  <c r="B14" i="3"/>
  <c r="D14" i="3" s="1"/>
  <c r="C9" i="15" s="1"/>
  <c r="B15" i="3"/>
  <c r="D15" i="3" s="1"/>
  <c r="B16" i="3"/>
  <c r="D16" i="3" s="1"/>
  <c r="B17" i="3"/>
  <c r="D17" i="3" s="1"/>
  <c r="C12" i="15" s="1"/>
  <c r="B18" i="3"/>
  <c r="D18" i="3" s="1"/>
  <c r="C13" i="15" s="1"/>
  <c r="B19" i="3"/>
  <c r="D19" i="3" s="1"/>
  <c r="C14" i="15" s="1"/>
  <c r="B20" i="3"/>
  <c r="D20" i="3" s="1"/>
  <c r="B21" i="3"/>
  <c r="D21" i="3" s="1"/>
  <c r="C16" i="15" s="1"/>
  <c r="B22" i="3"/>
  <c r="D22" i="3" s="1"/>
  <c r="B23" i="3"/>
  <c r="D23" i="3" s="1"/>
  <c r="B24" i="3"/>
  <c r="D24" i="3" s="1"/>
  <c r="B25" i="3"/>
  <c r="D25" i="3" s="1"/>
  <c r="C20" i="15" s="1"/>
  <c r="B26" i="3"/>
  <c r="D26" i="3" s="1"/>
  <c r="B27" i="3"/>
  <c r="D27" i="3" s="1"/>
  <c r="C22" i="15" s="1"/>
  <c r="B28" i="3"/>
  <c r="D28" i="3" s="1"/>
  <c r="B29" i="3"/>
  <c r="D29" i="3" s="1"/>
  <c r="C24" i="15" s="1"/>
  <c r="B30" i="3"/>
  <c r="D30" i="3" s="1"/>
  <c r="C25" i="15" s="1"/>
  <c r="B31" i="3"/>
  <c r="D31" i="3" s="1"/>
  <c r="C26" i="15" s="1"/>
  <c r="D10" i="3"/>
  <c r="D10" i="5"/>
  <c r="D10" i="6"/>
  <c r="F5" i="15" s="1"/>
  <c r="D10" i="7"/>
  <c r="C39" i="13"/>
  <c r="K39" i="13"/>
  <c r="J39" i="13"/>
  <c r="I39" i="13"/>
  <c r="H39" i="13"/>
  <c r="G39" i="13"/>
  <c r="N39" i="13" s="1"/>
  <c r="F39" i="13"/>
  <c r="L39" i="13" s="1"/>
  <c r="D39" i="13"/>
  <c r="B37" i="3"/>
  <c r="D37" i="3" s="1"/>
  <c r="B35" i="1" s="1"/>
  <c r="B36" i="3"/>
  <c r="D36" i="3" s="1"/>
  <c r="C31" i="15" s="1"/>
  <c r="B35" i="3"/>
  <c r="D35" i="3" s="1"/>
  <c r="C30" i="15" s="1"/>
  <c r="B34" i="3"/>
  <c r="D34" i="3" s="1"/>
  <c r="B33" i="3"/>
  <c r="D33" i="3" s="1"/>
  <c r="C28" i="15" s="1"/>
  <c r="B32" i="3"/>
  <c r="D32" i="3" s="1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1"/>
  <c r="F39" i="1" s="1"/>
  <c r="D39" i="2"/>
  <c r="M39" i="13"/>
  <c r="E39" i="2"/>
  <c r="E9" i="2"/>
  <c r="C39" i="2"/>
  <c r="E10" i="1" l="1"/>
  <c r="E7" i="18"/>
  <c r="F8" i="18" s="1"/>
  <c r="G5" i="17" s="1"/>
  <c r="E10" i="2"/>
  <c r="E6" i="18"/>
  <c r="G37" i="8"/>
  <c r="B36" i="1"/>
  <c r="H35" i="15"/>
  <c r="E8" i="1"/>
  <c r="AK40" i="12"/>
  <c r="AE40" i="12"/>
  <c r="BF40" i="12"/>
  <c r="BC40" i="12"/>
  <c r="AN40" i="12"/>
  <c r="G40" i="12"/>
  <c r="D40" i="12"/>
  <c r="D8" i="1"/>
  <c r="D40" i="11"/>
  <c r="K5" i="9"/>
  <c r="L5" i="9" s="1"/>
  <c r="D36" i="9"/>
  <c r="E5" i="15"/>
  <c r="D41" i="5"/>
  <c r="D41" i="4"/>
  <c r="G5" i="15"/>
  <c r="D35" i="7"/>
  <c r="B33" i="2" s="1"/>
  <c r="C5" i="15"/>
  <c r="D41" i="3"/>
  <c r="E20" i="2"/>
  <c r="E18" i="2"/>
  <c r="E15" i="2"/>
  <c r="E35" i="2"/>
  <c r="E34" i="1"/>
  <c r="E31" i="2"/>
  <c r="E30" i="1"/>
  <c r="E16" i="2"/>
  <c r="E15" i="1"/>
  <c r="E12" i="2"/>
  <c r="E11" i="1"/>
  <c r="E22" i="2"/>
  <c r="E21" i="1"/>
  <c r="E33" i="2"/>
  <c r="E32" i="1"/>
  <c r="E14" i="2"/>
  <c r="E13" i="1"/>
  <c r="E30" i="2"/>
  <c r="E25" i="2"/>
  <c r="E24" i="1"/>
  <c r="E21" i="2"/>
  <c r="E20" i="1"/>
  <c r="E37" i="2"/>
  <c r="E36" i="1"/>
  <c r="E32" i="2"/>
  <c r="E31" i="1"/>
  <c r="E24" i="2"/>
  <c r="E23" i="1"/>
  <c r="E13" i="2"/>
  <c r="E12" i="1"/>
  <c r="C25" i="2"/>
  <c r="I21" i="9"/>
  <c r="D19" i="1"/>
  <c r="C22" i="1"/>
  <c r="C23" i="2"/>
  <c r="C15" i="2"/>
  <c r="K11" i="9"/>
  <c r="L11" i="9" s="1"/>
  <c r="D11" i="2"/>
  <c r="D10" i="1"/>
  <c r="BU40" i="12"/>
  <c r="BR40" i="12"/>
  <c r="BO40" i="12"/>
  <c r="BL40" i="12"/>
  <c r="BI40" i="12"/>
  <c r="AZ40" i="12"/>
  <c r="AW40" i="12"/>
  <c r="AT40" i="12"/>
  <c r="AQ40" i="12"/>
  <c r="AH40" i="12"/>
  <c r="K9" i="13"/>
  <c r="AB40" i="12"/>
  <c r="I9" i="13"/>
  <c r="M9" i="13" s="1"/>
  <c r="Y40" i="12"/>
  <c r="V40" i="12"/>
  <c r="G9" i="13"/>
  <c r="S40" i="12"/>
  <c r="P37" i="12"/>
  <c r="F37" i="13" s="1"/>
  <c r="M37" i="12"/>
  <c r="E37" i="13" s="1"/>
  <c r="E9" i="13"/>
  <c r="D9" i="13"/>
  <c r="C9" i="13"/>
  <c r="B9" i="13"/>
  <c r="D32" i="2"/>
  <c r="D31" i="1"/>
  <c r="D37" i="1"/>
  <c r="D38" i="2"/>
  <c r="D16" i="2"/>
  <c r="D15" i="1"/>
  <c r="D11" i="1"/>
  <c r="D12" i="2"/>
  <c r="K7" i="9"/>
  <c r="L7" i="9" s="1"/>
  <c r="C10" i="1"/>
  <c r="I18" i="9"/>
  <c r="K18" i="9"/>
  <c r="L18" i="9" s="1"/>
  <c r="C21" i="1"/>
  <c r="K20" i="9"/>
  <c r="L20" i="9" s="1"/>
  <c r="C24" i="2"/>
  <c r="C9" i="2"/>
  <c r="I5" i="9"/>
  <c r="C8" i="1"/>
  <c r="D5" i="15"/>
  <c r="E36" i="2"/>
  <c r="E11" i="2"/>
  <c r="E23" i="2"/>
  <c r="E29" i="2"/>
  <c r="E34" i="2"/>
  <c r="E17" i="2"/>
  <c r="E27" i="2"/>
  <c r="E19" i="2"/>
  <c r="E26" i="2"/>
  <c r="E9" i="1"/>
  <c r="E28" i="2"/>
  <c r="J38" i="12"/>
  <c r="D38" i="13" s="1"/>
  <c r="D40" i="13" s="1"/>
  <c r="D36" i="1"/>
  <c r="G33" i="15"/>
  <c r="F33" i="15"/>
  <c r="F36" i="15" s="1"/>
  <c r="D41" i="6"/>
  <c r="D33" i="15"/>
  <c r="C33" i="15"/>
  <c r="C34" i="15"/>
  <c r="H34" i="15" s="1"/>
  <c r="N37" i="13"/>
  <c r="N36" i="13"/>
  <c r="N35" i="13"/>
  <c r="N33" i="13"/>
  <c r="L35" i="13"/>
  <c r="D33" i="1"/>
  <c r="I30" i="9"/>
  <c r="C33" i="1"/>
  <c r="C32" i="1"/>
  <c r="I29" i="9"/>
  <c r="C33" i="2"/>
  <c r="K29" i="9"/>
  <c r="L29" i="9" s="1"/>
  <c r="N32" i="13"/>
  <c r="N31" i="13"/>
  <c r="N30" i="13"/>
  <c r="N28" i="13"/>
  <c r="L29" i="13"/>
  <c r="L28" i="13"/>
  <c r="D30" i="2"/>
  <c r="D29" i="2"/>
  <c r="D28" i="1"/>
  <c r="C28" i="2"/>
  <c r="C27" i="1"/>
  <c r="I24" i="9"/>
  <c r="K24" i="9"/>
  <c r="L24" i="9" s="1"/>
  <c r="D26" i="1"/>
  <c r="D27" i="2"/>
  <c r="I23" i="9"/>
  <c r="C27" i="2"/>
  <c r="C26" i="2"/>
  <c r="I22" i="9"/>
  <c r="K22" i="9"/>
  <c r="L22" i="9" s="1"/>
  <c r="N24" i="13"/>
  <c r="D24" i="1"/>
  <c r="D25" i="2"/>
  <c r="K21" i="9"/>
  <c r="L21" i="9" s="1"/>
  <c r="I20" i="9"/>
  <c r="C23" i="1"/>
  <c r="C22" i="2"/>
  <c r="D22" i="2"/>
  <c r="I17" i="9"/>
  <c r="K17" i="9"/>
  <c r="L17" i="9" s="1"/>
  <c r="K15" i="9"/>
  <c r="L15" i="9" s="1"/>
  <c r="C18" i="1"/>
  <c r="I15" i="9"/>
  <c r="I14" i="9"/>
  <c r="M18" i="13"/>
  <c r="D18" i="2"/>
  <c r="D17" i="1"/>
  <c r="C17" i="1"/>
  <c r="C18" i="2"/>
  <c r="C15" i="1"/>
  <c r="K12" i="9"/>
  <c r="L12" i="9" s="1"/>
  <c r="C16" i="2"/>
  <c r="C13" i="1"/>
  <c r="N13" i="13"/>
  <c r="L14" i="13"/>
  <c r="D14" i="2"/>
  <c r="D13" i="1"/>
  <c r="K10" i="9"/>
  <c r="L10" i="9" s="1"/>
  <c r="I10" i="9"/>
  <c r="B23" i="14"/>
  <c r="B9" i="14"/>
  <c r="B32" i="14"/>
  <c r="B22" i="14"/>
  <c r="B21" i="14"/>
  <c r="B27" i="14"/>
  <c r="B31" i="14"/>
  <c r="B15" i="14"/>
  <c r="B29" i="14"/>
  <c r="B28" i="14"/>
  <c r="B7" i="14"/>
  <c r="B17" i="14"/>
  <c r="B16" i="14"/>
  <c r="B30" i="14"/>
  <c r="B26" i="14"/>
  <c r="B25" i="14"/>
  <c r="B20" i="14"/>
  <c r="B19" i="14"/>
  <c r="B14" i="14"/>
  <c r="B12" i="14"/>
  <c r="B24" i="14"/>
  <c r="B18" i="14"/>
  <c r="B10" i="14"/>
  <c r="B33" i="14"/>
  <c r="B13" i="14"/>
  <c r="B11" i="14"/>
  <c r="B8" i="14"/>
  <c r="B6" i="14"/>
  <c r="B4" i="14"/>
  <c r="B5" i="14"/>
  <c r="K11" i="13"/>
  <c r="J10" i="13"/>
  <c r="J40" i="13" s="1"/>
  <c r="M36" i="13"/>
  <c r="M32" i="13"/>
  <c r="M28" i="13"/>
  <c r="M23" i="13"/>
  <c r="M17" i="13"/>
  <c r="M11" i="13"/>
  <c r="M38" i="13"/>
  <c r="M34" i="13"/>
  <c r="M31" i="13"/>
  <c r="M29" i="13"/>
  <c r="M25" i="13"/>
  <c r="M15" i="13"/>
  <c r="M13" i="13"/>
  <c r="M35" i="13"/>
  <c r="M30" i="13"/>
  <c r="M27" i="13"/>
  <c r="M22" i="13"/>
  <c r="M16" i="13"/>
  <c r="M37" i="13"/>
  <c r="M33" i="13"/>
  <c r="M26" i="13"/>
  <c r="M24" i="13"/>
  <c r="M21" i="13"/>
  <c r="M20" i="13"/>
  <c r="M19" i="13"/>
  <c r="M14" i="13"/>
  <c r="M12" i="13"/>
  <c r="I10" i="13"/>
  <c r="M10" i="13" s="1"/>
  <c r="N26" i="13"/>
  <c r="N25" i="13"/>
  <c r="N34" i="13"/>
  <c r="N20" i="13"/>
  <c r="N16" i="13"/>
  <c r="N18" i="13"/>
  <c r="N12" i="13"/>
  <c r="N22" i="13"/>
  <c r="N15" i="13"/>
  <c r="N23" i="13"/>
  <c r="N19" i="13"/>
  <c r="N10" i="13"/>
  <c r="N29" i="13"/>
  <c r="N14" i="13"/>
  <c r="N27" i="13"/>
  <c r="N38" i="13"/>
  <c r="N21" i="13"/>
  <c r="N17" i="13"/>
  <c r="H9" i="13"/>
  <c r="H40" i="13" s="1"/>
  <c r="G11" i="13"/>
  <c r="N11" i="13" s="1"/>
  <c r="L33" i="13"/>
  <c r="L27" i="13"/>
  <c r="L24" i="13"/>
  <c r="L17" i="13"/>
  <c r="L36" i="13"/>
  <c r="L32" i="13"/>
  <c r="L30" i="13"/>
  <c r="L20" i="13"/>
  <c r="L19" i="13"/>
  <c r="L15" i="13"/>
  <c r="L25" i="13"/>
  <c r="L23" i="13"/>
  <c r="L21" i="13"/>
  <c r="L16" i="13"/>
  <c r="L13" i="13"/>
  <c r="L38" i="13"/>
  <c r="L34" i="13"/>
  <c r="L31" i="13"/>
  <c r="L26" i="13"/>
  <c r="L22" i="13"/>
  <c r="L18" i="13"/>
  <c r="L12" i="13"/>
  <c r="L11" i="13"/>
  <c r="F10" i="13"/>
  <c r="L10" i="13" s="1"/>
  <c r="L9" i="13"/>
  <c r="C11" i="13"/>
  <c r="B10" i="13"/>
  <c r="D37" i="2"/>
  <c r="D18" i="1"/>
  <c r="D19" i="2"/>
  <c r="D30" i="1"/>
  <c r="D31" i="2"/>
  <c r="D25" i="1"/>
  <c r="D26" i="2"/>
  <c r="D24" i="2"/>
  <c r="D23" i="1"/>
  <c r="D21" i="2"/>
  <c r="D20" i="1"/>
  <c r="D13" i="2"/>
  <c r="D12" i="1"/>
  <c r="D32" i="1"/>
  <c r="D33" i="2"/>
  <c r="D28" i="2"/>
  <c r="D27" i="1"/>
  <c r="D23" i="2"/>
  <c r="D22" i="1"/>
  <c r="D14" i="1"/>
  <c r="D15" i="2"/>
  <c r="D34" i="1"/>
  <c r="D35" i="2"/>
  <c r="D17" i="2"/>
  <c r="D16" i="1"/>
  <c r="D36" i="2"/>
  <c r="D9" i="1"/>
  <c r="D10" i="2"/>
  <c r="D9" i="2"/>
  <c r="F40" i="2"/>
  <c r="I8" i="9"/>
  <c r="C12" i="2"/>
  <c r="C11" i="2"/>
  <c r="C30" i="1"/>
  <c r="K27" i="9"/>
  <c r="L27" i="9" s="1"/>
  <c r="I27" i="9"/>
  <c r="C31" i="2"/>
  <c r="C38" i="2"/>
  <c r="K34" i="9"/>
  <c r="L34" i="9" s="1"/>
  <c r="I34" i="9"/>
  <c r="C30" i="2"/>
  <c r="C29" i="1"/>
  <c r="K26" i="9"/>
  <c r="L26" i="9" s="1"/>
  <c r="I26" i="9"/>
  <c r="C28" i="1"/>
  <c r="I25" i="9"/>
  <c r="C29" i="2"/>
  <c r="K25" i="9"/>
  <c r="L25" i="9" s="1"/>
  <c r="K32" i="9"/>
  <c r="L32" i="9" s="1"/>
  <c r="C36" i="2"/>
  <c r="I32" i="9"/>
  <c r="C35" i="1"/>
  <c r="K33" i="9"/>
  <c r="L33" i="9" s="1"/>
  <c r="C37" i="2"/>
  <c r="I33" i="9"/>
  <c r="C17" i="2"/>
  <c r="C24" i="1"/>
  <c r="C32" i="2"/>
  <c r="I11" i="9"/>
  <c r="I19" i="9"/>
  <c r="K19" i="9"/>
  <c r="L19" i="9" s="1"/>
  <c r="C12" i="1"/>
  <c r="C21" i="2"/>
  <c r="C35" i="2"/>
  <c r="C34" i="1"/>
  <c r="C16" i="1"/>
  <c r="I13" i="9"/>
  <c r="C31" i="1"/>
  <c r="C13" i="2"/>
  <c r="I16" i="9"/>
  <c r="C20" i="2"/>
  <c r="C26" i="1"/>
  <c r="K23" i="9"/>
  <c r="L23" i="9" s="1"/>
  <c r="C34" i="2"/>
  <c r="I31" i="9"/>
  <c r="K30" i="9"/>
  <c r="L30" i="9" s="1"/>
  <c r="K16" i="9"/>
  <c r="L16" i="9" s="1"/>
  <c r="I28" i="9"/>
  <c r="C14" i="1"/>
  <c r="I9" i="9"/>
  <c r="C11" i="1"/>
  <c r="K8" i="9"/>
  <c r="L8" i="9" s="1"/>
  <c r="I7" i="9"/>
  <c r="I6" i="9"/>
  <c r="K6" i="9"/>
  <c r="L6" i="9" s="1"/>
  <c r="C10" i="2"/>
  <c r="C9" i="1"/>
  <c r="E19" i="15"/>
  <c r="B23" i="2"/>
  <c r="B37" i="2"/>
  <c r="E33" i="15"/>
  <c r="B17" i="1"/>
  <c r="E14" i="15"/>
  <c r="H14" i="15" s="1"/>
  <c r="E26" i="15"/>
  <c r="H26" i="15" s="1"/>
  <c r="B29" i="1"/>
  <c r="B30" i="2"/>
  <c r="H24" i="15"/>
  <c r="H28" i="15"/>
  <c r="E6" i="15"/>
  <c r="D9" i="15"/>
  <c r="H9" i="15" s="1"/>
  <c r="B12" i="1"/>
  <c r="B13" i="2"/>
  <c r="B20" i="2"/>
  <c r="D16" i="15"/>
  <c r="H16" i="15" s="1"/>
  <c r="B35" i="2"/>
  <c r="D31" i="15"/>
  <c r="H31" i="15" s="1"/>
  <c r="B34" i="1"/>
  <c r="B26" i="1"/>
  <c r="D23" i="15"/>
  <c r="B21" i="1"/>
  <c r="D18" i="15"/>
  <c r="B16" i="1"/>
  <c r="D13" i="15"/>
  <c r="H13" i="15" s="1"/>
  <c r="B17" i="2"/>
  <c r="B29" i="2"/>
  <c r="B28" i="1"/>
  <c r="D25" i="15"/>
  <c r="H25" i="15" s="1"/>
  <c r="D20" i="15"/>
  <c r="H20" i="15" s="1"/>
  <c r="B24" i="2"/>
  <c r="B18" i="2"/>
  <c r="B23" i="1"/>
  <c r="H22" i="15"/>
  <c r="B21" i="2"/>
  <c r="H12" i="15"/>
  <c r="B13" i="1"/>
  <c r="D8" i="15"/>
  <c r="H8" i="15" s="1"/>
  <c r="B12" i="2"/>
  <c r="B11" i="1"/>
  <c r="B14" i="2"/>
  <c r="C10" i="15"/>
  <c r="H10" i="15" s="1"/>
  <c r="B30" i="1"/>
  <c r="C27" i="15"/>
  <c r="H27" i="15" s="1"/>
  <c r="B31" i="2"/>
  <c r="C29" i="15"/>
  <c r="H29" i="15" s="1"/>
  <c r="B28" i="2"/>
  <c r="B27" i="1"/>
  <c r="C21" i="15"/>
  <c r="H21" i="15" s="1"/>
  <c r="B24" i="1"/>
  <c r="B25" i="2"/>
  <c r="C17" i="15"/>
  <c r="H17" i="15" s="1"/>
  <c r="B20" i="1"/>
  <c r="B19" i="2"/>
  <c r="C15" i="15"/>
  <c r="H15" i="15" s="1"/>
  <c r="B27" i="2"/>
  <c r="C23" i="15"/>
  <c r="B22" i="2"/>
  <c r="C18" i="15"/>
  <c r="B16" i="2"/>
  <c r="B15" i="1"/>
  <c r="B22" i="1"/>
  <c r="C19" i="15"/>
  <c r="B18" i="1"/>
  <c r="B34" i="2"/>
  <c r="B36" i="2"/>
  <c r="C32" i="15"/>
  <c r="H32" i="15" s="1"/>
  <c r="B25" i="1"/>
  <c r="B26" i="2"/>
  <c r="B15" i="2"/>
  <c r="B14" i="1"/>
  <c r="C11" i="15"/>
  <c r="H11" i="15" s="1"/>
  <c r="B19" i="1"/>
  <c r="B10" i="1"/>
  <c r="C7" i="15"/>
  <c r="H7" i="15" s="1"/>
  <c r="B11" i="2"/>
  <c r="B10" i="2"/>
  <c r="C6" i="15"/>
  <c r="B9" i="1"/>
  <c r="B8" i="1"/>
  <c r="B9" i="2"/>
  <c r="F6" i="18" l="1"/>
  <c r="G3" i="17" s="1"/>
  <c r="F7" i="18"/>
  <c r="G4" i="17" s="1"/>
  <c r="M40" i="12"/>
  <c r="B33" i="1"/>
  <c r="J40" i="12"/>
  <c r="C40" i="13"/>
  <c r="B31" i="1"/>
  <c r="B32" i="2"/>
  <c r="I32" i="2" s="1"/>
  <c r="O32" i="13" s="1"/>
  <c r="G30" i="15"/>
  <c r="H30" i="15" s="1"/>
  <c r="H5" i="15"/>
  <c r="D41" i="7"/>
  <c r="B32" i="1"/>
  <c r="G36" i="15"/>
  <c r="E39" i="1"/>
  <c r="P40" i="12"/>
  <c r="D39" i="1"/>
  <c r="K40" i="13"/>
  <c r="F40" i="13"/>
  <c r="B40" i="13"/>
  <c r="E40" i="13"/>
  <c r="L37" i="13"/>
  <c r="L40" i="13" s="1"/>
  <c r="C39" i="1"/>
  <c r="H9" i="2"/>
  <c r="H19" i="15"/>
  <c r="D36" i="15"/>
  <c r="H37" i="8"/>
  <c r="H38" i="8" s="1"/>
  <c r="E40" i="2"/>
  <c r="H33" i="15"/>
  <c r="E36" i="15"/>
  <c r="C36" i="15"/>
  <c r="I40" i="13"/>
  <c r="I29" i="2"/>
  <c r="O29" i="13" s="1"/>
  <c r="Q29" i="13" s="1"/>
  <c r="I30" i="2"/>
  <c r="O30" i="13" s="1"/>
  <c r="Q30" i="13" s="1"/>
  <c r="K36" i="9"/>
  <c r="L36" i="9" s="1"/>
  <c r="H23" i="15"/>
  <c r="H30" i="2"/>
  <c r="I21" i="2"/>
  <c r="O21" i="13" s="1"/>
  <c r="Q21" i="13" s="1"/>
  <c r="C40" i="2"/>
  <c r="B34" i="14"/>
  <c r="M40" i="13"/>
  <c r="N9" i="13"/>
  <c r="N40" i="13" s="1"/>
  <c r="G40" i="13"/>
  <c r="D40" i="2"/>
  <c r="I36" i="9"/>
  <c r="H21" i="2"/>
  <c r="H37" i="2"/>
  <c r="I37" i="2"/>
  <c r="O37" i="13" s="1"/>
  <c r="H29" i="2"/>
  <c r="H23" i="2"/>
  <c r="I23" i="2"/>
  <c r="O23" i="13" s="1"/>
  <c r="H6" i="15"/>
  <c r="H24" i="2"/>
  <c r="I24" i="2"/>
  <c r="O24" i="13" s="1"/>
  <c r="H20" i="2"/>
  <c r="I20" i="2"/>
  <c r="O20" i="13" s="1"/>
  <c r="I17" i="2"/>
  <c r="O17" i="13" s="1"/>
  <c r="H17" i="2"/>
  <c r="I13" i="2"/>
  <c r="O13" i="13" s="1"/>
  <c r="H13" i="2"/>
  <c r="I35" i="2"/>
  <c r="O35" i="13" s="1"/>
  <c r="H35" i="2"/>
  <c r="H18" i="15"/>
  <c r="I18" i="2"/>
  <c r="O18" i="13" s="1"/>
  <c r="H18" i="2"/>
  <c r="H12" i="2"/>
  <c r="I12" i="2"/>
  <c r="O12" i="13" s="1"/>
  <c r="B39" i="2"/>
  <c r="H19" i="2"/>
  <c r="I19" i="2"/>
  <c r="O19" i="13" s="1"/>
  <c r="H31" i="2"/>
  <c r="I31" i="2"/>
  <c r="O31" i="13" s="1"/>
  <c r="H14" i="2"/>
  <c r="I14" i="2"/>
  <c r="O14" i="13" s="1"/>
  <c r="I34" i="2"/>
  <c r="O34" i="13" s="1"/>
  <c r="H34" i="2"/>
  <c r="H16" i="2"/>
  <c r="I16" i="2"/>
  <c r="O16" i="13" s="1"/>
  <c r="I27" i="2"/>
  <c r="O27" i="13" s="1"/>
  <c r="H27" i="2"/>
  <c r="I25" i="2"/>
  <c r="O25" i="13" s="1"/>
  <c r="H25" i="2"/>
  <c r="H28" i="2"/>
  <c r="I28" i="2"/>
  <c r="O28" i="13" s="1"/>
  <c r="H15" i="2"/>
  <c r="I15" i="2"/>
  <c r="O15" i="13" s="1"/>
  <c r="I26" i="2"/>
  <c r="O26" i="13" s="1"/>
  <c r="H26" i="2"/>
  <c r="I36" i="2"/>
  <c r="O36" i="13" s="1"/>
  <c r="H36" i="2"/>
  <c r="I22" i="2"/>
  <c r="O22" i="13" s="1"/>
  <c r="H22" i="2"/>
  <c r="I33" i="2"/>
  <c r="O33" i="13" s="1"/>
  <c r="H33" i="2"/>
  <c r="I11" i="2"/>
  <c r="O11" i="13" s="1"/>
  <c r="H11" i="2"/>
  <c r="I9" i="2"/>
  <c r="O9" i="13" s="1"/>
  <c r="H10" i="2"/>
  <c r="I10" i="2"/>
  <c r="O10" i="13" s="1"/>
  <c r="H32" i="2" l="1"/>
  <c r="B38" i="1"/>
  <c r="B38" i="2"/>
  <c r="B37" i="1"/>
  <c r="P29" i="13"/>
  <c r="R29" i="13"/>
  <c r="R9" i="13"/>
  <c r="R30" i="13"/>
  <c r="P30" i="13"/>
  <c r="P21" i="13"/>
  <c r="R21" i="13"/>
  <c r="P32" i="13"/>
  <c r="Q32" i="13"/>
  <c r="R32" i="13"/>
  <c r="Q37" i="13"/>
  <c r="R37" i="13"/>
  <c r="P37" i="13"/>
  <c r="P23" i="13"/>
  <c r="Q23" i="13"/>
  <c r="R23" i="13"/>
  <c r="R20" i="13"/>
  <c r="P20" i="13"/>
  <c r="Q20" i="13"/>
  <c r="P35" i="13"/>
  <c r="Q35" i="13"/>
  <c r="R35" i="13"/>
  <c r="Q13" i="13"/>
  <c r="P13" i="13"/>
  <c r="R13" i="13"/>
  <c r="R18" i="13"/>
  <c r="P18" i="13"/>
  <c r="Q18" i="13"/>
  <c r="Q24" i="13"/>
  <c r="R24" i="13"/>
  <c r="P24" i="13"/>
  <c r="Q17" i="13"/>
  <c r="R17" i="13"/>
  <c r="P17" i="13"/>
  <c r="P12" i="13"/>
  <c r="R12" i="13"/>
  <c r="Q12" i="13"/>
  <c r="Q9" i="13"/>
  <c r="P9" i="13"/>
  <c r="R26" i="13"/>
  <c r="P26" i="13"/>
  <c r="Q26" i="13"/>
  <c r="Q25" i="13"/>
  <c r="P25" i="13"/>
  <c r="R25" i="13"/>
  <c r="R22" i="13"/>
  <c r="Q22" i="13"/>
  <c r="P22" i="13"/>
  <c r="R15" i="13"/>
  <c r="P15" i="13"/>
  <c r="Q15" i="13"/>
  <c r="R31" i="13"/>
  <c r="Q31" i="13"/>
  <c r="P31" i="13"/>
  <c r="R36" i="13"/>
  <c r="P36" i="13"/>
  <c r="Q36" i="13"/>
  <c r="R27" i="13"/>
  <c r="Q27" i="13"/>
  <c r="P27" i="13"/>
  <c r="Q34" i="13"/>
  <c r="P34" i="13"/>
  <c r="R34" i="13"/>
  <c r="Q33" i="13"/>
  <c r="R33" i="13"/>
  <c r="P33" i="13"/>
  <c r="R28" i="13"/>
  <c r="P28" i="13"/>
  <c r="Q28" i="13"/>
  <c r="P16" i="13"/>
  <c r="Q16" i="13"/>
  <c r="R16" i="13"/>
  <c r="Q14" i="13"/>
  <c r="R14" i="13"/>
  <c r="P14" i="13"/>
  <c r="R19" i="13"/>
  <c r="Q19" i="13"/>
  <c r="P19" i="13"/>
  <c r="Q11" i="13"/>
  <c r="R11" i="13"/>
  <c r="P11" i="13"/>
  <c r="Q10" i="13"/>
  <c r="P10" i="13"/>
  <c r="R10" i="13"/>
  <c r="B39" i="1" l="1"/>
  <c r="I38" i="2"/>
  <c r="O38" i="13" s="1"/>
  <c r="H38" i="2"/>
  <c r="B40" i="2"/>
  <c r="I40" i="2" s="1"/>
  <c r="O39" i="13" s="1"/>
  <c r="P39" i="13" s="1"/>
  <c r="Q39" i="13" l="1"/>
  <c r="R39" i="13"/>
  <c r="R38" i="13"/>
  <c r="R40" i="13" s="1"/>
  <c r="O40" i="13"/>
  <c r="Q38" i="13"/>
  <c r="Q40" i="13" s="1"/>
  <c r="P38" i="13"/>
  <c r="P40" i="13" s="1"/>
</calcChain>
</file>

<file path=xl/comments1.xml><?xml version="1.0" encoding="utf-8"?>
<comments xmlns="http://schemas.openxmlformats.org/spreadsheetml/2006/main">
  <authors>
    <author>Faisal Ibrahim</author>
  </authors>
  <commentList>
    <comment ref="E6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Out of Order
due to damage in Production Meter
</t>
        </r>
      </text>
    </comment>
  </commentList>
</comments>
</file>

<file path=xl/sharedStrings.xml><?xml version="1.0" encoding="utf-8"?>
<sst xmlns="http://schemas.openxmlformats.org/spreadsheetml/2006/main" count="383" uniqueCount="152">
  <si>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</si>
  <si>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</si>
  <si>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</si>
  <si>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</si>
  <si>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</si>
  <si>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</si>
  <si>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</si>
  <si>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</si>
  <si>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</si>
  <si>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</si>
  <si>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</si>
  <si>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</si>
  <si>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</si>
  <si>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</si>
  <si>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</si>
  <si>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</si>
  <si>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</si>
  <si>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</si>
  <si>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</si>
  <si>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</si>
  <si>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</si>
  <si>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</si>
  <si>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</si>
  <si>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</si>
  <si>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</si>
  <si>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</si>
  <si>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</si>
  <si>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</si>
  <si>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</si>
  <si>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</si>
  <si>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</si>
  <si>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</si>
  <si>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</si>
  <si>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</si>
  <si>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</si>
  <si>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</si>
  <si>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</si>
  <si>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>BLUE + TIKI TORCH</t>
  </si>
  <si>
    <t>ALBARAKAT + TIKI TORCH</t>
  </si>
  <si>
    <t xml:space="preserve">  FUEGO(cafelandaa)  TIKI TORCH</t>
  </si>
  <si>
    <t xml:space="preserve">Main Kitchen &amp; Fego kitchen 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</si>
  <si>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</si>
  <si>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</si>
  <si>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</si>
  <si>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</si>
  <si>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</si>
  <si>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</si>
  <si>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</si>
  <si>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solar meter reading</t>
  </si>
  <si>
    <t>POWER HOUSE FEEDER READING</t>
  </si>
  <si>
    <t>BLU FEEDER PANEL 1</t>
  </si>
  <si>
    <t>BLU FEEDER PANEL 2</t>
  </si>
  <si>
    <t>POWER HOUSE FEEDER PANEL NO:3</t>
  </si>
  <si>
    <t>Main Kitchen -7</t>
  </si>
  <si>
    <t>Main Kitchen -10</t>
  </si>
  <si>
    <t>Water treatment Plant</t>
  </si>
  <si>
    <t>Sewage treatment Plant</t>
  </si>
  <si>
    <t>Laundry--8</t>
  </si>
  <si>
    <t>Laundry-9</t>
  </si>
  <si>
    <t>New staff accomodation</t>
  </si>
  <si>
    <t>Yesterday</t>
  </si>
  <si>
    <t>Today</t>
  </si>
  <si>
    <t xml:space="preserve">Consumption </t>
  </si>
  <si>
    <t>BLU FEEDER PANEL1</t>
  </si>
  <si>
    <t>Water Treatment</t>
  </si>
  <si>
    <t xml:space="preserve">Laundry -9 Power </t>
  </si>
  <si>
    <t xml:space="preserve">Total Kwh </t>
  </si>
  <si>
    <t>Month-Feb- 17</t>
  </si>
  <si>
    <t>Kitchen</t>
  </si>
  <si>
    <t>Laundry</t>
  </si>
  <si>
    <t>Plant</t>
  </si>
  <si>
    <t>Energy produce</t>
  </si>
  <si>
    <t>K%</t>
  </si>
  <si>
    <t>L%</t>
  </si>
  <si>
    <t>P%</t>
  </si>
  <si>
    <t>Management block-5</t>
  </si>
  <si>
    <t>Boat Dock feeder - 22</t>
  </si>
  <si>
    <t>308-314</t>
  </si>
  <si>
    <t>315-320</t>
  </si>
  <si>
    <t>401-407</t>
  </si>
  <si>
    <t>408-414</t>
  </si>
  <si>
    <t>Kwh</t>
  </si>
  <si>
    <t>Total Kwh Consumption For Water
Villa Project</t>
  </si>
  <si>
    <t>Boat meter Reading</t>
  </si>
  <si>
    <t>11.1 kwh</t>
  </si>
  <si>
    <t>1 liter diesel</t>
  </si>
  <si>
    <t>212.88 diesel</t>
  </si>
  <si>
    <t>2363 kwh</t>
  </si>
  <si>
    <t>In Barrels</t>
  </si>
  <si>
    <t>In 24 hrs</t>
  </si>
  <si>
    <t>Carbon Emmision</t>
  </si>
  <si>
    <t>DIESEL TANK JETTY METER</t>
  </si>
  <si>
    <t>301-307</t>
  </si>
  <si>
    <t>Consumption</t>
  </si>
  <si>
    <t>415-420</t>
  </si>
  <si>
    <t>ADR $</t>
  </si>
  <si>
    <t>Staff block-16(E2-E3)</t>
  </si>
  <si>
    <t>Staff Block Feeder-3(E4-E5)</t>
  </si>
  <si>
    <t>New staff accomodation (E0)</t>
  </si>
  <si>
    <t>SNR STAFF BLOCK</t>
  </si>
  <si>
    <t>RECEPTION</t>
  </si>
  <si>
    <t>DIVE CENTER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</si>
  <si>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</si>
  <si>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</si>
  <si>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</si>
  <si>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</si>
  <si>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</si>
  <si>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</si>
  <si>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</si>
  <si>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Laundry--8SSB</t>
  </si>
  <si>
    <t>SPA - 1</t>
  </si>
  <si>
    <t>SPA - 2</t>
  </si>
  <si>
    <t>BLU KITCHEN - 1</t>
  </si>
  <si>
    <t>BLU KITCHEN - 2</t>
  </si>
  <si>
    <t>AL BARAKATH</t>
  </si>
  <si>
    <t>STAFF KITCHEN</t>
  </si>
  <si>
    <t>MANAGR BLOCK GARDEN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</si>
  <si>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</si>
  <si>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</si>
  <si>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</si>
  <si>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</si>
  <si>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>January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</si>
  <si>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</si>
  <si>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</si>
  <si>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</si>
  <si>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</si>
  <si>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</si>
  <si>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</si>
  <si>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</si>
  <si>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</si>
  <si>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</si>
  <si>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</si>
  <si>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</si>
  <si>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TOTAL GUESTS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</si>
  <si>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</si>
  <si>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</si>
  <si>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</si>
  <si>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</si>
  <si>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</si>
  <si>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</si>
  <si>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</si>
  <si>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</si>
  <si>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</si>
  <si>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</si>
  <si>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R/O Plant A</t>
  </si>
  <si>
    <t>Consumption (M3)</t>
  </si>
  <si>
    <t>RO Plant Water Production Reading</t>
  </si>
  <si>
    <t>Total Production</t>
  </si>
  <si>
    <t>Resort Occupancy %</t>
  </si>
  <si>
    <t>R/O Plant B</t>
  </si>
  <si>
    <t>R/O Plant C</t>
  </si>
  <si>
    <t>R/O Plant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</si>
</sst>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#,##0.000_);\(#,##0.000\)"/>
    <numFmt numFmtId="168" formatCode="mmmm\ yyyy"/>
    <numFmt numFmtId="169" formatCode="_-* #,##0.00_-;\-* #,##0.00_-;_-* &quot;-&quot;??_-;_-@_-"/>
  </numFmts>
  <fonts count="35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sz val="10"/>
      <color rgb="FFFF0000"/>
      <name val="Arial"/>
      <family val="2"/>
    </font>
    <font>
      <b/>
      <sz val="8"/>
      <color theme="5" tint="-0.249977111117893"/>
      <name val="Arial"/>
      <family val="2"/>
    </font>
    <font>
      <b/>
      <sz val="8"/>
      <name val="Arial"/>
      <family val="2"/>
    </font>
    <font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28"/>
      <color rgb="FFFF0000"/>
      <name val="Arial"/>
      <family val="2"/>
    </font>
    <font>
      <b/>
      <sz val="20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3">
    <xf numFmtId="0" fontId="0" fillId="0" borderId="0"/>
    <xf numFmtId="43" fontId="3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1">
    <xf numFmtId="0" fontId="0" fillId="0" borderId="0" xfId="0"/>
    <xf numFmtId="0" fontId="2" fillId="0" borderId="0" xfId="0" applyFont="1"/>
    <xf numFmtId="43" fontId="0" fillId="0" borderId="0" xfId="0" applyNumberFormat="1"/>
    <xf numFmtId="0" fontId="3" fillId="0" borderId="0" xfId="0" applyFont="1"/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5" fontId="2" fillId="0" borderId="3" xfId="0" applyNumberFormat="1" applyFont="1" applyBorder="1"/>
    <xf numFmtId="166" fontId="0" fillId="0" borderId="0" xfId="0" applyNumberFormat="1"/>
    <xf numFmtId="17" fontId="2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2" fontId="3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5" borderId="8" xfId="0" applyFont="1" applyFill="1" applyBorder="1"/>
    <xf numFmtId="0" fontId="2" fillId="5" borderId="7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3" fillId="5" borderId="0" xfId="0" applyFont="1" applyFill="1"/>
    <xf numFmtId="0" fontId="0" fillId="5" borderId="2" xfId="0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3" fillId="5" borderId="0" xfId="0" applyNumberFormat="1" applyFont="1" applyFill="1" applyAlignment="1">
      <alignment horizontal="center" vertical="center"/>
    </xf>
    <xf numFmtId="49" fontId="3" fillId="5" borderId="0" xfId="0" applyNumberFormat="1" applyFont="1" applyFill="1" applyAlignment="1">
      <alignment vertical="center" textRotation="90"/>
    </xf>
    <xf numFmtId="0" fontId="3" fillId="6" borderId="0" xfId="0" applyFont="1" applyFill="1"/>
    <xf numFmtId="0" fontId="0" fillId="6" borderId="0" xfId="0" applyFill="1"/>
    <xf numFmtId="0" fontId="3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2" fillId="5" borderId="5" xfId="0" applyFont="1" applyFill="1" applyBorder="1"/>
    <xf numFmtId="0" fontId="2" fillId="4" borderId="7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0" fillId="5" borderId="0" xfId="0" applyFill="1"/>
    <xf numFmtId="0" fontId="3" fillId="5" borderId="2" xfId="0" applyFont="1" applyFill="1" applyBorder="1"/>
    <xf numFmtId="0" fontId="8" fillId="5" borderId="0" xfId="0" applyFont="1" applyFill="1" applyAlignment="1">
      <alignment vertical="center" indent="1"/>
    </xf>
    <xf numFmtId="0" fontId="6" fillId="5" borderId="0" xfId="0" applyFont="1" applyFill="1" applyAlignment="1">
      <alignment vertical="center" textRotation="90"/>
    </xf>
    <xf numFmtId="49" fontId="9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7" fontId="2" fillId="0" borderId="0" xfId="0" applyNumberFormat="1" applyFont="1"/>
    <xf numFmtId="0" fontId="2" fillId="4" borderId="8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vertical="center" textRotation="255"/>
    </xf>
    <xf numFmtId="0" fontId="2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2" fillId="5" borderId="5" xfId="0" applyFont="1" applyFill="1" applyBorder="1" applyAlignment="1">
      <alignment horizontal="right"/>
    </xf>
    <xf numFmtId="0" fontId="3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2" fillId="5" borderId="0" xfId="0" applyFont="1" applyFill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5" fontId="0" fillId="0" borderId="11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43" fontId="5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2" fillId="0" borderId="7" xfId="0" applyNumberFormat="1" applyFont="1" applyBorder="1" applyAlignment="1">
      <alignment vertical="center"/>
    </xf>
    <xf numFmtId="43" fontId="2" fillId="8" borderId="7" xfId="0" applyNumberFormat="1" applyFont="1" applyFill="1" applyBorder="1" applyAlignment="1">
      <alignment vertical="center" wrapText="1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3" fillId="5" borderId="10" xfId="0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/>
    </xf>
    <xf numFmtId="0" fontId="3" fillId="11" borderId="10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2" borderId="10" xfId="0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0" fontId="3" fillId="12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17" fontId="2" fillId="0" borderId="23" xfId="0" applyNumberFormat="1" applyFont="1" applyBorder="1"/>
    <xf numFmtId="1" fontId="0" fillId="0" borderId="0" xfId="0" applyNumberFormat="1" applyAlignment="1">
      <alignment horizontal="center"/>
    </xf>
    <xf numFmtId="0" fontId="3" fillId="0" borderId="2" xfId="0" applyFont="1" applyBorder="1" applyAlignment="1">
      <alignment horizontal="center"/>
    </xf>
    <xf numFmtId="0" fontId="3" fillId="9" borderId="0" xfId="0" applyFont="1" applyFill="1"/>
    <xf numFmtId="0" fontId="0" fillId="0" borderId="1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3" fillId="0" borderId="11" xfId="0" applyNumberFormat="1" applyFont="1" applyBorder="1" applyAlignment="1">
      <alignment horizontal="center" vertical="center"/>
    </xf>
    <xf numFmtId="0" fontId="3" fillId="10" borderId="2" xfId="0" applyFont="1" applyFill="1" applyBorder="1" applyAlignment="1">
      <alignment horizontal="center"/>
    </xf>
    <xf numFmtId="0" fontId="3" fillId="10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7" fontId="2" fillId="0" borderId="0" xfId="0" applyNumberFormat="1" applyFont="1" applyAlignment="1">
      <alignment horizontal="center" vertical="center"/>
    </xf>
    <xf numFmtId="14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vertical="center"/>
    </xf>
    <xf numFmtId="0" fontId="12" fillId="5" borderId="17" xfId="0" applyFont="1" applyFill="1" applyBorder="1" applyAlignment="1">
      <alignment horizontal="center"/>
    </xf>
    <xf numFmtId="0" fontId="12" fillId="10" borderId="18" xfId="0" applyFont="1" applyFill="1" applyBorder="1" applyAlignment="1">
      <alignment horizontal="center" vertical="center"/>
    </xf>
    <xf numFmtId="0" fontId="12" fillId="10" borderId="18" xfId="0" applyFont="1" applyFill="1" applyBorder="1" applyAlignment="1">
      <alignment horizontal="center" vertical="center" wrapText="1"/>
    </xf>
    <xf numFmtId="0" fontId="12" fillId="11" borderId="18" xfId="0" applyFont="1" applyFill="1" applyBorder="1" applyAlignment="1">
      <alignment horizontal="center" vertical="center"/>
    </xf>
    <xf numFmtId="0" fontId="12" fillId="11" borderId="18" xfId="0" applyFont="1" applyFill="1" applyBorder="1" applyAlignment="1">
      <alignment horizontal="center" vertical="center" wrapText="1"/>
    </xf>
    <xf numFmtId="0" fontId="12" fillId="12" borderId="2" xfId="0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 wrapText="1"/>
    </xf>
    <xf numFmtId="0" fontId="12" fillId="12" borderId="18" xfId="0" applyFont="1" applyFill="1" applyBorder="1" applyAlignment="1">
      <alignment horizontal="center" vertical="center"/>
    </xf>
    <xf numFmtId="0" fontId="12" fillId="12" borderId="19" xfId="0" applyFont="1" applyFill="1" applyBorder="1" applyAlignment="1">
      <alignment horizontal="center" vertical="center" wrapText="1"/>
    </xf>
    <xf numFmtId="0" fontId="9" fillId="0" borderId="0" xfId="0" applyFont="1"/>
    <xf numFmtId="0" fontId="12" fillId="0" borderId="14" xfId="0" applyFont="1" applyBorder="1" applyAlignment="1">
      <alignment horizontal="center"/>
    </xf>
    <xf numFmtId="0" fontId="13" fillId="0" borderId="14" xfId="0" applyFont="1" applyBorder="1" applyAlignment="1">
      <alignment horizont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/>
    </xf>
    <xf numFmtId="0" fontId="13" fillId="0" borderId="18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49" fontId="3" fillId="0" borderId="0" xfId="0" applyNumberFormat="1" applyFont="1" applyFill="1" applyAlignment="1">
      <alignment horizontal="center" vertical="center"/>
    </xf>
    <xf numFmtId="0" fontId="10" fillId="0" borderId="0" xfId="0" applyFont="1" applyFill="1" applyAlignment="1">
      <alignment vertical="center" textRotation="255"/>
    </xf>
    <xf numFmtId="0" fontId="0" fillId="0" borderId="0" xfId="0" applyFill="1"/>
    <xf numFmtId="0" fontId="3" fillId="0" borderId="0" xfId="0" applyFont="1" applyFill="1"/>
    <xf numFmtId="49" fontId="9" fillId="0" borderId="0" xfId="0" applyNumberFormat="1" applyFont="1" applyFill="1" applyAlignment="1">
      <alignment horizontal="center" vertical="center" textRotation="90"/>
    </xf>
    <xf numFmtId="0" fontId="0" fillId="0" borderId="0" xfId="0" applyFill="1" applyBorder="1"/>
    <xf numFmtId="0" fontId="3" fillId="0" borderId="0" xfId="0" applyFont="1" applyFill="1" applyBorder="1"/>
    <xf numFmtId="0" fontId="0" fillId="0" borderId="10" xfId="0" applyFill="1" applyBorder="1"/>
    <xf numFmtId="0" fontId="15" fillId="13" borderId="18" xfId="0" applyFont="1" applyFill="1" applyBorder="1" applyAlignment="1">
      <alignment horizontal="center" vertical="center"/>
    </xf>
    <xf numFmtId="0" fontId="15" fillId="13" borderId="19" xfId="0" applyFont="1" applyFill="1" applyBorder="1" applyAlignment="1">
      <alignment horizontal="center" vertical="center" wrapText="1"/>
    </xf>
    <xf numFmtId="167" fontId="3" fillId="0" borderId="11" xfId="0" applyNumberFormat="1" applyFont="1" applyBorder="1" applyAlignment="1">
      <alignment horizontal="center" vertical="center"/>
    </xf>
    <xf numFmtId="0" fontId="2" fillId="14" borderId="2" xfId="0" applyFont="1" applyFill="1" applyBorder="1"/>
    <xf numFmtId="0" fontId="2" fillId="0" borderId="2" xfId="0" applyFont="1" applyBorder="1"/>
    <xf numFmtId="0" fontId="3" fillId="0" borderId="21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13" fillId="13" borderId="18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0" fontId="2" fillId="4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2" fontId="3" fillId="5" borderId="2" xfId="0" applyNumberFormat="1" applyFont="1" applyFill="1" applyBorder="1" applyAlignment="1">
      <alignment horizontal="center" vertical="center"/>
    </xf>
    <xf numFmtId="2" fontId="3" fillId="5" borderId="2" xfId="0" applyNumberFormat="1" applyFont="1" applyFill="1" applyBorder="1" applyAlignment="1">
      <alignment horizontal="center"/>
    </xf>
    <xf numFmtId="165" fontId="0" fillId="0" borderId="0" xfId="0" applyNumberForma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5" borderId="0" xfId="0" applyFill="1" applyAlignment="1">
      <alignment horizontal="center"/>
    </xf>
    <xf numFmtId="0" fontId="0" fillId="15" borderId="0" xfId="0" applyFill="1" applyAlignment="1">
      <alignment horizontal="center" vertical="center"/>
    </xf>
    <xf numFmtId="0" fontId="18" fillId="16" borderId="0" xfId="0" applyFont="1" applyFill="1" applyAlignment="1">
      <alignment horizontal="center"/>
    </xf>
    <xf numFmtId="0" fontId="19" fillId="16" borderId="0" xfId="0" applyFont="1" applyFill="1"/>
    <xf numFmtId="0" fontId="0" fillId="0" borderId="0" xfId="0" applyBorder="1"/>
    <xf numFmtId="0" fontId="19" fillId="16" borderId="26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0" fontId="21" fillId="11" borderId="2" xfId="0" applyFont="1" applyFill="1" applyBorder="1" applyAlignment="1">
      <alignment horizontal="center" vertical="center"/>
    </xf>
    <xf numFmtId="0" fontId="21" fillId="12" borderId="2" xfId="0" applyFont="1" applyFill="1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11" fillId="5" borderId="21" xfId="0" applyFont="1" applyFill="1" applyBorder="1" applyAlignment="1">
      <alignment horizontal="center" vertical="center"/>
    </xf>
    <xf numFmtId="0" fontId="11" fillId="0" borderId="2" xfId="0" applyFont="1" applyBorder="1"/>
    <xf numFmtId="0" fontId="11" fillId="5" borderId="2" xfId="0" applyFont="1" applyFill="1" applyBorder="1" applyAlignment="1">
      <alignment horizontal="right" vertical="center" wrapText="1"/>
    </xf>
    <xf numFmtId="0" fontId="11" fillId="5" borderId="0" xfId="0" applyFont="1" applyFill="1"/>
    <xf numFmtId="0" fontId="11" fillId="5" borderId="10" xfId="0" applyFont="1" applyFill="1" applyBorder="1" applyAlignment="1">
      <alignment horizontal="center" vertical="center"/>
    </xf>
    <xf numFmtId="49" fontId="11" fillId="5" borderId="0" xfId="0" applyNumberFormat="1" applyFont="1" applyFill="1" applyAlignment="1">
      <alignment vertical="center" textRotation="90"/>
    </xf>
    <xf numFmtId="49" fontId="11" fillId="5" borderId="0" xfId="0" applyNumberFormat="1" applyFont="1" applyFill="1" applyAlignment="1">
      <alignment horizontal="center" vertical="center"/>
    </xf>
    <xf numFmtId="0" fontId="11" fillId="0" borderId="0" xfId="0" applyFont="1"/>
    <xf numFmtId="0" fontId="11" fillId="5" borderId="2" xfId="0" applyFont="1" applyFill="1" applyBorder="1"/>
    <xf numFmtId="0" fontId="22" fillId="5" borderId="0" xfId="0" applyFont="1" applyFill="1" applyAlignment="1">
      <alignment vertical="center" textRotation="90"/>
    </xf>
    <xf numFmtId="0" fontId="11" fillId="5" borderId="2" xfId="0" applyFont="1" applyFill="1" applyBorder="1" applyAlignment="1">
      <alignment horizontal="center" vertical="center"/>
    </xf>
    <xf numFmtId="0" fontId="23" fillId="0" borderId="0" xfId="0" applyFont="1" applyFill="1" applyAlignment="1">
      <alignment vertical="center" textRotation="255"/>
    </xf>
    <xf numFmtId="0" fontId="11" fillId="0" borderId="0" xfId="0" applyFont="1" applyFill="1"/>
    <xf numFmtId="0" fontId="11" fillId="0" borderId="0" xfId="0" applyFont="1" applyFill="1" applyBorder="1"/>
    <xf numFmtId="0" fontId="11" fillId="5" borderId="10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43" fontId="2" fillId="2" borderId="2" xfId="0" applyNumberFormat="1" applyFont="1" applyFill="1" applyBorder="1" applyAlignment="1">
      <alignment horizontal="center" vertical="center" wrapText="1"/>
    </xf>
    <xf numFmtId="43" fontId="2" fillId="2" borderId="2" xfId="1" applyFont="1" applyFill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2" fillId="0" borderId="3" xfId="0" applyNumberFormat="1" applyFont="1" applyBorder="1" applyAlignment="1">
      <alignment vertical="center"/>
    </xf>
    <xf numFmtId="165" fontId="21" fillId="0" borderId="2" xfId="1" applyNumberFormat="1" applyFont="1" applyBorder="1" applyAlignment="1">
      <alignment horizontal="center" vertical="center"/>
    </xf>
    <xf numFmtId="17" fontId="2" fillId="0" borderId="0" xfId="0" applyNumberFormat="1" applyFont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17" fontId="2" fillId="0" borderId="0" xfId="0" applyNumberFormat="1" applyFont="1" applyBorder="1"/>
    <xf numFmtId="1" fontId="3" fillId="12" borderId="2" xfId="0" applyNumberFormat="1" applyFont="1" applyFill="1" applyBorder="1" applyAlignment="1">
      <alignment horizontal="center"/>
    </xf>
    <xf numFmtId="1" fontId="3" fillId="0" borderId="11" xfId="0" applyNumberFormat="1" applyFont="1" applyBorder="1" applyAlignment="1">
      <alignment horizontal="center" vertical="center"/>
    </xf>
    <xf numFmtId="0" fontId="26" fillId="17" borderId="0" xfId="2" applyFont="1" applyFill="1" applyAlignment="1">
      <alignment horizontal="center"/>
    </xf>
    <xf numFmtId="1" fontId="27" fillId="17" borderId="0" xfId="2" applyNumberFormat="1" applyFont="1" applyFill="1" applyAlignment="1">
      <alignment horizontal="center"/>
    </xf>
    <xf numFmtId="1" fontId="1" fillId="0" borderId="2" xfId="2" applyNumberFormat="1" applyBorder="1" applyAlignment="1">
      <alignment horizontal="center"/>
    </xf>
    <xf numFmtId="0" fontId="28" fillId="18" borderId="27" xfId="2" applyFont="1" applyFill="1" applyBorder="1" applyAlignment="1">
      <alignment horizontal="center" vertical="center" wrapText="1"/>
    </xf>
    <xf numFmtId="1" fontId="1" fillId="0" borderId="0" xfId="2" applyNumberFormat="1"/>
    <xf numFmtId="0" fontId="25" fillId="21" borderId="10" xfId="2" applyFont="1" applyFill="1" applyBorder="1" applyAlignment="1">
      <alignment horizontal="center" vertical="center"/>
    </xf>
    <xf numFmtId="0" fontId="25" fillId="22" borderId="33" xfId="2" applyFont="1" applyFill="1" applyBorder="1" applyAlignment="1">
      <alignment horizontal="center" vertical="center" wrapText="1"/>
    </xf>
    <xf numFmtId="1" fontId="25" fillId="22" borderId="10" xfId="2" applyNumberFormat="1" applyFont="1" applyFill="1" applyBorder="1" applyAlignment="1">
      <alignment horizontal="center" vertical="center" wrapText="1"/>
    </xf>
    <xf numFmtId="0" fontId="25" fillId="22" borderId="10" xfId="2" applyFont="1" applyFill="1" applyBorder="1" applyAlignment="1">
      <alignment horizontal="center" vertical="center" wrapText="1"/>
    </xf>
    <xf numFmtId="0" fontId="25" fillId="22" borderId="10" xfId="2" applyFont="1" applyFill="1" applyBorder="1" applyAlignment="1">
      <alignment horizontal="center" wrapText="1"/>
    </xf>
    <xf numFmtId="1" fontId="25" fillId="23" borderId="2" xfId="2" applyNumberFormat="1" applyFont="1" applyFill="1" applyBorder="1" applyAlignment="1">
      <alignment horizontal="center" wrapText="1"/>
    </xf>
    <xf numFmtId="15" fontId="30" fillId="21" borderId="10" xfId="2" applyNumberFormat="1" applyFont="1" applyFill="1" applyBorder="1" applyAlignment="1">
      <alignment horizontal="center" vertical="center"/>
    </xf>
    <xf numFmtId="0" fontId="24" fillId="0" borderId="2" xfId="2" applyFont="1" applyBorder="1" applyAlignment="1">
      <alignment horizontal="center"/>
    </xf>
    <xf numFmtId="1" fontId="30" fillId="0" borderId="0" xfId="2" applyNumberFormat="1" applyFont="1" applyAlignment="1">
      <alignment horizontal="center"/>
    </xf>
    <xf numFmtId="0" fontId="24" fillId="0" borderId="0" xfId="2" applyFont="1" applyAlignment="1">
      <alignment horizontal="center"/>
    </xf>
    <xf numFmtId="0" fontId="24" fillId="0" borderId="0" xfId="2" applyFont="1"/>
    <xf numFmtId="1" fontId="24" fillId="0" borderId="2" xfId="2" applyNumberFormat="1" applyFont="1" applyBorder="1" applyAlignment="1">
      <alignment horizontal="center" vertical="center"/>
    </xf>
    <xf numFmtId="15" fontId="25" fillId="21" borderId="10" xfId="2" applyNumberFormat="1" applyFont="1" applyFill="1" applyBorder="1" applyAlignment="1">
      <alignment horizontal="center" vertical="center"/>
    </xf>
    <xf numFmtId="0" fontId="1" fillId="0" borderId="2" xfId="2" applyBorder="1" applyAlignment="1">
      <alignment horizontal="center"/>
    </xf>
    <xf numFmtId="1" fontId="31" fillId="0" borderId="2" xfId="2" applyNumberFormat="1" applyFont="1" applyBorder="1" applyAlignment="1">
      <alignment horizontal="center" vertical="center"/>
    </xf>
    <xf numFmtId="1" fontId="1" fillId="0" borderId="2" xfId="2" applyNumberFormat="1" applyBorder="1" applyAlignment="1">
      <alignment horizontal="center" vertical="center"/>
    </xf>
    <xf numFmtId="0" fontId="1" fillId="0" borderId="0" xfId="2"/>
    <xf numFmtId="0" fontId="25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2" fontId="30" fillId="0" borderId="2" xfId="0" applyNumberFormat="1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24" fillId="0" borderId="2" xfId="0" applyNumberFormat="1" applyFont="1" applyBorder="1" applyAlignment="1">
      <alignment horizontal="center"/>
    </xf>
    <xf numFmtId="0" fontId="1" fillId="0" borderId="0" xfId="2" applyAlignment="1">
      <alignment horizontal="center"/>
    </xf>
    <xf numFmtId="1" fontId="25" fillId="0" borderId="0" xfId="2" applyNumberFormat="1" applyFont="1" applyAlignment="1">
      <alignment horizontal="center"/>
    </xf>
    <xf numFmtId="1" fontId="1" fillId="0" borderId="0" xfId="2" applyNumberFormat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4" borderId="0" xfId="0" applyFont="1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2" fillId="24" borderId="2" xfId="0" applyNumberFormat="1" applyFont="1" applyFill="1" applyBorder="1" applyAlignment="1">
      <alignment horizontal="center" vertical="center" wrapText="1"/>
    </xf>
    <xf numFmtId="0" fontId="0" fillId="24" borderId="2" xfId="0" applyFill="1" applyBorder="1" applyAlignment="1">
      <alignment horizontal="center" vertical="center" wrapText="1"/>
    </xf>
    <xf numFmtId="0" fontId="0" fillId="24" borderId="2" xfId="1" applyNumberFormat="1" applyFont="1" applyFill="1" applyBorder="1" applyAlignment="1">
      <alignment horizontal="center" vertical="center"/>
    </xf>
    <xf numFmtId="0" fontId="0" fillId="24" borderId="2" xfId="0" applyFill="1" applyBorder="1" applyAlignment="1">
      <alignment horizontal="center" vertical="center"/>
    </xf>
    <xf numFmtId="165" fontId="0" fillId="24" borderId="0" xfId="0" applyNumberFormat="1" applyFill="1" applyAlignment="1">
      <alignment horizontal="center"/>
    </xf>
    <xf numFmtId="0" fontId="0" fillId="24" borderId="4" xfId="0" applyFill="1" applyBorder="1" applyAlignment="1">
      <alignment horizontal="center" vertical="center"/>
    </xf>
    <xf numFmtId="0" fontId="2" fillId="24" borderId="2" xfId="0" applyFont="1" applyFill="1" applyBorder="1" applyAlignment="1">
      <alignment horizontal="center" vertical="center" wrapText="1"/>
    </xf>
    <xf numFmtId="0" fontId="26" fillId="17" borderId="2" xfId="2" applyFont="1" applyFill="1" applyBorder="1" applyAlignment="1">
      <alignment horizontal="center"/>
    </xf>
    <xf numFmtId="0" fontId="27" fillId="17" borderId="10" xfId="2" applyFont="1" applyFill="1" applyBorder="1" applyAlignment="1">
      <alignment horizontal="center"/>
    </xf>
    <xf numFmtId="0" fontId="29" fillId="19" borderId="28" xfId="2" applyFont="1" applyFill="1" applyBorder="1" applyAlignment="1">
      <alignment horizontal="center" vertical="center"/>
    </xf>
    <xf numFmtId="0" fontId="29" fillId="19" borderId="29" xfId="2" applyFont="1" applyFill="1" applyBorder="1" applyAlignment="1">
      <alignment horizontal="center" vertical="center"/>
    </xf>
    <xf numFmtId="0" fontId="29" fillId="19" borderId="30" xfId="2" applyFont="1" applyFill="1" applyBorder="1" applyAlignment="1">
      <alignment horizontal="center" vertical="center"/>
    </xf>
    <xf numFmtId="0" fontId="25" fillId="20" borderId="31" xfId="2" applyFont="1" applyFill="1" applyBorder="1" applyAlignment="1">
      <alignment horizontal="center" vertical="center" wrapText="1"/>
    </xf>
    <xf numFmtId="0" fontId="25" fillId="20" borderId="32" xfId="2" applyFont="1" applyFill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 textRotation="255"/>
    </xf>
    <xf numFmtId="0" fontId="2" fillId="0" borderId="0" xfId="0" applyFont="1" applyFill="1" applyAlignment="1">
      <alignment horizontal="center" vertical="center" textRotation="255"/>
    </xf>
    <xf numFmtId="0" fontId="18" fillId="16" borderId="0" xfId="0" applyFont="1" applyFill="1" applyAlignment="1">
      <alignment horizontal="center"/>
    </xf>
    <xf numFmtId="168" fontId="20" fillId="16" borderId="0" xfId="0" applyNumberFormat="1" applyFont="1" applyFill="1" applyAlignment="1">
      <alignment horizontal="left"/>
    </xf>
    <xf numFmtId="0" fontId="20" fillId="16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Font="1" applyBorder="1" applyAlignment="1">
      <alignment horizontal="center" vertical="center"/>
    </xf>
    <xf numFmtId="16" fontId="2" fillId="5" borderId="21" xfId="0" applyNumberFormat="1" applyFont="1" applyFill="1" applyBorder="1" applyAlignment="1">
      <alignment horizontal="right" vertical="center"/>
    </xf>
    <xf numFmtId="0" fontId="2" fillId="5" borderId="34" xfId="0" applyFont="1" applyFill="1" applyBorder="1" applyAlignment="1">
      <alignment horizontal="right" vertical="center"/>
    </xf>
    <xf numFmtId="0" fontId="2" fillId="5" borderId="35" xfId="0" applyFont="1" applyFill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2" fillId="10" borderId="15" xfId="0" applyFont="1" applyFill="1" applyBorder="1" applyAlignment="1">
      <alignment horizontal="center" vertical="center"/>
    </xf>
    <xf numFmtId="0" fontId="12" fillId="11" borderId="15" xfId="0" applyFont="1" applyFill="1" applyBorder="1" applyAlignment="1">
      <alignment horizontal="center" vertical="center"/>
    </xf>
    <xf numFmtId="0" fontId="12" fillId="12" borderId="15" xfId="0" applyFont="1" applyFill="1" applyBorder="1" applyAlignment="1">
      <alignment horizontal="center" vertical="center"/>
    </xf>
    <xf numFmtId="0" fontId="12" fillId="12" borderId="16" xfId="0" applyFont="1" applyFill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15" fillId="13" borderId="16" xfId="0" applyFont="1" applyFill="1" applyBorder="1" applyAlignment="1">
      <alignment horizontal="center" vertical="center"/>
    </xf>
    <xf numFmtId="0" fontId="12" fillId="12" borderId="22" xfId="0" applyFont="1" applyFill="1" applyBorder="1" applyAlignment="1">
      <alignment horizontal="center" vertical="center"/>
    </xf>
    <xf numFmtId="0" fontId="12" fillId="12" borderId="24" xfId="0" applyFont="1" applyFill="1" applyBorder="1" applyAlignment="1">
      <alignment horizontal="center" vertical="center"/>
    </xf>
    <xf numFmtId="0" fontId="12" fillId="12" borderId="25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/>
    </xf>
    <xf numFmtId="0" fontId="5" fillId="3" borderId="0" xfId="0" applyFont="1" applyFill="1" applyAlignment="1">
      <alignment vertical="center"/>
    </xf>
    <xf numFmtId="0" fontId="2" fillId="5" borderId="8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2" fillId="15" borderId="36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0" fontId="0" fillId="5" borderId="2" xfId="0" applyFill="1" applyBorder="1"/>
    <xf numFmtId="0" fontId="2" fillId="15" borderId="2" xfId="0" applyFont="1" applyFill="1" applyBorder="1" applyAlignment="1">
      <alignment horizontal="center" vertical="center"/>
    </xf>
    <xf numFmtId="165" fontId="2" fillId="15" borderId="2" xfId="1" applyNumberFormat="1" applyFont="1" applyFill="1" applyBorder="1" applyAlignment="1">
      <alignment horizontal="center" vertical="center"/>
    </xf>
    <xf numFmtId="2" fontId="2" fillId="15" borderId="2" xfId="0" applyNumberFormat="1" applyFont="1" applyFill="1" applyBorder="1" applyAlignment="1">
      <alignment horizontal="center" vertical="center" wrapText="1"/>
    </xf>
    <xf numFmtId="0" fontId="5" fillId="15" borderId="0" xfId="0" applyFont="1" applyFill="1" applyAlignment="1">
      <alignment vertical="center"/>
    </xf>
    <xf numFmtId="0" fontId="2" fillId="15" borderId="36" xfId="0" applyFont="1" applyFill="1" applyBorder="1" applyAlignment="1">
      <alignment horizontal="center" vertical="center"/>
    </xf>
    <xf numFmtId="0" fontId="2" fillId="15" borderId="0" xfId="0" applyFont="1" applyFill="1" applyBorder="1" applyAlignment="1">
      <alignment horizontal="center" vertical="center" wrapText="1"/>
    </xf>
    <xf numFmtId="0" fontId="0" fillId="15" borderId="10" xfId="0" applyFill="1" applyBorder="1"/>
    <xf numFmtId="0" fontId="0" fillId="15" borderId="2" xfId="0" applyFill="1" applyBorder="1"/>
    <xf numFmtId="0" fontId="11" fillId="15" borderId="2" xfId="0" applyFont="1" applyFill="1" applyBorder="1"/>
    <xf numFmtId="165" fontId="0" fillId="15" borderId="0" xfId="0" applyNumberFormat="1" applyFill="1" applyBorder="1" applyAlignment="1">
      <alignment horizontal="center" vertical="center"/>
    </xf>
    <xf numFmtId="0" fontId="2" fillId="15" borderId="0" xfId="0" applyFont="1" applyFill="1" applyBorder="1" applyAlignment="1">
      <alignment horizontal="center" vertical="center"/>
    </xf>
    <xf numFmtId="0" fontId="2" fillId="15" borderId="5" xfId="0" applyFont="1" applyFill="1" applyBorder="1" applyAlignment="1">
      <alignment horizontal="center" vertical="center" wrapText="1"/>
    </xf>
    <xf numFmtId="0" fontId="0" fillId="15" borderId="0" xfId="0" applyFill="1" applyBorder="1"/>
    <xf numFmtId="0" fontId="11" fillId="15" borderId="0" xfId="0" applyFont="1" applyFill="1" applyBorder="1"/>
    <xf numFmtId="0" fontId="2" fillId="15" borderId="10" xfId="0" applyFont="1" applyFill="1" applyBorder="1" applyAlignment="1">
      <alignment horizontal="center" vertical="center"/>
    </xf>
    <xf numFmtId="0" fontId="11" fillId="15" borderId="10" xfId="0" applyFont="1" applyFill="1" applyBorder="1"/>
    <xf numFmtId="0" fontId="11" fillId="0" borderId="2" xfId="0" applyFont="1" applyBorder="1" applyAlignment="1">
      <alignment horizontal="center"/>
    </xf>
    <xf numFmtId="0" fontId="34" fillId="0" borderId="2" xfId="2" applyFont="1" applyBorder="1" applyAlignment="1">
      <alignment horizontal="center"/>
    </xf>
  </cellXfs>
  <cellStyles count="13">
    <cellStyle name="Comma" xfId="1" builtinId="3"/>
    <cellStyle name="Comma 2" xfId="3"/>
    <cellStyle name="Comma 3" xfId="4"/>
    <cellStyle name="Comma 4" xfId="5"/>
    <cellStyle name="Currency 2" xfId="6"/>
    <cellStyle name="Currency 3" xfId="7"/>
    <cellStyle name="Normal" xfId="0" builtinId="0"/>
    <cellStyle name="Normal 2" xfId="8"/>
    <cellStyle name="Normal 3" xfId="9"/>
    <cellStyle name="Normal 4" xfId="2"/>
    <cellStyle name="Percent 2" xfId="10"/>
    <cellStyle name="Percent 3" xfId="11"/>
    <cellStyle name="Percent 4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'!$D$9:$D$38</c:f>
              <c:numCache>
                <c:formatCode>General</c:formatCode>
                <c:ptCount val="30"/>
                <c:pt idx="0">
                  <c:v>3696</c:v>
                </c:pt>
                <c:pt idx="1">
                  <c:v>3757</c:v>
                </c:pt>
                <c:pt idx="2">
                  <c:v>4111</c:v>
                </c:pt>
                <c:pt idx="3">
                  <c:v>4244</c:v>
                </c:pt>
                <c:pt idx="4">
                  <c:v>-25103892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'!$G$9:$G$38</c:f>
              <c:numCache>
                <c:formatCode>General</c:formatCode>
                <c:ptCount val="30"/>
                <c:pt idx="0">
                  <c:v>4179</c:v>
                </c:pt>
                <c:pt idx="1">
                  <c:v>4756</c:v>
                </c:pt>
                <c:pt idx="2">
                  <c:v>4460</c:v>
                </c:pt>
                <c:pt idx="3">
                  <c:v>4883</c:v>
                </c:pt>
                <c:pt idx="4">
                  <c:v>-21999466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2245376"/>
        <c:axId val="342247296"/>
      </c:lineChart>
      <c:catAx>
        <c:axId val="342245376"/>
        <c:scaling>
          <c:orientation val="minMax"/>
        </c:scaling>
        <c:delete val="0"/>
        <c:axPos val="b"/>
        <c:majorTickMark val="out"/>
        <c:minorTickMark val="none"/>
        <c:tickLblPos val="nextTo"/>
        <c:crossAx val="342247296"/>
        <c:crosses val="autoZero"/>
        <c:auto val="1"/>
        <c:lblAlgn val="ctr"/>
        <c:lblOffset val="100"/>
        <c:noMultiLvlLbl val="0"/>
      </c:catAx>
      <c:valAx>
        <c:axId val="342247296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42245376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'!$J$9:$J$38</c:f>
              <c:numCache>
                <c:formatCode>General</c:formatCode>
                <c:ptCount val="30"/>
                <c:pt idx="0">
                  <c:v>15480</c:v>
                </c:pt>
                <c:pt idx="1">
                  <c:v>13845</c:v>
                </c:pt>
                <c:pt idx="2">
                  <c:v>13883</c:v>
                </c:pt>
                <c:pt idx="3">
                  <c:v>14856</c:v>
                </c:pt>
                <c:pt idx="4">
                  <c:v>-83776294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031232"/>
        <c:axId val="422053376"/>
      </c:lineChart>
      <c:catAx>
        <c:axId val="414031232"/>
        <c:scaling>
          <c:orientation val="minMax"/>
        </c:scaling>
        <c:delete val="0"/>
        <c:axPos val="b"/>
        <c:majorTickMark val="out"/>
        <c:minorTickMark val="none"/>
        <c:tickLblPos val="nextTo"/>
        <c:crossAx val="422053376"/>
        <c:crosses val="autoZero"/>
        <c:auto val="1"/>
        <c:lblAlgn val="ctr"/>
        <c:lblOffset val="100"/>
        <c:noMultiLvlLbl val="0"/>
      </c:catAx>
      <c:valAx>
        <c:axId val="422053376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14031232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'!$M$9:$M$38</c:f>
              <c:numCache>
                <c:formatCode>General</c:formatCode>
                <c:ptCount val="30"/>
                <c:pt idx="0">
                  <c:v>2280</c:v>
                </c:pt>
                <c:pt idx="1">
                  <c:v>2200</c:v>
                </c:pt>
                <c:pt idx="2">
                  <c:v>2200</c:v>
                </c:pt>
                <c:pt idx="3">
                  <c:v>2200</c:v>
                </c:pt>
                <c:pt idx="4">
                  <c:v>-1731100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'!$P$9:$P$38</c:f>
              <c:numCache>
                <c:formatCode>General</c:formatCode>
                <c:ptCount val="30"/>
                <c:pt idx="0">
                  <c:v>2738</c:v>
                </c:pt>
                <c:pt idx="1">
                  <c:v>2654</c:v>
                </c:pt>
                <c:pt idx="2">
                  <c:v>2790</c:v>
                </c:pt>
                <c:pt idx="3">
                  <c:v>2846</c:v>
                </c:pt>
                <c:pt idx="4">
                  <c:v>-2341951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'!$Y$9:$Y$38</c:f>
              <c:numCache>
                <c:formatCode>General</c:formatCode>
                <c:ptCount val="30"/>
                <c:pt idx="0">
                  <c:v>6300</c:v>
                </c:pt>
                <c:pt idx="1">
                  <c:v>6500</c:v>
                </c:pt>
                <c:pt idx="2">
                  <c:v>6400</c:v>
                </c:pt>
                <c:pt idx="3">
                  <c:v>5800</c:v>
                </c:pt>
                <c:pt idx="4">
                  <c:v>-6852800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'!$AB$9:$AB$38</c:f>
              <c:numCache>
                <c:formatCode>General</c:formatCode>
                <c:ptCount val="30"/>
                <c:pt idx="0">
                  <c:v>3400</c:v>
                </c:pt>
                <c:pt idx="1">
                  <c:v>2900</c:v>
                </c:pt>
                <c:pt idx="2">
                  <c:v>2700</c:v>
                </c:pt>
                <c:pt idx="3">
                  <c:v>2900</c:v>
                </c:pt>
                <c:pt idx="4">
                  <c:v>-1497800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7622144"/>
        <c:axId val="337623680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'!$AO$9:$AO$38</c:f>
              <c:numCache>
                <c:formatCode>General</c:formatCode>
                <c:ptCount val="30"/>
                <c:pt idx="0">
                  <c:v>617560</c:v>
                </c:pt>
                <c:pt idx="1">
                  <c:v>618570</c:v>
                </c:pt>
                <c:pt idx="2">
                  <c:v>619280</c:v>
                </c:pt>
                <c:pt idx="3">
                  <c:v>620070</c:v>
                </c:pt>
                <c:pt idx="4">
                  <c:v>620980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7627008"/>
        <c:axId val="337625472"/>
      </c:lineChart>
      <c:catAx>
        <c:axId val="337622144"/>
        <c:scaling>
          <c:orientation val="minMax"/>
        </c:scaling>
        <c:delete val="0"/>
        <c:axPos val="b"/>
        <c:majorTickMark val="out"/>
        <c:minorTickMark val="none"/>
        <c:tickLblPos val="nextTo"/>
        <c:crossAx val="337623680"/>
        <c:crosses val="autoZero"/>
        <c:auto val="1"/>
        <c:lblAlgn val="ctr"/>
        <c:lblOffset val="100"/>
        <c:noMultiLvlLbl val="0"/>
      </c:catAx>
      <c:valAx>
        <c:axId val="337623680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7622144"/>
        <c:crosses val="autoZero"/>
        <c:crossBetween val="between"/>
        <c:minorUnit val="100"/>
      </c:valAx>
      <c:valAx>
        <c:axId val="33762547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337627008"/>
        <c:crosses val="max"/>
        <c:crossBetween val="between"/>
      </c:valAx>
      <c:catAx>
        <c:axId val="337627008"/>
        <c:scaling>
          <c:orientation val="minMax"/>
        </c:scaling>
        <c:delete val="1"/>
        <c:axPos val="b"/>
        <c:majorTickMark val="out"/>
        <c:minorTickMark val="none"/>
        <c:tickLblPos val="nextTo"/>
        <c:crossAx val="337625472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30450</c:v>
                </c:pt>
                <c:pt idx="1">
                  <c:v>29767</c:v>
                </c:pt>
                <c:pt idx="2">
                  <c:v>29515</c:v>
                </c:pt>
                <c:pt idx="3">
                  <c:v>31514</c:v>
                </c:pt>
                <c:pt idx="4">
                  <c:v>-86185696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8618624"/>
        <c:axId val="338620416"/>
      </c:barChart>
      <c:catAx>
        <c:axId val="338618624"/>
        <c:scaling>
          <c:orientation val="minMax"/>
        </c:scaling>
        <c:delete val="0"/>
        <c:axPos val="b"/>
        <c:majorTickMark val="out"/>
        <c:minorTickMark val="none"/>
        <c:tickLblPos val="nextTo"/>
        <c:crossAx val="338620416"/>
        <c:crosses val="autoZero"/>
        <c:auto val="1"/>
        <c:lblAlgn val="ctr"/>
        <c:lblOffset val="100"/>
        <c:noMultiLvlLbl val="0"/>
      </c:catAx>
      <c:valAx>
        <c:axId val="338620416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338618624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0476288"/>
        <c:axId val="340477824"/>
      </c:barChart>
      <c:catAx>
        <c:axId val="340476288"/>
        <c:scaling>
          <c:orientation val="minMax"/>
        </c:scaling>
        <c:delete val="0"/>
        <c:axPos val="b"/>
        <c:majorTickMark val="out"/>
        <c:minorTickMark val="none"/>
        <c:tickLblPos val="nextTo"/>
        <c:crossAx val="340477824"/>
        <c:crosses val="autoZero"/>
        <c:auto val="1"/>
        <c:lblAlgn val="ctr"/>
        <c:lblOffset val="100"/>
        <c:noMultiLvlLbl val="0"/>
      </c:catAx>
      <c:valAx>
        <c:axId val="340477824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40476288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0498688"/>
        <c:axId val="340500480"/>
      </c:barChart>
      <c:catAx>
        <c:axId val="340498688"/>
        <c:scaling>
          <c:orientation val="minMax"/>
        </c:scaling>
        <c:delete val="0"/>
        <c:axPos val="b"/>
        <c:majorTickMark val="out"/>
        <c:minorTickMark val="none"/>
        <c:tickLblPos val="nextTo"/>
        <c:crossAx val="340500480"/>
        <c:crosses val="autoZero"/>
        <c:auto val="1"/>
        <c:lblAlgn val="ctr"/>
        <c:lblOffset val="100"/>
        <c:noMultiLvlLbl val="0"/>
      </c:catAx>
      <c:valAx>
        <c:axId val="340500480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40498688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summry'!$B$9:$B$38</c:f>
              <c:numCache>
                <c:formatCode>General</c:formatCode>
                <c:ptCount val="30"/>
                <c:pt idx="0">
                  <c:v>3696</c:v>
                </c:pt>
                <c:pt idx="1">
                  <c:v>3757</c:v>
                </c:pt>
                <c:pt idx="2">
                  <c:v>4111</c:v>
                </c:pt>
                <c:pt idx="3">
                  <c:v>4244</c:v>
                </c:pt>
                <c:pt idx="4">
                  <c:v>-25103892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022-41F7-8F68-2C06E34C49C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summry'!$C$9:$C$39</c:f>
              <c:numCache>
                <c:formatCode>General</c:formatCode>
                <c:ptCount val="31"/>
                <c:pt idx="0">
                  <c:v>4179</c:v>
                </c:pt>
                <c:pt idx="1">
                  <c:v>4756</c:v>
                </c:pt>
                <c:pt idx="2">
                  <c:v>4460</c:v>
                </c:pt>
                <c:pt idx="3">
                  <c:v>4883</c:v>
                </c:pt>
                <c:pt idx="4">
                  <c:v>-21999466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022-41F7-8F68-2C06E34C49C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summry'!$D$9:$D$39</c:f>
              <c:numCache>
                <c:formatCode>General</c:formatCode>
                <c:ptCount val="31"/>
                <c:pt idx="0">
                  <c:v>15480</c:v>
                </c:pt>
                <c:pt idx="1">
                  <c:v>13845</c:v>
                </c:pt>
                <c:pt idx="2">
                  <c:v>13883</c:v>
                </c:pt>
                <c:pt idx="3">
                  <c:v>14856</c:v>
                </c:pt>
                <c:pt idx="4">
                  <c:v>-83776294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022-41F7-8F68-2C06E34C49C8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summry'!$E$9:$E$39</c:f>
              <c:numCache>
                <c:formatCode>General</c:formatCode>
                <c:ptCount val="31"/>
                <c:pt idx="0">
                  <c:v>2280</c:v>
                </c:pt>
                <c:pt idx="1">
                  <c:v>2200</c:v>
                </c:pt>
                <c:pt idx="2">
                  <c:v>2200</c:v>
                </c:pt>
                <c:pt idx="3">
                  <c:v>2200</c:v>
                </c:pt>
                <c:pt idx="4">
                  <c:v>-1731100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4022-41F7-8F68-2C06E34C49C8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summry'!$F$9:$F$39</c:f>
              <c:numCache>
                <c:formatCode>General</c:formatCode>
                <c:ptCount val="31"/>
                <c:pt idx="0">
                  <c:v>2738</c:v>
                </c:pt>
                <c:pt idx="1">
                  <c:v>2654</c:v>
                </c:pt>
                <c:pt idx="2">
                  <c:v>2790</c:v>
                </c:pt>
                <c:pt idx="3">
                  <c:v>2846</c:v>
                </c:pt>
                <c:pt idx="4">
                  <c:v>-2341951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4022-41F7-8F68-2C06E34C49C8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summry'!$G$9:$G$39</c:f>
              <c:numCache>
                <c:formatCode>General</c:formatCode>
                <c:ptCount val="31"/>
                <c:pt idx="0">
                  <c:v>1900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-1411800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022-41F7-8F68-2C06E34C49C8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summry'!$H$9:$H$39</c:f>
              <c:numCache>
                <c:formatCode>General</c:formatCode>
                <c:ptCount val="31"/>
                <c:pt idx="0">
                  <c:v>654</c:v>
                </c:pt>
                <c:pt idx="1">
                  <c:v>717</c:v>
                </c:pt>
                <c:pt idx="2">
                  <c:v>688</c:v>
                </c:pt>
                <c:pt idx="3">
                  <c:v>693</c:v>
                </c:pt>
                <c:pt idx="4">
                  <c:v>-662479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4022-41F7-8F68-2C06E34C49C8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summry'!$I$9:$I$39</c:f>
              <c:numCache>
                <c:formatCode>General</c:formatCode>
                <c:ptCount val="31"/>
                <c:pt idx="0">
                  <c:v>6300</c:v>
                </c:pt>
                <c:pt idx="1">
                  <c:v>6500</c:v>
                </c:pt>
                <c:pt idx="2">
                  <c:v>6400</c:v>
                </c:pt>
                <c:pt idx="3">
                  <c:v>5800</c:v>
                </c:pt>
                <c:pt idx="4">
                  <c:v>-6852800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4022-41F7-8F68-2C06E34C49C8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summry'!$J$9:$J$40</c:f>
              <c:numCache>
                <c:formatCode>General</c:formatCode>
                <c:ptCount val="32"/>
                <c:pt idx="0">
                  <c:v>3400</c:v>
                </c:pt>
                <c:pt idx="1">
                  <c:v>2900</c:v>
                </c:pt>
                <c:pt idx="2">
                  <c:v>2700</c:v>
                </c:pt>
                <c:pt idx="3">
                  <c:v>2900</c:v>
                </c:pt>
                <c:pt idx="4">
                  <c:v>-1497800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-1485900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4022-41F7-8F68-2C06E34C49C8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summry'!$K$9:$K$39</c:f>
              <c:numCache>
                <c:formatCode>General</c:formatCode>
                <c:ptCount val="31"/>
                <c:pt idx="0">
                  <c:v>488</c:v>
                </c:pt>
                <c:pt idx="1">
                  <c:v>428</c:v>
                </c:pt>
                <c:pt idx="2">
                  <c:v>412</c:v>
                </c:pt>
                <c:pt idx="3">
                  <c:v>418</c:v>
                </c:pt>
                <c:pt idx="4">
                  <c:v>-444754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4022-41F7-8F68-2C06E34C4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6869760"/>
        <c:axId val="346871296"/>
      </c:lineChart>
      <c:catAx>
        <c:axId val="3468697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871296"/>
        <c:crosses val="autoZero"/>
        <c:auto val="1"/>
        <c:lblAlgn val="ctr"/>
        <c:lblOffset val="100"/>
        <c:noMultiLvlLbl val="0"/>
      </c:catAx>
      <c:valAx>
        <c:axId val="346871296"/>
        <c:scaling>
          <c:orientation val="minMax"/>
          <c:max val="5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869760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549C4876-8D46-46E1-A11C-615F8E82E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2F285C40-69F4-434A-AA2F-537C51974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DD463BDA-D674-4DA0-BDD3-DE611BAA8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E867CB08-7298-4E53-B14A-6B66AB6A3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2E6809EB-5B5D-4451-A9F5-53070C3DE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xmlns="" id="{7BC48F60-145B-43CD-B638-5E6040677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549C4876-8D46-46E1-A11C-615F8E82E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0"/>
          <a:ext cx="0" cy="1495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xmlns="" id="{549C4876-8D46-46E1-A11C-615F8E82E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0"/>
          <a:ext cx="0" cy="876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xmlns="" id="{549C4876-8D46-46E1-A11C-615F8E82E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0"/>
          <a:ext cx="0" cy="876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xmlns="" id="{549C4876-8D46-46E1-A11C-615F8E82E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47875" y="0"/>
          <a:ext cx="0" cy="876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24B4B165-80DB-4716-BA16-466FB5CE4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709A8214-36C3-4949-A700-15D147A58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44</xdr:row>
      <xdr:rowOff>134471</xdr:rowOff>
    </xdr:from>
    <xdr:to>
      <xdr:col>4</xdr:col>
      <xdr:colOff>694765</xdr:colOff>
      <xdr:row>57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526279D6-DF3B-4FF4-8149-6975B8297E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234921</xdr:colOff>
      <xdr:row>45</xdr:row>
      <xdr:rowOff>11206</xdr:rowOff>
    </xdr:from>
    <xdr:to>
      <xdr:col>10</xdr:col>
      <xdr:colOff>78442</xdr:colOff>
      <xdr:row>56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1C807751-E446-4A13-A978-BAD6F2AD1B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6802</xdr:colOff>
      <xdr:row>46</xdr:row>
      <xdr:rowOff>136071</xdr:rowOff>
    </xdr:from>
    <xdr:to>
      <xdr:col>24</xdr:col>
      <xdr:colOff>204107</xdr:colOff>
      <xdr:row>70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BC7C0DB2-AB9F-488F-B2FE-487F0DFEF1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909A1B32-C81C-483F-BBF0-45F3DDA38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86100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C7107D6E-F204-4571-BFAD-F8CEF57900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8A60F1F6-4C38-45EA-BFFD-4140C1ECB8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D8FAAC39-0A3A-4E1C-AD71-CE8F36A0D4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A179A921-A24D-469A-9F29-48EBD4951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3912" y="0"/>
          <a:ext cx="0" cy="7418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153071</xdr:colOff>
      <xdr:row>45</xdr:row>
      <xdr:rowOff>71717</xdr:rowOff>
    </xdr:from>
    <xdr:to>
      <xdr:col>10</xdr:col>
      <xdr:colOff>1147482</xdr:colOff>
      <xdr:row>69</xdr:row>
      <xdr:rowOff>31712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DD68BCE2-CE86-463B-A3F8-75EDA32BBE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L33"/>
  <sheetViews>
    <sheetView tabSelected="1" workbookViewId="0">
      <selection activeCell="E7" sqref="E7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242" t="s">
        <v>134</v>
      </c>
      <c r="B1" s="242" t="s">
        <v>46</v>
      </c>
      <c r="C1" s="243" t="s">
        <v>3</v>
      </c>
      <c r="D1" s="242" t="s">
        <v>4</v>
      </c>
      <c r="E1" s="244" t="s">
        <v>135</v>
      </c>
      <c r="F1" s="245" t="s">
        <v>136</v>
      </c>
      <c r="G1" s="244" t="s">
        <v>137</v>
      </c>
      <c r="H1" s="245" t="s">
        <v>138</v>
      </c>
      <c r="I1" s="244" t="s">
        <v>139</v>
      </c>
      <c r="J1" s="246" t="s">
        <v>140</v>
      </c>
      <c r="K1" s="244" t="s">
        <v>141</v>
      </c>
      <c r="L1" s="244" t="s">
        <v>142</v>
      </c>
    </row>
    <row r="2" spans="1:12" ht="15" x14ac:dyDescent="0.25">
      <c r="A2" s="247" t="s">
        <v>143</v>
      </c>
      <c r="B2" s="247">
        <v>1</v>
      </c>
      <c r="C2" s="248">
        <v>1</v>
      </c>
      <c r="D2" s="247">
        <v>2021</v>
      </c>
      <c r="E2" s="249">
        <f>'Maldives at LG Daily'!D5</f>
        <v>30450</v>
      </c>
      <c r="F2" s="250">
        <v>0.93</v>
      </c>
      <c r="G2" s="249">
        <f>'Maldives at LG Daily'!F5</f>
        <v>0</v>
      </c>
      <c r="H2" s="250">
        <v>4.3899999999999997</v>
      </c>
      <c r="I2" s="249">
        <f>'Maldives at LG Daily'!H5</f>
        <v>415</v>
      </c>
      <c r="J2" s="250">
        <v>1.72</v>
      </c>
      <c r="K2" s="249">
        <f>'Maldives at LG Daily'!I5</f>
        <v>0</v>
      </c>
      <c r="L2" s="249">
        <f>'Maldives at LG Daily'!J5</f>
        <v>0</v>
      </c>
    </row>
    <row r="3" spans="1:12" ht="15" x14ac:dyDescent="0.25">
      <c r="A3" s="247" t="s">
        <v>143</v>
      </c>
      <c r="B3" s="247">
        <f>B2+1</f>
        <v>2</v>
      </c>
      <c r="C3" s="248">
        <v>1</v>
      </c>
      <c r="D3" s="247">
        <v>2021</v>
      </c>
      <c r="E3" s="249">
        <f>'Maldives at LG Daily'!D6</f>
        <v>29767</v>
      </c>
      <c r="F3" s="250">
        <v>0.93</v>
      </c>
      <c r="G3" s="249" t="str">
        <f>'Maldives at LG Daily'!F6</f>
        <v>0</v>
      </c>
      <c r="H3" s="250">
        <v>4.3899999999999997</v>
      </c>
      <c r="I3" s="249">
        <f>'Maldives at LG Daily'!H6</f>
        <v>368</v>
      </c>
      <c r="J3" s="250">
        <v>1.72</v>
      </c>
      <c r="K3" s="249">
        <f>'Maldives at LG Daily'!I6</f>
        <v>0</v>
      </c>
      <c r="L3" s="249">
        <f>'Maldives at LG Daily'!J6</f>
        <v>0</v>
      </c>
    </row>
    <row r="4" spans="1:12" ht="15" x14ac:dyDescent="0.25">
      <c r="A4" s="247" t="s">
        <v>143</v>
      </c>
      <c r="B4" s="247">
        <f t="shared" ref="B4:B32" si="0">B3+1</f>
        <v>3</v>
      </c>
      <c r="C4" s="248">
        <v>1</v>
      </c>
      <c r="D4" s="247">
        <v>2021</v>
      </c>
      <c r="E4" s="249">
        <f>'Maldives at LG Daily'!D7</f>
        <v>29515</v>
      </c>
      <c r="F4" s="250">
        <v>0.93</v>
      </c>
      <c r="G4" s="249">
        <f>'Maldives at LG Daily'!F7</f>
        <v>90</v>
      </c>
      <c r="H4" s="250">
        <v>4.3899999999999997</v>
      </c>
      <c r="I4" s="249">
        <f>'Maldives at LG Daily'!H7</f>
        <v>393</v>
      </c>
      <c r="J4" s="250">
        <v>1.72</v>
      </c>
      <c r="K4" s="249">
        <f>'Maldives at LG Daily'!I7</f>
        <v>0</v>
      </c>
      <c r="L4" s="249">
        <f>'Maldives at LG Daily'!J7</f>
        <v>0</v>
      </c>
    </row>
    <row r="5" spans="1:12" ht="15" x14ac:dyDescent="0.25">
      <c r="A5" s="247" t="s">
        <v>143</v>
      </c>
      <c r="B5" s="247">
        <f t="shared" si="0"/>
        <v>4</v>
      </c>
      <c r="C5" s="248">
        <v>1</v>
      </c>
      <c r="D5" s="247">
        <v>2021</v>
      </c>
      <c r="E5" s="249">
        <f>'Maldives at LG Daily'!D8</f>
        <v>31514</v>
      </c>
      <c r="F5" s="250">
        <v>0.93</v>
      </c>
      <c r="G5" s="249">
        <f>'Maldives at LG Daily'!F8</f>
        <v>90</v>
      </c>
      <c r="H5" s="250">
        <v>4.3899999999999997</v>
      </c>
      <c r="I5" s="249">
        <f>'Maldives at LG Daily'!H8</f>
        <v>451</v>
      </c>
      <c r="J5" s="250">
        <v>1.72</v>
      </c>
      <c r="K5" s="249">
        <f>'Maldives at LG Daily'!I8</f>
        <v>0</v>
      </c>
      <c r="L5" s="249">
        <f>'Maldives at LG Daily'!J8</f>
        <v>0</v>
      </c>
    </row>
    <row r="6" spans="1:12" ht="15" x14ac:dyDescent="0.25">
      <c r="A6" s="247" t="s">
        <v>143</v>
      </c>
      <c r="B6" s="247">
        <f t="shared" si="0"/>
        <v>5</v>
      </c>
      <c r="C6" s="248">
        <v>1</v>
      </c>
      <c r="D6" s="247">
        <v>2021</v>
      </c>
      <c r="E6" s="249" t="str">
        <f>'Maldives at LG Daily'!D9</f>
        <v>0</v>
      </c>
      <c r="F6" s="250">
        <v>0.93</v>
      </c>
      <c r="G6" s="249" t="str">
        <f>'Maldives at LG Daily'!F9</f>
        <v>0</v>
      </c>
      <c r="H6" s="250">
        <v>4.3899999999999997</v>
      </c>
      <c r="I6" s="249">
        <f>'Maldives at LG Daily'!H9</f>
        <v>406</v>
      </c>
      <c r="J6" s="250">
        <v>1.72</v>
      </c>
      <c r="K6" s="249">
        <f>'Maldives at LG Daily'!I9</f>
        <v>0</v>
      </c>
      <c r="L6" s="249">
        <f>'Maldives at LG Daily'!J9</f>
        <v>0</v>
      </c>
    </row>
    <row r="7" spans="1:12" ht="15" x14ac:dyDescent="0.25">
      <c r="A7" s="247" t="s">
        <v>143</v>
      </c>
      <c r="B7" s="247">
        <f t="shared" si="0"/>
        <v>6</v>
      </c>
      <c r="C7" s="248">
        <v>1</v>
      </c>
      <c r="D7" s="247">
        <v>2021</v>
      </c>
      <c r="E7" s="249">
        <f>'Maldives at LG Daily'!D10</f>
        <v>0</v>
      </c>
      <c r="F7" s="250">
        <v>0.93</v>
      </c>
      <c r="G7" s="249">
        <f>'Maldives at LG Daily'!F10</f>
        <v>0</v>
      </c>
      <c r="H7" s="250">
        <v>4.3899999999999997</v>
      </c>
      <c r="I7" s="249" t="str">
        <f>'Maldives at LG Daily'!H10</f>
        <v>0</v>
      </c>
      <c r="J7" s="250">
        <v>1.72</v>
      </c>
      <c r="K7" s="249">
        <f>'Maldives at LG Daily'!I10</f>
        <v>0</v>
      </c>
      <c r="L7" s="249">
        <f>'Maldives at LG Daily'!J10</f>
        <v>0</v>
      </c>
    </row>
    <row r="8" spans="1:12" ht="15" x14ac:dyDescent="0.25">
      <c r="A8" s="247" t="s">
        <v>143</v>
      </c>
      <c r="B8" s="247">
        <f t="shared" si="0"/>
        <v>7</v>
      </c>
      <c r="C8" s="248">
        <v>1</v>
      </c>
      <c r="D8" s="247">
        <v>2021</v>
      </c>
      <c r="E8" s="249">
        <f>'Maldives at LG Daily'!D11</f>
        <v>0</v>
      </c>
      <c r="F8" s="250">
        <v>0.93</v>
      </c>
      <c r="G8" s="249">
        <f>'Maldives at LG Daily'!F11</f>
        <v>0</v>
      </c>
      <c r="H8" s="250">
        <v>4.3899999999999997</v>
      </c>
      <c r="I8" s="249">
        <f>'Maldives at LG Daily'!H11</f>
        <v>0</v>
      </c>
      <c r="J8" s="250">
        <v>1.72</v>
      </c>
      <c r="K8" s="249">
        <f>'Maldives at LG Daily'!I11</f>
        <v>0</v>
      </c>
      <c r="L8" s="249">
        <f>'Maldives at LG Daily'!J11</f>
        <v>0</v>
      </c>
    </row>
    <row r="9" spans="1:12" ht="15" x14ac:dyDescent="0.25">
      <c r="A9" s="247" t="s">
        <v>143</v>
      </c>
      <c r="B9" s="247">
        <f t="shared" si="0"/>
        <v>8</v>
      </c>
      <c r="C9" s="248">
        <v>1</v>
      </c>
      <c r="D9" s="247">
        <v>2021</v>
      </c>
      <c r="E9" s="249">
        <f>'Maldives at LG Daily'!D12</f>
        <v>0</v>
      </c>
      <c r="F9" s="250">
        <v>0.93</v>
      </c>
      <c r="G9" s="249">
        <f>'Maldives at LG Daily'!F12</f>
        <v>0</v>
      </c>
      <c r="H9" s="250">
        <v>4.3899999999999997</v>
      </c>
      <c r="I9" s="249">
        <f>'Maldives at LG Daily'!H12</f>
        <v>0</v>
      </c>
      <c r="J9" s="250">
        <v>1.72</v>
      </c>
      <c r="K9" s="249">
        <f>'Maldives at LG Daily'!I12</f>
        <v>0</v>
      </c>
      <c r="L9" s="249">
        <f>'Maldives at LG Daily'!J12</f>
        <v>0</v>
      </c>
    </row>
    <row r="10" spans="1:12" ht="15" x14ac:dyDescent="0.25">
      <c r="A10" s="247" t="s">
        <v>143</v>
      </c>
      <c r="B10" s="247">
        <f t="shared" si="0"/>
        <v>9</v>
      </c>
      <c r="C10" s="248">
        <v>1</v>
      </c>
      <c r="D10" s="247">
        <v>2021</v>
      </c>
      <c r="E10" s="249">
        <f>'Maldives at LG Daily'!D13</f>
        <v>0</v>
      </c>
      <c r="F10" s="250">
        <v>0.93</v>
      </c>
      <c r="G10" s="249">
        <f>'Maldives at LG Daily'!F13</f>
        <v>0</v>
      </c>
      <c r="H10" s="250">
        <v>4.3899999999999997</v>
      </c>
      <c r="I10" s="249">
        <f>'Maldives at LG Daily'!H13</f>
        <v>0</v>
      </c>
      <c r="J10" s="250">
        <v>1.72</v>
      </c>
      <c r="K10" s="249">
        <f>'Maldives at LG Daily'!I13</f>
        <v>0</v>
      </c>
      <c r="L10" s="249">
        <f>'Maldives at LG Daily'!J13</f>
        <v>0</v>
      </c>
    </row>
    <row r="11" spans="1:12" ht="15" x14ac:dyDescent="0.25">
      <c r="A11" s="247" t="s">
        <v>143</v>
      </c>
      <c r="B11" s="247">
        <f t="shared" si="0"/>
        <v>10</v>
      </c>
      <c r="C11" s="248">
        <v>1</v>
      </c>
      <c r="D11" s="247">
        <v>2021</v>
      </c>
      <c r="E11" s="249">
        <f>'Maldives at LG Daily'!D14</f>
        <v>0</v>
      </c>
      <c r="F11" s="250">
        <v>0.93</v>
      </c>
      <c r="G11" s="249">
        <f>'Maldives at LG Daily'!F14</f>
        <v>0</v>
      </c>
      <c r="H11" s="250">
        <v>4.3899999999999997</v>
      </c>
      <c r="I11" s="249">
        <f>'Maldives at LG Daily'!H14</f>
        <v>0</v>
      </c>
      <c r="J11" s="250">
        <v>1.72</v>
      </c>
      <c r="K11" s="249">
        <f>'Maldives at LG Daily'!I14</f>
        <v>0</v>
      </c>
      <c r="L11" s="249">
        <f>'Maldives at LG Daily'!J14</f>
        <v>0</v>
      </c>
    </row>
    <row r="12" spans="1:12" ht="15" x14ac:dyDescent="0.25">
      <c r="A12" s="247" t="s">
        <v>143</v>
      </c>
      <c r="B12" s="247">
        <f t="shared" si="0"/>
        <v>11</v>
      </c>
      <c r="C12" s="248">
        <v>1</v>
      </c>
      <c r="D12" s="247">
        <v>2021</v>
      </c>
      <c r="E12" s="249">
        <f>'Maldives at LG Daily'!D15</f>
        <v>0</v>
      </c>
      <c r="F12" s="250">
        <v>0.93</v>
      </c>
      <c r="G12" s="249">
        <f>'Maldives at LG Daily'!F15</f>
        <v>0</v>
      </c>
      <c r="H12" s="250">
        <v>4.3899999999999997</v>
      </c>
      <c r="I12" s="249">
        <f>'Maldives at LG Daily'!H15</f>
        <v>0</v>
      </c>
      <c r="J12" s="250">
        <v>1.72</v>
      </c>
      <c r="K12" s="249">
        <f>'Maldives at LG Daily'!I15</f>
        <v>0</v>
      </c>
      <c r="L12" s="249">
        <f>'Maldives at LG Daily'!J15</f>
        <v>0</v>
      </c>
    </row>
    <row r="13" spans="1:12" ht="15" x14ac:dyDescent="0.25">
      <c r="A13" s="247" t="s">
        <v>143</v>
      </c>
      <c r="B13" s="247">
        <f t="shared" si="0"/>
        <v>12</v>
      </c>
      <c r="C13" s="248">
        <v>1</v>
      </c>
      <c r="D13" s="247">
        <v>2021</v>
      </c>
      <c r="E13" s="249">
        <f>'Maldives at LG Daily'!D16</f>
        <v>0</v>
      </c>
      <c r="F13" s="250">
        <v>0.93</v>
      </c>
      <c r="G13" s="249">
        <f>'Maldives at LG Daily'!F16</f>
        <v>0</v>
      </c>
      <c r="H13" s="250">
        <v>4.3899999999999997</v>
      </c>
      <c r="I13" s="249">
        <f>'Maldives at LG Daily'!H16</f>
        <v>0</v>
      </c>
      <c r="J13" s="250">
        <v>1.72</v>
      </c>
      <c r="K13" s="249">
        <f>'Maldives at LG Daily'!I16</f>
        <v>0</v>
      </c>
      <c r="L13" s="249">
        <f>'Maldives at LG Daily'!J16</f>
        <v>0</v>
      </c>
    </row>
    <row r="14" spans="1:12" ht="15" x14ac:dyDescent="0.25">
      <c r="A14" s="247" t="s">
        <v>143</v>
      </c>
      <c r="B14" s="247">
        <f t="shared" si="0"/>
        <v>13</v>
      </c>
      <c r="C14" s="248">
        <v>1</v>
      </c>
      <c r="D14" s="247">
        <v>2021</v>
      </c>
      <c r="E14" s="249">
        <f>'Maldives at LG Daily'!D17</f>
        <v>0</v>
      </c>
      <c r="F14" s="250">
        <v>0.93</v>
      </c>
      <c r="G14" s="249">
        <f>'Maldives at LG Daily'!F17</f>
        <v>0</v>
      </c>
      <c r="H14" s="250">
        <v>4.3899999999999997</v>
      </c>
      <c r="I14" s="249">
        <f>'Maldives at LG Daily'!H17</f>
        <v>0</v>
      </c>
      <c r="J14" s="250">
        <v>1.72</v>
      </c>
      <c r="K14" s="249">
        <f>'Maldives at LG Daily'!I17</f>
        <v>0</v>
      </c>
      <c r="L14" s="249">
        <f>'Maldives at LG Daily'!J17</f>
        <v>0</v>
      </c>
    </row>
    <row r="15" spans="1:12" ht="15" x14ac:dyDescent="0.25">
      <c r="A15" s="247" t="s">
        <v>143</v>
      </c>
      <c r="B15" s="247">
        <f t="shared" si="0"/>
        <v>14</v>
      </c>
      <c r="C15" s="248">
        <v>1</v>
      </c>
      <c r="D15" s="247">
        <v>2021</v>
      </c>
      <c r="E15" s="249">
        <f>'Maldives at LG Daily'!D18</f>
        <v>0</v>
      </c>
      <c r="F15" s="250">
        <v>0.93</v>
      </c>
      <c r="G15" s="249">
        <f>'Maldives at LG Daily'!F18</f>
        <v>0</v>
      </c>
      <c r="H15" s="250">
        <v>4.3899999999999997</v>
      </c>
      <c r="I15" s="249">
        <f>'Maldives at LG Daily'!H18</f>
        <v>0</v>
      </c>
      <c r="J15" s="250">
        <v>1.72</v>
      </c>
      <c r="K15" s="249">
        <f>'Maldives at LG Daily'!I18</f>
        <v>0</v>
      </c>
      <c r="L15" s="249">
        <f>'Maldives at LG Daily'!J18</f>
        <v>0</v>
      </c>
    </row>
    <row r="16" spans="1:12" ht="15" x14ac:dyDescent="0.25">
      <c r="A16" s="247" t="s">
        <v>143</v>
      </c>
      <c r="B16" s="247">
        <f t="shared" si="0"/>
        <v>15</v>
      </c>
      <c r="C16" s="248">
        <v>1</v>
      </c>
      <c r="D16" s="247">
        <v>2021</v>
      </c>
      <c r="E16" s="249">
        <f>'Maldives at LG Daily'!D19</f>
        <v>0</v>
      </c>
      <c r="F16" s="250">
        <v>0.93</v>
      </c>
      <c r="G16" s="249">
        <f>'Maldives at LG Daily'!F19</f>
        <v>0</v>
      </c>
      <c r="H16" s="250">
        <v>4.3899999999999997</v>
      </c>
      <c r="I16" s="249">
        <f>'Maldives at LG Daily'!H19</f>
        <v>0</v>
      </c>
      <c r="J16" s="250">
        <v>1.72</v>
      </c>
      <c r="K16" s="249">
        <f>'Maldives at LG Daily'!I19</f>
        <v>0</v>
      </c>
      <c r="L16" s="249">
        <f>'Maldives at LG Daily'!J19</f>
        <v>0</v>
      </c>
    </row>
    <row r="17" spans="1:12" ht="15" x14ac:dyDescent="0.25">
      <c r="A17" s="247" t="s">
        <v>143</v>
      </c>
      <c r="B17" s="247">
        <f t="shared" si="0"/>
        <v>16</v>
      </c>
      <c r="C17" s="248">
        <v>1</v>
      </c>
      <c r="D17" s="247">
        <v>2021</v>
      </c>
      <c r="E17" s="249">
        <f>'Maldives at LG Daily'!D20</f>
        <v>0</v>
      </c>
      <c r="F17" s="250">
        <v>0.93</v>
      </c>
      <c r="G17" s="249">
        <f>'Maldives at LG Daily'!F20</f>
        <v>0</v>
      </c>
      <c r="H17" s="250">
        <v>4.3899999999999997</v>
      </c>
      <c r="I17" s="249">
        <f>'Maldives at LG Daily'!H20</f>
        <v>0</v>
      </c>
      <c r="J17" s="250">
        <v>1.72</v>
      </c>
      <c r="K17" s="249">
        <f>'Maldives at LG Daily'!I20</f>
        <v>0</v>
      </c>
      <c r="L17" s="249">
        <f>'Maldives at LG Daily'!J20</f>
        <v>0</v>
      </c>
    </row>
    <row r="18" spans="1:12" ht="15" x14ac:dyDescent="0.25">
      <c r="A18" s="247" t="s">
        <v>143</v>
      </c>
      <c r="B18" s="247">
        <f t="shared" si="0"/>
        <v>17</v>
      </c>
      <c r="C18" s="248">
        <v>1</v>
      </c>
      <c r="D18" s="247">
        <v>2021</v>
      </c>
      <c r="E18" s="249">
        <f>'Maldives at LG Daily'!D21</f>
        <v>0</v>
      </c>
      <c r="F18" s="250">
        <v>0.93</v>
      </c>
      <c r="G18" s="249">
        <f>'Maldives at LG Daily'!F21</f>
        <v>0</v>
      </c>
      <c r="H18" s="250">
        <v>4.3899999999999997</v>
      </c>
      <c r="I18" s="249">
        <f>'Maldives at LG Daily'!H21</f>
        <v>0</v>
      </c>
      <c r="J18" s="250">
        <v>1.72</v>
      </c>
      <c r="K18" s="249">
        <f>'Maldives at LG Daily'!I21</f>
        <v>0</v>
      </c>
      <c r="L18" s="249">
        <f>'Maldives at LG Daily'!J21</f>
        <v>0</v>
      </c>
    </row>
    <row r="19" spans="1:12" ht="15" x14ac:dyDescent="0.25">
      <c r="A19" s="247" t="s">
        <v>143</v>
      </c>
      <c r="B19" s="247">
        <f t="shared" si="0"/>
        <v>18</v>
      </c>
      <c r="C19" s="248">
        <v>1</v>
      </c>
      <c r="D19" s="247">
        <v>2021</v>
      </c>
      <c r="E19" s="249">
        <f>'Maldives at LG Daily'!D22</f>
        <v>0</v>
      </c>
      <c r="F19" s="250">
        <v>0.93</v>
      </c>
      <c r="G19" s="249">
        <f>'Maldives at LG Daily'!F22</f>
        <v>0</v>
      </c>
      <c r="H19" s="250">
        <v>4.3899999999999997</v>
      </c>
      <c r="I19" s="249">
        <f>'Maldives at LG Daily'!H22</f>
        <v>0</v>
      </c>
      <c r="J19" s="250">
        <v>1.72</v>
      </c>
      <c r="K19" s="249">
        <f>'Maldives at LG Daily'!I22</f>
        <v>0</v>
      </c>
      <c r="L19" s="249">
        <f>'Maldives at LG Daily'!J22</f>
        <v>0</v>
      </c>
    </row>
    <row r="20" spans="1:12" ht="15" x14ac:dyDescent="0.25">
      <c r="A20" s="247" t="s">
        <v>143</v>
      </c>
      <c r="B20" s="247">
        <f t="shared" si="0"/>
        <v>19</v>
      </c>
      <c r="C20" s="248">
        <v>1</v>
      </c>
      <c r="D20" s="247">
        <v>2021</v>
      </c>
      <c r="E20" s="249">
        <f>'Maldives at LG Daily'!D23</f>
        <v>0</v>
      </c>
      <c r="F20" s="250">
        <v>0.93</v>
      </c>
      <c r="G20" s="249">
        <f>'Maldives at LG Daily'!F23</f>
        <v>0</v>
      </c>
      <c r="H20" s="250">
        <v>4.3899999999999997</v>
      </c>
      <c r="I20" s="249">
        <f>'Maldives at LG Daily'!H23</f>
        <v>0</v>
      </c>
      <c r="J20" s="250">
        <v>1.72</v>
      </c>
      <c r="K20" s="249">
        <f>'Maldives at LG Daily'!I23</f>
        <v>0</v>
      </c>
      <c r="L20" s="249">
        <f>'Maldives at LG Daily'!J23</f>
        <v>0</v>
      </c>
    </row>
    <row r="21" spans="1:12" ht="15" x14ac:dyDescent="0.25">
      <c r="A21" s="247" t="s">
        <v>143</v>
      </c>
      <c r="B21" s="247">
        <f t="shared" si="0"/>
        <v>20</v>
      </c>
      <c r="C21" s="248">
        <v>1</v>
      </c>
      <c r="D21" s="247">
        <v>2021</v>
      </c>
      <c r="E21" s="249">
        <f>'Maldives at LG Daily'!D24</f>
        <v>0</v>
      </c>
      <c r="F21" s="250">
        <v>0.93</v>
      </c>
      <c r="G21" s="249">
        <f>'Maldives at LG Daily'!F24</f>
        <v>0</v>
      </c>
      <c r="H21" s="250">
        <v>4.3899999999999997</v>
      </c>
      <c r="I21" s="249">
        <f>'Maldives at LG Daily'!H24</f>
        <v>0</v>
      </c>
      <c r="J21" s="250">
        <v>1.72</v>
      </c>
      <c r="K21" s="249">
        <f>'Maldives at LG Daily'!I24</f>
        <v>0</v>
      </c>
      <c r="L21" s="249">
        <f>'Maldives at LG Daily'!J24</f>
        <v>0</v>
      </c>
    </row>
    <row r="22" spans="1:12" ht="15" x14ac:dyDescent="0.25">
      <c r="A22" s="247" t="s">
        <v>143</v>
      </c>
      <c r="B22" s="247">
        <f t="shared" si="0"/>
        <v>21</v>
      </c>
      <c r="C22" s="248">
        <v>1</v>
      </c>
      <c r="D22" s="247">
        <v>2021</v>
      </c>
      <c r="E22" s="249">
        <f>'Maldives at LG Daily'!D25</f>
        <v>0</v>
      </c>
      <c r="F22" s="250">
        <v>0.93</v>
      </c>
      <c r="G22" s="249">
        <f>'Maldives at LG Daily'!F25</f>
        <v>0</v>
      </c>
      <c r="H22" s="250">
        <v>4.3899999999999997</v>
      </c>
      <c r="I22" s="249">
        <f>'Maldives at LG Daily'!H25</f>
        <v>0</v>
      </c>
      <c r="J22" s="250">
        <v>1.72</v>
      </c>
      <c r="K22" s="249">
        <f>'Maldives at LG Daily'!I25</f>
        <v>0</v>
      </c>
      <c r="L22" s="249">
        <f>'Maldives at LG Daily'!J25</f>
        <v>0</v>
      </c>
    </row>
    <row r="23" spans="1:12" ht="15" x14ac:dyDescent="0.25">
      <c r="A23" s="247" t="s">
        <v>143</v>
      </c>
      <c r="B23" s="247">
        <f t="shared" si="0"/>
        <v>22</v>
      </c>
      <c r="C23" s="248">
        <v>1</v>
      </c>
      <c r="D23" s="247">
        <v>2021</v>
      </c>
      <c r="E23" s="249">
        <f>'Maldives at LG Daily'!D26</f>
        <v>0</v>
      </c>
      <c r="F23" s="250">
        <v>0.93</v>
      </c>
      <c r="G23" s="249">
        <f>'Maldives at LG Daily'!F26</f>
        <v>0</v>
      </c>
      <c r="H23" s="250">
        <v>4.3899999999999997</v>
      </c>
      <c r="I23" s="249">
        <f>'Maldives at LG Daily'!H26</f>
        <v>0</v>
      </c>
      <c r="J23" s="250">
        <v>1.72</v>
      </c>
      <c r="K23" s="249">
        <f>'Maldives at LG Daily'!I26</f>
        <v>0</v>
      </c>
      <c r="L23" s="249">
        <f>'Maldives at LG Daily'!J26</f>
        <v>0</v>
      </c>
    </row>
    <row r="24" spans="1:12" ht="15" x14ac:dyDescent="0.25">
      <c r="A24" s="247" t="s">
        <v>143</v>
      </c>
      <c r="B24" s="247">
        <f t="shared" si="0"/>
        <v>23</v>
      </c>
      <c r="C24" s="248">
        <v>1</v>
      </c>
      <c r="D24" s="247">
        <v>2021</v>
      </c>
      <c r="E24" s="249">
        <f>'Maldives at LG Daily'!D27</f>
        <v>0</v>
      </c>
      <c r="F24" s="250">
        <v>0.93</v>
      </c>
      <c r="G24" s="249">
        <f>'Maldives at LG Daily'!F27</f>
        <v>0</v>
      </c>
      <c r="H24" s="250">
        <v>4.3899999999999997</v>
      </c>
      <c r="I24" s="249">
        <f>'Maldives at LG Daily'!H27</f>
        <v>0</v>
      </c>
      <c r="J24" s="250">
        <v>1.72</v>
      </c>
      <c r="K24" s="249">
        <f>'Maldives at LG Daily'!I27</f>
        <v>0</v>
      </c>
      <c r="L24" s="249">
        <f>'Maldives at LG Daily'!J27</f>
        <v>0</v>
      </c>
    </row>
    <row r="25" spans="1:12" ht="15" x14ac:dyDescent="0.25">
      <c r="A25" s="247" t="s">
        <v>143</v>
      </c>
      <c r="B25" s="247">
        <f t="shared" si="0"/>
        <v>24</v>
      </c>
      <c r="C25" s="248">
        <v>1</v>
      </c>
      <c r="D25" s="247">
        <v>2021</v>
      </c>
      <c r="E25" s="249">
        <f>'Maldives at LG Daily'!D28</f>
        <v>0</v>
      </c>
      <c r="F25" s="250">
        <v>0.93</v>
      </c>
      <c r="G25" s="249">
        <f>'Maldives at LG Daily'!F28</f>
        <v>0</v>
      </c>
      <c r="H25" s="250">
        <v>4.3899999999999997</v>
      </c>
      <c r="I25" s="249">
        <f>'Maldives at LG Daily'!H28</f>
        <v>0</v>
      </c>
      <c r="J25" s="250">
        <v>1.72</v>
      </c>
      <c r="K25" s="249">
        <f>'Maldives at LG Daily'!I28</f>
        <v>0</v>
      </c>
      <c r="L25" s="249">
        <f>'Maldives at LG Daily'!J28</f>
        <v>0</v>
      </c>
    </row>
    <row r="26" spans="1:12" ht="15" x14ac:dyDescent="0.25">
      <c r="A26" s="247" t="s">
        <v>143</v>
      </c>
      <c r="B26" s="247">
        <f>B25+1</f>
        <v>25</v>
      </c>
      <c r="C26" s="248">
        <v>1</v>
      </c>
      <c r="D26" s="247">
        <v>2021</v>
      </c>
      <c r="E26" s="249">
        <f>'Maldives at LG Daily'!D29</f>
        <v>0</v>
      </c>
      <c r="F26" s="250">
        <v>0.93</v>
      </c>
      <c r="G26" s="249">
        <f>'Maldives at LG Daily'!F29</f>
        <v>0</v>
      </c>
      <c r="H26" s="250">
        <v>4.3899999999999997</v>
      </c>
      <c r="I26" s="249">
        <f>'Maldives at LG Daily'!H29</f>
        <v>0</v>
      </c>
      <c r="J26" s="250">
        <v>1.72</v>
      </c>
      <c r="K26" s="249">
        <f>'Maldives at LG Daily'!I29</f>
        <v>0</v>
      </c>
      <c r="L26" s="249">
        <f>'Maldives at LG Daily'!J29</f>
        <v>0</v>
      </c>
    </row>
    <row r="27" spans="1:12" ht="15" x14ac:dyDescent="0.25">
      <c r="A27" s="247" t="s">
        <v>143</v>
      </c>
      <c r="B27" s="247">
        <f t="shared" si="0"/>
        <v>26</v>
      </c>
      <c r="C27" s="248">
        <v>1</v>
      </c>
      <c r="D27" s="247">
        <v>2021</v>
      </c>
      <c r="E27" s="249">
        <f>'Maldives at LG Daily'!D30</f>
        <v>0</v>
      </c>
      <c r="F27" s="250">
        <v>0.93</v>
      </c>
      <c r="G27" s="249">
        <f>'Maldives at LG Daily'!F30</f>
        <v>0</v>
      </c>
      <c r="H27" s="250">
        <v>4.3899999999999997</v>
      </c>
      <c r="I27" s="249">
        <f>'Maldives at LG Daily'!H30</f>
        <v>0</v>
      </c>
      <c r="J27" s="250">
        <v>1.72</v>
      </c>
      <c r="K27" s="249">
        <f>'Maldives at LG Daily'!I30</f>
        <v>0</v>
      </c>
      <c r="L27" s="249">
        <f>'Maldives at LG Daily'!J30</f>
        <v>0</v>
      </c>
    </row>
    <row r="28" spans="1:12" ht="15" x14ac:dyDescent="0.25">
      <c r="A28" s="247" t="s">
        <v>143</v>
      </c>
      <c r="B28" s="247">
        <f t="shared" si="0"/>
        <v>27</v>
      </c>
      <c r="C28" s="248">
        <v>1</v>
      </c>
      <c r="D28" s="247">
        <v>2021</v>
      </c>
      <c r="E28" s="249">
        <f>'Maldives at LG Daily'!D31</f>
        <v>0</v>
      </c>
      <c r="F28" s="250">
        <v>0.93</v>
      </c>
      <c r="G28" s="249">
        <f>'Maldives at LG Daily'!F31</f>
        <v>0</v>
      </c>
      <c r="H28" s="250">
        <v>4.3899999999999997</v>
      </c>
      <c r="I28" s="249">
        <f>'Maldives at LG Daily'!H31</f>
        <v>0</v>
      </c>
      <c r="J28" s="250">
        <v>1.72</v>
      </c>
      <c r="K28" s="249">
        <f>'Maldives at LG Daily'!I31</f>
        <v>0</v>
      </c>
      <c r="L28" s="249">
        <f>'Maldives at LG Daily'!J31</f>
        <v>0</v>
      </c>
    </row>
    <row r="29" spans="1:12" ht="15" x14ac:dyDescent="0.25">
      <c r="A29" s="247" t="s">
        <v>143</v>
      </c>
      <c r="B29" s="247">
        <f t="shared" si="0"/>
        <v>28</v>
      </c>
      <c r="C29" s="248">
        <v>1</v>
      </c>
      <c r="D29" s="247">
        <v>2021</v>
      </c>
      <c r="E29" s="249">
        <f>'Maldives at LG Daily'!D32</f>
        <v>0</v>
      </c>
      <c r="F29" s="250">
        <v>0.93</v>
      </c>
      <c r="G29" s="249">
        <f>'Maldives at LG Daily'!F32</f>
        <v>0</v>
      </c>
      <c r="H29" s="250">
        <v>4.3899999999999997</v>
      </c>
      <c r="I29" s="249">
        <f>'Maldives at LG Daily'!H32</f>
        <v>0</v>
      </c>
      <c r="J29" s="250">
        <v>1.72</v>
      </c>
      <c r="K29" s="249">
        <f>'Maldives at LG Daily'!I32</f>
        <v>0</v>
      </c>
      <c r="L29" s="249">
        <f>'Maldives at LG Daily'!J32</f>
        <v>0</v>
      </c>
    </row>
    <row r="30" spans="1:12" ht="15" x14ac:dyDescent="0.25">
      <c r="A30" s="247" t="s">
        <v>143</v>
      </c>
      <c r="B30" s="247">
        <f t="shared" si="0"/>
        <v>29</v>
      </c>
      <c r="C30" s="248">
        <v>1</v>
      </c>
      <c r="D30" s="247">
        <v>2021</v>
      </c>
      <c r="E30" s="249">
        <f>'Maldives at LG Daily'!D33</f>
        <v>0</v>
      </c>
      <c r="F30" s="250">
        <v>0.93</v>
      </c>
      <c r="G30" s="249">
        <f>'Maldives at LG Daily'!F33</f>
        <v>0</v>
      </c>
      <c r="H30" s="250">
        <v>4.3899999999999997</v>
      </c>
      <c r="I30" s="249">
        <f>'Maldives at LG Daily'!H33</f>
        <v>0</v>
      </c>
      <c r="J30" s="250">
        <v>1.72</v>
      </c>
      <c r="K30" s="249">
        <f>'Maldives at LG Daily'!I33</f>
        <v>0</v>
      </c>
      <c r="L30" s="249">
        <f>'Maldives at LG Daily'!J33</f>
        <v>0</v>
      </c>
    </row>
    <row r="31" spans="1:12" ht="15" x14ac:dyDescent="0.25">
      <c r="A31" s="247" t="s">
        <v>143</v>
      </c>
      <c r="B31" s="247">
        <f t="shared" si="0"/>
        <v>30</v>
      </c>
      <c r="C31" s="248">
        <v>1</v>
      </c>
      <c r="D31" s="247">
        <v>2021</v>
      </c>
      <c r="E31" s="249">
        <f>'Maldives at LG Daily'!D34</f>
        <v>0</v>
      </c>
      <c r="F31" s="250">
        <v>0.93</v>
      </c>
      <c r="G31" s="249">
        <f>'Maldives at LG Daily'!F34</f>
        <v>0</v>
      </c>
      <c r="H31" s="250">
        <v>4.3899999999999997</v>
      </c>
      <c r="I31" s="249">
        <f>'Maldives at LG Daily'!H34</f>
        <v>0</v>
      </c>
      <c r="J31" s="250">
        <v>1.72</v>
      </c>
      <c r="K31" s="249">
        <f>'Maldives at LG Daily'!I34</f>
        <v>0</v>
      </c>
      <c r="L31" s="249">
        <f>'Maldives at LG Daily'!J34</f>
        <v>0</v>
      </c>
    </row>
    <row r="32" spans="1:12" ht="15" x14ac:dyDescent="0.25">
      <c r="A32" s="247" t="s">
        <v>143</v>
      </c>
      <c r="B32" s="247">
        <f t="shared" si="0"/>
        <v>31</v>
      </c>
      <c r="C32" s="248">
        <v>1</v>
      </c>
      <c r="D32" s="247">
        <v>2021</v>
      </c>
      <c r="E32" s="249">
        <f>'Maldives at LG Daily'!D35</f>
        <v>0</v>
      </c>
      <c r="F32" s="250">
        <v>0.93</v>
      </c>
      <c r="G32" s="249">
        <f>'Maldives at LG Daily'!F35</f>
        <v>0</v>
      </c>
      <c r="H32" s="250">
        <v>4.3899999999999997</v>
      </c>
      <c r="I32" s="249">
        <f>'Maldives at LG Daily'!H35</f>
        <v>0</v>
      </c>
      <c r="J32" s="250">
        <v>1.72</v>
      </c>
      <c r="K32" s="249">
        <f>'Maldives at LG Daily'!I35</f>
        <v>0</v>
      </c>
      <c r="L32" s="249">
        <f>'Maldives at LG Daily'!J35</f>
        <v>0</v>
      </c>
    </row>
    <row r="33" spans="7:7" x14ac:dyDescent="0.2">
      <c r="G33" s="24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zoomScale="85" zoomScaleNormal="85" workbookViewId="0">
      <pane xSplit="1" topLeftCell="B1" activePane="topRight" state="frozen"/>
      <selection pane="topRight" activeCell="N8" sqref="N8"/>
    </sheetView>
  </sheetViews>
  <sheetFormatPr defaultRowHeight="15" x14ac:dyDescent="0.25"/>
  <cols>
    <col min="1" max="1" width="14" style="241" customWidth="1"/>
    <col min="2" max="2" width="2" style="241" customWidth="1"/>
    <col min="3" max="3" width="11.85546875" style="251" customWidth="1"/>
    <col min="4" max="4" width="13.5703125" style="252" customWidth="1"/>
    <col min="5" max="5" width="14.85546875" style="241" customWidth="1"/>
    <col min="6" max="6" width="14.85546875" style="251" customWidth="1"/>
    <col min="7" max="7" width="8.85546875" style="241" customWidth="1"/>
    <col min="8" max="8" width="12.5703125" style="241" customWidth="1"/>
    <col min="9" max="10" width="13" style="253" customWidth="1"/>
    <col min="11" max="254" width="9.140625" style="241"/>
    <col min="255" max="255" width="14" style="241" customWidth="1"/>
    <col min="256" max="256" width="2" style="241" customWidth="1"/>
    <col min="257" max="257" width="11.85546875" style="241" customWidth="1"/>
    <col min="258" max="258" width="13.5703125" style="241" customWidth="1"/>
    <col min="259" max="260" width="13.85546875" style="241" customWidth="1"/>
    <col min="261" max="262" width="14.85546875" style="241" customWidth="1"/>
    <col min="263" max="263" width="8.85546875" style="241" customWidth="1"/>
    <col min="264" max="264" width="12.5703125" style="241" customWidth="1"/>
    <col min="265" max="266" width="13" style="241" customWidth="1"/>
    <col min="267" max="510" width="9.140625" style="241"/>
    <col min="511" max="511" width="14" style="241" customWidth="1"/>
    <col min="512" max="512" width="2" style="241" customWidth="1"/>
    <col min="513" max="513" width="11.85546875" style="241" customWidth="1"/>
    <col min="514" max="514" width="13.5703125" style="241" customWidth="1"/>
    <col min="515" max="516" width="13.85546875" style="241" customWidth="1"/>
    <col min="517" max="518" width="14.85546875" style="241" customWidth="1"/>
    <col min="519" max="519" width="8.85546875" style="241" customWidth="1"/>
    <col min="520" max="520" width="12.5703125" style="241" customWidth="1"/>
    <col min="521" max="522" width="13" style="241" customWidth="1"/>
    <col min="523" max="766" width="9.140625" style="241"/>
    <col min="767" max="767" width="14" style="241" customWidth="1"/>
    <col min="768" max="768" width="2" style="241" customWidth="1"/>
    <col min="769" max="769" width="11.85546875" style="241" customWidth="1"/>
    <col min="770" max="770" width="13.5703125" style="241" customWidth="1"/>
    <col min="771" max="772" width="13.85546875" style="241" customWidth="1"/>
    <col min="773" max="774" width="14.85546875" style="241" customWidth="1"/>
    <col min="775" max="775" width="8.85546875" style="241" customWidth="1"/>
    <col min="776" max="776" width="12.5703125" style="241" customWidth="1"/>
    <col min="777" max="778" width="13" style="241" customWidth="1"/>
    <col min="779" max="1022" width="9.140625" style="241"/>
    <col min="1023" max="1023" width="14" style="241" customWidth="1"/>
    <col min="1024" max="1024" width="2" style="241" customWidth="1"/>
    <col min="1025" max="1025" width="11.85546875" style="241" customWidth="1"/>
    <col min="1026" max="1026" width="13.5703125" style="241" customWidth="1"/>
    <col min="1027" max="1028" width="13.85546875" style="241" customWidth="1"/>
    <col min="1029" max="1030" width="14.85546875" style="241" customWidth="1"/>
    <col min="1031" max="1031" width="8.85546875" style="241" customWidth="1"/>
    <col min="1032" max="1032" width="12.5703125" style="241" customWidth="1"/>
    <col min="1033" max="1034" width="13" style="241" customWidth="1"/>
    <col min="1035" max="1278" width="9.140625" style="241"/>
    <col min="1279" max="1279" width="14" style="241" customWidth="1"/>
    <col min="1280" max="1280" width="2" style="241" customWidth="1"/>
    <col min="1281" max="1281" width="11.85546875" style="241" customWidth="1"/>
    <col min="1282" max="1282" width="13.5703125" style="241" customWidth="1"/>
    <col min="1283" max="1284" width="13.85546875" style="241" customWidth="1"/>
    <col min="1285" max="1286" width="14.85546875" style="241" customWidth="1"/>
    <col min="1287" max="1287" width="8.85546875" style="241" customWidth="1"/>
    <col min="1288" max="1288" width="12.5703125" style="241" customWidth="1"/>
    <col min="1289" max="1290" width="13" style="241" customWidth="1"/>
    <col min="1291" max="1534" width="9.140625" style="241"/>
    <col min="1535" max="1535" width="14" style="241" customWidth="1"/>
    <col min="1536" max="1536" width="2" style="241" customWidth="1"/>
    <col min="1537" max="1537" width="11.85546875" style="241" customWidth="1"/>
    <col min="1538" max="1538" width="13.5703125" style="241" customWidth="1"/>
    <col min="1539" max="1540" width="13.85546875" style="241" customWidth="1"/>
    <col min="1541" max="1542" width="14.85546875" style="241" customWidth="1"/>
    <col min="1543" max="1543" width="8.85546875" style="241" customWidth="1"/>
    <col min="1544" max="1544" width="12.5703125" style="241" customWidth="1"/>
    <col min="1545" max="1546" width="13" style="241" customWidth="1"/>
    <col min="1547" max="1790" width="9.140625" style="241"/>
    <col min="1791" max="1791" width="14" style="241" customWidth="1"/>
    <col min="1792" max="1792" width="2" style="241" customWidth="1"/>
    <col min="1793" max="1793" width="11.85546875" style="241" customWidth="1"/>
    <col min="1794" max="1794" width="13.5703125" style="241" customWidth="1"/>
    <col min="1795" max="1796" width="13.85546875" style="241" customWidth="1"/>
    <col min="1797" max="1798" width="14.85546875" style="241" customWidth="1"/>
    <col min="1799" max="1799" width="8.85546875" style="241" customWidth="1"/>
    <col min="1800" max="1800" width="12.5703125" style="241" customWidth="1"/>
    <col min="1801" max="1802" width="13" style="241" customWidth="1"/>
    <col min="1803" max="2046" width="9.140625" style="241"/>
    <col min="2047" max="2047" width="14" style="241" customWidth="1"/>
    <col min="2048" max="2048" width="2" style="241" customWidth="1"/>
    <col min="2049" max="2049" width="11.85546875" style="241" customWidth="1"/>
    <col min="2050" max="2050" width="13.5703125" style="241" customWidth="1"/>
    <col min="2051" max="2052" width="13.85546875" style="241" customWidth="1"/>
    <col min="2053" max="2054" width="14.85546875" style="241" customWidth="1"/>
    <col min="2055" max="2055" width="8.85546875" style="241" customWidth="1"/>
    <col min="2056" max="2056" width="12.5703125" style="241" customWidth="1"/>
    <col min="2057" max="2058" width="13" style="241" customWidth="1"/>
    <col min="2059" max="2302" width="9.140625" style="241"/>
    <col min="2303" max="2303" width="14" style="241" customWidth="1"/>
    <col min="2304" max="2304" width="2" style="241" customWidth="1"/>
    <col min="2305" max="2305" width="11.85546875" style="241" customWidth="1"/>
    <col min="2306" max="2306" width="13.5703125" style="241" customWidth="1"/>
    <col min="2307" max="2308" width="13.85546875" style="241" customWidth="1"/>
    <col min="2309" max="2310" width="14.85546875" style="241" customWidth="1"/>
    <col min="2311" max="2311" width="8.85546875" style="241" customWidth="1"/>
    <col min="2312" max="2312" width="12.5703125" style="241" customWidth="1"/>
    <col min="2313" max="2314" width="13" style="241" customWidth="1"/>
    <col min="2315" max="2558" width="9.140625" style="241"/>
    <col min="2559" max="2559" width="14" style="241" customWidth="1"/>
    <col min="2560" max="2560" width="2" style="241" customWidth="1"/>
    <col min="2561" max="2561" width="11.85546875" style="241" customWidth="1"/>
    <col min="2562" max="2562" width="13.5703125" style="241" customWidth="1"/>
    <col min="2563" max="2564" width="13.85546875" style="241" customWidth="1"/>
    <col min="2565" max="2566" width="14.85546875" style="241" customWidth="1"/>
    <col min="2567" max="2567" width="8.85546875" style="241" customWidth="1"/>
    <col min="2568" max="2568" width="12.5703125" style="241" customWidth="1"/>
    <col min="2569" max="2570" width="13" style="241" customWidth="1"/>
    <col min="2571" max="2814" width="9.140625" style="241"/>
    <col min="2815" max="2815" width="14" style="241" customWidth="1"/>
    <col min="2816" max="2816" width="2" style="241" customWidth="1"/>
    <col min="2817" max="2817" width="11.85546875" style="241" customWidth="1"/>
    <col min="2818" max="2818" width="13.5703125" style="241" customWidth="1"/>
    <col min="2819" max="2820" width="13.85546875" style="241" customWidth="1"/>
    <col min="2821" max="2822" width="14.85546875" style="241" customWidth="1"/>
    <col min="2823" max="2823" width="8.85546875" style="241" customWidth="1"/>
    <col min="2824" max="2824" width="12.5703125" style="241" customWidth="1"/>
    <col min="2825" max="2826" width="13" style="241" customWidth="1"/>
    <col min="2827" max="3070" width="9.140625" style="241"/>
    <col min="3071" max="3071" width="14" style="241" customWidth="1"/>
    <col min="3072" max="3072" width="2" style="241" customWidth="1"/>
    <col min="3073" max="3073" width="11.85546875" style="241" customWidth="1"/>
    <col min="3074" max="3074" width="13.5703125" style="241" customWidth="1"/>
    <col min="3075" max="3076" width="13.85546875" style="241" customWidth="1"/>
    <col min="3077" max="3078" width="14.85546875" style="241" customWidth="1"/>
    <col min="3079" max="3079" width="8.85546875" style="241" customWidth="1"/>
    <col min="3080" max="3080" width="12.5703125" style="241" customWidth="1"/>
    <col min="3081" max="3082" width="13" style="241" customWidth="1"/>
    <col min="3083" max="3326" width="9.140625" style="241"/>
    <col min="3327" max="3327" width="14" style="241" customWidth="1"/>
    <col min="3328" max="3328" width="2" style="241" customWidth="1"/>
    <col min="3329" max="3329" width="11.85546875" style="241" customWidth="1"/>
    <col min="3330" max="3330" width="13.5703125" style="241" customWidth="1"/>
    <col min="3331" max="3332" width="13.85546875" style="241" customWidth="1"/>
    <col min="3333" max="3334" width="14.85546875" style="241" customWidth="1"/>
    <col min="3335" max="3335" width="8.85546875" style="241" customWidth="1"/>
    <col min="3336" max="3336" width="12.5703125" style="241" customWidth="1"/>
    <col min="3337" max="3338" width="13" style="241" customWidth="1"/>
    <col min="3339" max="3582" width="9.140625" style="241"/>
    <col min="3583" max="3583" width="14" style="241" customWidth="1"/>
    <col min="3584" max="3584" width="2" style="241" customWidth="1"/>
    <col min="3585" max="3585" width="11.85546875" style="241" customWidth="1"/>
    <col min="3586" max="3586" width="13.5703125" style="241" customWidth="1"/>
    <col min="3587" max="3588" width="13.85546875" style="241" customWidth="1"/>
    <col min="3589" max="3590" width="14.85546875" style="241" customWidth="1"/>
    <col min="3591" max="3591" width="8.85546875" style="241" customWidth="1"/>
    <col min="3592" max="3592" width="12.5703125" style="241" customWidth="1"/>
    <col min="3593" max="3594" width="13" style="241" customWidth="1"/>
    <col min="3595" max="3838" width="9.140625" style="241"/>
    <col min="3839" max="3839" width="14" style="241" customWidth="1"/>
    <col min="3840" max="3840" width="2" style="241" customWidth="1"/>
    <col min="3841" max="3841" width="11.85546875" style="241" customWidth="1"/>
    <col min="3842" max="3842" width="13.5703125" style="241" customWidth="1"/>
    <col min="3843" max="3844" width="13.85546875" style="241" customWidth="1"/>
    <col min="3845" max="3846" width="14.85546875" style="241" customWidth="1"/>
    <col min="3847" max="3847" width="8.85546875" style="241" customWidth="1"/>
    <col min="3848" max="3848" width="12.5703125" style="241" customWidth="1"/>
    <col min="3849" max="3850" width="13" style="241" customWidth="1"/>
    <col min="3851" max="4094" width="9.140625" style="241"/>
    <col min="4095" max="4095" width="14" style="241" customWidth="1"/>
    <col min="4096" max="4096" width="2" style="241" customWidth="1"/>
    <col min="4097" max="4097" width="11.85546875" style="241" customWidth="1"/>
    <col min="4098" max="4098" width="13.5703125" style="241" customWidth="1"/>
    <col min="4099" max="4100" width="13.85546875" style="241" customWidth="1"/>
    <col min="4101" max="4102" width="14.85546875" style="241" customWidth="1"/>
    <col min="4103" max="4103" width="8.85546875" style="241" customWidth="1"/>
    <col min="4104" max="4104" width="12.5703125" style="241" customWidth="1"/>
    <col min="4105" max="4106" width="13" style="241" customWidth="1"/>
    <col min="4107" max="4350" width="9.140625" style="241"/>
    <col min="4351" max="4351" width="14" style="241" customWidth="1"/>
    <col min="4352" max="4352" width="2" style="241" customWidth="1"/>
    <col min="4353" max="4353" width="11.85546875" style="241" customWidth="1"/>
    <col min="4354" max="4354" width="13.5703125" style="241" customWidth="1"/>
    <col min="4355" max="4356" width="13.85546875" style="241" customWidth="1"/>
    <col min="4357" max="4358" width="14.85546875" style="241" customWidth="1"/>
    <col min="4359" max="4359" width="8.85546875" style="241" customWidth="1"/>
    <col min="4360" max="4360" width="12.5703125" style="241" customWidth="1"/>
    <col min="4361" max="4362" width="13" style="241" customWidth="1"/>
    <col min="4363" max="4606" width="9.140625" style="241"/>
    <col min="4607" max="4607" width="14" style="241" customWidth="1"/>
    <col min="4608" max="4608" width="2" style="241" customWidth="1"/>
    <col min="4609" max="4609" width="11.85546875" style="241" customWidth="1"/>
    <col min="4610" max="4610" width="13.5703125" style="241" customWidth="1"/>
    <col min="4611" max="4612" width="13.85546875" style="241" customWidth="1"/>
    <col min="4613" max="4614" width="14.85546875" style="241" customWidth="1"/>
    <col min="4615" max="4615" width="8.85546875" style="241" customWidth="1"/>
    <col min="4616" max="4616" width="12.5703125" style="241" customWidth="1"/>
    <col min="4617" max="4618" width="13" style="241" customWidth="1"/>
    <col min="4619" max="4862" width="9.140625" style="241"/>
    <col min="4863" max="4863" width="14" style="241" customWidth="1"/>
    <col min="4864" max="4864" width="2" style="241" customWidth="1"/>
    <col min="4865" max="4865" width="11.85546875" style="241" customWidth="1"/>
    <col min="4866" max="4866" width="13.5703125" style="241" customWidth="1"/>
    <col min="4867" max="4868" width="13.85546875" style="241" customWidth="1"/>
    <col min="4869" max="4870" width="14.85546875" style="241" customWidth="1"/>
    <col min="4871" max="4871" width="8.85546875" style="241" customWidth="1"/>
    <col min="4872" max="4872" width="12.5703125" style="241" customWidth="1"/>
    <col min="4873" max="4874" width="13" style="241" customWidth="1"/>
    <col min="4875" max="5118" width="9.140625" style="241"/>
    <col min="5119" max="5119" width="14" style="241" customWidth="1"/>
    <col min="5120" max="5120" width="2" style="241" customWidth="1"/>
    <col min="5121" max="5121" width="11.85546875" style="241" customWidth="1"/>
    <col min="5122" max="5122" width="13.5703125" style="241" customWidth="1"/>
    <col min="5123" max="5124" width="13.85546875" style="241" customWidth="1"/>
    <col min="5125" max="5126" width="14.85546875" style="241" customWidth="1"/>
    <col min="5127" max="5127" width="8.85546875" style="241" customWidth="1"/>
    <col min="5128" max="5128" width="12.5703125" style="241" customWidth="1"/>
    <col min="5129" max="5130" width="13" style="241" customWidth="1"/>
    <col min="5131" max="5374" width="9.140625" style="241"/>
    <col min="5375" max="5375" width="14" style="241" customWidth="1"/>
    <col min="5376" max="5376" width="2" style="241" customWidth="1"/>
    <col min="5377" max="5377" width="11.85546875" style="241" customWidth="1"/>
    <col min="5378" max="5378" width="13.5703125" style="241" customWidth="1"/>
    <col min="5379" max="5380" width="13.85546875" style="241" customWidth="1"/>
    <col min="5381" max="5382" width="14.85546875" style="241" customWidth="1"/>
    <col min="5383" max="5383" width="8.85546875" style="241" customWidth="1"/>
    <col min="5384" max="5384" width="12.5703125" style="241" customWidth="1"/>
    <col min="5385" max="5386" width="13" style="241" customWidth="1"/>
    <col min="5387" max="5630" width="9.140625" style="241"/>
    <col min="5631" max="5631" width="14" style="241" customWidth="1"/>
    <col min="5632" max="5632" width="2" style="241" customWidth="1"/>
    <col min="5633" max="5633" width="11.85546875" style="241" customWidth="1"/>
    <col min="5634" max="5634" width="13.5703125" style="241" customWidth="1"/>
    <col min="5635" max="5636" width="13.85546875" style="241" customWidth="1"/>
    <col min="5637" max="5638" width="14.85546875" style="241" customWidth="1"/>
    <col min="5639" max="5639" width="8.85546875" style="241" customWidth="1"/>
    <col min="5640" max="5640" width="12.5703125" style="241" customWidth="1"/>
    <col min="5641" max="5642" width="13" style="241" customWidth="1"/>
    <col min="5643" max="5886" width="9.140625" style="241"/>
    <col min="5887" max="5887" width="14" style="241" customWidth="1"/>
    <col min="5888" max="5888" width="2" style="241" customWidth="1"/>
    <col min="5889" max="5889" width="11.85546875" style="241" customWidth="1"/>
    <col min="5890" max="5890" width="13.5703125" style="241" customWidth="1"/>
    <col min="5891" max="5892" width="13.85546875" style="241" customWidth="1"/>
    <col min="5893" max="5894" width="14.85546875" style="241" customWidth="1"/>
    <col min="5895" max="5895" width="8.85546875" style="241" customWidth="1"/>
    <col min="5896" max="5896" width="12.5703125" style="241" customWidth="1"/>
    <col min="5897" max="5898" width="13" style="241" customWidth="1"/>
    <col min="5899" max="6142" width="9.140625" style="241"/>
    <col min="6143" max="6143" width="14" style="241" customWidth="1"/>
    <col min="6144" max="6144" width="2" style="241" customWidth="1"/>
    <col min="6145" max="6145" width="11.85546875" style="241" customWidth="1"/>
    <col min="6146" max="6146" width="13.5703125" style="241" customWidth="1"/>
    <col min="6147" max="6148" width="13.85546875" style="241" customWidth="1"/>
    <col min="6149" max="6150" width="14.85546875" style="241" customWidth="1"/>
    <col min="6151" max="6151" width="8.85546875" style="241" customWidth="1"/>
    <col min="6152" max="6152" width="12.5703125" style="241" customWidth="1"/>
    <col min="6153" max="6154" width="13" style="241" customWidth="1"/>
    <col min="6155" max="6398" width="9.140625" style="241"/>
    <col min="6399" max="6399" width="14" style="241" customWidth="1"/>
    <col min="6400" max="6400" width="2" style="241" customWidth="1"/>
    <col min="6401" max="6401" width="11.85546875" style="241" customWidth="1"/>
    <col min="6402" max="6402" width="13.5703125" style="241" customWidth="1"/>
    <col min="6403" max="6404" width="13.85546875" style="241" customWidth="1"/>
    <col min="6405" max="6406" width="14.85546875" style="241" customWidth="1"/>
    <col min="6407" max="6407" width="8.85546875" style="241" customWidth="1"/>
    <col min="6408" max="6408" width="12.5703125" style="241" customWidth="1"/>
    <col min="6409" max="6410" width="13" style="241" customWidth="1"/>
    <col min="6411" max="6654" width="9.140625" style="241"/>
    <col min="6655" max="6655" width="14" style="241" customWidth="1"/>
    <col min="6656" max="6656" width="2" style="241" customWidth="1"/>
    <col min="6657" max="6657" width="11.85546875" style="241" customWidth="1"/>
    <col min="6658" max="6658" width="13.5703125" style="241" customWidth="1"/>
    <col min="6659" max="6660" width="13.85546875" style="241" customWidth="1"/>
    <col min="6661" max="6662" width="14.85546875" style="241" customWidth="1"/>
    <col min="6663" max="6663" width="8.85546875" style="241" customWidth="1"/>
    <col min="6664" max="6664" width="12.5703125" style="241" customWidth="1"/>
    <col min="6665" max="6666" width="13" style="241" customWidth="1"/>
    <col min="6667" max="6910" width="9.140625" style="241"/>
    <col min="6911" max="6911" width="14" style="241" customWidth="1"/>
    <col min="6912" max="6912" width="2" style="241" customWidth="1"/>
    <col min="6913" max="6913" width="11.85546875" style="241" customWidth="1"/>
    <col min="6914" max="6914" width="13.5703125" style="241" customWidth="1"/>
    <col min="6915" max="6916" width="13.85546875" style="241" customWidth="1"/>
    <col min="6917" max="6918" width="14.85546875" style="241" customWidth="1"/>
    <col min="6919" max="6919" width="8.85546875" style="241" customWidth="1"/>
    <col min="6920" max="6920" width="12.5703125" style="241" customWidth="1"/>
    <col min="6921" max="6922" width="13" style="241" customWidth="1"/>
    <col min="6923" max="7166" width="9.140625" style="241"/>
    <col min="7167" max="7167" width="14" style="241" customWidth="1"/>
    <col min="7168" max="7168" width="2" style="241" customWidth="1"/>
    <col min="7169" max="7169" width="11.85546875" style="241" customWidth="1"/>
    <col min="7170" max="7170" width="13.5703125" style="241" customWidth="1"/>
    <col min="7171" max="7172" width="13.85546875" style="241" customWidth="1"/>
    <col min="7173" max="7174" width="14.85546875" style="241" customWidth="1"/>
    <col min="7175" max="7175" width="8.85546875" style="241" customWidth="1"/>
    <col min="7176" max="7176" width="12.5703125" style="241" customWidth="1"/>
    <col min="7177" max="7178" width="13" style="241" customWidth="1"/>
    <col min="7179" max="7422" width="9.140625" style="241"/>
    <col min="7423" max="7423" width="14" style="241" customWidth="1"/>
    <col min="7424" max="7424" width="2" style="241" customWidth="1"/>
    <col min="7425" max="7425" width="11.85546875" style="241" customWidth="1"/>
    <col min="7426" max="7426" width="13.5703125" style="241" customWidth="1"/>
    <col min="7427" max="7428" width="13.85546875" style="241" customWidth="1"/>
    <col min="7429" max="7430" width="14.85546875" style="241" customWidth="1"/>
    <col min="7431" max="7431" width="8.85546875" style="241" customWidth="1"/>
    <col min="7432" max="7432" width="12.5703125" style="241" customWidth="1"/>
    <col min="7433" max="7434" width="13" style="241" customWidth="1"/>
    <col min="7435" max="7678" width="9.140625" style="241"/>
    <col min="7679" max="7679" width="14" style="241" customWidth="1"/>
    <col min="7680" max="7680" width="2" style="241" customWidth="1"/>
    <col min="7681" max="7681" width="11.85546875" style="241" customWidth="1"/>
    <col min="7682" max="7682" width="13.5703125" style="241" customWidth="1"/>
    <col min="7683" max="7684" width="13.85546875" style="241" customWidth="1"/>
    <col min="7685" max="7686" width="14.85546875" style="241" customWidth="1"/>
    <col min="7687" max="7687" width="8.85546875" style="241" customWidth="1"/>
    <col min="7688" max="7688" width="12.5703125" style="241" customWidth="1"/>
    <col min="7689" max="7690" width="13" style="241" customWidth="1"/>
    <col min="7691" max="7934" width="9.140625" style="241"/>
    <col min="7935" max="7935" width="14" style="241" customWidth="1"/>
    <col min="7936" max="7936" width="2" style="241" customWidth="1"/>
    <col min="7937" max="7937" width="11.85546875" style="241" customWidth="1"/>
    <col min="7938" max="7938" width="13.5703125" style="241" customWidth="1"/>
    <col min="7939" max="7940" width="13.85546875" style="241" customWidth="1"/>
    <col min="7941" max="7942" width="14.85546875" style="241" customWidth="1"/>
    <col min="7943" max="7943" width="8.85546875" style="241" customWidth="1"/>
    <col min="7944" max="7944" width="12.5703125" style="241" customWidth="1"/>
    <col min="7945" max="7946" width="13" style="241" customWidth="1"/>
    <col min="7947" max="8190" width="9.140625" style="241"/>
    <col min="8191" max="8191" width="14" style="241" customWidth="1"/>
    <col min="8192" max="8192" width="2" style="241" customWidth="1"/>
    <col min="8193" max="8193" width="11.85546875" style="241" customWidth="1"/>
    <col min="8194" max="8194" width="13.5703125" style="241" customWidth="1"/>
    <col min="8195" max="8196" width="13.85546875" style="241" customWidth="1"/>
    <col min="8197" max="8198" width="14.85546875" style="241" customWidth="1"/>
    <col min="8199" max="8199" width="8.85546875" style="241" customWidth="1"/>
    <col min="8200" max="8200" width="12.5703125" style="241" customWidth="1"/>
    <col min="8201" max="8202" width="13" style="241" customWidth="1"/>
    <col min="8203" max="8446" width="9.140625" style="241"/>
    <col min="8447" max="8447" width="14" style="241" customWidth="1"/>
    <col min="8448" max="8448" width="2" style="241" customWidth="1"/>
    <col min="8449" max="8449" width="11.85546875" style="241" customWidth="1"/>
    <col min="8450" max="8450" width="13.5703125" style="241" customWidth="1"/>
    <col min="8451" max="8452" width="13.85546875" style="241" customWidth="1"/>
    <col min="8453" max="8454" width="14.85546875" style="241" customWidth="1"/>
    <col min="8455" max="8455" width="8.85546875" style="241" customWidth="1"/>
    <col min="8456" max="8456" width="12.5703125" style="241" customWidth="1"/>
    <col min="8457" max="8458" width="13" style="241" customWidth="1"/>
    <col min="8459" max="8702" width="9.140625" style="241"/>
    <col min="8703" max="8703" width="14" style="241" customWidth="1"/>
    <col min="8704" max="8704" width="2" style="241" customWidth="1"/>
    <col min="8705" max="8705" width="11.85546875" style="241" customWidth="1"/>
    <col min="8706" max="8706" width="13.5703125" style="241" customWidth="1"/>
    <col min="8707" max="8708" width="13.85546875" style="241" customWidth="1"/>
    <col min="8709" max="8710" width="14.85546875" style="241" customWidth="1"/>
    <col min="8711" max="8711" width="8.85546875" style="241" customWidth="1"/>
    <col min="8712" max="8712" width="12.5703125" style="241" customWidth="1"/>
    <col min="8713" max="8714" width="13" style="241" customWidth="1"/>
    <col min="8715" max="8958" width="9.140625" style="241"/>
    <col min="8959" max="8959" width="14" style="241" customWidth="1"/>
    <col min="8960" max="8960" width="2" style="241" customWidth="1"/>
    <col min="8961" max="8961" width="11.85546875" style="241" customWidth="1"/>
    <col min="8962" max="8962" width="13.5703125" style="241" customWidth="1"/>
    <col min="8963" max="8964" width="13.85546875" style="241" customWidth="1"/>
    <col min="8965" max="8966" width="14.85546875" style="241" customWidth="1"/>
    <col min="8967" max="8967" width="8.85546875" style="241" customWidth="1"/>
    <col min="8968" max="8968" width="12.5703125" style="241" customWidth="1"/>
    <col min="8969" max="8970" width="13" style="241" customWidth="1"/>
    <col min="8971" max="9214" width="9.140625" style="241"/>
    <col min="9215" max="9215" width="14" style="241" customWidth="1"/>
    <col min="9216" max="9216" width="2" style="241" customWidth="1"/>
    <col min="9217" max="9217" width="11.85546875" style="241" customWidth="1"/>
    <col min="9218" max="9218" width="13.5703125" style="241" customWidth="1"/>
    <col min="9219" max="9220" width="13.85546875" style="241" customWidth="1"/>
    <col min="9221" max="9222" width="14.85546875" style="241" customWidth="1"/>
    <col min="9223" max="9223" width="8.85546875" style="241" customWidth="1"/>
    <col min="9224" max="9224" width="12.5703125" style="241" customWidth="1"/>
    <col min="9225" max="9226" width="13" style="241" customWidth="1"/>
    <col min="9227" max="9470" width="9.140625" style="241"/>
    <col min="9471" max="9471" width="14" style="241" customWidth="1"/>
    <col min="9472" max="9472" width="2" style="241" customWidth="1"/>
    <col min="9473" max="9473" width="11.85546875" style="241" customWidth="1"/>
    <col min="9474" max="9474" width="13.5703125" style="241" customWidth="1"/>
    <col min="9475" max="9476" width="13.85546875" style="241" customWidth="1"/>
    <col min="9477" max="9478" width="14.85546875" style="241" customWidth="1"/>
    <col min="9479" max="9479" width="8.85546875" style="241" customWidth="1"/>
    <col min="9480" max="9480" width="12.5703125" style="241" customWidth="1"/>
    <col min="9481" max="9482" width="13" style="241" customWidth="1"/>
    <col min="9483" max="9726" width="9.140625" style="241"/>
    <col min="9727" max="9727" width="14" style="241" customWidth="1"/>
    <col min="9728" max="9728" width="2" style="241" customWidth="1"/>
    <col min="9729" max="9729" width="11.85546875" style="241" customWidth="1"/>
    <col min="9730" max="9730" width="13.5703125" style="241" customWidth="1"/>
    <col min="9731" max="9732" width="13.85546875" style="241" customWidth="1"/>
    <col min="9733" max="9734" width="14.85546875" style="241" customWidth="1"/>
    <col min="9735" max="9735" width="8.85546875" style="241" customWidth="1"/>
    <col min="9736" max="9736" width="12.5703125" style="241" customWidth="1"/>
    <col min="9737" max="9738" width="13" style="241" customWidth="1"/>
    <col min="9739" max="9982" width="9.140625" style="241"/>
    <col min="9983" max="9983" width="14" style="241" customWidth="1"/>
    <col min="9984" max="9984" width="2" style="241" customWidth="1"/>
    <col min="9985" max="9985" width="11.85546875" style="241" customWidth="1"/>
    <col min="9986" max="9986" width="13.5703125" style="241" customWidth="1"/>
    <col min="9987" max="9988" width="13.85546875" style="241" customWidth="1"/>
    <col min="9989" max="9990" width="14.85546875" style="241" customWidth="1"/>
    <col min="9991" max="9991" width="8.85546875" style="241" customWidth="1"/>
    <col min="9992" max="9992" width="12.5703125" style="241" customWidth="1"/>
    <col min="9993" max="9994" width="13" style="241" customWidth="1"/>
    <col min="9995" max="10238" width="9.140625" style="241"/>
    <col min="10239" max="10239" width="14" style="241" customWidth="1"/>
    <col min="10240" max="10240" width="2" style="241" customWidth="1"/>
    <col min="10241" max="10241" width="11.85546875" style="241" customWidth="1"/>
    <col min="10242" max="10242" width="13.5703125" style="241" customWidth="1"/>
    <col min="10243" max="10244" width="13.85546875" style="241" customWidth="1"/>
    <col min="10245" max="10246" width="14.85546875" style="241" customWidth="1"/>
    <col min="10247" max="10247" width="8.85546875" style="241" customWidth="1"/>
    <col min="10248" max="10248" width="12.5703125" style="241" customWidth="1"/>
    <col min="10249" max="10250" width="13" style="241" customWidth="1"/>
    <col min="10251" max="10494" width="9.140625" style="241"/>
    <col min="10495" max="10495" width="14" style="241" customWidth="1"/>
    <col min="10496" max="10496" width="2" style="241" customWidth="1"/>
    <col min="10497" max="10497" width="11.85546875" style="241" customWidth="1"/>
    <col min="10498" max="10498" width="13.5703125" style="241" customWidth="1"/>
    <col min="10499" max="10500" width="13.85546875" style="241" customWidth="1"/>
    <col min="10501" max="10502" width="14.85546875" style="241" customWidth="1"/>
    <col min="10503" max="10503" width="8.85546875" style="241" customWidth="1"/>
    <col min="10504" max="10504" width="12.5703125" style="241" customWidth="1"/>
    <col min="10505" max="10506" width="13" style="241" customWidth="1"/>
    <col min="10507" max="10750" width="9.140625" style="241"/>
    <col min="10751" max="10751" width="14" style="241" customWidth="1"/>
    <col min="10752" max="10752" width="2" style="241" customWidth="1"/>
    <col min="10753" max="10753" width="11.85546875" style="241" customWidth="1"/>
    <col min="10754" max="10754" width="13.5703125" style="241" customWidth="1"/>
    <col min="10755" max="10756" width="13.85546875" style="241" customWidth="1"/>
    <col min="10757" max="10758" width="14.85546875" style="241" customWidth="1"/>
    <col min="10759" max="10759" width="8.85546875" style="241" customWidth="1"/>
    <col min="10760" max="10760" width="12.5703125" style="241" customWidth="1"/>
    <col min="10761" max="10762" width="13" style="241" customWidth="1"/>
    <col min="10763" max="11006" width="9.140625" style="241"/>
    <col min="11007" max="11007" width="14" style="241" customWidth="1"/>
    <col min="11008" max="11008" width="2" style="241" customWidth="1"/>
    <col min="11009" max="11009" width="11.85546875" style="241" customWidth="1"/>
    <col min="11010" max="11010" width="13.5703125" style="241" customWidth="1"/>
    <col min="11011" max="11012" width="13.85546875" style="241" customWidth="1"/>
    <col min="11013" max="11014" width="14.85546875" style="241" customWidth="1"/>
    <col min="11015" max="11015" width="8.85546875" style="241" customWidth="1"/>
    <col min="11016" max="11016" width="12.5703125" style="241" customWidth="1"/>
    <col min="11017" max="11018" width="13" style="241" customWidth="1"/>
    <col min="11019" max="11262" width="9.140625" style="241"/>
    <col min="11263" max="11263" width="14" style="241" customWidth="1"/>
    <col min="11264" max="11264" width="2" style="241" customWidth="1"/>
    <col min="11265" max="11265" width="11.85546875" style="241" customWidth="1"/>
    <col min="11266" max="11266" width="13.5703125" style="241" customWidth="1"/>
    <col min="11267" max="11268" width="13.85546875" style="241" customWidth="1"/>
    <col min="11269" max="11270" width="14.85546875" style="241" customWidth="1"/>
    <col min="11271" max="11271" width="8.85546875" style="241" customWidth="1"/>
    <col min="11272" max="11272" width="12.5703125" style="241" customWidth="1"/>
    <col min="11273" max="11274" width="13" style="241" customWidth="1"/>
    <col min="11275" max="11518" width="9.140625" style="241"/>
    <col min="11519" max="11519" width="14" style="241" customWidth="1"/>
    <col min="11520" max="11520" width="2" style="241" customWidth="1"/>
    <col min="11521" max="11521" width="11.85546875" style="241" customWidth="1"/>
    <col min="11522" max="11522" width="13.5703125" style="241" customWidth="1"/>
    <col min="11523" max="11524" width="13.85546875" style="241" customWidth="1"/>
    <col min="11525" max="11526" width="14.85546875" style="241" customWidth="1"/>
    <col min="11527" max="11527" width="8.85546875" style="241" customWidth="1"/>
    <col min="11528" max="11528" width="12.5703125" style="241" customWidth="1"/>
    <col min="11529" max="11530" width="13" style="241" customWidth="1"/>
    <col min="11531" max="11774" width="9.140625" style="241"/>
    <col min="11775" max="11775" width="14" style="241" customWidth="1"/>
    <col min="11776" max="11776" width="2" style="241" customWidth="1"/>
    <col min="11777" max="11777" width="11.85546875" style="241" customWidth="1"/>
    <col min="11778" max="11778" width="13.5703125" style="241" customWidth="1"/>
    <col min="11779" max="11780" width="13.85546875" style="241" customWidth="1"/>
    <col min="11781" max="11782" width="14.85546875" style="241" customWidth="1"/>
    <col min="11783" max="11783" width="8.85546875" style="241" customWidth="1"/>
    <col min="11784" max="11784" width="12.5703125" style="241" customWidth="1"/>
    <col min="11785" max="11786" width="13" style="241" customWidth="1"/>
    <col min="11787" max="12030" width="9.140625" style="241"/>
    <col min="12031" max="12031" width="14" style="241" customWidth="1"/>
    <col min="12032" max="12032" width="2" style="241" customWidth="1"/>
    <col min="12033" max="12033" width="11.85546875" style="241" customWidth="1"/>
    <col min="12034" max="12034" width="13.5703125" style="241" customWidth="1"/>
    <col min="12035" max="12036" width="13.85546875" style="241" customWidth="1"/>
    <col min="12037" max="12038" width="14.85546875" style="241" customWidth="1"/>
    <col min="12039" max="12039" width="8.85546875" style="241" customWidth="1"/>
    <col min="12040" max="12040" width="12.5703125" style="241" customWidth="1"/>
    <col min="12041" max="12042" width="13" style="241" customWidth="1"/>
    <col min="12043" max="12286" width="9.140625" style="241"/>
    <col min="12287" max="12287" width="14" style="241" customWidth="1"/>
    <col min="12288" max="12288" width="2" style="241" customWidth="1"/>
    <col min="12289" max="12289" width="11.85546875" style="241" customWidth="1"/>
    <col min="12290" max="12290" width="13.5703125" style="241" customWidth="1"/>
    <col min="12291" max="12292" width="13.85546875" style="241" customWidth="1"/>
    <col min="12293" max="12294" width="14.85546875" style="241" customWidth="1"/>
    <col min="12295" max="12295" width="8.85546875" style="241" customWidth="1"/>
    <col min="12296" max="12296" width="12.5703125" style="241" customWidth="1"/>
    <col min="12297" max="12298" width="13" style="241" customWidth="1"/>
    <col min="12299" max="12542" width="9.140625" style="241"/>
    <col min="12543" max="12543" width="14" style="241" customWidth="1"/>
    <col min="12544" max="12544" width="2" style="241" customWidth="1"/>
    <col min="12545" max="12545" width="11.85546875" style="241" customWidth="1"/>
    <col min="12546" max="12546" width="13.5703125" style="241" customWidth="1"/>
    <col min="12547" max="12548" width="13.85546875" style="241" customWidth="1"/>
    <col min="12549" max="12550" width="14.85546875" style="241" customWidth="1"/>
    <col min="12551" max="12551" width="8.85546875" style="241" customWidth="1"/>
    <col min="12552" max="12552" width="12.5703125" style="241" customWidth="1"/>
    <col min="12553" max="12554" width="13" style="241" customWidth="1"/>
    <col min="12555" max="12798" width="9.140625" style="241"/>
    <col min="12799" max="12799" width="14" style="241" customWidth="1"/>
    <col min="12800" max="12800" width="2" style="241" customWidth="1"/>
    <col min="12801" max="12801" width="11.85546875" style="241" customWidth="1"/>
    <col min="12802" max="12802" width="13.5703125" style="241" customWidth="1"/>
    <col min="12803" max="12804" width="13.85546875" style="241" customWidth="1"/>
    <col min="12805" max="12806" width="14.85546875" style="241" customWidth="1"/>
    <col min="12807" max="12807" width="8.85546875" style="241" customWidth="1"/>
    <col min="12808" max="12808" width="12.5703125" style="241" customWidth="1"/>
    <col min="12809" max="12810" width="13" style="241" customWidth="1"/>
    <col min="12811" max="13054" width="9.140625" style="241"/>
    <col min="13055" max="13055" width="14" style="241" customWidth="1"/>
    <col min="13056" max="13056" width="2" style="241" customWidth="1"/>
    <col min="13057" max="13057" width="11.85546875" style="241" customWidth="1"/>
    <col min="13058" max="13058" width="13.5703125" style="241" customWidth="1"/>
    <col min="13059" max="13060" width="13.85546875" style="241" customWidth="1"/>
    <col min="13061" max="13062" width="14.85546875" style="241" customWidth="1"/>
    <col min="13063" max="13063" width="8.85546875" style="241" customWidth="1"/>
    <col min="13064" max="13064" width="12.5703125" style="241" customWidth="1"/>
    <col min="13065" max="13066" width="13" style="241" customWidth="1"/>
    <col min="13067" max="13310" width="9.140625" style="241"/>
    <col min="13311" max="13311" width="14" style="241" customWidth="1"/>
    <col min="13312" max="13312" width="2" style="241" customWidth="1"/>
    <col min="13313" max="13313" width="11.85546875" style="241" customWidth="1"/>
    <col min="13314" max="13314" width="13.5703125" style="241" customWidth="1"/>
    <col min="13315" max="13316" width="13.85546875" style="241" customWidth="1"/>
    <col min="13317" max="13318" width="14.85546875" style="241" customWidth="1"/>
    <col min="13319" max="13319" width="8.85546875" style="241" customWidth="1"/>
    <col min="13320" max="13320" width="12.5703125" style="241" customWidth="1"/>
    <col min="13321" max="13322" width="13" style="241" customWidth="1"/>
    <col min="13323" max="13566" width="9.140625" style="241"/>
    <col min="13567" max="13567" width="14" style="241" customWidth="1"/>
    <col min="13568" max="13568" width="2" style="241" customWidth="1"/>
    <col min="13569" max="13569" width="11.85546875" style="241" customWidth="1"/>
    <col min="13570" max="13570" width="13.5703125" style="241" customWidth="1"/>
    <col min="13571" max="13572" width="13.85546875" style="241" customWidth="1"/>
    <col min="13573" max="13574" width="14.85546875" style="241" customWidth="1"/>
    <col min="13575" max="13575" width="8.85546875" style="241" customWidth="1"/>
    <col min="13576" max="13576" width="12.5703125" style="241" customWidth="1"/>
    <col min="13577" max="13578" width="13" style="241" customWidth="1"/>
    <col min="13579" max="13822" width="9.140625" style="241"/>
    <col min="13823" max="13823" width="14" style="241" customWidth="1"/>
    <col min="13824" max="13824" width="2" style="241" customWidth="1"/>
    <col min="13825" max="13825" width="11.85546875" style="241" customWidth="1"/>
    <col min="13826" max="13826" width="13.5703125" style="241" customWidth="1"/>
    <col min="13827" max="13828" width="13.85546875" style="241" customWidth="1"/>
    <col min="13829" max="13830" width="14.85546875" style="241" customWidth="1"/>
    <col min="13831" max="13831" width="8.85546875" style="241" customWidth="1"/>
    <col min="13832" max="13832" width="12.5703125" style="241" customWidth="1"/>
    <col min="13833" max="13834" width="13" style="241" customWidth="1"/>
    <col min="13835" max="14078" width="9.140625" style="241"/>
    <col min="14079" max="14079" width="14" style="241" customWidth="1"/>
    <col min="14080" max="14080" width="2" style="241" customWidth="1"/>
    <col min="14081" max="14081" width="11.85546875" style="241" customWidth="1"/>
    <col min="14082" max="14082" width="13.5703125" style="241" customWidth="1"/>
    <col min="14083" max="14084" width="13.85546875" style="241" customWidth="1"/>
    <col min="14085" max="14086" width="14.85546875" style="241" customWidth="1"/>
    <col min="14087" max="14087" width="8.85546875" style="241" customWidth="1"/>
    <col min="14088" max="14088" width="12.5703125" style="241" customWidth="1"/>
    <col min="14089" max="14090" width="13" style="241" customWidth="1"/>
    <col min="14091" max="14334" width="9.140625" style="241"/>
    <col min="14335" max="14335" width="14" style="241" customWidth="1"/>
    <col min="14336" max="14336" width="2" style="241" customWidth="1"/>
    <col min="14337" max="14337" width="11.85546875" style="241" customWidth="1"/>
    <col min="14338" max="14338" width="13.5703125" style="241" customWidth="1"/>
    <col min="14339" max="14340" width="13.85546875" style="241" customWidth="1"/>
    <col min="14341" max="14342" width="14.85546875" style="241" customWidth="1"/>
    <col min="14343" max="14343" width="8.85546875" style="241" customWidth="1"/>
    <col min="14344" max="14344" width="12.5703125" style="241" customWidth="1"/>
    <col min="14345" max="14346" width="13" style="241" customWidth="1"/>
    <col min="14347" max="14590" width="9.140625" style="241"/>
    <col min="14591" max="14591" width="14" style="241" customWidth="1"/>
    <col min="14592" max="14592" width="2" style="241" customWidth="1"/>
    <col min="14593" max="14593" width="11.85546875" style="241" customWidth="1"/>
    <col min="14594" max="14594" width="13.5703125" style="241" customWidth="1"/>
    <col min="14595" max="14596" width="13.85546875" style="241" customWidth="1"/>
    <col min="14597" max="14598" width="14.85546875" style="241" customWidth="1"/>
    <col min="14599" max="14599" width="8.85546875" style="241" customWidth="1"/>
    <col min="14600" max="14600" width="12.5703125" style="241" customWidth="1"/>
    <col min="14601" max="14602" width="13" style="241" customWidth="1"/>
    <col min="14603" max="14846" width="9.140625" style="241"/>
    <col min="14847" max="14847" width="14" style="241" customWidth="1"/>
    <col min="14848" max="14848" width="2" style="241" customWidth="1"/>
    <col min="14849" max="14849" width="11.85546875" style="241" customWidth="1"/>
    <col min="14850" max="14850" width="13.5703125" style="241" customWidth="1"/>
    <col min="14851" max="14852" width="13.85546875" style="241" customWidth="1"/>
    <col min="14853" max="14854" width="14.85546875" style="241" customWidth="1"/>
    <col min="14855" max="14855" width="8.85546875" style="241" customWidth="1"/>
    <col min="14856" max="14856" width="12.5703125" style="241" customWidth="1"/>
    <col min="14857" max="14858" width="13" style="241" customWidth="1"/>
    <col min="14859" max="15102" width="9.140625" style="241"/>
    <col min="15103" max="15103" width="14" style="241" customWidth="1"/>
    <col min="15104" max="15104" width="2" style="241" customWidth="1"/>
    <col min="15105" max="15105" width="11.85546875" style="241" customWidth="1"/>
    <col min="15106" max="15106" width="13.5703125" style="241" customWidth="1"/>
    <col min="15107" max="15108" width="13.85546875" style="241" customWidth="1"/>
    <col min="15109" max="15110" width="14.85546875" style="241" customWidth="1"/>
    <col min="15111" max="15111" width="8.85546875" style="241" customWidth="1"/>
    <col min="15112" max="15112" width="12.5703125" style="241" customWidth="1"/>
    <col min="15113" max="15114" width="13" style="241" customWidth="1"/>
    <col min="15115" max="15358" width="9.140625" style="241"/>
    <col min="15359" max="15359" width="14" style="241" customWidth="1"/>
    <col min="15360" max="15360" width="2" style="241" customWidth="1"/>
    <col min="15361" max="15361" width="11.85546875" style="241" customWidth="1"/>
    <col min="15362" max="15362" width="13.5703125" style="241" customWidth="1"/>
    <col min="15363" max="15364" width="13.85546875" style="241" customWidth="1"/>
    <col min="15365" max="15366" width="14.85546875" style="241" customWidth="1"/>
    <col min="15367" max="15367" width="8.85546875" style="241" customWidth="1"/>
    <col min="15368" max="15368" width="12.5703125" style="241" customWidth="1"/>
    <col min="15369" max="15370" width="13" style="241" customWidth="1"/>
    <col min="15371" max="15614" width="9.140625" style="241"/>
    <col min="15615" max="15615" width="14" style="241" customWidth="1"/>
    <col min="15616" max="15616" width="2" style="241" customWidth="1"/>
    <col min="15617" max="15617" width="11.85546875" style="241" customWidth="1"/>
    <col min="15618" max="15618" width="13.5703125" style="241" customWidth="1"/>
    <col min="15619" max="15620" width="13.85546875" style="241" customWidth="1"/>
    <col min="15621" max="15622" width="14.85546875" style="241" customWidth="1"/>
    <col min="15623" max="15623" width="8.85546875" style="241" customWidth="1"/>
    <col min="15624" max="15624" width="12.5703125" style="241" customWidth="1"/>
    <col min="15625" max="15626" width="13" style="241" customWidth="1"/>
    <col min="15627" max="15870" width="9.140625" style="241"/>
    <col min="15871" max="15871" width="14" style="241" customWidth="1"/>
    <col min="15872" max="15872" width="2" style="241" customWidth="1"/>
    <col min="15873" max="15873" width="11.85546875" style="241" customWidth="1"/>
    <col min="15874" max="15874" width="13.5703125" style="241" customWidth="1"/>
    <col min="15875" max="15876" width="13.85546875" style="241" customWidth="1"/>
    <col min="15877" max="15878" width="14.85546875" style="241" customWidth="1"/>
    <col min="15879" max="15879" width="8.85546875" style="241" customWidth="1"/>
    <col min="15880" max="15880" width="12.5703125" style="241" customWidth="1"/>
    <col min="15881" max="15882" width="13" style="241" customWidth="1"/>
    <col min="15883" max="16126" width="9.140625" style="241"/>
    <col min="16127" max="16127" width="14" style="241" customWidth="1"/>
    <col min="16128" max="16128" width="2" style="241" customWidth="1"/>
    <col min="16129" max="16129" width="11.85546875" style="241" customWidth="1"/>
    <col min="16130" max="16130" width="13.5703125" style="241" customWidth="1"/>
    <col min="16131" max="16132" width="13.85546875" style="241" customWidth="1"/>
    <col min="16133" max="16134" width="14.85546875" style="241" customWidth="1"/>
    <col min="16135" max="16135" width="8.85546875" style="241" customWidth="1"/>
    <col min="16136" max="16136" width="12.5703125" style="241" customWidth="1"/>
    <col min="16137" max="16138" width="13" style="241" customWidth="1"/>
    <col min="16139" max="16384" width="9.140625" style="241"/>
  </cols>
  <sheetData>
    <row r="1" spans="1:10" ht="10.5" customHeight="1" thickBot="1" x14ac:dyDescent="0.45">
      <c r="A1" s="220"/>
      <c r="B1" s="265"/>
      <c r="C1" s="220"/>
      <c r="D1" s="221"/>
      <c r="E1" s="220"/>
      <c r="F1" s="220"/>
      <c r="G1" s="266"/>
      <c r="H1" s="266"/>
      <c r="I1" s="222"/>
      <c r="J1" s="222"/>
    </row>
    <row r="2" spans="1:10" ht="35.25" customHeight="1" thickBot="1" x14ac:dyDescent="0.3">
      <c r="A2" s="223" t="s">
        <v>122</v>
      </c>
      <c r="B2" s="265"/>
      <c r="C2" s="267" t="s">
        <v>123</v>
      </c>
      <c r="D2" s="268"/>
      <c r="E2" s="269" t="s">
        <v>124</v>
      </c>
      <c r="F2" s="269"/>
      <c r="G2" s="270" t="s">
        <v>125</v>
      </c>
      <c r="H2" s="271"/>
      <c r="I2" s="224"/>
      <c r="J2" s="224"/>
    </row>
    <row r="3" spans="1:10" ht="44.25" customHeight="1" x14ac:dyDescent="0.25">
      <c r="A3" s="225" t="s">
        <v>43</v>
      </c>
      <c r="B3" s="265"/>
      <c r="C3" s="226" t="s">
        <v>126</v>
      </c>
      <c r="D3" s="227" t="s">
        <v>127</v>
      </c>
      <c r="E3" s="228" t="s">
        <v>128</v>
      </c>
      <c r="F3" s="228" t="s">
        <v>129</v>
      </c>
      <c r="G3" s="228" t="s">
        <v>130</v>
      </c>
      <c r="H3" s="229" t="s">
        <v>131</v>
      </c>
      <c r="I3" s="230" t="s">
        <v>132</v>
      </c>
      <c r="J3" s="230" t="s">
        <v>133</v>
      </c>
    </row>
    <row r="4" spans="1:10" s="235" customFormat="1" ht="35.25" customHeight="1" x14ac:dyDescent="0.25">
      <c r="A4" s="231">
        <v>44196</v>
      </c>
      <c r="B4" s="265"/>
      <c r="C4" s="238">
        <f>SUM('GENSET #1:GENSET #5'!B10)</f>
        <v>86064450</v>
      </c>
      <c r="D4" s="233"/>
      <c r="E4" s="232">
        <f>'Gas-2'!G5</f>
        <v>225</v>
      </c>
      <c r="F4" s="234"/>
      <c r="G4" s="232">
        <f>SUM(WATER!G6,WATER!L6,WATER!Q6,WATER!B6)</f>
        <v>901297</v>
      </c>
      <c r="I4" s="236"/>
      <c r="J4" s="236"/>
    </row>
    <row r="5" spans="1:10" ht="33" customHeight="1" x14ac:dyDescent="0.25">
      <c r="A5" s="237">
        <v>44197</v>
      </c>
      <c r="B5" s="265"/>
      <c r="C5" s="238">
        <f>SUM('GENSET #1:GENSET #5'!C10)</f>
        <v>86094900</v>
      </c>
      <c r="D5" s="239">
        <f>IF((C5-C4&lt;0), "0",C5-C4)</f>
        <v>30450</v>
      </c>
      <c r="E5" s="238">
        <f>'Gas-2'!G6</f>
        <v>225</v>
      </c>
      <c r="F5" s="239">
        <f>IF((E5-E4&lt;0), "0",E5-E4)</f>
        <v>0</v>
      </c>
      <c r="G5" s="330">
        <f>SUM(WATER!C6,WATER!H6,WATER!M6,WATER!R6)</f>
        <v>901712</v>
      </c>
      <c r="H5" s="239">
        <f>IF((G5-G4&lt;0), "0",G5-G4)</f>
        <v>415</v>
      </c>
      <c r="I5" s="240"/>
      <c r="J5" s="240"/>
    </row>
    <row r="6" spans="1:10" ht="45" customHeight="1" x14ac:dyDescent="0.25">
      <c r="A6" s="237">
        <v>44198</v>
      </c>
      <c r="B6" s="265"/>
      <c r="C6" s="238">
        <f>SUM('GENSET #1:GENSET #5'!C11)</f>
        <v>86124667</v>
      </c>
      <c r="D6" s="239">
        <f>IF((C6-C5&lt;0), "0",C6-C5)</f>
        <v>29767</v>
      </c>
      <c r="E6" s="238">
        <f>'Gas-2'!G7</f>
        <v>90</v>
      </c>
      <c r="F6" s="239" t="str">
        <f t="shared" ref="F6:F35" si="0">IF((E6-E5&lt;0), "0",E6-E5)</f>
        <v>0</v>
      </c>
      <c r="G6" s="330">
        <f>SUM(WATER!C7,WATER!H7,WATER!M7,WATER!R7)</f>
        <v>902080</v>
      </c>
      <c r="H6" s="239">
        <f t="shared" ref="H6:H35" si="1">IF((G6-G5&lt;0), "0",G6-G5)</f>
        <v>368</v>
      </c>
      <c r="I6" s="222"/>
      <c r="J6" s="222"/>
    </row>
    <row r="7" spans="1:10" ht="45" customHeight="1" x14ac:dyDescent="0.25">
      <c r="A7" s="237">
        <v>44199</v>
      </c>
      <c r="B7" s="265"/>
      <c r="C7" s="238">
        <f>SUM('GENSET #1:GENSET #5'!C12)</f>
        <v>86154182</v>
      </c>
      <c r="D7" s="239">
        <f t="shared" ref="D7:D22" si="2">IF((C7-C6&lt;0), "0",C7-C6)</f>
        <v>29515</v>
      </c>
      <c r="E7" s="238">
        <f>'Gas-2'!G8</f>
        <v>180</v>
      </c>
      <c r="F7" s="239">
        <f t="shared" si="0"/>
        <v>90</v>
      </c>
      <c r="G7" s="330">
        <f>SUM(WATER!C8,WATER!H8,WATER!M8,WATER!R8)</f>
        <v>902473</v>
      </c>
      <c r="H7" s="239">
        <f t="shared" si="1"/>
        <v>393</v>
      </c>
      <c r="I7" s="222"/>
      <c r="J7" s="222"/>
    </row>
    <row r="8" spans="1:10" ht="45" customHeight="1" x14ac:dyDescent="0.25">
      <c r="A8" s="237">
        <v>44200</v>
      </c>
      <c r="B8" s="265"/>
      <c r="C8" s="238">
        <f>SUM('GENSET #1:GENSET #5'!C13)</f>
        <v>86185696</v>
      </c>
      <c r="D8" s="239">
        <f t="shared" si="2"/>
        <v>31514</v>
      </c>
      <c r="E8" s="238">
        <f>'Gas-2'!G9</f>
        <v>270</v>
      </c>
      <c r="F8" s="239">
        <f t="shared" si="0"/>
        <v>90</v>
      </c>
      <c r="G8" s="330">
        <f>SUM(WATER!C9,WATER!H9,WATER!M9,WATER!R9)</f>
        <v>902924</v>
      </c>
      <c r="H8" s="239">
        <f t="shared" si="1"/>
        <v>451</v>
      </c>
      <c r="I8" s="222"/>
      <c r="J8" s="222"/>
    </row>
    <row r="9" spans="1:10" ht="45" customHeight="1" x14ac:dyDescent="0.25">
      <c r="A9" s="237">
        <v>44201</v>
      </c>
      <c r="B9" s="265"/>
      <c r="C9" s="238">
        <f>SUM('GENSET #1:GENSET #5'!C14)</f>
        <v>0</v>
      </c>
      <c r="D9" s="239" t="str">
        <f t="shared" si="2"/>
        <v>0</v>
      </c>
      <c r="E9" s="238">
        <f>'Gas-2'!G10</f>
        <v>0</v>
      </c>
      <c r="F9" s="239" t="str">
        <f t="shared" si="0"/>
        <v>0</v>
      </c>
      <c r="G9" s="330">
        <f>SUM(WATER!C10,WATER!H10,WATER!M10,WATER!R10)</f>
        <v>903330</v>
      </c>
      <c r="H9" s="239">
        <f t="shared" si="1"/>
        <v>406</v>
      </c>
      <c r="I9" s="222"/>
      <c r="J9" s="222"/>
    </row>
    <row r="10" spans="1:10" ht="45" customHeight="1" x14ac:dyDescent="0.25">
      <c r="A10" s="237">
        <v>44202</v>
      </c>
      <c r="B10" s="265"/>
      <c r="C10" s="238">
        <f>SUM('GENSET #1:GENSET #5'!C15)</f>
        <v>0</v>
      </c>
      <c r="D10" s="239">
        <f t="shared" si="2"/>
        <v>0</v>
      </c>
      <c r="E10" s="238">
        <f>'Gas-2'!G11</f>
        <v>0</v>
      </c>
      <c r="F10" s="239">
        <f t="shared" si="0"/>
        <v>0</v>
      </c>
      <c r="G10" s="330">
        <f>SUM(WATER!C11,WATER!H11,WATER!M11,WATER!R11)</f>
        <v>0</v>
      </c>
      <c r="H10" s="239" t="str">
        <f t="shared" si="1"/>
        <v>0</v>
      </c>
      <c r="I10" s="222"/>
      <c r="J10" s="222"/>
    </row>
    <row r="11" spans="1:10" ht="45" customHeight="1" x14ac:dyDescent="0.25">
      <c r="A11" s="237">
        <v>44203</v>
      </c>
      <c r="B11" s="265"/>
      <c r="C11" s="238">
        <f>SUM('GENSET #1:GENSET #5'!C16)</f>
        <v>0</v>
      </c>
      <c r="D11" s="239">
        <f t="shared" si="2"/>
        <v>0</v>
      </c>
      <c r="E11" s="238">
        <f>'Gas-2'!G12</f>
        <v>0</v>
      </c>
      <c r="F11" s="239">
        <f t="shared" si="0"/>
        <v>0</v>
      </c>
      <c r="G11" s="330">
        <f>SUM(WATER!C12,WATER!H12,WATER!M12,WATER!R12)</f>
        <v>0</v>
      </c>
      <c r="H11" s="239">
        <f t="shared" si="1"/>
        <v>0</v>
      </c>
      <c r="I11" s="222"/>
      <c r="J11" s="222"/>
    </row>
    <row r="12" spans="1:10" ht="45" customHeight="1" x14ac:dyDescent="0.25">
      <c r="A12" s="237">
        <v>44204</v>
      </c>
      <c r="B12" s="265"/>
      <c r="C12" s="238">
        <f>SUM('GENSET #1:GENSET #5'!C17)</f>
        <v>0</v>
      </c>
      <c r="D12" s="239">
        <f t="shared" si="2"/>
        <v>0</v>
      </c>
      <c r="E12" s="238">
        <f>'Gas-2'!G13</f>
        <v>0</v>
      </c>
      <c r="F12" s="239">
        <f t="shared" si="0"/>
        <v>0</v>
      </c>
      <c r="G12" s="330">
        <f>SUM(WATER!C13,WATER!H13,WATER!M13,WATER!R13)</f>
        <v>0</v>
      </c>
      <c r="H12" s="239">
        <f t="shared" si="1"/>
        <v>0</v>
      </c>
      <c r="I12" s="222"/>
      <c r="J12" s="222"/>
    </row>
    <row r="13" spans="1:10" ht="45" customHeight="1" x14ac:dyDescent="0.25">
      <c r="A13" s="237">
        <v>44205</v>
      </c>
      <c r="B13" s="265"/>
      <c r="C13" s="238">
        <f>SUM('GENSET #1:GENSET #5'!C18)</f>
        <v>0</v>
      </c>
      <c r="D13" s="239">
        <f t="shared" si="2"/>
        <v>0</v>
      </c>
      <c r="E13" s="238">
        <f>'Gas-2'!G14</f>
        <v>0</v>
      </c>
      <c r="F13" s="239">
        <f t="shared" si="0"/>
        <v>0</v>
      </c>
      <c r="G13" s="330">
        <f>SUM(WATER!C14,WATER!H14,WATER!M14,WATER!R14)</f>
        <v>0</v>
      </c>
      <c r="H13" s="239">
        <f t="shared" si="1"/>
        <v>0</v>
      </c>
      <c r="I13" s="222"/>
      <c r="J13" s="222"/>
    </row>
    <row r="14" spans="1:10" ht="45" customHeight="1" x14ac:dyDescent="0.25">
      <c r="A14" s="237">
        <v>44206</v>
      </c>
      <c r="B14" s="265"/>
      <c r="C14" s="238">
        <f>SUM('GENSET #1:GENSET #5'!C19)</f>
        <v>0</v>
      </c>
      <c r="D14" s="239">
        <f t="shared" si="2"/>
        <v>0</v>
      </c>
      <c r="E14" s="238">
        <f>'Gas-2'!G15</f>
        <v>0</v>
      </c>
      <c r="F14" s="239">
        <f t="shared" si="0"/>
        <v>0</v>
      </c>
      <c r="G14" s="330">
        <f>SUM(WATER!C15,WATER!H15,WATER!M15,WATER!R15)</f>
        <v>0</v>
      </c>
      <c r="H14" s="239">
        <f t="shared" si="1"/>
        <v>0</v>
      </c>
      <c r="I14" s="222"/>
      <c r="J14" s="222"/>
    </row>
    <row r="15" spans="1:10" ht="45" customHeight="1" x14ac:dyDescent="0.25">
      <c r="A15" s="237">
        <v>44207</v>
      </c>
      <c r="B15" s="265"/>
      <c r="C15" s="238">
        <f>SUM('GENSET #1:GENSET #5'!C20)</f>
        <v>0</v>
      </c>
      <c r="D15" s="239">
        <f t="shared" si="2"/>
        <v>0</v>
      </c>
      <c r="E15" s="238">
        <f>'Gas-2'!G16</f>
        <v>0</v>
      </c>
      <c r="F15" s="239">
        <f t="shared" si="0"/>
        <v>0</v>
      </c>
      <c r="G15" s="330">
        <f>SUM(WATER!C16,WATER!H16,WATER!M16,WATER!R16)</f>
        <v>0</v>
      </c>
      <c r="H15" s="239">
        <f t="shared" si="1"/>
        <v>0</v>
      </c>
      <c r="I15" s="222"/>
      <c r="J15" s="222"/>
    </row>
    <row r="16" spans="1:10" ht="45" customHeight="1" x14ac:dyDescent="0.25">
      <c r="A16" s="237">
        <v>44208</v>
      </c>
      <c r="B16" s="265"/>
      <c r="C16" s="238">
        <f>SUM('GENSET #1:GENSET #5'!C21)</f>
        <v>0</v>
      </c>
      <c r="D16" s="239">
        <f t="shared" si="2"/>
        <v>0</v>
      </c>
      <c r="E16" s="238">
        <f>'Gas-2'!G17</f>
        <v>0</v>
      </c>
      <c r="F16" s="239">
        <f t="shared" si="0"/>
        <v>0</v>
      </c>
      <c r="G16" s="330">
        <f>SUM(WATER!C17,WATER!H17,WATER!M17,WATER!R17)</f>
        <v>0</v>
      </c>
      <c r="H16" s="239">
        <f t="shared" si="1"/>
        <v>0</v>
      </c>
      <c r="I16" s="222"/>
      <c r="J16" s="222"/>
    </row>
    <row r="17" spans="1:10" ht="45" customHeight="1" x14ac:dyDescent="0.25">
      <c r="A17" s="237">
        <v>44209</v>
      </c>
      <c r="B17" s="265"/>
      <c r="C17" s="238">
        <f>SUM('GENSET #1:GENSET #5'!C22)</f>
        <v>0</v>
      </c>
      <c r="D17" s="239">
        <f t="shared" si="2"/>
        <v>0</v>
      </c>
      <c r="E17" s="238">
        <f>'Gas-2'!G18</f>
        <v>0</v>
      </c>
      <c r="F17" s="239">
        <f t="shared" si="0"/>
        <v>0</v>
      </c>
      <c r="G17" s="330">
        <f>SUM(WATER!C18,WATER!H18,WATER!M18,WATER!R18)</f>
        <v>0</v>
      </c>
      <c r="H17" s="239">
        <f t="shared" si="1"/>
        <v>0</v>
      </c>
      <c r="I17" s="222"/>
      <c r="J17" s="222"/>
    </row>
    <row r="18" spans="1:10" ht="45" customHeight="1" x14ac:dyDescent="0.25">
      <c r="A18" s="237">
        <v>44210</v>
      </c>
      <c r="B18" s="265"/>
      <c r="C18" s="238">
        <f>SUM('GENSET #1:GENSET #5'!C23)</f>
        <v>0</v>
      </c>
      <c r="D18" s="239">
        <f t="shared" si="2"/>
        <v>0</v>
      </c>
      <c r="E18" s="238">
        <f>'Gas-2'!G19</f>
        <v>0</v>
      </c>
      <c r="F18" s="239">
        <f t="shared" si="0"/>
        <v>0</v>
      </c>
      <c r="G18" s="330">
        <f>SUM(WATER!C19,WATER!H19,WATER!M19,WATER!R19)</f>
        <v>0</v>
      </c>
      <c r="H18" s="239">
        <f t="shared" si="1"/>
        <v>0</v>
      </c>
      <c r="I18" s="222"/>
      <c r="J18" s="222"/>
    </row>
    <row r="19" spans="1:10" ht="45" customHeight="1" x14ac:dyDescent="0.25">
      <c r="A19" s="237">
        <v>44211</v>
      </c>
      <c r="B19" s="265"/>
      <c r="C19" s="238">
        <f>SUM('GENSET #1:GENSET #5'!C24)</f>
        <v>0</v>
      </c>
      <c r="D19" s="239">
        <f t="shared" si="2"/>
        <v>0</v>
      </c>
      <c r="E19" s="238">
        <f>'Gas-2'!G20</f>
        <v>0</v>
      </c>
      <c r="F19" s="239">
        <f t="shared" si="0"/>
        <v>0</v>
      </c>
      <c r="G19" s="330">
        <f>SUM(WATER!C20,WATER!H20,WATER!M20,WATER!R20)</f>
        <v>0</v>
      </c>
      <c r="H19" s="239">
        <f t="shared" si="1"/>
        <v>0</v>
      </c>
      <c r="I19" s="222"/>
      <c r="J19" s="222"/>
    </row>
    <row r="20" spans="1:10" ht="45" customHeight="1" x14ac:dyDescent="0.25">
      <c r="A20" s="237">
        <v>44212</v>
      </c>
      <c r="B20" s="265"/>
      <c r="C20" s="238">
        <f>SUM('GENSET #1:GENSET #5'!C25)</f>
        <v>0</v>
      </c>
      <c r="D20" s="239">
        <f t="shared" si="2"/>
        <v>0</v>
      </c>
      <c r="E20" s="238">
        <f>'Gas-2'!G21</f>
        <v>0</v>
      </c>
      <c r="F20" s="239">
        <f t="shared" si="0"/>
        <v>0</v>
      </c>
      <c r="G20" s="330">
        <f>SUM(WATER!C21,WATER!H21,WATER!M21,WATER!R21)</f>
        <v>0</v>
      </c>
      <c r="H20" s="239">
        <f t="shared" si="1"/>
        <v>0</v>
      </c>
      <c r="I20" s="222"/>
      <c r="J20" s="222"/>
    </row>
    <row r="21" spans="1:10" ht="45" customHeight="1" x14ac:dyDescent="0.25">
      <c r="A21" s="237">
        <v>44213</v>
      </c>
      <c r="B21" s="265"/>
      <c r="C21" s="238">
        <f>SUM('GENSET #1:GENSET #5'!C26)</f>
        <v>0</v>
      </c>
      <c r="D21" s="239">
        <f t="shared" si="2"/>
        <v>0</v>
      </c>
      <c r="E21" s="238">
        <f>'Gas-2'!G22</f>
        <v>0</v>
      </c>
      <c r="F21" s="239">
        <f t="shared" si="0"/>
        <v>0</v>
      </c>
      <c r="G21" s="330">
        <f>SUM(WATER!C22,WATER!H22,WATER!M22,WATER!R22)</f>
        <v>0</v>
      </c>
      <c r="H21" s="239">
        <f t="shared" si="1"/>
        <v>0</v>
      </c>
      <c r="I21" s="222"/>
      <c r="J21" s="222"/>
    </row>
    <row r="22" spans="1:10" ht="45" customHeight="1" x14ac:dyDescent="0.25">
      <c r="A22" s="237">
        <v>44214</v>
      </c>
      <c r="B22" s="265"/>
      <c r="C22" s="238">
        <f>SUM('GENSET #1:GENSET #5'!C27)</f>
        <v>0</v>
      </c>
      <c r="D22" s="239">
        <f t="shared" si="2"/>
        <v>0</v>
      </c>
      <c r="E22" s="238">
        <f>'Gas-2'!G23</f>
        <v>0</v>
      </c>
      <c r="F22" s="239">
        <f t="shared" si="0"/>
        <v>0</v>
      </c>
      <c r="G22" s="330">
        <f>SUM(WATER!C23,WATER!H23,WATER!M23,WATER!R23)</f>
        <v>0</v>
      </c>
      <c r="H22" s="239">
        <f t="shared" si="1"/>
        <v>0</v>
      </c>
      <c r="I22" s="222"/>
      <c r="J22" s="222"/>
    </row>
    <row r="23" spans="1:10" ht="45" customHeight="1" x14ac:dyDescent="0.25">
      <c r="A23" s="237">
        <v>44215</v>
      </c>
      <c r="B23" s="265"/>
      <c r="C23" s="238">
        <f>SUM('GENSET #1:GENSET #5'!C28)</f>
        <v>0</v>
      </c>
      <c r="D23" s="239">
        <f>IF((C23-C22&lt;0), "0",C23-C22)</f>
        <v>0</v>
      </c>
      <c r="E23" s="238">
        <f>'Gas-2'!G24</f>
        <v>0</v>
      </c>
      <c r="F23" s="239">
        <f t="shared" si="0"/>
        <v>0</v>
      </c>
      <c r="G23" s="330">
        <f>SUM(WATER!C24,WATER!H24,WATER!M24,WATER!R24)</f>
        <v>0</v>
      </c>
      <c r="H23" s="239">
        <f t="shared" si="1"/>
        <v>0</v>
      </c>
      <c r="I23" s="222"/>
      <c r="J23" s="222"/>
    </row>
    <row r="24" spans="1:10" ht="45" customHeight="1" x14ac:dyDescent="0.25">
      <c r="A24" s="237">
        <v>44216</v>
      </c>
      <c r="B24" s="265"/>
      <c r="C24" s="238">
        <f>SUM('GENSET #1:GENSET #5'!C29)</f>
        <v>0</v>
      </c>
      <c r="D24" s="239">
        <f t="shared" ref="D24:D35" si="3">IF((C24-C23&lt;0), "0",C24-C23)</f>
        <v>0</v>
      </c>
      <c r="E24" s="238">
        <f>'Gas-2'!G25</f>
        <v>0</v>
      </c>
      <c r="F24" s="239">
        <f t="shared" si="0"/>
        <v>0</v>
      </c>
      <c r="G24" s="330">
        <f>SUM(WATER!C25,WATER!H25,WATER!M25,WATER!R25)</f>
        <v>0</v>
      </c>
      <c r="H24" s="239">
        <f t="shared" si="1"/>
        <v>0</v>
      </c>
      <c r="I24" s="222"/>
      <c r="J24" s="222"/>
    </row>
    <row r="25" spans="1:10" ht="45" customHeight="1" x14ac:dyDescent="0.25">
      <c r="A25" s="237">
        <v>44217</v>
      </c>
      <c r="B25" s="265"/>
      <c r="C25" s="238">
        <f>SUM('GENSET #1:GENSET #5'!C30)</f>
        <v>0</v>
      </c>
      <c r="D25" s="239">
        <f t="shared" si="3"/>
        <v>0</v>
      </c>
      <c r="E25" s="238">
        <f>'Gas-2'!G26</f>
        <v>0</v>
      </c>
      <c r="F25" s="239">
        <f t="shared" si="0"/>
        <v>0</v>
      </c>
      <c r="G25" s="330">
        <f>SUM(WATER!C26,WATER!H26,WATER!M26,WATER!R26)</f>
        <v>0</v>
      </c>
      <c r="H25" s="239">
        <f t="shared" si="1"/>
        <v>0</v>
      </c>
      <c r="I25" s="222"/>
      <c r="J25" s="222"/>
    </row>
    <row r="26" spans="1:10" ht="45" customHeight="1" x14ac:dyDescent="0.25">
      <c r="A26" s="237">
        <v>44218</v>
      </c>
      <c r="B26" s="265"/>
      <c r="C26" s="238">
        <f>SUM('GENSET #1:GENSET #5'!C31)</f>
        <v>0</v>
      </c>
      <c r="D26" s="239">
        <f t="shared" si="3"/>
        <v>0</v>
      </c>
      <c r="E26" s="238">
        <f>'Gas-2'!G27</f>
        <v>0</v>
      </c>
      <c r="F26" s="239">
        <f t="shared" si="0"/>
        <v>0</v>
      </c>
      <c r="G26" s="330">
        <f>SUM(WATER!C27,WATER!H27,WATER!M27,WATER!R27)</f>
        <v>0</v>
      </c>
      <c r="H26" s="239">
        <f t="shared" si="1"/>
        <v>0</v>
      </c>
      <c r="I26" s="222"/>
      <c r="J26" s="222"/>
    </row>
    <row r="27" spans="1:10" ht="45" customHeight="1" x14ac:dyDescent="0.25">
      <c r="A27" s="237">
        <v>44219</v>
      </c>
      <c r="B27" s="265"/>
      <c r="C27" s="238">
        <f>SUM('GENSET #1:GENSET #5'!C32)</f>
        <v>0</v>
      </c>
      <c r="D27" s="239">
        <f t="shared" si="3"/>
        <v>0</v>
      </c>
      <c r="E27" s="238">
        <f>'Gas-2'!G28</f>
        <v>0</v>
      </c>
      <c r="F27" s="239">
        <f t="shared" si="0"/>
        <v>0</v>
      </c>
      <c r="G27" s="330">
        <f>SUM(WATER!C28,WATER!H28,WATER!M28,WATER!R28)</f>
        <v>0</v>
      </c>
      <c r="H27" s="239">
        <f t="shared" si="1"/>
        <v>0</v>
      </c>
      <c r="I27" s="222"/>
      <c r="J27" s="222"/>
    </row>
    <row r="28" spans="1:10" ht="45" customHeight="1" x14ac:dyDescent="0.25">
      <c r="A28" s="237">
        <v>44220</v>
      </c>
      <c r="B28" s="265"/>
      <c r="C28" s="238">
        <f>SUM('GENSET #1:GENSET #5'!C33)</f>
        <v>0</v>
      </c>
      <c r="D28" s="239">
        <f t="shared" si="3"/>
        <v>0</v>
      </c>
      <c r="E28" s="238">
        <f>'Gas-2'!G29</f>
        <v>0</v>
      </c>
      <c r="F28" s="239">
        <f t="shared" si="0"/>
        <v>0</v>
      </c>
      <c r="G28" s="330">
        <f>SUM(WATER!C29,WATER!H29,WATER!M29,WATER!R29)</f>
        <v>0</v>
      </c>
      <c r="H28" s="239">
        <f t="shared" si="1"/>
        <v>0</v>
      </c>
      <c r="I28" s="222"/>
      <c r="J28" s="222"/>
    </row>
    <row r="29" spans="1:10" ht="45" customHeight="1" x14ac:dyDescent="0.25">
      <c r="A29" s="237">
        <v>44221</v>
      </c>
      <c r="B29" s="265"/>
      <c r="C29" s="238">
        <f>SUM('GENSET #1:GENSET #5'!C34)</f>
        <v>0</v>
      </c>
      <c r="D29" s="239">
        <f t="shared" si="3"/>
        <v>0</v>
      </c>
      <c r="E29" s="238">
        <f>'Gas-2'!G30</f>
        <v>0</v>
      </c>
      <c r="F29" s="239">
        <f t="shared" si="0"/>
        <v>0</v>
      </c>
      <c r="G29" s="330">
        <f>SUM(WATER!C30,WATER!H30,WATER!M30,WATER!R30)</f>
        <v>0</v>
      </c>
      <c r="H29" s="239">
        <f t="shared" si="1"/>
        <v>0</v>
      </c>
      <c r="I29" s="222"/>
      <c r="J29" s="222"/>
    </row>
    <row r="30" spans="1:10" ht="45" customHeight="1" x14ac:dyDescent="0.25">
      <c r="A30" s="237">
        <v>44222</v>
      </c>
      <c r="B30" s="265"/>
      <c r="C30" s="238">
        <f>SUM('GENSET #1:GENSET #5'!C35)</f>
        <v>0</v>
      </c>
      <c r="D30" s="239">
        <f t="shared" si="3"/>
        <v>0</v>
      </c>
      <c r="E30" s="238">
        <f>'Gas-2'!G31</f>
        <v>0</v>
      </c>
      <c r="F30" s="239">
        <f t="shared" si="0"/>
        <v>0</v>
      </c>
      <c r="G30" s="330">
        <f>SUM(WATER!C31,WATER!H31,WATER!M31,WATER!R31)</f>
        <v>0</v>
      </c>
      <c r="H30" s="239">
        <f t="shared" si="1"/>
        <v>0</v>
      </c>
      <c r="I30" s="222"/>
      <c r="J30" s="222"/>
    </row>
    <row r="31" spans="1:10" ht="45" customHeight="1" x14ac:dyDescent="0.25">
      <c r="A31" s="237">
        <v>44223</v>
      </c>
      <c r="B31" s="265"/>
      <c r="C31" s="238">
        <f>SUM('GENSET #1:GENSET #5'!C36)</f>
        <v>0</v>
      </c>
      <c r="D31" s="239">
        <f t="shared" si="3"/>
        <v>0</v>
      </c>
      <c r="E31" s="238">
        <f>'Gas-2'!G32</f>
        <v>0</v>
      </c>
      <c r="F31" s="239">
        <f t="shared" si="0"/>
        <v>0</v>
      </c>
      <c r="G31" s="330">
        <f>SUM(WATER!C32,WATER!H32,WATER!M32,WATER!R32)</f>
        <v>0</v>
      </c>
      <c r="H31" s="239">
        <f t="shared" si="1"/>
        <v>0</v>
      </c>
      <c r="I31" s="222"/>
      <c r="J31" s="222"/>
    </row>
    <row r="32" spans="1:10" ht="45" customHeight="1" x14ac:dyDescent="0.25">
      <c r="A32" s="237">
        <v>44224</v>
      </c>
      <c r="B32" s="265"/>
      <c r="C32" s="238">
        <f>SUM('GENSET #1:GENSET #5'!C37)</f>
        <v>0</v>
      </c>
      <c r="D32" s="239">
        <f t="shared" si="3"/>
        <v>0</v>
      </c>
      <c r="E32" s="238">
        <f>'Gas-2'!G33</f>
        <v>0</v>
      </c>
      <c r="F32" s="239">
        <f t="shared" si="0"/>
        <v>0</v>
      </c>
      <c r="G32" s="330">
        <f>SUM(WATER!C33,WATER!H33,WATER!M33,WATER!R33)</f>
        <v>0</v>
      </c>
      <c r="H32" s="239">
        <f t="shared" si="1"/>
        <v>0</v>
      </c>
      <c r="I32" s="222"/>
      <c r="J32" s="222"/>
    </row>
    <row r="33" spans="1:10" ht="36" customHeight="1" x14ac:dyDescent="0.25">
      <c r="A33" s="237">
        <v>44225</v>
      </c>
      <c r="C33" s="238">
        <f>SUM('GENSET #1:GENSET #5'!C38)</f>
        <v>0</v>
      </c>
      <c r="D33" s="239">
        <f t="shared" si="3"/>
        <v>0</v>
      </c>
      <c r="E33" s="238">
        <f>'Gas-2'!G34</f>
        <v>0</v>
      </c>
      <c r="F33" s="239">
        <f t="shared" si="0"/>
        <v>0</v>
      </c>
      <c r="G33" s="330">
        <f>SUM(WATER!C34,WATER!H34,WATER!M34,WATER!R34)</f>
        <v>0</v>
      </c>
      <c r="H33" s="239">
        <f t="shared" si="1"/>
        <v>0</v>
      </c>
      <c r="I33" s="222"/>
      <c r="J33" s="222"/>
    </row>
    <row r="34" spans="1:10" ht="45.6" customHeight="1" x14ac:dyDescent="0.25">
      <c r="A34" s="237">
        <v>44226</v>
      </c>
      <c r="C34" s="238">
        <f>SUM('GENSET #1:GENSET #5'!C39)</f>
        <v>0</v>
      </c>
      <c r="D34" s="239">
        <f t="shared" si="3"/>
        <v>0</v>
      </c>
      <c r="E34" s="238">
        <f>'Gas-2'!G35</f>
        <v>0</v>
      </c>
      <c r="F34" s="239">
        <f t="shared" si="0"/>
        <v>0</v>
      </c>
      <c r="G34" s="330">
        <f>SUM(WATER!C35,WATER!H35,WATER!M35,WATER!R35)</f>
        <v>0</v>
      </c>
      <c r="H34" s="239">
        <f t="shared" si="1"/>
        <v>0</v>
      </c>
      <c r="I34" s="222"/>
      <c r="J34" s="222"/>
    </row>
    <row r="35" spans="1:10" ht="47.45" customHeight="1" x14ac:dyDescent="0.25">
      <c r="A35" s="237">
        <v>44227</v>
      </c>
      <c r="C35" s="238">
        <f>SUM('GENSET #1:GENSET #5'!C40)</f>
        <v>0</v>
      </c>
      <c r="D35" s="239">
        <f t="shared" si="3"/>
        <v>0</v>
      </c>
      <c r="E35" s="238">
        <f>'Gas-2'!G36</f>
        <v>0</v>
      </c>
      <c r="F35" s="239">
        <f t="shared" si="0"/>
        <v>0</v>
      </c>
      <c r="G35" s="330">
        <f>SUM(WATER!C36,WATER!H36,WATER!M36,WATER!R36)</f>
        <v>0</v>
      </c>
      <c r="H35" s="239">
        <f t="shared" si="1"/>
        <v>0</v>
      </c>
      <c r="I35" s="222"/>
      <c r="J35" s="222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K40"/>
  <sheetViews>
    <sheetView zoomScaleNormal="100" workbookViewId="0">
      <selection activeCell="J14" sqref="J14"/>
    </sheetView>
  </sheetViews>
  <sheetFormatPr defaultRowHeight="12.75" x14ac:dyDescent="0.2"/>
  <cols>
    <col min="1" max="1" width="9.5703125" style="196" customWidth="1"/>
    <col min="2" max="2" width="15.5703125" style="18" customWidth="1"/>
    <col min="3" max="3" width="13" style="18" customWidth="1"/>
    <col min="4" max="4" width="18.5703125" style="205" customWidth="1"/>
    <col min="5" max="5" width="14.5703125" style="19" customWidth="1"/>
    <col min="6" max="6" width="18.85546875" customWidth="1"/>
  </cols>
  <sheetData>
    <row r="1" spans="1:7" x14ac:dyDescent="0.2">
      <c r="A1" s="273" t="s">
        <v>0</v>
      </c>
      <c r="B1" s="273"/>
      <c r="C1" s="273"/>
      <c r="D1" s="273"/>
      <c r="E1" s="273"/>
      <c r="F1" s="273"/>
    </row>
    <row r="2" spans="1:7" x14ac:dyDescent="0.2">
      <c r="A2" s="5"/>
      <c r="E2" s="208"/>
    </row>
    <row r="3" spans="1:7" x14ac:dyDescent="0.2">
      <c r="A3" s="5" t="s">
        <v>1</v>
      </c>
      <c r="B3" s="101" t="s">
        <v>2</v>
      </c>
      <c r="C3" s="101"/>
      <c r="D3" s="206"/>
      <c r="E3" s="208"/>
    </row>
    <row r="4" spans="1:7" x14ac:dyDescent="0.2">
      <c r="A4" s="5" t="s">
        <v>3</v>
      </c>
      <c r="B4" s="106" t="s">
        <v>121</v>
      </c>
      <c r="C4" s="106"/>
      <c r="D4" s="203"/>
      <c r="E4" s="208"/>
    </row>
    <row r="5" spans="1:7" x14ac:dyDescent="0.2">
      <c r="A5" s="5" t="s">
        <v>4</v>
      </c>
      <c r="B5" s="197">
        <v>2021</v>
      </c>
      <c r="C5" s="197"/>
      <c r="D5" s="203"/>
      <c r="E5" s="208"/>
    </row>
    <row r="6" spans="1:7" x14ac:dyDescent="0.2">
      <c r="E6" s="272"/>
      <c r="F6" s="272"/>
    </row>
    <row r="7" spans="1:7" ht="38.25" x14ac:dyDescent="0.2">
      <c r="A7" s="198" t="s">
        <v>5</v>
      </c>
      <c r="B7" s="199" t="s">
        <v>118</v>
      </c>
      <c r="C7" s="199" t="s">
        <v>119</v>
      </c>
      <c r="D7" s="200" t="s">
        <v>120</v>
      </c>
      <c r="E7" s="201" t="s">
        <v>117</v>
      </c>
      <c r="F7" s="199" t="s">
        <v>6</v>
      </c>
    </row>
    <row r="8" spans="1:7" ht="15.75" customHeight="1" x14ac:dyDescent="0.2">
      <c r="A8" s="67">
        <v>1</v>
      </c>
      <c r="B8" s="167">
        <f>SUM('GENSET #1:GENSET #5'!D10)</f>
        <v>30450</v>
      </c>
      <c r="C8" s="167">
        <f>'Diesel consumption'!D5</f>
        <v>8440</v>
      </c>
      <c r="D8" s="207">
        <f>'SOLAR METER READING'!D9</f>
        <v>560</v>
      </c>
      <c r="E8" s="204">
        <f>+'Gas-2'!G6</f>
        <v>225</v>
      </c>
      <c r="F8" s="167" t="e">
        <f>+WATER!#REF!</f>
        <v>#REF!</v>
      </c>
      <c r="G8" s="8"/>
    </row>
    <row r="9" spans="1:7" ht="15.75" customHeight="1" x14ac:dyDescent="0.2">
      <c r="A9" s="67">
        <v>2</v>
      </c>
      <c r="B9" s="167">
        <f>SUM('GENSET #1:GENSET #5'!D11)</f>
        <v>29767</v>
      </c>
      <c r="C9" s="167">
        <f>'Diesel consumption'!D6</f>
        <v>8080</v>
      </c>
      <c r="D9" s="207">
        <f>'SOLAR METER READING'!D10</f>
        <v>2728</v>
      </c>
      <c r="E9" s="204">
        <f>+'Gas-2'!G7</f>
        <v>90</v>
      </c>
      <c r="F9" s="167">
        <f>+WATER!V4</f>
        <v>0</v>
      </c>
      <c r="G9" s="8"/>
    </row>
    <row r="10" spans="1:7" ht="15.75" customHeight="1" x14ac:dyDescent="0.2">
      <c r="A10" s="67">
        <v>3</v>
      </c>
      <c r="B10" s="167">
        <f>SUM('GENSET #1:GENSET #5'!D12)</f>
        <v>29515</v>
      </c>
      <c r="C10" s="167">
        <f>'Diesel consumption'!D7</f>
        <v>8230</v>
      </c>
      <c r="D10" s="207">
        <f>'SOLAR METER READING'!D11</f>
        <v>3002</v>
      </c>
      <c r="E10" s="204">
        <f>+'Gas-2'!G8</f>
        <v>180</v>
      </c>
      <c r="F10" s="167" t="str">
        <f>+WATER!V5</f>
        <v>Water</v>
      </c>
      <c r="G10" s="8"/>
    </row>
    <row r="11" spans="1:7" ht="15.75" customHeight="1" x14ac:dyDescent="0.2">
      <c r="A11" s="67">
        <v>4</v>
      </c>
      <c r="B11" s="167">
        <f>SUM('GENSET #1:GENSET #5'!D13)</f>
        <v>31514</v>
      </c>
      <c r="C11" s="167">
        <f>'Diesel consumption'!D8</f>
        <v>8820</v>
      </c>
      <c r="D11" s="207">
        <f>'SOLAR METER READING'!D12</f>
        <v>2218</v>
      </c>
      <c r="E11" s="204">
        <f>+'Gas-2'!G9</f>
        <v>270</v>
      </c>
      <c r="F11" s="167">
        <f>+WATER!V6</f>
        <v>415</v>
      </c>
      <c r="G11" s="8"/>
    </row>
    <row r="12" spans="1:7" ht="15.75" customHeight="1" x14ac:dyDescent="0.2">
      <c r="A12" s="67">
        <v>5</v>
      </c>
      <c r="B12" s="167">
        <f>SUM('GENSET #1:GENSET #5'!D14)</f>
        <v>-86185696</v>
      </c>
      <c r="C12" s="167">
        <f>'Diesel consumption'!D9</f>
        <v>-42911170</v>
      </c>
      <c r="D12" s="207">
        <f>'SOLAR METER READING'!D13</f>
        <v>-2256825</v>
      </c>
      <c r="E12" s="204">
        <f>+'Gas-2'!G10</f>
        <v>0</v>
      </c>
      <c r="F12" s="167">
        <f>+WATER!V7</f>
        <v>368</v>
      </c>
      <c r="G12" s="8"/>
    </row>
    <row r="13" spans="1:7" ht="15.75" customHeight="1" x14ac:dyDescent="0.2">
      <c r="A13" s="67">
        <v>6</v>
      </c>
      <c r="B13" s="167">
        <f>SUM('GENSET #1:GENSET #5'!D15)</f>
        <v>0</v>
      </c>
      <c r="C13" s="167">
        <f>'Diesel consumption'!D10</f>
        <v>0</v>
      </c>
      <c r="D13" s="207">
        <f>'SOLAR METER READING'!D14</f>
        <v>0</v>
      </c>
      <c r="E13" s="204">
        <f>+'Gas-2'!G11</f>
        <v>0</v>
      </c>
      <c r="F13" s="167">
        <f>+WATER!V8</f>
        <v>393</v>
      </c>
      <c r="G13" s="8"/>
    </row>
    <row r="14" spans="1:7" ht="15.75" customHeight="1" x14ac:dyDescent="0.2">
      <c r="A14" s="67">
        <v>7</v>
      </c>
      <c r="B14" s="167">
        <f>SUM('GENSET #1:GENSET #5'!D16)</f>
        <v>0</v>
      </c>
      <c r="C14" s="167">
        <f>'Diesel consumption'!D11</f>
        <v>0</v>
      </c>
      <c r="D14" s="207">
        <f>'SOLAR METER READING'!D15</f>
        <v>0</v>
      </c>
      <c r="E14" s="204">
        <f>+'Gas-2'!G12</f>
        <v>0</v>
      </c>
      <c r="F14" s="167">
        <f>+WATER!V9</f>
        <v>451</v>
      </c>
      <c r="G14" s="8"/>
    </row>
    <row r="15" spans="1:7" ht="15.75" customHeight="1" x14ac:dyDescent="0.2">
      <c r="A15" s="67">
        <v>8</v>
      </c>
      <c r="B15" s="167">
        <f>SUM('GENSET #1:GENSET #5'!D17)</f>
        <v>0</v>
      </c>
      <c r="C15" s="167">
        <f>'Diesel consumption'!D12</f>
        <v>0</v>
      </c>
      <c r="D15" s="207">
        <f>'SOLAR METER READING'!D16</f>
        <v>0</v>
      </c>
      <c r="E15" s="204">
        <f>+'Gas-2'!G13</f>
        <v>0</v>
      </c>
      <c r="F15" s="167">
        <f>+WATER!V10</f>
        <v>406</v>
      </c>
      <c r="G15" s="8"/>
    </row>
    <row r="16" spans="1:7" ht="15.75" customHeight="1" x14ac:dyDescent="0.2">
      <c r="A16" s="67">
        <v>9</v>
      </c>
      <c r="B16" s="167">
        <f>SUM('GENSET #1:GENSET #5'!D18)</f>
        <v>0</v>
      </c>
      <c r="C16" s="167">
        <f>'Diesel consumption'!D13</f>
        <v>0</v>
      </c>
      <c r="D16" s="207">
        <f>'SOLAR METER READING'!D17</f>
        <v>0</v>
      </c>
      <c r="E16" s="204">
        <f>+'Gas-2'!G14</f>
        <v>0</v>
      </c>
      <c r="F16" s="167">
        <f>+WATER!V11</f>
        <v>-903330</v>
      </c>
      <c r="G16" s="8"/>
    </row>
    <row r="17" spans="1:7" ht="15.75" customHeight="1" x14ac:dyDescent="0.2">
      <c r="A17" s="67">
        <v>10</v>
      </c>
      <c r="B17" s="167">
        <f>SUM('GENSET #1:GENSET #5'!D19)</f>
        <v>0</v>
      </c>
      <c r="C17" s="167">
        <f>'Diesel consumption'!D14</f>
        <v>0</v>
      </c>
      <c r="D17" s="207">
        <f>'SOLAR METER READING'!D18</f>
        <v>0</v>
      </c>
      <c r="E17" s="204">
        <f>+'Gas-2'!G15</f>
        <v>0</v>
      </c>
      <c r="F17" s="167">
        <f>+WATER!V12</f>
        <v>0</v>
      </c>
      <c r="G17" s="8"/>
    </row>
    <row r="18" spans="1:7" ht="15.75" customHeight="1" x14ac:dyDescent="0.2">
      <c r="A18" s="67">
        <v>11</v>
      </c>
      <c r="B18" s="167">
        <f>SUM('GENSET #1:GENSET #5'!D20)</f>
        <v>0</v>
      </c>
      <c r="C18" s="167">
        <f>'Diesel consumption'!D15</f>
        <v>0</v>
      </c>
      <c r="D18" s="207">
        <f>'SOLAR METER READING'!D19</f>
        <v>0</v>
      </c>
      <c r="E18" s="204">
        <f>+'Gas-2'!G16</f>
        <v>0</v>
      </c>
      <c r="F18" s="167">
        <f>+WATER!V13</f>
        <v>0</v>
      </c>
      <c r="G18" s="8"/>
    </row>
    <row r="19" spans="1:7" ht="15.75" customHeight="1" x14ac:dyDescent="0.2">
      <c r="A19" s="67">
        <v>12</v>
      </c>
      <c r="B19" s="167">
        <f>SUM('GENSET #1:GENSET #5'!D21)</f>
        <v>0</v>
      </c>
      <c r="C19" s="167">
        <f>'Diesel consumption'!D16</f>
        <v>0</v>
      </c>
      <c r="D19" s="207">
        <f>'SOLAR METER READING'!D20</f>
        <v>0</v>
      </c>
      <c r="E19" s="204">
        <f>+'Gas-2'!G17</f>
        <v>0</v>
      </c>
      <c r="F19" s="167">
        <f>+WATER!V14</f>
        <v>0</v>
      </c>
      <c r="G19" s="8"/>
    </row>
    <row r="20" spans="1:7" ht="15.75" customHeight="1" x14ac:dyDescent="0.2">
      <c r="A20" s="67">
        <v>13</v>
      </c>
      <c r="B20" s="167">
        <f>SUM('GENSET #1:GENSET #5'!D22)</f>
        <v>0</v>
      </c>
      <c r="C20" s="167">
        <f>'Diesel consumption'!D17</f>
        <v>0</v>
      </c>
      <c r="D20" s="207">
        <f>'SOLAR METER READING'!D21</f>
        <v>0</v>
      </c>
      <c r="E20" s="204">
        <f>+'Gas-2'!G18</f>
        <v>0</v>
      </c>
      <c r="F20" s="167">
        <f>+WATER!V15</f>
        <v>0</v>
      </c>
      <c r="G20" s="8"/>
    </row>
    <row r="21" spans="1:7" ht="15.75" customHeight="1" x14ac:dyDescent="0.2">
      <c r="A21" s="67">
        <v>14</v>
      </c>
      <c r="B21" s="167">
        <f>SUM('GENSET #1:GENSET #5'!D23)</f>
        <v>0</v>
      </c>
      <c r="C21" s="167">
        <f>'Diesel consumption'!D18</f>
        <v>0</v>
      </c>
      <c r="D21" s="207">
        <f>'SOLAR METER READING'!D22</f>
        <v>0</v>
      </c>
      <c r="E21" s="204">
        <f>+'Gas-2'!G19</f>
        <v>0</v>
      </c>
      <c r="F21" s="167">
        <f>+WATER!V16</f>
        <v>0</v>
      </c>
      <c r="G21" s="8"/>
    </row>
    <row r="22" spans="1:7" ht="15.75" customHeight="1" x14ac:dyDescent="0.2">
      <c r="A22" s="67">
        <v>15</v>
      </c>
      <c r="B22" s="167">
        <f>SUM('GENSET #1:GENSET #5'!D24)</f>
        <v>0</v>
      </c>
      <c r="C22" s="167">
        <f>'Diesel consumption'!D19</f>
        <v>0</v>
      </c>
      <c r="D22" s="207">
        <f>'SOLAR METER READING'!D23</f>
        <v>0</v>
      </c>
      <c r="E22" s="204">
        <f>+'Gas-2'!G20</f>
        <v>0</v>
      </c>
      <c r="F22" s="167">
        <f>+WATER!V17</f>
        <v>0</v>
      </c>
      <c r="G22" s="8"/>
    </row>
    <row r="23" spans="1:7" ht="15.75" customHeight="1" x14ac:dyDescent="0.2">
      <c r="A23" s="67">
        <v>16</v>
      </c>
      <c r="B23" s="167">
        <f>SUM('GENSET #1:GENSET #5'!D25)</f>
        <v>0</v>
      </c>
      <c r="C23" s="167">
        <f>'Diesel consumption'!D20</f>
        <v>0</v>
      </c>
      <c r="D23" s="207">
        <f>'SOLAR METER READING'!D24</f>
        <v>0</v>
      </c>
      <c r="E23" s="204">
        <f>+'Gas-2'!G21</f>
        <v>0</v>
      </c>
      <c r="F23" s="167">
        <f>+WATER!V18</f>
        <v>0</v>
      </c>
      <c r="G23" s="8"/>
    </row>
    <row r="24" spans="1:7" ht="15.75" customHeight="1" x14ac:dyDescent="0.2">
      <c r="A24" s="67">
        <v>17</v>
      </c>
      <c r="B24" s="167">
        <f>SUM('GENSET #1:GENSET #5'!D26)</f>
        <v>0</v>
      </c>
      <c r="C24" s="167">
        <f>'Diesel consumption'!D21</f>
        <v>0</v>
      </c>
      <c r="D24" s="207">
        <f>'SOLAR METER READING'!D25</f>
        <v>0</v>
      </c>
      <c r="E24" s="204">
        <f>+'Gas-2'!G22</f>
        <v>0</v>
      </c>
      <c r="F24" s="167">
        <f>+WATER!V19</f>
        <v>0</v>
      </c>
      <c r="G24" s="8"/>
    </row>
    <row r="25" spans="1:7" ht="15.75" customHeight="1" x14ac:dyDescent="0.2">
      <c r="A25" s="67">
        <v>18</v>
      </c>
      <c r="B25" s="167">
        <f>SUM('GENSET #1:GENSET #5'!D27)</f>
        <v>0</v>
      </c>
      <c r="C25" s="167">
        <f>'Diesel consumption'!D22</f>
        <v>0</v>
      </c>
      <c r="D25" s="207">
        <f>'SOLAR METER READING'!D26</f>
        <v>0</v>
      </c>
      <c r="E25" s="204">
        <f>+'Gas-2'!G23</f>
        <v>0</v>
      </c>
      <c r="F25" s="167">
        <f>+WATER!V20</f>
        <v>0</v>
      </c>
      <c r="G25" s="8"/>
    </row>
    <row r="26" spans="1:7" ht="15.75" customHeight="1" x14ac:dyDescent="0.2">
      <c r="A26" s="67">
        <v>19</v>
      </c>
      <c r="B26" s="167">
        <f>SUM('GENSET #1:GENSET #5'!D28)</f>
        <v>0</v>
      </c>
      <c r="C26" s="167">
        <f>'Diesel consumption'!D23</f>
        <v>0</v>
      </c>
      <c r="D26" s="207">
        <f>'SOLAR METER READING'!D27</f>
        <v>0</v>
      </c>
      <c r="E26" s="204">
        <f>+'Gas-2'!G24</f>
        <v>0</v>
      </c>
      <c r="F26" s="167">
        <f>+WATER!V21</f>
        <v>0</v>
      </c>
      <c r="G26" s="8"/>
    </row>
    <row r="27" spans="1:7" ht="15.75" customHeight="1" x14ac:dyDescent="0.2">
      <c r="A27" s="67">
        <v>20</v>
      </c>
      <c r="B27" s="167">
        <f>SUM('GENSET #1:GENSET #5'!D29)</f>
        <v>0</v>
      </c>
      <c r="C27" s="167">
        <f>'Diesel consumption'!D24</f>
        <v>0</v>
      </c>
      <c r="D27" s="207">
        <f>'SOLAR METER READING'!D28</f>
        <v>0</v>
      </c>
      <c r="E27" s="204">
        <f>+'Gas-2'!G25</f>
        <v>0</v>
      </c>
      <c r="F27" s="167">
        <f>+WATER!V22</f>
        <v>0</v>
      </c>
      <c r="G27" s="8"/>
    </row>
    <row r="28" spans="1:7" ht="15.75" customHeight="1" x14ac:dyDescent="0.2">
      <c r="A28" s="67">
        <v>21</v>
      </c>
      <c r="B28" s="167">
        <f>SUM('GENSET #1:GENSET #5'!D30)</f>
        <v>0</v>
      </c>
      <c r="C28" s="167">
        <f>'Diesel consumption'!D25</f>
        <v>0</v>
      </c>
      <c r="D28" s="207">
        <f>'SOLAR METER READING'!D29</f>
        <v>0</v>
      </c>
      <c r="E28" s="204">
        <f>+'Gas-2'!G26</f>
        <v>0</v>
      </c>
      <c r="F28" s="167">
        <f>+WATER!V23</f>
        <v>0</v>
      </c>
      <c r="G28" s="8"/>
    </row>
    <row r="29" spans="1:7" ht="15.75" customHeight="1" x14ac:dyDescent="0.2">
      <c r="A29" s="67">
        <v>22</v>
      </c>
      <c r="B29" s="167">
        <f>SUM('GENSET #1:GENSET #5'!D31)</f>
        <v>0</v>
      </c>
      <c r="C29" s="167">
        <f>'Diesel consumption'!D26</f>
        <v>0</v>
      </c>
      <c r="D29" s="207">
        <f>'SOLAR METER READING'!D30</f>
        <v>0</v>
      </c>
      <c r="E29" s="204">
        <f>+'Gas-2'!G27</f>
        <v>0</v>
      </c>
      <c r="F29" s="167">
        <f>+WATER!V24</f>
        <v>0</v>
      </c>
      <c r="G29" s="8"/>
    </row>
    <row r="30" spans="1:7" ht="15.75" customHeight="1" x14ac:dyDescent="0.2">
      <c r="A30" s="67">
        <v>23</v>
      </c>
      <c r="B30" s="167">
        <f>SUM('GENSET #1:GENSET #5'!D32)</f>
        <v>0</v>
      </c>
      <c r="C30" s="167">
        <f>'Diesel consumption'!D27</f>
        <v>0</v>
      </c>
      <c r="D30" s="207">
        <f>'SOLAR METER READING'!D31</f>
        <v>0</v>
      </c>
      <c r="E30" s="204">
        <f>+'Gas-2'!G28</f>
        <v>0</v>
      </c>
      <c r="F30" s="167">
        <f>+WATER!V25</f>
        <v>0</v>
      </c>
      <c r="G30" s="8"/>
    </row>
    <row r="31" spans="1:7" ht="15.75" customHeight="1" x14ac:dyDescent="0.2">
      <c r="A31" s="67">
        <v>24</v>
      </c>
      <c r="B31" s="167">
        <f>SUM('GENSET #1:GENSET #5'!D33)</f>
        <v>0</v>
      </c>
      <c r="C31" s="167">
        <f>'Diesel consumption'!D28</f>
        <v>0</v>
      </c>
      <c r="D31" s="207">
        <f>'SOLAR METER READING'!D32</f>
        <v>0</v>
      </c>
      <c r="E31" s="204">
        <f>+'Gas-2'!G29</f>
        <v>0</v>
      </c>
      <c r="F31" s="167">
        <f>+WATER!V26</f>
        <v>0</v>
      </c>
      <c r="G31" s="8"/>
    </row>
    <row r="32" spans="1:7" ht="15.75" customHeight="1" x14ac:dyDescent="0.2">
      <c r="A32" s="67">
        <v>25</v>
      </c>
      <c r="B32" s="167">
        <f>SUM('GENSET #1:GENSET #5'!D34)</f>
        <v>0</v>
      </c>
      <c r="C32" s="167">
        <f>'Diesel consumption'!D29</f>
        <v>0</v>
      </c>
      <c r="D32" s="207">
        <f>'SOLAR METER READING'!D33</f>
        <v>0</v>
      </c>
      <c r="E32" s="204">
        <f>+'Gas-2'!G30</f>
        <v>0</v>
      </c>
      <c r="F32" s="167">
        <f>+WATER!V27</f>
        <v>0</v>
      </c>
      <c r="G32" s="8"/>
    </row>
    <row r="33" spans="1:11" ht="15.75" customHeight="1" x14ac:dyDescent="0.2">
      <c r="A33" s="67">
        <v>26</v>
      </c>
      <c r="B33" s="210">
        <f>SUM('GENSET #1:GENSET #5'!D35)</f>
        <v>0</v>
      </c>
      <c r="C33" s="167">
        <f>'Diesel consumption'!D30</f>
        <v>0</v>
      </c>
      <c r="D33" s="207">
        <f>'SOLAR METER READING'!D34</f>
        <v>0</v>
      </c>
      <c r="E33" s="204">
        <f>+'Gas-2'!G31</f>
        <v>0</v>
      </c>
      <c r="F33" s="167">
        <f>+WATER!V28</f>
        <v>0</v>
      </c>
      <c r="G33" s="8"/>
    </row>
    <row r="34" spans="1:11" ht="15.75" customHeight="1" x14ac:dyDescent="0.2">
      <c r="A34" s="67">
        <v>27</v>
      </c>
      <c r="B34" s="167">
        <f>SUM('GENSET #1:GENSET #5'!D36)</f>
        <v>0</v>
      </c>
      <c r="C34" s="167">
        <f>'Diesel consumption'!D31</f>
        <v>0</v>
      </c>
      <c r="D34" s="207">
        <f>'SOLAR METER READING'!D35</f>
        <v>0</v>
      </c>
      <c r="E34" s="204">
        <f>+'Gas-2'!G32</f>
        <v>0</v>
      </c>
      <c r="F34" s="167">
        <f>+WATER!V29</f>
        <v>0</v>
      </c>
      <c r="G34" s="8"/>
    </row>
    <row r="35" spans="1:11" ht="15.75" customHeight="1" x14ac:dyDescent="0.2">
      <c r="A35" s="67">
        <v>28</v>
      </c>
      <c r="B35" s="167">
        <f>SUM('GENSET #1:GENSET #5'!D37)</f>
        <v>0</v>
      </c>
      <c r="C35" s="167">
        <f>'Diesel consumption'!D32</f>
        <v>0</v>
      </c>
      <c r="D35" s="207">
        <f>'SOLAR METER READING'!D36</f>
        <v>0</v>
      </c>
      <c r="E35" s="204">
        <f>+'Gas-2'!G33</f>
        <v>0</v>
      </c>
      <c r="F35" s="167">
        <f>+WATER!V30</f>
        <v>0</v>
      </c>
      <c r="G35" s="8"/>
    </row>
    <row r="36" spans="1:11" ht="15.75" customHeight="1" x14ac:dyDescent="0.2">
      <c r="A36" s="67">
        <v>29</v>
      </c>
      <c r="B36" s="167">
        <f>SUM('GENSET #1:GENSET #5'!D38)</f>
        <v>0</v>
      </c>
      <c r="C36" s="167">
        <f>'Diesel consumption'!D33</f>
        <v>0</v>
      </c>
      <c r="D36" s="207">
        <f>'SOLAR METER READING'!D37</f>
        <v>0</v>
      </c>
      <c r="E36" s="204">
        <f>+'Gas-2'!G34</f>
        <v>0</v>
      </c>
      <c r="F36" s="167">
        <f>+WATER!V31</f>
        <v>0</v>
      </c>
      <c r="G36" s="8"/>
    </row>
    <row r="37" spans="1:11" ht="15.75" customHeight="1" x14ac:dyDescent="0.2">
      <c r="A37" s="67">
        <v>30</v>
      </c>
      <c r="B37" s="167">
        <f>SUM('GENSET #1:GENSET #5'!D39)</f>
        <v>0</v>
      </c>
      <c r="C37" s="167">
        <f>'Diesel consumption'!D34</f>
        <v>0</v>
      </c>
      <c r="D37" s="207">
        <f>'SOLAR METER READING'!D38</f>
        <v>0</v>
      </c>
      <c r="E37" s="204">
        <f>+'Gas-2'!G35</f>
        <v>0</v>
      </c>
      <c r="F37" s="167">
        <f>+WATER!V32</f>
        <v>0</v>
      </c>
      <c r="G37" s="8"/>
    </row>
    <row r="38" spans="1:11" ht="15.75" customHeight="1" x14ac:dyDescent="0.2">
      <c r="A38" s="67">
        <v>31</v>
      </c>
      <c r="B38" s="167">
        <f>SUM('GENSET #1:GENSET #5'!D40)</f>
        <v>0</v>
      </c>
      <c r="C38" s="167">
        <f>'Diesel consumption'!D35</f>
        <v>0</v>
      </c>
      <c r="D38" s="207">
        <f>'SOLAR METER READING'!D39</f>
        <v>0</v>
      </c>
      <c r="E38" s="204">
        <f>+'Gas-2'!G36</f>
        <v>0</v>
      </c>
      <c r="F38" s="7">
        <f>+WATER!V33</f>
        <v>0</v>
      </c>
      <c r="G38" s="8"/>
    </row>
    <row r="39" spans="1:11" ht="18.75" customHeight="1" thickBot="1" x14ac:dyDescent="0.25">
      <c r="A39" s="196" t="s">
        <v>7</v>
      </c>
      <c r="B39" s="202">
        <f>SUM(B8:B38)</f>
        <v>-86064450</v>
      </c>
      <c r="C39" s="202">
        <f>SUM(C8:C38)</f>
        <v>-42877600</v>
      </c>
      <c r="D39" s="202">
        <f>SUM(D8:D38)</f>
        <v>-2248317</v>
      </c>
      <c r="E39" s="209">
        <f>SUM(E8:E38)</f>
        <v>765</v>
      </c>
      <c r="F39" s="9" t="e">
        <f>SUM(F8:F38)</f>
        <v>#REF!</v>
      </c>
      <c r="K39" s="163"/>
    </row>
    <row r="40" spans="1:11" ht="13.5" thickTop="1" x14ac:dyDescent="0.2">
      <c r="E40" s="74"/>
    </row>
  </sheetData>
  <mergeCells count="2">
    <mergeCell ref="E6:F6"/>
    <mergeCell ref="A1:F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J42"/>
  <sheetViews>
    <sheetView zoomScaleNormal="100" workbookViewId="0">
      <selection activeCell="K13" sqref="K13"/>
    </sheetView>
  </sheetViews>
  <sheetFormatPr defaultRowHeight="12.75" x14ac:dyDescent="0.2"/>
  <cols>
    <col min="1" max="1" width="8.28515625" customWidth="1"/>
    <col min="2" max="3" width="13.5703125" style="18" customWidth="1"/>
    <col min="4" max="4" width="19.7109375" style="18" bestFit="1" customWidth="1"/>
    <col min="5" max="6" width="5.28515625" style="18" customWidth="1"/>
  </cols>
  <sheetData>
    <row r="1" spans="1:6" x14ac:dyDescent="0.2">
      <c r="C1" s="274" t="s">
        <v>16</v>
      </c>
      <c r="D1" s="274"/>
    </row>
    <row r="2" spans="1:6" x14ac:dyDescent="0.2">
      <c r="C2" s="274"/>
      <c r="D2" s="274"/>
    </row>
    <row r="3" spans="1:6" ht="34.5" x14ac:dyDescent="0.2">
      <c r="B3" s="19"/>
      <c r="C3" s="20" t="s">
        <v>17</v>
      </c>
      <c r="D3" s="21"/>
    </row>
    <row r="4" spans="1:6" ht="34.5" x14ac:dyDescent="0.2">
      <c r="C4" s="21"/>
      <c r="D4" s="21"/>
    </row>
    <row r="5" spans="1:6" ht="14.25" customHeight="1" x14ac:dyDescent="0.2">
      <c r="A5" s="6"/>
      <c r="B5" s="22"/>
      <c r="C5" s="23"/>
      <c r="D5" s="23"/>
    </row>
    <row r="6" spans="1:6" s="1" customFormat="1" ht="34.5" x14ac:dyDescent="0.2">
      <c r="A6" s="96">
        <v>44197</v>
      </c>
      <c r="B6" s="96"/>
      <c r="C6" s="21"/>
      <c r="D6" s="21"/>
      <c r="E6" s="24"/>
      <c r="F6" s="24"/>
    </row>
    <row r="7" spans="1:6" ht="13.5" thickBot="1" x14ac:dyDescent="0.25"/>
    <row r="8" spans="1:6" ht="15.75" customHeight="1" thickBot="1" x14ac:dyDescent="0.25">
      <c r="A8" s="1"/>
      <c r="B8" s="275" t="s">
        <v>18</v>
      </c>
      <c r="C8" s="276"/>
      <c r="D8" s="70"/>
    </row>
    <row r="9" spans="1:6" ht="26.25" customHeight="1" thickBot="1" x14ac:dyDescent="0.25">
      <c r="A9" s="26" t="s">
        <v>5</v>
      </c>
      <c r="B9" s="27" t="s">
        <v>19</v>
      </c>
      <c r="C9" s="28" t="s">
        <v>20</v>
      </c>
      <c r="D9" s="54" t="s">
        <v>35</v>
      </c>
      <c r="E9" s="29"/>
      <c r="F9" s="29"/>
    </row>
    <row r="10" spans="1:6" x14ac:dyDescent="0.2">
      <c r="A10" s="30">
        <v>1</v>
      </c>
      <c r="B10" s="94">
        <v>16755350</v>
      </c>
      <c r="C10" s="94">
        <v>16764967</v>
      </c>
      <c r="D10" s="6">
        <f>C10-B10</f>
        <v>9617</v>
      </c>
      <c r="E10" s="29"/>
      <c r="F10" s="29"/>
    </row>
    <row r="11" spans="1:6" ht="13.5" customHeight="1" x14ac:dyDescent="0.2">
      <c r="A11" s="30">
        <v>2</v>
      </c>
      <c r="B11" s="31">
        <f t="shared" ref="B11:B37" si="0">C10</f>
        <v>16764967</v>
      </c>
      <c r="C11" s="94">
        <v>16765707</v>
      </c>
      <c r="D11" s="6">
        <f t="shared" ref="D11:D37" si="1">C11-B11</f>
        <v>740</v>
      </c>
      <c r="E11" s="34"/>
      <c r="F11" s="34"/>
    </row>
    <row r="12" spans="1:6" ht="13.5" customHeight="1" x14ac:dyDescent="0.2">
      <c r="A12" s="30">
        <v>3</v>
      </c>
      <c r="B12" s="33">
        <f t="shared" si="0"/>
        <v>16765707</v>
      </c>
      <c r="C12" s="94">
        <v>16775295</v>
      </c>
      <c r="D12" s="6">
        <f t="shared" si="1"/>
        <v>9588</v>
      </c>
      <c r="E12" s="34"/>
      <c r="F12" s="34"/>
    </row>
    <row r="13" spans="1:6" ht="13.5" customHeight="1" x14ac:dyDescent="0.2">
      <c r="A13" s="30">
        <v>4</v>
      </c>
      <c r="B13" s="33">
        <f t="shared" si="0"/>
        <v>16775295</v>
      </c>
      <c r="C13" s="94">
        <v>16782241</v>
      </c>
      <c r="D13" s="6">
        <f t="shared" si="1"/>
        <v>6946</v>
      </c>
      <c r="E13" s="34"/>
      <c r="F13" s="34"/>
    </row>
    <row r="14" spans="1:6" ht="13.5" customHeight="1" x14ac:dyDescent="0.2">
      <c r="A14" s="30">
        <v>5</v>
      </c>
      <c r="B14" s="33">
        <f t="shared" si="0"/>
        <v>16782241</v>
      </c>
      <c r="C14" s="94"/>
      <c r="D14" s="6">
        <f t="shared" si="1"/>
        <v>-16782241</v>
      </c>
      <c r="E14" s="34"/>
      <c r="F14" s="34"/>
    </row>
    <row r="15" spans="1:6" ht="13.5" customHeight="1" x14ac:dyDescent="0.2">
      <c r="A15" s="30">
        <v>6</v>
      </c>
      <c r="B15" s="33">
        <f t="shared" si="0"/>
        <v>0</v>
      </c>
      <c r="C15" s="94"/>
      <c r="D15" s="6">
        <f>C15-B15</f>
        <v>0</v>
      </c>
      <c r="E15" s="34"/>
      <c r="F15" s="34"/>
    </row>
    <row r="16" spans="1:6" ht="13.5" customHeight="1" x14ac:dyDescent="0.2">
      <c r="A16" s="30">
        <v>7</v>
      </c>
      <c r="B16" s="33">
        <f t="shared" si="0"/>
        <v>0</v>
      </c>
      <c r="C16" s="94"/>
      <c r="D16" s="6">
        <f t="shared" si="1"/>
        <v>0</v>
      </c>
      <c r="E16" s="34"/>
      <c r="F16" s="34"/>
    </row>
    <row r="17" spans="1:6" ht="13.5" customHeight="1" x14ac:dyDescent="0.2">
      <c r="A17" s="30">
        <v>8</v>
      </c>
      <c r="B17" s="33">
        <f t="shared" si="0"/>
        <v>0</v>
      </c>
      <c r="C17" s="94"/>
      <c r="D17" s="6">
        <f t="shared" si="1"/>
        <v>0</v>
      </c>
      <c r="E17" s="34"/>
      <c r="F17" s="34"/>
    </row>
    <row r="18" spans="1:6" ht="13.5" customHeight="1" x14ac:dyDescent="0.2">
      <c r="A18" s="30">
        <v>9</v>
      </c>
      <c r="B18" s="33">
        <f t="shared" si="0"/>
        <v>0</v>
      </c>
      <c r="C18" s="94"/>
      <c r="D18" s="6">
        <f t="shared" si="1"/>
        <v>0</v>
      </c>
      <c r="E18" s="34"/>
      <c r="F18" s="34"/>
    </row>
    <row r="19" spans="1:6" ht="13.5" customHeight="1" x14ac:dyDescent="0.2">
      <c r="A19" s="30">
        <v>10</v>
      </c>
      <c r="B19" s="33">
        <f t="shared" si="0"/>
        <v>0</v>
      </c>
      <c r="C19" s="94"/>
      <c r="D19" s="6">
        <f t="shared" si="1"/>
        <v>0</v>
      </c>
      <c r="E19" s="34"/>
      <c r="F19" s="34"/>
    </row>
    <row r="20" spans="1:6" ht="13.5" customHeight="1" x14ac:dyDescent="0.2">
      <c r="A20" s="30">
        <v>11</v>
      </c>
      <c r="B20" s="33">
        <f t="shared" si="0"/>
        <v>0</v>
      </c>
      <c r="C20" s="94"/>
      <c r="D20" s="6">
        <f t="shared" si="1"/>
        <v>0</v>
      </c>
      <c r="E20" s="34"/>
      <c r="F20" s="34"/>
    </row>
    <row r="21" spans="1:6" ht="13.5" customHeight="1" x14ac:dyDescent="0.2">
      <c r="A21" s="30">
        <v>12</v>
      </c>
      <c r="B21" s="33">
        <f t="shared" si="0"/>
        <v>0</v>
      </c>
      <c r="C21" s="94"/>
      <c r="D21" s="6">
        <f t="shared" si="1"/>
        <v>0</v>
      </c>
      <c r="E21" s="34"/>
      <c r="F21" s="34"/>
    </row>
    <row r="22" spans="1:6" ht="13.5" customHeight="1" x14ac:dyDescent="0.2">
      <c r="A22" s="30">
        <v>13</v>
      </c>
      <c r="B22" s="33">
        <f t="shared" si="0"/>
        <v>0</v>
      </c>
      <c r="C22" s="94"/>
      <c r="D22" s="6">
        <f t="shared" si="1"/>
        <v>0</v>
      </c>
      <c r="E22" s="34"/>
      <c r="F22" s="34"/>
    </row>
    <row r="23" spans="1:6" ht="13.5" customHeight="1" x14ac:dyDescent="0.2">
      <c r="A23" s="30">
        <v>14</v>
      </c>
      <c r="B23" s="33">
        <f t="shared" si="0"/>
        <v>0</v>
      </c>
      <c r="C23" s="94"/>
      <c r="D23" s="6">
        <f t="shared" si="1"/>
        <v>0</v>
      </c>
      <c r="E23" s="34"/>
      <c r="F23" s="34"/>
    </row>
    <row r="24" spans="1:6" ht="13.5" customHeight="1" x14ac:dyDescent="0.2">
      <c r="A24" s="30">
        <v>15</v>
      </c>
      <c r="B24" s="33">
        <f t="shared" si="0"/>
        <v>0</v>
      </c>
      <c r="C24" s="94"/>
      <c r="D24" s="6">
        <f t="shared" si="1"/>
        <v>0</v>
      </c>
      <c r="E24" s="34"/>
      <c r="F24" s="34"/>
    </row>
    <row r="25" spans="1:6" ht="13.5" customHeight="1" x14ac:dyDescent="0.2">
      <c r="A25" s="30">
        <v>16</v>
      </c>
      <c r="B25" s="33">
        <f t="shared" si="0"/>
        <v>0</v>
      </c>
      <c r="C25" s="94"/>
      <c r="D25" s="6">
        <f t="shared" si="1"/>
        <v>0</v>
      </c>
      <c r="E25" s="34"/>
      <c r="F25" s="34"/>
    </row>
    <row r="26" spans="1:6" ht="13.5" customHeight="1" x14ac:dyDescent="0.2">
      <c r="A26" s="30">
        <v>17</v>
      </c>
      <c r="B26" s="33">
        <f t="shared" si="0"/>
        <v>0</v>
      </c>
      <c r="C26" s="94"/>
      <c r="D26" s="6">
        <f t="shared" si="1"/>
        <v>0</v>
      </c>
      <c r="E26" s="34"/>
      <c r="F26" s="34"/>
    </row>
    <row r="27" spans="1:6" ht="13.5" customHeight="1" x14ac:dyDescent="0.2">
      <c r="A27" s="30">
        <v>18</v>
      </c>
      <c r="B27" s="33">
        <f t="shared" si="0"/>
        <v>0</v>
      </c>
      <c r="C27" s="94"/>
      <c r="D27" s="6">
        <f t="shared" si="1"/>
        <v>0</v>
      </c>
      <c r="E27" s="34"/>
      <c r="F27" s="34"/>
    </row>
    <row r="28" spans="1:6" ht="13.5" customHeight="1" x14ac:dyDescent="0.2">
      <c r="A28" s="30">
        <v>19</v>
      </c>
      <c r="B28" s="33">
        <f t="shared" si="0"/>
        <v>0</v>
      </c>
      <c r="C28" s="94"/>
      <c r="D28" s="6">
        <f t="shared" si="1"/>
        <v>0</v>
      </c>
      <c r="E28" s="34"/>
      <c r="F28" s="34"/>
    </row>
    <row r="29" spans="1:6" ht="13.5" customHeight="1" x14ac:dyDescent="0.2">
      <c r="A29" s="30">
        <v>20</v>
      </c>
      <c r="B29" s="33">
        <f t="shared" si="0"/>
        <v>0</v>
      </c>
      <c r="C29" s="94"/>
      <c r="D29" s="6">
        <f>C29-B29</f>
        <v>0</v>
      </c>
      <c r="E29" s="34"/>
      <c r="F29" s="34"/>
    </row>
    <row r="30" spans="1:6" ht="13.5" customHeight="1" x14ac:dyDescent="0.2">
      <c r="A30" s="30">
        <v>21</v>
      </c>
      <c r="B30" s="33">
        <f t="shared" si="0"/>
        <v>0</v>
      </c>
      <c r="C30" s="94"/>
      <c r="D30" s="6">
        <f t="shared" si="1"/>
        <v>0</v>
      </c>
      <c r="E30" s="34"/>
      <c r="F30" s="34"/>
    </row>
    <row r="31" spans="1:6" ht="13.5" customHeight="1" x14ac:dyDescent="0.2">
      <c r="A31" s="30">
        <v>22</v>
      </c>
      <c r="B31" s="33">
        <f t="shared" si="0"/>
        <v>0</v>
      </c>
      <c r="C31" s="94"/>
      <c r="D31" s="6">
        <f t="shared" si="1"/>
        <v>0</v>
      </c>
      <c r="E31" s="34"/>
      <c r="F31" s="34"/>
    </row>
    <row r="32" spans="1:6" ht="13.5" customHeight="1" x14ac:dyDescent="0.2">
      <c r="A32" s="30">
        <v>23</v>
      </c>
      <c r="B32" s="33">
        <f t="shared" si="0"/>
        <v>0</v>
      </c>
      <c r="C32" s="94"/>
      <c r="D32" s="6">
        <f t="shared" si="1"/>
        <v>0</v>
      </c>
      <c r="E32" s="35"/>
      <c r="F32" s="34"/>
    </row>
    <row r="33" spans="1:10" ht="13.5" customHeight="1" x14ac:dyDescent="0.2">
      <c r="A33" s="30">
        <v>24</v>
      </c>
      <c r="B33" s="33">
        <f t="shared" si="0"/>
        <v>0</v>
      </c>
      <c r="C33" s="94"/>
      <c r="D33" s="6">
        <f t="shared" si="1"/>
        <v>0</v>
      </c>
      <c r="E33" s="35"/>
      <c r="F33" s="34"/>
    </row>
    <row r="34" spans="1:10" ht="13.5" customHeight="1" x14ac:dyDescent="0.2">
      <c r="A34" s="30">
        <v>25</v>
      </c>
      <c r="B34" s="33">
        <f t="shared" si="0"/>
        <v>0</v>
      </c>
      <c r="C34" s="147"/>
      <c r="D34" s="6">
        <f>C34-B34</f>
        <v>0</v>
      </c>
      <c r="E34" s="35"/>
      <c r="F34" s="34"/>
    </row>
    <row r="35" spans="1:10" s="188" customFormat="1" ht="13.5" customHeight="1" x14ac:dyDescent="0.2">
      <c r="A35" s="184">
        <v>26</v>
      </c>
      <c r="B35" s="185">
        <f t="shared" si="0"/>
        <v>0</v>
      </c>
      <c r="C35" s="181"/>
      <c r="D35" s="182">
        <f t="shared" si="1"/>
        <v>0</v>
      </c>
      <c r="E35" s="186"/>
      <c r="F35" s="187"/>
    </row>
    <row r="36" spans="1:10" ht="13.5" customHeight="1" x14ac:dyDescent="0.2">
      <c r="A36" s="30">
        <v>27</v>
      </c>
      <c r="B36" s="33">
        <f t="shared" si="0"/>
        <v>0</v>
      </c>
      <c r="C36" s="94"/>
      <c r="D36" s="6">
        <f t="shared" si="1"/>
        <v>0</v>
      </c>
      <c r="E36" s="35"/>
      <c r="F36" s="34"/>
    </row>
    <row r="37" spans="1:10" ht="13.5" customHeight="1" x14ac:dyDescent="0.2">
      <c r="A37" s="30">
        <v>28</v>
      </c>
      <c r="B37" s="33">
        <f t="shared" si="0"/>
        <v>0</v>
      </c>
      <c r="C37" s="94"/>
      <c r="D37" s="6">
        <f t="shared" si="1"/>
        <v>0</v>
      </c>
      <c r="E37" s="35"/>
      <c r="F37" s="34"/>
    </row>
    <row r="38" spans="1:10" ht="13.5" customHeight="1" x14ac:dyDescent="0.2">
      <c r="A38" s="30">
        <v>29</v>
      </c>
      <c r="B38" s="33">
        <f t="shared" ref="B38" si="2">C37</f>
        <v>0</v>
      </c>
      <c r="C38" s="94"/>
      <c r="D38" s="6">
        <f>C38-B38</f>
        <v>0</v>
      </c>
      <c r="E38" s="35"/>
      <c r="F38" s="34"/>
    </row>
    <row r="39" spans="1:10" ht="13.5" customHeight="1" x14ac:dyDescent="0.2">
      <c r="A39" s="30">
        <v>30</v>
      </c>
      <c r="B39" s="33">
        <f>C38</f>
        <v>0</v>
      </c>
      <c r="C39" s="94"/>
      <c r="D39" s="6">
        <f>C39-B39</f>
        <v>0</v>
      </c>
      <c r="E39" s="35"/>
      <c r="F39" s="34"/>
      <c r="G39" s="36" t="s">
        <v>21</v>
      </c>
      <c r="H39" s="37"/>
      <c r="I39" s="37"/>
      <c r="J39" s="37"/>
    </row>
    <row r="40" spans="1:10" ht="13.5" customHeight="1" x14ac:dyDescent="0.2">
      <c r="A40" s="30">
        <v>31</v>
      </c>
      <c r="B40" s="33">
        <f>C39</f>
        <v>0</v>
      </c>
      <c r="C40" s="94"/>
      <c r="D40" s="6">
        <f>C40-B40</f>
        <v>0</v>
      </c>
      <c r="E40" s="35"/>
      <c r="F40" s="34"/>
      <c r="G40" s="36"/>
      <c r="H40" s="37"/>
      <c r="I40" s="37"/>
      <c r="J40" s="37"/>
    </row>
    <row r="41" spans="1:10" ht="13.5" thickBot="1" x14ac:dyDescent="0.25">
      <c r="A41" t="s">
        <v>7</v>
      </c>
      <c r="D41" s="39">
        <f>SUM(D10:D40)</f>
        <v>-16755350</v>
      </c>
      <c r="G41" s="36" t="s">
        <v>22</v>
      </c>
      <c r="H41" s="40"/>
      <c r="I41" s="40"/>
      <c r="J41" s="40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42"/>
  <sheetViews>
    <sheetView topLeftCell="A3" workbookViewId="0">
      <selection activeCell="C14" sqref="C14"/>
    </sheetView>
  </sheetViews>
  <sheetFormatPr defaultRowHeight="12.75" x14ac:dyDescent="0.2"/>
  <cols>
    <col min="1" max="1" width="9.85546875" customWidth="1"/>
    <col min="2" max="3" width="13.5703125" style="18" customWidth="1"/>
    <col min="4" max="4" width="16.140625" style="18" customWidth="1"/>
    <col min="5" max="5" width="5.28515625" style="18" customWidth="1"/>
    <col min="7" max="7" width="13.42578125" customWidth="1"/>
  </cols>
  <sheetData>
    <row r="1" spans="1:7" x14ac:dyDescent="0.2">
      <c r="C1" s="274" t="s">
        <v>23</v>
      </c>
      <c r="D1" s="274"/>
    </row>
    <row r="2" spans="1:7" x14ac:dyDescent="0.2">
      <c r="C2" s="274"/>
      <c r="D2" s="274"/>
    </row>
    <row r="3" spans="1:7" ht="34.5" x14ac:dyDescent="0.2">
      <c r="B3" s="19"/>
      <c r="C3" s="20" t="s">
        <v>24</v>
      </c>
      <c r="D3" s="21"/>
    </row>
    <row r="4" spans="1:7" ht="34.5" x14ac:dyDescent="0.2">
      <c r="C4" s="21"/>
      <c r="D4" s="21"/>
    </row>
    <row r="5" spans="1:7" ht="14.25" customHeight="1" x14ac:dyDescent="0.2">
      <c r="A5" s="6"/>
      <c r="B5" s="22"/>
      <c r="C5" s="23"/>
      <c r="D5" s="23"/>
    </row>
    <row r="6" spans="1:7" s="1" customFormat="1" ht="34.5" x14ac:dyDescent="0.2">
      <c r="A6" s="96">
        <v>44197</v>
      </c>
      <c r="B6" s="4"/>
      <c r="C6" s="21"/>
      <c r="D6" s="21"/>
      <c r="E6" s="24"/>
    </row>
    <row r="7" spans="1:7" ht="13.5" thickBot="1" x14ac:dyDescent="0.25"/>
    <row r="8" spans="1:7" ht="15.75" customHeight="1" thickBot="1" x14ac:dyDescent="0.25">
      <c r="A8" s="1"/>
      <c r="B8" s="275" t="s">
        <v>25</v>
      </c>
      <c r="C8" s="277"/>
      <c r="D8" s="25"/>
    </row>
    <row r="9" spans="1:7" ht="38.25" x14ac:dyDescent="0.2">
      <c r="A9" s="41" t="s">
        <v>5</v>
      </c>
      <c r="B9" s="42" t="s">
        <v>19</v>
      </c>
      <c r="C9" s="43" t="s">
        <v>20</v>
      </c>
      <c r="D9" s="54" t="s">
        <v>29</v>
      </c>
      <c r="E9" s="29"/>
      <c r="F9" s="44"/>
      <c r="G9" s="44"/>
    </row>
    <row r="10" spans="1:7" x14ac:dyDescent="0.2">
      <c r="A10" s="45">
        <v>1</v>
      </c>
      <c r="B10" s="94">
        <v>28298713</v>
      </c>
      <c r="C10" s="94">
        <v>28300234</v>
      </c>
      <c r="D10" s="6">
        <f>C10-B10</f>
        <v>1521</v>
      </c>
      <c r="E10" s="29"/>
      <c r="F10" s="44"/>
      <c r="G10" s="44"/>
    </row>
    <row r="11" spans="1:7" ht="13.5" customHeight="1" x14ac:dyDescent="0.2">
      <c r="A11" s="45">
        <v>2</v>
      </c>
      <c r="B11" s="33">
        <f>C10</f>
        <v>28300234</v>
      </c>
      <c r="C11" s="94">
        <v>28317766</v>
      </c>
      <c r="D11" s="6">
        <f t="shared" ref="D11:D40" si="0">C11-B11</f>
        <v>17532</v>
      </c>
      <c r="E11" s="34"/>
      <c r="F11" s="46"/>
      <c r="G11" s="47"/>
    </row>
    <row r="12" spans="1:7" ht="13.5" customHeight="1" x14ac:dyDescent="0.2">
      <c r="A12" s="45">
        <v>3</v>
      </c>
      <c r="B12" s="33">
        <f t="shared" ref="B12:B38" si="1">C11</f>
        <v>28317766</v>
      </c>
      <c r="C12" s="94">
        <v>28320930</v>
      </c>
      <c r="D12" s="6">
        <f t="shared" si="0"/>
        <v>3164</v>
      </c>
      <c r="E12" s="34"/>
      <c r="F12" s="46"/>
      <c r="G12" s="47"/>
    </row>
    <row r="13" spans="1:7" ht="13.5" customHeight="1" x14ac:dyDescent="0.2">
      <c r="A13" s="45">
        <v>4</v>
      </c>
      <c r="B13" s="33">
        <f t="shared" si="1"/>
        <v>28320930</v>
      </c>
      <c r="C13" s="94">
        <v>28333897</v>
      </c>
      <c r="D13" s="6">
        <f t="shared" si="0"/>
        <v>12967</v>
      </c>
      <c r="E13" s="34"/>
      <c r="F13" s="47"/>
      <c r="G13" s="47"/>
    </row>
    <row r="14" spans="1:7" ht="13.5" customHeight="1" x14ac:dyDescent="0.2">
      <c r="A14" s="45">
        <v>5</v>
      </c>
      <c r="B14" s="33">
        <f t="shared" si="1"/>
        <v>28333897</v>
      </c>
      <c r="C14" s="94"/>
      <c r="D14" s="6">
        <f t="shared" si="0"/>
        <v>-28333897</v>
      </c>
      <c r="E14" s="34"/>
      <c r="F14" s="47"/>
      <c r="G14" s="47"/>
    </row>
    <row r="15" spans="1:7" ht="13.5" customHeight="1" x14ac:dyDescent="0.2">
      <c r="A15" s="45">
        <v>6</v>
      </c>
      <c r="B15" s="33">
        <f t="shared" si="1"/>
        <v>0</v>
      </c>
      <c r="C15" s="94"/>
      <c r="D15" s="6">
        <f t="shared" si="0"/>
        <v>0</v>
      </c>
      <c r="E15" s="34"/>
      <c r="F15" s="47"/>
      <c r="G15" s="47"/>
    </row>
    <row r="16" spans="1:7" ht="13.5" customHeight="1" x14ac:dyDescent="0.2">
      <c r="A16" s="45">
        <v>7</v>
      </c>
      <c r="B16" s="33">
        <f t="shared" si="1"/>
        <v>0</v>
      </c>
      <c r="C16" s="94"/>
      <c r="D16" s="6">
        <f t="shared" si="0"/>
        <v>0</v>
      </c>
      <c r="E16" s="34"/>
      <c r="F16" s="47"/>
      <c r="G16" s="47"/>
    </row>
    <row r="17" spans="1:7" ht="13.5" customHeight="1" x14ac:dyDescent="0.2">
      <c r="A17" s="45">
        <v>8</v>
      </c>
      <c r="B17" s="33">
        <f t="shared" si="1"/>
        <v>0</v>
      </c>
      <c r="C17" s="94"/>
      <c r="D17" s="6">
        <f t="shared" si="0"/>
        <v>0</v>
      </c>
      <c r="E17" s="34"/>
      <c r="F17" s="47"/>
      <c r="G17" s="47"/>
    </row>
    <row r="18" spans="1:7" ht="13.5" customHeight="1" x14ac:dyDescent="0.2">
      <c r="A18" s="45">
        <v>9</v>
      </c>
      <c r="B18" s="33">
        <f t="shared" si="1"/>
        <v>0</v>
      </c>
      <c r="C18" s="94"/>
      <c r="D18" s="6">
        <f t="shared" si="0"/>
        <v>0</v>
      </c>
      <c r="E18" s="34"/>
      <c r="F18" s="47"/>
      <c r="G18" s="47"/>
    </row>
    <row r="19" spans="1:7" ht="13.5" customHeight="1" x14ac:dyDescent="0.2">
      <c r="A19" s="45">
        <v>10</v>
      </c>
      <c r="B19" s="33">
        <f t="shared" si="1"/>
        <v>0</v>
      </c>
      <c r="C19" s="94"/>
      <c r="D19" s="6">
        <f t="shared" si="0"/>
        <v>0</v>
      </c>
      <c r="E19" s="34"/>
      <c r="F19" s="47"/>
      <c r="G19" s="47"/>
    </row>
    <row r="20" spans="1:7" ht="13.5" customHeight="1" x14ac:dyDescent="0.2">
      <c r="A20" s="45">
        <v>11</v>
      </c>
      <c r="B20" s="33">
        <f t="shared" si="1"/>
        <v>0</v>
      </c>
      <c r="C20" s="94"/>
      <c r="D20" s="6">
        <f t="shared" si="0"/>
        <v>0</v>
      </c>
      <c r="E20" s="34"/>
      <c r="F20" s="47"/>
      <c r="G20" s="47"/>
    </row>
    <row r="21" spans="1:7" ht="13.5" customHeight="1" x14ac:dyDescent="0.2">
      <c r="A21" s="45">
        <v>12</v>
      </c>
      <c r="B21" s="33">
        <f t="shared" si="1"/>
        <v>0</v>
      </c>
      <c r="C21" s="94"/>
      <c r="D21" s="6">
        <f t="shared" si="0"/>
        <v>0</v>
      </c>
      <c r="E21" s="34"/>
      <c r="F21" s="47"/>
      <c r="G21" s="47"/>
    </row>
    <row r="22" spans="1:7" ht="13.5" customHeight="1" x14ac:dyDescent="0.2">
      <c r="A22" s="45">
        <v>13</v>
      </c>
      <c r="B22" s="33">
        <f t="shared" si="1"/>
        <v>0</v>
      </c>
      <c r="C22" s="94"/>
      <c r="D22" s="6">
        <f t="shared" si="0"/>
        <v>0</v>
      </c>
      <c r="E22" s="34"/>
      <c r="F22" s="47"/>
      <c r="G22" s="47"/>
    </row>
    <row r="23" spans="1:7" ht="13.5" customHeight="1" x14ac:dyDescent="0.2">
      <c r="A23" s="45">
        <v>14</v>
      </c>
      <c r="B23" s="33">
        <f t="shared" si="1"/>
        <v>0</v>
      </c>
      <c r="C23" s="94"/>
      <c r="D23" s="6">
        <f t="shared" si="0"/>
        <v>0</v>
      </c>
      <c r="E23" s="34"/>
      <c r="F23" s="47"/>
      <c r="G23" s="47"/>
    </row>
    <row r="24" spans="1:7" ht="13.5" customHeight="1" x14ac:dyDescent="0.2">
      <c r="A24" s="45">
        <v>15</v>
      </c>
      <c r="B24" s="33">
        <f t="shared" si="1"/>
        <v>0</v>
      </c>
      <c r="C24" s="94"/>
      <c r="D24" s="6">
        <f t="shared" si="0"/>
        <v>0</v>
      </c>
      <c r="E24" s="34"/>
      <c r="F24" s="47"/>
      <c r="G24" s="47"/>
    </row>
    <row r="25" spans="1:7" ht="13.5" customHeight="1" x14ac:dyDescent="0.2">
      <c r="A25" s="45">
        <v>16</v>
      </c>
      <c r="B25" s="33">
        <f t="shared" si="1"/>
        <v>0</v>
      </c>
      <c r="C25" s="94"/>
      <c r="D25" s="6">
        <f t="shared" si="0"/>
        <v>0</v>
      </c>
      <c r="E25" s="34"/>
      <c r="F25" s="47"/>
      <c r="G25" s="47"/>
    </row>
    <row r="26" spans="1:7" ht="13.5" customHeight="1" x14ac:dyDescent="0.2">
      <c r="A26" s="45">
        <v>17</v>
      </c>
      <c r="B26" s="33">
        <f t="shared" si="1"/>
        <v>0</v>
      </c>
      <c r="C26" s="94"/>
      <c r="D26" s="6">
        <f t="shared" si="0"/>
        <v>0</v>
      </c>
      <c r="E26" s="34"/>
      <c r="F26" s="47"/>
      <c r="G26" s="47"/>
    </row>
    <row r="27" spans="1:7" ht="13.5" customHeight="1" x14ac:dyDescent="0.2">
      <c r="A27" s="45">
        <v>18</v>
      </c>
      <c r="B27" s="33">
        <f t="shared" si="1"/>
        <v>0</v>
      </c>
      <c r="C27" s="94"/>
      <c r="D27" s="6">
        <f t="shared" si="0"/>
        <v>0</v>
      </c>
      <c r="E27" s="34"/>
      <c r="F27" s="47"/>
      <c r="G27" s="47"/>
    </row>
    <row r="28" spans="1:7" ht="13.5" customHeight="1" x14ac:dyDescent="0.2">
      <c r="A28" s="45">
        <v>19</v>
      </c>
      <c r="B28" s="33">
        <f t="shared" si="1"/>
        <v>0</v>
      </c>
      <c r="C28" s="94"/>
      <c r="D28" s="6">
        <f t="shared" si="0"/>
        <v>0</v>
      </c>
      <c r="E28" s="34"/>
      <c r="F28" s="47"/>
      <c r="G28" s="47"/>
    </row>
    <row r="29" spans="1:7" ht="13.5" customHeight="1" x14ac:dyDescent="0.2">
      <c r="A29" s="45">
        <v>20</v>
      </c>
      <c r="B29" s="33">
        <f t="shared" si="1"/>
        <v>0</v>
      </c>
      <c r="C29" s="94"/>
      <c r="D29" s="6">
        <f t="shared" si="0"/>
        <v>0</v>
      </c>
      <c r="E29" s="34"/>
      <c r="F29" s="47"/>
      <c r="G29" s="47"/>
    </row>
    <row r="30" spans="1:7" ht="13.5" customHeight="1" x14ac:dyDescent="0.2">
      <c r="A30" s="45">
        <v>21</v>
      </c>
      <c r="B30" s="33">
        <f t="shared" si="1"/>
        <v>0</v>
      </c>
      <c r="C30" s="94"/>
      <c r="D30" s="6">
        <f t="shared" si="0"/>
        <v>0</v>
      </c>
      <c r="E30" s="34"/>
      <c r="F30" s="47"/>
      <c r="G30" s="47"/>
    </row>
    <row r="31" spans="1:7" ht="13.5" customHeight="1" x14ac:dyDescent="0.2">
      <c r="A31" s="45">
        <v>22</v>
      </c>
      <c r="B31" s="33">
        <f t="shared" si="1"/>
        <v>0</v>
      </c>
      <c r="C31" s="94"/>
      <c r="D31" s="6">
        <f t="shared" si="0"/>
        <v>0</v>
      </c>
      <c r="E31" s="34"/>
      <c r="F31" s="47"/>
      <c r="G31" s="47"/>
    </row>
    <row r="32" spans="1:7" ht="13.5" customHeight="1" x14ac:dyDescent="0.2">
      <c r="A32" s="45">
        <v>23</v>
      </c>
      <c r="B32" s="33">
        <f t="shared" si="1"/>
        <v>0</v>
      </c>
      <c r="C32" s="94"/>
      <c r="D32" s="6">
        <f t="shared" si="0"/>
        <v>0</v>
      </c>
      <c r="E32" s="35"/>
      <c r="F32" s="47"/>
      <c r="G32" s="47"/>
    </row>
    <row r="33" spans="1:7" ht="13.5" customHeight="1" x14ac:dyDescent="0.2">
      <c r="A33" s="45">
        <v>24</v>
      </c>
      <c r="B33" s="33">
        <f t="shared" si="1"/>
        <v>0</v>
      </c>
      <c r="C33" s="94"/>
      <c r="D33" s="6">
        <f t="shared" si="0"/>
        <v>0</v>
      </c>
      <c r="E33" s="35"/>
      <c r="F33" s="47"/>
      <c r="G33" s="47"/>
    </row>
    <row r="34" spans="1:7" ht="13.5" customHeight="1" x14ac:dyDescent="0.2">
      <c r="A34" s="45">
        <v>25</v>
      </c>
      <c r="B34" s="33">
        <f t="shared" si="1"/>
        <v>0</v>
      </c>
      <c r="C34" s="94"/>
      <c r="D34" s="6">
        <f t="shared" si="0"/>
        <v>0</v>
      </c>
      <c r="E34" s="35"/>
      <c r="F34" s="47"/>
      <c r="G34" s="47"/>
    </row>
    <row r="35" spans="1:7" s="188" customFormat="1" ht="13.5" customHeight="1" x14ac:dyDescent="0.2">
      <c r="A35" s="189">
        <v>26</v>
      </c>
      <c r="B35" s="185">
        <f t="shared" si="1"/>
        <v>0</v>
      </c>
      <c r="C35" s="181"/>
      <c r="D35" s="182">
        <f t="shared" si="0"/>
        <v>0</v>
      </c>
      <c r="E35" s="186"/>
      <c r="F35" s="190"/>
      <c r="G35" s="190"/>
    </row>
    <row r="36" spans="1:7" ht="13.5" customHeight="1" x14ac:dyDescent="0.2">
      <c r="A36" s="45">
        <v>27</v>
      </c>
      <c r="B36" s="33">
        <f t="shared" si="1"/>
        <v>0</v>
      </c>
      <c r="C36" s="94"/>
      <c r="D36" s="6">
        <f t="shared" si="0"/>
        <v>0</v>
      </c>
      <c r="E36" s="48"/>
      <c r="F36" s="47"/>
      <c r="G36" s="47"/>
    </row>
    <row r="37" spans="1:7" ht="13.5" customHeight="1" x14ac:dyDescent="0.2">
      <c r="A37" s="45">
        <v>28</v>
      </c>
      <c r="B37" s="33">
        <f t="shared" si="1"/>
        <v>0</v>
      </c>
      <c r="C37" s="94"/>
      <c r="D37" s="6">
        <f t="shared" si="0"/>
        <v>0</v>
      </c>
      <c r="E37" s="48"/>
      <c r="F37" s="47"/>
      <c r="G37" s="47"/>
    </row>
    <row r="38" spans="1:7" ht="13.5" customHeight="1" x14ac:dyDescent="0.2">
      <c r="A38" s="45">
        <v>29</v>
      </c>
      <c r="B38" s="33">
        <f t="shared" si="1"/>
        <v>0</v>
      </c>
      <c r="C38" s="94"/>
      <c r="D38" s="6">
        <f t="shared" si="0"/>
        <v>0</v>
      </c>
      <c r="E38" s="48"/>
      <c r="F38" s="47"/>
      <c r="G38" s="47"/>
    </row>
    <row r="39" spans="1:7" ht="13.5" customHeight="1" x14ac:dyDescent="0.2">
      <c r="A39" s="45">
        <v>30</v>
      </c>
      <c r="B39" s="33">
        <f>C38</f>
        <v>0</v>
      </c>
      <c r="C39" s="94"/>
      <c r="D39" s="6">
        <f t="shared" si="0"/>
        <v>0</v>
      </c>
      <c r="E39" s="48"/>
      <c r="F39" s="47"/>
      <c r="G39" s="47"/>
    </row>
    <row r="40" spans="1:7" ht="13.5" customHeight="1" x14ac:dyDescent="0.2">
      <c r="A40" s="45">
        <v>31</v>
      </c>
      <c r="B40" s="33">
        <f>C39</f>
        <v>0</v>
      </c>
      <c r="C40" s="94"/>
      <c r="D40" s="6">
        <f t="shared" si="0"/>
        <v>0</v>
      </c>
      <c r="E40" s="48"/>
      <c r="F40" s="47"/>
      <c r="G40" s="47"/>
    </row>
    <row r="41" spans="1:7" ht="13.5" thickBot="1" x14ac:dyDescent="0.25">
      <c r="A41" t="s">
        <v>7</v>
      </c>
      <c r="D41" s="49">
        <f>SUM(D10:D40)</f>
        <v>-28298713</v>
      </c>
      <c r="F41" s="44"/>
      <c r="G41" s="44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43"/>
  <sheetViews>
    <sheetView workbookViewId="0">
      <selection activeCell="C14" sqref="C14"/>
    </sheetView>
  </sheetViews>
  <sheetFormatPr defaultRowHeight="12.75" x14ac:dyDescent="0.2"/>
  <cols>
    <col min="1" max="1" width="7.7109375" customWidth="1"/>
    <col min="2" max="3" width="13.5703125" style="18" customWidth="1"/>
    <col min="4" max="4" width="16.140625" style="18" customWidth="1"/>
    <col min="5" max="5" width="5.28515625" style="18" customWidth="1"/>
    <col min="6" max="6" width="9.140625" customWidth="1"/>
  </cols>
  <sheetData>
    <row r="1" spans="1:5" ht="20.25" x14ac:dyDescent="0.2">
      <c r="C1" s="50" t="s">
        <v>26</v>
      </c>
      <c r="D1" s="50"/>
    </row>
    <row r="2" spans="1:5" ht="20.25" x14ac:dyDescent="0.2">
      <c r="C2" s="50"/>
      <c r="D2" s="50"/>
    </row>
    <row r="3" spans="1:5" ht="34.5" x14ac:dyDescent="0.2">
      <c r="B3" s="19"/>
      <c r="C3" s="20" t="s">
        <v>27</v>
      </c>
      <c r="D3" s="21"/>
    </row>
    <row r="4" spans="1:5" ht="12.75" customHeight="1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ht="12.75" customHeight="1" x14ac:dyDescent="0.2">
      <c r="A6" s="96">
        <v>44197</v>
      </c>
      <c r="B6" s="51"/>
      <c r="D6" s="21"/>
    </row>
    <row r="7" spans="1:5" ht="12.75" customHeight="1" thickBot="1" x14ac:dyDescent="0.25"/>
    <row r="8" spans="1:5" ht="12.75" customHeight="1" thickBot="1" x14ac:dyDescent="0.25">
      <c r="A8" s="1"/>
      <c r="B8" s="52" t="s">
        <v>28</v>
      </c>
      <c r="C8" s="53"/>
      <c r="D8" s="25"/>
    </row>
    <row r="9" spans="1:5" s="1" customFormat="1" ht="12.75" customHeight="1" x14ac:dyDescent="0.2">
      <c r="A9" s="41" t="s">
        <v>5</v>
      </c>
      <c r="B9" s="27" t="s">
        <v>19</v>
      </c>
      <c r="C9" s="28" t="s">
        <v>20</v>
      </c>
      <c r="D9" s="54" t="s">
        <v>29</v>
      </c>
      <c r="E9" s="24"/>
    </row>
    <row r="10" spans="1:5" x14ac:dyDescent="0.2">
      <c r="A10" s="45">
        <v>1</v>
      </c>
      <c r="B10" s="32">
        <v>12278846</v>
      </c>
      <c r="C10" s="32">
        <v>12285327</v>
      </c>
      <c r="D10" s="38">
        <f>C10-B10</f>
        <v>6481</v>
      </c>
    </row>
    <row r="11" spans="1:5" ht="15.75" customHeight="1" x14ac:dyDescent="0.2">
      <c r="A11" s="45">
        <v>2</v>
      </c>
      <c r="B11" s="33">
        <f>C10</f>
        <v>12285327</v>
      </c>
      <c r="C11" s="32">
        <v>12292842</v>
      </c>
      <c r="D11" s="38">
        <f t="shared" ref="D11:D36" si="0">C11-B11</f>
        <v>7515</v>
      </c>
    </row>
    <row r="12" spans="1:5" x14ac:dyDescent="0.2">
      <c r="A12" s="45">
        <v>3</v>
      </c>
      <c r="B12" s="33">
        <f t="shared" ref="B12:B14" si="1">C11</f>
        <v>12292842</v>
      </c>
      <c r="C12" s="32">
        <v>12294612</v>
      </c>
      <c r="D12" s="38">
        <f t="shared" si="0"/>
        <v>1770</v>
      </c>
      <c r="E12" s="55"/>
    </row>
    <row r="13" spans="1:5" x14ac:dyDescent="0.2">
      <c r="A13" s="45">
        <v>4</v>
      </c>
      <c r="B13" s="33">
        <f t="shared" si="1"/>
        <v>12294612</v>
      </c>
      <c r="C13" s="32">
        <v>12300988</v>
      </c>
      <c r="D13" s="38">
        <f t="shared" si="0"/>
        <v>6376</v>
      </c>
      <c r="E13" s="55"/>
    </row>
    <row r="14" spans="1:5" ht="13.5" customHeight="1" x14ac:dyDescent="0.2">
      <c r="A14" s="45">
        <v>5</v>
      </c>
      <c r="B14" s="33">
        <f t="shared" si="1"/>
        <v>12300988</v>
      </c>
      <c r="C14" s="32"/>
      <c r="D14" s="38">
        <f t="shared" si="0"/>
        <v>-12300988</v>
      </c>
      <c r="E14" s="55"/>
    </row>
    <row r="15" spans="1:5" ht="13.5" customHeight="1" x14ac:dyDescent="0.2">
      <c r="A15" s="45">
        <v>6</v>
      </c>
      <c r="B15" s="33">
        <f t="shared" ref="B15:B38" si="2">C14</f>
        <v>0</v>
      </c>
      <c r="C15" s="32"/>
      <c r="D15" s="38">
        <f t="shared" si="0"/>
        <v>0</v>
      </c>
      <c r="E15" s="55"/>
    </row>
    <row r="16" spans="1:5" ht="13.5" customHeight="1" x14ac:dyDescent="0.2">
      <c r="A16" s="45">
        <v>7</v>
      </c>
      <c r="B16" s="33">
        <f t="shared" si="2"/>
        <v>0</v>
      </c>
      <c r="C16" s="32"/>
      <c r="D16" s="38">
        <f t="shared" si="0"/>
        <v>0</v>
      </c>
      <c r="E16" s="55"/>
    </row>
    <row r="17" spans="1:5" ht="13.5" customHeight="1" x14ac:dyDescent="0.2">
      <c r="A17" s="45">
        <v>8</v>
      </c>
      <c r="B17" s="33">
        <f t="shared" si="2"/>
        <v>0</v>
      </c>
      <c r="C17" s="32"/>
      <c r="D17" s="38">
        <f t="shared" si="0"/>
        <v>0</v>
      </c>
      <c r="E17" s="55"/>
    </row>
    <row r="18" spans="1:5" ht="13.5" customHeight="1" x14ac:dyDescent="0.2">
      <c r="A18" s="45">
        <v>9</v>
      </c>
      <c r="B18" s="33">
        <f t="shared" si="2"/>
        <v>0</v>
      </c>
      <c r="C18" s="32"/>
      <c r="D18" s="38">
        <f t="shared" si="0"/>
        <v>0</v>
      </c>
      <c r="E18" s="55"/>
    </row>
    <row r="19" spans="1:5" ht="13.5" customHeight="1" x14ac:dyDescent="0.2">
      <c r="A19" s="45">
        <v>10</v>
      </c>
      <c r="B19" s="33">
        <f t="shared" si="2"/>
        <v>0</v>
      </c>
      <c r="C19" s="32"/>
      <c r="D19" s="38">
        <f t="shared" si="0"/>
        <v>0</v>
      </c>
      <c r="E19" s="55"/>
    </row>
    <row r="20" spans="1:5" ht="13.5" customHeight="1" x14ac:dyDescent="0.2">
      <c r="A20" s="45">
        <v>11</v>
      </c>
      <c r="B20" s="33">
        <f t="shared" si="2"/>
        <v>0</v>
      </c>
      <c r="C20" s="32"/>
      <c r="D20" s="38">
        <f t="shared" si="0"/>
        <v>0</v>
      </c>
      <c r="E20" s="55"/>
    </row>
    <row r="21" spans="1:5" ht="13.5" customHeight="1" x14ac:dyDescent="0.2">
      <c r="A21" s="45">
        <v>12</v>
      </c>
      <c r="B21" s="33">
        <f t="shared" si="2"/>
        <v>0</v>
      </c>
      <c r="C21" s="32"/>
      <c r="D21" s="38">
        <f t="shared" si="0"/>
        <v>0</v>
      </c>
      <c r="E21" s="55"/>
    </row>
    <row r="22" spans="1:5" ht="13.5" customHeight="1" x14ac:dyDescent="0.2">
      <c r="A22" s="45">
        <v>13</v>
      </c>
      <c r="B22" s="33">
        <f t="shared" si="2"/>
        <v>0</v>
      </c>
      <c r="C22" s="32"/>
      <c r="D22" s="38">
        <f t="shared" si="0"/>
        <v>0</v>
      </c>
      <c r="E22" s="55"/>
    </row>
    <row r="23" spans="1:5" ht="13.5" customHeight="1" x14ac:dyDescent="0.2">
      <c r="A23" s="45">
        <v>14</v>
      </c>
      <c r="B23" s="33">
        <f t="shared" si="2"/>
        <v>0</v>
      </c>
      <c r="C23" s="32"/>
      <c r="D23" s="38">
        <f t="shared" si="0"/>
        <v>0</v>
      </c>
      <c r="E23" s="55"/>
    </row>
    <row r="24" spans="1:5" ht="13.5" customHeight="1" x14ac:dyDescent="0.2">
      <c r="A24" s="45">
        <v>15</v>
      </c>
      <c r="B24" s="33">
        <f t="shared" si="2"/>
        <v>0</v>
      </c>
      <c r="C24" s="32"/>
      <c r="D24" s="38">
        <f t="shared" si="0"/>
        <v>0</v>
      </c>
      <c r="E24" s="55"/>
    </row>
    <row r="25" spans="1:5" ht="13.5" customHeight="1" x14ac:dyDescent="0.2">
      <c r="A25" s="45">
        <v>16</v>
      </c>
      <c r="B25" s="33">
        <f t="shared" si="2"/>
        <v>0</v>
      </c>
      <c r="C25" s="32"/>
      <c r="D25" s="38">
        <f t="shared" si="0"/>
        <v>0</v>
      </c>
      <c r="E25" s="55"/>
    </row>
    <row r="26" spans="1:5" ht="13.5" customHeight="1" x14ac:dyDescent="0.2">
      <c r="A26" s="45">
        <v>17</v>
      </c>
      <c r="B26" s="33">
        <f t="shared" si="2"/>
        <v>0</v>
      </c>
      <c r="C26" s="32"/>
      <c r="D26" s="38">
        <f t="shared" si="0"/>
        <v>0</v>
      </c>
      <c r="E26" s="55"/>
    </row>
    <row r="27" spans="1:5" ht="13.5" customHeight="1" x14ac:dyDescent="0.2">
      <c r="A27" s="45">
        <v>18</v>
      </c>
      <c r="B27" s="33">
        <f t="shared" si="2"/>
        <v>0</v>
      </c>
      <c r="C27" s="32"/>
      <c r="D27" s="38">
        <f t="shared" si="0"/>
        <v>0</v>
      </c>
      <c r="E27" s="55"/>
    </row>
    <row r="28" spans="1:5" ht="13.5" customHeight="1" x14ac:dyDescent="0.2">
      <c r="A28" s="45">
        <v>19</v>
      </c>
      <c r="B28" s="33">
        <f t="shared" si="2"/>
        <v>0</v>
      </c>
      <c r="C28" s="32"/>
      <c r="D28" s="38">
        <f t="shared" si="0"/>
        <v>0</v>
      </c>
      <c r="E28" s="55"/>
    </row>
    <row r="29" spans="1:5" ht="13.5" customHeight="1" x14ac:dyDescent="0.2">
      <c r="A29" s="45">
        <v>20</v>
      </c>
      <c r="B29" s="33">
        <f t="shared" si="2"/>
        <v>0</v>
      </c>
      <c r="C29" s="32"/>
      <c r="D29" s="38">
        <f t="shared" si="0"/>
        <v>0</v>
      </c>
      <c r="E29" s="55"/>
    </row>
    <row r="30" spans="1:5" ht="13.5" customHeight="1" x14ac:dyDescent="0.2">
      <c r="A30" s="45">
        <v>21</v>
      </c>
      <c r="B30" s="33">
        <f t="shared" si="2"/>
        <v>0</v>
      </c>
      <c r="C30" s="32"/>
      <c r="D30" s="38">
        <f t="shared" si="0"/>
        <v>0</v>
      </c>
      <c r="E30" s="55"/>
    </row>
    <row r="31" spans="1:5" ht="13.5" customHeight="1" x14ac:dyDescent="0.2">
      <c r="A31" s="45">
        <v>22</v>
      </c>
      <c r="B31" s="33">
        <f t="shared" si="2"/>
        <v>0</v>
      </c>
      <c r="C31" s="32"/>
      <c r="D31" s="38">
        <f t="shared" si="0"/>
        <v>0</v>
      </c>
      <c r="E31" s="55"/>
    </row>
    <row r="32" spans="1:5" ht="13.5" customHeight="1" x14ac:dyDescent="0.2">
      <c r="A32" s="45">
        <v>23</v>
      </c>
      <c r="B32" s="33">
        <f t="shared" si="2"/>
        <v>0</v>
      </c>
      <c r="C32" s="32"/>
      <c r="D32" s="38">
        <f t="shared" si="0"/>
        <v>0</v>
      </c>
      <c r="E32" s="55"/>
    </row>
    <row r="33" spans="1:10" ht="13.5" customHeight="1" x14ac:dyDescent="0.2">
      <c r="A33" s="45">
        <v>24</v>
      </c>
      <c r="B33" s="33">
        <f t="shared" si="2"/>
        <v>0</v>
      </c>
      <c r="C33" s="32"/>
      <c r="D33" s="38">
        <f t="shared" si="0"/>
        <v>0</v>
      </c>
      <c r="E33" s="55"/>
    </row>
    <row r="34" spans="1:10" ht="13.5" customHeight="1" x14ac:dyDescent="0.2">
      <c r="A34" s="45">
        <v>25</v>
      </c>
      <c r="B34" s="33">
        <f t="shared" si="2"/>
        <v>0</v>
      </c>
      <c r="C34" s="32"/>
      <c r="D34" s="38">
        <f t="shared" si="0"/>
        <v>0</v>
      </c>
      <c r="E34" s="135"/>
      <c r="F34" s="136"/>
      <c r="G34" s="139"/>
      <c r="H34" s="140"/>
      <c r="I34" s="139"/>
      <c r="J34" s="139"/>
    </row>
    <row r="35" spans="1:10" s="188" customFormat="1" ht="13.5" customHeight="1" x14ac:dyDescent="0.2">
      <c r="A35" s="189">
        <v>26</v>
      </c>
      <c r="B35" s="185">
        <f t="shared" si="2"/>
        <v>0</v>
      </c>
      <c r="C35" s="191"/>
      <c r="D35" s="183">
        <f t="shared" si="0"/>
        <v>0</v>
      </c>
      <c r="E35" s="192"/>
      <c r="F35" s="193"/>
      <c r="G35" s="194"/>
      <c r="H35" s="194"/>
      <c r="I35" s="194"/>
      <c r="J35" s="194"/>
    </row>
    <row r="36" spans="1:10" ht="13.5" customHeight="1" x14ac:dyDescent="0.2">
      <c r="A36" s="45">
        <v>27</v>
      </c>
      <c r="B36" s="33">
        <f t="shared" si="2"/>
        <v>0</v>
      </c>
      <c r="C36" s="32"/>
      <c r="D36" s="38">
        <f t="shared" si="0"/>
        <v>0</v>
      </c>
      <c r="E36" s="135"/>
      <c r="F36" s="136"/>
      <c r="G36" s="139"/>
      <c r="H36" s="139"/>
      <c r="I36" s="139"/>
      <c r="J36" s="139"/>
    </row>
    <row r="37" spans="1:10" ht="13.5" customHeight="1" x14ac:dyDescent="0.2">
      <c r="A37" s="45">
        <v>28</v>
      </c>
      <c r="B37" s="33">
        <f t="shared" si="2"/>
        <v>0</v>
      </c>
      <c r="C37" s="32"/>
      <c r="D37" s="38">
        <f t="shared" ref="D37" si="3">C37-B37</f>
        <v>0</v>
      </c>
      <c r="E37" s="135"/>
      <c r="F37" s="136"/>
      <c r="G37" s="139"/>
      <c r="H37" s="139"/>
      <c r="I37" s="139"/>
      <c r="J37" s="139"/>
    </row>
    <row r="38" spans="1:10" ht="13.5" customHeight="1" x14ac:dyDescent="0.2">
      <c r="A38" s="45">
        <v>29</v>
      </c>
      <c r="B38" s="33">
        <f t="shared" si="2"/>
        <v>0</v>
      </c>
      <c r="C38" s="32"/>
      <c r="D38" s="38">
        <f>C38-B38</f>
        <v>0</v>
      </c>
      <c r="E38" s="278"/>
      <c r="F38" s="279"/>
      <c r="G38" s="139"/>
      <c r="H38" s="139"/>
      <c r="I38" s="139"/>
      <c r="J38" s="139"/>
    </row>
    <row r="39" spans="1:10" ht="13.5" customHeight="1" x14ac:dyDescent="0.2">
      <c r="A39" s="45">
        <v>30</v>
      </c>
      <c r="B39" s="33">
        <f>C38</f>
        <v>0</v>
      </c>
      <c r="C39" s="32"/>
      <c r="D39" s="38">
        <f>C39-B39</f>
        <v>0</v>
      </c>
      <c r="E39" s="135"/>
      <c r="F39" s="136"/>
      <c r="G39" s="139"/>
      <c r="H39" s="139"/>
      <c r="I39" s="139"/>
      <c r="J39" s="139"/>
    </row>
    <row r="40" spans="1:10" ht="13.5" customHeight="1" x14ac:dyDescent="0.2">
      <c r="A40" s="45">
        <v>31</v>
      </c>
      <c r="B40" s="33">
        <f>C39</f>
        <v>0</v>
      </c>
      <c r="C40" s="32"/>
      <c r="D40" s="38">
        <f>C40-B40</f>
        <v>0</v>
      </c>
      <c r="E40" s="135"/>
      <c r="F40" s="136"/>
      <c r="G40" s="139"/>
      <c r="H40" s="139"/>
      <c r="I40" s="139"/>
      <c r="J40" s="139"/>
    </row>
    <row r="41" spans="1:10" ht="13.5" customHeight="1" thickBot="1" x14ac:dyDescent="0.25">
      <c r="A41" t="s">
        <v>7</v>
      </c>
      <c r="D41" s="49">
        <f>SUM(D10:D40)</f>
        <v>-12278846</v>
      </c>
      <c r="E41" s="135"/>
      <c r="F41" s="136"/>
      <c r="G41" s="139"/>
      <c r="H41" s="139"/>
      <c r="I41" s="139"/>
      <c r="J41" s="139"/>
    </row>
    <row r="42" spans="1:10" ht="12" customHeight="1" thickTop="1" x14ac:dyDescent="0.2">
      <c r="E42" s="135"/>
      <c r="F42" s="136"/>
      <c r="G42" s="139"/>
      <c r="H42" s="139"/>
      <c r="I42" s="139"/>
      <c r="J42" s="139"/>
    </row>
    <row r="43" spans="1:10" ht="14.25" customHeight="1" x14ac:dyDescent="0.2">
      <c r="E43" s="138"/>
      <c r="F43" s="136"/>
      <c r="G43" s="139"/>
      <c r="H43" s="139"/>
      <c r="I43" s="139"/>
      <c r="J43" s="139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2"/>
  <sheetViews>
    <sheetView workbookViewId="0">
      <selection activeCell="C14" sqref="C14"/>
    </sheetView>
  </sheetViews>
  <sheetFormatPr defaultRowHeight="12.75" x14ac:dyDescent="0.2"/>
  <cols>
    <col min="1" max="1" width="7.28515625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274" t="s">
        <v>30</v>
      </c>
      <c r="D1" s="274"/>
    </row>
    <row r="2" spans="1:5" x14ac:dyDescent="0.2">
      <c r="C2" s="274"/>
      <c r="D2" s="274"/>
    </row>
    <row r="3" spans="1:5" ht="34.5" x14ac:dyDescent="0.2">
      <c r="B3" s="19"/>
      <c r="C3" s="20" t="s">
        <v>31</v>
      </c>
      <c r="D3" s="21"/>
    </row>
    <row r="4" spans="1:5" ht="34.5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s="1" customFormat="1" x14ac:dyDescent="0.2">
      <c r="A6" s="96">
        <v>44197</v>
      </c>
      <c r="B6" s="4"/>
      <c r="C6" s="24"/>
      <c r="D6" s="24"/>
      <c r="E6" s="24"/>
    </row>
    <row r="7" spans="1:5" ht="13.5" thickBot="1" x14ac:dyDescent="0.25"/>
    <row r="8" spans="1:5" ht="15.75" customHeight="1" thickBot="1" x14ac:dyDescent="0.25">
      <c r="A8" s="1"/>
      <c r="B8" s="275" t="s">
        <v>32</v>
      </c>
      <c r="C8" s="277"/>
      <c r="D8" s="25"/>
    </row>
    <row r="9" spans="1:5" ht="38.25" x14ac:dyDescent="0.2">
      <c r="A9" s="41" t="s">
        <v>5</v>
      </c>
      <c r="B9" s="42" t="s">
        <v>19</v>
      </c>
      <c r="C9" s="43" t="s">
        <v>20</v>
      </c>
      <c r="D9" s="56" t="s">
        <v>29</v>
      </c>
      <c r="E9" s="29"/>
    </row>
    <row r="10" spans="1:5" s="44" customFormat="1" x14ac:dyDescent="0.2">
      <c r="A10" s="45">
        <v>1</v>
      </c>
      <c r="B10" s="32">
        <v>11340369</v>
      </c>
      <c r="C10" s="32">
        <v>11342642</v>
      </c>
      <c r="D10" s="38">
        <f>C10-B10</f>
        <v>2273</v>
      </c>
      <c r="E10" s="29"/>
    </row>
    <row r="11" spans="1:5" ht="13.5" customHeight="1" x14ac:dyDescent="0.2">
      <c r="A11" s="45">
        <v>2</v>
      </c>
      <c r="B11" s="33">
        <f>C10</f>
        <v>11342642</v>
      </c>
      <c r="C11" s="32">
        <v>11345847</v>
      </c>
      <c r="D11" s="38">
        <f t="shared" ref="D11:D36" si="0">C11-B11</f>
        <v>3205</v>
      </c>
      <c r="E11" s="34"/>
    </row>
    <row r="12" spans="1:5" ht="13.5" customHeight="1" x14ac:dyDescent="0.2">
      <c r="A12" s="45">
        <v>3</v>
      </c>
      <c r="B12" s="33">
        <f t="shared" ref="B12:B40" si="1">C11</f>
        <v>11345847</v>
      </c>
      <c r="C12" s="32">
        <v>11349375</v>
      </c>
      <c r="D12" s="38">
        <f t="shared" si="0"/>
        <v>3528</v>
      </c>
      <c r="E12" s="34"/>
    </row>
    <row r="13" spans="1:5" ht="13.5" customHeight="1" x14ac:dyDescent="0.2">
      <c r="A13" s="45">
        <v>4</v>
      </c>
      <c r="B13" s="33">
        <f t="shared" si="1"/>
        <v>11349375</v>
      </c>
      <c r="C13" s="32">
        <v>11351022</v>
      </c>
      <c r="D13" s="38">
        <f t="shared" si="0"/>
        <v>1647</v>
      </c>
      <c r="E13" s="34"/>
    </row>
    <row r="14" spans="1:5" ht="13.5" customHeight="1" x14ac:dyDescent="0.2">
      <c r="A14" s="45">
        <v>5</v>
      </c>
      <c r="B14" s="33">
        <f t="shared" si="1"/>
        <v>11351022</v>
      </c>
      <c r="C14" s="32"/>
      <c r="D14" s="38">
        <f t="shared" si="0"/>
        <v>-11351022</v>
      </c>
      <c r="E14" s="34"/>
    </row>
    <row r="15" spans="1:5" ht="13.5" customHeight="1" x14ac:dyDescent="0.2">
      <c r="A15" s="45">
        <v>6</v>
      </c>
      <c r="B15" s="33">
        <f t="shared" si="1"/>
        <v>0</v>
      </c>
      <c r="C15" s="32"/>
      <c r="D15" s="38">
        <f t="shared" si="0"/>
        <v>0</v>
      </c>
      <c r="E15" s="34"/>
    </row>
    <row r="16" spans="1:5" ht="13.5" customHeight="1" x14ac:dyDescent="0.2">
      <c r="A16" s="45">
        <v>7</v>
      </c>
      <c r="B16" s="33">
        <f t="shared" si="1"/>
        <v>0</v>
      </c>
      <c r="C16" s="32"/>
      <c r="D16" s="38">
        <f t="shared" si="0"/>
        <v>0</v>
      </c>
      <c r="E16" s="34"/>
    </row>
    <row r="17" spans="1:5" ht="13.5" customHeight="1" x14ac:dyDescent="0.2">
      <c r="A17" s="45">
        <v>8</v>
      </c>
      <c r="B17" s="33">
        <f t="shared" si="1"/>
        <v>0</v>
      </c>
      <c r="C17" s="32"/>
      <c r="D17" s="38">
        <f t="shared" si="0"/>
        <v>0</v>
      </c>
      <c r="E17" s="34"/>
    </row>
    <row r="18" spans="1:5" ht="13.5" customHeight="1" x14ac:dyDescent="0.2">
      <c r="A18" s="45">
        <v>9</v>
      </c>
      <c r="B18" s="33">
        <f t="shared" si="1"/>
        <v>0</v>
      </c>
      <c r="C18" s="32"/>
      <c r="D18" s="38">
        <f t="shared" si="0"/>
        <v>0</v>
      </c>
      <c r="E18" s="34"/>
    </row>
    <row r="19" spans="1:5" ht="13.5" customHeight="1" x14ac:dyDescent="0.2">
      <c r="A19" s="45">
        <v>10</v>
      </c>
      <c r="B19" s="33">
        <f t="shared" si="1"/>
        <v>0</v>
      </c>
      <c r="C19" s="32"/>
      <c r="D19" s="38">
        <f t="shared" si="0"/>
        <v>0</v>
      </c>
      <c r="E19" s="34"/>
    </row>
    <row r="20" spans="1:5" ht="13.5" customHeight="1" x14ac:dyDescent="0.2">
      <c r="A20" s="45">
        <v>11</v>
      </c>
      <c r="B20" s="33">
        <f t="shared" si="1"/>
        <v>0</v>
      </c>
      <c r="C20" s="32"/>
      <c r="D20" s="38">
        <f t="shared" si="0"/>
        <v>0</v>
      </c>
      <c r="E20" s="34"/>
    </row>
    <row r="21" spans="1:5" ht="13.5" customHeight="1" x14ac:dyDescent="0.2">
      <c r="A21" s="45">
        <v>12</v>
      </c>
      <c r="B21" s="33">
        <f t="shared" si="1"/>
        <v>0</v>
      </c>
      <c r="C21" s="32"/>
      <c r="D21" s="38">
        <f t="shared" si="0"/>
        <v>0</v>
      </c>
      <c r="E21" s="34"/>
    </row>
    <row r="22" spans="1:5" ht="13.5" customHeight="1" x14ac:dyDescent="0.2">
      <c r="A22" s="45">
        <v>13</v>
      </c>
      <c r="B22" s="33">
        <f t="shared" si="1"/>
        <v>0</v>
      </c>
      <c r="C22" s="32"/>
      <c r="D22" s="38">
        <f t="shared" si="0"/>
        <v>0</v>
      </c>
      <c r="E22" s="34"/>
    </row>
    <row r="23" spans="1:5" ht="13.5" customHeight="1" x14ac:dyDescent="0.2">
      <c r="A23" s="45">
        <v>14</v>
      </c>
      <c r="B23" s="33">
        <f t="shared" si="1"/>
        <v>0</v>
      </c>
      <c r="C23" s="32"/>
      <c r="D23" s="38">
        <f t="shared" si="0"/>
        <v>0</v>
      </c>
      <c r="E23" s="34"/>
    </row>
    <row r="24" spans="1:5" ht="13.5" customHeight="1" x14ac:dyDescent="0.2">
      <c r="A24" s="45">
        <v>15</v>
      </c>
      <c r="B24" s="33">
        <f t="shared" si="1"/>
        <v>0</v>
      </c>
      <c r="C24" s="32"/>
      <c r="D24" s="38">
        <f t="shared" si="0"/>
        <v>0</v>
      </c>
      <c r="E24" s="34"/>
    </row>
    <row r="25" spans="1:5" ht="13.5" customHeight="1" x14ac:dyDescent="0.2">
      <c r="A25" s="45">
        <v>16</v>
      </c>
      <c r="B25" s="33">
        <f t="shared" si="1"/>
        <v>0</v>
      </c>
      <c r="C25" s="32"/>
      <c r="D25" s="38">
        <f t="shared" si="0"/>
        <v>0</v>
      </c>
      <c r="E25" s="34"/>
    </row>
    <row r="26" spans="1:5" ht="13.5" customHeight="1" x14ac:dyDescent="0.2">
      <c r="A26" s="45">
        <v>17</v>
      </c>
      <c r="B26" s="33">
        <f t="shared" si="1"/>
        <v>0</v>
      </c>
      <c r="C26" s="32"/>
      <c r="D26" s="38">
        <f t="shared" si="0"/>
        <v>0</v>
      </c>
      <c r="E26" s="34"/>
    </row>
    <row r="27" spans="1:5" ht="13.5" customHeight="1" x14ac:dyDescent="0.2">
      <c r="A27" s="45">
        <v>18</v>
      </c>
      <c r="B27" s="33">
        <f t="shared" si="1"/>
        <v>0</v>
      </c>
      <c r="C27" s="132"/>
      <c r="D27" s="133">
        <f t="shared" si="0"/>
        <v>0</v>
      </c>
      <c r="E27" s="134"/>
    </row>
    <row r="28" spans="1:5" ht="13.5" customHeight="1" x14ac:dyDescent="0.2">
      <c r="A28" s="45">
        <v>19</v>
      </c>
      <c r="B28" s="33">
        <f t="shared" si="1"/>
        <v>0</v>
      </c>
      <c r="C28" s="32"/>
      <c r="D28" s="38">
        <f>C28-B28</f>
        <v>0</v>
      </c>
      <c r="E28" s="34"/>
    </row>
    <row r="29" spans="1:5" ht="13.5" customHeight="1" x14ac:dyDescent="0.2">
      <c r="A29" s="45">
        <v>20</v>
      </c>
      <c r="B29" s="33">
        <f t="shared" si="1"/>
        <v>0</v>
      </c>
      <c r="C29" s="32"/>
      <c r="D29" s="38">
        <f t="shared" si="0"/>
        <v>0</v>
      </c>
      <c r="E29" s="34"/>
    </row>
    <row r="30" spans="1:5" ht="13.5" customHeight="1" x14ac:dyDescent="0.2">
      <c r="A30" s="45">
        <v>21</v>
      </c>
      <c r="B30" s="33">
        <f t="shared" si="1"/>
        <v>0</v>
      </c>
      <c r="C30" s="32"/>
      <c r="D30" s="38">
        <f t="shared" si="0"/>
        <v>0</v>
      </c>
      <c r="E30" s="34"/>
    </row>
    <row r="31" spans="1:5" ht="13.5" customHeight="1" x14ac:dyDescent="0.2">
      <c r="A31" s="45">
        <v>22</v>
      </c>
      <c r="B31" s="33">
        <f t="shared" si="1"/>
        <v>0</v>
      </c>
      <c r="C31" s="32"/>
      <c r="D31" s="38">
        <f t="shared" si="0"/>
        <v>0</v>
      </c>
      <c r="E31" s="34"/>
    </row>
    <row r="32" spans="1:5" ht="13.5" customHeight="1" x14ac:dyDescent="0.2">
      <c r="A32" s="45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45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45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188" customFormat="1" ht="13.5" customHeight="1" x14ac:dyDescent="0.2">
      <c r="A35" s="189">
        <v>26</v>
      </c>
      <c r="B35" s="185">
        <f t="shared" si="1"/>
        <v>0</v>
      </c>
      <c r="C35" s="191"/>
      <c r="D35" s="183">
        <f t="shared" si="0"/>
        <v>0</v>
      </c>
      <c r="E35" s="186"/>
    </row>
    <row r="36" spans="1:5" ht="13.5" customHeight="1" x14ac:dyDescent="0.2">
      <c r="A36" s="45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45">
        <v>28</v>
      </c>
      <c r="B37" s="33">
        <f t="shared" si="1"/>
        <v>0</v>
      </c>
      <c r="C37" s="32"/>
      <c r="D37" s="38">
        <f t="shared" ref="D37" si="2">C37-B37</f>
        <v>0</v>
      </c>
      <c r="E37" s="48"/>
    </row>
    <row r="38" spans="1:5" ht="13.5" customHeight="1" x14ac:dyDescent="0.2">
      <c r="A38" s="45">
        <v>29</v>
      </c>
      <c r="B38" s="33">
        <f t="shared" si="1"/>
        <v>0</v>
      </c>
      <c r="C38" s="32"/>
      <c r="D38" s="38">
        <f>C38-B38</f>
        <v>0</v>
      </c>
      <c r="E38" s="48"/>
    </row>
    <row r="39" spans="1:5" ht="13.5" customHeight="1" x14ac:dyDescent="0.2">
      <c r="A39" s="45">
        <v>30</v>
      </c>
      <c r="B39" s="33">
        <f t="shared" si="1"/>
        <v>0</v>
      </c>
      <c r="C39" s="32"/>
      <c r="D39" s="38">
        <f>C39-B39</f>
        <v>0</v>
      </c>
      <c r="E39" s="48"/>
    </row>
    <row r="40" spans="1:5" ht="13.5" customHeight="1" x14ac:dyDescent="0.2">
      <c r="A40" s="45">
        <v>31</v>
      </c>
      <c r="B40" s="33">
        <f t="shared" si="1"/>
        <v>0</v>
      </c>
      <c r="C40" s="32"/>
      <c r="D40" s="38">
        <f>C40-B40</f>
        <v>0</v>
      </c>
      <c r="E40" s="48"/>
    </row>
    <row r="41" spans="1:5" ht="13.5" thickBot="1" x14ac:dyDescent="0.25">
      <c r="A41" t="s">
        <v>7</v>
      </c>
      <c r="D41" s="49">
        <f>SUM(D10:D40)</f>
        <v>-11340369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2"/>
  <sheetViews>
    <sheetView workbookViewId="0">
      <selection activeCell="C14" sqref="C14"/>
    </sheetView>
  </sheetViews>
  <sheetFormatPr defaultRowHeight="12.75" x14ac:dyDescent="0.2"/>
  <cols>
    <col min="1" max="1" width="10.140625" style="57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274" t="s">
        <v>16</v>
      </c>
      <c r="D1" s="274"/>
    </row>
    <row r="2" spans="1:5" x14ac:dyDescent="0.2">
      <c r="C2" s="274"/>
      <c r="D2" s="274"/>
    </row>
    <row r="3" spans="1:5" ht="34.5" x14ac:dyDescent="0.2">
      <c r="B3" s="19"/>
      <c r="C3" s="20" t="s">
        <v>33</v>
      </c>
      <c r="D3" s="21"/>
    </row>
    <row r="4" spans="1:5" s="1" customFormat="1" x14ac:dyDescent="0.2">
      <c r="A4" s="96"/>
      <c r="B4" s="4"/>
      <c r="C4" s="24"/>
      <c r="D4" s="24"/>
      <c r="E4" s="24"/>
    </row>
    <row r="5" spans="1:5" s="1" customFormat="1" x14ac:dyDescent="0.2">
      <c r="A5" s="217"/>
      <c r="B5" s="215"/>
      <c r="C5" s="216"/>
      <c r="D5" s="216"/>
      <c r="E5" s="216"/>
    </row>
    <row r="6" spans="1:5" x14ac:dyDescent="0.2">
      <c r="A6" s="96">
        <v>44197</v>
      </c>
    </row>
    <row r="7" spans="1:5" ht="13.5" thickBot="1" x14ac:dyDescent="0.25">
      <c r="A7" s="217"/>
    </row>
    <row r="8" spans="1:5" ht="15.75" customHeight="1" thickBot="1" x14ac:dyDescent="0.25">
      <c r="A8" s="58"/>
      <c r="B8" s="275" t="s">
        <v>34</v>
      </c>
      <c r="C8" s="277"/>
      <c r="D8" s="25"/>
    </row>
    <row r="9" spans="1:5" ht="38.25" x14ac:dyDescent="0.2">
      <c r="A9" s="59" t="s">
        <v>5</v>
      </c>
      <c r="B9" s="42" t="s">
        <v>19</v>
      </c>
      <c r="C9" s="43" t="s">
        <v>20</v>
      </c>
      <c r="D9" s="56" t="s">
        <v>35</v>
      </c>
      <c r="E9" s="29"/>
    </row>
    <row r="10" spans="1:5" x14ac:dyDescent="0.2">
      <c r="A10" s="60">
        <v>1</v>
      </c>
      <c r="B10" s="32">
        <v>17391172</v>
      </c>
      <c r="C10" s="32">
        <v>17401730</v>
      </c>
      <c r="D10" s="38">
        <f>C10-B10</f>
        <v>10558</v>
      </c>
      <c r="E10" s="29"/>
    </row>
    <row r="11" spans="1:5" ht="13.5" customHeight="1" x14ac:dyDescent="0.2">
      <c r="A11" s="61">
        <v>2</v>
      </c>
      <c r="B11" s="33">
        <f>C10</f>
        <v>17401730</v>
      </c>
      <c r="C11" s="32">
        <v>17402505</v>
      </c>
      <c r="D11" s="38">
        <f t="shared" ref="D11:D37" si="0">C11-B11</f>
        <v>775</v>
      </c>
      <c r="E11" s="34"/>
    </row>
    <row r="12" spans="1:5" ht="13.5" customHeight="1" x14ac:dyDescent="0.2">
      <c r="A12" s="60">
        <v>3</v>
      </c>
      <c r="B12" s="33">
        <f t="shared" ref="B12:B38" si="1">C11</f>
        <v>17402505</v>
      </c>
      <c r="C12" s="32">
        <v>17413970</v>
      </c>
      <c r="D12" s="38">
        <f t="shared" si="0"/>
        <v>11465</v>
      </c>
      <c r="E12" s="34"/>
    </row>
    <row r="13" spans="1:5" ht="13.5" customHeight="1" x14ac:dyDescent="0.2">
      <c r="A13" s="61">
        <v>4</v>
      </c>
      <c r="B13" s="33">
        <f t="shared" si="1"/>
        <v>17413970</v>
      </c>
      <c r="C13" s="32">
        <v>17417548</v>
      </c>
      <c r="D13" s="38">
        <f t="shared" si="0"/>
        <v>3578</v>
      </c>
      <c r="E13" s="34"/>
    </row>
    <row r="14" spans="1:5" ht="13.5" customHeight="1" x14ac:dyDescent="0.2">
      <c r="A14" s="60">
        <v>5</v>
      </c>
      <c r="B14" s="33">
        <f t="shared" si="1"/>
        <v>17417548</v>
      </c>
      <c r="C14" s="32"/>
      <c r="D14" s="38">
        <f t="shared" si="0"/>
        <v>-17417548</v>
      </c>
      <c r="E14" s="34"/>
    </row>
    <row r="15" spans="1:5" ht="13.5" customHeight="1" x14ac:dyDescent="0.2">
      <c r="A15" s="61">
        <v>6</v>
      </c>
      <c r="B15" s="33">
        <f t="shared" si="1"/>
        <v>0</v>
      </c>
      <c r="C15" s="32"/>
      <c r="D15" s="38">
        <f t="shared" si="0"/>
        <v>0</v>
      </c>
      <c r="E15" s="34"/>
    </row>
    <row r="16" spans="1:5" ht="13.5" customHeight="1" x14ac:dyDescent="0.2">
      <c r="A16" s="60">
        <v>7</v>
      </c>
      <c r="B16" s="33">
        <f t="shared" si="1"/>
        <v>0</v>
      </c>
      <c r="C16" s="32"/>
      <c r="D16" s="38">
        <f t="shared" si="0"/>
        <v>0</v>
      </c>
      <c r="E16" s="34"/>
    </row>
    <row r="17" spans="1:5" ht="13.5" customHeight="1" x14ac:dyDescent="0.2">
      <c r="A17" s="61">
        <v>8</v>
      </c>
      <c r="B17" s="33">
        <f t="shared" si="1"/>
        <v>0</v>
      </c>
      <c r="C17" s="32"/>
      <c r="D17" s="38">
        <f t="shared" si="0"/>
        <v>0</v>
      </c>
      <c r="E17" s="34"/>
    </row>
    <row r="18" spans="1:5" ht="13.5" customHeight="1" x14ac:dyDescent="0.2">
      <c r="A18" s="60">
        <v>9</v>
      </c>
      <c r="B18" s="33">
        <f t="shared" si="1"/>
        <v>0</v>
      </c>
      <c r="C18" s="32"/>
      <c r="D18" s="38">
        <f t="shared" si="0"/>
        <v>0</v>
      </c>
      <c r="E18" s="34"/>
    </row>
    <row r="19" spans="1:5" ht="13.5" customHeight="1" x14ac:dyDescent="0.2">
      <c r="A19" s="61">
        <v>10</v>
      </c>
      <c r="B19" s="33">
        <f t="shared" si="1"/>
        <v>0</v>
      </c>
      <c r="C19" s="32"/>
      <c r="D19" s="38">
        <f t="shared" si="0"/>
        <v>0</v>
      </c>
      <c r="E19" s="34"/>
    </row>
    <row r="20" spans="1:5" ht="13.5" customHeight="1" x14ac:dyDescent="0.2">
      <c r="A20" s="60">
        <v>11</v>
      </c>
      <c r="B20" s="33">
        <f t="shared" si="1"/>
        <v>0</v>
      </c>
      <c r="C20" s="32"/>
      <c r="D20" s="38">
        <f t="shared" si="0"/>
        <v>0</v>
      </c>
      <c r="E20" s="34"/>
    </row>
    <row r="21" spans="1:5" ht="13.5" customHeight="1" x14ac:dyDescent="0.2">
      <c r="A21" s="61">
        <v>12</v>
      </c>
      <c r="B21" s="33">
        <f t="shared" si="1"/>
        <v>0</v>
      </c>
      <c r="C21" s="32"/>
      <c r="D21" s="38">
        <f t="shared" si="0"/>
        <v>0</v>
      </c>
      <c r="E21" s="34"/>
    </row>
    <row r="22" spans="1:5" ht="13.5" customHeight="1" x14ac:dyDescent="0.2">
      <c r="A22" s="60">
        <v>13</v>
      </c>
      <c r="B22" s="33">
        <f t="shared" si="1"/>
        <v>0</v>
      </c>
      <c r="C22" s="32"/>
      <c r="D22" s="38">
        <f t="shared" si="0"/>
        <v>0</v>
      </c>
      <c r="E22" s="34"/>
    </row>
    <row r="23" spans="1:5" ht="13.5" customHeight="1" x14ac:dyDescent="0.2">
      <c r="A23" s="61">
        <v>14</v>
      </c>
      <c r="B23" s="33">
        <f t="shared" si="1"/>
        <v>0</v>
      </c>
      <c r="C23" s="32"/>
      <c r="D23" s="38">
        <f t="shared" si="0"/>
        <v>0</v>
      </c>
      <c r="E23" s="34"/>
    </row>
    <row r="24" spans="1:5" ht="13.5" customHeight="1" x14ac:dyDescent="0.2">
      <c r="A24" s="60">
        <v>15</v>
      </c>
      <c r="B24" s="33">
        <f t="shared" si="1"/>
        <v>0</v>
      </c>
      <c r="C24" s="32"/>
      <c r="D24" s="38">
        <f t="shared" si="0"/>
        <v>0</v>
      </c>
      <c r="E24" s="34"/>
    </row>
    <row r="25" spans="1:5" ht="13.5" customHeight="1" x14ac:dyDescent="0.2">
      <c r="A25" s="61">
        <v>16</v>
      </c>
      <c r="B25" s="33">
        <f t="shared" si="1"/>
        <v>0</v>
      </c>
      <c r="C25" s="32"/>
      <c r="D25" s="38">
        <f t="shared" si="0"/>
        <v>0</v>
      </c>
      <c r="E25" s="34"/>
    </row>
    <row r="26" spans="1:5" ht="13.5" customHeight="1" x14ac:dyDescent="0.2">
      <c r="A26" s="60">
        <v>17</v>
      </c>
      <c r="B26" s="33">
        <f t="shared" si="1"/>
        <v>0</v>
      </c>
      <c r="C26" s="32"/>
      <c r="D26" s="38">
        <f t="shared" si="0"/>
        <v>0</v>
      </c>
      <c r="E26" s="34"/>
    </row>
    <row r="27" spans="1:5" ht="13.5" customHeight="1" x14ac:dyDescent="0.2">
      <c r="A27" s="61">
        <v>18</v>
      </c>
      <c r="B27" s="33">
        <f t="shared" si="1"/>
        <v>0</v>
      </c>
      <c r="C27" s="32"/>
      <c r="D27" s="38">
        <f t="shared" si="0"/>
        <v>0</v>
      </c>
      <c r="E27" s="34"/>
    </row>
    <row r="28" spans="1:5" ht="13.5" customHeight="1" x14ac:dyDescent="0.2">
      <c r="A28" s="60">
        <v>19</v>
      </c>
      <c r="B28" s="33">
        <f t="shared" si="1"/>
        <v>0</v>
      </c>
      <c r="C28" s="32"/>
      <c r="D28" s="38">
        <f t="shared" si="0"/>
        <v>0</v>
      </c>
      <c r="E28" s="34"/>
    </row>
    <row r="29" spans="1:5" ht="13.5" customHeight="1" x14ac:dyDescent="0.2">
      <c r="A29" s="61">
        <v>20</v>
      </c>
      <c r="B29" s="33">
        <f t="shared" si="1"/>
        <v>0</v>
      </c>
      <c r="C29" s="32"/>
      <c r="D29" s="38">
        <f t="shared" si="0"/>
        <v>0</v>
      </c>
      <c r="E29" s="34"/>
    </row>
    <row r="30" spans="1:5" ht="13.5" customHeight="1" x14ac:dyDescent="0.2">
      <c r="A30" s="60">
        <v>21</v>
      </c>
      <c r="B30" s="33">
        <f t="shared" si="1"/>
        <v>0</v>
      </c>
      <c r="C30" s="32"/>
      <c r="D30" s="38">
        <f t="shared" si="0"/>
        <v>0</v>
      </c>
      <c r="E30" s="34"/>
    </row>
    <row r="31" spans="1:5" ht="13.5" customHeight="1" x14ac:dyDescent="0.2">
      <c r="A31" s="61">
        <v>22</v>
      </c>
      <c r="B31" s="33">
        <f t="shared" si="1"/>
        <v>0</v>
      </c>
      <c r="C31" s="32"/>
      <c r="D31" s="38">
        <f t="shared" si="0"/>
        <v>0</v>
      </c>
      <c r="E31" s="34"/>
    </row>
    <row r="32" spans="1:5" ht="13.5" customHeight="1" x14ac:dyDescent="0.2">
      <c r="A32" s="60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61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60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188" customFormat="1" ht="13.5" customHeight="1" x14ac:dyDescent="0.2">
      <c r="A35" s="195">
        <v>26</v>
      </c>
      <c r="B35" s="185">
        <f t="shared" si="1"/>
        <v>0</v>
      </c>
      <c r="C35" s="191"/>
      <c r="D35" s="183">
        <f>C35-B35</f>
        <v>0</v>
      </c>
      <c r="E35" s="186"/>
    </row>
    <row r="36" spans="1:5" ht="13.5" customHeight="1" x14ac:dyDescent="0.2">
      <c r="A36" s="60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61">
        <v>28</v>
      </c>
      <c r="B37" s="33">
        <f t="shared" si="1"/>
        <v>0</v>
      </c>
      <c r="C37" s="32"/>
      <c r="D37" s="38">
        <f t="shared" si="0"/>
        <v>0</v>
      </c>
      <c r="E37" s="48"/>
    </row>
    <row r="38" spans="1:5" ht="13.5" customHeight="1" x14ac:dyDescent="0.2">
      <c r="A38" s="61">
        <v>29</v>
      </c>
      <c r="B38" s="33">
        <f t="shared" si="1"/>
        <v>0</v>
      </c>
      <c r="C38" s="32"/>
      <c r="D38" s="38">
        <f>C38-B38</f>
        <v>0</v>
      </c>
      <c r="E38" s="48"/>
    </row>
    <row r="39" spans="1:5" ht="13.5" customHeight="1" x14ac:dyDescent="0.2">
      <c r="A39" s="61">
        <v>30</v>
      </c>
      <c r="B39" s="33">
        <f>C38</f>
        <v>0</v>
      </c>
      <c r="C39" s="32"/>
      <c r="D39" s="38">
        <f>C39-B39</f>
        <v>0</v>
      </c>
      <c r="E39" s="48"/>
    </row>
    <row r="40" spans="1:5" ht="13.5" customHeight="1" x14ac:dyDescent="0.2">
      <c r="A40" s="61">
        <v>31</v>
      </c>
      <c r="B40" s="33">
        <f>C39</f>
        <v>0</v>
      </c>
      <c r="C40" s="32"/>
      <c r="D40" s="38">
        <f>C40-B40</f>
        <v>0</v>
      </c>
      <c r="E40" s="48"/>
    </row>
    <row r="41" spans="1:5" ht="13.5" thickBot="1" x14ac:dyDescent="0.25">
      <c r="A41" s="57" t="s">
        <v>7</v>
      </c>
      <c r="D41" s="49">
        <f>SUM(D10:D40)</f>
        <v>-17391172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7"/>
  <sheetViews>
    <sheetView workbookViewId="0">
      <selection activeCell="C9" sqref="C9"/>
    </sheetView>
  </sheetViews>
  <sheetFormatPr defaultRowHeight="12.75" x14ac:dyDescent="0.2"/>
  <cols>
    <col min="1" max="1" width="10.140625" bestFit="1" customWidth="1"/>
    <col min="2" max="2" width="13.85546875" customWidth="1"/>
    <col min="3" max="3" width="10.7109375" customWidth="1"/>
    <col min="4" max="4" width="12.42578125" customWidth="1"/>
    <col min="6" max="7" width="12.85546875" customWidth="1"/>
    <col min="9" max="9" width="11.140625" bestFit="1" customWidth="1"/>
    <col min="11" max="12" width="13.28515625" bestFit="1" customWidth="1"/>
  </cols>
  <sheetData>
    <row r="2" spans="1:12" x14ac:dyDescent="0.2">
      <c r="A2" s="96">
        <v>44197</v>
      </c>
    </row>
    <row r="3" spans="1:12" x14ac:dyDescent="0.2">
      <c r="A3" s="6"/>
      <c r="B3" s="6" t="s">
        <v>42</v>
      </c>
      <c r="C3" s="6"/>
      <c r="D3" s="67"/>
      <c r="F3" s="283" t="s">
        <v>83</v>
      </c>
      <c r="G3" s="283"/>
    </row>
    <row r="4" spans="1:12" x14ac:dyDescent="0.2">
      <c r="A4" s="6" t="s">
        <v>43</v>
      </c>
      <c r="B4" s="6" t="s">
        <v>44</v>
      </c>
      <c r="C4" s="6" t="s">
        <v>45</v>
      </c>
      <c r="D4" s="98" t="s">
        <v>89</v>
      </c>
      <c r="F4" s="150" t="s">
        <v>60</v>
      </c>
      <c r="G4" s="150" t="s">
        <v>61</v>
      </c>
      <c r="I4" s="153" t="s">
        <v>88</v>
      </c>
      <c r="K4" s="284" t="s">
        <v>90</v>
      </c>
      <c r="L4" s="285"/>
    </row>
    <row r="5" spans="1:12" x14ac:dyDescent="0.2">
      <c r="A5" s="156">
        <v>1</v>
      </c>
      <c r="B5" s="6">
        <v>42877600</v>
      </c>
      <c r="C5" s="68">
        <v>42886040</v>
      </c>
      <c r="D5" s="68">
        <f>C5-B5</f>
        <v>8440</v>
      </c>
      <c r="F5" s="150"/>
      <c r="G5" s="150"/>
      <c r="I5" s="154">
        <f t="shared" ref="I5:I34" si="0">D5/200</f>
        <v>42.2</v>
      </c>
      <c r="K5" s="8">
        <f>2.68*D5</f>
        <v>22619.200000000001</v>
      </c>
      <c r="L5" s="8">
        <f>K5/1000</f>
        <v>22.619199999999999</v>
      </c>
    </row>
    <row r="6" spans="1:12" x14ac:dyDescent="0.2">
      <c r="A6" s="156">
        <v>2</v>
      </c>
      <c r="B6" s="6">
        <f>C5</f>
        <v>42886040</v>
      </c>
      <c r="C6" s="6">
        <v>42894120</v>
      </c>
      <c r="D6" s="68">
        <f>C6-B6</f>
        <v>8080</v>
      </c>
      <c r="F6" s="150"/>
      <c r="G6" s="150"/>
      <c r="I6" s="154">
        <f t="shared" si="0"/>
        <v>40.4</v>
      </c>
      <c r="K6" s="8">
        <f t="shared" ref="K6:K36" si="1">2.68*D6</f>
        <v>21654.400000000001</v>
      </c>
      <c r="L6" s="8">
        <f t="shared" ref="L6:L36" si="2">K6/1000</f>
        <v>21.654400000000003</v>
      </c>
    </row>
    <row r="7" spans="1:12" x14ac:dyDescent="0.2">
      <c r="A7" s="156">
        <v>3</v>
      </c>
      <c r="B7" s="6">
        <f t="shared" ref="B7:B35" si="3">C6</f>
        <v>42894120</v>
      </c>
      <c r="C7" s="6">
        <v>42902350</v>
      </c>
      <c r="D7" s="68">
        <f t="shared" ref="D7:D31" si="4">C7-B7</f>
        <v>8230</v>
      </c>
      <c r="F7" s="150"/>
      <c r="G7" s="150"/>
      <c r="I7" s="154">
        <f t="shared" si="0"/>
        <v>41.15</v>
      </c>
      <c r="K7" s="8">
        <f t="shared" si="1"/>
        <v>22056.400000000001</v>
      </c>
      <c r="L7" s="8">
        <f t="shared" si="2"/>
        <v>22.0564</v>
      </c>
    </row>
    <row r="8" spans="1:12" x14ac:dyDescent="0.2">
      <c r="A8" s="156">
        <v>4</v>
      </c>
      <c r="B8" s="6">
        <f t="shared" si="3"/>
        <v>42902350</v>
      </c>
      <c r="C8" s="6">
        <v>42911170</v>
      </c>
      <c r="D8" s="68">
        <f t="shared" si="4"/>
        <v>8820</v>
      </c>
      <c r="F8" s="150"/>
      <c r="G8" s="150"/>
      <c r="I8" s="154">
        <f t="shared" si="0"/>
        <v>44.1</v>
      </c>
      <c r="K8" s="8">
        <f t="shared" si="1"/>
        <v>23637.600000000002</v>
      </c>
      <c r="L8" s="8">
        <f t="shared" si="2"/>
        <v>23.637600000000003</v>
      </c>
    </row>
    <row r="9" spans="1:12" x14ac:dyDescent="0.2">
      <c r="A9" s="156">
        <v>5</v>
      </c>
      <c r="B9" s="6">
        <f t="shared" si="3"/>
        <v>42911170</v>
      </c>
      <c r="C9" s="6"/>
      <c r="D9" s="68">
        <f t="shared" si="4"/>
        <v>-42911170</v>
      </c>
      <c r="F9" s="150"/>
      <c r="G9" s="150"/>
      <c r="I9" s="154">
        <f t="shared" si="0"/>
        <v>-214555.85</v>
      </c>
      <c r="K9" s="8">
        <f t="shared" si="1"/>
        <v>-115001935.60000001</v>
      </c>
      <c r="L9" s="8">
        <f t="shared" si="2"/>
        <v>-115001.93560000001</v>
      </c>
    </row>
    <row r="10" spans="1:12" x14ac:dyDescent="0.2">
      <c r="A10" s="156">
        <v>6</v>
      </c>
      <c r="B10" s="6">
        <f t="shared" si="3"/>
        <v>0</v>
      </c>
      <c r="C10" s="6"/>
      <c r="D10" s="68">
        <f t="shared" si="4"/>
        <v>0</v>
      </c>
      <c r="F10" s="150"/>
      <c r="G10" s="150"/>
      <c r="I10" s="154">
        <f t="shared" si="0"/>
        <v>0</v>
      </c>
      <c r="K10" s="8">
        <f t="shared" si="1"/>
        <v>0</v>
      </c>
      <c r="L10" s="8">
        <f t="shared" si="2"/>
        <v>0</v>
      </c>
    </row>
    <row r="11" spans="1:12" x14ac:dyDescent="0.2">
      <c r="A11" s="156">
        <v>7</v>
      </c>
      <c r="B11" s="6">
        <f t="shared" si="3"/>
        <v>0</v>
      </c>
      <c r="C11" s="6"/>
      <c r="D11" s="68">
        <f t="shared" si="4"/>
        <v>0</v>
      </c>
      <c r="F11" s="150"/>
      <c r="G11" s="150"/>
      <c r="I11" s="154">
        <f t="shared" si="0"/>
        <v>0</v>
      </c>
      <c r="K11" s="8">
        <f t="shared" si="1"/>
        <v>0</v>
      </c>
      <c r="L11" s="8">
        <f t="shared" si="2"/>
        <v>0</v>
      </c>
    </row>
    <row r="12" spans="1:12" x14ac:dyDescent="0.2">
      <c r="A12" s="156">
        <v>8</v>
      </c>
      <c r="B12" s="6">
        <f t="shared" si="3"/>
        <v>0</v>
      </c>
      <c r="C12" s="6"/>
      <c r="D12" s="68">
        <f t="shared" si="4"/>
        <v>0</v>
      </c>
      <c r="F12" s="150"/>
      <c r="G12" s="150"/>
      <c r="I12" s="154">
        <f t="shared" si="0"/>
        <v>0</v>
      </c>
      <c r="K12" s="8">
        <f t="shared" si="1"/>
        <v>0</v>
      </c>
      <c r="L12" s="8">
        <f t="shared" si="2"/>
        <v>0</v>
      </c>
    </row>
    <row r="13" spans="1:12" x14ac:dyDescent="0.2">
      <c r="A13" s="156">
        <v>9</v>
      </c>
      <c r="B13" s="6">
        <f t="shared" si="3"/>
        <v>0</v>
      </c>
      <c r="C13" s="6"/>
      <c r="D13" s="68">
        <f t="shared" si="4"/>
        <v>0</v>
      </c>
      <c r="F13" s="150"/>
      <c r="G13" s="150"/>
      <c r="I13" s="154">
        <f t="shared" si="0"/>
        <v>0</v>
      </c>
      <c r="K13" s="8">
        <f t="shared" si="1"/>
        <v>0</v>
      </c>
      <c r="L13" s="8">
        <f t="shared" si="2"/>
        <v>0</v>
      </c>
    </row>
    <row r="14" spans="1:12" x14ac:dyDescent="0.2">
      <c r="A14" s="156">
        <v>10</v>
      </c>
      <c r="B14" s="6">
        <f t="shared" si="3"/>
        <v>0</v>
      </c>
      <c r="C14" s="6"/>
      <c r="D14" s="68">
        <f t="shared" si="4"/>
        <v>0</v>
      </c>
      <c r="F14" s="150"/>
      <c r="G14" s="150"/>
      <c r="I14" s="154">
        <f t="shared" si="0"/>
        <v>0</v>
      </c>
      <c r="K14" s="8">
        <f t="shared" si="1"/>
        <v>0</v>
      </c>
      <c r="L14" s="8">
        <f t="shared" si="2"/>
        <v>0</v>
      </c>
    </row>
    <row r="15" spans="1:12" x14ac:dyDescent="0.2">
      <c r="A15" s="156">
        <v>11</v>
      </c>
      <c r="B15" s="6">
        <f t="shared" si="3"/>
        <v>0</v>
      </c>
      <c r="C15" s="6"/>
      <c r="D15" s="68">
        <f t="shared" si="4"/>
        <v>0</v>
      </c>
      <c r="F15" s="150"/>
      <c r="G15" s="150"/>
      <c r="I15" s="154">
        <f t="shared" si="0"/>
        <v>0</v>
      </c>
      <c r="K15" s="8">
        <f t="shared" si="1"/>
        <v>0</v>
      </c>
      <c r="L15" s="8">
        <f t="shared" si="2"/>
        <v>0</v>
      </c>
    </row>
    <row r="16" spans="1:12" x14ac:dyDescent="0.2">
      <c r="A16" s="156">
        <v>12</v>
      </c>
      <c r="B16" s="6">
        <f t="shared" si="3"/>
        <v>0</v>
      </c>
      <c r="C16" s="6"/>
      <c r="D16" s="68">
        <f t="shared" si="4"/>
        <v>0</v>
      </c>
      <c r="F16" s="150"/>
      <c r="G16" s="150"/>
      <c r="I16" s="154">
        <f t="shared" si="0"/>
        <v>0</v>
      </c>
      <c r="K16" s="8">
        <f t="shared" si="1"/>
        <v>0</v>
      </c>
      <c r="L16" s="8">
        <f t="shared" si="2"/>
        <v>0</v>
      </c>
    </row>
    <row r="17" spans="1:12" x14ac:dyDescent="0.2">
      <c r="A17" s="156">
        <v>13</v>
      </c>
      <c r="B17" s="6">
        <f t="shared" si="3"/>
        <v>0</v>
      </c>
      <c r="C17" s="6"/>
      <c r="D17" s="68">
        <f t="shared" si="4"/>
        <v>0</v>
      </c>
      <c r="F17" s="150"/>
      <c r="G17" s="150"/>
      <c r="I17" s="154">
        <f t="shared" si="0"/>
        <v>0</v>
      </c>
      <c r="K17" s="8">
        <f t="shared" si="1"/>
        <v>0</v>
      </c>
      <c r="L17" s="8">
        <f t="shared" si="2"/>
        <v>0</v>
      </c>
    </row>
    <row r="18" spans="1:12" x14ac:dyDescent="0.2">
      <c r="A18" s="156">
        <v>14</v>
      </c>
      <c r="B18" s="6">
        <f t="shared" si="3"/>
        <v>0</v>
      </c>
      <c r="C18" s="6"/>
      <c r="D18" s="68">
        <f t="shared" si="4"/>
        <v>0</v>
      </c>
      <c r="F18" s="150"/>
      <c r="G18" s="150"/>
      <c r="I18" s="154">
        <f t="shared" si="0"/>
        <v>0</v>
      </c>
      <c r="K18" s="8">
        <f t="shared" si="1"/>
        <v>0</v>
      </c>
      <c r="L18" s="8">
        <f t="shared" si="2"/>
        <v>0</v>
      </c>
    </row>
    <row r="19" spans="1:12" x14ac:dyDescent="0.2">
      <c r="A19" s="156">
        <v>15</v>
      </c>
      <c r="B19" s="6">
        <f t="shared" si="3"/>
        <v>0</v>
      </c>
      <c r="C19" s="6"/>
      <c r="D19" s="68">
        <f t="shared" si="4"/>
        <v>0</v>
      </c>
      <c r="F19" s="150"/>
      <c r="G19" s="150"/>
      <c r="I19" s="154">
        <f t="shared" si="0"/>
        <v>0</v>
      </c>
      <c r="K19" s="8">
        <f t="shared" si="1"/>
        <v>0</v>
      </c>
      <c r="L19" s="8">
        <f t="shared" si="2"/>
        <v>0</v>
      </c>
    </row>
    <row r="20" spans="1:12" x14ac:dyDescent="0.2">
      <c r="A20" s="156">
        <v>16</v>
      </c>
      <c r="B20" s="6">
        <f t="shared" si="3"/>
        <v>0</v>
      </c>
      <c r="C20" s="6"/>
      <c r="D20" s="68">
        <f t="shared" si="4"/>
        <v>0</v>
      </c>
      <c r="F20" s="150"/>
      <c r="G20" s="150"/>
      <c r="I20" s="154">
        <f t="shared" si="0"/>
        <v>0</v>
      </c>
      <c r="K20" s="8">
        <f t="shared" si="1"/>
        <v>0</v>
      </c>
      <c r="L20" s="8">
        <f t="shared" si="2"/>
        <v>0</v>
      </c>
    </row>
    <row r="21" spans="1:12" x14ac:dyDescent="0.2">
      <c r="A21" s="156">
        <v>17</v>
      </c>
      <c r="B21" s="6">
        <f t="shared" si="3"/>
        <v>0</v>
      </c>
      <c r="C21" s="6"/>
      <c r="D21" s="68">
        <f t="shared" si="4"/>
        <v>0</v>
      </c>
      <c r="F21" s="150"/>
      <c r="G21" s="150"/>
      <c r="I21" s="154">
        <f t="shared" si="0"/>
        <v>0</v>
      </c>
      <c r="K21" s="8">
        <f t="shared" si="1"/>
        <v>0</v>
      </c>
      <c r="L21" s="8">
        <f t="shared" si="2"/>
        <v>0</v>
      </c>
    </row>
    <row r="22" spans="1:12" x14ac:dyDescent="0.2">
      <c r="A22" s="156">
        <v>18</v>
      </c>
      <c r="B22" s="6">
        <f t="shared" si="3"/>
        <v>0</v>
      </c>
      <c r="C22" s="6"/>
      <c r="D22" s="68">
        <f t="shared" si="4"/>
        <v>0</v>
      </c>
      <c r="F22" s="150"/>
      <c r="G22" s="150"/>
      <c r="I22" s="154">
        <f t="shared" si="0"/>
        <v>0</v>
      </c>
      <c r="K22" s="8">
        <f t="shared" si="1"/>
        <v>0</v>
      </c>
      <c r="L22" s="8">
        <f t="shared" si="2"/>
        <v>0</v>
      </c>
    </row>
    <row r="23" spans="1:12" x14ac:dyDescent="0.2">
      <c r="A23" s="156">
        <v>19</v>
      </c>
      <c r="B23" s="6">
        <f t="shared" si="3"/>
        <v>0</v>
      </c>
      <c r="C23" s="6"/>
      <c r="D23" s="68">
        <f t="shared" si="4"/>
        <v>0</v>
      </c>
      <c r="F23" s="150"/>
      <c r="G23" s="150"/>
      <c r="I23" s="154">
        <f t="shared" si="0"/>
        <v>0</v>
      </c>
      <c r="K23" s="8">
        <f t="shared" si="1"/>
        <v>0</v>
      </c>
      <c r="L23" s="8">
        <f t="shared" si="2"/>
        <v>0</v>
      </c>
    </row>
    <row r="24" spans="1:12" x14ac:dyDescent="0.2">
      <c r="A24" s="156">
        <v>20</v>
      </c>
      <c r="B24" s="6">
        <f t="shared" si="3"/>
        <v>0</v>
      </c>
      <c r="C24" s="6"/>
      <c r="D24" s="68">
        <f t="shared" si="4"/>
        <v>0</v>
      </c>
      <c r="F24" s="150"/>
      <c r="G24" s="150"/>
      <c r="I24" s="154">
        <f t="shared" si="0"/>
        <v>0</v>
      </c>
      <c r="K24" s="8">
        <f t="shared" si="1"/>
        <v>0</v>
      </c>
      <c r="L24" s="8">
        <f t="shared" si="2"/>
        <v>0</v>
      </c>
    </row>
    <row r="25" spans="1:12" x14ac:dyDescent="0.2">
      <c r="A25" s="156">
        <v>21</v>
      </c>
      <c r="B25" s="6">
        <f t="shared" si="3"/>
        <v>0</v>
      </c>
      <c r="C25" s="6"/>
      <c r="D25" s="68">
        <f t="shared" si="4"/>
        <v>0</v>
      </c>
      <c r="F25" s="150"/>
      <c r="G25" s="150"/>
      <c r="I25" s="154">
        <f t="shared" si="0"/>
        <v>0</v>
      </c>
      <c r="K25" s="8">
        <f t="shared" si="1"/>
        <v>0</v>
      </c>
      <c r="L25" s="8">
        <f t="shared" si="2"/>
        <v>0</v>
      </c>
    </row>
    <row r="26" spans="1:12" x14ac:dyDescent="0.2">
      <c r="A26" s="156">
        <v>22</v>
      </c>
      <c r="B26" s="6">
        <f t="shared" si="3"/>
        <v>0</v>
      </c>
      <c r="C26" s="6"/>
      <c r="D26" s="68">
        <f t="shared" si="4"/>
        <v>0</v>
      </c>
      <c r="F26" s="150"/>
      <c r="G26" s="150"/>
      <c r="I26" s="154">
        <f t="shared" si="0"/>
        <v>0</v>
      </c>
      <c r="K26" s="8">
        <f t="shared" si="1"/>
        <v>0</v>
      </c>
      <c r="L26" s="8">
        <f t="shared" si="2"/>
        <v>0</v>
      </c>
    </row>
    <row r="27" spans="1:12" x14ac:dyDescent="0.2">
      <c r="A27" s="156">
        <v>23</v>
      </c>
      <c r="B27" s="6">
        <f t="shared" si="3"/>
        <v>0</v>
      </c>
      <c r="C27" s="6"/>
      <c r="D27" s="68">
        <f t="shared" si="4"/>
        <v>0</v>
      </c>
      <c r="F27" s="150"/>
      <c r="G27" s="150"/>
      <c r="I27" s="154">
        <f t="shared" si="0"/>
        <v>0</v>
      </c>
      <c r="K27" s="8">
        <f t="shared" si="1"/>
        <v>0</v>
      </c>
      <c r="L27" s="8">
        <f t="shared" si="2"/>
        <v>0</v>
      </c>
    </row>
    <row r="28" spans="1:12" x14ac:dyDescent="0.2">
      <c r="A28" s="156">
        <v>24</v>
      </c>
      <c r="B28" s="6">
        <f t="shared" si="3"/>
        <v>0</v>
      </c>
      <c r="C28" s="6"/>
      <c r="D28" s="68">
        <f t="shared" si="4"/>
        <v>0</v>
      </c>
      <c r="F28" s="150"/>
      <c r="G28" s="150"/>
      <c r="I28" s="154">
        <f t="shared" si="0"/>
        <v>0</v>
      </c>
      <c r="K28" s="8">
        <f t="shared" si="1"/>
        <v>0</v>
      </c>
      <c r="L28" s="8">
        <f>K28/1000</f>
        <v>0</v>
      </c>
    </row>
    <row r="29" spans="1:12" x14ac:dyDescent="0.2">
      <c r="A29" s="156">
        <v>25</v>
      </c>
      <c r="B29" s="6">
        <f t="shared" si="3"/>
        <v>0</v>
      </c>
      <c r="C29" s="6"/>
      <c r="D29" s="141">
        <f t="shared" si="4"/>
        <v>0</v>
      </c>
      <c r="E29" s="137"/>
      <c r="F29" s="151"/>
      <c r="G29" s="150"/>
      <c r="I29" s="154">
        <f t="shared" si="0"/>
        <v>0</v>
      </c>
      <c r="K29" s="8">
        <f t="shared" si="1"/>
        <v>0</v>
      </c>
      <c r="L29" s="8">
        <f t="shared" si="2"/>
        <v>0</v>
      </c>
    </row>
    <row r="30" spans="1:12" x14ac:dyDescent="0.2">
      <c r="A30" s="156">
        <v>26</v>
      </c>
      <c r="B30" s="6">
        <f t="shared" si="3"/>
        <v>0</v>
      </c>
      <c r="C30" s="6"/>
      <c r="D30" s="68">
        <f t="shared" si="4"/>
        <v>0</v>
      </c>
      <c r="F30" s="150"/>
      <c r="G30" s="150"/>
      <c r="I30" s="154">
        <f t="shared" si="0"/>
        <v>0</v>
      </c>
      <c r="K30" s="8">
        <f t="shared" si="1"/>
        <v>0</v>
      </c>
      <c r="L30" s="8">
        <f t="shared" si="2"/>
        <v>0</v>
      </c>
    </row>
    <row r="31" spans="1:12" x14ac:dyDescent="0.2">
      <c r="A31" s="156">
        <v>27</v>
      </c>
      <c r="B31" s="6">
        <f t="shared" si="3"/>
        <v>0</v>
      </c>
      <c r="C31" s="6"/>
      <c r="D31" s="68">
        <f t="shared" si="4"/>
        <v>0</v>
      </c>
      <c r="F31" s="150"/>
      <c r="G31" s="150"/>
      <c r="I31" s="154">
        <f t="shared" si="0"/>
        <v>0</v>
      </c>
      <c r="K31" s="8">
        <f t="shared" si="1"/>
        <v>0</v>
      </c>
      <c r="L31" s="8">
        <f t="shared" si="2"/>
        <v>0</v>
      </c>
    </row>
    <row r="32" spans="1:12" x14ac:dyDescent="0.2">
      <c r="A32" s="156">
        <v>28</v>
      </c>
      <c r="B32" s="6">
        <f t="shared" si="3"/>
        <v>0</v>
      </c>
      <c r="C32" s="6"/>
      <c r="D32" s="68">
        <f>C32-B32</f>
        <v>0</v>
      </c>
      <c r="F32" s="150"/>
      <c r="G32" s="150"/>
      <c r="I32" s="154">
        <f t="shared" si="0"/>
        <v>0</v>
      </c>
      <c r="K32" s="8">
        <f t="shared" si="1"/>
        <v>0</v>
      </c>
      <c r="L32" s="8">
        <f t="shared" si="2"/>
        <v>0</v>
      </c>
    </row>
    <row r="33" spans="1:12" x14ac:dyDescent="0.2">
      <c r="A33" s="156">
        <v>29</v>
      </c>
      <c r="B33" s="6">
        <f t="shared" si="3"/>
        <v>0</v>
      </c>
      <c r="C33" s="6"/>
      <c r="D33" s="68">
        <f t="shared" ref="D33:D35" si="5">C33-B33</f>
        <v>0</v>
      </c>
      <c r="F33" s="150"/>
      <c r="G33" s="150"/>
      <c r="I33" s="154">
        <f t="shared" si="0"/>
        <v>0</v>
      </c>
      <c r="K33" s="8">
        <f t="shared" si="1"/>
        <v>0</v>
      </c>
      <c r="L33" s="8">
        <f t="shared" si="2"/>
        <v>0</v>
      </c>
    </row>
    <row r="34" spans="1:12" x14ac:dyDescent="0.2">
      <c r="A34" s="156">
        <v>30</v>
      </c>
      <c r="B34" s="6">
        <f t="shared" si="3"/>
        <v>0</v>
      </c>
      <c r="C34" s="6"/>
      <c r="D34" s="68">
        <f t="shared" si="5"/>
        <v>0</v>
      </c>
      <c r="F34" s="150">
        <v>0</v>
      </c>
      <c r="G34" s="150"/>
      <c r="I34" s="154">
        <f t="shared" si="0"/>
        <v>0</v>
      </c>
      <c r="K34" s="8">
        <f t="shared" si="1"/>
        <v>0</v>
      </c>
      <c r="L34" s="8">
        <f t="shared" si="2"/>
        <v>0</v>
      </c>
    </row>
    <row r="35" spans="1:12" x14ac:dyDescent="0.2">
      <c r="A35" s="156">
        <v>31</v>
      </c>
      <c r="B35" s="6">
        <f t="shared" si="3"/>
        <v>0</v>
      </c>
      <c r="C35" s="6"/>
      <c r="D35" s="68">
        <f t="shared" si="5"/>
        <v>0</v>
      </c>
      <c r="F35" s="180"/>
      <c r="G35" s="180"/>
      <c r="I35" s="154"/>
      <c r="K35" s="8"/>
      <c r="L35" s="8"/>
    </row>
    <row r="36" spans="1:12" ht="13.5" thickBot="1" x14ac:dyDescent="0.25">
      <c r="D36" s="69">
        <f>SUM(D5:D34)</f>
        <v>-42877600</v>
      </c>
      <c r="F36" s="152"/>
      <c r="G36" s="152"/>
      <c r="I36" s="154">
        <f>SUM(I5:I34)</f>
        <v>-214388</v>
      </c>
      <c r="K36" s="8">
        <f t="shared" si="1"/>
        <v>-114911968</v>
      </c>
      <c r="L36" s="8">
        <f t="shared" si="2"/>
        <v>-114911.96799999999</v>
      </c>
    </row>
    <row r="37" spans="1:12" ht="13.5" thickTop="1" x14ac:dyDescent="0.2"/>
  </sheetData>
  <mergeCells count="2">
    <mergeCell ref="F3:G3"/>
    <mergeCell ref="K4:L4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Z38"/>
  <sheetViews>
    <sheetView topLeftCell="F1" workbookViewId="0">
      <selection activeCell="R6" sqref="R6"/>
    </sheetView>
  </sheetViews>
  <sheetFormatPr defaultRowHeight="12.75" x14ac:dyDescent="0.2"/>
  <cols>
    <col min="1" max="1" width="8.28515625" style="18" customWidth="1"/>
    <col min="2" max="2" width="13.5703125" style="18" customWidth="1"/>
    <col min="3" max="4" width="8.85546875" style="18" customWidth="1"/>
    <col min="5" max="5" width="4.7109375" style="171" customWidth="1"/>
    <col min="6" max="6" width="8.28515625" style="18" customWidth="1"/>
    <col min="7" max="7" width="13.5703125" style="18" customWidth="1"/>
    <col min="8" max="8" width="10" style="18" customWidth="1"/>
    <col min="9" max="9" width="14" style="18" customWidth="1"/>
    <col min="10" max="10" width="3.5703125" style="171" customWidth="1"/>
    <col min="11" max="11" width="8.28515625" style="18" customWidth="1"/>
    <col min="12" max="13" width="13.5703125" style="18" customWidth="1"/>
    <col min="14" max="14" width="16.7109375" style="18" customWidth="1"/>
    <col min="15" max="15" width="4.28515625" style="171" customWidth="1"/>
    <col min="16" max="16" width="8.28515625" style="18" customWidth="1"/>
    <col min="17" max="17" width="13.5703125" style="18" customWidth="1"/>
    <col min="18" max="18" width="8.85546875" style="18" customWidth="1"/>
    <col min="19" max="19" width="11.140625" style="18" customWidth="1"/>
    <col min="20" max="20" width="5.5703125" style="171" customWidth="1"/>
    <col min="22" max="22" width="19.140625" style="19" customWidth="1"/>
    <col min="23" max="23" width="11.7109375" style="3" customWidth="1"/>
    <col min="24" max="24" width="11.85546875" customWidth="1"/>
  </cols>
  <sheetData>
    <row r="1" spans="1:24" ht="12.75" customHeight="1" x14ac:dyDescent="0.2">
      <c r="A1" s="305" t="s">
        <v>146</v>
      </c>
      <c r="B1" s="305"/>
      <c r="C1" s="305"/>
      <c r="D1" s="254"/>
      <c r="E1" s="316"/>
      <c r="F1" s="305" t="s">
        <v>146</v>
      </c>
      <c r="G1" s="305"/>
      <c r="H1" s="305"/>
      <c r="I1" s="254"/>
      <c r="J1" s="316"/>
      <c r="K1" s="305" t="s">
        <v>146</v>
      </c>
      <c r="L1" s="305"/>
      <c r="M1" s="305"/>
      <c r="N1" s="254"/>
      <c r="O1" s="316"/>
      <c r="P1" s="305" t="s">
        <v>146</v>
      </c>
      <c r="Q1" s="305"/>
      <c r="R1" s="305"/>
      <c r="S1" s="254"/>
      <c r="T1" s="316"/>
      <c r="U1" s="305"/>
      <c r="V1" s="305"/>
      <c r="W1" s="305"/>
      <c r="X1" s="305"/>
    </row>
    <row r="2" spans="1:24" s="1" customFormat="1" ht="12.75" customHeight="1" x14ac:dyDescent="0.2">
      <c r="A2" s="305"/>
      <c r="B2" s="305"/>
      <c r="C2" s="305"/>
      <c r="D2" s="254"/>
      <c r="E2" s="316"/>
      <c r="F2" s="305"/>
      <c r="G2" s="305"/>
      <c r="H2" s="305"/>
      <c r="I2" s="254"/>
      <c r="J2" s="316"/>
      <c r="K2" s="305"/>
      <c r="L2" s="305"/>
      <c r="M2" s="305"/>
      <c r="N2" s="254"/>
      <c r="O2" s="316"/>
      <c r="P2" s="305"/>
      <c r="Q2" s="305"/>
      <c r="R2" s="305"/>
      <c r="S2" s="254"/>
      <c r="T2" s="316"/>
      <c r="U2" s="305"/>
      <c r="V2" s="305"/>
      <c r="W2" s="305"/>
      <c r="X2" s="305"/>
    </row>
    <row r="3" spans="1:24" ht="34.5" customHeight="1" thickBot="1" x14ac:dyDescent="0.25">
      <c r="A3" s="305"/>
      <c r="B3" s="305"/>
      <c r="C3" s="305"/>
      <c r="D3" s="254"/>
      <c r="E3" s="316"/>
      <c r="F3" s="305"/>
      <c r="G3" s="305"/>
      <c r="H3" s="305"/>
      <c r="I3" s="254"/>
      <c r="J3" s="316"/>
      <c r="K3" s="305"/>
      <c r="L3" s="305"/>
      <c r="M3" s="305"/>
      <c r="N3" s="254"/>
      <c r="O3" s="316"/>
      <c r="P3" s="305"/>
      <c r="Q3" s="305"/>
      <c r="R3" s="305"/>
      <c r="S3" s="254"/>
      <c r="T3" s="316"/>
      <c r="U3" s="305"/>
      <c r="V3" s="305"/>
      <c r="W3" s="305"/>
      <c r="X3" s="305"/>
    </row>
    <row r="4" spans="1:24" ht="15" customHeight="1" thickBot="1" x14ac:dyDescent="0.25">
      <c r="A4" s="255"/>
      <c r="B4" s="275" t="s">
        <v>144</v>
      </c>
      <c r="C4" s="276"/>
      <c r="D4" s="70"/>
      <c r="E4" s="327"/>
      <c r="F4" s="255"/>
      <c r="G4" s="275" t="s">
        <v>149</v>
      </c>
      <c r="H4" s="276"/>
      <c r="I4" s="70"/>
      <c r="J4" s="327"/>
      <c r="K4" s="255"/>
      <c r="L4" s="275" t="s">
        <v>150</v>
      </c>
      <c r="M4" s="276"/>
      <c r="N4" s="70"/>
      <c r="O4" s="323"/>
      <c r="P4" s="255"/>
      <c r="Q4" s="275" t="s">
        <v>151</v>
      </c>
      <c r="R4" s="276"/>
      <c r="S4" s="70"/>
      <c r="T4" s="317"/>
      <c r="U4" s="309" t="s">
        <v>147</v>
      </c>
      <c r="V4" s="310"/>
      <c r="W4" s="310"/>
      <c r="X4" s="311"/>
    </row>
    <row r="5" spans="1:24" ht="36" customHeight="1" thickBot="1" x14ac:dyDescent="0.25">
      <c r="A5" s="306" t="s">
        <v>5</v>
      </c>
      <c r="B5" s="27" t="s">
        <v>19</v>
      </c>
      <c r="C5" s="28" t="s">
        <v>20</v>
      </c>
      <c r="D5" s="54" t="s">
        <v>145</v>
      </c>
      <c r="E5" s="318"/>
      <c r="F5" s="306" t="s">
        <v>5</v>
      </c>
      <c r="G5" s="27" t="s">
        <v>19</v>
      </c>
      <c r="H5" s="28" t="s">
        <v>20</v>
      </c>
      <c r="I5" s="54" t="s">
        <v>145</v>
      </c>
      <c r="J5" s="318"/>
      <c r="K5" s="306" t="s">
        <v>5</v>
      </c>
      <c r="L5" s="27" t="s">
        <v>19</v>
      </c>
      <c r="M5" s="28" t="s">
        <v>20</v>
      </c>
      <c r="N5" s="54" t="s">
        <v>145</v>
      </c>
      <c r="O5" s="324"/>
      <c r="P5" s="306" t="s">
        <v>5</v>
      </c>
      <c r="Q5" s="27" t="s">
        <v>19</v>
      </c>
      <c r="R5" s="28" t="s">
        <v>20</v>
      </c>
      <c r="S5" s="54" t="s">
        <v>145</v>
      </c>
      <c r="T5" s="318"/>
      <c r="U5" s="313" t="s">
        <v>46</v>
      </c>
      <c r="V5" s="314" t="s">
        <v>13</v>
      </c>
      <c r="W5" s="315" t="s">
        <v>148</v>
      </c>
      <c r="X5" s="313" t="s">
        <v>95</v>
      </c>
    </row>
    <row r="6" spans="1:24" ht="15" customHeight="1" x14ac:dyDescent="0.2">
      <c r="A6" s="307">
        <v>1</v>
      </c>
      <c r="B6" s="94">
        <v>0</v>
      </c>
      <c r="C6" s="94">
        <v>0</v>
      </c>
      <c r="D6" s="67">
        <f>C6-B6</f>
        <v>0</v>
      </c>
      <c r="E6" s="319"/>
      <c r="F6" s="307">
        <v>1</v>
      </c>
      <c r="G6" s="181">
        <v>834</v>
      </c>
      <c r="H6" s="94">
        <v>907</v>
      </c>
      <c r="I6" s="67">
        <f>H6-G6</f>
        <v>73</v>
      </c>
      <c r="J6" s="319"/>
      <c r="K6" s="307">
        <v>1</v>
      </c>
      <c r="L6" s="94">
        <v>708651</v>
      </c>
      <c r="M6" s="94">
        <v>708897</v>
      </c>
      <c r="N6" s="67">
        <f>M6-L6</f>
        <v>246</v>
      </c>
      <c r="O6" s="325"/>
      <c r="P6" s="307">
        <v>1</v>
      </c>
      <c r="Q6" s="94">
        <v>191812</v>
      </c>
      <c r="R6" s="94">
        <v>191908</v>
      </c>
      <c r="S6" s="67">
        <f>R6-Q6</f>
        <v>96</v>
      </c>
      <c r="T6" s="319"/>
      <c r="U6" s="33">
        <v>1</v>
      </c>
      <c r="V6" s="110">
        <f>SUM(S6+N6+I6+D6)</f>
        <v>415</v>
      </c>
      <c r="W6" s="161">
        <v>98.06</v>
      </c>
      <c r="X6" s="6"/>
    </row>
    <row r="7" spans="1:24" ht="15" customHeight="1" x14ac:dyDescent="0.2">
      <c r="A7" s="307">
        <v>2</v>
      </c>
      <c r="B7" s="31">
        <f t="shared" ref="B7:B34" si="0">C6</f>
        <v>0</v>
      </c>
      <c r="C7" s="94">
        <v>0</v>
      </c>
      <c r="D7" s="67">
        <f t="shared" ref="D7:D33" si="1">C7-B7</f>
        <v>0</v>
      </c>
      <c r="E7" s="320"/>
      <c r="F7" s="307">
        <v>2</v>
      </c>
      <c r="G7" s="31">
        <f t="shared" ref="G7:G34" si="2">H6</f>
        <v>907</v>
      </c>
      <c r="H7" s="94">
        <v>954</v>
      </c>
      <c r="I7" s="67">
        <f t="shared" ref="I7:I33" si="3">H7-G7</f>
        <v>47</v>
      </c>
      <c r="J7" s="320"/>
      <c r="K7" s="307">
        <v>2</v>
      </c>
      <c r="L7" s="31">
        <f t="shared" ref="L7:L34" si="4">M6</f>
        <v>708897</v>
      </c>
      <c r="M7" s="94">
        <v>709136</v>
      </c>
      <c r="N7" s="67">
        <f t="shared" ref="N7:N33" si="5">M7-L7</f>
        <v>239</v>
      </c>
      <c r="O7" s="325"/>
      <c r="P7" s="307">
        <v>2</v>
      </c>
      <c r="Q7" s="31">
        <f t="shared" ref="Q7:Q34" si="6">R6</f>
        <v>191908</v>
      </c>
      <c r="R7" s="94">
        <v>191990</v>
      </c>
      <c r="S7" s="67">
        <f t="shared" ref="S7:S33" si="7">R7-Q7</f>
        <v>82</v>
      </c>
      <c r="T7" s="320"/>
      <c r="U7" s="32">
        <v>2</v>
      </c>
      <c r="V7" s="110">
        <f t="shared" ref="V7:V36" si="8">SUM(S7+N7+I7+D7)</f>
        <v>368</v>
      </c>
      <c r="W7" s="161"/>
      <c r="X7" s="6"/>
    </row>
    <row r="8" spans="1:24" ht="15" customHeight="1" x14ac:dyDescent="0.2">
      <c r="A8" s="307">
        <v>3</v>
      </c>
      <c r="B8" s="33">
        <f t="shared" si="0"/>
        <v>0</v>
      </c>
      <c r="C8" s="94">
        <v>0</v>
      </c>
      <c r="D8" s="67">
        <f t="shared" si="1"/>
        <v>0</v>
      </c>
      <c r="E8" s="319"/>
      <c r="F8" s="307">
        <v>3</v>
      </c>
      <c r="G8" s="33">
        <f t="shared" si="2"/>
        <v>954</v>
      </c>
      <c r="H8" s="94">
        <v>1036</v>
      </c>
      <c r="I8" s="67">
        <f t="shared" si="3"/>
        <v>82</v>
      </c>
      <c r="J8" s="319"/>
      <c r="K8" s="307">
        <v>3</v>
      </c>
      <c r="L8" s="33">
        <f t="shared" si="4"/>
        <v>709136</v>
      </c>
      <c r="M8" s="94">
        <v>709343</v>
      </c>
      <c r="N8" s="67">
        <f t="shared" si="5"/>
        <v>207</v>
      </c>
      <c r="O8" s="325"/>
      <c r="P8" s="307">
        <v>3</v>
      </c>
      <c r="Q8" s="33">
        <f t="shared" si="6"/>
        <v>191990</v>
      </c>
      <c r="R8" s="94">
        <v>192094</v>
      </c>
      <c r="S8" s="67">
        <f t="shared" si="7"/>
        <v>104</v>
      </c>
      <c r="T8" s="319"/>
      <c r="U8" s="33">
        <v>3</v>
      </c>
      <c r="V8" s="110">
        <f t="shared" si="8"/>
        <v>393</v>
      </c>
      <c r="W8" s="161"/>
      <c r="X8" s="6"/>
    </row>
    <row r="9" spans="1:24" ht="15" customHeight="1" x14ac:dyDescent="0.2">
      <c r="A9" s="307">
        <v>4</v>
      </c>
      <c r="B9" s="33">
        <f t="shared" si="0"/>
        <v>0</v>
      </c>
      <c r="C9" s="94">
        <v>0</v>
      </c>
      <c r="D9" s="67">
        <f t="shared" si="1"/>
        <v>0</v>
      </c>
      <c r="E9" s="320"/>
      <c r="F9" s="307">
        <v>4</v>
      </c>
      <c r="G9" s="33">
        <f t="shared" si="2"/>
        <v>1036</v>
      </c>
      <c r="H9" s="94">
        <v>1114</v>
      </c>
      <c r="I9" s="67">
        <f t="shared" si="3"/>
        <v>78</v>
      </c>
      <c r="J9" s="320"/>
      <c r="K9" s="307">
        <v>4</v>
      </c>
      <c r="L9" s="33">
        <f t="shared" si="4"/>
        <v>709343</v>
      </c>
      <c r="M9" s="94">
        <v>709605</v>
      </c>
      <c r="N9" s="67">
        <f t="shared" si="5"/>
        <v>262</v>
      </c>
      <c r="O9" s="325"/>
      <c r="P9" s="307">
        <v>4</v>
      </c>
      <c r="Q9" s="33">
        <f t="shared" si="6"/>
        <v>192094</v>
      </c>
      <c r="R9" s="94">
        <v>192205</v>
      </c>
      <c r="S9" s="67">
        <f t="shared" si="7"/>
        <v>111</v>
      </c>
      <c r="T9" s="319"/>
      <c r="U9" s="33">
        <v>4</v>
      </c>
      <c r="V9" s="110">
        <f t="shared" si="8"/>
        <v>451</v>
      </c>
      <c r="W9" s="161"/>
      <c r="X9" s="6"/>
    </row>
    <row r="10" spans="1:24" ht="15" customHeight="1" x14ac:dyDescent="0.2">
      <c r="A10" s="307">
        <v>5</v>
      </c>
      <c r="B10" s="33">
        <f t="shared" si="0"/>
        <v>0</v>
      </c>
      <c r="C10" s="94">
        <v>0</v>
      </c>
      <c r="D10" s="67">
        <f t="shared" si="1"/>
        <v>0</v>
      </c>
      <c r="E10" s="319"/>
      <c r="F10" s="307">
        <v>5</v>
      </c>
      <c r="G10" s="33">
        <f t="shared" si="2"/>
        <v>1114</v>
      </c>
      <c r="H10" s="94">
        <v>1177</v>
      </c>
      <c r="I10" s="67">
        <f t="shared" si="3"/>
        <v>63</v>
      </c>
      <c r="J10" s="319"/>
      <c r="K10" s="307">
        <v>5</v>
      </c>
      <c r="L10" s="33">
        <f t="shared" si="4"/>
        <v>709605</v>
      </c>
      <c r="M10" s="94">
        <v>709849</v>
      </c>
      <c r="N10" s="67">
        <f t="shared" si="5"/>
        <v>244</v>
      </c>
      <c r="O10" s="325"/>
      <c r="P10" s="307">
        <v>5</v>
      </c>
      <c r="Q10" s="33">
        <f t="shared" si="6"/>
        <v>192205</v>
      </c>
      <c r="R10" s="94">
        <v>192304</v>
      </c>
      <c r="S10" s="67">
        <f t="shared" si="7"/>
        <v>99</v>
      </c>
      <c r="T10" s="320"/>
      <c r="U10" s="32">
        <v>5</v>
      </c>
      <c r="V10" s="110">
        <f t="shared" si="8"/>
        <v>406</v>
      </c>
      <c r="W10" s="161"/>
      <c r="X10" s="6"/>
    </row>
    <row r="11" spans="1:24" ht="15" customHeight="1" x14ac:dyDescent="0.2">
      <c r="A11" s="307">
        <v>6</v>
      </c>
      <c r="B11" s="33">
        <f t="shared" si="0"/>
        <v>0</v>
      </c>
      <c r="C11" s="94">
        <v>0</v>
      </c>
      <c r="D11" s="67">
        <f>C11-B11</f>
        <v>0</v>
      </c>
      <c r="E11" s="320"/>
      <c r="F11" s="307">
        <v>6</v>
      </c>
      <c r="G11" s="33">
        <f t="shared" si="2"/>
        <v>1177</v>
      </c>
      <c r="H11" s="94"/>
      <c r="I11" s="67">
        <f>H11-G11</f>
        <v>-1177</v>
      </c>
      <c r="J11" s="320"/>
      <c r="K11" s="307">
        <v>6</v>
      </c>
      <c r="L11" s="33">
        <f t="shared" si="4"/>
        <v>709849</v>
      </c>
      <c r="M11" s="94"/>
      <c r="N11" s="67">
        <f>M11-L11</f>
        <v>-709849</v>
      </c>
      <c r="O11" s="325"/>
      <c r="P11" s="307">
        <v>6</v>
      </c>
      <c r="Q11" s="33">
        <f t="shared" si="6"/>
        <v>192304</v>
      </c>
      <c r="R11" s="94"/>
      <c r="S11" s="67">
        <f>R11-Q11</f>
        <v>-192304</v>
      </c>
      <c r="T11" s="319"/>
      <c r="U11" s="33">
        <v>6</v>
      </c>
      <c r="V11" s="110">
        <f t="shared" si="8"/>
        <v>-903330</v>
      </c>
      <c r="W11" s="161"/>
      <c r="X11" s="6"/>
    </row>
    <row r="12" spans="1:24" ht="15" customHeight="1" x14ac:dyDescent="0.2">
      <c r="A12" s="307">
        <v>7</v>
      </c>
      <c r="B12" s="33">
        <f t="shared" si="0"/>
        <v>0</v>
      </c>
      <c r="C12" s="94"/>
      <c r="D12" s="67">
        <f t="shared" si="1"/>
        <v>0</v>
      </c>
      <c r="E12" s="319"/>
      <c r="F12" s="307">
        <v>7</v>
      </c>
      <c r="G12" s="33">
        <f t="shared" si="2"/>
        <v>0</v>
      </c>
      <c r="H12" s="94"/>
      <c r="I12" s="67">
        <f t="shared" ref="I12:I38" si="9">H12-G12</f>
        <v>0</v>
      </c>
      <c r="J12" s="319"/>
      <c r="K12" s="307">
        <v>7</v>
      </c>
      <c r="L12" s="33">
        <f t="shared" si="4"/>
        <v>0</v>
      </c>
      <c r="M12" s="94"/>
      <c r="N12" s="67">
        <f t="shared" ref="N12:N38" si="10">M12-L12</f>
        <v>0</v>
      </c>
      <c r="O12" s="325"/>
      <c r="P12" s="307">
        <v>7</v>
      </c>
      <c r="Q12" s="33">
        <f t="shared" si="6"/>
        <v>0</v>
      </c>
      <c r="R12" s="94"/>
      <c r="S12" s="67">
        <f t="shared" ref="S12:S38" si="11">R12-Q12</f>
        <v>0</v>
      </c>
      <c r="T12" s="319"/>
      <c r="U12" s="33">
        <v>7</v>
      </c>
      <c r="V12" s="110">
        <f t="shared" si="8"/>
        <v>0</v>
      </c>
      <c r="W12" s="161"/>
      <c r="X12" s="6"/>
    </row>
    <row r="13" spans="1:24" ht="15" customHeight="1" x14ac:dyDescent="0.2">
      <c r="A13" s="307">
        <v>8</v>
      </c>
      <c r="B13" s="33">
        <f t="shared" si="0"/>
        <v>0</v>
      </c>
      <c r="C13" s="94"/>
      <c r="D13" s="67">
        <f t="shared" si="1"/>
        <v>0</v>
      </c>
      <c r="E13" s="320"/>
      <c r="F13" s="307">
        <v>8</v>
      </c>
      <c r="G13" s="33">
        <f t="shared" si="2"/>
        <v>0</v>
      </c>
      <c r="H13" s="94"/>
      <c r="I13" s="67">
        <f t="shared" si="9"/>
        <v>0</v>
      </c>
      <c r="J13" s="320"/>
      <c r="K13" s="307">
        <v>8</v>
      </c>
      <c r="L13" s="33">
        <f t="shared" si="4"/>
        <v>0</v>
      </c>
      <c r="M13" s="94"/>
      <c r="N13" s="67">
        <f t="shared" si="10"/>
        <v>0</v>
      </c>
      <c r="O13" s="325"/>
      <c r="P13" s="307">
        <v>8</v>
      </c>
      <c r="Q13" s="33">
        <f t="shared" si="6"/>
        <v>0</v>
      </c>
      <c r="R13" s="94"/>
      <c r="S13" s="67">
        <f t="shared" si="11"/>
        <v>0</v>
      </c>
      <c r="T13" s="320"/>
      <c r="U13" s="32">
        <v>8</v>
      </c>
      <c r="V13" s="110">
        <f t="shared" si="8"/>
        <v>0</v>
      </c>
      <c r="W13" s="161"/>
      <c r="X13" s="6"/>
    </row>
    <row r="14" spans="1:24" ht="15" customHeight="1" x14ac:dyDescent="0.2">
      <c r="A14" s="307">
        <v>9</v>
      </c>
      <c r="B14" s="33">
        <f t="shared" si="0"/>
        <v>0</v>
      </c>
      <c r="C14" s="94"/>
      <c r="D14" s="67">
        <f t="shared" si="1"/>
        <v>0</v>
      </c>
      <c r="E14" s="319"/>
      <c r="F14" s="307">
        <v>9</v>
      </c>
      <c r="G14" s="33">
        <f t="shared" si="2"/>
        <v>0</v>
      </c>
      <c r="H14" s="94"/>
      <c r="I14" s="67">
        <f t="shared" si="9"/>
        <v>0</v>
      </c>
      <c r="J14" s="319"/>
      <c r="K14" s="307">
        <v>9</v>
      </c>
      <c r="L14" s="33">
        <f t="shared" si="4"/>
        <v>0</v>
      </c>
      <c r="M14" s="94"/>
      <c r="N14" s="67">
        <f t="shared" si="10"/>
        <v>0</v>
      </c>
      <c r="O14" s="325"/>
      <c r="P14" s="307">
        <v>9</v>
      </c>
      <c r="Q14" s="33">
        <f t="shared" si="6"/>
        <v>0</v>
      </c>
      <c r="R14" s="94"/>
      <c r="S14" s="67">
        <f t="shared" si="11"/>
        <v>0</v>
      </c>
      <c r="T14" s="319"/>
      <c r="U14" s="33">
        <v>9</v>
      </c>
      <c r="V14" s="110">
        <f t="shared" si="8"/>
        <v>0</v>
      </c>
      <c r="W14" s="161"/>
      <c r="X14" s="6"/>
    </row>
    <row r="15" spans="1:24" ht="15" customHeight="1" x14ac:dyDescent="0.2">
      <c r="A15" s="307">
        <v>10</v>
      </c>
      <c r="B15" s="33">
        <f t="shared" si="0"/>
        <v>0</v>
      </c>
      <c r="C15" s="94"/>
      <c r="D15" s="67">
        <f t="shared" si="1"/>
        <v>0</v>
      </c>
      <c r="E15" s="320"/>
      <c r="F15" s="307">
        <v>10</v>
      </c>
      <c r="G15" s="33">
        <f t="shared" si="2"/>
        <v>0</v>
      </c>
      <c r="H15" s="94"/>
      <c r="I15" s="67">
        <f t="shared" si="9"/>
        <v>0</v>
      </c>
      <c r="J15" s="320"/>
      <c r="K15" s="307">
        <v>10</v>
      </c>
      <c r="L15" s="33">
        <f t="shared" si="4"/>
        <v>0</v>
      </c>
      <c r="M15" s="94"/>
      <c r="N15" s="67">
        <f t="shared" si="10"/>
        <v>0</v>
      </c>
      <c r="O15" s="325"/>
      <c r="P15" s="307">
        <v>10</v>
      </c>
      <c r="Q15" s="33">
        <f t="shared" si="6"/>
        <v>0</v>
      </c>
      <c r="R15" s="94"/>
      <c r="S15" s="67">
        <f t="shared" si="11"/>
        <v>0</v>
      </c>
      <c r="T15" s="319"/>
      <c r="U15" s="33">
        <v>10</v>
      </c>
      <c r="V15" s="110">
        <f t="shared" si="8"/>
        <v>0</v>
      </c>
      <c r="W15" s="161"/>
      <c r="X15" s="6"/>
    </row>
    <row r="16" spans="1:24" ht="15" customHeight="1" x14ac:dyDescent="0.2">
      <c r="A16" s="307">
        <v>11</v>
      </c>
      <c r="B16" s="33">
        <f t="shared" si="0"/>
        <v>0</v>
      </c>
      <c r="C16" s="94"/>
      <c r="D16" s="67">
        <f t="shared" si="1"/>
        <v>0</v>
      </c>
      <c r="E16" s="319"/>
      <c r="F16" s="307">
        <v>11</v>
      </c>
      <c r="G16" s="33">
        <f t="shared" si="2"/>
        <v>0</v>
      </c>
      <c r="H16" s="94"/>
      <c r="I16" s="67">
        <f t="shared" si="9"/>
        <v>0</v>
      </c>
      <c r="J16" s="319"/>
      <c r="K16" s="307">
        <v>11</v>
      </c>
      <c r="L16" s="33">
        <f t="shared" si="4"/>
        <v>0</v>
      </c>
      <c r="M16" s="94"/>
      <c r="N16" s="67">
        <f t="shared" si="10"/>
        <v>0</v>
      </c>
      <c r="O16" s="325"/>
      <c r="P16" s="307">
        <v>11</v>
      </c>
      <c r="Q16" s="33">
        <f t="shared" si="6"/>
        <v>0</v>
      </c>
      <c r="R16" s="94"/>
      <c r="S16" s="67">
        <f t="shared" si="11"/>
        <v>0</v>
      </c>
      <c r="T16" s="320"/>
      <c r="U16" s="32">
        <v>11</v>
      </c>
      <c r="V16" s="110">
        <f t="shared" si="8"/>
        <v>0</v>
      </c>
      <c r="W16" s="161"/>
      <c r="X16" s="6"/>
    </row>
    <row r="17" spans="1:24" ht="15" customHeight="1" x14ac:dyDescent="0.2">
      <c r="A17" s="307">
        <v>12</v>
      </c>
      <c r="B17" s="33">
        <f t="shared" si="0"/>
        <v>0</v>
      </c>
      <c r="C17" s="94"/>
      <c r="D17" s="67">
        <f t="shared" si="1"/>
        <v>0</v>
      </c>
      <c r="E17" s="320"/>
      <c r="F17" s="307">
        <v>12</v>
      </c>
      <c r="G17" s="33">
        <f t="shared" si="2"/>
        <v>0</v>
      </c>
      <c r="H17" s="94"/>
      <c r="I17" s="67">
        <f t="shared" si="9"/>
        <v>0</v>
      </c>
      <c r="J17" s="320"/>
      <c r="K17" s="307">
        <v>12</v>
      </c>
      <c r="L17" s="33">
        <f t="shared" si="4"/>
        <v>0</v>
      </c>
      <c r="M17" s="94"/>
      <c r="N17" s="67">
        <f t="shared" si="10"/>
        <v>0</v>
      </c>
      <c r="O17" s="325"/>
      <c r="P17" s="307">
        <v>12</v>
      </c>
      <c r="Q17" s="33">
        <f t="shared" si="6"/>
        <v>0</v>
      </c>
      <c r="R17" s="94"/>
      <c r="S17" s="67">
        <f t="shared" si="11"/>
        <v>0</v>
      </c>
      <c r="T17" s="319"/>
      <c r="U17" s="33">
        <v>12</v>
      </c>
      <c r="V17" s="110">
        <f t="shared" si="8"/>
        <v>0</v>
      </c>
      <c r="W17" s="161"/>
      <c r="X17" s="6"/>
    </row>
    <row r="18" spans="1:24" ht="15" customHeight="1" x14ac:dyDescent="0.2">
      <c r="A18" s="307">
        <v>13</v>
      </c>
      <c r="B18" s="33">
        <f t="shared" si="0"/>
        <v>0</v>
      </c>
      <c r="C18" s="94"/>
      <c r="D18" s="67">
        <f t="shared" si="1"/>
        <v>0</v>
      </c>
      <c r="E18" s="319"/>
      <c r="F18" s="307">
        <v>13</v>
      </c>
      <c r="G18" s="33">
        <f t="shared" si="2"/>
        <v>0</v>
      </c>
      <c r="H18" s="94"/>
      <c r="I18" s="67">
        <f t="shared" si="9"/>
        <v>0</v>
      </c>
      <c r="J18" s="319"/>
      <c r="K18" s="307">
        <v>13</v>
      </c>
      <c r="L18" s="33">
        <f t="shared" si="4"/>
        <v>0</v>
      </c>
      <c r="M18" s="94"/>
      <c r="N18" s="67">
        <f t="shared" si="10"/>
        <v>0</v>
      </c>
      <c r="O18" s="325"/>
      <c r="P18" s="307">
        <v>13</v>
      </c>
      <c r="Q18" s="33">
        <f t="shared" si="6"/>
        <v>0</v>
      </c>
      <c r="R18" s="94"/>
      <c r="S18" s="67">
        <f t="shared" si="11"/>
        <v>0</v>
      </c>
      <c r="T18" s="319"/>
      <c r="U18" s="33">
        <v>13</v>
      </c>
      <c r="V18" s="110">
        <f t="shared" si="8"/>
        <v>0</v>
      </c>
      <c r="W18" s="161"/>
      <c r="X18" s="6"/>
    </row>
    <row r="19" spans="1:24" ht="15" customHeight="1" x14ac:dyDescent="0.2">
      <c r="A19" s="307">
        <v>14</v>
      </c>
      <c r="B19" s="33">
        <f t="shared" si="0"/>
        <v>0</v>
      </c>
      <c r="C19" s="94"/>
      <c r="D19" s="67">
        <f t="shared" si="1"/>
        <v>0</v>
      </c>
      <c r="E19" s="320"/>
      <c r="F19" s="307">
        <v>14</v>
      </c>
      <c r="G19" s="33">
        <f t="shared" si="2"/>
        <v>0</v>
      </c>
      <c r="H19" s="94"/>
      <c r="I19" s="67">
        <f t="shared" si="9"/>
        <v>0</v>
      </c>
      <c r="J19" s="320"/>
      <c r="K19" s="307">
        <v>14</v>
      </c>
      <c r="L19" s="33">
        <f t="shared" si="4"/>
        <v>0</v>
      </c>
      <c r="M19" s="94"/>
      <c r="N19" s="67">
        <f t="shared" si="10"/>
        <v>0</v>
      </c>
      <c r="O19" s="325"/>
      <c r="P19" s="307">
        <v>14</v>
      </c>
      <c r="Q19" s="33">
        <f t="shared" si="6"/>
        <v>0</v>
      </c>
      <c r="R19" s="94"/>
      <c r="S19" s="67">
        <f t="shared" si="11"/>
        <v>0</v>
      </c>
      <c r="T19" s="320"/>
      <c r="U19" s="32">
        <v>14</v>
      </c>
      <c r="V19" s="110">
        <f t="shared" si="8"/>
        <v>0</v>
      </c>
      <c r="W19" s="161"/>
      <c r="X19" s="6"/>
    </row>
    <row r="20" spans="1:24" ht="15" customHeight="1" x14ac:dyDescent="0.2">
      <c r="A20" s="307">
        <v>15</v>
      </c>
      <c r="B20" s="33">
        <f t="shared" si="0"/>
        <v>0</v>
      </c>
      <c r="C20" s="94"/>
      <c r="D20" s="67">
        <f t="shared" si="1"/>
        <v>0</v>
      </c>
      <c r="E20" s="319"/>
      <c r="F20" s="307">
        <v>15</v>
      </c>
      <c r="G20" s="33">
        <f t="shared" si="2"/>
        <v>0</v>
      </c>
      <c r="H20" s="94"/>
      <c r="I20" s="67">
        <f t="shared" si="9"/>
        <v>0</v>
      </c>
      <c r="J20" s="319"/>
      <c r="K20" s="307">
        <v>15</v>
      </c>
      <c r="L20" s="33">
        <f t="shared" si="4"/>
        <v>0</v>
      </c>
      <c r="M20" s="94"/>
      <c r="N20" s="67">
        <f t="shared" si="10"/>
        <v>0</v>
      </c>
      <c r="O20" s="325"/>
      <c r="P20" s="307">
        <v>15</v>
      </c>
      <c r="Q20" s="33">
        <f t="shared" si="6"/>
        <v>0</v>
      </c>
      <c r="R20" s="94"/>
      <c r="S20" s="67">
        <f t="shared" si="11"/>
        <v>0</v>
      </c>
      <c r="T20" s="319"/>
      <c r="U20" s="33">
        <v>15</v>
      </c>
      <c r="V20" s="110">
        <f t="shared" si="8"/>
        <v>0</v>
      </c>
      <c r="W20" s="161"/>
      <c r="X20" s="6"/>
    </row>
    <row r="21" spans="1:24" ht="15" customHeight="1" x14ac:dyDescent="0.2">
      <c r="A21" s="307">
        <v>16</v>
      </c>
      <c r="B21" s="33">
        <f t="shared" si="0"/>
        <v>0</v>
      </c>
      <c r="C21" s="94"/>
      <c r="D21" s="67">
        <f t="shared" si="1"/>
        <v>0</v>
      </c>
      <c r="E21" s="320"/>
      <c r="F21" s="307">
        <v>16</v>
      </c>
      <c r="G21" s="33">
        <f t="shared" si="2"/>
        <v>0</v>
      </c>
      <c r="H21" s="94"/>
      <c r="I21" s="67">
        <f t="shared" si="9"/>
        <v>0</v>
      </c>
      <c r="J21" s="320"/>
      <c r="K21" s="307">
        <v>16</v>
      </c>
      <c r="L21" s="33">
        <f t="shared" si="4"/>
        <v>0</v>
      </c>
      <c r="M21" s="94"/>
      <c r="N21" s="67">
        <f t="shared" si="10"/>
        <v>0</v>
      </c>
      <c r="O21" s="325"/>
      <c r="P21" s="307">
        <v>16</v>
      </c>
      <c r="Q21" s="33">
        <f t="shared" si="6"/>
        <v>0</v>
      </c>
      <c r="R21" s="94"/>
      <c r="S21" s="67">
        <f t="shared" si="11"/>
        <v>0</v>
      </c>
      <c r="T21" s="319"/>
      <c r="U21" s="33">
        <v>16</v>
      </c>
      <c r="V21" s="110">
        <f t="shared" si="8"/>
        <v>0</v>
      </c>
      <c r="W21" s="161"/>
      <c r="X21" s="312"/>
    </row>
    <row r="22" spans="1:24" ht="15" customHeight="1" x14ac:dyDescent="0.2">
      <c r="A22" s="307">
        <v>17</v>
      </c>
      <c r="B22" s="33">
        <f t="shared" si="0"/>
        <v>0</v>
      </c>
      <c r="C22" s="94"/>
      <c r="D22" s="67">
        <f t="shared" si="1"/>
        <v>0</v>
      </c>
      <c r="E22" s="319"/>
      <c r="F22" s="307">
        <v>17</v>
      </c>
      <c r="G22" s="33">
        <f t="shared" si="2"/>
        <v>0</v>
      </c>
      <c r="H22" s="94"/>
      <c r="I22" s="67">
        <f t="shared" si="9"/>
        <v>0</v>
      </c>
      <c r="J22" s="319"/>
      <c r="K22" s="307">
        <v>17</v>
      </c>
      <c r="L22" s="33">
        <f t="shared" si="4"/>
        <v>0</v>
      </c>
      <c r="M22" s="94"/>
      <c r="N22" s="67">
        <f t="shared" si="10"/>
        <v>0</v>
      </c>
      <c r="O22" s="325"/>
      <c r="P22" s="307">
        <v>17</v>
      </c>
      <c r="Q22" s="33">
        <f t="shared" si="6"/>
        <v>0</v>
      </c>
      <c r="R22" s="94"/>
      <c r="S22" s="67">
        <f t="shared" si="11"/>
        <v>0</v>
      </c>
      <c r="T22" s="320"/>
      <c r="U22" s="32">
        <v>17</v>
      </c>
      <c r="V22" s="110">
        <f t="shared" si="8"/>
        <v>0</v>
      </c>
      <c r="W22" s="161"/>
      <c r="X22" s="312"/>
    </row>
    <row r="23" spans="1:24" ht="15" customHeight="1" x14ac:dyDescent="0.2">
      <c r="A23" s="307">
        <v>18</v>
      </c>
      <c r="B23" s="33">
        <f t="shared" si="0"/>
        <v>0</v>
      </c>
      <c r="C23" s="94"/>
      <c r="D23" s="67">
        <f t="shared" si="1"/>
        <v>0</v>
      </c>
      <c r="E23" s="320"/>
      <c r="F23" s="307">
        <v>18</v>
      </c>
      <c r="G23" s="33">
        <f t="shared" si="2"/>
        <v>0</v>
      </c>
      <c r="H23" s="94"/>
      <c r="I23" s="67">
        <f t="shared" si="9"/>
        <v>0</v>
      </c>
      <c r="J23" s="320"/>
      <c r="K23" s="307">
        <v>18</v>
      </c>
      <c r="L23" s="33">
        <f t="shared" si="4"/>
        <v>0</v>
      </c>
      <c r="M23" s="94"/>
      <c r="N23" s="67">
        <f t="shared" si="10"/>
        <v>0</v>
      </c>
      <c r="O23" s="325"/>
      <c r="P23" s="307">
        <v>18</v>
      </c>
      <c r="Q23" s="33">
        <f t="shared" si="6"/>
        <v>0</v>
      </c>
      <c r="R23" s="94"/>
      <c r="S23" s="67">
        <f t="shared" si="11"/>
        <v>0</v>
      </c>
      <c r="T23" s="319"/>
      <c r="U23" s="33">
        <v>18</v>
      </c>
      <c r="V23" s="110">
        <f t="shared" si="8"/>
        <v>0</v>
      </c>
      <c r="W23" s="161"/>
      <c r="X23" s="312"/>
    </row>
    <row r="24" spans="1:24" ht="15" customHeight="1" x14ac:dyDescent="0.2">
      <c r="A24" s="307">
        <v>19</v>
      </c>
      <c r="B24" s="33">
        <f t="shared" si="0"/>
        <v>0</v>
      </c>
      <c r="C24" s="94"/>
      <c r="D24" s="67">
        <f t="shared" si="1"/>
        <v>0</v>
      </c>
      <c r="E24" s="319"/>
      <c r="F24" s="307">
        <v>19</v>
      </c>
      <c r="G24" s="33">
        <f t="shared" si="2"/>
        <v>0</v>
      </c>
      <c r="H24" s="94"/>
      <c r="I24" s="67">
        <f t="shared" si="9"/>
        <v>0</v>
      </c>
      <c r="J24" s="319"/>
      <c r="K24" s="307">
        <v>19</v>
      </c>
      <c r="L24" s="33">
        <f t="shared" si="4"/>
        <v>0</v>
      </c>
      <c r="M24" s="94"/>
      <c r="N24" s="67">
        <f t="shared" si="10"/>
        <v>0</v>
      </c>
      <c r="O24" s="325"/>
      <c r="P24" s="307">
        <v>19</v>
      </c>
      <c r="Q24" s="33">
        <f t="shared" si="6"/>
        <v>0</v>
      </c>
      <c r="R24" s="94"/>
      <c r="S24" s="67">
        <f t="shared" si="11"/>
        <v>0</v>
      </c>
      <c r="T24" s="319"/>
      <c r="U24" s="33">
        <v>19</v>
      </c>
      <c r="V24" s="110">
        <f t="shared" si="8"/>
        <v>0</v>
      </c>
      <c r="W24" s="162"/>
      <c r="X24" s="312"/>
    </row>
    <row r="25" spans="1:24" ht="15" customHeight="1" x14ac:dyDescent="0.2">
      <c r="A25" s="307">
        <v>20</v>
      </c>
      <c r="B25" s="33">
        <f t="shared" si="0"/>
        <v>0</v>
      </c>
      <c r="C25" s="94"/>
      <c r="D25" s="67">
        <f>C25-B25</f>
        <v>0</v>
      </c>
      <c r="E25" s="320"/>
      <c r="F25" s="307">
        <v>20</v>
      </c>
      <c r="G25" s="33">
        <f t="shared" si="2"/>
        <v>0</v>
      </c>
      <c r="H25" s="94"/>
      <c r="I25" s="67">
        <f>H25-G25</f>
        <v>0</v>
      </c>
      <c r="J25" s="320"/>
      <c r="K25" s="307">
        <v>20</v>
      </c>
      <c r="L25" s="33">
        <f t="shared" si="4"/>
        <v>0</v>
      </c>
      <c r="M25" s="94"/>
      <c r="N25" s="67">
        <f>M25-L25</f>
        <v>0</v>
      </c>
      <c r="O25" s="325"/>
      <c r="P25" s="307">
        <v>20</v>
      </c>
      <c r="Q25" s="33">
        <f t="shared" si="6"/>
        <v>0</v>
      </c>
      <c r="R25" s="94"/>
      <c r="S25" s="67">
        <f>R25-Q25</f>
        <v>0</v>
      </c>
      <c r="T25" s="320"/>
      <c r="U25" s="32">
        <v>20</v>
      </c>
      <c r="V25" s="110">
        <f t="shared" si="8"/>
        <v>0</v>
      </c>
      <c r="W25" s="162"/>
      <c r="X25" s="312"/>
    </row>
    <row r="26" spans="1:24" ht="15" customHeight="1" x14ac:dyDescent="0.2">
      <c r="A26" s="307">
        <v>21</v>
      </c>
      <c r="B26" s="33">
        <f t="shared" si="0"/>
        <v>0</v>
      </c>
      <c r="C26" s="94"/>
      <c r="D26" s="67">
        <f t="shared" si="1"/>
        <v>0</v>
      </c>
      <c r="E26" s="319"/>
      <c r="F26" s="307">
        <v>21</v>
      </c>
      <c r="G26" s="33">
        <f t="shared" si="2"/>
        <v>0</v>
      </c>
      <c r="H26" s="94"/>
      <c r="I26" s="67">
        <f t="shared" ref="I26:I52" si="12">H26-G26</f>
        <v>0</v>
      </c>
      <c r="J26" s="319"/>
      <c r="K26" s="307">
        <v>21</v>
      </c>
      <c r="L26" s="33">
        <f t="shared" si="4"/>
        <v>0</v>
      </c>
      <c r="M26" s="94"/>
      <c r="N26" s="67">
        <f t="shared" ref="N26:N52" si="13">M26-L26</f>
        <v>0</v>
      </c>
      <c r="O26" s="325"/>
      <c r="P26" s="307">
        <v>21</v>
      </c>
      <c r="Q26" s="33">
        <f t="shared" si="6"/>
        <v>0</v>
      </c>
      <c r="R26" s="94"/>
      <c r="S26" s="67">
        <f t="shared" ref="S26:S52" si="14">R26-Q26</f>
        <v>0</v>
      </c>
      <c r="T26" s="319"/>
      <c r="U26" s="33">
        <v>21</v>
      </c>
      <c r="V26" s="110">
        <f t="shared" si="8"/>
        <v>0</v>
      </c>
      <c r="W26" s="162"/>
      <c r="X26" s="312"/>
    </row>
    <row r="27" spans="1:24" ht="15" customHeight="1" x14ac:dyDescent="0.2">
      <c r="A27" s="307">
        <v>22</v>
      </c>
      <c r="B27" s="33">
        <f t="shared" si="0"/>
        <v>0</v>
      </c>
      <c r="C27" s="94"/>
      <c r="D27" s="67">
        <f t="shared" si="1"/>
        <v>0</v>
      </c>
      <c r="E27" s="320"/>
      <c r="F27" s="307">
        <v>22</v>
      </c>
      <c r="G27" s="33">
        <f t="shared" si="2"/>
        <v>0</v>
      </c>
      <c r="H27" s="94"/>
      <c r="I27" s="67">
        <f t="shared" si="12"/>
        <v>0</v>
      </c>
      <c r="J27" s="320"/>
      <c r="K27" s="307">
        <v>22</v>
      </c>
      <c r="L27" s="33">
        <f t="shared" si="4"/>
        <v>0</v>
      </c>
      <c r="M27" s="94"/>
      <c r="N27" s="67">
        <f t="shared" si="13"/>
        <v>0</v>
      </c>
      <c r="O27" s="325"/>
      <c r="P27" s="307">
        <v>22</v>
      </c>
      <c r="Q27" s="33">
        <f t="shared" si="6"/>
        <v>0</v>
      </c>
      <c r="R27" s="94"/>
      <c r="S27" s="67">
        <f t="shared" si="14"/>
        <v>0</v>
      </c>
      <c r="T27" s="319"/>
      <c r="U27" s="33">
        <v>22</v>
      </c>
      <c r="V27" s="110">
        <f t="shared" si="8"/>
        <v>0</v>
      </c>
      <c r="W27" s="162"/>
      <c r="X27" s="312"/>
    </row>
    <row r="28" spans="1:24" ht="15" customHeight="1" x14ac:dyDescent="0.2">
      <c r="A28" s="307">
        <v>23</v>
      </c>
      <c r="B28" s="33">
        <f t="shared" si="0"/>
        <v>0</v>
      </c>
      <c r="C28" s="94"/>
      <c r="D28" s="67">
        <f t="shared" si="1"/>
        <v>0</v>
      </c>
      <c r="E28" s="319"/>
      <c r="F28" s="307">
        <v>23</v>
      </c>
      <c r="G28" s="33">
        <f t="shared" si="2"/>
        <v>0</v>
      </c>
      <c r="H28" s="94"/>
      <c r="I28" s="67">
        <f t="shared" si="12"/>
        <v>0</v>
      </c>
      <c r="J28" s="319"/>
      <c r="K28" s="307">
        <v>23</v>
      </c>
      <c r="L28" s="33">
        <f t="shared" si="4"/>
        <v>0</v>
      </c>
      <c r="M28" s="94"/>
      <c r="N28" s="67">
        <f t="shared" si="13"/>
        <v>0</v>
      </c>
      <c r="O28" s="325"/>
      <c r="P28" s="307">
        <v>23</v>
      </c>
      <c r="Q28" s="33">
        <f t="shared" si="6"/>
        <v>0</v>
      </c>
      <c r="R28" s="94"/>
      <c r="S28" s="67">
        <f t="shared" si="14"/>
        <v>0</v>
      </c>
      <c r="T28" s="320"/>
      <c r="U28" s="32">
        <v>23</v>
      </c>
      <c r="V28" s="110">
        <f t="shared" si="8"/>
        <v>0</v>
      </c>
      <c r="W28" s="162"/>
      <c r="X28" s="312"/>
    </row>
    <row r="29" spans="1:24" ht="15" customHeight="1" x14ac:dyDescent="0.2">
      <c r="A29" s="307">
        <v>24</v>
      </c>
      <c r="B29" s="33">
        <f t="shared" si="0"/>
        <v>0</v>
      </c>
      <c r="C29" s="94"/>
      <c r="D29" s="67">
        <f t="shared" si="1"/>
        <v>0</v>
      </c>
      <c r="E29" s="320"/>
      <c r="F29" s="307">
        <v>24</v>
      </c>
      <c r="G29" s="33">
        <f t="shared" si="2"/>
        <v>0</v>
      </c>
      <c r="H29" s="94"/>
      <c r="I29" s="67">
        <f t="shared" si="12"/>
        <v>0</v>
      </c>
      <c r="J29" s="320"/>
      <c r="K29" s="307">
        <v>24</v>
      </c>
      <c r="L29" s="33">
        <f t="shared" si="4"/>
        <v>0</v>
      </c>
      <c r="M29" s="94"/>
      <c r="N29" s="67">
        <f t="shared" si="13"/>
        <v>0</v>
      </c>
      <c r="O29" s="325"/>
      <c r="P29" s="307">
        <v>24</v>
      </c>
      <c r="Q29" s="33">
        <f t="shared" si="6"/>
        <v>0</v>
      </c>
      <c r="R29" s="94"/>
      <c r="S29" s="67">
        <f t="shared" si="14"/>
        <v>0</v>
      </c>
      <c r="T29" s="319"/>
      <c r="U29" s="33">
        <v>24</v>
      </c>
      <c r="V29" s="110">
        <f t="shared" si="8"/>
        <v>0</v>
      </c>
      <c r="W29" s="162"/>
      <c r="X29" s="312"/>
    </row>
    <row r="30" spans="1:24" ht="15" customHeight="1" x14ac:dyDescent="0.2">
      <c r="A30" s="307">
        <v>25</v>
      </c>
      <c r="B30" s="33">
        <f t="shared" si="0"/>
        <v>0</v>
      </c>
      <c r="C30" s="147"/>
      <c r="D30" s="67">
        <f>C30-B30</f>
        <v>0</v>
      </c>
      <c r="E30" s="319"/>
      <c r="F30" s="307">
        <v>25</v>
      </c>
      <c r="G30" s="33">
        <f t="shared" si="2"/>
        <v>0</v>
      </c>
      <c r="H30" s="147"/>
      <c r="I30" s="67">
        <f>H30-G30</f>
        <v>0</v>
      </c>
      <c r="J30" s="319"/>
      <c r="K30" s="307">
        <v>25</v>
      </c>
      <c r="L30" s="33">
        <f t="shared" si="4"/>
        <v>0</v>
      </c>
      <c r="M30" s="147"/>
      <c r="N30" s="67">
        <f>M30-L30</f>
        <v>0</v>
      </c>
      <c r="O30" s="325"/>
      <c r="P30" s="307">
        <v>25</v>
      </c>
      <c r="Q30" s="33">
        <f t="shared" si="6"/>
        <v>0</v>
      </c>
      <c r="R30" s="147"/>
      <c r="S30" s="67">
        <f>R30-Q30</f>
        <v>0</v>
      </c>
      <c r="T30" s="319"/>
      <c r="U30" s="33">
        <v>25</v>
      </c>
      <c r="V30" s="110">
        <f t="shared" si="8"/>
        <v>0</v>
      </c>
      <c r="W30" s="162"/>
      <c r="X30" s="312"/>
    </row>
    <row r="31" spans="1:24" ht="15" customHeight="1" x14ac:dyDescent="0.2">
      <c r="A31" s="308">
        <v>26</v>
      </c>
      <c r="B31" s="185">
        <f t="shared" si="0"/>
        <v>0</v>
      </c>
      <c r="C31" s="181"/>
      <c r="D31" s="329">
        <f t="shared" si="1"/>
        <v>0</v>
      </c>
      <c r="E31" s="328"/>
      <c r="F31" s="308">
        <v>26</v>
      </c>
      <c r="G31" s="185">
        <f t="shared" si="2"/>
        <v>0</v>
      </c>
      <c r="H31" s="181"/>
      <c r="I31" s="329">
        <f t="shared" ref="I31:I57" si="15">H31-G31</f>
        <v>0</v>
      </c>
      <c r="J31" s="328"/>
      <c r="K31" s="308">
        <v>26</v>
      </c>
      <c r="L31" s="185">
        <f t="shared" si="4"/>
        <v>0</v>
      </c>
      <c r="M31" s="181"/>
      <c r="N31" s="329">
        <f t="shared" ref="N31:N57" si="16">M31-L31</f>
        <v>0</v>
      </c>
      <c r="O31" s="326"/>
      <c r="P31" s="308">
        <v>26</v>
      </c>
      <c r="Q31" s="185">
        <f t="shared" si="6"/>
        <v>0</v>
      </c>
      <c r="R31" s="181"/>
      <c r="S31" s="329">
        <f t="shared" ref="S31:S57" si="17">R31-Q31</f>
        <v>0</v>
      </c>
      <c r="T31" s="321"/>
      <c r="U31" s="32">
        <v>26</v>
      </c>
      <c r="V31" s="110">
        <f t="shared" si="8"/>
        <v>0</v>
      </c>
      <c r="W31" s="162"/>
      <c r="X31" s="312"/>
    </row>
    <row r="32" spans="1:24" ht="15" customHeight="1" x14ac:dyDescent="0.2">
      <c r="A32" s="307">
        <v>27</v>
      </c>
      <c r="B32" s="33">
        <f t="shared" si="0"/>
        <v>0</v>
      </c>
      <c r="C32" s="94"/>
      <c r="D32" s="67">
        <f t="shared" si="1"/>
        <v>0</v>
      </c>
      <c r="E32" s="319"/>
      <c r="F32" s="307">
        <v>27</v>
      </c>
      <c r="G32" s="33">
        <f t="shared" si="2"/>
        <v>0</v>
      </c>
      <c r="H32" s="94"/>
      <c r="I32" s="67">
        <f t="shared" si="15"/>
        <v>0</v>
      </c>
      <c r="J32" s="319"/>
      <c r="K32" s="307">
        <v>27</v>
      </c>
      <c r="L32" s="33">
        <f t="shared" si="4"/>
        <v>0</v>
      </c>
      <c r="M32" s="94"/>
      <c r="N32" s="67">
        <f t="shared" si="16"/>
        <v>0</v>
      </c>
      <c r="O32" s="325"/>
      <c r="P32" s="307">
        <v>27</v>
      </c>
      <c r="Q32" s="33">
        <f t="shared" si="6"/>
        <v>0</v>
      </c>
      <c r="R32" s="94"/>
      <c r="S32" s="67">
        <f t="shared" si="17"/>
        <v>0</v>
      </c>
      <c r="T32" s="319"/>
      <c r="U32" s="33">
        <v>27</v>
      </c>
      <c r="V32" s="110">
        <f t="shared" si="8"/>
        <v>0</v>
      </c>
      <c r="W32" s="162"/>
      <c r="X32" s="312"/>
    </row>
    <row r="33" spans="1:26" ht="15" customHeight="1" x14ac:dyDescent="0.2">
      <c r="A33" s="307">
        <v>28</v>
      </c>
      <c r="B33" s="33">
        <f t="shared" si="0"/>
        <v>0</v>
      </c>
      <c r="C33" s="94"/>
      <c r="D33" s="67">
        <f t="shared" si="1"/>
        <v>0</v>
      </c>
      <c r="E33" s="319"/>
      <c r="F33" s="307">
        <v>28</v>
      </c>
      <c r="G33" s="33">
        <f t="shared" si="2"/>
        <v>0</v>
      </c>
      <c r="H33" s="94"/>
      <c r="I33" s="67">
        <f t="shared" si="15"/>
        <v>0</v>
      </c>
      <c r="J33" s="319"/>
      <c r="K33" s="307">
        <v>28</v>
      </c>
      <c r="L33" s="33">
        <f t="shared" si="4"/>
        <v>0</v>
      </c>
      <c r="M33" s="94"/>
      <c r="N33" s="67">
        <f t="shared" si="16"/>
        <v>0</v>
      </c>
      <c r="O33" s="325"/>
      <c r="P33" s="307">
        <v>28</v>
      </c>
      <c r="Q33" s="33">
        <f t="shared" si="6"/>
        <v>0</v>
      </c>
      <c r="R33" s="94"/>
      <c r="S33" s="67">
        <f t="shared" si="17"/>
        <v>0</v>
      </c>
      <c r="T33" s="319"/>
      <c r="U33" s="33">
        <v>28</v>
      </c>
      <c r="V33" s="110">
        <f t="shared" si="8"/>
        <v>0</v>
      </c>
      <c r="W33" s="162"/>
      <c r="X33" s="312"/>
    </row>
    <row r="34" spans="1:26" x14ac:dyDescent="0.2">
      <c r="A34" s="307">
        <v>29</v>
      </c>
      <c r="B34" s="33">
        <f t="shared" si="0"/>
        <v>0</v>
      </c>
      <c r="C34" s="94"/>
      <c r="D34" s="67">
        <f>C34-B34</f>
        <v>0</v>
      </c>
      <c r="E34" s="325"/>
      <c r="F34" s="307">
        <v>29</v>
      </c>
      <c r="G34" s="33">
        <f t="shared" si="2"/>
        <v>0</v>
      </c>
      <c r="H34" s="94"/>
      <c r="I34" s="67">
        <f>H34-G34</f>
        <v>0</v>
      </c>
      <c r="J34" s="325"/>
      <c r="K34" s="307">
        <v>29</v>
      </c>
      <c r="L34" s="33">
        <f t="shared" si="4"/>
        <v>0</v>
      </c>
      <c r="M34" s="94"/>
      <c r="N34" s="67">
        <f>M34-L34</f>
        <v>0</v>
      </c>
      <c r="O34" s="325"/>
      <c r="P34" s="307">
        <v>29</v>
      </c>
      <c r="Q34" s="33">
        <f t="shared" si="6"/>
        <v>0</v>
      </c>
      <c r="R34" s="94"/>
      <c r="S34" s="67">
        <f>R34-Q34</f>
        <v>0</v>
      </c>
      <c r="T34" s="320"/>
      <c r="U34" s="32">
        <v>29</v>
      </c>
      <c r="V34" s="110">
        <f t="shared" si="8"/>
        <v>0</v>
      </c>
      <c r="W34" s="162"/>
      <c r="X34" s="312"/>
      <c r="Z34" s="8">
        <f>SUM(W23:W32)</f>
        <v>0</v>
      </c>
    </row>
    <row r="35" spans="1:26" x14ac:dyDescent="0.2">
      <c r="A35" s="307">
        <v>30</v>
      </c>
      <c r="B35" s="33">
        <f>C34</f>
        <v>0</v>
      </c>
      <c r="C35" s="94"/>
      <c r="D35" s="67">
        <f>C35-B35</f>
        <v>0</v>
      </c>
      <c r="E35" s="325"/>
      <c r="F35" s="307">
        <v>30</v>
      </c>
      <c r="G35" s="33">
        <f>H34</f>
        <v>0</v>
      </c>
      <c r="H35" s="94"/>
      <c r="I35" s="67">
        <f>H35-G35</f>
        <v>0</v>
      </c>
      <c r="J35" s="325"/>
      <c r="K35" s="307">
        <v>30</v>
      </c>
      <c r="L35" s="33">
        <f>M34</f>
        <v>0</v>
      </c>
      <c r="M35" s="94"/>
      <c r="N35" s="67">
        <f>M35-L35</f>
        <v>0</v>
      </c>
      <c r="O35" s="325"/>
      <c r="P35" s="307">
        <v>30</v>
      </c>
      <c r="Q35" s="33">
        <f>R34</f>
        <v>0</v>
      </c>
      <c r="R35" s="94"/>
      <c r="S35" s="67">
        <f>R35-Q35</f>
        <v>0</v>
      </c>
      <c r="T35" s="319"/>
      <c r="U35" s="33">
        <v>30</v>
      </c>
      <c r="V35" s="110">
        <f t="shared" si="8"/>
        <v>0</v>
      </c>
      <c r="W35" s="162"/>
      <c r="X35" s="312"/>
      <c r="Z35">
        <f>Z34/11</f>
        <v>0</v>
      </c>
    </row>
    <row r="36" spans="1:26" x14ac:dyDescent="0.2">
      <c r="A36" s="307">
        <v>31</v>
      </c>
      <c r="B36" s="33">
        <f>C35</f>
        <v>0</v>
      </c>
      <c r="C36" s="94"/>
      <c r="D36" s="67">
        <f>C36-B36</f>
        <v>0</v>
      </c>
      <c r="E36" s="325"/>
      <c r="F36" s="307">
        <v>31</v>
      </c>
      <c r="G36" s="33">
        <f>H35</f>
        <v>0</v>
      </c>
      <c r="H36" s="94"/>
      <c r="I36" s="67">
        <f>H36-G36</f>
        <v>0</v>
      </c>
      <c r="J36" s="325"/>
      <c r="K36" s="307">
        <v>31</v>
      </c>
      <c r="L36" s="33">
        <f>M35</f>
        <v>0</v>
      </c>
      <c r="M36" s="94"/>
      <c r="N36" s="67">
        <f>M36-L36</f>
        <v>0</v>
      </c>
      <c r="O36" s="325"/>
      <c r="P36" s="307">
        <v>31</v>
      </c>
      <c r="Q36" s="33">
        <f>R35</f>
        <v>0</v>
      </c>
      <c r="R36" s="94"/>
      <c r="S36" s="67">
        <f>R36-Q36</f>
        <v>0</v>
      </c>
      <c r="T36" s="319"/>
      <c r="U36" s="33">
        <v>31</v>
      </c>
      <c r="V36" s="110">
        <f t="shared" si="8"/>
        <v>0</v>
      </c>
      <c r="W36" s="162"/>
      <c r="X36" s="312"/>
    </row>
    <row r="37" spans="1:26" ht="13.5" thickBot="1" x14ac:dyDescent="0.25">
      <c r="A37" s="18" t="s">
        <v>7</v>
      </c>
      <c r="D37" s="39">
        <f>SUM(D6:D36)</f>
        <v>0</v>
      </c>
      <c r="E37" s="322"/>
      <c r="F37" s="18" t="s">
        <v>7</v>
      </c>
      <c r="I37" s="39">
        <f>SUM(I6:I36)</f>
        <v>-834</v>
      </c>
      <c r="J37" s="322"/>
      <c r="K37" s="18" t="s">
        <v>7</v>
      </c>
      <c r="N37" s="39">
        <f>SUM(N6:N36)</f>
        <v>-708651</v>
      </c>
      <c r="O37" s="322"/>
      <c r="P37" s="18" t="s">
        <v>7</v>
      </c>
      <c r="S37" s="39">
        <f>SUM(S6:S36)</f>
        <v>-191812</v>
      </c>
      <c r="T37" s="322"/>
    </row>
    <row r="38" spans="1:26" ht="13.5" thickTop="1" x14ac:dyDescent="0.2"/>
  </sheetData>
  <mergeCells count="5">
    <mergeCell ref="U4:W4"/>
    <mergeCell ref="B4:C4"/>
    <mergeCell ref="G4:H4"/>
    <mergeCell ref="L4:M4"/>
    <mergeCell ref="Q4:R4"/>
  </mergeCells>
  <pageMargins left="0.7" right="0.7" top="0.75" bottom="0.75" header="0.3" footer="0.3"/>
  <pageSetup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1"/>
  <sheetViews>
    <sheetView showWhiteSpace="0" zoomScaleNormal="100" workbookViewId="0">
      <selection activeCell="C13" sqref="C13"/>
    </sheetView>
  </sheetViews>
  <sheetFormatPr defaultRowHeight="12.75" x14ac:dyDescent="0.2"/>
  <cols>
    <col min="1" max="1" width="5.28515625" style="212" customWidth="1"/>
    <col min="2" max="2" width="12.7109375" customWidth="1"/>
    <col min="3" max="3" width="9.85546875" customWidth="1"/>
    <col min="4" max="4" width="16.140625" style="2" customWidth="1"/>
    <col min="10" max="10" width="12" bestFit="1" customWidth="1"/>
  </cols>
  <sheetData>
    <row r="1" spans="1:11" x14ac:dyDescent="0.2">
      <c r="B1" s="18"/>
      <c r="C1" s="274"/>
      <c r="D1" s="274"/>
    </row>
    <row r="2" spans="1:11" x14ac:dyDescent="0.2">
      <c r="B2" s="18"/>
      <c r="C2" s="274"/>
      <c r="D2" s="274"/>
    </row>
    <row r="3" spans="1:11" ht="20.25" x14ac:dyDescent="0.2">
      <c r="B3" s="19"/>
      <c r="C3" s="71" t="s">
        <v>47</v>
      </c>
      <c r="D3" s="72"/>
    </row>
    <row r="4" spans="1:11" ht="20.25" x14ac:dyDescent="0.2">
      <c r="B4" s="18"/>
      <c r="C4" s="73"/>
      <c r="D4" s="72"/>
    </row>
    <row r="5" spans="1:11" ht="20.25" x14ac:dyDescent="0.2">
      <c r="A5" s="211"/>
      <c r="B5" s="96">
        <v>44197</v>
      </c>
      <c r="C5" s="73"/>
      <c r="D5" s="72"/>
    </row>
    <row r="6" spans="1:11" ht="13.5" thickBot="1" x14ac:dyDescent="0.25">
      <c r="B6" s="18"/>
      <c r="C6" s="18"/>
      <c r="D6" s="74"/>
    </row>
    <row r="7" spans="1:11" ht="13.5" thickBot="1" x14ac:dyDescent="0.25">
      <c r="B7" s="275" t="s">
        <v>48</v>
      </c>
      <c r="C7" s="277"/>
      <c r="D7" s="75"/>
    </row>
    <row r="8" spans="1:11" ht="38.25" x14ac:dyDescent="0.2">
      <c r="A8" s="213" t="s">
        <v>5</v>
      </c>
      <c r="B8" s="157" t="s">
        <v>19</v>
      </c>
      <c r="C8" s="43" t="s">
        <v>20</v>
      </c>
      <c r="D8" s="76" t="s">
        <v>29</v>
      </c>
    </row>
    <row r="9" spans="1:11" x14ac:dyDescent="0.2">
      <c r="A9" s="214">
        <v>1</v>
      </c>
      <c r="B9" s="33">
        <v>2248317</v>
      </c>
      <c r="C9" s="33">
        <v>2248877</v>
      </c>
      <c r="D9" s="77">
        <f t="shared" ref="D9:D39" si="0">C9-B9</f>
        <v>560</v>
      </c>
    </row>
    <row r="10" spans="1:11" x14ac:dyDescent="0.2">
      <c r="A10" s="79">
        <v>2</v>
      </c>
      <c r="B10" s="33">
        <f>C9</f>
        <v>2248877</v>
      </c>
      <c r="C10" s="33">
        <v>2251605</v>
      </c>
      <c r="D10" s="77">
        <f t="shared" si="0"/>
        <v>2728</v>
      </c>
    </row>
    <row r="11" spans="1:11" x14ac:dyDescent="0.2">
      <c r="A11" s="212">
        <v>3</v>
      </c>
      <c r="B11" s="33">
        <f t="shared" ref="B11:B39" si="1">C10</f>
        <v>2251605</v>
      </c>
      <c r="C11" s="33">
        <v>2254607</v>
      </c>
      <c r="D11" s="77">
        <f t="shared" si="0"/>
        <v>3002</v>
      </c>
    </row>
    <row r="12" spans="1:11" x14ac:dyDescent="0.2">
      <c r="A12" s="79">
        <v>4</v>
      </c>
      <c r="B12" s="33">
        <f t="shared" si="1"/>
        <v>2254607</v>
      </c>
      <c r="C12" s="33">
        <v>2256825</v>
      </c>
      <c r="D12" s="77">
        <f t="shared" si="0"/>
        <v>2218</v>
      </c>
    </row>
    <row r="13" spans="1:11" x14ac:dyDescent="0.2">
      <c r="A13" s="212">
        <v>5</v>
      </c>
      <c r="B13" s="33">
        <f t="shared" si="1"/>
        <v>2256825</v>
      </c>
      <c r="C13" s="33"/>
      <c r="D13" s="77">
        <f t="shared" si="0"/>
        <v>-2256825</v>
      </c>
      <c r="J13" t="s">
        <v>85</v>
      </c>
      <c r="K13" t="s">
        <v>84</v>
      </c>
    </row>
    <row r="14" spans="1:11" x14ac:dyDescent="0.2">
      <c r="A14" s="79">
        <v>6</v>
      </c>
      <c r="B14" s="33">
        <f t="shared" si="1"/>
        <v>0</v>
      </c>
      <c r="C14" s="33"/>
      <c r="D14" s="77">
        <f t="shared" si="0"/>
        <v>0</v>
      </c>
      <c r="J14" s="153" t="s">
        <v>86</v>
      </c>
      <c r="K14" t="s">
        <v>87</v>
      </c>
    </row>
    <row r="15" spans="1:11" x14ac:dyDescent="0.2">
      <c r="A15" s="212">
        <v>7</v>
      </c>
      <c r="B15" s="33">
        <f t="shared" si="1"/>
        <v>0</v>
      </c>
      <c r="C15" s="33"/>
      <c r="D15" s="77">
        <f t="shared" si="0"/>
        <v>0</v>
      </c>
      <c r="E15" s="44"/>
    </row>
    <row r="16" spans="1:11" x14ac:dyDescent="0.2">
      <c r="A16" s="79">
        <v>8</v>
      </c>
      <c r="B16" s="33">
        <f t="shared" si="1"/>
        <v>0</v>
      </c>
      <c r="C16" s="33"/>
      <c r="D16" s="77">
        <f t="shared" si="0"/>
        <v>0</v>
      </c>
      <c r="E16" s="44"/>
    </row>
    <row r="17" spans="1:5" x14ac:dyDescent="0.2">
      <c r="A17" s="212">
        <v>9</v>
      </c>
      <c r="B17" s="33">
        <f t="shared" si="1"/>
        <v>0</v>
      </c>
      <c r="C17" s="33"/>
      <c r="D17" s="77">
        <f t="shared" si="0"/>
        <v>0</v>
      </c>
      <c r="E17" s="44"/>
    </row>
    <row r="18" spans="1:5" x14ac:dyDescent="0.2">
      <c r="A18" s="79">
        <v>10</v>
      </c>
      <c r="B18" s="33">
        <f t="shared" si="1"/>
        <v>0</v>
      </c>
      <c r="C18" s="33"/>
      <c r="D18" s="77">
        <f t="shared" si="0"/>
        <v>0</v>
      </c>
      <c r="E18" s="44"/>
    </row>
    <row r="19" spans="1:5" x14ac:dyDescent="0.2">
      <c r="A19" s="212">
        <v>11</v>
      </c>
      <c r="B19" s="33">
        <f t="shared" si="1"/>
        <v>0</v>
      </c>
      <c r="C19" s="33"/>
      <c r="D19" s="77">
        <f t="shared" si="0"/>
        <v>0</v>
      </c>
      <c r="E19" s="44"/>
    </row>
    <row r="20" spans="1:5" x14ac:dyDescent="0.2">
      <c r="A20" s="79">
        <v>12</v>
      </c>
      <c r="B20" s="33">
        <f t="shared" si="1"/>
        <v>0</v>
      </c>
      <c r="C20" s="33"/>
      <c r="D20" s="77">
        <f t="shared" si="0"/>
        <v>0</v>
      </c>
      <c r="E20" s="44"/>
    </row>
    <row r="21" spans="1:5" x14ac:dyDescent="0.2">
      <c r="A21" s="212">
        <v>13</v>
      </c>
      <c r="B21" s="33">
        <f t="shared" si="1"/>
        <v>0</v>
      </c>
      <c r="C21" s="33"/>
      <c r="D21" s="77">
        <f t="shared" si="0"/>
        <v>0</v>
      </c>
      <c r="E21" s="44"/>
    </row>
    <row r="22" spans="1:5" x14ac:dyDescent="0.2">
      <c r="A22" s="79">
        <v>14</v>
      </c>
      <c r="B22" s="33">
        <f t="shared" si="1"/>
        <v>0</v>
      </c>
      <c r="C22" s="33"/>
      <c r="D22" s="77">
        <f t="shared" si="0"/>
        <v>0</v>
      </c>
      <c r="E22" s="44"/>
    </row>
    <row r="23" spans="1:5" x14ac:dyDescent="0.2">
      <c r="A23" s="212">
        <v>15</v>
      </c>
      <c r="B23" s="33">
        <f t="shared" si="1"/>
        <v>0</v>
      </c>
      <c r="C23" s="33"/>
      <c r="D23" s="77">
        <f t="shared" si="0"/>
        <v>0</v>
      </c>
      <c r="E23" s="44"/>
    </row>
    <row r="24" spans="1:5" x14ac:dyDescent="0.2">
      <c r="A24" s="79">
        <v>16</v>
      </c>
      <c r="B24" s="33">
        <f t="shared" si="1"/>
        <v>0</v>
      </c>
      <c r="C24" s="33"/>
      <c r="D24" s="77">
        <f t="shared" si="0"/>
        <v>0</v>
      </c>
    </row>
    <row r="25" spans="1:5" x14ac:dyDescent="0.2">
      <c r="A25" s="212">
        <v>17</v>
      </c>
      <c r="B25" s="33">
        <f t="shared" si="1"/>
        <v>0</v>
      </c>
      <c r="C25" s="33"/>
      <c r="D25" s="77">
        <f t="shared" si="0"/>
        <v>0</v>
      </c>
    </row>
    <row r="26" spans="1:5" x14ac:dyDescent="0.2">
      <c r="A26" s="79">
        <v>18</v>
      </c>
      <c r="B26" s="33">
        <f t="shared" si="1"/>
        <v>0</v>
      </c>
      <c r="C26" s="33"/>
      <c r="D26" s="77">
        <f t="shared" si="0"/>
        <v>0</v>
      </c>
    </row>
    <row r="27" spans="1:5" x14ac:dyDescent="0.2">
      <c r="A27" s="212">
        <v>19</v>
      </c>
      <c r="B27" s="33">
        <f t="shared" si="1"/>
        <v>0</v>
      </c>
      <c r="C27" s="33"/>
      <c r="D27" s="77">
        <f t="shared" si="0"/>
        <v>0</v>
      </c>
    </row>
    <row r="28" spans="1:5" x14ac:dyDescent="0.2">
      <c r="A28" s="79">
        <v>20</v>
      </c>
      <c r="B28" s="33">
        <f t="shared" si="1"/>
        <v>0</v>
      </c>
      <c r="C28" s="33"/>
      <c r="D28" s="77">
        <f t="shared" si="0"/>
        <v>0</v>
      </c>
      <c r="E28" s="44"/>
    </row>
    <row r="29" spans="1:5" x14ac:dyDescent="0.2">
      <c r="A29" s="212">
        <v>21</v>
      </c>
      <c r="B29" s="33">
        <f t="shared" si="1"/>
        <v>0</v>
      </c>
      <c r="C29" s="33"/>
      <c r="D29" s="77">
        <f t="shared" si="0"/>
        <v>0</v>
      </c>
    </row>
    <row r="30" spans="1:5" x14ac:dyDescent="0.2">
      <c r="A30" s="79">
        <v>22</v>
      </c>
      <c r="B30" s="33">
        <f t="shared" si="1"/>
        <v>0</v>
      </c>
      <c r="C30" s="33"/>
      <c r="D30" s="77">
        <f t="shared" si="0"/>
        <v>0</v>
      </c>
    </row>
    <row r="31" spans="1:5" x14ac:dyDescent="0.2">
      <c r="A31" s="212">
        <v>23</v>
      </c>
      <c r="B31" s="33">
        <f t="shared" si="1"/>
        <v>0</v>
      </c>
      <c r="C31" s="33"/>
      <c r="D31" s="77">
        <f t="shared" si="0"/>
        <v>0</v>
      </c>
    </row>
    <row r="32" spans="1:5" x14ac:dyDescent="0.2">
      <c r="A32" s="79">
        <v>24</v>
      </c>
      <c r="B32" s="33">
        <f t="shared" si="1"/>
        <v>0</v>
      </c>
      <c r="C32" s="148"/>
      <c r="D32" s="77">
        <f t="shared" si="0"/>
        <v>0</v>
      </c>
      <c r="E32" s="44"/>
    </row>
    <row r="33" spans="1:5" x14ac:dyDescent="0.2">
      <c r="A33" s="212">
        <v>25</v>
      </c>
      <c r="B33" s="33">
        <f t="shared" si="1"/>
        <v>0</v>
      </c>
      <c r="C33" s="33"/>
      <c r="D33" s="77">
        <f t="shared" si="0"/>
        <v>0</v>
      </c>
    </row>
    <row r="34" spans="1:5" x14ac:dyDescent="0.2">
      <c r="A34" s="79">
        <v>26</v>
      </c>
      <c r="B34" s="33">
        <f t="shared" si="1"/>
        <v>0</v>
      </c>
      <c r="C34" s="33"/>
      <c r="D34" s="77">
        <f t="shared" si="0"/>
        <v>0</v>
      </c>
      <c r="E34" s="44"/>
    </row>
    <row r="35" spans="1:5" x14ac:dyDescent="0.2">
      <c r="A35" s="212">
        <v>27</v>
      </c>
      <c r="B35" s="33">
        <f t="shared" si="1"/>
        <v>0</v>
      </c>
      <c r="C35" s="33"/>
      <c r="D35" s="77">
        <f t="shared" si="0"/>
        <v>0</v>
      </c>
      <c r="E35" s="44"/>
    </row>
    <row r="36" spans="1:5" x14ac:dyDescent="0.2">
      <c r="A36" s="79">
        <v>28</v>
      </c>
      <c r="B36" s="33">
        <f t="shared" si="1"/>
        <v>0</v>
      </c>
      <c r="C36" s="33"/>
      <c r="D36" s="77">
        <f t="shared" si="0"/>
        <v>0</v>
      </c>
      <c r="E36" s="44"/>
    </row>
    <row r="37" spans="1:5" x14ac:dyDescent="0.2">
      <c r="A37" s="79">
        <v>29</v>
      </c>
      <c r="B37" s="33">
        <f t="shared" si="1"/>
        <v>0</v>
      </c>
      <c r="C37" s="33"/>
      <c r="D37" s="77">
        <f t="shared" si="0"/>
        <v>0</v>
      </c>
      <c r="E37" s="44"/>
    </row>
    <row r="38" spans="1:5" x14ac:dyDescent="0.2">
      <c r="A38" s="79">
        <v>30</v>
      </c>
      <c r="B38" s="33">
        <f t="shared" si="1"/>
        <v>0</v>
      </c>
      <c r="C38" s="33"/>
      <c r="D38" s="77">
        <f t="shared" si="0"/>
        <v>0</v>
      </c>
      <c r="E38" s="44"/>
    </row>
    <row r="39" spans="1:5" x14ac:dyDescent="0.2">
      <c r="A39" s="79">
        <v>31</v>
      </c>
      <c r="B39" s="33">
        <f t="shared" si="1"/>
        <v>0</v>
      </c>
      <c r="C39" s="33"/>
      <c r="D39" s="77">
        <f t="shared" si="0"/>
        <v>0</v>
      </c>
      <c r="E39" s="44"/>
    </row>
    <row r="40" spans="1:5" ht="13.5" thickBot="1" x14ac:dyDescent="0.25">
      <c r="A40" s="212" t="s">
        <v>7</v>
      </c>
      <c r="B40" s="18"/>
      <c r="C40" s="18"/>
      <c r="D40" s="78">
        <f>SUM(D9:D39)</f>
        <v>-2248317</v>
      </c>
    </row>
    <row r="41" spans="1:5" ht="13.5" thickTop="1" x14ac:dyDescent="0.2"/>
  </sheetData>
  <mergeCells count="2">
    <mergeCell ref="C1:D2"/>
    <mergeCell ref="B7:C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N41"/>
  <sheetViews>
    <sheetView topLeftCell="CS7" zoomScale="85" zoomScaleNormal="85" workbookViewId="0">
      <pane ySplit="1" topLeftCell="A8" activePane="bottomLeft" state="frozen"/>
      <selection activeCell="M9" sqref="M9"/>
      <selection pane="bottomLeft" activeCell="CR12" sqref="CR12"/>
    </sheetView>
  </sheetViews>
  <sheetFormatPr defaultRowHeight="12.75" x14ac:dyDescent="0.2"/>
  <cols>
    <col min="1" max="1" width="5" customWidth="1"/>
    <col min="2" max="3" width="11.7109375" style="18" customWidth="1"/>
    <col min="4" max="4" width="14.28515625" style="18" customWidth="1"/>
    <col min="5" max="6" width="11.7109375" style="18" customWidth="1"/>
    <col min="7" max="7" width="12.28515625" style="18" bestFit="1" customWidth="1"/>
    <col min="8" max="8" width="11.7109375" style="18" customWidth="1"/>
    <col min="9" max="9" width="11.7109375" customWidth="1"/>
    <col min="10" max="10" width="12.28515625" bestFit="1" customWidth="1"/>
    <col min="11" max="11" width="10.28515625" style="18" bestFit="1" customWidth="1"/>
    <col min="12" max="12" width="11.28515625" customWidth="1"/>
    <col min="13" max="13" width="11.28515625" bestFit="1" customWidth="1"/>
    <col min="14" max="14" width="10.28515625" style="18" customWidth="1"/>
    <col min="15" max="15" width="11.42578125" customWidth="1"/>
    <col min="16" max="16" width="11.28515625" bestFit="1" customWidth="1"/>
    <col min="17" max="17" width="10.28515625" style="18" bestFit="1" customWidth="1"/>
    <col min="18" max="18" width="11.140625" bestFit="1" customWidth="1"/>
    <col min="19" max="19" width="11.7109375" bestFit="1" customWidth="1"/>
    <col min="20" max="20" width="9" style="18" customWidth="1"/>
    <col min="21" max="21" width="9" customWidth="1"/>
    <col min="22" max="22" width="10.7109375" bestFit="1" customWidth="1"/>
    <col min="23" max="23" width="9" style="18" customWidth="1"/>
    <col min="24" max="24" width="9" customWidth="1"/>
    <col min="25" max="25" width="11.85546875" bestFit="1" customWidth="1"/>
    <col min="26" max="26" width="10.28515625" style="18" customWidth="1"/>
    <col min="27" max="27" width="9" customWidth="1"/>
    <col min="28" max="28" width="11.28515625" bestFit="1" customWidth="1"/>
    <col min="29" max="29" width="9" style="18" customWidth="1"/>
    <col min="30" max="30" width="9" customWidth="1"/>
    <col min="31" max="31" width="10.28515625" customWidth="1"/>
    <col min="32" max="32" width="9" style="18" customWidth="1"/>
    <col min="33" max="33" width="9" customWidth="1"/>
    <col min="34" max="34" width="10.140625" customWidth="1"/>
    <col min="35" max="35" width="9" style="18" customWidth="1"/>
    <col min="36" max="36" width="9" customWidth="1"/>
    <col min="37" max="37" width="10.7109375" bestFit="1" customWidth="1"/>
    <col min="38" max="38" width="9" style="18" customWidth="1"/>
    <col min="39" max="39" width="9" customWidth="1"/>
    <col min="40" max="40" width="10.7109375" bestFit="1" customWidth="1"/>
    <col min="41" max="41" width="9.85546875" style="18" bestFit="1" customWidth="1"/>
    <col min="42" max="42" width="9" customWidth="1"/>
    <col min="43" max="43" width="10.7109375" bestFit="1" customWidth="1"/>
    <col min="44" max="44" width="9.85546875" style="18" bestFit="1" customWidth="1"/>
    <col min="45" max="45" width="9" customWidth="1"/>
    <col min="46" max="46" width="11.85546875" bestFit="1" customWidth="1"/>
    <col min="47" max="47" width="9.85546875" style="18" bestFit="1" customWidth="1"/>
    <col min="48" max="48" width="9" customWidth="1"/>
    <col min="49" max="49" width="11.85546875" bestFit="1" customWidth="1"/>
    <col min="50" max="50" width="9.85546875" style="18" bestFit="1" customWidth="1"/>
    <col min="51" max="51" width="9" customWidth="1"/>
    <col min="52" max="52" width="11.85546875" bestFit="1" customWidth="1"/>
    <col min="53" max="53" width="9.85546875" style="18" bestFit="1" customWidth="1"/>
    <col min="54" max="54" width="9" customWidth="1"/>
    <col min="55" max="55" width="11.85546875" bestFit="1" customWidth="1"/>
    <col min="56" max="58" width="11.85546875" customWidth="1"/>
    <col min="61" max="61" width="11.85546875" bestFit="1" customWidth="1"/>
    <col min="64" max="64" width="10.7109375" bestFit="1" customWidth="1"/>
    <col min="67" max="67" width="10.7109375" bestFit="1" customWidth="1"/>
    <col min="70" max="70" width="10.7109375" bestFit="1" customWidth="1"/>
    <col min="73" max="73" width="10.7109375" bestFit="1" customWidth="1"/>
    <col min="76" max="76" width="10.7109375" bestFit="1" customWidth="1"/>
    <col min="79" max="79" width="10.7109375" bestFit="1" customWidth="1"/>
    <col min="82" max="82" width="10.7109375" bestFit="1" customWidth="1"/>
    <col min="85" max="85" width="10.7109375" bestFit="1" customWidth="1"/>
    <col min="88" max="88" width="10.7109375" bestFit="1" customWidth="1"/>
    <col min="91" max="91" width="10.7109375" bestFit="1" customWidth="1"/>
    <col min="94" max="94" width="10.7109375" bestFit="1" customWidth="1"/>
  </cols>
  <sheetData>
    <row r="1" spans="1:94" x14ac:dyDescent="0.2">
      <c r="C1" s="274"/>
      <c r="D1" s="274"/>
    </row>
    <row r="2" spans="1:94" x14ac:dyDescent="0.2">
      <c r="C2" s="274"/>
      <c r="D2" s="274"/>
    </row>
    <row r="3" spans="1:94" x14ac:dyDescent="0.2">
      <c r="C3" s="291" t="s">
        <v>49</v>
      </c>
      <c r="D3" s="291"/>
      <c r="E3" s="291"/>
      <c r="F3" s="291"/>
    </row>
    <row r="4" spans="1:94" x14ac:dyDescent="0.2">
      <c r="C4" s="291"/>
      <c r="D4" s="291"/>
      <c r="E4" s="291"/>
      <c r="F4" s="291"/>
    </row>
    <row r="5" spans="1:94" s="1" customFormat="1" x14ac:dyDescent="0.2">
      <c r="A5" s="286">
        <v>43313</v>
      </c>
      <c r="B5" s="286"/>
      <c r="C5" s="291"/>
      <c r="D5" s="291"/>
      <c r="E5" s="291"/>
      <c r="F5" s="291"/>
      <c r="G5" s="24"/>
      <c r="H5" s="24"/>
      <c r="K5" s="24"/>
      <c r="N5" s="24"/>
      <c r="Q5" s="24"/>
      <c r="T5" s="24"/>
      <c r="W5" s="24"/>
      <c r="Z5" s="24"/>
      <c r="AC5" s="24"/>
      <c r="AF5" s="24"/>
      <c r="AI5" s="24"/>
      <c r="AL5" s="24"/>
      <c r="AO5" s="24"/>
      <c r="AR5" s="155"/>
      <c r="AU5" s="164"/>
      <c r="AX5" s="164"/>
      <c r="BA5" s="164"/>
    </row>
    <row r="6" spans="1:94" ht="13.5" thickBot="1" x14ac:dyDescent="0.25"/>
    <row r="7" spans="1:94" s="120" customFormat="1" ht="15.75" customHeight="1" x14ac:dyDescent="0.2">
      <c r="A7" s="121"/>
      <c r="B7" s="292" t="s">
        <v>50</v>
      </c>
      <c r="C7" s="292"/>
      <c r="D7" s="292"/>
      <c r="E7" s="293" t="s">
        <v>51</v>
      </c>
      <c r="F7" s="293"/>
      <c r="G7" s="293"/>
      <c r="H7" s="296" t="s">
        <v>52</v>
      </c>
      <c r="I7" s="296"/>
      <c r="J7" s="296"/>
      <c r="K7" s="294" t="s">
        <v>53</v>
      </c>
      <c r="L7" s="294"/>
      <c r="M7" s="295"/>
      <c r="N7" s="294" t="s">
        <v>54</v>
      </c>
      <c r="O7" s="294"/>
      <c r="P7" s="295"/>
      <c r="Q7" s="294" t="s">
        <v>55</v>
      </c>
      <c r="R7" s="294"/>
      <c r="S7" s="295"/>
      <c r="T7" s="294" t="s">
        <v>56</v>
      </c>
      <c r="U7" s="294"/>
      <c r="V7" s="295"/>
      <c r="W7" s="294" t="s">
        <v>109</v>
      </c>
      <c r="X7" s="294"/>
      <c r="Y7" s="295"/>
      <c r="Z7" s="294" t="s">
        <v>58</v>
      </c>
      <c r="AA7" s="294"/>
      <c r="AB7" s="295"/>
      <c r="AC7" s="294" t="s">
        <v>98</v>
      </c>
      <c r="AD7" s="294"/>
      <c r="AE7" s="295"/>
      <c r="AF7" s="294" t="s">
        <v>76</v>
      </c>
      <c r="AG7" s="294"/>
      <c r="AH7" s="295"/>
      <c r="AI7" s="294" t="s">
        <v>96</v>
      </c>
      <c r="AJ7" s="294"/>
      <c r="AK7" s="295"/>
      <c r="AL7" s="294" t="s">
        <v>75</v>
      </c>
      <c r="AM7" s="294"/>
      <c r="AN7" s="295"/>
      <c r="AO7" s="294" t="s">
        <v>97</v>
      </c>
      <c r="AP7" s="294"/>
      <c r="AQ7" s="295"/>
      <c r="AR7" s="299" t="s">
        <v>91</v>
      </c>
      <c r="AS7" s="300"/>
      <c r="AT7" s="301"/>
      <c r="AU7" s="299" t="s">
        <v>99</v>
      </c>
      <c r="AV7" s="300"/>
      <c r="AW7" s="301"/>
      <c r="AX7" s="299" t="s">
        <v>100</v>
      </c>
      <c r="AY7" s="300"/>
      <c r="AZ7" s="301"/>
      <c r="BA7" s="299" t="s">
        <v>101</v>
      </c>
      <c r="BB7" s="300"/>
      <c r="BC7" s="301"/>
      <c r="BD7" s="297" t="s">
        <v>92</v>
      </c>
      <c r="BE7" s="297"/>
      <c r="BF7" s="298"/>
      <c r="BG7" s="297" t="s">
        <v>77</v>
      </c>
      <c r="BH7" s="297"/>
      <c r="BI7" s="298"/>
      <c r="BJ7" s="297" t="s">
        <v>78</v>
      </c>
      <c r="BK7" s="297"/>
      <c r="BL7" s="298"/>
      <c r="BM7" s="297" t="s">
        <v>79</v>
      </c>
      <c r="BN7" s="297"/>
      <c r="BO7" s="298"/>
      <c r="BP7" s="297" t="s">
        <v>80</v>
      </c>
      <c r="BQ7" s="297"/>
      <c r="BR7" s="298"/>
      <c r="BS7" s="297" t="s">
        <v>94</v>
      </c>
      <c r="BT7" s="297"/>
      <c r="BU7" s="298"/>
      <c r="BV7" s="297" t="s">
        <v>110</v>
      </c>
      <c r="BW7" s="297"/>
      <c r="BX7" s="298"/>
      <c r="BY7" s="297" t="s">
        <v>111</v>
      </c>
      <c r="BZ7" s="297"/>
      <c r="CA7" s="298"/>
      <c r="CB7" s="297" t="s">
        <v>112</v>
      </c>
      <c r="CC7" s="297"/>
      <c r="CD7" s="298"/>
      <c r="CE7" s="297" t="s">
        <v>113</v>
      </c>
      <c r="CF7" s="297"/>
      <c r="CG7" s="298"/>
      <c r="CH7" s="297" t="s">
        <v>114</v>
      </c>
      <c r="CI7" s="297"/>
      <c r="CJ7" s="298"/>
      <c r="CK7" s="297" t="s">
        <v>115</v>
      </c>
      <c r="CL7" s="297"/>
      <c r="CM7" s="298"/>
      <c r="CN7" s="297" t="s">
        <v>116</v>
      </c>
      <c r="CO7" s="297"/>
      <c r="CP7" s="298"/>
    </row>
    <row r="8" spans="1:94" s="120" customFormat="1" ht="26.25" customHeight="1" thickBot="1" x14ac:dyDescent="0.25">
      <c r="A8" s="111" t="s">
        <v>5</v>
      </c>
      <c r="B8" s="112" t="s">
        <v>60</v>
      </c>
      <c r="C8" s="112" t="s">
        <v>61</v>
      </c>
      <c r="D8" s="113" t="s">
        <v>62</v>
      </c>
      <c r="E8" s="114" t="s">
        <v>60</v>
      </c>
      <c r="F8" s="114" t="s">
        <v>61</v>
      </c>
      <c r="G8" s="115" t="s">
        <v>62</v>
      </c>
      <c r="H8" s="116" t="s">
        <v>60</v>
      </c>
      <c r="I8" s="116" t="s">
        <v>61</v>
      </c>
      <c r="J8" s="117" t="s">
        <v>62</v>
      </c>
      <c r="K8" s="118" t="s">
        <v>60</v>
      </c>
      <c r="L8" s="118" t="s">
        <v>61</v>
      </c>
      <c r="M8" s="119" t="s">
        <v>62</v>
      </c>
      <c r="N8" s="118" t="s">
        <v>60</v>
      </c>
      <c r="O8" s="118" t="s">
        <v>61</v>
      </c>
      <c r="P8" s="119" t="s">
        <v>62</v>
      </c>
      <c r="Q8" s="118" t="s">
        <v>60</v>
      </c>
      <c r="R8" s="118" t="s">
        <v>61</v>
      </c>
      <c r="S8" s="119" t="s">
        <v>62</v>
      </c>
      <c r="T8" s="118" t="s">
        <v>60</v>
      </c>
      <c r="U8" s="118" t="s">
        <v>61</v>
      </c>
      <c r="V8" s="119" t="s">
        <v>62</v>
      </c>
      <c r="W8" s="118" t="s">
        <v>60</v>
      </c>
      <c r="X8" s="118" t="s">
        <v>61</v>
      </c>
      <c r="Y8" s="119" t="s">
        <v>62</v>
      </c>
      <c r="Z8" s="118" t="s">
        <v>60</v>
      </c>
      <c r="AA8" s="118" t="s">
        <v>61</v>
      </c>
      <c r="AB8" s="119" t="s">
        <v>62</v>
      </c>
      <c r="AC8" s="118" t="s">
        <v>60</v>
      </c>
      <c r="AD8" s="118" t="s">
        <v>61</v>
      </c>
      <c r="AE8" s="119" t="s">
        <v>62</v>
      </c>
      <c r="AF8" s="118" t="s">
        <v>60</v>
      </c>
      <c r="AG8" s="118" t="s">
        <v>61</v>
      </c>
      <c r="AH8" s="119" t="s">
        <v>62</v>
      </c>
      <c r="AI8" s="118" t="s">
        <v>60</v>
      </c>
      <c r="AJ8" s="118" t="s">
        <v>61</v>
      </c>
      <c r="AK8" s="119" t="s">
        <v>62</v>
      </c>
      <c r="AL8" s="118" t="s">
        <v>60</v>
      </c>
      <c r="AM8" s="118" t="s">
        <v>61</v>
      </c>
      <c r="AN8" s="119" t="s">
        <v>62</v>
      </c>
      <c r="AO8" s="118" t="s">
        <v>60</v>
      </c>
      <c r="AP8" s="118" t="s">
        <v>61</v>
      </c>
      <c r="AQ8" s="119" t="s">
        <v>62</v>
      </c>
      <c r="AR8" s="118" t="s">
        <v>60</v>
      </c>
      <c r="AS8" s="118" t="s">
        <v>61</v>
      </c>
      <c r="AT8" s="119" t="s">
        <v>62</v>
      </c>
      <c r="AU8" s="118" t="s">
        <v>60</v>
      </c>
      <c r="AV8" s="118" t="s">
        <v>61</v>
      </c>
      <c r="AW8" s="119" t="s">
        <v>62</v>
      </c>
      <c r="AX8" s="118" t="s">
        <v>60</v>
      </c>
      <c r="AY8" s="118" t="s">
        <v>61</v>
      </c>
      <c r="AZ8" s="119" t="s">
        <v>62</v>
      </c>
      <c r="BA8" s="118" t="s">
        <v>60</v>
      </c>
      <c r="BB8" s="118" t="s">
        <v>61</v>
      </c>
      <c r="BC8" s="119" t="s">
        <v>62</v>
      </c>
      <c r="BD8" s="142" t="s">
        <v>60</v>
      </c>
      <c r="BE8" s="142" t="s">
        <v>61</v>
      </c>
      <c r="BF8" s="142" t="s">
        <v>93</v>
      </c>
      <c r="BG8" s="142" t="s">
        <v>60</v>
      </c>
      <c r="BH8" s="142" t="s">
        <v>61</v>
      </c>
      <c r="BI8" s="143" t="s">
        <v>62</v>
      </c>
      <c r="BJ8" s="142" t="s">
        <v>60</v>
      </c>
      <c r="BK8" s="142" t="s">
        <v>61</v>
      </c>
      <c r="BL8" s="143" t="s">
        <v>62</v>
      </c>
      <c r="BM8" s="142" t="s">
        <v>60</v>
      </c>
      <c r="BN8" s="142" t="s">
        <v>61</v>
      </c>
      <c r="BO8" s="143" t="s">
        <v>62</v>
      </c>
      <c r="BP8" s="142" t="s">
        <v>60</v>
      </c>
      <c r="BQ8" s="142" t="s">
        <v>61</v>
      </c>
      <c r="BR8" s="143" t="s">
        <v>62</v>
      </c>
      <c r="BS8" s="149" t="s">
        <v>60</v>
      </c>
      <c r="BT8" s="142" t="s">
        <v>61</v>
      </c>
      <c r="BU8" s="143" t="s">
        <v>62</v>
      </c>
      <c r="BV8" s="149" t="s">
        <v>60</v>
      </c>
      <c r="BW8" s="142" t="s">
        <v>61</v>
      </c>
      <c r="BX8" s="143" t="s">
        <v>62</v>
      </c>
      <c r="BY8" s="149" t="s">
        <v>60</v>
      </c>
      <c r="BZ8" s="142" t="s">
        <v>61</v>
      </c>
      <c r="CA8" s="143" t="s">
        <v>62</v>
      </c>
      <c r="CB8" s="149" t="s">
        <v>60</v>
      </c>
      <c r="CC8" s="142" t="s">
        <v>61</v>
      </c>
      <c r="CD8" s="143" t="s">
        <v>62</v>
      </c>
      <c r="CE8" s="149" t="s">
        <v>60</v>
      </c>
      <c r="CF8" s="142" t="s">
        <v>61</v>
      </c>
      <c r="CG8" s="143" t="s">
        <v>62</v>
      </c>
      <c r="CH8" s="149" t="s">
        <v>60</v>
      </c>
      <c r="CI8" s="142" t="s">
        <v>61</v>
      </c>
      <c r="CJ8" s="143" t="s">
        <v>62</v>
      </c>
      <c r="CK8" s="149" t="s">
        <v>60</v>
      </c>
      <c r="CL8" s="142" t="s">
        <v>61</v>
      </c>
      <c r="CM8" s="143" t="s">
        <v>62</v>
      </c>
      <c r="CN8" s="149" t="s">
        <v>60</v>
      </c>
      <c r="CO8" s="142" t="s">
        <v>61</v>
      </c>
      <c r="CP8" s="143" t="s">
        <v>62</v>
      </c>
    </row>
    <row r="9" spans="1:94" s="3" customFormat="1" x14ac:dyDescent="0.2">
      <c r="A9" s="79">
        <v>1</v>
      </c>
      <c r="B9" s="80">
        <v>25088084</v>
      </c>
      <c r="C9" s="80">
        <v>25091780</v>
      </c>
      <c r="D9" s="81">
        <f t="shared" ref="D9:D39" si="0">C9-B9</f>
        <v>3696</v>
      </c>
      <c r="E9" s="178">
        <v>21981188</v>
      </c>
      <c r="F9" s="83">
        <v>21985367</v>
      </c>
      <c r="G9" s="82">
        <f>F9-E9</f>
        <v>4179</v>
      </c>
      <c r="H9" s="84">
        <v>83718230</v>
      </c>
      <c r="I9" s="84">
        <v>83733710</v>
      </c>
      <c r="J9" s="89">
        <f t="shared" ref="J9:J39" si="1">I9-H9</f>
        <v>15480</v>
      </c>
      <c r="K9" s="84">
        <v>1722220</v>
      </c>
      <c r="L9" s="85">
        <v>1724500</v>
      </c>
      <c r="M9" s="89">
        <f t="shared" ref="M9:M35" si="2">L9-K9</f>
        <v>2280</v>
      </c>
      <c r="N9" s="84">
        <v>2330923</v>
      </c>
      <c r="O9" s="84">
        <v>2333661</v>
      </c>
      <c r="P9" s="89">
        <f t="shared" ref="P9:P35" si="3">O9-N9</f>
        <v>2738</v>
      </c>
      <c r="Q9" s="89">
        <v>1403900</v>
      </c>
      <c r="R9" s="85">
        <v>1405800</v>
      </c>
      <c r="S9" s="89">
        <f t="shared" ref="S9:S35" si="4">R9-Q9</f>
        <v>1900</v>
      </c>
      <c r="T9" s="84">
        <v>659727</v>
      </c>
      <c r="U9" s="85">
        <v>660381</v>
      </c>
      <c r="V9" s="89">
        <f t="shared" ref="V9:V35" si="5">U9-T9</f>
        <v>654</v>
      </c>
      <c r="W9" s="84">
        <v>6827800</v>
      </c>
      <c r="X9" s="85">
        <v>6834100</v>
      </c>
      <c r="Y9" s="89">
        <f t="shared" ref="Y9:Y35" si="6">X9-W9</f>
        <v>6300</v>
      </c>
      <c r="Z9" s="84">
        <v>1485900</v>
      </c>
      <c r="AA9" s="85">
        <v>1489300</v>
      </c>
      <c r="AB9" s="89">
        <f>AA9-Z9</f>
        <v>3400</v>
      </c>
      <c r="AC9" s="84">
        <v>443008</v>
      </c>
      <c r="AD9" s="86">
        <v>443496</v>
      </c>
      <c r="AE9" s="89">
        <f>AD9-AC9</f>
        <v>488</v>
      </c>
      <c r="AF9" s="84">
        <v>312460</v>
      </c>
      <c r="AG9" s="86">
        <v>312980</v>
      </c>
      <c r="AH9" s="89">
        <f>AG9-AF9</f>
        <v>520</v>
      </c>
      <c r="AI9" s="84">
        <v>522300</v>
      </c>
      <c r="AJ9" s="86">
        <v>523370</v>
      </c>
      <c r="AK9" s="89">
        <f>AJ9-AI9</f>
        <v>1070</v>
      </c>
      <c r="AL9" s="84">
        <v>971190</v>
      </c>
      <c r="AM9" s="86">
        <v>972780</v>
      </c>
      <c r="AN9" s="89">
        <f>AM9-AL9</f>
        <v>1590</v>
      </c>
      <c r="AO9" s="84">
        <v>617560</v>
      </c>
      <c r="AP9" s="86">
        <v>618570</v>
      </c>
      <c r="AQ9" s="89">
        <f>AP9-AO9</f>
        <v>1010</v>
      </c>
      <c r="AR9" s="84">
        <v>455500</v>
      </c>
      <c r="AS9" s="86">
        <v>455500</v>
      </c>
      <c r="AT9" s="89">
        <f>AS9-AR9</f>
        <v>0</v>
      </c>
      <c r="AU9" s="84">
        <v>398160</v>
      </c>
      <c r="AV9" s="86">
        <v>402100</v>
      </c>
      <c r="AW9" s="89">
        <f>AV9-AU9</f>
        <v>3940</v>
      </c>
      <c r="AX9" s="86">
        <v>313610</v>
      </c>
      <c r="AY9" s="86">
        <v>314860</v>
      </c>
      <c r="AZ9" s="89">
        <f>AY9-AX9</f>
        <v>1250</v>
      </c>
      <c r="BA9" s="84">
        <v>838750</v>
      </c>
      <c r="BB9" s="86">
        <v>841820</v>
      </c>
      <c r="BC9" s="89">
        <f>BB9-BA9</f>
        <v>3070</v>
      </c>
      <c r="BD9" s="89">
        <v>16414</v>
      </c>
      <c r="BE9" s="89">
        <v>16514</v>
      </c>
      <c r="BF9" s="89">
        <f>BE9-BD9</f>
        <v>100</v>
      </c>
      <c r="BG9" s="84">
        <v>13337</v>
      </c>
      <c r="BH9" s="86">
        <v>13388</v>
      </c>
      <c r="BI9" s="218">
        <f>BH9-BG9</f>
        <v>51</v>
      </c>
      <c r="BJ9" s="86">
        <v>12664</v>
      </c>
      <c r="BK9" s="86">
        <v>12734</v>
      </c>
      <c r="BL9" s="89">
        <f>BK9-BJ9</f>
        <v>70</v>
      </c>
      <c r="BM9" s="84">
        <v>20408</v>
      </c>
      <c r="BN9" s="86">
        <v>20499</v>
      </c>
      <c r="BO9" s="89">
        <f>BN9-BM9</f>
        <v>91</v>
      </c>
      <c r="BP9" s="84">
        <v>13725</v>
      </c>
      <c r="BQ9" s="86">
        <v>13794</v>
      </c>
      <c r="BR9" s="89">
        <f>BQ9-BP9</f>
        <v>69</v>
      </c>
      <c r="BS9" s="84">
        <v>15869</v>
      </c>
      <c r="BT9" s="86">
        <v>15916</v>
      </c>
      <c r="BU9" s="89">
        <f>BT9-BS9</f>
        <v>47</v>
      </c>
      <c r="BV9" s="84">
        <v>10596</v>
      </c>
      <c r="BW9" s="86">
        <v>10645</v>
      </c>
      <c r="BX9" s="89">
        <f>BW9-BV9</f>
        <v>49</v>
      </c>
      <c r="BY9" s="84">
        <v>27031</v>
      </c>
      <c r="BZ9" s="86">
        <v>27263</v>
      </c>
      <c r="CA9" s="89">
        <f>BZ9-BY9</f>
        <v>232</v>
      </c>
      <c r="CB9" s="84">
        <v>22769</v>
      </c>
      <c r="CC9" s="86">
        <v>22906</v>
      </c>
      <c r="CD9" s="89">
        <f>CC9-CB9</f>
        <v>137</v>
      </c>
      <c r="CE9" s="84">
        <v>65938</v>
      </c>
      <c r="CF9" s="86">
        <v>66116</v>
      </c>
      <c r="CG9" s="89">
        <f>CF9-CE9</f>
        <v>178</v>
      </c>
      <c r="CH9" s="84">
        <v>33060</v>
      </c>
      <c r="CI9" s="86">
        <v>33329</v>
      </c>
      <c r="CJ9" s="89">
        <f>CI9-CH9</f>
        <v>269</v>
      </c>
      <c r="CK9" s="84">
        <v>10817</v>
      </c>
      <c r="CL9" s="86">
        <v>10864</v>
      </c>
      <c r="CM9" s="89">
        <f>CL9-CK9</f>
        <v>47</v>
      </c>
      <c r="CN9" s="84">
        <v>38022</v>
      </c>
      <c r="CO9" s="86">
        <v>38181</v>
      </c>
      <c r="CP9" s="89">
        <f>CO9-CN9</f>
        <v>159</v>
      </c>
    </row>
    <row r="10" spans="1:94" s="3" customFormat="1" ht="13.5" customHeight="1" x14ac:dyDescent="0.2">
      <c r="A10" s="87">
        <v>2</v>
      </c>
      <c r="B10" s="80">
        <f>C9</f>
        <v>25091780</v>
      </c>
      <c r="C10" s="80">
        <v>25095537</v>
      </c>
      <c r="D10" s="81">
        <f t="shared" si="0"/>
        <v>3757</v>
      </c>
      <c r="E10" s="82">
        <f>F9</f>
        <v>21985367</v>
      </c>
      <c r="F10" s="82">
        <v>21990123</v>
      </c>
      <c r="G10" s="82">
        <f>F10-E10</f>
        <v>4756</v>
      </c>
      <c r="H10" s="84">
        <f>I9</f>
        <v>83733710</v>
      </c>
      <c r="I10" s="84">
        <v>83747555</v>
      </c>
      <c r="J10" s="89">
        <f t="shared" si="1"/>
        <v>13845</v>
      </c>
      <c r="K10" s="84">
        <f>L9</f>
        <v>1724500</v>
      </c>
      <c r="L10" s="85">
        <v>1726700</v>
      </c>
      <c r="M10" s="89">
        <f t="shared" si="2"/>
        <v>2200</v>
      </c>
      <c r="N10" s="84">
        <f>O9</f>
        <v>2333661</v>
      </c>
      <c r="O10" s="84">
        <v>2336315</v>
      </c>
      <c r="P10" s="89">
        <f t="shared" si="3"/>
        <v>2654</v>
      </c>
      <c r="Q10" s="84">
        <f>R9</f>
        <v>1405800</v>
      </c>
      <c r="R10" s="85">
        <v>1407800</v>
      </c>
      <c r="S10" s="89">
        <f t="shared" si="4"/>
        <v>2000</v>
      </c>
      <c r="T10" s="84">
        <f>U9</f>
        <v>660381</v>
      </c>
      <c r="U10" s="85">
        <v>661098</v>
      </c>
      <c r="V10" s="89">
        <f t="shared" si="5"/>
        <v>717</v>
      </c>
      <c r="W10" s="84">
        <f>X9</f>
        <v>6834100</v>
      </c>
      <c r="X10" s="85">
        <v>6840600</v>
      </c>
      <c r="Y10" s="89">
        <f t="shared" si="6"/>
        <v>6500</v>
      </c>
      <c r="Z10" s="84">
        <f>AA9</f>
        <v>1489300</v>
      </c>
      <c r="AA10" s="85">
        <v>1492200</v>
      </c>
      <c r="AB10" s="89">
        <f t="shared" ref="AB10:AB35" si="7">AA10-Z10</f>
        <v>2900</v>
      </c>
      <c r="AC10" s="84">
        <f t="shared" ref="AC10:AC39" si="8">AD9</f>
        <v>443496</v>
      </c>
      <c r="AD10" s="84">
        <v>443924</v>
      </c>
      <c r="AE10" s="89">
        <f t="shared" ref="AE10:AE39" si="9">AD10-AC10</f>
        <v>428</v>
      </c>
      <c r="AF10" s="84">
        <f t="shared" ref="AF10:AF39" si="10">AG9</f>
        <v>312980</v>
      </c>
      <c r="AG10" s="84">
        <v>313400</v>
      </c>
      <c r="AH10" s="89">
        <f t="shared" ref="AH10:AH39" si="11">AG10-AF10</f>
        <v>420</v>
      </c>
      <c r="AI10" s="84">
        <f t="shared" ref="AI10:AI39" si="12">AJ9</f>
        <v>523370</v>
      </c>
      <c r="AJ10" s="84">
        <v>524130</v>
      </c>
      <c r="AK10" s="89">
        <f t="shared" ref="AK10:AK39" si="13">AJ10-AI10</f>
        <v>760</v>
      </c>
      <c r="AL10" s="84">
        <f>AM9</f>
        <v>972780</v>
      </c>
      <c r="AM10" s="84">
        <v>973920</v>
      </c>
      <c r="AN10" s="89">
        <f t="shared" ref="AN10:AN39" si="14">AM10-AL10</f>
        <v>1140</v>
      </c>
      <c r="AO10" s="84">
        <f>AP9</f>
        <v>618570</v>
      </c>
      <c r="AP10" s="84">
        <v>619280</v>
      </c>
      <c r="AQ10" s="89">
        <f t="shared" ref="AQ10:AQ39" si="15">AP10-AO10</f>
        <v>710</v>
      </c>
      <c r="AR10" s="84">
        <f>AS9</f>
        <v>455500</v>
      </c>
      <c r="AS10" s="84">
        <v>456000</v>
      </c>
      <c r="AT10" s="89">
        <f t="shared" ref="AT10:AT39" si="16">AS10-AR10</f>
        <v>500</v>
      </c>
      <c r="AU10" s="84">
        <f>AV9</f>
        <v>402100</v>
      </c>
      <c r="AV10" s="84">
        <v>402740</v>
      </c>
      <c r="AW10" s="89">
        <f t="shared" ref="AW10:AW39" si="17">AV10-AU10</f>
        <v>640</v>
      </c>
      <c r="AX10" s="84">
        <f>AY9</f>
        <v>314860</v>
      </c>
      <c r="AY10" s="84">
        <v>316020</v>
      </c>
      <c r="AZ10" s="89">
        <f t="shared" ref="AZ10:AZ39" si="18">AY10-AX10</f>
        <v>1160</v>
      </c>
      <c r="BA10" s="84">
        <f>BB9</f>
        <v>841820</v>
      </c>
      <c r="BB10" s="84">
        <v>845160</v>
      </c>
      <c r="BC10" s="89">
        <f t="shared" ref="BC10:BC39" si="19">BB10-BA10</f>
        <v>3340</v>
      </c>
      <c r="BD10" s="89">
        <f>BE9</f>
        <v>16514</v>
      </c>
      <c r="BE10" s="89">
        <v>16623</v>
      </c>
      <c r="BF10" s="89">
        <f>BE10-BD10</f>
        <v>109</v>
      </c>
      <c r="BG10" s="84">
        <f>BH9</f>
        <v>13388</v>
      </c>
      <c r="BH10" s="84">
        <v>13470</v>
      </c>
      <c r="BI10" s="218">
        <f t="shared" ref="BI10:BI39" si="20">BH10-BG10</f>
        <v>82</v>
      </c>
      <c r="BJ10" s="84">
        <f>BK9</f>
        <v>12734</v>
      </c>
      <c r="BK10" s="84">
        <v>12836</v>
      </c>
      <c r="BL10" s="89">
        <f t="shared" ref="BL10:BL39" si="21">BK10-BJ10</f>
        <v>102</v>
      </c>
      <c r="BM10" s="84">
        <f>BN9</f>
        <v>20499</v>
      </c>
      <c r="BN10" s="84">
        <v>20600</v>
      </c>
      <c r="BO10" s="89">
        <f t="shared" ref="BO10:BO38" si="22">BN10-BM10</f>
        <v>101</v>
      </c>
      <c r="BP10" s="84">
        <f>BQ9</f>
        <v>13794</v>
      </c>
      <c r="BQ10" s="84">
        <v>13870</v>
      </c>
      <c r="BR10" s="89">
        <f t="shared" ref="BR10:BR39" si="23">BQ10-BP10</f>
        <v>76</v>
      </c>
      <c r="BS10" s="84">
        <f>BT9</f>
        <v>15916</v>
      </c>
      <c r="BT10" s="84">
        <v>15965</v>
      </c>
      <c r="BU10" s="89">
        <f t="shared" ref="BU10:BU39" si="24">BT10-BS10</f>
        <v>49</v>
      </c>
      <c r="BV10" s="84">
        <f>BW9</f>
        <v>10645</v>
      </c>
      <c r="BW10" s="84">
        <v>10698</v>
      </c>
      <c r="BX10" s="89">
        <f t="shared" ref="BX10:BX39" si="25">BW10-BV10</f>
        <v>53</v>
      </c>
      <c r="BY10" s="84">
        <f>BZ9</f>
        <v>27263</v>
      </c>
      <c r="BZ10" s="84">
        <v>27430</v>
      </c>
      <c r="CA10" s="89">
        <f t="shared" ref="CA10:CA39" si="26">BZ10-BY10</f>
        <v>167</v>
      </c>
      <c r="CB10" s="84">
        <f>CC9</f>
        <v>22906</v>
      </c>
      <c r="CC10" s="84">
        <v>22994</v>
      </c>
      <c r="CD10" s="89">
        <f t="shared" ref="CD10:CD39" si="27">CC10-CB10</f>
        <v>88</v>
      </c>
      <c r="CE10" s="84">
        <f>CF9</f>
        <v>66116</v>
      </c>
      <c r="CF10" s="84">
        <v>66398</v>
      </c>
      <c r="CG10" s="89">
        <f t="shared" ref="CG10:CG39" si="28">CF10-CE10</f>
        <v>282</v>
      </c>
      <c r="CH10" s="84">
        <f>CI9</f>
        <v>33329</v>
      </c>
      <c r="CI10" s="84">
        <v>33706</v>
      </c>
      <c r="CJ10" s="89">
        <f t="shared" ref="CJ10:CJ39" si="29">CI10-CH10</f>
        <v>377</v>
      </c>
      <c r="CK10" s="84">
        <f>CL9</f>
        <v>10864</v>
      </c>
      <c r="CL10" s="84">
        <v>10909</v>
      </c>
      <c r="CM10" s="89">
        <f t="shared" ref="CM10:CM39" si="30">CL10-CK10</f>
        <v>45</v>
      </c>
      <c r="CN10" s="84">
        <f>CO9</f>
        <v>38181</v>
      </c>
      <c r="CO10" s="84">
        <v>38302</v>
      </c>
      <c r="CP10" s="89">
        <f t="shared" ref="CP10:CP39" si="31">CO10-CN10</f>
        <v>121</v>
      </c>
    </row>
    <row r="11" spans="1:94" s="3" customFormat="1" ht="13.5" customHeight="1" x14ac:dyDescent="0.2">
      <c r="A11" s="87">
        <v>3</v>
      </c>
      <c r="B11" s="80">
        <f t="shared" ref="B11:B39" si="32">C10</f>
        <v>25095537</v>
      </c>
      <c r="C11" s="80">
        <v>25099648</v>
      </c>
      <c r="D11" s="81">
        <f t="shared" si="0"/>
        <v>4111</v>
      </c>
      <c r="E11" s="82">
        <f>F10</f>
        <v>21990123</v>
      </c>
      <c r="F11" s="82">
        <v>21994583</v>
      </c>
      <c r="G11" s="82">
        <f t="shared" ref="G11:G35" si="33">F11-E11</f>
        <v>4460</v>
      </c>
      <c r="H11" s="84">
        <f t="shared" ref="H11:H39" si="34">I10</f>
        <v>83747555</v>
      </c>
      <c r="I11" s="84">
        <v>83761438</v>
      </c>
      <c r="J11" s="89">
        <f t="shared" si="1"/>
        <v>13883</v>
      </c>
      <c r="K11" s="84">
        <f>L10</f>
        <v>1726700</v>
      </c>
      <c r="L11" s="85">
        <v>1728900</v>
      </c>
      <c r="M11" s="89">
        <f t="shared" si="2"/>
        <v>2200</v>
      </c>
      <c r="N11" s="84">
        <f>O10</f>
        <v>2336315</v>
      </c>
      <c r="O11" s="84">
        <v>2339105</v>
      </c>
      <c r="P11" s="89">
        <f t="shared" si="3"/>
        <v>2790</v>
      </c>
      <c r="Q11" s="84">
        <f t="shared" ref="Q11:Q39" si="35">R10</f>
        <v>1407800</v>
      </c>
      <c r="R11" s="84">
        <v>1409800</v>
      </c>
      <c r="S11" s="89">
        <f t="shared" si="4"/>
        <v>2000</v>
      </c>
      <c r="T11" s="84">
        <f>U10</f>
        <v>661098</v>
      </c>
      <c r="U11" s="85">
        <v>661786</v>
      </c>
      <c r="V11" s="89">
        <f t="shared" si="5"/>
        <v>688</v>
      </c>
      <c r="W11" s="84">
        <f>X10</f>
        <v>6840600</v>
      </c>
      <c r="X11" s="85">
        <v>6847000</v>
      </c>
      <c r="Y11" s="89">
        <f t="shared" si="6"/>
        <v>6400</v>
      </c>
      <c r="Z11" s="84">
        <f>AA10</f>
        <v>1492200</v>
      </c>
      <c r="AA11" s="85">
        <v>1494900</v>
      </c>
      <c r="AB11" s="89">
        <f t="shared" si="7"/>
        <v>2700</v>
      </c>
      <c r="AC11" s="84">
        <f t="shared" si="8"/>
        <v>443924</v>
      </c>
      <c r="AD11" s="85">
        <v>444336</v>
      </c>
      <c r="AE11" s="89">
        <f t="shared" si="9"/>
        <v>412</v>
      </c>
      <c r="AF11" s="84">
        <f t="shared" si="10"/>
        <v>313400</v>
      </c>
      <c r="AG11" s="85">
        <v>313750</v>
      </c>
      <c r="AH11" s="89">
        <f t="shared" si="11"/>
        <v>350</v>
      </c>
      <c r="AI11" s="84">
        <f t="shared" si="12"/>
        <v>524130</v>
      </c>
      <c r="AJ11" s="85">
        <v>524950</v>
      </c>
      <c r="AK11" s="89">
        <f t="shared" si="13"/>
        <v>820</v>
      </c>
      <c r="AL11" s="84">
        <f t="shared" ref="AL11:AL39" si="36">AM10</f>
        <v>973920</v>
      </c>
      <c r="AM11" s="85">
        <v>975110</v>
      </c>
      <c r="AN11" s="89">
        <f t="shared" si="14"/>
        <v>1190</v>
      </c>
      <c r="AO11" s="84">
        <f t="shared" ref="AO11:AO39" si="37">AP10</f>
        <v>619280</v>
      </c>
      <c r="AP11" s="85">
        <v>620070</v>
      </c>
      <c r="AQ11" s="89">
        <f t="shared" si="15"/>
        <v>790</v>
      </c>
      <c r="AR11" s="84">
        <f t="shared" ref="AR11:AR39" si="38">AS10</f>
        <v>456000</v>
      </c>
      <c r="AS11" s="84">
        <v>456770</v>
      </c>
      <c r="AT11" s="89">
        <f t="shared" si="16"/>
        <v>770</v>
      </c>
      <c r="AU11" s="84">
        <f t="shared" ref="AU11:AU39" si="39">AV10</f>
        <v>402740</v>
      </c>
      <c r="AV11" s="84">
        <v>404460</v>
      </c>
      <c r="AW11" s="89">
        <f t="shared" si="17"/>
        <v>1720</v>
      </c>
      <c r="AX11" s="84">
        <f t="shared" ref="AX11:AX39" si="40">AY10</f>
        <v>316020</v>
      </c>
      <c r="AY11" s="84">
        <v>317180</v>
      </c>
      <c r="AZ11" s="89">
        <f t="shared" si="18"/>
        <v>1160</v>
      </c>
      <c r="BA11" s="84">
        <f t="shared" ref="BA11:BA39" si="41">BB10</f>
        <v>845160</v>
      </c>
      <c r="BB11" s="84">
        <v>849030</v>
      </c>
      <c r="BC11" s="89">
        <f t="shared" si="19"/>
        <v>3870</v>
      </c>
      <c r="BD11" s="89">
        <f t="shared" ref="BD11:BD39" si="42">BE10</f>
        <v>16623</v>
      </c>
      <c r="BE11" s="89">
        <v>16702</v>
      </c>
      <c r="BF11" s="89">
        <f t="shared" ref="BF11:BF39" si="43">BE11-BD11</f>
        <v>79</v>
      </c>
      <c r="BG11" s="84">
        <f t="shared" ref="BG11:BG39" si="44">BH10</f>
        <v>13470</v>
      </c>
      <c r="BH11" s="84">
        <v>13548</v>
      </c>
      <c r="BI11" s="218">
        <f t="shared" si="20"/>
        <v>78</v>
      </c>
      <c r="BJ11" s="84">
        <f t="shared" ref="BJ11:BJ39" si="45">BK10</f>
        <v>12836</v>
      </c>
      <c r="BK11" s="84">
        <v>12928</v>
      </c>
      <c r="BL11" s="89">
        <f t="shared" si="21"/>
        <v>92</v>
      </c>
      <c r="BM11" s="84">
        <f t="shared" ref="BM11:BM35" si="46">BN10</f>
        <v>20600</v>
      </c>
      <c r="BN11" s="84">
        <v>20697</v>
      </c>
      <c r="BO11" s="89">
        <f t="shared" si="22"/>
        <v>97</v>
      </c>
      <c r="BP11" s="84">
        <f t="shared" ref="BP11:BP39" si="47">BQ10</f>
        <v>13870</v>
      </c>
      <c r="BQ11" s="84">
        <v>13942</v>
      </c>
      <c r="BR11" s="89">
        <f t="shared" si="23"/>
        <v>72</v>
      </c>
      <c r="BS11" s="84">
        <f t="shared" ref="BS11:BS39" si="48">BT10</f>
        <v>15965</v>
      </c>
      <c r="BT11" s="85">
        <v>16018</v>
      </c>
      <c r="BU11" s="89">
        <f t="shared" si="24"/>
        <v>53</v>
      </c>
      <c r="BV11" s="84">
        <f t="shared" ref="BV11:BV39" si="49">BW10</f>
        <v>10698</v>
      </c>
      <c r="BW11" s="85">
        <v>10751</v>
      </c>
      <c r="BX11" s="89">
        <f t="shared" si="25"/>
        <v>53</v>
      </c>
      <c r="BY11" s="84">
        <f t="shared" ref="BY11:BY39" si="50">BZ10</f>
        <v>27430</v>
      </c>
      <c r="BZ11" s="85">
        <v>27617</v>
      </c>
      <c r="CA11" s="89">
        <f t="shared" si="26"/>
        <v>187</v>
      </c>
      <c r="CB11" s="84">
        <f t="shared" ref="CB11:CB39" si="51">CC10</f>
        <v>22994</v>
      </c>
      <c r="CC11" s="85">
        <v>23080</v>
      </c>
      <c r="CD11" s="89">
        <f t="shared" si="27"/>
        <v>86</v>
      </c>
      <c r="CE11" s="84">
        <f t="shared" ref="CE11:CE39" si="52">CF10</f>
        <v>66398</v>
      </c>
      <c r="CF11" s="85">
        <v>66675</v>
      </c>
      <c r="CG11" s="89">
        <f t="shared" si="28"/>
        <v>277</v>
      </c>
      <c r="CH11" s="84">
        <f t="shared" ref="CH11:CH39" si="53">CI10</f>
        <v>33706</v>
      </c>
      <c r="CI11" s="85">
        <v>34064</v>
      </c>
      <c r="CJ11" s="89">
        <f t="shared" si="29"/>
        <v>358</v>
      </c>
      <c r="CK11" s="84">
        <f t="shared" ref="CK11:CK39" si="54">CL10</f>
        <v>10909</v>
      </c>
      <c r="CL11" s="85">
        <v>10998</v>
      </c>
      <c r="CM11" s="89">
        <f t="shared" si="30"/>
        <v>89</v>
      </c>
      <c r="CN11" s="84">
        <f t="shared" ref="CN11:CN39" si="55">CO10</f>
        <v>38302</v>
      </c>
      <c r="CO11" s="85">
        <v>38411</v>
      </c>
      <c r="CP11" s="89">
        <f t="shared" si="31"/>
        <v>109</v>
      </c>
    </row>
    <row r="12" spans="1:94" s="3" customFormat="1" ht="13.5" customHeight="1" x14ac:dyDescent="0.2">
      <c r="A12" s="87">
        <v>4</v>
      </c>
      <c r="B12" s="80">
        <f t="shared" si="32"/>
        <v>25099648</v>
      </c>
      <c r="C12" s="80">
        <v>25103892</v>
      </c>
      <c r="D12" s="81">
        <f t="shared" si="0"/>
        <v>4244</v>
      </c>
      <c r="E12" s="82">
        <f>F11</f>
        <v>21994583</v>
      </c>
      <c r="F12" s="82">
        <v>21999466</v>
      </c>
      <c r="G12" s="82">
        <f t="shared" si="33"/>
        <v>4883</v>
      </c>
      <c r="H12" s="84">
        <f t="shared" si="34"/>
        <v>83761438</v>
      </c>
      <c r="I12" s="84">
        <v>83776294</v>
      </c>
      <c r="J12" s="89">
        <f t="shared" si="1"/>
        <v>14856</v>
      </c>
      <c r="K12" s="84">
        <f>L11</f>
        <v>1728900</v>
      </c>
      <c r="L12" s="85">
        <v>1731100</v>
      </c>
      <c r="M12" s="89">
        <f t="shared" si="2"/>
        <v>2200</v>
      </c>
      <c r="N12" s="84">
        <f>O11</f>
        <v>2339105</v>
      </c>
      <c r="O12" s="84">
        <v>2341951</v>
      </c>
      <c r="P12" s="89">
        <f t="shared" si="3"/>
        <v>2846</v>
      </c>
      <c r="Q12" s="84">
        <f t="shared" si="35"/>
        <v>1409800</v>
      </c>
      <c r="R12" s="84">
        <v>1411800</v>
      </c>
      <c r="S12" s="89">
        <f t="shared" si="4"/>
        <v>2000</v>
      </c>
      <c r="T12" s="84">
        <f>U11</f>
        <v>661786</v>
      </c>
      <c r="U12" s="85">
        <v>662479</v>
      </c>
      <c r="V12" s="89">
        <f t="shared" si="5"/>
        <v>693</v>
      </c>
      <c r="W12" s="84">
        <f>X11</f>
        <v>6847000</v>
      </c>
      <c r="X12" s="85">
        <v>6852800</v>
      </c>
      <c r="Y12" s="89">
        <f t="shared" si="6"/>
        <v>5800</v>
      </c>
      <c r="Z12" s="84">
        <f>AA11</f>
        <v>1494900</v>
      </c>
      <c r="AA12" s="85">
        <v>1497800</v>
      </c>
      <c r="AB12" s="89">
        <f t="shared" si="7"/>
        <v>2900</v>
      </c>
      <c r="AC12" s="84">
        <f t="shared" si="8"/>
        <v>444336</v>
      </c>
      <c r="AD12" s="85">
        <v>444754</v>
      </c>
      <c r="AE12" s="89">
        <f t="shared" si="9"/>
        <v>418</v>
      </c>
      <c r="AF12" s="84">
        <f t="shared" si="10"/>
        <v>313750</v>
      </c>
      <c r="AG12" s="85">
        <v>314160</v>
      </c>
      <c r="AH12" s="89">
        <f t="shared" si="11"/>
        <v>410</v>
      </c>
      <c r="AI12" s="84">
        <f t="shared" si="12"/>
        <v>524950</v>
      </c>
      <c r="AJ12" s="85">
        <v>525910</v>
      </c>
      <c r="AK12" s="89">
        <f t="shared" si="13"/>
        <v>960</v>
      </c>
      <c r="AL12" s="84">
        <f t="shared" si="36"/>
        <v>975110</v>
      </c>
      <c r="AM12" s="85">
        <v>976460</v>
      </c>
      <c r="AN12" s="89">
        <f t="shared" si="14"/>
        <v>1350</v>
      </c>
      <c r="AO12" s="84">
        <f t="shared" si="37"/>
        <v>620070</v>
      </c>
      <c r="AP12" s="85">
        <v>620980</v>
      </c>
      <c r="AQ12" s="89">
        <f t="shared" si="15"/>
        <v>910</v>
      </c>
      <c r="AR12" s="84">
        <f t="shared" si="38"/>
        <v>456770</v>
      </c>
      <c r="AS12" s="84">
        <v>458420</v>
      </c>
      <c r="AT12" s="89">
        <f t="shared" si="16"/>
        <v>1650</v>
      </c>
      <c r="AU12" s="84">
        <f t="shared" si="39"/>
        <v>404460</v>
      </c>
      <c r="AV12" s="84">
        <v>406260</v>
      </c>
      <c r="AW12" s="89">
        <f t="shared" si="17"/>
        <v>1800</v>
      </c>
      <c r="AX12" s="84">
        <f t="shared" si="40"/>
        <v>317180</v>
      </c>
      <c r="AY12" s="84">
        <v>318380</v>
      </c>
      <c r="AZ12" s="89">
        <f t="shared" si="18"/>
        <v>1200</v>
      </c>
      <c r="BA12" s="84">
        <f t="shared" si="41"/>
        <v>849030</v>
      </c>
      <c r="BB12" s="84">
        <v>852760</v>
      </c>
      <c r="BC12" s="89">
        <f t="shared" si="19"/>
        <v>3730</v>
      </c>
      <c r="BD12" s="89">
        <f t="shared" si="42"/>
        <v>16702</v>
      </c>
      <c r="BE12" s="89">
        <v>16797</v>
      </c>
      <c r="BF12" s="89">
        <f t="shared" si="43"/>
        <v>95</v>
      </c>
      <c r="BG12" s="84">
        <f t="shared" si="44"/>
        <v>13548</v>
      </c>
      <c r="BH12" s="84">
        <v>13630</v>
      </c>
      <c r="BI12" s="218">
        <f t="shared" si="20"/>
        <v>82</v>
      </c>
      <c r="BJ12" s="84">
        <f t="shared" si="45"/>
        <v>12928</v>
      </c>
      <c r="BK12" s="84">
        <v>13019</v>
      </c>
      <c r="BL12" s="89">
        <f t="shared" si="21"/>
        <v>91</v>
      </c>
      <c r="BM12" s="84">
        <f t="shared" si="46"/>
        <v>20697</v>
      </c>
      <c r="BN12" s="84">
        <v>20806</v>
      </c>
      <c r="BO12" s="89">
        <f t="shared" si="22"/>
        <v>109</v>
      </c>
      <c r="BP12" s="84">
        <f t="shared" si="47"/>
        <v>13942</v>
      </c>
      <c r="BQ12" s="84">
        <v>14026</v>
      </c>
      <c r="BR12" s="89">
        <f t="shared" si="23"/>
        <v>84</v>
      </c>
      <c r="BS12" s="84">
        <f t="shared" si="48"/>
        <v>16018</v>
      </c>
      <c r="BT12" s="85">
        <v>16069</v>
      </c>
      <c r="BU12" s="89">
        <f t="shared" si="24"/>
        <v>51</v>
      </c>
      <c r="BV12" s="84">
        <f t="shared" si="49"/>
        <v>10751</v>
      </c>
      <c r="BW12" s="85">
        <v>10802</v>
      </c>
      <c r="BX12" s="89">
        <f t="shared" si="25"/>
        <v>51</v>
      </c>
      <c r="BY12" s="84">
        <f t="shared" si="50"/>
        <v>27617</v>
      </c>
      <c r="BZ12" s="85">
        <v>27811</v>
      </c>
      <c r="CA12" s="89">
        <f t="shared" si="26"/>
        <v>194</v>
      </c>
      <c r="CB12" s="84">
        <f t="shared" si="51"/>
        <v>23080</v>
      </c>
      <c r="CC12" s="85">
        <v>23172</v>
      </c>
      <c r="CD12" s="89">
        <f t="shared" si="27"/>
        <v>92</v>
      </c>
      <c r="CE12" s="84">
        <f t="shared" si="52"/>
        <v>66675</v>
      </c>
      <c r="CF12" s="85">
        <v>66981</v>
      </c>
      <c r="CG12" s="89">
        <f t="shared" si="28"/>
        <v>306</v>
      </c>
      <c r="CH12" s="84">
        <f t="shared" si="53"/>
        <v>34064</v>
      </c>
      <c r="CI12" s="85">
        <v>34416</v>
      </c>
      <c r="CJ12" s="89">
        <f t="shared" si="29"/>
        <v>352</v>
      </c>
      <c r="CK12" s="84">
        <f t="shared" si="54"/>
        <v>10998</v>
      </c>
      <c r="CL12" s="85">
        <v>11004</v>
      </c>
      <c r="CM12" s="89">
        <f t="shared" si="30"/>
        <v>6</v>
      </c>
      <c r="CN12" s="84">
        <f t="shared" si="55"/>
        <v>38411</v>
      </c>
      <c r="CO12" s="85">
        <v>38597</v>
      </c>
      <c r="CP12" s="89">
        <f t="shared" si="31"/>
        <v>186</v>
      </c>
    </row>
    <row r="13" spans="1:94" s="3" customFormat="1" ht="13.5" customHeight="1" x14ac:dyDescent="0.2">
      <c r="A13" s="98">
        <v>5</v>
      </c>
      <c r="B13" s="80">
        <f t="shared" si="32"/>
        <v>25103892</v>
      </c>
      <c r="C13" s="80"/>
      <c r="D13" s="81">
        <f t="shared" si="0"/>
        <v>-25103892</v>
      </c>
      <c r="E13" s="82">
        <f t="shared" ref="E13:E36" si="56">F12</f>
        <v>21999466</v>
      </c>
      <c r="F13" s="82"/>
      <c r="G13" s="82">
        <f t="shared" si="33"/>
        <v>-21999466</v>
      </c>
      <c r="H13" s="84">
        <f t="shared" si="34"/>
        <v>83776294</v>
      </c>
      <c r="I13" s="84"/>
      <c r="J13" s="89">
        <f t="shared" si="1"/>
        <v>-83776294</v>
      </c>
      <c r="K13" s="84">
        <f t="shared" ref="K13:K39" si="57">L12</f>
        <v>1731100</v>
      </c>
      <c r="L13" s="84"/>
      <c r="M13" s="89">
        <f t="shared" si="2"/>
        <v>-1731100</v>
      </c>
      <c r="N13" s="84">
        <f t="shared" ref="N13:N24" si="58">O12</f>
        <v>2341951</v>
      </c>
      <c r="O13" s="84"/>
      <c r="P13" s="89">
        <f t="shared" si="3"/>
        <v>-2341951</v>
      </c>
      <c r="Q13" s="84">
        <f t="shared" si="35"/>
        <v>1411800</v>
      </c>
      <c r="R13" s="84"/>
      <c r="S13" s="89">
        <f t="shared" si="4"/>
        <v>-1411800</v>
      </c>
      <c r="T13" s="84">
        <f t="shared" ref="T13:T24" si="59">U12</f>
        <v>662479</v>
      </c>
      <c r="U13" s="84"/>
      <c r="V13" s="89">
        <f t="shared" si="5"/>
        <v>-662479</v>
      </c>
      <c r="W13" s="84">
        <f t="shared" ref="W13:W24" si="60">X12</f>
        <v>6852800</v>
      </c>
      <c r="X13" s="84"/>
      <c r="Y13" s="89">
        <f t="shared" si="6"/>
        <v>-6852800</v>
      </c>
      <c r="Z13" s="84">
        <f t="shared" ref="Z13:Z24" si="61">AA12</f>
        <v>1497800</v>
      </c>
      <c r="AA13" s="84"/>
      <c r="AB13" s="89">
        <f t="shared" si="7"/>
        <v>-1497800</v>
      </c>
      <c r="AC13" s="84">
        <f t="shared" si="8"/>
        <v>444754</v>
      </c>
      <c r="AD13" s="85"/>
      <c r="AE13" s="89">
        <f t="shared" si="9"/>
        <v>-444754</v>
      </c>
      <c r="AF13" s="84">
        <f t="shared" si="10"/>
        <v>314160</v>
      </c>
      <c r="AG13" s="85"/>
      <c r="AH13" s="89">
        <f t="shared" si="11"/>
        <v>-314160</v>
      </c>
      <c r="AI13" s="84">
        <f t="shared" si="12"/>
        <v>525910</v>
      </c>
      <c r="AJ13" s="85"/>
      <c r="AK13" s="89">
        <f t="shared" si="13"/>
        <v>-525910</v>
      </c>
      <c r="AL13" s="84">
        <f t="shared" si="36"/>
        <v>976460</v>
      </c>
      <c r="AM13" s="85"/>
      <c r="AN13" s="89">
        <f t="shared" si="14"/>
        <v>-976460</v>
      </c>
      <c r="AO13" s="84">
        <f t="shared" si="37"/>
        <v>620980</v>
      </c>
      <c r="AP13" s="85"/>
      <c r="AQ13" s="89">
        <f t="shared" si="15"/>
        <v>-620980</v>
      </c>
      <c r="AR13" s="84">
        <f t="shared" si="38"/>
        <v>458420</v>
      </c>
      <c r="AS13" s="84"/>
      <c r="AT13" s="89">
        <f t="shared" si="16"/>
        <v>-458420</v>
      </c>
      <c r="AU13" s="84">
        <f t="shared" si="39"/>
        <v>406260</v>
      </c>
      <c r="AV13" s="84"/>
      <c r="AW13" s="89">
        <f t="shared" si="17"/>
        <v>-406260</v>
      </c>
      <c r="AX13" s="84">
        <f t="shared" si="40"/>
        <v>318380</v>
      </c>
      <c r="AY13" s="84"/>
      <c r="AZ13" s="89">
        <f t="shared" si="18"/>
        <v>-318380</v>
      </c>
      <c r="BA13" s="84">
        <f t="shared" si="41"/>
        <v>852760</v>
      </c>
      <c r="BB13" s="84"/>
      <c r="BC13" s="89">
        <f t="shared" si="19"/>
        <v>-852760</v>
      </c>
      <c r="BD13" s="89">
        <f t="shared" si="42"/>
        <v>16797</v>
      </c>
      <c r="BE13" s="89"/>
      <c r="BF13" s="89">
        <f t="shared" si="43"/>
        <v>-16797</v>
      </c>
      <c r="BG13" s="84">
        <f t="shared" si="44"/>
        <v>13630</v>
      </c>
      <c r="BH13" s="84"/>
      <c r="BI13" s="218">
        <f t="shared" si="20"/>
        <v>-13630</v>
      </c>
      <c r="BJ13" s="84">
        <f t="shared" si="45"/>
        <v>13019</v>
      </c>
      <c r="BK13" s="84"/>
      <c r="BL13" s="89">
        <f t="shared" si="21"/>
        <v>-13019</v>
      </c>
      <c r="BM13" s="84">
        <f t="shared" si="46"/>
        <v>20806</v>
      </c>
      <c r="BN13" s="84"/>
      <c r="BO13" s="89">
        <f t="shared" si="22"/>
        <v>-20806</v>
      </c>
      <c r="BP13" s="84">
        <f t="shared" si="47"/>
        <v>14026</v>
      </c>
      <c r="BQ13" s="84"/>
      <c r="BR13" s="89">
        <f t="shared" si="23"/>
        <v>-14026</v>
      </c>
      <c r="BS13" s="84">
        <f t="shared" si="48"/>
        <v>16069</v>
      </c>
      <c r="BT13" s="85"/>
      <c r="BU13" s="89">
        <f t="shared" si="24"/>
        <v>-16069</v>
      </c>
      <c r="BV13" s="84">
        <f t="shared" si="49"/>
        <v>10802</v>
      </c>
      <c r="BW13" s="85"/>
      <c r="BX13" s="89">
        <f t="shared" si="25"/>
        <v>-10802</v>
      </c>
      <c r="BY13" s="84">
        <f t="shared" si="50"/>
        <v>27811</v>
      </c>
      <c r="BZ13" s="85"/>
      <c r="CA13" s="89">
        <f t="shared" si="26"/>
        <v>-27811</v>
      </c>
      <c r="CB13" s="84">
        <f t="shared" si="51"/>
        <v>23172</v>
      </c>
      <c r="CC13" s="85"/>
      <c r="CD13" s="89">
        <f t="shared" si="27"/>
        <v>-23172</v>
      </c>
      <c r="CE13" s="84">
        <f t="shared" si="52"/>
        <v>66981</v>
      </c>
      <c r="CF13" s="85"/>
      <c r="CG13" s="89">
        <f t="shared" si="28"/>
        <v>-66981</v>
      </c>
      <c r="CH13" s="84">
        <f t="shared" si="53"/>
        <v>34416</v>
      </c>
      <c r="CI13" s="85"/>
      <c r="CJ13" s="89">
        <f t="shared" si="29"/>
        <v>-34416</v>
      </c>
      <c r="CK13" s="84">
        <f t="shared" si="54"/>
        <v>11004</v>
      </c>
      <c r="CL13" s="85"/>
      <c r="CM13" s="89">
        <f t="shared" si="30"/>
        <v>-11004</v>
      </c>
      <c r="CN13" s="84">
        <f t="shared" si="55"/>
        <v>38597</v>
      </c>
      <c r="CO13" s="85"/>
      <c r="CP13" s="89">
        <f t="shared" si="31"/>
        <v>-38597</v>
      </c>
    </row>
    <row r="14" spans="1:94" s="3" customFormat="1" ht="13.5" customHeight="1" x14ac:dyDescent="0.2">
      <c r="A14" s="87">
        <v>6</v>
      </c>
      <c r="B14" s="80">
        <f t="shared" si="32"/>
        <v>0</v>
      </c>
      <c r="C14" s="80"/>
      <c r="D14" s="81">
        <f t="shared" si="0"/>
        <v>0</v>
      </c>
      <c r="E14" s="82">
        <f t="shared" si="56"/>
        <v>0</v>
      </c>
      <c r="F14" s="82"/>
      <c r="G14" s="82">
        <f t="shared" si="33"/>
        <v>0</v>
      </c>
      <c r="H14" s="84">
        <f t="shared" si="34"/>
        <v>0</v>
      </c>
      <c r="I14" s="84"/>
      <c r="J14" s="89">
        <f t="shared" si="1"/>
        <v>0</v>
      </c>
      <c r="K14" s="84">
        <f t="shared" si="57"/>
        <v>0</v>
      </c>
      <c r="L14" s="84"/>
      <c r="M14" s="89">
        <f t="shared" si="2"/>
        <v>0</v>
      </c>
      <c r="N14" s="84">
        <f t="shared" si="58"/>
        <v>0</v>
      </c>
      <c r="O14" s="84"/>
      <c r="P14" s="89">
        <f t="shared" si="3"/>
        <v>0</v>
      </c>
      <c r="Q14" s="84">
        <f t="shared" si="35"/>
        <v>0</v>
      </c>
      <c r="R14" s="84"/>
      <c r="S14" s="89">
        <f t="shared" si="4"/>
        <v>0</v>
      </c>
      <c r="T14" s="84">
        <f t="shared" si="59"/>
        <v>0</v>
      </c>
      <c r="U14" s="84"/>
      <c r="V14" s="89">
        <f t="shared" si="5"/>
        <v>0</v>
      </c>
      <c r="W14" s="84">
        <f t="shared" si="60"/>
        <v>0</v>
      </c>
      <c r="X14" s="84"/>
      <c r="Y14" s="89">
        <f t="shared" si="6"/>
        <v>0</v>
      </c>
      <c r="Z14" s="84">
        <f t="shared" si="61"/>
        <v>0</v>
      </c>
      <c r="AA14" s="84"/>
      <c r="AB14" s="89">
        <f t="shared" si="7"/>
        <v>0</v>
      </c>
      <c r="AC14" s="84">
        <f t="shared" si="8"/>
        <v>0</v>
      </c>
      <c r="AD14" s="84"/>
      <c r="AE14" s="89">
        <f t="shared" si="9"/>
        <v>0</v>
      </c>
      <c r="AF14" s="84">
        <f t="shared" si="10"/>
        <v>0</v>
      </c>
      <c r="AG14" s="84"/>
      <c r="AH14" s="89">
        <f t="shared" si="11"/>
        <v>0</v>
      </c>
      <c r="AI14" s="84">
        <f t="shared" si="12"/>
        <v>0</v>
      </c>
      <c r="AJ14" s="84"/>
      <c r="AK14" s="89">
        <f t="shared" si="13"/>
        <v>0</v>
      </c>
      <c r="AL14" s="84">
        <f t="shared" si="36"/>
        <v>0</v>
      </c>
      <c r="AM14" s="85"/>
      <c r="AN14" s="89">
        <f t="shared" si="14"/>
        <v>0</v>
      </c>
      <c r="AO14" s="84">
        <f t="shared" si="37"/>
        <v>0</v>
      </c>
      <c r="AP14" s="84"/>
      <c r="AQ14" s="89">
        <f t="shared" si="15"/>
        <v>0</v>
      </c>
      <c r="AR14" s="84">
        <f t="shared" si="38"/>
        <v>0</v>
      </c>
      <c r="AS14" s="84"/>
      <c r="AT14" s="89">
        <f t="shared" si="16"/>
        <v>0</v>
      </c>
      <c r="AU14" s="84">
        <f t="shared" si="39"/>
        <v>0</v>
      </c>
      <c r="AV14" s="84"/>
      <c r="AW14" s="89">
        <f t="shared" si="17"/>
        <v>0</v>
      </c>
      <c r="AX14" s="84">
        <f t="shared" si="40"/>
        <v>0</v>
      </c>
      <c r="AY14" s="84"/>
      <c r="AZ14" s="89">
        <f t="shared" si="18"/>
        <v>0</v>
      </c>
      <c r="BA14" s="84">
        <f t="shared" si="41"/>
        <v>0</v>
      </c>
      <c r="BB14" s="84"/>
      <c r="BC14" s="89">
        <f t="shared" si="19"/>
        <v>0</v>
      </c>
      <c r="BD14" s="89">
        <f t="shared" si="42"/>
        <v>0</v>
      </c>
      <c r="BE14" s="89"/>
      <c r="BF14" s="89">
        <f t="shared" si="43"/>
        <v>0</v>
      </c>
      <c r="BG14" s="84">
        <f t="shared" si="44"/>
        <v>0</v>
      </c>
      <c r="BH14" s="84"/>
      <c r="BI14" s="218">
        <f t="shared" si="20"/>
        <v>0</v>
      </c>
      <c r="BJ14" s="84">
        <f t="shared" si="45"/>
        <v>0</v>
      </c>
      <c r="BK14" s="84"/>
      <c r="BL14" s="89">
        <f t="shared" si="21"/>
        <v>0</v>
      </c>
      <c r="BM14" s="84">
        <f t="shared" si="46"/>
        <v>0</v>
      </c>
      <c r="BN14" s="84"/>
      <c r="BO14" s="89">
        <f t="shared" si="22"/>
        <v>0</v>
      </c>
      <c r="BP14" s="84">
        <f t="shared" si="47"/>
        <v>0</v>
      </c>
      <c r="BQ14" s="84"/>
      <c r="BR14" s="89">
        <f t="shared" si="23"/>
        <v>0</v>
      </c>
      <c r="BS14" s="84">
        <f t="shared" si="48"/>
        <v>0</v>
      </c>
      <c r="BT14" s="84"/>
      <c r="BU14" s="89">
        <f t="shared" si="24"/>
        <v>0</v>
      </c>
      <c r="BV14" s="84">
        <f t="shared" si="49"/>
        <v>0</v>
      </c>
      <c r="BW14" s="84"/>
      <c r="BX14" s="89">
        <f t="shared" si="25"/>
        <v>0</v>
      </c>
      <c r="BY14" s="84">
        <f t="shared" si="50"/>
        <v>0</v>
      </c>
      <c r="BZ14" s="84"/>
      <c r="CA14" s="89">
        <f t="shared" si="26"/>
        <v>0</v>
      </c>
      <c r="CB14" s="84">
        <f t="shared" si="51"/>
        <v>0</v>
      </c>
      <c r="CC14" s="84"/>
      <c r="CD14" s="89">
        <f t="shared" si="27"/>
        <v>0</v>
      </c>
      <c r="CE14" s="84">
        <f t="shared" si="52"/>
        <v>0</v>
      </c>
      <c r="CF14" s="84"/>
      <c r="CG14" s="89">
        <f t="shared" si="28"/>
        <v>0</v>
      </c>
      <c r="CH14" s="84">
        <f t="shared" si="53"/>
        <v>0</v>
      </c>
      <c r="CI14" s="84"/>
      <c r="CJ14" s="89">
        <f t="shared" si="29"/>
        <v>0</v>
      </c>
      <c r="CK14" s="84">
        <f t="shared" si="54"/>
        <v>0</v>
      </c>
      <c r="CL14" s="84"/>
      <c r="CM14" s="89">
        <f t="shared" si="30"/>
        <v>0</v>
      </c>
      <c r="CN14" s="84">
        <f t="shared" si="55"/>
        <v>0</v>
      </c>
      <c r="CO14" s="84"/>
      <c r="CP14" s="89">
        <f t="shared" si="31"/>
        <v>0</v>
      </c>
    </row>
    <row r="15" spans="1:94" s="3" customFormat="1" ht="13.5" customHeight="1" x14ac:dyDescent="0.2">
      <c r="A15" s="87">
        <v>7</v>
      </c>
      <c r="B15" s="80">
        <f t="shared" si="32"/>
        <v>0</v>
      </c>
      <c r="C15" s="80"/>
      <c r="D15" s="81">
        <f t="shared" si="0"/>
        <v>0</v>
      </c>
      <c r="E15" s="82">
        <f t="shared" si="56"/>
        <v>0</v>
      </c>
      <c r="F15" s="82"/>
      <c r="G15" s="82">
        <f t="shared" si="33"/>
        <v>0</v>
      </c>
      <c r="H15" s="84">
        <f t="shared" si="34"/>
        <v>0</v>
      </c>
      <c r="I15" s="84"/>
      <c r="J15" s="89">
        <f t="shared" si="1"/>
        <v>0</v>
      </c>
      <c r="K15" s="84">
        <f t="shared" si="57"/>
        <v>0</v>
      </c>
      <c r="L15" s="84"/>
      <c r="M15" s="89">
        <f t="shared" si="2"/>
        <v>0</v>
      </c>
      <c r="N15" s="84">
        <f t="shared" si="58"/>
        <v>0</v>
      </c>
      <c r="O15" s="84"/>
      <c r="P15" s="89">
        <f t="shared" si="3"/>
        <v>0</v>
      </c>
      <c r="Q15" s="84">
        <f t="shared" si="35"/>
        <v>0</v>
      </c>
      <c r="R15" s="84"/>
      <c r="S15" s="89">
        <f t="shared" si="4"/>
        <v>0</v>
      </c>
      <c r="T15" s="84">
        <f t="shared" si="59"/>
        <v>0</v>
      </c>
      <c r="U15" s="84"/>
      <c r="V15" s="89">
        <f t="shared" si="5"/>
        <v>0</v>
      </c>
      <c r="W15" s="84">
        <f t="shared" si="60"/>
        <v>0</v>
      </c>
      <c r="X15" s="84"/>
      <c r="Y15" s="89">
        <f t="shared" si="6"/>
        <v>0</v>
      </c>
      <c r="Z15" s="84">
        <f t="shared" si="61"/>
        <v>0</v>
      </c>
      <c r="AA15" s="84"/>
      <c r="AB15" s="89">
        <f t="shared" si="7"/>
        <v>0</v>
      </c>
      <c r="AC15" s="84">
        <f t="shared" si="8"/>
        <v>0</v>
      </c>
      <c r="AD15" s="84"/>
      <c r="AE15" s="89">
        <f t="shared" si="9"/>
        <v>0</v>
      </c>
      <c r="AF15" s="84">
        <f t="shared" si="10"/>
        <v>0</v>
      </c>
      <c r="AG15" s="84"/>
      <c r="AH15" s="89">
        <f t="shared" si="11"/>
        <v>0</v>
      </c>
      <c r="AI15" s="84">
        <f t="shared" si="12"/>
        <v>0</v>
      </c>
      <c r="AJ15" s="84"/>
      <c r="AK15" s="89">
        <f t="shared" si="13"/>
        <v>0</v>
      </c>
      <c r="AL15" s="84">
        <f t="shared" si="36"/>
        <v>0</v>
      </c>
      <c r="AM15" s="84"/>
      <c r="AN15" s="89">
        <f t="shared" si="14"/>
        <v>0</v>
      </c>
      <c r="AO15" s="84">
        <f t="shared" si="37"/>
        <v>0</v>
      </c>
      <c r="AP15" s="84"/>
      <c r="AQ15" s="89">
        <f t="shared" si="15"/>
        <v>0</v>
      </c>
      <c r="AR15" s="84">
        <f t="shared" si="38"/>
        <v>0</v>
      </c>
      <c r="AS15" s="84"/>
      <c r="AT15" s="89">
        <f t="shared" si="16"/>
        <v>0</v>
      </c>
      <c r="AU15" s="84">
        <f t="shared" si="39"/>
        <v>0</v>
      </c>
      <c r="AV15" s="84"/>
      <c r="AW15" s="89">
        <f t="shared" si="17"/>
        <v>0</v>
      </c>
      <c r="AX15" s="84">
        <f t="shared" si="40"/>
        <v>0</v>
      </c>
      <c r="AY15" s="84"/>
      <c r="AZ15" s="89">
        <f t="shared" si="18"/>
        <v>0</v>
      </c>
      <c r="BA15" s="84">
        <f t="shared" si="41"/>
        <v>0</v>
      </c>
      <c r="BB15" s="84"/>
      <c r="BC15" s="89">
        <f t="shared" si="19"/>
        <v>0</v>
      </c>
      <c r="BD15" s="89">
        <f t="shared" si="42"/>
        <v>0</v>
      </c>
      <c r="BE15" s="89"/>
      <c r="BF15" s="89">
        <f t="shared" si="43"/>
        <v>0</v>
      </c>
      <c r="BG15" s="84">
        <f t="shared" si="44"/>
        <v>0</v>
      </c>
      <c r="BH15" s="84"/>
      <c r="BI15" s="218">
        <f t="shared" si="20"/>
        <v>0</v>
      </c>
      <c r="BJ15" s="84">
        <f t="shared" si="45"/>
        <v>0</v>
      </c>
      <c r="BK15" s="84"/>
      <c r="BL15" s="89">
        <f t="shared" si="21"/>
        <v>0</v>
      </c>
      <c r="BM15" s="84">
        <f t="shared" si="46"/>
        <v>0</v>
      </c>
      <c r="BN15" s="84"/>
      <c r="BO15" s="89">
        <f t="shared" si="22"/>
        <v>0</v>
      </c>
      <c r="BP15" s="84">
        <f t="shared" si="47"/>
        <v>0</v>
      </c>
      <c r="BQ15" s="179"/>
      <c r="BR15" s="89">
        <f t="shared" si="23"/>
        <v>0</v>
      </c>
      <c r="BS15" s="84">
        <f t="shared" si="48"/>
        <v>0</v>
      </c>
      <c r="BT15" s="84"/>
      <c r="BU15" s="89">
        <f t="shared" si="24"/>
        <v>0</v>
      </c>
      <c r="BV15" s="84">
        <f t="shared" si="49"/>
        <v>0</v>
      </c>
      <c r="BW15" s="84"/>
      <c r="BX15" s="89">
        <f t="shared" si="25"/>
        <v>0</v>
      </c>
      <c r="BY15" s="84">
        <f t="shared" si="50"/>
        <v>0</v>
      </c>
      <c r="BZ15" s="84"/>
      <c r="CA15" s="89">
        <f t="shared" si="26"/>
        <v>0</v>
      </c>
      <c r="CB15" s="84">
        <f t="shared" si="51"/>
        <v>0</v>
      </c>
      <c r="CC15" s="84"/>
      <c r="CD15" s="89">
        <f t="shared" si="27"/>
        <v>0</v>
      </c>
      <c r="CE15" s="84">
        <f t="shared" si="52"/>
        <v>0</v>
      </c>
      <c r="CF15" s="84"/>
      <c r="CG15" s="89">
        <f t="shared" si="28"/>
        <v>0</v>
      </c>
      <c r="CH15" s="84">
        <f t="shared" si="53"/>
        <v>0</v>
      </c>
      <c r="CI15" s="84"/>
      <c r="CJ15" s="89">
        <f t="shared" si="29"/>
        <v>0</v>
      </c>
      <c r="CK15" s="84">
        <f t="shared" si="54"/>
        <v>0</v>
      </c>
      <c r="CL15" s="84"/>
      <c r="CM15" s="89">
        <f t="shared" si="30"/>
        <v>0</v>
      </c>
      <c r="CN15" s="84">
        <f t="shared" si="55"/>
        <v>0</v>
      </c>
      <c r="CO15" s="84"/>
      <c r="CP15" s="89">
        <f t="shared" si="31"/>
        <v>0</v>
      </c>
    </row>
    <row r="16" spans="1:94" s="3" customFormat="1" ht="13.5" customHeight="1" x14ac:dyDescent="0.2">
      <c r="A16" s="87">
        <v>8</v>
      </c>
      <c r="B16" s="80">
        <f t="shared" si="32"/>
        <v>0</v>
      </c>
      <c r="C16" s="80"/>
      <c r="D16" s="81">
        <f t="shared" si="0"/>
        <v>0</v>
      </c>
      <c r="E16" s="82">
        <f t="shared" si="56"/>
        <v>0</v>
      </c>
      <c r="F16" s="82"/>
      <c r="G16" s="82">
        <f t="shared" si="33"/>
        <v>0</v>
      </c>
      <c r="H16" s="84">
        <f t="shared" si="34"/>
        <v>0</v>
      </c>
      <c r="I16" s="84"/>
      <c r="J16" s="89">
        <f t="shared" si="1"/>
        <v>0</v>
      </c>
      <c r="K16" s="84">
        <f t="shared" si="57"/>
        <v>0</v>
      </c>
      <c r="L16" s="84"/>
      <c r="M16" s="89">
        <f t="shared" si="2"/>
        <v>0</v>
      </c>
      <c r="N16" s="84">
        <f t="shared" si="58"/>
        <v>0</v>
      </c>
      <c r="O16" s="84"/>
      <c r="P16" s="89">
        <f t="shared" si="3"/>
        <v>0</v>
      </c>
      <c r="Q16" s="84">
        <f t="shared" si="35"/>
        <v>0</v>
      </c>
      <c r="R16" s="84"/>
      <c r="S16" s="89">
        <f t="shared" si="4"/>
        <v>0</v>
      </c>
      <c r="T16" s="84">
        <f t="shared" si="59"/>
        <v>0</v>
      </c>
      <c r="U16" s="84"/>
      <c r="V16" s="89">
        <f t="shared" si="5"/>
        <v>0</v>
      </c>
      <c r="W16" s="84">
        <f t="shared" si="60"/>
        <v>0</v>
      </c>
      <c r="X16" s="84"/>
      <c r="Y16" s="89">
        <f t="shared" si="6"/>
        <v>0</v>
      </c>
      <c r="Z16" s="84">
        <f t="shared" si="61"/>
        <v>0</v>
      </c>
      <c r="AA16" s="84"/>
      <c r="AB16" s="89">
        <f t="shared" si="7"/>
        <v>0</v>
      </c>
      <c r="AC16" s="84">
        <f t="shared" si="8"/>
        <v>0</v>
      </c>
      <c r="AD16" s="84"/>
      <c r="AE16" s="89">
        <f t="shared" si="9"/>
        <v>0</v>
      </c>
      <c r="AF16" s="84">
        <f t="shared" si="10"/>
        <v>0</v>
      </c>
      <c r="AG16" s="84"/>
      <c r="AH16" s="89">
        <f t="shared" si="11"/>
        <v>0</v>
      </c>
      <c r="AI16" s="84">
        <f t="shared" si="12"/>
        <v>0</v>
      </c>
      <c r="AJ16" s="84"/>
      <c r="AK16" s="89">
        <f t="shared" si="13"/>
        <v>0</v>
      </c>
      <c r="AL16" s="84">
        <f t="shared" si="36"/>
        <v>0</v>
      </c>
      <c r="AM16" s="84"/>
      <c r="AN16" s="89">
        <f t="shared" si="14"/>
        <v>0</v>
      </c>
      <c r="AO16" s="84">
        <f t="shared" si="37"/>
        <v>0</v>
      </c>
      <c r="AP16" s="84"/>
      <c r="AQ16" s="89">
        <f t="shared" si="15"/>
        <v>0</v>
      </c>
      <c r="AR16" s="84">
        <f t="shared" si="38"/>
        <v>0</v>
      </c>
      <c r="AS16" s="84"/>
      <c r="AT16" s="89">
        <f t="shared" si="16"/>
        <v>0</v>
      </c>
      <c r="AU16" s="84">
        <f t="shared" si="39"/>
        <v>0</v>
      </c>
      <c r="AV16" s="84"/>
      <c r="AW16" s="89">
        <f t="shared" si="17"/>
        <v>0</v>
      </c>
      <c r="AX16" s="84">
        <f t="shared" si="40"/>
        <v>0</v>
      </c>
      <c r="AY16" s="84"/>
      <c r="AZ16" s="89">
        <f t="shared" si="18"/>
        <v>0</v>
      </c>
      <c r="BA16" s="84">
        <f t="shared" si="41"/>
        <v>0</v>
      </c>
      <c r="BB16" s="84"/>
      <c r="BC16" s="89">
        <f t="shared" si="19"/>
        <v>0</v>
      </c>
      <c r="BD16" s="89">
        <f t="shared" si="42"/>
        <v>0</v>
      </c>
      <c r="BE16" s="89"/>
      <c r="BF16" s="89">
        <f t="shared" si="43"/>
        <v>0</v>
      </c>
      <c r="BG16" s="84">
        <f t="shared" si="44"/>
        <v>0</v>
      </c>
      <c r="BH16" s="84"/>
      <c r="BI16" s="218">
        <f t="shared" si="20"/>
        <v>0</v>
      </c>
      <c r="BJ16" s="84">
        <f t="shared" si="45"/>
        <v>0</v>
      </c>
      <c r="BK16" s="84"/>
      <c r="BL16" s="89">
        <f t="shared" si="21"/>
        <v>0</v>
      </c>
      <c r="BM16" s="84">
        <f t="shared" si="46"/>
        <v>0</v>
      </c>
      <c r="BN16" s="84"/>
      <c r="BO16" s="89">
        <f t="shared" si="22"/>
        <v>0</v>
      </c>
      <c r="BP16" s="84">
        <f t="shared" si="47"/>
        <v>0</v>
      </c>
      <c r="BQ16" s="84"/>
      <c r="BR16" s="89">
        <f t="shared" si="23"/>
        <v>0</v>
      </c>
      <c r="BS16" s="84">
        <f t="shared" si="48"/>
        <v>0</v>
      </c>
      <c r="BT16" s="84"/>
      <c r="BU16" s="89">
        <f t="shared" si="24"/>
        <v>0</v>
      </c>
      <c r="BV16" s="84">
        <f t="shared" si="49"/>
        <v>0</v>
      </c>
      <c r="BW16" s="84"/>
      <c r="BX16" s="89">
        <f t="shared" si="25"/>
        <v>0</v>
      </c>
      <c r="BY16" s="84">
        <f t="shared" si="50"/>
        <v>0</v>
      </c>
      <c r="BZ16" s="84"/>
      <c r="CA16" s="89">
        <f t="shared" si="26"/>
        <v>0</v>
      </c>
      <c r="CB16" s="84">
        <f t="shared" si="51"/>
        <v>0</v>
      </c>
      <c r="CC16" s="84"/>
      <c r="CD16" s="89">
        <f t="shared" si="27"/>
        <v>0</v>
      </c>
      <c r="CE16" s="84">
        <f t="shared" si="52"/>
        <v>0</v>
      </c>
      <c r="CF16" s="84"/>
      <c r="CG16" s="89">
        <f t="shared" si="28"/>
        <v>0</v>
      </c>
      <c r="CH16" s="84">
        <f t="shared" si="53"/>
        <v>0</v>
      </c>
      <c r="CI16" s="84"/>
      <c r="CJ16" s="89">
        <f t="shared" si="29"/>
        <v>0</v>
      </c>
      <c r="CK16" s="84">
        <f t="shared" si="54"/>
        <v>0</v>
      </c>
      <c r="CL16" s="84"/>
      <c r="CM16" s="89">
        <f t="shared" si="30"/>
        <v>0</v>
      </c>
      <c r="CN16" s="84">
        <f t="shared" si="55"/>
        <v>0</v>
      </c>
      <c r="CO16" s="84"/>
      <c r="CP16" s="89">
        <f t="shared" si="31"/>
        <v>0</v>
      </c>
    </row>
    <row r="17" spans="1:1028" s="3" customFormat="1" ht="13.5" customHeight="1" x14ac:dyDescent="0.2">
      <c r="A17" s="87">
        <v>9</v>
      </c>
      <c r="B17" s="80">
        <f t="shared" si="32"/>
        <v>0</v>
      </c>
      <c r="C17" s="80"/>
      <c r="D17" s="81">
        <f t="shared" si="0"/>
        <v>0</v>
      </c>
      <c r="E17" s="82">
        <f t="shared" si="56"/>
        <v>0</v>
      </c>
      <c r="F17" s="82"/>
      <c r="G17" s="82">
        <f t="shared" si="33"/>
        <v>0</v>
      </c>
      <c r="H17" s="84">
        <f t="shared" si="34"/>
        <v>0</v>
      </c>
      <c r="I17" s="84"/>
      <c r="J17" s="89">
        <f t="shared" si="1"/>
        <v>0</v>
      </c>
      <c r="K17" s="84">
        <f t="shared" si="57"/>
        <v>0</v>
      </c>
      <c r="L17" s="84"/>
      <c r="M17" s="89">
        <f t="shared" si="2"/>
        <v>0</v>
      </c>
      <c r="N17" s="84">
        <f t="shared" si="58"/>
        <v>0</v>
      </c>
      <c r="O17" s="84"/>
      <c r="P17" s="89">
        <f t="shared" si="3"/>
        <v>0</v>
      </c>
      <c r="Q17" s="84">
        <f t="shared" si="35"/>
        <v>0</v>
      </c>
      <c r="R17" s="84"/>
      <c r="S17" s="89">
        <f t="shared" si="4"/>
        <v>0</v>
      </c>
      <c r="T17" s="84">
        <f t="shared" si="59"/>
        <v>0</v>
      </c>
      <c r="U17" s="84"/>
      <c r="V17" s="89">
        <f t="shared" si="5"/>
        <v>0</v>
      </c>
      <c r="W17" s="84">
        <f t="shared" si="60"/>
        <v>0</v>
      </c>
      <c r="X17" s="84"/>
      <c r="Y17" s="89">
        <f t="shared" si="6"/>
        <v>0</v>
      </c>
      <c r="Z17" s="84">
        <f t="shared" si="61"/>
        <v>0</v>
      </c>
      <c r="AA17" s="84"/>
      <c r="AB17" s="89">
        <f t="shared" si="7"/>
        <v>0</v>
      </c>
      <c r="AC17" s="84">
        <f t="shared" si="8"/>
        <v>0</v>
      </c>
      <c r="AD17" s="84"/>
      <c r="AE17" s="89">
        <f t="shared" si="9"/>
        <v>0</v>
      </c>
      <c r="AF17" s="84">
        <f t="shared" si="10"/>
        <v>0</v>
      </c>
      <c r="AG17" s="84"/>
      <c r="AH17" s="89">
        <f t="shared" si="11"/>
        <v>0</v>
      </c>
      <c r="AI17" s="84">
        <f t="shared" si="12"/>
        <v>0</v>
      </c>
      <c r="AJ17" s="84"/>
      <c r="AK17" s="89">
        <f t="shared" si="13"/>
        <v>0</v>
      </c>
      <c r="AL17" s="84">
        <f t="shared" si="36"/>
        <v>0</v>
      </c>
      <c r="AM17" s="84"/>
      <c r="AN17" s="89">
        <f t="shared" si="14"/>
        <v>0</v>
      </c>
      <c r="AO17" s="84">
        <f t="shared" si="37"/>
        <v>0</v>
      </c>
      <c r="AP17" s="84"/>
      <c r="AQ17" s="89">
        <f t="shared" si="15"/>
        <v>0</v>
      </c>
      <c r="AR17" s="84">
        <f t="shared" si="38"/>
        <v>0</v>
      </c>
      <c r="AS17" s="84"/>
      <c r="AT17" s="89">
        <f t="shared" si="16"/>
        <v>0</v>
      </c>
      <c r="AU17" s="84">
        <f t="shared" si="39"/>
        <v>0</v>
      </c>
      <c r="AV17" s="84"/>
      <c r="AW17" s="89">
        <f t="shared" si="17"/>
        <v>0</v>
      </c>
      <c r="AX17" s="84">
        <f t="shared" si="40"/>
        <v>0</v>
      </c>
      <c r="AY17" s="84"/>
      <c r="AZ17" s="89">
        <f t="shared" si="18"/>
        <v>0</v>
      </c>
      <c r="BA17" s="84">
        <f t="shared" si="41"/>
        <v>0</v>
      </c>
      <c r="BB17" s="84"/>
      <c r="BC17" s="89">
        <f t="shared" si="19"/>
        <v>0</v>
      </c>
      <c r="BD17" s="89">
        <f t="shared" si="42"/>
        <v>0</v>
      </c>
      <c r="BE17" s="89"/>
      <c r="BF17" s="89">
        <f t="shared" si="43"/>
        <v>0</v>
      </c>
      <c r="BG17" s="84">
        <f t="shared" si="44"/>
        <v>0</v>
      </c>
      <c r="BH17" s="84"/>
      <c r="BI17" s="218">
        <f t="shared" si="20"/>
        <v>0</v>
      </c>
      <c r="BJ17" s="84">
        <f t="shared" si="45"/>
        <v>0</v>
      </c>
      <c r="BK17" s="84"/>
      <c r="BL17" s="89">
        <f t="shared" si="21"/>
        <v>0</v>
      </c>
      <c r="BM17" s="84">
        <f t="shared" si="46"/>
        <v>0</v>
      </c>
      <c r="BN17" s="84"/>
      <c r="BO17" s="89">
        <f t="shared" si="22"/>
        <v>0</v>
      </c>
      <c r="BP17" s="84">
        <f t="shared" si="47"/>
        <v>0</v>
      </c>
      <c r="BQ17" s="84"/>
      <c r="BR17" s="89">
        <f t="shared" si="23"/>
        <v>0</v>
      </c>
      <c r="BS17" s="84">
        <f t="shared" si="48"/>
        <v>0</v>
      </c>
      <c r="BT17" s="84"/>
      <c r="BU17" s="89">
        <f t="shared" si="24"/>
        <v>0</v>
      </c>
      <c r="BV17" s="84">
        <f t="shared" si="49"/>
        <v>0</v>
      </c>
      <c r="BW17" s="84"/>
      <c r="BX17" s="89">
        <f t="shared" si="25"/>
        <v>0</v>
      </c>
      <c r="BY17" s="84">
        <f t="shared" si="50"/>
        <v>0</v>
      </c>
      <c r="BZ17" s="84"/>
      <c r="CA17" s="89">
        <f t="shared" si="26"/>
        <v>0</v>
      </c>
      <c r="CB17" s="84">
        <f t="shared" si="51"/>
        <v>0</v>
      </c>
      <c r="CC17" s="84"/>
      <c r="CD17" s="89">
        <f t="shared" si="27"/>
        <v>0</v>
      </c>
      <c r="CE17" s="84">
        <f t="shared" si="52"/>
        <v>0</v>
      </c>
      <c r="CF17" s="84"/>
      <c r="CG17" s="89">
        <f t="shared" si="28"/>
        <v>0</v>
      </c>
      <c r="CH17" s="84">
        <f t="shared" si="53"/>
        <v>0</v>
      </c>
      <c r="CI17" s="84"/>
      <c r="CJ17" s="89">
        <f t="shared" si="29"/>
        <v>0</v>
      </c>
      <c r="CK17" s="84">
        <f t="shared" si="54"/>
        <v>0</v>
      </c>
      <c r="CL17" s="84"/>
      <c r="CM17" s="89">
        <f t="shared" si="30"/>
        <v>0</v>
      </c>
      <c r="CN17" s="84">
        <f t="shared" si="55"/>
        <v>0</v>
      </c>
      <c r="CO17" s="84"/>
      <c r="CP17" s="89">
        <f t="shared" si="31"/>
        <v>0</v>
      </c>
    </row>
    <row r="18" spans="1:1028" s="3" customFormat="1" ht="13.5" customHeight="1" x14ac:dyDescent="0.2">
      <c r="A18" s="103">
        <v>10</v>
      </c>
      <c r="B18" s="80">
        <f t="shared" si="32"/>
        <v>0</v>
      </c>
      <c r="C18" s="80"/>
      <c r="D18" s="81">
        <f t="shared" si="0"/>
        <v>0</v>
      </c>
      <c r="E18" s="82">
        <f t="shared" si="56"/>
        <v>0</v>
      </c>
      <c r="F18" s="82"/>
      <c r="G18" s="82">
        <f t="shared" si="33"/>
        <v>0</v>
      </c>
      <c r="H18" s="84">
        <f t="shared" si="34"/>
        <v>0</v>
      </c>
      <c r="I18" s="84"/>
      <c r="J18" s="89">
        <f t="shared" si="1"/>
        <v>0</v>
      </c>
      <c r="K18" s="84">
        <f t="shared" si="57"/>
        <v>0</v>
      </c>
      <c r="L18" s="84"/>
      <c r="M18" s="89">
        <f t="shared" si="2"/>
        <v>0</v>
      </c>
      <c r="N18" s="84">
        <f t="shared" si="58"/>
        <v>0</v>
      </c>
      <c r="O18" s="84"/>
      <c r="P18" s="89">
        <f t="shared" si="3"/>
        <v>0</v>
      </c>
      <c r="Q18" s="84">
        <f t="shared" si="35"/>
        <v>0</v>
      </c>
      <c r="R18" s="84"/>
      <c r="S18" s="89">
        <f t="shared" si="4"/>
        <v>0</v>
      </c>
      <c r="T18" s="84">
        <f t="shared" si="59"/>
        <v>0</v>
      </c>
      <c r="U18" s="84"/>
      <c r="V18" s="89">
        <f t="shared" si="5"/>
        <v>0</v>
      </c>
      <c r="W18" s="84">
        <f t="shared" si="60"/>
        <v>0</v>
      </c>
      <c r="X18" s="84"/>
      <c r="Y18" s="89">
        <f t="shared" si="6"/>
        <v>0</v>
      </c>
      <c r="Z18" s="84">
        <f t="shared" si="61"/>
        <v>0</v>
      </c>
      <c r="AA18" s="84"/>
      <c r="AB18" s="89">
        <f t="shared" si="7"/>
        <v>0</v>
      </c>
      <c r="AC18" s="84">
        <f t="shared" si="8"/>
        <v>0</v>
      </c>
      <c r="AD18" s="84"/>
      <c r="AE18" s="89">
        <f t="shared" si="9"/>
        <v>0</v>
      </c>
      <c r="AF18" s="84">
        <f t="shared" si="10"/>
        <v>0</v>
      </c>
      <c r="AG18" s="84"/>
      <c r="AH18" s="89">
        <f t="shared" si="11"/>
        <v>0</v>
      </c>
      <c r="AI18" s="84">
        <f t="shared" si="12"/>
        <v>0</v>
      </c>
      <c r="AJ18" s="84"/>
      <c r="AK18" s="89">
        <f t="shared" si="13"/>
        <v>0</v>
      </c>
      <c r="AL18" s="84">
        <f t="shared" si="36"/>
        <v>0</v>
      </c>
      <c r="AM18" s="84"/>
      <c r="AN18" s="89">
        <f t="shared" si="14"/>
        <v>0</v>
      </c>
      <c r="AO18" s="84">
        <f t="shared" si="37"/>
        <v>0</v>
      </c>
      <c r="AP18" s="84"/>
      <c r="AQ18" s="89">
        <f t="shared" si="15"/>
        <v>0</v>
      </c>
      <c r="AR18" s="84">
        <f t="shared" si="38"/>
        <v>0</v>
      </c>
      <c r="AS18" s="84"/>
      <c r="AT18" s="89">
        <f t="shared" si="16"/>
        <v>0</v>
      </c>
      <c r="AU18" s="84">
        <f t="shared" si="39"/>
        <v>0</v>
      </c>
      <c r="AV18" s="84"/>
      <c r="AW18" s="89">
        <f t="shared" si="17"/>
        <v>0</v>
      </c>
      <c r="AX18" s="84">
        <f t="shared" si="40"/>
        <v>0</v>
      </c>
      <c r="AY18" s="84"/>
      <c r="AZ18" s="89">
        <f t="shared" si="18"/>
        <v>0</v>
      </c>
      <c r="BA18" s="84">
        <f t="shared" si="41"/>
        <v>0</v>
      </c>
      <c r="BB18" s="84"/>
      <c r="BC18" s="89">
        <f t="shared" si="19"/>
        <v>0</v>
      </c>
      <c r="BD18" s="89">
        <f t="shared" si="42"/>
        <v>0</v>
      </c>
      <c r="BE18" s="89"/>
      <c r="BF18" s="89">
        <f t="shared" si="43"/>
        <v>0</v>
      </c>
      <c r="BG18" s="84">
        <f t="shared" si="44"/>
        <v>0</v>
      </c>
      <c r="BH18" s="84"/>
      <c r="BI18" s="218">
        <f t="shared" si="20"/>
        <v>0</v>
      </c>
      <c r="BJ18" s="84">
        <f t="shared" si="45"/>
        <v>0</v>
      </c>
      <c r="BK18" s="84"/>
      <c r="BL18" s="89">
        <f t="shared" si="21"/>
        <v>0</v>
      </c>
      <c r="BM18" s="84">
        <f t="shared" si="46"/>
        <v>0</v>
      </c>
      <c r="BN18" s="84"/>
      <c r="BO18" s="89">
        <f t="shared" si="22"/>
        <v>0</v>
      </c>
      <c r="BP18" s="84">
        <f t="shared" si="47"/>
        <v>0</v>
      </c>
      <c r="BQ18" s="84"/>
      <c r="BR18" s="89">
        <f t="shared" si="23"/>
        <v>0</v>
      </c>
      <c r="BS18" s="84">
        <f t="shared" si="48"/>
        <v>0</v>
      </c>
      <c r="BT18" s="84"/>
      <c r="BU18" s="89">
        <f t="shared" si="24"/>
        <v>0</v>
      </c>
      <c r="BV18" s="84">
        <f t="shared" si="49"/>
        <v>0</v>
      </c>
      <c r="BW18" s="84"/>
      <c r="BX18" s="89">
        <f t="shared" si="25"/>
        <v>0</v>
      </c>
      <c r="BY18" s="84">
        <f t="shared" si="50"/>
        <v>0</v>
      </c>
      <c r="BZ18" s="84"/>
      <c r="CA18" s="89">
        <f t="shared" si="26"/>
        <v>0</v>
      </c>
      <c r="CB18" s="84">
        <f t="shared" si="51"/>
        <v>0</v>
      </c>
      <c r="CC18" s="84"/>
      <c r="CD18" s="89">
        <f t="shared" si="27"/>
        <v>0</v>
      </c>
      <c r="CE18" s="84">
        <f t="shared" si="52"/>
        <v>0</v>
      </c>
      <c r="CF18" s="84"/>
      <c r="CG18" s="89">
        <f t="shared" si="28"/>
        <v>0</v>
      </c>
      <c r="CH18" s="84">
        <f t="shared" si="53"/>
        <v>0</v>
      </c>
      <c r="CI18" s="84"/>
      <c r="CJ18" s="89">
        <f t="shared" si="29"/>
        <v>0</v>
      </c>
      <c r="CK18" s="84">
        <f t="shared" si="54"/>
        <v>0</v>
      </c>
      <c r="CL18" s="84"/>
      <c r="CM18" s="89">
        <f t="shared" si="30"/>
        <v>0</v>
      </c>
      <c r="CN18" s="84">
        <f t="shared" si="55"/>
        <v>0</v>
      </c>
      <c r="CO18" s="84"/>
      <c r="CP18" s="89">
        <f t="shared" si="31"/>
        <v>0</v>
      </c>
    </row>
    <row r="19" spans="1:1028" s="3" customFormat="1" ht="13.5" customHeight="1" x14ac:dyDescent="0.2">
      <c r="A19" s="103">
        <v>11</v>
      </c>
      <c r="B19" s="80">
        <f t="shared" si="32"/>
        <v>0</v>
      </c>
      <c r="C19" s="80"/>
      <c r="D19" s="81">
        <f t="shared" si="0"/>
        <v>0</v>
      </c>
      <c r="E19" s="82">
        <f t="shared" si="56"/>
        <v>0</v>
      </c>
      <c r="F19" s="82"/>
      <c r="G19" s="82">
        <f t="shared" si="33"/>
        <v>0</v>
      </c>
      <c r="H19" s="84">
        <f t="shared" si="34"/>
        <v>0</v>
      </c>
      <c r="I19" s="84"/>
      <c r="J19" s="89">
        <f t="shared" si="1"/>
        <v>0</v>
      </c>
      <c r="K19" s="84">
        <f t="shared" si="57"/>
        <v>0</v>
      </c>
      <c r="L19" s="84"/>
      <c r="M19" s="89">
        <f t="shared" si="2"/>
        <v>0</v>
      </c>
      <c r="N19" s="84">
        <f t="shared" si="58"/>
        <v>0</v>
      </c>
      <c r="O19" s="84"/>
      <c r="P19" s="89">
        <f t="shared" si="3"/>
        <v>0</v>
      </c>
      <c r="Q19" s="84">
        <f t="shared" si="35"/>
        <v>0</v>
      </c>
      <c r="R19" s="84"/>
      <c r="S19" s="89">
        <f t="shared" si="4"/>
        <v>0</v>
      </c>
      <c r="T19" s="84">
        <f t="shared" si="59"/>
        <v>0</v>
      </c>
      <c r="U19" s="84"/>
      <c r="V19" s="89">
        <f t="shared" si="5"/>
        <v>0</v>
      </c>
      <c r="W19" s="84">
        <f t="shared" si="60"/>
        <v>0</v>
      </c>
      <c r="X19" s="84"/>
      <c r="Y19" s="89">
        <f t="shared" si="6"/>
        <v>0</v>
      </c>
      <c r="Z19" s="84">
        <f t="shared" si="61"/>
        <v>0</v>
      </c>
      <c r="AA19" s="84"/>
      <c r="AB19" s="89">
        <f t="shared" si="7"/>
        <v>0</v>
      </c>
      <c r="AC19" s="84">
        <f t="shared" si="8"/>
        <v>0</v>
      </c>
      <c r="AD19" s="84"/>
      <c r="AE19" s="89">
        <f t="shared" si="9"/>
        <v>0</v>
      </c>
      <c r="AF19" s="84">
        <f t="shared" si="10"/>
        <v>0</v>
      </c>
      <c r="AG19" s="84"/>
      <c r="AH19" s="89">
        <f t="shared" si="11"/>
        <v>0</v>
      </c>
      <c r="AI19" s="84">
        <f t="shared" si="12"/>
        <v>0</v>
      </c>
      <c r="AJ19" s="84"/>
      <c r="AK19" s="89">
        <f t="shared" si="13"/>
        <v>0</v>
      </c>
      <c r="AL19" s="84">
        <f t="shared" si="36"/>
        <v>0</v>
      </c>
      <c r="AM19" s="84"/>
      <c r="AN19" s="89">
        <f t="shared" si="14"/>
        <v>0</v>
      </c>
      <c r="AO19" s="84">
        <f t="shared" si="37"/>
        <v>0</v>
      </c>
      <c r="AP19" s="84"/>
      <c r="AQ19" s="89">
        <f t="shared" si="15"/>
        <v>0</v>
      </c>
      <c r="AR19" s="84">
        <f t="shared" si="38"/>
        <v>0</v>
      </c>
      <c r="AS19" s="84"/>
      <c r="AT19" s="89">
        <f t="shared" si="16"/>
        <v>0</v>
      </c>
      <c r="AU19" s="84">
        <f t="shared" si="39"/>
        <v>0</v>
      </c>
      <c r="AV19" s="84"/>
      <c r="AW19" s="89">
        <f t="shared" si="17"/>
        <v>0</v>
      </c>
      <c r="AX19" s="84">
        <f t="shared" si="40"/>
        <v>0</v>
      </c>
      <c r="AY19" s="84"/>
      <c r="AZ19" s="89">
        <f t="shared" si="18"/>
        <v>0</v>
      </c>
      <c r="BA19" s="84">
        <f t="shared" si="41"/>
        <v>0</v>
      </c>
      <c r="BB19" s="84"/>
      <c r="BC19" s="89">
        <f t="shared" si="19"/>
        <v>0</v>
      </c>
      <c r="BD19" s="89">
        <f t="shared" si="42"/>
        <v>0</v>
      </c>
      <c r="BE19" s="89"/>
      <c r="BF19" s="89">
        <f t="shared" si="43"/>
        <v>0</v>
      </c>
      <c r="BG19" s="84">
        <f t="shared" si="44"/>
        <v>0</v>
      </c>
      <c r="BH19" s="84"/>
      <c r="BI19" s="218">
        <f t="shared" si="20"/>
        <v>0</v>
      </c>
      <c r="BJ19" s="84">
        <f t="shared" si="45"/>
        <v>0</v>
      </c>
      <c r="BK19" s="84"/>
      <c r="BL19" s="89">
        <f t="shared" si="21"/>
        <v>0</v>
      </c>
      <c r="BM19" s="84">
        <f t="shared" si="46"/>
        <v>0</v>
      </c>
      <c r="BN19" s="84"/>
      <c r="BO19" s="89">
        <f t="shared" si="22"/>
        <v>0</v>
      </c>
      <c r="BP19" s="84">
        <f t="shared" si="47"/>
        <v>0</v>
      </c>
      <c r="BQ19" s="84"/>
      <c r="BR19" s="89">
        <f t="shared" si="23"/>
        <v>0</v>
      </c>
      <c r="BS19" s="84">
        <f t="shared" si="48"/>
        <v>0</v>
      </c>
      <c r="BT19" s="84"/>
      <c r="BU19" s="89">
        <f t="shared" si="24"/>
        <v>0</v>
      </c>
      <c r="BV19" s="84">
        <f t="shared" si="49"/>
        <v>0</v>
      </c>
      <c r="BW19" s="84"/>
      <c r="BX19" s="89">
        <f t="shared" si="25"/>
        <v>0</v>
      </c>
      <c r="BY19" s="84">
        <f t="shared" si="50"/>
        <v>0</v>
      </c>
      <c r="BZ19" s="84"/>
      <c r="CA19" s="89">
        <f t="shared" si="26"/>
        <v>0</v>
      </c>
      <c r="CB19" s="84">
        <f t="shared" si="51"/>
        <v>0</v>
      </c>
      <c r="CC19" s="84"/>
      <c r="CD19" s="89">
        <f t="shared" si="27"/>
        <v>0</v>
      </c>
      <c r="CE19" s="84">
        <f t="shared" si="52"/>
        <v>0</v>
      </c>
      <c r="CF19" s="84"/>
      <c r="CG19" s="89">
        <f t="shared" si="28"/>
        <v>0</v>
      </c>
      <c r="CH19" s="84">
        <f t="shared" si="53"/>
        <v>0</v>
      </c>
      <c r="CI19" s="84"/>
      <c r="CJ19" s="89">
        <f t="shared" si="29"/>
        <v>0</v>
      </c>
      <c r="CK19" s="84">
        <f t="shared" si="54"/>
        <v>0</v>
      </c>
      <c r="CL19" s="84"/>
      <c r="CM19" s="89">
        <f t="shared" si="30"/>
        <v>0</v>
      </c>
      <c r="CN19" s="84">
        <f t="shared" si="55"/>
        <v>0</v>
      </c>
      <c r="CO19" s="84"/>
      <c r="CP19" s="89">
        <f t="shared" si="31"/>
        <v>0</v>
      </c>
    </row>
    <row r="20" spans="1:1028" s="3" customFormat="1" ht="13.5" customHeight="1" x14ac:dyDescent="0.2">
      <c r="A20" s="103">
        <v>12</v>
      </c>
      <c r="B20" s="80">
        <f t="shared" si="32"/>
        <v>0</v>
      </c>
      <c r="C20" s="80"/>
      <c r="D20" s="81">
        <f t="shared" si="0"/>
        <v>0</v>
      </c>
      <c r="E20" s="82">
        <f t="shared" si="56"/>
        <v>0</v>
      </c>
      <c r="F20" s="82"/>
      <c r="G20" s="82">
        <f t="shared" si="33"/>
        <v>0</v>
      </c>
      <c r="H20" s="84">
        <f t="shared" si="34"/>
        <v>0</v>
      </c>
      <c r="I20" s="84"/>
      <c r="J20" s="89">
        <f t="shared" si="1"/>
        <v>0</v>
      </c>
      <c r="K20" s="84">
        <f t="shared" si="57"/>
        <v>0</v>
      </c>
      <c r="L20" s="84"/>
      <c r="M20" s="89">
        <f t="shared" si="2"/>
        <v>0</v>
      </c>
      <c r="N20" s="84">
        <f t="shared" si="58"/>
        <v>0</v>
      </c>
      <c r="O20" s="84"/>
      <c r="P20" s="89">
        <f t="shared" si="3"/>
        <v>0</v>
      </c>
      <c r="Q20" s="84">
        <f t="shared" si="35"/>
        <v>0</v>
      </c>
      <c r="R20" s="84"/>
      <c r="S20" s="89">
        <f t="shared" si="4"/>
        <v>0</v>
      </c>
      <c r="T20" s="84">
        <f t="shared" si="59"/>
        <v>0</v>
      </c>
      <c r="U20" s="84"/>
      <c r="V20" s="89">
        <f t="shared" si="5"/>
        <v>0</v>
      </c>
      <c r="W20" s="84">
        <f t="shared" si="60"/>
        <v>0</v>
      </c>
      <c r="X20" s="84"/>
      <c r="Y20" s="89">
        <f t="shared" si="6"/>
        <v>0</v>
      </c>
      <c r="Z20" s="84">
        <f t="shared" si="61"/>
        <v>0</v>
      </c>
      <c r="AA20" s="84"/>
      <c r="AB20" s="89">
        <f t="shared" si="7"/>
        <v>0</v>
      </c>
      <c r="AC20" s="84">
        <f t="shared" si="8"/>
        <v>0</v>
      </c>
      <c r="AD20" s="84"/>
      <c r="AE20" s="89">
        <f t="shared" si="9"/>
        <v>0</v>
      </c>
      <c r="AF20" s="84">
        <f t="shared" si="10"/>
        <v>0</v>
      </c>
      <c r="AG20" s="84"/>
      <c r="AH20" s="89">
        <f t="shared" si="11"/>
        <v>0</v>
      </c>
      <c r="AI20" s="84">
        <f t="shared" si="12"/>
        <v>0</v>
      </c>
      <c r="AJ20" s="84"/>
      <c r="AK20" s="89">
        <f t="shared" si="13"/>
        <v>0</v>
      </c>
      <c r="AL20" s="84">
        <f t="shared" si="36"/>
        <v>0</v>
      </c>
      <c r="AM20" s="84"/>
      <c r="AN20" s="89">
        <f t="shared" si="14"/>
        <v>0</v>
      </c>
      <c r="AO20" s="84">
        <f t="shared" si="37"/>
        <v>0</v>
      </c>
      <c r="AP20" s="84"/>
      <c r="AQ20" s="89">
        <f t="shared" si="15"/>
        <v>0</v>
      </c>
      <c r="AR20" s="84">
        <f t="shared" si="38"/>
        <v>0</v>
      </c>
      <c r="AS20" s="84"/>
      <c r="AT20" s="89">
        <f t="shared" si="16"/>
        <v>0</v>
      </c>
      <c r="AU20" s="84">
        <f t="shared" si="39"/>
        <v>0</v>
      </c>
      <c r="AV20" s="84"/>
      <c r="AW20" s="89">
        <f t="shared" si="17"/>
        <v>0</v>
      </c>
      <c r="AX20" s="84">
        <f t="shared" si="40"/>
        <v>0</v>
      </c>
      <c r="AY20" s="84"/>
      <c r="AZ20" s="89">
        <f t="shared" si="18"/>
        <v>0</v>
      </c>
      <c r="BA20" s="84">
        <f t="shared" si="41"/>
        <v>0</v>
      </c>
      <c r="BB20" s="84"/>
      <c r="BC20" s="89">
        <f t="shared" si="19"/>
        <v>0</v>
      </c>
      <c r="BD20" s="89">
        <f t="shared" si="42"/>
        <v>0</v>
      </c>
      <c r="BE20" s="89"/>
      <c r="BF20" s="89">
        <f t="shared" si="43"/>
        <v>0</v>
      </c>
      <c r="BG20" s="84">
        <f t="shared" si="44"/>
        <v>0</v>
      </c>
      <c r="BH20" s="84"/>
      <c r="BI20" s="218">
        <f t="shared" si="20"/>
        <v>0</v>
      </c>
      <c r="BJ20" s="84">
        <f t="shared" si="45"/>
        <v>0</v>
      </c>
      <c r="BK20" s="84"/>
      <c r="BL20" s="89">
        <f t="shared" si="21"/>
        <v>0</v>
      </c>
      <c r="BM20" s="84">
        <f t="shared" si="46"/>
        <v>0</v>
      </c>
      <c r="BN20" s="84"/>
      <c r="BO20" s="89">
        <f t="shared" si="22"/>
        <v>0</v>
      </c>
      <c r="BP20" s="84">
        <f t="shared" si="47"/>
        <v>0</v>
      </c>
      <c r="BQ20" s="84"/>
      <c r="BR20" s="89">
        <f t="shared" si="23"/>
        <v>0</v>
      </c>
      <c r="BS20" s="84">
        <f t="shared" si="48"/>
        <v>0</v>
      </c>
      <c r="BT20" s="84"/>
      <c r="BU20" s="89">
        <f t="shared" si="24"/>
        <v>0</v>
      </c>
      <c r="BV20" s="84">
        <f t="shared" si="49"/>
        <v>0</v>
      </c>
      <c r="BW20" s="84"/>
      <c r="BX20" s="89">
        <f t="shared" si="25"/>
        <v>0</v>
      </c>
      <c r="BY20" s="84">
        <f t="shared" si="50"/>
        <v>0</v>
      </c>
      <c r="BZ20" s="84"/>
      <c r="CA20" s="89">
        <f t="shared" si="26"/>
        <v>0</v>
      </c>
      <c r="CB20" s="84">
        <f t="shared" si="51"/>
        <v>0</v>
      </c>
      <c r="CC20" s="84"/>
      <c r="CD20" s="89">
        <f t="shared" si="27"/>
        <v>0</v>
      </c>
      <c r="CE20" s="84">
        <f t="shared" si="52"/>
        <v>0</v>
      </c>
      <c r="CF20" s="84"/>
      <c r="CG20" s="89">
        <f t="shared" si="28"/>
        <v>0</v>
      </c>
      <c r="CH20" s="84">
        <f t="shared" si="53"/>
        <v>0</v>
      </c>
      <c r="CI20" s="84"/>
      <c r="CJ20" s="89">
        <f t="shared" si="29"/>
        <v>0</v>
      </c>
      <c r="CK20" s="84">
        <f t="shared" si="54"/>
        <v>0</v>
      </c>
      <c r="CL20" s="84"/>
      <c r="CM20" s="89">
        <f t="shared" si="30"/>
        <v>0</v>
      </c>
      <c r="CN20" s="84">
        <f t="shared" si="55"/>
        <v>0</v>
      </c>
      <c r="CO20" s="84"/>
      <c r="CP20" s="89">
        <f t="shared" si="31"/>
        <v>0</v>
      </c>
    </row>
    <row r="21" spans="1:1028" s="3" customFormat="1" ht="13.5" customHeight="1" x14ac:dyDescent="0.2">
      <c r="A21" s="103">
        <v>13</v>
      </c>
      <c r="B21" s="80">
        <f t="shared" si="32"/>
        <v>0</v>
      </c>
      <c r="C21" s="80"/>
      <c r="D21" s="81">
        <f t="shared" si="0"/>
        <v>0</v>
      </c>
      <c r="E21" s="82">
        <f t="shared" si="56"/>
        <v>0</v>
      </c>
      <c r="F21" s="82"/>
      <c r="G21" s="82">
        <f t="shared" si="33"/>
        <v>0</v>
      </c>
      <c r="H21" s="84">
        <f t="shared" si="34"/>
        <v>0</v>
      </c>
      <c r="I21" s="84"/>
      <c r="J21" s="89">
        <f t="shared" si="1"/>
        <v>0</v>
      </c>
      <c r="K21" s="84">
        <f t="shared" si="57"/>
        <v>0</v>
      </c>
      <c r="L21" s="84"/>
      <c r="M21" s="89">
        <f t="shared" si="2"/>
        <v>0</v>
      </c>
      <c r="N21" s="84">
        <f t="shared" si="58"/>
        <v>0</v>
      </c>
      <c r="O21" s="84"/>
      <c r="P21" s="89">
        <f t="shared" si="3"/>
        <v>0</v>
      </c>
      <c r="Q21" s="84">
        <f t="shared" si="35"/>
        <v>0</v>
      </c>
      <c r="R21" s="84"/>
      <c r="S21" s="89">
        <f t="shared" si="4"/>
        <v>0</v>
      </c>
      <c r="T21" s="84">
        <f t="shared" si="59"/>
        <v>0</v>
      </c>
      <c r="U21" s="84"/>
      <c r="V21" s="89">
        <f t="shared" si="5"/>
        <v>0</v>
      </c>
      <c r="W21" s="84">
        <f t="shared" si="60"/>
        <v>0</v>
      </c>
      <c r="X21" s="84"/>
      <c r="Y21" s="89">
        <f t="shared" si="6"/>
        <v>0</v>
      </c>
      <c r="Z21" s="84">
        <f t="shared" si="61"/>
        <v>0</v>
      </c>
      <c r="AA21" s="84"/>
      <c r="AB21" s="89">
        <f t="shared" si="7"/>
        <v>0</v>
      </c>
      <c r="AC21" s="84">
        <f t="shared" si="8"/>
        <v>0</v>
      </c>
      <c r="AD21" s="84"/>
      <c r="AE21" s="89">
        <f t="shared" si="9"/>
        <v>0</v>
      </c>
      <c r="AF21" s="84">
        <f t="shared" si="10"/>
        <v>0</v>
      </c>
      <c r="AG21" s="84"/>
      <c r="AH21" s="89">
        <f t="shared" si="11"/>
        <v>0</v>
      </c>
      <c r="AI21" s="84">
        <f t="shared" si="12"/>
        <v>0</v>
      </c>
      <c r="AJ21" s="84"/>
      <c r="AK21" s="89">
        <f t="shared" si="13"/>
        <v>0</v>
      </c>
      <c r="AL21" s="84">
        <f t="shared" si="36"/>
        <v>0</v>
      </c>
      <c r="AM21" s="84"/>
      <c r="AN21" s="89">
        <f t="shared" si="14"/>
        <v>0</v>
      </c>
      <c r="AO21" s="84">
        <f t="shared" si="37"/>
        <v>0</v>
      </c>
      <c r="AP21" s="84"/>
      <c r="AQ21" s="89">
        <f t="shared" si="15"/>
        <v>0</v>
      </c>
      <c r="AR21" s="84">
        <f t="shared" si="38"/>
        <v>0</v>
      </c>
      <c r="AS21" s="84"/>
      <c r="AT21" s="89">
        <f t="shared" si="16"/>
        <v>0</v>
      </c>
      <c r="AU21" s="84">
        <f t="shared" si="39"/>
        <v>0</v>
      </c>
      <c r="AV21" s="84"/>
      <c r="AW21" s="89">
        <f t="shared" si="17"/>
        <v>0</v>
      </c>
      <c r="AX21" s="84">
        <f t="shared" si="40"/>
        <v>0</v>
      </c>
      <c r="AY21" s="84"/>
      <c r="AZ21" s="89">
        <f t="shared" si="18"/>
        <v>0</v>
      </c>
      <c r="BA21" s="84">
        <f t="shared" si="41"/>
        <v>0</v>
      </c>
      <c r="BB21" s="84"/>
      <c r="BC21" s="89">
        <f t="shared" si="19"/>
        <v>0</v>
      </c>
      <c r="BD21" s="89">
        <f t="shared" si="42"/>
        <v>0</v>
      </c>
      <c r="BE21" s="89"/>
      <c r="BF21" s="89">
        <f t="shared" si="43"/>
        <v>0</v>
      </c>
      <c r="BG21" s="84">
        <f t="shared" si="44"/>
        <v>0</v>
      </c>
      <c r="BH21" s="84"/>
      <c r="BI21" s="218">
        <f t="shared" si="20"/>
        <v>0</v>
      </c>
      <c r="BJ21" s="84">
        <f t="shared" si="45"/>
        <v>0</v>
      </c>
      <c r="BK21" s="84"/>
      <c r="BL21" s="89">
        <f t="shared" si="21"/>
        <v>0</v>
      </c>
      <c r="BM21" s="84">
        <f t="shared" si="46"/>
        <v>0</v>
      </c>
      <c r="BN21" s="84"/>
      <c r="BO21" s="89">
        <f t="shared" si="22"/>
        <v>0</v>
      </c>
      <c r="BP21" s="84">
        <f t="shared" si="47"/>
        <v>0</v>
      </c>
      <c r="BQ21" s="84"/>
      <c r="BR21" s="89">
        <f t="shared" si="23"/>
        <v>0</v>
      </c>
      <c r="BS21" s="84">
        <f t="shared" si="48"/>
        <v>0</v>
      </c>
      <c r="BT21" s="84"/>
      <c r="BU21" s="89">
        <f t="shared" si="24"/>
        <v>0</v>
      </c>
      <c r="BV21" s="84">
        <f t="shared" si="49"/>
        <v>0</v>
      </c>
      <c r="BW21" s="84"/>
      <c r="BX21" s="89">
        <f t="shared" si="25"/>
        <v>0</v>
      </c>
      <c r="BY21" s="84">
        <f t="shared" si="50"/>
        <v>0</v>
      </c>
      <c r="BZ21" s="84"/>
      <c r="CA21" s="89">
        <f t="shared" si="26"/>
        <v>0</v>
      </c>
      <c r="CB21" s="84">
        <f t="shared" si="51"/>
        <v>0</v>
      </c>
      <c r="CC21" s="84"/>
      <c r="CD21" s="89">
        <f t="shared" si="27"/>
        <v>0</v>
      </c>
      <c r="CE21" s="84">
        <f t="shared" si="52"/>
        <v>0</v>
      </c>
      <c r="CF21" s="84"/>
      <c r="CG21" s="89">
        <f t="shared" si="28"/>
        <v>0</v>
      </c>
      <c r="CH21" s="84">
        <f t="shared" si="53"/>
        <v>0</v>
      </c>
      <c r="CI21" s="84"/>
      <c r="CJ21" s="89">
        <f t="shared" si="29"/>
        <v>0</v>
      </c>
      <c r="CK21" s="84">
        <f t="shared" si="54"/>
        <v>0</v>
      </c>
      <c r="CL21" s="84"/>
      <c r="CM21" s="89">
        <f t="shared" si="30"/>
        <v>0</v>
      </c>
      <c r="CN21" s="84">
        <f t="shared" si="55"/>
        <v>0</v>
      </c>
      <c r="CO21" s="84"/>
      <c r="CP21" s="89">
        <f t="shared" si="31"/>
        <v>0</v>
      </c>
    </row>
    <row r="22" spans="1:1028" s="3" customFormat="1" ht="13.5" customHeight="1" x14ac:dyDescent="0.2">
      <c r="A22" s="103">
        <v>14</v>
      </c>
      <c r="B22" s="80">
        <f t="shared" si="32"/>
        <v>0</v>
      </c>
      <c r="C22" s="80"/>
      <c r="D22" s="81">
        <f t="shared" si="0"/>
        <v>0</v>
      </c>
      <c r="E22" s="82">
        <f t="shared" si="56"/>
        <v>0</v>
      </c>
      <c r="F22" s="82"/>
      <c r="G22" s="82">
        <f t="shared" si="33"/>
        <v>0</v>
      </c>
      <c r="H22" s="84">
        <f t="shared" si="34"/>
        <v>0</v>
      </c>
      <c r="I22" s="84"/>
      <c r="J22" s="89">
        <f t="shared" si="1"/>
        <v>0</v>
      </c>
      <c r="K22" s="84">
        <f t="shared" si="57"/>
        <v>0</v>
      </c>
      <c r="L22" s="84"/>
      <c r="M22" s="89">
        <f t="shared" si="2"/>
        <v>0</v>
      </c>
      <c r="N22" s="84">
        <f t="shared" si="58"/>
        <v>0</v>
      </c>
      <c r="O22" s="84"/>
      <c r="P22" s="89">
        <f t="shared" si="3"/>
        <v>0</v>
      </c>
      <c r="Q22" s="84">
        <f t="shared" si="35"/>
        <v>0</v>
      </c>
      <c r="R22" s="84"/>
      <c r="S22" s="89">
        <f t="shared" si="4"/>
        <v>0</v>
      </c>
      <c r="T22" s="84">
        <f t="shared" si="59"/>
        <v>0</v>
      </c>
      <c r="U22" s="84"/>
      <c r="V22" s="89">
        <f t="shared" si="5"/>
        <v>0</v>
      </c>
      <c r="W22" s="84">
        <f t="shared" si="60"/>
        <v>0</v>
      </c>
      <c r="X22" s="84"/>
      <c r="Y22" s="89">
        <f t="shared" si="6"/>
        <v>0</v>
      </c>
      <c r="Z22" s="84">
        <f t="shared" si="61"/>
        <v>0</v>
      </c>
      <c r="AA22" s="84"/>
      <c r="AB22" s="89">
        <f t="shared" si="7"/>
        <v>0</v>
      </c>
      <c r="AC22" s="84">
        <f t="shared" si="8"/>
        <v>0</v>
      </c>
      <c r="AD22" s="84"/>
      <c r="AE22" s="89">
        <f t="shared" si="9"/>
        <v>0</v>
      </c>
      <c r="AF22" s="84">
        <f t="shared" si="10"/>
        <v>0</v>
      </c>
      <c r="AG22" s="84"/>
      <c r="AH22" s="89">
        <f t="shared" si="11"/>
        <v>0</v>
      </c>
      <c r="AI22" s="84">
        <f t="shared" si="12"/>
        <v>0</v>
      </c>
      <c r="AJ22" s="84"/>
      <c r="AK22" s="89">
        <f t="shared" si="13"/>
        <v>0</v>
      </c>
      <c r="AL22" s="84">
        <f t="shared" si="36"/>
        <v>0</v>
      </c>
      <c r="AM22" s="84"/>
      <c r="AN22" s="89">
        <f t="shared" si="14"/>
        <v>0</v>
      </c>
      <c r="AO22" s="84">
        <f t="shared" si="37"/>
        <v>0</v>
      </c>
      <c r="AP22" s="84"/>
      <c r="AQ22" s="89">
        <f t="shared" si="15"/>
        <v>0</v>
      </c>
      <c r="AR22" s="84">
        <f t="shared" si="38"/>
        <v>0</v>
      </c>
      <c r="AS22" s="84"/>
      <c r="AT22" s="89">
        <f t="shared" si="16"/>
        <v>0</v>
      </c>
      <c r="AU22" s="84">
        <f t="shared" si="39"/>
        <v>0</v>
      </c>
      <c r="AV22" s="84"/>
      <c r="AW22" s="89">
        <f t="shared" si="17"/>
        <v>0</v>
      </c>
      <c r="AX22" s="84">
        <f t="shared" si="40"/>
        <v>0</v>
      </c>
      <c r="AY22" s="84"/>
      <c r="AZ22" s="89">
        <f t="shared" si="18"/>
        <v>0</v>
      </c>
      <c r="BA22" s="84">
        <f t="shared" si="41"/>
        <v>0</v>
      </c>
      <c r="BB22" s="84"/>
      <c r="BC22" s="89">
        <f t="shared" si="19"/>
        <v>0</v>
      </c>
      <c r="BD22" s="89">
        <f t="shared" si="42"/>
        <v>0</v>
      </c>
      <c r="BE22" s="89"/>
      <c r="BF22" s="89">
        <f t="shared" si="43"/>
        <v>0</v>
      </c>
      <c r="BG22" s="84">
        <f t="shared" si="44"/>
        <v>0</v>
      </c>
      <c r="BH22" s="84"/>
      <c r="BI22" s="218">
        <f t="shared" si="20"/>
        <v>0</v>
      </c>
      <c r="BJ22" s="84">
        <f t="shared" si="45"/>
        <v>0</v>
      </c>
      <c r="BK22" s="84"/>
      <c r="BL22" s="89">
        <f t="shared" si="21"/>
        <v>0</v>
      </c>
      <c r="BM22" s="84">
        <f t="shared" si="46"/>
        <v>0</v>
      </c>
      <c r="BN22" s="84"/>
      <c r="BO22" s="89">
        <f t="shared" si="22"/>
        <v>0</v>
      </c>
      <c r="BP22" s="84">
        <f t="shared" si="47"/>
        <v>0</v>
      </c>
      <c r="BQ22" s="84"/>
      <c r="BR22" s="89">
        <f t="shared" si="23"/>
        <v>0</v>
      </c>
      <c r="BS22" s="84">
        <f t="shared" si="48"/>
        <v>0</v>
      </c>
      <c r="BT22" s="84"/>
      <c r="BU22" s="89">
        <f t="shared" si="24"/>
        <v>0</v>
      </c>
      <c r="BV22" s="84">
        <f t="shared" si="49"/>
        <v>0</v>
      </c>
      <c r="BW22" s="84"/>
      <c r="BX22" s="89">
        <f t="shared" si="25"/>
        <v>0</v>
      </c>
      <c r="BY22" s="84">
        <f t="shared" si="50"/>
        <v>0</v>
      </c>
      <c r="BZ22" s="84"/>
      <c r="CA22" s="89">
        <f t="shared" si="26"/>
        <v>0</v>
      </c>
      <c r="CB22" s="84">
        <f t="shared" si="51"/>
        <v>0</v>
      </c>
      <c r="CC22" s="84"/>
      <c r="CD22" s="89">
        <f t="shared" si="27"/>
        <v>0</v>
      </c>
      <c r="CE22" s="84">
        <f t="shared" si="52"/>
        <v>0</v>
      </c>
      <c r="CF22" s="84"/>
      <c r="CG22" s="89">
        <f t="shared" si="28"/>
        <v>0</v>
      </c>
      <c r="CH22" s="84">
        <f t="shared" si="53"/>
        <v>0</v>
      </c>
      <c r="CI22" s="84"/>
      <c r="CJ22" s="89">
        <f t="shared" si="29"/>
        <v>0</v>
      </c>
      <c r="CK22" s="84">
        <f t="shared" si="54"/>
        <v>0</v>
      </c>
      <c r="CL22" s="84"/>
      <c r="CM22" s="89">
        <f t="shared" si="30"/>
        <v>0</v>
      </c>
      <c r="CN22" s="84">
        <f t="shared" si="55"/>
        <v>0</v>
      </c>
      <c r="CO22" s="84"/>
      <c r="CP22" s="89">
        <f t="shared" si="31"/>
        <v>0</v>
      </c>
    </row>
    <row r="23" spans="1:1028" s="3" customFormat="1" ht="13.5" customHeight="1" x14ac:dyDescent="0.2">
      <c r="A23" s="103">
        <v>15</v>
      </c>
      <c r="B23" s="80">
        <f t="shared" si="32"/>
        <v>0</v>
      </c>
      <c r="C23" s="80"/>
      <c r="D23" s="81">
        <f t="shared" si="0"/>
        <v>0</v>
      </c>
      <c r="E23" s="82">
        <f t="shared" si="56"/>
        <v>0</v>
      </c>
      <c r="F23" s="82"/>
      <c r="G23" s="82">
        <f t="shared" si="33"/>
        <v>0</v>
      </c>
      <c r="H23" s="84">
        <f t="shared" si="34"/>
        <v>0</v>
      </c>
      <c r="I23" s="84"/>
      <c r="J23" s="89">
        <f t="shared" si="1"/>
        <v>0</v>
      </c>
      <c r="K23" s="84">
        <f t="shared" si="57"/>
        <v>0</v>
      </c>
      <c r="L23" s="84"/>
      <c r="M23" s="89">
        <f t="shared" si="2"/>
        <v>0</v>
      </c>
      <c r="N23" s="84">
        <f t="shared" si="58"/>
        <v>0</v>
      </c>
      <c r="O23" s="84"/>
      <c r="P23" s="89">
        <f t="shared" si="3"/>
        <v>0</v>
      </c>
      <c r="Q23" s="84">
        <f t="shared" si="35"/>
        <v>0</v>
      </c>
      <c r="R23" s="84"/>
      <c r="S23" s="89">
        <f t="shared" si="4"/>
        <v>0</v>
      </c>
      <c r="T23" s="84">
        <f t="shared" si="59"/>
        <v>0</v>
      </c>
      <c r="U23" s="84"/>
      <c r="V23" s="89">
        <f t="shared" si="5"/>
        <v>0</v>
      </c>
      <c r="W23" s="84">
        <f t="shared" si="60"/>
        <v>0</v>
      </c>
      <c r="X23" s="84"/>
      <c r="Y23" s="89">
        <f t="shared" si="6"/>
        <v>0</v>
      </c>
      <c r="Z23" s="84">
        <f t="shared" si="61"/>
        <v>0</v>
      </c>
      <c r="AA23" s="84"/>
      <c r="AB23" s="89">
        <f t="shared" si="7"/>
        <v>0</v>
      </c>
      <c r="AC23" s="84">
        <f t="shared" si="8"/>
        <v>0</v>
      </c>
      <c r="AD23" s="84"/>
      <c r="AE23" s="89">
        <f t="shared" si="9"/>
        <v>0</v>
      </c>
      <c r="AF23" s="84">
        <f t="shared" si="10"/>
        <v>0</v>
      </c>
      <c r="AG23" s="84"/>
      <c r="AH23" s="89">
        <f t="shared" si="11"/>
        <v>0</v>
      </c>
      <c r="AI23" s="84">
        <f t="shared" si="12"/>
        <v>0</v>
      </c>
      <c r="AJ23" s="84"/>
      <c r="AK23" s="89">
        <f t="shared" si="13"/>
        <v>0</v>
      </c>
      <c r="AL23" s="84">
        <f t="shared" si="36"/>
        <v>0</v>
      </c>
      <c r="AM23" s="84"/>
      <c r="AN23" s="89">
        <f t="shared" si="14"/>
        <v>0</v>
      </c>
      <c r="AO23" s="84">
        <f t="shared" si="37"/>
        <v>0</v>
      </c>
      <c r="AP23" s="84"/>
      <c r="AQ23" s="89">
        <f t="shared" si="15"/>
        <v>0</v>
      </c>
      <c r="AR23" s="84">
        <f t="shared" si="38"/>
        <v>0</v>
      </c>
      <c r="AS23" s="84"/>
      <c r="AT23" s="89">
        <f t="shared" si="16"/>
        <v>0</v>
      </c>
      <c r="AU23" s="84">
        <f t="shared" si="39"/>
        <v>0</v>
      </c>
      <c r="AV23" s="84"/>
      <c r="AW23" s="89">
        <f t="shared" si="17"/>
        <v>0</v>
      </c>
      <c r="AX23" s="84">
        <f t="shared" si="40"/>
        <v>0</v>
      </c>
      <c r="AY23" s="84"/>
      <c r="AZ23" s="89">
        <f t="shared" si="18"/>
        <v>0</v>
      </c>
      <c r="BA23" s="84">
        <f t="shared" si="41"/>
        <v>0</v>
      </c>
      <c r="BB23" s="84"/>
      <c r="BC23" s="89">
        <f t="shared" si="19"/>
        <v>0</v>
      </c>
      <c r="BD23" s="89">
        <f t="shared" si="42"/>
        <v>0</v>
      </c>
      <c r="BE23" s="89"/>
      <c r="BF23" s="89">
        <f t="shared" si="43"/>
        <v>0</v>
      </c>
      <c r="BG23" s="84">
        <f t="shared" si="44"/>
        <v>0</v>
      </c>
      <c r="BH23" s="84"/>
      <c r="BI23" s="218">
        <f t="shared" si="20"/>
        <v>0</v>
      </c>
      <c r="BJ23" s="84">
        <f t="shared" si="45"/>
        <v>0</v>
      </c>
      <c r="BK23" s="84"/>
      <c r="BL23" s="89">
        <f t="shared" si="21"/>
        <v>0</v>
      </c>
      <c r="BM23" s="84">
        <f t="shared" si="46"/>
        <v>0</v>
      </c>
      <c r="BN23" s="84"/>
      <c r="BO23" s="89">
        <f t="shared" si="22"/>
        <v>0</v>
      </c>
      <c r="BP23" s="84">
        <f t="shared" si="47"/>
        <v>0</v>
      </c>
      <c r="BQ23" s="84"/>
      <c r="BR23" s="89">
        <f t="shared" si="23"/>
        <v>0</v>
      </c>
      <c r="BS23" s="84">
        <f t="shared" si="48"/>
        <v>0</v>
      </c>
      <c r="BT23" s="84"/>
      <c r="BU23" s="89">
        <f t="shared" si="24"/>
        <v>0</v>
      </c>
      <c r="BV23" s="84">
        <f t="shared" si="49"/>
        <v>0</v>
      </c>
      <c r="BW23" s="84"/>
      <c r="BX23" s="89">
        <f t="shared" si="25"/>
        <v>0</v>
      </c>
      <c r="BY23" s="84">
        <f t="shared" si="50"/>
        <v>0</v>
      </c>
      <c r="BZ23" s="84"/>
      <c r="CA23" s="89">
        <f t="shared" si="26"/>
        <v>0</v>
      </c>
      <c r="CB23" s="84">
        <f t="shared" si="51"/>
        <v>0</v>
      </c>
      <c r="CC23" s="84"/>
      <c r="CD23" s="89">
        <f t="shared" si="27"/>
        <v>0</v>
      </c>
      <c r="CE23" s="84">
        <f t="shared" si="52"/>
        <v>0</v>
      </c>
      <c r="CF23" s="84"/>
      <c r="CG23" s="89">
        <f t="shared" si="28"/>
        <v>0</v>
      </c>
      <c r="CH23" s="84">
        <f t="shared" si="53"/>
        <v>0</v>
      </c>
      <c r="CI23" s="84"/>
      <c r="CJ23" s="89">
        <f t="shared" si="29"/>
        <v>0</v>
      </c>
      <c r="CK23" s="84">
        <f t="shared" si="54"/>
        <v>0</v>
      </c>
      <c r="CL23" s="84"/>
      <c r="CM23" s="89">
        <f t="shared" si="30"/>
        <v>0</v>
      </c>
      <c r="CN23" s="84">
        <f t="shared" si="55"/>
        <v>0</v>
      </c>
      <c r="CO23" s="84"/>
      <c r="CP23" s="89">
        <f t="shared" si="31"/>
        <v>0</v>
      </c>
    </row>
    <row r="24" spans="1:1028" s="3" customFormat="1" ht="13.5" customHeight="1" x14ac:dyDescent="0.2">
      <c r="A24" s="103">
        <v>16</v>
      </c>
      <c r="B24" s="80">
        <f t="shared" si="32"/>
        <v>0</v>
      </c>
      <c r="C24" s="80"/>
      <c r="D24" s="81">
        <f t="shared" si="0"/>
        <v>0</v>
      </c>
      <c r="E24" s="82">
        <f t="shared" si="56"/>
        <v>0</v>
      </c>
      <c r="F24" s="82"/>
      <c r="G24" s="82">
        <f t="shared" si="33"/>
        <v>0</v>
      </c>
      <c r="H24" s="84">
        <f t="shared" si="34"/>
        <v>0</v>
      </c>
      <c r="I24" s="84"/>
      <c r="J24" s="89">
        <f t="shared" si="1"/>
        <v>0</v>
      </c>
      <c r="K24" s="84">
        <f t="shared" si="57"/>
        <v>0</v>
      </c>
      <c r="L24" s="84"/>
      <c r="M24" s="89">
        <f t="shared" si="2"/>
        <v>0</v>
      </c>
      <c r="N24" s="84">
        <f t="shared" si="58"/>
        <v>0</v>
      </c>
      <c r="O24" s="84"/>
      <c r="P24" s="89">
        <f t="shared" si="3"/>
        <v>0</v>
      </c>
      <c r="Q24" s="84">
        <f t="shared" si="35"/>
        <v>0</v>
      </c>
      <c r="R24" s="84"/>
      <c r="S24" s="89">
        <f t="shared" si="4"/>
        <v>0</v>
      </c>
      <c r="T24" s="84">
        <f t="shared" si="59"/>
        <v>0</v>
      </c>
      <c r="U24" s="84"/>
      <c r="V24" s="89">
        <f t="shared" si="5"/>
        <v>0</v>
      </c>
      <c r="W24" s="84">
        <f t="shared" si="60"/>
        <v>0</v>
      </c>
      <c r="X24" s="84"/>
      <c r="Y24" s="89">
        <f t="shared" si="6"/>
        <v>0</v>
      </c>
      <c r="Z24" s="84">
        <f t="shared" si="61"/>
        <v>0</v>
      </c>
      <c r="AA24" s="84"/>
      <c r="AB24" s="89">
        <f t="shared" si="7"/>
        <v>0</v>
      </c>
      <c r="AC24" s="84">
        <f t="shared" si="8"/>
        <v>0</v>
      </c>
      <c r="AD24" s="84"/>
      <c r="AE24" s="89">
        <f t="shared" si="9"/>
        <v>0</v>
      </c>
      <c r="AF24" s="84">
        <f t="shared" si="10"/>
        <v>0</v>
      </c>
      <c r="AG24" s="84"/>
      <c r="AH24" s="89">
        <f t="shared" si="11"/>
        <v>0</v>
      </c>
      <c r="AI24" s="84">
        <f t="shared" si="12"/>
        <v>0</v>
      </c>
      <c r="AJ24" s="84"/>
      <c r="AK24" s="89">
        <f t="shared" si="13"/>
        <v>0</v>
      </c>
      <c r="AL24" s="84">
        <f t="shared" si="36"/>
        <v>0</v>
      </c>
      <c r="AM24" s="84"/>
      <c r="AN24" s="89">
        <f t="shared" si="14"/>
        <v>0</v>
      </c>
      <c r="AO24" s="84">
        <f t="shared" si="37"/>
        <v>0</v>
      </c>
      <c r="AP24" s="84"/>
      <c r="AQ24" s="89">
        <f t="shared" si="15"/>
        <v>0</v>
      </c>
      <c r="AR24" s="84">
        <f t="shared" si="38"/>
        <v>0</v>
      </c>
      <c r="AS24" s="84"/>
      <c r="AT24" s="89">
        <f t="shared" si="16"/>
        <v>0</v>
      </c>
      <c r="AU24" s="84">
        <f t="shared" si="39"/>
        <v>0</v>
      </c>
      <c r="AV24" s="84"/>
      <c r="AW24" s="89">
        <f t="shared" si="17"/>
        <v>0</v>
      </c>
      <c r="AX24" s="84">
        <f t="shared" si="40"/>
        <v>0</v>
      </c>
      <c r="AY24" s="84"/>
      <c r="AZ24" s="89">
        <f t="shared" si="18"/>
        <v>0</v>
      </c>
      <c r="BA24" s="84">
        <f t="shared" si="41"/>
        <v>0</v>
      </c>
      <c r="BB24" s="84"/>
      <c r="BC24" s="89">
        <f t="shared" si="19"/>
        <v>0</v>
      </c>
      <c r="BD24" s="89">
        <f t="shared" si="42"/>
        <v>0</v>
      </c>
      <c r="BE24" s="89"/>
      <c r="BF24" s="89">
        <f t="shared" si="43"/>
        <v>0</v>
      </c>
      <c r="BG24" s="84">
        <f t="shared" si="44"/>
        <v>0</v>
      </c>
      <c r="BH24" s="84"/>
      <c r="BI24" s="218">
        <f t="shared" si="20"/>
        <v>0</v>
      </c>
      <c r="BJ24" s="84">
        <f t="shared" si="45"/>
        <v>0</v>
      </c>
      <c r="BK24" s="84"/>
      <c r="BL24" s="89">
        <f t="shared" si="21"/>
        <v>0</v>
      </c>
      <c r="BM24" s="84">
        <f t="shared" si="46"/>
        <v>0</v>
      </c>
      <c r="BN24" s="84"/>
      <c r="BO24" s="89">
        <f t="shared" si="22"/>
        <v>0</v>
      </c>
      <c r="BP24" s="84">
        <f t="shared" si="47"/>
        <v>0</v>
      </c>
      <c r="BQ24" s="84"/>
      <c r="BR24" s="89">
        <f t="shared" si="23"/>
        <v>0</v>
      </c>
      <c r="BS24" s="84">
        <f t="shared" si="48"/>
        <v>0</v>
      </c>
      <c r="BT24" s="84"/>
      <c r="BU24" s="89">
        <f t="shared" si="24"/>
        <v>0</v>
      </c>
      <c r="BV24" s="84">
        <f t="shared" si="49"/>
        <v>0</v>
      </c>
      <c r="BW24" s="84"/>
      <c r="BX24" s="89">
        <f t="shared" si="25"/>
        <v>0</v>
      </c>
      <c r="BY24" s="84">
        <f t="shared" si="50"/>
        <v>0</v>
      </c>
      <c r="BZ24" s="84"/>
      <c r="CA24" s="89">
        <f t="shared" si="26"/>
        <v>0</v>
      </c>
      <c r="CB24" s="84">
        <f t="shared" si="51"/>
        <v>0</v>
      </c>
      <c r="CC24" s="84"/>
      <c r="CD24" s="89">
        <f t="shared" si="27"/>
        <v>0</v>
      </c>
      <c r="CE24" s="84">
        <f t="shared" si="52"/>
        <v>0</v>
      </c>
      <c r="CF24" s="84"/>
      <c r="CG24" s="89">
        <f t="shared" si="28"/>
        <v>0</v>
      </c>
      <c r="CH24" s="84">
        <f t="shared" si="53"/>
        <v>0</v>
      </c>
      <c r="CI24" s="84"/>
      <c r="CJ24" s="89">
        <f t="shared" si="29"/>
        <v>0</v>
      </c>
      <c r="CK24" s="84">
        <f t="shared" si="54"/>
        <v>0</v>
      </c>
      <c r="CL24" s="84"/>
      <c r="CM24" s="89">
        <f t="shared" si="30"/>
        <v>0</v>
      </c>
      <c r="CN24" s="84">
        <f t="shared" si="55"/>
        <v>0</v>
      </c>
      <c r="CO24" s="84"/>
      <c r="CP24" s="89">
        <f t="shared" si="31"/>
        <v>0</v>
      </c>
    </row>
    <row r="25" spans="1:1028" s="3" customFormat="1" ht="13.5" customHeight="1" x14ac:dyDescent="0.2">
      <c r="A25" s="103">
        <v>17</v>
      </c>
      <c r="B25" s="80">
        <f t="shared" si="32"/>
        <v>0</v>
      </c>
      <c r="C25" s="80"/>
      <c r="D25" s="81">
        <f t="shared" si="0"/>
        <v>0</v>
      </c>
      <c r="E25" s="82">
        <f t="shared" si="56"/>
        <v>0</v>
      </c>
      <c r="F25" s="82"/>
      <c r="G25" s="82">
        <f t="shared" si="33"/>
        <v>0</v>
      </c>
      <c r="H25" s="84">
        <f>I24</f>
        <v>0</v>
      </c>
      <c r="I25" s="84"/>
      <c r="J25" s="89">
        <f t="shared" si="1"/>
        <v>0</v>
      </c>
      <c r="K25" s="84">
        <f t="shared" si="57"/>
        <v>0</v>
      </c>
      <c r="L25" s="84"/>
      <c r="M25" s="89">
        <f t="shared" si="2"/>
        <v>0</v>
      </c>
      <c r="N25" s="84">
        <f>O24</f>
        <v>0</v>
      </c>
      <c r="O25" s="84"/>
      <c r="P25" s="89">
        <f t="shared" si="3"/>
        <v>0</v>
      </c>
      <c r="Q25" s="84">
        <f t="shared" si="35"/>
        <v>0</v>
      </c>
      <c r="R25" s="84"/>
      <c r="S25" s="89">
        <f t="shared" si="4"/>
        <v>0</v>
      </c>
      <c r="T25" s="84">
        <f>U24</f>
        <v>0</v>
      </c>
      <c r="U25" s="84"/>
      <c r="V25" s="89">
        <f t="shared" si="5"/>
        <v>0</v>
      </c>
      <c r="W25" s="84">
        <f>X24</f>
        <v>0</v>
      </c>
      <c r="X25" s="84"/>
      <c r="Y25" s="89">
        <f t="shared" si="6"/>
        <v>0</v>
      </c>
      <c r="Z25" s="84">
        <f>AA24</f>
        <v>0</v>
      </c>
      <c r="AA25" s="84"/>
      <c r="AB25" s="89">
        <f t="shared" si="7"/>
        <v>0</v>
      </c>
      <c r="AC25" s="84">
        <f t="shared" si="8"/>
        <v>0</v>
      </c>
      <c r="AD25" s="84"/>
      <c r="AE25" s="89">
        <f t="shared" si="9"/>
        <v>0</v>
      </c>
      <c r="AF25" s="84">
        <f t="shared" si="10"/>
        <v>0</v>
      </c>
      <c r="AG25" s="84"/>
      <c r="AH25" s="89">
        <f t="shared" si="11"/>
        <v>0</v>
      </c>
      <c r="AI25" s="84">
        <f t="shared" si="12"/>
        <v>0</v>
      </c>
      <c r="AJ25" s="84"/>
      <c r="AK25" s="89">
        <f t="shared" si="13"/>
        <v>0</v>
      </c>
      <c r="AL25" s="84">
        <f t="shared" si="36"/>
        <v>0</v>
      </c>
      <c r="AM25" s="84"/>
      <c r="AN25" s="89">
        <f t="shared" si="14"/>
        <v>0</v>
      </c>
      <c r="AO25" s="84">
        <f t="shared" si="37"/>
        <v>0</v>
      </c>
      <c r="AP25" s="84"/>
      <c r="AQ25" s="89">
        <f t="shared" si="15"/>
        <v>0</v>
      </c>
      <c r="AR25" s="84">
        <f t="shared" si="38"/>
        <v>0</v>
      </c>
      <c r="AS25" s="84"/>
      <c r="AT25" s="89">
        <f t="shared" si="16"/>
        <v>0</v>
      </c>
      <c r="AU25" s="84">
        <f t="shared" si="39"/>
        <v>0</v>
      </c>
      <c r="AV25" s="84"/>
      <c r="AW25" s="89">
        <f t="shared" si="17"/>
        <v>0</v>
      </c>
      <c r="AX25" s="84">
        <f t="shared" si="40"/>
        <v>0</v>
      </c>
      <c r="AY25" s="84"/>
      <c r="AZ25" s="89">
        <f t="shared" si="18"/>
        <v>0</v>
      </c>
      <c r="BA25" s="84">
        <f t="shared" si="41"/>
        <v>0</v>
      </c>
      <c r="BB25" s="84"/>
      <c r="BC25" s="89">
        <f t="shared" si="19"/>
        <v>0</v>
      </c>
      <c r="BD25" s="89">
        <f t="shared" si="42"/>
        <v>0</v>
      </c>
      <c r="BE25" s="89"/>
      <c r="BF25" s="89">
        <f t="shared" si="43"/>
        <v>0</v>
      </c>
      <c r="BG25" s="84">
        <f t="shared" si="44"/>
        <v>0</v>
      </c>
      <c r="BH25" s="84"/>
      <c r="BI25" s="218">
        <f t="shared" si="20"/>
        <v>0</v>
      </c>
      <c r="BJ25" s="84">
        <f t="shared" si="45"/>
        <v>0</v>
      </c>
      <c r="BK25" s="84"/>
      <c r="BL25" s="89">
        <f t="shared" si="21"/>
        <v>0</v>
      </c>
      <c r="BM25" s="84">
        <f t="shared" si="46"/>
        <v>0</v>
      </c>
      <c r="BN25" s="84"/>
      <c r="BO25" s="89">
        <f>BN25-BM25</f>
        <v>0</v>
      </c>
      <c r="BP25" s="84">
        <f t="shared" si="47"/>
        <v>0</v>
      </c>
      <c r="BQ25" s="84"/>
      <c r="BR25" s="89">
        <f t="shared" si="23"/>
        <v>0</v>
      </c>
      <c r="BS25" s="84">
        <f t="shared" si="48"/>
        <v>0</v>
      </c>
      <c r="BT25" s="84"/>
      <c r="BU25" s="89">
        <f t="shared" si="24"/>
        <v>0</v>
      </c>
      <c r="BV25" s="84">
        <f t="shared" si="49"/>
        <v>0</v>
      </c>
      <c r="BW25" s="84"/>
      <c r="BX25" s="89">
        <f t="shared" si="25"/>
        <v>0</v>
      </c>
      <c r="BY25" s="84">
        <f t="shared" si="50"/>
        <v>0</v>
      </c>
      <c r="BZ25" s="84"/>
      <c r="CA25" s="89">
        <f t="shared" si="26"/>
        <v>0</v>
      </c>
      <c r="CB25" s="84">
        <f t="shared" si="51"/>
        <v>0</v>
      </c>
      <c r="CC25" s="84"/>
      <c r="CD25" s="89">
        <f t="shared" si="27"/>
        <v>0</v>
      </c>
      <c r="CE25" s="84">
        <f t="shared" si="52"/>
        <v>0</v>
      </c>
      <c r="CF25" s="84"/>
      <c r="CG25" s="89">
        <f t="shared" si="28"/>
        <v>0</v>
      </c>
      <c r="CH25" s="84">
        <f t="shared" si="53"/>
        <v>0</v>
      </c>
      <c r="CI25" s="84"/>
      <c r="CJ25" s="89">
        <f t="shared" si="29"/>
        <v>0</v>
      </c>
      <c r="CK25" s="84">
        <f t="shared" si="54"/>
        <v>0</v>
      </c>
      <c r="CL25" s="84"/>
      <c r="CM25" s="89">
        <f t="shared" si="30"/>
        <v>0</v>
      </c>
      <c r="CN25" s="84">
        <f t="shared" si="55"/>
        <v>0</v>
      </c>
      <c r="CO25" s="84"/>
      <c r="CP25" s="89">
        <f t="shared" si="31"/>
        <v>0</v>
      </c>
    </row>
    <row r="26" spans="1:1028" s="3" customFormat="1" ht="13.5" customHeight="1" x14ac:dyDescent="0.2">
      <c r="A26" s="103">
        <v>18</v>
      </c>
      <c r="B26" s="80">
        <f t="shared" si="32"/>
        <v>0</v>
      </c>
      <c r="C26" s="80"/>
      <c r="D26" s="81">
        <f t="shared" si="0"/>
        <v>0</v>
      </c>
      <c r="E26" s="82">
        <f t="shared" si="56"/>
        <v>0</v>
      </c>
      <c r="F26" s="82"/>
      <c r="G26" s="82">
        <f t="shared" si="33"/>
        <v>0</v>
      </c>
      <c r="H26" s="84">
        <f>I25</f>
        <v>0</v>
      </c>
      <c r="I26" s="84"/>
      <c r="J26" s="89">
        <f t="shared" si="1"/>
        <v>0</v>
      </c>
      <c r="K26" s="84">
        <f t="shared" si="57"/>
        <v>0</v>
      </c>
      <c r="L26" s="84"/>
      <c r="M26" s="89">
        <f t="shared" si="2"/>
        <v>0</v>
      </c>
      <c r="N26" s="84">
        <f>O25</f>
        <v>0</v>
      </c>
      <c r="O26" s="84"/>
      <c r="P26" s="89">
        <f t="shared" si="3"/>
        <v>0</v>
      </c>
      <c r="Q26" s="84">
        <f t="shared" si="35"/>
        <v>0</v>
      </c>
      <c r="R26" s="84"/>
      <c r="S26" s="89">
        <f t="shared" si="4"/>
        <v>0</v>
      </c>
      <c r="T26" s="84">
        <f>U25</f>
        <v>0</v>
      </c>
      <c r="U26" s="84"/>
      <c r="V26" s="89">
        <f t="shared" si="5"/>
        <v>0</v>
      </c>
      <c r="W26" s="84">
        <f>X25</f>
        <v>0</v>
      </c>
      <c r="X26" s="84"/>
      <c r="Y26" s="89">
        <f t="shared" si="6"/>
        <v>0</v>
      </c>
      <c r="Z26" s="84">
        <f>AA25</f>
        <v>0</v>
      </c>
      <c r="AA26" s="84"/>
      <c r="AB26" s="89">
        <f t="shared" si="7"/>
        <v>0</v>
      </c>
      <c r="AC26" s="84">
        <f t="shared" si="8"/>
        <v>0</v>
      </c>
      <c r="AD26" s="84"/>
      <c r="AE26" s="89">
        <f t="shared" si="9"/>
        <v>0</v>
      </c>
      <c r="AF26" s="84">
        <f t="shared" si="10"/>
        <v>0</v>
      </c>
      <c r="AG26" s="84"/>
      <c r="AH26" s="89">
        <f t="shared" si="11"/>
        <v>0</v>
      </c>
      <c r="AI26" s="84">
        <f t="shared" si="12"/>
        <v>0</v>
      </c>
      <c r="AJ26" s="84"/>
      <c r="AK26" s="89">
        <f t="shared" si="13"/>
        <v>0</v>
      </c>
      <c r="AL26" s="84">
        <f t="shared" si="36"/>
        <v>0</v>
      </c>
      <c r="AM26" s="84"/>
      <c r="AN26" s="89">
        <f t="shared" si="14"/>
        <v>0</v>
      </c>
      <c r="AO26" s="84">
        <f t="shared" si="37"/>
        <v>0</v>
      </c>
      <c r="AP26" s="84"/>
      <c r="AQ26" s="89">
        <f t="shared" si="15"/>
        <v>0</v>
      </c>
      <c r="AR26" s="84">
        <f t="shared" si="38"/>
        <v>0</v>
      </c>
      <c r="AS26" s="84"/>
      <c r="AT26" s="89">
        <f t="shared" si="16"/>
        <v>0</v>
      </c>
      <c r="AU26" s="84">
        <f t="shared" si="39"/>
        <v>0</v>
      </c>
      <c r="AV26" s="84"/>
      <c r="AW26" s="89">
        <f t="shared" si="17"/>
        <v>0</v>
      </c>
      <c r="AX26" s="84">
        <f t="shared" si="40"/>
        <v>0</v>
      </c>
      <c r="AY26" s="84"/>
      <c r="AZ26" s="89">
        <f t="shared" si="18"/>
        <v>0</v>
      </c>
      <c r="BA26" s="84">
        <f t="shared" si="41"/>
        <v>0</v>
      </c>
      <c r="BB26" s="84"/>
      <c r="BC26" s="89">
        <f t="shared" si="19"/>
        <v>0</v>
      </c>
      <c r="BD26" s="89">
        <f t="shared" si="42"/>
        <v>0</v>
      </c>
      <c r="BE26" s="89"/>
      <c r="BF26" s="89">
        <f t="shared" si="43"/>
        <v>0</v>
      </c>
      <c r="BG26" s="84">
        <f t="shared" si="44"/>
        <v>0</v>
      </c>
      <c r="BH26" s="84"/>
      <c r="BI26" s="218">
        <f t="shared" si="20"/>
        <v>0</v>
      </c>
      <c r="BJ26" s="84">
        <f t="shared" si="45"/>
        <v>0</v>
      </c>
      <c r="BK26" s="84"/>
      <c r="BL26" s="89">
        <f t="shared" si="21"/>
        <v>0</v>
      </c>
      <c r="BM26" s="84">
        <f>BN25</f>
        <v>0</v>
      </c>
      <c r="BN26" s="84"/>
      <c r="BO26" s="89">
        <f>BN26-BM26</f>
        <v>0</v>
      </c>
      <c r="BP26" s="84">
        <f t="shared" si="47"/>
        <v>0</v>
      </c>
      <c r="BQ26" s="84"/>
      <c r="BR26" s="89">
        <f t="shared" si="23"/>
        <v>0</v>
      </c>
      <c r="BS26" s="84">
        <f t="shared" si="48"/>
        <v>0</v>
      </c>
      <c r="BT26" s="84"/>
      <c r="BU26" s="89">
        <f t="shared" si="24"/>
        <v>0</v>
      </c>
      <c r="BV26" s="84">
        <f t="shared" si="49"/>
        <v>0</v>
      </c>
      <c r="BW26" s="84"/>
      <c r="BX26" s="89">
        <f t="shared" si="25"/>
        <v>0</v>
      </c>
      <c r="BY26" s="84">
        <f t="shared" si="50"/>
        <v>0</v>
      </c>
      <c r="BZ26" s="84"/>
      <c r="CA26" s="89">
        <f t="shared" si="26"/>
        <v>0</v>
      </c>
      <c r="CB26" s="84">
        <f t="shared" si="51"/>
        <v>0</v>
      </c>
      <c r="CC26" s="84"/>
      <c r="CD26" s="89">
        <f t="shared" si="27"/>
        <v>0</v>
      </c>
      <c r="CE26" s="84">
        <f t="shared" si="52"/>
        <v>0</v>
      </c>
      <c r="CF26" s="84"/>
      <c r="CG26" s="89">
        <f t="shared" si="28"/>
        <v>0</v>
      </c>
      <c r="CH26" s="84">
        <f t="shared" si="53"/>
        <v>0</v>
      </c>
      <c r="CI26" s="84"/>
      <c r="CJ26" s="89">
        <f t="shared" si="29"/>
        <v>0</v>
      </c>
      <c r="CK26" s="84">
        <f t="shared" si="54"/>
        <v>0</v>
      </c>
      <c r="CL26" s="84"/>
      <c r="CM26" s="89">
        <f t="shared" si="30"/>
        <v>0</v>
      </c>
      <c r="CN26" s="84">
        <f t="shared" si="55"/>
        <v>0</v>
      </c>
      <c r="CO26" s="84"/>
      <c r="CP26" s="89">
        <f t="shared" si="31"/>
        <v>0</v>
      </c>
    </row>
    <row r="27" spans="1:1028" s="3" customFormat="1" ht="13.5" customHeight="1" x14ac:dyDescent="0.2">
      <c r="A27" s="103">
        <v>19</v>
      </c>
      <c r="B27" s="80">
        <f t="shared" si="32"/>
        <v>0</v>
      </c>
      <c r="C27" s="80"/>
      <c r="D27" s="81">
        <f t="shared" si="0"/>
        <v>0</v>
      </c>
      <c r="E27" s="82">
        <f t="shared" si="56"/>
        <v>0</v>
      </c>
      <c r="F27" s="82"/>
      <c r="G27" s="82">
        <f t="shared" si="33"/>
        <v>0</v>
      </c>
      <c r="H27" s="84">
        <f>I26</f>
        <v>0</v>
      </c>
      <c r="I27" s="84"/>
      <c r="J27" s="89">
        <f t="shared" si="1"/>
        <v>0</v>
      </c>
      <c r="K27" s="84">
        <f t="shared" si="57"/>
        <v>0</v>
      </c>
      <c r="L27" s="84"/>
      <c r="M27" s="89">
        <f t="shared" si="2"/>
        <v>0</v>
      </c>
      <c r="N27" s="84">
        <f>O26</f>
        <v>0</v>
      </c>
      <c r="O27" s="84"/>
      <c r="P27" s="89">
        <f t="shared" si="3"/>
        <v>0</v>
      </c>
      <c r="Q27" s="84">
        <f t="shared" si="35"/>
        <v>0</v>
      </c>
      <c r="R27" s="84"/>
      <c r="S27" s="89">
        <f t="shared" si="4"/>
        <v>0</v>
      </c>
      <c r="T27" s="84">
        <f>U26</f>
        <v>0</v>
      </c>
      <c r="U27" s="84"/>
      <c r="V27" s="89">
        <f t="shared" si="5"/>
        <v>0</v>
      </c>
      <c r="W27" s="84">
        <f>X26</f>
        <v>0</v>
      </c>
      <c r="X27" s="84"/>
      <c r="Y27" s="89">
        <f t="shared" si="6"/>
        <v>0</v>
      </c>
      <c r="Z27" s="84">
        <f>AA26</f>
        <v>0</v>
      </c>
      <c r="AA27" s="84"/>
      <c r="AB27" s="89">
        <f t="shared" si="7"/>
        <v>0</v>
      </c>
      <c r="AC27" s="84">
        <f t="shared" si="8"/>
        <v>0</v>
      </c>
      <c r="AD27" s="84"/>
      <c r="AE27" s="89">
        <f t="shared" si="9"/>
        <v>0</v>
      </c>
      <c r="AF27" s="84">
        <f t="shared" si="10"/>
        <v>0</v>
      </c>
      <c r="AG27" s="84"/>
      <c r="AH27" s="89">
        <f t="shared" si="11"/>
        <v>0</v>
      </c>
      <c r="AI27" s="84">
        <f t="shared" si="12"/>
        <v>0</v>
      </c>
      <c r="AJ27" s="84"/>
      <c r="AK27" s="89">
        <f t="shared" si="13"/>
        <v>0</v>
      </c>
      <c r="AL27" s="84">
        <f t="shared" si="36"/>
        <v>0</v>
      </c>
      <c r="AM27" s="84"/>
      <c r="AN27" s="89">
        <f t="shared" si="14"/>
        <v>0</v>
      </c>
      <c r="AO27" s="84">
        <f t="shared" si="37"/>
        <v>0</v>
      </c>
      <c r="AP27" s="84"/>
      <c r="AQ27" s="89">
        <f t="shared" si="15"/>
        <v>0</v>
      </c>
      <c r="AR27" s="84">
        <f t="shared" si="38"/>
        <v>0</v>
      </c>
      <c r="AS27" s="84"/>
      <c r="AT27" s="89">
        <f t="shared" si="16"/>
        <v>0</v>
      </c>
      <c r="AU27" s="84">
        <f t="shared" si="39"/>
        <v>0</v>
      </c>
      <c r="AV27" s="84"/>
      <c r="AW27" s="89">
        <f t="shared" si="17"/>
        <v>0</v>
      </c>
      <c r="AX27" s="84">
        <f t="shared" si="40"/>
        <v>0</v>
      </c>
      <c r="AY27" s="84"/>
      <c r="AZ27" s="89">
        <f t="shared" si="18"/>
        <v>0</v>
      </c>
      <c r="BA27" s="84">
        <f t="shared" si="41"/>
        <v>0</v>
      </c>
      <c r="BB27" s="84"/>
      <c r="BC27" s="89">
        <f t="shared" si="19"/>
        <v>0</v>
      </c>
      <c r="BD27" s="89">
        <f t="shared" si="42"/>
        <v>0</v>
      </c>
      <c r="BE27" s="89"/>
      <c r="BF27" s="89">
        <f t="shared" si="43"/>
        <v>0</v>
      </c>
      <c r="BG27" s="84">
        <f t="shared" si="44"/>
        <v>0</v>
      </c>
      <c r="BH27" s="84"/>
      <c r="BI27" s="218">
        <f t="shared" si="20"/>
        <v>0</v>
      </c>
      <c r="BJ27" s="84">
        <f t="shared" si="45"/>
        <v>0</v>
      </c>
      <c r="BK27" s="84"/>
      <c r="BL27" s="89">
        <f t="shared" si="21"/>
        <v>0</v>
      </c>
      <c r="BM27" s="84">
        <f>BN26</f>
        <v>0</v>
      </c>
      <c r="BN27" s="84"/>
      <c r="BO27" s="89">
        <f t="shared" si="22"/>
        <v>0</v>
      </c>
      <c r="BP27" s="84">
        <f t="shared" si="47"/>
        <v>0</v>
      </c>
      <c r="BQ27" s="84"/>
      <c r="BR27" s="89">
        <f t="shared" si="23"/>
        <v>0</v>
      </c>
      <c r="BS27" s="84">
        <f t="shared" si="48"/>
        <v>0</v>
      </c>
      <c r="BT27" s="84"/>
      <c r="BU27" s="89">
        <f t="shared" si="24"/>
        <v>0</v>
      </c>
      <c r="BV27" s="84">
        <f t="shared" si="49"/>
        <v>0</v>
      </c>
      <c r="BW27" s="84"/>
      <c r="BX27" s="89">
        <f t="shared" si="25"/>
        <v>0</v>
      </c>
      <c r="BY27" s="84">
        <f t="shared" si="50"/>
        <v>0</v>
      </c>
      <c r="BZ27" s="84"/>
      <c r="CA27" s="89">
        <f t="shared" si="26"/>
        <v>0</v>
      </c>
      <c r="CB27" s="84">
        <f t="shared" si="51"/>
        <v>0</v>
      </c>
      <c r="CC27" s="84"/>
      <c r="CD27" s="89">
        <f t="shared" si="27"/>
        <v>0</v>
      </c>
      <c r="CE27" s="84">
        <f t="shared" si="52"/>
        <v>0</v>
      </c>
      <c r="CF27" s="84"/>
      <c r="CG27" s="89">
        <f t="shared" si="28"/>
        <v>0</v>
      </c>
      <c r="CH27" s="84">
        <f t="shared" si="53"/>
        <v>0</v>
      </c>
      <c r="CI27" s="84"/>
      <c r="CJ27" s="89">
        <f t="shared" si="29"/>
        <v>0</v>
      </c>
      <c r="CK27" s="84">
        <f t="shared" si="54"/>
        <v>0</v>
      </c>
      <c r="CL27" s="84"/>
      <c r="CM27" s="89">
        <f t="shared" si="30"/>
        <v>0</v>
      </c>
      <c r="CN27" s="84">
        <f t="shared" si="55"/>
        <v>0</v>
      </c>
      <c r="CO27" s="84"/>
      <c r="CP27" s="89">
        <f t="shared" si="31"/>
        <v>0</v>
      </c>
    </row>
    <row r="28" spans="1:1028" s="3" customFormat="1" ht="13.5" customHeight="1" x14ac:dyDescent="0.2">
      <c r="A28" s="103">
        <v>20</v>
      </c>
      <c r="B28" s="80">
        <f t="shared" si="32"/>
        <v>0</v>
      </c>
      <c r="C28" s="80"/>
      <c r="D28" s="81">
        <f t="shared" si="0"/>
        <v>0</v>
      </c>
      <c r="E28" s="82">
        <f t="shared" si="56"/>
        <v>0</v>
      </c>
      <c r="F28" s="82"/>
      <c r="G28" s="82">
        <f t="shared" si="33"/>
        <v>0</v>
      </c>
      <c r="H28" s="84">
        <f t="shared" si="34"/>
        <v>0</v>
      </c>
      <c r="I28" s="84"/>
      <c r="J28" s="89">
        <f t="shared" si="1"/>
        <v>0</v>
      </c>
      <c r="K28" s="84">
        <f t="shared" si="57"/>
        <v>0</v>
      </c>
      <c r="L28" s="84"/>
      <c r="M28" s="89">
        <f t="shared" si="2"/>
        <v>0</v>
      </c>
      <c r="N28" s="84">
        <f t="shared" ref="N28:N39" si="62">O27</f>
        <v>0</v>
      </c>
      <c r="O28" s="84"/>
      <c r="P28" s="89">
        <f t="shared" si="3"/>
        <v>0</v>
      </c>
      <c r="Q28" s="84">
        <f t="shared" si="35"/>
        <v>0</v>
      </c>
      <c r="R28" s="132"/>
      <c r="S28" s="89">
        <f t="shared" si="4"/>
        <v>0</v>
      </c>
      <c r="T28" s="84">
        <f t="shared" ref="T28:T39" si="63">U27</f>
        <v>0</v>
      </c>
      <c r="U28" s="84"/>
      <c r="V28" s="89">
        <f t="shared" si="5"/>
        <v>0</v>
      </c>
      <c r="W28" s="84">
        <f t="shared" ref="W28:W39" si="64">X27</f>
        <v>0</v>
      </c>
      <c r="X28" s="84"/>
      <c r="Y28" s="89">
        <f t="shared" si="6"/>
        <v>0</v>
      </c>
      <c r="Z28" s="84">
        <f t="shared" ref="Z28:Z39" si="65">AA27</f>
        <v>0</v>
      </c>
      <c r="AA28" s="84"/>
      <c r="AB28" s="89">
        <f t="shared" si="7"/>
        <v>0</v>
      </c>
      <c r="AC28" s="84">
        <f t="shared" si="8"/>
        <v>0</v>
      </c>
      <c r="AD28" s="84"/>
      <c r="AE28" s="89">
        <f t="shared" si="9"/>
        <v>0</v>
      </c>
      <c r="AF28" s="84">
        <f t="shared" si="10"/>
        <v>0</v>
      </c>
      <c r="AG28" s="84"/>
      <c r="AH28" s="89">
        <f t="shared" si="11"/>
        <v>0</v>
      </c>
      <c r="AI28" s="84">
        <f t="shared" si="12"/>
        <v>0</v>
      </c>
      <c r="AJ28" s="84"/>
      <c r="AK28" s="89">
        <f t="shared" si="13"/>
        <v>0</v>
      </c>
      <c r="AL28" s="84">
        <f t="shared" si="36"/>
        <v>0</v>
      </c>
      <c r="AM28" s="84"/>
      <c r="AN28" s="89">
        <f t="shared" si="14"/>
        <v>0</v>
      </c>
      <c r="AO28" s="84">
        <f t="shared" si="37"/>
        <v>0</v>
      </c>
      <c r="AP28" s="84"/>
      <c r="AQ28" s="89">
        <f t="shared" si="15"/>
        <v>0</v>
      </c>
      <c r="AR28" s="84">
        <f t="shared" si="38"/>
        <v>0</v>
      </c>
      <c r="AS28" s="84"/>
      <c r="AT28" s="89">
        <f t="shared" si="16"/>
        <v>0</v>
      </c>
      <c r="AU28" s="84">
        <f t="shared" si="39"/>
        <v>0</v>
      </c>
      <c r="AV28" s="84"/>
      <c r="AW28" s="89">
        <f t="shared" si="17"/>
        <v>0</v>
      </c>
      <c r="AX28" s="84">
        <f t="shared" si="40"/>
        <v>0</v>
      </c>
      <c r="AY28" s="84"/>
      <c r="AZ28" s="89">
        <f t="shared" si="18"/>
        <v>0</v>
      </c>
      <c r="BA28" s="84">
        <f t="shared" si="41"/>
        <v>0</v>
      </c>
      <c r="BB28" s="84"/>
      <c r="BC28" s="89">
        <f t="shared" si="19"/>
        <v>0</v>
      </c>
      <c r="BD28" s="89">
        <f t="shared" si="42"/>
        <v>0</v>
      </c>
      <c r="BE28" s="89"/>
      <c r="BF28" s="89">
        <f t="shared" si="43"/>
        <v>0</v>
      </c>
      <c r="BG28" s="84">
        <f t="shared" si="44"/>
        <v>0</v>
      </c>
      <c r="BH28" s="84"/>
      <c r="BI28" s="218">
        <f t="shared" si="20"/>
        <v>0</v>
      </c>
      <c r="BJ28" s="84">
        <f t="shared" si="45"/>
        <v>0</v>
      </c>
      <c r="BK28" s="84"/>
      <c r="BL28" s="89">
        <f t="shared" si="21"/>
        <v>0</v>
      </c>
      <c r="BM28" s="84">
        <f t="shared" si="46"/>
        <v>0</v>
      </c>
      <c r="BN28" s="84"/>
      <c r="BO28" s="89">
        <f t="shared" si="22"/>
        <v>0</v>
      </c>
      <c r="BP28" s="84">
        <f t="shared" si="47"/>
        <v>0</v>
      </c>
      <c r="BQ28" s="84"/>
      <c r="BR28" s="89">
        <f t="shared" si="23"/>
        <v>0</v>
      </c>
      <c r="BS28" s="84">
        <f t="shared" si="48"/>
        <v>0</v>
      </c>
      <c r="BT28" s="84"/>
      <c r="BU28" s="89">
        <f t="shared" si="24"/>
        <v>0</v>
      </c>
      <c r="BV28" s="84">
        <f t="shared" si="49"/>
        <v>0</v>
      </c>
      <c r="BW28" s="84"/>
      <c r="BX28" s="89">
        <f t="shared" si="25"/>
        <v>0</v>
      </c>
      <c r="BY28" s="84">
        <f t="shared" si="50"/>
        <v>0</v>
      </c>
      <c r="BZ28" s="84"/>
      <c r="CA28" s="89">
        <f t="shared" si="26"/>
        <v>0</v>
      </c>
      <c r="CB28" s="84">
        <f t="shared" si="51"/>
        <v>0</v>
      </c>
      <c r="CC28" s="84"/>
      <c r="CD28" s="89">
        <f t="shared" si="27"/>
        <v>0</v>
      </c>
      <c r="CE28" s="84">
        <f t="shared" si="52"/>
        <v>0</v>
      </c>
      <c r="CF28" s="84"/>
      <c r="CG28" s="89">
        <f t="shared" si="28"/>
        <v>0</v>
      </c>
      <c r="CH28" s="84">
        <f t="shared" si="53"/>
        <v>0</v>
      </c>
      <c r="CI28" s="84"/>
      <c r="CJ28" s="89">
        <f t="shared" si="29"/>
        <v>0</v>
      </c>
      <c r="CK28" s="84">
        <f t="shared" si="54"/>
        <v>0</v>
      </c>
      <c r="CL28" s="84"/>
      <c r="CM28" s="89">
        <f t="shared" si="30"/>
        <v>0</v>
      </c>
      <c r="CN28" s="84">
        <f t="shared" si="55"/>
        <v>0</v>
      </c>
      <c r="CO28" s="84"/>
      <c r="CP28" s="89">
        <f t="shared" si="31"/>
        <v>0</v>
      </c>
    </row>
    <row r="29" spans="1:1028" s="3" customFormat="1" ht="13.5" customHeight="1" x14ac:dyDescent="0.2">
      <c r="A29" s="103">
        <v>21</v>
      </c>
      <c r="B29" s="80">
        <f t="shared" si="32"/>
        <v>0</v>
      </c>
      <c r="C29" s="80"/>
      <c r="D29" s="81">
        <f t="shared" si="0"/>
        <v>0</v>
      </c>
      <c r="E29" s="82">
        <f t="shared" si="56"/>
        <v>0</v>
      </c>
      <c r="F29" s="82"/>
      <c r="G29" s="82">
        <f t="shared" si="33"/>
        <v>0</v>
      </c>
      <c r="H29" s="84">
        <f t="shared" si="34"/>
        <v>0</v>
      </c>
      <c r="I29" s="84"/>
      <c r="J29" s="89">
        <f t="shared" si="1"/>
        <v>0</v>
      </c>
      <c r="K29" s="84">
        <f t="shared" si="57"/>
        <v>0</v>
      </c>
      <c r="L29" s="84"/>
      <c r="M29" s="89">
        <f t="shared" si="2"/>
        <v>0</v>
      </c>
      <c r="N29" s="84">
        <f t="shared" si="62"/>
        <v>0</v>
      </c>
      <c r="O29" s="84"/>
      <c r="P29" s="89">
        <f t="shared" si="3"/>
        <v>0</v>
      </c>
      <c r="Q29" s="84">
        <f t="shared" si="35"/>
        <v>0</v>
      </c>
      <c r="R29" s="84"/>
      <c r="S29" s="89">
        <f t="shared" si="4"/>
        <v>0</v>
      </c>
      <c r="T29" s="84">
        <f t="shared" si="63"/>
        <v>0</v>
      </c>
      <c r="U29" s="84"/>
      <c r="V29" s="89">
        <f t="shared" si="5"/>
        <v>0</v>
      </c>
      <c r="W29" s="84">
        <f t="shared" si="64"/>
        <v>0</v>
      </c>
      <c r="X29" s="84"/>
      <c r="Y29" s="89">
        <f t="shared" si="6"/>
        <v>0</v>
      </c>
      <c r="Z29" s="84">
        <f t="shared" si="65"/>
        <v>0</v>
      </c>
      <c r="AA29" s="84"/>
      <c r="AB29" s="89">
        <f t="shared" si="7"/>
        <v>0</v>
      </c>
      <c r="AC29" s="84">
        <f t="shared" si="8"/>
        <v>0</v>
      </c>
      <c r="AD29" s="84"/>
      <c r="AE29" s="89">
        <f t="shared" si="9"/>
        <v>0</v>
      </c>
      <c r="AF29" s="84">
        <f t="shared" si="10"/>
        <v>0</v>
      </c>
      <c r="AG29" s="84"/>
      <c r="AH29" s="89">
        <f t="shared" si="11"/>
        <v>0</v>
      </c>
      <c r="AI29" s="84">
        <f t="shared" si="12"/>
        <v>0</v>
      </c>
      <c r="AJ29" s="84"/>
      <c r="AK29" s="89">
        <f t="shared" si="13"/>
        <v>0</v>
      </c>
      <c r="AL29" s="84">
        <f t="shared" si="36"/>
        <v>0</v>
      </c>
      <c r="AM29" s="84"/>
      <c r="AN29" s="89">
        <f t="shared" si="14"/>
        <v>0</v>
      </c>
      <c r="AO29" s="84">
        <f t="shared" si="37"/>
        <v>0</v>
      </c>
      <c r="AP29" s="84"/>
      <c r="AQ29" s="89">
        <f t="shared" si="15"/>
        <v>0</v>
      </c>
      <c r="AR29" s="84">
        <f t="shared" si="38"/>
        <v>0</v>
      </c>
      <c r="AS29" s="84"/>
      <c r="AT29" s="89">
        <f t="shared" si="16"/>
        <v>0</v>
      </c>
      <c r="AU29" s="84">
        <f t="shared" si="39"/>
        <v>0</v>
      </c>
      <c r="AV29" s="84"/>
      <c r="AW29" s="89">
        <f t="shared" si="17"/>
        <v>0</v>
      </c>
      <c r="AX29" s="84">
        <f t="shared" si="40"/>
        <v>0</v>
      </c>
      <c r="AY29" s="84"/>
      <c r="AZ29" s="89">
        <f t="shared" si="18"/>
        <v>0</v>
      </c>
      <c r="BA29" s="84">
        <f t="shared" si="41"/>
        <v>0</v>
      </c>
      <c r="BB29" s="84"/>
      <c r="BC29" s="89">
        <f t="shared" si="19"/>
        <v>0</v>
      </c>
      <c r="BD29" s="89">
        <f t="shared" si="42"/>
        <v>0</v>
      </c>
      <c r="BE29" s="89"/>
      <c r="BF29" s="89">
        <f t="shared" si="43"/>
        <v>0</v>
      </c>
      <c r="BG29" s="84">
        <f t="shared" si="44"/>
        <v>0</v>
      </c>
      <c r="BH29" s="84"/>
      <c r="BI29" s="218">
        <f t="shared" si="20"/>
        <v>0</v>
      </c>
      <c r="BJ29" s="84">
        <f t="shared" si="45"/>
        <v>0</v>
      </c>
      <c r="BK29" s="84"/>
      <c r="BL29" s="89">
        <f t="shared" si="21"/>
        <v>0</v>
      </c>
      <c r="BM29" s="84">
        <f t="shared" si="46"/>
        <v>0</v>
      </c>
      <c r="BN29" s="84"/>
      <c r="BO29" s="89">
        <f t="shared" si="22"/>
        <v>0</v>
      </c>
      <c r="BP29" s="84">
        <f t="shared" si="47"/>
        <v>0</v>
      </c>
      <c r="BQ29" s="84"/>
      <c r="BR29" s="89">
        <f t="shared" si="23"/>
        <v>0</v>
      </c>
      <c r="BS29" s="84">
        <f t="shared" si="48"/>
        <v>0</v>
      </c>
      <c r="BT29" s="84"/>
      <c r="BU29" s="89">
        <f t="shared" si="24"/>
        <v>0</v>
      </c>
      <c r="BV29" s="84">
        <f t="shared" si="49"/>
        <v>0</v>
      </c>
      <c r="BW29" s="84"/>
      <c r="BX29" s="89">
        <f t="shared" si="25"/>
        <v>0</v>
      </c>
      <c r="BY29" s="84">
        <f t="shared" si="50"/>
        <v>0</v>
      </c>
      <c r="BZ29" s="84"/>
      <c r="CA29" s="89">
        <f t="shared" si="26"/>
        <v>0</v>
      </c>
      <c r="CB29" s="84">
        <f t="shared" si="51"/>
        <v>0</v>
      </c>
      <c r="CC29" s="84"/>
      <c r="CD29" s="89">
        <f t="shared" si="27"/>
        <v>0</v>
      </c>
      <c r="CE29" s="84">
        <f t="shared" si="52"/>
        <v>0</v>
      </c>
      <c r="CF29" s="84"/>
      <c r="CG29" s="89">
        <f t="shared" si="28"/>
        <v>0</v>
      </c>
      <c r="CH29" s="84">
        <f t="shared" si="53"/>
        <v>0</v>
      </c>
      <c r="CI29" s="84"/>
      <c r="CJ29" s="89">
        <f t="shared" si="29"/>
        <v>0</v>
      </c>
      <c r="CK29" s="84">
        <f t="shared" si="54"/>
        <v>0</v>
      </c>
      <c r="CL29" s="84"/>
      <c r="CM29" s="89">
        <f t="shared" si="30"/>
        <v>0</v>
      </c>
      <c r="CN29" s="84">
        <f t="shared" si="55"/>
        <v>0</v>
      </c>
      <c r="CO29" s="84"/>
      <c r="CP29" s="89">
        <f t="shared" si="31"/>
        <v>0</v>
      </c>
    </row>
    <row r="30" spans="1:1028" s="3" customFormat="1" ht="13.5" customHeight="1" x14ac:dyDescent="0.2">
      <c r="A30" s="103">
        <v>22</v>
      </c>
      <c r="B30" s="80">
        <f t="shared" si="32"/>
        <v>0</v>
      </c>
      <c r="C30" s="80"/>
      <c r="D30" s="81">
        <f t="shared" si="0"/>
        <v>0</v>
      </c>
      <c r="E30" s="82">
        <f t="shared" si="56"/>
        <v>0</v>
      </c>
      <c r="F30" s="82"/>
      <c r="G30" s="82">
        <f t="shared" si="33"/>
        <v>0</v>
      </c>
      <c r="H30" s="84">
        <f t="shared" si="34"/>
        <v>0</v>
      </c>
      <c r="I30" s="84"/>
      <c r="J30" s="89">
        <f t="shared" si="1"/>
        <v>0</v>
      </c>
      <c r="K30" s="84">
        <f t="shared" si="57"/>
        <v>0</v>
      </c>
      <c r="L30" s="84"/>
      <c r="M30" s="89">
        <f t="shared" si="2"/>
        <v>0</v>
      </c>
      <c r="N30" s="84">
        <f t="shared" si="62"/>
        <v>0</v>
      </c>
      <c r="O30" s="84"/>
      <c r="P30" s="89">
        <f t="shared" si="3"/>
        <v>0</v>
      </c>
      <c r="Q30" s="84">
        <f t="shared" si="35"/>
        <v>0</v>
      </c>
      <c r="R30" s="84"/>
      <c r="S30" s="89">
        <f t="shared" si="4"/>
        <v>0</v>
      </c>
      <c r="T30" s="84">
        <f t="shared" si="63"/>
        <v>0</v>
      </c>
      <c r="U30" s="84"/>
      <c r="V30" s="89">
        <f t="shared" si="5"/>
        <v>0</v>
      </c>
      <c r="W30" s="84">
        <f t="shared" si="64"/>
        <v>0</v>
      </c>
      <c r="X30" s="84"/>
      <c r="Y30" s="89">
        <f t="shared" si="6"/>
        <v>0</v>
      </c>
      <c r="Z30" s="84">
        <f t="shared" si="65"/>
        <v>0</v>
      </c>
      <c r="AA30" s="84"/>
      <c r="AB30" s="89">
        <f t="shared" si="7"/>
        <v>0</v>
      </c>
      <c r="AC30" s="84">
        <f t="shared" si="8"/>
        <v>0</v>
      </c>
      <c r="AD30" s="84"/>
      <c r="AE30" s="89">
        <f t="shared" si="9"/>
        <v>0</v>
      </c>
      <c r="AF30" s="84">
        <f t="shared" si="10"/>
        <v>0</v>
      </c>
      <c r="AG30" s="84"/>
      <c r="AH30" s="89">
        <f t="shared" si="11"/>
        <v>0</v>
      </c>
      <c r="AI30" s="84">
        <f t="shared" si="12"/>
        <v>0</v>
      </c>
      <c r="AJ30" s="84"/>
      <c r="AK30" s="89">
        <f t="shared" si="13"/>
        <v>0</v>
      </c>
      <c r="AL30" s="84">
        <f t="shared" si="36"/>
        <v>0</v>
      </c>
      <c r="AM30" s="84"/>
      <c r="AN30" s="89">
        <f t="shared" si="14"/>
        <v>0</v>
      </c>
      <c r="AO30" s="84">
        <f t="shared" si="37"/>
        <v>0</v>
      </c>
      <c r="AP30" s="84"/>
      <c r="AQ30" s="89">
        <f t="shared" si="15"/>
        <v>0</v>
      </c>
      <c r="AR30" s="84">
        <f t="shared" si="38"/>
        <v>0</v>
      </c>
      <c r="AS30" s="84"/>
      <c r="AT30" s="89">
        <f t="shared" si="16"/>
        <v>0</v>
      </c>
      <c r="AU30" s="84">
        <f t="shared" si="39"/>
        <v>0</v>
      </c>
      <c r="AV30" s="84"/>
      <c r="AW30" s="89">
        <f t="shared" si="17"/>
        <v>0</v>
      </c>
      <c r="AX30" s="84">
        <f t="shared" si="40"/>
        <v>0</v>
      </c>
      <c r="AY30" s="84"/>
      <c r="AZ30" s="89">
        <f t="shared" si="18"/>
        <v>0</v>
      </c>
      <c r="BA30" s="84">
        <f t="shared" si="41"/>
        <v>0</v>
      </c>
      <c r="BB30" s="84"/>
      <c r="BC30" s="89">
        <f t="shared" si="19"/>
        <v>0</v>
      </c>
      <c r="BD30" s="89">
        <f t="shared" si="42"/>
        <v>0</v>
      </c>
      <c r="BE30" s="89"/>
      <c r="BF30" s="89">
        <f t="shared" si="43"/>
        <v>0</v>
      </c>
      <c r="BG30" s="84">
        <f t="shared" si="44"/>
        <v>0</v>
      </c>
      <c r="BH30" s="84"/>
      <c r="BI30" s="218">
        <f t="shared" si="20"/>
        <v>0</v>
      </c>
      <c r="BJ30" s="84">
        <f t="shared" si="45"/>
        <v>0</v>
      </c>
      <c r="BK30" s="84"/>
      <c r="BL30" s="89">
        <f t="shared" si="21"/>
        <v>0</v>
      </c>
      <c r="BM30" s="84">
        <f t="shared" si="46"/>
        <v>0</v>
      </c>
      <c r="BN30" s="84"/>
      <c r="BO30" s="89">
        <f t="shared" si="22"/>
        <v>0</v>
      </c>
      <c r="BP30" s="84">
        <f t="shared" si="47"/>
        <v>0</v>
      </c>
      <c r="BQ30" s="84"/>
      <c r="BR30" s="89">
        <f t="shared" si="23"/>
        <v>0</v>
      </c>
      <c r="BS30" s="84">
        <f t="shared" si="48"/>
        <v>0</v>
      </c>
      <c r="BT30" s="84"/>
      <c r="BU30" s="89">
        <f t="shared" si="24"/>
        <v>0</v>
      </c>
      <c r="BV30" s="84">
        <f t="shared" si="49"/>
        <v>0</v>
      </c>
      <c r="BW30" s="84"/>
      <c r="BX30" s="89">
        <f t="shared" si="25"/>
        <v>0</v>
      </c>
      <c r="BY30" s="84">
        <f t="shared" si="50"/>
        <v>0</v>
      </c>
      <c r="BZ30" s="84"/>
      <c r="CA30" s="89">
        <f t="shared" si="26"/>
        <v>0</v>
      </c>
      <c r="CB30" s="84">
        <f t="shared" si="51"/>
        <v>0</v>
      </c>
      <c r="CC30" s="84"/>
      <c r="CD30" s="89">
        <f t="shared" si="27"/>
        <v>0</v>
      </c>
      <c r="CE30" s="84">
        <f t="shared" si="52"/>
        <v>0</v>
      </c>
      <c r="CF30" s="84"/>
      <c r="CG30" s="89">
        <f t="shared" si="28"/>
        <v>0</v>
      </c>
      <c r="CH30" s="84">
        <f t="shared" si="53"/>
        <v>0</v>
      </c>
      <c r="CI30" s="84"/>
      <c r="CJ30" s="89">
        <f t="shared" si="29"/>
        <v>0</v>
      </c>
      <c r="CK30" s="84">
        <f t="shared" si="54"/>
        <v>0</v>
      </c>
      <c r="CL30" s="84"/>
      <c r="CM30" s="89">
        <f t="shared" si="30"/>
        <v>0</v>
      </c>
      <c r="CN30" s="84">
        <f t="shared" si="55"/>
        <v>0</v>
      </c>
      <c r="CO30" s="84"/>
      <c r="CP30" s="89">
        <f t="shared" si="31"/>
        <v>0</v>
      </c>
    </row>
    <row r="31" spans="1:1028" s="3" customFormat="1" ht="13.5" customHeight="1" x14ac:dyDescent="0.2">
      <c r="A31" s="103">
        <v>23</v>
      </c>
      <c r="B31" s="80">
        <f t="shared" si="32"/>
        <v>0</v>
      </c>
      <c r="C31" s="80"/>
      <c r="D31" s="81">
        <f t="shared" si="0"/>
        <v>0</v>
      </c>
      <c r="E31" s="82">
        <f t="shared" si="56"/>
        <v>0</v>
      </c>
      <c r="F31" s="82"/>
      <c r="G31" s="82">
        <f t="shared" si="33"/>
        <v>0</v>
      </c>
      <c r="H31" s="84">
        <f t="shared" si="34"/>
        <v>0</v>
      </c>
      <c r="I31" s="84"/>
      <c r="J31" s="89">
        <f t="shared" si="1"/>
        <v>0</v>
      </c>
      <c r="K31" s="84">
        <f t="shared" si="57"/>
        <v>0</v>
      </c>
      <c r="L31" s="84"/>
      <c r="M31" s="89">
        <f t="shared" si="2"/>
        <v>0</v>
      </c>
      <c r="N31" s="84">
        <f t="shared" si="62"/>
        <v>0</v>
      </c>
      <c r="O31" s="84"/>
      <c r="P31" s="89">
        <f t="shared" si="3"/>
        <v>0</v>
      </c>
      <c r="Q31" s="84">
        <f t="shared" si="35"/>
        <v>0</v>
      </c>
      <c r="R31" s="84"/>
      <c r="S31" s="89">
        <f t="shared" si="4"/>
        <v>0</v>
      </c>
      <c r="T31" s="84">
        <f t="shared" si="63"/>
        <v>0</v>
      </c>
      <c r="U31" s="84"/>
      <c r="V31" s="89">
        <f t="shared" si="5"/>
        <v>0</v>
      </c>
      <c r="W31" s="84">
        <f t="shared" si="64"/>
        <v>0</v>
      </c>
      <c r="X31" s="84"/>
      <c r="Y31" s="89">
        <f t="shared" si="6"/>
        <v>0</v>
      </c>
      <c r="Z31" s="84">
        <f t="shared" si="65"/>
        <v>0</v>
      </c>
      <c r="AA31" s="84"/>
      <c r="AB31" s="89">
        <f t="shared" si="7"/>
        <v>0</v>
      </c>
      <c r="AC31" s="84">
        <f t="shared" si="8"/>
        <v>0</v>
      </c>
      <c r="AD31" s="84"/>
      <c r="AE31" s="89">
        <f t="shared" si="9"/>
        <v>0</v>
      </c>
      <c r="AF31" s="84">
        <f t="shared" si="10"/>
        <v>0</v>
      </c>
      <c r="AG31" s="84"/>
      <c r="AH31" s="89">
        <f t="shared" si="11"/>
        <v>0</v>
      </c>
      <c r="AI31" s="84">
        <f t="shared" si="12"/>
        <v>0</v>
      </c>
      <c r="AJ31" s="84"/>
      <c r="AK31" s="89">
        <f t="shared" si="13"/>
        <v>0</v>
      </c>
      <c r="AL31" s="84">
        <f t="shared" si="36"/>
        <v>0</v>
      </c>
      <c r="AM31" s="84"/>
      <c r="AN31" s="89">
        <f t="shared" si="14"/>
        <v>0</v>
      </c>
      <c r="AO31" s="84">
        <f t="shared" si="37"/>
        <v>0</v>
      </c>
      <c r="AP31" s="84"/>
      <c r="AQ31" s="89">
        <f t="shared" si="15"/>
        <v>0</v>
      </c>
      <c r="AR31" s="84">
        <f t="shared" si="38"/>
        <v>0</v>
      </c>
      <c r="AS31" s="84"/>
      <c r="AT31" s="89">
        <f t="shared" si="16"/>
        <v>0</v>
      </c>
      <c r="AU31" s="84">
        <f t="shared" si="39"/>
        <v>0</v>
      </c>
      <c r="AV31" s="84"/>
      <c r="AW31" s="89">
        <f t="shared" si="17"/>
        <v>0</v>
      </c>
      <c r="AX31" s="84">
        <f t="shared" si="40"/>
        <v>0</v>
      </c>
      <c r="AY31" s="84"/>
      <c r="AZ31" s="89">
        <f t="shared" si="18"/>
        <v>0</v>
      </c>
      <c r="BA31" s="84">
        <f t="shared" si="41"/>
        <v>0</v>
      </c>
      <c r="BB31" s="84"/>
      <c r="BC31" s="89">
        <f t="shared" si="19"/>
        <v>0</v>
      </c>
      <c r="BD31" s="89">
        <f t="shared" si="42"/>
        <v>0</v>
      </c>
      <c r="BE31" s="89"/>
      <c r="BF31" s="89">
        <f t="shared" si="43"/>
        <v>0</v>
      </c>
      <c r="BG31" s="84">
        <f t="shared" si="44"/>
        <v>0</v>
      </c>
      <c r="BH31" s="84"/>
      <c r="BI31" s="218">
        <f t="shared" si="20"/>
        <v>0</v>
      </c>
      <c r="BJ31" s="84">
        <f t="shared" si="45"/>
        <v>0</v>
      </c>
      <c r="BK31" s="84"/>
      <c r="BL31" s="89">
        <f t="shared" si="21"/>
        <v>0</v>
      </c>
      <c r="BM31" s="84">
        <f t="shared" si="46"/>
        <v>0</v>
      </c>
      <c r="BN31" s="84"/>
      <c r="BO31" s="89">
        <f t="shared" si="22"/>
        <v>0</v>
      </c>
      <c r="BP31" s="84">
        <f t="shared" si="47"/>
        <v>0</v>
      </c>
      <c r="BQ31" s="84"/>
      <c r="BR31" s="89">
        <f t="shared" si="23"/>
        <v>0</v>
      </c>
      <c r="BS31" s="84">
        <f t="shared" si="48"/>
        <v>0</v>
      </c>
      <c r="BT31" s="84"/>
      <c r="BU31" s="89">
        <f t="shared" si="24"/>
        <v>0</v>
      </c>
      <c r="BV31" s="84">
        <f t="shared" si="49"/>
        <v>0</v>
      </c>
      <c r="BW31" s="84"/>
      <c r="BX31" s="89">
        <f t="shared" si="25"/>
        <v>0</v>
      </c>
      <c r="BY31" s="84">
        <f t="shared" si="50"/>
        <v>0</v>
      </c>
      <c r="BZ31" s="84"/>
      <c r="CA31" s="89">
        <f t="shared" si="26"/>
        <v>0</v>
      </c>
      <c r="CB31" s="84">
        <f t="shared" si="51"/>
        <v>0</v>
      </c>
      <c r="CC31" s="84"/>
      <c r="CD31" s="89">
        <f t="shared" si="27"/>
        <v>0</v>
      </c>
      <c r="CE31" s="84">
        <f t="shared" si="52"/>
        <v>0</v>
      </c>
      <c r="CF31" s="84"/>
      <c r="CG31" s="89">
        <f t="shared" si="28"/>
        <v>0</v>
      </c>
      <c r="CH31" s="84">
        <f t="shared" si="53"/>
        <v>0</v>
      </c>
      <c r="CI31" s="84"/>
      <c r="CJ31" s="89">
        <f t="shared" si="29"/>
        <v>0</v>
      </c>
      <c r="CK31" s="84">
        <f t="shared" si="54"/>
        <v>0</v>
      </c>
      <c r="CL31" s="84"/>
      <c r="CM31" s="89">
        <f t="shared" si="30"/>
        <v>0</v>
      </c>
      <c r="CN31" s="84">
        <f t="shared" si="55"/>
        <v>0</v>
      </c>
      <c r="CO31" s="84"/>
      <c r="CP31" s="89">
        <f t="shared" si="31"/>
        <v>0</v>
      </c>
    </row>
    <row r="32" spans="1:1028" s="99" customFormat="1" ht="13.5" customHeight="1" x14ac:dyDescent="0.2">
      <c r="A32" s="103">
        <v>24</v>
      </c>
      <c r="B32" s="80">
        <f t="shared" si="32"/>
        <v>0</v>
      </c>
      <c r="C32" s="80"/>
      <c r="D32" s="81">
        <f t="shared" si="0"/>
        <v>0</v>
      </c>
      <c r="E32" s="82">
        <f t="shared" si="56"/>
        <v>0</v>
      </c>
      <c r="F32" s="82"/>
      <c r="G32" s="82">
        <f t="shared" si="33"/>
        <v>0</v>
      </c>
      <c r="H32" s="84">
        <f t="shared" si="34"/>
        <v>0</v>
      </c>
      <c r="I32" s="84"/>
      <c r="J32" s="89">
        <f t="shared" si="1"/>
        <v>0</v>
      </c>
      <c r="K32" s="84">
        <f t="shared" si="57"/>
        <v>0</v>
      </c>
      <c r="L32" s="84"/>
      <c r="M32" s="89">
        <f t="shared" si="2"/>
        <v>0</v>
      </c>
      <c r="N32" s="84">
        <f t="shared" si="62"/>
        <v>0</v>
      </c>
      <c r="O32" s="84"/>
      <c r="P32" s="89">
        <f t="shared" si="3"/>
        <v>0</v>
      </c>
      <c r="Q32" s="84">
        <f t="shared" si="35"/>
        <v>0</v>
      </c>
      <c r="R32" s="84"/>
      <c r="S32" s="89">
        <f t="shared" si="4"/>
        <v>0</v>
      </c>
      <c r="T32" s="84">
        <f t="shared" si="63"/>
        <v>0</v>
      </c>
      <c r="U32" s="84"/>
      <c r="V32" s="89">
        <f t="shared" si="5"/>
        <v>0</v>
      </c>
      <c r="W32" s="84">
        <f t="shared" si="64"/>
        <v>0</v>
      </c>
      <c r="X32" s="84"/>
      <c r="Y32" s="89">
        <f t="shared" si="6"/>
        <v>0</v>
      </c>
      <c r="Z32" s="84">
        <f t="shared" si="65"/>
        <v>0</v>
      </c>
      <c r="AA32" s="84"/>
      <c r="AB32" s="89">
        <f t="shared" si="7"/>
        <v>0</v>
      </c>
      <c r="AC32" s="84">
        <f t="shared" si="8"/>
        <v>0</v>
      </c>
      <c r="AD32" s="84"/>
      <c r="AE32" s="89">
        <f t="shared" si="9"/>
        <v>0</v>
      </c>
      <c r="AF32" s="84">
        <f t="shared" si="10"/>
        <v>0</v>
      </c>
      <c r="AG32" s="84"/>
      <c r="AH32" s="89">
        <f t="shared" si="11"/>
        <v>0</v>
      </c>
      <c r="AI32" s="84">
        <f t="shared" si="12"/>
        <v>0</v>
      </c>
      <c r="AJ32" s="84"/>
      <c r="AK32" s="89">
        <f t="shared" si="13"/>
        <v>0</v>
      </c>
      <c r="AL32" s="84">
        <f t="shared" si="36"/>
        <v>0</v>
      </c>
      <c r="AM32" s="84"/>
      <c r="AN32" s="89">
        <f t="shared" si="14"/>
        <v>0</v>
      </c>
      <c r="AO32" s="84">
        <f t="shared" si="37"/>
        <v>0</v>
      </c>
      <c r="AP32" s="84"/>
      <c r="AQ32" s="89">
        <f t="shared" si="15"/>
        <v>0</v>
      </c>
      <c r="AR32" s="84">
        <f t="shared" si="38"/>
        <v>0</v>
      </c>
      <c r="AS32" s="84"/>
      <c r="AT32" s="89">
        <f t="shared" si="16"/>
        <v>0</v>
      </c>
      <c r="AU32" s="84">
        <f t="shared" si="39"/>
        <v>0</v>
      </c>
      <c r="AV32" s="84"/>
      <c r="AW32" s="89">
        <f t="shared" si="17"/>
        <v>0</v>
      </c>
      <c r="AX32" s="84">
        <f t="shared" si="40"/>
        <v>0</v>
      </c>
      <c r="AY32" s="84"/>
      <c r="AZ32" s="89">
        <f t="shared" si="18"/>
        <v>0</v>
      </c>
      <c r="BA32" s="84">
        <f t="shared" si="41"/>
        <v>0</v>
      </c>
      <c r="BB32" s="84"/>
      <c r="BC32" s="89">
        <f t="shared" si="19"/>
        <v>0</v>
      </c>
      <c r="BD32" s="89">
        <f t="shared" si="42"/>
        <v>0</v>
      </c>
      <c r="BE32" s="89"/>
      <c r="BF32" s="89">
        <f t="shared" si="43"/>
        <v>0</v>
      </c>
      <c r="BG32" s="84">
        <f t="shared" si="44"/>
        <v>0</v>
      </c>
      <c r="BH32" s="84"/>
      <c r="BI32" s="218">
        <f t="shared" si="20"/>
        <v>0</v>
      </c>
      <c r="BJ32" s="84">
        <f t="shared" si="45"/>
        <v>0</v>
      </c>
      <c r="BK32" s="84"/>
      <c r="BL32" s="89">
        <f t="shared" si="21"/>
        <v>0</v>
      </c>
      <c r="BM32" s="84">
        <f t="shared" si="46"/>
        <v>0</v>
      </c>
      <c r="BN32" s="84"/>
      <c r="BO32" s="89">
        <f t="shared" si="22"/>
        <v>0</v>
      </c>
      <c r="BP32" s="84">
        <f t="shared" si="47"/>
        <v>0</v>
      </c>
      <c r="BQ32" s="84"/>
      <c r="BR32" s="89">
        <f t="shared" si="23"/>
        <v>0</v>
      </c>
      <c r="BS32" s="84">
        <f t="shared" si="48"/>
        <v>0</v>
      </c>
      <c r="BT32" s="84"/>
      <c r="BU32" s="89">
        <f t="shared" si="24"/>
        <v>0</v>
      </c>
      <c r="BV32" s="84">
        <f t="shared" si="49"/>
        <v>0</v>
      </c>
      <c r="BW32" s="84"/>
      <c r="BX32" s="89">
        <f t="shared" si="25"/>
        <v>0</v>
      </c>
      <c r="BY32" s="84">
        <f t="shared" si="50"/>
        <v>0</v>
      </c>
      <c r="BZ32" s="84"/>
      <c r="CA32" s="89">
        <f t="shared" si="26"/>
        <v>0</v>
      </c>
      <c r="CB32" s="84">
        <f t="shared" si="51"/>
        <v>0</v>
      </c>
      <c r="CC32" s="84"/>
      <c r="CD32" s="89">
        <f t="shared" si="27"/>
        <v>0</v>
      </c>
      <c r="CE32" s="84">
        <f t="shared" si="52"/>
        <v>0</v>
      </c>
      <c r="CF32" s="84"/>
      <c r="CG32" s="89">
        <f t="shared" si="28"/>
        <v>0</v>
      </c>
      <c r="CH32" s="84">
        <f t="shared" si="53"/>
        <v>0</v>
      </c>
      <c r="CI32" s="84"/>
      <c r="CJ32" s="89">
        <f t="shared" si="29"/>
        <v>0</v>
      </c>
      <c r="CK32" s="84">
        <f t="shared" si="54"/>
        <v>0</v>
      </c>
      <c r="CL32" s="84"/>
      <c r="CM32" s="89">
        <f t="shared" si="30"/>
        <v>0</v>
      </c>
      <c r="CN32" s="84">
        <f t="shared" si="55"/>
        <v>0</v>
      </c>
      <c r="CO32" s="84"/>
      <c r="CP32" s="89">
        <f t="shared" si="31"/>
        <v>0</v>
      </c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30"/>
      <c r="DZ32" s="30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N32" s="30"/>
      <c r="EO32" s="30"/>
      <c r="EP32" s="30"/>
      <c r="EQ32" s="30"/>
      <c r="ER32" s="30"/>
      <c r="ES32" s="30"/>
      <c r="ET32" s="30"/>
      <c r="EU32" s="30"/>
      <c r="EV32" s="30"/>
      <c r="EW32" s="30"/>
      <c r="EX32" s="30"/>
      <c r="EY32" s="30"/>
      <c r="EZ32" s="30"/>
      <c r="FA32" s="30"/>
      <c r="FB32" s="30"/>
      <c r="FC32" s="30"/>
      <c r="FD32" s="30"/>
      <c r="FE32" s="30"/>
      <c r="FF32" s="30"/>
      <c r="FG32" s="30"/>
      <c r="FH32" s="30"/>
      <c r="FI32" s="30"/>
      <c r="FJ32" s="30"/>
      <c r="FK32" s="30"/>
      <c r="FL32" s="30"/>
      <c r="FM32" s="30"/>
      <c r="FN32" s="30"/>
      <c r="FO32" s="30"/>
      <c r="FP32" s="30"/>
      <c r="FQ32" s="30"/>
      <c r="FR32" s="30"/>
      <c r="FS32" s="30"/>
      <c r="FT32" s="30"/>
      <c r="FU32" s="30"/>
      <c r="FV32" s="30"/>
      <c r="FW32" s="30"/>
      <c r="FX32" s="30"/>
      <c r="FY32" s="30"/>
      <c r="FZ32" s="30"/>
      <c r="GA32" s="30"/>
      <c r="GB32" s="30"/>
      <c r="GC32" s="30"/>
      <c r="GD32" s="30"/>
      <c r="GE32" s="30"/>
      <c r="GF32" s="30"/>
      <c r="GG32" s="30"/>
      <c r="GH32" s="30"/>
      <c r="GI32" s="30"/>
      <c r="GJ32" s="30"/>
      <c r="GK32" s="30"/>
      <c r="GL32" s="30"/>
      <c r="GM32" s="30"/>
      <c r="GN32" s="30"/>
      <c r="GO32" s="30"/>
      <c r="GP32" s="30"/>
      <c r="GQ32" s="30"/>
      <c r="GR32" s="30"/>
      <c r="GS32" s="30"/>
      <c r="GT32" s="30"/>
      <c r="GU32" s="30"/>
      <c r="GV32" s="30"/>
      <c r="GW32" s="30"/>
      <c r="GX32" s="30"/>
      <c r="GY32" s="30"/>
      <c r="GZ32" s="30"/>
      <c r="HA32" s="30"/>
      <c r="HB32" s="30"/>
      <c r="HC32" s="30"/>
      <c r="HD32" s="30"/>
      <c r="HE32" s="30"/>
      <c r="HF32" s="30"/>
      <c r="HG32" s="30"/>
      <c r="HH32" s="30"/>
      <c r="HI32" s="30"/>
      <c r="HJ32" s="30"/>
      <c r="HK32" s="30"/>
      <c r="HL32" s="30"/>
      <c r="HM32" s="30"/>
      <c r="HN32" s="30"/>
      <c r="HO32" s="30"/>
      <c r="HP32" s="30"/>
      <c r="HQ32" s="30"/>
      <c r="HR32" s="30"/>
      <c r="HS32" s="30"/>
      <c r="HT32" s="30"/>
      <c r="HU32" s="30"/>
      <c r="HV32" s="30"/>
      <c r="HW32" s="30"/>
      <c r="HX32" s="30"/>
      <c r="HY32" s="30"/>
      <c r="HZ32" s="30"/>
      <c r="IA32" s="30"/>
      <c r="IB32" s="30"/>
      <c r="IC32" s="30"/>
      <c r="ID32" s="30"/>
      <c r="IE32" s="30"/>
      <c r="IF32" s="30"/>
      <c r="IG32" s="30"/>
      <c r="IH32" s="30"/>
      <c r="II32" s="30"/>
      <c r="IJ32" s="30"/>
      <c r="IK32" s="30"/>
      <c r="IL32" s="30"/>
      <c r="IM32" s="30"/>
      <c r="IN32" s="30"/>
      <c r="IO32" s="30"/>
      <c r="IP32" s="30"/>
      <c r="IQ32" s="30"/>
      <c r="IR32" s="30"/>
      <c r="IS32" s="30"/>
      <c r="IT32" s="30"/>
      <c r="IU32" s="30"/>
      <c r="IV32" s="30"/>
      <c r="IW32" s="30"/>
      <c r="IX32" s="30"/>
      <c r="IY32" s="30"/>
      <c r="IZ32" s="30"/>
      <c r="JA32" s="30"/>
      <c r="JB32" s="30"/>
      <c r="JC32" s="30"/>
      <c r="JD32" s="30"/>
      <c r="JE32" s="30"/>
      <c r="JF32" s="30"/>
      <c r="JG32" s="30"/>
      <c r="JH32" s="30"/>
      <c r="JI32" s="30"/>
      <c r="JJ32" s="30"/>
      <c r="JK32" s="30"/>
      <c r="JL32" s="30"/>
      <c r="JM32" s="30"/>
      <c r="JN32" s="30"/>
      <c r="JO32" s="30"/>
      <c r="JP32" s="30"/>
      <c r="JQ32" s="30"/>
      <c r="JR32" s="30"/>
      <c r="JS32" s="30"/>
      <c r="JT32" s="30"/>
      <c r="JU32" s="30"/>
      <c r="JV32" s="30"/>
      <c r="JW32" s="30"/>
      <c r="JX32" s="30"/>
      <c r="JY32" s="30"/>
      <c r="JZ32" s="30"/>
      <c r="KA32" s="30"/>
      <c r="KB32" s="30"/>
      <c r="KC32" s="30"/>
      <c r="KD32" s="30"/>
      <c r="KE32" s="30"/>
      <c r="KF32" s="30"/>
      <c r="KG32" s="30"/>
      <c r="KH32" s="30"/>
      <c r="KI32" s="30"/>
      <c r="KJ32" s="30"/>
      <c r="KK32" s="30"/>
      <c r="KL32" s="30"/>
      <c r="KM32" s="30"/>
      <c r="KN32" s="30"/>
      <c r="KO32" s="30"/>
      <c r="KP32" s="30"/>
      <c r="KQ32" s="30"/>
      <c r="KR32" s="30"/>
      <c r="KS32" s="30"/>
      <c r="KT32" s="30"/>
      <c r="KU32" s="30"/>
      <c r="KV32" s="30"/>
      <c r="KW32" s="30"/>
      <c r="KX32" s="30"/>
      <c r="KY32" s="30"/>
      <c r="KZ32" s="30"/>
      <c r="LA32" s="30"/>
      <c r="LB32" s="30"/>
      <c r="LC32" s="30"/>
      <c r="LD32" s="30"/>
      <c r="LE32" s="30"/>
      <c r="LF32" s="30"/>
      <c r="LG32" s="30"/>
      <c r="LH32" s="30"/>
      <c r="LI32" s="30"/>
      <c r="LJ32" s="30"/>
      <c r="LK32" s="30"/>
      <c r="LL32" s="30"/>
      <c r="LM32" s="30"/>
      <c r="LN32" s="30"/>
      <c r="LO32" s="30"/>
      <c r="LP32" s="30"/>
      <c r="LQ32" s="30"/>
      <c r="LR32" s="30"/>
      <c r="LS32" s="30"/>
      <c r="LT32" s="30"/>
      <c r="LU32" s="30"/>
      <c r="LV32" s="30"/>
      <c r="LW32" s="30"/>
      <c r="LX32" s="30"/>
      <c r="LY32" s="30"/>
      <c r="LZ32" s="30"/>
      <c r="MA32" s="30"/>
      <c r="MB32" s="30"/>
      <c r="MC32" s="30"/>
      <c r="MD32" s="30"/>
      <c r="ME32" s="30"/>
      <c r="MF32" s="30"/>
      <c r="MG32" s="30"/>
      <c r="MH32" s="30"/>
      <c r="MI32" s="30"/>
      <c r="MJ32" s="30"/>
      <c r="MK32" s="30"/>
      <c r="ML32" s="30"/>
      <c r="MM32" s="30"/>
      <c r="MN32" s="30"/>
      <c r="MO32" s="30"/>
      <c r="MP32" s="30"/>
      <c r="MQ32" s="30"/>
      <c r="MR32" s="30"/>
      <c r="MS32" s="30"/>
      <c r="MT32" s="30"/>
      <c r="MU32" s="30"/>
      <c r="MV32" s="30"/>
      <c r="MW32" s="30"/>
      <c r="MX32" s="30"/>
      <c r="MY32" s="30"/>
      <c r="MZ32" s="30"/>
      <c r="NA32" s="30"/>
      <c r="NB32" s="30"/>
      <c r="NC32" s="30"/>
      <c r="ND32" s="30"/>
      <c r="NE32" s="30"/>
      <c r="NF32" s="30"/>
      <c r="NG32" s="30"/>
      <c r="NH32" s="30"/>
      <c r="NI32" s="30"/>
      <c r="NJ32" s="30"/>
      <c r="NK32" s="30"/>
      <c r="NL32" s="30"/>
      <c r="NM32" s="30"/>
      <c r="NN32" s="30"/>
      <c r="NO32" s="30"/>
      <c r="NP32" s="30"/>
      <c r="NQ32" s="30"/>
      <c r="NR32" s="30"/>
      <c r="NS32" s="30"/>
      <c r="NT32" s="30"/>
      <c r="NU32" s="30"/>
      <c r="NV32" s="30"/>
      <c r="NW32" s="30"/>
      <c r="NX32" s="30"/>
      <c r="NY32" s="30"/>
      <c r="NZ32" s="30"/>
      <c r="OA32" s="30"/>
      <c r="OB32" s="30"/>
      <c r="OC32" s="30"/>
      <c r="OD32" s="30"/>
      <c r="OE32" s="30"/>
      <c r="OF32" s="30"/>
      <c r="OG32" s="30"/>
      <c r="OH32" s="30"/>
      <c r="OI32" s="30"/>
      <c r="OJ32" s="30"/>
      <c r="OK32" s="30"/>
      <c r="OL32" s="30"/>
      <c r="OM32" s="30"/>
      <c r="ON32" s="30"/>
      <c r="OO32" s="30"/>
      <c r="OP32" s="30"/>
      <c r="OQ32" s="30"/>
      <c r="OR32" s="30"/>
      <c r="OS32" s="30"/>
      <c r="OT32" s="30"/>
      <c r="OU32" s="30"/>
      <c r="OV32" s="30"/>
      <c r="OW32" s="30"/>
      <c r="OX32" s="30"/>
      <c r="OY32" s="30"/>
      <c r="OZ32" s="30"/>
      <c r="PA32" s="30"/>
      <c r="PB32" s="30"/>
      <c r="PC32" s="30"/>
      <c r="PD32" s="30"/>
      <c r="PE32" s="30"/>
      <c r="PF32" s="30"/>
      <c r="PG32" s="30"/>
      <c r="PH32" s="30"/>
      <c r="PI32" s="30"/>
      <c r="PJ32" s="30"/>
      <c r="PK32" s="30"/>
      <c r="PL32" s="30"/>
      <c r="PM32" s="30"/>
      <c r="PN32" s="30"/>
      <c r="PO32" s="30"/>
      <c r="PP32" s="30"/>
      <c r="PQ32" s="30"/>
      <c r="PR32" s="30"/>
      <c r="PS32" s="30"/>
      <c r="PT32" s="30"/>
      <c r="PU32" s="30"/>
      <c r="PV32" s="30"/>
      <c r="PW32" s="30"/>
      <c r="PX32" s="30"/>
      <c r="PY32" s="30"/>
      <c r="PZ32" s="30"/>
      <c r="QA32" s="30"/>
      <c r="QB32" s="30"/>
      <c r="QC32" s="30"/>
      <c r="QD32" s="30"/>
      <c r="QE32" s="30"/>
      <c r="QF32" s="30"/>
      <c r="QG32" s="30"/>
      <c r="QH32" s="30"/>
      <c r="QI32" s="30"/>
      <c r="QJ32" s="30"/>
      <c r="QK32" s="30"/>
      <c r="QL32" s="30"/>
      <c r="QM32" s="30"/>
      <c r="QN32" s="30"/>
      <c r="QO32" s="30"/>
      <c r="QP32" s="30"/>
      <c r="QQ32" s="30"/>
      <c r="QR32" s="30"/>
      <c r="QS32" s="30"/>
      <c r="QT32" s="30"/>
      <c r="QU32" s="30"/>
      <c r="QV32" s="30"/>
      <c r="QW32" s="30"/>
      <c r="QX32" s="30"/>
      <c r="QY32" s="30"/>
      <c r="QZ32" s="30"/>
      <c r="RA32" s="30"/>
      <c r="RB32" s="30"/>
      <c r="RC32" s="30"/>
      <c r="RD32" s="30"/>
      <c r="RE32" s="30"/>
      <c r="RF32" s="30"/>
      <c r="RG32" s="30"/>
      <c r="RH32" s="30"/>
      <c r="RI32" s="30"/>
      <c r="RJ32" s="30"/>
      <c r="RK32" s="30"/>
      <c r="RL32" s="30"/>
      <c r="RM32" s="30"/>
      <c r="RN32" s="30"/>
      <c r="RO32" s="30"/>
      <c r="RP32" s="30"/>
      <c r="RQ32" s="30"/>
      <c r="RR32" s="30"/>
      <c r="RS32" s="30"/>
      <c r="RT32" s="30"/>
      <c r="RU32" s="30"/>
      <c r="RV32" s="30"/>
      <c r="RW32" s="30"/>
      <c r="RX32" s="30"/>
      <c r="RY32" s="30"/>
      <c r="RZ32" s="30"/>
      <c r="SA32" s="30"/>
      <c r="SB32" s="30"/>
      <c r="SC32" s="30"/>
      <c r="SD32" s="30"/>
      <c r="SE32" s="30"/>
      <c r="SF32" s="30"/>
      <c r="SG32" s="30"/>
      <c r="SH32" s="30"/>
      <c r="SI32" s="30"/>
      <c r="SJ32" s="30"/>
      <c r="SK32" s="30"/>
      <c r="SL32" s="30"/>
      <c r="SM32" s="30"/>
      <c r="SN32" s="30"/>
      <c r="SO32" s="30"/>
      <c r="SP32" s="30"/>
      <c r="SQ32" s="30"/>
      <c r="SR32" s="30"/>
      <c r="SS32" s="30"/>
      <c r="ST32" s="30"/>
      <c r="SU32" s="30"/>
      <c r="SV32" s="30"/>
      <c r="SW32" s="30"/>
      <c r="SX32" s="30"/>
      <c r="SY32" s="30"/>
      <c r="SZ32" s="30"/>
      <c r="TA32" s="30"/>
      <c r="TB32" s="30"/>
      <c r="TC32" s="30"/>
      <c r="TD32" s="30"/>
      <c r="TE32" s="30"/>
      <c r="TF32" s="30"/>
      <c r="TG32" s="30"/>
      <c r="TH32" s="30"/>
      <c r="TI32" s="30"/>
      <c r="TJ32" s="30"/>
      <c r="TK32" s="30"/>
      <c r="TL32" s="30"/>
      <c r="TM32" s="30"/>
      <c r="TN32" s="30"/>
      <c r="TO32" s="30"/>
      <c r="TP32" s="30"/>
      <c r="TQ32" s="30"/>
      <c r="TR32" s="30"/>
      <c r="TS32" s="30"/>
      <c r="TT32" s="30"/>
      <c r="TU32" s="30"/>
      <c r="TV32" s="30"/>
      <c r="TW32" s="30"/>
      <c r="TX32" s="30"/>
      <c r="TY32" s="30"/>
      <c r="TZ32" s="30"/>
      <c r="UA32" s="30"/>
      <c r="UB32" s="30"/>
      <c r="UC32" s="30"/>
      <c r="UD32" s="30"/>
      <c r="UE32" s="30"/>
      <c r="UF32" s="30"/>
      <c r="UG32" s="30"/>
      <c r="UH32" s="30"/>
      <c r="UI32" s="30"/>
      <c r="UJ32" s="30"/>
      <c r="UK32" s="30"/>
      <c r="UL32" s="30"/>
      <c r="UM32" s="30"/>
      <c r="UN32" s="30"/>
      <c r="UO32" s="30"/>
      <c r="UP32" s="30"/>
      <c r="UQ32" s="30"/>
      <c r="UR32" s="30"/>
      <c r="US32" s="30"/>
      <c r="UT32" s="30"/>
      <c r="UU32" s="30"/>
      <c r="UV32" s="30"/>
      <c r="UW32" s="30"/>
      <c r="UX32" s="30"/>
      <c r="UY32" s="30"/>
      <c r="UZ32" s="30"/>
      <c r="VA32" s="30"/>
      <c r="VB32" s="30"/>
      <c r="VC32" s="30"/>
      <c r="VD32" s="30"/>
      <c r="VE32" s="30"/>
      <c r="VF32" s="30"/>
      <c r="VG32" s="30"/>
      <c r="VH32" s="30"/>
      <c r="VI32" s="30"/>
      <c r="VJ32" s="30"/>
      <c r="VK32" s="30"/>
      <c r="VL32" s="30"/>
      <c r="VM32" s="30"/>
      <c r="VN32" s="30"/>
      <c r="VO32" s="30"/>
      <c r="VP32" s="30"/>
      <c r="VQ32" s="30"/>
      <c r="VR32" s="30"/>
      <c r="VS32" s="30"/>
      <c r="VT32" s="30"/>
      <c r="VU32" s="30"/>
      <c r="VV32" s="30"/>
      <c r="VW32" s="30"/>
      <c r="VX32" s="30"/>
      <c r="VY32" s="30"/>
      <c r="VZ32" s="30"/>
      <c r="WA32" s="30"/>
      <c r="WB32" s="30"/>
      <c r="WC32" s="30"/>
      <c r="WD32" s="30"/>
      <c r="WE32" s="30"/>
      <c r="WF32" s="30"/>
      <c r="WG32" s="30"/>
      <c r="WH32" s="30"/>
      <c r="WI32" s="30"/>
      <c r="WJ32" s="30"/>
      <c r="WK32" s="30"/>
      <c r="WL32" s="30"/>
      <c r="WM32" s="30"/>
      <c r="WN32" s="30"/>
      <c r="WO32" s="30"/>
      <c r="WP32" s="30"/>
      <c r="WQ32" s="30"/>
      <c r="WR32" s="30"/>
      <c r="WS32" s="30"/>
      <c r="WT32" s="30"/>
      <c r="WU32" s="30"/>
      <c r="WV32" s="30"/>
      <c r="WW32" s="30"/>
      <c r="WX32" s="30"/>
      <c r="WY32" s="30"/>
      <c r="WZ32" s="30"/>
      <c r="XA32" s="30"/>
      <c r="XB32" s="30"/>
      <c r="XC32" s="30"/>
      <c r="XD32" s="30"/>
      <c r="XE32" s="30"/>
      <c r="XF32" s="30"/>
      <c r="XG32" s="30"/>
      <c r="XH32" s="30"/>
      <c r="XI32" s="30"/>
      <c r="XJ32" s="30"/>
      <c r="XK32" s="30"/>
      <c r="XL32" s="30"/>
      <c r="XM32" s="30"/>
      <c r="XN32" s="30"/>
      <c r="XO32" s="30"/>
      <c r="XP32" s="30"/>
      <c r="XQ32" s="30"/>
      <c r="XR32" s="30"/>
      <c r="XS32" s="30"/>
      <c r="XT32" s="30"/>
      <c r="XU32" s="30"/>
      <c r="XV32" s="30"/>
      <c r="XW32" s="30"/>
      <c r="XX32" s="30"/>
      <c r="XY32" s="30"/>
      <c r="XZ32" s="30"/>
      <c r="YA32" s="30"/>
      <c r="YB32" s="30"/>
      <c r="YC32" s="30"/>
      <c r="YD32" s="30"/>
      <c r="YE32" s="30"/>
      <c r="YF32" s="30"/>
      <c r="YG32" s="30"/>
      <c r="YH32" s="30"/>
      <c r="YI32" s="30"/>
      <c r="YJ32" s="30"/>
      <c r="YK32" s="30"/>
      <c r="YL32" s="30"/>
      <c r="YM32" s="30"/>
      <c r="YN32" s="30"/>
      <c r="YO32" s="30"/>
      <c r="YP32" s="30"/>
      <c r="YQ32" s="30"/>
      <c r="YR32" s="30"/>
      <c r="YS32" s="30"/>
      <c r="YT32" s="30"/>
      <c r="YU32" s="30"/>
      <c r="YV32" s="30"/>
      <c r="YW32" s="30"/>
      <c r="YX32" s="30"/>
      <c r="YY32" s="30"/>
      <c r="YZ32" s="30"/>
      <c r="ZA32" s="30"/>
      <c r="ZB32" s="30"/>
      <c r="ZC32" s="30"/>
      <c r="ZD32" s="30"/>
      <c r="ZE32" s="30"/>
      <c r="ZF32" s="30"/>
      <c r="ZG32" s="30"/>
      <c r="ZH32" s="30"/>
      <c r="ZI32" s="30"/>
      <c r="ZJ32" s="30"/>
      <c r="ZK32" s="30"/>
      <c r="ZL32" s="30"/>
      <c r="ZM32" s="30"/>
      <c r="ZN32" s="30"/>
      <c r="ZO32" s="30"/>
      <c r="ZP32" s="30"/>
      <c r="ZQ32" s="30"/>
      <c r="ZR32" s="30"/>
      <c r="ZS32" s="30"/>
      <c r="ZT32" s="30"/>
      <c r="ZU32" s="30"/>
      <c r="ZV32" s="30"/>
      <c r="ZW32" s="30"/>
      <c r="ZX32" s="30"/>
      <c r="ZY32" s="30"/>
      <c r="ZZ32" s="30"/>
      <c r="AAA32" s="30"/>
      <c r="AAB32" s="30"/>
      <c r="AAC32" s="30"/>
      <c r="AAD32" s="30"/>
      <c r="AAE32" s="30"/>
      <c r="AAF32" s="30"/>
      <c r="AAG32" s="30"/>
      <c r="AAH32" s="30"/>
      <c r="AAI32" s="30"/>
      <c r="AAJ32" s="30"/>
      <c r="AAK32" s="30"/>
      <c r="AAL32" s="30"/>
      <c r="AAM32" s="30"/>
      <c r="AAN32" s="30"/>
      <c r="AAO32" s="30"/>
      <c r="AAP32" s="30"/>
      <c r="AAQ32" s="30"/>
      <c r="AAR32" s="30"/>
      <c r="AAS32" s="30"/>
      <c r="AAT32" s="30"/>
      <c r="AAU32" s="30"/>
      <c r="AAV32" s="30"/>
      <c r="AAW32" s="30"/>
      <c r="AAX32" s="30"/>
      <c r="AAY32" s="30"/>
      <c r="AAZ32" s="30"/>
      <c r="ABA32" s="30"/>
      <c r="ABB32" s="30"/>
      <c r="ABC32" s="30"/>
      <c r="ABD32" s="30"/>
      <c r="ABE32" s="30"/>
      <c r="ABF32" s="30"/>
      <c r="ABG32" s="30"/>
      <c r="ABH32" s="30"/>
      <c r="ABI32" s="30"/>
      <c r="ABJ32" s="30"/>
      <c r="ABK32" s="30"/>
      <c r="ABL32" s="30"/>
      <c r="ABM32" s="30"/>
      <c r="ABN32" s="30"/>
      <c r="ABO32" s="30"/>
      <c r="ABP32" s="30"/>
      <c r="ABQ32" s="30"/>
      <c r="ABR32" s="30"/>
      <c r="ABS32" s="30"/>
      <c r="ABT32" s="30"/>
      <c r="ABU32" s="30"/>
      <c r="ABV32" s="30"/>
      <c r="ABW32" s="30"/>
      <c r="ABX32" s="30"/>
      <c r="ABY32" s="30"/>
      <c r="ABZ32" s="30"/>
      <c r="ACA32" s="30"/>
      <c r="ACB32" s="30"/>
      <c r="ACC32" s="30"/>
      <c r="ACD32" s="30"/>
      <c r="ACE32" s="30"/>
      <c r="ACF32" s="30"/>
      <c r="ACG32" s="30"/>
      <c r="ACH32" s="30"/>
      <c r="ACI32" s="30"/>
      <c r="ACJ32" s="30"/>
      <c r="ACK32" s="30"/>
      <c r="ACL32" s="30"/>
      <c r="ACM32" s="30"/>
      <c r="ACN32" s="30"/>
      <c r="ACO32" s="30"/>
      <c r="ACP32" s="30"/>
      <c r="ACQ32" s="30"/>
      <c r="ACR32" s="30"/>
      <c r="ACS32" s="30"/>
      <c r="ACT32" s="30"/>
      <c r="ACU32" s="30"/>
      <c r="ACV32" s="30"/>
      <c r="ACW32" s="30"/>
      <c r="ACX32" s="30"/>
      <c r="ACY32" s="30"/>
      <c r="ACZ32" s="30"/>
      <c r="ADA32" s="30"/>
      <c r="ADB32" s="30"/>
      <c r="ADC32" s="30"/>
      <c r="ADD32" s="30"/>
      <c r="ADE32" s="30"/>
      <c r="ADF32" s="30"/>
      <c r="ADG32" s="30"/>
      <c r="ADH32" s="30"/>
      <c r="ADI32" s="30"/>
      <c r="ADJ32" s="30"/>
      <c r="ADK32" s="30"/>
      <c r="ADL32" s="30"/>
      <c r="ADM32" s="30"/>
      <c r="ADN32" s="30"/>
      <c r="ADO32" s="30"/>
      <c r="ADP32" s="30"/>
      <c r="ADQ32" s="30"/>
      <c r="ADR32" s="30"/>
      <c r="ADS32" s="30"/>
      <c r="ADT32" s="30"/>
      <c r="ADU32" s="30"/>
      <c r="ADV32" s="30"/>
      <c r="ADW32" s="30"/>
      <c r="ADX32" s="30"/>
      <c r="ADY32" s="30"/>
      <c r="ADZ32" s="30"/>
      <c r="AEA32" s="30"/>
      <c r="AEB32" s="30"/>
      <c r="AEC32" s="30"/>
      <c r="AED32" s="30"/>
      <c r="AEE32" s="30"/>
      <c r="AEF32" s="30"/>
      <c r="AEG32" s="30"/>
      <c r="AEH32" s="30"/>
      <c r="AEI32" s="30"/>
      <c r="AEJ32" s="30"/>
      <c r="AEK32" s="30"/>
      <c r="AEL32" s="30"/>
      <c r="AEM32" s="30"/>
      <c r="AEN32" s="30"/>
      <c r="AEO32" s="30"/>
      <c r="AEP32" s="30"/>
      <c r="AEQ32" s="30"/>
      <c r="AER32" s="30"/>
      <c r="AES32" s="30"/>
      <c r="AET32" s="30"/>
      <c r="AEU32" s="30"/>
      <c r="AEV32" s="30"/>
      <c r="AEW32" s="30"/>
      <c r="AEX32" s="30"/>
      <c r="AEY32" s="30"/>
      <c r="AEZ32" s="30"/>
      <c r="AFA32" s="30"/>
      <c r="AFB32" s="30"/>
      <c r="AFC32" s="30"/>
      <c r="AFD32" s="30"/>
      <c r="AFE32" s="30"/>
      <c r="AFF32" s="30"/>
      <c r="AFG32" s="30"/>
      <c r="AFH32" s="30"/>
      <c r="AFI32" s="30"/>
      <c r="AFJ32" s="30"/>
      <c r="AFK32" s="30"/>
      <c r="AFL32" s="30"/>
      <c r="AFM32" s="30"/>
      <c r="AFN32" s="30"/>
      <c r="AFO32" s="30"/>
      <c r="AFP32" s="30"/>
      <c r="AFQ32" s="30"/>
      <c r="AFR32" s="30"/>
      <c r="AFS32" s="30"/>
      <c r="AFT32" s="30"/>
      <c r="AFU32" s="30"/>
      <c r="AFV32" s="30"/>
      <c r="AFW32" s="30"/>
      <c r="AFX32" s="30"/>
      <c r="AFY32" s="30"/>
      <c r="AFZ32" s="30"/>
      <c r="AGA32" s="30"/>
      <c r="AGB32" s="30"/>
      <c r="AGC32" s="30"/>
      <c r="AGD32" s="30"/>
      <c r="AGE32" s="30"/>
      <c r="AGF32" s="30"/>
      <c r="AGG32" s="30"/>
      <c r="AGH32" s="30"/>
      <c r="AGI32" s="30"/>
      <c r="AGJ32" s="30"/>
      <c r="AGK32" s="30"/>
      <c r="AGL32" s="30"/>
      <c r="AGM32" s="30"/>
      <c r="AGN32" s="30"/>
      <c r="AGO32" s="30"/>
      <c r="AGP32" s="30"/>
      <c r="AGQ32" s="30"/>
      <c r="AGR32" s="30"/>
      <c r="AGS32" s="30"/>
      <c r="AGT32" s="30"/>
      <c r="AGU32" s="30"/>
      <c r="AGV32" s="30"/>
      <c r="AGW32" s="30"/>
      <c r="AGX32" s="30"/>
      <c r="AGY32" s="30"/>
      <c r="AGZ32" s="30"/>
      <c r="AHA32" s="30"/>
      <c r="AHB32" s="30"/>
      <c r="AHC32" s="30"/>
      <c r="AHD32" s="30"/>
      <c r="AHE32" s="30"/>
      <c r="AHF32" s="30"/>
      <c r="AHG32" s="30"/>
      <c r="AHH32" s="30"/>
      <c r="AHI32" s="30"/>
      <c r="AHJ32" s="30"/>
      <c r="AHK32" s="30"/>
      <c r="AHL32" s="30"/>
      <c r="AHM32" s="30"/>
      <c r="AHN32" s="30"/>
      <c r="AHO32" s="30"/>
      <c r="AHP32" s="30"/>
      <c r="AHQ32" s="30"/>
      <c r="AHR32" s="30"/>
      <c r="AHS32" s="30"/>
      <c r="AHT32" s="30"/>
      <c r="AHU32" s="30"/>
      <c r="AHV32" s="30"/>
      <c r="AHW32" s="30"/>
      <c r="AHX32" s="30"/>
      <c r="AHY32" s="30"/>
      <c r="AHZ32" s="30"/>
      <c r="AIA32" s="30"/>
      <c r="AIB32" s="30"/>
      <c r="AIC32" s="30"/>
      <c r="AID32" s="30"/>
      <c r="AIE32" s="30"/>
      <c r="AIF32" s="30"/>
      <c r="AIG32" s="30"/>
      <c r="AIH32" s="30"/>
      <c r="AII32" s="30"/>
      <c r="AIJ32" s="30"/>
      <c r="AIK32" s="30"/>
      <c r="AIL32" s="30"/>
      <c r="AIM32" s="30"/>
      <c r="AIN32" s="30"/>
      <c r="AIO32" s="30"/>
      <c r="AIP32" s="30"/>
      <c r="AIQ32" s="30"/>
      <c r="AIR32" s="30"/>
      <c r="AIS32" s="30"/>
      <c r="AIT32" s="30"/>
      <c r="AIU32" s="30"/>
      <c r="AIV32" s="30"/>
      <c r="AIW32" s="30"/>
      <c r="AIX32" s="30"/>
      <c r="AIY32" s="30"/>
      <c r="AIZ32" s="30"/>
      <c r="AJA32" s="30"/>
      <c r="AJB32" s="30"/>
      <c r="AJC32" s="30"/>
      <c r="AJD32" s="30"/>
      <c r="AJE32" s="30"/>
      <c r="AJF32" s="30"/>
      <c r="AJG32" s="30"/>
      <c r="AJH32" s="30"/>
      <c r="AJI32" s="30"/>
      <c r="AJJ32" s="30"/>
      <c r="AJK32" s="30"/>
      <c r="AJL32" s="30"/>
      <c r="AJM32" s="30"/>
      <c r="AJN32" s="30"/>
      <c r="AJO32" s="30"/>
      <c r="AJP32" s="30"/>
      <c r="AJQ32" s="30"/>
      <c r="AJR32" s="30"/>
      <c r="AJS32" s="30"/>
      <c r="AJT32" s="30"/>
      <c r="AJU32" s="30"/>
      <c r="AJV32" s="30"/>
      <c r="AJW32" s="30"/>
      <c r="AJX32" s="30"/>
      <c r="AJY32" s="30"/>
      <c r="AJZ32" s="30"/>
      <c r="AKA32" s="30"/>
      <c r="AKB32" s="30"/>
      <c r="AKC32" s="30"/>
      <c r="AKD32" s="30"/>
      <c r="AKE32" s="30"/>
      <c r="AKF32" s="30"/>
      <c r="AKG32" s="30"/>
      <c r="AKH32" s="30"/>
      <c r="AKI32" s="30"/>
      <c r="AKJ32" s="30"/>
      <c r="AKK32" s="30"/>
      <c r="AKL32" s="30"/>
      <c r="AKM32" s="30"/>
      <c r="AKN32" s="30"/>
      <c r="AKO32" s="30"/>
      <c r="AKP32" s="30"/>
      <c r="AKQ32" s="30"/>
      <c r="AKR32" s="30"/>
      <c r="AKS32" s="30"/>
      <c r="AKT32" s="30"/>
      <c r="AKU32" s="30"/>
      <c r="AKV32" s="30"/>
      <c r="AKW32" s="30"/>
      <c r="AKX32" s="30"/>
      <c r="AKY32" s="30"/>
      <c r="AKZ32" s="30"/>
      <c r="ALA32" s="30"/>
      <c r="ALB32" s="30"/>
      <c r="ALC32" s="30"/>
      <c r="ALD32" s="30"/>
      <c r="ALE32" s="30"/>
      <c r="ALF32" s="30"/>
      <c r="ALG32" s="30"/>
      <c r="ALH32" s="30"/>
      <c r="ALI32" s="30"/>
      <c r="ALJ32" s="30"/>
      <c r="ALK32" s="30"/>
      <c r="ALL32" s="30"/>
      <c r="ALM32" s="30"/>
      <c r="ALN32" s="30"/>
      <c r="ALO32" s="30"/>
      <c r="ALP32" s="30"/>
      <c r="ALQ32" s="30"/>
      <c r="ALR32" s="30"/>
      <c r="ALS32" s="30"/>
      <c r="ALT32" s="30"/>
      <c r="ALU32" s="30"/>
      <c r="ALV32" s="30"/>
      <c r="ALW32" s="30"/>
      <c r="ALX32" s="30"/>
      <c r="ALY32" s="30"/>
      <c r="ALZ32" s="30"/>
      <c r="AMA32" s="30"/>
      <c r="AMB32" s="30"/>
      <c r="AMC32" s="30"/>
      <c r="AMD32" s="30"/>
      <c r="AME32" s="30"/>
      <c r="AMF32" s="30"/>
      <c r="AMG32" s="30"/>
      <c r="AMH32" s="30"/>
      <c r="AMI32" s="30"/>
      <c r="AMJ32" s="30"/>
      <c r="AMK32" s="30"/>
      <c r="AML32" s="30"/>
      <c r="AMM32" s="30"/>
      <c r="AMN32" s="30"/>
    </row>
    <row r="33" spans="1:94" s="3" customFormat="1" ht="13.5" customHeight="1" x14ac:dyDescent="0.2">
      <c r="A33" s="103">
        <v>25</v>
      </c>
      <c r="B33" s="80">
        <f t="shared" si="32"/>
        <v>0</v>
      </c>
      <c r="C33" s="80"/>
      <c r="D33" s="81">
        <f t="shared" si="0"/>
        <v>0</v>
      </c>
      <c r="E33" s="82">
        <f t="shared" si="56"/>
        <v>0</v>
      </c>
      <c r="F33" s="82"/>
      <c r="G33" s="82">
        <f t="shared" si="33"/>
        <v>0</v>
      </c>
      <c r="H33" s="84">
        <f t="shared" si="34"/>
        <v>0</v>
      </c>
      <c r="I33" s="84"/>
      <c r="J33" s="89">
        <f t="shared" si="1"/>
        <v>0</v>
      </c>
      <c r="K33" s="84">
        <f t="shared" si="57"/>
        <v>0</v>
      </c>
      <c r="L33" s="84"/>
      <c r="M33" s="89">
        <f t="shared" si="2"/>
        <v>0</v>
      </c>
      <c r="N33" s="84">
        <f t="shared" si="62"/>
        <v>0</v>
      </c>
      <c r="O33" s="84"/>
      <c r="P33" s="89">
        <f t="shared" si="3"/>
        <v>0</v>
      </c>
      <c r="Q33" s="84">
        <f t="shared" si="35"/>
        <v>0</v>
      </c>
      <c r="R33" s="84"/>
      <c r="S33" s="89">
        <f t="shared" si="4"/>
        <v>0</v>
      </c>
      <c r="T33" s="84">
        <f t="shared" si="63"/>
        <v>0</v>
      </c>
      <c r="U33" s="84"/>
      <c r="V33" s="89">
        <f t="shared" si="5"/>
        <v>0</v>
      </c>
      <c r="W33" s="84">
        <f t="shared" si="64"/>
        <v>0</v>
      </c>
      <c r="X33" s="84"/>
      <c r="Y33" s="89">
        <f t="shared" si="6"/>
        <v>0</v>
      </c>
      <c r="Z33" s="84">
        <f t="shared" si="65"/>
        <v>0</v>
      </c>
      <c r="AA33" s="84"/>
      <c r="AB33" s="89">
        <f t="shared" si="7"/>
        <v>0</v>
      </c>
      <c r="AC33" s="84">
        <f t="shared" si="8"/>
        <v>0</v>
      </c>
      <c r="AD33" s="84"/>
      <c r="AE33" s="89">
        <f t="shared" si="9"/>
        <v>0</v>
      </c>
      <c r="AF33" s="84">
        <f t="shared" si="10"/>
        <v>0</v>
      </c>
      <c r="AG33" s="84"/>
      <c r="AH33" s="89">
        <f t="shared" si="11"/>
        <v>0</v>
      </c>
      <c r="AI33" s="84">
        <f t="shared" si="12"/>
        <v>0</v>
      </c>
      <c r="AJ33" s="84"/>
      <c r="AK33" s="89">
        <f t="shared" si="13"/>
        <v>0</v>
      </c>
      <c r="AL33" s="84">
        <f t="shared" si="36"/>
        <v>0</v>
      </c>
      <c r="AM33" s="84"/>
      <c r="AN33" s="89">
        <f t="shared" si="14"/>
        <v>0</v>
      </c>
      <c r="AO33" s="84">
        <f t="shared" si="37"/>
        <v>0</v>
      </c>
      <c r="AP33" s="84"/>
      <c r="AQ33" s="89">
        <f t="shared" si="15"/>
        <v>0</v>
      </c>
      <c r="AR33" s="84">
        <f t="shared" si="38"/>
        <v>0</v>
      </c>
      <c r="AS33" s="84"/>
      <c r="AT33" s="89">
        <f t="shared" si="16"/>
        <v>0</v>
      </c>
      <c r="AU33" s="84">
        <f t="shared" si="39"/>
        <v>0</v>
      </c>
      <c r="AV33" s="84"/>
      <c r="AW33" s="89">
        <f t="shared" si="17"/>
        <v>0</v>
      </c>
      <c r="AX33" s="84">
        <f t="shared" si="40"/>
        <v>0</v>
      </c>
      <c r="AY33" s="84"/>
      <c r="AZ33" s="89">
        <f t="shared" si="18"/>
        <v>0</v>
      </c>
      <c r="BA33" s="84">
        <f t="shared" si="41"/>
        <v>0</v>
      </c>
      <c r="BB33" s="84"/>
      <c r="BC33" s="89">
        <f t="shared" si="19"/>
        <v>0</v>
      </c>
      <c r="BD33" s="89">
        <f t="shared" si="42"/>
        <v>0</v>
      </c>
      <c r="BE33" s="89"/>
      <c r="BF33" s="89">
        <f t="shared" si="43"/>
        <v>0</v>
      </c>
      <c r="BG33" s="84">
        <f t="shared" si="44"/>
        <v>0</v>
      </c>
      <c r="BH33" s="84"/>
      <c r="BI33" s="218">
        <f t="shared" si="20"/>
        <v>0</v>
      </c>
      <c r="BJ33" s="84">
        <f t="shared" si="45"/>
        <v>0</v>
      </c>
      <c r="BK33" s="84"/>
      <c r="BL33" s="89">
        <f t="shared" si="21"/>
        <v>0</v>
      </c>
      <c r="BM33" s="84">
        <f t="shared" si="46"/>
        <v>0</v>
      </c>
      <c r="BN33" s="84"/>
      <c r="BO33" s="89">
        <f t="shared" si="22"/>
        <v>0</v>
      </c>
      <c r="BP33" s="84">
        <f t="shared" si="47"/>
        <v>0</v>
      </c>
      <c r="BQ33" s="84"/>
      <c r="BR33" s="89">
        <f t="shared" si="23"/>
        <v>0</v>
      </c>
      <c r="BS33" s="84">
        <f t="shared" si="48"/>
        <v>0</v>
      </c>
      <c r="BT33" s="84"/>
      <c r="BU33" s="89">
        <f t="shared" si="24"/>
        <v>0</v>
      </c>
      <c r="BV33" s="84">
        <f t="shared" si="49"/>
        <v>0</v>
      </c>
      <c r="BW33" s="84"/>
      <c r="BX33" s="89">
        <f t="shared" si="25"/>
        <v>0</v>
      </c>
      <c r="BY33" s="84">
        <f t="shared" si="50"/>
        <v>0</v>
      </c>
      <c r="BZ33" s="84"/>
      <c r="CA33" s="89">
        <f t="shared" si="26"/>
        <v>0</v>
      </c>
      <c r="CB33" s="84">
        <f t="shared" si="51"/>
        <v>0</v>
      </c>
      <c r="CC33" s="84"/>
      <c r="CD33" s="89">
        <f t="shared" si="27"/>
        <v>0</v>
      </c>
      <c r="CE33" s="84">
        <f t="shared" si="52"/>
        <v>0</v>
      </c>
      <c r="CF33" s="84"/>
      <c r="CG33" s="89">
        <f t="shared" si="28"/>
        <v>0</v>
      </c>
      <c r="CH33" s="84">
        <f t="shared" si="53"/>
        <v>0</v>
      </c>
      <c r="CI33" s="84"/>
      <c r="CJ33" s="89">
        <f t="shared" si="29"/>
        <v>0</v>
      </c>
      <c r="CK33" s="84">
        <f t="shared" si="54"/>
        <v>0</v>
      </c>
      <c r="CL33" s="84"/>
      <c r="CM33" s="89">
        <f t="shared" si="30"/>
        <v>0</v>
      </c>
      <c r="CN33" s="84">
        <f t="shared" si="55"/>
        <v>0</v>
      </c>
      <c r="CO33" s="84"/>
      <c r="CP33" s="89">
        <f t="shared" si="31"/>
        <v>0</v>
      </c>
    </row>
    <row r="34" spans="1:94" s="3" customFormat="1" ht="13.5" customHeight="1" x14ac:dyDescent="0.2">
      <c r="A34" s="103">
        <v>26</v>
      </c>
      <c r="B34" s="80">
        <f t="shared" si="32"/>
        <v>0</v>
      </c>
      <c r="C34" s="80"/>
      <c r="D34" s="81">
        <f t="shared" si="0"/>
        <v>0</v>
      </c>
      <c r="E34" s="82">
        <f t="shared" si="56"/>
        <v>0</v>
      </c>
      <c r="F34" s="82"/>
      <c r="G34" s="82">
        <f t="shared" si="33"/>
        <v>0</v>
      </c>
      <c r="H34" s="84">
        <f t="shared" si="34"/>
        <v>0</v>
      </c>
      <c r="I34" s="84"/>
      <c r="J34" s="89">
        <f t="shared" si="1"/>
        <v>0</v>
      </c>
      <c r="K34" s="84">
        <f t="shared" si="57"/>
        <v>0</v>
      </c>
      <c r="L34" s="84"/>
      <c r="M34" s="89">
        <f t="shared" si="2"/>
        <v>0</v>
      </c>
      <c r="N34" s="84">
        <f t="shared" si="62"/>
        <v>0</v>
      </c>
      <c r="O34" s="84"/>
      <c r="P34" s="89">
        <f t="shared" si="3"/>
        <v>0</v>
      </c>
      <c r="Q34" s="84">
        <f t="shared" si="35"/>
        <v>0</v>
      </c>
      <c r="R34" s="84"/>
      <c r="S34" s="89">
        <f t="shared" si="4"/>
        <v>0</v>
      </c>
      <c r="T34" s="84">
        <f t="shared" si="63"/>
        <v>0</v>
      </c>
      <c r="U34" s="84"/>
      <c r="V34" s="89">
        <f t="shared" si="5"/>
        <v>0</v>
      </c>
      <c r="W34" s="84">
        <f t="shared" si="64"/>
        <v>0</v>
      </c>
      <c r="X34" s="84"/>
      <c r="Y34" s="89">
        <f t="shared" si="6"/>
        <v>0</v>
      </c>
      <c r="Z34" s="84">
        <f t="shared" si="65"/>
        <v>0</v>
      </c>
      <c r="AA34" s="84"/>
      <c r="AB34" s="89">
        <f t="shared" si="7"/>
        <v>0</v>
      </c>
      <c r="AC34" s="84">
        <f t="shared" si="8"/>
        <v>0</v>
      </c>
      <c r="AD34" s="84"/>
      <c r="AE34" s="89">
        <f t="shared" si="9"/>
        <v>0</v>
      </c>
      <c r="AF34" s="84">
        <f t="shared" si="10"/>
        <v>0</v>
      </c>
      <c r="AG34" s="84"/>
      <c r="AH34" s="89">
        <f t="shared" si="11"/>
        <v>0</v>
      </c>
      <c r="AI34" s="84">
        <f t="shared" si="12"/>
        <v>0</v>
      </c>
      <c r="AJ34" s="84"/>
      <c r="AK34" s="89">
        <f t="shared" si="13"/>
        <v>0</v>
      </c>
      <c r="AL34" s="84">
        <f t="shared" si="36"/>
        <v>0</v>
      </c>
      <c r="AM34" s="84"/>
      <c r="AN34" s="89">
        <f t="shared" si="14"/>
        <v>0</v>
      </c>
      <c r="AO34" s="84">
        <f t="shared" si="37"/>
        <v>0</v>
      </c>
      <c r="AP34" s="84"/>
      <c r="AQ34" s="89">
        <f t="shared" si="15"/>
        <v>0</v>
      </c>
      <c r="AR34" s="84">
        <f t="shared" si="38"/>
        <v>0</v>
      </c>
      <c r="AS34" s="84"/>
      <c r="AT34" s="89">
        <f t="shared" si="16"/>
        <v>0</v>
      </c>
      <c r="AU34" s="84">
        <f t="shared" si="39"/>
        <v>0</v>
      </c>
      <c r="AV34" s="84"/>
      <c r="AW34" s="89">
        <f t="shared" si="17"/>
        <v>0</v>
      </c>
      <c r="AX34" s="84">
        <f t="shared" si="40"/>
        <v>0</v>
      </c>
      <c r="AY34" s="84"/>
      <c r="AZ34" s="89">
        <f t="shared" si="18"/>
        <v>0</v>
      </c>
      <c r="BA34" s="84">
        <f t="shared" si="41"/>
        <v>0</v>
      </c>
      <c r="BB34" s="84"/>
      <c r="BC34" s="89">
        <f t="shared" si="19"/>
        <v>0</v>
      </c>
      <c r="BD34" s="89">
        <f t="shared" si="42"/>
        <v>0</v>
      </c>
      <c r="BE34" s="89"/>
      <c r="BF34" s="89">
        <f t="shared" si="43"/>
        <v>0</v>
      </c>
      <c r="BG34" s="84">
        <f t="shared" si="44"/>
        <v>0</v>
      </c>
      <c r="BH34" s="84"/>
      <c r="BI34" s="218">
        <f t="shared" si="20"/>
        <v>0</v>
      </c>
      <c r="BJ34" s="84">
        <f t="shared" si="45"/>
        <v>0</v>
      </c>
      <c r="BK34" s="84"/>
      <c r="BL34" s="89">
        <f t="shared" si="21"/>
        <v>0</v>
      </c>
      <c r="BM34" s="84">
        <f t="shared" si="46"/>
        <v>0</v>
      </c>
      <c r="BN34" s="84"/>
      <c r="BO34" s="89">
        <f t="shared" si="22"/>
        <v>0</v>
      </c>
      <c r="BP34" s="84">
        <f t="shared" si="47"/>
        <v>0</v>
      </c>
      <c r="BQ34" s="84"/>
      <c r="BR34" s="89">
        <f t="shared" si="23"/>
        <v>0</v>
      </c>
      <c r="BS34" s="84">
        <f t="shared" si="48"/>
        <v>0</v>
      </c>
      <c r="BT34" s="84"/>
      <c r="BU34" s="89">
        <f t="shared" si="24"/>
        <v>0</v>
      </c>
      <c r="BV34" s="84">
        <f t="shared" si="49"/>
        <v>0</v>
      </c>
      <c r="BW34" s="84"/>
      <c r="BX34" s="89">
        <f t="shared" si="25"/>
        <v>0</v>
      </c>
      <c r="BY34" s="84">
        <f t="shared" si="50"/>
        <v>0</v>
      </c>
      <c r="BZ34" s="84"/>
      <c r="CA34" s="89">
        <f t="shared" si="26"/>
        <v>0</v>
      </c>
      <c r="CB34" s="84">
        <f t="shared" si="51"/>
        <v>0</v>
      </c>
      <c r="CC34" s="84"/>
      <c r="CD34" s="89">
        <f t="shared" si="27"/>
        <v>0</v>
      </c>
      <c r="CE34" s="84">
        <f t="shared" si="52"/>
        <v>0</v>
      </c>
      <c r="CF34" s="84"/>
      <c r="CG34" s="89">
        <f t="shared" si="28"/>
        <v>0</v>
      </c>
      <c r="CH34" s="84">
        <f t="shared" si="53"/>
        <v>0</v>
      </c>
      <c r="CI34" s="84"/>
      <c r="CJ34" s="89">
        <f t="shared" si="29"/>
        <v>0</v>
      </c>
      <c r="CK34" s="84">
        <f t="shared" si="54"/>
        <v>0</v>
      </c>
      <c r="CL34" s="84"/>
      <c r="CM34" s="89">
        <f t="shared" si="30"/>
        <v>0</v>
      </c>
      <c r="CN34" s="84">
        <f t="shared" si="55"/>
        <v>0</v>
      </c>
      <c r="CO34" s="84"/>
      <c r="CP34" s="89">
        <f t="shared" si="31"/>
        <v>0</v>
      </c>
    </row>
    <row r="35" spans="1:94" s="3" customFormat="1" ht="13.5" customHeight="1" x14ac:dyDescent="0.2">
      <c r="A35" s="103">
        <v>27</v>
      </c>
      <c r="B35" s="80">
        <f t="shared" si="32"/>
        <v>0</v>
      </c>
      <c r="C35" s="80"/>
      <c r="D35" s="81">
        <f t="shared" si="0"/>
        <v>0</v>
      </c>
      <c r="E35" s="82">
        <f t="shared" si="56"/>
        <v>0</v>
      </c>
      <c r="F35" s="82"/>
      <c r="G35" s="82">
        <f t="shared" si="33"/>
        <v>0</v>
      </c>
      <c r="H35" s="84">
        <f t="shared" si="34"/>
        <v>0</v>
      </c>
      <c r="I35" s="84"/>
      <c r="J35" s="89">
        <f t="shared" si="1"/>
        <v>0</v>
      </c>
      <c r="K35" s="84">
        <f t="shared" si="57"/>
        <v>0</v>
      </c>
      <c r="L35" s="84"/>
      <c r="M35" s="89">
        <f t="shared" si="2"/>
        <v>0</v>
      </c>
      <c r="N35" s="84">
        <f t="shared" si="62"/>
        <v>0</v>
      </c>
      <c r="O35" s="84"/>
      <c r="P35" s="89">
        <f t="shared" si="3"/>
        <v>0</v>
      </c>
      <c r="Q35" s="84">
        <f t="shared" si="35"/>
        <v>0</v>
      </c>
      <c r="R35" s="84"/>
      <c r="S35" s="89">
        <f t="shared" si="4"/>
        <v>0</v>
      </c>
      <c r="T35" s="84">
        <f t="shared" si="63"/>
        <v>0</v>
      </c>
      <c r="U35" s="84"/>
      <c r="V35" s="89">
        <f t="shared" si="5"/>
        <v>0</v>
      </c>
      <c r="W35" s="84">
        <f t="shared" si="64"/>
        <v>0</v>
      </c>
      <c r="X35" s="84"/>
      <c r="Y35" s="89">
        <f t="shared" si="6"/>
        <v>0</v>
      </c>
      <c r="Z35" s="84">
        <f t="shared" si="65"/>
        <v>0</v>
      </c>
      <c r="AA35" s="84"/>
      <c r="AB35" s="89">
        <f t="shared" si="7"/>
        <v>0</v>
      </c>
      <c r="AC35" s="84">
        <f t="shared" si="8"/>
        <v>0</v>
      </c>
      <c r="AD35" s="84"/>
      <c r="AE35" s="89">
        <f t="shared" si="9"/>
        <v>0</v>
      </c>
      <c r="AF35" s="84">
        <f t="shared" si="10"/>
        <v>0</v>
      </c>
      <c r="AG35" s="84"/>
      <c r="AH35" s="89">
        <f t="shared" si="11"/>
        <v>0</v>
      </c>
      <c r="AI35" s="84">
        <f t="shared" si="12"/>
        <v>0</v>
      </c>
      <c r="AJ35" s="84"/>
      <c r="AK35" s="89">
        <f t="shared" si="13"/>
        <v>0</v>
      </c>
      <c r="AL35" s="84">
        <f t="shared" si="36"/>
        <v>0</v>
      </c>
      <c r="AM35" s="84"/>
      <c r="AN35" s="89">
        <f t="shared" si="14"/>
        <v>0</v>
      </c>
      <c r="AO35" s="84">
        <f t="shared" si="37"/>
        <v>0</v>
      </c>
      <c r="AP35" s="84"/>
      <c r="AQ35" s="89">
        <f t="shared" si="15"/>
        <v>0</v>
      </c>
      <c r="AR35" s="84">
        <f t="shared" si="38"/>
        <v>0</v>
      </c>
      <c r="AS35" s="84"/>
      <c r="AT35" s="89">
        <f t="shared" si="16"/>
        <v>0</v>
      </c>
      <c r="AU35" s="84">
        <f t="shared" si="39"/>
        <v>0</v>
      </c>
      <c r="AV35" s="84"/>
      <c r="AW35" s="89">
        <f t="shared" si="17"/>
        <v>0</v>
      </c>
      <c r="AX35" s="84">
        <f t="shared" si="40"/>
        <v>0</v>
      </c>
      <c r="AY35" s="84"/>
      <c r="AZ35" s="89">
        <f t="shared" si="18"/>
        <v>0</v>
      </c>
      <c r="BA35" s="84">
        <f t="shared" si="41"/>
        <v>0</v>
      </c>
      <c r="BB35" s="84"/>
      <c r="BC35" s="89">
        <f t="shared" si="19"/>
        <v>0</v>
      </c>
      <c r="BD35" s="89">
        <f t="shared" si="42"/>
        <v>0</v>
      </c>
      <c r="BE35" s="89"/>
      <c r="BF35" s="89">
        <f t="shared" si="43"/>
        <v>0</v>
      </c>
      <c r="BG35" s="84">
        <f t="shared" si="44"/>
        <v>0</v>
      </c>
      <c r="BH35" s="84"/>
      <c r="BI35" s="218">
        <f t="shared" si="20"/>
        <v>0</v>
      </c>
      <c r="BJ35" s="84">
        <f t="shared" si="45"/>
        <v>0</v>
      </c>
      <c r="BK35" s="84"/>
      <c r="BL35" s="89">
        <f t="shared" si="21"/>
        <v>0</v>
      </c>
      <c r="BM35" s="84">
        <f t="shared" si="46"/>
        <v>0</v>
      </c>
      <c r="BN35" s="84"/>
      <c r="BO35" s="89">
        <f t="shared" si="22"/>
        <v>0</v>
      </c>
      <c r="BP35" s="84">
        <f t="shared" si="47"/>
        <v>0</v>
      </c>
      <c r="BQ35" s="84"/>
      <c r="BR35" s="89">
        <f t="shared" si="23"/>
        <v>0</v>
      </c>
      <c r="BS35" s="84">
        <f t="shared" si="48"/>
        <v>0</v>
      </c>
      <c r="BT35" s="84"/>
      <c r="BU35" s="89">
        <f t="shared" si="24"/>
        <v>0</v>
      </c>
      <c r="BV35" s="84">
        <f t="shared" si="49"/>
        <v>0</v>
      </c>
      <c r="BW35" s="84"/>
      <c r="BX35" s="89">
        <f t="shared" si="25"/>
        <v>0</v>
      </c>
      <c r="BY35" s="84">
        <f t="shared" si="50"/>
        <v>0</v>
      </c>
      <c r="BZ35" s="84"/>
      <c r="CA35" s="89">
        <f t="shared" si="26"/>
        <v>0</v>
      </c>
      <c r="CB35" s="84">
        <f t="shared" si="51"/>
        <v>0</v>
      </c>
      <c r="CC35" s="84"/>
      <c r="CD35" s="89">
        <f t="shared" si="27"/>
        <v>0</v>
      </c>
      <c r="CE35" s="84">
        <f t="shared" si="52"/>
        <v>0</v>
      </c>
      <c r="CF35" s="84"/>
      <c r="CG35" s="89">
        <f t="shared" si="28"/>
        <v>0</v>
      </c>
      <c r="CH35" s="84">
        <f t="shared" si="53"/>
        <v>0</v>
      </c>
      <c r="CI35" s="84"/>
      <c r="CJ35" s="89">
        <f t="shared" si="29"/>
        <v>0</v>
      </c>
      <c r="CK35" s="84">
        <f t="shared" si="54"/>
        <v>0</v>
      </c>
      <c r="CL35" s="84"/>
      <c r="CM35" s="89">
        <f t="shared" si="30"/>
        <v>0</v>
      </c>
      <c r="CN35" s="84">
        <f t="shared" si="55"/>
        <v>0</v>
      </c>
      <c r="CO35" s="84"/>
      <c r="CP35" s="89">
        <f t="shared" si="31"/>
        <v>0</v>
      </c>
    </row>
    <row r="36" spans="1:94" s="3" customFormat="1" ht="13.5" customHeight="1" x14ac:dyDescent="0.2">
      <c r="A36" s="103">
        <v>28</v>
      </c>
      <c r="B36" s="80">
        <f t="shared" si="32"/>
        <v>0</v>
      </c>
      <c r="C36" s="80"/>
      <c r="D36" s="81">
        <f t="shared" si="0"/>
        <v>0</v>
      </c>
      <c r="E36" s="82">
        <f t="shared" si="56"/>
        <v>0</v>
      </c>
      <c r="F36" s="82"/>
      <c r="G36" s="82">
        <f>F36-E36</f>
        <v>0</v>
      </c>
      <c r="H36" s="84">
        <f t="shared" si="34"/>
        <v>0</v>
      </c>
      <c r="I36" s="84"/>
      <c r="J36" s="89">
        <f>I36-H36</f>
        <v>0</v>
      </c>
      <c r="K36" s="84">
        <f t="shared" si="57"/>
        <v>0</v>
      </c>
      <c r="L36" s="84"/>
      <c r="M36" s="89">
        <f>L36-K36</f>
        <v>0</v>
      </c>
      <c r="N36" s="84">
        <f t="shared" si="62"/>
        <v>0</v>
      </c>
      <c r="O36" s="84"/>
      <c r="P36" s="89">
        <f>O36-N36</f>
        <v>0</v>
      </c>
      <c r="Q36" s="84">
        <f t="shared" si="35"/>
        <v>0</v>
      </c>
      <c r="R36" s="86"/>
      <c r="S36" s="89">
        <f>R36-Q36</f>
        <v>0</v>
      </c>
      <c r="T36" s="84">
        <f t="shared" si="63"/>
        <v>0</v>
      </c>
      <c r="U36" s="84"/>
      <c r="V36" s="89">
        <f>U36-T36</f>
        <v>0</v>
      </c>
      <c r="W36" s="84">
        <f t="shared" si="64"/>
        <v>0</v>
      </c>
      <c r="X36" s="84"/>
      <c r="Y36" s="89">
        <f>X36-W36</f>
        <v>0</v>
      </c>
      <c r="Z36" s="84">
        <f t="shared" si="65"/>
        <v>0</v>
      </c>
      <c r="AA36" s="84"/>
      <c r="AB36" s="89">
        <f>AA36-Z36</f>
        <v>0</v>
      </c>
      <c r="AC36" s="84">
        <f t="shared" si="8"/>
        <v>0</v>
      </c>
      <c r="AD36" s="84"/>
      <c r="AE36" s="89">
        <f t="shared" si="9"/>
        <v>0</v>
      </c>
      <c r="AF36" s="84">
        <f t="shared" si="10"/>
        <v>0</v>
      </c>
      <c r="AG36" s="84"/>
      <c r="AH36" s="89">
        <f t="shared" si="11"/>
        <v>0</v>
      </c>
      <c r="AI36" s="84">
        <f t="shared" si="12"/>
        <v>0</v>
      </c>
      <c r="AJ36" s="84"/>
      <c r="AK36" s="89">
        <f t="shared" si="13"/>
        <v>0</v>
      </c>
      <c r="AL36" s="84">
        <f t="shared" si="36"/>
        <v>0</v>
      </c>
      <c r="AM36" s="84"/>
      <c r="AN36" s="89">
        <f t="shared" si="14"/>
        <v>0</v>
      </c>
      <c r="AO36" s="84">
        <f t="shared" si="37"/>
        <v>0</v>
      </c>
      <c r="AP36" s="84"/>
      <c r="AQ36" s="89">
        <f t="shared" si="15"/>
        <v>0</v>
      </c>
      <c r="AR36" s="84">
        <f t="shared" si="38"/>
        <v>0</v>
      </c>
      <c r="AS36" s="84"/>
      <c r="AT36" s="89">
        <f t="shared" si="16"/>
        <v>0</v>
      </c>
      <c r="AU36" s="84">
        <f t="shared" si="39"/>
        <v>0</v>
      </c>
      <c r="AV36" s="84"/>
      <c r="AW36" s="89">
        <f t="shared" si="17"/>
        <v>0</v>
      </c>
      <c r="AX36" s="84">
        <f t="shared" si="40"/>
        <v>0</v>
      </c>
      <c r="AY36" s="84"/>
      <c r="AZ36" s="89">
        <f t="shared" si="18"/>
        <v>0</v>
      </c>
      <c r="BA36" s="84">
        <f t="shared" si="41"/>
        <v>0</v>
      </c>
      <c r="BB36" s="84"/>
      <c r="BC36" s="89">
        <f t="shared" si="19"/>
        <v>0</v>
      </c>
      <c r="BD36" s="89">
        <f t="shared" si="42"/>
        <v>0</v>
      </c>
      <c r="BE36" s="89"/>
      <c r="BF36" s="89">
        <f t="shared" si="43"/>
        <v>0</v>
      </c>
      <c r="BG36" s="84">
        <f t="shared" si="44"/>
        <v>0</v>
      </c>
      <c r="BH36" s="84"/>
      <c r="BI36" s="218">
        <f t="shared" si="20"/>
        <v>0</v>
      </c>
      <c r="BJ36" s="84">
        <f t="shared" si="45"/>
        <v>0</v>
      </c>
      <c r="BK36" s="84"/>
      <c r="BL36" s="89">
        <f t="shared" si="21"/>
        <v>0</v>
      </c>
      <c r="BM36" s="84">
        <f>BN35</f>
        <v>0</v>
      </c>
      <c r="BN36" s="84"/>
      <c r="BO36" s="89">
        <f t="shared" si="22"/>
        <v>0</v>
      </c>
      <c r="BP36" s="84">
        <f t="shared" si="47"/>
        <v>0</v>
      </c>
      <c r="BQ36" s="84"/>
      <c r="BR36" s="89">
        <f t="shared" si="23"/>
        <v>0</v>
      </c>
      <c r="BS36" s="84">
        <f t="shared" si="48"/>
        <v>0</v>
      </c>
      <c r="BT36" s="84"/>
      <c r="BU36" s="89">
        <f t="shared" si="24"/>
        <v>0</v>
      </c>
      <c r="BV36" s="84">
        <f t="shared" si="49"/>
        <v>0</v>
      </c>
      <c r="BW36" s="84"/>
      <c r="BX36" s="89">
        <f t="shared" si="25"/>
        <v>0</v>
      </c>
      <c r="BY36" s="84">
        <f t="shared" si="50"/>
        <v>0</v>
      </c>
      <c r="BZ36" s="84"/>
      <c r="CA36" s="89">
        <f t="shared" si="26"/>
        <v>0</v>
      </c>
      <c r="CB36" s="84">
        <f t="shared" si="51"/>
        <v>0</v>
      </c>
      <c r="CC36" s="84"/>
      <c r="CD36" s="89">
        <f t="shared" si="27"/>
        <v>0</v>
      </c>
      <c r="CE36" s="84">
        <f t="shared" si="52"/>
        <v>0</v>
      </c>
      <c r="CF36" s="84"/>
      <c r="CG36" s="89">
        <f t="shared" si="28"/>
        <v>0</v>
      </c>
      <c r="CH36" s="84">
        <f t="shared" si="53"/>
        <v>0</v>
      </c>
      <c r="CI36" s="84"/>
      <c r="CJ36" s="89">
        <f t="shared" si="29"/>
        <v>0</v>
      </c>
      <c r="CK36" s="84">
        <f t="shared" si="54"/>
        <v>0</v>
      </c>
      <c r="CL36" s="84"/>
      <c r="CM36" s="89">
        <f t="shared" si="30"/>
        <v>0</v>
      </c>
      <c r="CN36" s="84">
        <f t="shared" si="55"/>
        <v>0</v>
      </c>
      <c r="CO36" s="84"/>
      <c r="CP36" s="89">
        <f t="shared" si="31"/>
        <v>0</v>
      </c>
    </row>
    <row r="37" spans="1:94" s="3" customFormat="1" ht="13.5" customHeight="1" x14ac:dyDescent="0.2">
      <c r="A37" s="103">
        <v>29</v>
      </c>
      <c r="B37" s="80">
        <f t="shared" si="32"/>
        <v>0</v>
      </c>
      <c r="C37" s="104"/>
      <c r="D37" s="81">
        <f t="shared" si="0"/>
        <v>0</v>
      </c>
      <c r="E37" s="82">
        <f>F36</f>
        <v>0</v>
      </c>
      <c r="F37" s="82"/>
      <c r="G37" s="82">
        <f>F37-E37</f>
        <v>0</v>
      </c>
      <c r="H37" s="84">
        <f t="shared" si="34"/>
        <v>0</v>
      </c>
      <c r="I37" s="84"/>
      <c r="J37" s="89">
        <f t="shared" si="1"/>
        <v>0</v>
      </c>
      <c r="K37" s="84">
        <f t="shared" si="57"/>
        <v>0</v>
      </c>
      <c r="L37" s="84"/>
      <c r="M37" s="89">
        <f t="shared" ref="M37:M39" si="66">L37-K37</f>
        <v>0</v>
      </c>
      <c r="N37" s="84">
        <f t="shared" si="62"/>
        <v>0</v>
      </c>
      <c r="O37" s="84"/>
      <c r="P37" s="89">
        <f t="shared" ref="P37:P39" si="67">O37-N37</f>
        <v>0</v>
      </c>
      <c r="Q37" s="84">
        <f t="shared" si="35"/>
        <v>0</v>
      </c>
      <c r="R37" s="89"/>
      <c r="S37" s="89">
        <f t="shared" ref="S37:S39" si="68">R37-Q37</f>
        <v>0</v>
      </c>
      <c r="T37" s="84">
        <f t="shared" si="63"/>
        <v>0</v>
      </c>
      <c r="U37" s="84"/>
      <c r="V37" s="89">
        <f t="shared" ref="V37:V39" si="69">U37-T37</f>
        <v>0</v>
      </c>
      <c r="W37" s="84">
        <f t="shared" si="64"/>
        <v>0</v>
      </c>
      <c r="X37" s="84"/>
      <c r="Y37" s="89">
        <f t="shared" ref="Y37:Y39" si="70">X37-W37</f>
        <v>0</v>
      </c>
      <c r="Z37" s="84">
        <f t="shared" si="65"/>
        <v>0</v>
      </c>
      <c r="AA37" s="84"/>
      <c r="AB37" s="89">
        <f t="shared" ref="AB37:AB39" si="71">AA37-Z37</f>
        <v>0</v>
      </c>
      <c r="AC37" s="84">
        <f t="shared" si="8"/>
        <v>0</v>
      </c>
      <c r="AD37" s="84"/>
      <c r="AE37" s="89">
        <f t="shared" si="9"/>
        <v>0</v>
      </c>
      <c r="AF37" s="84">
        <f t="shared" si="10"/>
        <v>0</v>
      </c>
      <c r="AG37" s="84"/>
      <c r="AH37" s="89">
        <f t="shared" si="11"/>
        <v>0</v>
      </c>
      <c r="AI37" s="84">
        <f t="shared" si="12"/>
        <v>0</v>
      </c>
      <c r="AJ37" s="84"/>
      <c r="AK37" s="89">
        <f t="shared" si="13"/>
        <v>0</v>
      </c>
      <c r="AL37" s="84">
        <f t="shared" si="36"/>
        <v>0</v>
      </c>
      <c r="AM37" s="84"/>
      <c r="AN37" s="89">
        <f t="shared" si="14"/>
        <v>0</v>
      </c>
      <c r="AO37" s="84">
        <f t="shared" si="37"/>
        <v>0</v>
      </c>
      <c r="AP37" s="84"/>
      <c r="AQ37" s="89">
        <f t="shared" si="15"/>
        <v>0</v>
      </c>
      <c r="AR37" s="84">
        <f t="shared" si="38"/>
        <v>0</v>
      </c>
      <c r="AS37" s="84"/>
      <c r="AT37" s="89">
        <f t="shared" si="16"/>
        <v>0</v>
      </c>
      <c r="AU37" s="84">
        <f t="shared" si="39"/>
        <v>0</v>
      </c>
      <c r="AV37" s="84"/>
      <c r="AW37" s="89">
        <f t="shared" si="17"/>
        <v>0</v>
      </c>
      <c r="AX37" s="84">
        <f t="shared" si="40"/>
        <v>0</v>
      </c>
      <c r="AY37" s="84"/>
      <c r="AZ37" s="89">
        <f t="shared" si="18"/>
        <v>0</v>
      </c>
      <c r="BA37" s="84">
        <f t="shared" si="41"/>
        <v>0</v>
      </c>
      <c r="BB37" s="84"/>
      <c r="BC37" s="89">
        <f t="shared" si="19"/>
        <v>0</v>
      </c>
      <c r="BD37" s="89">
        <f t="shared" si="42"/>
        <v>0</v>
      </c>
      <c r="BE37" s="89"/>
      <c r="BF37" s="89">
        <f t="shared" si="43"/>
        <v>0</v>
      </c>
      <c r="BG37" s="84">
        <f t="shared" si="44"/>
        <v>0</v>
      </c>
      <c r="BH37" s="84"/>
      <c r="BI37" s="218">
        <f t="shared" si="20"/>
        <v>0</v>
      </c>
      <c r="BJ37" s="84">
        <f t="shared" si="45"/>
        <v>0</v>
      </c>
      <c r="BK37" s="84"/>
      <c r="BL37" s="89">
        <f t="shared" si="21"/>
        <v>0</v>
      </c>
      <c r="BM37" s="84">
        <f t="shared" ref="BM37:BM39" si="72">BN36</f>
        <v>0</v>
      </c>
      <c r="BN37" s="84"/>
      <c r="BO37" s="89">
        <f t="shared" si="22"/>
        <v>0</v>
      </c>
      <c r="BP37" s="84">
        <f t="shared" si="47"/>
        <v>0</v>
      </c>
      <c r="BQ37" s="84"/>
      <c r="BR37" s="89">
        <f t="shared" si="23"/>
        <v>0</v>
      </c>
      <c r="BS37" s="84">
        <f t="shared" si="48"/>
        <v>0</v>
      </c>
      <c r="BT37" s="84"/>
      <c r="BU37" s="89">
        <f t="shared" si="24"/>
        <v>0</v>
      </c>
      <c r="BV37" s="84">
        <f t="shared" si="49"/>
        <v>0</v>
      </c>
      <c r="BW37" s="84"/>
      <c r="BX37" s="89">
        <f t="shared" si="25"/>
        <v>0</v>
      </c>
      <c r="BY37" s="84">
        <f t="shared" si="50"/>
        <v>0</v>
      </c>
      <c r="BZ37" s="84"/>
      <c r="CA37" s="89">
        <f t="shared" si="26"/>
        <v>0</v>
      </c>
      <c r="CB37" s="84">
        <f t="shared" si="51"/>
        <v>0</v>
      </c>
      <c r="CC37" s="84"/>
      <c r="CD37" s="89">
        <f t="shared" si="27"/>
        <v>0</v>
      </c>
      <c r="CE37" s="84">
        <f t="shared" si="52"/>
        <v>0</v>
      </c>
      <c r="CF37" s="84"/>
      <c r="CG37" s="89">
        <f t="shared" si="28"/>
        <v>0</v>
      </c>
      <c r="CH37" s="84">
        <f t="shared" si="53"/>
        <v>0</v>
      </c>
      <c r="CI37" s="84"/>
      <c r="CJ37" s="89">
        <f t="shared" si="29"/>
        <v>0</v>
      </c>
      <c r="CK37" s="84">
        <f t="shared" si="54"/>
        <v>0</v>
      </c>
      <c r="CL37" s="84"/>
      <c r="CM37" s="89">
        <f t="shared" si="30"/>
        <v>0</v>
      </c>
      <c r="CN37" s="84">
        <f t="shared" si="55"/>
        <v>0</v>
      </c>
      <c r="CO37" s="84"/>
      <c r="CP37" s="89">
        <f t="shared" si="31"/>
        <v>0</v>
      </c>
    </row>
    <row r="38" spans="1:94" s="3" customFormat="1" ht="13.5" customHeight="1" x14ac:dyDescent="0.2">
      <c r="A38" s="103">
        <v>30</v>
      </c>
      <c r="B38" s="80">
        <f t="shared" si="32"/>
        <v>0</v>
      </c>
      <c r="C38" s="80"/>
      <c r="D38" s="81">
        <f t="shared" si="0"/>
        <v>0</v>
      </c>
      <c r="E38" s="82">
        <f t="shared" ref="E38:E39" si="73">F37</f>
        <v>0</v>
      </c>
      <c r="F38" s="178"/>
      <c r="G38" s="82">
        <f t="shared" ref="G38:G39" si="74">F38-E38</f>
        <v>0</v>
      </c>
      <c r="H38" s="84">
        <f t="shared" si="34"/>
        <v>0</v>
      </c>
      <c r="I38" s="84"/>
      <c r="J38" s="89">
        <f t="shared" si="1"/>
        <v>0</v>
      </c>
      <c r="K38" s="84">
        <f t="shared" si="57"/>
        <v>0</v>
      </c>
      <c r="L38" s="84"/>
      <c r="M38" s="89">
        <f t="shared" si="66"/>
        <v>0</v>
      </c>
      <c r="N38" s="84">
        <f t="shared" si="62"/>
        <v>0</v>
      </c>
      <c r="O38" s="84"/>
      <c r="P38" s="89">
        <f t="shared" si="67"/>
        <v>0</v>
      </c>
      <c r="Q38" s="84">
        <f t="shared" si="35"/>
        <v>0</v>
      </c>
      <c r="R38" s="89"/>
      <c r="S38" s="89">
        <f t="shared" si="68"/>
        <v>0</v>
      </c>
      <c r="T38" s="84">
        <f t="shared" si="63"/>
        <v>0</v>
      </c>
      <c r="U38" s="84"/>
      <c r="V38" s="89">
        <f t="shared" si="69"/>
        <v>0</v>
      </c>
      <c r="W38" s="84">
        <f t="shared" si="64"/>
        <v>0</v>
      </c>
      <c r="X38" s="84"/>
      <c r="Y38" s="89">
        <f t="shared" si="70"/>
        <v>0</v>
      </c>
      <c r="Z38" s="84">
        <f t="shared" si="65"/>
        <v>0</v>
      </c>
      <c r="AA38" s="84"/>
      <c r="AB38" s="89">
        <f t="shared" si="71"/>
        <v>0</v>
      </c>
      <c r="AC38" s="84">
        <f t="shared" si="8"/>
        <v>0</v>
      </c>
      <c r="AD38" s="84"/>
      <c r="AE38" s="89">
        <f t="shared" si="9"/>
        <v>0</v>
      </c>
      <c r="AF38" s="84">
        <f t="shared" si="10"/>
        <v>0</v>
      </c>
      <c r="AG38" s="84"/>
      <c r="AH38" s="89">
        <f t="shared" si="11"/>
        <v>0</v>
      </c>
      <c r="AI38" s="84">
        <f t="shared" si="12"/>
        <v>0</v>
      </c>
      <c r="AJ38" s="84"/>
      <c r="AK38" s="89">
        <f t="shared" si="13"/>
        <v>0</v>
      </c>
      <c r="AL38" s="84">
        <f t="shared" si="36"/>
        <v>0</v>
      </c>
      <c r="AM38" s="84"/>
      <c r="AN38" s="89">
        <f t="shared" si="14"/>
        <v>0</v>
      </c>
      <c r="AO38" s="84">
        <f t="shared" si="37"/>
        <v>0</v>
      </c>
      <c r="AP38" s="84"/>
      <c r="AQ38" s="89">
        <f t="shared" si="15"/>
        <v>0</v>
      </c>
      <c r="AR38" s="84">
        <f t="shared" si="38"/>
        <v>0</v>
      </c>
      <c r="AS38" s="84"/>
      <c r="AT38" s="89">
        <f t="shared" si="16"/>
        <v>0</v>
      </c>
      <c r="AU38" s="84">
        <f t="shared" si="39"/>
        <v>0</v>
      </c>
      <c r="AV38" s="84"/>
      <c r="AW38" s="89">
        <f t="shared" si="17"/>
        <v>0</v>
      </c>
      <c r="AX38" s="84">
        <f t="shared" si="40"/>
        <v>0</v>
      </c>
      <c r="AY38" s="84"/>
      <c r="AZ38" s="89">
        <f t="shared" si="18"/>
        <v>0</v>
      </c>
      <c r="BA38" s="84">
        <f t="shared" si="41"/>
        <v>0</v>
      </c>
      <c r="BB38" s="84"/>
      <c r="BC38" s="89">
        <f t="shared" si="19"/>
        <v>0</v>
      </c>
      <c r="BD38" s="89">
        <f t="shared" si="42"/>
        <v>0</v>
      </c>
      <c r="BE38" s="89"/>
      <c r="BF38" s="89">
        <f t="shared" si="43"/>
        <v>0</v>
      </c>
      <c r="BG38" s="84">
        <f t="shared" si="44"/>
        <v>0</v>
      </c>
      <c r="BH38" s="84"/>
      <c r="BI38" s="218">
        <f t="shared" si="20"/>
        <v>0</v>
      </c>
      <c r="BJ38" s="84">
        <f t="shared" si="45"/>
        <v>0</v>
      </c>
      <c r="BK38" s="84"/>
      <c r="BL38" s="89">
        <f t="shared" si="21"/>
        <v>0</v>
      </c>
      <c r="BM38" s="84">
        <f t="shared" si="72"/>
        <v>0</v>
      </c>
      <c r="BN38" s="84"/>
      <c r="BO38" s="89">
        <f t="shared" si="22"/>
        <v>0</v>
      </c>
      <c r="BP38" s="84">
        <f t="shared" si="47"/>
        <v>0</v>
      </c>
      <c r="BQ38" s="84"/>
      <c r="BR38" s="89">
        <f t="shared" si="23"/>
        <v>0</v>
      </c>
      <c r="BS38" s="84">
        <f t="shared" si="48"/>
        <v>0</v>
      </c>
      <c r="BT38" s="84"/>
      <c r="BU38" s="89">
        <f t="shared" si="24"/>
        <v>0</v>
      </c>
      <c r="BV38" s="84">
        <f t="shared" si="49"/>
        <v>0</v>
      </c>
      <c r="BW38" s="84"/>
      <c r="BX38" s="89">
        <f t="shared" si="25"/>
        <v>0</v>
      </c>
      <c r="BY38" s="84">
        <f t="shared" si="50"/>
        <v>0</v>
      </c>
      <c r="BZ38" s="84"/>
      <c r="CA38" s="89">
        <f t="shared" si="26"/>
        <v>0</v>
      </c>
      <c r="CB38" s="84">
        <f t="shared" si="51"/>
        <v>0</v>
      </c>
      <c r="CC38" s="84"/>
      <c r="CD38" s="89">
        <f t="shared" si="27"/>
        <v>0</v>
      </c>
      <c r="CE38" s="84">
        <f t="shared" si="52"/>
        <v>0</v>
      </c>
      <c r="CF38" s="84"/>
      <c r="CG38" s="89">
        <f t="shared" si="28"/>
        <v>0</v>
      </c>
      <c r="CH38" s="84">
        <f t="shared" si="53"/>
        <v>0</v>
      </c>
      <c r="CI38" s="84"/>
      <c r="CJ38" s="89">
        <f t="shared" si="29"/>
        <v>0</v>
      </c>
      <c r="CK38" s="84">
        <f t="shared" si="54"/>
        <v>0</v>
      </c>
      <c r="CL38" s="84"/>
      <c r="CM38" s="89">
        <f t="shared" si="30"/>
        <v>0</v>
      </c>
      <c r="CN38" s="84">
        <f t="shared" si="55"/>
        <v>0</v>
      </c>
      <c r="CO38" s="84"/>
      <c r="CP38" s="89">
        <f t="shared" si="31"/>
        <v>0</v>
      </c>
    </row>
    <row r="39" spans="1:94" s="3" customFormat="1" ht="13.5" customHeight="1" x14ac:dyDescent="0.2">
      <c r="A39" s="103">
        <v>31</v>
      </c>
      <c r="B39" s="80">
        <f t="shared" si="32"/>
        <v>0</v>
      </c>
      <c r="C39" s="80"/>
      <c r="D39" s="81">
        <f t="shared" si="0"/>
        <v>0</v>
      </c>
      <c r="E39" s="82">
        <f t="shared" si="73"/>
        <v>0</v>
      </c>
      <c r="F39" s="178"/>
      <c r="G39" s="82">
        <f t="shared" si="74"/>
        <v>0</v>
      </c>
      <c r="H39" s="84">
        <f t="shared" si="34"/>
        <v>0</v>
      </c>
      <c r="I39" s="84"/>
      <c r="J39" s="89">
        <f t="shared" si="1"/>
        <v>0</v>
      </c>
      <c r="K39" s="84">
        <f t="shared" si="57"/>
        <v>0</v>
      </c>
      <c r="L39" s="84"/>
      <c r="M39" s="89">
        <f t="shared" si="66"/>
        <v>0</v>
      </c>
      <c r="N39" s="84">
        <f t="shared" si="62"/>
        <v>0</v>
      </c>
      <c r="O39" s="84"/>
      <c r="P39" s="89">
        <f t="shared" si="67"/>
        <v>0</v>
      </c>
      <c r="Q39" s="84">
        <f t="shared" si="35"/>
        <v>0</v>
      </c>
      <c r="R39" s="89"/>
      <c r="S39" s="89">
        <f t="shared" si="68"/>
        <v>0</v>
      </c>
      <c r="T39" s="84">
        <f t="shared" si="63"/>
        <v>0</v>
      </c>
      <c r="U39" s="84"/>
      <c r="V39" s="89">
        <f t="shared" si="69"/>
        <v>0</v>
      </c>
      <c r="W39" s="84">
        <f t="shared" si="64"/>
        <v>0</v>
      </c>
      <c r="X39" s="84"/>
      <c r="Y39" s="89">
        <f t="shared" si="70"/>
        <v>0</v>
      </c>
      <c r="Z39" s="84">
        <f t="shared" si="65"/>
        <v>0</v>
      </c>
      <c r="AA39" s="84"/>
      <c r="AB39" s="89">
        <f t="shared" si="71"/>
        <v>0</v>
      </c>
      <c r="AC39" s="84">
        <f t="shared" si="8"/>
        <v>0</v>
      </c>
      <c r="AD39" s="84"/>
      <c r="AE39" s="89">
        <f t="shared" si="9"/>
        <v>0</v>
      </c>
      <c r="AF39" s="84">
        <f t="shared" si="10"/>
        <v>0</v>
      </c>
      <c r="AG39" s="84"/>
      <c r="AH39" s="89">
        <f t="shared" si="11"/>
        <v>0</v>
      </c>
      <c r="AI39" s="84">
        <f t="shared" si="12"/>
        <v>0</v>
      </c>
      <c r="AJ39" s="84"/>
      <c r="AK39" s="89">
        <f t="shared" si="13"/>
        <v>0</v>
      </c>
      <c r="AL39" s="84">
        <f t="shared" si="36"/>
        <v>0</v>
      </c>
      <c r="AM39" s="84"/>
      <c r="AN39" s="89">
        <f t="shared" si="14"/>
        <v>0</v>
      </c>
      <c r="AO39" s="84">
        <f t="shared" si="37"/>
        <v>0</v>
      </c>
      <c r="AP39" s="84"/>
      <c r="AQ39" s="89">
        <f t="shared" si="15"/>
        <v>0</v>
      </c>
      <c r="AR39" s="84">
        <f t="shared" si="38"/>
        <v>0</v>
      </c>
      <c r="AS39" s="84"/>
      <c r="AT39" s="89">
        <f t="shared" si="16"/>
        <v>0</v>
      </c>
      <c r="AU39" s="84">
        <f t="shared" si="39"/>
        <v>0</v>
      </c>
      <c r="AV39" s="84"/>
      <c r="AW39" s="89">
        <f t="shared" si="17"/>
        <v>0</v>
      </c>
      <c r="AX39" s="84">
        <f t="shared" si="40"/>
        <v>0</v>
      </c>
      <c r="AY39" s="84"/>
      <c r="AZ39" s="89">
        <f t="shared" si="18"/>
        <v>0</v>
      </c>
      <c r="BA39" s="84">
        <f t="shared" si="41"/>
        <v>0</v>
      </c>
      <c r="BB39" s="84"/>
      <c r="BC39" s="89">
        <f t="shared" si="19"/>
        <v>0</v>
      </c>
      <c r="BD39" s="89">
        <f t="shared" si="42"/>
        <v>0</v>
      </c>
      <c r="BE39" s="89"/>
      <c r="BF39" s="89">
        <f t="shared" si="43"/>
        <v>0</v>
      </c>
      <c r="BG39" s="84">
        <f t="shared" si="44"/>
        <v>0</v>
      </c>
      <c r="BH39" s="84"/>
      <c r="BI39" s="218">
        <f t="shared" si="20"/>
        <v>0</v>
      </c>
      <c r="BJ39" s="84">
        <f t="shared" si="45"/>
        <v>0</v>
      </c>
      <c r="BK39" s="84"/>
      <c r="BL39" s="89">
        <f t="shared" si="21"/>
        <v>0</v>
      </c>
      <c r="BM39" s="84">
        <f t="shared" si="72"/>
        <v>0</v>
      </c>
      <c r="BN39" s="84"/>
      <c r="BO39" s="89"/>
      <c r="BP39" s="84">
        <f t="shared" si="47"/>
        <v>0</v>
      </c>
      <c r="BQ39" s="84"/>
      <c r="BR39" s="89">
        <f t="shared" si="23"/>
        <v>0</v>
      </c>
      <c r="BS39" s="84">
        <f t="shared" si="48"/>
        <v>0</v>
      </c>
      <c r="BT39" s="84"/>
      <c r="BU39" s="89">
        <f t="shared" si="24"/>
        <v>0</v>
      </c>
      <c r="BV39" s="84">
        <f t="shared" si="49"/>
        <v>0</v>
      </c>
      <c r="BW39" s="84"/>
      <c r="BX39" s="89">
        <f t="shared" si="25"/>
        <v>0</v>
      </c>
      <c r="BY39" s="84">
        <f t="shared" si="50"/>
        <v>0</v>
      </c>
      <c r="BZ39" s="84"/>
      <c r="CA39" s="89">
        <f t="shared" si="26"/>
        <v>0</v>
      </c>
      <c r="CB39" s="84">
        <f t="shared" si="51"/>
        <v>0</v>
      </c>
      <c r="CC39" s="84"/>
      <c r="CD39" s="89">
        <f t="shared" si="27"/>
        <v>0</v>
      </c>
      <c r="CE39" s="84">
        <f t="shared" si="52"/>
        <v>0</v>
      </c>
      <c r="CF39" s="84"/>
      <c r="CG39" s="89">
        <f t="shared" si="28"/>
        <v>0</v>
      </c>
      <c r="CH39" s="84">
        <f t="shared" si="53"/>
        <v>0</v>
      </c>
      <c r="CI39" s="84"/>
      <c r="CJ39" s="89">
        <f t="shared" si="29"/>
        <v>0</v>
      </c>
      <c r="CK39" s="84">
        <f t="shared" si="54"/>
        <v>0</v>
      </c>
      <c r="CL39" s="84"/>
      <c r="CM39" s="89">
        <f t="shared" si="30"/>
        <v>0</v>
      </c>
      <c r="CN39" s="84">
        <f t="shared" si="55"/>
        <v>0</v>
      </c>
      <c r="CO39" s="84"/>
      <c r="CP39" s="89">
        <f t="shared" si="31"/>
        <v>0</v>
      </c>
    </row>
    <row r="40" spans="1:94" s="3" customFormat="1" ht="13.5" thickBot="1" x14ac:dyDescent="0.25">
      <c r="A40" s="3" t="s">
        <v>7</v>
      </c>
      <c r="B40" s="101"/>
      <c r="C40" s="101"/>
      <c r="D40" s="102">
        <f>SUM(D9:D39)</f>
        <v>-25088084</v>
      </c>
      <c r="E40" s="102"/>
      <c r="F40" s="102"/>
      <c r="G40" s="102">
        <f>SUM(G9:G39)</f>
        <v>-21981188</v>
      </c>
      <c r="H40" s="102"/>
      <c r="I40" s="102"/>
      <c r="J40" s="102">
        <f>SUM(J9:J39)</f>
        <v>-83718230</v>
      </c>
      <c r="K40" s="102"/>
      <c r="L40" s="102"/>
      <c r="M40" s="102">
        <f>SUM(M9:M39)</f>
        <v>-1722220</v>
      </c>
      <c r="N40" s="102"/>
      <c r="O40" s="102"/>
      <c r="P40" s="102">
        <f>SUM(P9:P39)</f>
        <v>-2330923</v>
      </c>
      <c r="Q40" s="102"/>
      <c r="R40" s="102"/>
      <c r="S40" s="102">
        <f>SUM(S9:S39)</f>
        <v>-1403900</v>
      </c>
      <c r="T40" s="102"/>
      <c r="U40" s="102"/>
      <c r="V40" s="102">
        <f>SUM(V9:V39)</f>
        <v>-659727</v>
      </c>
      <c r="W40" s="102"/>
      <c r="X40" s="102"/>
      <c r="Y40" s="102">
        <f>SUM(Y9:Y39)</f>
        <v>-6827800</v>
      </c>
      <c r="Z40" s="102"/>
      <c r="AA40" s="102"/>
      <c r="AB40" s="102">
        <f>SUM(AB9:AB39)</f>
        <v>-1485900</v>
      </c>
      <c r="AC40" s="102"/>
      <c r="AD40" s="102"/>
      <c r="AE40" s="102">
        <f>SUM(AE9:AE39)</f>
        <v>-443008</v>
      </c>
      <c r="AF40" s="102"/>
      <c r="AG40" s="102"/>
      <c r="AH40" s="102">
        <f>SUM(AH9:AH39)</f>
        <v>-312460</v>
      </c>
      <c r="AI40" s="102"/>
      <c r="AJ40" s="102"/>
      <c r="AK40" s="102">
        <f>SUM(AK9:AK39)</f>
        <v>-522300</v>
      </c>
      <c r="AL40" s="102"/>
      <c r="AM40" s="102"/>
      <c r="AN40" s="102">
        <f>SUM(AN9:AN39)</f>
        <v>-971190</v>
      </c>
      <c r="AO40" s="102"/>
      <c r="AP40" s="102"/>
      <c r="AQ40" s="102">
        <f>SUM(AQ9:AQ39)</f>
        <v>-617560</v>
      </c>
      <c r="AR40" s="102"/>
      <c r="AS40" s="102"/>
      <c r="AT40" s="102">
        <f>SUM(AT9:AT39)</f>
        <v>-455500</v>
      </c>
      <c r="AU40" s="102"/>
      <c r="AV40" s="102"/>
      <c r="AW40" s="102">
        <f>SUM(AW9:AW39)</f>
        <v>-398160</v>
      </c>
      <c r="AX40" s="102"/>
      <c r="AY40" s="102"/>
      <c r="AZ40" s="102">
        <f>SUM(AZ9:AZ39)</f>
        <v>-313610</v>
      </c>
      <c r="BA40" s="102"/>
      <c r="BB40" s="102"/>
      <c r="BC40" s="102">
        <f>SUM(BC9:BC39)</f>
        <v>-838750</v>
      </c>
      <c r="BD40" s="102"/>
      <c r="BE40" s="102"/>
      <c r="BF40" s="102">
        <f>SUM(BF9:BF39)</f>
        <v>-16414</v>
      </c>
      <c r="BG40" s="102"/>
      <c r="BH40" s="102"/>
      <c r="BI40" s="219">
        <f>SUM(BI9:BI39)</f>
        <v>-13337</v>
      </c>
      <c r="BJ40" s="102"/>
      <c r="BK40" s="102"/>
      <c r="BL40" s="144">
        <f>SUM(BL9:BL39)</f>
        <v>-12664</v>
      </c>
      <c r="BM40" s="102"/>
      <c r="BN40" s="102"/>
      <c r="BO40" s="144">
        <f>SUM(BO9:BO39)</f>
        <v>-20408</v>
      </c>
      <c r="BP40" s="102"/>
      <c r="BQ40" s="102"/>
      <c r="BR40" s="144">
        <f>SUM(BR9:BR39)</f>
        <v>-13725</v>
      </c>
      <c r="BS40" s="102"/>
      <c r="BT40" s="102"/>
      <c r="BU40" s="144">
        <f>SUM(BU9:BU39)</f>
        <v>-15869</v>
      </c>
      <c r="BV40" s="102"/>
      <c r="BW40" s="102"/>
      <c r="BX40" s="144">
        <f>SUM(BX9:BX39)</f>
        <v>-10596</v>
      </c>
      <c r="BY40" s="102"/>
      <c r="BZ40" s="102"/>
      <c r="CA40" s="144">
        <f>SUM(CA9:CA39)</f>
        <v>-27031</v>
      </c>
      <c r="CB40" s="102"/>
      <c r="CC40" s="102"/>
      <c r="CD40" s="144">
        <f>SUM(CD9:CD39)</f>
        <v>-22769</v>
      </c>
      <c r="CE40" s="102"/>
      <c r="CF40" s="102"/>
      <c r="CG40" s="144">
        <f>SUM(CG9:CG39)</f>
        <v>-65938</v>
      </c>
      <c r="CH40" s="102"/>
      <c r="CI40" s="102"/>
      <c r="CJ40" s="144">
        <f>SUM(CJ9:CJ39)</f>
        <v>-33060</v>
      </c>
      <c r="CK40" s="102"/>
      <c r="CL40" s="102"/>
      <c r="CM40" s="144">
        <f>SUM(CM9:CM39)</f>
        <v>-10817</v>
      </c>
      <c r="CN40" s="102"/>
      <c r="CO40" s="102"/>
      <c r="CP40" s="144">
        <f>SUM(CP9:CP39)</f>
        <v>-38022</v>
      </c>
    </row>
    <row r="41" spans="1:94" ht="13.5" thickTop="1" x14ac:dyDescent="0.2"/>
  </sheetData>
  <mergeCells count="34">
    <mergeCell ref="CK7:CM7"/>
    <mergeCell ref="CN7:CP7"/>
    <mergeCell ref="BV7:BX7"/>
    <mergeCell ref="BY7:CA7"/>
    <mergeCell ref="CB7:CD7"/>
    <mergeCell ref="CE7:CG7"/>
    <mergeCell ref="CH7:CJ7"/>
    <mergeCell ref="BS7:BU7"/>
    <mergeCell ref="AR7:AT7"/>
    <mergeCell ref="BG7:BI7"/>
    <mergeCell ref="BJ7:BL7"/>
    <mergeCell ref="BM7:BO7"/>
    <mergeCell ref="BP7:BR7"/>
    <mergeCell ref="BD7:BF7"/>
    <mergeCell ref="AU7:AW7"/>
    <mergeCell ref="AX7:AZ7"/>
    <mergeCell ref="BA7:BC7"/>
    <mergeCell ref="AF7:AH7"/>
    <mergeCell ref="AI7:AK7"/>
    <mergeCell ref="AL7:AN7"/>
    <mergeCell ref="AO7:AQ7"/>
    <mergeCell ref="H7:J7"/>
    <mergeCell ref="AC7:AE7"/>
    <mergeCell ref="K7:M7"/>
    <mergeCell ref="N7:P7"/>
    <mergeCell ref="Q7:S7"/>
    <mergeCell ref="T7:V7"/>
    <mergeCell ref="W7:Y7"/>
    <mergeCell ref="Z7:AB7"/>
    <mergeCell ref="C1:D2"/>
    <mergeCell ref="C3:F5"/>
    <mergeCell ref="A5:B5"/>
    <mergeCell ref="B7:D7"/>
    <mergeCell ref="E7:G7"/>
  </mergeCells>
  <pageMargins left="0.7" right="0.7" top="0.75" bottom="0.75" header="0.3" footer="0.3"/>
  <pageSetup scale="74" orientation="landscape" r:id="rId1"/>
  <colBreaks count="1" manualBreakCount="1">
    <brk id="22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Views>
    <sheetView zoomScale="90" zoomScaleNormal="90" workbookViewId="0">
      <selection activeCell="D11" sqref="D11"/>
    </sheetView>
  </sheetViews>
  <sheetFormatPr defaultRowHeight="12.75" x14ac:dyDescent="0.2"/>
  <cols>
    <col min="1" max="1" width="7" style="158" customWidth="1"/>
    <col min="2" max="2" width="17.7109375" style="18" customWidth="1"/>
    <col min="3" max="3" width="15.7109375" style="18" customWidth="1"/>
    <col min="4" max="5" width="16.140625" style="18" customWidth="1"/>
    <col min="6" max="6" width="16.140625" style="257" customWidth="1"/>
    <col min="7" max="7" width="14.5703125" style="257" customWidth="1"/>
  </cols>
  <sheetData>
    <row r="1" spans="1:20" s="1" customFormat="1" x14ac:dyDescent="0.2">
      <c r="A1" s="286">
        <v>43831</v>
      </c>
      <c r="B1" s="286"/>
      <c r="C1" s="24"/>
      <c r="D1" s="159"/>
      <c r="E1" s="24"/>
      <c r="F1" s="256"/>
      <c r="G1" s="256"/>
    </row>
    <row r="2" spans="1:20" x14ac:dyDescent="0.2">
      <c r="A2" s="287" t="s">
        <v>36</v>
      </c>
      <c r="B2" s="287"/>
      <c r="C2" s="287"/>
      <c r="D2" s="287"/>
      <c r="E2" s="287"/>
      <c r="F2" s="287"/>
      <c r="G2" s="287"/>
    </row>
    <row r="3" spans="1:20" ht="11.25" customHeight="1" x14ac:dyDescent="0.2">
      <c r="A3" s="5"/>
      <c r="B3" s="62"/>
      <c r="C3" s="62"/>
      <c r="D3" s="63"/>
      <c r="E3" s="63"/>
      <c r="F3" s="256"/>
    </row>
    <row r="4" spans="1:20" ht="42" customHeight="1" x14ac:dyDescent="0.2">
      <c r="A4" s="160" t="s">
        <v>5</v>
      </c>
      <c r="B4" s="64" t="s">
        <v>37</v>
      </c>
      <c r="C4" s="64" t="s">
        <v>38</v>
      </c>
      <c r="D4" s="64" t="s">
        <v>39</v>
      </c>
      <c r="E4" s="64" t="s">
        <v>40</v>
      </c>
      <c r="F4" s="258" t="s">
        <v>7</v>
      </c>
      <c r="G4" s="264" t="s">
        <v>41</v>
      </c>
    </row>
    <row r="5" spans="1:20" ht="42" customHeight="1" x14ac:dyDescent="0.2">
      <c r="A5" s="288">
        <v>44561</v>
      </c>
      <c r="B5" s="289"/>
      <c r="C5" s="289"/>
      <c r="D5" s="289"/>
      <c r="E5" s="289"/>
      <c r="F5" s="290"/>
      <c r="G5" s="259">
        <v>225</v>
      </c>
    </row>
    <row r="6" spans="1:20" ht="21.75" customHeight="1" x14ac:dyDescent="0.2">
      <c r="A6" s="91">
        <v>1</v>
      </c>
      <c r="B6" s="32"/>
      <c r="C6" s="32"/>
      <c r="D6" s="32">
        <v>5</v>
      </c>
      <c r="E6" s="176"/>
      <c r="F6" s="260">
        <f>SUM(B6:C6,D6:E6)</f>
        <v>5</v>
      </c>
      <c r="G6" s="261">
        <f>SUM(B6:E6)*45</f>
        <v>225</v>
      </c>
    </row>
    <row r="7" spans="1:20" ht="21.75" customHeight="1" x14ac:dyDescent="0.2">
      <c r="A7" s="91">
        <v>2</v>
      </c>
      <c r="B7" s="31"/>
      <c r="C7" s="31"/>
      <c r="D7" s="31">
        <v>2</v>
      </c>
      <c r="E7" s="176"/>
      <c r="F7" s="260">
        <f>SUM(B7:C7,D7:E7)</f>
        <v>2</v>
      </c>
      <c r="G7" s="261">
        <f>SUM(B7:E7)*45</f>
        <v>90</v>
      </c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</row>
    <row r="8" spans="1:20" ht="21.75" customHeight="1" x14ac:dyDescent="0.2">
      <c r="A8" s="91">
        <v>3</v>
      </c>
      <c r="B8" s="31"/>
      <c r="C8" s="31"/>
      <c r="D8" s="31">
        <v>4</v>
      </c>
      <c r="E8" s="176"/>
      <c r="F8" s="260">
        <f t="shared" ref="F8:F34" si="0">SUM(B8:C8,D8:E8)</f>
        <v>4</v>
      </c>
      <c r="G8" s="261">
        <f t="shared" ref="G8:G34" si="1">SUM(B8:E8)*45</f>
        <v>180</v>
      </c>
    </row>
    <row r="9" spans="1:20" ht="21.75" customHeight="1" x14ac:dyDescent="0.2">
      <c r="A9" s="91">
        <v>4</v>
      </c>
      <c r="B9" s="31"/>
      <c r="C9" s="32"/>
      <c r="D9" s="31">
        <v>6</v>
      </c>
      <c r="E9" s="176"/>
      <c r="F9" s="260">
        <f t="shared" si="0"/>
        <v>6</v>
      </c>
      <c r="G9" s="261">
        <f t="shared" si="1"/>
        <v>270</v>
      </c>
    </row>
    <row r="10" spans="1:20" ht="21.75" customHeight="1" x14ac:dyDescent="0.2">
      <c r="A10" s="91">
        <v>5</v>
      </c>
      <c r="B10" s="31"/>
      <c r="C10" s="31"/>
      <c r="D10" s="31"/>
      <c r="E10" s="176"/>
      <c r="F10" s="260">
        <f t="shared" si="0"/>
        <v>0</v>
      </c>
      <c r="G10" s="261">
        <f t="shared" si="1"/>
        <v>0</v>
      </c>
    </row>
    <row r="11" spans="1:20" ht="21.75" customHeight="1" x14ac:dyDescent="0.2">
      <c r="A11" s="91">
        <v>6</v>
      </c>
      <c r="B11" s="31"/>
      <c r="C11" s="31"/>
      <c r="D11" s="31"/>
      <c r="E11" s="176"/>
      <c r="F11" s="260">
        <f t="shared" si="0"/>
        <v>0</v>
      </c>
      <c r="G11" s="261">
        <f t="shared" si="1"/>
        <v>0</v>
      </c>
    </row>
    <row r="12" spans="1:20" ht="21.75" customHeight="1" x14ac:dyDescent="0.2">
      <c r="A12" s="91">
        <v>7</v>
      </c>
      <c r="B12" s="31"/>
      <c r="C12" s="32"/>
      <c r="D12" s="31"/>
      <c r="E12" s="176"/>
      <c r="F12" s="260">
        <f t="shared" si="0"/>
        <v>0</v>
      </c>
      <c r="G12" s="261">
        <f t="shared" si="1"/>
        <v>0</v>
      </c>
    </row>
    <row r="13" spans="1:20" ht="21.75" customHeight="1" x14ac:dyDescent="0.2">
      <c r="A13" s="91">
        <v>8</v>
      </c>
      <c r="B13" s="31"/>
      <c r="C13" s="31"/>
      <c r="D13" s="31"/>
      <c r="E13" s="176"/>
      <c r="F13" s="260">
        <f t="shared" si="0"/>
        <v>0</v>
      </c>
      <c r="G13" s="261">
        <f t="shared" si="1"/>
        <v>0</v>
      </c>
      <c r="H13" s="3"/>
    </row>
    <row r="14" spans="1:20" ht="21.75" customHeight="1" x14ac:dyDescent="0.2">
      <c r="A14" s="91">
        <v>9</v>
      </c>
      <c r="B14" s="31"/>
      <c r="C14" s="31"/>
      <c r="D14" s="31"/>
      <c r="E14" s="176"/>
      <c r="F14" s="260">
        <f t="shared" si="0"/>
        <v>0</v>
      </c>
      <c r="G14" s="261">
        <f t="shared" si="1"/>
        <v>0</v>
      </c>
    </row>
    <row r="15" spans="1:20" ht="21.75" customHeight="1" x14ac:dyDescent="0.2">
      <c r="A15" s="91">
        <v>10</v>
      </c>
      <c r="B15" s="32"/>
      <c r="C15" s="32"/>
      <c r="D15" s="32"/>
      <c r="E15" s="176"/>
      <c r="F15" s="260">
        <f t="shared" si="0"/>
        <v>0</v>
      </c>
      <c r="G15" s="261">
        <f t="shared" si="1"/>
        <v>0</v>
      </c>
    </row>
    <row r="16" spans="1:20" ht="21.75" customHeight="1" x14ac:dyDescent="0.2">
      <c r="A16" s="91">
        <v>11</v>
      </c>
      <c r="B16" s="31"/>
      <c r="C16" s="31"/>
      <c r="D16" s="31"/>
      <c r="E16" s="176"/>
      <c r="F16" s="260">
        <f t="shared" si="0"/>
        <v>0</v>
      </c>
      <c r="G16" s="261">
        <f t="shared" si="1"/>
        <v>0</v>
      </c>
    </row>
    <row r="17" spans="1:7" ht="21.75" customHeight="1" x14ac:dyDescent="0.2">
      <c r="A17" s="91">
        <v>12</v>
      </c>
      <c r="B17" s="31"/>
      <c r="C17" s="31"/>
      <c r="D17" s="31"/>
      <c r="E17" s="176"/>
      <c r="F17" s="260">
        <f t="shared" si="0"/>
        <v>0</v>
      </c>
      <c r="G17" s="261">
        <f t="shared" si="1"/>
        <v>0</v>
      </c>
    </row>
    <row r="18" spans="1:7" ht="21.75" customHeight="1" x14ac:dyDescent="0.2">
      <c r="A18" s="91">
        <v>13</v>
      </c>
      <c r="B18" s="31"/>
      <c r="C18" s="32"/>
      <c r="D18" s="31"/>
      <c r="E18" s="176"/>
      <c r="F18" s="260">
        <f t="shared" si="0"/>
        <v>0</v>
      </c>
      <c r="G18" s="261">
        <f t="shared" si="1"/>
        <v>0</v>
      </c>
    </row>
    <row r="19" spans="1:7" ht="21.75" customHeight="1" x14ac:dyDescent="0.2">
      <c r="A19" s="91">
        <v>14</v>
      </c>
      <c r="B19" s="31"/>
      <c r="C19" s="31"/>
      <c r="D19" s="31"/>
      <c r="E19" s="176"/>
      <c r="F19" s="260">
        <f t="shared" si="0"/>
        <v>0</v>
      </c>
      <c r="G19" s="261">
        <f t="shared" si="1"/>
        <v>0</v>
      </c>
    </row>
    <row r="20" spans="1:7" ht="21.75" customHeight="1" x14ac:dyDescent="0.2">
      <c r="A20" s="91">
        <v>15</v>
      </c>
      <c r="B20" s="31"/>
      <c r="C20" s="31"/>
      <c r="D20" s="31"/>
      <c r="E20" s="176"/>
      <c r="F20" s="260">
        <f t="shared" si="0"/>
        <v>0</v>
      </c>
      <c r="G20" s="261">
        <f t="shared" si="1"/>
        <v>0</v>
      </c>
    </row>
    <row r="21" spans="1:7" ht="21.75" customHeight="1" x14ac:dyDescent="0.2">
      <c r="A21" s="91">
        <v>16</v>
      </c>
      <c r="B21" s="31"/>
      <c r="C21" s="32"/>
      <c r="D21" s="31"/>
      <c r="E21" s="176"/>
      <c r="F21" s="260">
        <f t="shared" si="0"/>
        <v>0</v>
      </c>
      <c r="G21" s="261">
        <f t="shared" si="1"/>
        <v>0</v>
      </c>
    </row>
    <row r="22" spans="1:7" ht="21.75" customHeight="1" x14ac:dyDescent="0.2">
      <c r="A22" s="91">
        <v>17</v>
      </c>
      <c r="B22" s="31"/>
      <c r="C22" s="31"/>
      <c r="D22" s="31"/>
      <c r="E22" s="176"/>
      <c r="F22" s="260">
        <f t="shared" si="0"/>
        <v>0</v>
      </c>
      <c r="G22" s="261">
        <f t="shared" si="1"/>
        <v>0</v>
      </c>
    </row>
    <row r="23" spans="1:7" ht="21.75" customHeight="1" x14ac:dyDescent="0.2">
      <c r="A23" s="91">
        <v>18</v>
      </c>
      <c r="B23" s="31"/>
      <c r="C23" s="31"/>
      <c r="D23" s="31"/>
      <c r="E23" s="176"/>
      <c r="F23" s="260">
        <f t="shared" si="0"/>
        <v>0</v>
      </c>
      <c r="G23" s="261">
        <f t="shared" si="1"/>
        <v>0</v>
      </c>
    </row>
    <row r="24" spans="1:7" ht="21.75" customHeight="1" x14ac:dyDescent="0.2">
      <c r="A24" s="91">
        <v>19</v>
      </c>
      <c r="B24" s="31"/>
      <c r="C24" s="32"/>
      <c r="D24" s="31"/>
      <c r="E24" s="176"/>
      <c r="F24" s="260">
        <f t="shared" si="0"/>
        <v>0</v>
      </c>
      <c r="G24" s="261">
        <f t="shared" si="1"/>
        <v>0</v>
      </c>
    </row>
    <row r="25" spans="1:7" ht="21.75" customHeight="1" x14ac:dyDescent="0.2">
      <c r="A25" s="91">
        <v>20</v>
      </c>
      <c r="B25" s="31"/>
      <c r="C25" s="31"/>
      <c r="D25" s="31"/>
      <c r="E25" s="176"/>
      <c r="F25" s="260">
        <f t="shared" si="0"/>
        <v>0</v>
      </c>
      <c r="G25" s="261">
        <f t="shared" si="1"/>
        <v>0</v>
      </c>
    </row>
    <row r="26" spans="1:7" ht="21.75" customHeight="1" x14ac:dyDescent="0.2">
      <c r="A26" s="91">
        <v>21</v>
      </c>
      <c r="B26" s="31"/>
      <c r="C26" s="31"/>
      <c r="D26" s="31"/>
      <c r="E26" s="176"/>
      <c r="F26" s="260">
        <f t="shared" si="0"/>
        <v>0</v>
      </c>
      <c r="G26" s="261">
        <f t="shared" si="1"/>
        <v>0</v>
      </c>
    </row>
    <row r="27" spans="1:7" ht="21.75" customHeight="1" x14ac:dyDescent="0.2">
      <c r="A27" s="91">
        <v>22</v>
      </c>
      <c r="B27" s="31"/>
      <c r="C27" s="32"/>
      <c r="D27" s="31"/>
      <c r="E27" s="176"/>
      <c r="F27" s="260">
        <f t="shared" si="0"/>
        <v>0</v>
      </c>
      <c r="G27" s="261">
        <f t="shared" si="1"/>
        <v>0</v>
      </c>
    </row>
    <row r="28" spans="1:7" ht="21.75" customHeight="1" x14ac:dyDescent="0.2">
      <c r="A28" s="91">
        <v>23</v>
      </c>
      <c r="B28" s="31"/>
      <c r="C28" s="31"/>
      <c r="D28" s="31"/>
      <c r="E28" s="176"/>
      <c r="F28" s="260">
        <f t="shared" si="0"/>
        <v>0</v>
      </c>
      <c r="G28" s="261">
        <f t="shared" si="1"/>
        <v>0</v>
      </c>
    </row>
    <row r="29" spans="1:7" ht="21.75" customHeight="1" x14ac:dyDescent="0.2">
      <c r="A29" s="91">
        <v>24</v>
      </c>
      <c r="B29" s="31"/>
      <c r="C29" s="31"/>
      <c r="D29" s="31"/>
      <c r="E29" s="176"/>
      <c r="F29" s="260">
        <f t="shared" si="0"/>
        <v>0</v>
      </c>
      <c r="G29" s="261">
        <f t="shared" si="1"/>
        <v>0</v>
      </c>
    </row>
    <row r="30" spans="1:7" ht="21.75" customHeight="1" x14ac:dyDescent="0.2">
      <c r="A30" s="91">
        <v>25</v>
      </c>
      <c r="B30" s="31"/>
      <c r="C30" s="32"/>
      <c r="D30" s="31"/>
      <c r="E30" s="176"/>
      <c r="F30" s="260">
        <f t="shared" si="0"/>
        <v>0</v>
      </c>
      <c r="G30" s="261">
        <f t="shared" si="1"/>
        <v>0</v>
      </c>
    </row>
    <row r="31" spans="1:7" ht="21.75" customHeight="1" x14ac:dyDescent="0.2">
      <c r="A31" s="91">
        <v>26</v>
      </c>
      <c r="B31" s="31"/>
      <c r="C31" s="31"/>
      <c r="D31" s="31"/>
      <c r="E31" s="176"/>
      <c r="F31" s="260">
        <f t="shared" si="0"/>
        <v>0</v>
      </c>
      <c r="G31" s="261">
        <f t="shared" si="1"/>
        <v>0</v>
      </c>
    </row>
    <row r="32" spans="1:7" ht="21.75" customHeight="1" x14ac:dyDescent="0.2">
      <c r="A32" s="91">
        <v>27</v>
      </c>
      <c r="B32" s="31"/>
      <c r="C32" s="31"/>
      <c r="D32" s="31"/>
      <c r="E32" s="176"/>
      <c r="F32" s="260">
        <f t="shared" si="0"/>
        <v>0</v>
      </c>
      <c r="G32" s="261">
        <f t="shared" si="1"/>
        <v>0</v>
      </c>
    </row>
    <row r="33" spans="1:8" ht="21.75" customHeight="1" x14ac:dyDescent="0.2">
      <c r="A33" s="91">
        <v>28</v>
      </c>
      <c r="B33" s="31"/>
      <c r="C33" s="32"/>
      <c r="D33" s="31"/>
      <c r="E33" s="176"/>
      <c r="F33" s="260">
        <f t="shared" si="0"/>
        <v>0</v>
      </c>
      <c r="G33" s="261">
        <f t="shared" si="1"/>
        <v>0</v>
      </c>
    </row>
    <row r="34" spans="1:8" ht="21.75" customHeight="1" x14ac:dyDescent="0.2">
      <c r="A34" s="91">
        <v>29</v>
      </c>
      <c r="B34" s="31"/>
      <c r="C34" s="31"/>
      <c r="D34" s="31"/>
      <c r="E34" s="176"/>
      <c r="F34" s="260">
        <f t="shared" si="0"/>
        <v>0</v>
      </c>
      <c r="G34" s="261">
        <f t="shared" si="1"/>
        <v>0</v>
      </c>
    </row>
    <row r="35" spans="1:8" ht="21.75" customHeight="1" x14ac:dyDescent="0.2">
      <c r="A35" s="91">
        <v>30</v>
      </c>
      <c r="B35" s="31"/>
      <c r="C35" s="31"/>
      <c r="D35" s="31"/>
      <c r="E35" s="176"/>
      <c r="F35" s="260">
        <f t="shared" ref="F35:F36" si="2">SUM(B35:C35,D35:E35)</f>
        <v>0</v>
      </c>
      <c r="G35" s="261">
        <f t="shared" ref="G35:G36" si="3">SUM(B35:E35)*45</f>
        <v>0</v>
      </c>
    </row>
    <row r="36" spans="1:8" ht="21.75" customHeight="1" x14ac:dyDescent="0.2">
      <c r="A36" s="91">
        <v>31</v>
      </c>
      <c r="B36" s="31"/>
      <c r="C36" s="31"/>
      <c r="D36" s="31"/>
      <c r="E36" s="176"/>
      <c r="F36" s="260">
        <f t="shared" si="2"/>
        <v>0</v>
      </c>
      <c r="G36" s="261">
        <f t="shared" si="3"/>
        <v>0</v>
      </c>
    </row>
    <row r="37" spans="1:8" ht="13.5" thickBot="1" x14ac:dyDescent="0.25">
      <c r="A37" s="158" t="s">
        <v>7</v>
      </c>
      <c r="B37" s="18">
        <f>SUM(B6:B36)</f>
        <v>0</v>
      </c>
      <c r="D37" s="65"/>
      <c r="E37" s="66">
        <f>SUM(E6:E36)</f>
        <v>0</v>
      </c>
      <c r="F37" s="262"/>
      <c r="G37" s="263">
        <f>SUM(G6:G36)</f>
        <v>765</v>
      </c>
      <c r="H37">
        <f>G37/45</f>
        <v>17</v>
      </c>
    </row>
    <row r="38" spans="1:8" ht="13.5" thickTop="1" x14ac:dyDescent="0.2">
      <c r="H38">
        <f>H37*60</f>
        <v>1020</v>
      </c>
    </row>
  </sheetData>
  <mergeCells count="3">
    <mergeCell ref="A1:B1"/>
    <mergeCell ref="A2:G2"/>
    <mergeCell ref="A5:F5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4:J41"/>
  <sheetViews>
    <sheetView workbookViewId="0">
      <selection activeCell="B5" sqref="B5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8.7109375" style="18" customWidth="1"/>
    <col min="8" max="8" width="9.5703125" bestFit="1" customWidth="1"/>
    <col min="9" max="9" width="11.140625" bestFit="1" customWidth="1"/>
  </cols>
  <sheetData>
    <row r="4" spans="1:10" x14ac:dyDescent="0.2">
      <c r="B4" s="286">
        <v>44201</v>
      </c>
      <c r="C4" s="286"/>
      <c r="D4" s="10"/>
      <c r="E4" s="10"/>
      <c r="F4" s="166"/>
    </row>
    <row r="5" spans="1:10" ht="14.25" customHeight="1" x14ac:dyDescent="0.2">
      <c r="A5" s="6"/>
      <c r="B5" s="11"/>
      <c r="C5" s="11"/>
      <c r="D5" s="12"/>
      <c r="E5" s="10"/>
      <c r="F5" s="166"/>
    </row>
    <row r="7" spans="1:10" x14ac:dyDescent="0.2">
      <c r="A7" s="1" t="s">
        <v>8</v>
      </c>
    </row>
    <row r="8" spans="1:10" ht="24" customHeight="1" x14ac:dyDescent="0.2">
      <c r="A8" s="13" t="s">
        <v>67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4" t="s">
        <v>15</v>
      </c>
      <c r="I8" s="95" t="s">
        <v>66</v>
      </c>
    </row>
    <row r="9" spans="1:10" x14ac:dyDescent="0.2">
      <c r="A9" s="6">
        <v>1</v>
      </c>
      <c r="B9" s="7">
        <f>SUM('GENSET #1:GENSET #5'!D10)</f>
        <v>30450</v>
      </c>
      <c r="C9" s="7">
        <f>'Diesel consumption'!D5</f>
        <v>8440</v>
      </c>
      <c r="D9" s="2">
        <f>'SOLAR METER READING'!D9</f>
        <v>560</v>
      </c>
      <c r="E9" s="7">
        <f>'Gas-2'!G6</f>
        <v>225</v>
      </c>
      <c r="F9" s="167" t="e">
        <f>WATER!#REF!</f>
        <v>#REF!</v>
      </c>
      <c r="G9" s="169" t="e">
        <f>WATER!#REF!</f>
        <v>#REF!</v>
      </c>
      <c r="H9" s="15">
        <f>B9/C9</f>
        <v>3.6078199052132702</v>
      </c>
      <c r="I9" s="15">
        <f>SUM(B9,D9)</f>
        <v>31010</v>
      </c>
      <c r="J9" s="3"/>
    </row>
    <row r="10" spans="1:10" x14ac:dyDescent="0.2">
      <c r="A10" s="6">
        <v>2</v>
      </c>
      <c r="B10" s="7">
        <f>SUM('GENSET #1:GENSET #5'!D11)</f>
        <v>29767</v>
      </c>
      <c r="C10" s="7">
        <f>'Diesel consumption'!D6</f>
        <v>8080</v>
      </c>
      <c r="D10" s="2">
        <f>'SOLAR METER READING'!D10</f>
        <v>2728</v>
      </c>
      <c r="E10" s="7">
        <f>'Gas-2'!G7</f>
        <v>90</v>
      </c>
      <c r="F10" s="167">
        <f>WATER!V4</f>
        <v>0</v>
      </c>
      <c r="G10" s="169">
        <f>WATER!W4</f>
        <v>0</v>
      </c>
      <c r="H10" s="15">
        <f t="shared" ref="H10:H38" si="0">B10/C10</f>
        <v>3.6840346534653468</v>
      </c>
      <c r="I10" s="15">
        <f t="shared" ref="I10:I40" si="1">SUM(B10,D10)</f>
        <v>32495</v>
      </c>
    </row>
    <row r="11" spans="1:10" x14ac:dyDescent="0.2">
      <c r="A11" s="6">
        <v>3</v>
      </c>
      <c r="B11" s="7">
        <f>SUM('GENSET #1:GENSET #5'!D12)</f>
        <v>29515</v>
      </c>
      <c r="C11" s="7">
        <f>'Diesel consumption'!D7</f>
        <v>8230</v>
      </c>
      <c r="D11" s="2">
        <f>'SOLAR METER READING'!D11</f>
        <v>3002</v>
      </c>
      <c r="E11" s="7">
        <f>'Gas-2'!G8</f>
        <v>180</v>
      </c>
      <c r="F11" s="167" t="str">
        <f>WATER!V5</f>
        <v>Water</v>
      </c>
      <c r="G11" s="169" t="str">
        <f>WATER!W5</f>
        <v>Resort Occupancy %</v>
      </c>
      <c r="H11" s="15">
        <f t="shared" si="0"/>
        <v>3.5862697448359659</v>
      </c>
      <c r="I11" s="15">
        <f t="shared" si="1"/>
        <v>32517</v>
      </c>
    </row>
    <row r="12" spans="1:10" x14ac:dyDescent="0.2">
      <c r="A12" s="6">
        <v>4</v>
      </c>
      <c r="B12" s="7">
        <f>SUM('GENSET #1:GENSET #5'!D13)</f>
        <v>31514</v>
      </c>
      <c r="C12" s="7">
        <f>'Diesel consumption'!D8</f>
        <v>8820</v>
      </c>
      <c r="D12" s="2">
        <f>'SOLAR METER READING'!D12</f>
        <v>2218</v>
      </c>
      <c r="E12" s="7">
        <f>'Gas-2'!G9</f>
        <v>270</v>
      </c>
      <c r="F12" s="167">
        <f>WATER!V6</f>
        <v>415</v>
      </c>
      <c r="G12" s="169">
        <f>WATER!W6</f>
        <v>98.06</v>
      </c>
      <c r="H12" s="15">
        <f t="shared" si="0"/>
        <v>3.5730158730158732</v>
      </c>
      <c r="I12" s="15">
        <f t="shared" si="1"/>
        <v>33732</v>
      </c>
    </row>
    <row r="13" spans="1:10" x14ac:dyDescent="0.2">
      <c r="A13" s="6">
        <v>5</v>
      </c>
      <c r="B13" s="7">
        <f>SUM('GENSET #1:GENSET #5'!D14)</f>
        <v>-86185696</v>
      </c>
      <c r="C13" s="7">
        <f>'Diesel consumption'!D9</f>
        <v>-42911170</v>
      </c>
      <c r="D13" s="2">
        <f>'SOLAR METER READING'!D13</f>
        <v>-2256825</v>
      </c>
      <c r="E13" s="7">
        <f>'Gas-2'!G10</f>
        <v>0</v>
      </c>
      <c r="F13" s="167">
        <f>WATER!V7</f>
        <v>368</v>
      </c>
      <c r="G13" s="169">
        <f>WATER!W7</f>
        <v>0</v>
      </c>
      <c r="H13" s="15">
        <f t="shared" si="0"/>
        <v>2.0084676320874029</v>
      </c>
      <c r="I13" s="15">
        <f t="shared" si="1"/>
        <v>-88442521</v>
      </c>
    </row>
    <row r="14" spans="1:10" x14ac:dyDescent="0.2">
      <c r="A14" s="6">
        <v>6</v>
      </c>
      <c r="B14" s="7">
        <f>SUM('GENSET #1:GENSET #5'!D15)</f>
        <v>0</v>
      </c>
      <c r="C14" s="7">
        <f>'Diesel consumption'!D10</f>
        <v>0</v>
      </c>
      <c r="D14" s="2">
        <f>'SOLAR METER READING'!D14</f>
        <v>0</v>
      </c>
      <c r="E14" s="7">
        <f>'Gas-2'!G11</f>
        <v>0</v>
      </c>
      <c r="F14" s="167">
        <f>WATER!V8</f>
        <v>393</v>
      </c>
      <c r="G14" s="169">
        <f>WATER!W8</f>
        <v>0</v>
      </c>
      <c r="H14" s="15" t="e">
        <f t="shared" si="0"/>
        <v>#DIV/0!</v>
      </c>
      <c r="I14" s="15">
        <f t="shared" si="1"/>
        <v>0</v>
      </c>
    </row>
    <row r="15" spans="1:10" x14ac:dyDescent="0.2">
      <c r="A15" s="6">
        <v>7</v>
      </c>
      <c r="B15" s="7">
        <f>SUM('GENSET #1:GENSET #5'!D16)</f>
        <v>0</v>
      </c>
      <c r="C15" s="7">
        <f>'Diesel consumption'!D11</f>
        <v>0</v>
      </c>
      <c r="D15" s="2">
        <f>'SOLAR METER READING'!D15</f>
        <v>0</v>
      </c>
      <c r="E15" s="7">
        <f>'Gas-2'!G12</f>
        <v>0</v>
      </c>
      <c r="F15" s="167">
        <f>WATER!V9</f>
        <v>451</v>
      </c>
      <c r="G15" s="169">
        <f>WATER!W9</f>
        <v>0</v>
      </c>
      <c r="H15" s="15" t="e">
        <f t="shared" si="0"/>
        <v>#DIV/0!</v>
      </c>
      <c r="I15" s="15">
        <f t="shared" si="1"/>
        <v>0</v>
      </c>
    </row>
    <row r="16" spans="1:10" x14ac:dyDescent="0.2">
      <c r="A16" s="6">
        <v>8</v>
      </c>
      <c r="B16" s="7">
        <f>SUM('GENSET #1:GENSET #5'!D17)</f>
        <v>0</v>
      </c>
      <c r="C16" s="7">
        <f>'Diesel consumption'!D12</f>
        <v>0</v>
      </c>
      <c r="D16" s="2">
        <f>'SOLAR METER READING'!D16</f>
        <v>0</v>
      </c>
      <c r="E16" s="7">
        <f>'Gas-2'!G13</f>
        <v>0</v>
      </c>
      <c r="F16" s="167">
        <f>WATER!V10</f>
        <v>406</v>
      </c>
      <c r="G16" s="169">
        <f>WATER!W10</f>
        <v>0</v>
      </c>
      <c r="H16" s="15" t="e">
        <f t="shared" si="0"/>
        <v>#DIV/0!</v>
      </c>
      <c r="I16" s="15">
        <f t="shared" si="1"/>
        <v>0</v>
      </c>
    </row>
    <row r="17" spans="1:9" x14ac:dyDescent="0.2">
      <c r="A17" s="6">
        <v>9</v>
      </c>
      <c r="B17" s="7">
        <f>SUM('GENSET #1:GENSET #5'!D18)</f>
        <v>0</v>
      </c>
      <c r="C17" s="7">
        <f>'Diesel consumption'!D13</f>
        <v>0</v>
      </c>
      <c r="D17" s="2">
        <f>'SOLAR METER READING'!D17</f>
        <v>0</v>
      </c>
      <c r="E17" s="7">
        <f>'Gas-2'!G14</f>
        <v>0</v>
      </c>
      <c r="F17" s="167">
        <f>WATER!V11</f>
        <v>-903330</v>
      </c>
      <c r="G17" s="169">
        <f>WATER!W11</f>
        <v>0</v>
      </c>
      <c r="H17" s="15" t="e">
        <f t="shared" si="0"/>
        <v>#DIV/0!</v>
      </c>
      <c r="I17" s="15">
        <f t="shared" si="1"/>
        <v>0</v>
      </c>
    </row>
    <row r="18" spans="1:9" x14ac:dyDescent="0.2">
      <c r="A18" s="6">
        <v>10</v>
      </c>
      <c r="B18" s="7">
        <f>SUM('GENSET #1:GENSET #5'!D19)</f>
        <v>0</v>
      </c>
      <c r="C18" s="7">
        <f>'Diesel consumption'!D14</f>
        <v>0</v>
      </c>
      <c r="D18" s="2">
        <f>'SOLAR METER READING'!D18</f>
        <v>0</v>
      </c>
      <c r="E18" s="7">
        <f>'Gas-2'!G15</f>
        <v>0</v>
      </c>
      <c r="F18" s="167">
        <f>WATER!V12</f>
        <v>0</v>
      </c>
      <c r="G18" s="169">
        <f>WATER!W12</f>
        <v>0</v>
      </c>
      <c r="H18" s="15" t="e">
        <f t="shared" si="0"/>
        <v>#DIV/0!</v>
      </c>
      <c r="I18" s="15">
        <f t="shared" si="1"/>
        <v>0</v>
      </c>
    </row>
    <row r="19" spans="1:9" x14ac:dyDescent="0.2">
      <c r="A19" s="6">
        <v>11</v>
      </c>
      <c r="B19" s="7">
        <f>SUM('GENSET #1:GENSET #5'!D20)</f>
        <v>0</v>
      </c>
      <c r="C19" s="7">
        <f>'Diesel consumption'!D15</f>
        <v>0</v>
      </c>
      <c r="D19" s="2">
        <f>'SOLAR METER READING'!D19</f>
        <v>0</v>
      </c>
      <c r="E19" s="7">
        <f>'Gas-2'!G16</f>
        <v>0</v>
      </c>
      <c r="F19" s="167">
        <f>WATER!V13</f>
        <v>0</v>
      </c>
      <c r="G19" s="169">
        <f>WATER!W13</f>
        <v>0</v>
      </c>
      <c r="H19" s="15" t="e">
        <f t="shared" si="0"/>
        <v>#DIV/0!</v>
      </c>
      <c r="I19" s="15">
        <f t="shared" si="1"/>
        <v>0</v>
      </c>
    </row>
    <row r="20" spans="1:9" x14ac:dyDescent="0.2">
      <c r="A20" s="6">
        <v>12</v>
      </c>
      <c r="B20" s="7">
        <f>SUM('GENSET #1:GENSET #5'!D21)</f>
        <v>0</v>
      </c>
      <c r="C20" s="7">
        <f>'Diesel consumption'!D16</f>
        <v>0</v>
      </c>
      <c r="D20" s="2">
        <f>'SOLAR METER READING'!D20</f>
        <v>0</v>
      </c>
      <c r="E20" s="7">
        <f>'Gas-2'!G17</f>
        <v>0</v>
      </c>
      <c r="F20" s="167">
        <f>WATER!V14</f>
        <v>0</v>
      </c>
      <c r="G20" s="169">
        <f>WATER!W14</f>
        <v>0</v>
      </c>
      <c r="H20" s="15" t="e">
        <f t="shared" si="0"/>
        <v>#DIV/0!</v>
      </c>
      <c r="I20" s="15">
        <f t="shared" si="1"/>
        <v>0</v>
      </c>
    </row>
    <row r="21" spans="1:9" x14ac:dyDescent="0.2">
      <c r="A21" s="6">
        <v>13</v>
      </c>
      <c r="B21" s="7">
        <f>SUM('GENSET #1:GENSET #5'!D22)</f>
        <v>0</v>
      </c>
      <c r="C21" s="7">
        <f>'Diesel consumption'!D17</f>
        <v>0</v>
      </c>
      <c r="D21" s="2">
        <f>'SOLAR METER READING'!D21</f>
        <v>0</v>
      </c>
      <c r="E21" s="7">
        <f>'Gas-2'!G18</f>
        <v>0</v>
      </c>
      <c r="F21" s="167">
        <f>WATER!V15</f>
        <v>0</v>
      </c>
      <c r="G21" s="169">
        <f>WATER!W15</f>
        <v>0</v>
      </c>
      <c r="H21" s="15" t="e">
        <f t="shared" si="0"/>
        <v>#DIV/0!</v>
      </c>
      <c r="I21" s="15">
        <f t="shared" si="1"/>
        <v>0</v>
      </c>
    </row>
    <row r="22" spans="1:9" x14ac:dyDescent="0.2">
      <c r="A22" s="6">
        <v>14</v>
      </c>
      <c r="B22" s="7">
        <f>SUM('GENSET #1:GENSET #5'!D23)</f>
        <v>0</v>
      </c>
      <c r="C22" s="7">
        <f>'Diesel consumption'!D18</f>
        <v>0</v>
      </c>
      <c r="D22" s="2">
        <f>'SOLAR METER READING'!D22</f>
        <v>0</v>
      </c>
      <c r="E22" s="7">
        <f>'Gas-2'!G19</f>
        <v>0</v>
      </c>
      <c r="F22" s="167">
        <f>WATER!V16</f>
        <v>0</v>
      </c>
      <c r="G22" s="169">
        <f>WATER!W16</f>
        <v>0</v>
      </c>
      <c r="H22" s="15" t="e">
        <f t="shared" si="0"/>
        <v>#DIV/0!</v>
      </c>
      <c r="I22" s="15">
        <f t="shared" si="1"/>
        <v>0</v>
      </c>
    </row>
    <row r="23" spans="1:9" x14ac:dyDescent="0.2">
      <c r="A23" s="6">
        <v>15</v>
      </c>
      <c r="B23" s="7">
        <f>SUM('GENSET #1:GENSET #5'!D24)</f>
        <v>0</v>
      </c>
      <c r="C23" s="7">
        <f>'Diesel consumption'!D19</f>
        <v>0</v>
      </c>
      <c r="D23" s="2">
        <f>'SOLAR METER READING'!D23</f>
        <v>0</v>
      </c>
      <c r="E23" s="7">
        <f>'Gas-2'!G20</f>
        <v>0</v>
      </c>
      <c r="F23" s="167">
        <f>WATER!V17</f>
        <v>0</v>
      </c>
      <c r="G23" s="169">
        <f>WATER!W17</f>
        <v>0</v>
      </c>
      <c r="H23" s="15" t="e">
        <f t="shared" si="0"/>
        <v>#DIV/0!</v>
      </c>
      <c r="I23" s="15">
        <f t="shared" si="1"/>
        <v>0</v>
      </c>
    </row>
    <row r="24" spans="1:9" x14ac:dyDescent="0.2">
      <c r="A24" s="6">
        <v>16</v>
      </c>
      <c r="B24" s="7">
        <f>SUM('GENSET #1:GENSET #5'!D25)</f>
        <v>0</v>
      </c>
      <c r="C24" s="7">
        <f>'Diesel consumption'!D20</f>
        <v>0</v>
      </c>
      <c r="D24" s="2">
        <f>'SOLAR METER READING'!D24</f>
        <v>0</v>
      </c>
      <c r="E24" s="7">
        <f>'Gas-2'!G21</f>
        <v>0</v>
      </c>
      <c r="F24" s="167">
        <f>WATER!V18</f>
        <v>0</v>
      </c>
      <c r="G24" s="169">
        <f>WATER!W18</f>
        <v>0</v>
      </c>
      <c r="H24" s="15" t="e">
        <f t="shared" si="0"/>
        <v>#DIV/0!</v>
      </c>
      <c r="I24" s="15">
        <f t="shared" si="1"/>
        <v>0</v>
      </c>
    </row>
    <row r="25" spans="1:9" x14ac:dyDescent="0.2">
      <c r="A25" s="6">
        <v>17</v>
      </c>
      <c r="B25" s="7">
        <f>SUM('GENSET #1:GENSET #5'!D26)</f>
        <v>0</v>
      </c>
      <c r="C25" s="7">
        <f>'Diesel consumption'!D21</f>
        <v>0</v>
      </c>
      <c r="D25" s="2">
        <f>'SOLAR METER READING'!D25</f>
        <v>0</v>
      </c>
      <c r="E25" s="7">
        <f>'Gas-2'!G22</f>
        <v>0</v>
      </c>
      <c r="F25" s="167">
        <f>WATER!V19</f>
        <v>0</v>
      </c>
      <c r="G25" s="169">
        <f>WATER!W19</f>
        <v>0</v>
      </c>
      <c r="H25" s="15" t="e">
        <f t="shared" si="0"/>
        <v>#DIV/0!</v>
      </c>
      <c r="I25" s="15">
        <f t="shared" si="1"/>
        <v>0</v>
      </c>
    </row>
    <row r="26" spans="1:9" x14ac:dyDescent="0.2">
      <c r="A26" s="6">
        <v>18</v>
      </c>
      <c r="B26" s="7">
        <f>SUM('GENSET #1:GENSET #5'!D27)</f>
        <v>0</v>
      </c>
      <c r="C26" s="7">
        <f>'Diesel consumption'!D22</f>
        <v>0</v>
      </c>
      <c r="D26" s="2">
        <f>'SOLAR METER READING'!D26</f>
        <v>0</v>
      </c>
      <c r="E26" s="7">
        <f>'Gas-2'!G23</f>
        <v>0</v>
      </c>
      <c r="F26" s="167">
        <f>WATER!V20</f>
        <v>0</v>
      </c>
      <c r="G26" s="169">
        <f>WATER!W20</f>
        <v>0</v>
      </c>
      <c r="H26" s="15" t="e">
        <f t="shared" si="0"/>
        <v>#DIV/0!</v>
      </c>
      <c r="I26" s="15">
        <f t="shared" si="1"/>
        <v>0</v>
      </c>
    </row>
    <row r="27" spans="1:9" x14ac:dyDescent="0.2">
      <c r="A27" s="6">
        <v>19</v>
      </c>
      <c r="B27" s="7">
        <f>SUM('GENSET #1:GENSET #5'!D28)</f>
        <v>0</v>
      </c>
      <c r="C27" s="7">
        <f>'Diesel consumption'!D23</f>
        <v>0</v>
      </c>
      <c r="D27" s="2">
        <f>'SOLAR METER READING'!D27</f>
        <v>0</v>
      </c>
      <c r="E27" s="7">
        <f>'Gas-2'!G24</f>
        <v>0</v>
      </c>
      <c r="F27" s="167">
        <f>WATER!V21</f>
        <v>0</v>
      </c>
      <c r="G27" s="169">
        <f>WATER!W21</f>
        <v>0</v>
      </c>
      <c r="H27" s="15" t="e">
        <f t="shared" si="0"/>
        <v>#DIV/0!</v>
      </c>
      <c r="I27" s="15">
        <f t="shared" si="1"/>
        <v>0</v>
      </c>
    </row>
    <row r="28" spans="1:9" x14ac:dyDescent="0.2">
      <c r="A28" s="6">
        <v>20</v>
      </c>
      <c r="B28" s="7">
        <f>SUM('GENSET #1:GENSET #5'!D29)</f>
        <v>0</v>
      </c>
      <c r="C28" s="7">
        <f>'Diesel consumption'!D24</f>
        <v>0</v>
      </c>
      <c r="D28" s="2">
        <f>'SOLAR METER READING'!D28</f>
        <v>0</v>
      </c>
      <c r="E28" s="7">
        <f>'Gas-2'!G25</f>
        <v>0</v>
      </c>
      <c r="F28" s="167">
        <f>WATER!V22</f>
        <v>0</v>
      </c>
      <c r="G28" s="169">
        <f>WATER!W22</f>
        <v>0</v>
      </c>
      <c r="H28" s="15" t="e">
        <f t="shared" si="0"/>
        <v>#DIV/0!</v>
      </c>
      <c r="I28" s="15">
        <f t="shared" si="1"/>
        <v>0</v>
      </c>
    </row>
    <row r="29" spans="1:9" x14ac:dyDescent="0.2">
      <c r="A29" s="6">
        <v>21</v>
      </c>
      <c r="B29" s="7">
        <f>SUM('GENSET #1:GENSET #5'!D30)</f>
        <v>0</v>
      </c>
      <c r="C29" s="7">
        <f>'Diesel consumption'!D25</f>
        <v>0</v>
      </c>
      <c r="D29" s="2">
        <f>'SOLAR METER READING'!D29</f>
        <v>0</v>
      </c>
      <c r="E29" s="7">
        <f>'Gas-2'!G26</f>
        <v>0</v>
      </c>
      <c r="F29" s="167">
        <f>WATER!V23</f>
        <v>0</v>
      </c>
      <c r="G29" s="169">
        <f>WATER!W23</f>
        <v>0</v>
      </c>
      <c r="H29" s="15" t="e">
        <f t="shared" si="0"/>
        <v>#DIV/0!</v>
      </c>
      <c r="I29" s="15">
        <f t="shared" si="1"/>
        <v>0</v>
      </c>
    </row>
    <row r="30" spans="1:9" x14ac:dyDescent="0.2">
      <c r="A30" s="6">
        <v>22</v>
      </c>
      <c r="B30" s="7">
        <f>SUM('GENSET #1:GENSET #5'!D31)</f>
        <v>0</v>
      </c>
      <c r="C30" s="7">
        <f>'Diesel consumption'!D26</f>
        <v>0</v>
      </c>
      <c r="D30" s="2">
        <f>'SOLAR METER READING'!D30</f>
        <v>0</v>
      </c>
      <c r="E30" s="7">
        <f>'Gas-2'!G27</f>
        <v>0</v>
      </c>
      <c r="F30" s="167">
        <f>WATER!V24</f>
        <v>0</v>
      </c>
      <c r="G30" s="169">
        <f>WATER!W24</f>
        <v>0</v>
      </c>
      <c r="H30" s="15" t="e">
        <f t="shared" si="0"/>
        <v>#DIV/0!</v>
      </c>
      <c r="I30" s="15">
        <f t="shared" si="1"/>
        <v>0</v>
      </c>
    </row>
    <row r="31" spans="1:9" x14ac:dyDescent="0.2">
      <c r="A31" s="6">
        <v>23</v>
      </c>
      <c r="B31" s="7">
        <f>SUM('GENSET #1:GENSET #5'!D32)</f>
        <v>0</v>
      </c>
      <c r="C31" s="7">
        <f>'Diesel consumption'!D27</f>
        <v>0</v>
      </c>
      <c r="D31" s="2">
        <f>'SOLAR METER READING'!D31</f>
        <v>0</v>
      </c>
      <c r="E31" s="7">
        <f>'Gas-2'!G28</f>
        <v>0</v>
      </c>
      <c r="F31" s="167">
        <f>WATER!V25</f>
        <v>0</v>
      </c>
      <c r="G31" s="169">
        <f>WATER!W25</f>
        <v>0</v>
      </c>
      <c r="H31" s="15" t="e">
        <f t="shared" si="0"/>
        <v>#DIV/0!</v>
      </c>
      <c r="I31" s="15">
        <f t="shared" si="1"/>
        <v>0</v>
      </c>
    </row>
    <row r="32" spans="1:9" x14ac:dyDescent="0.2">
      <c r="A32" s="6">
        <v>24</v>
      </c>
      <c r="B32" s="7">
        <f>SUM('GENSET #1:GENSET #5'!D33)</f>
        <v>0</v>
      </c>
      <c r="C32" s="7">
        <f>'Diesel consumption'!D28</f>
        <v>0</v>
      </c>
      <c r="D32" s="2">
        <f>'SOLAR METER READING'!D32</f>
        <v>0</v>
      </c>
      <c r="E32" s="7">
        <f>'Gas-2'!G29</f>
        <v>0</v>
      </c>
      <c r="F32" s="167">
        <f>WATER!V26</f>
        <v>0</v>
      </c>
      <c r="G32" s="169">
        <f>WATER!W26</f>
        <v>0</v>
      </c>
      <c r="H32" s="15" t="e">
        <f t="shared" si="0"/>
        <v>#DIV/0!</v>
      </c>
      <c r="I32" s="15">
        <f t="shared" si="1"/>
        <v>0</v>
      </c>
    </row>
    <row r="33" spans="1:9" x14ac:dyDescent="0.2">
      <c r="A33" s="6">
        <v>25</v>
      </c>
      <c r="B33" s="7">
        <f>SUM('GENSET #1:GENSET #5'!D34)</f>
        <v>0</v>
      </c>
      <c r="C33" s="7">
        <f>'Diesel consumption'!D29</f>
        <v>0</v>
      </c>
      <c r="D33" s="2">
        <f>'SOLAR METER READING'!D33</f>
        <v>0</v>
      </c>
      <c r="E33" s="7">
        <f>'Gas-2'!G30</f>
        <v>0</v>
      </c>
      <c r="F33" s="167">
        <f>WATER!V27</f>
        <v>0</v>
      </c>
      <c r="G33" s="169">
        <f>WATER!W27</f>
        <v>0</v>
      </c>
      <c r="H33" s="15" t="e">
        <f t="shared" si="0"/>
        <v>#DIV/0!</v>
      </c>
      <c r="I33" s="15">
        <f t="shared" si="1"/>
        <v>0</v>
      </c>
    </row>
    <row r="34" spans="1:9" x14ac:dyDescent="0.2">
      <c r="A34" s="6">
        <v>26</v>
      </c>
      <c r="B34" s="7">
        <f>SUM('GENSET #1:GENSET #5'!D35)</f>
        <v>0</v>
      </c>
      <c r="C34" s="7">
        <f>'Diesel consumption'!D30</f>
        <v>0</v>
      </c>
      <c r="D34" s="2">
        <f>'SOLAR METER READING'!D34</f>
        <v>0</v>
      </c>
      <c r="E34" s="7">
        <f>'Gas-2'!G31</f>
        <v>0</v>
      </c>
      <c r="F34" s="167">
        <f>WATER!V28</f>
        <v>0</v>
      </c>
      <c r="G34" s="169">
        <f>WATER!W28</f>
        <v>0</v>
      </c>
      <c r="H34" s="15" t="e">
        <f t="shared" si="0"/>
        <v>#DIV/0!</v>
      </c>
      <c r="I34" s="15">
        <f t="shared" si="1"/>
        <v>0</v>
      </c>
    </row>
    <row r="35" spans="1:9" x14ac:dyDescent="0.2">
      <c r="A35" s="6">
        <v>27</v>
      </c>
      <c r="B35" s="7">
        <f>SUM('GENSET #1:GENSET #5'!D36)</f>
        <v>0</v>
      </c>
      <c r="C35" s="7">
        <f>'Diesel consumption'!D31</f>
        <v>0</v>
      </c>
      <c r="D35" s="2">
        <f>'SOLAR METER READING'!D35</f>
        <v>0</v>
      </c>
      <c r="E35" s="7">
        <f>'Gas-2'!G32</f>
        <v>0</v>
      </c>
      <c r="F35" s="167">
        <f>WATER!V29</f>
        <v>0</v>
      </c>
      <c r="G35" s="169">
        <f>WATER!W29</f>
        <v>0</v>
      </c>
      <c r="H35" s="15" t="e">
        <f t="shared" si="0"/>
        <v>#DIV/0!</v>
      </c>
      <c r="I35" s="15">
        <f t="shared" si="1"/>
        <v>0</v>
      </c>
    </row>
    <row r="36" spans="1:9" x14ac:dyDescent="0.2">
      <c r="A36" s="6">
        <v>28</v>
      </c>
      <c r="B36" s="7">
        <f>SUM('GENSET #1:GENSET #5'!D37)</f>
        <v>0</v>
      </c>
      <c r="C36" s="7">
        <f>'Diesel consumption'!D32</f>
        <v>0</v>
      </c>
      <c r="D36" s="2">
        <f>'SOLAR METER READING'!D36</f>
        <v>0</v>
      </c>
      <c r="E36" s="7">
        <f>'Gas-2'!G33</f>
        <v>0</v>
      </c>
      <c r="F36" s="167">
        <f>WATER!V30</f>
        <v>0</v>
      </c>
      <c r="G36" s="169">
        <f>WATER!W30</f>
        <v>0</v>
      </c>
      <c r="H36" s="15" t="e">
        <f t="shared" si="0"/>
        <v>#DIV/0!</v>
      </c>
      <c r="I36" s="15">
        <f t="shared" si="1"/>
        <v>0</v>
      </c>
    </row>
    <row r="37" spans="1:9" x14ac:dyDescent="0.2">
      <c r="A37" s="6">
        <v>29</v>
      </c>
      <c r="B37" s="7">
        <f>SUM('GENSET #1:GENSET #5'!D38)</f>
        <v>0</v>
      </c>
      <c r="C37" s="7">
        <f>'Diesel consumption'!D33</f>
        <v>0</v>
      </c>
      <c r="D37" s="2">
        <f>'SOLAR METER READING'!D37</f>
        <v>0</v>
      </c>
      <c r="E37" s="7">
        <f>'Gas-2'!G34</f>
        <v>0</v>
      </c>
      <c r="F37" s="167">
        <f>WATER!V32</f>
        <v>0</v>
      </c>
      <c r="G37" s="169">
        <f>WATER!W31</f>
        <v>0</v>
      </c>
      <c r="H37" s="15" t="e">
        <f t="shared" si="0"/>
        <v>#DIV/0!</v>
      </c>
      <c r="I37" s="15">
        <f t="shared" si="1"/>
        <v>0</v>
      </c>
    </row>
    <row r="38" spans="1:9" x14ac:dyDescent="0.2">
      <c r="A38" s="6">
        <v>30</v>
      </c>
      <c r="B38" s="7">
        <f>SUM('GENSET #1:GENSET #5'!D39)</f>
        <v>0</v>
      </c>
      <c r="C38" s="7">
        <f>'Diesel consumption'!D34</f>
        <v>0</v>
      </c>
      <c r="D38" s="2">
        <f>'SOLAR METER READING'!D38</f>
        <v>0</v>
      </c>
      <c r="E38" s="7">
        <f>'Gas-2'!G36</f>
        <v>0</v>
      </c>
      <c r="F38" s="167" t="e">
        <f>WATER!#REF!</f>
        <v>#REF!</v>
      </c>
      <c r="G38" s="169">
        <f>WATER!W32</f>
        <v>0</v>
      </c>
      <c r="H38" s="15" t="e">
        <f t="shared" si="0"/>
        <v>#DIV/0!</v>
      </c>
      <c r="I38" s="15">
        <f t="shared" si="1"/>
        <v>0</v>
      </c>
    </row>
    <row r="39" spans="1:9" x14ac:dyDescent="0.2">
      <c r="A39" s="16">
        <v>31</v>
      </c>
      <c r="B39" s="7">
        <f>SUM('GENSET #1:GENSET #5'!D40)</f>
        <v>0</v>
      </c>
      <c r="C39" s="7" t="e">
        <f>'Diesel consumption'!#REF!</f>
        <v>#REF!</v>
      </c>
      <c r="D39" s="2" t="e">
        <f>'SOLAR METER READING'!#REF!</f>
        <v>#REF!</v>
      </c>
      <c r="E39" s="7" t="e">
        <f>'Gas-2'!#REF!</f>
        <v>#REF!</v>
      </c>
      <c r="F39" s="167"/>
      <c r="G39" s="169" t="e">
        <f>WATER!#REF!</f>
        <v>#REF!</v>
      </c>
      <c r="H39" s="15"/>
      <c r="I39" s="15"/>
    </row>
    <row r="40" spans="1:9" ht="13.5" thickBot="1" x14ac:dyDescent="0.25">
      <c r="A40" s="1" t="s">
        <v>7</v>
      </c>
      <c r="B40" s="17">
        <f>SUM(B9:B39)</f>
        <v>-86064450</v>
      </c>
      <c r="C40" s="17" t="e">
        <f t="shared" ref="C40:D40" si="2">SUM(C9:C39)</f>
        <v>#REF!</v>
      </c>
      <c r="D40" s="17" t="e">
        <f t="shared" si="2"/>
        <v>#REF!</v>
      </c>
      <c r="E40" s="17" t="e">
        <f>SUM(E9:E39)</f>
        <v>#REF!</v>
      </c>
      <c r="F40" s="168" t="e">
        <f>SUM(F9:F39)</f>
        <v>#REF!</v>
      </c>
      <c r="G40" s="6"/>
      <c r="I40" s="15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N36"/>
  <sheetViews>
    <sheetView workbookViewId="0">
      <selection activeCell="B3" sqref="B3:H3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14" ht="12.75" customHeight="1" x14ac:dyDescent="0.2">
      <c r="B1" s="281">
        <v>44197</v>
      </c>
      <c r="C1" s="281"/>
      <c r="D1" s="281"/>
      <c r="E1" s="281"/>
      <c r="F1" s="281"/>
      <c r="G1" s="281"/>
      <c r="H1" s="281"/>
    </row>
    <row r="2" spans="2:14" ht="15.75" customHeight="1" x14ac:dyDescent="0.2">
      <c r="B2" s="281"/>
      <c r="C2" s="281"/>
      <c r="D2" s="281"/>
      <c r="E2" s="281"/>
      <c r="F2" s="281"/>
      <c r="G2" s="281"/>
      <c r="H2" s="281"/>
    </row>
    <row r="3" spans="2:14" ht="28.5" customHeight="1" x14ac:dyDescent="0.2">
      <c r="B3" s="282" t="s">
        <v>107</v>
      </c>
      <c r="C3" s="282"/>
      <c r="D3" s="282"/>
      <c r="E3" s="282"/>
      <c r="F3" s="282"/>
      <c r="G3" s="282"/>
      <c r="H3" s="282"/>
    </row>
    <row r="4" spans="2:14" x14ac:dyDescent="0.2">
      <c r="B4" s="172" t="s">
        <v>46</v>
      </c>
      <c r="C4" s="172" t="s">
        <v>102</v>
      </c>
      <c r="D4" s="172" t="s">
        <v>103</v>
      </c>
      <c r="E4" s="172" t="s">
        <v>104</v>
      </c>
      <c r="F4" s="172" t="s">
        <v>105</v>
      </c>
      <c r="G4" s="172" t="s">
        <v>106</v>
      </c>
      <c r="H4" s="172" t="s">
        <v>7</v>
      </c>
    </row>
    <row r="5" spans="2:14" x14ac:dyDescent="0.2">
      <c r="B5" s="170">
        <v>1</v>
      </c>
      <c r="C5" s="171">
        <f>'GENSET #1'!D10</f>
        <v>9617</v>
      </c>
      <c r="D5" s="171">
        <f>'GENSET #2'!D10</f>
        <v>1521</v>
      </c>
      <c r="E5" s="171">
        <f>'GENSET #3'!D10</f>
        <v>6481</v>
      </c>
      <c r="F5" s="171">
        <f>'GENSET #4'!D10</f>
        <v>2273</v>
      </c>
      <c r="G5" s="171">
        <f>'GENSET #5'!D10</f>
        <v>10558</v>
      </c>
      <c r="H5" s="175">
        <f>SUM(C5:G5)</f>
        <v>30450</v>
      </c>
    </row>
    <row r="6" spans="2:14" x14ac:dyDescent="0.2">
      <c r="B6" s="165">
        <v>2</v>
      </c>
      <c r="C6" s="18">
        <f>'GENSET #1'!D11</f>
        <v>740</v>
      </c>
      <c r="D6" s="18">
        <f>'GENSET #2'!D11</f>
        <v>17532</v>
      </c>
      <c r="E6" s="18">
        <f>'GENSET #3'!D11</f>
        <v>7515</v>
      </c>
      <c r="F6" s="18">
        <f>'GENSET #4'!D11</f>
        <v>3205</v>
      </c>
      <c r="G6" s="18">
        <f>'GENSET #5'!D11</f>
        <v>775</v>
      </c>
      <c r="H6" s="175">
        <f>SUM(C6:G6)</f>
        <v>29767</v>
      </c>
    </row>
    <row r="7" spans="2:14" x14ac:dyDescent="0.2">
      <c r="B7" s="170">
        <v>3</v>
      </c>
      <c r="C7" s="171">
        <f>'GENSET #1'!D12</f>
        <v>9588</v>
      </c>
      <c r="D7" s="171">
        <f>'GENSET #2'!D12</f>
        <v>3164</v>
      </c>
      <c r="E7" s="171">
        <f>'GENSET #3'!D12</f>
        <v>1770</v>
      </c>
      <c r="F7" s="171">
        <f>'GENSET #4'!D12</f>
        <v>3528</v>
      </c>
      <c r="G7" s="171">
        <f>'GENSET #5'!D12</f>
        <v>11465</v>
      </c>
      <c r="H7" s="175">
        <f t="shared" ref="H7:H35" si="0">SUM(C7:G7)</f>
        <v>29515</v>
      </c>
    </row>
    <row r="8" spans="2:14" x14ac:dyDescent="0.2">
      <c r="B8" s="165">
        <v>4</v>
      </c>
      <c r="C8" s="18">
        <f>'GENSET #1'!D13</f>
        <v>6946</v>
      </c>
      <c r="D8" s="18">
        <f>'GENSET #2'!D13</f>
        <v>12967</v>
      </c>
      <c r="E8" s="18">
        <f>'GENSET #3'!D13</f>
        <v>6376</v>
      </c>
      <c r="F8" s="18">
        <f>'GENSET #4'!D13</f>
        <v>1647</v>
      </c>
      <c r="G8" s="18">
        <f>'GENSET #5'!D13</f>
        <v>3578</v>
      </c>
      <c r="H8" s="175">
        <f t="shared" si="0"/>
        <v>31514</v>
      </c>
    </row>
    <row r="9" spans="2:14" x14ac:dyDescent="0.2">
      <c r="B9" s="170">
        <v>5</v>
      </c>
      <c r="C9" s="171">
        <f>'GENSET #1'!D14</f>
        <v>-16782241</v>
      </c>
      <c r="D9" s="171">
        <f>'GENSET #2'!D14</f>
        <v>-28333897</v>
      </c>
      <c r="E9" s="171">
        <f>'GENSET #3'!D14</f>
        <v>-12300988</v>
      </c>
      <c r="F9" s="171">
        <f>'GENSET #4'!D14</f>
        <v>-11351022</v>
      </c>
      <c r="G9" s="171">
        <f>'GENSET #5'!D14</f>
        <v>-17417548</v>
      </c>
      <c r="H9" s="175">
        <f t="shared" si="0"/>
        <v>-86185696</v>
      </c>
    </row>
    <row r="10" spans="2:14" x14ac:dyDescent="0.2">
      <c r="B10" s="165">
        <v>6</v>
      </c>
      <c r="C10" s="18">
        <f>'GENSET #1'!D15</f>
        <v>0</v>
      </c>
      <c r="D10" s="18">
        <f>'GENSET #2'!D15</f>
        <v>0</v>
      </c>
      <c r="E10" s="18">
        <f>'GENSET #3'!D15</f>
        <v>0</v>
      </c>
      <c r="F10" s="18">
        <f>'GENSET #4'!D15</f>
        <v>0</v>
      </c>
      <c r="G10" s="18">
        <f>'GENSET #5'!D15</f>
        <v>0</v>
      </c>
      <c r="H10" s="175">
        <f t="shared" si="0"/>
        <v>0</v>
      </c>
      <c r="K10" s="174"/>
      <c r="L10" s="174"/>
      <c r="M10" s="174"/>
      <c r="N10" s="174"/>
    </row>
    <row r="11" spans="2:14" x14ac:dyDescent="0.2">
      <c r="B11" s="170">
        <v>7</v>
      </c>
      <c r="C11" s="171">
        <f>'GENSET #1'!D16</f>
        <v>0</v>
      </c>
      <c r="D11" s="171">
        <f>'GENSET #2'!D16</f>
        <v>0</v>
      </c>
      <c r="E11" s="171">
        <f>'GENSET #3'!D16</f>
        <v>0</v>
      </c>
      <c r="F11" s="171">
        <f>'GENSET #4'!D16</f>
        <v>0</v>
      </c>
      <c r="G11" s="171">
        <f>'GENSET #5'!D16</f>
        <v>0</v>
      </c>
      <c r="H11" s="175">
        <f t="shared" si="0"/>
        <v>0</v>
      </c>
      <c r="K11" s="174"/>
      <c r="L11" s="174"/>
      <c r="M11" s="174"/>
      <c r="N11" s="174"/>
    </row>
    <row r="12" spans="2:14" x14ac:dyDescent="0.2">
      <c r="B12" s="165">
        <v>8</v>
      </c>
      <c r="C12" s="18">
        <f>'GENSET #1'!D17</f>
        <v>0</v>
      </c>
      <c r="D12" s="18">
        <f>'GENSET #2'!D17</f>
        <v>0</v>
      </c>
      <c r="E12" s="18">
        <f>'GENSET #3'!D17</f>
        <v>0</v>
      </c>
      <c r="F12" s="18">
        <f>'GENSET #4'!D17</f>
        <v>0</v>
      </c>
      <c r="G12" s="18">
        <f>'GENSET #5'!D17</f>
        <v>0</v>
      </c>
      <c r="H12" s="175">
        <f t="shared" si="0"/>
        <v>0</v>
      </c>
      <c r="K12" s="174"/>
      <c r="L12" s="174"/>
      <c r="M12" s="174"/>
      <c r="N12" s="174"/>
    </row>
    <row r="13" spans="2:14" x14ac:dyDescent="0.2">
      <c r="B13" s="170">
        <v>9</v>
      </c>
      <c r="C13" s="171">
        <f>'GENSET #1'!D18</f>
        <v>0</v>
      </c>
      <c r="D13" s="171">
        <f>'GENSET #2'!D18</f>
        <v>0</v>
      </c>
      <c r="E13" s="171">
        <f>'GENSET #3'!D18</f>
        <v>0</v>
      </c>
      <c r="F13" s="171">
        <f>'GENSET #4'!D18</f>
        <v>0</v>
      </c>
      <c r="G13" s="171">
        <f>'GENSET #5'!D18</f>
        <v>0</v>
      </c>
      <c r="H13" s="175">
        <f t="shared" si="0"/>
        <v>0</v>
      </c>
      <c r="K13" s="174"/>
      <c r="L13" s="174"/>
      <c r="M13" s="174"/>
      <c r="N13" s="174"/>
    </row>
    <row r="14" spans="2:14" x14ac:dyDescent="0.2">
      <c r="B14" s="165">
        <v>10</v>
      </c>
      <c r="C14" s="18">
        <f>'GENSET #1'!D19</f>
        <v>0</v>
      </c>
      <c r="D14" s="18">
        <f>'GENSET #2'!D19</f>
        <v>0</v>
      </c>
      <c r="E14" s="18">
        <f>'GENSET #3'!D19</f>
        <v>0</v>
      </c>
      <c r="F14" s="18">
        <f>'GENSET #4'!D19</f>
        <v>0</v>
      </c>
      <c r="G14" s="18">
        <f>'GENSET #5'!D19</f>
        <v>0</v>
      </c>
      <c r="H14" s="175">
        <f t="shared" si="0"/>
        <v>0</v>
      </c>
      <c r="K14" s="174"/>
      <c r="L14" s="174"/>
      <c r="M14" s="174"/>
      <c r="N14" s="174"/>
    </row>
    <row r="15" spans="2:14" x14ac:dyDescent="0.2">
      <c r="B15" s="170">
        <v>11</v>
      </c>
      <c r="C15" s="171">
        <f>'GENSET #1'!D20</f>
        <v>0</v>
      </c>
      <c r="D15" s="171">
        <f>'GENSET #2'!D20</f>
        <v>0</v>
      </c>
      <c r="E15" s="171">
        <f>'GENSET #3'!D20</f>
        <v>0</v>
      </c>
      <c r="F15" s="171">
        <f>'GENSET #4'!D20</f>
        <v>0</v>
      </c>
      <c r="G15" s="171">
        <f>'GENSET #5'!D20</f>
        <v>0</v>
      </c>
      <c r="H15" s="175">
        <f t="shared" si="0"/>
        <v>0</v>
      </c>
      <c r="K15" s="174"/>
      <c r="L15" s="174"/>
      <c r="M15" s="174"/>
      <c r="N15" s="174"/>
    </row>
    <row r="16" spans="2:14" x14ac:dyDescent="0.2">
      <c r="B16" s="165">
        <v>12</v>
      </c>
      <c r="C16" s="18">
        <f>'GENSET #1'!D21</f>
        <v>0</v>
      </c>
      <c r="D16" s="18">
        <f>'GENSET #2'!D21</f>
        <v>0</v>
      </c>
      <c r="E16" s="18">
        <f>'GENSET #3'!D21</f>
        <v>0</v>
      </c>
      <c r="F16" s="18">
        <f>'GENSET #4'!D21</f>
        <v>0</v>
      </c>
      <c r="G16" s="18">
        <f>'GENSET #5'!D21</f>
        <v>0</v>
      </c>
      <c r="H16" s="175">
        <f t="shared" si="0"/>
        <v>0</v>
      </c>
      <c r="K16" s="174"/>
      <c r="L16" s="174"/>
      <c r="M16" s="174"/>
      <c r="N16" s="174"/>
    </row>
    <row r="17" spans="2:14" x14ac:dyDescent="0.2">
      <c r="B17" s="170">
        <v>13</v>
      </c>
      <c r="C17" s="171">
        <f>'GENSET #1'!D22</f>
        <v>0</v>
      </c>
      <c r="D17" s="171">
        <f>'GENSET #2'!D22</f>
        <v>0</v>
      </c>
      <c r="E17" s="171">
        <f>'GENSET #3'!D22</f>
        <v>0</v>
      </c>
      <c r="F17" s="171">
        <f>'GENSET #4'!D22</f>
        <v>0</v>
      </c>
      <c r="G17" s="171">
        <f>'GENSET #5'!D22</f>
        <v>0</v>
      </c>
      <c r="H17" s="175">
        <f t="shared" si="0"/>
        <v>0</v>
      </c>
      <c r="K17" s="174"/>
      <c r="L17" s="174"/>
      <c r="M17" s="174"/>
      <c r="N17" s="174"/>
    </row>
    <row r="18" spans="2:14" x14ac:dyDescent="0.2">
      <c r="B18" s="165">
        <v>14</v>
      </c>
      <c r="C18" s="18">
        <f>'GENSET #1'!D23</f>
        <v>0</v>
      </c>
      <c r="D18" s="18">
        <f>'GENSET #2'!D23</f>
        <v>0</v>
      </c>
      <c r="E18" s="18">
        <f>'GENSET #3'!D23</f>
        <v>0</v>
      </c>
      <c r="F18" s="18">
        <f>'GENSET #4'!D23</f>
        <v>0</v>
      </c>
      <c r="G18" s="18">
        <f>'GENSET #5'!D23</f>
        <v>0</v>
      </c>
      <c r="H18" s="175">
        <f t="shared" si="0"/>
        <v>0</v>
      </c>
      <c r="K18" s="174"/>
      <c r="L18" s="174"/>
      <c r="M18" s="174"/>
      <c r="N18" s="174"/>
    </row>
    <row r="19" spans="2:14" x14ac:dyDescent="0.2">
      <c r="B19" s="170">
        <v>15</v>
      </c>
      <c r="C19" s="171">
        <f>'GENSET #1'!D24</f>
        <v>0</v>
      </c>
      <c r="D19" s="171">
        <f>'GENSET #2'!D24</f>
        <v>0</v>
      </c>
      <c r="E19" s="171">
        <f>'GENSET #3'!D24</f>
        <v>0</v>
      </c>
      <c r="F19" s="171">
        <f>'GENSET #4'!D24</f>
        <v>0</v>
      </c>
      <c r="G19" s="171">
        <f>'GENSET #5'!D24</f>
        <v>0</v>
      </c>
      <c r="H19" s="175">
        <f t="shared" si="0"/>
        <v>0</v>
      </c>
      <c r="K19" s="174"/>
      <c r="L19" s="174"/>
      <c r="M19" s="174"/>
      <c r="N19" s="174"/>
    </row>
    <row r="20" spans="2:14" x14ac:dyDescent="0.2">
      <c r="B20" s="165">
        <v>16</v>
      </c>
      <c r="C20" s="18">
        <f>'GENSET #1'!D25</f>
        <v>0</v>
      </c>
      <c r="D20" s="18">
        <f>'GENSET #2'!D25</f>
        <v>0</v>
      </c>
      <c r="E20" s="18">
        <f>'GENSET #3'!D25</f>
        <v>0</v>
      </c>
      <c r="F20" s="18">
        <f>'GENSET #4'!D25</f>
        <v>0</v>
      </c>
      <c r="G20" s="18">
        <f>'GENSET #5'!D25</f>
        <v>0</v>
      </c>
      <c r="H20" s="175">
        <f t="shared" si="0"/>
        <v>0</v>
      </c>
      <c r="K20" s="174"/>
      <c r="L20" s="174"/>
      <c r="M20" s="174"/>
      <c r="N20" s="174"/>
    </row>
    <row r="21" spans="2:14" x14ac:dyDescent="0.2">
      <c r="B21" s="170">
        <v>17</v>
      </c>
      <c r="C21" s="171">
        <f>'GENSET #1'!D26</f>
        <v>0</v>
      </c>
      <c r="D21" s="171">
        <f>'GENSET #2'!D26</f>
        <v>0</v>
      </c>
      <c r="E21" s="171">
        <f>'GENSET #3'!D26</f>
        <v>0</v>
      </c>
      <c r="F21" s="171">
        <f>'GENSET #4'!D26</f>
        <v>0</v>
      </c>
      <c r="G21" s="171">
        <f>'GENSET #5'!D26</f>
        <v>0</v>
      </c>
      <c r="H21" s="175">
        <f t="shared" si="0"/>
        <v>0</v>
      </c>
      <c r="K21" s="174"/>
      <c r="L21" s="174"/>
      <c r="M21" s="174"/>
      <c r="N21" s="174"/>
    </row>
    <row r="22" spans="2:14" x14ac:dyDescent="0.2">
      <c r="B22" s="165">
        <v>18</v>
      </c>
      <c r="C22" s="18">
        <f>'GENSET #1'!D27</f>
        <v>0</v>
      </c>
      <c r="D22" s="18">
        <f>'GENSET #2'!D27</f>
        <v>0</v>
      </c>
      <c r="E22" s="18">
        <f>'GENSET #3'!D27</f>
        <v>0</v>
      </c>
      <c r="F22" s="18">
        <f>'GENSET #4'!D27</f>
        <v>0</v>
      </c>
      <c r="G22" s="18">
        <f>'GENSET #5'!D27</f>
        <v>0</v>
      </c>
      <c r="H22" s="175">
        <f t="shared" si="0"/>
        <v>0</v>
      </c>
    </row>
    <row r="23" spans="2:14" x14ac:dyDescent="0.2">
      <c r="B23" s="170">
        <v>19</v>
      </c>
      <c r="C23" s="171">
        <f>'GENSET #1'!D28</f>
        <v>0</v>
      </c>
      <c r="D23" s="171">
        <f>'GENSET #2'!D28</f>
        <v>0</v>
      </c>
      <c r="E23" s="171">
        <f>'GENSET #3'!D28</f>
        <v>0</v>
      </c>
      <c r="F23" s="171">
        <f>'GENSET #4'!D28</f>
        <v>0</v>
      </c>
      <c r="G23" s="171">
        <f>'GENSET #5'!D28</f>
        <v>0</v>
      </c>
      <c r="H23" s="175">
        <f t="shared" si="0"/>
        <v>0</v>
      </c>
    </row>
    <row r="24" spans="2:14" x14ac:dyDescent="0.2">
      <c r="B24" s="165">
        <v>20</v>
      </c>
      <c r="C24" s="18">
        <f>'GENSET #1'!D29</f>
        <v>0</v>
      </c>
      <c r="D24" s="18">
        <f>'GENSET #2'!D29</f>
        <v>0</v>
      </c>
      <c r="E24" s="18">
        <f>'GENSET #3'!D29</f>
        <v>0</v>
      </c>
      <c r="F24" s="18">
        <f>'GENSET #4'!D29</f>
        <v>0</v>
      </c>
      <c r="G24" s="18">
        <f>'GENSET #5'!D29</f>
        <v>0</v>
      </c>
      <c r="H24" s="175">
        <f t="shared" si="0"/>
        <v>0</v>
      </c>
    </row>
    <row r="25" spans="2:14" x14ac:dyDescent="0.2">
      <c r="B25" s="170">
        <v>21</v>
      </c>
      <c r="C25" s="171">
        <f>'GENSET #1'!D30</f>
        <v>0</v>
      </c>
      <c r="D25" s="171">
        <f>'GENSET #2'!D30</f>
        <v>0</v>
      </c>
      <c r="E25" s="171">
        <f>'GENSET #3'!D30</f>
        <v>0</v>
      </c>
      <c r="F25" s="171">
        <f>'GENSET #4'!D30</f>
        <v>0</v>
      </c>
      <c r="G25" s="171">
        <f>'GENSET #5'!D30</f>
        <v>0</v>
      </c>
      <c r="H25" s="175">
        <f t="shared" si="0"/>
        <v>0</v>
      </c>
    </row>
    <row r="26" spans="2:14" x14ac:dyDescent="0.2">
      <c r="B26" s="165">
        <v>22</v>
      </c>
      <c r="C26" s="18">
        <f>'GENSET #1'!D31</f>
        <v>0</v>
      </c>
      <c r="D26" s="18">
        <f>'GENSET #2'!D31</f>
        <v>0</v>
      </c>
      <c r="E26" s="18">
        <f>'GENSET #3'!D31</f>
        <v>0</v>
      </c>
      <c r="F26" s="18">
        <f>'GENSET #4'!D31</f>
        <v>0</v>
      </c>
      <c r="G26" s="18">
        <f>'GENSET #5'!D31</f>
        <v>0</v>
      </c>
      <c r="H26" s="175">
        <f t="shared" si="0"/>
        <v>0</v>
      </c>
    </row>
    <row r="27" spans="2:14" x14ac:dyDescent="0.2">
      <c r="B27" s="170">
        <v>23</v>
      </c>
      <c r="C27" s="171">
        <f>'GENSET #1'!D32</f>
        <v>0</v>
      </c>
      <c r="D27" s="171">
        <f>'GENSET #2'!D32</f>
        <v>0</v>
      </c>
      <c r="E27" s="171">
        <f>'GENSET #3'!D32</f>
        <v>0</v>
      </c>
      <c r="F27" s="171">
        <f>'GENSET #4'!D32</f>
        <v>0</v>
      </c>
      <c r="G27" s="171">
        <f>'GENSET #5'!D32</f>
        <v>0</v>
      </c>
      <c r="H27" s="175">
        <f t="shared" si="0"/>
        <v>0</v>
      </c>
    </row>
    <row r="28" spans="2:14" x14ac:dyDescent="0.2">
      <c r="B28" s="165">
        <v>24</v>
      </c>
      <c r="C28" s="18">
        <f>'GENSET #1'!D33</f>
        <v>0</v>
      </c>
      <c r="D28" s="18">
        <f>'GENSET #2'!D33</f>
        <v>0</v>
      </c>
      <c r="E28" s="18">
        <f>'GENSET #3'!D33</f>
        <v>0</v>
      </c>
      <c r="F28" s="18">
        <f>'GENSET #4'!D33</f>
        <v>0</v>
      </c>
      <c r="G28" s="18">
        <f>'GENSET #5'!D33</f>
        <v>0</v>
      </c>
      <c r="H28" s="175">
        <f t="shared" si="0"/>
        <v>0</v>
      </c>
    </row>
    <row r="29" spans="2:14" x14ac:dyDescent="0.2">
      <c r="B29" s="170">
        <v>25</v>
      </c>
      <c r="C29" s="171">
        <f>'GENSET #1'!D34</f>
        <v>0</v>
      </c>
      <c r="D29" s="171">
        <f>'GENSET #2'!D34</f>
        <v>0</v>
      </c>
      <c r="E29" s="171">
        <f>'GENSET #3'!D34</f>
        <v>0</v>
      </c>
      <c r="F29" s="171">
        <f>'GENSET #4'!D34</f>
        <v>0</v>
      </c>
      <c r="G29" s="171">
        <f>'GENSET #5'!D34</f>
        <v>0</v>
      </c>
      <c r="H29" s="175">
        <f t="shared" si="0"/>
        <v>0</v>
      </c>
    </row>
    <row r="30" spans="2:14" x14ac:dyDescent="0.2">
      <c r="B30" s="165">
        <v>26</v>
      </c>
      <c r="C30" s="18">
        <f>'GENSET #1'!D35</f>
        <v>0</v>
      </c>
      <c r="D30" s="18">
        <f>'GENSET #2'!D35</f>
        <v>0</v>
      </c>
      <c r="E30" s="18">
        <f>'GENSET #3'!D35</f>
        <v>0</v>
      </c>
      <c r="F30" s="18">
        <f>'GENSET #4'!D35</f>
        <v>0</v>
      </c>
      <c r="G30" s="18">
        <f>'GENSET #5'!D35</f>
        <v>0</v>
      </c>
      <c r="H30" s="175">
        <f t="shared" si="0"/>
        <v>0</v>
      </c>
    </row>
    <row r="31" spans="2:14" x14ac:dyDescent="0.2">
      <c r="B31" s="170">
        <v>27</v>
      </c>
      <c r="C31" s="171">
        <f>'GENSET #1'!D36</f>
        <v>0</v>
      </c>
      <c r="D31" s="171">
        <f>'GENSET #2'!D36</f>
        <v>0</v>
      </c>
      <c r="E31" s="171">
        <f>'GENSET #3'!D36</f>
        <v>0</v>
      </c>
      <c r="F31" s="171">
        <f>'GENSET #4'!D36</f>
        <v>0</v>
      </c>
      <c r="G31" s="171">
        <f>'GENSET #5'!D36</f>
        <v>0</v>
      </c>
      <c r="H31" s="175">
        <f t="shared" si="0"/>
        <v>0</v>
      </c>
    </row>
    <row r="32" spans="2:14" x14ac:dyDescent="0.2">
      <c r="B32" s="165">
        <v>28</v>
      </c>
      <c r="C32" s="18">
        <f>'GENSET #1'!D37</f>
        <v>0</v>
      </c>
      <c r="D32" s="18">
        <f>'GENSET #2'!D37</f>
        <v>0</v>
      </c>
      <c r="E32" s="18">
        <f>'GENSET #3'!D37</f>
        <v>0</v>
      </c>
      <c r="F32" s="18">
        <f>'GENSET #4'!D37</f>
        <v>0</v>
      </c>
      <c r="G32" s="18">
        <f>'GENSET #5'!D37</f>
        <v>0</v>
      </c>
      <c r="H32" s="175">
        <f t="shared" si="0"/>
        <v>0</v>
      </c>
    </row>
    <row r="33" spans="1:8" x14ac:dyDescent="0.2">
      <c r="B33" s="170">
        <v>29</v>
      </c>
      <c r="C33" s="171">
        <f>'GENSET #1'!D38</f>
        <v>0</v>
      </c>
      <c r="D33" s="171">
        <f>'GENSET #2'!D38</f>
        <v>0</v>
      </c>
      <c r="E33" s="171">
        <f>'GENSET #3'!D38</f>
        <v>0</v>
      </c>
      <c r="F33" s="171">
        <f>'GENSET #4'!D38</f>
        <v>0</v>
      </c>
      <c r="G33" s="171">
        <f>'GENSET #5'!D38</f>
        <v>0</v>
      </c>
      <c r="H33" s="175">
        <f t="shared" si="0"/>
        <v>0</v>
      </c>
    </row>
    <row r="34" spans="1:8" x14ac:dyDescent="0.2">
      <c r="B34" s="165">
        <v>30</v>
      </c>
      <c r="C34" s="18">
        <f>'GENSET #1'!D39</f>
        <v>0</v>
      </c>
      <c r="D34" s="18">
        <f>'GENSET #2'!D39</f>
        <v>0</v>
      </c>
      <c r="E34" s="18">
        <f>'GENSET #3'!D39</f>
        <v>0</v>
      </c>
      <c r="F34" s="18">
        <f>'GENSET #4'!D39</f>
        <v>0</v>
      </c>
      <c r="G34" s="18">
        <f>'GENSET #5'!D39</f>
        <v>0</v>
      </c>
      <c r="H34" s="175">
        <f t="shared" si="0"/>
        <v>0</v>
      </c>
    </row>
    <row r="35" spans="1:8" x14ac:dyDescent="0.2">
      <c r="B35" s="170">
        <v>31</v>
      </c>
      <c r="C35" s="18">
        <f>'GENSET #1'!D40</f>
        <v>0</v>
      </c>
      <c r="D35" s="18">
        <f>'GENSET #2'!D40</f>
        <v>0</v>
      </c>
      <c r="E35" s="18">
        <f>'GENSET #3'!D40</f>
        <v>0</v>
      </c>
      <c r="F35" s="18">
        <f>'GENSET #4'!D40</f>
        <v>0</v>
      </c>
      <c r="G35" s="18">
        <f>'GENSET #5'!D40</f>
        <v>0</v>
      </c>
      <c r="H35" s="175">
        <f t="shared" si="0"/>
        <v>0</v>
      </c>
    </row>
    <row r="36" spans="1:8" x14ac:dyDescent="0.2">
      <c r="A36" s="280" t="s">
        <v>108</v>
      </c>
      <c r="B36" s="280"/>
      <c r="C36" s="173">
        <f>SUM(C5:C35)</f>
        <v>-16755350</v>
      </c>
      <c r="D36" s="173">
        <f>SUM(D5:D35)</f>
        <v>-28298713</v>
      </c>
      <c r="E36" s="173">
        <f>SUM(E5:E35)</f>
        <v>-12278846</v>
      </c>
      <c r="F36" s="173">
        <f>SUM(F5:F35)</f>
        <v>-11340369</v>
      </c>
      <c r="G36" s="173">
        <f>SUM(G5:G35)</f>
        <v>-17391172</v>
      </c>
      <c r="H36" s="173"/>
    </row>
  </sheetData>
  <mergeCells count="3">
    <mergeCell ref="A36:B36"/>
    <mergeCell ref="B1:H2"/>
    <mergeCell ref="B3:H3"/>
  </mergeCells>
  <phoneticPr fontId="17" type="noConversion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selection activeCell="J13" sqref="J13"/>
    </sheetView>
  </sheetViews>
  <sheetFormatPr defaultRowHeight="12.75" x14ac:dyDescent="0.2"/>
  <cols>
    <col min="1" max="1" width="5" bestFit="1" customWidth="1"/>
    <col min="2" max="2" width="25.7109375" customWidth="1"/>
    <col min="3" max="3" width="5" bestFit="1" customWidth="1"/>
  </cols>
  <sheetData>
    <row r="1" spans="1:3" x14ac:dyDescent="0.2">
      <c r="A1" s="304">
        <v>44170</v>
      </c>
      <c r="B1" s="304"/>
      <c r="C1" s="304"/>
    </row>
    <row r="2" spans="1:3" x14ac:dyDescent="0.2">
      <c r="A2" s="302" t="s">
        <v>82</v>
      </c>
      <c r="B2" s="303"/>
      <c r="C2" s="303"/>
    </row>
    <row r="3" spans="1:3" ht="26.25" customHeight="1" x14ac:dyDescent="0.2">
      <c r="A3" s="303"/>
      <c r="B3" s="303"/>
      <c r="C3" s="303"/>
    </row>
    <row r="4" spans="1:3" x14ac:dyDescent="0.2">
      <c r="A4" s="145">
        <v>1</v>
      </c>
      <c r="B4" s="145">
        <f>'FEEDER Consumption '!AT9+'FEEDER Consumption '!BI9+'FEEDER Consumption '!BL9+'FEEDER Consumption '!BO9+'FEEDER Consumption '!BR9+'FEEDER Consumption '!BU9</f>
        <v>328</v>
      </c>
      <c r="C4" s="145" t="s">
        <v>81</v>
      </c>
    </row>
    <row r="5" spans="1:3" x14ac:dyDescent="0.2">
      <c r="A5" s="146">
        <v>2</v>
      </c>
      <c r="B5" s="146">
        <f>'FEEDER Consumption '!AT10+'FEEDER Consumption '!BI10+'FEEDER Consumption '!BL10+'FEEDER Consumption '!BO10+'FEEDER Consumption '!BR10+'FEEDER Consumption '!BU10</f>
        <v>910</v>
      </c>
      <c r="C5" s="146" t="s">
        <v>81</v>
      </c>
    </row>
    <row r="6" spans="1:3" x14ac:dyDescent="0.2">
      <c r="A6" s="145">
        <v>3</v>
      </c>
      <c r="B6" s="145">
        <f>'FEEDER Consumption '!AT11+'FEEDER Consumption '!BI11+'FEEDER Consumption '!BL11+'FEEDER Consumption '!BO11+'FEEDER Consumption '!BR11+'FEEDER Consumption '!BU11</f>
        <v>1162</v>
      </c>
      <c r="C6" s="145" t="s">
        <v>81</v>
      </c>
    </row>
    <row r="7" spans="1:3" x14ac:dyDescent="0.2">
      <c r="A7" s="146">
        <v>4</v>
      </c>
      <c r="B7" s="146">
        <f>'FEEDER Consumption '!AT12+'FEEDER Consumption '!BI12+'FEEDER Consumption '!BL12+'FEEDER Consumption '!BO12+'FEEDER Consumption '!BR12+'FEEDER Consumption '!BU12</f>
        <v>2067</v>
      </c>
      <c r="C7" s="146" t="s">
        <v>81</v>
      </c>
    </row>
    <row r="8" spans="1:3" x14ac:dyDescent="0.2">
      <c r="A8" s="145">
        <v>5</v>
      </c>
      <c r="B8" s="145">
        <f>'FEEDER Consumption '!AT13+'FEEDER Consumption '!BI13+'FEEDER Consumption '!BL13+'FEEDER Consumption '!BO13+'FEEDER Consumption '!BR13+'FEEDER Consumption '!BU13</f>
        <v>-535970</v>
      </c>
      <c r="C8" s="145" t="s">
        <v>81</v>
      </c>
    </row>
    <row r="9" spans="1:3" x14ac:dyDescent="0.2">
      <c r="A9" s="146">
        <v>6</v>
      </c>
      <c r="B9" s="146">
        <f>'FEEDER Consumption '!AT14+'FEEDER Consumption '!BI14+'FEEDER Consumption '!BL14+'FEEDER Consumption '!BO14+'FEEDER Consumption '!BR14+'FEEDER Consumption '!BU14</f>
        <v>0</v>
      </c>
      <c r="C9" s="146" t="s">
        <v>81</v>
      </c>
    </row>
    <row r="10" spans="1:3" x14ac:dyDescent="0.2">
      <c r="A10" s="145">
        <v>7</v>
      </c>
      <c r="B10" s="145">
        <f>'FEEDER Consumption '!AT15+'FEEDER Consumption '!BI15+'FEEDER Consumption '!BL15+'FEEDER Consumption '!BO15+'FEEDER Consumption '!BR15+'FEEDER Consumption '!BU15</f>
        <v>0</v>
      </c>
      <c r="C10" s="145" t="s">
        <v>81</v>
      </c>
    </row>
    <row r="11" spans="1:3" x14ac:dyDescent="0.2">
      <c r="A11" s="146">
        <v>8</v>
      </c>
      <c r="B11" s="146">
        <f>'FEEDER Consumption '!AT16+'FEEDER Consumption '!BI16+'FEEDER Consumption '!BL16+'FEEDER Consumption '!BO16+'FEEDER Consumption '!BR16+'FEEDER Consumption '!BU16</f>
        <v>0</v>
      </c>
      <c r="C11" s="146" t="s">
        <v>81</v>
      </c>
    </row>
    <row r="12" spans="1:3" x14ac:dyDescent="0.2">
      <c r="A12" s="145">
        <v>9</v>
      </c>
      <c r="B12" s="145">
        <f>'FEEDER Consumption '!AT17+'FEEDER Consumption '!BI17+'FEEDER Consumption '!BL17+'FEEDER Consumption '!BO17+'FEEDER Consumption '!BR17+'FEEDER Consumption '!BU17</f>
        <v>0</v>
      </c>
      <c r="C12" s="145" t="s">
        <v>81</v>
      </c>
    </row>
    <row r="13" spans="1:3" x14ac:dyDescent="0.2">
      <c r="A13" s="146">
        <v>10</v>
      </c>
      <c r="B13" s="146">
        <f>'FEEDER Consumption '!AT18+'FEEDER Consumption '!BI18+'FEEDER Consumption '!BL18+'FEEDER Consumption '!BO18+'FEEDER Consumption '!BR18+'FEEDER Consumption '!BU18</f>
        <v>0</v>
      </c>
      <c r="C13" s="146" t="s">
        <v>81</v>
      </c>
    </row>
    <row r="14" spans="1:3" x14ac:dyDescent="0.2">
      <c r="A14" s="145">
        <v>11</v>
      </c>
      <c r="B14" s="145">
        <f>'FEEDER Consumption '!AT19+'FEEDER Consumption '!BI19+'FEEDER Consumption '!BL19+'FEEDER Consumption '!BO19+'FEEDER Consumption '!BR19+'FEEDER Consumption '!BU19</f>
        <v>0</v>
      </c>
      <c r="C14" s="145" t="s">
        <v>81</v>
      </c>
    </row>
    <row r="15" spans="1:3" x14ac:dyDescent="0.2">
      <c r="A15" s="146">
        <v>12</v>
      </c>
      <c r="B15" s="146">
        <f>'FEEDER Consumption '!AT20+'FEEDER Consumption '!BI20+'FEEDER Consumption '!BL20+'FEEDER Consumption '!BO20+'FEEDER Consumption '!BR20+'FEEDER Consumption '!BU20</f>
        <v>0</v>
      </c>
      <c r="C15" s="146" t="s">
        <v>81</v>
      </c>
    </row>
    <row r="16" spans="1:3" x14ac:dyDescent="0.2">
      <c r="A16" s="145">
        <v>13</v>
      </c>
      <c r="B16" s="145">
        <f>'FEEDER Consumption '!AT21+'FEEDER Consumption '!BI21+'FEEDER Consumption '!BL21+'FEEDER Consumption '!BO21+'FEEDER Consumption '!BR21+'FEEDER Consumption '!BU21</f>
        <v>0</v>
      </c>
      <c r="C16" s="145" t="s">
        <v>81</v>
      </c>
    </row>
    <row r="17" spans="1:3" x14ac:dyDescent="0.2">
      <c r="A17" s="146">
        <v>14</v>
      </c>
      <c r="B17" s="146">
        <f>'FEEDER Consumption '!AT22+'FEEDER Consumption '!BI22+'FEEDER Consumption '!BL22+'FEEDER Consumption '!BO22+'FEEDER Consumption '!BR22+'FEEDER Consumption '!BU22</f>
        <v>0</v>
      </c>
      <c r="C17" s="146" t="s">
        <v>81</v>
      </c>
    </row>
    <row r="18" spans="1:3" x14ac:dyDescent="0.2">
      <c r="A18" s="145">
        <v>15</v>
      </c>
      <c r="B18" s="145">
        <f>'FEEDER Consumption '!AT23+'FEEDER Consumption '!BI23+'FEEDER Consumption '!BL23+'FEEDER Consumption '!BO23+'FEEDER Consumption '!BR23+'FEEDER Consumption '!BU23</f>
        <v>0</v>
      </c>
      <c r="C18" s="145" t="s">
        <v>81</v>
      </c>
    </row>
    <row r="19" spans="1:3" x14ac:dyDescent="0.2">
      <c r="A19" s="146">
        <v>16</v>
      </c>
      <c r="B19" s="146">
        <f>'FEEDER Consumption '!AT24+'FEEDER Consumption '!BI24+'FEEDER Consumption '!BL24+'FEEDER Consumption '!BO24+'FEEDER Consumption '!BR24+'FEEDER Consumption '!BU24</f>
        <v>0</v>
      </c>
      <c r="C19" s="146" t="s">
        <v>81</v>
      </c>
    </row>
    <row r="20" spans="1:3" x14ac:dyDescent="0.2">
      <c r="A20" s="145">
        <v>17</v>
      </c>
      <c r="B20" s="145">
        <f>'FEEDER Consumption '!AT25+'FEEDER Consumption '!BI25+'FEEDER Consumption '!BL25+'FEEDER Consumption '!BO25+'FEEDER Consumption '!BR25+'FEEDER Consumption '!BU25</f>
        <v>0</v>
      </c>
      <c r="C20" s="145" t="s">
        <v>81</v>
      </c>
    </row>
    <row r="21" spans="1:3" x14ac:dyDescent="0.2">
      <c r="A21" s="146">
        <v>18</v>
      </c>
      <c r="B21" s="146">
        <f>'FEEDER Consumption '!AT26+'FEEDER Consumption '!BI26+'FEEDER Consumption '!BL26+'FEEDER Consumption '!BO26+'FEEDER Consumption '!BR26+'FEEDER Consumption '!BU26</f>
        <v>0</v>
      </c>
      <c r="C21" s="146" t="s">
        <v>81</v>
      </c>
    </row>
    <row r="22" spans="1:3" x14ac:dyDescent="0.2">
      <c r="A22" s="145">
        <v>19</v>
      </c>
      <c r="B22" s="145">
        <f>'FEEDER Consumption '!AT27+'FEEDER Consumption '!BI27+'FEEDER Consumption '!BL27+'FEEDER Consumption '!BO27+'FEEDER Consumption '!BR27+'FEEDER Consumption '!BU27</f>
        <v>0</v>
      </c>
      <c r="C22" s="145" t="s">
        <v>81</v>
      </c>
    </row>
    <row r="23" spans="1:3" x14ac:dyDescent="0.2">
      <c r="A23" s="146">
        <v>20</v>
      </c>
      <c r="B23" s="146">
        <f>'FEEDER Consumption '!AT28+'FEEDER Consumption '!BI28+'FEEDER Consumption '!BL28+'FEEDER Consumption '!BO28+'FEEDER Consumption '!BR28+'FEEDER Consumption '!BU28</f>
        <v>0</v>
      </c>
      <c r="C23" s="146" t="s">
        <v>81</v>
      </c>
    </row>
    <row r="24" spans="1:3" x14ac:dyDescent="0.2">
      <c r="A24" s="145">
        <v>21</v>
      </c>
      <c r="B24" s="145">
        <f>'FEEDER Consumption '!AT29+'FEEDER Consumption '!BI29+'FEEDER Consumption '!BL29+'FEEDER Consumption '!BO29+'FEEDER Consumption '!BR29+'FEEDER Consumption '!BU29</f>
        <v>0</v>
      </c>
      <c r="C24" s="145" t="s">
        <v>81</v>
      </c>
    </row>
    <row r="25" spans="1:3" x14ac:dyDescent="0.2">
      <c r="A25" s="146">
        <v>22</v>
      </c>
      <c r="B25" s="146">
        <f>'FEEDER Consumption '!AT30+'FEEDER Consumption '!BI30+'FEEDER Consumption '!BL30+'FEEDER Consumption '!BO30+'FEEDER Consumption '!BR30+'FEEDER Consumption '!BU30</f>
        <v>0</v>
      </c>
      <c r="C25" s="146" t="s">
        <v>81</v>
      </c>
    </row>
    <row r="26" spans="1:3" x14ac:dyDescent="0.2">
      <c r="A26" s="145">
        <v>23</v>
      </c>
      <c r="B26" s="145">
        <f>'FEEDER Consumption '!AT31+'FEEDER Consumption '!BI31+'FEEDER Consumption '!BL31+'FEEDER Consumption '!BO31+'FEEDER Consumption '!BR31+'FEEDER Consumption '!BU31</f>
        <v>0</v>
      </c>
      <c r="C26" s="145" t="s">
        <v>81</v>
      </c>
    </row>
    <row r="27" spans="1:3" x14ac:dyDescent="0.2">
      <c r="A27" s="146">
        <v>24</v>
      </c>
      <c r="B27" s="146">
        <f>'FEEDER Consumption '!AT32+'FEEDER Consumption '!BI32+'FEEDER Consumption '!BL32+'FEEDER Consumption '!BO32+'FEEDER Consumption '!BR32+'FEEDER Consumption '!BU32</f>
        <v>0</v>
      </c>
      <c r="C27" s="146" t="s">
        <v>81</v>
      </c>
    </row>
    <row r="28" spans="1:3" x14ac:dyDescent="0.2">
      <c r="A28" s="145">
        <v>25</v>
      </c>
      <c r="B28" s="145">
        <f>'FEEDER Consumption '!AT33+'FEEDER Consumption '!BI33+'FEEDER Consumption '!BL33+'FEEDER Consumption '!BO33+'FEEDER Consumption '!BR33+'FEEDER Consumption '!BU33</f>
        <v>0</v>
      </c>
      <c r="C28" s="145" t="s">
        <v>81</v>
      </c>
    </row>
    <row r="29" spans="1:3" x14ac:dyDescent="0.2">
      <c r="A29" s="146">
        <v>26</v>
      </c>
      <c r="B29" s="146">
        <f>'FEEDER Consumption '!AT34+'FEEDER Consumption '!BI34+'FEEDER Consumption '!BL34+'FEEDER Consumption '!BO34+'FEEDER Consumption '!BR34+'FEEDER Consumption '!BU34</f>
        <v>0</v>
      </c>
      <c r="C29" s="146" t="s">
        <v>81</v>
      </c>
    </row>
    <row r="30" spans="1:3" x14ac:dyDescent="0.2">
      <c r="A30" s="145">
        <v>27</v>
      </c>
      <c r="B30" s="145">
        <f>'FEEDER Consumption '!AT35+'FEEDER Consumption '!BI35+'FEEDER Consumption '!BL35+'FEEDER Consumption '!BO35+'FEEDER Consumption '!BR35+'FEEDER Consumption '!BU35</f>
        <v>0</v>
      </c>
      <c r="C30" s="145" t="s">
        <v>81</v>
      </c>
    </row>
    <row r="31" spans="1:3" x14ac:dyDescent="0.2">
      <c r="A31" s="146">
        <v>28</v>
      </c>
      <c r="B31" s="146">
        <f>'FEEDER Consumption '!AT36+'FEEDER Consumption '!BI36+'FEEDER Consumption '!BL36+'FEEDER Consumption '!BO36+'FEEDER Consumption '!BR36+'FEEDER Consumption '!BU36</f>
        <v>0</v>
      </c>
      <c r="C31" s="146" t="s">
        <v>81</v>
      </c>
    </row>
    <row r="32" spans="1:3" x14ac:dyDescent="0.2">
      <c r="A32" s="145">
        <v>29</v>
      </c>
      <c r="B32" s="145">
        <f>'FEEDER Consumption '!AT37+'FEEDER Consumption '!BI37+'FEEDER Consumption '!BL37+'FEEDER Consumption '!BO37+'FEEDER Consumption '!BR37+'FEEDER Consumption '!BU37</f>
        <v>0</v>
      </c>
      <c r="C32" s="145" t="s">
        <v>81</v>
      </c>
    </row>
    <row r="33" spans="1:3" x14ac:dyDescent="0.2">
      <c r="A33" s="146">
        <v>30</v>
      </c>
      <c r="B33" s="146">
        <f>'FEEDER Consumption '!AT38+'FEEDER Consumption '!BI38+'FEEDER Consumption '!BL38+'FEEDER Consumption '!BO38+'FEEDER Consumption '!BR38+'FEEDER Consumption '!BU38</f>
        <v>0</v>
      </c>
      <c r="C33" s="146" t="s">
        <v>81</v>
      </c>
    </row>
    <row r="34" spans="1:3" x14ac:dyDescent="0.2">
      <c r="A34" s="146" t="s">
        <v>7</v>
      </c>
      <c r="B34" s="146">
        <f>'FEEDER Consumption '!AT40+'FEEDER Consumption '!BI40+'FEEDER Consumption '!BL40+'FEEDER Consumption '!BO40+'FEEDER Consumption '!BR40+'FEEDER Consumption '!BU40</f>
        <v>-531503</v>
      </c>
      <c r="C34" s="146" t="s">
        <v>81</v>
      </c>
    </row>
  </sheetData>
  <mergeCells count="2">
    <mergeCell ref="A2:C3"/>
    <mergeCell ref="A1:C1"/>
  </mergeCells>
  <pageMargins left="0.7" right="0.7" top="0.75" bottom="0.75" header="0.3" footer="0.3"/>
  <pageSetup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"/>
  <sheetViews>
    <sheetView zoomScale="85" zoomScaleNormal="85" workbookViewId="0">
      <pane xSplit="1" topLeftCell="B1" activePane="topRight" state="frozen"/>
      <selection activeCell="M9" sqref="M9"/>
      <selection pane="topRight" activeCell="B32" sqref="B32"/>
    </sheetView>
  </sheetViews>
  <sheetFormatPr defaultRowHeight="12.75" x14ac:dyDescent="0.2"/>
  <cols>
    <col min="1" max="1" width="8.85546875" customWidth="1"/>
    <col min="2" max="9" width="12.28515625" style="18" customWidth="1"/>
    <col min="10" max="10" width="12.28515625" customWidth="1"/>
    <col min="11" max="11" width="12.28515625" style="18" customWidth="1"/>
    <col min="12" max="12" width="16.85546875" bestFit="1" customWidth="1"/>
    <col min="13" max="14" width="15.7109375" bestFit="1" customWidth="1"/>
    <col min="15" max="15" width="18" bestFit="1" customWidth="1"/>
    <col min="16" max="17" width="10.7109375" bestFit="1" customWidth="1"/>
    <col min="18" max="18" width="10.42578125" bestFit="1" customWidth="1"/>
  </cols>
  <sheetData>
    <row r="1" spans="1:18" ht="12.75" customHeight="1" x14ac:dyDescent="0.2">
      <c r="B1" s="109"/>
    </row>
    <row r="2" spans="1:18" ht="12.75" customHeight="1" x14ac:dyDescent="0.2">
      <c r="B2" s="109"/>
    </row>
    <row r="3" spans="1:18" x14ac:dyDescent="0.2">
      <c r="B3" s="107"/>
      <c r="C3" s="108"/>
    </row>
    <row r="4" spans="1:18" x14ac:dyDescent="0.2">
      <c r="B4" s="107"/>
      <c r="C4" s="107"/>
    </row>
    <row r="5" spans="1:18" s="1" customFormat="1" x14ac:dyDescent="0.2">
      <c r="A5" s="4"/>
      <c r="B5" s="96">
        <v>44170</v>
      </c>
      <c r="C5" s="108"/>
      <c r="D5" s="24"/>
      <c r="E5" s="24"/>
      <c r="F5" s="105"/>
      <c r="G5" s="106"/>
      <c r="H5" s="24"/>
      <c r="I5" s="24"/>
      <c r="K5" s="24"/>
    </row>
    <row r="6" spans="1:18" ht="13.5" thickBot="1" x14ac:dyDescent="0.25"/>
    <row r="7" spans="1:18" s="131" customFormat="1" ht="33.75" x14ac:dyDescent="0.2">
      <c r="A7" s="122"/>
      <c r="B7" s="127" t="s">
        <v>63</v>
      </c>
      <c r="C7" s="127" t="s">
        <v>51</v>
      </c>
      <c r="D7" s="128" t="s">
        <v>52</v>
      </c>
      <c r="E7" s="127" t="s">
        <v>53</v>
      </c>
      <c r="F7" s="129" t="s">
        <v>54</v>
      </c>
      <c r="G7" s="129" t="s">
        <v>64</v>
      </c>
      <c r="H7" s="129" t="s">
        <v>56</v>
      </c>
      <c r="I7" s="129" t="s">
        <v>57</v>
      </c>
      <c r="J7" s="123" t="s">
        <v>65</v>
      </c>
      <c r="K7" s="124" t="s">
        <v>59</v>
      </c>
      <c r="L7" s="130" t="s">
        <v>68</v>
      </c>
      <c r="M7" s="130" t="s">
        <v>69</v>
      </c>
      <c r="N7" s="130" t="s">
        <v>70</v>
      </c>
      <c r="O7" s="130" t="s">
        <v>71</v>
      </c>
      <c r="P7" s="130" t="s">
        <v>72</v>
      </c>
      <c r="Q7" s="130" t="s">
        <v>73</v>
      </c>
      <c r="R7" s="130" t="s">
        <v>74</v>
      </c>
    </row>
    <row r="8" spans="1:18" s="120" customFormat="1" ht="26.25" customHeight="1" thickBot="1" x14ac:dyDescent="0.25">
      <c r="A8" s="125" t="s">
        <v>5</v>
      </c>
      <c r="B8" s="126" t="s">
        <v>62</v>
      </c>
      <c r="C8" s="126" t="s">
        <v>62</v>
      </c>
      <c r="D8" s="126" t="s">
        <v>62</v>
      </c>
      <c r="E8" s="126" t="s">
        <v>62</v>
      </c>
      <c r="F8" s="126" t="s">
        <v>62</v>
      </c>
      <c r="G8" s="126" t="s">
        <v>62</v>
      </c>
      <c r="H8" s="126" t="s">
        <v>62</v>
      </c>
      <c r="I8" s="126" t="s">
        <v>62</v>
      </c>
      <c r="J8" s="126" t="s">
        <v>62</v>
      </c>
      <c r="K8" s="126" t="s">
        <v>62</v>
      </c>
    </row>
    <row r="9" spans="1:18" x14ac:dyDescent="0.2">
      <c r="A9" s="79">
        <v>1</v>
      </c>
      <c r="B9" s="92">
        <f>'FEEDER Consumption '!D9</f>
        <v>3696</v>
      </c>
      <c r="C9" s="90">
        <f>'FEEDER Consumption '!G9</f>
        <v>4179</v>
      </c>
      <c r="D9" s="90">
        <f>'FEEDER Consumption '!J9</f>
        <v>15480</v>
      </c>
      <c r="E9" s="90">
        <f>'FEEDER Consumption '!M9</f>
        <v>2280</v>
      </c>
      <c r="F9" s="90">
        <f>'FEEDER Consumption '!P9</f>
        <v>2738</v>
      </c>
      <c r="G9" s="90">
        <f>'FEEDER Consumption '!S9</f>
        <v>1900</v>
      </c>
      <c r="H9" s="90">
        <f>'FEEDER Consumption '!V9</f>
        <v>654</v>
      </c>
      <c r="I9" s="90">
        <f>'FEEDER Consumption '!Y9</f>
        <v>6300</v>
      </c>
      <c r="J9" s="67">
        <f>'FEEDER Consumption '!AB9</f>
        <v>3400</v>
      </c>
      <c r="K9" s="90">
        <f>'FEEDER Consumption '!AE9</f>
        <v>488</v>
      </c>
      <c r="L9" s="97">
        <f>SUM(E9:F9)</f>
        <v>5018</v>
      </c>
      <c r="M9" s="97">
        <f>SUM(I9:J9)</f>
        <v>9700</v>
      </c>
      <c r="N9" s="97">
        <f>SUM(G9:H9)</f>
        <v>2554</v>
      </c>
      <c r="O9" s="97">
        <f>'Focus Data'!I9</f>
        <v>31010</v>
      </c>
      <c r="P9" s="97">
        <f>L9/O9%</f>
        <v>16.181876813930987</v>
      </c>
      <c r="Q9" s="97">
        <f>M9/O9%</f>
        <v>31.280232183166717</v>
      </c>
      <c r="R9" s="97">
        <f>N9/O9%</f>
        <v>8.2360528861657532</v>
      </c>
    </row>
    <row r="10" spans="1:18" ht="13.5" customHeight="1" x14ac:dyDescent="0.2">
      <c r="A10" s="87">
        <v>2</v>
      </c>
      <c r="B10" s="92">
        <f>'FEEDER Consumption '!D10</f>
        <v>3757</v>
      </c>
      <c r="C10" s="90">
        <f>'FEEDER Consumption '!G10</f>
        <v>4756</v>
      </c>
      <c r="D10" s="90">
        <f>'FEEDER Consumption '!J10</f>
        <v>13845</v>
      </c>
      <c r="E10" s="90">
        <f>'FEEDER Consumption '!M10</f>
        <v>2200</v>
      </c>
      <c r="F10" s="90">
        <f>'FEEDER Consumption '!P10</f>
        <v>2654</v>
      </c>
      <c r="G10" s="90">
        <f>'FEEDER Consumption '!S10</f>
        <v>2000</v>
      </c>
      <c r="H10" s="90">
        <f>'FEEDER Consumption '!V10</f>
        <v>717</v>
      </c>
      <c r="I10" s="90">
        <f>'FEEDER Consumption '!Y10</f>
        <v>6500</v>
      </c>
      <c r="J10" s="67">
        <f>'FEEDER Consumption '!AB10</f>
        <v>2900</v>
      </c>
      <c r="K10" s="90">
        <f>'FEEDER Consumption '!AE10</f>
        <v>428</v>
      </c>
      <c r="L10" s="97">
        <f t="shared" ref="L10:L39" si="0">SUM(E10:F10)</f>
        <v>4854</v>
      </c>
      <c r="M10" s="97">
        <f t="shared" ref="M10:M39" si="1">SUM(I10:J10)</f>
        <v>9400</v>
      </c>
      <c r="N10" s="97">
        <f t="shared" ref="N10:N39" si="2">SUM(G10:H10)</f>
        <v>2717</v>
      </c>
      <c r="O10" s="97">
        <f>'Focus Data'!I10</f>
        <v>32495</v>
      </c>
      <c r="P10" s="97">
        <f t="shared" ref="P10:P39" si="3">L10/O10%</f>
        <v>14.937682720418527</v>
      </c>
      <c r="Q10" s="97">
        <f t="shared" ref="Q10:Q39" si="4">M10/O10%</f>
        <v>28.927527311894139</v>
      </c>
      <c r="R10" s="97">
        <f t="shared" ref="R10:R39" si="5">N10/O10%</f>
        <v>8.361286351746422</v>
      </c>
    </row>
    <row r="11" spans="1:18" ht="13.5" customHeight="1" x14ac:dyDescent="0.2">
      <c r="A11" s="87">
        <v>3</v>
      </c>
      <c r="B11" s="92">
        <f>'FEEDER Consumption '!D11</f>
        <v>4111</v>
      </c>
      <c r="C11" s="90">
        <f>'FEEDER Consumption '!G11</f>
        <v>4460</v>
      </c>
      <c r="D11" s="90">
        <f>'FEEDER Consumption '!J11</f>
        <v>13883</v>
      </c>
      <c r="E11" s="90">
        <f>'FEEDER Consumption '!M11</f>
        <v>2200</v>
      </c>
      <c r="F11" s="90">
        <f>'FEEDER Consumption '!P11</f>
        <v>2790</v>
      </c>
      <c r="G11" s="90">
        <f>'FEEDER Consumption '!S11</f>
        <v>2000</v>
      </c>
      <c r="H11" s="90">
        <f>'FEEDER Consumption '!V11</f>
        <v>688</v>
      </c>
      <c r="I11" s="90">
        <f>'FEEDER Consumption '!Y11</f>
        <v>6400</v>
      </c>
      <c r="J11" s="67">
        <f>'FEEDER Consumption '!AB11</f>
        <v>2700</v>
      </c>
      <c r="K11" s="90">
        <f>'FEEDER Consumption '!AE11</f>
        <v>412</v>
      </c>
      <c r="L11" s="97">
        <f t="shared" si="0"/>
        <v>4990</v>
      </c>
      <c r="M11" s="97">
        <f t="shared" si="1"/>
        <v>9100</v>
      </c>
      <c r="N11" s="97">
        <f t="shared" si="2"/>
        <v>2688</v>
      </c>
      <c r="O11" s="97">
        <f>'Focus Data'!I11</f>
        <v>32517</v>
      </c>
      <c r="P11" s="97">
        <f t="shared" si="3"/>
        <v>15.345819110003998</v>
      </c>
      <c r="Q11" s="97">
        <f t="shared" si="4"/>
        <v>27.985361503213703</v>
      </c>
      <c r="R11" s="97">
        <f t="shared" si="5"/>
        <v>8.2664452440262011</v>
      </c>
    </row>
    <row r="12" spans="1:18" ht="13.5" customHeight="1" x14ac:dyDescent="0.2">
      <c r="A12" s="87">
        <v>4</v>
      </c>
      <c r="B12" s="92">
        <f>'FEEDER Consumption '!D12</f>
        <v>4244</v>
      </c>
      <c r="C12" s="90">
        <f>'FEEDER Consumption '!G12</f>
        <v>4883</v>
      </c>
      <c r="D12" s="90">
        <f>'FEEDER Consumption '!J12</f>
        <v>14856</v>
      </c>
      <c r="E12" s="90">
        <f>'FEEDER Consumption '!M12</f>
        <v>2200</v>
      </c>
      <c r="F12" s="90">
        <f>'FEEDER Consumption '!P12</f>
        <v>2846</v>
      </c>
      <c r="G12" s="90">
        <f>'FEEDER Consumption '!S12</f>
        <v>2000</v>
      </c>
      <c r="H12" s="90">
        <f>'FEEDER Consumption '!V12</f>
        <v>693</v>
      </c>
      <c r="I12" s="90">
        <f>'FEEDER Consumption '!Y12</f>
        <v>5800</v>
      </c>
      <c r="J12" s="67">
        <f>'FEEDER Consumption '!AB12</f>
        <v>2900</v>
      </c>
      <c r="K12" s="90">
        <f>'FEEDER Consumption '!AE12</f>
        <v>418</v>
      </c>
      <c r="L12" s="97">
        <f t="shared" si="0"/>
        <v>5046</v>
      </c>
      <c r="M12" s="97">
        <f t="shared" si="1"/>
        <v>8700</v>
      </c>
      <c r="N12" s="97">
        <f t="shared" si="2"/>
        <v>2693</v>
      </c>
      <c r="O12" s="97">
        <f>'Focus Data'!I12</f>
        <v>33732</v>
      </c>
      <c r="P12" s="97">
        <f t="shared" si="3"/>
        <v>14.95908929206688</v>
      </c>
      <c r="Q12" s="97">
        <f t="shared" si="4"/>
        <v>25.791533262184277</v>
      </c>
      <c r="R12" s="97">
        <f t="shared" si="5"/>
        <v>7.983517135064627</v>
      </c>
    </row>
    <row r="13" spans="1:18" ht="13.5" customHeight="1" x14ac:dyDescent="0.2">
      <c r="A13" s="87">
        <v>5</v>
      </c>
      <c r="B13" s="92">
        <f>'FEEDER Consumption '!D13</f>
        <v>-25103892</v>
      </c>
      <c r="C13" s="90">
        <f>'FEEDER Consumption '!G13</f>
        <v>-21999466</v>
      </c>
      <c r="D13" s="90">
        <f>'FEEDER Consumption '!J13</f>
        <v>-83776294</v>
      </c>
      <c r="E13" s="90">
        <f>'FEEDER Consumption '!M13</f>
        <v>-1731100</v>
      </c>
      <c r="F13" s="90">
        <f>'FEEDER Consumption '!P13</f>
        <v>-2341951</v>
      </c>
      <c r="G13" s="90">
        <f>'FEEDER Consumption '!S13</f>
        <v>-1411800</v>
      </c>
      <c r="H13" s="90">
        <f>'FEEDER Consumption '!V13</f>
        <v>-662479</v>
      </c>
      <c r="I13" s="90">
        <f>'FEEDER Consumption '!Y13</f>
        <v>-6852800</v>
      </c>
      <c r="J13" s="67">
        <f>'FEEDER Consumption '!AB13</f>
        <v>-1497800</v>
      </c>
      <c r="K13" s="90">
        <f>'FEEDER Consumption '!AE13</f>
        <v>-444754</v>
      </c>
      <c r="L13" s="97">
        <f t="shared" si="0"/>
        <v>-4073051</v>
      </c>
      <c r="M13" s="97">
        <f t="shared" si="1"/>
        <v>-8350600</v>
      </c>
      <c r="N13" s="97">
        <f t="shared" si="2"/>
        <v>-2074279</v>
      </c>
      <c r="O13" s="97">
        <f>'Focus Data'!I13</f>
        <v>-88442521</v>
      </c>
      <c r="P13" s="97">
        <f t="shared" si="3"/>
        <v>4.6053085709757191</v>
      </c>
      <c r="Q13" s="97">
        <f t="shared" si="4"/>
        <v>9.4418385020933542</v>
      </c>
      <c r="R13" s="97">
        <f t="shared" si="5"/>
        <v>2.3453413319143177</v>
      </c>
    </row>
    <row r="14" spans="1:18" ht="13.5" customHeight="1" x14ac:dyDescent="0.2">
      <c r="A14" s="87">
        <v>6</v>
      </c>
      <c r="B14" s="92">
        <f>'FEEDER Consumption '!D14</f>
        <v>0</v>
      </c>
      <c r="C14" s="90">
        <f>'FEEDER Consumption '!G14</f>
        <v>0</v>
      </c>
      <c r="D14" s="90">
        <f>'FEEDER Consumption '!J14</f>
        <v>0</v>
      </c>
      <c r="E14" s="90">
        <f>'FEEDER Consumption '!M14</f>
        <v>0</v>
      </c>
      <c r="F14" s="90">
        <f>'FEEDER Consumption '!P14</f>
        <v>0</v>
      </c>
      <c r="G14" s="90">
        <f>'FEEDER Consumption '!S14</f>
        <v>0</v>
      </c>
      <c r="H14" s="90">
        <f>'FEEDER Consumption '!V14</f>
        <v>0</v>
      </c>
      <c r="I14" s="90">
        <f>'FEEDER Consumption '!Y14</f>
        <v>0</v>
      </c>
      <c r="J14" s="67">
        <f>'FEEDER Consumption '!AB14</f>
        <v>0</v>
      </c>
      <c r="K14" s="90">
        <f>'FEEDER Consumption '!AE14</f>
        <v>0</v>
      </c>
      <c r="L14" s="97">
        <f t="shared" si="0"/>
        <v>0</v>
      </c>
      <c r="M14" s="97">
        <f t="shared" si="1"/>
        <v>0</v>
      </c>
      <c r="N14" s="97">
        <f t="shared" si="2"/>
        <v>0</v>
      </c>
      <c r="O14" s="97">
        <f>'Focus Data'!I14</f>
        <v>0</v>
      </c>
      <c r="P14" s="97" t="e">
        <f t="shared" si="3"/>
        <v>#DIV/0!</v>
      </c>
      <c r="Q14" s="97" t="e">
        <f t="shared" si="4"/>
        <v>#DIV/0!</v>
      </c>
      <c r="R14" s="97" t="e">
        <f t="shared" si="5"/>
        <v>#DIV/0!</v>
      </c>
    </row>
    <row r="15" spans="1:18" ht="13.5" customHeight="1" x14ac:dyDescent="0.2">
      <c r="A15" s="87">
        <v>7</v>
      </c>
      <c r="B15" s="92">
        <f>'FEEDER Consumption '!D15</f>
        <v>0</v>
      </c>
      <c r="C15" s="90">
        <f>'FEEDER Consumption '!G15</f>
        <v>0</v>
      </c>
      <c r="D15" s="90">
        <f>'FEEDER Consumption '!J15</f>
        <v>0</v>
      </c>
      <c r="E15" s="90">
        <f>'FEEDER Consumption '!M15</f>
        <v>0</v>
      </c>
      <c r="F15" s="90">
        <f>'FEEDER Consumption '!P15</f>
        <v>0</v>
      </c>
      <c r="G15" s="90">
        <f>'FEEDER Consumption '!S15</f>
        <v>0</v>
      </c>
      <c r="H15" s="90">
        <f>'FEEDER Consumption '!V15</f>
        <v>0</v>
      </c>
      <c r="I15" s="90">
        <f>'FEEDER Consumption '!Y15</f>
        <v>0</v>
      </c>
      <c r="J15" s="67">
        <f>'FEEDER Consumption '!AB15</f>
        <v>0</v>
      </c>
      <c r="K15" s="90">
        <f>'FEEDER Consumption '!AE15</f>
        <v>0</v>
      </c>
      <c r="L15" s="97">
        <f t="shared" si="0"/>
        <v>0</v>
      </c>
      <c r="M15" s="97">
        <f t="shared" si="1"/>
        <v>0</v>
      </c>
      <c r="N15" s="97">
        <f t="shared" si="2"/>
        <v>0</v>
      </c>
      <c r="O15" s="97">
        <f>'Focus Data'!I15</f>
        <v>0</v>
      </c>
      <c r="P15" s="97" t="e">
        <f t="shared" si="3"/>
        <v>#DIV/0!</v>
      </c>
      <c r="Q15" s="97" t="e">
        <f t="shared" si="4"/>
        <v>#DIV/0!</v>
      </c>
      <c r="R15" s="97" t="e">
        <f t="shared" si="5"/>
        <v>#DIV/0!</v>
      </c>
    </row>
    <row r="16" spans="1:18" ht="13.5" customHeight="1" x14ac:dyDescent="0.2">
      <c r="A16" s="87">
        <v>8</v>
      </c>
      <c r="B16" s="92">
        <f>'FEEDER Consumption '!D16</f>
        <v>0</v>
      </c>
      <c r="C16" s="90">
        <f>'FEEDER Consumption '!G16</f>
        <v>0</v>
      </c>
      <c r="D16" s="90">
        <f>'FEEDER Consumption '!J16</f>
        <v>0</v>
      </c>
      <c r="E16" s="90">
        <f>'FEEDER Consumption '!M16</f>
        <v>0</v>
      </c>
      <c r="F16" s="90">
        <f>'FEEDER Consumption '!P16</f>
        <v>0</v>
      </c>
      <c r="G16" s="90">
        <f>'FEEDER Consumption '!S16</f>
        <v>0</v>
      </c>
      <c r="H16" s="90">
        <f>'FEEDER Consumption '!V16</f>
        <v>0</v>
      </c>
      <c r="I16" s="90">
        <f>'FEEDER Consumption '!Y16</f>
        <v>0</v>
      </c>
      <c r="J16" s="67">
        <f>'FEEDER Consumption '!AB16</f>
        <v>0</v>
      </c>
      <c r="K16" s="90">
        <f>'FEEDER Consumption '!AE16</f>
        <v>0</v>
      </c>
      <c r="L16" s="97">
        <f t="shared" si="0"/>
        <v>0</v>
      </c>
      <c r="M16" s="97">
        <f t="shared" si="1"/>
        <v>0</v>
      </c>
      <c r="N16" s="97">
        <f t="shared" si="2"/>
        <v>0</v>
      </c>
      <c r="O16" s="97">
        <f>'Focus Data'!I16</f>
        <v>0</v>
      </c>
      <c r="P16" s="97" t="e">
        <f t="shared" si="3"/>
        <v>#DIV/0!</v>
      </c>
      <c r="Q16" s="97" t="e">
        <f t="shared" si="4"/>
        <v>#DIV/0!</v>
      </c>
      <c r="R16" s="97" t="e">
        <f t="shared" si="5"/>
        <v>#DIV/0!</v>
      </c>
    </row>
    <row r="17" spans="1:18" ht="13.5" customHeight="1" x14ac:dyDescent="0.2">
      <c r="A17" s="87">
        <v>9</v>
      </c>
      <c r="B17" s="92">
        <f>'FEEDER Consumption '!D17</f>
        <v>0</v>
      </c>
      <c r="C17" s="90">
        <f>'FEEDER Consumption '!G17</f>
        <v>0</v>
      </c>
      <c r="D17" s="90">
        <f>'FEEDER Consumption '!J17</f>
        <v>0</v>
      </c>
      <c r="E17" s="90">
        <f>'FEEDER Consumption '!M17</f>
        <v>0</v>
      </c>
      <c r="F17" s="90">
        <f>'FEEDER Consumption '!P17</f>
        <v>0</v>
      </c>
      <c r="G17" s="90">
        <f>'FEEDER Consumption '!S17</f>
        <v>0</v>
      </c>
      <c r="H17" s="90">
        <f>'FEEDER Consumption '!V17</f>
        <v>0</v>
      </c>
      <c r="I17" s="90">
        <f>'FEEDER Consumption '!Y17</f>
        <v>0</v>
      </c>
      <c r="J17" s="67">
        <f>'FEEDER Consumption '!AB17</f>
        <v>0</v>
      </c>
      <c r="K17" s="90">
        <f>'FEEDER Consumption '!AE17</f>
        <v>0</v>
      </c>
      <c r="L17" s="97">
        <f t="shared" si="0"/>
        <v>0</v>
      </c>
      <c r="M17" s="97">
        <f t="shared" si="1"/>
        <v>0</v>
      </c>
      <c r="N17" s="97">
        <f t="shared" si="2"/>
        <v>0</v>
      </c>
      <c r="O17" s="97">
        <f>'Focus Data'!I17</f>
        <v>0</v>
      </c>
      <c r="P17" s="97" t="e">
        <f t="shared" si="3"/>
        <v>#DIV/0!</v>
      </c>
      <c r="Q17" s="97" t="e">
        <f t="shared" si="4"/>
        <v>#DIV/0!</v>
      </c>
      <c r="R17" s="97" t="e">
        <f t="shared" si="5"/>
        <v>#DIV/0!</v>
      </c>
    </row>
    <row r="18" spans="1:18" ht="13.5" customHeight="1" x14ac:dyDescent="0.2">
      <c r="A18" s="87">
        <v>10</v>
      </c>
      <c r="B18" s="92">
        <f>'FEEDER Consumption '!D18</f>
        <v>0</v>
      </c>
      <c r="C18" s="90">
        <f>'FEEDER Consumption '!G18</f>
        <v>0</v>
      </c>
      <c r="D18" s="90">
        <f>'FEEDER Consumption '!J18</f>
        <v>0</v>
      </c>
      <c r="E18" s="90">
        <f>'FEEDER Consumption '!M18</f>
        <v>0</v>
      </c>
      <c r="F18" s="90">
        <f>'FEEDER Consumption '!P18</f>
        <v>0</v>
      </c>
      <c r="G18" s="90">
        <f>'FEEDER Consumption '!S18</f>
        <v>0</v>
      </c>
      <c r="H18" s="90">
        <f>'FEEDER Consumption '!V18</f>
        <v>0</v>
      </c>
      <c r="I18" s="90">
        <f>'FEEDER Consumption '!Y18</f>
        <v>0</v>
      </c>
      <c r="J18" s="67">
        <f>'FEEDER Consumption '!AB18</f>
        <v>0</v>
      </c>
      <c r="K18" s="90">
        <f>'FEEDER Consumption '!AE18</f>
        <v>0</v>
      </c>
      <c r="L18" s="97">
        <f t="shared" si="0"/>
        <v>0</v>
      </c>
      <c r="M18" s="97">
        <f t="shared" si="1"/>
        <v>0</v>
      </c>
      <c r="N18" s="97">
        <f t="shared" si="2"/>
        <v>0</v>
      </c>
      <c r="O18" s="97">
        <f>'Focus Data'!I18</f>
        <v>0</v>
      </c>
      <c r="P18" s="97" t="e">
        <f t="shared" si="3"/>
        <v>#DIV/0!</v>
      </c>
      <c r="Q18" s="97" t="e">
        <f t="shared" si="4"/>
        <v>#DIV/0!</v>
      </c>
      <c r="R18" s="97" t="e">
        <f t="shared" si="5"/>
        <v>#DIV/0!</v>
      </c>
    </row>
    <row r="19" spans="1:18" ht="13.5" customHeight="1" x14ac:dyDescent="0.2">
      <c r="A19" s="87">
        <v>11</v>
      </c>
      <c r="B19" s="92">
        <f>'FEEDER Consumption '!D19</f>
        <v>0</v>
      </c>
      <c r="C19" s="90">
        <f>'FEEDER Consumption '!G19</f>
        <v>0</v>
      </c>
      <c r="D19" s="90">
        <f>'FEEDER Consumption '!J19</f>
        <v>0</v>
      </c>
      <c r="E19" s="90">
        <f>'FEEDER Consumption '!M19</f>
        <v>0</v>
      </c>
      <c r="F19" s="90">
        <f>'FEEDER Consumption '!P19</f>
        <v>0</v>
      </c>
      <c r="G19" s="90">
        <f>'FEEDER Consumption '!S19</f>
        <v>0</v>
      </c>
      <c r="H19" s="90">
        <f>'FEEDER Consumption '!V19</f>
        <v>0</v>
      </c>
      <c r="I19" s="90">
        <f>'FEEDER Consumption '!Y19</f>
        <v>0</v>
      </c>
      <c r="J19" s="67">
        <f>'FEEDER Consumption '!AB19</f>
        <v>0</v>
      </c>
      <c r="K19" s="90">
        <f>'FEEDER Consumption '!AE19</f>
        <v>0</v>
      </c>
      <c r="L19" s="97">
        <f t="shared" si="0"/>
        <v>0</v>
      </c>
      <c r="M19" s="97">
        <f t="shared" si="1"/>
        <v>0</v>
      </c>
      <c r="N19" s="97">
        <f t="shared" si="2"/>
        <v>0</v>
      </c>
      <c r="O19" s="97">
        <f>'Focus Data'!I19</f>
        <v>0</v>
      </c>
      <c r="P19" s="97" t="e">
        <f t="shared" si="3"/>
        <v>#DIV/0!</v>
      </c>
      <c r="Q19" s="97" t="e">
        <f t="shared" si="4"/>
        <v>#DIV/0!</v>
      </c>
      <c r="R19" s="97" t="e">
        <f t="shared" si="5"/>
        <v>#DIV/0!</v>
      </c>
    </row>
    <row r="20" spans="1:18" ht="13.5" customHeight="1" x14ac:dyDescent="0.2">
      <c r="A20" s="87">
        <v>12</v>
      </c>
      <c r="B20" s="92">
        <f>'FEEDER Consumption '!D20</f>
        <v>0</v>
      </c>
      <c r="C20" s="90">
        <f>'FEEDER Consumption '!G20</f>
        <v>0</v>
      </c>
      <c r="D20" s="90">
        <f>'FEEDER Consumption '!J20</f>
        <v>0</v>
      </c>
      <c r="E20" s="90">
        <f>'FEEDER Consumption '!M20</f>
        <v>0</v>
      </c>
      <c r="F20" s="90">
        <f>'FEEDER Consumption '!P20</f>
        <v>0</v>
      </c>
      <c r="G20" s="90">
        <f>'FEEDER Consumption '!S20</f>
        <v>0</v>
      </c>
      <c r="H20" s="90">
        <f>'FEEDER Consumption '!V20</f>
        <v>0</v>
      </c>
      <c r="I20" s="90">
        <f>'FEEDER Consumption '!Y20</f>
        <v>0</v>
      </c>
      <c r="J20" s="67">
        <f>'FEEDER Consumption '!AB20</f>
        <v>0</v>
      </c>
      <c r="K20" s="90">
        <f>'FEEDER Consumption '!AE20</f>
        <v>0</v>
      </c>
      <c r="L20" s="97">
        <f t="shared" si="0"/>
        <v>0</v>
      </c>
      <c r="M20" s="97">
        <f t="shared" si="1"/>
        <v>0</v>
      </c>
      <c r="N20" s="97">
        <f t="shared" si="2"/>
        <v>0</v>
      </c>
      <c r="O20" s="97">
        <f>'Focus Data'!I20</f>
        <v>0</v>
      </c>
      <c r="P20" s="97" t="e">
        <f t="shared" si="3"/>
        <v>#DIV/0!</v>
      </c>
      <c r="Q20" s="97" t="e">
        <f t="shared" si="4"/>
        <v>#DIV/0!</v>
      </c>
      <c r="R20" s="97" t="e">
        <f t="shared" si="5"/>
        <v>#DIV/0!</v>
      </c>
    </row>
    <row r="21" spans="1:18" ht="13.5" customHeight="1" x14ac:dyDescent="0.2">
      <c r="A21" s="87">
        <v>13</v>
      </c>
      <c r="B21" s="92">
        <f>'FEEDER Consumption '!D21</f>
        <v>0</v>
      </c>
      <c r="C21" s="90">
        <f>'FEEDER Consumption '!G21</f>
        <v>0</v>
      </c>
      <c r="D21" s="90">
        <f>'FEEDER Consumption '!J21</f>
        <v>0</v>
      </c>
      <c r="E21" s="90">
        <f>'FEEDER Consumption '!M21</f>
        <v>0</v>
      </c>
      <c r="F21" s="90">
        <f>'FEEDER Consumption '!P21</f>
        <v>0</v>
      </c>
      <c r="G21" s="90">
        <f>'FEEDER Consumption '!S21</f>
        <v>0</v>
      </c>
      <c r="H21" s="90">
        <f>'FEEDER Consumption '!V21</f>
        <v>0</v>
      </c>
      <c r="I21" s="90">
        <f>'FEEDER Consumption '!Y21</f>
        <v>0</v>
      </c>
      <c r="J21" s="67">
        <f>'FEEDER Consumption '!AB21</f>
        <v>0</v>
      </c>
      <c r="K21" s="90">
        <f>'FEEDER Consumption '!AE21</f>
        <v>0</v>
      </c>
      <c r="L21" s="97">
        <f t="shared" si="0"/>
        <v>0</v>
      </c>
      <c r="M21" s="97">
        <f t="shared" si="1"/>
        <v>0</v>
      </c>
      <c r="N21" s="97">
        <f t="shared" si="2"/>
        <v>0</v>
      </c>
      <c r="O21" s="97">
        <f>'Focus Data'!I21</f>
        <v>0</v>
      </c>
      <c r="P21" s="97" t="e">
        <f t="shared" si="3"/>
        <v>#DIV/0!</v>
      </c>
      <c r="Q21" s="97" t="e">
        <f t="shared" si="4"/>
        <v>#DIV/0!</v>
      </c>
      <c r="R21" s="97" t="e">
        <f t="shared" si="5"/>
        <v>#DIV/0!</v>
      </c>
    </row>
    <row r="22" spans="1:18" ht="13.5" customHeight="1" x14ac:dyDescent="0.2">
      <c r="A22" s="87">
        <v>14</v>
      </c>
      <c r="B22" s="92">
        <f>'FEEDER Consumption '!D22</f>
        <v>0</v>
      </c>
      <c r="C22" s="90">
        <f>'FEEDER Consumption '!G22</f>
        <v>0</v>
      </c>
      <c r="D22" s="90">
        <f>'FEEDER Consumption '!J22</f>
        <v>0</v>
      </c>
      <c r="E22" s="90">
        <f>'FEEDER Consumption '!M22</f>
        <v>0</v>
      </c>
      <c r="F22" s="90">
        <f>'FEEDER Consumption '!P22</f>
        <v>0</v>
      </c>
      <c r="G22" s="90">
        <f>'FEEDER Consumption '!S22</f>
        <v>0</v>
      </c>
      <c r="H22" s="90">
        <f>'FEEDER Consumption '!V22</f>
        <v>0</v>
      </c>
      <c r="I22" s="90">
        <f>'FEEDER Consumption '!Y22</f>
        <v>0</v>
      </c>
      <c r="J22" s="67">
        <f>'FEEDER Consumption '!AB22</f>
        <v>0</v>
      </c>
      <c r="K22" s="90">
        <f>'FEEDER Consumption '!AE22</f>
        <v>0</v>
      </c>
      <c r="L22" s="97">
        <f t="shared" si="0"/>
        <v>0</v>
      </c>
      <c r="M22" s="97">
        <f t="shared" si="1"/>
        <v>0</v>
      </c>
      <c r="N22" s="97">
        <f t="shared" si="2"/>
        <v>0</v>
      </c>
      <c r="O22" s="97">
        <f>'Focus Data'!I22</f>
        <v>0</v>
      </c>
      <c r="P22" s="97" t="e">
        <f t="shared" si="3"/>
        <v>#DIV/0!</v>
      </c>
      <c r="Q22" s="97" t="e">
        <f t="shared" si="4"/>
        <v>#DIV/0!</v>
      </c>
      <c r="R22" s="97" t="e">
        <f t="shared" si="5"/>
        <v>#DIV/0!</v>
      </c>
    </row>
    <row r="23" spans="1:18" ht="13.5" customHeight="1" x14ac:dyDescent="0.2">
      <c r="A23" s="87">
        <v>15</v>
      </c>
      <c r="B23" s="92">
        <f>'FEEDER Consumption '!D23</f>
        <v>0</v>
      </c>
      <c r="C23" s="90">
        <f>'FEEDER Consumption '!G23</f>
        <v>0</v>
      </c>
      <c r="D23" s="90">
        <f>'FEEDER Consumption '!J23</f>
        <v>0</v>
      </c>
      <c r="E23" s="90">
        <f>'FEEDER Consumption '!M23</f>
        <v>0</v>
      </c>
      <c r="F23" s="90">
        <f>'FEEDER Consumption '!P23</f>
        <v>0</v>
      </c>
      <c r="G23" s="90">
        <f>'FEEDER Consumption '!S23</f>
        <v>0</v>
      </c>
      <c r="H23" s="90">
        <f>'FEEDER Consumption '!V23</f>
        <v>0</v>
      </c>
      <c r="I23" s="90">
        <f>'FEEDER Consumption '!Y23</f>
        <v>0</v>
      </c>
      <c r="J23" s="67">
        <f>'FEEDER Consumption '!AB23</f>
        <v>0</v>
      </c>
      <c r="K23" s="90">
        <f>'FEEDER Consumption '!AE23</f>
        <v>0</v>
      </c>
      <c r="L23" s="97">
        <f t="shared" si="0"/>
        <v>0</v>
      </c>
      <c r="M23" s="97">
        <f t="shared" si="1"/>
        <v>0</v>
      </c>
      <c r="N23" s="97">
        <f t="shared" si="2"/>
        <v>0</v>
      </c>
      <c r="O23" s="97">
        <f>'Focus Data'!I23</f>
        <v>0</v>
      </c>
      <c r="P23" s="97" t="e">
        <f t="shared" si="3"/>
        <v>#DIV/0!</v>
      </c>
      <c r="Q23" s="97" t="e">
        <f t="shared" si="4"/>
        <v>#DIV/0!</v>
      </c>
      <c r="R23" s="97" t="e">
        <f t="shared" si="5"/>
        <v>#DIV/0!</v>
      </c>
    </row>
    <row r="24" spans="1:18" ht="13.5" customHeight="1" x14ac:dyDescent="0.2">
      <c r="A24" s="87">
        <v>16</v>
      </c>
      <c r="B24" s="92">
        <f>'FEEDER Consumption '!D24</f>
        <v>0</v>
      </c>
      <c r="C24" s="90">
        <f>'FEEDER Consumption '!G24</f>
        <v>0</v>
      </c>
      <c r="D24" s="90">
        <f>'FEEDER Consumption '!J24</f>
        <v>0</v>
      </c>
      <c r="E24" s="90">
        <f>'FEEDER Consumption '!M24</f>
        <v>0</v>
      </c>
      <c r="F24" s="90">
        <f>'FEEDER Consumption '!P24</f>
        <v>0</v>
      </c>
      <c r="G24" s="90">
        <f>'FEEDER Consumption '!S24</f>
        <v>0</v>
      </c>
      <c r="H24" s="90">
        <f>'FEEDER Consumption '!V24</f>
        <v>0</v>
      </c>
      <c r="I24" s="90">
        <f>'FEEDER Consumption '!Y24</f>
        <v>0</v>
      </c>
      <c r="J24" s="67">
        <f>'FEEDER Consumption '!AB24</f>
        <v>0</v>
      </c>
      <c r="K24" s="90">
        <f>'FEEDER Consumption '!AE24</f>
        <v>0</v>
      </c>
      <c r="L24" s="97">
        <f t="shared" si="0"/>
        <v>0</v>
      </c>
      <c r="M24" s="97">
        <f t="shared" si="1"/>
        <v>0</v>
      </c>
      <c r="N24" s="97">
        <f t="shared" si="2"/>
        <v>0</v>
      </c>
      <c r="O24" s="97">
        <f>'Focus Data'!I24</f>
        <v>0</v>
      </c>
      <c r="P24" s="97" t="e">
        <f t="shared" si="3"/>
        <v>#DIV/0!</v>
      </c>
      <c r="Q24" s="97" t="e">
        <f t="shared" si="4"/>
        <v>#DIV/0!</v>
      </c>
      <c r="R24" s="97" t="e">
        <f t="shared" si="5"/>
        <v>#DIV/0!</v>
      </c>
    </row>
    <row r="25" spans="1:18" ht="13.5" customHeight="1" x14ac:dyDescent="0.2">
      <c r="A25" s="87">
        <v>17</v>
      </c>
      <c r="B25" s="92">
        <f>'FEEDER Consumption '!D25</f>
        <v>0</v>
      </c>
      <c r="C25" s="90">
        <f>'FEEDER Consumption '!G25</f>
        <v>0</v>
      </c>
      <c r="D25" s="90">
        <f>'FEEDER Consumption '!J25</f>
        <v>0</v>
      </c>
      <c r="E25" s="90">
        <f>'FEEDER Consumption '!M25</f>
        <v>0</v>
      </c>
      <c r="F25" s="90">
        <f>'FEEDER Consumption '!P25</f>
        <v>0</v>
      </c>
      <c r="G25" s="90">
        <f>'FEEDER Consumption '!S25</f>
        <v>0</v>
      </c>
      <c r="H25" s="90">
        <f>'FEEDER Consumption '!V25</f>
        <v>0</v>
      </c>
      <c r="I25" s="90">
        <f>'FEEDER Consumption '!Y25</f>
        <v>0</v>
      </c>
      <c r="J25" s="67">
        <f>'FEEDER Consumption '!AB25</f>
        <v>0</v>
      </c>
      <c r="K25" s="90">
        <f>'FEEDER Consumption '!AE25</f>
        <v>0</v>
      </c>
      <c r="L25" s="97">
        <f t="shared" si="0"/>
        <v>0</v>
      </c>
      <c r="M25" s="97">
        <f t="shared" si="1"/>
        <v>0</v>
      </c>
      <c r="N25" s="97">
        <f t="shared" si="2"/>
        <v>0</v>
      </c>
      <c r="O25" s="97">
        <f>'Focus Data'!I25</f>
        <v>0</v>
      </c>
      <c r="P25" s="97" t="e">
        <f t="shared" si="3"/>
        <v>#DIV/0!</v>
      </c>
      <c r="Q25" s="97" t="e">
        <f t="shared" si="4"/>
        <v>#DIV/0!</v>
      </c>
      <c r="R25" s="97" t="e">
        <f t="shared" si="5"/>
        <v>#DIV/0!</v>
      </c>
    </row>
    <row r="26" spans="1:18" ht="13.5" customHeight="1" x14ac:dyDescent="0.2">
      <c r="A26" s="87">
        <v>18</v>
      </c>
      <c r="B26" s="92">
        <f>'FEEDER Consumption '!D26</f>
        <v>0</v>
      </c>
      <c r="C26" s="90">
        <f>'FEEDER Consumption '!G26</f>
        <v>0</v>
      </c>
      <c r="D26" s="90">
        <f>'FEEDER Consumption '!J26</f>
        <v>0</v>
      </c>
      <c r="E26" s="90">
        <f>'FEEDER Consumption '!M26</f>
        <v>0</v>
      </c>
      <c r="F26" s="90">
        <f>'FEEDER Consumption '!P26</f>
        <v>0</v>
      </c>
      <c r="G26" s="90">
        <f>'FEEDER Consumption '!S26</f>
        <v>0</v>
      </c>
      <c r="H26" s="90">
        <f>'FEEDER Consumption '!V26</f>
        <v>0</v>
      </c>
      <c r="I26" s="90">
        <f>'FEEDER Consumption '!Y26</f>
        <v>0</v>
      </c>
      <c r="J26" s="67">
        <f>'FEEDER Consumption '!AB26</f>
        <v>0</v>
      </c>
      <c r="K26" s="90">
        <f>'FEEDER Consumption '!AE26</f>
        <v>0</v>
      </c>
      <c r="L26" s="97">
        <f t="shared" si="0"/>
        <v>0</v>
      </c>
      <c r="M26" s="97">
        <f t="shared" si="1"/>
        <v>0</v>
      </c>
      <c r="N26" s="97">
        <f t="shared" si="2"/>
        <v>0</v>
      </c>
      <c r="O26" s="97">
        <f>'Focus Data'!I26</f>
        <v>0</v>
      </c>
      <c r="P26" s="97" t="e">
        <f t="shared" si="3"/>
        <v>#DIV/0!</v>
      </c>
      <c r="Q26" s="97" t="e">
        <f t="shared" si="4"/>
        <v>#DIV/0!</v>
      </c>
      <c r="R26" s="97" t="e">
        <f t="shared" si="5"/>
        <v>#DIV/0!</v>
      </c>
    </row>
    <row r="27" spans="1:18" ht="13.5" customHeight="1" x14ac:dyDescent="0.2">
      <c r="A27" s="87">
        <v>19</v>
      </c>
      <c r="B27" s="92">
        <f>'FEEDER Consumption '!D27</f>
        <v>0</v>
      </c>
      <c r="C27" s="90">
        <f>'FEEDER Consumption '!G27</f>
        <v>0</v>
      </c>
      <c r="D27" s="90">
        <f>'FEEDER Consumption '!J27</f>
        <v>0</v>
      </c>
      <c r="E27" s="90">
        <f>'FEEDER Consumption '!M27</f>
        <v>0</v>
      </c>
      <c r="F27" s="90">
        <f>'FEEDER Consumption '!P27</f>
        <v>0</v>
      </c>
      <c r="G27" s="90">
        <f>'FEEDER Consumption '!S27</f>
        <v>0</v>
      </c>
      <c r="H27" s="90">
        <f>'FEEDER Consumption '!V27</f>
        <v>0</v>
      </c>
      <c r="I27" s="90">
        <f>'FEEDER Consumption '!Y27</f>
        <v>0</v>
      </c>
      <c r="J27" s="67">
        <f>'FEEDER Consumption '!AB27</f>
        <v>0</v>
      </c>
      <c r="K27" s="90">
        <f>'FEEDER Consumption '!AE27</f>
        <v>0</v>
      </c>
      <c r="L27" s="97">
        <f t="shared" si="0"/>
        <v>0</v>
      </c>
      <c r="M27" s="97">
        <f t="shared" si="1"/>
        <v>0</v>
      </c>
      <c r="N27" s="97">
        <f t="shared" si="2"/>
        <v>0</v>
      </c>
      <c r="O27" s="97">
        <f>'Focus Data'!I27</f>
        <v>0</v>
      </c>
      <c r="P27" s="97" t="e">
        <f t="shared" si="3"/>
        <v>#DIV/0!</v>
      </c>
      <c r="Q27" s="97" t="e">
        <f t="shared" si="4"/>
        <v>#DIV/0!</v>
      </c>
      <c r="R27" s="97" t="e">
        <f t="shared" si="5"/>
        <v>#DIV/0!</v>
      </c>
    </row>
    <row r="28" spans="1:18" ht="13.5" customHeight="1" x14ac:dyDescent="0.2">
      <c r="A28" s="87">
        <v>20</v>
      </c>
      <c r="B28" s="92">
        <f>'FEEDER Consumption '!D28</f>
        <v>0</v>
      </c>
      <c r="C28" s="90">
        <f>'FEEDER Consumption '!G28</f>
        <v>0</v>
      </c>
      <c r="D28" s="90">
        <f>'FEEDER Consumption '!J28</f>
        <v>0</v>
      </c>
      <c r="E28" s="90">
        <f>'FEEDER Consumption '!M28</f>
        <v>0</v>
      </c>
      <c r="F28" s="90">
        <f>'FEEDER Consumption '!P28</f>
        <v>0</v>
      </c>
      <c r="G28" s="90">
        <f>'FEEDER Consumption '!S28</f>
        <v>0</v>
      </c>
      <c r="H28" s="90">
        <f>'FEEDER Consumption '!V28</f>
        <v>0</v>
      </c>
      <c r="I28" s="90">
        <f>'FEEDER Consumption '!Y28</f>
        <v>0</v>
      </c>
      <c r="J28" s="67">
        <f>'FEEDER Consumption '!AB28</f>
        <v>0</v>
      </c>
      <c r="K28" s="90">
        <f>'FEEDER Consumption '!AE28</f>
        <v>0</v>
      </c>
      <c r="L28" s="97">
        <f t="shared" si="0"/>
        <v>0</v>
      </c>
      <c r="M28" s="97">
        <f t="shared" si="1"/>
        <v>0</v>
      </c>
      <c r="N28" s="97">
        <f t="shared" si="2"/>
        <v>0</v>
      </c>
      <c r="O28" s="97">
        <f>'Focus Data'!I28</f>
        <v>0</v>
      </c>
      <c r="P28" s="97" t="e">
        <f t="shared" si="3"/>
        <v>#DIV/0!</v>
      </c>
      <c r="Q28" s="97" t="e">
        <f t="shared" si="4"/>
        <v>#DIV/0!</v>
      </c>
      <c r="R28" s="97" t="e">
        <f t="shared" si="5"/>
        <v>#DIV/0!</v>
      </c>
    </row>
    <row r="29" spans="1:18" ht="13.5" customHeight="1" x14ac:dyDescent="0.2">
      <c r="A29" s="87">
        <v>21</v>
      </c>
      <c r="B29" s="92">
        <f>'FEEDER Consumption '!D29</f>
        <v>0</v>
      </c>
      <c r="C29" s="90">
        <f>'FEEDER Consumption '!G29</f>
        <v>0</v>
      </c>
      <c r="D29" s="90">
        <f>'FEEDER Consumption '!J29</f>
        <v>0</v>
      </c>
      <c r="E29" s="90">
        <f>'FEEDER Consumption '!M29</f>
        <v>0</v>
      </c>
      <c r="F29" s="90">
        <f>'FEEDER Consumption '!P29</f>
        <v>0</v>
      </c>
      <c r="G29" s="90">
        <f>'FEEDER Consumption '!S29</f>
        <v>0</v>
      </c>
      <c r="H29" s="90">
        <f>'FEEDER Consumption '!V29</f>
        <v>0</v>
      </c>
      <c r="I29" s="90">
        <f>'FEEDER Consumption '!Y29</f>
        <v>0</v>
      </c>
      <c r="J29" s="67">
        <f>'FEEDER Consumption '!AB29</f>
        <v>0</v>
      </c>
      <c r="K29" s="90">
        <f>'FEEDER Consumption '!AE29</f>
        <v>0</v>
      </c>
      <c r="L29" s="97">
        <f t="shared" si="0"/>
        <v>0</v>
      </c>
      <c r="M29" s="97">
        <f t="shared" si="1"/>
        <v>0</v>
      </c>
      <c r="N29" s="97">
        <f t="shared" si="2"/>
        <v>0</v>
      </c>
      <c r="O29" s="97">
        <f>'Focus Data'!I29</f>
        <v>0</v>
      </c>
      <c r="P29" s="97" t="e">
        <f t="shared" si="3"/>
        <v>#DIV/0!</v>
      </c>
      <c r="Q29" s="97" t="e">
        <f t="shared" si="4"/>
        <v>#DIV/0!</v>
      </c>
      <c r="R29" s="97" t="e">
        <f t="shared" si="5"/>
        <v>#DIV/0!</v>
      </c>
    </row>
    <row r="30" spans="1:18" ht="13.5" customHeight="1" x14ac:dyDescent="0.2">
      <c r="A30" s="87">
        <v>22</v>
      </c>
      <c r="B30" s="92">
        <f>'FEEDER Consumption '!D30</f>
        <v>0</v>
      </c>
      <c r="C30" s="90">
        <f>'FEEDER Consumption '!G30</f>
        <v>0</v>
      </c>
      <c r="D30" s="90">
        <f>'FEEDER Consumption '!J30</f>
        <v>0</v>
      </c>
      <c r="E30" s="90">
        <f>'FEEDER Consumption '!M30</f>
        <v>0</v>
      </c>
      <c r="F30" s="90">
        <f>'FEEDER Consumption '!P30</f>
        <v>0</v>
      </c>
      <c r="G30" s="90">
        <f>'FEEDER Consumption '!S30</f>
        <v>0</v>
      </c>
      <c r="H30" s="90">
        <f>'FEEDER Consumption '!V30</f>
        <v>0</v>
      </c>
      <c r="I30" s="90">
        <f>'FEEDER Consumption '!Y30</f>
        <v>0</v>
      </c>
      <c r="J30" s="67">
        <f>'FEEDER Consumption '!AB30</f>
        <v>0</v>
      </c>
      <c r="K30" s="90">
        <f>'FEEDER Consumption '!AE30</f>
        <v>0</v>
      </c>
      <c r="L30" s="97">
        <f t="shared" si="0"/>
        <v>0</v>
      </c>
      <c r="M30" s="97">
        <f t="shared" si="1"/>
        <v>0</v>
      </c>
      <c r="N30" s="97">
        <f t="shared" si="2"/>
        <v>0</v>
      </c>
      <c r="O30" s="97">
        <f>'Focus Data'!I30</f>
        <v>0</v>
      </c>
      <c r="P30" s="97" t="e">
        <f t="shared" si="3"/>
        <v>#DIV/0!</v>
      </c>
      <c r="Q30" s="97" t="e">
        <f t="shared" si="4"/>
        <v>#DIV/0!</v>
      </c>
      <c r="R30" s="97" t="e">
        <f t="shared" si="5"/>
        <v>#DIV/0!</v>
      </c>
    </row>
    <row r="31" spans="1:18" ht="13.5" customHeight="1" x14ac:dyDescent="0.2">
      <c r="A31" s="87">
        <v>23</v>
      </c>
      <c r="B31" s="92">
        <f>'FEEDER Consumption '!D31</f>
        <v>0</v>
      </c>
      <c r="C31" s="90">
        <f>'FEEDER Consumption '!G31</f>
        <v>0</v>
      </c>
      <c r="D31" s="90">
        <f>'FEEDER Consumption '!J31</f>
        <v>0</v>
      </c>
      <c r="E31" s="90">
        <f>'FEEDER Consumption '!M31</f>
        <v>0</v>
      </c>
      <c r="F31" s="90">
        <f>'FEEDER Consumption '!P31</f>
        <v>0</v>
      </c>
      <c r="G31" s="90">
        <f>'FEEDER Consumption '!S31</f>
        <v>0</v>
      </c>
      <c r="H31" s="90">
        <f>'FEEDER Consumption '!V31</f>
        <v>0</v>
      </c>
      <c r="I31" s="90">
        <f>'FEEDER Consumption '!Y31</f>
        <v>0</v>
      </c>
      <c r="J31" s="67">
        <f>'FEEDER Consumption '!AB31</f>
        <v>0</v>
      </c>
      <c r="K31" s="90">
        <f>'FEEDER Consumption '!AE31</f>
        <v>0</v>
      </c>
      <c r="L31" s="97">
        <f t="shared" si="0"/>
        <v>0</v>
      </c>
      <c r="M31" s="97">
        <f t="shared" si="1"/>
        <v>0</v>
      </c>
      <c r="N31" s="97">
        <f t="shared" si="2"/>
        <v>0</v>
      </c>
      <c r="O31" s="97">
        <f>'Focus Data'!I31</f>
        <v>0</v>
      </c>
      <c r="P31" s="97" t="e">
        <f t="shared" si="3"/>
        <v>#DIV/0!</v>
      </c>
      <c r="Q31" s="97" t="e">
        <f t="shared" si="4"/>
        <v>#DIV/0!</v>
      </c>
      <c r="R31" s="97" t="e">
        <f t="shared" si="5"/>
        <v>#DIV/0!</v>
      </c>
    </row>
    <row r="32" spans="1:18" ht="13.5" customHeight="1" x14ac:dyDescent="0.2">
      <c r="A32" s="87">
        <v>24</v>
      </c>
      <c r="B32" s="92">
        <f>'FEEDER Consumption '!D32</f>
        <v>0</v>
      </c>
      <c r="C32" s="90">
        <f>'FEEDER Consumption '!G32</f>
        <v>0</v>
      </c>
      <c r="D32" s="90">
        <f>'FEEDER Consumption '!J32</f>
        <v>0</v>
      </c>
      <c r="E32" s="90">
        <f>'FEEDER Consumption '!M32</f>
        <v>0</v>
      </c>
      <c r="F32" s="90">
        <f>'FEEDER Consumption '!P32</f>
        <v>0</v>
      </c>
      <c r="G32" s="90">
        <f>'FEEDER Consumption '!S32</f>
        <v>0</v>
      </c>
      <c r="H32" s="90">
        <f>'FEEDER Consumption '!V32</f>
        <v>0</v>
      </c>
      <c r="I32" s="90">
        <f>'FEEDER Consumption '!Y32</f>
        <v>0</v>
      </c>
      <c r="J32" s="67">
        <f>'FEEDER Consumption '!AB32</f>
        <v>0</v>
      </c>
      <c r="K32" s="90">
        <f>'FEEDER Consumption '!AE32</f>
        <v>0</v>
      </c>
      <c r="L32" s="97">
        <f t="shared" si="0"/>
        <v>0</v>
      </c>
      <c r="M32" s="97">
        <f t="shared" si="1"/>
        <v>0</v>
      </c>
      <c r="N32" s="97">
        <f t="shared" si="2"/>
        <v>0</v>
      </c>
      <c r="O32" s="97">
        <f>'Focus Data'!I32</f>
        <v>0</v>
      </c>
      <c r="P32" s="97" t="e">
        <f t="shared" si="3"/>
        <v>#DIV/0!</v>
      </c>
      <c r="Q32" s="97" t="e">
        <f t="shared" si="4"/>
        <v>#DIV/0!</v>
      </c>
      <c r="R32" s="97" t="e">
        <f t="shared" si="5"/>
        <v>#DIV/0!</v>
      </c>
    </row>
    <row r="33" spans="1:18" ht="13.5" customHeight="1" x14ac:dyDescent="0.2">
      <c r="A33" s="87">
        <v>25</v>
      </c>
      <c r="B33" s="92">
        <f>'FEEDER Consumption '!D33</f>
        <v>0</v>
      </c>
      <c r="C33" s="90">
        <f>'FEEDER Consumption '!G33</f>
        <v>0</v>
      </c>
      <c r="D33" s="90">
        <f>'FEEDER Consumption '!J33</f>
        <v>0</v>
      </c>
      <c r="E33" s="90">
        <f>'FEEDER Consumption '!M33</f>
        <v>0</v>
      </c>
      <c r="F33" s="90">
        <f>'FEEDER Consumption '!P33</f>
        <v>0</v>
      </c>
      <c r="G33" s="90">
        <f>'FEEDER Consumption '!S33</f>
        <v>0</v>
      </c>
      <c r="H33" s="90">
        <f>'FEEDER Consumption '!V33</f>
        <v>0</v>
      </c>
      <c r="I33" s="90">
        <f>'FEEDER Consumption '!Y33</f>
        <v>0</v>
      </c>
      <c r="J33" s="67">
        <f>'FEEDER Consumption '!AB33</f>
        <v>0</v>
      </c>
      <c r="K33" s="90">
        <f>'FEEDER Consumption '!AE33</f>
        <v>0</v>
      </c>
      <c r="L33" s="97">
        <f t="shared" si="0"/>
        <v>0</v>
      </c>
      <c r="M33" s="97">
        <f t="shared" si="1"/>
        <v>0</v>
      </c>
      <c r="N33" s="97">
        <f t="shared" si="2"/>
        <v>0</v>
      </c>
      <c r="O33" s="97">
        <f>'Focus Data'!I33</f>
        <v>0</v>
      </c>
      <c r="P33" s="97" t="e">
        <f t="shared" si="3"/>
        <v>#DIV/0!</v>
      </c>
      <c r="Q33" s="97" t="e">
        <f t="shared" si="4"/>
        <v>#DIV/0!</v>
      </c>
      <c r="R33" s="97" t="e">
        <f t="shared" si="5"/>
        <v>#DIV/0!</v>
      </c>
    </row>
    <row r="34" spans="1:18" ht="13.5" customHeight="1" x14ac:dyDescent="0.2">
      <c r="A34" s="87">
        <v>26</v>
      </c>
      <c r="B34" s="92">
        <f>'FEEDER Consumption '!D34</f>
        <v>0</v>
      </c>
      <c r="C34" s="90">
        <f>'FEEDER Consumption '!G34</f>
        <v>0</v>
      </c>
      <c r="D34" s="90">
        <f>'FEEDER Consumption '!J34</f>
        <v>0</v>
      </c>
      <c r="E34" s="90">
        <f>'FEEDER Consumption '!M34</f>
        <v>0</v>
      </c>
      <c r="F34" s="90">
        <f>'FEEDER Consumption '!P34</f>
        <v>0</v>
      </c>
      <c r="G34" s="90">
        <f>'FEEDER Consumption '!S34</f>
        <v>0</v>
      </c>
      <c r="H34" s="90">
        <f>'FEEDER Consumption '!V34</f>
        <v>0</v>
      </c>
      <c r="I34" s="90">
        <f>'FEEDER Consumption '!Y34</f>
        <v>0</v>
      </c>
      <c r="J34" s="67">
        <f>'FEEDER Consumption '!AB34</f>
        <v>0</v>
      </c>
      <c r="K34" s="90">
        <f>'FEEDER Consumption '!AE34</f>
        <v>0</v>
      </c>
      <c r="L34" s="97">
        <f t="shared" si="0"/>
        <v>0</v>
      </c>
      <c r="M34" s="97">
        <f t="shared" si="1"/>
        <v>0</v>
      </c>
      <c r="N34" s="97">
        <f t="shared" si="2"/>
        <v>0</v>
      </c>
      <c r="O34" s="97">
        <f>'Focus Data'!I34</f>
        <v>0</v>
      </c>
      <c r="P34" s="97" t="e">
        <f t="shared" si="3"/>
        <v>#DIV/0!</v>
      </c>
      <c r="Q34" s="97" t="e">
        <f t="shared" si="4"/>
        <v>#DIV/0!</v>
      </c>
      <c r="R34" s="97" t="e">
        <f t="shared" si="5"/>
        <v>#DIV/0!</v>
      </c>
    </row>
    <row r="35" spans="1:18" ht="13.5" customHeight="1" x14ac:dyDescent="0.2">
      <c r="A35" s="88">
        <v>27</v>
      </c>
      <c r="B35" s="92">
        <f>'FEEDER Consumption '!D35</f>
        <v>0</v>
      </c>
      <c r="C35" s="90">
        <f>'FEEDER Consumption '!G35</f>
        <v>0</v>
      </c>
      <c r="D35" s="90">
        <f>'FEEDER Consumption '!J35</f>
        <v>0</v>
      </c>
      <c r="E35" s="90">
        <f>'FEEDER Consumption '!M35</f>
        <v>0</v>
      </c>
      <c r="F35" s="90">
        <f>'FEEDER Consumption '!P35</f>
        <v>0</v>
      </c>
      <c r="G35" s="90">
        <f>'FEEDER Consumption '!S35</f>
        <v>0</v>
      </c>
      <c r="H35" s="90">
        <f>'FEEDER Consumption '!V35</f>
        <v>0</v>
      </c>
      <c r="I35" s="90">
        <f>'FEEDER Consumption '!Y35</f>
        <v>0</v>
      </c>
      <c r="J35" s="67">
        <f>'FEEDER Consumption '!AB35</f>
        <v>0</v>
      </c>
      <c r="K35" s="90">
        <f>'FEEDER Consumption '!AE35</f>
        <v>0</v>
      </c>
      <c r="L35" s="97">
        <f t="shared" si="0"/>
        <v>0</v>
      </c>
      <c r="M35" s="97">
        <f t="shared" si="1"/>
        <v>0</v>
      </c>
      <c r="N35" s="97">
        <f t="shared" si="2"/>
        <v>0</v>
      </c>
      <c r="O35" s="97">
        <f>'Focus Data'!I35</f>
        <v>0</v>
      </c>
      <c r="P35" s="97" t="e">
        <f t="shared" si="3"/>
        <v>#DIV/0!</v>
      </c>
      <c r="Q35" s="97" t="e">
        <f t="shared" si="4"/>
        <v>#DIV/0!</v>
      </c>
      <c r="R35" s="97" t="e">
        <f t="shared" si="5"/>
        <v>#DIV/0!</v>
      </c>
    </row>
    <row r="36" spans="1:18" ht="13.5" customHeight="1" x14ac:dyDescent="0.2">
      <c r="A36" s="87">
        <v>28</v>
      </c>
      <c r="B36" s="92">
        <f>'FEEDER Consumption '!D36</f>
        <v>0</v>
      </c>
      <c r="C36" s="90">
        <f>'FEEDER Consumption '!G36</f>
        <v>0</v>
      </c>
      <c r="D36" s="90">
        <f>'FEEDER Consumption '!J36</f>
        <v>0</v>
      </c>
      <c r="E36" s="90">
        <f>'FEEDER Consumption '!M36</f>
        <v>0</v>
      </c>
      <c r="F36" s="90">
        <f>'FEEDER Consumption '!P36</f>
        <v>0</v>
      </c>
      <c r="G36" s="90">
        <f>'FEEDER Consumption '!S36</f>
        <v>0</v>
      </c>
      <c r="H36" s="90">
        <f>'FEEDER Consumption '!V36</f>
        <v>0</v>
      </c>
      <c r="I36" s="90">
        <f>'FEEDER Consumption '!Y36</f>
        <v>0</v>
      </c>
      <c r="J36" s="67">
        <f>'FEEDER Consumption '!AB36</f>
        <v>0</v>
      </c>
      <c r="K36" s="90">
        <f>'FEEDER Consumption '!AE36</f>
        <v>0</v>
      </c>
      <c r="L36" s="97">
        <f t="shared" si="0"/>
        <v>0</v>
      </c>
      <c r="M36" s="97">
        <f t="shared" si="1"/>
        <v>0</v>
      </c>
      <c r="N36" s="97">
        <f t="shared" si="2"/>
        <v>0</v>
      </c>
      <c r="O36" s="97">
        <f>'Focus Data'!I36</f>
        <v>0</v>
      </c>
      <c r="P36" s="97" t="e">
        <f t="shared" si="3"/>
        <v>#DIV/0!</v>
      </c>
      <c r="Q36" s="97" t="e">
        <f t="shared" si="4"/>
        <v>#DIV/0!</v>
      </c>
      <c r="R36" s="97" t="e">
        <f t="shared" si="5"/>
        <v>#DIV/0!</v>
      </c>
    </row>
    <row r="37" spans="1:18" ht="13.5" customHeight="1" x14ac:dyDescent="0.2">
      <c r="A37" s="87">
        <v>29</v>
      </c>
      <c r="B37" s="92">
        <f>'FEEDER Consumption '!D37</f>
        <v>0</v>
      </c>
      <c r="C37" s="90">
        <f>'FEEDER Consumption '!G37</f>
        <v>0</v>
      </c>
      <c r="D37" s="90">
        <f>'FEEDER Consumption '!J37</f>
        <v>0</v>
      </c>
      <c r="E37" s="90">
        <f>'FEEDER Consumption '!M37</f>
        <v>0</v>
      </c>
      <c r="F37" s="90">
        <f>'FEEDER Consumption '!P37</f>
        <v>0</v>
      </c>
      <c r="G37" s="90">
        <f>'FEEDER Consumption '!S37</f>
        <v>0</v>
      </c>
      <c r="H37" s="90">
        <f>'FEEDER Consumption '!V37</f>
        <v>0</v>
      </c>
      <c r="I37" s="90">
        <f>'FEEDER Consumption '!Y37</f>
        <v>0</v>
      </c>
      <c r="J37" s="67">
        <f>'FEEDER Consumption '!AB37</f>
        <v>0</v>
      </c>
      <c r="K37" s="90">
        <f>'FEEDER Consumption '!AE37</f>
        <v>0</v>
      </c>
      <c r="L37" s="97">
        <f t="shared" si="0"/>
        <v>0</v>
      </c>
      <c r="M37" s="97">
        <f t="shared" si="1"/>
        <v>0</v>
      </c>
      <c r="N37" s="97">
        <f t="shared" si="2"/>
        <v>0</v>
      </c>
      <c r="O37" s="97">
        <f>'Focus Data'!I37</f>
        <v>0</v>
      </c>
      <c r="P37" s="97" t="e">
        <f t="shared" si="3"/>
        <v>#DIV/0!</v>
      </c>
      <c r="Q37" s="97" t="e">
        <f t="shared" si="4"/>
        <v>#DIV/0!</v>
      </c>
      <c r="R37" s="97" t="e">
        <f t="shared" si="5"/>
        <v>#DIV/0!</v>
      </c>
    </row>
    <row r="38" spans="1:18" ht="13.5" customHeight="1" x14ac:dyDescent="0.2">
      <c r="A38" s="87">
        <v>30</v>
      </c>
      <c r="B38" s="92">
        <f>'FEEDER Consumption '!D38</f>
        <v>0</v>
      </c>
      <c r="C38" s="90">
        <f>'FEEDER Consumption '!G38</f>
        <v>0</v>
      </c>
      <c r="D38" s="90">
        <f>'FEEDER Consumption '!J38</f>
        <v>0</v>
      </c>
      <c r="E38" s="90">
        <f>'FEEDER Consumption '!M38</f>
        <v>0</v>
      </c>
      <c r="F38" s="90">
        <f>'FEEDER Consumption '!P38</f>
        <v>0</v>
      </c>
      <c r="G38" s="90">
        <f>'FEEDER Consumption '!S38</f>
        <v>0</v>
      </c>
      <c r="H38" s="90">
        <f>'FEEDER Consumption '!V38</f>
        <v>0</v>
      </c>
      <c r="I38" s="90">
        <f>'FEEDER Consumption '!Y38</f>
        <v>0</v>
      </c>
      <c r="J38" s="67">
        <f>'FEEDER Consumption '!AB38</f>
        <v>0</v>
      </c>
      <c r="K38" s="90">
        <f>'FEEDER Consumption '!AE38</f>
        <v>0</v>
      </c>
      <c r="L38" s="97">
        <f t="shared" si="0"/>
        <v>0</v>
      </c>
      <c r="M38" s="97">
        <f t="shared" si="1"/>
        <v>0</v>
      </c>
      <c r="N38" s="97">
        <f t="shared" si="2"/>
        <v>0</v>
      </c>
      <c r="O38" s="97">
        <f>'Focus Data'!I38</f>
        <v>0</v>
      </c>
      <c r="P38" s="97" t="e">
        <f t="shared" si="3"/>
        <v>#DIV/0!</v>
      </c>
      <c r="Q38" s="97" t="e">
        <f t="shared" si="4"/>
        <v>#DIV/0!</v>
      </c>
      <c r="R38" s="97" t="e">
        <f t="shared" si="5"/>
        <v>#DIV/0!</v>
      </c>
    </row>
    <row r="39" spans="1:18" ht="14.25" customHeight="1" x14ac:dyDescent="0.2">
      <c r="A39" s="91"/>
      <c r="B39" s="92">
        <v>0</v>
      </c>
      <c r="C39" s="90" t="e">
        <f>'FEEDER Consumption '!#REF!</f>
        <v>#REF!</v>
      </c>
      <c r="D39" s="90" t="e">
        <f>'FEEDER Consumption '!#REF!</f>
        <v>#REF!</v>
      </c>
      <c r="E39" s="93"/>
      <c r="F39" s="90" t="e">
        <f>'FEEDER Consumption '!#REF!</f>
        <v>#REF!</v>
      </c>
      <c r="G39" s="90" t="e">
        <f>'FEEDER Consumption '!#REF!</f>
        <v>#REF!</v>
      </c>
      <c r="H39" s="90" t="e">
        <f>'FEEDER Consumption '!#REF!</f>
        <v>#REF!</v>
      </c>
      <c r="I39" s="90" t="e">
        <f>'FEEDER Consumption '!#REF!</f>
        <v>#REF!</v>
      </c>
      <c r="J39" s="67" t="e">
        <f>'FEEDER Consumption '!#REF!</f>
        <v>#REF!</v>
      </c>
      <c r="K39" s="90" t="e">
        <f>'FEEDER Consumption '!#REF!</f>
        <v>#REF!</v>
      </c>
      <c r="L39" s="97" t="e">
        <f t="shared" si="0"/>
        <v>#REF!</v>
      </c>
      <c r="M39" s="97" t="e">
        <f t="shared" si="1"/>
        <v>#REF!</v>
      </c>
      <c r="N39" s="97" t="e">
        <f t="shared" si="2"/>
        <v>#REF!</v>
      </c>
      <c r="O39" s="97" t="e">
        <f>'Focus Data'!I40</f>
        <v>#REF!</v>
      </c>
      <c r="P39" s="97" t="e">
        <f t="shared" si="3"/>
        <v>#REF!</v>
      </c>
      <c r="Q39" s="97" t="e">
        <f t="shared" si="4"/>
        <v>#REF!</v>
      </c>
      <c r="R39" s="97" t="e">
        <f t="shared" si="5"/>
        <v>#REF!</v>
      </c>
    </row>
    <row r="40" spans="1:18" ht="32.450000000000003" customHeight="1" thickBot="1" x14ac:dyDescent="0.25">
      <c r="A40" t="s">
        <v>7</v>
      </c>
      <c r="B40" s="39">
        <f t="shared" ref="B40:R40" si="6">SUM(B9:B38)</f>
        <v>-25088084</v>
      </c>
      <c r="C40" s="39">
        <f t="shared" si="6"/>
        <v>-21981188</v>
      </c>
      <c r="D40" s="39">
        <f t="shared" si="6"/>
        <v>-83718230</v>
      </c>
      <c r="E40" s="100">
        <f t="shared" si="6"/>
        <v>-1722220</v>
      </c>
      <c r="F40" s="100">
        <f t="shared" si="6"/>
        <v>-2330923</v>
      </c>
      <c r="G40" s="100">
        <f t="shared" si="6"/>
        <v>-1403900</v>
      </c>
      <c r="H40" s="100">
        <f t="shared" si="6"/>
        <v>-659727</v>
      </c>
      <c r="I40" s="100">
        <f t="shared" si="6"/>
        <v>-6827800</v>
      </c>
      <c r="J40" s="100">
        <f t="shared" si="6"/>
        <v>-1485900</v>
      </c>
      <c r="K40" s="100">
        <f t="shared" si="6"/>
        <v>-443008</v>
      </c>
      <c r="L40" s="100">
        <f t="shared" si="6"/>
        <v>-4053143</v>
      </c>
      <c r="M40" s="100">
        <f t="shared" si="6"/>
        <v>-8313700</v>
      </c>
      <c r="N40" s="100">
        <f t="shared" si="6"/>
        <v>-2063627</v>
      </c>
      <c r="O40" s="100">
        <f t="shared" si="6"/>
        <v>-88312767</v>
      </c>
      <c r="P40" s="100" t="e">
        <f t="shared" si="6"/>
        <v>#DIV/0!</v>
      </c>
      <c r="Q40" s="100" t="e">
        <f t="shared" si="6"/>
        <v>#DIV/0!</v>
      </c>
      <c r="R40" s="100" t="e">
        <f t="shared" si="6"/>
        <v>#DIV/0!</v>
      </c>
    </row>
    <row r="41" spans="1:18" ht="13.5" thickTop="1" x14ac:dyDescent="0.2"/>
  </sheetData>
  <pageMargins left="0.7" right="0.7" top="0.75" bottom="0.75" header="0.3" footer="0.3"/>
  <pageSetup scale="74" orientation="landscape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Diesel consumption</vt:lpstr>
      <vt:lpstr>WATER</vt:lpstr>
      <vt:lpstr>SOLAR METER READING</vt:lpstr>
      <vt:lpstr>FEEDER Consumption </vt:lpstr>
      <vt:lpstr>Gas-2</vt:lpstr>
      <vt:lpstr>Focus Data</vt:lpstr>
      <vt:lpstr>KWH Summary</vt:lpstr>
      <vt:lpstr>WATER VILLA PRJECT</vt:lpstr>
      <vt:lpstr>FEEDER summry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2020-12-01T04:43:36Z</cp:lastPrinted>
  <dcterms:created xsi:type="dcterms:W3CDTF">2018-12-01T06:13:40Z</dcterms:created>
  <dcterms:modified xsi:type="dcterms:W3CDTF">2021-01-05T11:55:15Z</dcterms:modified>
</cp:coreProperties>
</file>