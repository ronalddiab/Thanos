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I:\FSENG\HEP\"/>
    </mc:Choice>
  </mc:AlternateContent>
  <bookViews>
    <workbookView xWindow="-105" yWindow="-105" windowWidth="19425" windowHeight="10425" activeTab="2"/>
  </bookViews>
  <sheets>
    <sheet name="TOTAL" sheetId="1" r:id="rId1"/>
    <sheet name="Submetering" sheetId="3" r:id="rId2"/>
    <sheet name="FS-AD Daily " sheetId="2" r:id="rId3"/>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H32" i="2" l="1"/>
  <c r="AG32" i="2"/>
  <c r="AF32" i="2"/>
  <c r="V32" i="2"/>
  <c r="Q32" i="2" l="1"/>
  <c r="P32" i="2"/>
  <c r="O32" i="2"/>
  <c r="N32" i="2"/>
  <c r="M32" i="2"/>
  <c r="J32" i="2" l="1"/>
  <c r="I32" i="2"/>
  <c r="H32" i="2"/>
  <c r="G32" i="2"/>
  <c r="F32" i="2"/>
  <c r="E32" i="2"/>
  <c r="D32" i="2"/>
  <c r="C32" i="2"/>
  <c r="B32" i="2"/>
  <c r="AH31" i="2" l="1"/>
  <c r="AG31" i="2"/>
  <c r="AF31" i="2"/>
  <c r="AH30" i="2"/>
  <c r="AG30" i="2"/>
  <c r="AF30" i="2"/>
  <c r="AH29" i="2"/>
  <c r="AG29" i="2"/>
  <c r="AF29" i="2"/>
  <c r="V31" i="2"/>
  <c r="V30" i="2"/>
  <c r="V29" i="2"/>
  <c r="Q31" i="2" l="1"/>
  <c r="P31" i="2"/>
  <c r="Q30" i="2"/>
  <c r="P30" i="2"/>
  <c r="Q29" i="2"/>
  <c r="P29" i="2"/>
  <c r="O31" i="2"/>
  <c r="N31" i="2"/>
  <c r="M31" i="2"/>
  <c r="O30" i="2"/>
  <c r="N30" i="2"/>
  <c r="M30" i="2"/>
  <c r="O29" i="2"/>
  <c r="N29" i="2"/>
  <c r="M29" i="2"/>
  <c r="J31" i="2"/>
  <c r="I31" i="2"/>
  <c r="H31" i="2"/>
  <c r="G31" i="2"/>
  <c r="F31" i="2"/>
  <c r="E31" i="2"/>
  <c r="D31" i="2"/>
  <c r="C31" i="2"/>
  <c r="B31" i="2"/>
  <c r="J30" i="2"/>
  <c r="I30" i="2"/>
  <c r="H30" i="2"/>
  <c r="G30" i="2"/>
  <c r="F30" i="2"/>
  <c r="E30" i="2"/>
  <c r="D30" i="2"/>
  <c r="C30" i="2"/>
  <c r="B30" i="2"/>
  <c r="J29" i="2"/>
  <c r="I29" i="2"/>
  <c r="H29" i="2"/>
  <c r="G29" i="2"/>
  <c r="F29" i="2"/>
  <c r="E29" i="2"/>
  <c r="D29" i="2"/>
  <c r="C29" i="2"/>
  <c r="B29" i="2"/>
  <c r="AH28" i="2" l="1"/>
  <c r="AG28" i="2"/>
  <c r="AF28" i="2"/>
  <c r="V28" i="2"/>
  <c r="Q28" i="2"/>
  <c r="P28" i="2"/>
  <c r="O28" i="2"/>
  <c r="N28" i="2"/>
  <c r="M28" i="2"/>
  <c r="J28" i="2" l="1"/>
  <c r="I28" i="2"/>
  <c r="H28" i="2"/>
  <c r="G28" i="2"/>
  <c r="F28" i="2"/>
  <c r="E28" i="2"/>
  <c r="D28" i="2"/>
  <c r="C28" i="2"/>
  <c r="B28" i="2"/>
  <c r="AH27" i="2" l="1"/>
  <c r="AG27" i="2"/>
  <c r="AF27" i="2"/>
  <c r="V27" i="2"/>
  <c r="Q27" i="2"/>
  <c r="P27" i="2"/>
  <c r="O27" i="2"/>
  <c r="N27" i="2"/>
  <c r="M27" i="2"/>
  <c r="J27" i="2" l="1"/>
  <c r="I27" i="2"/>
  <c r="H27" i="2"/>
  <c r="G27" i="2"/>
  <c r="F27" i="2"/>
  <c r="E27" i="2"/>
  <c r="D27" i="2"/>
  <c r="C27" i="2"/>
  <c r="B27" i="2"/>
  <c r="AH26" i="2" l="1"/>
  <c r="AG26" i="2"/>
  <c r="AF26" i="2"/>
  <c r="V26" i="2"/>
  <c r="Q26" i="2" l="1"/>
  <c r="P26" i="2"/>
  <c r="O26" i="2"/>
  <c r="N26" i="2"/>
  <c r="M26" i="2"/>
  <c r="J26" i="2" l="1"/>
  <c r="I26" i="2"/>
  <c r="H26" i="2"/>
  <c r="G26" i="2"/>
  <c r="F26" i="2"/>
  <c r="E26" i="2"/>
  <c r="D26" i="2"/>
  <c r="C26" i="2"/>
  <c r="B26" i="2"/>
  <c r="AH25" i="2" l="1"/>
  <c r="AG25" i="2"/>
  <c r="AF25" i="2"/>
  <c r="V25" i="2"/>
  <c r="Q25" i="2"/>
  <c r="P25" i="2"/>
  <c r="O25" i="2"/>
  <c r="N25" i="2"/>
  <c r="M25" i="2"/>
  <c r="J25" i="2" l="1"/>
  <c r="I25" i="2"/>
  <c r="H25" i="2"/>
  <c r="G25" i="2"/>
  <c r="F25" i="2"/>
  <c r="E25" i="2"/>
  <c r="D25" i="2"/>
  <c r="C25" i="2"/>
  <c r="B25" i="2"/>
  <c r="AH24" i="2" l="1"/>
  <c r="AG24" i="2"/>
  <c r="AF24" i="2"/>
  <c r="V24" i="2"/>
  <c r="Q24" i="2"/>
  <c r="P24" i="2"/>
  <c r="O24" i="2" l="1"/>
  <c r="N24" i="2"/>
  <c r="M24" i="2"/>
  <c r="J24" i="2"/>
  <c r="I24" i="2"/>
  <c r="H24" i="2"/>
  <c r="G24" i="2"/>
  <c r="F24" i="2"/>
  <c r="E24" i="2"/>
  <c r="D24" i="2"/>
  <c r="C24" i="2"/>
  <c r="B24" i="2"/>
  <c r="AH23" i="2" l="1"/>
  <c r="AG23" i="2"/>
  <c r="AF23" i="2"/>
  <c r="AH22" i="2"/>
  <c r="AG22" i="2"/>
  <c r="AF22" i="2"/>
  <c r="V23" i="2"/>
  <c r="V22" i="2"/>
  <c r="Q23" i="2"/>
  <c r="P23" i="2"/>
  <c r="Q22" i="2"/>
  <c r="P22" i="2"/>
  <c r="O23" i="2" l="1"/>
  <c r="N23" i="2"/>
  <c r="M23" i="2"/>
  <c r="O22" i="2"/>
  <c r="N22" i="2"/>
  <c r="M22" i="2"/>
  <c r="J23" i="2"/>
  <c r="I23" i="2"/>
  <c r="H23" i="2"/>
  <c r="G23" i="2"/>
  <c r="F23" i="2"/>
  <c r="E23" i="2"/>
  <c r="D23" i="2"/>
  <c r="C23" i="2"/>
  <c r="B23" i="2"/>
  <c r="J22" i="2"/>
  <c r="I22" i="2"/>
  <c r="H22" i="2"/>
  <c r="G22" i="2"/>
  <c r="F22" i="2"/>
  <c r="E22" i="2"/>
  <c r="D22" i="2"/>
  <c r="C22" i="2"/>
  <c r="B22" i="2"/>
  <c r="AH21" i="2" l="1"/>
  <c r="AG21" i="2"/>
  <c r="AF21" i="2"/>
  <c r="V21" i="2"/>
  <c r="Q21" i="2" l="1"/>
  <c r="P21" i="2"/>
  <c r="O21" i="2"/>
  <c r="N21" i="2"/>
  <c r="M21" i="2"/>
  <c r="J21" i="2" l="1"/>
  <c r="I21" i="2"/>
  <c r="H21" i="2"/>
  <c r="G21" i="2"/>
  <c r="F21" i="2"/>
  <c r="E21" i="2"/>
  <c r="D21" i="2"/>
  <c r="C21" i="2"/>
  <c r="B21" i="2"/>
  <c r="AH20" i="2" l="1"/>
  <c r="AG20" i="2"/>
  <c r="AF20" i="2"/>
  <c r="V20" i="2"/>
  <c r="Q20" i="2" l="1"/>
  <c r="P20" i="2"/>
  <c r="O20" i="2"/>
  <c r="N20" i="2"/>
  <c r="M20" i="2"/>
  <c r="J20" i="2" l="1"/>
  <c r="I20" i="2"/>
  <c r="H20" i="2"/>
  <c r="G20" i="2"/>
  <c r="F20" i="2"/>
  <c r="E20" i="2"/>
  <c r="D20" i="2"/>
  <c r="C20" i="2"/>
  <c r="B20" i="2"/>
  <c r="AH19" i="2" l="1"/>
  <c r="AG19" i="2"/>
  <c r="AF19" i="2"/>
  <c r="V19" i="2"/>
  <c r="Q19" i="2" l="1"/>
  <c r="P19" i="2"/>
  <c r="O19" i="2"/>
  <c r="N19" i="2"/>
  <c r="M19" i="2"/>
  <c r="J19" i="2" l="1"/>
  <c r="I19" i="2"/>
  <c r="H19" i="2"/>
  <c r="G19" i="2"/>
  <c r="F19" i="2"/>
  <c r="E19" i="2"/>
  <c r="D19" i="2"/>
  <c r="C19" i="2"/>
  <c r="B19" i="2"/>
  <c r="AH18" i="2" l="1"/>
  <c r="AG18" i="2"/>
  <c r="AF18" i="2"/>
  <c r="V18" i="2"/>
  <c r="Q18" i="2"/>
  <c r="P18" i="2"/>
  <c r="O18" i="2"/>
  <c r="N18" i="2"/>
  <c r="M18" i="2"/>
  <c r="J18" i="2" l="1"/>
  <c r="I18" i="2"/>
  <c r="H18" i="2"/>
  <c r="G18" i="2"/>
  <c r="F18" i="2"/>
  <c r="E18" i="2"/>
  <c r="D18" i="2"/>
  <c r="C18" i="2"/>
  <c r="B18" i="2"/>
  <c r="AH17" i="2" l="1"/>
  <c r="AG17" i="2"/>
  <c r="AF17" i="2"/>
  <c r="V17" i="2"/>
  <c r="Q17" i="2" l="1"/>
  <c r="P17" i="2"/>
  <c r="O17" i="2"/>
  <c r="N17" i="2"/>
  <c r="M17" i="2"/>
  <c r="J17" i="2" l="1"/>
  <c r="I17" i="2"/>
  <c r="H17" i="2"/>
  <c r="G17" i="2"/>
  <c r="F17" i="2"/>
  <c r="E17" i="2"/>
  <c r="D17" i="2"/>
  <c r="C17" i="2"/>
  <c r="B17" i="2"/>
  <c r="AH16" i="2" l="1"/>
  <c r="AG16" i="2"/>
  <c r="AF16" i="2"/>
  <c r="AH15" i="2"/>
  <c r="AG15" i="2"/>
  <c r="AF15" i="2"/>
  <c r="V16" i="2"/>
  <c r="V15" i="2"/>
  <c r="Q16" i="2" l="1"/>
  <c r="P16" i="2"/>
  <c r="Q15" i="2"/>
  <c r="P15" i="2"/>
  <c r="O16" i="2"/>
  <c r="N16" i="2"/>
  <c r="M16" i="2"/>
  <c r="O15" i="2"/>
  <c r="N15" i="2"/>
  <c r="M15" i="2"/>
  <c r="J16" i="2" l="1"/>
  <c r="I16" i="2"/>
  <c r="H16" i="2"/>
  <c r="G16" i="2"/>
  <c r="F16" i="2"/>
  <c r="E16" i="2"/>
  <c r="D16" i="2"/>
  <c r="C16" i="2"/>
  <c r="B16" i="2"/>
  <c r="J15" i="2"/>
  <c r="I15" i="2"/>
  <c r="H15" i="2"/>
  <c r="G15" i="2"/>
  <c r="F15" i="2"/>
  <c r="E15" i="2"/>
  <c r="D15" i="2"/>
  <c r="C15" i="2"/>
  <c r="B15" i="2"/>
  <c r="AH14" i="2" l="1"/>
  <c r="AG14" i="2"/>
  <c r="AF14" i="2"/>
  <c r="V14" i="2"/>
  <c r="Q14" i="2" l="1"/>
  <c r="P14" i="2"/>
  <c r="O14" i="2"/>
  <c r="N14" i="2"/>
  <c r="M14" i="2"/>
  <c r="J14" i="2" l="1"/>
  <c r="I14" i="2"/>
  <c r="H14" i="2"/>
  <c r="G14" i="2"/>
  <c r="F14" i="2"/>
  <c r="E14" i="2"/>
  <c r="D14" i="2"/>
  <c r="C14" i="2"/>
  <c r="B14" i="2"/>
  <c r="AH13" i="2" l="1"/>
  <c r="AG13" i="2"/>
  <c r="AF13" i="2"/>
  <c r="V13" i="2"/>
  <c r="Q13" i="2" l="1"/>
  <c r="P13" i="2"/>
  <c r="O13" i="2"/>
  <c r="N13" i="2"/>
  <c r="M13" i="2"/>
  <c r="J13" i="2" l="1"/>
  <c r="I13" i="2"/>
  <c r="H13" i="2"/>
  <c r="G13" i="2"/>
  <c r="F13" i="2"/>
  <c r="E13" i="2"/>
  <c r="D13" i="2"/>
  <c r="C13" i="2"/>
  <c r="B13" i="2"/>
  <c r="AH12" i="2" l="1"/>
  <c r="AG12" i="2"/>
  <c r="AF12" i="2"/>
  <c r="V12" i="2"/>
  <c r="Q12" i="2"/>
  <c r="P12" i="2"/>
  <c r="O12" i="2"/>
  <c r="N12" i="2"/>
  <c r="M12" i="2"/>
  <c r="J12" i="2" l="1"/>
  <c r="I12" i="2"/>
  <c r="H12" i="2"/>
  <c r="G12" i="2"/>
  <c r="F12" i="2"/>
  <c r="E12" i="2"/>
  <c r="D12" i="2"/>
  <c r="C12" i="2"/>
  <c r="B12" i="2"/>
  <c r="AH11" i="2" l="1"/>
  <c r="AG11" i="2"/>
  <c r="AF11" i="2"/>
  <c r="V11" i="2"/>
  <c r="Q11" i="2" l="1"/>
  <c r="P11" i="2"/>
  <c r="O11" i="2"/>
  <c r="N11" i="2"/>
  <c r="M11" i="2"/>
  <c r="J11" i="2" l="1"/>
  <c r="I11" i="2"/>
  <c r="H11" i="2"/>
  <c r="G11" i="2"/>
  <c r="F11" i="2"/>
  <c r="E11" i="2"/>
  <c r="D11" i="2"/>
  <c r="C11" i="2"/>
  <c r="B11" i="2"/>
  <c r="AH10" i="2" l="1"/>
  <c r="AG10" i="2"/>
  <c r="AF10" i="2"/>
  <c r="AH9" i="2"/>
  <c r="AG9" i="2"/>
  <c r="AF9" i="2"/>
  <c r="AH8" i="2"/>
  <c r="AG8" i="2"/>
  <c r="AF8" i="2"/>
  <c r="V10" i="2"/>
  <c r="V9" i="2"/>
  <c r="V8" i="2"/>
  <c r="Q10" i="2" l="1"/>
  <c r="P10" i="2"/>
  <c r="Q9" i="2"/>
  <c r="P9" i="2"/>
  <c r="Q8" i="2"/>
  <c r="P8" i="2"/>
  <c r="O10" i="2"/>
  <c r="N10" i="2"/>
  <c r="M10" i="2"/>
  <c r="O9" i="2"/>
  <c r="N9" i="2"/>
  <c r="M9" i="2"/>
  <c r="O8" i="2"/>
  <c r="N8" i="2"/>
  <c r="M8" i="2"/>
  <c r="J10" i="2" l="1"/>
  <c r="I10" i="2"/>
  <c r="H10" i="2"/>
  <c r="G10" i="2"/>
  <c r="F10" i="2"/>
  <c r="E10" i="2"/>
  <c r="D10" i="2"/>
  <c r="C10" i="2"/>
  <c r="B10" i="2"/>
  <c r="J9" i="2"/>
  <c r="I9" i="2"/>
  <c r="H9" i="2"/>
  <c r="G9" i="2"/>
  <c r="F9" i="2"/>
  <c r="E9" i="2"/>
  <c r="D9" i="2"/>
  <c r="C9" i="2"/>
  <c r="B9" i="2"/>
  <c r="J8" i="2"/>
  <c r="I8" i="2"/>
  <c r="H8" i="2"/>
  <c r="G8" i="2"/>
  <c r="F8" i="2"/>
  <c r="E8" i="2"/>
  <c r="D8" i="2"/>
  <c r="C8" i="2"/>
  <c r="B8" i="2"/>
  <c r="AH7" i="2" l="1"/>
  <c r="AG7" i="2"/>
  <c r="AF7" i="2"/>
  <c r="V7" i="2"/>
  <c r="Q7" i="2"/>
  <c r="P7" i="2"/>
  <c r="O7" i="2"/>
  <c r="N7" i="2"/>
  <c r="M7" i="2"/>
  <c r="J7" i="2" l="1"/>
  <c r="I7" i="2"/>
  <c r="H7" i="2"/>
  <c r="G7" i="2"/>
  <c r="F7" i="2"/>
  <c r="E7" i="2"/>
  <c r="D7" i="2"/>
  <c r="C7" i="2"/>
  <c r="B7" i="2"/>
  <c r="AH6" i="2" l="1"/>
  <c r="AG6" i="2"/>
  <c r="AF6"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7" i="2"/>
  <c r="AM34" i="2"/>
  <c r="AM35" i="2"/>
  <c r="AE34" i="2"/>
  <c r="AE35" i="2"/>
  <c r="AE6" i="2"/>
  <c r="W6" i="2" l="1"/>
  <c r="V6" i="2"/>
  <c r="Q6" i="2"/>
  <c r="P6" i="2"/>
  <c r="O6" i="2"/>
  <c r="N6" i="2"/>
  <c r="M6" i="2"/>
  <c r="J6" i="2" l="1"/>
  <c r="I6" i="2"/>
  <c r="H6" i="2"/>
  <c r="G6" i="2"/>
  <c r="F6" i="2"/>
  <c r="E6" i="2"/>
  <c r="D6" i="2"/>
  <c r="C6" i="2"/>
  <c r="B6" i="2"/>
  <c r="AI8" i="2" l="1"/>
  <c r="AI9" i="2"/>
  <c r="AI10" i="2"/>
  <c r="AI11" i="2"/>
  <c r="AI12" i="2"/>
  <c r="AI13" i="2"/>
  <c r="AI14" i="2"/>
  <c r="AI15" i="2"/>
  <c r="AI16" i="2"/>
  <c r="AI17" i="2"/>
  <c r="AI18" i="2"/>
  <c r="AI19" i="2"/>
  <c r="AI20" i="2"/>
  <c r="AI21" i="2"/>
  <c r="AI22" i="2"/>
  <c r="AI23" i="2"/>
  <c r="AI24" i="2"/>
  <c r="AI25" i="2"/>
  <c r="AI26" i="2"/>
  <c r="AI27" i="2"/>
  <c r="AI28" i="2"/>
  <c r="AI29" i="2"/>
  <c r="AI30" i="2"/>
  <c r="AI31" i="2"/>
  <c r="AI32" i="2"/>
  <c r="AI33" i="2"/>
  <c r="AI34" i="2"/>
  <c r="AI35" i="2"/>
  <c r="AI7" i="2"/>
  <c r="AC8" i="2"/>
  <c r="AC9" i="2"/>
  <c r="AC10" i="2"/>
  <c r="AC11" i="2"/>
  <c r="AC12" i="2"/>
  <c r="AC13" i="2"/>
  <c r="AC14" i="2"/>
  <c r="AC15" i="2"/>
  <c r="AC16" i="2"/>
  <c r="AC17" i="2"/>
  <c r="AC18" i="2"/>
  <c r="AC19" i="2"/>
  <c r="AC20" i="2"/>
  <c r="AC21" i="2"/>
  <c r="AC22" i="2"/>
  <c r="AC23" i="2"/>
  <c r="AC24" i="2"/>
  <c r="AC25" i="2"/>
  <c r="AC26" i="2"/>
  <c r="AC27" i="2"/>
  <c r="AC28" i="2"/>
  <c r="AC29" i="2"/>
  <c r="AC30" i="2"/>
  <c r="AC31" i="2"/>
  <c r="AC32" i="2"/>
  <c r="AC33" i="2"/>
  <c r="AC34" i="2"/>
  <c r="AC35" i="2"/>
  <c r="AC7" i="2"/>
  <c r="AI6" i="2" l="1"/>
  <c r="AC6" i="2"/>
  <c r="AN36" i="2" l="1"/>
  <c r="AH36" i="2"/>
  <c r="AG36" i="2"/>
  <c r="AF36" i="2"/>
  <c r="J36" i="2"/>
  <c r="I36" i="2"/>
  <c r="H36" i="2"/>
  <c r="G36" i="2"/>
  <c r="D36" i="2"/>
  <c r="Z32" i="3"/>
  <c r="E31" i="3"/>
  <c r="F31" i="3"/>
  <c r="G31" i="3"/>
  <c r="H31" i="3"/>
  <c r="Z7" i="2"/>
  <c r="K6" i="2" l="1"/>
  <c r="L6" i="2" l="1"/>
  <c r="AK35" i="2"/>
  <c r="AL35" i="2" s="1"/>
  <c r="AD35" i="2"/>
  <c r="AO35" i="2" s="1"/>
  <c r="Z35" i="2"/>
  <c r="AA35" i="2" s="1"/>
  <c r="T35" i="2"/>
  <c r="U35" i="2"/>
  <c r="R35" i="2"/>
  <c r="S35" i="2"/>
  <c r="K35" i="2"/>
  <c r="L35" i="2" s="1"/>
  <c r="M4" i="1"/>
  <c r="M5" i="1"/>
  <c r="M6" i="1"/>
  <c r="M8" i="1"/>
  <c r="M9" i="1"/>
  <c r="M10" i="1"/>
  <c r="M12" i="1"/>
  <c r="M13" i="1"/>
  <c r="M14" i="1"/>
  <c r="M15" i="1"/>
  <c r="M16" i="1"/>
  <c r="M17" i="1"/>
  <c r="M18" i="1"/>
  <c r="M19" i="1"/>
  <c r="M20" i="1"/>
  <c r="M21" i="1"/>
  <c r="Y22" i="3"/>
  <c r="M22" i="1" s="1"/>
  <c r="Y23" i="3"/>
  <c r="Y24" i="3"/>
  <c r="M24" i="1" s="1"/>
  <c r="Y25" i="3"/>
  <c r="M25" i="1" s="1"/>
  <c r="Y26" i="3"/>
  <c r="M26" i="1" s="1"/>
  <c r="Y27" i="3"/>
  <c r="Y28" i="3"/>
  <c r="M28" i="1" s="1"/>
  <c r="Y29" i="3"/>
  <c r="M29" i="1" s="1"/>
  <c r="Y30" i="3"/>
  <c r="M30" i="1" s="1"/>
  <c r="Y31" i="3"/>
  <c r="M31" i="1" s="1"/>
  <c r="M3" i="1"/>
  <c r="N31" i="1"/>
  <c r="N4" i="1"/>
  <c r="N5" i="1"/>
  <c r="N6" i="1"/>
  <c r="N7" i="1"/>
  <c r="N8" i="1"/>
  <c r="N9" i="1"/>
  <c r="N10" i="1"/>
  <c r="N11" i="1"/>
  <c r="N12" i="1"/>
  <c r="N13" i="1"/>
  <c r="N14" i="1"/>
  <c r="N15" i="1"/>
  <c r="N16" i="1"/>
  <c r="N17" i="1"/>
  <c r="N18" i="1"/>
  <c r="N19" i="1"/>
  <c r="N20" i="1"/>
  <c r="N21" i="1"/>
  <c r="N22" i="1"/>
  <c r="N23" i="1"/>
  <c r="N24" i="1"/>
  <c r="N25" i="1"/>
  <c r="N26" i="1"/>
  <c r="N27" i="1"/>
  <c r="N28" i="1"/>
  <c r="N29" i="1"/>
  <c r="N30" i="1"/>
  <c r="N3" i="1"/>
  <c r="N2" i="1"/>
  <c r="M7" i="1"/>
  <c r="M11" i="1"/>
  <c r="M23" i="1"/>
  <c r="M27" i="1"/>
  <c r="N32" i="1" l="1"/>
  <c r="Z9" i="2"/>
  <c r="P5" i="3" s="1"/>
  <c r="G5" i="1" s="1"/>
  <c r="Z10" i="2"/>
  <c r="AA10" i="2" s="1"/>
  <c r="Z11" i="2"/>
  <c r="AA11" i="2" s="1"/>
  <c r="Z12" i="2"/>
  <c r="Z13" i="2"/>
  <c r="AA13" i="2" s="1"/>
  <c r="Z14" i="2"/>
  <c r="AA14" i="2" s="1"/>
  <c r="Z15" i="2"/>
  <c r="AA15" i="2" s="1"/>
  <c r="Z16" i="2"/>
  <c r="AA16" i="2" s="1"/>
  <c r="AD17" i="2"/>
  <c r="W31" i="3"/>
  <c r="V31" i="3"/>
  <c r="U31" i="3"/>
  <c r="R31" i="3"/>
  <c r="Q31" i="3"/>
  <c r="M31" i="3"/>
  <c r="L31" i="3"/>
  <c r="K31" i="3"/>
  <c r="J31" i="3"/>
  <c r="I31" i="3"/>
  <c r="P31" i="3"/>
  <c r="R15" i="2"/>
  <c r="O11" i="3" s="1"/>
  <c r="R16" i="2"/>
  <c r="O12" i="3" s="1"/>
  <c r="R17" i="2"/>
  <c r="O13" i="3" s="1"/>
  <c r="R18" i="2"/>
  <c r="R19" i="2"/>
  <c r="O15" i="3" s="1"/>
  <c r="R20" i="2"/>
  <c r="O16" i="3" s="1"/>
  <c r="R21" i="2"/>
  <c r="O17" i="3" s="1"/>
  <c r="R22" i="2"/>
  <c r="R23" i="2"/>
  <c r="R24" i="2"/>
  <c r="O20" i="3" s="1"/>
  <c r="R25" i="2"/>
  <c r="O21" i="3" s="1"/>
  <c r="R26" i="2"/>
  <c r="R27" i="2"/>
  <c r="O23" i="3" s="1"/>
  <c r="R28" i="2"/>
  <c r="O24" i="3" s="1"/>
  <c r="R29" i="2"/>
  <c r="O25" i="3" s="1"/>
  <c r="R30" i="2"/>
  <c r="R31" i="2"/>
  <c r="O27" i="3" s="1"/>
  <c r="R32" i="2"/>
  <c r="O28" i="3" s="1"/>
  <c r="R33" i="2"/>
  <c r="R34" i="2"/>
  <c r="O31" i="3"/>
  <c r="R6" i="2"/>
  <c r="R7" i="2"/>
  <c r="O3" i="3" s="1"/>
  <c r="R8" i="2"/>
  <c r="O4" i="3" s="1"/>
  <c r="R9" i="2"/>
  <c r="O5" i="3" s="1"/>
  <c r="R10" i="2"/>
  <c r="O6" i="3" s="1"/>
  <c r="R11" i="2"/>
  <c r="O7" i="3" s="1"/>
  <c r="R12" i="2"/>
  <c r="O8" i="3" s="1"/>
  <c r="R13" i="2"/>
  <c r="R14" i="2"/>
  <c r="O10" i="3" s="1"/>
  <c r="T31" i="3"/>
  <c r="AK11" i="2"/>
  <c r="X7" i="3" s="1"/>
  <c r="AK12" i="2"/>
  <c r="X8" i="3" s="1"/>
  <c r="AK15" i="2"/>
  <c r="AK16" i="2"/>
  <c r="AL16" i="2" s="1"/>
  <c r="AM16" i="2" s="1"/>
  <c r="AK20" i="2"/>
  <c r="AK24" i="2"/>
  <c r="X20" i="3" s="1"/>
  <c r="AK28" i="2"/>
  <c r="AK31" i="2"/>
  <c r="AL31" i="2" s="1"/>
  <c r="AM31" i="2" s="1"/>
  <c r="AK32" i="2"/>
  <c r="AK34" i="2"/>
  <c r="AD10" i="2"/>
  <c r="AE10" i="2" s="1"/>
  <c r="AD13" i="2"/>
  <c r="AE13" i="2" s="1"/>
  <c r="AD14" i="2"/>
  <c r="AE14" i="2" s="1"/>
  <c r="AD19" i="2"/>
  <c r="AE19" i="2" s="1"/>
  <c r="AD22" i="2"/>
  <c r="AE22" i="2" s="1"/>
  <c r="AD26" i="2"/>
  <c r="AE26" i="2" s="1"/>
  <c r="AD27" i="2"/>
  <c r="AE27" i="2" s="1"/>
  <c r="AD28" i="2"/>
  <c r="AE28" i="2" s="1"/>
  <c r="AD29" i="2"/>
  <c r="AE29" i="2" s="1"/>
  <c r="AD31" i="2"/>
  <c r="AE31" i="2" s="1"/>
  <c r="AD33" i="2"/>
  <c r="AE33" i="2" s="1"/>
  <c r="AK7" i="2"/>
  <c r="AL7" i="2" s="1"/>
  <c r="AM7" i="2" s="1"/>
  <c r="AD8" i="2"/>
  <c r="AE8" i="2" s="1"/>
  <c r="AD7" i="2"/>
  <c r="AE7" i="2" s="1"/>
  <c r="AD6" i="2"/>
  <c r="T8" i="2"/>
  <c r="N4" i="3" s="1"/>
  <c r="T7" i="2"/>
  <c r="U7" i="2" s="1"/>
  <c r="S8" i="2"/>
  <c r="S7" i="2"/>
  <c r="K8" i="2"/>
  <c r="L8" i="2" s="1"/>
  <c r="K7" i="2"/>
  <c r="Z6" i="2"/>
  <c r="AK8" i="2"/>
  <c r="AL8" i="2" s="1"/>
  <c r="AM8" i="2" s="1"/>
  <c r="AK9" i="2"/>
  <c r="X5" i="3" s="1"/>
  <c r="AK10" i="2"/>
  <c r="AL10" i="2" s="1"/>
  <c r="AM10" i="2" s="1"/>
  <c r="AD9" i="2"/>
  <c r="AE9" i="2" s="1"/>
  <c r="AD11" i="2"/>
  <c r="AE11" i="2" s="1"/>
  <c r="AD12" i="2"/>
  <c r="AE12" i="2" s="1"/>
  <c r="AD15" i="2"/>
  <c r="AE15" i="2" s="1"/>
  <c r="AD16" i="2"/>
  <c r="AE16" i="2" s="1"/>
  <c r="AD18" i="2"/>
  <c r="AE18" i="2" s="1"/>
  <c r="AD20" i="2"/>
  <c r="AE20" i="2" s="1"/>
  <c r="AD21" i="2"/>
  <c r="AE21" i="2" s="1"/>
  <c r="AD23" i="2"/>
  <c r="AE23" i="2" s="1"/>
  <c r="AD24" i="2"/>
  <c r="AE24" i="2" s="1"/>
  <c r="AD25" i="2"/>
  <c r="AD30" i="2"/>
  <c r="AE30" i="2" s="1"/>
  <c r="AD32" i="2"/>
  <c r="AD34" i="2"/>
  <c r="AD41" i="2"/>
  <c r="D37" i="2"/>
  <c r="D38"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T9" i="2"/>
  <c r="N5" i="3" s="1"/>
  <c r="T10" i="2"/>
  <c r="N6" i="3" s="1"/>
  <c r="T11" i="2"/>
  <c r="N7" i="3" s="1"/>
  <c r="T12" i="2"/>
  <c r="N8" i="3" s="1"/>
  <c r="T13" i="2"/>
  <c r="U13" i="2" s="1"/>
  <c r="T14" i="2"/>
  <c r="U14" i="2" s="1"/>
  <c r="T15" i="2"/>
  <c r="N11" i="3" s="1"/>
  <c r="T16" i="2"/>
  <c r="N12" i="3" s="1"/>
  <c r="T17" i="2"/>
  <c r="N13" i="3" s="1"/>
  <c r="T18" i="2"/>
  <c r="U18" i="2" s="1"/>
  <c r="T19" i="2"/>
  <c r="N15" i="3" s="1"/>
  <c r="T20" i="2"/>
  <c r="U20" i="2" s="1"/>
  <c r="T21" i="2"/>
  <c r="U21" i="2" s="1"/>
  <c r="T22" i="2"/>
  <c r="U22" i="2" s="1"/>
  <c r="T23" i="2"/>
  <c r="U23" i="2" s="1"/>
  <c r="T24" i="2"/>
  <c r="U24" i="2" s="1"/>
  <c r="T25" i="2"/>
  <c r="N21" i="3" s="1"/>
  <c r="T26" i="2"/>
  <c r="U26" i="2" s="1"/>
  <c r="T27" i="2"/>
  <c r="U27" i="2" s="1"/>
  <c r="T28" i="2"/>
  <c r="U28" i="2" s="1"/>
  <c r="T29" i="2"/>
  <c r="N25" i="3" s="1"/>
  <c r="T30" i="2"/>
  <c r="N26" i="3" s="1"/>
  <c r="T31" i="2"/>
  <c r="U31" i="2" s="1"/>
  <c r="T32" i="2"/>
  <c r="N28" i="3" s="1"/>
  <c r="T33" i="2"/>
  <c r="U33" i="2" s="1"/>
  <c r="T34" i="2"/>
  <c r="N30" i="3" s="1"/>
  <c r="T6" i="2"/>
  <c r="Z20" i="2"/>
  <c r="AA20" i="2" s="1"/>
  <c r="Z21" i="2"/>
  <c r="AA21" i="2" s="1"/>
  <c r="Z22" i="2"/>
  <c r="AA22" i="2" s="1"/>
  <c r="Z23" i="2"/>
  <c r="AA23" i="2" s="1"/>
  <c r="Z24" i="2"/>
  <c r="Z25" i="2"/>
  <c r="P21" i="3" s="1"/>
  <c r="Z26" i="2"/>
  <c r="P22" i="3" s="1"/>
  <c r="G22" i="1" s="1"/>
  <c r="Z27" i="2"/>
  <c r="P23" i="3" s="1"/>
  <c r="G23" i="1" s="1"/>
  <c r="Z28" i="2"/>
  <c r="AA28" i="2" s="1"/>
  <c r="Z29" i="2"/>
  <c r="AA29" i="2" s="1"/>
  <c r="Z30" i="2"/>
  <c r="AA30" i="2" s="1"/>
  <c r="Z31" i="2"/>
  <c r="AA31" i="2" s="1"/>
  <c r="Z32" i="2"/>
  <c r="AA32" i="2" s="1"/>
  <c r="Z33" i="2"/>
  <c r="AA33" i="2" s="1"/>
  <c r="Z34" i="2"/>
  <c r="P30" i="3" s="1"/>
  <c r="G30" i="1" s="1"/>
  <c r="P3" i="3"/>
  <c r="Z8" i="2"/>
  <c r="AA8" i="2" s="1"/>
  <c r="Z17" i="2"/>
  <c r="P13" i="3" s="1"/>
  <c r="Z18" i="2"/>
  <c r="P14" i="3" s="1"/>
  <c r="G14" i="1" s="1"/>
  <c r="Z19" i="2"/>
  <c r="AA19" i="2" s="1"/>
  <c r="U3" i="3"/>
  <c r="U4" i="3"/>
  <c r="U5" i="3"/>
  <c r="U6" i="3"/>
  <c r="U7" i="3"/>
  <c r="U8" i="3"/>
  <c r="U9" i="3"/>
  <c r="U10" i="3"/>
  <c r="U11" i="3"/>
  <c r="U12" i="3"/>
  <c r="U13" i="3"/>
  <c r="U14" i="3"/>
  <c r="U15" i="3"/>
  <c r="U16" i="3"/>
  <c r="U17" i="3"/>
  <c r="U18" i="3"/>
  <c r="U19" i="3"/>
  <c r="U20" i="3"/>
  <c r="U21" i="3"/>
  <c r="U22" i="3"/>
  <c r="U23" i="3"/>
  <c r="U24" i="3"/>
  <c r="U25" i="3"/>
  <c r="U26" i="3"/>
  <c r="U27" i="3"/>
  <c r="U28" i="3"/>
  <c r="U29" i="3"/>
  <c r="U30" i="3"/>
  <c r="U2" i="3"/>
  <c r="V3" i="3"/>
  <c r="V4" i="3"/>
  <c r="V5" i="3"/>
  <c r="V6" i="3"/>
  <c r="V7" i="3"/>
  <c r="V8" i="3"/>
  <c r="V9" i="3"/>
  <c r="V10" i="3"/>
  <c r="V11" i="3"/>
  <c r="V12" i="3"/>
  <c r="V13" i="3"/>
  <c r="V14" i="3"/>
  <c r="V15" i="3"/>
  <c r="V16" i="3"/>
  <c r="V17" i="3"/>
  <c r="V18" i="3"/>
  <c r="V19" i="3"/>
  <c r="V20" i="3"/>
  <c r="V21" i="3"/>
  <c r="V22" i="3"/>
  <c r="V23" i="3"/>
  <c r="V24" i="3"/>
  <c r="V25" i="3"/>
  <c r="V26" i="3"/>
  <c r="V27" i="3"/>
  <c r="V28" i="3"/>
  <c r="V29" i="3"/>
  <c r="V30" i="3"/>
  <c r="V2"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2" i="3"/>
  <c r="AK13" i="2"/>
  <c r="AL13" i="2" s="1"/>
  <c r="AM13" i="2" s="1"/>
  <c r="AK14" i="2"/>
  <c r="AL14" i="2" s="1"/>
  <c r="AM14" i="2" s="1"/>
  <c r="AK17" i="2"/>
  <c r="AL17" i="2" s="1"/>
  <c r="AM17" i="2" s="1"/>
  <c r="AK19" i="2"/>
  <c r="AL19" i="2" s="1"/>
  <c r="AM19" i="2" s="1"/>
  <c r="AK21" i="2"/>
  <c r="X17" i="3" s="1"/>
  <c r="AK22" i="2"/>
  <c r="AL22" i="2" s="1"/>
  <c r="AM22" i="2" s="1"/>
  <c r="AK23" i="2"/>
  <c r="AL23" i="2" s="1"/>
  <c r="AM23" i="2" s="1"/>
  <c r="AK25" i="2"/>
  <c r="X21" i="3" s="1"/>
  <c r="AK26" i="2"/>
  <c r="X22" i="3" s="1"/>
  <c r="AK27" i="2"/>
  <c r="AL27" i="2" s="1"/>
  <c r="AM27" i="2" s="1"/>
  <c r="AK29" i="2"/>
  <c r="X25" i="3" s="1"/>
  <c r="AK30" i="2"/>
  <c r="AL30" i="2" s="1"/>
  <c r="AM30" i="2" s="1"/>
  <c r="AK33" i="2"/>
  <c r="X29" i="3" s="1"/>
  <c r="AK6" i="2"/>
  <c r="S6" i="2"/>
  <c r="S9" i="2"/>
  <c r="S10" i="2"/>
  <c r="S11" i="2"/>
  <c r="S12" i="2"/>
  <c r="O9" i="3"/>
  <c r="S13" i="2"/>
  <c r="S14" i="2"/>
  <c r="S15" i="2"/>
  <c r="S16" i="2"/>
  <c r="S17" i="2"/>
  <c r="AA5" i="2"/>
  <c r="AE5" i="2"/>
  <c r="AK5" i="2"/>
  <c r="AO5" i="2"/>
  <c r="Q3" i="3"/>
  <c r="R3" i="3"/>
  <c r="Q4" i="3"/>
  <c r="R4" i="3"/>
  <c r="Q5" i="3"/>
  <c r="R5" i="3"/>
  <c r="Q6" i="3"/>
  <c r="R6" i="3"/>
  <c r="Q7" i="3"/>
  <c r="R7" i="3"/>
  <c r="Q8" i="3"/>
  <c r="R8" i="3"/>
  <c r="Q9" i="3"/>
  <c r="R9" i="3"/>
  <c r="Q10" i="3"/>
  <c r="R10" i="3"/>
  <c r="Q11" i="3"/>
  <c r="R11" i="3"/>
  <c r="Q12" i="3"/>
  <c r="R12" i="3"/>
  <c r="Q13" i="3"/>
  <c r="R13" i="3"/>
  <c r="Q14" i="3"/>
  <c r="R14" i="3"/>
  <c r="Q15" i="3"/>
  <c r="R15" i="3"/>
  <c r="Q16" i="3"/>
  <c r="R16" i="3"/>
  <c r="Q17" i="3"/>
  <c r="R17" i="3"/>
  <c r="Q18" i="3"/>
  <c r="R18" i="3"/>
  <c r="Q19" i="3"/>
  <c r="R19" i="3"/>
  <c r="Q20" i="3"/>
  <c r="R20" i="3"/>
  <c r="Q21" i="3"/>
  <c r="R21" i="3"/>
  <c r="Q22" i="3"/>
  <c r="R22" i="3"/>
  <c r="Q23" i="3"/>
  <c r="R23" i="3"/>
  <c r="Q24" i="3"/>
  <c r="R24" i="3"/>
  <c r="Q25" i="3"/>
  <c r="R25" i="3"/>
  <c r="Q26" i="3"/>
  <c r="R26" i="3"/>
  <c r="Q27" i="3"/>
  <c r="R27" i="3"/>
  <c r="Q28" i="3"/>
  <c r="R28" i="3"/>
  <c r="Q29" i="3"/>
  <c r="R29" i="3"/>
  <c r="Q30" i="3"/>
  <c r="R30" i="3"/>
  <c r="E3" i="3"/>
  <c r="F3" i="3"/>
  <c r="G3" i="3"/>
  <c r="H3" i="3"/>
  <c r="I3" i="3"/>
  <c r="J3" i="3"/>
  <c r="K3" i="3"/>
  <c r="L3" i="3"/>
  <c r="M3" i="3"/>
  <c r="E4" i="3"/>
  <c r="F4" i="3"/>
  <c r="G4" i="3"/>
  <c r="H4" i="3"/>
  <c r="I4" i="3"/>
  <c r="J4" i="3"/>
  <c r="K4" i="3"/>
  <c r="L4" i="3"/>
  <c r="M4" i="3"/>
  <c r="E5" i="3"/>
  <c r="F5" i="3"/>
  <c r="G5" i="3"/>
  <c r="H5" i="3"/>
  <c r="I5" i="3"/>
  <c r="J5" i="3"/>
  <c r="K5" i="3"/>
  <c r="L5" i="3"/>
  <c r="M5" i="3"/>
  <c r="E6" i="3"/>
  <c r="F6" i="3"/>
  <c r="G6" i="3"/>
  <c r="H6" i="3"/>
  <c r="I6" i="3"/>
  <c r="J6" i="3"/>
  <c r="K6" i="3"/>
  <c r="L6" i="3"/>
  <c r="M6" i="3"/>
  <c r="E7" i="3"/>
  <c r="F7" i="3"/>
  <c r="G7" i="3"/>
  <c r="H7" i="3"/>
  <c r="I7" i="3"/>
  <c r="J7" i="3"/>
  <c r="K7" i="3"/>
  <c r="L7" i="3"/>
  <c r="M7" i="3"/>
  <c r="E8" i="3"/>
  <c r="F8" i="3"/>
  <c r="G8" i="3"/>
  <c r="H8" i="3"/>
  <c r="I8" i="3"/>
  <c r="J8" i="3"/>
  <c r="K8" i="3"/>
  <c r="L8" i="3"/>
  <c r="M8" i="3"/>
  <c r="E9" i="3"/>
  <c r="F9" i="3"/>
  <c r="G9" i="3"/>
  <c r="H9" i="3"/>
  <c r="I9" i="3"/>
  <c r="J9" i="3"/>
  <c r="K9" i="3"/>
  <c r="L9" i="3"/>
  <c r="M9" i="3"/>
  <c r="E10" i="3"/>
  <c r="F10" i="3"/>
  <c r="G10" i="3"/>
  <c r="H10" i="3"/>
  <c r="I10" i="3"/>
  <c r="J10" i="3"/>
  <c r="K10" i="3"/>
  <c r="L10" i="3"/>
  <c r="M10" i="3"/>
  <c r="E11" i="3"/>
  <c r="F11" i="3"/>
  <c r="G11" i="3"/>
  <c r="H11" i="3"/>
  <c r="I11" i="3"/>
  <c r="J11" i="3"/>
  <c r="K11" i="3"/>
  <c r="L11" i="3"/>
  <c r="M11" i="3"/>
  <c r="E12" i="3"/>
  <c r="F12" i="3"/>
  <c r="G12" i="3"/>
  <c r="H12" i="3"/>
  <c r="I12" i="3"/>
  <c r="J12" i="3"/>
  <c r="K12" i="3"/>
  <c r="L12" i="3"/>
  <c r="M12" i="3"/>
  <c r="E13" i="3"/>
  <c r="F13" i="3"/>
  <c r="G13" i="3"/>
  <c r="H13" i="3"/>
  <c r="I13" i="3"/>
  <c r="J13" i="3"/>
  <c r="K13" i="3"/>
  <c r="L13" i="3"/>
  <c r="M13" i="3"/>
  <c r="E14" i="3"/>
  <c r="F14" i="3"/>
  <c r="G14" i="3"/>
  <c r="H14" i="3"/>
  <c r="I14" i="3"/>
  <c r="J14" i="3"/>
  <c r="K14" i="3"/>
  <c r="L14" i="3"/>
  <c r="M14" i="3"/>
  <c r="E15" i="3"/>
  <c r="F15" i="3"/>
  <c r="G15" i="3"/>
  <c r="H15" i="3"/>
  <c r="I15" i="3"/>
  <c r="J15" i="3"/>
  <c r="K15" i="3"/>
  <c r="L15" i="3"/>
  <c r="M15" i="3"/>
  <c r="E16" i="3"/>
  <c r="F16" i="3"/>
  <c r="G16" i="3"/>
  <c r="H16" i="3"/>
  <c r="I16" i="3"/>
  <c r="J16" i="3"/>
  <c r="K16" i="3"/>
  <c r="L16" i="3"/>
  <c r="M16" i="3"/>
  <c r="E17" i="3"/>
  <c r="F17" i="3"/>
  <c r="G17" i="3"/>
  <c r="H17" i="3"/>
  <c r="I17" i="3"/>
  <c r="J17" i="3"/>
  <c r="K17" i="3"/>
  <c r="L17" i="3"/>
  <c r="M17" i="3"/>
  <c r="E18" i="3"/>
  <c r="F18" i="3"/>
  <c r="G18" i="3"/>
  <c r="H18" i="3"/>
  <c r="I18" i="3"/>
  <c r="J18" i="3"/>
  <c r="K18" i="3"/>
  <c r="L18" i="3"/>
  <c r="M18" i="3"/>
  <c r="E19" i="3"/>
  <c r="F19" i="3"/>
  <c r="G19" i="3"/>
  <c r="H19" i="3"/>
  <c r="I19" i="3"/>
  <c r="J19" i="3"/>
  <c r="K19" i="3"/>
  <c r="L19" i="3"/>
  <c r="M19" i="3"/>
  <c r="E20" i="3"/>
  <c r="F20" i="3"/>
  <c r="G20" i="3"/>
  <c r="H20" i="3"/>
  <c r="I20" i="3"/>
  <c r="J20" i="3"/>
  <c r="K20" i="3"/>
  <c r="L20" i="3"/>
  <c r="M20" i="3"/>
  <c r="E21" i="3"/>
  <c r="F21" i="3"/>
  <c r="G21" i="3"/>
  <c r="H21" i="3"/>
  <c r="I21" i="3"/>
  <c r="J21" i="3"/>
  <c r="K21" i="3"/>
  <c r="L21" i="3"/>
  <c r="M21" i="3"/>
  <c r="E22" i="3"/>
  <c r="F22" i="3"/>
  <c r="G22" i="3"/>
  <c r="H22" i="3"/>
  <c r="I22" i="3"/>
  <c r="J22" i="3"/>
  <c r="K22" i="3"/>
  <c r="L22" i="3"/>
  <c r="M22" i="3"/>
  <c r="E23" i="3"/>
  <c r="F23" i="3"/>
  <c r="G23" i="3"/>
  <c r="H23" i="3"/>
  <c r="I23" i="3"/>
  <c r="J23" i="3"/>
  <c r="K23" i="3"/>
  <c r="L23" i="3"/>
  <c r="M23" i="3"/>
  <c r="E24" i="3"/>
  <c r="F24" i="3"/>
  <c r="G24" i="3"/>
  <c r="H24" i="3"/>
  <c r="I24" i="3"/>
  <c r="J24" i="3"/>
  <c r="K24" i="3"/>
  <c r="L24" i="3"/>
  <c r="M24" i="3"/>
  <c r="E25" i="3"/>
  <c r="F25" i="3"/>
  <c r="G25" i="3"/>
  <c r="H25" i="3"/>
  <c r="I25" i="3"/>
  <c r="J25" i="3"/>
  <c r="K25" i="3"/>
  <c r="L25" i="3"/>
  <c r="M25" i="3"/>
  <c r="E26" i="3"/>
  <c r="F26" i="3"/>
  <c r="G26" i="3"/>
  <c r="H26" i="3"/>
  <c r="I26" i="3"/>
  <c r="J26" i="3"/>
  <c r="K26" i="3"/>
  <c r="L26" i="3"/>
  <c r="M26" i="3"/>
  <c r="E27" i="3"/>
  <c r="F27" i="3"/>
  <c r="G27" i="3"/>
  <c r="H27" i="3"/>
  <c r="I27" i="3"/>
  <c r="J27" i="3"/>
  <c r="K27" i="3"/>
  <c r="L27" i="3"/>
  <c r="M27" i="3"/>
  <c r="E28" i="3"/>
  <c r="F28" i="3"/>
  <c r="G28" i="3"/>
  <c r="H28" i="3"/>
  <c r="I28" i="3"/>
  <c r="J28" i="3"/>
  <c r="K28" i="3"/>
  <c r="L28" i="3"/>
  <c r="M28" i="3"/>
  <c r="E29" i="3"/>
  <c r="F29" i="3"/>
  <c r="G29" i="3"/>
  <c r="H29" i="3"/>
  <c r="I29" i="3"/>
  <c r="J29" i="3"/>
  <c r="K29" i="3"/>
  <c r="L29" i="3"/>
  <c r="M29" i="3"/>
  <c r="E30" i="3"/>
  <c r="F30" i="3"/>
  <c r="G30" i="3"/>
  <c r="H30" i="3"/>
  <c r="I30" i="3"/>
  <c r="J30" i="3"/>
  <c r="K30" i="3"/>
  <c r="L30" i="3"/>
  <c r="M30" i="3"/>
  <c r="R2" i="3"/>
  <c r="Q2" i="3"/>
  <c r="G2" i="3"/>
  <c r="H2" i="3"/>
  <c r="I2" i="3"/>
  <c r="J2" i="3"/>
  <c r="K2" i="3"/>
  <c r="L2" i="3"/>
  <c r="M2" i="3"/>
  <c r="F2" i="3"/>
  <c r="E2" i="3"/>
  <c r="S34" i="2"/>
  <c r="O30" i="3"/>
  <c r="S33" i="2"/>
  <c r="O29" i="3"/>
  <c r="S32" i="2"/>
  <c r="S31" i="2"/>
  <c r="S30" i="2"/>
  <c r="O26" i="3"/>
  <c r="S29" i="2"/>
  <c r="S28" i="2"/>
  <c r="S27" i="2"/>
  <c r="S26" i="2"/>
  <c r="O22" i="3"/>
  <c r="S25" i="2"/>
  <c r="S24" i="2"/>
  <c r="S23" i="2"/>
  <c r="O19" i="3"/>
  <c r="S22" i="2"/>
  <c r="O18" i="3"/>
  <c r="S21" i="2"/>
  <c r="S20" i="2"/>
  <c r="S19" i="2"/>
  <c r="S18" i="2"/>
  <c r="O14" i="3"/>
  <c r="B3" i="3"/>
  <c r="B4" i="3" s="1"/>
  <c r="B5" i="3" s="1"/>
  <c r="B6" i="3" s="1"/>
  <c r="B7" i="3" s="1"/>
  <c r="B8" i="3" s="1"/>
  <c r="B9" i="3" s="1"/>
  <c r="B10" i="3" s="1"/>
  <c r="B11" i="3" s="1"/>
  <c r="B12" i="3" s="1"/>
  <c r="B13" i="3" s="1"/>
  <c r="B14" i="3" s="1"/>
  <c r="B15" i="3" s="1"/>
  <c r="B16" i="3" s="1"/>
  <c r="B17" i="3" s="1"/>
  <c r="B18" i="3" s="1"/>
  <c r="B19" i="3" s="1"/>
  <c r="B20" i="3" s="1"/>
  <c r="B21" i="3" s="1"/>
  <c r="B22" i="3" s="1"/>
  <c r="B23" i="3" s="1"/>
  <c r="B24" i="3" s="1"/>
  <c r="B25" i="3" s="1"/>
  <c r="B26" i="3" s="1"/>
  <c r="B27" i="3" s="1"/>
  <c r="B28" i="3" s="1"/>
  <c r="B29" i="3" s="1"/>
  <c r="B30" i="3" s="1"/>
  <c r="B31" i="3" s="1"/>
  <c r="B3" i="1"/>
  <c r="B4" i="1" s="1"/>
  <c r="B5" i="1" s="1"/>
  <c r="B6" i="1" s="1"/>
  <c r="B7" i="1" s="1"/>
  <c r="B8" i="1" s="1"/>
  <c r="B9" i="1" s="1"/>
  <c r="B10" i="1" s="1"/>
  <c r="B11" i="1" s="1"/>
  <c r="B12" i="1" s="1"/>
  <c r="B13" i="1" s="1"/>
  <c r="B14" i="1" s="1"/>
  <c r="B15" i="1" s="1"/>
  <c r="B16" i="1" s="1"/>
  <c r="B17" i="1" s="1"/>
  <c r="B18" i="1" s="1"/>
  <c r="B19" i="1" s="1"/>
  <c r="B20" i="1" s="1"/>
  <c r="B21" i="1" s="1"/>
  <c r="B22" i="1" s="1"/>
  <c r="B23" i="1" s="1"/>
  <c r="B24" i="1" s="1"/>
  <c r="B25" i="1" s="1"/>
  <c r="B26" i="1" s="1"/>
  <c r="B27" i="1" s="1"/>
  <c r="B28" i="1" s="1"/>
  <c r="B29" i="1" s="1"/>
  <c r="B30" i="1" s="1"/>
  <c r="B31" i="1" s="1"/>
  <c r="AK18" i="2"/>
  <c r="X14" i="3" s="1"/>
  <c r="U32" i="2"/>
  <c r="P19" i="3"/>
  <c r="G19" i="1" s="1"/>
  <c r="D39" i="2"/>
  <c r="G38" i="2"/>
  <c r="T27" i="3"/>
  <c r="U16" i="2"/>
  <c r="P26" i="3"/>
  <c r="G26" i="1" s="1"/>
  <c r="T22" i="3"/>
  <c r="T30" i="3"/>
  <c r="N29" i="3"/>
  <c r="P27" i="3"/>
  <c r="S27" i="3" s="1"/>
  <c r="AL25" i="2"/>
  <c r="AM25" i="2" s="1"/>
  <c r="T12" i="3"/>
  <c r="N24" i="3"/>
  <c r="U19" i="2"/>
  <c r="T23" i="3"/>
  <c r="P28" i="3" l="1"/>
  <c r="G28" i="1" s="1"/>
  <c r="T28" i="3"/>
  <c r="AE32" i="2"/>
  <c r="AO32" i="2" s="1"/>
  <c r="U30" i="2"/>
  <c r="P24" i="3"/>
  <c r="G24" i="1" s="1"/>
  <c r="T21" i="3"/>
  <c r="I21" i="1" s="1"/>
  <c r="AE25" i="2"/>
  <c r="N19" i="3"/>
  <c r="T17" i="3"/>
  <c r="P17" i="3"/>
  <c r="G17" i="1" s="1"/>
  <c r="P15" i="3"/>
  <c r="S15" i="3" s="1"/>
  <c r="T13" i="3"/>
  <c r="AE17" i="2"/>
  <c r="U15" i="2"/>
  <c r="P11" i="3"/>
  <c r="G11" i="1" s="1"/>
  <c r="N10" i="3"/>
  <c r="P9" i="3"/>
  <c r="G9" i="1" s="1"/>
  <c r="U11" i="2"/>
  <c r="N3" i="3"/>
  <c r="T3" i="3"/>
  <c r="K28" i="1"/>
  <c r="X18" i="3"/>
  <c r="X9" i="3"/>
  <c r="U17" i="2"/>
  <c r="M32" i="3"/>
  <c r="V32" i="3"/>
  <c r="I32" i="3"/>
  <c r="T7" i="3"/>
  <c r="I7" i="1" s="1"/>
  <c r="U9" i="2"/>
  <c r="K32" i="3"/>
  <c r="J32" i="3"/>
  <c r="W32" i="3"/>
  <c r="U32" i="3"/>
  <c r="T5" i="3"/>
  <c r="I5" i="1" s="1"/>
  <c r="Q32" i="3"/>
  <c r="U8" i="2"/>
  <c r="T36" i="2"/>
  <c r="U36" i="2" s="1"/>
  <c r="L32" i="3"/>
  <c r="X27" i="3"/>
  <c r="AL11" i="2"/>
  <c r="AM11" i="2" s="1"/>
  <c r="X10" i="3"/>
  <c r="T20" i="3"/>
  <c r="I20" i="1" s="1"/>
  <c r="P4" i="3"/>
  <c r="G4" i="1" s="1"/>
  <c r="R32" i="3"/>
  <c r="L7" i="2"/>
  <c r="L36" i="2" s="1"/>
  <c r="K36" i="2"/>
  <c r="X2" i="3"/>
  <c r="AK36" i="2"/>
  <c r="AD36" i="2"/>
  <c r="AE36" i="2" s="1"/>
  <c r="AA6" i="2"/>
  <c r="Z36" i="2"/>
  <c r="O2" i="3"/>
  <c r="O32" i="3" s="1"/>
  <c r="R36" i="2"/>
  <c r="R38" i="2" s="1"/>
  <c r="S5" i="3"/>
  <c r="E30" i="1"/>
  <c r="E17" i="1"/>
  <c r="N2" i="3"/>
  <c r="U6" i="2"/>
  <c r="AL6" i="2"/>
  <c r="AM6" i="2" s="1"/>
  <c r="G3" i="1"/>
  <c r="S3" i="3"/>
  <c r="P2" i="3"/>
  <c r="AA7" i="2"/>
  <c r="U25" i="2"/>
  <c r="N18" i="3"/>
  <c r="K18" i="1" s="1"/>
  <c r="S23" i="3"/>
  <c r="K30" i="1"/>
  <c r="K24" i="1"/>
  <c r="E29" i="1"/>
  <c r="K7" i="1"/>
  <c r="S30" i="3"/>
  <c r="X31" i="3"/>
  <c r="X26" i="3"/>
  <c r="X13" i="3"/>
  <c r="AL21" i="2"/>
  <c r="AM21" i="2" s="1"/>
  <c r="I31" i="1"/>
  <c r="T25" i="3"/>
  <c r="I25" i="1" s="1"/>
  <c r="T11" i="3"/>
  <c r="T16" i="3"/>
  <c r="I17" i="1"/>
  <c r="S19" i="3"/>
  <c r="S26" i="3"/>
  <c r="AA17" i="2"/>
  <c r="K15" i="1"/>
  <c r="K11" i="1"/>
  <c r="K8" i="1"/>
  <c r="K4" i="1"/>
  <c r="N31" i="3"/>
  <c r="K31" i="1" s="1"/>
  <c r="K25" i="1"/>
  <c r="K29" i="1"/>
  <c r="E24" i="1"/>
  <c r="E13" i="1"/>
  <c r="E6" i="1"/>
  <c r="X30" i="3"/>
  <c r="I30" i="1" s="1"/>
  <c r="AL34" i="2"/>
  <c r="I27" i="1"/>
  <c r="AL24" i="2"/>
  <c r="AM24" i="2" s="1"/>
  <c r="AL9" i="2"/>
  <c r="AM9" i="2" s="1"/>
  <c r="X4" i="3"/>
  <c r="X19" i="3"/>
  <c r="T8" i="3"/>
  <c r="I8" i="1" s="1"/>
  <c r="T24" i="3"/>
  <c r="I22" i="1"/>
  <c r="G13" i="1"/>
  <c r="S13" i="3"/>
  <c r="AO33" i="2"/>
  <c r="S14" i="3"/>
  <c r="P29" i="3"/>
  <c r="AA9" i="2"/>
  <c r="S17" i="3"/>
  <c r="P10" i="3"/>
  <c r="P25" i="3"/>
  <c r="G25" i="1" s="1"/>
  <c r="N9" i="3"/>
  <c r="K9" i="1" s="1"/>
  <c r="N16" i="3"/>
  <c r="K16" i="1" s="1"/>
  <c r="AO15" i="2"/>
  <c r="K3" i="1"/>
  <c r="N27" i="3"/>
  <c r="K27" i="1" s="1"/>
  <c r="K26" i="1"/>
  <c r="K10" i="1"/>
  <c r="K13" i="1"/>
  <c r="N23" i="3"/>
  <c r="K23" i="1" s="1"/>
  <c r="K19" i="1"/>
  <c r="AO28" i="2"/>
  <c r="K5" i="1"/>
  <c r="K20" i="1"/>
  <c r="K12" i="1"/>
  <c r="N20" i="3"/>
  <c r="AO31" i="2"/>
  <c r="K21" i="1"/>
  <c r="U12" i="2"/>
  <c r="K6" i="1"/>
  <c r="AO20" i="2"/>
  <c r="E12" i="1"/>
  <c r="E9" i="1"/>
  <c r="E7" i="1"/>
  <c r="E4" i="1"/>
  <c r="E3" i="1"/>
  <c r="E23" i="1"/>
  <c r="E18" i="1"/>
  <c r="E16" i="1"/>
  <c r="E15" i="1"/>
  <c r="E14" i="1"/>
  <c r="E25" i="1"/>
  <c r="AO21" i="2"/>
  <c r="AO16" i="2"/>
  <c r="AO11" i="2"/>
  <c r="E28" i="1"/>
  <c r="E27" i="1"/>
  <c r="E26" i="1"/>
  <c r="E22" i="1"/>
  <c r="E21" i="1"/>
  <c r="E20" i="1"/>
  <c r="E19" i="1"/>
  <c r="E11" i="1"/>
  <c r="E10" i="1"/>
  <c r="E8" i="1"/>
  <c r="E5" i="1"/>
  <c r="E2" i="1"/>
  <c r="AO30" i="2"/>
  <c r="T4" i="3"/>
  <c r="AO19" i="2"/>
  <c r="T15" i="3"/>
  <c r="AO13" i="2"/>
  <c r="T9" i="3"/>
  <c r="AL15" i="2"/>
  <c r="AM15" i="2" s="1"/>
  <c r="X11" i="3"/>
  <c r="T18" i="3"/>
  <c r="S22" i="3"/>
  <c r="S21" i="3"/>
  <c r="G21" i="1"/>
  <c r="AO23" i="2"/>
  <c r="T10" i="3"/>
  <c r="AO14" i="2"/>
  <c r="AL32" i="2"/>
  <c r="AM32" i="2" s="1"/>
  <c r="X28" i="3"/>
  <c r="AL28" i="2"/>
  <c r="AM28" i="2" s="1"/>
  <c r="X24" i="3"/>
  <c r="I24" i="1" s="1"/>
  <c r="X16" i="3"/>
  <c r="AL20" i="2"/>
  <c r="AM20" i="2" s="1"/>
  <c r="T6" i="3"/>
  <c r="AO22" i="2"/>
  <c r="X3" i="3"/>
  <c r="I3" i="1" s="1"/>
  <c r="S24" i="3"/>
  <c r="X12" i="3"/>
  <c r="I12" i="1" s="1"/>
  <c r="AA26" i="2"/>
  <c r="AO26" i="2" s="1"/>
  <c r="N22" i="3"/>
  <c r="K22" i="1" s="1"/>
  <c r="N17" i="3"/>
  <c r="K17" i="1" s="1"/>
  <c r="T19" i="3"/>
  <c r="P18" i="3"/>
  <c r="P7" i="3"/>
  <c r="AA25" i="2"/>
  <c r="P12" i="3"/>
  <c r="S9" i="3"/>
  <c r="T26" i="3"/>
  <c r="AL26" i="2"/>
  <c r="AM26" i="2" s="1"/>
  <c r="S28" i="3"/>
  <c r="T29" i="3"/>
  <c r="I29" i="1" s="1"/>
  <c r="AL29" i="2"/>
  <c r="AM29" i="2" s="1"/>
  <c r="AA24" i="2"/>
  <c r="AO24" i="2" s="1"/>
  <c r="P20" i="3"/>
  <c r="S31" i="3"/>
  <c r="G31" i="1"/>
  <c r="AA34" i="2"/>
  <c r="AA18" i="2"/>
  <c r="AO18" i="2" s="1"/>
  <c r="AA12" i="2"/>
  <c r="P8" i="3"/>
  <c r="E31" i="1"/>
  <c r="AL33" i="2"/>
  <c r="AM33" i="2" s="1"/>
  <c r="AL12" i="2"/>
  <c r="AM12" i="2" s="1"/>
  <c r="T2" i="3"/>
  <c r="G27" i="1"/>
  <c r="N14" i="3"/>
  <c r="K14" i="1" s="1"/>
  <c r="X23" i="3"/>
  <c r="I23" i="1" s="1"/>
  <c r="T14" i="3"/>
  <c r="I14" i="1" s="1"/>
  <c r="U34" i="2"/>
  <c r="U29" i="2"/>
  <c r="AO29" i="2" s="1"/>
  <c r="X6" i="3"/>
  <c r="X15" i="3"/>
  <c r="U10" i="2"/>
  <c r="AO10" i="2" s="1"/>
  <c r="AL18" i="2"/>
  <c r="AM18" i="2" s="1"/>
  <c r="P6" i="3"/>
  <c r="P16" i="3"/>
  <c r="AA27" i="2"/>
  <c r="AO27" i="2" s="1"/>
  <c r="I28" i="1" l="1"/>
  <c r="I18" i="1"/>
  <c r="G15" i="1"/>
  <c r="AO17" i="2"/>
  <c r="I13" i="1"/>
  <c r="S11" i="3"/>
  <c r="S4" i="3"/>
  <c r="AO7" i="2"/>
  <c r="I9" i="1"/>
  <c r="I10" i="1"/>
  <c r="AO9" i="2"/>
  <c r="AO8" i="2"/>
  <c r="T32" i="3"/>
  <c r="AO25" i="2"/>
  <c r="AM36" i="2"/>
  <c r="AL36" i="2"/>
  <c r="AO6" i="2"/>
  <c r="AA36" i="2"/>
  <c r="G2" i="1"/>
  <c r="P32" i="3"/>
  <c r="K2" i="1"/>
  <c r="N32" i="3"/>
  <c r="S25" i="3"/>
  <c r="I16" i="1"/>
  <c r="S2" i="3"/>
  <c r="I4" i="1"/>
  <c r="I26" i="1"/>
  <c r="I19" i="1"/>
  <c r="I11" i="1"/>
  <c r="AO34" i="2"/>
  <c r="S29" i="3"/>
  <c r="G29" i="1"/>
  <c r="G10" i="1"/>
  <c r="S10" i="3"/>
  <c r="U37" i="2"/>
  <c r="X32" i="3" s="1"/>
  <c r="AO12" i="2"/>
  <c r="G20" i="1"/>
  <c r="S20" i="3"/>
  <c r="G18" i="1"/>
  <c r="S18" i="3"/>
  <c r="S12" i="3"/>
  <c r="G12" i="1"/>
  <c r="S16" i="3"/>
  <c r="G16" i="1"/>
  <c r="I2" i="1"/>
  <c r="S8" i="3"/>
  <c r="G8" i="1"/>
  <c r="I15" i="1"/>
  <c r="G6" i="1"/>
  <c r="S6" i="3"/>
  <c r="S7" i="3"/>
  <c r="G7" i="1"/>
  <c r="I6" i="1"/>
  <c r="S32" i="3" l="1"/>
  <c r="AO36" i="2"/>
  <c r="U38" i="2"/>
  <c r="M2" i="1" l="1"/>
  <c r="M32" i="1" s="1"/>
  <c r="Y32" i="3"/>
</calcChain>
</file>

<file path=xl/comments1.xml><?xml version="1.0" encoding="utf-8"?>
<comments xmlns="http://schemas.openxmlformats.org/spreadsheetml/2006/main">
  <authors>
    <author>Marian Chitian</author>
  </authors>
  <commentList>
    <comment ref="P1" authorId="0" shapeId="0">
      <text>
        <r>
          <rPr>
            <b/>
            <sz val="9"/>
            <color indexed="81"/>
            <rFont val="Tahoma"/>
            <family val="2"/>
          </rPr>
          <t>Marian Chitian:</t>
        </r>
        <r>
          <rPr>
            <sz val="9"/>
            <color indexed="81"/>
            <rFont val="Tahoma"/>
            <family val="2"/>
          </rPr>
          <t xml:space="preserve">
This particular meter shouldn't be considered as a main meter is subdivision meter not in ADDC consumption bill.</t>
        </r>
      </text>
    </comment>
    <comment ref="AA2" authorId="0" shapeId="0">
      <text>
        <r>
          <rPr>
            <b/>
            <sz val="9"/>
            <color indexed="81"/>
            <rFont val="Tahoma"/>
            <family val="2"/>
          </rPr>
          <t>Marian Chitian:</t>
        </r>
        <r>
          <rPr>
            <sz val="9"/>
            <color indexed="81"/>
            <rFont val="Tahoma"/>
            <family val="2"/>
          </rPr>
          <t xml:space="preserve">
01/04/2020 - Natural gas price has been changed from 10.70 - 6.47 AED without fee on service charge due to Covid 19 application (subject to changes upon supplier notification).</t>
        </r>
      </text>
    </comment>
    <comment ref="AE2" authorId="0" shapeId="0">
      <text>
        <r>
          <rPr>
            <b/>
            <sz val="9"/>
            <color indexed="81"/>
            <rFont val="Tahoma"/>
            <family val="2"/>
          </rPr>
          <t>Marian Chitian:</t>
        </r>
        <r>
          <rPr>
            <sz val="9"/>
            <color indexed="81"/>
            <rFont val="Tahoma"/>
            <family val="2"/>
          </rPr>
          <t xml:space="preserve">
Cost/ unit updated based on current Invoice 25/03/2020</t>
        </r>
      </text>
    </comment>
    <comment ref="AM2" authorId="0" shapeId="0">
      <text>
        <r>
          <rPr>
            <b/>
            <sz val="9"/>
            <color indexed="81"/>
            <rFont val="Tahoma"/>
            <family val="2"/>
          </rPr>
          <t>Marian Chitian:</t>
        </r>
        <r>
          <rPr>
            <sz val="9"/>
            <color indexed="81"/>
            <rFont val="Tahoma"/>
            <family val="2"/>
          </rPr>
          <t xml:space="preserve">
Cost/ unit updated based on current Invoice 25/03/2020</t>
        </r>
      </text>
    </comment>
    <comment ref="G4" authorId="0" shapeId="0">
      <text>
        <r>
          <rPr>
            <b/>
            <sz val="9"/>
            <color indexed="81"/>
            <rFont val="Tahoma"/>
            <family val="2"/>
          </rPr>
          <t>Marian Chitian:</t>
        </r>
        <r>
          <rPr>
            <sz val="9"/>
            <color indexed="81"/>
            <rFont val="Tahoma"/>
            <family val="2"/>
          </rPr>
          <t xml:space="preserve">
Residence Apartments chilled water pump feeder 30 kwh running 24/7/365 supply from Hotel common area.</t>
        </r>
      </text>
    </comment>
    <comment ref="I4" authorId="0" shapeId="0">
      <text>
        <r>
          <rPr>
            <b/>
            <sz val="9"/>
            <color indexed="81"/>
            <rFont val="Tahoma"/>
            <family val="2"/>
          </rPr>
          <t>Marian Chitian:</t>
        </r>
        <r>
          <rPr>
            <sz val="9"/>
            <color indexed="81"/>
            <rFont val="Tahoma"/>
            <family val="2"/>
          </rPr>
          <t xml:space="preserve">
Based on ELV Distribution load this transformer feeds Residence Apartments Public area shouldn't be considered on Hotel expenses.</t>
        </r>
      </text>
    </comment>
    <comment ref="E5" authorId="0" shapeId="0">
      <text>
        <r>
          <rPr>
            <b/>
            <sz val="9"/>
            <color indexed="81"/>
            <rFont val="Tahoma"/>
            <family val="2"/>
          </rPr>
          <t>Marian Chitian:</t>
        </r>
        <r>
          <rPr>
            <sz val="9"/>
            <color indexed="81"/>
            <rFont val="Tahoma"/>
            <family val="2"/>
          </rPr>
          <t xml:space="preserve">
Residence Apartment hot water calorifier 2</t>
        </r>
        <r>
          <rPr>
            <b/>
            <sz val="9"/>
            <color indexed="81"/>
            <rFont val="Tahoma"/>
            <family val="2"/>
          </rPr>
          <t xml:space="preserve">0 KW/H </t>
        </r>
        <r>
          <rPr>
            <sz val="9"/>
            <color indexed="81"/>
            <rFont val="Tahoma"/>
            <family val="2"/>
          </rPr>
          <t>feeding share section from Hotel section , the conclusion is based on single line digram distribution. Monthly basis we minus the total amount of the outlet from the total amount of the transformer and we charge back to Residence Apartment HOA.</t>
        </r>
      </text>
    </comment>
    <comment ref="H5" authorId="0" shapeId="0">
      <text>
        <r>
          <rPr>
            <b/>
            <sz val="9"/>
            <color indexed="81"/>
            <rFont val="Tahoma"/>
            <family val="2"/>
          </rPr>
          <t>Marian Chitian:</t>
        </r>
        <r>
          <rPr>
            <sz val="9"/>
            <color indexed="81"/>
            <rFont val="Tahoma"/>
            <family val="2"/>
          </rPr>
          <t xml:space="preserve">
Residence Apartment section all public areas Electric DB FROM 15 34 floor supply from this outlet the conclusion is based on single line digram distribution.</t>
        </r>
      </text>
    </comment>
  </commentList>
</comments>
</file>

<file path=xl/sharedStrings.xml><?xml version="1.0" encoding="utf-8"?>
<sst xmlns="http://schemas.openxmlformats.org/spreadsheetml/2006/main" count="217" uniqueCount="104">
  <si>
    <t>Site Name</t>
  </si>
  <si>
    <t>Day</t>
  </si>
  <si>
    <t>Month</t>
  </si>
  <si>
    <t>Year</t>
  </si>
  <si>
    <t>Total Electricity Kwh</t>
  </si>
  <si>
    <t>Electricity Tariff ($/Kwh)</t>
  </si>
  <si>
    <t>Water Utility Supply (m3) m3</t>
  </si>
  <si>
    <t>Water Utility Supply (m3) $/m3</t>
  </si>
  <si>
    <t xml:space="preserve">Room Nights </t>
  </si>
  <si>
    <t xml:space="preserve">Total Guests </t>
  </si>
  <si>
    <t>Natual Gas (m3)</t>
  </si>
  <si>
    <t>Natural Gas $/m3</t>
  </si>
  <si>
    <t xml:space="preserve"> </t>
  </si>
  <si>
    <t>DATE</t>
  </si>
  <si>
    <t>ELECTRICAL METERS</t>
  </si>
  <si>
    <t>TOTAL CONSUMPTION (kWh)</t>
  </si>
  <si>
    <t>ELECTRICITY - TOTAL (AED)</t>
  </si>
  <si>
    <t>Concrete Tank Meter (Daily Consumption)</t>
  </si>
  <si>
    <t xml:space="preserve">Fiber tank Meter Cold Water Podium &amp; Galleria Staff Toilet Section 2 </t>
  </si>
  <si>
    <t xml:space="preserve">Galleria Hot water Public Area </t>
  </si>
  <si>
    <t>Water Bulk 3 Meter Galleria (Daily Consumption) section 1</t>
  </si>
  <si>
    <t>Irrigation Tank Meter  (Daily Consumption)</t>
  </si>
  <si>
    <t>Galleria Consumption m3</t>
  </si>
  <si>
    <t>GALLERIA WATER TOTAL COST (AED)</t>
  </si>
  <si>
    <r>
      <t xml:space="preserve">WATER METER </t>
    </r>
    <r>
      <rPr>
        <b/>
        <sz val="12"/>
        <color indexed="8"/>
        <rFont val="Calibri"/>
        <family val="2"/>
      </rPr>
      <t>(Daily Consumption) m3</t>
    </r>
  </si>
  <si>
    <t>FSH WATER (AED)</t>
  </si>
  <si>
    <r>
      <t xml:space="preserve">Hot Water Boiler       </t>
    </r>
    <r>
      <rPr>
        <b/>
        <sz val="12"/>
        <color indexed="8"/>
        <rFont val="Calibri"/>
        <family val="2"/>
      </rPr>
      <t>(Daily Gas  Consumption m 3)</t>
    </r>
  </si>
  <si>
    <r>
      <t xml:space="preserve">Steam Boiler </t>
    </r>
    <r>
      <rPr>
        <b/>
        <sz val="12"/>
        <color indexed="8"/>
        <rFont val="Calibri"/>
        <family val="2"/>
      </rPr>
      <t>(Daily Gas  Consumption m 3)</t>
    </r>
  </si>
  <si>
    <r>
      <t>GAS METERS</t>
    </r>
    <r>
      <rPr>
        <b/>
        <sz val="12"/>
        <color indexed="8"/>
        <rFont val="Calibri"/>
        <family val="2"/>
      </rPr>
      <t xml:space="preserve">           (Daily Reading)</t>
    </r>
  </si>
  <si>
    <r>
      <t xml:space="preserve">GAS </t>
    </r>
    <r>
      <rPr>
        <b/>
        <sz val="12"/>
        <color indexed="8"/>
        <rFont val="Calibri"/>
        <family val="2"/>
      </rPr>
      <t>(Daily Consumption m 3)</t>
    </r>
  </si>
  <si>
    <r>
      <t xml:space="preserve">CHILLED WATER </t>
    </r>
    <r>
      <rPr>
        <b/>
        <sz val="12"/>
        <color indexed="8"/>
        <rFont val="Calibri"/>
        <family val="2"/>
      </rPr>
      <t>(Daily Reading) Present HT</t>
    </r>
  </si>
  <si>
    <r>
      <t xml:space="preserve">CHILLED WATER </t>
    </r>
    <r>
      <rPr>
        <b/>
        <sz val="12"/>
        <color indexed="8"/>
        <rFont val="Calibri"/>
        <family val="2"/>
      </rPr>
      <t>(Daily Reading) Previous HT</t>
    </r>
  </si>
  <si>
    <r>
      <t xml:space="preserve">CHILLED WATER </t>
    </r>
    <r>
      <rPr>
        <b/>
        <sz val="12"/>
        <color indexed="8"/>
        <rFont val="Calibri"/>
        <family val="2"/>
      </rPr>
      <t>(Daily Consumption)  HT</t>
    </r>
  </si>
  <si>
    <t>CHILLED WATER (AED)</t>
  </si>
  <si>
    <t>Galleria chilled water MWH Previous</t>
  </si>
  <si>
    <t xml:space="preserve">Galleria chilled water MWH Present </t>
  </si>
  <si>
    <t>Galleria Chilled Water Total MWH</t>
  </si>
  <si>
    <t>Galleria Chilled Water Total HT</t>
  </si>
  <si>
    <t>TOTAL (AED)</t>
  </si>
  <si>
    <t>THR AED   (0.334529)</t>
  </si>
  <si>
    <t>MWH = H.TON (1 = 284.34)</t>
  </si>
  <si>
    <t>TOTAL CONSUMPTION (KWH)</t>
  </si>
  <si>
    <t>TOTAL AMOUNT (AED)</t>
  </si>
  <si>
    <t>(K21B2419000)</t>
  </si>
  <si>
    <t>4626096222-E</t>
  </si>
  <si>
    <t>6572482789-E</t>
  </si>
  <si>
    <t>3190048503-E</t>
  </si>
  <si>
    <t>3732963488-E</t>
  </si>
  <si>
    <t>4626096253-E</t>
  </si>
  <si>
    <t>7651356710-E</t>
  </si>
  <si>
    <t>5076351256-E</t>
  </si>
  <si>
    <t>8990986529-E</t>
  </si>
  <si>
    <t>6057081392-E</t>
  </si>
  <si>
    <t>LVS-1 SECTION A</t>
  </si>
  <si>
    <t>LVS-1 SECTION B</t>
  </si>
  <si>
    <t>LVS-2 (CAFÉ MILANO)</t>
  </si>
  <si>
    <t>LVS-3 SECTION A</t>
  </si>
  <si>
    <t>LVS-3 SECTION B</t>
  </si>
  <si>
    <t>LVS-4 SECTION A</t>
  </si>
  <si>
    <t>LVS-4 SECTION B</t>
  </si>
  <si>
    <t>LVS-5 (FLOOR 15-32)</t>
  </si>
  <si>
    <t>LVS-LRLV (RETAIL)</t>
  </si>
  <si>
    <t>TOTAL</t>
  </si>
  <si>
    <t>0001523.20</t>
  </si>
  <si>
    <t>LVS-1 SECTION A - KWh</t>
  </si>
  <si>
    <t>LVS-3 SECTION A- KWh</t>
  </si>
  <si>
    <t>LVS-3 SECTION B- KWh</t>
  </si>
  <si>
    <t>LVS-4 SECTION A- KWh</t>
  </si>
  <si>
    <t>LVS-4 SECTION B- KWh</t>
  </si>
  <si>
    <t>LVS-5 (FLOOR 15-32) KWh</t>
  </si>
  <si>
    <t>LVS-LRLV (RETAIL)KWh</t>
  </si>
  <si>
    <r>
      <t>Total Water-  m</t>
    </r>
    <r>
      <rPr>
        <b/>
        <vertAlign val="superscript"/>
        <sz val="11"/>
        <color indexed="8"/>
        <rFont val="Calibri"/>
        <family val="2"/>
      </rPr>
      <t>3</t>
    </r>
  </si>
  <si>
    <r>
      <t>Galleria Water  m</t>
    </r>
    <r>
      <rPr>
        <b/>
        <vertAlign val="superscript"/>
        <sz val="11"/>
        <color indexed="8"/>
        <rFont val="Calibri"/>
        <family val="2"/>
      </rPr>
      <t>3</t>
    </r>
  </si>
  <si>
    <r>
      <t>Main Gas  m</t>
    </r>
    <r>
      <rPr>
        <b/>
        <vertAlign val="superscript"/>
        <sz val="11"/>
        <color indexed="8"/>
        <rFont val="Calibri"/>
        <family val="2"/>
      </rPr>
      <t>3</t>
    </r>
  </si>
  <si>
    <r>
      <t>HW Boiler Gas -  m</t>
    </r>
    <r>
      <rPr>
        <b/>
        <vertAlign val="superscript"/>
        <sz val="11"/>
        <color indexed="8"/>
        <rFont val="Calibri"/>
        <family val="2"/>
      </rPr>
      <t>3</t>
    </r>
  </si>
  <si>
    <r>
      <t>Steam Boiler Gas- m</t>
    </r>
    <r>
      <rPr>
        <b/>
        <vertAlign val="superscript"/>
        <sz val="11"/>
        <color indexed="8"/>
        <rFont val="Calibri"/>
        <family val="2"/>
      </rPr>
      <t>3</t>
    </r>
  </si>
  <si>
    <t>Guest Room Chilled Water MWh</t>
  </si>
  <si>
    <t>Podium Chilled Water - MWh</t>
  </si>
  <si>
    <t>Residence Chilled Water MWh</t>
  </si>
  <si>
    <t>OCCUPANCY (Room Night)</t>
  </si>
  <si>
    <t>Abu Dhabi</t>
  </si>
  <si>
    <t>LVS-1 SECTION B - KWh</t>
  </si>
  <si>
    <t>District Energy Cooling Kwh</t>
  </si>
  <si>
    <t>District Energy Cooling $/Kwh</t>
  </si>
  <si>
    <t>LVS-2 (CAFE MILANO)- KWh</t>
  </si>
  <si>
    <t>Galleria independent supply</t>
  </si>
  <si>
    <t>Main District Cooling- KWh</t>
  </si>
  <si>
    <t>Podium District Cooling- KWh</t>
  </si>
  <si>
    <t>Guest Rooms District Cooling- KWh</t>
  </si>
  <si>
    <t>Residence District Cooling- KWh</t>
  </si>
  <si>
    <t>Galleria District Cooling  KWh</t>
  </si>
  <si>
    <t>Total Kitchen- m3</t>
  </si>
  <si>
    <t>Hot water calorifiers L 14 feed 15 - 19 floor</t>
  </si>
  <si>
    <t xml:space="preserve">KW/H </t>
  </si>
  <si>
    <t>AED</t>
  </si>
  <si>
    <t>Residence Apartment chilled water pump share feeder</t>
  </si>
  <si>
    <t xml:space="preserve">Residence Public Area Electric DB share feeder </t>
  </si>
  <si>
    <t>Residence apartments Electric DB (individual apartment  feeder)</t>
  </si>
  <si>
    <t>20KWH</t>
  </si>
  <si>
    <t>Total / budget</t>
  </si>
  <si>
    <t>(AED. 6.47/m3 + AED. 0.00 Service)</t>
  </si>
  <si>
    <t>Natural GAS (AED)</t>
  </si>
  <si>
    <t>AED. 0.332195/Ton</t>
  </si>
  <si>
    <t>AED. 0.332195/ Ton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</si>
</sst>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409]d\-mmm\-yy;@"/>
    <numFmt numFmtId="166" formatCode="0.0000"/>
  </numFmts>
  <fonts count="17" x14ac:knownFonts="1">
    <font>
      <sz val="11"/>
      <color theme="1"/>
      <name val="Calibri"/>
      <family val="2"/>
      <scheme val="minor"/>
    </font>
    <font>
      <sz val="11"/>
      <color indexed="8"/>
      <name val="Calibri"/>
      <family val="2"/>
    </font>
    <font>
      <b/>
      <vertAlign val="superscript"/>
      <sz val="11"/>
      <color indexed="8"/>
      <name val="Calibri"/>
      <family val="2"/>
    </font>
    <font>
      <b/>
      <sz val="12"/>
      <name val="Century Gothic"/>
      <family val="2"/>
    </font>
    <font>
      <b/>
      <sz val="12"/>
      <color indexed="8"/>
      <name val="Calibri"/>
      <family val="2"/>
    </font>
    <font>
      <b/>
      <sz val="11"/>
      <color indexed="8"/>
      <name val="Calibri"/>
      <family val="2"/>
    </font>
    <font>
      <sz val="8"/>
      <name val="Calibri"/>
      <family val="2"/>
    </font>
    <font>
      <sz val="9"/>
      <color indexed="81"/>
      <name val="Tahoma"/>
      <family val="2"/>
    </font>
    <font>
      <b/>
      <sz val="9"/>
      <color indexed="81"/>
      <name val="Tahoma"/>
      <family val="2"/>
    </font>
    <font>
      <b/>
      <sz val="11"/>
      <color theme="1"/>
      <name val="Calibri"/>
      <family val="2"/>
      <scheme val="minor"/>
    </font>
    <font>
      <sz val="11"/>
      <color rgb="FFFF0000"/>
      <name val="Calibri"/>
      <family val="2"/>
      <scheme val="minor"/>
    </font>
    <font>
      <b/>
      <sz val="16"/>
      <color theme="1"/>
      <name val="Calibri"/>
      <family val="2"/>
      <scheme val="minor"/>
    </font>
    <font>
      <b/>
      <sz val="14"/>
      <color theme="1"/>
      <name val="Calibri"/>
      <family val="2"/>
      <scheme val="minor"/>
    </font>
    <font>
      <b/>
      <sz val="10"/>
      <color theme="1"/>
      <name val="Calibri"/>
      <family val="2"/>
      <scheme val="minor"/>
    </font>
    <font>
      <b/>
      <sz val="11"/>
      <color rgb="FFFF0000"/>
      <name val="Calibri"/>
      <family val="2"/>
      <scheme val="minor"/>
    </font>
    <font>
      <sz val="11"/>
      <color theme="1"/>
      <name val="Californian FB"/>
      <family val="1"/>
    </font>
    <font>
      <sz val="10"/>
      <name val="Arial"/>
      <family val="2"/>
    </font>
  </fonts>
  <fills count="9">
    <fill>
      <patternFill patternType="none"/>
    </fill>
    <fill>
      <patternFill patternType="gray125"/>
    </fill>
    <fill>
      <patternFill patternType="solid">
        <fgColor theme="8" tint="0.39997558519241921"/>
        <bgColor indexed="64"/>
      </patternFill>
    </fill>
    <fill>
      <patternFill patternType="solid">
        <fgColor rgb="FFFFC000"/>
        <bgColor indexed="64"/>
      </patternFill>
    </fill>
    <fill>
      <patternFill patternType="solid">
        <fgColor theme="7"/>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style="thin">
        <color indexed="64"/>
      </left>
      <right style="medium">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s>
  <cellStyleXfs count="2">
    <xf numFmtId="0" fontId="0" fillId="0" borderId="0"/>
    <xf numFmtId="0" fontId="16" fillId="0" borderId="0"/>
  </cellStyleXfs>
  <cellXfs count="140">
    <xf numFmtId="0" fontId="0" fillId="0" borderId="0" xfId="0"/>
    <xf numFmtId="0" fontId="0" fillId="0" borderId="0" xfId="0" applyAlignment="1">
      <alignment horizontal="center"/>
    </xf>
    <xf numFmtId="0" fontId="9" fillId="0" borderId="0" xfId="0" applyFont="1" applyAlignment="1">
      <alignment horizontal="center"/>
    </xf>
    <xf numFmtId="0" fontId="9" fillId="0" borderId="0" xfId="0" applyFont="1"/>
    <xf numFmtId="1" fontId="0" fillId="0" borderId="0" xfId="0" applyNumberFormat="1" applyAlignment="1">
      <alignment horizontal="center"/>
    </xf>
    <xf numFmtId="1" fontId="0" fillId="0" borderId="1" xfId="0" applyNumberFormat="1" applyBorder="1" applyAlignment="1">
      <alignment horizontal="center" vertical="center"/>
    </xf>
    <xf numFmtId="0" fontId="0" fillId="0" borderId="0" xfId="0" applyAlignment="1">
      <alignment horizontal="center" vertical="center"/>
    </xf>
    <xf numFmtId="0" fontId="11" fillId="0" borderId="0" xfId="0" applyFont="1" applyAlignment="1">
      <alignment horizontal="center" vertical="center"/>
    </xf>
    <xf numFmtId="0" fontId="0" fillId="0" borderId="0" xfId="0" applyAlignment="1">
      <alignment vertical="center"/>
    </xf>
    <xf numFmtId="0" fontId="0" fillId="0" borderId="2" xfId="0" applyBorder="1" applyAlignment="1">
      <alignment horizontal="center" vertical="center"/>
    </xf>
    <xf numFmtId="4" fontId="9" fillId="0" borderId="3" xfId="0" applyNumberFormat="1" applyFont="1" applyBorder="1" applyAlignment="1">
      <alignment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12" fillId="0" borderId="4" xfId="0" applyFont="1" applyBorder="1" applyAlignment="1">
      <alignment horizontal="center" vertical="center" wrapText="1"/>
    </xf>
    <xf numFmtId="3" fontId="0" fillId="0" borderId="1" xfId="0" applyNumberFormat="1" applyBorder="1" applyAlignment="1">
      <alignment horizontal="center" vertical="center"/>
    </xf>
    <xf numFmtId="3" fontId="0" fillId="0" borderId="0" xfId="0" applyNumberFormat="1" applyAlignment="1">
      <alignment horizontal="center" vertical="center"/>
    </xf>
    <xf numFmtId="4" fontId="0" fillId="0" borderId="0" xfId="0" applyNumberFormat="1" applyAlignment="1">
      <alignment horizontal="center" vertical="center"/>
    </xf>
    <xf numFmtId="1" fontId="0" fillId="0" borderId="0" xfId="0" applyNumberFormat="1" applyAlignment="1">
      <alignment horizontal="center" vertical="center"/>
    </xf>
    <xf numFmtId="0" fontId="9" fillId="0" borderId="0" xfId="0" applyFont="1" applyAlignment="1">
      <alignment horizontal="center" vertical="center"/>
    </xf>
    <xf numFmtId="2" fontId="10" fillId="0" borderId="0" xfId="0" applyNumberFormat="1" applyFont="1" applyAlignment="1">
      <alignment horizontal="center"/>
    </xf>
    <xf numFmtId="0" fontId="10" fillId="0" borderId="0" xfId="0" applyFont="1" applyAlignment="1">
      <alignment horizontal="center"/>
    </xf>
    <xf numFmtId="0" fontId="0" fillId="0" borderId="6" xfId="0" applyBorder="1" applyAlignment="1">
      <alignment horizontal="center" vertical="center"/>
    </xf>
    <xf numFmtId="0" fontId="9" fillId="0" borderId="4" xfId="0" applyFont="1" applyBorder="1" applyAlignment="1">
      <alignment horizontal="center" vertical="center"/>
    </xf>
    <xf numFmtId="0" fontId="9" fillId="0" borderId="3" xfId="0" applyFont="1" applyBorder="1" applyAlignment="1">
      <alignment horizontal="center" vertical="center"/>
    </xf>
    <xf numFmtId="0" fontId="12" fillId="0" borderId="7" xfId="0" applyFont="1" applyBorder="1" applyAlignment="1">
      <alignment horizontal="center" vertical="center"/>
    </xf>
    <xf numFmtId="0" fontId="12" fillId="2" borderId="8" xfId="0" applyFont="1" applyFill="1" applyBorder="1" applyAlignment="1">
      <alignment horizontal="center" vertical="center" wrapText="1"/>
    </xf>
    <xf numFmtId="3" fontId="12" fillId="3" borderId="8" xfId="0" applyNumberFormat="1" applyFont="1" applyFill="1" applyBorder="1" applyAlignment="1">
      <alignment horizontal="center" vertical="center" wrapText="1"/>
    </xf>
    <xf numFmtId="4" fontId="3" fillId="2" borderId="8" xfId="0" applyNumberFormat="1" applyFont="1" applyFill="1" applyBorder="1" applyAlignment="1">
      <alignment horizontal="center" vertical="center" wrapText="1"/>
    </xf>
    <xf numFmtId="4" fontId="3" fillId="4" borderId="8" xfId="0" applyNumberFormat="1" applyFont="1" applyFill="1" applyBorder="1" applyAlignment="1">
      <alignment horizontal="center" vertical="center" wrapText="1"/>
    </xf>
    <xf numFmtId="4" fontId="12" fillId="4" borderId="8" xfId="0" applyNumberFormat="1" applyFont="1" applyFill="1" applyBorder="1" applyAlignment="1">
      <alignment horizontal="center" vertical="center" wrapText="1"/>
    </xf>
    <xf numFmtId="4" fontId="12" fillId="2" borderId="9" xfId="0" applyNumberFormat="1" applyFont="1" applyFill="1" applyBorder="1" applyAlignment="1">
      <alignment horizontal="center" vertical="center" wrapText="1"/>
    </xf>
    <xf numFmtId="4" fontId="12" fillId="4" borderId="9" xfId="0" applyNumberFormat="1" applyFont="1" applyFill="1" applyBorder="1" applyAlignment="1">
      <alignment horizontal="center" vertical="center" wrapText="1"/>
    </xf>
    <xf numFmtId="4" fontId="12" fillId="2" borderId="8" xfId="0" applyNumberFormat="1" applyFont="1" applyFill="1" applyBorder="1" applyAlignment="1">
      <alignment horizontal="center" vertical="center" wrapText="1"/>
    </xf>
    <xf numFmtId="4" fontId="12" fillId="3" borderId="8" xfId="0" applyNumberFormat="1" applyFont="1" applyFill="1" applyBorder="1" applyAlignment="1">
      <alignment horizontal="center" vertical="center" wrapText="1"/>
    </xf>
    <xf numFmtId="0" fontId="12" fillId="2" borderId="10" xfId="0" applyFont="1" applyFill="1" applyBorder="1" applyAlignment="1">
      <alignment horizontal="center" vertical="center" wrapText="1"/>
    </xf>
    <xf numFmtId="3" fontId="12" fillId="3" borderId="10" xfId="0" applyNumberFormat="1" applyFont="1" applyFill="1" applyBorder="1" applyAlignment="1">
      <alignment horizontal="center" vertical="center" wrapText="1"/>
    </xf>
    <xf numFmtId="0" fontId="12" fillId="0" borderId="10" xfId="0" applyFont="1" applyBorder="1" applyAlignment="1">
      <alignment horizontal="center" vertical="center" wrapText="1"/>
    </xf>
    <xf numFmtId="0" fontId="12" fillId="4" borderId="8" xfId="0" applyFont="1" applyFill="1" applyBorder="1" applyAlignment="1">
      <alignment horizontal="center" vertical="center" wrapText="1"/>
    </xf>
    <xf numFmtId="3" fontId="12" fillId="3" borderId="11" xfId="0" applyNumberFormat="1" applyFont="1" applyFill="1" applyBorder="1" applyAlignment="1">
      <alignment horizontal="center" vertical="center" wrapText="1"/>
    </xf>
    <xf numFmtId="1" fontId="9" fillId="5" borderId="8" xfId="0" applyNumberFormat="1" applyFont="1" applyFill="1" applyBorder="1" applyAlignment="1">
      <alignment horizontal="center" vertical="center" wrapText="1"/>
    </xf>
    <xf numFmtId="3" fontId="0" fillId="0" borderId="5" xfId="0" applyNumberFormat="1" applyBorder="1" applyAlignment="1">
      <alignment horizontal="center" vertical="center"/>
    </xf>
    <xf numFmtId="1" fontId="0" fillId="0" borderId="5" xfId="0" applyNumberFormat="1" applyBorder="1" applyAlignment="1">
      <alignment horizontal="center" vertical="center"/>
    </xf>
    <xf numFmtId="2" fontId="0" fillId="0" borderId="0" xfId="0" applyNumberFormat="1" applyAlignment="1">
      <alignment horizontal="center" vertical="center"/>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0" fontId="12" fillId="0" borderId="8" xfId="0" applyFont="1" applyBorder="1" applyAlignment="1">
      <alignment horizontal="center" vertical="center" wrapText="1"/>
    </xf>
    <xf numFmtId="4" fontId="0" fillId="0" borderId="3" xfId="0" applyNumberFormat="1" applyBorder="1" applyAlignment="1">
      <alignment horizontal="center" vertical="center"/>
    </xf>
    <xf numFmtId="2" fontId="0" fillId="0" borderId="1" xfId="0" applyNumberFormat="1"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wrapText="1"/>
    </xf>
    <xf numFmtId="3" fontId="0" fillId="0" borderId="13" xfId="0" applyNumberFormat="1" applyBorder="1" applyAlignment="1">
      <alignment horizontal="center" vertical="center" wrapText="1"/>
    </xf>
    <xf numFmtId="0" fontId="0" fillId="0" borderId="13" xfId="0" applyBorder="1" applyAlignment="1">
      <alignment horizontal="center" vertical="center"/>
    </xf>
    <xf numFmtId="0" fontId="9" fillId="6" borderId="7" xfId="0" applyFont="1" applyFill="1" applyBorder="1" applyAlignment="1">
      <alignment horizontal="center" vertical="center"/>
    </xf>
    <xf numFmtId="0" fontId="0" fillId="6" borderId="8" xfId="0" applyFill="1" applyBorder="1" applyAlignment="1">
      <alignment horizontal="center" vertical="center"/>
    </xf>
    <xf numFmtId="3" fontId="0" fillId="6" borderId="8" xfId="0" applyNumberFormat="1" applyFill="1" applyBorder="1" applyAlignment="1">
      <alignment horizontal="center" vertical="center"/>
    </xf>
    <xf numFmtId="0" fontId="0" fillId="6" borderId="8" xfId="0" applyFill="1" applyBorder="1" applyAlignment="1">
      <alignment horizontal="center" vertical="center" wrapText="1"/>
    </xf>
    <xf numFmtId="4" fontId="0" fillId="6" borderId="8" xfId="0" applyNumberFormat="1" applyFill="1" applyBorder="1" applyAlignment="1">
      <alignment horizontal="center" vertical="center"/>
    </xf>
    <xf numFmtId="1" fontId="0" fillId="6" borderId="8" xfId="0" applyNumberFormat="1" applyFill="1" applyBorder="1" applyAlignment="1">
      <alignment horizontal="center" vertical="center"/>
    </xf>
    <xf numFmtId="2" fontId="0" fillId="0" borderId="5" xfId="0" applyNumberFormat="1" applyBorder="1" applyAlignment="1">
      <alignment horizontal="center" vertical="center"/>
    </xf>
    <xf numFmtId="0" fontId="14" fillId="0" borderId="0" xfId="0" applyFont="1" applyAlignment="1">
      <alignment horizontal="center"/>
    </xf>
    <xf numFmtId="1" fontId="0" fillId="0" borderId="14" xfId="0" applyNumberFormat="1" applyBorder="1" applyAlignment="1">
      <alignment horizontal="center" vertical="center"/>
    </xf>
    <xf numFmtId="0" fontId="0" fillId="5" borderId="13" xfId="0" applyFill="1" applyBorder="1" applyAlignment="1">
      <alignment horizontal="center" vertical="center" wrapText="1"/>
    </xf>
    <xf numFmtId="0" fontId="0" fillId="0" borderId="14" xfId="0" applyBorder="1" applyAlignment="1">
      <alignment horizontal="center" vertical="center"/>
    </xf>
    <xf numFmtId="4" fontId="0" fillId="0" borderId="14" xfId="0" applyNumberFormat="1" applyBorder="1" applyAlignment="1">
      <alignment horizontal="center" vertical="center"/>
    </xf>
    <xf numFmtId="4" fontId="12" fillId="7" borderId="8" xfId="0" applyNumberFormat="1" applyFont="1" applyFill="1" applyBorder="1" applyAlignment="1">
      <alignment horizontal="center" vertical="center" wrapText="1"/>
    </xf>
    <xf numFmtId="0" fontId="15" fillId="5" borderId="8" xfId="0" applyFont="1" applyFill="1" applyBorder="1" applyAlignment="1">
      <alignment horizontal="center" vertical="center" wrapText="1"/>
    </xf>
    <xf numFmtId="0" fontId="0" fillId="5" borderId="8" xfId="0" applyFill="1" applyBorder="1" applyAlignment="1">
      <alignment horizontal="center" vertical="center" wrapText="1"/>
    </xf>
    <xf numFmtId="0" fontId="0" fillId="5" borderId="1" xfId="0" applyFill="1" applyBorder="1" applyAlignment="1">
      <alignment horizontal="center" vertical="center"/>
    </xf>
    <xf numFmtId="0" fontId="0" fillId="0" borderId="1" xfId="0" applyBorder="1" applyAlignment="1">
      <alignment horizontal="center"/>
    </xf>
    <xf numFmtId="0" fontId="10" fillId="0" borderId="1" xfId="0" applyFont="1" applyBorder="1" applyAlignment="1">
      <alignment horizontal="center"/>
    </xf>
    <xf numFmtId="1" fontId="0" fillId="0" borderId="1" xfId="0" applyNumberFormat="1" applyBorder="1" applyAlignment="1">
      <alignment horizontal="center"/>
    </xf>
    <xf numFmtId="0" fontId="9" fillId="0" borderId="1" xfId="0" applyFont="1" applyBorder="1" applyAlignment="1">
      <alignment horizontal="center"/>
    </xf>
    <xf numFmtId="0" fontId="14" fillId="0" borderId="1" xfId="0" applyFont="1" applyBorder="1" applyAlignment="1">
      <alignment horizontal="center"/>
    </xf>
    <xf numFmtId="2" fontId="10" fillId="0" borderId="1" xfId="0" applyNumberFormat="1" applyFont="1" applyBorder="1" applyAlignment="1">
      <alignment horizontal="center"/>
    </xf>
    <xf numFmtId="164" fontId="0" fillId="0" borderId="5" xfId="0" applyNumberFormat="1" applyBorder="1" applyAlignment="1">
      <alignment horizontal="center" vertical="center"/>
    </xf>
    <xf numFmtId="165" fontId="9" fillId="0" borderId="0" xfId="0" applyNumberFormat="1" applyFont="1" applyBorder="1" applyAlignment="1">
      <alignment horizontal="center" vertical="center"/>
    </xf>
    <xf numFmtId="3" fontId="0" fillId="0" borderId="16" xfId="0" applyNumberFormat="1" applyBorder="1" applyAlignment="1">
      <alignment horizontal="center" vertical="center"/>
    </xf>
    <xf numFmtId="3" fontId="0" fillId="0" borderId="17" xfId="0" applyNumberFormat="1" applyBorder="1" applyAlignment="1">
      <alignment horizontal="center" vertical="center"/>
    </xf>
    <xf numFmtId="165" fontId="9" fillId="0" borderId="2" xfId="0" applyNumberFormat="1" applyFont="1" applyBorder="1" applyAlignment="1">
      <alignment horizontal="center" vertical="center"/>
    </xf>
    <xf numFmtId="165" fontId="9" fillId="0" borderId="18" xfId="0" applyNumberFormat="1" applyFont="1" applyBorder="1" applyAlignment="1">
      <alignment horizontal="center" vertical="center"/>
    </xf>
    <xf numFmtId="1" fontId="0" fillId="8" borderId="1" xfId="0" applyNumberFormat="1" applyFill="1" applyBorder="1" applyAlignment="1">
      <alignment horizontal="center"/>
    </xf>
    <xf numFmtId="4" fontId="0" fillId="8" borderId="1" xfId="0" applyNumberFormat="1" applyFill="1" applyBorder="1" applyAlignment="1">
      <alignment horizontal="center" vertical="center"/>
    </xf>
    <xf numFmtId="4" fontId="0" fillId="0" borderId="1" xfId="0" applyNumberFormat="1" applyBorder="1" applyAlignment="1">
      <alignment horizontal="center" vertical="center"/>
    </xf>
    <xf numFmtId="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3" fontId="0" fillId="0" borderId="17" xfId="0" applyNumberFormat="1" applyFill="1" applyBorder="1" applyAlignment="1">
      <alignment horizontal="center" vertical="center"/>
    </xf>
    <xf numFmtId="166" fontId="0" fillId="0" borderId="1" xfId="0" applyNumberFormat="1" applyBorder="1" applyAlignment="1">
      <alignment horizontal="center" vertical="center"/>
    </xf>
    <xf numFmtId="3" fontId="0" fillId="0" borderId="14" xfId="0" applyNumberFormat="1" applyBorder="1" applyAlignment="1">
      <alignment horizontal="center" vertical="center"/>
    </xf>
    <xf numFmtId="3" fontId="0" fillId="6" borderId="11" xfId="0" applyNumberFormat="1" applyFill="1" applyBorder="1" applyAlignment="1">
      <alignment horizontal="center" vertical="center"/>
    </xf>
    <xf numFmtId="0" fontId="9" fillId="0" borderId="0" xfId="0" applyFont="1" applyBorder="1" applyAlignment="1">
      <alignment horizontal="center" vertical="center"/>
    </xf>
    <xf numFmtId="0" fontId="9" fillId="0" borderId="0" xfId="0" applyFont="1" applyBorder="1" applyAlignment="1">
      <alignment horizontal="center"/>
    </xf>
    <xf numFmtId="0" fontId="14" fillId="0" borderId="0" xfId="0" applyFont="1" applyBorder="1" applyAlignment="1">
      <alignment horizontal="center"/>
    </xf>
    <xf numFmtId="1" fontId="13" fillId="0" borderId="0" xfId="0" applyNumberFormat="1" applyFont="1" applyBorder="1" applyAlignment="1">
      <alignment horizontal="center" wrapText="1"/>
    </xf>
    <xf numFmtId="1" fontId="9" fillId="0" borderId="0" xfId="0" applyNumberFormat="1" applyFont="1" applyBorder="1" applyAlignment="1">
      <alignment horizontal="center" wrapText="1"/>
    </xf>
    <xf numFmtId="0" fontId="9" fillId="0" borderId="0" xfId="0" applyFont="1" applyBorder="1" applyAlignment="1">
      <alignment horizontal="center" wrapText="1"/>
    </xf>
    <xf numFmtId="0" fontId="5" fillId="0" borderId="22" xfId="0" applyFont="1" applyBorder="1" applyAlignment="1">
      <alignment horizontal="center"/>
    </xf>
    <xf numFmtId="0" fontId="0" fillId="0" borderId="5" xfId="0" applyBorder="1" applyAlignment="1">
      <alignment horizontal="center"/>
    </xf>
    <xf numFmtId="0" fontId="10" fillId="0" borderId="5" xfId="0" applyFont="1" applyBorder="1" applyAlignment="1">
      <alignment horizontal="center"/>
    </xf>
    <xf numFmtId="1" fontId="0" fillId="0" borderId="5" xfId="0" applyNumberFormat="1" applyBorder="1" applyAlignment="1">
      <alignment horizontal="center"/>
    </xf>
    <xf numFmtId="1" fontId="0" fillId="0" borderId="16" xfId="0" applyNumberFormat="1" applyBorder="1" applyAlignment="1">
      <alignment horizontal="center"/>
    </xf>
    <xf numFmtId="0" fontId="5" fillId="0" borderId="2" xfId="0" applyFont="1" applyBorder="1" applyAlignment="1">
      <alignment horizontal="center"/>
    </xf>
    <xf numFmtId="1" fontId="0" fillId="0" borderId="17" xfId="0" applyNumberFormat="1" applyBorder="1" applyAlignment="1">
      <alignment horizontal="center"/>
    </xf>
    <xf numFmtId="0" fontId="5" fillId="0" borderId="19" xfId="0" applyFont="1" applyBorder="1" applyAlignment="1">
      <alignment horizontal="center"/>
    </xf>
    <xf numFmtId="0" fontId="0" fillId="0" borderId="20" xfId="0" applyBorder="1" applyAlignment="1">
      <alignment horizontal="center"/>
    </xf>
    <xf numFmtId="0" fontId="10" fillId="0" borderId="20" xfId="0" applyFont="1" applyBorder="1" applyAlignment="1">
      <alignment horizontal="center"/>
    </xf>
    <xf numFmtId="1" fontId="0" fillId="0" borderId="20" xfId="0" applyNumberFormat="1" applyBorder="1" applyAlignment="1">
      <alignment horizontal="center"/>
    </xf>
    <xf numFmtId="1" fontId="0" fillId="0" borderId="21" xfId="0" applyNumberFormat="1" applyBorder="1" applyAlignment="1">
      <alignment horizontal="center"/>
    </xf>
    <xf numFmtId="0" fontId="1" fillId="0" borderId="22" xfId="0" applyFont="1" applyBorder="1" applyAlignment="1">
      <alignment horizontal="center"/>
    </xf>
    <xf numFmtId="0" fontId="9" fillId="0" borderId="5" xfId="0" applyFont="1" applyBorder="1" applyAlignment="1">
      <alignment horizontal="center"/>
    </xf>
    <xf numFmtId="0" fontId="14" fillId="0" borderId="5" xfId="0" applyFont="1" applyBorder="1" applyAlignment="1">
      <alignment horizontal="center"/>
    </xf>
    <xf numFmtId="2" fontId="10" fillId="0" borderId="5" xfId="0" applyNumberFormat="1" applyFont="1" applyBorder="1" applyAlignment="1">
      <alignment horizontal="center"/>
    </xf>
    <xf numFmtId="0" fontId="1" fillId="0" borderId="2" xfId="0" applyFont="1" applyBorder="1" applyAlignment="1">
      <alignment horizontal="center"/>
    </xf>
    <xf numFmtId="0" fontId="1" fillId="0" borderId="19" xfId="0" applyFont="1" applyBorder="1" applyAlignment="1">
      <alignment horizontal="center"/>
    </xf>
    <xf numFmtId="0" fontId="9" fillId="0" borderId="20" xfId="0" applyFont="1" applyBorder="1" applyAlignment="1">
      <alignment horizontal="center"/>
    </xf>
    <xf numFmtId="0" fontId="14" fillId="0" borderId="20" xfId="0" applyFont="1" applyBorder="1" applyAlignment="1">
      <alignment horizontal="center"/>
    </xf>
    <xf numFmtId="2" fontId="10" fillId="0" borderId="20" xfId="0" applyNumberFormat="1" applyFont="1" applyBorder="1" applyAlignment="1">
      <alignment horizont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4" fillId="0" borderId="8" xfId="0" applyFont="1" applyBorder="1" applyAlignment="1">
      <alignment horizontal="center" vertical="center"/>
    </xf>
    <xf numFmtId="0" fontId="9" fillId="0" borderId="8" xfId="0" applyFont="1" applyBorder="1" applyAlignment="1">
      <alignment horizontal="center" vertical="center" wrapText="1"/>
    </xf>
    <xf numFmtId="2" fontId="14" fillId="0" borderId="8" xfId="0" applyNumberFormat="1" applyFont="1" applyBorder="1" applyAlignment="1">
      <alignment horizontal="center" vertical="center" wrapText="1"/>
    </xf>
    <xf numFmtId="1" fontId="9" fillId="0" borderId="8" xfId="0" applyNumberFormat="1" applyFont="1" applyBorder="1" applyAlignment="1">
      <alignment horizontal="center" wrapText="1"/>
    </xf>
    <xf numFmtId="0" fontId="14" fillId="0" borderId="8" xfId="0" applyFont="1" applyBorder="1" applyAlignment="1">
      <alignment horizontal="center" wrapText="1"/>
    </xf>
    <xf numFmtId="0" fontId="14" fillId="0" borderId="8" xfId="0" applyFont="1" applyBorder="1" applyAlignment="1">
      <alignment horizontal="center" vertical="center" wrapText="1"/>
    </xf>
    <xf numFmtId="0" fontId="9" fillId="0" borderId="11" xfId="0" applyFont="1" applyBorder="1" applyAlignment="1">
      <alignment horizontal="center" vertical="center" wrapText="1"/>
    </xf>
    <xf numFmtId="166" fontId="0" fillId="0" borderId="5" xfId="0" applyNumberFormat="1" applyBorder="1" applyAlignment="1">
      <alignment horizontal="center" vertical="center"/>
    </xf>
    <xf numFmtId="3" fontId="9" fillId="0" borderId="15" xfId="0" applyNumberFormat="1" applyFont="1" applyBorder="1" applyAlignment="1">
      <alignment horizontal="center" vertical="center" wrapText="1"/>
    </xf>
    <xf numFmtId="3" fontId="9" fillId="0" borderId="3" xfId="0" applyNumberFormat="1" applyFont="1" applyBorder="1" applyAlignment="1">
      <alignment horizontal="center" vertical="center" wrapText="1"/>
    </xf>
    <xf numFmtId="0" fontId="9" fillId="0" borderId="3" xfId="0" applyFont="1" applyBorder="1" applyAlignment="1">
      <alignment horizontal="center" vertical="center" wrapText="1"/>
    </xf>
    <xf numFmtId="0" fontId="12" fillId="0" borderId="3" xfId="0" applyFont="1" applyBorder="1" applyAlignment="1">
      <alignment horizontal="center" vertical="center" wrapText="1"/>
    </xf>
    <xf numFmtId="4" fontId="12" fillId="0" borderId="3" xfId="0" applyNumberFormat="1" applyFont="1" applyBorder="1" applyAlignment="1">
      <alignment horizontal="center" vertical="center" wrapText="1"/>
    </xf>
    <xf numFmtId="1" fontId="9" fillId="0" borderId="3" xfId="0" applyNumberFormat="1" applyFont="1" applyBorder="1" applyAlignment="1">
      <alignment horizontal="center" vertical="center" wrapText="1"/>
    </xf>
    <xf numFmtId="0" fontId="12" fillId="0" borderId="8" xfId="0" applyFont="1" applyBorder="1" applyAlignment="1">
      <alignment horizontal="center" vertical="center"/>
    </xf>
    <xf numFmtId="0" fontId="12" fillId="0" borderId="8" xfId="0" applyFont="1" applyBorder="1" applyAlignment="1">
      <alignment horizontal="center" vertical="center" wrapText="1"/>
    </xf>
    <xf numFmtId="0" fontId="9" fillId="0" borderId="4" xfId="0" applyFont="1" applyBorder="1" applyAlignment="1">
      <alignment horizontal="center" vertical="center" wrapText="1"/>
    </xf>
    <xf numFmtId="3" fontId="9" fillId="0" borderId="4" xfId="0" applyNumberFormat="1" applyFont="1" applyBorder="1" applyAlignment="1">
      <alignment horizontal="center" vertical="center" wrapText="1"/>
    </xf>
    <xf numFmtId="4" fontId="0" fillId="0" borderId="3" xfId="0" applyNumberFormat="1" applyBorder="1" applyAlignment="1">
      <alignment horizontal="center"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2"/>
  <sheetViews>
    <sheetView workbookViewId="0">
      <selection activeCell="F17" sqref="F17"/>
    </sheetView>
  </sheetViews>
  <sheetFormatPr defaultColWidth="11.5703125" defaultRowHeight="15" x14ac:dyDescent="0.25"/>
  <cols>
    <col min="1" max="1" width="18.42578125" style="3" customWidth="1"/>
    <col min="2" max="2" width="11.5703125" style="2"/>
    <col min="3" max="3" width="11.5703125" style="60"/>
    <col min="4" max="4" width="13.42578125" style="2" customWidth="1"/>
    <col min="5" max="5" width="12.5703125" style="1" customWidth="1"/>
    <col min="6" max="6" width="12.5703125" style="19" customWidth="1"/>
    <col min="7" max="7" width="11.5703125" style="1"/>
    <col min="8" max="8" width="11.5703125" style="19"/>
    <col min="9" max="9" width="11.5703125" style="4"/>
    <col min="10" max="10" width="11.5703125" style="20"/>
    <col min="11" max="11" width="11.5703125" style="1"/>
    <col min="12" max="12" width="11.5703125" style="20"/>
    <col min="13" max="26" width="11.5703125" style="1"/>
  </cols>
  <sheetData>
    <row r="1" spans="1:15" s="18" customFormat="1" ht="60.75" thickBot="1" x14ac:dyDescent="0.3">
      <c r="A1" s="119" t="s">
        <v>0</v>
      </c>
      <c r="B1" s="120" t="s">
        <v>1</v>
      </c>
      <c r="C1" s="121" t="s">
        <v>2</v>
      </c>
      <c r="D1" s="120" t="s">
        <v>3</v>
      </c>
      <c r="E1" s="122" t="s">
        <v>4</v>
      </c>
      <c r="F1" s="123" t="s">
        <v>5</v>
      </c>
      <c r="G1" s="122" t="s">
        <v>10</v>
      </c>
      <c r="H1" s="123" t="s">
        <v>11</v>
      </c>
      <c r="I1" s="124" t="s">
        <v>82</v>
      </c>
      <c r="J1" s="125" t="s">
        <v>83</v>
      </c>
      <c r="K1" s="122" t="s">
        <v>6</v>
      </c>
      <c r="L1" s="126" t="s">
        <v>7</v>
      </c>
      <c r="M1" s="122" t="s">
        <v>8</v>
      </c>
      <c r="N1" s="127" t="s">
        <v>9</v>
      </c>
    </row>
    <row r="2" spans="1:15" x14ac:dyDescent="0.25">
      <c r="A2" s="110" t="s">
        <v>80</v>
      </c>
      <c r="B2" s="111">
        <v>1</v>
      </c>
      <c r="C2" s="112">
        <v>6</v>
      </c>
      <c r="D2" s="111">
        <v>2021</v>
      </c>
      <c r="E2" s="101">
        <f>Submetering!E2+Submetering!F2+Submetering!G2+Submetering!H2+Submetering!I2+Submetering!J2+Submetering!K2</f>
        <v>31727</v>
      </c>
      <c r="F2" s="113">
        <v>0.2</v>
      </c>
      <c r="G2" s="101">
        <f>Submetering!P2</f>
        <v>590</v>
      </c>
      <c r="H2" s="113">
        <v>6.47</v>
      </c>
      <c r="I2" s="101">
        <f>Submetering!T2-Submetering!T2*15%-Submetering!X2</f>
        <v>57100.271800002913</v>
      </c>
      <c r="J2" s="100">
        <v>0.21</v>
      </c>
      <c r="K2" s="101">
        <f>Submetering!N2-Submetering!O2</f>
        <v>65.979999999999563</v>
      </c>
      <c r="L2" s="113">
        <v>7.84</v>
      </c>
      <c r="M2" s="101">
        <f>Submetering!Y2</f>
        <v>127</v>
      </c>
      <c r="N2" s="102">
        <f>Submetering!Z2</f>
        <v>148</v>
      </c>
    </row>
    <row r="3" spans="1:15" x14ac:dyDescent="0.25">
      <c r="A3" s="114" t="s">
        <v>80</v>
      </c>
      <c r="B3" s="72">
        <f>B2+1</f>
        <v>2</v>
      </c>
      <c r="C3" s="73">
        <v>6</v>
      </c>
      <c r="D3" s="72">
        <v>2021</v>
      </c>
      <c r="E3" s="71">
        <f>Submetering!E3+Submetering!F3+Submetering!G3+Submetering!H3+Submetering!I3+Submetering!J3+Submetering!K3</f>
        <v>32072</v>
      </c>
      <c r="F3" s="74">
        <v>0.2</v>
      </c>
      <c r="G3" s="71">
        <f>Submetering!P3</f>
        <v>587</v>
      </c>
      <c r="H3" s="74">
        <v>6.47</v>
      </c>
      <c r="I3" s="71">
        <f>Submetering!T3-Submetering!T3*15%-Submetering!X3</f>
        <v>61415.378800001447</v>
      </c>
      <c r="J3" s="70">
        <v>0.21</v>
      </c>
      <c r="K3" s="71">
        <f>Submetering!N3-Submetering!O3</f>
        <v>64.548000000001593</v>
      </c>
      <c r="L3" s="74">
        <v>7.84</v>
      </c>
      <c r="M3" s="71">
        <f>Submetering!Y3</f>
        <v>114</v>
      </c>
      <c r="N3" s="104">
        <f>Submetering!Z3</f>
        <v>164</v>
      </c>
    </row>
    <row r="4" spans="1:15" x14ac:dyDescent="0.25">
      <c r="A4" s="114" t="s">
        <v>80</v>
      </c>
      <c r="B4" s="72">
        <f t="shared" ref="B4:B31" si="0">B3+1</f>
        <v>3</v>
      </c>
      <c r="C4" s="73">
        <v>6</v>
      </c>
      <c r="D4" s="72">
        <v>2021</v>
      </c>
      <c r="E4" s="71">
        <f>Submetering!E4+Submetering!F4+Submetering!G4+Submetering!H4+Submetering!I4+Submetering!J4+Submetering!K4</f>
        <v>31272</v>
      </c>
      <c r="F4" s="74">
        <v>0.2</v>
      </c>
      <c r="G4" s="71">
        <f>Submetering!P4</f>
        <v>590</v>
      </c>
      <c r="H4" s="74">
        <v>6.47</v>
      </c>
      <c r="I4" s="71">
        <f>Submetering!T4-Submetering!T4*15%-Submetering!X4</f>
        <v>62928.986600000004</v>
      </c>
      <c r="J4" s="70">
        <v>0.21</v>
      </c>
      <c r="K4" s="71">
        <f>Submetering!N4-Submetering!O4</f>
        <v>77.89499999999407</v>
      </c>
      <c r="L4" s="74">
        <v>7.84</v>
      </c>
      <c r="M4" s="71">
        <f>Submetering!Y4</f>
        <v>146</v>
      </c>
      <c r="N4" s="104">
        <f>Submetering!Z4</f>
        <v>242</v>
      </c>
    </row>
    <row r="5" spans="1:15" x14ac:dyDescent="0.25">
      <c r="A5" s="114" t="s">
        <v>80</v>
      </c>
      <c r="B5" s="72">
        <f t="shared" si="0"/>
        <v>4</v>
      </c>
      <c r="C5" s="73">
        <v>6</v>
      </c>
      <c r="D5" s="72">
        <v>2021</v>
      </c>
      <c r="E5" s="71">
        <f>Submetering!E5+Submetering!F5+Submetering!G5+Submetering!H5+Submetering!I5+Submetering!J5+Submetering!K5</f>
        <v>30514</v>
      </c>
      <c r="F5" s="74">
        <v>0.2</v>
      </c>
      <c r="G5" s="71">
        <f>Submetering!P5</f>
        <v>651</v>
      </c>
      <c r="H5" s="74">
        <v>6.47</v>
      </c>
      <c r="I5" s="71">
        <f>Submetering!T5-Submetering!T5*15%-Submetering!X5</f>
        <v>63668.163819994734</v>
      </c>
      <c r="J5" s="70">
        <v>0.21</v>
      </c>
      <c r="K5" s="81">
        <f>Submetering!N5-Submetering!O5</f>
        <v>74.662000000012995</v>
      </c>
      <c r="L5" s="74">
        <v>7.84</v>
      </c>
      <c r="M5" s="71">
        <f>Submetering!Y5</f>
        <v>138</v>
      </c>
      <c r="N5" s="104">
        <f>Submetering!Z5</f>
        <v>222</v>
      </c>
    </row>
    <row r="6" spans="1:15" x14ac:dyDescent="0.25">
      <c r="A6" s="114" t="s">
        <v>80</v>
      </c>
      <c r="B6" s="72">
        <f t="shared" si="0"/>
        <v>5</v>
      </c>
      <c r="C6" s="73">
        <v>6</v>
      </c>
      <c r="D6" s="72">
        <v>2021</v>
      </c>
      <c r="E6" s="71">
        <f>Submetering!E6+Submetering!F6+Submetering!G6+Submetering!H6+Submetering!I6+Submetering!J6+Submetering!K6</f>
        <v>31610</v>
      </c>
      <c r="F6" s="74">
        <v>0.2</v>
      </c>
      <c r="G6" s="71">
        <f>Submetering!P6</f>
        <v>598</v>
      </c>
      <c r="H6" s="74">
        <v>6.47</v>
      </c>
      <c r="I6" s="71">
        <f>Submetering!T6-Submetering!T6*15%-Submetering!X6</f>
        <v>65641.842480000894</v>
      </c>
      <c r="J6" s="70">
        <v>0.21</v>
      </c>
      <c r="K6" s="71">
        <f>Submetering!N6-Submetering!O6</f>
        <v>104.77500000000418</v>
      </c>
      <c r="L6" s="74">
        <v>7.84</v>
      </c>
      <c r="M6" s="71">
        <f>Submetering!Y6</f>
        <v>79</v>
      </c>
      <c r="N6" s="104">
        <f>Submetering!Z6</f>
        <v>118</v>
      </c>
    </row>
    <row r="7" spans="1:15" x14ac:dyDescent="0.25">
      <c r="A7" s="114" t="s">
        <v>80</v>
      </c>
      <c r="B7" s="72">
        <f t="shared" si="0"/>
        <v>6</v>
      </c>
      <c r="C7" s="73">
        <v>6</v>
      </c>
      <c r="D7" s="72">
        <v>2021</v>
      </c>
      <c r="E7" s="71">
        <f>Submetering!E7+Submetering!F7+Submetering!G7+Submetering!H7+Submetering!I7+Submetering!J7+Submetering!K7</f>
        <v>30886</v>
      </c>
      <c r="F7" s="74">
        <v>0.2</v>
      </c>
      <c r="G7" s="71">
        <f>Submetering!P7</f>
        <v>527</v>
      </c>
      <c r="H7" s="74">
        <v>6.47</v>
      </c>
      <c r="I7" s="71">
        <f>Submetering!T7-Submetering!T7*15%-Submetering!X7</f>
        <v>66021.401900001452</v>
      </c>
      <c r="J7" s="70">
        <v>0.21</v>
      </c>
      <c r="K7" s="71">
        <f>Submetering!N7-Submetering!O7</f>
        <v>75.220999999984087</v>
      </c>
      <c r="L7" s="74">
        <v>7.84</v>
      </c>
      <c r="M7" s="71">
        <f>Submetering!Y7</f>
        <v>91</v>
      </c>
      <c r="N7" s="104">
        <f>Submetering!Z7</f>
        <v>131</v>
      </c>
    </row>
    <row r="8" spans="1:15" x14ac:dyDescent="0.25">
      <c r="A8" s="114" t="s">
        <v>80</v>
      </c>
      <c r="B8" s="72">
        <f t="shared" si="0"/>
        <v>7</v>
      </c>
      <c r="C8" s="73">
        <v>6</v>
      </c>
      <c r="D8" s="72">
        <v>2021</v>
      </c>
      <c r="E8" s="71">
        <f>Submetering!E8+Submetering!F8+Submetering!G8+Submetering!H8+Submetering!I8+Submetering!J8+Submetering!K8</f>
        <v>30779</v>
      </c>
      <c r="F8" s="74">
        <v>0.2</v>
      </c>
      <c r="G8" s="71">
        <f>Submetering!P8</f>
        <v>578</v>
      </c>
      <c r="H8" s="74">
        <v>6.47</v>
      </c>
      <c r="I8" s="71">
        <f>Submetering!T8-Submetering!T8*15%-Submetering!X8</f>
        <v>66522.937199998545</v>
      </c>
      <c r="J8" s="70">
        <v>0.21</v>
      </c>
      <c r="K8" s="71">
        <f>Submetering!N8-Submetering!O8</f>
        <v>57.69500000001608</v>
      </c>
      <c r="L8" s="74">
        <v>7.84</v>
      </c>
      <c r="M8" s="71">
        <f>Submetering!Y8</f>
        <v>89</v>
      </c>
      <c r="N8" s="104">
        <f>Submetering!Z8</f>
        <v>121</v>
      </c>
    </row>
    <row r="9" spans="1:15" x14ac:dyDescent="0.25">
      <c r="A9" s="114" t="s">
        <v>80</v>
      </c>
      <c r="B9" s="72">
        <f t="shared" si="0"/>
        <v>8</v>
      </c>
      <c r="C9" s="73">
        <v>6</v>
      </c>
      <c r="D9" s="72">
        <v>2021</v>
      </c>
      <c r="E9" s="71">
        <f>Submetering!E9+Submetering!F9+Submetering!G9+Submetering!H9+Submetering!I9+Submetering!J9+Submetering!K9</f>
        <v>30250</v>
      </c>
      <c r="F9" s="74">
        <v>0.2</v>
      </c>
      <c r="G9" s="71">
        <f>Submetering!P9</f>
        <v>565</v>
      </c>
      <c r="H9" s="74">
        <v>6.47</v>
      </c>
      <c r="I9" s="71">
        <f>Submetering!T9-Submetering!T9*15%-Submetering!X9</f>
        <v>63874.329000004363</v>
      </c>
      <c r="J9" s="70">
        <v>0.21</v>
      </c>
      <c r="K9" s="71">
        <f>Submetering!N9-Submetering!O9</f>
        <v>80.506999999989603</v>
      </c>
      <c r="L9" s="74">
        <v>7.84</v>
      </c>
      <c r="M9" s="71">
        <f>Submetering!Y9</f>
        <v>116</v>
      </c>
      <c r="N9" s="104">
        <f>Submetering!Z9</f>
        <v>170</v>
      </c>
      <c r="O9" s="1" t="s">
        <v>12</v>
      </c>
    </row>
    <row r="10" spans="1:15" x14ac:dyDescent="0.25">
      <c r="A10" s="114" t="s">
        <v>80</v>
      </c>
      <c r="B10" s="72">
        <f t="shared" si="0"/>
        <v>9</v>
      </c>
      <c r="C10" s="73">
        <v>6</v>
      </c>
      <c r="D10" s="72">
        <v>2021</v>
      </c>
      <c r="E10" s="71">
        <f>Submetering!E10+Submetering!F10+Submetering!G10+Submetering!H10+Submetering!I10+Submetering!J10+Submetering!K10</f>
        <v>31544</v>
      </c>
      <c r="F10" s="74">
        <v>0.2</v>
      </c>
      <c r="G10" s="71">
        <f>Submetering!P10</f>
        <v>577</v>
      </c>
      <c r="H10" s="74">
        <v>6.47</v>
      </c>
      <c r="I10" s="71">
        <f>Submetering!T10-Submetering!T10*15%-Submetering!X10</f>
        <v>60341.526599997087</v>
      </c>
      <c r="J10" s="70">
        <v>0.21</v>
      </c>
      <c r="K10" s="71">
        <f>Submetering!N10-Submetering!O10</f>
        <v>87.464000000009946</v>
      </c>
      <c r="L10" s="74">
        <v>7.84</v>
      </c>
      <c r="M10" s="71">
        <f>Submetering!Y10</f>
        <v>127</v>
      </c>
      <c r="N10" s="104">
        <f>Submetering!Z10</f>
        <v>190</v>
      </c>
    </row>
    <row r="11" spans="1:15" x14ac:dyDescent="0.25">
      <c r="A11" s="114" t="s">
        <v>80</v>
      </c>
      <c r="B11" s="72">
        <f t="shared" si="0"/>
        <v>10</v>
      </c>
      <c r="C11" s="73">
        <v>6</v>
      </c>
      <c r="D11" s="72">
        <v>2021</v>
      </c>
      <c r="E11" s="71">
        <f>Submetering!E11+Submetering!F11+Submetering!G11+Submetering!H11+Submetering!I11+Submetering!J11+Submetering!K11</f>
        <v>31607</v>
      </c>
      <c r="F11" s="74">
        <v>0.2</v>
      </c>
      <c r="G11" s="71">
        <f>Submetering!P11</f>
        <v>610</v>
      </c>
      <c r="H11" s="74">
        <v>6.47</v>
      </c>
      <c r="I11" s="71">
        <f>Submetering!T11-Submetering!T11*15%-Submetering!X11</f>
        <v>60875.346000001446</v>
      </c>
      <c r="J11" s="70">
        <v>0.21</v>
      </c>
      <c r="K11" s="71">
        <f>Submetering!N11-Submetering!O11</f>
        <v>79.637000000006992</v>
      </c>
      <c r="L11" s="74">
        <v>7.84</v>
      </c>
      <c r="M11" s="71">
        <f>Submetering!Y11</f>
        <v>140</v>
      </c>
      <c r="N11" s="104">
        <f>Submetering!Z11</f>
        <v>234</v>
      </c>
    </row>
    <row r="12" spans="1:15" x14ac:dyDescent="0.25">
      <c r="A12" s="114" t="s">
        <v>80</v>
      </c>
      <c r="B12" s="72">
        <f t="shared" si="0"/>
        <v>11</v>
      </c>
      <c r="C12" s="73">
        <v>6</v>
      </c>
      <c r="D12" s="72">
        <v>2021</v>
      </c>
      <c r="E12" s="71">
        <f>Submetering!E12+Submetering!F12+Submetering!G12+Submetering!H12+Submetering!I12+Submetering!J12+Submetering!K12</f>
        <v>30517</v>
      </c>
      <c r="F12" s="74">
        <v>0.2</v>
      </c>
      <c r="G12" s="71">
        <f>Submetering!P12</f>
        <v>633</v>
      </c>
      <c r="H12" s="74">
        <v>6.47</v>
      </c>
      <c r="I12" s="71">
        <f>Submetering!T12-Submetering!T12*15%-Submetering!X12</f>
        <v>57631.456899997094</v>
      </c>
      <c r="J12" s="70">
        <v>0.21</v>
      </c>
      <c r="K12" s="71">
        <f>Submetering!N12-Submetering!O12</f>
        <v>82.897999999990134</v>
      </c>
      <c r="L12" s="74">
        <v>7.84</v>
      </c>
      <c r="M12" s="71">
        <f>Submetering!Y12</f>
        <v>158</v>
      </c>
      <c r="N12" s="104">
        <f>Submetering!Z12</f>
        <v>271</v>
      </c>
    </row>
    <row r="13" spans="1:15" x14ac:dyDescent="0.25">
      <c r="A13" s="114" t="s">
        <v>80</v>
      </c>
      <c r="B13" s="72">
        <f t="shared" si="0"/>
        <v>12</v>
      </c>
      <c r="C13" s="73">
        <v>6</v>
      </c>
      <c r="D13" s="72">
        <v>2021</v>
      </c>
      <c r="E13" s="71">
        <f>Submetering!E13+Submetering!F13+Submetering!G13+Submetering!H13+Submetering!I13+Submetering!J13+Submetering!K13</f>
        <v>30125</v>
      </c>
      <c r="F13" s="74">
        <v>0.2</v>
      </c>
      <c r="G13" s="71">
        <f>Submetering!P13</f>
        <v>569</v>
      </c>
      <c r="H13" s="74">
        <v>6.47</v>
      </c>
      <c r="I13" s="71">
        <f>Submetering!T13-Submetering!T13*15%-Submetering!X13</f>
        <v>59516.83210000291</v>
      </c>
      <c r="J13" s="70">
        <v>0.21</v>
      </c>
      <c r="K13" s="71">
        <f>Submetering!N13-Submetering!O13</f>
        <v>86.151000000006206</v>
      </c>
      <c r="L13" s="74">
        <v>7.84</v>
      </c>
      <c r="M13" s="71">
        <f>Submetering!Y13</f>
        <v>100</v>
      </c>
      <c r="N13" s="104">
        <f>Submetering!Z13</f>
        <v>135</v>
      </c>
    </row>
    <row r="14" spans="1:15" x14ac:dyDescent="0.25">
      <c r="A14" s="114" t="s">
        <v>80</v>
      </c>
      <c r="B14" s="72">
        <f t="shared" si="0"/>
        <v>13</v>
      </c>
      <c r="C14" s="73">
        <v>6</v>
      </c>
      <c r="D14" s="72">
        <v>2021</v>
      </c>
      <c r="E14" s="71">
        <f>Submetering!E14+Submetering!F14+Submetering!G14+Submetering!H14+Submetering!I14+Submetering!J14+Submetering!K14</f>
        <v>31415</v>
      </c>
      <c r="F14" s="74">
        <v>0.2</v>
      </c>
      <c r="G14" s="71">
        <f>Submetering!P14</f>
        <v>538</v>
      </c>
      <c r="H14" s="74">
        <v>6.47</v>
      </c>
      <c r="I14" s="71">
        <f>Submetering!T14-Submetering!T14*15%-Submetering!X14</f>
        <v>56638.651199997083</v>
      </c>
      <c r="J14" s="70">
        <v>0.21</v>
      </c>
      <c r="K14" s="71">
        <f>Submetering!N14-Submetering!O14</f>
        <v>62.113000000001193</v>
      </c>
      <c r="L14" s="74">
        <v>7.84</v>
      </c>
      <c r="M14" s="71">
        <f>Submetering!Y14</f>
        <v>109</v>
      </c>
      <c r="N14" s="104">
        <f>Submetering!Z14</f>
        <v>151</v>
      </c>
    </row>
    <row r="15" spans="1:15" x14ac:dyDescent="0.25">
      <c r="A15" s="114" t="s">
        <v>80</v>
      </c>
      <c r="B15" s="72">
        <f t="shared" si="0"/>
        <v>14</v>
      </c>
      <c r="C15" s="73">
        <v>6</v>
      </c>
      <c r="D15" s="72">
        <v>2021</v>
      </c>
      <c r="E15" s="71">
        <f>Submetering!E15+Submetering!F15+Submetering!G15+Submetering!H15+Submetering!I15+Submetering!J15+Submetering!K15</f>
        <v>31156</v>
      </c>
      <c r="F15" s="74">
        <v>0.2</v>
      </c>
      <c r="G15" s="71">
        <f>Submetering!P15</f>
        <v>587</v>
      </c>
      <c r="H15" s="74">
        <v>6.47</v>
      </c>
      <c r="I15" s="71">
        <f>Submetering!T15-Submetering!T15*15%-Submetering!X15</f>
        <v>58174.596399998554</v>
      </c>
      <c r="J15" s="70">
        <v>0.21</v>
      </c>
      <c r="K15" s="81">
        <f>Submetering!N15-Submetering!O15</f>
        <v>75.57900000000609</v>
      </c>
      <c r="L15" s="74">
        <v>7.84</v>
      </c>
      <c r="M15" s="71">
        <f>Submetering!Y15</f>
        <v>124</v>
      </c>
      <c r="N15" s="104">
        <f>Submetering!Z15</f>
        <v>175</v>
      </c>
    </row>
    <row r="16" spans="1:15" x14ac:dyDescent="0.25">
      <c r="A16" s="114" t="s">
        <v>80</v>
      </c>
      <c r="B16" s="72">
        <f t="shared" si="0"/>
        <v>15</v>
      </c>
      <c r="C16" s="73">
        <v>6</v>
      </c>
      <c r="D16" s="72">
        <v>2021</v>
      </c>
      <c r="E16" s="71">
        <f>Submetering!E16+Submetering!F16+Submetering!G16+Submetering!H16+Submetering!I16+Submetering!J16+Submetering!K16</f>
        <v>30594</v>
      </c>
      <c r="F16" s="74">
        <v>0.2</v>
      </c>
      <c r="G16" s="71">
        <f>Submetering!P16</f>
        <v>530</v>
      </c>
      <c r="H16" s="74">
        <v>6.47</v>
      </c>
      <c r="I16" s="71">
        <f>Submetering!T16-Submetering!T16*15%-Submetering!X16</f>
        <v>49775.880799999999</v>
      </c>
      <c r="J16" s="70">
        <v>0.21</v>
      </c>
      <c r="K16" s="71">
        <f>Submetering!N16-Submetering!O16</f>
        <v>71.308999999985645</v>
      </c>
      <c r="L16" s="74">
        <v>7.84</v>
      </c>
      <c r="M16" s="71">
        <f>Submetering!Y16</f>
        <v>105</v>
      </c>
      <c r="N16" s="104">
        <f>Submetering!Z16</f>
        <v>139</v>
      </c>
    </row>
    <row r="17" spans="1:14" x14ac:dyDescent="0.25">
      <c r="A17" s="114" t="s">
        <v>80</v>
      </c>
      <c r="B17" s="72">
        <f t="shared" si="0"/>
        <v>16</v>
      </c>
      <c r="C17" s="73">
        <v>6</v>
      </c>
      <c r="D17" s="72">
        <v>2021</v>
      </c>
      <c r="E17" s="71">
        <f>Submetering!E17+Submetering!F17+Submetering!G17+Submetering!H17+Submetering!I17+Submetering!J17+Submetering!K17</f>
        <v>30814</v>
      </c>
      <c r="F17" s="74">
        <v>0.2</v>
      </c>
      <c r="G17" s="71">
        <f>Submetering!P17</f>
        <v>559</v>
      </c>
      <c r="H17" s="74">
        <v>6.47</v>
      </c>
      <c r="I17" s="71">
        <f>Submetering!T17-Submetering!T17*15%-Submetering!X17</f>
        <v>50700.929600004369</v>
      </c>
      <c r="J17" s="70">
        <v>0.21</v>
      </c>
      <c r="K17" s="71">
        <f>Submetering!N17-Submetering!O17</f>
        <v>84.06900000000951</v>
      </c>
      <c r="L17" s="74">
        <v>7.84</v>
      </c>
      <c r="M17" s="71">
        <f>Submetering!Y17</f>
        <v>106</v>
      </c>
      <c r="N17" s="104">
        <f>Submetering!Z17</f>
        <v>148</v>
      </c>
    </row>
    <row r="18" spans="1:14" x14ac:dyDescent="0.25">
      <c r="A18" s="114" t="s">
        <v>80</v>
      </c>
      <c r="B18" s="72">
        <f t="shared" si="0"/>
        <v>17</v>
      </c>
      <c r="C18" s="73">
        <v>6</v>
      </c>
      <c r="D18" s="72">
        <v>2021</v>
      </c>
      <c r="E18" s="71">
        <f>Submetering!E18+Submetering!F18+Submetering!G18+Submetering!H18+Submetering!I18+Submetering!J18+Submetering!K18</f>
        <v>31753</v>
      </c>
      <c r="F18" s="74">
        <v>0.2</v>
      </c>
      <c r="G18" s="71">
        <f>Submetering!P18</f>
        <v>564</v>
      </c>
      <c r="H18" s="74">
        <v>6.47</v>
      </c>
      <c r="I18" s="71">
        <f>Submetering!T18-Submetering!T18*15%-Submetering!X18</f>
        <v>58179.86499999708</v>
      </c>
      <c r="J18" s="70">
        <v>0.21</v>
      </c>
      <c r="K18" s="71">
        <f>Submetering!N18-Submetering!O18</f>
        <v>108.15100000000348</v>
      </c>
      <c r="L18" s="74">
        <v>7.84</v>
      </c>
      <c r="M18" s="71">
        <f>Submetering!Y18</f>
        <v>118</v>
      </c>
      <c r="N18" s="104">
        <f>Submetering!Z18</f>
        <v>191</v>
      </c>
    </row>
    <row r="19" spans="1:14" x14ac:dyDescent="0.25">
      <c r="A19" s="114" t="s">
        <v>80</v>
      </c>
      <c r="B19" s="72">
        <f t="shared" si="0"/>
        <v>18</v>
      </c>
      <c r="C19" s="73">
        <v>6</v>
      </c>
      <c r="D19" s="72">
        <v>2021</v>
      </c>
      <c r="E19" s="71">
        <f>Submetering!E19+Submetering!F19+Submetering!G19+Submetering!H19+Submetering!I19+Submetering!J19+Submetering!K19</f>
        <v>30384</v>
      </c>
      <c r="F19" s="74">
        <v>0.2</v>
      </c>
      <c r="G19" s="71">
        <f>Submetering!P19</f>
        <v>609</v>
      </c>
      <c r="H19" s="74">
        <v>6.47</v>
      </c>
      <c r="I19" s="71">
        <f>Submetering!T19-Submetering!T19*15%-Submetering!X19</f>
        <v>57584.466</v>
      </c>
      <c r="J19" s="70">
        <v>0.21</v>
      </c>
      <c r="K19" s="71">
        <f>Submetering!N19-Submetering!O19</f>
        <v>174.38499999999021</v>
      </c>
      <c r="L19" s="74">
        <v>7.84</v>
      </c>
      <c r="M19" s="71">
        <f>Submetering!Y19</f>
        <v>140</v>
      </c>
      <c r="N19" s="104">
        <f>Submetering!Z19</f>
        <v>238</v>
      </c>
    </row>
    <row r="20" spans="1:14" x14ac:dyDescent="0.25">
      <c r="A20" s="114" t="s">
        <v>80</v>
      </c>
      <c r="B20" s="72">
        <f t="shared" si="0"/>
        <v>19</v>
      </c>
      <c r="C20" s="73">
        <v>6</v>
      </c>
      <c r="D20" s="72">
        <v>2021</v>
      </c>
      <c r="E20" s="71">
        <f>Submetering!E20+Submetering!F20+Submetering!G20+Submetering!H20+Submetering!I20+Submetering!J20+Submetering!K20</f>
        <v>32782</v>
      </c>
      <c r="F20" s="74">
        <v>0.2</v>
      </c>
      <c r="G20" s="71">
        <f>Submetering!P20</f>
        <v>510</v>
      </c>
      <c r="H20" s="74">
        <v>6.47</v>
      </c>
      <c r="I20" s="71">
        <f>Submetering!T20-Submetering!T20*15%-Submetering!X20</f>
        <v>62113.522980000911</v>
      </c>
      <c r="J20" s="70">
        <v>0.21</v>
      </c>
      <c r="K20" s="71">
        <f>Submetering!N20-Submetering!O20</f>
        <v>82.46700000000601</v>
      </c>
      <c r="L20" s="74">
        <v>7.84</v>
      </c>
      <c r="M20" s="71">
        <f>Submetering!Y20</f>
        <v>110</v>
      </c>
      <c r="N20" s="104">
        <f>Submetering!Z20</f>
        <v>159</v>
      </c>
    </row>
    <row r="21" spans="1:14" x14ac:dyDescent="0.25">
      <c r="A21" s="114" t="s">
        <v>80</v>
      </c>
      <c r="B21" s="72">
        <f t="shared" si="0"/>
        <v>20</v>
      </c>
      <c r="C21" s="73">
        <v>6</v>
      </c>
      <c r="D21" s="72">
        <v>2021</v>
      </c>
      <c r="E21" s="71">
        <f>Submetering!E21+Submetering!F21+Submetering!G21+Submetering!H21+Submetering!I21+Submetering!J21+Submetering!K21</f>
        <v>30825</v>
      </c>
      <c r="F21" s="74">
        <v>0.2</v>
      </c>
      <c r="G21" s="71">
        <f>Submetering!P21</f>
        <v>598</v>
      </c>
      <c r="H21" s="74">
        <v>6.47</v>
      </c>
      <c r="I21" s="71">
        <f>Submetering!T21-Submetering!T21*15%-Submetering!X21</f>
        <v>64037.757199999993</v>
      </c>
      <c r="J21" s="70">
        <v>0.21</v>
      </c>
      <c r="K21" s="71">
        <f>Submetering!N21-Submetering!O21</f>
        <v>68.200999999995474</v>
      </c>
      <c r="L21" s="74">
        <v>7.84</v>
      </c>
      <c r="M21" s="71">
        <f>Submetering!Y21</f>
        <v>113</v>
      </c>
      <c r="N21" s="104">
        <f>Submetering!Z21</f>
        <v>167</v>
      </c>
    </row>
    <row r="22" spans="1:14" x14ac:dyDescent="0.25">
      <c r="A22" s="114" t="s">
        <v>80</v>
      </c>
      <c r="B22" s="72">
        <f t="shared" si="0"/>
        <v>21</v>
      </c>
      <c r="C22" s="73">
        <v>6</v>
      </c>
      <c r="D22" s="72">
        <v>2021</v>
      </c>
      <c r="E22" s="71">
        <f>Submetering!E22+Submetering!F22+Submetering!G22+Submetering!H22+Submetering!I22+Submetering!J22+Submetering!K22</f>
        <v>31193</v>
      </c>
      <c r="F22" s="74">
        <v>0.2</v>
      </c>
      <c r="G22" s="71">
        <f>Submetering!P22</f>
        <v>556</v>
      </c>
      <c r="H22" s="74">
        <v>6.47</v>
      </c>
      <c r="I22" s="71">
        <f>Submetering!T22-Submetering!T22*15%-Submetering!X22</f>
        <v>60132.992200001463</v>
      </c>
      <c r="J22" s="70">
        <v>0.21</v>
      </c>
      <c r="K22" s="71">
        <f>Submetering!N22-Submetering!O22</f>
        <v>70.874999999998181</v>
      </c>
      <c r="L22" s="74">
        <v>7.84</v>
      </c>
      <c r="M22" s="71">
        <f>Submetering!Y22</f>
        <v>0</v>
      </c>
      <c r="N22" s="104">
        <f>Submetering!Z22</f>
        <v>0</v>
      </c>
    </row>
    <row r="23" spans="1:14" x14ac:dyDescent="0.25">
      <c r="A23" s="114" t="s">
        <v>80</v>
      </c>
      <c r="B23" s="72">
        <f t="shared" si="0"/>
        <v>22</v>
      </c>
      <c r="C23" s="73">
        <v>6</v>
      </c>
      <c r="D23" s="72">
        <v>2021</v>
      </c>
      <c r="E23" s="71">
        <f>Submetering!E23+Submetering!F23+Submetering!G23+Submetering!H23+Submetering!I23+Submetering!J23+Submetering!K23</f>
        <v>31428</v>
      </c>
      <c r="F23" s="74">
        <v>0.2</v>
      </c>
      <c r="G23" s="71">
        <f>Submetering!P23</f>
        <v>546</v>
      </c>
      <c r="H23" s="74">
        <v>6.47</v>
      </c>
      <c r="I23" s="71">
        <f>Submetering!T23-Submetering!T23*15%-Submetering!X23</f>
        <v>57267.356199995629</v>
      </c>
      <c r="J23" s="70">
        <v>0.21</v>
      </c>
      <c r="K23" s="71">
        <f>Submetering!N23-Submetering!O23</f>
        <v>94.374000000007072</v>
      </c>
      <c r="L23" s="74">
        <v>7.84</v>
      </c>
      <c r="M23" s="71">
        <f>Submetering!Y23</f>
        <v>0</v>
      </c>
      <c r="N23" s="104">
        <f>Submetering!Z23</f>
        <v>0</v>
      </c>
    </row>
    <row r="24" spans="1:14" x14ac:dyDescent="0.25">
      <c r="A24" s="114" t="s">
        <v>80</v>
      </c>
      <c r="B24" s="72">
        <f t="shared" si="0"/>
        <v>23</v>
      </c>
      <c r="C24" s="73">
        <v>6</v>
      </c>
      <c r="D24" s="72">
        <v>2021</v>
      </c>
      <c r="E24" s="71">
        <f>Submetering!E24+Submetering!F24+Submetering!G24+Submetering!H24+Submetering!I24+Submetering!J24+Submetering!K24</f>
        <v>32339</v>
      </c>
      <c r="F24" s="74">
        <v>0.2</v>
      </c>
      <c r="G24" s="71">
        <f>Submetering!P24</f>
        <v>576</v>
      </c>
      <c r="H24" s="74">
        <v>6.47</v>
      </c>
      <c r="I24" s="71">
        <f>Submetering!T24-Submetering!T24*15%-Submetering!X24</f>
        <v>60526.877560006033</v>
      </c>
      <c r="J24" s="70">
        <v>0.21</v>
      </c>
      <c r="K24" s="71">
        <f>Submetering!N24-Submetering!O24</f>
        <v>99.150999999993473</v>
      </c>
      <c r="L24" s="74">
        <v>7.84</v>
      </c>
      <c r="M24" s="71">
        <f>Submetering!Y24</f>
        <v>0</v>
      </c>
      <c r="N24" s="104">
        <f>Submetering!Z24</f>
        <v>0</v>
      </c>
    </row>
    <row r="25" spans="1:14" x14ac:dyDescent="0.25">
      <c r="A25" s="114" t="s">
        <v>80</v>
      </c>
      <c r="B25" s="72">
        <f t="shared" si="0"/>
        <v>24</v>
      </c>
      <c r="C25" s="73">
        <v>6</v>
      </c>
      <c r="D25" s="72">
        <v>2021</v>
      </c>
      <c r="E25" s="71">
        <f>Submetering!E25+Submetering!F25+Submetering!G25+Submetering!H25+Submetering!I25+Submetering!J25+Submetering!K25</f>
        <v>31199</v>
      </c>
      <c r="F25" s="74">
        <v>0.2</v>
      </c>
      <c r="G25" s="71">
        <f>Submetering!P25</f>
        <v>585</v>
      </c>
      <c r="H25" s="74">
        <v>6.47</v>
      </c>
      <c r="I25" s="71">
        <f>Submetering!T25-Submetering!T25*15%-Submetering!X25</f>
        <v>62501.987859998888</v>
      </c>
      <c r="J25" s="70">
        <v>0.21</v>
      </c>
      <c r="K25" s="71">
        <f>Submetering!N25-Submetering!O25</f>
        <v>109.02500000000327</v>
      </c>
      <c r="L25" s="74">
        <v>7.84</v>
      </c>
      <c r="M25" s="71">
        <f>Submetering!Y25</f>
        <v>0</v>
      </c>
      <c r="N25" s="104">
        <f>Submetering!Z25</f>
        <v>0</v>
      </c>
    </row>
    <row r="26" spans="1:14" x14ac:dyDescent="0.25">
      <c r="A26" s="114" t="s">
        <v>80</v>
      </c>
      <c r="B26" s="72">
        <f>B25+1</f>
        <v>25</v>
      </c>
      <c r="C26" s="73">
        <v>6</v>
      </c>
      <c r="D26" s="72">
        <v>2021</v>
      </c>
      <c r="E26" s="71">
        <f>Submetering!E26+Submetering!F26+Submetering!G26+Submetering!H26+Submetering!I26+Submetering!J26+Submetering!K26</f>
        <v>31529</v>
      </c>
      <c r="F26" s="74">
        <v>0.2</v>
      </c>
      <c r="G26" s="71">
        <f>Submetering!P26</f>
        <v>633</v>
      </c>
      <c r="H26" s="74">
        <v>6.47</v>
      </c>
      <c r="I26" s="71">
        <f>Submetering!T26-Submetering!T26*15%-Submetering!X26</f>
        <v>61898.587199997084</v>
      </c>
      <c r="J26" s="70">
        <v>0.21</v>
      </c>
      <c r="K26" s="71">
        <f>Submetering!N26-Submetering!O26</f>
        <v>97.586999999993168</v>
      </c>
      <c r="L26" s="74">
        <v>7.84</v>
      </c>
      <c r="M26" s="71">
        <f>Submetering!Y26</f>
        <v>0</v>
      </c>
      <c r="N26" s="104">
        <f>Submetering!Z26</f>
        <v>0</v>
      </c>
    </row>
    <row r="27" spans="1:14" x14ac:dyDescent="0.25">
      <c r="A27" s="114" t="s">
        <v>80</v>
      </c>
      <c r="B27" s="72">
        <f t="shared" si="0"/>
        <v>26</v>
      </c>
      <c r="C27" s="73">
        <v>6</v>
      </c>
      <c r="D27" s="72">
        <v>2021</v>
      </c>
      <c r="E27" s="71">
        <f>Submetering!E27+Submetering!F27+Submetering!G27+Submetering!H27+Submetering!I27+Submetering!J27+Submetering!K27</f>
        <v>30423</v>
      </c>
      <c r="F27" s="74">
        <v>0.2</v>
      </c>
      <c r="G27" s="71">
        <f>Submetering!P27</f>
        <v>556</v>
      </c>
      <c r="H27" s="74">
        <v>6.47</v>
      </c>
      <c r="I27" s="71">
        <f>Submetering!T27-Submetering!T27*15%-Submetering!X27</f>
        <v>50929.87080000437</v>
      </c>
      <c r="J27" s="70">
        <v>0.21</v>
      </c>
      <c r="K27" s="71">
        <f>Submetering!N27-Submetering!O27</f>
        <v>108.05200000001059</v>
      </c>
      <c r="L27" s="74">
        <v>7.84</v>
      </c>
      <c r="M27" s="71">
        <f>Submetering!Y27</f>
        <v>0</v>
      </c>
      <c r="N27" s="104">
        <f>Submetering!Z27</f>
        <v>0</v>
      </c>
    </row>
    <row r="28" spans="1:14" x14ac:dyDescent="0.25">
      <c r="A28" s="114" t="s">
        <v>80</v>
      </c>
      <c r="B28" s="72">
        <f t="shared" si="0"/>
        <v>27</v>
      </c>
      <c r="C28" s="73">
        <v>6</v>
      </c>
      <c r="D28" s="72">
        <v>2021</v>
      </c>
      <c r="E28" s="71">
        <f>Submetering!E28+Submetering!F28+Submetering!G28+Submetering!H28+Submetering!I28+Submetering!J28+Submetering!K28</f>
        <v>30412</v>
      </c>
      <c r="F28" s="74">
        <v>0.2</v>
      </c>
      <c r="G28" s="71">
        <f>Submetering!P28</f>
        <v>554</v>
      </c>
      <c r="H28" s="74">
        <v>6.47</v>
      </c>
      <c r="I28" s="71">
        <f>Submetering!T28-Submetering!T28*15%-Submetering!X28</f>
        <v>49075.041979995076</v>
      </c>
      <c r="J28" s="70">
        <v>0.21</v>
      </c>
      <c r="K28" s="71">
        <f>Submetering!N28-Submetering!O28</f>
        <v>100.55699999998797</v>
      </c>
      <c r="L28" s="74">
        <v>7.84</v>
      </c>
      <c r="M28" s="71">
        <f>Submetering!Y28</f>
        <v>0</v>
      </c>
      <c r="N28" s="104">
        <f>Submetering!Z28</f>
        <v>0</v>
      </c>
    </row>
    <row r="29" spans="1:14" x14ac:dyDescent="0.25">
      <c r="A29" s="114" t="s">
        <v>80</v>
      </c>
      <c r="B29" s="72">
        <f t="shared" si="0"/>
        <v>28</v>
      </c>
      <c r="C29" s="73">
        <v>6</v>
      </c>
      <c r="D29" s="72">
        <v>2021</v>
      </c>
      <c r="E29" s="71">
        <f>Submetering!E29+Submetering!F29+Submetering!G29+Submetering!H29+Submetering!I29+Submetering!J29+Submetering!K29</f>
        <v>0</v>
      </c>
      <c r="F29" s="74">
        <v>0.2</v>
      </c>
      <c r="G29" s="71" t="str">
        <f>Submetering!P29</f>
        <v>0</v>
      </c>
      <c r="H29" s="74">
        <v>6.47</v>
      </c>
      <c r="I29" s="71">
        <f>Submetering!T29-Submetering!T29*15%-Submetering!X29</f>
        <v>0</v>
      </c>
      <c r="J29" s="70">
        <v>0.21</v>
      </c>
      <c r="K29" s="71">
        <f>Submetering!N29-Submetering!O29</f>
        <v>0</v>
      </c>
      <c r="L29" s="74">
        <v>7.84</v>
      </c>
      <c r="M29" s="71">
        <f>Submetering!Y29</f>
        <v>0</v>
      </c>
      <c r="N29" s="104">
        <f>Submetering!Z29</f>
        <v>0</v>
      </c>
    </row>
    <row r="30" spans="1:14" x14ac:dyDescent="0.25">
      <c r="A30" s="114" t="s">
        <v>80</v>
      </c>
      <c r="B30" s="72">
        <f t="shared" si="0"/>
        <v>29</v>
      </c>
      <c r="C30" s="73">
        <v>6</v>
      </c>
      <c r="D30" s="72">
        <v>2021</v>
      </c>
      <c r="E30" s="71">
        <f>Submetering!E30+Submetering!F30+Submetering!G30+Submetering!H30+Submetering!I30+Submetering!J30+Submetering!K30</f>
        <v>0</v>
      </c>
      <c r="F30" s="74">
        <v>0.2</v>
      </c>
      <c r="G30" s="71">
        <f>Submetering!P30</f>
        <v>0</v>
      </c>
      <c r="H30" s="74">
        <v>6.47</v>
      </c>
      <c r="I30" s="71">
        <f>Submetering!T30-Submetering!T30*15%-Submetering!X30</f>
        <v>0</v>
      </c>
      <c r="J30" s="70">
        <v>0.21</v>
      </c>
      <c r="K30" s="71">
        <f>Submetering!N30-Submetering!O30</f>
        <v>0</v>
      </c>
      <c r="L30" s="74">
        <v>7.84</v>
      </c>
      <c r="M30" s="71">
        <f>Submetering!Y30</f>
        <v>0</v>
      </c>
      <c r="N30" s="104">
        <f>Submetering!Z30</f>
        <v>0</v>
      </c>
    </row>
    <row r="31" spans="1:14" ht="15.75" thickBot="1" x14ac:dyDescent="0.3">
      <c r="A31" s="115" t="s">
        <v>80</v>
      </c>
      <c r="B31" s="116">
        <f t="shared" si="0"/>
        <v>30</v>
      </c>
      <c r="C31" s="117">
        <v>6</v>
      </c>
      <c r="D31" s="116">
        <v>2021</v>
      </c>
      <c r="E31" s="108">
        <f>Submetering!E31+Submetering!F31+Submetering!G31+Submetering!H31+Submetering!I31+Submetering!J31+Submetering!K31</f>
        <v>0</v>
      </c>
      <c r="F31" s="118">
        <v>0.2</v>
      </c>
      <c r="G31" s="108">
        <f>Submetering!P31</f>
        <v>0</v>
      </c>
      <c r="H31" s="118">
        <v>6.47</v>
      </c>
      <c r="I31" s="108">
        <f>Submetering!T31-Submetering!T31*15%-Submetering!X31</f>
        <v>0</v>
      </c>
      <c r="J31" s="107">
        <v>0.21</v>
      </c>
      <c r="K31" s="108">
        <f>Submetering!N31-Submetering!O31</f>
        <v>0</v>
      </c>
      <c r="L31" s="118">
        <v>7.84</v>
      </c>
      <c r="M31" s="108">
        <f>Submetering!Y31</f>
        <v>0</v>
      </c>
      <c r="N31" s="109">
        <f>Submetering!Z31</f>
        <v>0</v>
      </c>
    </row>
    <row r="32" spans="1:14" x14ac:dyDescent="0.25">
      <c r="M32" s="4">
        <f>SUM(M2:M31)</f>
        <v>2350</v>
      </c>
      <c r="N32" s="4">
        <f>SUM(N2:N31)</f>
        <v>3514</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sheetPr>
  <dimension ref="A1:Z33"/>
  <sheetViews>
    <sheetView workbookViewId="0">
      <pane xSplit="2" ySplit="1" topLeftCell="H2" activePane="bottomRight" state="frozen"/>
      <selection pane="topRight" activeCell="C1" sqref="C1"/>
      <selection pane="bottomLeft" activeCell="A2" sqref="A2"/>
      <selection pane="bottomRight" activeCell="Y12" sqref="Y12:Y21"/>
    </sheetView>
  </sheetViews>
  <sheetFormatPr defaultColWidth="11.5703125" defaultRowHeight="15" x14ac:dyDescent="0.25"/>
  <cols>
    <col min="1" max="1" width="18.42578125" style="3" customWidth="1"/>
    <col min="2" max="2" width="11.5703125" style="1" customWidth="1"/>
    <col min="3" max="3" width="11.5703125" style="20" customWidth="1"/>
    <col min="4" max="4" width="13.42578125" style="1" customWidth="1"/>
    <col min="5" max="19" width="12.5703125" style="4" customWidth="1"/>
    <col min="20" max="24" width="11.5703125" style="4"/>
    <col min="25" max="25" width="11.5703125" style="1"/>
    <col min="26" max="26" width="11.5703125" style="4"/>
  </cols>
  <sheetData>
    <row r="1" spans="1:26" s="3" customFormat="1" ht="75.75" thickBot="1" x14ac:dyDescent="0.3">
      <c r="A1" s="92" t="s">
        <v>0</v>
      </c>
      <c r="B1" s="93" t="s">
        <v>1</v>
      </c>
      <c r="C1" s="94" t="s">
        <v>2</v>
      </c>
      <c r="D1" s="93" t="s">
        <v>3</v>
      </c>
      <c r="E1" s="95" t="s">
        <v>64</v>
      </c>
      <c r="F1" s="95" t="s">
        <v>81</v>
      </c>
      <c r="G1" s="95" t="s">
        <v>84</v>
      </c>
      <c r="H1" s="95" t="s">
        <v>65</v>
      </c>
      <c r="I1" s="95" t="s">
        <v>66</v>
      </c>
      <c r="J1" s="95" t="s">
        <v>67</v>
      </c>
      <c r="K1" s="95" t="s">
        <v>68</v>
      </c>
      <c r="L1" s="96" t="s">
        <v>69</v>
      </c>
      <c r="M1" s="96" t="s">
        <v>70</v>
      </c>
      <c r="N1" s="96" t="s">
        <v>71</v>
      </c>
      <c r="O1" s="96" t="s">
        <v>72</v>
      </c>
      <c r="P1" s="96" t="s">
        <v>73</v>
      </c>
      <c r="Q1" s="96" t="s">
        <v>74</v>
      </c>
      <c r="R1" s="96" t="s">
        <v>75</v>
      </c>
      <c r="S1" s="96" t="s">
        <v>91</v>
      </c>
      <c r="T1" s="96" t="s">
        <v>86</v>
      </c>
      <c r="U1" s="96" t="s">
        <v>87</v>
      </c>
      <c r="V1" s="96" t="s">
        <v>88</v>
      </c>
      <c r="W1" s="96" t="s">
        <v>89</v>
      </c>
      <c r="X1" s="96" t="s">
        <v>90</v>
      </c>
      <c r="Y1" s="97" t="s">
        <v>8</v>
      </c>
      <c r="Z1" s="96" t="s">
        <v>9</v>
      </c>
    </row>
    <row r="2" spans="1:26" x14ac:dyDescent="0.25">
      <c r="A2" s="98" t="s">
        <v>80</v>
      </c>
      <c r="B2" s="99">
        <v>1</v>
      </c>
      <c r="C2" s="100">
        <v>6</v>
      </c>
      <c r="D2" s="99">
        <v>2021</v>
      </c>
      <c r="E2" s="101">
        <f>'FS-AD Daily '!B6</f>
        <v>5624</v>
      </c>
      <c r="F2" s="101">
        <f>'FS-AD Daily '!C6</f>
        <v>3237</v>
      </c>
      <c r="G2" s="101">
        <f>'FS-AD Daily '!D6</f>
        <v>979</v>
      </c>
      <c r="H2" s="101">
        <f>'FS-AD Daily '!E6</f>
        <v>4936</v>
      </c>
      <c r="I2" s="101">
        <f>'FS-AD Daily '!F6</f>
        <v>5762</v>
      </c>
      <c r="J2" s="101">
        <f>'FS-AD Daily '!G6</f>
        <v>3471</v>
      </c>
      <c r="K2" s="101">
        <f>'FS-AD Daily '!H6</f>
        <v>7718</v>
      </c>
      <c r="L2" s="101">
        <f>'FS-AD Daily '!I6</f>
        <v>2489</v>
      </c>
      <c r="M2" s="101">
        <f>'FS-AD Daily '!J6</f>
        <v>7325</v>
      </c>
      <c r="N2" s="101">
        <f>'FS-AD Daily '!T6</f>
        <v>142.35999999999694</v>
      </c>
      <c r="O2" s="101">
        <f>'FS-AD Daily '!R6</f>
        <v>76.379999999997381</v>
      </c>
      <c r="P2" s="101">
        <f>'FS-AD Daily '!Z6</f>
        <v>590</v>
      </c>
      <c r="Q2" s="101">
        <f>'FS-AD Daily '!V6</f>
        <v>272.60000000003492</v>
      </c>
      <c r="R2" s="101">
        <f>'FS-AD Daily '!W6</f>
        <v>0</v>
      </c>
      <c r="S2" s="101">
        <f>P2-Q2-R2</f>
        <v>317.39999999996508</v>
      </c>
      <c r="T2" s="101">
        <f>'FS-AD Daily '!AD6*3.516</f>
        <v>104470.908</v>
      </c>
      <c r="U2" s="101">
        <f>('FS-AD Daily '!AF6)*1000</f>
        <v>49100.000000005821</v>
      </c>
      <c r="V2" s="101">
        <f>('FS-AD Daily '!AG6)*1000</f>
        <v>35400.000000001455</v>
      </c>
      <c r="W2" s="101">
        <f>'FS-AD Daily '!AH6*1000</f>
        <v>14900.000000001455</v>
      </c>
      <c r="X2" s="101">
        <f>('FS-AD Daily '!AK6)*1000</f>
        <v>31699.99999999709</v>
      </c>
      <c r="Y2" s="101">
        <v>127</v>
      </c>
      <c r="Z2" s="102">
        <v>148</v>
      </c>
    </row>
    <row r="3" spans="1:26" x14ac:dyDescent="0.25">
      <c r="A3" s="103" t="s">
        <v>80</v>
      </c>
      <c r="B3" s="69">
        <f>B2+1</f>
        <v>2</v>
      </c>
      <c r="C3" s="70">
        <v>6</v>
      </c>
      <c r="D3" s="69">
        <v>2021</v>
      </c>
      <c r="E3" s="71">
        <f>'FS-AD Daily '!B7</f>
        <v>5718</v>
      </c>
      <c r="F3" s="71">
        <f>'FS-AD Daily '!C7</f>
        <v>3010</v>
      </c>
      <c r="G3" s="71">
        <f>'FS-AD Daily '!D7</f>
        <v>878</v>
      </c>
      <c r="H3" s="71">
        <f>'FS-AD Daily '!E7</f>
        <v>4911</v>
      </c>
      <c r="I3" s="71">
        <f>'FS-AD Daily '!F7</f>
        <v>5896</v>
      </c>
      <c r="J3" s="71">
        <f>'FS-AD Daily '!G7</f>
        <v>3495</v>
      </c>
      <c r="K3" s="71">
        <f>'FS-AD Daily '!H7</f>
        <v>8164</v>
      </c>
      <c r="L3" s="71">
        <f>'FS-AD Daily '!I7</f>
        <v>2439</v>
      </c>
      <c r="M3" s="71">
        <f>'FS-AD Daily '!J7</f>
        <v>7412</v>
      </c>
      <c r="N3" s="71">
        <f>'FS-AD Daily '!T7</f>
        <v>147.5789999999979</v>
      </c>
      <c r="O3" s="71">
        <f>'FS-AD Daily '!R7</f>
        <v>83.030999999996311</v>
      </c>
      <c r="P3" s="71">
        <f>'FS-AD Daily '!Z7</f>
        <v>587</v>
      </c>
      <c r="Q3" s="71">
        <f>'FS-AD Daily '!V7</f>
        <v>276.69999999995343</v>
      </c>
      <c r="R3" s="71">
        <f>'FS-AD Daily '!W7</f>
        <v>0</v>
      </c>
      <c r="S3" s="71">
        <f t="shared" ref="S3:S31" si="0">P3-Q3-R3</f>
        <v>310.30000000004657</v>
      </c>
      <c r="T3" s="71">
        <f>'FS-AD Daily '!AD7*3.516</f>
        <v>110606.32799999999</v>
      </c>
      <c r="U3" s="71">
        <f>('FS-AD Daily '!AF7)*1000</f>
        <v>51500</v>
      </c>
      <c r="V3" s="71">
        <f>('FS-AD Daily '!AG7)*1000</f>
        <v>38800.00000000291</v>
      </c>
      <c r="W3" s="71">
        <f>'FS-AD Daily '!AH7*1000</f>
        <v>15299.999999999272</v>
      </c>
      <c r="X3" s="71">
        <f>('FS-AD Daily '!AK7)*1000</f>
        <v>32599.999999998545</v>
      </c>
      <c r="Y3" s="71">
        <v>114</v>
      </c>
      <c r="Z3" s="104">
        <v>164</v>
      </c>
    </row>
    <row r="4" spans="1:26" x14ac:dyDescent="0.25">
      <c r="A4" s="103" t="s">
        <v>80</v>
      </c>
      <c r="B4" s="69">
        <f t="shared" ref="B4:B31" si="1">B3+1</f>
        <v>3</v>
      </c>
      <c r="C4" s="70">
        <v>6</v>
      </c>
      <c r="D4" s="69">
        <v>2021</v>
      </c>
      <c r="E4" s="71">
        <f>'FS-AD Daily '!B8</f>
        <v>5178</v>
      </c>
      <c r="F4" s="71">
        <f>'FS-AD Daily '!C8</f>
        <v>3023</v>
      </c>
      <c r="G4" s="71">
        <f>'FS-AD Daily '!D8</f>
        <v>952</v>
      </c>
      <c r="H4" s="71">
        <f>'FS-AD Daily '!E8</f>
        <v>4930</v>
      </c>
      <c r="I4" s="71">
        <f>'FS-AD Daily '!F8</f>
        <v>5935</v>
      </c>
      <c r="J4" s="71">
        <f>'FS-AD Daily '!G8</f>
        <v>3744</v>
      </c>
      <c r="K4" s="71">
        <f>'FS-AD Daily '!H8</f>
        <v>7510</v>
      </c>
      <c r="L4" s="71">
        <f>'FS-AD Daily '!I8</f>
        <v>2427</v>
      </c>
      <c r="M4" s="71">
        <f>'FS-AD Daily '!J8</f>
        <v>7517</v>
      </c>
      <c r="N4" s="71">
        <f>'FS-AD Daily '!T8</f>
        <v>160.59700000000521</v>
      </c>
      <c r="O4" s="71">
        <f>'FS-AD Daily '!R8</f>
        <v>82.702000000011139</v>
      </c>
      <c r="P4" s="71">
        <f>'FS-AD Daily '!Z8</f>
        <v>590</v>
      </c>
      <c r="Q4" s="71">
        <f>'FS-AD Daily '!V8</f>
        <v>285.40000000002328</v>
      </c>
      <c r="R4" s="71">
        <f>'FS-AD Daily '!W8</f>
        <v>0</v>
      </c>
      <c r="S4" s="71">
        <f t="shared" si="0"/>
        <v>304.59999999997672</v>
      </c>
      <c r="T4" s="71">
        <f>'FS-AD Daily '!AD8*3.516</f>
        <v>112269.39599999999</v>
      </c>
      <c r="U4" s="71">
        <f>('FS-AD Daily '!AF8)*1000</f>
        <v>52199.99999999709</v>
      </c>
      <c r="V4" s="71">
        <f>('FS-AD Daily '!AG8)*1000</f>
        <v>38099.999999998545</v>
      </c>
      <c r="W4" s="71">
        <f>'FS-AD Daily '!AH8*1000</f>
        <v>15500</v>
      </c>
      <c r="X4" s="71">
        <f>('FS-AD Daily '!AK8)*1000</f>
        <v>32500</v>
      </c>
      <c r="Y4" s="71">
        <v>146</v>
      </c>
      <c r="Z4" s="104">
        <v>242</v>
      </c>
    </row>
    <row r="5" spans="1:26" x14ac:dyDescent="0.25">
      <c r="A5" s="103" t="s">
        <v>80</v>
      </c>
      <c r="B5" s="69">
        <f t="shared" si="1"/>
        <v>4</v>
      </c>
      <c r="C5" s="70">
        <v>6</v>
      </c>
      <c r="D5" s="69">
        <v>2021</v>
      </c>
      <c r="E5" s="71">
        <f>'FS-AD Daily '!B9</f>
        <v>4989</v>
      </c>
      <c r="F5" s="71">
        <f>'FS-AD Daily '!C9</f>
        <v>2879</v>
      </c>
      <c r="G5" s="71">
        <f>'FS-AD Daily '!D9</f>
        <v>919</v>
      </c>
      <c r="H5" s="71">
        <f>'FS-AD Daily '!E9</f>
        <v>4931</v>
      </c>
      <c r="I5" s="71">
        <f>'FS-AD Daily '!F9</f>
        <v>6008</v>
      </c>
      <c r="J5" s="71">
        <f>'FS-AD Daily '!G9</f>
        <v>3756</v>
      </c>
      <c r="K5" s="71">
        <f>'FS-AD Daily '!H9</f>
        <v>7032</v>
      </c>
      <c r="L5" s="71">
        <f>'FS-AD Daily '!I9</f>
        <v>2405</v>
      </c>
      <c r="M5" s="71">
        <f>'FS-AD Daily '!J9</f>
        <v>7682</v>
      </c>
      <c r="N5" s="71">
        <f>'FS-AD Daily '!T9</f>
        <v>164.15000000000509</v>
      </c>
      <c r="O5" s="71">
        <f>'FS-AD Daily '!R9</f>
        <v>89.487999999992098</v>
      </c>
      <c r="P5" s="71">
        <f>'FS-AD Daily '!Z9</f>
        <v>651</v>
      </c>
      <c r="Q5" s="71">
        <f>'FS-AD Daily '!V9</f>
        <v>293.79999999998836</v>
      </c>
      <c r="R5" s="71">
        <f>'FS-AD Daily '!W9</f>
        <v>0</v>
      </c>
      <c r="S5" s="71">
        <f t="shared" si="0"/>
        <v>357.20000000001164</v>
      </c>
      <c r="T5" s="71">
        <f>'FS-AD Daily '!AD9*3.516</f>
        <v>115021.36920000066</v>
      </c>
      <c r="U5" s="71">
        <f>('FS-AD Daily '!AF9)*1000</f>
        <v>53399.999999994179</v>
      </c>
      <c r="V5" s="71">
        <f>('FS-AD Daily '!AG9)*1000</f>
        <v>38199.99999999709</v>
      </c>
      <c r="W5" s="71">
        <f>'FS-AD Daily '!AH9*1000</f>
        <v>16000</v>
      </c>
      <c r="X5" s="71">
        <f>('FS-AD Daily '!AK9)*1000</f>
        <v>34100.000000005821</v>
      </c>
      <c r="Y5" s="71">
        <v>138</v>
      </c>
      <c r="Z5" s="104">
        <v>222</v>
      </c>
    </row>
    <row r="6" spans="1:26" x14ac:dyDescent="0.25">
      <c r="A6" s="103" t="s">
        <v>80</v>
      </c>
      <c r="B6" s="69">
        <f t="shared" si="1"/>
        <v>5</v>
      </c>
      <c r="C6" s="70">
        <v>6</v>
      </c>
      <c r="D6" s="69">
        <v>2021</v>
      </c>
      <c r="E6" s="71">
        <f>'FS-AD Daily '!B10</f>
        <v>4836</v>
      </c>
      <c r="F6" s="71">
        <f>'FS-AD Daily '!C10</f>
        <v>3260</v>
      </c>
      <c r="G6" s="71">
        <f>'FS-AD Daily '!D10</f>
        <v>950</v>
      </c>
      <c r="H6" s="71">
        <f>'FS-AD Daily '!E10</f>
        <v>4829</v>
      </c>
      <c r="I6" s="71">
        <f>'FS-AD Daily '!F10</f>
        <v>5863</v>
      </c>
      <c r="J6" s="71">
        <f>'FS-AD Daily '!G10</f>
        <v>3788</v>
      </c>
      <c r="K6" s="71">
        <f>'FS-AD Daily '!H10</f>
        <v>8084</v>
      </c>
      <c r="L6" s="71">
        <f>'FS-AD Daily '!I10</f>
        <v>2426</v>
      </c>
      <c r="M6" s="71">
        <f>'FS-AD Daily '!J10</f>
        <v>7475</v>
      </c>
      <c r="N6" s="71">
        <f>'FS-AD Daily '!T10</f>
        <v>180.91300000000047</v>
      </c>
      <c r="O6" s="71">
        <f>'FS-AD Daily '!R10</f>
        <v>76.137999999996282</v>
      </c>
      <c r="P6" s="71">
        <f>'FS-AD Daily '!Z10</f>
        <v>598</v>
      </c>
      <c r="Q6" s="71">
        <f>'FS-AD Daily '!V10</f>
        <v>288.5</v>
      </c>
      <c r="R6" s="71">
        <f>'FS-AD Daily '!W10</f>
        <v>0</v>
      </c>
      <c r="S6" s="71">
        <f t="shared" si="0"/>
        <v>309.5</v>
      </c>
      <c r="T6" s="71">
        <f>'FS-AD Daily '!AD10*3.516</f>
        <v>116755.10879999935</v>
      </c>
      <c r="U6" s="71">
        <f>('FS-AD Daily '!AF10)*1000</f>
        <v>53800.00000000291</v>
      </c>
      <c r="V6" s="71">
        <f>('FS-AD Daily '!AG10)*1000</f>
        <v>40900.000000001455</v>
      </c>
      <c r="W6" s="71">
        <f>'FS-AD Daily '!AH10*1000</f>
        <v>15799.999999999272</v>
      </c>
      <c r="X6" s="71">
        <f>('FS-AD Daily '!AK10)*1000</f>
        <v>33599.999999998545</v>
      </c>
      <c r="Y6" s="71">
        <v>79</v>
      </c>
      <c r="Z6" s="104">
        <v>118</v>
      </c>
    </row>
    <row r="7" spans="1:26" x14ac:dyDescent="0.25">
      <c r="A7" s="103" t="s">
        <v>80</v>
      </c>
      <c r="B7" s="69">
        <f t="shared" si="1"/>
        <v>6</v>
      </c>
      <c r="C7" s="70">
        <v>6</v>
      </c>
      <c r="D7" s="69">
        <v>2021</v>
      </c>
      <c r="E7" s="71">
        <f>'FS-AD Daily '!B11</f>
        <v>4702</v>
      </c>
      <c r="F7" s="71">
        <f>'FS-AD Daily '!C11</f>
        <v>3450</v>
      </c>
      <c r="G7" s="71">
        <f>'FS-AD Daily '!D11</f>
        <v>888</v>
      </c>
      <c r="H7" s="71">
        <f>'FS-AD Daily '!E11</f>
        <v>4680</v>
      </c>
      <c r="I7" s="71">
        <f>'FS-AD Daily '!F11</f>
        <v>5653</v>
      </c>
      <c r="J7" s="71">
        <f>'FS-AD Daily '!G11</f>
        <v>3531</v>
      </c>
      <c r="K7" s="71">
        <f>'FS-AD Daily '!H11</f>
        <v>7982</v>
      </c>
      <c r="L7" s="71">
        <f>'FS-AD Daily '!I11</f>
        <v>2459</v>
      </c>
      <c r="M7" s="71">
        <f>'FS-AD Daily '!J11</f>
        <v>7335</v>
      </c>
      <c r="N7" s="71">
        <f>'FS-AD Daily '!T11</f>
        <v>142.31899999999223</v>
      </c>
      <c r="O7" s="71">
        <f>'FS-AD Daily '!R11</f>
        <v>67.098000000008142</v>
      </c>
      <c r="P7" s="71">
        <f>'FS-AD Daily '!Z11</f>
        <v>527</v>
      </c>
      <c r="Q7" s="71">
        <f>'FS-AD Daily '!V11</f>
        <v>257.5</v>
      </c>
      <c r="R7" s="71">
        <f>'FS-AD Daily '!W11</f>
        <v>0</v>
      </c>
      <c r="S7" s="71">
        <f t="shared" si="0"/>
        <v>269.5</v>
      </c>
      <c r="T7" s="71">
        <f>'FS-AD Daily '!AD11*3.516</f>
        <v>116613.414</v>
      </c>
      <c r="U7" s="71">
        <f>('FS-AD Daily '!AF11)*1000</f>
        <v>54699.99999999709</v>
      </c>
      <c r="V7" s="71">
        <f>('FS-AD Daily '!AG11)*1000</f>
        <v>39400.000000001455</v>
      </c>
      <c r="W7" s="71">
        <f>'FS-AD Daily '!AH11*1000</f>
        <v>15799.999999999272</v>
      </c>
      <c r="X7" s="71">
        <f>('FS-AD Daily '!AK11)*1000</f>
        <v>33099.999999998545</v>
      </c>
      <c r="Y7" s="71">
        <v>91</v>
      </c>
      <c r="Z7" s="104">
        <v>131</v>
      </c>
    </row>
    <row r="8" spans="1:26" x14ac:dyDescent="0.25">
      <c r="A8" s="103" t="s">
        <v>80</v>
      </c>
      <c r="B8" s="69">
        <f t="shared" si="1"/>
        <v>7</v>
      </c>
      <c r="C8" s="70">
        <v>6</v>
      </c>
      <c r="D8" s="69">
        <v>2021</v>
      </c>
      <c r="E8" s="71">
        <f>'FS-AD Daily '!B12</f>
        <v>4718</v>
      </c>
      <c r="F8" s="71">
        <f>'FS-AD Daily '!C12</f>
        <v>4025</v>
      </c>
      <c r="G8" s="71">
        <f>'FS-AD Daily '!D12</f>
        <v>922</v>
      </c>
      <c r="H8" s="71">
        <f>'FS-AD Daily '!E12</f>
        <v>4479</v>
      </c>
      <c r="I8" s="71">
        <f>'FS-AD Daily '!F12</f>
        <v>5620</v>
      </c>
      <c r="J8" s="71">
        <f>'FS-AD Daily '!G12</f>
        <v>3522</v>
      </c>
      <c r="K8" s="71">
        <f>'FS-AD Daily '!H12</f>
        <v>7493</v>
      </c>
      <c r="L8" s="71">
        <f>'FS-AD Daily '!I12</f>
        <v>2379</v>
      </c>
      <c r="M8" s="71">
        <f>'FS-AD Daily '!J12</f>
        <v>7287</v>
      </c>
      <c r="N8" s="71">
        <f>'FS-AD Daily '!T12</f>
        <v>136.41600000001199</v>
      </c>
      <c r="O8" s="71">
        <f>'FS-AD Daily '!R12</f>
        <v>78.720999999995911</v>
      </c>
      <c r="P8" s="71">
        <f>'FS-AD Daily '!Z12</f>
        <v>578</v>
      </c>
      <c r="Q8" s="71">
        <f>'FS-AD Daily '!V12</f>
        <v>274.60000000003492</v>
      </c>
      <c r="R8" s="71">
        <f>'FS-AD Daily '!W12</f>
        <v>0</v>
      </c>
      <c r="S8" s="71">
        <f t="shared" si="0"/>
        <v>303.39999999996508</v>
      </c>
      <c r="T8" s="71">
        <f>'FS-AD Daily '!AD12*3.516</f>
        <v>118144.632</v>
      </c>
      <c r="U8" s="71">
        <f>('FS-AD Daily '!AF12)*1000</f>
        <v>55900.000000008731</v>
      </c>
      <c r="V8" s="71">
        <f>('FS-AD Daily '!AG12)*1000</f>
        <v>38500</v>
      </c>
      <c r="W8" s="71">
        <f>'FS-AD Daily '!AH12*1000</f>
        <v>16600.000000002183</v>
      </c>
      <c r="X8" s="71">
        <f>('FS-AD Daily '!AK12)*1000</f>
        <v>33900.000000001455</v>
      </c>
      <c r="Y8" s="71">
        <v>89</v>
      </c>
      <c r="Z8" s="104">
        <v>121</v>
      </c>
    </row>
    <row r="9" spans="1:26" x14ac:dyDescent="0.25">
      <c r="A9" s="103" t="s">
        <v>80</v>
      </c>
      <c r="B9" s="69">
        <f t="shared" si="1"/>
        <v>8</v>
      </c>
      <c r="C9" s="70">
        <v>6</v>
      </c>
      <c r="D9" s="69">
        <v>2021</v>
      </c>
      <c r="E9" s="71">
        <f>'FS-AD Daily '!B13</f>
        <v>4656</v>
      </c>
      <c r="F9" s="71">
        <f>'FS-AD Daily '!C13</f>
        <v>3584</v>
      </c>
      <c r="G9" s="71">
        <f>'FS-AD Daily '!D13</f>
        <v>979</v>
      </c>
      <c r="H9" s="71">
        <f>'FS-AD Daily '!E13</f>
        <v>4600</v>
      </c>
      <c r="I9" s="71">
        <f>'FS-AD Daily '!F13</f>
        <v>5764</v>
      </c>
      <c r="J9" s="71">
        <f>'FS-AD Daily '!G13</f>
        <v>3503</v>
      </c>
      <c r="K9" s="71">
        <f>'FS-AD Daily '!H13</f>
        <v>7164</v>
      </c>
      <c r="L9" s="71">
        <f>'FS-AD Daily '!I13</f>
        <v>2391</v>
      </c>
      <c r="M9" s="71">
        <f>'FS-AD Daily '!J13</f>
        <v>7445</v>
      </c>
      <c r="N9" s="71">
        <f>'FS-AD Daily '!T13</f>
        <v>151.96399999998903</v>
      </c>
      <c r="O9" s="71">
        <f>'FS-AD Daily '!R13</f>
        <v>71.456999999999425</v>
      </c>
      <c r="P9" s="71">
        <f>'FS-AD Daily '!Z13</f>
        <v>565</v>
      </c>
      <c r="Q9" s="71">
        <f>'FS-AD Daily '!V13</f>
        <v>266.09999999997672</v>
      </c>
      <c r="R9" s="71">
        <f>'FS-AD Daily '!W13</f>
        <v>0</v>
      </c>
      <c r="S9" s="71">
        <f t="shared" si="0"/>
        <v>298.90000000002328</v>
      </c>
      <c r="T9" s="71">
        <f>'FS-AD Daily '!AD13*3.516</f>
        <v>114322.74</v>
      </c>
      <c r="U9" s="71">
        <f>('FS-AD Daily '!AF13)*1000</f>
        <v>54099.999999991269</v>
      </c>
      <c r="V9" s="71">
        <f>('FS-AD Daily '!AG13)*1000</f>
        <v>37199.99999999709</v>
      </c>
      <c r="W9" s="71">
        <f>'FS-AD Daily '!AH13*1000</f>
        <v>16000</v>
      </c>
      <c r="X9" s="71">
        <f>('FS-AD Daily '!AK13)*1000</f>
        <v>33299.999999995634</v>
      </c>
      <c r="Y9" s="71">
        <v>116</v>
      </c>
      <c r="Z9" s="104">
        <v>170</v>
      </c>
    </row>
    <row r="10" spans="1:26" x14ac:dyDescent="0.25">
      <c r="A10" s="103" t="s">
        <v>80</v>
      </c>
      <c r="B10" s="69">
        <f t="shared" si="1"/>
        <v>9</v>
      </c>
      <c r="C10" s="70">
        <v>6</v>
      </c>
      <c r="D10" s="69">
        <v>2021</v>
      </c>
      <c r="E10" s="71">
        <f>'FS-AD Daily '!B14</f>
        <v>4904</v>
      </c>
      <c r="F10" s="71">
        <f>'FS-AD Daily '!C14</f>
        <v>4136</v>
      </c>
      <c r="G10" s="71">
        <f>'FS-AD Daily '!D14</f>
        <v>987</v>
      </c>
      <c r="H10" s="71">
        <f>'FS-AD Daily '!E14</f>
        <v>4622</v>
      </c>
      <c r="I10" s="71">
        <f>'FS-AD Daily '!F14</f>
        <v>5995</v>
      </c>
      <c r="J10" s="71">
        <f>'FS-AD Daily '!G14</f>
        <v>3706</v>
      </c>
      <c r="K10" s="71">
        <f>'FS-AD Daily '!H14</f>
        <v>7194</v>
      </c>
      <c r="L10" s="71">
        <f>'FS-AD Daily '!I14</f>
        <v>2349</v>
      </c>
      <c r="M10" s="71">
        <f>'FS-AD Daily '!J14</f>
        <v>7405</v>
      </c>
      <c r="N10" s="71">
        <f>'FS-AD Daily '!T14</f>
        <v>159.72500000000218</v>
      </c>
      <c r="O10" s="71">
        <f>'FS-AD Daily '!R14</f>
        <v>72.260999999992237</v>
      </c>
      <c r="P10" s="71">
        <f>'FS-AD Daily '!Z14</f>
        <v>577</v>
      </c>
      <c r="Q10" s="71">
        <f>'FS-AD Daily '!V14</f>
        <v>280.5</v>
      </c>
      <c r="R10" s="71">
        <f>'FS-AD Daily '!W14</f>
        <v>0</v>
      </c>
      <c r="S10" s="71">
        <f t="shared" si="0"/>
        <v>296.5</v>
      </c>
      <c r="T10" s="71">
        <f>'FS-AD Daily '!AD14*3.516</f>
        <v>108401.796</v>
      </c>
      <c r="U10" s="71">
        <f>('FS-AD Daily '!AF14)*1000</f>
        <v>51900.000000008731</v>
      </c>
      <c r="V10" s="71">
        <f>('FS-AD Daily '!AG14)*1000</f>
        <v>37000</v>
      </c>
      <c r="W10" s="71">
        <f>'FS-AD Daily '!AH14*1000</f>
        <v>15500</v>
      </c>
      <c r="X10" s="71">
        <f>('FS-AD Daily '!AK14)*1000</f>
        <v>31800.00000000291</v>
      </c>
      <c r="Y10" s="71">
        <v>127</v>
      </c>
      <c r="Z10" s="104">
        <v>190</v>
      </c>
    </row>
    <row r="11" spans="1:26" x14ac:dyDescent="0.25">
      <c r="A11" s="103" t="s">
        <v>80</v>
      </c>
      <c r="B11" s="69">
        <f t="shared" si="1"/>
        <v>10</v>
      </c>
      <c r="C11" s="70">
        <v>6</v>
      </c>
      <c r="D11" s="69">
        <v>2021</v>
      </c>
      <c r="E11" s="71">
        <f>'FS-AD Daily '!B15</f>
        <v>4855</v>
      </c>
      <c r="F11" s="71">
        <f>'FS-AD Daily '!C15</f>
        <v>3864</v>
      </c>
      <c r="G11" s="71">
        <f>'FS-AD Daily '!D15</f>
        <v>1000</v>
      </c>
      <c r="H11" s="71">
        <f>'FS-AD Daily '!E15</f>
        <v>4681</v>
      </c>
      <c r="I11" s="71">
        <f>'FS-AD Daily '!F15</f>
        <v>6107</v>
      </c>
      <c r="J11" s="71">
        <f>'FS-AD Daily '!G15</f>
        <v>3773</v>
      </c>
      <c r="K11" s="71">
        <f>'FS-AD Daily '!H15</f>
        <v>7327</v>
      </c>
      <c r="L11" s="71">
        <f>'FS-AD Daily '!I15</f>
        <v>2497</v>
      </c>
      <c r="M11" s="71">
        <f>'FS-AD Daily '!J15</f>
        <v>7634</v>
      </c>
      <c r="N11" s="71">
        <f>'FS-AD Daily '!T15</f>
        <v>159.49300000000949</v>
      </c>
      <c r="O11" s="71">
        <f>'FS-AD Daily '!R15</f>
        <v>79.856000000002496</v>
      </c>
      <c r="P11" s="71">
        <f>'FS-AD Daily '!Z15</f>
        <v>610</v>
      </c>
      <c r="Q11" s="71">
        <f>'FS-AD Daily '!V15</f>
        <v>286.90000000002328</v>
      </c>
      <c r="R11" s="71">
        <f>'FS-AD Daily '!W15</f>
        <v>0</v>
      </c>
      <c r="S11" s="71">
        <f t="shared" si="0"/>
        <v>323.09999999997672</v>
      </c>
      <c r="T11" s="71">
        <f>'FS-AD Daily '!AD15*3.516</f>
        <v>109382.76</v>
      </c>
      <c r="U11" s="71">
        <f>('FS-AD Daily '!AF15)*1000</f>
        <v>52000</v>
      </c>
      <c r="V11" s="71">
        <f>('FS-AD Daily '!AG15)*1000</f>
        <v>37500</v>
      </c>
      <c r="W11" s="71">
        <f>'FS-AD Daily '!AH15*1000</f>
        <v>15899.999999997817</v>
      </c>
      <c r="X11" s="71">
        <f>('FS-AD Daily '!AK15)*1000</f>
        <v>32099.999999998545</v>
      </c>
      <c r="Y11" s="71">
        <v>140</v>
      </c>
      <c r="Z11" s="104">
        <v>234</v>
      </c>
    </row>
    <row r="12" spans="1:26" x14ac:dyDescent="0.25">
      <c r="A12" s="103" t="s">
        <v>80</v>
      </c>
      <c r="B12" s="69">
        <f t="shared" si="1"/>
        <v>11</v>
      </c>
      <c r="C12" s="70">
        <v>6</v>
      </c>
      <c r="D12" s="69">
        <v>2021</v>
      </c>
      <c r="E12" s="71">
        <f>'FS-AD Daily '!B16</f>
        <v>5030</v>
      </c>
      <c r="F12" s="71">
        <f>'FS-AD Daily '!C16</f>
        <v>3439</v>
      </c>
      <c r="G12" s="71">
        <f>'FS-AD Daily '!D16</f>
        <v>997</v>
      </c>
      <c r="H12" s="71">
        <f>'FS-AD Daily '!E16</f>
        <v>4416</v>
      </c>
      <c r="I12" s="71">
        <f>'FS-AD Daily '!F16</f>
        <v>5986</v>
      </c>
      <c r="J12" s="71">
        <f>'FS-AD Daily '!G16</f>
        <v>3521</v>
      </c>
      <c r="K12" s="71">
        <f>'FS-AD Daily '!H16</f>
        <v>7128</v>
      </c>
      <c r="L12" s="71">
        <f>'FS-AD Daily '!I16</f>
        <v>2352</v>
      </c>
      <c r="M12" s="71">
        <f>'FS-AD Daily '!J16</f>
        <v>7492</v>
      </c>
      <c r="N12" s="71">
        <f>'FS-AD Daily '!T16</f>
        <v>175.58099999999467</v>
      </c>
      <c r="O12" s="71">
        <f>'FS-AD Daily '!R16</f>
        <v>92.68300000000454</v>
      </c>
      <c r="P12" s="71">
        <f>'FS-AD Daily '!Z16</f>
        <v>633</v>
      </c>
      <c r="Q12" s="71">
        <f>'FS-AD Daily '!V16</f>
        <v>300.79999999998836</v>
      </c>
      <c r="R12" s="71">
        <f>'FS-AD Daily '!W16</f>
        <v>0</v>
      </c>
      <c r="S12" s="71">
        <f t="shared" si="0"/>
        <v>332.20000000001164</v>
      </c>
      <c r="T12" s="71">
        <f>'FS-AD Daily '!AD16*3.516</f>
        <v>105801.71400000001</v>
      </c>
      <c r="U12" s="71">
        <f>('FS-AD Daily '!AF16)*1000</f>
        <v>49299.999999988358</v>
      </c>
      <c r="V12" s="71">
        <f>('FS-AD Daily '!AG16)*1000</f>
        <v>36900.000000001455</v>
      </c>
      <c r="W12" s="71">
        <f>'FS-AD Daily '!AH16*1000</f>
        <v>15900.000000001455</v>
      </c>
      <c r="X12" s="71">
        <f>('FS-AD Daily '!AK16)*1000</f>
        <v>32300.00000000291</v>
      </c>
      <c r="Y12" s="71">
        <v>158</v>
      </c>
      <c r="Z12" s="104">
        <v>271</v>
      </c>
    </row>
    <row r="13" spans="1:26" x14ac:dyDescent="0.25">
      <c r="A13" s="103" t="s">
        <v>80</v>
      </c>
      <c r="B13" s="69">
        <f t="shared" si="1"/>
        <v>12</v>
      </c>
      <c r="C13" s="70">
        <v>6</v>
      </c>
      <c r="D13" s="69">
        <v>2021</v>
      </c>
      <c r="E13" s="71">
        <f>'FS-AD Daily '!B17</f>
        <v>4550</v>
      </c>
      <c r="F13" s="71">
        <f>'FS-AD Daily '!C17</f>
        <v>3382</v>
      </c>
      <c r="G13" s="71">
        <f>'FS-AD Daily '!D17</f>
        <v>998</v>
      </c>
      <c r="H13" s="71">
        <f>'FS-AD Daily '!E17</f>
        <v>4708</v>
      </c>
      <c r="I13" s="71">
        <f>'FS-AD Daily '!F17</f>
        <v>5802</v>
      </c>
      <c r="J13" s="71">
        <f>'FS-AD Daily '!G17</f>
        <v>3472</v>
      </c>
      <c r="K13" s="71">
        <f>'FS-AD Daily '!H17</f>
        <v>7213</v>
      </c>
      <c r="L13" s="71">
        <f>'FS-AD Daily '!I17</f>
        <v>2387</v>
      </c>
      <c r="M13" s="71">
        <f>'FS-AD Daily '!J17</f>
        <v>7498</v>
      </c>
      <c r="N13" s="71">
        <f>'FS-AD Daily '!T17</f>
        <v>169.77500000000146</v>
      </c>
      <c r="O13" s="71">
        <f>'FS-AD Daily '!R17</f>
        <v>83.623999999995249</v>
      </c>
      <c r="P13" s="71">
        <f>'FS-AD Daily '!Z17</f>
        <v>569</v>
      </c>
      <c r="Q13" s="71">
        <f>'FS-AD Daily '!V17</f>
        <v>278</v>
      </c>
      <c r="R13" s="71">
        <f>'FS-AD Daily '!W17</f>
        <v>0</v>
      </c>
      <c r="S13" s="71">
        <f t="shared" si="0"/>
        <v>291</v>
      </c>
      <c r="T13" s="71">
        <f>'FS-AD Daily '!AD17*3.516</f>
        <v>109078.626</v>
      </c>
      <c r="U13" s="71">
        <f>('FS-AD Daily '!AF17)*1000</f>
        <v>50000</v>
      </c>
      <c r="V13" s="71">
        <f>('FS-AD Daily '!AG17)*1000</f>
        <v>37800.00000000291</v>
      </c>
      <c r="W13" s="71">
        <f>'FS-AD Daily '!AH17*1000</f>
        <v>16200.000000000728</v>
      </c>
      <c r="X13" s="71">
        <f>('FS-AD Daily '!AK17)*1000</f>
        <v>33199.99999999709</v>
      </c>
      <c r="Y13" s="71">
        <v>100</v>
      </c>
      <c r="Z13" s="104">
        <v>135</v>
      </c>
    </row>
    <row r="14" spans="1:26" x14ac:dyDescent="0.25">
      <c r="A14" s="103" t="s">
        <v>80</v>
      </c>
      <c r="B14" s="69">
        <f t="shared" si="1"/>
        <v>13</v>
      </c>
      <c r="C14" s="70">
        <v>6</v>
      </c>
      <c r="D14" s="69">
        <v>2021</v>
      </c>
      <c r="E14" s="71">
        <f>'FS-AD Daily '!B18</f>
        <v>4841</v>
      </c>
      <c r="F14" s="71">
        <f>'FS-AD Daily '!C18</f>
        <v>4224</v>
      </c>
      <c r="G14" s="71">
        <f>'FS-AD Daily '!D18</f>
        <v>939</v>
      </c>
      <c r="H14" s="71">
        <f>'FS-AD Daily '!E18</f>
        <v>4746</v>
      </c>
      <c r="I14" s="71">
        <f>'FS-AD Daily '!F18</f>
        <v>5876</v>
      </c>
      <c r="J14" s="71">
        <f>'FS-AD Daily '!G18</f>
        <v>3562</v>
      </c>
      <c r="K14" s="71">
        <f>'FS-AD Daily '!H18</f>
        <v>7227</v>
      </c>
      <c r="L14" s="71">
        <f>'FS-AD Daily '!I18</f>
        <v>2523</v>
      </c>
      <c r="M14" s="71">
        <f>'FS-AD Daily '!J18</f>
        <v>7393</v>
      </c>
      <c r="N14" s="71">
        <f>'FS-AD Daily '!T18</f>
        <v>140.43900000000212</v>
      </c>
      <c r="O14" s="71">
        <f>'FS-AD Daily '!R18</f>
        <v>78.326000000000931</v>
      </c>
      <c r="P14" s="71">
        <f>'FS-AD Daily '!Z18</f>
        <v>538</v>
      </c>
      <c r="Q14" s="71">
        <f>'FS-AD Daily '!V18</f>
        <v>252.79999999998836</v>
      </c>
      <c r="R14" s="71">
        <f>'FS-AD Daily '!W18</f>
        <v>0</v>
      </c>
      <c r="S14" s="71">
        <f t="shared" si="0"/>
        <v>285.20000000001164</v>
      </c>
      <c r="T14" s="71">
        <f>'FS-AD Daily '!AD18*3.516</f>
        <v>104045.47199999999</v>
      </c>
      <c r="U14" s="71">
        <f>('FS-AD Daily '!AF18)*1000</f>
        <v>48200.000000011642</v>
      </c>
      <c r="V14" s="71">
        <f>('FS-AD Daily '!AG18)*1000</f>
        <v>35699.99999999709</v>
      </c>
      <c r="W14" s="71">
        <f>'FS-AD Daily '!AH18*1000</f>
        <v>15599.999999998545</v>
      </c>
      <c r="X14" s="71">
        <f>('FS-AD Daily '!AK18)*1000</f>
        <v>31800.00000000291</v>
      </c>
      <c r="Y14" s="71">
        <v>109</v>
      </c>
      <c r="Z14" s="104">
        <v>151</v>
      </c>
    </row>
    <row r="15" spans="1:26" x14ac:dyDescent="0.25">
      <c r="A15" s="103" t="s">
        <v>80</v>
      </c>
      <c r="B15" s="69">
        <f t="shared" si="1"/>
        <v>14</v>
      </c>
      <c r="C15" s="70">
        <v>6</v>
      </c>
      <c r="D15" s="69">
        <v>2021</v>
      </c>
      <c r="E15" s="71">
        <f>'FS-AD Daily '!B19</f>
        <v>5094</v>
      </c>
      <c r="F15" s="71">
        <f>'FS-AD Daily '!C19</f>
        <v>4382</v>
      </c>
      <c r="G15" s="71">
        <f>'FS-AD Daily '!D19</f>
        <v>956</v>
      </c>
      <c r="H15" s="71">
        <f>'FS-AD Daily '!E19</f>
        <v>4590</v>
      </c>
      <c r="I15" s="71">
        <f>'FS-AD Daily '!F19</f>
        <v>5657</v>
      </c>
      <c r="J15" s="71">
        <f>'FS-AD Daily '!G19</f>
        <v>3446</v>
      </c>
      <c r="K15" s="71">
        <f>'FS-AD Daily '!H19</f>
        <v>7031</v>
      </c>
      <c r="L15" s="71">
        <f>'FS-AD Daily '!I19</f>
        <v>2393</v>
      </c>
      <c r="M15" s="71">
        <f>'FS-AD Daily '!J19</f>
        <v>7180</v>
      </c>
      <c r="N15" s="71">
        <f>'FS-AD Daily '!T19</f>
        <v>157.65100000000166</v>
      </c>
      <c r="O15" s="71">
        <f>'FS-AD Daily '!R19</f>
        <v>82.071999999995569</v>
      </c>
      <c r="P15" s="71">
        <f>'FS-AD Daily '!Z19</f>
        <v>587</v>
      </c>
      <c r="Q15" s="71">
        <f>'FS-AD Daily '!V19</f>
        <v>264.79999999998836</v>
      </c>
      <c r="R15" s="71">
        <f>'FS-AD Daily '!W19</f>
        <v>0</v>
      </c>
      <c r="S15" s="71">
        <f t="shared" si="0"/>
        <v>322.20000000001164</v>
      </c>
      <c r="T15" s="71">
        <f>'FS-AD Daily '!AD19*3.516</f>
        <v>107146.584</v>
      </c>
      <c r="U15" s="71">
        <f>('FS-AD Daily '!AF19)*1000</f>
        <v>49699.99999999709</v>
      </c>
      <c r="V15" s="71">
        <f>('FS-AD Daily '!AG19)*1000</f>
        <v>36900.000000001455</v>
      </c>
      <c r="W15" s="71">
        <f>'FS-AD Daily '!AH19*1000</f>
        <v>16000</v>
      </c>
      <c r="X15" s="71">
        <f>('FS-AD Daily '!AK19)*1000</f>
        <v>32900.000000001455</v>
      </c>
      <c r="Y15" s="71">
        <v>124</v>
      </c>
      <c r="Z15" s="104">
        <v>175</v>
      </c>
    </row>
    <row r="16" spans="1:26" x14ac:dyDescent="0.25">
      <c r="A16" s="103" t="s">
        <v>80</v>
      </c>
      <c r="B16" s="69">
        <f t="shared" si="1"/>
        <v>15</v>
      </c>
      <c r="C16" s="70">
        <v>6</v>
      </c>
      <c r="D16" s="69">
        <v>2021</v>
      </c>
      <c r="E16" s="71">
        <f>'FS-AD Daily '!B20</f>
        <v>4964</v>
      </c>
      <c r="F16" s="71">
        <f>'FS-AD Daily '!C20</f>
        <v>4560</v>
      </c>
      <c r="G16" s="71">
        <f>'FS-AD Daily '!D20</f>
        <v>910</v>
      </c>
      <c r="H16" s="71">
        <f>'FS-AD Daily '!E20</f>
        <v>4946</v>
      </c>
      <c r="I16" s="71">
        <f>'FS-AD Daily '!F20</f>
        <v>5826</v>
      </c>
      <c r="J16" s="71">
        <f>'FS-AD Daily '!G20</f>
        <v>3364</v>
      </c>
      <c r="K16" s="71">
        <f>'FS-AD Daily '!H20</f>
        <v>6024</v>
      </c>
      <c r="L16" s="71">
        <f>'FS-AD Daily '!I20</f>
        <v>2443</v>
      </c>
      <c r="M16" s="71">
        <f>'FS-AD Daily '!J20</f>
        <v>7380</v>
      </c>
      <c r="N16" s="71">
        <f>'FS-AD Daily '!T20</f>
        <v>147.27299999999741</v>
      </c>
      <c r="O16" s="71">
        <f>'FS-AD Daily '!R20</f>
        <v>75.964000000011765</v>
      </c>
      <c r="P16" s="71">
        <f>'FS-AD Daily '!Z20</f>
        <v>530</v>
      </c>
      <c r="Q16" s="71">
        <f>'FS-AD Daily '!V20</f>
        <v>257.20000000001164</v>
      </c>
      <c r="R16" s="71">
        <f>'FS-AD Daily '!W20</f>
        <v>0</v>
      </c>
      <c r="S16" s="71">
        <f t="shared" si="0"/>
        <v>272.79999999998836</v>
      </c>
      <c r="T16" s="71">
        <f>'FS-AD Daily '!AD20*3.516</f>
        <v>95030.448000000004</v>
      </c>
      <c r="U16" s="71">
        <f>('FS-AD Daily '!AF20)*1000</f>
        <v>44500</v>
      </c>
      <c r="V16" s="71">
        <f>('FS-AD Daily '!AG20)*1000</f>
        <v>28900.000000001455</v>
      </c>
      <c r="W16" s="71">
        <f>'FS-AD Daily '!AH20*1000</f>
        <v>16299.999999999272</v>
      </c>
      <c r="X16" s="71">
        <f>('FS-AD Daily '!AK20)*1000</f>
        <v>31000</v>
      </c>
      <c r="Y16" s="71">
        <v>105</v>
      </c>
      <c r="Z16" s="104">
        <v>139</v>
      </c>
    </row>
    <row r="17" spans="1:26" x14ac:dyDescent="0.25">
      <c r="A17" s="103" t="s">
        <v>80</v>
      </c>
      <c r="B17" s="69">
        <f t="shared" si="1"/>
        <v>16</v>
      </c>
      <c r="C17" s="70">
        <v>6</v>
      </c>
      <c r="D17" s="69">
        <v>2021</v>
      </c>
      <c r="E17" s="71">
        <f>'FS-AD Daily '!B21</f>
        <v>5312</v>
      </c>
      <c r="F17" s="71">
        <f>'FS-AD Daily '!C21</f>
        <v>4649</v>
      </c>
      <c r="G17" s="71">
        <f>'FS-AD Daily '!D21</f>
        <v>817</v>
      </c>
      <c r="H17" s="71">
        <f>'FS-AD Daily '!E21</f>
        <v>5008</v>
      </c>
      <c r="I17" s="71">
        <f>'FS-AD Daily '!F21</f>
        <v>5745</v>
      </c>
      <c r="J17" s="71">
        <f>'FS-AD Daily '!G21</f>
        <v>3337</v>
      </c>
      <c r="K17" s="71">
        <f>'FS-AD Daily '!H21</f>
        <v>5946</v>
      </c>
      <c r="L17" s="71">
        <f>'FS-AD Daily '!I21</f>
        <v>2473</v>
      </c>
      <c r="M17" s="71">
        <f>'FS-AD Daily '!J21</f>
        <v>7279</v>
      </c>
      <c r="N17" s="71">
        <f>'FS-AD Daily '!T21</f>
        <v>157.96200000000317</v>
      </c>
      <c r="O17" s="71">
        <f>'FS-AD Daily '!R21</f>
        <v>73.892999999993663</v>
      </c>
      <c r="P17" s="71">
        <f>'FS-AD Daily '!Z21</f>
        <v>559</v>
      </c>
      <c r="Q17" s="71">
        <f>'FS-AD Daily '!V21</f>
        <v>272</v>
      </c>
      <c r="R17" s="71">
        <f>'FS-AD Daily '!W21</f>
        <v>0</v>
      </c>
      <c r="S17" s="71">
        <f t="shared" si="0"/>
        <v>287</v>
      </c>
      <c r="T17" s="71">
        <f>'FS-AD Daily '!AD21*3.516</f>
        <v>94706.975999999995</v>
      </c>
      <c r="U17" s="71">
        <f>('FS-AD Daily '!AF21)*1000</f>
        <v>47099.999999991269</v>
      </c>
      <c r="V17" s="71">
        <f>('FS-AD Daily '!AG21)*1000</f>
        <v>26799.999999995634</v>
      </c>
      <c r="W17" s="71">
        <f>'FS-AD Daily '!AH21*1000</f>
        <v>15600.000000002183</v>
      </c>
      <c r="X17" s="71">
        <f>('FS-AD Daily '!AK21)*1000</f>
        <v>29799.999999995634</v>
      </c>
      <c r="Y17" s="71">
        <v>106</v>
      </c>
      <c r="Z17" s="104">
        <v>148</v>
      </c>
    </row>
    <row r="18" spans="1:26" x14ac:dyDescent="0.25">
      <c r="A18" s="103" t="s">
        <v>80</v>
      </c>
      <c r="B18" s="69">
        <f t="shared" si="1"/>
        <v>17</v>
      </c>
      <c r="C18" s="70">
        <v>6</v>
      </c>
      <c r="D18" s="69">
        <v>2021</v>
      </c>
      <c r="E18" s="71">
        <f>'FS-AD Daily '!B22</f>
        <v>5100</v>
      </c>
      <c r="F18" s="71">
        <f>'FS-AD Daily '!C22</f>
        <v>4638</v>
      </c>
      <c r="G18" s="71">
        <f>'FS-AD Daily '!D22</f>
        <v>839</v>
      </c>
      <c r="H18" s="71">
        <f>'FS-AD Daily '!E22</f>
        <v>5155</v>
      </c>
      <c r="I18" s="71">
        <f>'FS-AD Daily '!F22</f>
        <v>5845</v>
      </c>
      <c r="J18" s="71">
        <f>'FS-AD Daily '!G22</f>
        <v>3429</v>
      </c>
      <c r="K18" s="71">
        <f>'FS-AD Daily '!H22</f>
        <v>6747</v>
      </c>
      <c r="L18" s="71">
        <f>'FS-AD Daily '!I22</f>
        <v>2440</v>
      </c>
      <c r="M18" s="71">
        <f>'FS-AD Daily '!J22</f>
        <v>7368</v>
      </c>
      <c r="N18" s="71">
        <f>'FS-AD Daily '!T22</f>
        <v>189.15899999999965</v>
      </c>
      <c r="O18" s="71">
        <f>'FS-AD Daily '!R22</f>
        <v>81.007999999996173</v>
      </c>
      <c r="P18" s="71">
        <f>'FS-AD Daily '!Z22</f>
        <v>564</v>
      </c>
      <c r="Q18" s="71">
        <f>'FS-AD Daily '!V22</f>
        <v>270.79999999998836</v>
      </c>
      <c r="R18" s="71">
        <f>'FS-AD Daily '!W22</f>
        <v>0</v>
      </c>
      <c r="S18" s="71">
        <f t="shared" si="0"/>
        <v>293.20000000001164</v>
      </c>
      <c r="T18" s="71">
        <f>'FS-AD Daily '!AD22*3.516</f>
        <v>106446.9</v>
      </c>
      <c r="U18" s="71">
        <f>('FS-AD Daily '!AF22)*1000</f>
        <v>52000</v>
      </c>
      <c r="V18" s="71">
        <f>('FS-AD Daily '!AG22)*1000</f>
        <v>32800.00000000291</v>
      </c>
      <c r="W18" s="71">
        <f>'FS-AD Daily '!AH22*1000</f>
        <v>16399.999999997817</v>
      </c>
      <c r="X18" s="71">
        <f>('FS-AD Daily '!AK22)*1000</f>
        <v>32300.00000000291</v>
      </c>
      <c r="Y18" s="71">
        <v>118</v>
      </c>
      <c r="Z18" s="104">
        <v>191</v>
      </c>
    </row>
    <row r="19" spans="1:26" x14ac:dyDescent="0.25">
      <c r="A19" s="103" t="s">
        <v>80</v>
      </c>
      <c r="B19" s="69">
        <f t="shared" si="1"/>
        <v>18</v>
      </c>
      <c r="C19" s="70">
        <v>6</v>
      </c>
      <c r="D19" s="69">
        <v>2021</v>
      </c>
      <c r="E19" s="71">
        <f>'FS-AD Daily '!B23</f>
        <v>5185</v>
      </c>
      <c r="F19" s="71">
        <f>'FS-AD Daily '!C23</f>
        <v>3985</v>
      </c>
      <c r="G19" s="71">
        <f>'FS-AD Daily '!D23</f>
        <v>819</v>
      </c>
      <c r="H19" s="71">
        <f>'FS-AD Daily '!E23</f>
        <v>3901</v>
      </c>
      <c r="I19" s="71">
        <f>'FS-AD Daily '!F23</f>
        <v>5961</v>
      </c>
      <c r="J19" s="71">
        <f>'FS-AD Daily '!G23</f>
        <v>3374</v>
      </c>
      <c r="K19" s="71">
        <f>'FS-AD Daily '!H23</f>
        <v>7159</v>
      </c>
      <c r="L19" s="71">
        <f>'FS-AD Daily '!I23</f>
        <v>2528</v>
      </c>
      <c r="M19" s="71">
        <f>'FS-AD Daily '!J23</f>
        <v>7440</v>
      </c>
      <c r="N19" s="71">
        <f>'FS-AD Daily '!T23</f>
        <v>259.08999999998923</v>
      </c>
      <c r="O19" s="71">
        <f>'FS-AD Daily '!R23</f>
        <v>84.704999999999018</v>
      </c>
      <c r="P19" s="71">
        <f>'FS-AD Daily '!Z23</f>
        <v>609</v>
      </c>
      <c r="Q19" s="71">
        <f>'FS-AD Daily '!V23</f>
        <v>276.79999999998836</v>
      </c>
      <c r="R19" s="71">
        <f>'FS-AD Daily '!W23</f>
        <v>0</v>
      </c>
      <c r="S19" s="71">
        <f t="shared" si="0"/>
        <v>332.20000000001164</v>
      </c>
      <c r="T19" s="71">
        <f>'FS-AD Daily '!AD23*3.516</f>
        <v>106569.96</v>
      </c>
      <c r="U19" s="71">
        <f>('FS-AD Daily '!AF23)*1000</f>
        <v>52000</v>
      </c>
      <c r="V19" s="71">
        <f>('FS-AD Daily '!AG23)*1000</f>
        <v>35000</v>
      </c>
      <c r="W19" s="71">
        <f>'FS-AD Daily '!AH23*1000</f>
        <v>16400.000000001455</v>
      </c>
      <c r="X19" s="71">
        <f>('FS-AD Daily '!AK23)*1000</f>
        <v>33000</v>
      </c>
      <c r="Y19" s="71">
        <v>140</v>
      </c>
      <c r="Z19" s="104">
        <v>238</v>
      </c>
    </row>
    <row r="20" spans="1:26" x14ac:dyDescent="0.25">
      <c r="A20" s="103" t="s">
        <v>80</v>
      </c>
      <c r="B20" s="69">
        <f t="shared" si="1"/>
        <v>19</v>
      </c>
      <c r="C20" s="70">
        <v>6</v>
      </c>
      <c r="D20" s="69">
        <v>2021</v>
      </c>
      <c r="E20" s="71">
        <f>'FS-AD Daily '!B24</f>
        <v>5248</v>
      </c>
      <c r="F20" s="71">
        <f>'FS-AD Daily '!C24</f>
        <v>4039</v>
      </c>
      <c r="G20" s="71">
        <f>'FS-AD Daily '!D24</f>
        <v>841</v>
      </c>
      <c r="H20" s="71">
        <f>'FS-AD Daily '!E24</f>
        <v>6133</v>
      </c>
      <c r="I20" s="71">
        <f>'FS-AD Daily '!F24</f>
        <v>5812</v>
      </c>
      <c r="J20" s="71">
        <f>'FS-AD Daily '!G24</f>
        <v>3606</v>
      </c>
      <c r="K20" s="71">
        <f>'FS-AD Daily '!H24</f>
        <v>7103</v>
      </c>
      <c r="L20" s="71">
        <f>'FS-AD Daily '!I24</f>
        <v>2462</v>
      </c>
      <c r="M20" s="71">
        <f>'FS-AD Daily '!J24</f>
        <v>7382</v>
      </c>
      <c r="N20" s="71">
        <f>'FS-AD Daily '!T24</f>
        <v>161.08200000000579</v>
      </c>
      <c r="O20" s="71">
        <f>'FS-AD Daily '!R24</f>
        <v>78.614999999999782</v>
      </c>
      <c r="P20" s="71">
        <f>'FS-AD Daily '!Z24</f>
        <v>510</v>
      </c>
      <c r="Q20" s="71">
        <f>'FS-AD Daily '!V24</f>
        <v>286.30000000004657</v>
      </c>
      <c r="R20" s="71">
        <f>'FS-AD Daily '!W24</f>
        <v>0</v>
      </c>
      <c r="S20" s="71">
        <f t="shared" si="0"/>
        <v>223.69999999995343</v>
      </c>
      <c r="T20" s="71">
        <f>'FS-AD Daily '!AD24*3.516</f>
        <v>110839.43879999935</v>
      </c>
      <c r="U20" s="71">
        <f>('FS-AD Daily '!AF24)*1000</f>
        <v>54799.999999988358</v>
      </c>
      <c r="V20" s="71">
        <f>('FS-AD Daily '!AG24)*1000</f>
        <v>36400.000000001455</v>
      </c>
      <c r="W20" s="71">
        <f>'FS-AD Daily '!AH24*1000</f>
        <v>16099.999999998545</v>
      </c>
      <c r="X20" s="71">
        <f>('FS-AD Daily '!AK24)*1000</f>
        <v>32099.999999998545</v>
      </c>
      <c r="Y20" s="71">
        <v>110</v>
      </c>
      <c r="Z20" s="104">
        <v>159</v>
      </c>
    </row>
    <row r="21" spans="1:26" x14ac:dyDescent="0.25">
      <c r="A21" s="103" t="s">
        <v>80</v>
      </c>
      <c r="B21" s="69">
        <f t="shared" si="1"/>
        <v>20</v>
      </c>
      <c r="C21" s="70">
        <v>6</v>
      </c>
      <c r="D21" s="69">
        <v>2021</v>
      </c>
      <c r="E21" s="71">
        <f>'FS-AD Daily '!B25</f>
        <v>5073</v>
      </c>
      <c r="F21" s="71">
        <f>'FS-AD Daily '!C25</f>
        <v>4104</v>
      </c>
      <c r="G21" s="71">
        <f>'FS-AD Daily '!D25</f>
        <v>831</v>
      </c>
      <c r="H21" s="71">
        <f>'FS-AD Daily '!E25</f>
        <v>4883</v>
      </c>
      <c r="I21" s="71">
        <f>'FS-AD Daily '!F25</f>
        <v>5657</v>
      </c>
      <c r="J21" s="71">
        <f>'FS-AD Daily '!G25</f>
        <v>3523</v>
      </c>
      <c r="K21" s="71">
        <f>'FS-AD Daily '!H25</f>
        <v>6754</v>
      </c>
      <c r="L21" s="71">
        <f>'FS-AD Daily '!I25</f>
        <v>1567</v>
      </c>
      <c r="M21" s="71">
        <f>'FS-AD Daily '!J25</f>
        <v>7199</v>
      </c>
      <c r="N21" s="71">
        <f>'FS-AD Daily '!T25</f>
        <v>142.84299999999712</v>
      </c>
      <c r="O21" s="71">
        <f>'FS-AD Daily '!R25</f>
        <v>74.642000000001644</v>
      </c>
      <c r="P21" s="71">
        <f>'FS-AD Daily '!Z25</f>
        <v>598</v>
      </c>
      <c r="Q21" s="71">
        <f>'FS-AD Daily '!V25</f>
        <v>273.19999999995343</v>
      </c>
      <c r="R21" s="71">
        <f>'FS-AD Daily '!W25</f>
        <v>0</v>
      </c>
      <c r="S21" s="71">
        <f t="shared" si="0"/>
        <v>324.80000000004657</v>
      </c>
      <c r="T21" s="71">
        <f>'FS-AD Daily '!AD25*3.516</f>
        <v>113573.83199999999</v>
      </c>
      <c r="U21" s="71">
        <f>('FS-AD Daily '!AF25)*1000</f>
        <v>56500</v>
      </c>
      <c r="V21" s="71">
        <f>('FS-AD Daily '!AG25)*1000</f>
        <v>36400.000000001455</v>
      </c>
      <c r="W21" s="71">
        <f>'FS-AD Daily '!AH25*1000</f>
        <v>15800.00000000291</v>
      </c>
      <c r="X21" s="71">
        <f>('FS-AD Daily '!AK25)*1000</f>
        <v>32500</v>
      </c>
      <c r="Y21" s="71">
        <v>113</v>
      </c>
      <c r="Z21" s="104">
        <v>167</v>
      </c>
    </row>
    <row r="22" spans="1:26" x14ac:dyDescent="0.25">
      <c r="A22" s="103" t="s">
        <v>80</v>
      </c>
      <c r="B22" s="69">
        <f t="shared" si="1"/>
        <v>21</v>
      </c>
      <c r="C22" s="70">
        <v>6</v>
      </c>
      <c r="D22" s="69">
        <v>2021</v>
      </c>
      <c r="E22" s="71">
        <f>'FS-AD Daily '!B26</f>
        <v>5145</v>
      </c>
      <c r="F22" s="71">
        <f>'FS-AD Daily '!C26</f>
        <v>4122</v>
      </c>
      <c r="G22" s="71">
        <f>'FS-AD Daily '!D26</f>
        <v>839</v>
      </c>
      <c r="H22" s="71">
        <f>'FS-AD Daily '!E26</f>
        <v>5131</v>
      </c>
      <c r="I22" s="71">
        <f>'FS-AD Daily '!F26</f>
        <v>5880</v>
      </c>
      <c r="J22" s="71">
        <f>'FS-AD Daily '!G26</f>
        <v>3586</v>
      </c>
      <c r="K22" s="71">
        <f>'FS-AD Daily '!H26</f>
        <v>6490</v>
      </c>
      <c r="L22" s="71">
        <f>'FS-AD Daily '!I26</f>
        <v>3185</v>
      </c>
      <c r="M22" s="71">
        <f>'FS-AD Daily '!J26</f>
        <v>7132</v>
      </c>
      <c r="N22" s="71">
        <f>'FS-AD Daily '!T26</f>
        <v>152.05300000000352</v>
      </c>
      <c r="O22" s="71">
        <f>'FS-AD Daily '!R26</f>
        <v>81.178000000005341</v>
      </c>
      <c r="P22" s="71">
        <f>'FS-AD Daily '!Z26</f>
        <v>556</v>
      </c>
      <c r="Q22" s="71">
        <f>'FS-AD Daily '!V26</f>
        <v>279.5</v>
      </c>
      <c r="R22" s="71">
        <f>'FS-AD Daily '!W26</f>
        <v>0</v>
      </c>
      <c r="S22" s="71">
        <f t="shared" si="0"/>
        <v>276.5</v>
      </c>
      <c r="T22" s="71">
        <f>'FS-AD Daily '!AD26*3.516</f>
        <v>107332.932</v>
      </c>
      <c r="U22" s="71">
        <f>('FS-AD Daily '!AF26)*1000</f>
        <v>52400.000000008731</v>
      </c>
      <c r="V22" s="71">
        <f>('FS-AD Daily '!AG26)*1000</f>
        <v>35199.99999999709</v>
      </c>
      <c r="W22" s="71">
        <f>'FS-AD Daily '!AH26*1000</f>
        <v>16299.999999999272</v>
      </c>
      <c r="X22" s="71">
        <f>('FS-AD Daily '!AK26)*1000</f>
        <v>31099.999999998545</v>
      </c>
      <c r="Y22" s="71">
        <f>'FS-AD Daily '!AN26</f>
        <v>0</v>
      </c>
      <c r="Z22" s="104"/>
    </row>
    <row r="23" spans="1:26" x14ac:dyDescent="0.25">
      <c r="A23" s="103" t="s">
        <v>80</v>
      </c>
      <c r="B23" s="69">
        <f t="shared" si="1"/>
        <v>22</v>
      </c>
      <c r="C23" s="70">
        <v>6</v>
      </c>
      <c r="D23" s="69">
        <v>2021</v>
      </c>
      <c r="E23" s="71">
        <f>'FS-AD Daily '!B27</f>
        <v>5175</v>
      </c>
      <c r="F23" s="71">
        <f>'FS-AD Daily '!C27</f>
        <v>4517</v>
      </c>
      <c r="G23" s="71">
        <f>'FS-AD Daily '!D27</f>
        <v>851</v>
      </c>
      <c r="H23" s="71">
        <f>'FS-AD Daily '!E27</f>
        <v>5116</v>
      </c>
      <c r="I23" s="71">
        <f>'FS-AD Daily '!F27</f>
        <v>5800</v>
      </c>
      <c r="J23" s="71">
        <f>'FS-AD Daily '!G27</f>
        <v>3518</v>
      </c>
      <c r="K23" s="71">
        <f>'FS-AD Daily '!H27</f>
        <v>6451</v>
      </c>
      <c r="L23" s="71">
        <f>'FS-AD Daily '!I27</f>
        <v>2398</v>
      </c>
      <c r="M23" s="71">
        <f>'FS-AD Daily '!J27</f>
        <v>7102</v>
      </c>
      <c r="N23" s="71">
        <f>'FS-AD Daily '!T27</f>
        <v>165.64500000000044</v>
      </c>
      <c r="O23" s="71">
        <f>'FS-AD Daily '!R27</f>
        <v>71.270999999993364</v>
      </c>
      <c r="P23" s="71">
        <f>'FS-AD Daily '!Z27</f>
        <v>546</v>
      </c>
      <c r="Q23" s="71">
        <f>'FS-AD Daily '!V27</f>
        <v>269.20000000001164</v>
      </c>
      <c r="R23" s="71">
        <f>'FS-AD Daily '!W27</f>
        <v>0</v>
      </c>
      <c r="S23" s="71">
        <f t="shared" si="0"/>
        <v>276.79999999998836</v>
      </c>
      <c r="T23" s="71">
        <f>'FS-AD Daily '!AD27*3.516</f>
        <v>102902.772</v>
      </c>
      <c r="U23" s="71">
        <f>('FS-AD Daily '!AF27)*1000</f>
        <v>50599.999999991269</v>
      </c>
      <c r="V23" s="71">
        <f>('FS-AD Daily '!AG27)*1000</f>
        <v>32500</v>
      </c>
      <c r="W23" s="71">
        <f>'FS-AD Daily '!AH27*1000</f>
        <v>16299.999999999272</v>
      </c>
      <c r="X23" s="71">
        <f>('FS-AD Daily '!AK27)*1000</f>
        <v>30200.000000004366</v>
      </c>
      <c r="Y23" s="71">
        <f>'FS-AD Daily '!AN27</f>
        <v>0</v>
      </c>
      <c r="Z23" s="104"/>
    </row>
    <row r="24" spans="1:26" x14ac:dyDescent="0.25">
      <c r="A24" s="103" t="s">
        <v>80</v>
      </c>
      <c r="B24" s="69">
        <f t="shared" si="1"/>
        <v>23</v>
      </c>
      <c r="C24" s="70">
        <v>6</v>
      </c>
      <c r="D24" s="69">
        <v>2021</v>
      </c>
      <c r="E24" s="71">
        <f>'FS-AD Daily '!B28</f>
        <v>5601</v>
      </c>
      <c r="F24" s="71">
        <f>'FS-AD Daily '!C28</f>
        <v>4692</v>
      </c>
      <c r="G24" s="71">
        <f>'FS-AD Daily '!D28</f>
        <v>805</v>
      </c>
      <c r="H24" s="71">
        <f>'FS-AD Daily '!E28</f>
        <v>5222</v>
      </c>
      <c r="I24" s="71">
        <f>'FS-AD Daily '!F28</f>
        <v>5869</v>
      </c>
      <c r="J24" s="71">
        <f>'FS-AD Daily '!G28</f>
        <v>3629</v>
      </c>
      <c r="K24" s="71">
        <f>'FS-AD Daily '!H28</f>
        <v>6521</v>
      </c>
      <c r="L24" s="71">
        <f>'FS-AD Daily '!I28</f>
        <v>2384</v>
      </c>
      <c r="M24" s="71">
        <f>'FS-AD Daily '!J28</f>
        <v>7152</v>
      </c>
      <c r="N24" s="71">
        <f>'FS-AD Daily '!T28</f>
        <v>164.33200000000215</v>
      </c>
      <c r="O24" s="71">
        <f>'FS-AD Daily '!R28</f>
        <v>65.18100000000868</v>
      </c>
      <c r="P24" s="71">
        <f>'FS-AD Daily '!Z28</f>
        <v>576</v>
      </c>
      <c r="Q24" s="71">
        <f>'FS-AD Daily '!V28</f>
        <v>282.70000000001164</v>
      </c>
      <c r="R24" s="71">
        <f>'FS-AD Daily '!W28</f>
        <v>0</v>
      </c>
      <c r="S24" s="71">
        <f t="shared" si="0"/>
        <v>293.29999999998836</v>
      </c>
      <c r="T24" s="71">
        <f>'FS-AD Daily '!AD28*3.516</f>
        <v>103913.97360000196</v>
      </c>
      <c r="U24" s="71">
        <f>('FS-AD Daily '!AF28)*1000</f>
        <v>53200.000000011642</v>
      </c>
      <c r="V24" s="71">
        <f>('FS-AD Daily '!AG28)*1000</f>
        <v>31500</v>
      </c>
      <c r="W24" s="71">
        <f>'FS-AD Daily '!AH28*1000</f>
        <v>16799.999999999272</v>
      </c>
      <c r="X24" s="71">
        <f>('FS-AD Daily '!AK28)*1000</f>
        <v>27799.999999995634</v>
      </c>
      <c r="Y24" s="71">
        <f>'FS-AD Daily '!AN28</f>
        <v>0</v>
      </c>
      <c r="Z24" s="104"/>
    </row>
    <row r="25" spans="1:26" x14ac:dyDescent="0.25">
      <c r="A25" s="103" t="s">
        <v>80</v>
      </c>
      <c r="B25" s="69">
        <f t="shared" si="1"/>
        <v>24</v>
      </c>
      <c r="C25" s="70">
        <v>6</v>
      </c>
      <c r="D25" s="69">
        <v>2021</v>
      </c>
      <c r="E25" s="71">
        <f>'FS-AD Daily '!B29</f>
        <v>5495</v>
      </c>
      <c r="F25" s="71">
        <f>'FS-AD Daily '!C29</f>
        <v>4092</v>
      </c>
      <c r="G25" s="71">
        <f>'FS-AD Daily '!D29</f>
        <v>835</v>
      </c>
      <c r="H25" s="71">
        <f>'FS-AD Daily '!E29</f>
        <v>5002</v>
      </c>
      <c r="I25" s="71">
        <f>'FS-AD Daily '!F29</f>
        <v>5887</v>
      </c>
      <c r="J25" s="71">
        <f>'FS-AD Daily '!G29</f>
        <v>3462</v>
      </c>
      <c r="K25" s="71">
        <f>'FS-AD Daily '!H29</f>
        <v>6426</v>
      </c>
      <c r="L25" s="71">
        <f>'FS-AD Daily '!I29</f>
        <v>2374</v>
      </c>
      <c r="M25" s="71">
        <f>'FS-AD Daily '!J29</f>
        <v>7009</v>
      </c>
      <c r="N25" s="71">
        <f>'FS-AD Daily '!T29</f>
        <v>176.83199999999488</v>
      </c>
      <c r="O25" s="71">
        <f>'FS-AD Daily '!R29</f>
        <v>67.806999999991604</v>
      </c>
      <c r="P25" s="71">
        <f>'FS-AD Daily '!Z29</f>
        <v>585</v>
      </c>
      <c r="Q25" s="71">
        <f>'FS-AD Daily '!V29</f>
        <v>279.20000000001164</v>
      </c>
      <c r="R25" s="71">
        <f>'FS-AD Daily '!W29</f>
        <v>0</v>
      </c>
      <c r="S25" s="71">
        <f t="shared" si="0"/>
        <v>305.79999999998836</v>
      </c>
      <c r="T25" s="71">
        <f>'FS-AD Daily '!AD29*3.516</f>
        <v>105884.6915999987</v>
      </c>
      <c r="U25" s="71">
        <f>('FS-AD Daily '!AF29)*1000</f>
        <v>53399.999999994179</v>
      </c>
      <c r="V25" s="71">
        <f>('FS-AD Daily '!AG29)*1000</f>
        <v>32099.999999998545</v>
      </c>
      <c r="W25" s="71">
        <f>'FS-AD Daily '!AH29*1000</f>
        <v>17100.000000002183</v>
      </c>
      <c r="X25" s="71">
        <f>('FS-AD Daily '!AK29)*1000</f>
        <v>27500</v>
      </c>
      <c r="Y25" s="71">
        <f>'FS-AD Daily '!AN29</f>
        <v>0</v>
      </c>
      <c r="Z25" s="104"/>
    </row>
    <row r="26" spans="1:26" x14ac:dyDescent="0.25">
      <c r="A26" s="103" t="s">
        <v>80</v>
      </c>
      <c r="B26" s="69">
        <f>B25+1</f>
        <v>25</v>
      </c>
      <c r="C26" s="70">
        <v>6</v>
      </c>
      <c r="D26" s="69">
        <v>2021</v>
      </c>
      <c r="E26" s="71">
        <f>'FS-AD Daily '!B30</f>
        <v>5469</v>
      </c>
      <c r="F26" s="71">
        <f>'FS-AD Daily '!C30</f>
        <v>3496</v>
      </c>
      <c r="G26" s="71">
        <f>'FS-AD Daily '!D30</f>
        <v>836</v>
      </c>
      <c r="H26" s="71">
        <f>'FS-AD Daily '!E30</f>
        <v>5232</v>
      </c>
      <c r="I26" s="71">
        <f>'FS-AD Daily '!F30</f>
        <v>6389</v>
      </c>
      <c r="J26" s="71">
        <f>'FS-AD Daily '!G30</f>
        <v>3517</v>
      </c>
      <c r="K26" s="71">
        <f>'FS-AD Daily '!H30</f>
        <v>6590</v>
      </c>
      <c r="L26" s="71">
        <f>'FS-AD Daily '!I30</f>
        <v>2457</v>
      </c>
      <c r="M26" s="71">
        <f>'FS-AD Daily '!J30</f>
        <v>7474</v>
      </c>
      <c r="N26" s="71">
        <f>'FS-AD Daily '!T30</f>
        <v>170.2039999999979</v>
      </c>
      <c r="O26" s="71">
        <f>'FS-AD Daily '!R30</f>
        <v>72.617000000004737</v>
      </c>
      <c r="P26" s="71">
        <f>'FS-AD Daily '!Z30</f>
        <v>633</v>
      </c>
      <c r="Q26" s="71">
        <f>'FS-AD Daily '!V30</f>
        <v>633</v>
      </c>
      <c r="R26" s="71">
        <f>'FS-AD Daily '!W30</f>
        <v>0</v>
      </c>
      <c r="S26" s="71">
        <f t="shared" si="0"/>
        <v>0</v>
      </c>
      <c r="T26" s="71">
        <f>'FS-AD Daily '!AD30*3.516</f>
        <v>110233.632</v>
      </c>
      <c r="U26" s="71">
        <f>('FS-AD Daily '!AF30)*1000</f>
        <v>54300.00000000291</v>
      </c>
      <c r="V26" s="71">
        <f>('FS-AD Daily '!AG30)*1000</f>
        <v>33800.00000000291</v>
      </c>
      <c r="W26" s="71">
        <f>'FS-AD Daily '!AH30*1000</f>
        <v>17500</v>
      </c>
      <c r="X26" s="71">
        <f>('FS-AD Daily '!AK30)*1000</f>
        <v>31800.00000000291</v>
      </c>
      <c r="Y26" s="71">
        <f>'FS-AD Daily '!AN30</f>
        <v>0</v>
      </c>
      <c r="Z26" s="104"/>
    </row>
    <row r="27" spans="1:26" x14ac:dyDescent="0.25">
      <c r="A27" s="103" t="s">
        <v>80</v>
      </c>
      <c r="B27" s="69">
        <f t="shared" si="1"/>
        <v>26</v>
      </c>
      <c r="C27" s="70">
        <v>6</v>
      </c>
      <c r="D27" s="69">
        <v>2021</v>
      </c>
      <c r="E27" s="71">
        <f>'FS-AD Daily '!B31</f>
        <v>5064</v>
      </c>
      <c r="F27" s="71">
        <f>'FS-AD Daily '!C31</f>
        <v>3747</v>
      </c>
      <c r="G27" s="71">
        <f>'FS-AD Daily '!D31</f>
        <v>870</v>
      </c>
      <c r="H27" s="71">
        <f>'FS-AD Daily '!E31</f>
        <v>5112</v>
      </c>
      <c r="I27" s="71">
        <f>'FS-AD Daily '!F31</f>
        <v>5965</v>
      </c>
      <c r="J27" s="71">
        <f>'FS-AD Daily '!G31</f>
        <v>3312</v>
      </c>
      <c r="K27" s="71">
        <f>'FS-AD Daily '!H31</f>
        <v>6353</v>
      </c>
      <c r="L27" s="71">
        <f>'FS-AD Daily '!I31</f>
        <v>2491</v>
      </c>
      <c r="M27" s="71">
        <f>'FS-AD Daily '!J31</f>
        <v>7373</v>
      </c>
      <c r="N27" s="71">
        <f>'FS-AD Daily '!T31</f>
        <v>184.66100000001097</v>
      </c>
      <c r="O27" s="71">
        <f>'FS-AD Daily '!R31</f>
        <v>76.609000000000378</v>
      </c>
      <c r="P27" s="71">
        <f>'FS-AD Daily '!Z31</f>
        <v>556</v>
      </c>
      <c r="Q27" s="71">
        <f>'FS-AD Daily '!V31</f>
        <v>556</v>
      </c>
      <c r="R27" s="71">
        <f>'FS-AD Daily '!W31</f>
        <v>0</v>
      </c>
      <c r="S27" s="71">
        <f t="shared" si="0"/>
        <v>0</v>
      </c>
      <c r="T27" s="71">
        <f>'FS-AD Daily '!AD31*3.516</f>
        <v>93799.847999999998</v>
      </c>
      <c r="U27" s="71">
        <f>('FS-AD Daily '!AF31)*1000</f>
        <v>45099.999999991269</v>
      </c>
      <c r="V27" s="71">
        <f>('FS-AD Daily '!AG31)*1000</f>
        <v>28699.99999999709</v>
      </c>
      <c r="W27" s="71">
        <f>'FS-AD Daily '!AH31*1000</f>
        <v>16699.99999999709</v>
      </c>
      <c r="X27" s="71">
        <f>('FS-AD Daily '!AK31)*1000</f>
        <v>28799.999999995634</v>
      </c>
      <c r="Y27" s="71">
        <f>'FS-AD Daily '!AN31</f>
        <v>0</v>
      </c>
      <c r="Z27" s="104"/>
    </row>
    <row r="28" spans="1:26" x14ac:dyDescent="0.25">
      <c r="A28" s="103" t="s">
        <v>80</v>
      </c>
      <c r="B28" s="69">
        <f t="shared" si="1"/>
        <v>27</v>
      </c>
      <c r="C28" s="70">
        <v>6</v>
      </c>
      <c r="D28" s="69">
        <v>2021</v>
      </c>
      <c r="E28" s="71">
        <f>'FS-AD Daily '!B32</f>
        <v>5053</v>
      </c>
      <c r="F28" s="71">
        <f>'FS-AD Daily '!C32</f>
        <v>4111</v>
      </c>
      <c r="G28" s="71">
        <f>'FS-AD Daily '!D32</f>
        <v>772</v>
      </c>
      <c r="H28" s="71">
        <f>'FS-AD Daily '!E32</f>
        <v>4976</v>
      </c>
      <c r="I28" s="71">
        <f>'FS-AD Daily '!F32</f>
        <v>5798</v>
      </c>
      <c r="J28" s="71">
        <f>'FS-AD Daily '!G32</f>
        <v>3276</v>
      </c>
      <c r="K28" s="71">
        <f>'FS-AD Daily '!H32</f>
        <v>6426</v>
      </c>
      <c r="L28" s="71">
        <f>'FS-AD Daily '!I32</f>
        <v>2483</v>
      </c>
      <c r="M28" s="71">
        <f>'FS-AD Daily '!J32</f>
        <v>6564</v>
      </c>
      <c r="N28" s="71">
        <f>'FS-AD Daily '!T32</f>
        <v>161.39899999999398</v>
      </c>
      <c r="O28" s="71">
        <f>'FS-AD Daily '!R32</f>
        <v>60.84200000000601</v>
      </c>
      <c r="P28" s="71">
        <f>'FS-AD Daily '!Z32</f>
        <v>554</v>
      </c>
      <c r="Q28" s="71">
        <f>'FS-AD Daily '!V32</f>
        <v>276.90000000002328</v>
      </c>
      <c r="R28" s="71">
        <f>'FS-AD Daily '!W32</f>
        <v>0</v>
      </c>
      <c r="S28" s="71">
        <f t="shared" si="0"/>
        <v>277.09999999997672</v>
      </c>
      <c r="T28" s="71">
        <f>'FS-AD Daily '!AD32*3.516</f>
        <v>90323.578799999348</v>
      </c>
      <c r="U28" s="71">
        <f>('FS-AD Daily '!AF32)*1000</f>
        <v>44100.000000005821</v>
      </c>
      <c r="V28" s="71">
        <f>('FS-AD Daily '!AG32)*1000</f>
        <v>28099.999999998545</v>
      </c>
      <c r="W28" s="71">
        <f>'FS-AD Daily '!AH32*1000</f>
        <v>16800.00000000291</v>
      </c>
      <c r="X28" s="71">
        <f>('FS-AD Daily '!AK32)*1000</f>
        <v>27700.000000004366</v>
      </c>
      <c r="Y28" s="71">
        <f>'FS-AD Daily '!AN32</f>
        <v>0</v>
      </c>
      <c r="Z28" s="104"/>
    </row>
    <row r="29" spans="1:26" x14ac:dyDescent="0.25">
      <c r="A29" s="103" t="s">
        <v>80</v>
      </c>
      <c r="B29" s="69">
        <f t="shared" si="1"/>
        <v>28</v>
      </c>
      <c r="C29" s="70">
        <v>6</v>
      </c>
      <c r="D29" s="69">
        <v>2021</v>
      </c>
      <c r="E29" s="71">
        <f>'FS-AD Daily '!B33</f>
        <v>0</v>
      </c>
      <c r="F29" s="71">
        <f>'FS-AD Daily '!C33</f>
        <v>0</v>
      </c>
      <c r="G29" s="71">
        <f>'FS-AD Daily '!D33</f>
        <v>0</v>
      </c>
      <c r="H29" s="71">
        <f>'FS-AD Daily '!E33</f>
        <v>0</v>
      </c>
      <c r="I29" s="71">
        <f>'FS-AD Daily '!F33</f>
        <v>0</v>
      </c>
      <c r="J29" s="71">
        <f>'FS-AD Daily '!G33</f>
        <v>0</v>
      </c>
      <c r="K29" s="71">
        <f>'FS-AD Daily '!H33</f>
        <v>0</v>
      </c>
      <c r="L29" s="71">
        <f>'FS-AD Daily '!I33</f>
        <v>0</v>
      </c>
      <c r="M29" s="71">
        <f>'FS-AD Daily '!J33</f>
        <v>0</v>
      </c>
      <c r="N29" s="71">
        <f>'FS-AD Daily '!T33</f>
        <v>0</v>
      </c>
      <c r="O29" s="71">
        <f>'FS-AD Daily '!R33</f>
        <v>0</v>
      </c>
      <c r="P29" s="71" t="str">
        <f>'FS-AD Daily '!Z33</f>
        <v>0</v>
      </c>
      <c r="Q29" s="71">
        <f>'FS-AD Daily '!V33</f>
        <v>0</v>
      </c>
      <c r="R29" s="71">
        <f>'FS-AD Daily '!W33</f>
        <v>0</v>
      </c>
      <c r="S29" s="71">
        <f t="shared" si="0"/>
        <v>0</v>
      </c>
      <c r="T29" s="71">
        <f>'FS-AD Daily '!AD33*3.516</f>
        <v>0</v>
      </c>
      <c r="U29" s="71">
        <f>('FS-AD Daily '!AF33)*1000</f>
        <v>0</v>
      </c>
      <c r="V29" s="71">
        <f>('FS-AD Daily '!AG33)*1000</f>
        <v>0</v>
      </c>
      <c r="W29" s="71">
        <f>'FS-AD Daily '!AH33*1000</f>
        <v>0</v>
      </c>
      <c r="X29" s="71">
        <f>('FS-AD Daily '!AK33)*1000</f>
        <v>0</v>
      </c>
      <c r="Y29" s="71">
        <f>'FS-AD Daily '!AN33</f>
        <v>0</v>
      </c>
      <c r="Z29" s="104"/>
    </row>
    <row r="30" spans="1:26" x14ac:dyDescent="0.25">
      <c r="A30" s="103" t="s">
        <v>80</v>
      </c>
      <c r="B30" s="69">
        <f t="shared" si="1"/>
        <v>29</v>
      </c>
      <c r="C30" s="70">
        <v>6</v>
      </c>
      <c r="D30" s="69">
        <v>2021</v>
      </c>
      <c r="E30" s="71">
        <f>'FS-AD Daily '!B34</f>
        <v>0</v>
      </c>
      <c r="F30" s="71">
        <f>'FS-AD Daily '!C34</f>
        <v>0</v>
      </c>
      <c r="G30" s="71">
        <f>'FS-AD Daily '!D34</f>
        <v>0</v>
      </c>
      <c r="H30" s="71">
        <f>'FS-AD Daily '!E34</f>
        <v>0</v>
      </c>
      <c r="I30" s="71">
        <f>'FS-AD Daily '!F34</f>
        <v>0</v>
      </c>
      <c r="J30" s="71">
        <f>'FS-AD Daily '!G34</f>
        <v>0</v>
      </c>
      <c r="K30" s="71">
        <f>'FS-AD Daily '!H34</f>
        <v>0</v>
      </c>
      <c r="L30" s="71">
        <f>'FS-AD Daily '!I34</f>
        <v>0</v>
      </c>
      <c r="M30" s="71">
        <f>'FS-AD Daily '!J34</f>
        <v>0</v>
      </c>
      <c r="N30" s="71">
        <f>'FS-AD Daily '!T34</f>
        <v>0</v>
      </c>
      <c r="O30" s="71">
        <f>'FS-AD Daily '!R34</f>
        <v>0</v>
      </c>
      <c r="P30" s="71">
        <f>'FS-AD Daily '!Z34</f>
        <v>0</v>
      </c>
      <c r="Q30" s="71">
        <f>'FS-AD Daily '!V34</f>
        <v>0</v>
      </c>
      <c r="R30" s="71">
        <f>'FS-AD Daily '!W34</f>
        <v>0</v>
      </c>
      <c r="S30" s="71">
        <f t="shared" si="0"/>
        <v>0</v>
      </c>
      <c r="T30" s="71">
        <f>'FS-AD Daily '!AD34*3.516</f>
        <v>0</v>
      </c>
      <c r="U30" s="71">
        <f>('FS-AD Daily '!AF34)*1000</f>
        <v>0</v>
      </c>
      <c r="V30" s="71">
        <f>('FS-AD Daily '!AG34)*1000</f>
        <v>0</v>
      </c>
      <c r="W30" s="71">
        <f>'FS-AD Daily '!AH34*1000</f>
        <v>0</v>
      </c>
      <c r="X30" s="71">
        <f>('FS-AD Daily '!AK34)*1000</f>
        <v>0</v>
      </c>
      <c r="Y30" s="71">
        <f>'FS-AD Daily '!AN34</f>
        <v>0</v>
      </c>
      <c r="Z30" s="104"/>
    </row>
    <row r="31" spans="1:26" ht="15.75" thickBot="1" x14ac:dyDescent="0.3">
      <c r="A31" s="105" t="s">
        <v>80</v>
      </c>
      <c r="B31" s="106">
        <f t="shared" si="1"/>
        <v>30</v>
      </c>
      <c r="C31" s="107">
        <v>6</v>
      </c>
      <c r="D31" s="106">
        <v>2021</v>
      </c>
      <c r="E31" s="108">
        <f>'FS-AD Daily '!B35</f>
        <v>0</v>
      </c>
      <c r="F31" s="108">
        <f>'FS-AD Daily '!C35</f>
        <v>0</v>
      </c>
      <c r="G31" s="108">
        <f>'FS-AD Daily '!D35</f>
        <v>0</v>
      </c>
      <c r="H31" s="108">
        <f>'FS-AD Daily '!E35</f>
        <v>0</v>
      </c>
      <c r="I31" s="108">
        <f>'FS-AD Daily '!F35</f>
        <v>0</v>
      </c>
      <c r="J31" s="108">
        <f>'FS-AD Daily '!G35</f>
        <v>0</v>
      </c>
      <c r="K31" s="108">
        <f>'FS-AD Daily '!H35</f>
        <v>0</v>
      </c>
      <c r="L31" s="108">
        <f>'FS-AD Daily '!I35</f>
        <v>0</v>
      </c>
      <c r="M31" s="108">
        <f>'FS-AD Daily '!J35</f>
        <v>0</v>
      </c>
      <c r="N31" s="108">
        <f>'FS-AD Daily '!T35</f>
        <v>0</v>
      </c>
      <c r="O31" s="108">
        <f>'FS-AD Daily '!R35</f>
        <v>0</v>
      </c>
      <c r="P31" s="108">
        <f>'FS-AD Daily '!Z35</f>
        <v>0</v>
      </c>
      <c r="Q31" s="108">
        <f>'FS-AD Daily '!V35</f>
        <v>0</v>
      </c>
      <c r="R31" s="108">
        <f>'FS-AD Daily '!W35</f>
        <v>0</v>
      </c>
      <c r="S31" s="108">
        <f t="shared" si="0"/>
        <v>0</v>
      </c>
      <c r="T31" s="108">
        <f>'FS-AD Daily '!AD35*3.516</f>
        <v>0</v>
      </c>
      <c r="U31" s="108">
        <f>('FS-AD Daily '!AF35)*1000</f>
        <v>0</v>
      </c>
      <c r="V31" s="108">
        <f>('FS-AD Daily '!AG35)*1000</f>
        <v>0</v>
      </c>
      <c r="W31" s="108">
        <f>'FS-AD Daily '!AH35*1000</f>
        <v>0</v>
      </c>
      <c r="X31" s="108">
        <f>('FS-AD Daily '!AK35)*1000</f>
        <v>0</v>
      </c>
      <c r="Y31" s="108">
        <f>'FS-AD Daily '!AN35</f>
        <v>0</v>
      </c>
      <c r="Z31" s="109"/>
    </row>
    <row r="32" spans="1:26" x14ac:dyDescent="0.25">
      <c r="I32" s="4">
        <f t="shared" ref="I32:W32" si="2">SUM(I2:I31)</f>
        <v>158358</v>
      </c>
      <c r="J32" s="4">
        <f t="shared" si="2"/>
        <v>95223</v>
      </c>
      <c r="K32" s="4">
        <f t="shared" si="2"/>
        <v>189257</v>
      </c>
      <c r="L32" s="4">
        <f t="shared" si="2"/>
        <v>65601</v>
      </c>
      <c r="M32" s="4">
        <f t="shared" si="2"/>
        <v>197934</v>
      </c>
      <c r="N32" s="4">
        <f t="shared" si="2"/>
        <v>4421.4970000000067</v>
      </c>
      <c r="O32" s="4">
        <f t="shared" si="2"/>
        <v>2078.1689999999999</v>
      </c>
      <c r="P32" s="4">
        <f t="shared" si="2"/>
        <v>15576</v>
      </c>
      <c r="Q32" s="4">
        <f t="shared" si="2"/>
        <v>8091.8000000000466</v>
      </c>
      <c r="R32" s="4">
        <f t="shared" si="2"/>
        <v>0</v>
      </c>
      <c r="S32" s="4">
        <f t="shared" si="2"/>
        <v>7484.1999999999534</v>
      </c>
      <c r="T32" s="4">
        <f t="shared" si="2"/>
        <v>2893619.8307999996</v>
      </c>
      <c r="U32" s="4">
        <f t="shared" si="2"/>
        <v>1385799.9999999881</v>
      </c>
      <c r="V32" s="4">
        <f t="shared" si="2"/>
        <v>946500</v>
      </c>
      <c r="W32" s="4">
        <f t="shared" si="2"/>
        <v>435100.00000000233</v>
      </c>
      <c r="X32" s="4">
        <f>'FS-AD Daily '!U37</f>
        <v>18371.691520000055</v>
      </c>
      <c r="Y32" s="4">
        <f>SUM(Y2:Y31)</f>
        <v>2350</v>
      </c>
      <c r="Z32" s="4">
        <f>SUM(Z2:Z31)</f>
        <v>3514</v>
      </c>
    </row>
    <row r="33" spans="25:25" x14ac:dyDescent="0.25">
      <c r="Y33" s="4"/>
    </row>
  </sheetData>
  <phoneticPr fontId="6" type="noConversion"/>
  <pageMargins left="0.7" right="0.7" top="0.75" bottom="0.75" header="0.3" footer="0.3"/>
  <pageSetup paperSize="9" orientation="portrait" verticalDpi="30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AS41"/>
  <sheetViews>
    <sheetView tabSelected="1" zoomScaleNormal="100" workbookViewId="0">
      <pane xSplit="7" ySplit="4" topLeftCell="AH5" activePane="bottomRight" state="frozen"/>
      <selection pane="topRight" activeCell="H1" sqref="H1"/>
      <selection pane="bottomLeft" activeCell="A5" sqref="A5"/>
      <selection pane="bottomRight" activeCell="AO20" sqref="AO20"/>
    </sheetView>
  </sheetViews>
  <sheetFormatPr defaultColWidth="9.42578125" defaultRowHeight="21" x14ac:dyDescent="0.25"/>
  <cols>
    <col min="1" max="1" width="15.5703125" style="6" customWidth="1"/>
    <col min="2" max="2" width="15.42578125" style="6" customWidth="1"/>
    <col min="3" max="3" width="14.42578125" style="6" customWidth="1"/>
    <col min="4" max="4" width="15" style="6" customWidth="1"/>
    <col min="5" max="5" width="15.42578125" style="6" customWidth="1"/>
    <col min="6" max="6" width="15.5703125" style="6" customWidth="1"/>
    <col min="7" max="7" width="15" style="6" customWidth="1"/>
    <col min="8" max="8" width="14.5703125" style="6" customWidth="1"/>
    <col min="9" max="9" width="14.42578125" style="6" customWidth="1"/>
    <col min="10" max="10" width="14.5703125" style="6" customWidth="1"/>
    <col min="11" max="11" width="19.42578125" style="6" customWidth="1"/>
    <col min="12" max="12" width="16.42578125" style="15" customWidth="1"/>
    <col min="13" max="15" width="17.42578125" style="16" customWidth="1"/>
    <col min="16" max="18" width="16.5703125" style="16" customWidth="1"/>
    <col min="19" max="19" width="18.5703125" style="16" customWidth="1"/>
    <col min="20" max="20" width="15.42578125" style="16" customWidth="1"/>
    <col min="21" max="21" width="14" style="16" customWidth="1"/>
    <col min="22" max="23" width="15.42578125" style="16" customWidth="1"/>
    <col min="24" max="25" width="12.5703125" style="6" customWidth="1"/>
    <col min="26" max="26" width="15" style="6" customWidth="1"/>
    <col min="27" max="27" width="12.5703125" style="15" customWidth="1"/>
    <col min="28" max="28" width="15.42578125" style="6" customWidth="1"/>
    <col min="29" max="29" width="15.42578125" style="6" bestFit="1" customWidth="1"/>
    <col min="30" max="30" width="15.42578125" style="6" customWidth="1"/>
    <col min="31" max="34" width="13.42578125" style="16" customWidth="1"/>
    <col min="35" max="35" width="13.5703125" style="6" customWidth="1"/>
    <col min="36" max="36" width="13.42578125" style="6" customWidth="1"/>
    <col min="37" max="38" width="13.5703125" style="6" customWidth="1"/>
    <col min="39" max="39" width="15.140625" style="16" customWidth="1"/>
    <col min="40" max="40" width="12.42578125" style="17" customWidth="1"/>
    <col min="41" max="41" width="16.5703125" style="15" customWidth="1"/>
    <col min="42" max="43" width="14.42578125" style="6" customWidth="1"/>
    <col min="44" max="44" width="17.5703125" style="6" customWidth="1"/>
    <col min="45" max="45" width="17.42578125" style="7" customWidth="1"/>
    <col min="46" max="47" width="9.42578125" style="8"/>
    <col min="48" max="48" width="14.42578125" style="8" customWidth="1"/>
    <col min="49" max="49" width="18.42578125" style="8" customWidth="1"/>
    <col min="50" max="50" width="9.42578125" style="8"/>
    <col min="51" max="51" width="12.42578125" style="8" bestFit="1" customWidth="1"/>
    <col min="52" max="52" width="9.42578125" style="8"/>
    <col min="53" max="53" width="12.42578125" style="8" bestFit="1" customWidth="1"/>
    <col min="54" max="16384" width="9.42578125" style="8"/>
  </cols>
  <sheetData>
    <row r="1" spans="1:44" ht="120" customHeight="1" thickBot="1" x14ac:dyDescent="0.3">
      <c r="A1" s="24" t="s">
        <v>13</v>
      </c>
      <c r="B1" s="135" t="s">
        <v>14</v>
      </c>
      <c r="C1" s="135"/>
      <c r="D1" s="135"/>
      <c r="E1" s="135"/>
      <c r="F1" s="135"/>
      <c r="G1" s="135"/>
      <c r="H1" s="135"/>
      <c r="I1" s="135"/>
      <c r="J1" s="135"/>
      <c r="K1" s="25" t="s">
        <v>15</v>
      </c>
      <c r="L1" s="26" t="s">
        <v>16</v>
      </c>
      <c r="M1" s="27" t="s">
        <v>17</v>
      </c>
      <c r="N1" s="28" t="s">
        <v>18</v>
      </c>
      <c r="O1" s="28" t="s">
        <v>19</v>
      </c>
      <c r="P1" s="65" t="s">
        <v>20</v>
      </c>
      <c r="Q1" s="30" t="s">
        <v>21</v>
      </c>
      <c r="R1" s="31" t="s">
        <v>22</v>
      </c>
      <c r="S1" s="29" t="s">
        <v>23</v>
      </c>
      <c r="T1" s="32" t="s">
        <v>24</v>
      </c>
      <c r="U1" s="33" t="s">
        <v>25</v>
      </c>
      <c r="V1" s="32" t="s">
        <v>26</v>
      </c>
      <c r="W1" s="32" t="s">
        <v>27</v>
      </c>
      <c r="X1" s="136" t="s">
        <v>28</v>
      </c>
      <c r="Y1" s="136"/>
      <c r="Z1" s="34" t="s">
        <v>29</v>
      </c>
      <c r="AA1" s="35" t="s">
        <v>101</v>
      </c>
      <c r="AB1" s="36" t="s">
        <v>30</v>
      </c>
      <c r="AC1" s="36" t="s">
        <v>31</v>
      </c>
      <c r="AD1" s="25" t="s">
        <v>32</v>
      </c>
      <c r="AE1" s="33" t="s">
        <v>33</v>
      </c>
      <c r="AF1" s="25" t="s">
        <v>77</v>
      </c>
      <c r="AG1" s="25" t="s">
        <v>76</v>
      </c>
      <c r="AH1" s="25" t="s">
        <v>78</v>
      </c>
      <c r="AI1" s="46" t="s">
        <v>34</v>
      </c>
      <c r="AJ1" s="46" t="s">
        <v>35</v>
      </c>
      <c r="AK1" s="37" t="s">
        <v>36</v>
      </c>
      <c r="AL1" s="37" t="s">
        <v>37</v>
      </c>
      <c r="AM1" s="33" t="s">
        <v>33</v>
      </c>
      <c r="AN1" s="39" t="s">
        <v>79</v>
      </c>
      <c r="AO1" s="38" t="s">
        <v>38</v>
      </c>
      <c r="AQ1" s="6" t="s">
        <v>39</v>
      </c>
      <c r="AR1" s="6" t="s">
        <v>40</v>
      </c>
    </row>
    <row r="2" spans="1:44" ht="15" customHeight="1" x14ac:dyDescent="0.25">
      <c r="A2" s="21">
        <v>2021</v>
      </c>
      <c r="B2" s="22">
        <v>1</v>
      </c>
      <c r="C2" s="22">
        <v>2</v>
      </c>
      <c r="D2" s="22">
        <v>3</v>
      </c>
      <c r="E2" s="22">
        <v>4</v>
      </c>
      <c r="F2" s="22">
        <v>5</v>
      </c>
      <c r="G2" s="22">
        <v>6</v>
      </c>
      <c r="H2" s="22">
        <v>7</v>
      </c>
      <c r="I2" s="22">
        <v>8</v>
      </c>
      <c r="J2" s="22">
        <v>9</v>
      </c>
      <c r="K2" s="131" t="s">
        <v>41</v>
      </c>
      <c r="L2" s="130" t="s">
        <v>42</v>
      </c>
      <c r="M2" s="10"/>
      <c r="N2" s="10"/>
      <c r="O2" s="10"/>
      <c r="P2" s="10"/>
      <c r="Q2" s="10"/>
      <c r="R2" s="10"/>
      <c r="S2" s="139"/>
      <c r="T2" s="47"/>
      <c r="U2" s="133"/>
      <c r="V2" s="45"/>
      <c r="W2" s="45"/>
      <c r="X2" s="22">
        <v>1</v>
      </c>
      <c r="Y2" s="22">
        <v>2</v>
      </c>
      <c r="Z2" s="23"/>
      <c r="AA2" s="130" t="s">
        <v>100</v>
      </c>
      <c r="AB2" s="43"/>
      <c r="AC2" s="131" t="s">
        <v>43</v>
      </c>
      <c r="AD2" s="132"/>
      <c r="AE2" s="133" t="s">
        <v>102</v>
      </c>
      <c r="AF2" s="45"/>
      <c r="AG2" s="45"/>
      <c r="AH2" s="45"/>
      <c r="AI2" s="44"/>
      <c r="AJ2" s="44"/>
      <c r="AK2" s="44"/>
      <c r="AL2" s="44"/>
      <c r="AM2" s="133" t="s">
        <v>103</v>
      </c>
      <c r="AN2" s="134"/>
      <c r="AO2" s="129"/>
    </row>
    <row r="3" spans="1:44" ht="15" customHeight="1" x14ac:dyDescent="0.25">
      <c r="A3" s="9"/>
      <c r="B3" s="11" t="s">
        <v>44</v>
      </c>
      <c r="C3" s="11" t="s">
        <v>45</v>
      </c>
      <c r="D3" s="11" t="s">
        <v>46</v>
      </c>
      <c r="E3" s="11" t="s">
        <v>47</v>
      </c>
      <c r="F3" s="11" t="s">
        <v>48</v>
      </c>
      <c r="G3" s="11" t="s">
        <v>49</v>
      </c>
      <c r="H3" s="11" t="s">
        <v>50</v>
      </c>
      <c r="I3" s="11" t="s">
        <v>51</v>
      </c>
      <c r="J3" s="11" t="s">
        <v>52</v>
      </c>
      <c r="K3" s="137"/>
      <c r="L3" s="138"/>
      <c r="M3" s="10"/>
      <c r="N3" s="10"/>
      <c r="O3" s="10"/>
      <c r="P3" s="10"/>
      <c r="Q3" s="10"/>
      <c r="R3" s="10"/>
      <c r="S3" s="139"/>
      <c r="T3" s="47"/>
      <c r="U3" s="133"/>
      <c r="V3" s="45"/>
      <c r="W3" s="45"/>
      <c r="X3" s="11"/>
      <c r="Y3" s="11"/>
      <c r="Z3" s="12"/>
      <c r="AA3" s="130"/>
      <c r="AB3" s="43"/>
      <c r="AC3" s="131"/>
      <c r="AD3" s="132"/>
      <c r="AE3" s="133"/>
      <c r="AF3" s="45"/>
      <c r="AG3" s="45"/>
      <c r="AH3" s="45"/>
      <c r="AI3" s="13"/>
      <c r="AJ3" s="44"/>
      <c r="AK3" s="44"/>
      <c r="AL3" s="44"/>
      <c r="AM3" s="133"/>
      <c r="AN3" s="134"/>
      <c r="AO3" s="129"/>
    </row>
    <row r="4" spans="1:44" ht="30.75" thickBot="1" x14ac:dyDescent="0.3">
      <c r="A4" s="49"/>
      <c r="B4" s="50" t="s">
        <v>53</v>
      </c>
      <c r="C4" s="50" t="s">
        <v>54</v>
      </c>
      <c r="D4" s="50" t="s">
        <v>55</v>
      </c>
      <c r="E4" s="62" t="s">
        <v>56</v>
      </c>
      <c r="F4" s="50" t="s">
        <v>57</v>
      </c>
      <c r="G4" s="62" t="s">
        <v>58</v>
      </c>
      <c r="H4" s="62" t="s">
        <v>59</v>
      </c>
      <c r="I4" s="62" t="s">
        <v>60</v>
      </c>
      <c r="J4" s="62" t="s">
        <v>61</v>
      </c>
      <c r="K4" s="50"/>
      <c r="L4" s="51"/>
      <c r="M4" s="10"/>
      <c r="N4" s="10"/>
      <c r="O4" s="10"/>
      <c r="P4" s="10"/>
      <c r="Q4" s="10"/>
      <c r="R4" s="10"/>
      <c r="S4" s="139"/>
      <c r="T4" s="47"/>
      <c r="U4" s="133"/>
      <c r="V4" s="45"/>
      <c r="W4" s="45"/>
      <c r="X4" s="52"/>
      <c r="Y4" s="87">
        <v>840739</v>
      </c>
      <c r="Z4" s="12"/>
      <c r="AA4" s="130"/>
      <c r="AB4" s="86">
        <v>4767003</v>
      </c>
      <c r="AC4" s="131"/>
      <c r="AD4" s="132"/>
      <c r="AE4" s="133"/>
      <c r="AF4" s="45"/>
      <c r="AG4" s="45"/>
      <c r="AH4" s="45"/>
      <c r="AI4" s="43">
        <v>43301.4</v>
      </c>
      <c r="AJ4" s="43"/>
      <c r="AK4" s="43"/>
      <c r="AL4" s="43"/>
      <c r="AM4" s="133"/>
      <c r="AN4" s="134"/>
      <c r="AO4" s="129"/>
      <c r="AP4" s="6">
        <v>0.33341500000000002</v>
      </c>
    </row>
    <row r="5" spans="1:44" ht="90.75" thickBot="1" x14ac:dyDescent="0.3">
      <c r="A5" s="53" t="s">
        <v>62</v>
      </c>
      <c r="B5" s="54"/>
      <c r="C5" s="54"/>
      <c r="D5" s="54"/>
      <c r="E5" s="66" t="s">
        <v>92</v>
      </c>
      <c r="F5" s="54"/>
      <c r="G5" s="67" t="s">
        <v>95</v>
      </c>
      <c r="H5" s="66" t="s">
        <v>96</v>
      </c>
      <c r="I5" s="66" t="s">
        <v>97</v>
      </c>
      <c r="J5" s="67"/>
      <c r="K5" s="55" t="s">
        <v>12</v>
      </c>
      <c r="L5" s="55" t="s">
        <v>12</v>
      </c>
      <c r="M5" s="55" t="s">
        <v>12</v>
      </c>
      <c r="N5" s="55" t="s">
        <v>12</v>
      </c>
      <c r="O5" s="55" t="s">
        <v>12</v>
      </c>
      <c r="P5" s="55" t="s">
        <v>12</v>
      </c>
      <c r="Q5" s="55" t="s">
        <v>12</v>
      </c>
      <c r="R5" s="55" t="s">
        <v>12</v>
      </c>
      <c r="S5" s="55" t="s">
        <v>12</v>
      </c>
      <c r="T5" s="55" t="s">
        <v>12</v>
      </c>
      <c r="U5" s="55" t="s">
        <v>12</v>
      </c>
      <c r="V5" s="55" t="s">
        <v>12</v>
      </c>
      <c r="W5" s="55" t="s">
        <v>12</v>
      </c>
      <c r="X5" s="56" t="s">
        <v>85</v>
      </c>
      <c r="Y5" s="54"/>
      <c r="Z5" s="54" t="s">
        <v>12</v>
      </c>
      <c r="AA5" s="55" t="e">
        <f>SUM(#REF!)</f>
        <v>#REF!</v>
      </c>
      <c r="AB5" s="54"/>
      <c r="AC5" s="54" t="s">
        <v>12</v>
      </c>
      <c r="AD5" s="54" t="s">
        <v>12</v>
      </c>
      <c r="AE5" s="57" t="e">
        <f>SUM(#REF!)</f>
        <v>#REF!</v>
      </c>
      <c r="AF5" s="57"/>
      <c r="AG5" s="57"/>
      <c r="AH5" s="57"/>
      <c r="AI5" s="54"/>
      <c r="AJ5" s="54"/>
      <c r="AK5" s="54" t="e">
        <f>SUM(#REF!)</f>
        <v>#REF!</v>
      </c>
      <c r="AL5" s="54"/>
      <c r="AM5" s="57"/>
      <c r="AN5" s="58"/>
      <c r="AO5" s="91" t="e">
        <f>SUM(#REF!)</f>
        <v>#REF!</v>
      </c>
    </row>
    <row r="6" spans="1:44" x14ac:dyDescent="0.25">
      <c r="A6" s="80">
        <v>44348</v>
      </c>
      <c r="B6" s="86">
        <f>11934455-11928831</f>
        <v>5624</v>
      </c>
      <c r="C6" s="86">
        <f>7584595-7581358</f>
        <v>3237</v>
      </c>
      <c r="D6" s="86">
        <f>1490236-1489257</f>
        <v>979</v>
      </c>
      <c r="E6" s="86">
        <f>11363086-11358150</f>
        <v>4936</v>
      </c>
      <c r="F6" s="86">
        <f>11246349-11240587</f>
        <v>5762</v>
      </c>
      <c r="G6" s="86">
        <f>8181903-8178432</f>
        <v>3471</v>
      </c>
      <c r="H6" s="86">
        <f>8303251-8295533</f>
        <v>7718</v>
      </c>
      <c r="I6" s="86">
        <f>5107735-5105246</f>
        <v>2489</v>
      </c>
      <c r="J6" s="86">
        <f>11274000-11266675</f>
        <v>7325</v>
      </c>
      <c r="K6" s="63">
        <f>SUM(B6:H6)</f>
        <v>31727</v>
      </c>
      <c r="L6" s="40">
        <f>K6*0.2</f>
        <v>6345.4000000000005</v>
      </c>
      <c r="M6" s="83">
        <f>74289.548-74162.34</f>
        <v>127.20799999999872</v>
      </c>
      <c r="N6" s="83">
        <f>4224.172-4222.961</f>
        <v>1.2109999999993306</v>
      </c>
      <c r="O6" s="83">
        <f>9424.316-9423.385</f>
        <v>0.93100000000049477</v>
      </c>
      <c r="P6" s="82">
        <f>88214.386-88140.148</f>
        <v>74.237999999997555</v>
      </c>
      <c r="Q6" s="83">
        <f>23641.564-23626.412</f>
        <v>15.151999999998225</v>
      </c>
      <c r="R6" s="84">
        <f t="shared" ref="R6:R34" si="0">N6+O6+P6</f>
        <v>76.379999999997381</v>
      </c>
      <c r="S6" s="84">
        <f t="shared" ref="S6:S34" si="1">(N6+O6+P6)*7.84</f>
        <v>598.81919999997945</v>
      </c>
      <c r="T6" s="64">
        <f t="shared" ref="T6:T34" si="2">M6+Q6</f>
        <v>142.35999999999694</v>
      </c>
      <c r="U6" s="84">
        <f>T6*7.84</f>
        <v>1116.1023999999761</v>
      </c>
      <c r="V6" s="84">
        <f>346732.9-346460.3</f>
        <v>272.60000000003492</v>
      </c>
      <c r="W6" s="84">
        <f>129959.4-129959.4</f>
        <v>0</v>
      </c>
      <c r="X6" s="85" t="s">
        <v>63</v>
      </c>
      <c r="Y6" s="85">
        <v>841329</v>
      </c>
      <c r="Z6" s="61">
        <f>IF((Y6-Y5&lt;0), "0",Y6-Y4)</f>
        <v>590</v>
      </c>
      <c r="AA6" s="90">
        <f>Z6*6.47</f>
        <v>3817.2999999999997</v>
      </c>
      <c r="AB6" s="75">
        <v>4796716</v>
      </c>
      <c r="AC6" s="75">
        <f>AB4</f>
        <v>4767003</v>
      </c>
      <c r="AD6" s="41">
        <f t="shared" ref="AD6:AD35" si="3">IF((AB6-AC6&lt;0), "0",AB6-AC6)</f>
        <v>29713</v>
      </c>
      <c r="AE6" s="84">
        <f>AD6*0.332195</f>
        <v>9870.5100350000012</v>
      </c>
      <c r="AF6" s="84">
        <f>85814.6-85765.5</f>
        <v>49.100000000005821</v>
      </c>
      <c r="AG6" s="84">
        <f>44919.1-44883.7</f>
        <v>35.400000000001455</v>
      </c>
      <c r="AH6" s="84">
        <f>27098.7-27083.8</f>
        <v>14.900000000001455</v>
      </c>
      <c r="AI6" s="75">
        <f>AI4</f>
        <v>43301.4</v>
      </c>
      <c r="AJ6" s="75">
        <v>43333.1</v>
      </c>
      <c r="AK6" s="59">
        <f>IF((AJ6-AI6)&lt;0, "0",AJ6-AI6)</f>
        <v>31.69999999999709</v>
      </c>
      <c r="AL6" s="128">
        <f t="shared" ref="AL6:AL34" si="4">AK6*(284.34513609)</f>
        <v>9013.7408140521711</v>
      </c>
      <c r="AM6" s="84">
        <f>AL6*0.332195</f>
        <v>2994.3196297240611</v>
      </c>
      <c r="AN6" s="101">
        <v>127</v>
      </c>
      <c r="AO6" s="77">
        <f t="shared" ref="AO6:AO34" si="5">L6+U6+AA6+AE6</f>
        <v>21149.312434999978</v>
      </c>
    </row>
    <row r="7" spans="1:44" x14ac:dyDescent="0.25">
      <c r="A7" s="79">
        <v>44349</v>
      </c>
      <c r="B7" s="86">
        <f>11940173-11934455</f>
        <v>5718</v>
      </c>
      <c r="C7" s="86">
        <f>7587605-7584595</f>
        <v>3010</v>
      </c>
      <c r="D7" s="86">
        <f>1491114-1490236</f>
        <v>878</v>
      </c>
      <c r="E7" s="86">
        <f>11367997-11363086</f>
        <v>4911</v>
      </c>
      <c r="F7" s="86">
        <f>11252245-11246349</f>
        <v>5896</v>
      </c>
      <c r="G7" s="86">
        <f>8185398-8181903</f>
        <v>3495</v>
      </c>
      <c r="H7" s="86">
        <f>8311415-8303251</f>
        <v>8164</v>
      </c>
      <c r="I7" s="86">
        <f>5110174-5107735</f>
        <v>2439</v>
      </c>
      <c r="J7" s="86">
        <f>11281412-11274000</f>
        <v>7412</v>
      </c>
      <c r="K7" s="86">
        <f>SUM(B7:H7)</f>
        <v>32072</v>
      </c>
      <c r="L7" s="14">
        <f>K7*0.2</f>
        <v>6414.4000000000005</v>
      </c>
      <c r="M7" s="83">
        <f>74423.699-74289.548</f>
        <v>134.15099999999802</v>
      </c>
      <c r="N7" s="83">
        <f>4225.864-4224.172</f>
        <v>1.6920000000000073</v>
      </c>
      <c r="O7" s="83">
        <f>9425.667-9424.316</f>
        <v>1.3509999999987485</v>
      </c>
      <c r="P7" s="82">
        <f>88294.374-88214.386</f>
        <v>79.987999999997555</v>
      </c>
      <c r="Q7" s="83">
        <f>23654.992-23641.564</f>
        <v>13.427999999999884</v>
      </c>
      <c r="R7" s="83">
        <f t="shared" si="0"/>
        <v>83.030999999996311</v>
      </c>
      <c r="S7" s="83">
        <f>(N7+O7+P7)*7.84</f>
        <v>650.9630399999711</v>
      </c>
      <c r="T7" s="83">
        <f>M7+Q7</f>
        <v>147.5789999999979</v>
      </c>
      <c r="U7" s="83">
        <f>T7*7.84</f>
        <v>1157.0193599999836</v>
      </c>
      <c r="V7" s="83">
        <f>347009.6-346732.9</f>
        <v>276.69999999995343</v>
      </c>
      <c r="W7" s="83">
        <f>129959.4-129959.4</f>
        <v>0</v>
      </c>
      <c r="X7" s="86" t="s">
        <v>63</v>
      </c>
      <c r="Y7" s="86">
        <v>841916</v>
      </c>
      <c r="Z7" s="5">
        <f>IF((Y7-Y6&lt;0), "0",Y7-Y6)</f>
        <v>587</v>
      </c>
      <c r="AA7" s="14">
        <f t="shared" ref="AA7:AA34" si="6">Z7*6.47</f>
        <v>3797.89</v>
      </c>
      <c r="AB7" s="87">
        <v>4828174</v>
      </c>
      <c r="AC7" s="87">
        <f>AB6</f>
        <v>4796716</v>
      </c>
      <c r="AD7" s="5">
        <f t="shared" si="3"/>
        <v>31458</v>
      </c>
      <c r="AE7" s="83">
        <f>AD7*0.332195</f>
        <v>10450.19031</v>
      </c>
      <c r="AF7" s="83">
        <f>85866.1-85814.6</f>
        <v>51.5</v>
      </c>
      <c r="AG7" s="83">
        <f>44957.9-44919.1</f>
        <v>38.80000000000291</v>
      </c>
      <c r="AH7" s="83">
        <f>27114-27098.7</f>
        <v>15.299999999999272</v>
      </c>
      <c r="AI7" s="87">
        <f>AJ6</f>
        <v>43333.1</v>
      </c>
      <c r="AJ7" s="86">
        <v>43365.7</v>
      </c>
      <c r="AK7" s="48">
        <f t="shared" ref="AK7:AK34" si="7">IF((AJ7-AI7)&lt;0, "0",AJ7-AI7)</f>
        <v>32.599999999998545</v>
      </c>
      <c r="AL7" s="89">
        <f t="shared" si="4"/>
        <v>9269.6514365335861</v>
      </c>
      <c r="AM7" s="83">
        <f>AL7*0.332195</f>
        <v>3079.331858959275</v>
      </c>
      <c r="AN7" s="71">
        <v>114</v>
      </c>
      <c r="AO7" s="78">
        <f t="shared" si="5"/>
        <v>21819.499669999983</v>
      </c>
    </row>
    <row r="8" spans="1:44" x14ac:dyDescent="0.25">
      <c r="A8" s="79">
        <v>44350</v>
      </c>
      <c r="B8" s="86">
        <f>11945351-11940173</f>
        <v>5178</v>
      </c>
      <c r="C8" s="86">
        <f>7590628-7587605</f>
        <v>3023</v>
      </c>
      <c r="D8" s="86">
        <f>1492066-1491114</f>
        <v>952</v>
      </c>
      <c r="E8" s="86">
        <f>11372927-11367997</f>
        <v>4930</v>
      </c>
      <c r="F8" s="86">
        <f>11258180-11252245</f>
        <v>5935</v>
      </c>
      <c r="G8" s="86">
        <f>8189142-8185398</f>
        <v>3744</v>
      </c>
      <c r="H8" s="86">
        <f>8318925-8311415</f>
        <v>7510</v>
      </c>
      <c r="I8" s="86">
        <f>5112601-5110174</f>
        <v>2427</v>
      </c>
      <c r="J8" s="86">
        <f>11288929-11281412</f>
        <v>7517</v>
      </c>
      <c r="K8" s="86">
        <f>SUM(B8:H8)</f>
        <v>31272</v>
      </c>
      <c r="L8" s="14">
        <f t="shared" ref="L8:L34" si="8">K8*0.2</f>
        <v>6254.4000000000005</v>
      </c>
      <c r="M8" s="83">
        <f>74569.787-74423.699</f>
        <v>146.08800000000338</v>
      </c>
      <c r="N8" s="83">
        <f>4226.828-4225.864</f>
        <v>0.96400000000085129</v>
      </c>
      <c r="O8" s="83">
        <f>9426.751-9425.667</f>
        <v>1.0840000000007421</v>
      </c>
      <c r="P8" s="82">
        <f>88375.028-88294.374</f>
        <v>80.654000000009546</v>
      </c>
      <c r="Q8" s="83">
        <f>23669.501-23654.992</f>
        <v>14.509000000001834</v>
      </c>
      <c r="R8" s="83">
        <f t="shared" si="0"/>
        <v>82.702000000011139</v>
      </c>
      <c r="S8" s="83">
        <f>(N8+O8+P8)*7.84</f>
        <v>648.38368000008734</v>
      </c>
      <c r="T8" s="83">
        <f>M8+Q8</f>
        <v>160.59700000000521</v>
      </c>
      <c r="U8" s="83">
        <f>T8*7.84</f>
        <v>1259.0804800000408</v>
      </c>
      <c r="V8" s="83">
        <f>347295-347009.6</f>
        <v>285.40000000002328</v>
      </c>
      <c r="W8" s="83">
        <f t="shared" ref="W8:W35" si="9">129959.4-129959.4</f>
        <v>0</v>
      </c>
      <c r="X8" s="86" t="s">
        <v>63</v>
      </c>
      <c r="Y8" s="86">
        <v>842506</v>
      </c>
      <c r="Z8" s="5">
        <f t="shared" ref="Z8:Z34" si="10">IF((Y8-Y7&lt;0), "0",Y8-Y7)</f>
        <v>590</v>
      </c>
      <c r="AA8" s="14">
        <f t="shared" si="6"/>
        <v>3817.2999999999997</v>
      </c>
      <c r="AB8" s="87">
        <v>4860105</v>
      </c>
      <c r="AC8" s="87">
        <f t="shared" ref="AC8:AC35" si="11">AB7</f>
        <v>4828174</v>
      </c>
      <c r="AD8" s="5">
        <f t="shared" si="3"/>
        <v>31931</v>
      </c>
      <c r="AE8" s="83">
        <f t="shared" ref="AE8:AE35" si="12">AD8*0.332195</f>
        <v>10607.318545</v>
      </c>
      <c r="AF8" s="83">
        <f>85918.3-85866.1</f>
        <v>52.19999999999709</v>
      </c>
      <c r="AG8" s="83">
        <f>44996-44957.9</f>
        <v>38.099999999998545</v>
      </c>
      <c r="AH8" s="83">
        <f>27129.5-27114</f>
        <v>15.5</v>
      </c>
      <c r="AI8" s="87">
        <f t="shared" ref="AI8:AI35" si="13">AJ7</f>
        <v>43365.7</v>
      </c>
      <c r="AJ8" s="86">
        <v>43398.2</v>
      </c>
      <c r="AK8" s="48">
        <f t="shared" si="7"/>
        <v>32.5</v>
      </c>
      <c r="AL8" s="89">
        <f t="shared" si="4"/>
        <v>9241.2169229249994</v>
      </c>
      <c r="AM8" s="83">
        <f t="shared" ref="AM8:AM35" si="14">AL8*0.332195</f>
        <v>3069.8860557110702</v>
      </c>
      <c r="AN8" s="71">
        <v>146</v>
      </c>
      <c r="AO8" s="78">
        <f t="shared" si="5"/>
        <v>21938.09902500004</v>
      </c>
    </row>
    <row r="9" spans="1:44" x14ac:dyDescent="0.25">
      <c r="A9" s="79">
        <v>44351</v>
      </c>
      <c r="B9" s="86">
        <f>11950340-11945351</f>
        <v>4989</v>
      </c>
      <c r="C9" s="86">
        <f>7593507-7590628</f>
        <v>2879</v>
      </c>
      <c r="D9" s="86">
        <f>1492985-1492066</f>
        <v>919</v>
      </c>
      <c r="E9" s="86">
        <f>11377858-11372927</f>
        <v>4931</v>
      </c>
      <c r="F9" s="86">
        <f>11264188-11258180</f>
        <v>6008</v>
      </c>
      <c r="G9" s="86">
        <f>8192898-8189142</f>
        <v>3756</v>
      </c>
      <c r="H9" s="86">
        <f>8325957-8318925</f>
        <v>7032</v>
      </c>
      <c r="I9" s="86">
        <f>5115006-5112601</f>
        <v>2405</v>
      </c>
      <c r="J9" s="86">
        <f>11296611-11288929</f>
        <v>7682</v>
      </c>
      <c r="K9" s="86">
        <f t="shared" ref="K9:K34" si="15">SUM(B9:H9)</f>
        <v>30514</v>
      </c>
      <c r="L9" s="14">
        <f t="shared" si="8"/>
        <v>6102.8</v>
      </c>
      <c r="M9" s="83">
        <f>74724.91-74569.787</f>
        <v>155.12300000000687</v>
      </c>
      <c r="N9" s="83">
        <f>4227.621-4226.828</f>
        <v>0.79299999999966531</v>
      </c>
      <c r="O9" s="83">
        <f>9427.603-9426.751</f>
        <v>0.85199999999895226</v>
      </c>
      <c r="P9" s="82">
        <f>88462.871-88375.028</f>
        <v>87.842999999993481</v>
      </c>
      <c r="Q9" s="83">
        <f>23678.528-23669.501</f>
        <v>9.0269999999982247</v>
      </c>
      <c r="R9" s="83">
        <f t="shared" si="0"/>
        <v>89.487999999992098</v>
      </c>
      <c r="S9" s="83">
        <f t="shared" si="1"/>
        <v>701.58591999993803</v>
      </c>
      <c r="T9" s="83">
        <f t="shared" si="2"/>
        <v>164.15000000000509</v>
      </c>
      <c r="U9" s="83">
        <f t="shared" ref="U9:U36" si="16">T9*7.84</f>
        <v>1286.9360000000399</v>
      </c>
      <c r="V9" s="83">
        <f>347588.8-347295</f>
        <v>293.79999999998836</v>
      </c>
      <c r="W9" s="83">
        <f t="shared" si="9"/>
        <v>0</v>
      </c>
      <c r="X9" s="86" t="s">
        <v>63</v>
      </c>
      <c r="Y9" s="86">
        <v>843157</v>
      </c>
      <c r="Z9" s="5">
        <f t="shared" si="10"/>
        <v>651</v>
      </c>
      <c r="AA9" s="14">
        <f t="shared" si="6"/>
        <v>4211.97</v>
      </c>
      <c r="AB9" s="87">
        <v>4892818.7</v>
      </c>
      <c r="AC9" s="87">
        <f t="shared" si="11"/>
        <v>4860105</v>
      </c>
      <c r="AD9" s="5">
        <f t="shared" si="3"/>
        <v>32713.700000000186</v>
      </c>
      <c r="AE9" s="83">
        <f t="shared" si="12"/>
        <v>10867.327571500062</v>
      </c>
      <c r="AF9" s="83">
        <f>85971.7-85918.3</f>
        <v>53.399999999994179</v>
      </c>
      <c r="AG9" s="83">
        <f>45034.2-44996</f>
        <v>38.19999999999709</v>
      </c>
      <c r="AH9" s="83">
        <f>27145.5-27129.5</f>
        <v>16</v>
      </c>
      <c r="AI9" s="87">
        <f t="shared" si="13"/>
        <v>43398.2</v>
      </c>
      <c r="AJ9" s="86">
        <v>43432.3</v>
      </c>
      <c r="AK9" s="48">
        <f t="shared" si="7"/>
        <v>34.100000000005821</v>
      </c>
      <c r="AL9" s="89">
        <f t="shared" si="4"/>
        <v>9696.1691406706541</v>
      </c>
      <c r="AM9" s="83">
        <f t="shared" si="14"/>
        <v>3221.0189076850879</v>
      </c>
      <c r="AN9" s="71">
        <v>138</v>
      </c>
      <c r="AO9" s="78">
        <f t="shared" si="5"/>
        <v>22469.033571500102</v>
      </c>
    </row>
    <row r="10" spans="1:44" x14ac:dyDescent="0.25">
      <c r="A10" s="79">
        <v>44352</v>
      </c>
      <c r="B10" s="86">
        <f>11955176-11950340</f>
        <v>4836</v>
      </c>
      <c r="C10" s="86">
        <f>7596767-7593507</f>
        <v>3260</v>
      </c>
      <c r="D10" s="86">
        <f>1493935-1492985</f>
        <v>950</v>
      </c>
      <c r="E10" s="86">
        <f>11382687-11377858</f>
        <v>4829</v>
      </c>
      <c r="F10" s="86">
        <f>11270051-11264188</f>
        <v>5863</v>
      </c>
      <c r="G10" s="86">
        <f>8196686-8192898</f>
        <v>3788</v>
      </c>
      <c r="H10" s="86">
        <f>8334041-8325957</f>
        <v>8084</v>
      </c>
      <c r="I10" s="86">
        <f>5117432-5115006</f>
        <v>2426</v>
      </c>
      <c r="J10" s="86">
        <f>11304086-11296611</f>
        <v>7475</v>
      </c>
      <c r="K10" s="86">
        <f t="shared" si="15"/>
        <v>31610</v>
      </c>
      <c r="L10" s="14">
        <f t="shared" si="8"/>
        <v>6322</v>
      </c>
      <c r="M10" s="83">
        <f>74888.671-74724.91</f>
        <v>163.7609999999986</v>
      </c>
      <c r="N10" s="83">
        <f>4228.918-4227.621</f>
        <v>1.2969999999995707</v>
      </c>
      <c r="O10" s="83">
        <f>9428.729-9427.603</f>
        <v>1.1260000000002037</v>
      </c>
      <c r="P10" s="82">
        <f>88536.586-88462.871</f>
        <v>73.714999999996508</v>
      </c>
      <c r="Q10" s="83">
        <f>23695.68-23678.528</f>
        <v>17.152000000001863</v>
      </c>
      <c r="R10" s="83">
        <f t="shared" si="0"/>
        <v>76.137999999996282</v>
      </c>
      <c r="S10" s="83">
        <f t="shared" si="1"/>
        <v>596.9219199999709</v>
      </c>
      <c r="T10" s="83">
        <f t="shared" si="2"/>
        <v>180.91300000000047</v>
      </c>
      <c r="U10" s="83">
        <f t="shared" si="16"/>
        <v>1418.3579200000036</v>
      </c>
      <c r="V10" s="83">
        <f>347877.3-347588.8</f>
        <v>288.5</v>
      </c>
      <c r="W10" s="83">
        <f t="shared" si="9"/>
        <v>0</v>
      </c>
      <c r="X10" s="86" t="s">
        <v>63</v>
      </c>
      <c r="Y10" s="86">
        <v>843755</v>
      </c>
      <c r="Z10" s="5">
        <f t="shared" si="10"/>
        <v>598</v>
      </c>
      <c r="AA10" s="14">
        <f t="shared" si="6"/>
        <v>3869.06</v>
      </c>
      <c r="AB10" s="87">
        <v>4926025.5</v>
      </c>
      <c r="AC10" s="87">
        <f t="shared" si="11"/>
        <v>4892818.7</v>
      </c>
      <c r="AD10" s="5">
        <f t="shared" si="3"/>
        <v>33206.799999999814</v>
      </c>
      <c r="AE10" s="83">
        <f t="shared" si="12"/>
        <v>11031.132925999938</v>
      </c>
      <c r="AF10" s="83">
        <f>86025.5-85971.7</f>
        <v>53.80000000000291</v>
      </c>
      <c r="AG10" s="83">
        <f>45075.1-45034.2</f>
        <v>40.900000000001455</v>
      </c>
      <c r="AH10" s="83">
        <f>27161.3-27145.5</f>
        <v>15.799999999999272</v>
      </c>
      <c r="AI10" s="87">
        <f t="shared" si="13"/>
        <v>43432.3</v>
      </c>
      <c r="AJ10" s="87">
        <v>43465.9</v>
      </c>
      <c r="AK10" s="48">
        <f t="shared" si="7"/>
        <v>33.599999999998545</v>
      </c>
      <c r="AL10" s="89">
        <f t="shared" si="4"/>
        <v>9553.996572623586</v>
      </c>
      <c r="AM10" s="83">
        <f t="shared" si="14"/>
        <v>3173.7898914426924</v>
      </c>
      <c r="AN10" s="71">
        <v>79</v>
      </c>
      <c r="AO10" s="78">
        <f t="shared" si="5"/>
        <v>22640.55084599994</v>
      </c>
    </row>
    <row r="11" spans="1:44" x14ac:dyDescent="0.25">
      <c r="A11" s="79">
        <v>44353</v>
      </c>
      <c r="B11" s="86">
        <f>11959878-11955176</f>
        <v>4702</v>
      </c>
      <c r="C11" s="86">
        <f>7600217-7596767</f>
        <v>3450</v>
      </c>
      <c r="D11" s="86">
        <f>1494823-1493935</f>
        <v>888</v>
      </c>
      <c r="E11" s="86">
        <f>11387367-11382687</f>
        <v>4680</v>
      </c>
      <c r="F11" s="86">
        <f>11275704-11270051</f>
        <v>5653</v>
      </c>
      <c r="G11" s="86">
        <f>8200217-8196686</f>
        <v>3531</v>
      </c>
      <c r="H11" s="86">
        <f>8342023-8334041</f>
        <v>7982</v>
      </c>
      <c r="I11" s="86">
        <f>5119891-5117432</f>
        <v>2459</v>
      </c>
      <c r="J11" s="86">
        <f>11311421-11304086</f>
        <v>7335</v>
      </c>
      <c r="K11" s="86">
        <f t="shared" si="15"/>
        <v>30886</v>
      </c>
      <c r="L11" s="14">
        <f t="shared" si="8"/>
        <v>6177.2000000000007</v>
      </c>
      <c r="M11" s="83">
        <f>75018.04-74888.671</f>
        <v>129.3689999999915</v>
      </c>
      <c r="N11" s="83">
        <f>4230.003-4228.918</f>
        <v>1.0850000000000364</v>
      </c>
      <c r="O11" s="83">
        <f>9429.634-9428.729</f>
        <v>0.90500000000065484</v>
      </c>
      <c r="P11" s="82">
        <f>88601.694-88536.586</f>
        <v>65.108000000007451</v>
      </c>
      <c r="Q11" s="83">
        <f>23708.63-23695.68</f>
        <v>12.950000000000728</v>
      </c>
      <c r="R11" s="83">
        <f t="shared" si="0"/>
        <v>67.098000000008142</v>
      </c>
      <c r="S11" s="83">
        <f t="shared" si="1"/>
        <v>526.04832000006377</v>
      </c>
      <c r="T11" s="83">
        <f t="shared" si="2"/>
        <v>142.31899999999223</v>
      </c>
      <c r="U11" s="83">
        <f t="shared" si="16"/>
        <v>1115.7809599999391</v>
      </c>
      <c r="V11" s="83">
        <f>348134.8-347877.3</f>
        <v>257.5</v>
      </c>
      <c r="W11" s="83">
        <f t="shared" si="9"/>
        <v>0</v>
      </c>
      <c r="X11" s="86" t="s">
        <v>63</v>
      </c>
      <c r="Y11" s="87">
        <v>844282</v>
      </c>
      <c r="Z11" s="5">
        <f t="shared" si="10"/>
        <v>527</v>
      </c>
      <c r="AA11" s="14">
        <f t="shared" si="6"/>
        <v>3409.69</v>
      </c>
      <c r="AB11" s="87">
        <v>4959192</v>
      </c>
      <c r="AC11" s="87">
        <f t="shared" si="11"/>
        <v>4926025.5</v>
      </c>
      <c r="AD11" s="5">
        <f t="shared" si="3"/>
        <v>33166.5</v>
      </c>
      <c r="AE11" s="83">
        <f t="shared" si="12"/>
        <v>11017.745467500001</v>
      </c>
      <c r="AF11" s="83">
        <f>86080.2-86025.5</f>
        <v>54.69999999999709</v>
      </c>
      <c r="AG11" s="83">
        <f>45114.5-45075.1</f>
        <v>39.400000000001455</v>
      </c>
      <c r="AH11" s="83">
        <f>27177.1-27161.3</f>
        <v>15.799999999999272</v>
      </c>
      <c r="AI11" s="87">
        <f t="shared" si="13"/>
        <v>43465.9</v>
      </c>
      <c r="AJ11" s="87">
        <v>43499</v>
      </c>
      <c r="AK11" s="48">
        <f t="shared" si="7"/>
        <v>33.099999999998545</v>
      </c>
      <c r="AL11" s="89">
        <f t="shared" si="4"/>
        <v>9411.824004578586</v>
      </c>
      <c r="AM11" s="83">
        <f t="shared" si="14"/>
        <v>3126.5608752009834</v>
      </c>
      <c r="AN11" s="71">
        <v>91</v>
      </c>
      <c r="AO11" s="78">
        <f t="shared" si="5"/>
        <v>21720.416427499942</v>
      </c>
    </row>
    <row r="12" spans="1:44" x14ac:dyDescent="0.25">
      <c r="A12" s="79">
        <v>44354</v>
      </c>
      <c r="B12" s="86">
        <f>11964596-11959878</f>
        <v>4718</v>
      </c>
      <c r="C12" s="86">
        <f>7604242-7600217</f>
        <v>4025</v>
      </c>
      <c r="D12" s="86">
        <f>1495745-1494823</f>
        <v>922</v>
      </c>
      <c r="E12" s="86">
        <f>11391846-11387367</f>
        <v>4479</v>
      </c>
      <c r="F12" s="86">
        <f>11281324-11275704</f>
        <v>5620</v>
      </c>
      <c r="G12" s="86">
        <f>8203739-8200217</f>
        <v>3522</v>
      </c>
      <c r="H12" s="86">
        <f>8349516-8342023</f>
        <v>7493</v>
      </c>
      <c r="I12" s="86">
        <f>5122270-5119891</f>
        <v>2379</v>
      </c>
      <c r="J12" s="86">
        <f>11318708-11311421</f>
        <v>7287</v>
      </c>
      <c r="K12" s="86">
        <f t="shared" si="15"/>
        <v>30779</v>
      </c>
      <c r="L12" s="14">
        <f t="shared" si="8"/>
        <v>6155.8</v>
      </c>
      <c r="M12" s="83">
        <f>75136.918-75018.04</f>
        <v>118.87800000001153</v>
      </c>
      <c r="N12" s="83">
        <f>4231.469-4230.003</f>
        <v>1.4660000000003492</v>
      </c>
      <c r="O12" s="83">
        <f>9431.068-9429.634</f>
        <v>1.433999999999287</v>
      </c>
      <c r="P12" s="82">
        <f>88677.515-88601.694</f>
        <v>75.820999999996275</v>
      </c>
      <c r="Q12" s="83">
        <f>23726.168-23708.63</f>
        <v>17.538000000000466</v>
      </c>
      <c r="R12" s="83">
        <f t="shared" si="0"/>
        <v>78.720999999995911</v>
      </c>
      <c r="S12" s="83">
        <f t="shared" si="1"/>
        <v>617.17263999996794</v>
      </c>
      <c r="T12" s="83">
        <f t="shared" si="2"/>
        <v>136.41600000001199</v>
      </c>
      <c r="U12" s="83">
        <f t="shared" si="16"/>
        <v>1069.5014400000939</v>
      </c>
      <c r="V12" s="83">
        <f>348409.4-348134.8</f>
        <v>274.60000000003492</v>
      </c>
      <c r="W12" s="83">
        <f t="shared" si="9"/>
        <v>0</v>
      </c>
      <c r="X12" s="86" t="s">
        <v>63</v>
      </c>
      <c r="Y12" s="87">
        <v>844860</v>
      </c>
      <c r="Z12" s="5">
        <f t="shared" si="10"/>
        <v>578</v>
      </c>
      <c r="AA12" s="14">
        <f t="shared" si="6"/>
        <v>3739.66</v>
      </c>
      <c r="AB12" s="87">
        <v>4992794</v>
      </c>
      <c r="AC12" s="87">
        <f t="shared" si="11"/>
        <v>4959192</v>
      </c>
      <c r="AD12" s="5">
        <f t="shared" si="3"/>
        <v>33602</v>
      </c>
      <c r="AE12" s="83">
        <f t="shared" si="12"/>
        <v>11162.41639</v>
      </c>
      <c r="AF12" s="83">
        <f>86136.1-86080.2</f>
        <v>55.900000000008731</v>
      </c>
      <c r="AG12" s="83">
        <f>45153-45114.5</f>
        <v>38.5</v>
      </c>
      <c r="AH12" s="83">
        <f>27193.7-27177.1</f>
        <v>16.600000000002183</v>
      </c>
      <c r="AI12" s="87">
        <f t="shared" si="13"/>
        <v>43499</v>
      </c>
      <c r="AJ12" s="87">
        <v>43532.9</v>
      </c>
      <c r="AK12" s="48">
        <f t="shared" si="7"/>
        <v>33.900000000001455</v>
      </c>
      <c r="AL12" s="89">
        <f t="shared" si="4"/>
        <v>9639.3001134514125</v>
      </c>
      <c r="AM12" s="83">
        <f t="shared" si="14"/>
        <v>3202.1273011879921</v>
      </c>
      <c r="AN12" s="71">
        <v>89</v>
      </c>
      <c r="AO12" s="78">
        <f t="shared" si="5"/>
        <v>22127.377830000092</v>
      </c>
    </row>
    <row r="13" spans="1:44" x14ac:dyDescent="0.25">
      <c r="A13" s="79">
        <v>44355</v>
      </c>
      <c r="B13" s="86">
        <f>11969252-11964596</f>
        <v>4656</v>
      </c>
      <c r="C13" s="86">
        <f>7607826-7604242</f>
        <v>3584</v>
      </c>
      <c r="D13" s="86">
        <f>1496724-1495745</f>
        <v>979</v>
      </c>
      <c r="E13" s="86">
        <f>11396446-11391846</f>
        <v>4600</v>
      </c>
      <c r="F13" s="86">
        <f>11287088-11281324</f>
        <v>5764</v>
      </c>
      <c r="G13" s="86">
        <f>8207242-8203739</f>
        <v>3503</v>
      </c>
      <c r="H13" s="86">
        <f>8356680-8349516</f>
        <v>7164</v>
      </c>
      <c r="I13" s="86">
        <f>5124661-5122270</f>
        <v>2391</v>
      </c>
      <c r="J13" s="86">
        <f>11326153-11318708</f>
        <v>7445</v>
      </c>
      <c r="K13" s="86">
        <f t="shared" si="15"/>
        <v>30250</v>
      </c>
      <c r="L13" s="14">
        <f t="shared" si="8"/>
        <v>6050</v>
      </c>
      <c r="M13" s="83">
        <f>75272.862-75136.918</f>
        <v>135.94399999998859</v>
      </c>
      <c r="N13" s="83">
        <f>4233.082-4231.469</f>
        <v>1.6130000000002838</v>
      </c>
      <c r="O13" s="83">
        <f>9432.655-9431.068</f>
        <v>1.5870000000013533</v>
      </c>
      <c r="P13" s="82">
        <f>88745.777-88677.52</f>
        <v>68.256999999997788</v>
      </c>
      <c r="Q13" s="83">
        <f>23742.19-23726.17</f>
        <v>16.020000000000437</v>
      </c>
      <c r="R13" s="83">
        <f t="shared" si="0"/>
        <v>71.456999999999425</v>
      </c>
      <c r="S13" s="83">
        <f t="shared" si="1"/>
        <v>560.22287999999548</v>
      </c>
      <c r="T13" s="83">
        <f t="shared" si="2"/>
        <v>151.96399999998903</v>
      </c>
      <c r="U13" s="83">
        <f t="shared" si="16"/>
        <v>1191.3977599999139</v>
      </c>
      <c r="V13" s="83">
        <f>348675.5-348409.4</f>
        <v>266.09999999997672</v>
      </c>
      <c r="W13" s="83">
        <f t="shared" si="9"/>
        <v>0</v>
      </c>
      <c r="X13" s="86" t="s">
        <v>63</v>
      </c>
      <c r="Y13" s="87">
        <v>845425</v>
      </c>
      <c r="Z13" s="5">
        <f t="shared" si="10"/>
        <v>565</v>
      </c>
      <c r="AA13" s="14">
        <f t="shared" si="6"/>
        <v>3655.5499999999997</v>
      </c>
      <c r="AB13" s="87">
        <v>5025309</v>
      </c>
      <c r="AC13" s="87">
        <f t="shared" si="11"/>
        <v>4992794</v>
      </c>
      <c r="AD13" s="5">
        <f t="shared" si="3"/>
        <v>32515</v>
      </c>
      <c r="AE13" s="83">
        <f t="shared" si="12"/>
        <v>10801.320425</v>
      </c>
      <c r="AF13" s="83">
        <f>86190.2-86136.1</f>
        <v>54.099999999991269</v>
      </c>
      <c r="AG13" s="83">
        <f>45190.2-45153</f>
        <v>37.19999999999709</v>
      </c>
      <c r="AH13" s="83">
        <f>27209.7-27193.7</f>
        <v>16</v>
      </c>
      <c r="AI13" s="87">
        <f t="shared" si="13"/>
        <v>43532.9</v>
      </c>
      <c r="AJ13" s="87">
        <v>43566.2</v>
      </c>
      <c r="AK13" s="48">
        <f t="shared" si="7"/>
        <v>33.299999999995634</v>
      </c>
      <c r="AL13" s="89">
        <f t="shared" si="4"/>
        <v>9468.6930317957576</v>
      </c>
      <c r="AM13" s="83">
        <f t="shared" si="14"/>
        <v>3145.4524816973917</v>
      </c>
      <c r="AN13" s="71">
        <v>116</v>
      </c>
      <c r="AO13" s="78">
        <f t="shared" si="5"/>
        <v>21698.268184999914</v>
      </c>
    </row>
    <row r="14" spans="1:44" x14ac:dyDescent="0.25">
      <c r="A14" s="79">
        <v>44356</v>
      </c>
      <c r="B14" s="86">
        <f>11974156-11969252</f>
        <v>4904</v>
      </c>
      <c r="C14" s="86">
        <f>7611962-7607826</f>
        <v>4136</v>
      </c>
      <c r="D14" s="86">
        <f>1497711-1496724</f>
        <v>987</v>
      </c>
      <c r="E14" s="86">
        <f>11401068-11396446</f>
        <v>4622</v>
      </c>
      <c r="F14" s="86">
        <f>11293083-11287088</f>
        <v>5995</v>
      </c>
      <c r="G14" s="86">
        <f>8210948-8207242</f>
        <v>3706</v>
      </c>
      <c r="H14" s="86">
        <f>8363874-8356680</f>
        <v>7194</v>
      </c>
      <c r="I14" s="86">
        <f>5127010-5124661</f>
        <v>2349</v>
      </c>
      <c r="J14" s="86">
        <f>11333558-11326153</f>
        <v>7405</v>
      </c>
      <c r="K14" s="86">
        <f t="shared" si="15"/>
        <v>31544</v>
      </c>
      <c r="L14" s="14">
        <f t="shared" si="8"/>
        <v>6308.8</v>
      </c>
      <c r="M14" s="83">
        <f>75420.874-75272.862</f>
        <v>148.01200000000244</v>
      </c>
      <c r="N14" s="83">
        <f>4234.31-4233.082</f>
        <v>1.2280000000000655</v>
      </c>
      <c r="O14" s="83">
        <f>9433.633-9432.655</f>
        <v>0.97799999999915599</v>
      </c>
      <c r="P14" s="82">
        <f>88815.832-88745.777</f>
        <v>70.054999999993015</v>
      </c>
      <c r="Q14" s="83">
        <f>23753.903-23742.19</f>
        <v>11.712999999999738</v>
      </c>
      <c r="R14" s="83">
        <f>N14+O14+P14</f>
        <v>72.260999999992237</v>
      </c>
      <c r="S14" s="83">
        <f t="shared" si="1"/>
        <v>566.52623999993909</v>
      </c>
      <c r="T14" s="83">
        <f t="shared" si="2"/>
        <v>159.72500000000218</v>
      </c>
      <c r="U14" s="83">
        <f t="shared" si="16"/>
        <v>1252.2440000000172</v>
      </c>
      <c r="V14" s="83">
        <f>348956-348675.5</f>
        <v>280.5</v>
      </c>
      <c r="W14" s="83">
        <f t="shared" si="9"/>
        <v>0</v>
      </c>
      <c r="X14" s="86" t="s">
        <v>63</v>
      </c>
      <c r="Y14" s="87">
        <v>846002</v>
      </c>
      <c r="Z14" s="5">
        <f>IF((Y14-Y13&lt;0), "0",Y14-Y13)</f>
        <v>577</v>
      </c>
      <c r="AA14" s="14">
        <f t="shared" si="6"/>
        <v>3733.19</v>
      </c>
      <c r="AB14" s="87">
        <v>5056140</v>
      </c>
      <c r="AC14" s="87">
        <f t="shared" si="11"/>
        <v>5025309</v>
      </c>
      <c r="AD14" s="5">
        <f t="shared" si="3"/>
        <v>30831</v>
      </c>
      <c r="AE14" s="83">
        <f t="shared" si="12"/>
        <v>10241.904045000001</v>
      </c>
      <c r="AF14" s="83">
        <f>86242.1-86190.2</f>
        <v>51.900000000008731</v>
      </c>
      <c r="AG14" s="83">
        <f>45227.2-45190.2</f>
        <v>37</v>
      </c>
      <c r="AH14" s="83">
        <f>27225.2-27209.7</f>
        <v>15.5</v>
      </c>
      <c r="AI14" s="87">
        <f t="shared" si="13"/>
        <v>43566.2</v>
      </c>
      <c r="AJ14" s="87">
        <v>43598</v>
      </c>
      <c r="AK14" s="48">
        <f t="shared" si="7"/>
        <v>31.80000000000291</v>
      </c>
      <c r="AL14" s="89">
        <f t="shared" si="4"/>
        <v>9042.1753276628278</v>
      </c>
      <c r="AM14" s="83">
        <f t="shared" si="14"/>
        <v>3003.7654329729535</v>
      </c>
      <c r="AN14" s="71">
        <v>127</v>
      </c>
      <c r="AO14" s="78">
        <f t="shared" si="5"/>
        <v>21536.138045000018</v>
      </c>
    </row>
    <row r="15" spans="1:44" x14ac:dyDescent="0.25">
      <c r="A15" s="79">
        <v>44357</v>
      </c>
      <c r="B15" s="86">
        <f>11979011-11974156</f>
        <v>4855</v>
      </c>
      <c r="C15" s="86">
        <f>7615826-7611962</f>
        <v>3864</v>
      </c>
      <c r="D15" s="86">
        <f>1498711-1497711</f>
        <v>1000</v>
      </c>
      <c r="E15" s="86">
        <f>11405749-11401068</f>
        <v>4681</v>
      </c>
      <c r="F15" s="86">
        <f>11299190-11293083</f>
        <v>6107</v>
      </c>
      <c r="G15" s="86">
        <f>8214721-8210948</f>
        <v>3773</v>
      </c>
      <c r="H15" s="86">
        <f>8371201-8363874</f>
        <v>7327</v>
      </c>
      <c r="I15" s="86">
        <f>5129507-5127010</f>
        <v>2497</v>
      </c>
      <c r="J15" s="86">
        <f>11341192-11333558</f>
        <v>7634</v>
      </c>
      <c r="K15" s="86">
        <f t="shared" si="15"/>
        <v>31607</v>
      </c>
      <c r="L15" s="14">
        <f t="shared" si="8"/>
        <v>6321.4000000000005</v>
      </c>
      <c r="M15" s="83">
        <f>75565.141-75420.874</f>
        <v>144.2670000000071</v>
      </c>
      <c r="N15" s="83">
        <f>4236.855-4234.31</f>
        <v>2.5449999999991633</v>
      </c>
      <c r="O15" s="83">
        <f>9436.053-9433.633</f>
        <v>2.4200000000000728</v>
      </c>
      <c r="P15" s="82">
        <f>88890.723-88815.832</f>
        <v>74.89100000000326</v>
      </c>
      <c r="Q15" s="83">
        <f>23769.129-23753.903</f>
        <v>15.226000000002387</v>
      </c>
      <c r="R15" s="83">
        <f t="shared" si="0"/>
        <v>79.856000000002496</v>
      </c>
      <c r="S15" s="83">
        <f t="shared" si="1"/>
        <v>626.07104000001959</v>
      </c>
      <c r="T15" s="83">
        <f t="shared" si="2"/>
        <v>159.49300000000949</v>
      </c>
      <c r="U15" s="83">
        <f t="shared" si="16"/>
        <v>1250.4251200000745</v>
      </c>
      <c r="V15" s="83">
        <f>349242.9-348956</f>
        <v>286.90000000002328</v>
      </c>
      <c r="W15" s="83">
        <f t="shared" si="9"/>
        <v>0</v>
      </c>
      <c r="X15" s="86" t="s">
        <v>63</v>
      </c>
      <c r="Y15" s="87">
        <v>846612</v>
      </c>
      <c r="Z15" s="5">
        <f t="shared" si="10"/>
        <v>610</v>
      </c>
      <c r="AA15" s="14">
        <f t="shared" si="6"/>
        <v>3946.7</v>
      </c>
      <c r="AB15" s="87">
        <v>5087250</v>
      </c>
      <c r="AC15" s="87">
        <f t="shared" si="11"/>
        <v>5056140</v>
      </c>
      <c r="AD15" s="5">
        <f t="shared" si="3"/>
        <v>31110</v>
      </c>
      <c r="AE15" s="83">
        <f t="shared" si="12"/>
        <v>10334.586450000001</v>
      </c>
      <c r="AF15" s="83">
        <f>86294.1-86242.1</f>
        <v>52</v>
      </c>
      <c r="AG15" s="83">
        <f>45264.7-45227.2</f>
        <v>37.5</v>
      </c>
      <c r="AH15" s="83">
        <f>27241.1-27225.2</f>
        <v>15.899999999997817</v>
      </c>
      <c r="AI15" s="87">
        <f t="shared" si="13"/>
        <v>43598</v>
      </c>
      <c r="AJ15" s="87">
        <v>43630.1</v>
      </c>
      <c r="AK15" s="48">
        <f t="shared" si="7"/>
        <v>32.099999999998545</v>
      </c>
      <c r="AL15" s="89">
        <f t="shared" si="4"/>
        <v>9127.4788684885862</v>
      </c>
      <c r="AM15" s="83">
        <f t="shared" si="14"/>
        <v>3032.1028427175661</v>
      </c>
      <c r="AN15" s="71">
        <v>140</v>
      </c>
      <c r="AO15" s="88">
        <f t="shared" si="5"/>
        <v>21853.111570000074</v>
      </c>
    </row>
    <row r="16" spans="1:44" x14ac:dyDescent="0.25">
      <c r="A16" s="79">
        <v>44358</v>
      </c>
      <c r="B16" s="86">
        <f>11984041-11979011</f>
        <v>5030</v>
      </c>
      <c r="C16" s="86">
        <f>7619265-7615826</f>
        <v>3439</v>
      </c>
      <c r="D16" s="86">
        <f>1499708-1498711</f>
        <v>997</v>
      </c>
      <c r="E16" s="86">
        <f>11410165-11405749</f>
        <v>4416</v>
      </c>
      <c r="F16" s="86">
        <f>11305176-11299190</f>
        <v>5986</v>
      </c>
      <c r="G16" s="86">
        <f>8218242-8214721</f>
        <v>3521</v>
      </c>
      <c r="H16" s="86">
        <f>8378329-8371201</f>
        <v>7128</v>
      </c>
      <c r="I16" s="86">
        <f>5131859-5129507</f>
        <v>2352</v>
      </c>
      <c r="J16" s="86">
        <f>11348684-11341192</f>
        <v>7492</v>
      </c>
      <c r="K16" s="86">
        <f t="shared" si="15"/>
        <v>30517</v>
      </c>
      <c r="L16" s="14">
        <f t="shared" si="8"/>
        <v>6103.4000000000005</v>
      </c>
      <c r="M16" s="83">
        <f>75731.647-75565.141</f>
        <v>166.50599999999395</v>
      </c>
      <c r="N16" s="83">
        <f>4239.374-4236.855</f>
        <v>2.5190000000002328</v>
      </c>
      <c r="O16" s="83">
        <f>9438.197-9436.053</f>
        <v>2.1440000000002328</v>
      </c>
      <c r="P16" s="82">
        <f>88978.743-88890.723</f>
        <v>88.020000000004075</v>
      </c>
      <c r="Q16" s="83">
        <f>23778.204-23769.129</f>
        <v>9.0750000000007276</v>
      </c>
      <c r="R16" s="83">
        <f t="shared" si="0"/>
        <v>92.68300000000454</v>
      </c>
      <c r="S16" s="83">
        <f t="shared" si="1"/>
        <v>726.6347200000356</v>
      </c>
      <c r="T16" s="83">
        <f t="shared" si="2"/>
        <v>175.58099999999467</v>
      </c>
      <c r="U16" s="83">
        <f t="shared" si="16"/>
        <v>1376.5550399999581</v>
      </c>
      <c r="V16" s="83">
        <f>349543.7-349242.9</f>
        <v>300.79999999998836</v>
      </c>
      <c r="W16" s="83">
        <f t="shared" si="9"/>
        <v>0</v>
      </c>
      <c r="X16" s="86" t="s">
        <v>63</v>
      </c>
      <c r="Y16" s="87">
        <v>847245</v>
      </c>
      <c r="Z16" s="5">
        <f t="shared" si="10"/>
        <v>633</v>
      </c>
      <c r="AA16" s="14">
        <f t="shared" si="6"/>
        <v>4095.5099999999998</v>
      </c>
      <c r="AB16" s="87">
        <v>5117341.5</v>
      </c>
      <c r="AC16" s="87">
        <f t="shared" si="11"/>
        <v>5087250</v>
      </c>
      <c r="AD16" s="5">
        <f t="shared" si="3"/>
        <v>30091.5</v>
      </c>
      <c r="AE16" s="83">
        <f t="shared" si="12"/>
        <v>9996.2458425000004</v>
      </c>
      <c r="AF16" s="83">
        <f>86343.4-86294.1</f>
        <v>49.299999999988358</v>
      </c>
      <c r="AG16" s="83">
        <f>45301.6-45264.7</f>
        <v>36.900000000001455</v>
      </c>
      <c r="AH16" s="83">
        <f>27257-27241.1</f>
        <v>15.900000000001455</v>
      </c>
      <c r="AI16" s="87">
        <f t="shared" si="13"/>
        <v>43630.1</v>
      </c>
      <c r="AJ16" s="87">
        <v>43662.400000000001</v>
      </c>
      <c r="AK16" s="48">
        <f t="shared" si="7"/>
        <v>32.30000000000291</v>
      </c>
      <c r="AL16" s="89">
        <f t="shared" si="4"/>
        <v>9184.3478957078278</v>
      </c>
      <c r="AM16" s="83">
        <f t="shared" si="14"/>
        <v>3050.9944492146619</v>
      </c>
      <c r="AN16" s="71">
        <v>158</v>
      </c>
      <c r="AO16" s="78">
        <f t="shared" si="5"/>
        <v>21571.71088249996</v>
      </c>
    </row>
    <row r="17" spans="1:41" x14ac:dyDescent="0.25">
      <c r="A17" s="79">
        <v>44359</v>
      </c>
      <c r="B17" s="86">
        <f>11988591-11984041</f>
        <v>4550</v>
      </c>
      <c r="C17" s="86">
        <f>7622647-7619265</f>
        <v>3382</v>
      </c>
      <c r="D17" s="86">
        <f>1500706-1499708</f>
        <v>998</v>
      </c>
      <c r="E17" s="86">
        <f>11414873-11410165</f>
        <v>4708</v>
      </c>
      <c r="F17" s="86">
        <f>11310978-11305176</f>
        <v>5802</v>
      </c>
      <c r="G17" s="86">
        <f>8221714-8218242</f>
        <v>3472</v>
      </c>
      <c r="H17" s="86">
        <f>8385542-8378329</f>
        <v>7213</v>
      </c>
      <c r="I17" s="86">
        <f>5134246-5131859</f>
        <v>2387</v>
      </c>
      <c r="J17" s="86">
        <f>11356182-11348684</f>
        <v>7498</v>
      </c>
      <c r="K17" s="86">
        <f t="shared" si="15"/>
        <v>30125</v>
      </c>
      <c r="L17" s="14">
        <f t="shared" si="8"/>
        <v>6025</v>
      </c>
      <c r="M17" s="83">
        <f>75886.883-75731.647</f>
        <v>155.23600000000442</v>
      </c>
      <c r="N17" s="83">
        <f>4243.086-4239.374</f>
        <v>3.7120000000004438</v>
      </c>
      <c r="O17" s="83">
        <f>9440.762-9438.197</f>
        <v>2.5650000000005093</v>
      </c>
      <c r="P17" s="82">
        <f>89056.09-88978.743</f>
        <v>77.346999999994296</v>
      </c>
      <c r="Q17" s="83">
        <f>23792.743-23778.204</f>
        <v>14.538999999997031</v>
      </c>
      <c r="R17" s="83">
        <f t="shared" si="0"/>
        <v>83.623999999995249</v>
      </c>
      <c r="S17" s="83">
        <f t="shared" si="1"/>
        <v>655.61215999996273</v>
      </c>
      <c r="T17" s="83">
        <f t="shared" si="2"/>
        <v>169.77500000000146</v>
      </c>
      <c r="U17" s="83">
        <f t="shared" si="16"/>
        <v>1331.0360000000114</v>
      </c>
      <c r="V17" s="83">
        <f>349821.7-349543.7</f>
        <v>278</v>
      </c>
      <c r="W17" s="83">
        <f t="shared" si="9"/>
        <v>0</v>
      </c>
      <c r="X17" s="86" t="s">
        <v>63</v>
      </c>
      <c r="Y17" s="87">
        <v>847814</v>
      </c>
      <c r="Z17" s="5">
        <f t="shared" si="10"/>
        <v>569</v>
      </c>
      <c r="AA17" s="14">
        <f t="shared" si="6"/>
        <v>3681.43</v>
      </c>
      <c r="AB17" s="87">
        <v>5148365</v>
      </c>
      <c r="AC17" s="87">
        <f t="shared" si="11"/>
        <v>5117341.5</v>
      </c>
      <c r="AD17" s="5">
        <f t="shared" si="3"/>
        <v>31023.5</v>
      </c>
      <c r="AE17" s="83">
        <f t="shared" si="12"/>
        <v>10305.851582500001</v>
      </c>
      <c r="AF17" s="83">
        <f>86393.4-86343.4</f>
        <v>50</v>
      </c>
      <c r="AG17" s="83">
        <f>45339.4-45301.6</f>
        <v>37.80000000000291</v>
      </c>
      <c r="AH17" s="83">
        <f>27273.2-27257</f>
        <v>16.200000000000728</v>
      </c>
      <c r="AI17" s="87">
        <f t="shared" si="13"/>
        <v>43662.400000000001</v>
      </c>
      <c r="AJ17" s="87">
        <v>43695.6</v>
      </c>
      <c r="AK17" s="48">
        <f t="shared" si="7"/>
        <v>33.19999999999709</v>
      </c>
      <c r="AL17" s="89">
        <f t="shared" si="4"/>
        <v>9440.2585181871727</v>
      </c>
      <c r="AM17" s="83">
        <f t="shared" si="14"/>
        <v>3136.0066784491878</v>
      </c>
      <c r="AN17" s="71">
        <v>100</v>
      </c>
      <c r="AO17" s="78">
        <f t="shared" si="5"/>
        <v>21343.317582500014</v>
      </c>
    </row>
    <row r="18" spans="1:41" x14ac:dyDescent="0.25">
      <c r="A18" s="79">
        <v>44360</v>
      </c>
      <c r="B18" s="86">
        <f>11993432-11988591</f>
        <v>4841</v>
      </c>
      <c r="C18" s="86">
        <f>7626871-7622647</f>
        <v>4224</v>
      </c>
      <c r="D18" s="86">
        <f>1501645-1500706</f>
        <v>939</v>
      </c>
      <c r="E18" s="86">
        <f>11419619-11414873</f>
        <v>4746</v>
      </c>
      <c r="F18" s="86">
        <f>11316854-11310978</f>
        <v>5876</v>
      </c>
      <c r="G18" s="86">
        <f>8225276-8221714</f>
        <v>3562</v>
      </c>
      <c r="H18" s="86">
        <f>8392769-8385542</f>
        <v>7227</v>
      </c>
      <c r="I18" s="86">
        <f>5136769-5134246</f>
        <v>2523</v>
      </c>
      <c r="J18" s="86">
        <f>11363575-11356182</f>
        <v>7393</v>
      </c>
      <c r="K18" s="86">
        <f t="shared" si="15"/>
        <v>31415</v>
      </c>
      <c r="L18" s="14">
        <f t="shared" si="8"/>
        <v>6283</v>
      </c>
      <c r="M18" s="83">
        <f>76011.16-75886.883</f>
        <v>124.27700000000186</v>
      </c>
      <c r="N18" s="83">
        <f>4245.791-4243.086</f>
        <v>2.7049999999999272</v>
      </c>
      <c r="O18" s="83">
        <f>9442.913-9440.762</f>
        <v>2.1509999999998399</v>
      </c>
      <c r="P18" s="82">
        <f>89129.56-89056.09</f>
        <v>73.470000000001164</v>
      </c>
      <c r="Q18" s="83">
        <f>23808.905-23792.743</f>
        <v>16.162000000000262</v>
      </c>
      <c r="R18" s="83">
        <f t="shared" si="0"/>
        <v>78.326000000000931</v>
      </c>
      <c r="S18" s="83">
        <f t="shared" si="1"/>
        <v>614.07584000000725</v>
      </c>
      <c r="T18" s="83">
        <f t="shared" si="2"/>
        <v>140.43900000000212</v>
      </c>
      <c r="U18" s="83">
        <f t="shared" si="16"/>
        <v>1101.0417600000167</v>
      </c>
      <c r="V18" s="83">
        <f>350074.5-349821.7</f>
        <v>252.79999999998836</v>
      </c>
      <c r="W18" s="83">
        <f t="shared" si="9"/>
        <v>0</v>
      </c>
      <c r="X18" s="86" t="s">
        <v>63</v>
      </c>
      <c r="Y18" s="87">
        <v>848352</v>
      </c>
      <c r="Z18" s="5">
        <f t="shared" si="10"/>
        <v>538</v>
      </c>
      <c r="AA18" s="14">
        <f t="shared" si="6"/>
        <v>3480.8599999999997</v>
      </c>
      <c r="AB18" s="87">
        <v>5177957</v>
      </c>
      <c r="AC18" s="87">
        <f t="shared" si="11"/>
        <v>5148365</v>
      </c>
      <c r="AD18" s="5">
        <f t="shared" si="3"/>
        <v>29592</v>
      </c>
      <c r="AE18" s="83">
        <f t="shared" si="12"/>
        <v>9830.3144400000001</v>
      </c>
      <c r="AF18" s="82">
        <f>86441.6-86393.4</f>
        <v>48.200000000011642</v>
      </c>
      <c r="AG18" s="82">
        <f>45375.1-45339.4</f>
        <v>35.69999999999709</v>
      </c>
      <c r="AH18" s="82">
        <f>27288.8-27273.2</f>
        <v>15.599999999998545</v>
      </c>
      <c r="AI18" s="87">
        <f t="shared" si="13"/>
        <v>43695.6</v>
      </c>
      <c r="AJ18" s="87">
        <v>43727.4</v>
      </c>
      <c r="AK18" s="48">
        <f t="shared" si="7"/>
        <v>31.80000000000291</v>
      </c>
      <c r="AL18" s="89">
        <f t="shared" si="4"/>
        <v>9042.1753276628278</v>
      </c>
      <c r="AM18" s="83">
        <f t="shared" si="14"/>
        <v>3003.7654329729535</v>
      </c>
      <c r="AN18" s="71">
        <v>109</v>
      </c>
      <c r="AO18" s="78">
        <f t="shared" si="5"/>
        <v>20695.216200000017</v>
      </c>
    </row>
    <row r="19" spans="1:41" x14ac:dyDescent="0.25">
      <c r="A19" s="79">
        <v>44361</v>
      </c>
      <c r="B19" s="86">
        <f>11998526-11993432</f>
        <v>5094</v>
      </c>
      <c r="C19" s="86">
        <f>7631253-7626871</f>
        <v>4382</v>
      </c>
      <c r="D19" s="86">
        <f>1502601-1501645</f>
        <v>956</v>
      </c>
      <c r="E19" s="86">
        <f>11424209-11419619</f>
        <v>4590</v>
      </c>
      <c r="F19" s="86">
        <f>11322511-11316854</f>
        <v>5657</v>
      </c>
      <c r="G19" s="86">
        <f>8228722-8225276</f>
        <v>3446</v>
      </c>
      <c r="H19" s="86">
        <f>8399800-8392769</f>
        <v>7031</v>
      </c>
      <c r="I19" s="86">
        <f>5139162-5136769</f>
        <v>2393</v>
      </c>
      <c r="J19" s="86">
        <f>11370755-11363575</f>
        <v>7180</v>
      </c>
      <c r="K19" s="86">
        <f t="shared" si="15"/>
        <v>31156</v>
      </c>
      <c r="L19" s="14">
        <f t="shared" si="8"/>
        <v>6231.2000000000007</v>
      </c>
      <c r="M19" s="83">
        <f>76150.558-76011.16</f>
        <v>139.39800000000105</v>
      </c>
      <c r="N19" s="83">
        <f>4250-4245.791</f>
        <v>4.2089999999998327</v>
      </c>
      <c r="O19" s="83">
        <f>9445.887-9442.913</f>
        <v>2.9740000000001601</v>
      </c>
      <c r="P19" s="82">
        <f>89204.449-89129.56</f>
        <v>74.888999999995576</v>
      </c>
      <c r="Q19" s="83">
        <f>23827.158-23808.905</f>
        <v>18.253000000000611</v>
      </c>
      <c r="R19" s="83">
        <f t="shared" si="0"/>
        <v>82.071999999995569</v>
      </c>
      <c r="S19" s="83">
        <f t="shared" si="1"/>
        <v>643.44447999996521</v>
      </c>
      <c r="T19" s="83">
        <f t="shared" si="2"/>
        <v>157.65100000000166</v>
      </c>
      <c r="U19" s="83">
        <f t="shared" si="16"/>
        <v>1235.9838400000131</v>
      </c>
      <c r="V19" s="83">
        <f>350339.3-350074.5</f>
        <v>264.79999999998836</v>
      </c>
      <c r="W19" s="83">
        <f t="shared" si="9"/>
        <v>0</v>
      </c>
      <c r="X19" s="86" t="s">
        <v>63</v>
      </c>
      <c r="Y19" s="87">
        <v>848939</v>
      </c>
      <c r="Z19" s="5">
        <f t="shared" si="10"/>
        <v>587</v>
      </c>
      <c r="AA19" s="14">
        <f t="shared" si="6"/>
        <v>3797.89</v>
      </c>
      <c r="AB19" s="87">
        <v>5208431</v>
      </c>
      <c r="AC19" s="87">
        <f t="shared" si="11"/>
        <v>5177957</v>
      </c>
      <c r="AD19" s="5">
        <f t="shared" si="3"/>
        <v>30474</v>
      </c>
      <c r="AE19" s="83">
        <f t="shared" si="12"/>
        <v>10123.310430000001</v>
      </c>
      <c r="AF19" s="83">
        <f>86491.3-86441.6</f>
        <v>49.69999999999709</v>
      </c>
      <c r="AG19" s="83">
        <f>45412-45375.1</f>
        <v>36.900000000001455</v>
      </c>
      <c r="AH19" s="83">
        <f>27304.8-27288.8</f>
        <v>16</v>
      </c>
      <c r="AI19" s="87">
        <f t="shared" si="13"/>
        <v>43727.4</v>
      </c>
      <c r="AJ19" s="87">
        <v>43760.3</v>
      </c>
      <c r="AK19" s="48">
        <f t="shared" si="7"/>
        <v>32.900000000001455</v>
      </c>
      <c r="AL19" s="89">
        <f t="shared" si="4"/>
        <v>9354.9549773614126</v>
      </c>
      <c r="AM19" s="83">
        <f t="shared" si="14"/>
        <v>3107.6692687045747</v>
      </c>
      <c r="AN19" s="71">
        <v>124</v>
      </c>
      <c r="AO19" s="78">
        <f t="shared" si="5"/>
        <v>21388.384270000017</v>
      </c>
    </row>
    <row r="20" spans="1:41" x14ac:dyDescent="0.25">
      <c r="A20" s="79">
        <v>44362</v>
      </c>
      <c r="B20" s="86">
        <f>12003490-11998526</f>
        <v>4964</v>
      </c>
      <c r="C20" s="86">
        <f>7635813-7631253</f>
        <v>4560</v>
      </c>
      <c r="D20" s="86">
        <f>1503511-1502601</f>
        <v>910</v>
      </c>
      <c r="E20" s="86">
        <f>11429155-11424209</f>
        <v>4946</v>
      </c>
      <c r="F20" s="86">
        <f>11328337-11322511</f>
        <v>5826</v>
      </c>
      <c r="G20" s="86">
        <f>8232086-8228722</f>
        <v>3364</v>
      </c>
      <c r="H20" s="86">
        <f>8405824-8399800</f>
        <v>6024</v>
      </c>
      <c r="I20" s="86">
        <f>5141605-5139162</f>
        <v>2443</v>
      </c>
      <c r="J20" s="86">
        <f>11378135-11370755</f>
        <v>7380</v>
      </c>
      <c r="K20" s="86">
        <f t="shared" si="15"/>
        <v>30594</v>
      </c>
      <c r="L20" s="14">
        <f t="shared" si="8"/>
        <v>6118.8</v>
      </c>
      <c r="M20" s="83">
        <f>76278.523-76150.558</f>
        <v>127.96499999999651</v>
      </c>
      <c r="N20" s="83">
        <f>4253.219-4250</f>
        <v>3.2190000000000509</v>
      </c>
      <c r="O20" s="83">
        <f>9448.235-9445.887</f>
        <v>2.3479999999999563</v>
      </c>
      <c r="P20" s="82">
        <f>89274.846-89204.449</f>
        <v>70.397000000011758</v>
      </c>
      <c r="Q20" s="83">
        <f>23846.466-23827.158</f>
        <v>19.308000000000902</v>
      </c>
      <c r="R20" s="83">
        <f t="shared" si="0"/>
        <v>75.964000000011765</v>
      </c>
      <c r="S20" s="83">
        <f t="shared" si="1"/>
        <v>595.55776000009223</v>
      </c>
      <c r="T20" s="83">
        <f t="shared" si="2"/>
        <v>147.27299999999741</v>
      </c>
      <c r="U20" s="83">
        <f t="shared" si="16"/>
        <v>1154.6203199999798</v>
      </c>
      <c r="V20" s="83">
        <f>350596.5-350339.3</f>
        <v>257.20000000001164</v>
      </c>
      <c r="W20" s="83">
        <f t="shared" si="9"/>
        <v>0</v>
      </c>
      <c r="X20" s="86" t="s">
        <v>63</v>
      </c>
      <c r="Y20" s="87">
        <v>849469</v>
      </c>
      <c r="Z20" s="5">
        <f t="shared" si="10"/>
        <v>530</v>
      </c>
      <c r="AA20" s="14">
        <f t="shared" si="6"/>
        <v>3429.1</v>
      </c>
      <c r="AB20" s="87">
        <v>5235459</v>
      </c>
      <c r="AC20" s="87">
        <f t="shared" si="11"/>
        <v>5208431</v>
      </c>
      <c r="AD20" s="5">
        <f t="shared" si="3"/>
        <v>27028</v>
      </c>
      <c r="AE20" s="83">
        <f t="shared" si="12"/>
        <v>8978.56646</v>
      </c>
      <c r="AF20" s="83">
        <f>86535.8-86491.3</f>
        <v>44.5</v>
      </c>
      <c r="AG20" s="83">
        <f>45440.9-45412</f>
        <v>28.900000000001455</v>
      </c>
      <c r="AH20" s="83">
        <f>27321.1-27304.8</f>
        <v>16.299999999999272</v>
      </c>
      <c r="AI20" s="87">
        <f t="shared" si="13"/>
        <v>43760.3</v>
      </c>
      <c r="AJ20" s="87">
        <v>43791.3</v>
      </c>
      <c r="AK20" s="48">
        <f t="shared" si="7"/>
        <v>31</v>
      </c>
      <c r="AL20" s="89">
        <f t="shared" si="4"/>
        <v>8814.6992187899996</v>
      </c>
      <c r="AM20" s="83">
        <f t="shared" si="14"/>
        <v>2928.1990069859439</v>
      </c>
      <c r="AN20" s="71">
        <v>105</v>
      </c>
      <c r="AO20" s="78">
        <f t="shared" si="5"/>
        <v>19681.08677999998</v>
      </c>
    </row>
    <row r="21" spans="1:41" x14ac:dyDescent="0.25">
      <c r="A21" s="79">
        <v>44363</v>
      </c>
      <c r="B21" s="86">
        <f>12008802-12003490</f>
        <v>5312</v>
      </c>
      <c r="C21" s="86">
        <f>7640462-7635813</f>
        <v>4649</v>
      </c>
      <c r="D21" s="86">
        <f>1504328-1503511</f>
        <v>817</v>
      </c>
      <c r="E21" s="86">
        <f>11434163-11429155</f>
        <v>5008</v>
      </c>
      <c r="F21" s="86">
        <f>11334082-11328337</f>
        <v>5745</v>
      </c>
      <c r="G21" s="86">
        <f>8235423-8232086</f>
        <v>3337</v>
      </c>
      <c r="H21" s="86">
        <f>8411770-8405824</f>
        <v>5946</v>
      </c>
      <c r="I21" s="86">
        <f>5144078-5141605</f>
        <v>2473</v>
      </c>
      <c r="J21" s="86">
        <f>11385414-11378135</f>
        <v>7279</v>
      </c>
      <c r="K21" s="86">
        <f t="shared" si="15"/>
        <v>30814</v>
      </c>
      <c r="L21" s="14">
        <f t="shared" si="8"/>
        <v>6162.8</v>
      </c>
      <c r="M21" s="83">
        <f>76417.077-76278.523</f>
        <v>138.55400000000373</v>
      </c>
      <c r="N21" s="83">
        <f>4257.26-4253.219</f>
        <v>4.0410000000001673</v>
      </c>
      <c r="O21" s="83">
        <f>9451.066-9448.235</f>
        <v>2.831000000000131</v>
      </c>
      <c r="P21" s="82">
        <f>89341.867-89274.846</f>
        <v>67.020999999993364</v>
      </c>
      <c r="Q21" s="83">
        <f>23865.874-23846.466</f>
        <v>19.407999999999447</v>
      </c>
      <c r="R21" s="83">
        <f t="shared" si="0"/>
        <v>73.892999999993663</v>
      </c>
      <c r="S21" s="83">
        <f t="shared" si="1"/>
        <v>579.32111999995027</v>
      </c>
      <c r="T21" s="83">
        <f t="shared" si="2"/>
        <v>157.96200000000317</v>
      </c>
      <c r="U21" s="83">
        <f t="shared" si="16"/>
        <v>1238.4220800000248</v>
      </c>
      <c r="V21" s="83">
        <f>350868.5-350596.5</f>
        <v>272</v>
      </c>
      <c r="W21" s="83">
        <f t="shared" si="9"/>
        <v>0</v>
      </c>
      <c r="X21" s="86" t="s">
        <v>63</v>
      </c>
      <c r="Y21" s="87">
        <v>850028</v>
      </c>
      <c r="Z21" s="5">
        <f t="shared" si="10"/>
        <v>559</v>
      </c>
      <c r="AA21" s="14">
        <f t="shared" si="6"/>
        <v>3616.73</v>
      </c>
      <c r="AB21" s="87">
        <v>5262395</v>
      </c>
      <c r="AC21" s="87">
        <f t="shared" si="11"/>
        <v>5235459</v>
      </c>
      <c r="AD21" s="5">
        <f t="shared" si="3"/>
        <v>26936</v>
      </c>
      <c r="AE21" s="83">
        <f t="shared" si="12"/>
        <v>8948.0045200000004</v>
      </c>
      <c r="AF21" s="83">
        <f>86582.9-86535.8</f>
        <v>47.099999999991269</v>
      </c>
      <c r="AG21" s="83">
        <f>45467.7-45440.9</f>
        <v>26.799999999995634</v>
      </c>
      <c r="AH21" s="83">
        <f>27336.7-27321.1</f>
        <v>15.600000000002183</v>
      </c>
      <c r="AI21" s="87">
        <f t="shared" si="13"/>
        <v>43791.3</v>
      </c>
      <c r="AJ21" s="87">
        <v>43821.1</v>
      </c>
      <c r="AK21" s="48">
        <f t="shared" si="7"/>
        <v>29.799999999995634</v>
      </c>
      <c r="AL21" s="89">
        <f t="shared" si="4"/>
        <v>8473.4850554807581</v>
      </c>
      <c r="AM21" s="83">
        <f t="shared" si="14"/>
        <v>2814.8493680054307</v>
      </c>
      <c r="AN21" s="71">
        <v>106</v>
      </c>
      <c r="AO21" s="78">
        <f t="shared" si="5"/>
        <v>19965.956600000027</v>
      </c>
    </row>
    <row r="22" spans="1:41" x14ac:dyDescent="0.25">
      <c r="A22" s="79">
        <v>44364</v>
      </c>
      <c r="B22" s="86">
        <f>12013902-12008802</f>
        <v>5100</v>
      </c>
      <c r="C22" s="86">
        <f>7645100-7640462</f>
        <v>4638</v>
      </c>
      <c r="D22" s="86">
        <f>1505167-1504328</f>
        <v>839</v>
      </c>
      <c r="E22" s="86">
        <f>11439318-11434163</f>
        <v>5155</v>
      </c>
      <c r="F22" s="86">
        <f>11339927-11334082</f>
        <v>5845</v>
      </c>
      <c r="G22" s="86">
        <f>8238852-8235423</f>
        <v>3429</v>
      </c>
      <c r="H22" s="86">
        <f>8418517-8411770</f>
        <v>6747</v>
      </c>
      <c r="I22" s="86">
        <f>5146518-5144078</f>
        <v>2440</v>
      </c>
      <c r="J22" s="86">
        <f>11392782-11385414</f>
        <v>7368</v>
      </c>
      <c r="K22" s="86">
        <f t="shared" si="15"/>
        <v>31753</v>
      </c>
      <c r="L22" s="14">
        <f t="shared" si="8"/>
        <v>6350.6</v>
      </c>
      <c r="M22" s="83">
        <f>76556.308-76417.077</f>
        <v>139.23099999999977</v>
      </c>
      <c r="N22" s="83">
        <f>4262.394-4257.26</f>
        <v>5.1340000000000146</v>
      </c>
      <c r="O22" s="83">
        <f>9454.547-9451.066</f>
        <v>3.4809999999997672</v>
      </c>
      <c r="P22" s="82">
        <f>89414.26-89341.867</f>
        <v>72.392999999996391</v>
      </c>
      <c r="Q22" s="83">
        <f>23915.802-23865.874</f>
        <v>49.927999999999884</v>
      </c>
      <c r="R22" s="83">
        <f t="shared" si="0"/>
        <v>81.007999999996173</v>
      </c>
      <c r="S22" s="83">
        <f t="shared" si="1"/>
        <v>635.10271999996996</v>
      </c>
      <c r="T22" s="83">
        <f t="shared" si="2"/>
        <v>189.15899999999965</v>
      </c>
      <c r="U22" s="83">
        <f t="shared" si="16"/>
        <v>1483.0065599999973</v>
      </c>
      <c r="V22" s="83">
        <f>351139.3-350868.5</f>
        <v>270.79999999998836</v>
      </c>
      <c r="W22" s="83">
        <f t="shared" si="9"/>
        <v>0</v>
      </c>
      <c r="X22" s="86" t="s">
        <v>63</v>
      </c>
      <c r="Y22" s="87">
        <v>850592</v>
      </c>
      <c r="Z22" s="5">
        <f t="shared" si="10"/>
        <v>564</v>
      </c>
      <c r="AA22" s="14">
        <f t="shared" si="6"/>
        <v>3649.08</v>
      </c>
      <c r="AB22" s="87">
        <v>5292670</v>
      </c>
      <c r="AC22" s="87">
        <f t="shared" si="11"/>
        <v>5262395</v>
      </c>
      <c r="AD22" s="5">
        <f t="shared" si="3"/>
        <v>30275</v>
      </c>
      <c r="AE22" s="83">
        <f t="shared" si="12"/>
        <v>10057.203625</v>
      </c>
      <c r="AF22" s="83">
        <f>86634.9-86582.9</f>
        <v>52</v>
      </c>
      <c r="AG22" s="83">
        <f>45500.5-45467.7</f>
        <v>32.80000000000291</v>
      </c>
      <c r="AH22" s="83">
        <f>27353.1-27336.7</f>
        <v>16.399999999997817</v>
      </c>
      <c r="AI22" s="87">
        <f t="shared" si="13"/>
        <v>43821.1</v>
      </c>
      <c r="AJ22" s="87">
        <v>43853.4</v>
      </c>
      <c r="AK22" s="48">
        <f t="shared" si="7"/>
        <v>32.30000000000291</v>
      </c>
      <c r="AL22" s="89">
        <f t="shared" si="4"/>
        <v>9184.3478957078278</v>
      </c>
      <c r="AM22" s="83">
        <f t="shared" si="14"/>
        <v>3050.9944492146619</v>
      </c>
      <c r="AN22" s="71">
        <v>118</v>
      </c>
      <c r="AO22" s="78">
        <f t="shared" si="5"/>
        <v>21539.890184999997</v>
      </c>
    </row>
    <row r="23" spans="1:41" x14ac:dyDescent="0.25">
      <c r="A23" s="79">
        <v>44365</v>
      </c>
      <c r="B23" s="86">
        <f>12019087-12013902</f>
        <v>5185</v>
      </c>
      <c r="C23" s="86">
        <f>7649085-7645100</f>
        <v>3985</v>
      </c>
      <c r="D23" s="86">
        <f>1505986-1505167</f>
        <v>819</v>
      </c>
      <c r="E23" s="86">
        <f>11443219-11439318</f>
        <v>3901</v>
      </c>
      <c r="F23" s="86">
        <f>11345888-11339927</f>
        <v>5961</v>
      </c>
      <c r="G23" s="86">
        <f>8242226-8238852</f>
        <v>3374</v>
      </c>
      <c r="H23" s="86">
        <f>8425676-8418517</f>
        <v>7159</v>
      </c>
      <c r="I23" s="86">
        <f>5149046-5146518</f>
        <v>2528</v>
      </c>
      <c r="J23" s="86">
        <f>11400222-11392782</f>
        <v>7440</v>
      </c>
      <c r="K23" s="86">
        <f t="shared" si="15"/>
        <v>30384</v>
      </c>
      <c r="L23" s="14">
        <f t="shared" si="8"/>
        <v>6076.8</v>
      </c>
      <c r="M23" s="83">
        <f>76738.809-76556.308</f>
        <v>182.50099999998929</v>
      </c>
      <c r="N23" s="83">
        <f>4265.681-4262.394</f>
        <v>3.2869999999993524</v>
      </c>
      <c r="O23" s="83">
        <f>9457.037-9454.547</f>
        <v>2.4899999999997817</v>
      </c>
      <c r="P23" s="82">
        <f>89493.188-89414.26</f>
        <v>78.927999999999884</v>
      </c>
      <c r="Q23" s="83">
        <f>23992.391-23915.802</f>
        <v>76.588999999999942</v>
      </c>
      <c r="R23" s="83">
        <f t="shared" si="0"/>
        <v>84.704999999999018</v>
      </c>
      <c r="S23" s="83">
        <f t="shared" si="1"/>
        <v>664.08719999999232</v>
      </c>
      <c r="T23" s="83">
        <f t="shared" si="2"/>
        <v>259.08999999998923</v>
      </c>
      <c r="U23" s="83">
        <f t="shared" si="16"/>
        <v>2031.2655999999156</v>
      </c>
      <c r="V23" s="83">
        <f>351416.1-351139.3</f>
        <v>276.79999999998836</v>
      </c>
      <c r="W23" s="83">
        <f t="shared" si="9"/>
        <v>0</v>
      </c>
      <c r="X23" s="86" t="s">
        <v>63</v>
      </c>
      <c r="Y23" s="87">
        <v>851201</v>
      </c>
      <c r="Z23" s="5">
        <f t="shared" si="10"/>
        <v>609</v>
      </c>
      <c r="AA23" s="14">
        <f t="shared" si="6"/>
        <v>3940.23</v>
      </c>
      <c r="AB23" s="87">
        <v>5322980</v>
      </c>
      <c r="AC23" s="87">
        <f t="shared" si="11"/>
        <v>5292670</v>
      </c>
      <c r="AD23" s="5">
        <f t="shared" si="3"/>
        <v>30310</v>
      </c>
      <c r="AE23" s="83">
        <f t="shared" si="12"/>
        <v>10068.830450000001</v>
      </c>
      <c r="AF23" s="83">
        <f>86686.1-86634.1</f>
        <v>52</v>
      </c>
      <c r="AG23" s="83">
        <f>45535.5-45500.5</f>
        <v>35</v>
      </c>
      <c r="AH23" s="83">
        <f>27369.5-27353.1</f>
        <v>16.400000000001455</v>
      </c>
      <c r="AI23" s="87">
        <f t="shared" si="13"/>
        <v>43853.4</v>
      </c>
      <c r="AJ23" s="87">
        <v>43886.400000000001</v>
      </c>
      <c r="AK23" s="48">
        <f t="shared" si="7"/>
        <v>33</v>
      </c>
      <c r="AL23" s="89">
        <f t="shared" si="4"/>
        <v>9383.3894909699993</v>
      </c>
      <c r="AM23" s="83">
        <f t="shared" si="14"/>
        <v>3117.1150719527791</v>
      </c>
      <c r="AN23" s="71">
        <v>140</v>
      </c>
      <c r="AO23" s="78">
        <f t="shared" si="5"/>
        <v>22117.126049999919</v>
      </c>
    </row>
    <row r="24" spans="1:41" x14ac:dyDescent="0.25">
      <c r="A24" s="79">
        <v>44366</v>
      </c>
      <c r="B24" s="86">
        <f>12024335-12019087</f>
        <v>5248</v>
      </c>
      <c r="C24" s="86">
        <f>7653124-7649085</f>
        <v>4039</v>
      </c>
      <c r="D24" s="86">
        <f>1506827-1505986</f>
        <v>841</v>
      </c>
      <c r="E24" s="86">
        <f>11449352-11443219</f>
        <v>6133</v>
      </c>
      <c r="F24" s="86">
        <f>11351700-11345888</f>
        <v>5812</v>
      </c>
      <c r="G24" s="86">
        <f>8245832-8242226</f>
        <v>3606</v>
      </c>
      <c r="H24" s="86">
        <f>8432779-8425676</f>
        <v>7103</v>
      </c>
      <c r="I24" s="86">
        <f>5151508-5149046</f>
        <v>2462</v>
      </c>
      <c r="J24" s="86">
        <f>11407604-11400222</f>
        <v>7382</v>
      </c>
      <c r="K24" s="86">
        <f t="shared" si="15"/>
        <v>32782</v>
      </c>
      <c r="L24" s="14">
        <f t="shared" si="8"/>
        <v>6556.4000000000005</v>
      </c>
      <c r="M24" s="83">
        <f>76886.132-76738.809</f>
        <v>147.32300000000396</v>
      </c>
      <c r="N24" s="83">
        <f>4268.461-4265.681</f>
        <v>2.7800000000006548</v>
      </c>
      <c r="O24" s="83">
        <f>9459.069-9457.037</f>
        <v>2.0319999999992433</v>
      </c>
      <c r="P24" s="82">
        <f>89566.991-89493.188</f>
        <v>73.802999999999884</v>
      </c>
      <c r="Q24" s="83">
        <f>24006.15-23992.391</f>
        <v>13.759000000001834</v>
      </c>
      <c r="R24" s="83">
        <f t="shared" si="0"/>
        <v>78.614999999999782</v>
      </c>
      <c r="S24" s="83">
        <f t="shared" si="1"/>
        <v>616.34159999999827</v>
      </c>
      <c r="T24" s="83">
        <f t="shared" si="2"/>
        <v>161.08200000000579</v>
      </c>
      <c r="U24" s="83">
        <f t="shared" si="16"/>
        <v>1262.8828800000454</v>
      </c>
      <c r="V24" s="83">
        <f>351702.4-351416.1</f>
        <v>286.30000000004657</v>
      </c>
      <c r="W24" s="83">
        <f t="shared" si="9"/>
        <v>0</v>
      </c>
      <c r="X24" s="86" t="s">
        <v>63</v>
      </c>
      <c r="Y24" s="87">
        <v>851711</v>
      </c>
      <c r="Z24" s="5">
        <f t="shared" si="10"/>
        <v>510</v>
      </c>
      <c r="AA24" s="14">
        <f t="shared" si="6"/>
        <v>3299.7</v>
      </c>
      <c r="AB24" s="87">
        <v>5354504.3</v>
      </c>
      <c r="AC24" s="87">
        <f t="shared" si="11"/>
        <v>5322980</v>
      </c>
      <c r="AD24" s="5">
        <f t="shared" si="3"/>
        <v>31524.299999999814</v>
      </c>
      <c r="AE24" s="83">
        <f t="shared" si="12"/>
        <v>10472.214838499938</v>
      </c>
      <c r="AF24" s="83">
        <f>86740.9-86686.1</f>
        <v>54.799999999988358</v>
      </c>
      <c r="AG24" s="83">
        <f>45571.9-45535.5</f>
        <v>36.400000000001455</v>
      </c>
      <c r="AH24" s="83">
        <f>27385.6-27369.5</f>
        <v>16.099999999998545</v>
      </c>
      <c r="AI24" s="87">
        <f t="shared" si="13"/>
        <v>43886.400000000001</v>
      </c>
      <c r="AJ24" s="87">
        <v>43918.5</v>
      </c>
      <c r="AK24" s="48">
        <f t="shared" si="7"/>
        <v>32.099999999998545</v>
      </c>
      <c r="AL24" s="89">
        <f t="shared" si="4"/>
        <v>9127.4788684885862</v>
      </c>
      <c r="AM24" s="83">
        <f t="shared" si="14"/>
        <v>3032.1028427175661</v>
      </c>
      <c r="AN24" s="71">
        <v>110</v>
      </c>
      <c r="AO24" s="78">
        <f t="shared" si="5"/>
        <v>21591.197718499985</v>
      </c>
    </row>
    <row r="25" spans="1:41" x14ac:dyDescent="0.25">
      <c r="A25" s="79">
        <v>44367</v>
      </c>
      <c r="B25" s="86">
        <f>12029408-12024335</f>
        <v>5073</v>
      </c>
      <c r="C25" s="86">
        <f>7657228-7653124</f>
        <v>4104</v>
      </c>
      <c r="D25" s="86">
        <f>1507658-1506827</f>
        <v>831</v>
      </c>
      <c r="E25" s="86">
        <f>11454235-11449352</f>
        <v>4883</v>
      </c>
      <c r="F25" s="86">
        <f>11357357-11351700</f>
        <v>5657</v>
      </c>
      <c r="G25" s="86">
        <f>8249355-8245832</f>
        <v>3523</v>
      </c>
      <c r="H25" s="86">
        <f>8439533-8432779</f>
        <v>6754</v>
      </c>
      <c r="I25" s="86">
        <f>5153075-5151508</f>
        <v>1567</v>
      </c>
      <c r="J25" s="86">
        <f>11414803-11407604</f>
        <v>7199</v>
      </c>
      <c r="K25" s="86">
        <f t="shared" si="15"/>
        <v>30825</v>
      </c>
      <c r="L25" s="14">
        <f t="shared" si="8"/>
        <v>6165</v>
      </c>
      <c r="M25" s="83">
        <f>77015.62-76886.132</f>
        <v>129.48799999999756</v>
      </c>
      <c r="N25" s="83">
        <f>4272.871-4268.461</f>
        <v>4.4099999999998545</v>
      </c>
      <c r="O25" s="83">
        <f>9461.971-9459.069</f>
        <v>2.9020000000000437</v>
      </c>
      <c r="P25" s="82">
        <f>89634.321-89566.991</f>
        <v>67.330000000001746</v>
      </c>
      <c r="Q25" s="83">
        <f>24019.505-24006.15</f>
        <v>13.354999999999563</v>
      </c>
      <c r="R25" s="83">
        <f t="shared" si="0"/>
        <v>74.642000000001644</v>
      </c>
      <c r="S25" s="83">
        <f t="shared" si="1"/>
        <v>585.19328000001292</v>
      </c>
      <c r="T25" s="83">
        <f t="shared" si="2"/>
        <v>142.84299999999712</v>
      </c>
      <c r="U25" s="83">
        <f t="shared" si="16"/>
        <v>1119.8891199999773</v>
      </c>
      <c r="V25" s="83">
        <f>351975.6-351702.4</f>
        <v>273.19999999995343</v>
      </c>
      <c r="W25" s="83">
        <f t="shared" si="9"/>
        <v>0</v>
      </c>
      <c r="X25" s="86" t="s">
        <v>63</v>
      </c>
      <c r="Y25" s="87">
        <v>852309</v>
      </c>
      <c r="Z25" s="5">
        <f t="shared" si="10"/>
        <v>598</v>
      </c>
      <c r="AA25" s="14">
        <f t="shared" si="6"/>
        <v>3869.06</v>
      </c>
      <c r="AB25" s="87">
        <v>5386806.2999999998</v>
      </c>
      <c r="AC25" s="87">
        <f t="shared" si="11"/>
        <v>5354504.3</v>
      </c>
      <c r="AD25" s="5">
        <f t="shared" si="3"/>
        <v>32302</v>
      </c>
      <c r="AE25" s="83">
        <f t="shared" si="12"/>
        <v>10730.562890000001</v>
      </c>
      <c r="AF25" s="83">
        <f>86797.4-86740.9</f>
        <v>56.5</v>
      </c>
      <c r="AG25" s="83">
        <f>45608.3-45571.9</f>
        <v>36.400000000001455</v>
      </c>
      <c r="AH25" s="83">
        <f>27401.4-27385.6</f>
        <v>15.80000000000291</v>
      </c>
      <c r="AI25" s="87">
        <f t="shared" si="13"/>
        <v>43918.5</v>
      </c>
      <c r="AJ25" s="87">
        <v>43951</v>
      </c>
      <c r="AK25" s="48">
        <f t="shared" si="7"/>
        <v>32.5</v>
      </c>
      <c r="AL25" s="89">
        <f t="shared" si="4"/>
        <v>9241.2169229249994</v>
      </c>
      <c r="AM25" s="83">
        <f t="shared" si="14"/>
        <v>3069.8860557110702</v>
      </c>
      <c r="AN25" s="71">
        <v>113</v>
      </c>
      <c r="AO25" s="78">
        <f t="shared" si="5"/>
        <v>21884.512009999977</v>
      </c>
    </row>
    <row r="26" spans="1:41" x14ac:dyDescent="0.25">
      <c r="A26" s="79">
        <v>44368</v>
      </c>
      <c r="B26" s="86">
        <f>12034553-12029408</f>
        <v>5145</v>
      </c>
      <c r="C26" s="86">
        <f>7661350-7657228</f>
        <v>4122</v>
      </c>
      <c r="D26" s="86">
        <f>1508497-1507658</f>
        <v>839</v>
      </c>
      <c r="E26" s="86">
        <f>11459366-11454235</f>
        <v>5131</v>
      </c>
      <c r="F26" s="86">
        <f>11363237-11357357</f>
        <v>5880</v>
      </c>
      <c r="G26" s="86">
        <f>8252941-8249355</f>
        <v>3586</v>
      </c>
      <c r="H26" s="86">
        <f>8446023-8439533</f>
        <v>6490</v>
      </c>
      <c r="I26" s="86">
        <f>5156260-5153075</f>
        <v>3185</v>
      </c>
      <c r="J26" s="86">
        <f>11421935-11414803</f>
        <v>7132</v>
      </c>
      <c r="K26" s="86">
        <f t="shared" si="15"/>
        <v>31193</v>
      </c>
      <c r="L26" s="14">
        <f t="shared" si="8"/>
        <v>6238.6</v>
      </c>
      <c r="M26" s="83">
        <f>77155.576-77015.62</f>
        <v>139.95600000000559</v>
      </c>
      <c r="N26" s="83">
        <f>4277.084-4272.871</f>
        <v>4.2129999999997381</v>
      </c>
      <c r="O26" s="83">
        <f>9465.302-9461.971</f>
        <v>3.331000000000131</v>
      </c>
      <c r="P26" s="82">
        <f>89707.955-89634.321</f>
        <v>73.634000000005472</v>
      </c>
      <c r="Q26" s="83">
        <f>24031.602-24019.505</f>
        <v>12.096999999997934</v>
      </c>
      <c r="R26" s="83">
        <f t="shared" si="0"/>
        <v>81.178000000005341</v>
      </c>
      <c r="S26" s="83">
        <f t="shared" si="1"/>
        <v>636.43552000004183</v>
      </c>
      <c r="T26" s="83">
        <f t="shared" si="2"/>
        <v>152.05300000000352</v>
      </c>
      <c r="U26" s="83">
        <f t="shared" si="16"/>
        <v>1192.0955200000276</v>
      </c>
      <c r="V26" s="83">
        <f>352255.1-351975.6</f>
        <v>279.5</v>
      </c>
      <c r="W26" s="83">
        <f t="shared" si="9"/>
        <v>0</v>
      </c>
      <c r="X26" s="86" t="s">
        <v>63</v>
      </c>
      <c r="Y26" s="87">
        <v>852865</v>
      </c>
      <c r="Z26" s="5">
        <f t="shared" si="10"/>
        <v>556</v>
      </c>
      <c r="AA26" s="14">
        <f t="shared" si="6"/>
        <v>3597.3199999999997</v>
      </c>
      <c r="AB26" s="87">
        <v>5417333.2999999998</v>
      </c>
      <c r="AC26" s="87">
        <f t="shared" si="11"/>
        <v>5386806.2999999998</v>
      </c>
      <c r="AD26" s="5">
        <f t="shared" si="3"/>
        <v>30527</v>
      </c>
      <c r="AE26" s="83">
        <f t="shared" si="12"/>
        <v>10140.916765</v>
      </c>
      <c r="AF26" s="83">
        <f>86849.8-86797.4</f>
        <v>52.400000000008731</v>
      </c>
      <c r="AG26" s="83">
        <f>45643.5-45608.3</f>
        <v>35.19999999999709</v>
      </c>
      <c r="AH26" s="83">
        <f>27417.7-27401.4</f>
        <v>16.299999999999272</v>
      </c>
      <c r="AI26" s="87">
        <f t="shared" si="13"/>
        <v>43951</v>
      </c>
      <c r="AJ26" s="87">
        <v>43982.1</v>
      </c>
      <c r="AK26" s="48">
        <f t="shared" si="7"/>
        <v>31.099999999998545</v>
      </c>
      <c r="AL26" s="89">
        <f t="shared" si="4"/>
        <v>8843.1337323985863</v>
      </c>
      <c r="AM26" s="83">
        <f t="shared" si="14"/>
        <v>2937.6448102341487</v>
      </c>
      <c r="AN26" s="5"/>
      <c r="AO26" s="78">
        <f t="shared" si="5"/>
        <v>21168.932285000028</v>
      </c>
    </row>
    <row r="27" spans="1:41" x14ac:dyDescent="0.25">
      <c r="A27" s="79">
        <v>44369</v>
      </c>
      <c r="B27" s="86">
        <f>12039728-12034553</f>
        <v>5175</v>
      </c>
      <c r="C27" s="86">
        <f>7665867-7661350</f>
        <v>4517</v>
      </c>
      <c r="D27" s="86">
        <f>1509348-1508497</f>
        <v>851</v>
      </c>
      <c r="E27" s="86">
        <f>11464482-11459366</f>
        <v>5116</v>
      </c>
      <c r="F27" s="86">
        <f>11369037-11363237</f>
        <v>5800</v>
      </c>
      <c r="G27" s="86">
        <f>8256459-8252941</f>
        <v>3518</v>
      </c>
      <c r="H27" s="86">
        <f>8452474-8446023</f>
        <v>6451</v>
      </c>
      <c r="I27" s="86">
        <f>5158658-5156260</f>
        <v>2398</v>
      </c>
      <c r="J27" s="86">
        <f>11429037-11421935</f>
        <v>7102</v>
      </c>
      <c r="K27" s="86">
        <f t="shared" si="15"/>
        <v>31428</v>
      </c>
      <c r="L27" s="14">
        <f t="shared" si="8"/>
        <v>6285.6</v>
      </c>
      <c r="M27" s="83">
        <f>77302.898-77155.576</f>
        <v>147.32200000000012</v>
      </c>
      <c r="N27" s="83">
        <f>4280.343-4277.084</f>
        <v>3.2590000000000146</v>
      </c>
      <c r="O27" s="83">
        <f>9467.388-9465.302</f>
        <v>2.0860000000011496</v>
      </c>
      <c r="P27" s="82">
        <f>89773.881-89707.955</f>
        <v>65.9259999999922</v>
      </c>
      <c r="Q27" s="83">
        <f>24049.925-24031.602</f>
        <v>18.32300000000032</v>
      </c>
      <c r="R27" s="83">
        <f t="shared" si="0"/>
        <v>71.270999999993364</v>
      </c>
      <c r="S27" s="83">
        <f t="shared" si="1"/>
        <v>558.76463999994792</v>
      </c>
      <c r="T27" s="83">
        <f t="shared" si="2"/>
        <v>165.64500000000044</v>
      </c>
      <c r="U27" s="83">
        <f t="shared" si="16"/>
        <v>1298.6568000000034</v>
      </c>
      <c r="V27" s="83">
        <f>352524.3-352255.1</f>
        <v>269.20000000001164</v>
      </c>
      <c r="W27" s="83">
        <f t="shared" si="9"/>
        <v>0</v>
      </c>
      <c r="X27" s="86" t="s">
        <v>63</v>
      </c>
      <c r="Y27" s="87">
        <v>853411</v>
      </c>
      <c r="Z27" s="5">
        <f t="shared" si="10"/>
        <v>546</v>
      </c>
      <c r="AA27" s="14">
        <f t="shared" si="6"/>
        <v>3532.62</v>
      </c>
      <c r="AB27" s="87">
        <v>5446600.2999999998</v>
      </c>
      <c r="AC27" s="87">
        <f t="shared" si="11"/>
        <v>5417333.2999999998</v>
      </c>
      <c r="AD27" s="5">
        <f t="shared" si="3"/>
        <v>29267</v>
      </c>
      <c r="AE27" s="83">
        <f t="shared" si="12"/>
        <v>9722.3510650000007</v>
      </c>
      <c r="AF27" s="83">
        <f>86900.4-86849.8</f>
        <v>50.599999999991269</v>
      </c>
      <c r="AG27" s="83">
        <f>45676-45643.5</f>
        <v>32.5</v>
      </c>
      <c r="AH27" s="83">
        <f>27434-27417.7</f>
        <v>16.299999999999272</v>
      </c>
      <c r="AI27" s="87">
        <f t="shared" si="13"/>
        <v>43982.1</v>
      </c>
      <c r="AJ27" s="87">
        <v>44012.3</v>
      </c>
      <c r="AK27" s="48">
        <f t="shared" si="7"/>
        <v>30.200000000004366</v>
      </c>
      <c r="AL27" s="89">
        <f t="shared" si="4"/>
        <v>8587.2231099192413</v>
      </c>
      <c r="AM27" s="83">
        <f t="shared" si="14"/>
        <v>2852.6325809996224</v>
      </c>
      <c r="AN27" s="5"/>
      <c r="AO27" s="78">
        <f t="shared" si="5"/>
        <v>20839.227865000004</v>
      </c>
    </row>
    <row r="28" spans="1:41" x14ac:dyDescent="0.25">
      <c r="A28" s="79">
        <v>44370</v>
      </c>
      <c r="B28" s="86">
        <f>12045329-12039728</f>
        <v>5601</v>
      </c>
      <c r="C28" s="86">
        <f>7670559-7665867</f>
        <v>4692</v>
      </c>
      <c r="D28" s="86">
        <f>1510153-1509348</f>
        <v>805</v>
      </c>
      <c r="E28" s="86">
        <f>11469704-11464482</f>
        <v>5222</v>
      </c>
      <c r="F28" s="86">
        <f>11374906-11369037</f>
        <v>5869</v>
      </c>
      <c r="G28" s="86">
        <f>8260088-8256459</f>
        <v>3629</v>
      </c>
      <c r="H28" s="86">
        <f>8458995-8452474</f>
        <v>6521</v>
      </c>
      <c r="I28" s="86">
        <f>5161042-5158658</f>
        <v>2384</v>
      </c>
      <c r="J28" s="86">
        <f>11436189-11429037</f>
        <v>7152</v>
      </c>
      <c r="K28" s="86">
        <f t="shared" si="15"/>
        <v>32339</v>
      </c>
      <c r="L28" s="14">
        <f t="shared" si="8"/>
        <v>6467.8</v>
      </c>
      <c r="M28" s="83">
        <f>77447.368-77302.898</f>
        <v>144.47000000000116</v>
      </c>
      <c r="N28" s="83">
        <f>4282.249-4280.343</f>
        <v>1.9059999999999491</v>
      </c>
      <c r="O28" s="83">
        <f>9469.369-9467.388</f>
        <v>1.9809999999997672</v>
      </c>
      <c r="P28" s="82">
        <f>89835.175-89773.881</f>
        <v>61.294000000008964</v>
      </c>
      <c r="Q28" s="83">
        <f>24069.787-24049.925</f>
        <v>19.86200000000099</v>
      </c>
      <c r="R28" s="83">
        <f t="shared" si="0"/>
        <v>65.18100000000868</v>
      </c>
      <c r="S28" s="83">
        <f t="shared" si="1"/>
        <v>511.01904000006806</v>
      </c>
      <c r="T28" s="83">
        <f t="shared" si="2"/>
        <v>164.33200000000215</v>
      </c>
      <c r="U28" s="83">
        <f t="shared" si="16"/>
        <v>1288.362880000017</v>
      </c>
      <c r="V28" s="83">
        <f>352807-352524.3</f>
        <v>282.70000000001164</v>
      </c>
      <c r="W28" s="83">
        <f t="shared" si="9"/>
        <v>0</v>
      </c>
      <c r="X28" s="86" t="s">
        <v>63</v>
      </c>
      <c r="Y28" s="87">
        <v>853987</v>
      </c>
      <c r="Z28" s="5">
        <f t="shared" si="10"/>
        <v>576</v>
      </c>
      <c r="AA28" s="14">
        <f t="shared" si="6"/>
        <v>3726.72</v>
      </c>
      <c r="AB28" s="87">
        <v>5476154.9000000004</v>
      </c>
      <c r="AC28" s="87">
        <f t="shared" si="11"/>
        <v>5446600.2999999998</v>
      </c>
      <c r="AD28" s="5">
        <f t="shared" si="3"/>
        <v>29554.600000000559</v>
      </c>
      <c r="AE28" s="83">
        <f t="shared" si="12"/>
        <v>9817.890347000186</v>
      </c>
      <c r="AF28" s="83">
        <f>86953.6-86900.4</f>
        <v>53.200000000011642</v>
      </c>
      <c r="AG28" s="83">
        <f>45707.5-45676</f>
        <v>31.5</v>
      </c>
      <c r="AH28" s="83">
        <f>27450.8-27434</f>
        <v>16.799999999999272</v>
      </c>
      <c r="AI28" s="87">
        <f t="shared" si="13"/>
        <v>44012.3</v>
      </c>
      <c r="AJ28" s="87">
        <v>44040.1</v>
      </c>
      <c r="AK28" s="48">
        <f t="shared" si="7"/>
        <v>27.799999999995634</v>
      </c>
      <c r="AL28" s="89">
        <f t="shared" si="4"/>
        <v>7904.7947833007584</v>
      </c>
      <c r="AM28" s="83">
        <f t="shared" si="14"/>
        <v>2625.9333030385956</v>
      </c>
      <c r="AN28" s="5"/>
      <c r="AO28" s="78">
        <f t="shared" si="5"/>
        <v>21300.773227000202</v>
      </c>
    </row>
    <row r="29" spans="1:41" x14ac:dyDescent="0.25">
      <c r="A29" s="79">
        <v>44371</v>
      </c>
      <c r="B29" s="86">
        <f>12050824-12045329</f>
        <v>5495</v>
      </c>
      <c r="C29" s="86">
        <f>7674651-7670559</f>
        <v>4092</v>
      </c>
      <c r="D29" s="86">
        <f>1510988-1510153</f>
        <v>835</v>
      </c>
      <c r="E29" s="86">
        <f>11474706-11469704</f>
        <v>5002</v>
      </c>
      <c r="F29" s="86">
        <f>11380793-11374906</f>
        <v>5887</v>
      </c>
      <c r="G29" s="86">
        <f>8263550-8260088</f>
        <v>3462</v>
      </c>
      <c r="H29" s="86">
        <f>8465421-8458995</f>
        <v>6426</v>
      </c>
      <c r="I29" s="86">
        <f>5163416-5161042</f>
        <v>2374</v>
      </c>
      <c r="J29" s="86">
        <f>11443198-11436189</f>
        <v>7009</v>
      </c>
      <c r="K29" s="86">
        <f t="shared" si="15"/>
        <v>31199</v>
      </c>
      <c r="L29" s="14">
        <f t="shared" si="8"/>
        <v>6239.8</v>
      </c>
      <c r="M29" s="83">
        <f>77596.272-77447.368</f>
        <v>148.90399999999499</v>
      </c>
      <c r="N29" s="83">
        <f>4285.011-4282.249</f>
        <v>2.7620000000006257</v>
      </c>
      <c r="O29" s="83">
        <f>9471.969-9469.369</f>
        <v>2.5999999999985448</v>
      </c>
      <c r="P29" s="82">
        <f>89897.62-89835.175</f>
        <v>62.444999999992433</v>
      </c>
      <c r="Q29" s="83">
        <f>24097.715-24069.787</f>
        <v>27.927999999999884</v>
      </c>
      <c r="R29" s="83">
        <f t="shared" si="0"/>
        <v>67.806999999991604</v>
      </c>
      <c r="S29" s="83">
        <f t="shared" si="1"/>
        <v>531.60687999993411</v>
      </c>
      <c r="T29" s="83">
        <f t="shared" si="2"/>
        <v>176.83199999999488</v>
      </c>
      <c r="U29" s="83">
        <f t="shared" si="16"/>
        <v>1386.3628799999599</v>
      </c>
      <c r="V29" s="83">
        <f>353086.2-352807</f>
        <v>279.20000000001164</v>
      </c>
      <c r="W29" s="83">
        <f t="shared" si="9"/>
        <v>0</v>
      </c>
      <c r="X29" s="86" t="s">
        <v>63</v>
      </c>
      <c r="Y29" s="87">
        <v>854572</v>
      </c>
      <c r="Z29" s="5">
        <f t="shared" si="10"/>
        <v>585</v>
      </c>
      <c r="AA29" s="14">
        <f t="shared" si="6"/>
        <v>3784.95</v>
      </c>
      <c r="AB29" s="87">
        <v>5506270</v>
      </c>
      <c r="AC29" s="87">
        <f t="shared" si="11"/>
        <v>5476154.9000000004</v>
      </c>
      <c r="AD29" s="5">
        <f t="shared" si="3"/>
        <v>30115.099999999627</v>
      </c>
      <c r="AE29" s="83">
        <f t="shared" si="12"/>
        <v>10004.085644499877</v>
      </c>
      <c r="AF29" s="83">
        <f>87007-86953.6</f>
        <v>53.399999999994179</v>
      </c>
      <c r="AG29" s="83">
        <f>45739.6-45707.5</f>
        <v>32.099999999998545</v>
      </c>
      <c r="AH29" s="83">
        <f>27467.9-27450.8</f>
        <v>17.100000000002183</v>
      </c>
      <c r="AI29" s="87">
        <f t="shared" si="13"/>
        <v>44040.1</v>
      </c>
      <c r="AJ29" s="87">
        <v>44067.6</v>
      </c>
      <c r="AK29" s="48">
        <f t="shared" si="7"/>
        <v>27.5</v>
      </c>
      <c r="AL29" s="89">
        <f t="shared" si="4"/>
        <v>7819.4912424749991</v>
      </c>
      <c r="AM29" s="83">
        <f t="shared" si="14"/>
        <v>2597.5958932939825</v>
      </c>
      <c r="AN29" s="5"/>
      <c r="AO29" s="78">
        <f t="shared" si="5"/>
        <v>21415.198524499836</v>
      </c>
    </row>
    <row r="30" spans="1:41" x14ac:dyDescent="0.25">
      <c r="A30" s="79">
        <v>44372</v>
      </c>
      <c r="B30" s="86">
        <f>12056293-12050824</f>
        <v>5469</v>
      </c>
      <c r="C30" s="86">
        <f>7678147-7674651</f>
        <v>3496</v>
      </c>
      <c r="D30" s="86">
        <f>1511824-1510988</f>
        <v>836</v>
      </c>
      <c r="E30" s="86">
        <f>11479938-11474706</f>
        <v>5232</v>
      </c>
      <c r="F30" s="86">
        <f>11387182-11380793</f>
        <v>6389</v>
      </c>
      <c r="G30" s="86">
        <f>8267067-8263550</f>
        <v>3517</v>
      </c>
      <c r="H30" s="86">
        <f>8472011-8465421</f>
        <v>6590</v>
      </c>
      <c r="I30" s="86">
        <f>5165873-5163416</f>
        <v>2457</v>
      </c>
      <c r="J30" s="86">
        <f>11450672-11443198</f>
        <v>7474</v>
      </c>
      <c r="K30" s="86">
        <f t="shared" si="15"/>
        <v>31529</v>
      </c>
      <c r="L30" s="14">
        <f t="shared" si="8"/>
        <v>6305.8</v>
      </c>
      <c r="M30" s="83">
        <f>77756.991-77596.272</f>
        <v>160.71899999999732</v>
      </c>
      <c r="N30" s="83">
        <f>4289.3-4285.011</f>
        <v>4.2889999999997599</v>
      </c>
      <c r="O30" s="83">
        <f>9475.508-9471.969</f>
        <v>3.5390000000006694</v>
      </c>
      <c r="P30" s="82">
        <f>89962.409-89897.62</f>
        <v>64.789000000004307</v>
      </c>
      <c r="Q30" s="83">
        <f>24107.2-24097.715</f>
        <v>9.4850000000005821</v>
      </c>
      <c r="R30" s="83">
        <f t="shared" si="0"/>
        <v>72.617000000004737</v>
      </c>
      <c r="S30" s="83">
        <f t="shared" si="1"/>
        <v>569.31728000003716</v>
      </c>
      <c r="T30" s="83">
        <f t="shared" si="2"/>
        <v>170.2039999999979</v>
      </c>
      <c r="U30" s="83">
        <f t="shared" si="16"/>
        <v>1334.3993599999835</v>
      </c>
      <c r="V30" s="83">
        <f>855205-854572</f>
        <v>633</v>
      </c>
      <c r="W30" s="83">
        <f t="shared" si="9"/>
        <v>0</v>
      </c>
      <c r="X30" s="86" t="s">
        <v>63</v>
      </c>
      <c r="Y30" s="87">
        <v>855205</v>
      </c>
      <c r="Z30" s="5">
        <f t="shared" si="10"/>
        <v>633</v>
      </c>
      <c r="AA30" s="14">
        <f t="shared" si="6"/>
        <v>4095.5099999999998</v>
      </c>
      <c r="AB30" s="87">
        <v>5537622</v>
      </c>
      <c r="AC30" s="87">
        <f t="shared" si="11"/>
        <v>5506270</v>
      </c>
      <c r="AD30" s="5">
        <f t="shared" si="3"/>
        <v>31352</v>
      </c>
      <c r="AE30" s="83">
        <f t="shared" si="12"/>
        <v>10414.977640000001</v>
      </c>
      <c r="AF30" s="83">
        <f>87061.3-87007</f>
        <v>54.30000000000291</v>
      </c>
      <c r="AG30" s="83">
        <f>45773.4-45739.6</f>
        <v>33.80000000000291</v>
      </c>
      <c r="AH30" s="83">
        <f>27485.4-27467.9</f>
        <v>17.5</v>
      </c>
      <c r="AI30" s="87">
        <f t="shared" si="13"/>
        <v>44067.6</v>
      </c>
      <c r="AJ30" s="87">
        <v>44099.4</v>
      </c>
      <c r="AK30" s="48">
        <f t="shared" si="7"/>
        <v>31.80000000000291</v>
      </c>
      <c r="AL30" s="89">
        <f t="shared" si="4"/>
        <v>9042.1753276628278</v>
      </c>
      <c r="AM30" s="83">
        <f t="shared" si="14"/>
        <v>3003.7654329729535</v>
      </c>
      <c r="AN30" s="5"/>
      <c r="AO30" s="78">
        <f t="shared" si="5"/>
        <v>22150.686999999984</v>
      </c>
    </row>
    <row r="31" spans="1:41" x14ac:dyDescent="0.25">
      <c r="A31" s="79">
        <v>44373</v>
      </c>
      <c r="B31" s="86">
        <f>12061357-12056293</f>
        <v>5064</v>
      </c>
      <c r="C31" s="86">
        <f>7681894-7678147</f>
        <v>3747</v>
      </c>
      <c r="D31" s="86">
        <f>1512694-1511824</f>
        <v>870</v>
      </c>
      <c r="E31" s="86">
        <f>11485050-11479938</f>
        <v>5112</v>
      </c>
      <c r="F31" s="86">
        <f>11393147-11387182</f>
        <v>5965</v>
      </c>
      <c r="G31" s="86">
        <f>8270379-8267067</f>
        <v>3312</v>
      </c>
      <c r="H31" s="86">
        <f>8478364-8472011</f>
        <v>6353</v>
      </c>
      <c r="I31" s="86">
        <f>5168364-5165873</f>
        <v>2491</v>
      </c>
      <c r="J31" s="86">
        <f>11458045-11450672</f>
        <v>7373</v>
      </c>
      <c r="K31" s="86">
        <f t="shared" si="15"/>
        <v>30423</v>
      </c>
      <c r="L31" s="14">
        <f t="shared" si="8"/>
        <v>6084.6</v>
      </c>
      <c r="M31" s="83">
        <f>77923.077-77756.991</f>
        <v>166.08600000001024</v>
      </c>
      <c r="N31" s="83">
        <f>4293.931-4289.3</f>
        <v>4.6309999999994034</v>
      </c>
      <c r="O31" s="83">
        <f>9479.054-9475.508</f>
        <v>3.5460000000002765</v>
      </c>
      <c r="P31" s="82">
        <f>90030.841-89962.409</f>
        <v>68.432000000000698</v>
      </c>
      <c r="Q31" s="83">
        <f>24125.775-24107.2</f>
        <v>18.575000000000728</v>
      </c>
      <c r="R31" s="83">
        <f t="shared" si="0"/>
        <v>76.609000000000378</v>
      </c>
      <c r="S31" s="83">
        <f t="shared" si="1"/>
        <v>600.61456000000294</v>
      </c>
      <c r="T31" s="83">
        <f t="shared" si="2"/>
        <v>184.66100000001097</v>
      </c>
      <c r="U31" s="83">
        <f t="shared" si="16"/>
        <v>1447.742240000086</v>
      </c>
      <c r="V31" s="83">
        <f>855761-855205</f>
        <v>556</v>
      </c>
      <c r="W31" s="83">
        <f t="shared" si="9"/>
        <v>0</v>
      </c>
      <c r="X31" s="86" t="s">
        <v>63</v>
      </c>
      <c r="Y31" s="87">
        <v>855761</v>
      </c>
      <c r="Z31" s="5">
        <f t="shared" si="10"/>
        <v>556</v>
      </c>
      <c r="AA31" s="14">
        <f t="shared" si="6"/>
        <v>3597.3199999999997</v>
      </c>
      <c r="AB31" s="87">
        <v>5564300</v>
      </c>
      <c r="AC31" s="87">
        <f t="shared" si="11"/>
        <v>5537622</v>
      </c>
      <c r="AD31" s="5">
        <f t="shared" si="3"/>
        <v>26678</v>
      </c>
      <c r="AE31" s="83">
        <f t="shared" si="12"/>
        <v>8862.2982100000008</v>
      </c>
      <c r="AF31" s="83">
        <f>87106.4-87061.3</f>
        <v>45.099999999991269</v>
      </c>
      <c r="AG31" s="83">
        <f>45802.1-45773.4</f>
        <v>28.69999999999709</v>
      </c>
      <c r="AH31" s="83">
        <f>27502.1-27485.4</f>
        <v>16.69999999999709</v>
      </c>
      <c r="AI31" s="87">
        <f t="shared" si="13"/>
        <v>44099.4</v>
      </c>
      <c r="AJ31" s="87">
        <v>44128.2</v>
      </c>
      <c r="AK31" s="48">
        <f t="shared" si="7"/>
        <v>28.799999999995634</v>
      </c>
      <c r="AL31" s="89">
        <f t="shared" si="4"/>
        <v>8189.1399193907582</v>
      </c>
      <c r="AM31" s="83">
        <f t="shared" si="14"/>
        <v>2720.3913355220129</v>
      </c>
      <c r="AN31" s="5"/>
      <c r="AO31" s="78">
        <f t="shared" si="5"/>
        <v>19991.960450000086</v>
      </c>
    </row>
    <row r="32" spans="1:41" x14ac:dyDescent="0.25">
      <c r="A32" s="79">
        <v>44374</v>
      </c>
      <c r="B32" s="86">
        <f>12066410-12061357</f>
        <v>5053</v>
      </c>
      <c r="C32" s="86">
        <f>7686005-7681894</f>
        <v>4111</v>
      </c>
      <c r="D32" s="86">
        <f>1513466-1512694</f>
        <v>772</v>
      </c>
      <c r="E32" s="86">
        <f>11490026-11485050</f>
        <v>4976</v>
      </c>
      <c r="F32" s="86">
        <f>11398945-11393147</f>
        <v>5798</v>
      </c>
      <c r="G32" s="86">
        <f>8273655-8270379</f>
        <v>3276</v>
      </c>
      <c r="H32" s="86">
        <f>8484790-8478364</f>
        <v>6426</v>
      </c>
      <c r="I32" s="86">
        <f>5170847-5168364</f>
        <v>2483</v>
      </c>
      <c r="J32" s="86">
        <f>11464609-11458045</f>
        <v>6564</v>
      </c>
      <c r="K32" s="86">
        <f t="shared" si="15"/>
        <v>30412</v>
      </c>
      <c r="L32" s="14">
        <f t="shared" si="8"/>
        <v>6082.4000000000005</v>
      </c>
      <c r="M32" s="83">
        <f>78062.174-77923.077</f>
        <v>139.0969999999943</v>
      </c>
      <c r="N32" s="83">
        <f>4297.674-4293.931</f>
        <v>3.7430000000003929</v>
      </c>
      <c r="O32" s="83">
        <f>9483.057-9479.054</f>
        <v>4.0030000000006112</v>
      </c>
      <c r="P32" s="82">
        <f>90083.937-90030.841</f>
        <v>53.096000000005006</v>
      </c>
      <c r="Q32" s="83">
        <f>24148.077-24125.775</f>
        <v>22.30199999999968</v>
      </c>
      <c r="R32" s="83">
        <f t="shared" si="0"/>
        <v>60.84200000000601</v>
      </c>
      <c r="S32" s="83">
        <f t="shared" si="1"/>
        <v>477.00128000004713</v>
      </c>
      <c r="T32" s="83">
        <f t="shared" si="2"/>
        <v>161.39899999999398</v>
      </c>
      <c r="U32" s="83">
        <f t="shared" si="16"/>
        <v>1265.3681599999527</v>
      </c>
      <c r="V32" s="83">
        <f>353954-353677.1</f>
        <v>276.90000000002328</v>
      </c>
      <c r="W32" s="83">
        <f t="shared" si="9"/>
        <v>0</v>
      </c>
      <c r="X32" s="86" t="s">
        <v>63</v>
      </c>
      <c r="Y32" s="87">
        <v>856315</v>
      </c>
      <c r="Z32" s="5">
        <f t="shared" si="10"/>
        <v>554</v>
      </c>
      <c r="AA32" s="14">
        <f t="shared" si="6"/>
        <v>3584.3799999999997</v>
      </c>
      <c r="AB32" s="87">
        <v>5589989.2999999998</v>
      </c>
      <c r="AC32" s="87">
        <f t="shared" si="11"/>
        <v>5564300</v>
      </c>
      <c r="AD32" s="5">
        <f t="shared" si="3"/>
        <v>25689.299999999814</v>
      </c>
      <c r="AE32" s="83">
        <f t="shared" si="12"/>
        <v>8533.8570134999391</v>
      </c>
      <c r="AF32" s="83">
        <f>87150.5-87106.4</f>
        <v>44.100000000005821</v>
      </c>
      <c r="AG32" s="83">
        <f>45830.2-45802.1</f>
        <v>28.099999999998545</v>
      </c>
      <c r="AH32" s="83">
        <f>27518.9-27502.1</f>
        <v>16.80000000000291</v>
      </c>
      <c r="AI32" s="87">
        <f t="shared" si="13"/>
        <v>44128.2</v>
      </c>
      <c r="AJ32" s="86">
        <v>44155.9</v>
      </c>
      <c r="AK32" s="48">
        <f t="shared" si="7"/>
        <v>27.700000000004366</v>
      </c>
      <c r="AL32" s="89">
        <f t="shared" si="4"/>
        <v>7876.3602696942407</v>
      </c>
      <c r="AM32" s="83">
        <f t="shared" si="14"/>
        <v>2616.4874997910783</v>
      </c>
      <c r="AN32" s="5"/>
      <c r="AO32" s="78">
        <f t="shared" si="5"/>
        <v>19466.005173499892</v>
      </c>
    </row>
    <row r="33" spans="1:41" x14ac:dyDescent="0.25">
      <c r="A33" s="79">
        <v>44375</v>
      </c>
      <c r="B33" s="86"/>
      <c r="C33" s="86"/>
      <c r="D33" s="86"/>
      <c r="E33" s="86"/>
      <c r="F33" s="86"/>
      <c r="G33" s="86"/>
      <c r="H33" s="86"/>
      <c r="I33" s="86"/>
      <c r="J33" s="86"/>
      <c r="K33" s="86">
        <f t="shared" si="15"/>
        <v>0</v>
      </c>
      <c r="L33" s="14">
        <f t="shared" si="8"/>
        <v>0</v>
      </c>
      <c r="M33" s="83"/>
      <c r="N33" s="83"/>
      <c r="O33" s="83"/>
      <c r="P33" s="82"/>
      <c r="Q33" s="83"/>
      <c r="R33" s="83">
        <f t="shared" si="0"/>
        <v>0</v>
      </c>
      <c r="S33" s="83">
        <f t="shared" si="1"/>
        <v>0</v>
      </c>
      <c r="T33" s="83">
        <f t="shared" si="2"/>
        <v>0</v>
      </c>
      <c r="U33" s="83">
        <f t="shared" si="16"/>
        <v>0</v>
      </c>
      <c r="V33" s="83"/>
      <c r="W33" s="83">
        <f t="shared" si="9"/>
        <v>0</v>
      </c>
      <c r="X33" s="86" t="s">
        <v>63</v>
      </c>
      <c r="Y33" s="87"/>
      <c r="Z33" s="5" t="str">
        <f t="shared" si="10"/>
        <v>0</v>
      </c>
      <c r="AA33" s="14">
        <f t="shared" si="6"/>
        <v>0</v>
      </c>
      <c r="AB33" s="87"/>
      <c r="AC33" s="87">
        <f t="shared" si="11"/>
        <v>5589989.2999999998</v>
      </c>
      <c r="AD33" s="5" t="str">
        <f t="shared" si="3"/>
        <v>0</v>
      </c>
      <c r="AE33" s="83">
        <f t="shared" si="12"/>
        <v>0</v>
      </c>
      <c r="AF33" s="83"/>
      <c r="AG33" s="83"/>
      <c r="AH33" s="83"/>
      <c r="AI33" s="87">
        <f t="shared" si="13"/>
        <v>44155.9</v>
      </c>
      <c r="AJ33" s="86"/>
      <c r="AK33" s="48" t="str">
        <f t="shared" si="7"/>
        <v>0</v>
      </c>
      <c r="AL33" s="89">
        <f t="shared" si="4"/>
        <v>0</v>
      </c>
      <c r="AM33" s="83">
        <f t="shared" si="14"/>
        <v>0</v>
      </c>
      <c r="AN33" s="5"/>
      <c r="AO33" s="78">
        <f t="shared" si="5"/>
        <v>0</v>
      </c>
    </row>
    <row r="34" spans="1:41" x14ac:dyDescent="0.25">
      <c r="A34" s="79">
        <v>44376</v>
      </c>
      <c r="B34" s="86"/>
      <c r="C34" s="86"/>
      <c r="D34" s="86"/>
      <c r="E34" s="86"/>
      <c r="F34" s="86"/>
      <c r="G34" s="86"/>
      <c r="H34" s="86"/>
      <c r="I34" s="86"/>
      <c r="J34" s="86"/>
      <c r="K34" s="86">
        <f t="shared" si="15"/>
        <v>0</v>
      </c>
      <c r="L34" s="14">
        <f t="shared" si="8"/>
        <v>0</v>
      </c>
      <c r="M34" s="83"/>
      <c r="N34" s="83"/>
      <c r="O34" s="83"/>
      <c r="P34" s="82"/>
      <c r="Q34" s="83"/>
      <c r="R34" s="83">
        <f t="shared" si="0"/>
        <v>0</v>
      </c>
      <c r="S34" s="83">
        <f t="shared" si="1"/>
        <v>0</v>
      </c>
      <c r="T34" s="83">
        <f t="shared" si="2"/>
        <v>0</v>
      </c>
      <c r="U34" s="83">
        <f t="shared" si="16"/>
        <v>0</v>
      </c>
      <c r="V34" s="83"/>
      <c r="W34" s="83">
        <f t="shared" si="9"/>
        <v>0</v>
      </c>
      <c r="X34" s="86" t="s">
        <v>63</v>
      </c>
      <c r="Y34" s="87"/>
      <c r="Z34" s="5">
        <f t="shared" si="10"/>
        <v>0</v>
      </c>
      <c r="AA34" s="14">
        <f t="shared" si="6"/>
        <v>0</v>
      </c>
      <c r="AB34" s="87"/>
      <c r="AC34" s="87">
        <f t="shared" si="11"/>
        <v>0</v>
      </c>
      <c r="AD34" s="5">
        <f t="shared" si="3"/>
        <v>0</v>
      </c>
      <c r="AE34" s="83">
        <f t="shared" si="12"/>
        <v>0</v>
      </c>
      <c r="AF34" s="83"/>
      <c r="AG34" s="83"/>
      <c r="AH34" s="83"/>
      <c r="AI34" s="87">
        <f t="shared" si="13"/>
        <v>0</v>
      </c>
      <c r="AJ34" s="87"/>
      <c r="AK34" s="48">
        <f t="shared" si="7"/>
        <v>0</v>
      </c>
      <c r="AL34" s="89">
        <f t="shared" si="4"/>
        <v>0</v>
      </c>
      <c r="AM34" s="83">
        <f t="shared" si="14"/>
        <v>0</v>
      </c>
      <c r="AN34" s="5"/>
      <c r="AO34" s="78">
        <f t="shared" si="5"/>
        <v>0</v>
      </c>
    </row>
    <row r="35" spans="1:41" x14ac:dyDescent="0.25">
      <c r="A35" s="79">
        <v>44377</v>
      </c>
      <c r="B35" s="86"/>
      <c r="C35" s="86"/>
      <c r="D35" s="86"/>
      <c r="E35" s="86"/>
      <c r="F35" s="86"/>
      <c r="G35" s="86"/>
      <c r="H35" s="86"/>
      <c r="I35" s="86"/>
      <c r="J35" s="86"/>
      <c r="K35" s="86">
        <f t="shared" ref="K35" si="17">SUM(B35:H35)</f>
        <v>0</v>
      </c>
      <c r="L35" s="14">
        <f t="shared" ref="L35" si="18">K35*0.2</f>
        <v>0</v>
      </c>
      <c r="M35" s="83"/>
      <c r="N35" s="83"/>
      <c r="O35" s="83"/>
      <c r="P35" s="82"/>
      <c r="Q35" s="83"/>
      <c r="R35" s="83">
        <f t="shared" ref="R35" si="19">N35+O35+P35</f>
        <v>0</v>
      </c>
      <c r="S35" s="83">
        <f t="shared" ref="S35" si="20">(N35+O35+P35)*7.84</f>
        <v>0</v>
      </c>
      <c r="T35" s="83">
        <f t="shared" ref="T35" si="21">M35+Q35</f>
        <v>0</v>
      </c>
      <c r="U35" s="83">
        <f t="shared" ref="U35" si="22">T35*7.84</f>
        <v>0</v>
      </c>
      <c r="V35" s="83"/>
      <c r="W35" s="83">
        <f t="shared" si="9"/>
        <v>0</v>
      </c>
      <c r="X35" s="86" t="s">
        <v>63</v>
      </c>
      <c r="Y35" s="87"/>
      <c r="Z35" s="5">
        <f t="shared" ref="Z35" si="23">IF((Y35-Y34&lt;0), "0",Y35-Y34)</f>
        <v>0</v>
      </c>
      <c r="AA35" s="14">
        <f t="shared" ref="AA35" si="24">Z35*6.47</f>
        <v>0</v>
      </c>
      <c r="AB35" s="87"/>
      <c r="AC35" s="87">
        <f t="shared" si="11"/>
        <v>0</v>
      </c>
      <c r="AD35" s="5">
        <f t="shared" si="3"/>
        <v>0</v>
      </c>
      <c r="AE35" s="83">
        <f t="shared" si="12"/>
        <v>0</v>
      </c>
      <c r="AF35" s="83"/>
      <c r="AG35" s="83"/>
      <c r="AH35" s="83"/>
      <c r="AI35" s="87">
        <f t="shared" si="13"/>
        <v>0</v>
      </c>
      <c r="AJ35" s="87"/>
      <c r="AK35" s="48">
        <f t="shared" ref="AK35" si="25">IF((AJ35-AI35)&lt;0, "0",AJ35-AI35)</f>
        <v>0</v>
      </c>
      <c r="AL35" s="89">
        <f t="shared" ref="AL35" si="26">AK35*(284.34513609)</f>
        <v>0</v>
      </c>
      <c r="AM35" s="83">
        <f t="shared" si="14"/>
        <v>0</v>
      </c>
      <c r="AN35" s="5"/>
      <c r="AO35" s="78">
        <f t="shared" ref="AO35" si="27">L35+U35+AA35+AE35</f>
        <v>0</v>
      </c>
    </row>
    <row r="36" spans="1:41" x14ac:dyDescent="0.25">
      <c r="A36" s="76"/>
      <c r="D36" s="6">
        <f>SUM(D6:D35)</f>
        <v>24209</v>
      </c>
      <c r="E36" s="6" t="s">
        <v>93</v>
      </c>
      <c r="G36" s="6">
        <f t="shared" ref="G36:L36" si="28">SUM(G6:G35)</f>
        <v>95223</v>
      </c>
      <c r="H36" s="6">
        <f t="shared" si="28"/>
        <v>189257</v>
      </c>
      <c r="I36" s="6">
        <f t="shared" si="28"/>
        <v>65601</v>
      </c>
      <c r="J36" s="6">
        <f t="shared" si="28"/>
        <v>197934</v>
      </c>
      <c r="K36" s="6">
        <f t="shared" si="28"/>
        <v>841149</v>
      </c>
      <c r="L36" s="15">
        <f t="shared" si="28"/>
        <v>168229.8</v>
      </c>
      <c r="R36" s="16">
        <f>SUM(R6:R35)</f>
        <v>2078.1689999999999</v>
      </c>
      <c r="T36" s="16">
        <f>SUM(T6:T35)</f>
        <v>4421.4970000000067</v>
      </c>
      <c r="U36" s="16">
        <f t="shared" si="16"/>
        <v>34664.536480000053</v>
      </c>
      <c r="Z36" s="17">
        <f>SUM(Z6:Z35)</f>
        <v>15576</v>
      </c>
      <c r="AA36" s="17">
        <f>SUM(AA6:AA35)</f>
        <v>100776.72</v>
      </c>
      <c r="AD36" s="17">
        <f>SUM(AD6:AD35)</f>
        <v>822986.29999999981</v>
      </c>
      <c r="AE36" s="16">
        <f>AD36*0.334569</f>
        <v>275345.70340469992</v>
      </c>
      <c r="AF36" s="16">
        <f>SUM(AF6:AF35)</f>
        <v>1385.7999999999884</v>
      </c>
      <c r="AG36" s="16">
        <f>SUM(AG6:AG35)</f>
        <v>946.5</v>
      </c>
      <c r="AH36" s="16">
        <f>SUM(AH6:AH35)</f>
        <v>435.10000000000218</v>
      </c>
      <c r="AK36" s="42">
        <f>SUM(AK6:AK35)</f>
        <v>854.5</v>
      </c>
      <c r="AL36" s="42">
        <f>SUM(AL6:AL35)</f>
        <v>242972.91878890494</v>
      </c>
      <c r="AM36" s="42">
        <f>SUM(AM6:AM35)</f>
        <v>80714.388757080291</v>
      </c>
      <c r="AN36" s="42">
        <f>SUM(AN6:AN35)</f>
        <v>2350</v>
      </c>
      <c r="AO36" s="42">
        <f>SUM(AO6:AO35)</f>
        <v>577062.99040850007</v>
      </c>
    </row>
    <row r="37" spans="1:41" x14ac:dyDescent="0.25">
      <c r="D37" s="6" t="e">
        <f>#REF!*24</f>
        <v>#REF!</v>
      </c>
      <c r="E37" s="6" t="s">
        <v>1</v>
      </c>
      <c r="R37" s="16">
        <v>7.84</v>
      </c>
      <c r="T37" s="16" t="s">
        <v>99</v>
      </c>
      <c r="U37" s="16">
        <f>U36-R38</f>
        <v>18371.691520000055</v>
      </c>
    </row>
    <row r="38" spans="1:41" x14ac:dyDescent="0.25">
      <c r="D38" s="6" t="e">
        <f>D37*31</f>
        <v>#REF!</v>
      </c>
      <c r="E38" s="6" t="s">
        <v>2</v>
      </c>
      <c r="F38" s="6" t="s">
        <v>94</v>
      </c>
      <c r="G38" s="6" t="e">
        <f>D38*0.2</f>
        <v>#REF!</v>
      </c>
      <c r="R38" s="16">
        <f>R36*R37</f>
        <v>16292.844959999999</v>
      </c>
      <c r="U38" s="16">
        <f>U37/R37</f>
        <v>2343.3280000000073</v>
      </c>
    </row>
    <row r="39" spans="1:41" x14ac:dyDescent="0.25">
      <c r="D39" s="15" t="e">
        <f>D38*0.2</f>
        <v>#REF!</v>
      </c>
    </row>
    <row r="40" spans="1:41" x14ac:dyDescent="0.25">
      <c r="E40" s="68" t="s">
        <v>98</v>
      </c>
    </row>
    <row r="41" spans="1:41" x14ac:dyDescent="0.25">
      <c r="AD41" s="6">
        <f>G41*0.2</f>
        <v>0</v>
      </c>
    </row>
  </sheetData>
  <mergeCells count="13">
    <mergeCell ref="B1:J1"/>
    <mergeCell ref="X1:Y1"/>
    <mergeCell ref="K2:K3"/>
    <mergeCell ref="L2:L3"/>
    <mergeCell ref="S2:S4"/>
    <mergeCell ref="U2:U4"/>
    <mergeCell ref="AO2:AO4"/>
    <mergeCell ref="AA2:AA4"/>
    <mergeCell ref="AC2:AC4"/>
    <mergeCell ref="AD2:AD4"/>
    <mergeCell ref="AE2:AE4"/>
    <mergeCell ref="AM2:AM4"/>
    <mergeCell ref="AN2:AN4"/>
  </mergeCell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TOTAL</vt:lpstr>
      <vt:lpstr>Submetering</vt:lpstr>
      <vt:lpstr>FS-AD Daily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Ronald Diab</dc:creator>
  <cp:lastModifiedBy>Luay Fawaz</cp:lastModifiedBy>
  <dcterms:created xsi:type="dcterms:W3CDTF">2017-05-03T09:23:30Z</dcterms:created>
  <dcterms:modified xsi:type="dcterms:W3CDTF">2021-06-28T07:01:11Z</dcterms:modified>
</cp:coreProperties>
</file>