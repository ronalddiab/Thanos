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"/>
    </mc:Choice>
  </mc:AlternateContent>
  <xr:revisionPtr revIDLastSave="0" documentId="8_{D85FDCAA-8C29-42DD-A784-1B5F2B8E20A4}" xr6:coauthVersionLast="47" xr6:coauthVersionMax="47" xr10:uidLastSave="{00000000-0000-0000-0000-000000000000}"/>
  <bookViews>
    <workbookView xWindow="-120" yWindow="-120" windowWidth="29040" windowHeight="15720" xr2:uid="{EFA5E2E6-E151-4BB2-A172-BFF4F82C3CFC}"/>
  </bookViews>
  <sheets>
    <sheet name="Total" sheetId="1" r:id="rId1"/>
  </sheets>
  <externalReferences>
    <externalReference r:id="rId2"/>
  </externalReferenc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2" i="1" l="1"/>
  <c r="K32" i="1"/>
  <c r="P31" i="1"/>
  <c r="O31" i="1"/>
  <c r="M31" i="1"/>
  <c r="K31" i="1"/>
  <c r="I31" i="1"/>
  <c r="G31" i="1"/>
  <c r="F31" i="1"/>
  <c r="E31" i="1"/>
  <c r="P30" i="1"/>
  <c r="O30" i="1"/>
  <c r="M30" i="1"/>
  <c r="K30" i="1"/>
  <c r="I30" i="1"/>
  <c r="G30" i="1"/>
  <c r="F30" i="1"/>
  <c r="E30" i="1"/>
  <c r="B30" i="1"/>
  <c r="P29" i="1"/>
  <c r="O29" i="1"/>
  <c r="M29" i="1"/>
  <c r="K29" i="1"/>
  <c r="I29" i="1"/>
  <c r="G29" i="1"/>
  <c r="F29" i="1"/>
  <c r="E29" i="1"/>
  <c r="P28" i="1"/>
  <c r="O28" i="1"/>
  <c r="M28" i="1"/>
  <c r="K28" i="1"/>
  <c r="I28" i="1"/>
  <c r="G28" i="1"/>
  <c r="F28" i="1"/>
  <c r="E28" i="1"/>
  <c r="P27" i="1"/>
  <c r="O27" i="1"/>
  <c r="M27" i="1"/>
  <c r="K27" i="1"/>
  <c r="I27" i="1"/>
  <c r="G27" i="1"/>
  <c r="F27" i="1"/>
  <c r="E27" i="1"/>
  <c r="P26" i="1"/>
  <c r="O26" i="1"/>
  <c r="M26" i="1"/>
  <c r="K26" i="1"/>
  <c r="I26" i="1"/>
  <c r="G26" i="1"/>
  <c r="F26" i="1"/>
  <c r="E26" i="1"/>
  <c r="P25" i="1"/>
  <c r="O25" i="1"/>
  <c r="M25" i="1"/>
  <c r="K25" i="1"/>
  <c r="I25" i="1"/>
  <c r="G25" i="1"/>
  <c r="F25" i="1"/>
  <c r="E25" i="1"/>
  <c r="P24" i="1"/>
  <c r="O24" i="1"/>
  <c r="M24" i="1"/>
  <c r="K24" i="1"/>
  <c r="I24" i="1"/>
  <c r="G24" i="1"/>
  <c r="F24" i="1"/>
  <c r="E24" i="1"/>
  <c r="P23" i="1"/>
  <c r="O23" i="1"/>
  <c r="M23" i="1"/>
  <c r="K23" i="1"/>
  <c r="I23" i="1"/>
  <c r="G23" i="1"/>
  <c r="F23" i="1"/>
  <c r="E23" i="1"/>
  <c r="P22" i="1"/>
  <c r="O22" i="1"/>
  <c r="M22" i="1"/>
  <c r="K22" i="1"/>
  <c r="I22" i="1"/>
  <c r="G22" i="1"/>
  <c r="F22" i="1"/>
  <c r="E22" i="1"/>
  <c r="P21" i="1"/>
  <c r="O21" i="1"/>
  <c r="M21" i="1"/>
  <c r="K21" i="1"/>
  <c r="I21" i="1"/>
  <c r="G21" i="1"/>
  <c r="F21" i="1"/>
  <c r="E21" i="1"/>
  <c r="P20" i="1"/>
  <c r="O20" i="1"/>
  <c r="M20" i="1"/>
  <c r="K20" i="1"/>
  <c r="I20" i="1"/>
  <c r="G20" i="1"/>
  <c r="F20" i="1"/>
  <c r="E20" i="1"/>
  <c r="P19" i="1"/>
  <c r="O19" i="1"/>
  <c r="M19" i="1"/>
  <c r="K19" i="1"/>
  <c r="I19" i="1"/>
  <c r="G19" i="1"/>
  <c r="F19" i="1"/>
  <c r="E19" i="1"/>
  <c r="P18" i="1"/>
  <c r="O18" i="1"/>
  <c r="M18" i="1"/>
  <c r="K18" i="1"/>
  <c r="I18" i="1"/>
  <c r="G18" i="1"/>
  <c r="F18" i="1"/>
  <c r="E18" i="1"/>
  <c r="P17" i="1"/>
  <c r="O17" i="1"/>
  <c r="M17" i="1"/>
  <c r="K17" i="1"/>
  <c r="I17" i="1"/>
  <c r="G17" i="1"/>
  <c r="F17" i="1"/>
  <c r="E17" i="1"/>
  <c r="P16" i="1"/>
  <c r="O16" i="1"/>
  <c r="M16" i="1"/>
  <c r="K16" i="1"/>
  <c r="I16" i="1"/>
  <c r="G16" i="1"/>
  <c r="F16" i="1"/>
  <c r="E16" i="1"/>
  <c r="P15" i="1"/>
  <c r="O15" i="1"/>
  <c r="M15" i="1"/>
  <c r="K15" i="1"/>
  <c r="I15" i="1"/>
  <c r="G15" i="1"/>
  <c r="F15" i="1"/>
  <c r="E15" i="1"/>
  <c r="P14" i="1"/>
  <c r="O14" i="1"/>
  <c r="M14" i="1"/>
  <c r="K14" i="1"/>
  <c r="I14" i="1"/>
  <c r="G14" i="1"/>
  <c r="F14" i="1"/>
  <c r="E14" i="1"/>
  <c r="P13" i="1"/>
  <c r="O13" i="1"/>
  <c r="M13" i="1"/>
  <c r="K13" i="1"/>
  <c r="I13" i="1"/>
  <c r="G13" i="1"/>
  <c r="F13" i="1"/>
  <c r="E13" i="1"/>
  <c r="P12" i="1"/>
  <c r="O12" i="1"/>
  <c r="M12" i="1"/>
  <c r="K12" i="1"/>
  <c r="I12" i="1"/>
  <c r="G12" i="1"/>
  <c r="F12" i="1"/>
  <c r="E12" i="1"/>
  <c r="P11" i="1"/>
  <c r="O11" i="1"/>
  <c r="M11" i="1"/>
  <c r="K11" i="1"/>
  <c r="I11" i="1"/>
  <c r="G11" i="1"/>
  <c r="F11" i="1"/>
  <c r="E11" i="1"/>
  <c r="P10" i="1"/>
  <c r="O10" i="1"/>
  <c r="M10" i="1"/>
  <c r="K10" i="1"/>
  <c r="I10" i="1"/>
  <c r="G10" i="1"/>
  <c r="F10" i="1"/>
  <c r="E10" i="1"/>
  <c r="P9" i="1"/>
  <c r="O9" i="1"/>
  <c r="M9" i="1"/>
  <c r="K9" i="1"/>
  <c r="I9" i="1"/>
  <c r="G9" i="1"/>
  <c r="F9" i="1"/>
  <c r="E9" i="1"/>
  <c r="P8" i="1"/>
  <c r="O8" i="1"/>
  <c r="M8" i="1"/>
  <c r="K8" i="1"/>
  <c r="I8" i="1"/>
  <c r="G8" i="1"/>
  <c r="F8" i="1"/>
  <c r="E8" i="1"/>
  <c r="P7" i="1"/>
  <c r="O7" i="1"/>
  <c r="M7" i="1"/>
  <c r="K7" i="1"/>
  <c r="I7" i="1"/>
  <c r="G7" i="1"/>
  <c r="F7" i="1"/>
  <c r="E7" i="1"/>
  <c r="P6" i="1"/>
  <c r="O6" i="1"/>
  <c r="M6" i="1"/>
  <c r="K6" i="1"/>
  <c r="I6" i="1"/>
  <c r="G6" i="1"/>
  <c r="F6" i="1"/>
  <c r="E6" i="1"/>
  <c r="P5" i="1"/>
  <c r="O5" i="1"/>
  <c r="M5" i="1"/>
  <c r="K5" i="1"/>
  <c r="I5" i="1"/>
  <c r="G5" i="1"/>
  <c r="F5" i="1"/>
  <c r="E5" i="1"/>
  <c r="P4" i="1"/>
  <c r="O4" i="1"/>
  <c r="M4" i="1"/>
  <c r="K4" i="1"/>
  <c r="I4" i="1"/>
  <c r="G4" i="1"/>
  <c r="F4" i="1"/>
  <c r="E4" i="1"/>
  <c r="P3" i="1"/>
  <c r="O3" i="1"/>
  <c r="M3" i="1"/>
  <c r="K3" i="1"/>
  <c r="I3" i="1"/>
  <c r="G3" i="1"/>
  <c r="F3" i="1"/>
  <c r="E3" i="1"/>
  <c r="B3" i="1"/>
  <c r="P2" i="1"/>
  <c r="O2" i="1"/>
  <c r="M2" i="1"/>
  <c r="K2" i="1"/>
  <c r="I2" i="1"/>
  <c r="G2" i="1"/>
  <c r="F2" i="1"/>
  <c r="E2" i="1"/>
  <c r="B4" i="1" l="1"/>
  <c r="B5" i="1" s="1"/>
  <c r="B6" i="1" s="1"/>
  <c r="B7" i="1"/>
  <c r="B8" i="1" s="1"/>
  <c r="B9" i="1" s="1"/>
  <c r="B10" i="1" s="1"/>
  <c r="B11" i="1" s="1"/>
  <c r="B12" i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</calcChain>
</file>

<file path=xl/sharedStrings.xml><?xml version="1.0" encoding="utf-8"?>
<sst xmlns="http://schemas.openxmlformats.org/spreadsheetml/2006/main" count="46" uniqueCount="17">
  <si>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</si>
  <si>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</si>
  <si>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</si>
  <si>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</si>
  <si>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</si>
  <si>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</si>
  <si>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</si>
  <si>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</si>
  <si>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</si>
  <si>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</si>
  <si>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>District Energy Heating Kwh</t>
  </si>
  <si>
    <t>District Energy Heating $/Kwh</t>
  </si>
  <si>
    <t xml:space="preserve">Total Fuel Oil  (Liter) </t>
  </si>
  <si>
    <t>Fuel Oil  $/Liter</t>
  </si>
  <si>
    <t xml:space="preserve">Room Nights </t>
  </si>
  <si>
    <t xml:space="preserve">Total Guests </t>
  </si>
  <si>
    <t>Annabelle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</si>
</sst>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);\(0.00\)"/>
    <numFmt numFmtId="165" formatCode="0.0000"/>
  </numFmts>
  <fonts count="10" x14ac:knownFonts="1">
    <font>
      <sz val="1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B05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B05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2" borderId="0" xfId="0" applyNumberFormat="1" applyFill="1" applyAlignment="1">
      <alignment horizontal="center"/>
    </xf>
    <xf numFmtId="2" fontId="8" fillId="2" borderId="0" xfId="0" applyNumberFormat="1" applyFont="1" applyFill="1" applyAlignment="1">
      <alignment horizontal="center"/>
    </xf>
    <xf numFmtId="1" fontId="0" fillId="3" borderId="0" xfId="0" applyNumberFormat="1" applyFill="1" applyAlignment="1">
      <alignment horizontal="center"/>
    </xf>
    <xf numFmtId="164" fontId="9" fillId="3" borderId="0" xfId="0" applyNumberFormat="1" applyFont="1" applyFill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8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165" fontId="8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8" fillId="6" borderId="0" xfId="0" applyFon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8" fillId="2" borderId="0" xfId="0" applyFont="1" applyFill="1" applyAlignment="1">
      <alignment horizontal="center"/>
    </xf>
    <xf numFmtId="165" fontId="8" fillId="4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ussein.elsamra\Dropbox\EEG%20Projects\Hussein\HEP\Thanos\06%20Annabelle-HEP-Daily-JUNE%202026.xlsx" TargetMode="External"/><Relationship Id="rId1" Type="http://schemas.openxmlformats.org/officeDocument/2006/relationships/externalLinkPath" Target="06%20Annabelle-HEP-Daily-JUNE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"/>
      <sheetName val="JUNE 2026"/>
    </sheetNames>
    <sheetDataSet>
      <sheetData sheetId="0"/>
      <sheetData sheetId="1">
        <row r="2">
          <cell r="C2">
            <v>5709</v>
          </cell>
          <cell r="E2">
            <v>508</v>
          </cell>
          <cell r="G2">
            <v>0</v>
          </cell>
          <cell r="N2">
            <v>323</v>
          </cell>
          <cell r="U2">
            <v>65</v>
          </cell>
          <cell r="W2">
            <v>108</v>
          </cell>
          <cell r="AB2" t="str">
            <v>0</v>
          </cell>
          <cell r="AC2">
            <v>166</v>
          </cell>
          <cell r="AD2">
            <v>328</v>
          </cell>
        </row>
        <row r="3">
          <cell r="C3">
            <v>5054</v>
          </cell>
          <cell r="E3">
            <v>1640</v>
          </cell>
          <cell r="G3">
            <v>0</v>
          </cell>
          <cell r="N3">
            <v>310</v>
          </cell>
          <cell r="U3">
            <v>70</v>
          </cell>
          <cell r="W3">
            <v>133</v>
          </cell>
          <cell r="AB3" t="str">
            <v>0</v>
          </cell>
          <cell r="AC3">
            <v>166</v>
          </cell>
          <cell r="AD3">
            <v>327</v>
          </cell>
        </row>
        <row r="4">
          <cell r="C4">
            <v>4605</v>
          </cell>
          <cell r="E4">
            <v>1704</v>
          </cell>
          <cell r="G4">
            <v>0</v>
          </cell>
          <cell r="N4">
            <v>245</v>
          </cell>
          <cell r="U4">
            <v>45</v>
          </cell>
          <cell r="W4">
            <v>81</v>
          </cell>
          <cell r="AB4" t="str">
            <v>0</v>
          </cell>
          <cell r="AC4">
            <v>177</v>
          </cell>
          <cell r="AD4">
            <v>343</v>
          </cell>
        </row>
        <row r="5">
          <cell r="C5">
            <v>5029</v>
          </cell>
          <cell r="E5">
            <v>1683</v>
          </cell>
          <cell r="G5">
            <v>0</v>
          </cell>
          <cell r="N5">
            <v>209</v>
          </cell>
          <cell r="U5">
            <v>90</v>
          </cell>
          <cell r="W5">
            <v>121</v>
          </cell>
          <cell r="AB5" t="str">
            <v>0</v>
          </cell>
          <cell r="AC5">
            <v>189</v>
          </cell>
          <cell r="AD5">
            <v>364</v>
          </cell>
        </row>
        <row r="6">
          <cell r="C6">
            <v>4865</v>
          </cell>
          <cell r="E6">
            <v>1668</v>
          </cell>
          <cell r="G6">
            <v>0</v>
          </cell>
          <cell r="N6">
            <v>178</v>
          </cell>
          <cell r="U6">
            <v>180</v>
          </cell>
          <cell r="W6">
            <v>120</v>
          </cell>
          <cell r="AB6" t="str">
            <v>0</v>
          </cell>
          <cell r="AC6">
            <v>203</v>
          </cell>
          <cell r="AD6">
            <v>398</v>
          </cell>
        </row>
        <row r="7">
          <cell r="C7">
            <v>5171</v>
          </cell>
          <cell r="E7">
            <v>1654</v>
          </cell>
          <cell r="G7">
            <v>0</v>
          </cell>
          <cell r="N7">
            <v>171</v>
          </cell>
          <cell r="U7">
            <v>110</v>
          </cell>
          <cell r="W7">
            <v>119</v>
          </cell>
          <cell r="AB7" t="str">
            <v>0</v>
          </cell>
          <cell r="AC7">
            <v>204</v>
          </cell>
          <cell r="AD7">
            <v>397</v>
          </cell>
        </row>
        <row r="8">
          <cell r="C8">
            <v>5699</v>
          </cell>
          <cell r="E8">
            <v>1522</v>
          </cell>
          <cell r="G8">
            <v>0</v>
          </cell>
          <cell r="N8">
            <v>124</v>
          </cell>
          <cell r="U8">
            <v>105</v>
          </cell>
          <cell r="W8">
            <v>116</v>
          </cell>
          <cell r="AB8" t="str">
            <v>0</v>
          </cell>
          <cell r="AC8">
            <v>208</v>
          </cell>
          <cell r="AD8">
            <v>404</v>
          </cell>
        </row>
        <row r="9">
          <cell r="C9">
            <v>6019</v>
          </cell>
          <cell r="E9">
            <v>1635</v>
          </cell>
          <cell r="G9">
            <v>0</v>
          </cell>
          <cell r="N9">
            <v>126</v>
          </cell>
          <cell r="U9">
            <v>78</v>
          </cell>
          <cell r="W9">
            <v>118</v>
          </cell>
          <cell r="AB9" t="str">
            <v>0</v>
          </cell>
          <cell r="AC9">
            <v>210</v>
          </cell>
          <cell r="AD9">
            <v>407</v>
          </cell>
        </row>
        <row r="10">
          <cell r="C10">
            <v>5797</v>
          </cell>
          <cell r="E10">
            <v>1605</v>
          </cell>
          <cell r="G10">
            <v>0</v>
          </cell>
          <cell r="N10">
            <v>113</v>
          </cell>
          <cell r="U10">
            <v>50</v>
          </cell>
          <cell r="W10">
            <v>121</v>
          </cell>
          <cell r="AB10" t="str">
            <v>0</v>
          </cell>
          <cell r="AC10">
            <v>205</v>
          </cell>
          <cell r="AD10">
            <v>399</v>
          </cell>
        </row>
        <row r="11">
          <cell r="C11">
            <v>6147</v>
          </cell>
          <cell r="E11">
            <v>1599</v>
          </cell>
          <cell r="G11">
            <v>0</v>
          </cell>
          <cell r="N11">
            <v>115</v>
          </cell>
          <cell r="U11">
            <v>110</v>
          </cell>
          <cell r="W11">
            <v>122</v>
          </cell>
          <cell r="AB11" t="str">
            <v>0</v>
          </cell>
          <cell r="AC11">
            <v>201</v>
          </cell>
          <cell r="AD11">
            <v>392</v>
          </cell>
        </row>
        <row r="12">
          <cell r="C12">
            <v>6224</v>
          </cell>
          <cell r="E12">
            <v>1620</v>
          </cell>
          <cell r="G12">
            <v>0</v>
          </cell>
          <cell r="N12">
            <v>93</v>
          </cell>
          <cell r="U12">
            <v>120</v>
          </cell>
          <cell r="W12">
            <v>121</v>
          </cell>
          <cell r="AB12" t="str">
            <v>0</v>
          </cell>
          <cell r="AC12">
            <v>208</v>
          </cell>
          <cell r="AD12">
            <v>407</v>
          </cell>
        </row>
        <row r="13">
          <cell r="C13">
            <v>6459</v>
          </cell>
          <cell r="E13">
            <v>1555</v>
          </cell>
          <cell r="G13">
            <v>0</v>
          </cell>
          <cell r="N13">
            <v>91</v>
          </cell>
          <cell r="U13">
            <v>125</v>
          </cell>
          <cell r="W13">
            <v>129</v>
          </cell>
          <cell r="AB13" t="str">
            <v>0</v>
          </cell>
          <cell r="AC13">
            <v>235</v>
          </cell>
          <cell r="AD13">
            <v>462</v>
          </cell>
        </row>
        <row r="14">
          <cell r="C14">
            <v>6564</v>
          </cell>
          <cell r="E14">
            <v>1536</v>
          </cell>
          <cell r="G14">
            <v>0</v>
          </cell>
          <cell r="N14">
            <v>93</v>
          </cell>
          <cell r="U14">
            <v>75</v>
          </cell>
          <cell r="W14">
            <v>133</v>
          </cell>
          <cell r="AB14" t="str">
            <v>0</v>
          </cell>
          <cell r="AC14">
            <v>216</v>
          </cell>
          <cell r="AD14">
            <v>436</v>
          </cell>
        </row>
        <row r="15">
          <cell r="C15" t="str">
            <v>0</v>
          </cell>
          <cell r="E15">
            <v>1583</v>
          </cell>
          <cell r="G15">
            <v>0</v>
          </cell>
          <cell r="N15">
            <v>111</v>
          </cell>
          <cell r="U15">
            <v>195</v>
          </cell>
          <cell r="W15">
            <v>116</v>
          </cell>
          <cell r="AB15" t="str">
            <v>0</v>
          </cell>
          <cell r="AC15">
            <v>179</v>
          </cell>
          <cell r="AD15">
            <v>349</v>
          </cell>
        </row>
        <row r="16">
          <cell r="C16" t="str">
            <v>0</v>
          </cell>
          <cell r="E16" t="str">
            <v>0</v>
          </cell>
          <cell r="G16">
            <v>0</v>
          </cell>
          <cell r="N16" t="str">
            <v>0</v>
          </cell>
          <cell r="U16">
            <v>4533</v>
          </cell>
          <cell r="W16" t="str">
            <v>0</v>
          </cell>
          <cell r="AB16" t="str">
            <v>0</v>
          </cell>
          <cell r="AC16">
            <v>183</v>
          </cell>
          <cell r="AD16">
            <v>349</v>
          </cell>
        </row>
        <row r="17">
          <cell r="C17">
            <v>0</v>
          </cell>
          <cell r="E17">
            <v>0</v>
          </cell>
          <cell r="G17">
            <v>0</v>
          </cell>
          <cell r="N17" t="str">
            <v>0</v>
          </cell>
          <cell r="U17" t="str">
            <v>0</v>
          </cell>
          <cell r="W17">
            <v>0</v>
          </cell>
          <cell r="AB17" t="str">
            <v>0</v>
          </cell>
        </row>
        <row r="18">
          <cell r="C18">
            <v>0</v>
          </cell>
          <cell r="E18">
            <v>0</v>
          </cell>
          <cell r="G18">
            <v>0</v>
          </cell>
          <cell r="N18" t="str">
            <v>0</v>
          </cell>
          <cell r="U18" t="str">
            <v>0</v>
          </cell>
          <cell r="W18">
            <v>0</v>
          </cell>
          <cell r="AB18" t="str">
            <v>0</v>
          </cell>
        </row>
        <row r="19">
          <cell r="C19">
            <v>0</v>
          </cell>
          <cell r="E19">
            <v>0</v>
          </cell>
          <cell r="G19">
            <v>0</v>
          </cell>
          <cell r="N19" t="str">
            <v>0</v>
          </cell>
          <cell r="U19" t="str">
            <v>0</v>
          </cell>
          <cell r="W19">
            <v>0</v>
          </cell>
          <cell r="AB19" t="str">
            <v>0</v>
          </cell>
        </row>
        <row r="20">
          <cell r="C20">
            <v>0</v>
          </cell>
          <cell r="E20">
            <v>0</v>
          </cell>
          <cell r="G20">
            <v>0</v>
          </cell>
          <cell r="N20" t="str">
            <v>0</v>
          </cell>
          <cell r="U20" t="str">
            <v>0</v>
          </cell>
          <cell r="W20">
            <v>0</v>
          </cell>
          <cell r="AB20" t="str">
            <v>0</v>
          </cell>
        </row>
        <row r="21">
          <cell r="C21">
            <v>0</v>
          </cell>
          <cell r="E21">
            <v>0</v>
          </cell>
          <cell r="G21">
            <v>0</v>
          </cell>
          <cell r="N21" t="str">
            <v>0</v>
          </cell>
          <cell r="U21" t="str">
            <v>0</v>
          </cell>
          <cell r="W21">
            <v>0</v>
          </cell>
          <cell r="AB21" t="str">
            <v>0</v>
          </cell>
        </row>
        <row r="22">
          <cell r="C22">
            <v>0</v>
          </cell>
          <cell r="E22">
            <v>0</v>
          </cell>
          <cell r="G22">
            <v>0</v>
          </cell>
          <cell r="N22" t="str">
            <v>0</v>
          </cell>
          <cell r="U22" t="str">
            <v>0</v>
          </cell>
          <cell r="W22">
            <v>0</v>
          </cell>
          <cell r="AB22" t="str">
            <v>0</v>
          </cell>
        </row>
        <row r="23">
          <cell r="C23">
            <v>0</v>
          </cell>
          <cell r="E23">
            <v>0</v>
          </cell>
          <cell r="G23">
            <v>0</v>
          </cell>
          <cell r="N23" t="str">
            <v>0</v>
          </cell>
          <cell r="U23" t="str">
            <v>0</v>
          </cell>
          <cell r="W23">
            <v>0</v>
          </cell>
          <cell r="AB23" t="str">
            <v>0</v>
          </cell>
        </row>
        <row r="24">
          <cell r="C24">
            <v>0</v>
          </cell>
          <cell r="E24">
            <v>0</v>
          </cell>
          <cell r="G24">
            <v>0</v>
          </cell>
          <cell r="N24" t="str">
            <v>0</v>
          </cell>
          <cell r="U24" t="str">
            <v>0</v>
          </cell>
          <cell r="W24">
            <v>0</v>
          </cell>
          <cell r="AB24" t="str">
            <v>0</v>
          </cell>
        </row>
        <row r="25">
          <cell r="C25">
            <v>0</v>
          </cell>
          <cell r="E25">
            <v>0</v>
          </cell>
          <cell r="G25">
            <v>0</v>
          </cell>
          <cell r="N25" t="str">
            <v>0</v>
          </cell>
          <cell r="U25" t="str">
            <v>0</v>
          </cell>
          <cell r="W25">
            <v>0</v>
          </cell>
          <cell r="AB25" t="str">
            <v>0</v>
          </cell>
        </row>
        <row r="26">
          <cell r="C26">
            <v>0</v>
          </cell>
          <cell r="E26">
            <v>0</v>
          </cell>
          <cell r="G26">
            <v>0</v>
          </cell>
          <cell r="N26" t="str">
            <v>0</v>
          </cell>
          <cell r="U26" t="str">
            <v>0</v>
          </cell>
          <cell r="W26">
            <v>0</v>
          </cell>
          <cell r="AB26" t="str">
            <v>0</v>
          </cell>
        </row>
        <row r="27">
          <cell r="C27">
            <v>0</v>
          </cell>
          <cell r="E27">
            <v>0</v>
          </cell>
          <cell r="G27">
            <v>0</v>
          </cell>
          <cell r="N27" t="str">
            <v>0</v>
          </cell>
          <cell r="U27" t="str">
            <v>0</v>
          </cell>
          <cell r="W27">
            <v>0</v>
          </cell>
          <cell r="AB27" t="str">
            <v>0</v>
          </cell>
        </row>
        <row r="28">
          <cell r="C28">
            <v>0</v>
          </cell>
          <cell r="E28">
            <v>0</v>
          </cell>
          <cell r="G28">
            <v>0</v>
          </cell>
          <cell r="N28" t="str">
            <v>0</v>
          </cell>
          <cell r="U28" t="str">
            <v>0</v>
          </cell>
          <cell r="W28">
            <v>0</v>
          </cell>
        </row>
        <row r="29">
          <cell r="C29">
            <v>0</v>
          </cell>
          <cell r="E29">
            <v>0</v>
          </cell>
          <cell r="G29">
            <v>0</v>
          </cell>
          <cell r="N29" t="str">
            <v>0</v>
          </cell>
          <cell r="U29" t="str">
            <v>0</v>
          </cell>
          <cell r="W29">
            <v>0</v>
          </cell>
        </row>
        <row r="30">
          <cell r="N30" t="str">
            <v>0</v>
          </cell>
          <cell r="U30" t="str">
            <v>0</v>
          </cell>
          <cell r="W30">
            <v>0</v>
          </cell>
        </row>
        <row r="31">
          <cell r="C31">
            <v>0</v>
          </cell>
          <cell r="E31">
            <v>0</v>
          </cell>
          <cell r="G31">
            <v>0</v>
          </cell>
          <cell r="N31" t="str">
            <v>0</v>
          </cell>
          <cell r="U31" t="str">
            <v>0</v>
          </cell>
          <cell r="W31">
            <v>0</v>
          </cell>
          <cell r="AB31" t="str">
            <v>0</v>
          </cell>
        </row>
        <row r="32">
          <cell r="N32" t="str">
            <v>0</v>
          </cell>
        </row>
        <row r="33">
          <cell r="AB33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4AF8-3B1F-456C-B059-6A9C6BCA468B}">
  <dimension ref="A1:P39"/>
  <sheetViews>
    <sheetView tabSelected="1" workbookViewId="0">
      <selection activeCell="X16" sqref="X16"/>
    </sheetView>
  </sheetViews>
  <sheetFormatPr defaultColWidth="8.85546875" defaultRowHeight="12.75" x14ac:dyDescent="0.2"/>
  <cols>
    <col min="1" max="1" width="23" style="13" customWidth="1"/>
    <col min="2" max="2" width="11.42578125" style="13" customWidth="1"/>
    <col min="3" max="3" width="8.85546875" style="15"/>
    <col min="4" max="4" width="13.42578125" style="13" customWidth="1"/>
    <col min="5" max="5" width="12.42578125" style="17" customWidth="1"/>
    <col min="6" max="6" width="20.7109375" style="35" customWidth="1"/>
    <col min="7" max="7" width="8.85546875" style="19"/>
    <col min="8" max="8" width="8.85546875" style="29"/>
    <col min="9" max="10" width="8.85546875" style="33"/>
    <col min="11" max="11" width="8.85546875" style="21"/>
    <col min="12" max="12" width="8.85546875" style="36"/>
    <col min="13" max="13" width="12.42578125" style="32" bestFit="1" customWidth="1"/>
    <col min="14" max="14" width="12.42578125" style="30" bestFit="1" customWidth="1"/>
    <col min="15" max="15" width="8.85546875" style="34"/>
    <col min="16" max="16" width="11.42578125" style="34" customWidth="1"/>
    <col min="17" max="16384" width="8.85546875" style="13"/>
  </cols>
  <sheetData>
    <row r="1" spans="1:16" ht="75.75" thickBot="1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8" t="s">
        <v>10</v>
      </c>
      <c r="L1" s="9" t="s">
        <v>11</v>
      </c>
      <c r="M1" s="10" t="s">
        <v>12</v>
      </c>
      <c r="N1" s="11" t="s">
        <v>13</v>
      </c>
      <c r="O1" s="12" t="s">
        <v>14</v>
      </c>
      <c r="P1" s="12" t="s">
        <v>15</v>
      </c>
    </row>
    <row r="2" spans="1:16" ht="15.75" thickTop="1" x14ac:dyDescent="0.25">
      <c r="A2" s="14" t="s">
        <v>16</v>
      </c>
      <c r="B2" s="13">
        <v>1</v>
      </c>
      <c r="C2" s="15">
        <v>6</v>
      </c>
      <c r="D2" s="16">
        <v>2026</v>
      </c>
      <c r="E2" s="17">
        <f>IF('[1]JUNE 2026'!C2&lt;0,"0",'[1]JUNE 2026'!C2)+(IF('[1]JUNE 2026'!E2&lt;0,"0",'[1]JUNE 2026'!E2)-(IF('[1]JUNE 2026'!G2&lt;0,"0",'[1]JUNE 2026'!G2)))</f>
        <v>6217</v>
      </c>
      <c r="F2" s="18">
        <f>('[1]JUNE 2026'!C2*0.27)/('[1]JUNE 2026'!C2+'[1]JUNE 2026'!E2)</f>
        <v>0.24793791217629083</v>
      </c>
      <c r="G2" s="19">
        <f>'[1]JUNE 2026'!U2</f>
        <v>65</v>
      </c>
      <c r="H2" s="20">
        <v>0.62</v>
      </c>
      <c r="I2" s="21">
        <f>'[1]JUNE 2026'!W2</f>
        <v>108</v>
      </c>
      <c r="J2" s="22">
        <v>2.42</v>
      </c>
      <c r="K2" s="23">
        <f>'[1]JUNE 2026'!AB2*5.04</f>
        <v>0</v>
      </c>
      <c r="L2" s="24">
        <v>0.11509999999999999</v>
      </c>
      <c r="M2" s="25">
        <f>'[1]JUNE 2026'!N2</f>
        <v>323</v>
      </c>
      <c r="N2" s="26">
        <v>0.88</v>
      </c>
      <c r="O2" s="27">
        <f>'[1]JUNE 2026'!AC2</f>
        <v>166</v>
      </c>
      <c r="P2" s="27">
        <f>'[1]JUNE 2026'!AD2</f>
        <v>328</v>
      </c>
    </row>
    <row r="3" spans="1:16" ht="15" x14ac:dyDescent="0.25">
      <c r="A3" s="14" t="s">
        <v>16</v>
      </c>
      <c r="B3" s="13">
        <f>B2+1</f>
        <v>2</v>
      </c>
      <c r="C3" s="15">
        <v>6</v>
      </c>
      <c r="D3" s="16">
        <v>2026</v>
      </c>
      <c r="E3" s="17">
        <f>IF('[1]JUNE 2026'!C3&lt;0,"0",'[1]JUNE 2026'!C3)+(IF('[1]JUNE 2026'!E3&lt;0,"0",'[1]JUNE 2026'!E3)-(IF('[1]JUNE 2026'!G3&lt;0,"0",'[1]JUNE 2026'!G3)))</f>
        <v>6694</v>
      </c>
      <c r="F3" s="18">
        <f>('[1]JUNE 2026'!C3*0.27)/('[1]JUNE 2026'!C3+'[1]JUNE 2026'!E3)</f>
        <v>0.20385121003884077</v>
      </c>
      <c r="G3" s="19">
        <f>'[1]JUNE 2026'!U3</f>
        <v>70</v>
      </c>
      <c r="H3" s="20">
        <v>0.62</v>
      </c>
      <c r="I3" s="21">
        <f>'[1]JUNE 2026'!W3</f>
        <v>133</v>
      </c>
      <c r="J3" s="22">
        <v>2.42</v>
      </c>
      <c r="K3" s="23">
        <f>'[1]JUNE 2026'!AB3*5.04</f>
        <v>0</v>
      </c>
      <c r="L3" s="24">
        <v>0.11509999999999999</v>
      </c>
      <c r="M3" s="25">
        <f>'[1]JUNE 2026'!N3</f>
        <v>310</v>
      </c>
      <c r="N3" s="26">
        <v>0.88</v>
      </c>
      <c r="O3" s="27">
        <f>'[1]JUNE 2026'!AC3</f>
        <v>166</v>
      </c>
      <c r="P3" s="27">
        <f>'[1]JUNE 2026'!AD3</f>
        <v>327</v>
      </c>
    </row>
    <row r="4" spans="1:16" ht="15" x14ac:dyDescent="0.25">
      <c r="A4" s="14" t="s">
        <v>16</v>
      </c>
      <c r="B4" s="13">
        <f t="shared" ref="B4:B30" si="0">B3+1</f>
        <v>3</v>
      </c>
      <c r="C4" s="15">
        <v>6</v>
      </c>
      <c r="D4" s="16">
        <v>2026</v>
      </c>
      <c r="E4" s="17">
        <f>IF('[1]JUNE 2026'!C4&lt;0,"0",'[1]JUNE 2026'!C4)+(IF('[1]JUNE 2026'!E4&lt;0,"0",'[1]JUNE 2026'!E4)-(IF('[1]JUNE 2026'!G4&lt;0,"0",'[1]JUNE 2026'!G4)))</f>
        <v>6309</v>
      </c>
      <c r="F4" s="18">
        <f>('[1]JUNE 2026'!C4*0.27)/('[1]JUNE 2026'!C4+'[1]JUNE 2026'!E4)</f>
        <v>0.19707560627674753</v>
      </c>
      <c r="G4" s="19">
        <f>'[1]JUNE 2026'!U4</f>
        <v>45</v>
      </c>
      <c r="H4" s="20">
        <v>0.62</v>
      </c>
      <c r="I4" s="21">
        <f>'[1]JUNE 2026'!W4</f>
        <v>81</v>
      </c>
      <c r="J4" s="22">
        <v>2.42</v>
      </c>
      <c r="K4" s="23">
        <f>'[1]JUNE 2026'!AB4*5.04</f>
        <v>0</v>
      </c>
      <c r="L4" s="24">
        <v>0.11509999999999999</v>
      </c>
      <c r="M4" s="25">
        <f>'[1]JUNE 2026'!N4</f>
        <v>245</v>
      </c>
      <c r="N4" s="26">
        <v>0.88</v>
      </c>
      <c r="O4" s="27">
        <f>'[1]JUNE 2026'!AC4</f>
        <v>177</v>
      </c>
      <c r="P4" s="27">
        <f>'[1]JUNE 2026'!AD4</f>
        <v>343</v>
      </c>
    </row>
    <row r="5" spans="1:16" ht="15" x14ac:dyDescent="0.25">
      <c r="A5" s="14" t="s">
        <v>16</v>
      </c>
      <c r="B5" s="13">
        <f t="shared" si="0"/>
        <v>4</v>
      </c>
      <c r="C5" s="15">
        <v>6</v>
      </c>
      <c r="D5" s="16">
        <v>2026</v>
      </c>
      <c r="E5" s="17">
        <f>IF('[1]JUNE 2026'!C5&lt;0,"0",'[1]JUNE 2026'!C5)+(IF('[1]JUNE 2026'!E5&lt;0,"0",'[1]JUNE 2026'!E5)-(IF('[1]JUNE 2026'!G5&lt;0,"0",'[1]JUNE 2026'!G5)))</f>
        <v>6712</v>
      </c>
      <c r="F5" s="18">
        <f>('[1]JUNE 2026'!C5*0.27)/('[1]JUNE 2026'!C5+'[1]JUNE 2026'!E5)</f>
        <v>0.20229886769964245</v>
      </c>
      <c r="G5" s="19">
        <f>'[1]JUNE 2026'!U5</f>
        <v>90</v>
      </c>
      <c r="H5" s="20">
        <v>0.62</v>
      </c>
      <c r="I5" s="21">
        <f>'[1]JUNE 2026'!W5</f>
        <v>121</v>
      </c>
      <c r="J5" s="22">
        <v>2.42</v>
      </c>
      <c r="K5" s="23">
        <f>'[1]JUNE 2026'!AB5*5.04</f>
        <v>0</v>
      </c>
      <c r="L5" s="24">
        <v>0.11509999999999999</v>
      </c>
      <c r="M5" s="25">
        <f>'[1]JUNE 2026'!N5</f>
        <v>209</v>
      </c>
      <c r="N5" s="26">
        <v>0.88</v>
      </c>
      <c r="O5" s="27">
        <f>'[1]JUNE 2026'!AC5</f>
        <v>189</v>
      </c>
      <c r="P5" s="27">
        <f>'[1]JUNE 2026'!AD5</f>
        <v>364</v>
      </c>
    </row>
    <row r="6" spans="1:16" ht="15" x14ac:dyDescent="0.25">
      <c r="A6" s="14" t="s">
        <v>16</v>
      </c>
      <c r="B6" s="13">
        <f t="shared" si="0"/>
        <v>5</v>
      </c>
      <c r="C6" s="15">
        <v>6</v>
      </c>
      <c r="D6" s="16">
        <v>2026</v>
      </c>
      <c r="E6" s="17">
        <f>IF('[1]JUNE 2026'!C6&lt;0,"0",'[1]JUNE 2026'!C6)+(IF('[1]JUNE 2026'!E6&lt;0,"0",'[1]JUNE 2026'!E6)-(IF('[1]JUNE 2026'!G6&lt;0,"0",'[1]JUNE 2026'!G6)))</f>
        <v>6533</v>
      </c>
      <c r="F6" s="18">
        <f>('[1]JUNE 2026'!C6*0.27)/('[1]JUNE 2026'!C6+'[1]JUNE 2026'!E6)</f>
        <v>0.20106382978723408</v>
      </c>
      <c r="G6" s="19">
        <f>'[1]JUNE 2026'!U6</f>
        <v>180</v>
      </c>
      <c r="H6" s="20">
        <v>0.62</v>
      </c>
      <c r="I6" s="21">
        <f>'[1]JUNE 2026'!W6</f>
        <v>120</v>
      </c>
      <c r="J6" s="22">
        <v>2.42</v>
      </c>
      <c r="K6" s="23">
        <f>'[1]JUNE 2026'!AB6*5.04</f>
        <v>0</v>
      </c>
      <c r="L6" s="24">
        <v>0.11509999999999999</v>
      </c>
      <c r="M6" s="25">
        <f>'[1]JUNE 2026'!N6</f>
        <v>178</v>
      </c>
      <c r="N6" s="26">
        <v>0.88</v>
      </c>
      <c r="O6" s="27">
        <f>'[1]JUNE 2026'!AC6</f>
        <v>203</v>
      </c>
      <c r="P6" s="27">
        <f>'[1]JUNE 2026'!AD6</f>
        <v>398</v>
      </c>
    </row>
    <row r="7" spans="1:16" ht="15" x14ac:dyDescent="0.25">
      <c r="A7" s="14" t="s">
        <v>16</v>
      </c>
      <c r="B7" s="13">
        <f t="shared" si="0"/>
        <v>6</v>
      </c>
      <c r="C7" s="15">
        <v>6</v>
      </c>
      <c r="D7" s="16">
        <v>2026</v>
      </c>
      <c r="E7" s="17">
        <f>IF('[1]JUNE 2026'!C7&lt;0,"0",'[1]JUNE 2026'!C7)+(IF('[1]JUNE 2026'!E7&lt;0,"0",'[1]JUNE 2026'!E7)-(IF('[1]JUNE 2026'!G7&lt;0,"0",'[1]JUNE 2026'!G7)))</f>
        <v>6825</v>
      </c>
      <c r="F7" s="18">
        <f>('[1]JUNE 2026'!C7*0.27)/('[1]JUNE 2026'!C7+'[1]JUNE 2026'!E7)</f>
        <v>0.20456703296703299</v>
      </c>
      <c r="G7" s="19">
        <f>'[1]JUNE 2026'!U7</f>
        <v>110</v>
      </c>
      <c r="H7" s="20">
        <v>0.62</v>
      </c>
      <c r="I7" s="21">
        <f>'[1]JUNE 2026'!W7</f>
        <v>119</v>
      </c>
      <c r="J7" s="22">
        <v>2.42</v>
      </c>
      <c r="K7" s="23">
        <f>'[1]JUNE 2026'!AB7*5.04</f>
        <v>0</v>
      </c>
      <c r="L7" s="24">
        <v>0.11509999999999999</v>
      </c>
      <c r="M7" s="25">
        <f>'[1]JUNE 2026'!N7</f>
        <v>171</v>
      </c>
      <c r="N7" s="26">
        <v>0.88</v>
      </c>
      <c r="O7" s="27">
        <f>'[1]JUNE 2026'!AC7</f>
        <v>204</v>
      </c>
      <c r="P7" s="27">
        <f>'[1]JUNE 2026'!AD7</f>
        <v>397</v>
      </c>
    </row>
    <row r="8" spans="1:16" ht="15" x14ac:dyDescent="0.25">
      <c r="A8" s="14" t="s">
        <v>16</v>
      </c>
      <c r="B8" s="13">
        <f t="shared" si="0"/>
        <v>7</v>
      </c>
      <c r="C8" s="15">
        <v>6</v>
      </c>
      <c r="D8" s="16">
        <v>2026</v>
      </c>
      <c r="E8" s="17">
        <f>IF('[1]JUNE 2026'!C8&lt;0,"0",'[1]JUNE 2026'!C8)+(IF('[1]JUNE 2026'!E8&lt;0,"0",'[1]JUNE 2026'!E8)-(IF('[1]JUNE 2026'!G8&lt;0,"0",'[1]JUNE 2026'!G8)))</f>
        <v>7221</v>
      </c>
      <c r="F8" s="18">
        <f>('[1]JUNE 2026'!C8*0.27)/('[1]JUNE 2026'!C8+'[1]JUNE 2026'!E8)</f>
        <v>0.21309098462816783</v>
      </c>
      <c r="G8" s="19">
        <f>'[1]JUNE 2026'!U8</f>
        <v>105</v>
      </c>
      <c r="H8" s="20">
        <v>0.62</v>
      </c>
      <c r="I8" s="21">
        <f>'[1]JUNE 2026'!W8</f>
        <v>116</v>
      </c>
      <c r="J8" s="22">
        <v>2.42</v>
      </c>
      <c r="K8" s="23">
        <f>'[1]JUNE 2026'!AB8*5.04</f>
        <v>0</v>
      </c>
      <c r="L8" s="24">
        <v>0.11509999999999999</v>
      </c>
      <c r="M8" s="25">
        <f>'[1]JUNE 2026'!N8</f>
        <v>124</v>
      </c>
      <c r="N8" s="26">
        <v>0.88</v>
      </c>
      <c r="O8" s="27">
        <f>'[1]JUNE 2026'!AC8</f>
        <v>208</v>
      </c>
      <c r="P8" s="27">
        <f>'[1]JUNE 2026'!AD8</f>
        <v>404</v>
      </c>
    </row>
    <row r="9" spans="1:16" ht="15" x14ac:dyDescent="0.25">
      <c r="A9" s="14" t="s">
        <v>16</v>
      </c>
      <c r="B9" s="13">
        <f t="shared" si="0"/>
        <v>8</v>
      </c>
      <c r="C9" s="15">
        <v>6</v>
      </c>
      <c r="D9" s="16">
        <v>2026</v>
      </c>
      <c r="E9" s="17">
        <f>IF('[1]JUNE 2026'!C9&lt;0,"0",'[1]JUNE 2026'!C9)+(IF('[1]JUNE 2026'!E9&lt;0,"0",'[1]JUNE 2026'!E9)-(IF('[1]JUNE 2026'!G9&lt;0,"0",'[1]JUNE 2026'!G9)))</f>
        <v>7654</v>
      </c>
      <c r="F9" s="18">
        <f>('[1]JUNE 2026'!C9*0.27)/('[1]JUNE 2026'!C9+'[1]JUNE 2026'!E9)</f>
        <v>0.21232427488894698</v>
      </c>
      <c r="G9" s="19">
        <f>'[1]JUNE 2026'!U9</f>
        <v>78</v>
      </c>
      <c r="H9" s="20">
        <v>0.62</v>
      </c>
      <c r="I9" s="21">
        <f>'[1]JUNE 2026'!W9</f>
        <v>118</v>
      </c>
      <c r="J9" s="22">
        <v>2.42</v>
      </c>
      <c r="K9" s="23">
        <f>'[1]JUNE 2026'!AB9*5.04</f>
        <v>0</v>
      </c>
      <c r="L9" s="24">
        <v>0.11509999999999999</v>
      </c>
      <c r="M9" s="25">
        <f>'[1]JUNE 2026'!N9</f>
        <v>126</v>
      </c>
      <c r="N9" s="26">
        <v>0.88</v>
      </c>
      <c r="O9" s="27">
        <f>'[1]JUNE 2026'!AC9</f>
        <v>210</v>
      </c>
      <c r="P9" s="27">
        <f>'[1]JUNE 2026'!AD9</f>
        <v>407</v>
      </c>
    </row>
    <row r="10" spans="1:16" ht="15" x14ac:dyDescent="0.25">
      <c r="A10" s="14" t="s">
        <v>16</v>
      </c>
      <c r="B10" s="13">
        <f t="shared" si="0"/>
        <v>9</v>
      </c>
      <c r="C10" s="15">
        <v>6</v>
      </c>
      <c r="D10" s="16">
        <v>2026</v>
      </c>
      <c r="E10" s="17">
        <f>IF('[1]JUNE 2026'!C10&lt;0,"0",'[1]JUNE 2026'!C10)+(IF('[1]JUNE 2026'!E10&lt;0,"0",'[1]JUNE 2026'!E10)-(IF('[1]JUNE 2026'!G10&lt;0,"0",'[1]JUNE 2026'!G10)))</f>
        <v>7402</v>
      </c>
      <c r="F10" s="18">
        <f>('[1]JUNE 2026'!C10*0.27)/('[1]JUNE 2026'!C10+'[1]JUNE 2026'!E10)</f>
        <v>0.21145501215887599</v>
      </c>
      <c r="G10" s="19">
        <f>'[1]JUNE 2026'!U10</f>
        <v>50</v>
      </c>
      <c r="H10" s="20">
        <v>0.62</v>
      </c>
      <c r="I10" s="21">
        <f>'[1]JUNE 2026'!W10</f>
        <v>121</v>
      </c>
      <c r="J10" s="22">
        <v>2.42</v>
      </c>
      <c r="K10" s="23">
        <f>'[1]JUNE 2026'!AB10*5.04</f>
        <v>0</v>
      </c>
      <c r="L10" s="24">
        <v>0.11509999999999999</v>
      </c>
      <c r="M10" s="25">
        <f>'[1]JUNE 2026'!N10</f>
        <v>113</v>
      </c>
      <c r="N10" s="26">
        <v>0.88</v>
      </c>
      <c r="O10" s="27">
        <f>'[1]JUNE 2026'!AC10</f>
        <v>205</v>
      </c>
      <c r="P10" s="27">
        <f>'[1]JUNE 2026'!AD10</f>
        <v>399</v>
      </c>
    </row>
    <row r="11" spans="1:16" ht="15" x14ac:dyDescent="0.25">
      <c r="A11" s="14" t="s">
        <v>16</v>
      </c>
      <c r="B11" s="13">
        <f t="shared" si="0"/>
        <v>10</v>
      </c>
      <c r="C11" s="15">
        <v>6</v>
      </c>
      <c r="D11" s="16">
        <v>2026</v>
      </c>
      <c r="E11" s="17">
        <f>IF('[1]JUNE 2026'!C11&lt;0,"0",'[1]JUNE 2026'!C11)+(IF('[1]JUNE 2026'!E11&lt;0,"0",'[1]JUNE 2026'!E11)-(IF('[1]JUNE 2026'!G11&lt;0,"0",'[1]JUNE 2026'!G11)))</f>
        <v>7746</v>
      </c>
      <c r="F11" s="18">
        <f>('[1]JUNE 2026'!C11*0.27)/('[1]JUNE 2026'!C11+'[1]JUNE 2026'!E11)</f>
        <v>0.21426413632842758</v>
      </c>
      <c r="G11" s="19">
        <f>'[1]JUNE 2026'!U11</f>
        <v>110</v>
      </c>
      <c r="H11" s="20">
        <v>0.62</v>
      </c>
      <c r="I11" s="21">
        <f>'[1]JUNE 2026'!W11</f>
        <v>122</v>
      </c>
      <c r="J11" s="22">
        <v>2.42</v>
      </c>
      <c r="K11" s="23">
        <f>'[1]JUNE 2026'!AB11*5.04</f>
        <v>0</v>
      </c>
      <c r="L11" s="24">
        <v>0.11509999999999999</v>
      </c>
      <c r="M11" s="25">
        <f>'[1]JUNE 2026'!N11</f>
        <v>115</v>
      </c>
      <c r="N11" s="26">
        <v>0.88</v>
      </c>
      <c r="O11" s="27">
        <f>'[1]JUNE 2026'!AC11</f>
        <v>201</v>
      </c>
      <c r="P11" s="27">
        <f>'[1]JUNE 2026'!AD11</f>
        <v>392</v>
      </c>
    </row>
    <row r="12" spans="1:16" ht="15" x14ac:dyDescent="0.25">
      <c r="A12" s="14" t="s">
        <v>16</v>
      </c>
      <c r="B12" s="13">
        <f t="shared" si="0"/>
        <v>11</v>
      </c>
      <c r="C12" s="15">
        <v>6</v>
      </c>
      <c r="D12" s="16">
        <v>2026</v>
      </c>
      <c r="E12" s="17">
        <f>IF('[1]JUNE 2026'!C12&lt;0,"0",'[1]JUNE 2026'!C12)+(IF('[1]JUNE 2026'!E12&lt;0,"0",'[1]JUNE 2026'!E12)-(IF('[1]JUNE 2026'!G12&lt;0,"0",'[1]JUNE 2026'!G12)))</f>
        <v>7844</v>
      </c>
      <c r="F12" s="18">
        <f>('[1]JUNE 2026'!C12*0.27)/('[1]JUNE 2026'!C12+'[1]JUNE 2026'!E12)</f>
        <v>0.21423763386027536</v>
      </c>
      <c r="G12" s="19">
        <f>'[1]JUNE 2026'!U12</f>
        <v>120</v>
      </c>
      <c r="H12" s="20">
        <v>0.62</v>
      </c>
      <c r="I12" s="21">
        <f>'[1]JUNE 2026'!W12</f>
        <v>121</v>
      </c>
      <c r="J12" s="22">
        <v>2.42</v>
      </c>
      <c r="K12" s="23">
        <f>'[1]JUNE 2026'!AB12*5.04</f>
        <v>0</v>
      </c>
      <c r="L12" s="24">
        <v>0.11509999999999999</v>
      </c>
      <c r="M12" s="25">
        <f>'[1]JUNE 2026'!N12</f>
        <v>93</v>
      </c>
      <c r="N12" s="26">
        <v>0.88</v>
      </c>
      <c r="O12" s="27">
        <f>'[1]JUNE 2026'!AC12</f>
        <v>208</v>
      </c>
      <c r="P12" s="27">
        <f>'[1]JUNE 2026'!AD12</f>
        <v>407</v>
      </c>
    </row>
    <row r="13" spans="1:16" ht="15" x14ac:dyDescent="0.25">
      <c r="A13" s="14" t="s">
        <v>16</v>
      </c>
      <c r="B13" s="13">
        <f t="shared" si="0"/>
        <v>12</v>
      </c>
      <c r="C13" s="15">
        <v>6</v>
      </c>
      <c r="D13" s="16">
        <v>2026</v>
      </c>
      <c r="E13" s="17">
        <f>IF('[1]JUNE 2026'!C13&lt;0,"0",'[1]JUNE 2026'!C13)+(IF('[1]JUNE 2026'!E13&lt;0,"0",'[1]JUNE 2026'!E13)-(IF('[1]JUNE 2026'!G13&lt;0,"0",'[1]JUNE 2026'!G13)))</f>
        <v>8014</v>
      </c>
      <c r="F13" s="18">
        <f>('[1]JUNE 2026'!C13*0.27)/('[1]JUNE 2026'!C13+'[1]JUNE 2026'!E13)</f>
        <v>0.21761043174444722</v>
      </c>
      <c r="G13" s="19">
        <f>'[1]JUNE 2026'!U13</f>
        <v>125</v>
      </c>
      <c r="H13" s="20">
        <v>0.62</v>
      </c>
      <c r="I13" s="21">
        <f>'[1]JUNE 2026'!W13</f>
        <v>129</v>
      </c>
      <c r="J13" s="22">
        <v>2.42</v>
      </c>
      <c r="K13" s="23">
        <f>'[1]JUNE 2026'!AB13*5.04</f>
        <v>0</v>
      </c>
      <c r="L13" s="24">
        <v>0.11509999999999999</v>
      </c>
      <c r="M13" s="25">
        <f>'[1]JUNE 2026'!N13</f>
        <v>91</v>
      </c>
      <c r="N13" s="26">
        <v>0.88</v>
      </c>
      <c r="O13" s="27">
        <f>'[1]JUNE 2026'!AC13</f>
        <v>235</v>
      </c>
      <c r="P13" s="27">
        <f>'[1]JUNE 2026'!AD13</f>
        <v>462</v>
      </c>
    </row>
    <row r="14" spans="1:16" ht="15" x14ac:dyDescent="0.25">
      <c r="A14" s="14" t="s">
        <v>16</v>
      </c>
      <c r="B14" s="13">
        <f t="shared" si="0"/>
        <v>13</v>
      </c>
      <c r="C14" s="15">
        <v>6</v>
      </c>
      <c r="D14" s="16">
        <v>2026</v>
      </c>
      <c r="E14" s="17">
        <f>IF('[1]JUNE 2026'!C14&lt;0,"0",'[1]JUNE 2026'!C14)+(IF('[1]JUNE 2026'!E14&lt;0,"0",'[1]JUNE 2026'!E14)-(IF('[1]JUNE 2026'!G14&lt;0,"0",'[1]JUNE 2026'!G14)))</f>
        <v>8100</v>
      </c>
      <c r="F14" s="18">
        <f>('[1]JUNE 2026'!C14*0.27)/('[1]JUNE 2026'!C14+'[1]JUNE 2026'!E14)</f>
        <v>0.21880000000000002</v>
      </c>
      <c r="G14" s="19">
        <f>'[1]JUNE 2026'!U14</f>
        <v>75</v>
      </c>
      <c r="H14" s="20">
        <v>0.62</v>
      </c>
      <c r="I14" s="21">
        <f>'[1]JUNE 2026'!W14</f>
        <v>133</v>
      </c>
      <c r="J14" s="22">
        <v>2.42</v>
      </c>
      <c r="K14" s="23">
        <f>'[1]JUNE 2026'!AB14*5.04</f>
        <v>0</v>
      </c>
      <c r="L14" s="24">
        <v>0.11509999999999999</v>
      </c>
      <c r="M14" s="25">
        <f>'[1]JUNE 2026'!N14</f>
        <v>93</v>
      </c>
      <c r="N14" s="26">
        <v>0.88</v>
      </c>
      <c r="O14" s="27">
        <f>'[1]JUNE 2026'!AC14</f>
        <v>216</v>
      </c>
      <c r="P14" s="27">
        <f>'[1]JUNE 2026'!AD14</f>
        <v>436</v>
      </c>
    </row>
    <row r="15" spans="1:16" ht="15" x14ac:dyDescent="0.25">
      <c r="A15" s="14" t="s">
        <v>16</v>
      </c>
      <c r="B15" s="13">
        <f t="shared" si="0"/>
        <v>14</v>
      </c>
      <c r="C15" s="15">
        <v>6</v>
      </c>
      <c r="D15" s="16">
        <v>2026</v>
      </c>
      <c r="E15" s="17">
        <f>IF('[1]JUNE 2026'!C15&lt;0,"0",'[1]JUNE 2026'!C15)+(IF('[1]JUNE 2026'!E15&lt;0,"0",'[1]JUNE 2026'!E15)-(IF('[1]JUNE 2026'!G15&lt;0,"0",'[1]JUNE 2026'!G15)))</f>
        <v>1583</v>
      </c>
      <c r="F15" s="18">
        <f>('[1]JUNE 2026'!C15*0.27)/('[1]JUNE 2026'!C15+'[1]JUNE 2026'!E15)</f>
        <v>0</v>
      </c>
      <c r="G15" s="19">
        <f>'[1]JUNE 2026'!U15</f>
        <v>195</v>
      </c>
      <c r="H15" s="20">
        <v>0.62</v>
      </c>
      <c r="I15" s="21">
        <f>'[1]JUNE 2026'!W15</f>
        <v>116</v>
      </c>
      <c r="J15" s="22">
        <v>2.42</v>
      </c>
      <c r="K15" s="23">
        <f>'[1]JUNE 2026'!AB15*5.04</f>
        <v>0</v>
      </c>
      <c r="L15" s="24">
        <v>0.11509999999999999</v>
      </c>
      <c r="M15" s="25">
        <f>'[1]JUNE 2026'!N15</f>
        <v>111</v>
      </c>
      <c r="N15" s="26">
        <v>0.88</v>
      </c>
      <c r="O15" s="27">
        <f>'[1]JUNE 2026'!AC15</f>
        <v>179</v>
      </c>
      <c r="P15" s="27">
        <f>'[1]JUNE 2026'!AD15</f>
        <v>349</v>
      </c>
    </row>
    <row r="16" spans="1:16" ht="15" x14ac:dyDescent="0.25">
      <c r="A16" s="14" t="s">
        <v>16</v>
      </c>
      <c r="B16" s="13">
        <f t="shared" si="0"/>
        <v>15</v>
      </c>
      <c r="C16" s="15">
        <v>6</v>
      </c>
      <c r="D16" s="16">
        <v>2026</v>
      </c>
      <c r="E16" s="17">
        <f>IF('[1]JUNE 2026'!C16&lt;0,"0",'[1]JUNE 2026'!C16)+(IF('[1]JUNE 2026'!E16&lt;0,"0",'[1]JUNE 2026'!E16)-(IF('[1]JUNE 2026'!G16&lt;0,"0",'[1]JUNE 2026'!G16)))</f>
        <v>0</v>
      </c>
      <c r="F16" s="18" t="e">
        <f>('[1]JUNE 2026'!C16*0.27)/('[1]JUNE 2026'!C16+'[1]JUNE 2026'!E16)</f>
        <v>#DIV/0!</v>
      </c>
      <c r="G16" s="19">
        <f>'[1]JUNE 2026'!U16</f>
        <v>4533</v>
      </c>
      <c r="H16" s="20">
        <v>0.62</v>
      </c>
      <c r="I16" s="21" t="str">
        <f>'[1]JUNE 2026'!W16</f>
        <v>0</v>
      </c>
      <c r="J16" s="22">
        <v>2.42</v>
      </c>
      <c r="K16" s="23">
        <f>'[1]JUNE 2026'!AB16*5.04</f>
        <v>0</v>
      </c>
      <c r="L16" s="24">
        <v>0.11509999999999999</v>
      </c>
      <c r="M16" s="25" t="str">
        <f>'[1]JUNE 2026'!N16</f>
        <v>0</v>
      </c>
      <c r="N16" s="26">
        <v>0.88</v>
      </c>
      <c r="O16" s="27">
        <f>'[1]JUNE 2026'!AC16</f>
        <v>183</v>
      </c>
      <c r="P16" s="27">
        <f>'[1]JUNE 2026'!AD16</f>
        <v>349</v>
      </c>
    </row>
    <row r="17" spans="1:16" ht="15" x14ac:dyDescent="0.25">
      <c r="A17" s="14" t="s">
        <v>16</v>
      </c>
      <c r="B17" s="13">
        <f t="shared" si="0"/>
        <v>16</v>
      </c>
      <c r="C17" s="15">
        <v>6</v>
      </c>
      <c r="D17" s="16">
        <v>2026</v>
      </c>
      <c r="E17" s="17">
        <f>IF('[1]JUNE 2026'!C17&lt;0,"0",'[1]JUNE 2026'!C17)+(IF('[1]JUNE 2026'!E17&lt;0,"0",'[1]JUNE 2026'!E17)-(IF('[1]JUNE 2026'!G17&lt;0,"0",'[1]JUNE 2026'!G17)))</f>
        <v>0</v>
      </c>
      <c r="F17" s="18" t="e">
        <f>('[1]JUNE 2026'!C17*0.27)/('[1]JUNE 2026'!C17+'[1]JUNE 2026'!E17)</f>
        <v>#DIV/0!</v>
      </c>
      <c r="G17" s="19" t="str">
        <f>'[1]JUNE 2026'!U17</f>
        <v>0</v>
      </c>
      <c r="H17" s="20">
        <v>0.62</v>
      </c>
      <c r="I17" s="21">
        <f>'[1]JUNE 2026'!W17</f>
        <v>0</v>
      </c>
      <c r="J17" s="22">
        <v>2.42</v>
      </c>
      <c r="K17" s="23">
        <f>'[1]JUNE 2026'!AB17*5.04</f>
        <v>0</v>
      </c>
      <c r="L17" s="24">
        <v>0.11509999999999999</v>
      </c>
      <c r="M17" s="25" t="str">
        <f>'[1]JUNE 2026'!N17</f>
        <v>0</v>
      </c>
      <c r="N17" s="26">
        <v>0.88</v>
      </c>
      <c r="O17" s="27">
        <f>'[1]JUNE 2026'!AC17</f>
        <v>0</v>
      </c>
      <c r="P17" s="27">
        <f>'[1]JUNE 2026'!AD17</f>
        <v>0</v>
      </c>
    </row>
    <row r="18" spans="1:16" ht="15" x14ac:dyDescent="0.25">
      <c r="A18" s="14" t="s">
        <v>16</v>
      </c>
      <c r="B18" s="13">
        <f t="shared" si="0"/>
        <v>17</v>
      </c>
      <c r="C18" s="15">
        <v>6</v>
      </c>
      <c r="D18" s="16">
        <v>2026</v>
      </c>
      <c r="E18" s="17">
        <f>IF('[1]JUNE 2026'!C18&lt;0,"0",'[1]JUNE 2026'!C18)+(IF('[1]JUNE 2026'!E18&lt;0,"0",'[1]JUNE 2026'!E18)-(IF('[1]JUNE 2026'!G18&lt;0,"0",'[1]JUNE 2026'!G18)))</f>
        <v>0</v>
      </c>
      <c r="F18" s="18" t="e">
        <f>('[1]JUNE 2026'!C18*0.27)/('[1]JUNE 2026'!C18+'[1]JUNE 2026'!E18)</f>
        <v>#DIV/0!</v>
      </c>
      <c r="G18" s="19" t="str">
        <f>'[1]JUNE 2026'!U18</f>
        <v>0</v>
      </c>
      <c r="H18" s="20">
        <v>0.62</v>
      </c>
      <c r="I18" s="21">
        <f>'[1]JUNE 2026'!W18</f>
        <v>0</v>
      </c>
      <c r="J18" s="22">
        <v>2.42</v>
      </c>
      <c r="K18" s="23">
        <f>'[1]JUNE 2026'!AB18*5.04</f>
        <v>0</v>
      </c>
      <c r="L18" s="24">
        <v>0.11509999999999999</v>
      </c>
      <c r="M18" s="25" t="str">
        <f>'[1]JUNE 2026'!N18</f>
        <v>0</v>
      </c>
      <c r="N18" s="26">
        <v>0.88</v>
      </c>
      <c r="O18" s="27">
        <f>'[1]JUNE 2026'!AC18</f>
        <v>0</v>
      </c>
      <c r="P18" s="27">
        <f>'[1]JUNE 2026'!AD18</f>
        <v>0</v>
      </c>
    </row>
    <row r="19" spans="1:16" ht="15" x14ac:dyDescent="0.25">
      <c r="A19" s="14" t="s">
        <v>16</v>
      </c>
      <c r="B19" s="13">
        <f t="shared" si="0"/>
        <v>18</v>
      </c>
      <c r="C19" s="15">
        <v>6</v>
      </c>
      <c r="D19" s="16">
        <v>2026</v>
      </c>
      <c r="E19" s="17">
        <f>IF('[1]JUNE 2026'!C19&lt;0,"0",'[1]JUNE 2026'!C19)+(IF('[1]JUNE 2026'!E19&lt;0,"0",'[1]JUNE 2026'!E19)-(IF('[1]JUNE 2026'!G19&lt;0,"0",'[1]JUNE 2026'!G19)))</f>
        <v>0</v>
      </c>
      <c r="F19" s="18" t="e">
        <f>('[1]JUNE 2026'!C19*0.27)/('[1]JUNE 2026'!C19+'[1]JUNE 2026'!E19)</f>
        <v>#DIV/0!</v>
      </c>
      <c r="G19" s="19" t="str">
        <f>'[1]JUNE 2026'!U19</f>
        <v>0</v>
      </c>
      <c r="H19" s="20">
        <v>0.62</v>
      </c>
      <c r="I19" s="21">
        <f>'[1]JUNE 2026'!W19</f>
        <v>0</v>
      </c>
      <c r="J19" s="22">
        <v>2.42</v>
      </c>
      <c r="K19" s="23">
        <f>'[1]JUNE 2026'!AB19*5.04</f>
        <v>0</v>
      </c>
      <c r="L19" s="24">
        <v>0.11509999999999999</v>
      </c>
      <c r="M19" s="25" t="str">
        <f>'[1]JUNE 2026'!N19</f>
        <v>0</v>
      </c>
      <c r="N19" s="26">
        <v>0.88</v>
      </c>
      <c r="O19" s="27">
        <f>'[1]JUNE 2026'!AC19</f>
        <v>0</v>
      </c>
      <c r="P19" s="27">
        <f>'[1]JUNE 2026'!AD19</f>
        <v>0</v>
      </c>
    </row>
    <row r="20" spans="1:16" ht="15" x14ac:dyDescent="0.25">
      <c r="A20" s="14" t="s">
        <v>16</v>
      </c>
      <c r="B20" s="13">
        <f t="shared" si="0"/>
        <v>19</v>
      </c>
      <c r="C20" s="15">
        <v>6</v>
      </c>
      <c r="D20" s="16">
        <v>2026</v>
      </c>
      <c r="E20" s="17">
        <f>IF('[1]JUNE 2026'!C20&lt;0,"0",'[1]JUNE 2026'!C20)+(IF('[1]JUNE 2026'!E20&lt;0,"0",'[1]JUNE 2026'!E20)-(IF('[1]JUNE 2026'!G20&lt;0,"0",'[1]JUNE 2026'!G20)))</f>
        <v>0</v>
      </c>
      <c r="F20" s="18" t="e">
        <f>('[1]JUNE 2026'!C20*0.27)/('[1]JUNE 2026'!C20+'[1]JUNE 2026'!E20)</f>
        <v>#DIV/0!</v>
      </c>
      <c r="G20" s="19" t="str">
        <f>'[1]JUNE 2026'!U20</f>
        <v>0</v>
      </c>
      <c r="H20" s="20">
        <v>0.62</v>
      </c>
      <c r="I20" s="21">
        <f>'[1]JUNE 2026'!W20</f>
        <v>0</v>
      </c>
      <c r="J20" s="22">
        <v>2.42</v>
      </c>
      <c r="K20" s="23">
        <f>'[1]JUNE 2026'!AB20*5.04</f>
        <v>0</v>
      </c>
      <c r="L20" s="24">
        <v>0.11509999999999999</v>
      </c>
      <c r="M20" s="25" t="str">
        <f>'[1]JUNE 2026'!N20</f>
        <v>0</v>
      </c>
      <c r="N20" s="26">
        <v>0.88</v>
      </c>
      <c r="O20" s="27">
        <f>'[1]JUNE 2026'!AC20</f>
        <v>0</v>
      </c>
      <c r="P20" s="27">
        <f>'[1]JUNE 2026'!AD20</f>
        <v>0</v>
      </c>
    </row>
    <row r="21" spans="1:16" ht="15" x14ac:dyDescent="0.25">
      <c r="A21" s="14" t="s">
        <v>16</v>
      </c>
      <c r="B21" s="13">
        <f t="shared" si="0"/>
        <v>20</v>
      </c>
      <c r="C21" s="15">
        <v>6</v>
      </c>
      <c r="D21" s="16">
        <v>2026</v>
      </c>
      <c r="E21" s="17">
        <f>IF('[1]JUNE 2026'!C21&lt;0,"0",'[1]JUNE 2026'!C21)+(IF('[1]JUNE 2026'!E21&lt;0,"0",'[1]JUNE 2026'!E21)-(IF('[1]JUNE 2026'!G21&lt;0,"0",'[1]JUNE 2026'!G21)))</f>
        <v>0</v>
      </c>
      <c r="F21" s="18" t="e">
        <f>('[1]JUNE 2026'!C21*0.27)/('[1]JUNE 2026'!C21+'[1]JUNE 2026'!E21)</f>
        <v>#DIV/0!</v>
      </c>
      <c r="G21" s="19" t="str">
        <f>'[1]JUNE 2026'!U21</f>
        <v>0</v>
      </c>
      <c r="H21" s="20">
        <v>0.62</v>
      </c>
      <c r="I21" s="21">
        <f>'[1]JUNE 2026'!W21</f>
        <v>0</v>
      </c>
      <c r="J21" s="22">
        <v>2.42</v>
      </c>
      <c r="K21" s="23">
        <f>'[1]JUNE 2026'!AB21*5.04</f>
        <v>0</v>
      </c>
      <c r="L21" s="24">
        <v>0.11509999999999999</v>
      </c>
      <c r="M21" s="25" t="str">
        <f>'[1]JUNE 2026'!N21</f>
        <v>0</v>
      </c>
      <c r="N21" s="26">
        <v>0.88</v>
      </c>
      <c r="O21" s="27">
        <f>'[1]JUNE 2026'!AC21</f>
        <v>0</v>
      </c>
      <c r="P21" s="27">
        <f>'[1]JUNE 2026'!AD21</f>
        <v>0</v>
      </c>
    </row>
    <row r="22" spans="1:16" ht="15" x14ac:dyDescent="0.25">
      <c r="A22" s="14" t="s">
        <v>16</v>
      </c>
      <c r="B22" s="13">
        <f t="shared" si="0"/>
        <v>21</v>
      </c>
      <c r="C22" s="15">
        <v>6</v>
      </c>
      <c r="D22" s="16">
        <v>2026</v>
      </c>
      <c r="E22" s="17">
        <f>IF('[1]JUNE 2026'!C22&lt;0,"0",'[1]JUNE 2026'!C22)+(IF('[1]JUNE 2026'!E22&lt;0,"0",'[1]JUNE 2026'!E22)-(IF('[1]JUNE 2026'!G22&lt;0,"0",'[1]JUNE 2026'!G22)))</f>
        <v>0</v>
      </c>
      <c r="F22" s="18" t="e">
        <f>('[1]JUNE 2026'!C22*0.27)/('[1]JUNE 2026'!C22+'[1]JUNE 2026'!E22)</f>
        <v>#DIV/0!</v>
      </c>
      <c r="G22" s="19" t="str">
        <f>'[1]JUNE 2026'!U22</f>
        <v>0</v>
      </c>
      <c r="H22" s="20">
        <v>0.62</v>
      </c>
      <c r="I22" s="21">
        <f>'[1]JUNE 2026'!W22</f>
        <v>0</v>
      </c>
      <c r="J22" s="22">
        <v>2.42</v>
      </c>
      <c r="K22" s="23">
        <f>'[1]JUNE 2026'!AB22*5.04</f>
        <v>0</v>
      </c>
      <c r="L22" s="24">
        <v>0.11509999999999999</v>
      </c>
      <c r="M22" s="25" t="str">
        <f>'[1]JUNE 2026'!N22</f>
        <v>0</v>
      </c>
      <c r="N22" s="26">
        <v>0.88</v>
      </c>
      <c r="O22" s="27">
        <f>'[1]JUNE 2026'!AC22</f>
        <v>0</v>
      </c>
      <c r="P22" s="27">
        <f>'[1]JUNE 2026'!AD22</f>
        <v>0</v>
      </c>
    </row>
    <row r="23" spans="1:16" ht="15" x14ac:dyDescent="0.25">
      <c r="A23" s="14" t="s">
        <v>16</v>
      </c>
      <c r="B23" s="13">
        <f t="shared" si="0"/>
        <v>22</v>
      </c>
      <c r="C23" s="15">
        <v>6</v>
      </c>
      <c r="D23" s="16">
        <v>2026</v>
      </c>
      <c r="E23" s="17">
        <f>IF('[1]JUNE 2026'!C23&lt;0,"0",'[1]JUNE 2026'!C23)+(IF('[1]JUNE 2026'!E23&lt;0,"0",'[1]JUNE 2026'!E23)-(IF('[1]JUNE 2026'!G23&lt;0,"0",'[1]JUNE 2026'!G23)))</f>
        <v>0</v>
      </c>
      <c r="F23" s="18" t="e">
        <f>('[1]JUNE 2026'!C23*0.27)/('[1]JUNE 2026'!C23+'[1]JUNE 2026'!E23)</f>
        <v>#DIV/0!</v>
      </c>
      <c r="G23" s="19" t="str">
        <f>'[1]JUNE 2026'!U23</f>
        <v>0</v>
      </c>
      <c r="H23" s="20">
        <v>0.62</v>
      </c>
      <c r="I23" s="21">
        <f>'[1]JUNE 2026'!W23</f>
        <v>0</v>
      </c>
      <c r="J23" s="22">
        <v>2.42</v>
      </c>
      <c r="K23" s="23">
        <f>'[1]JUNE 2026'!AB23*5.04</f>
        <v>0</v>
      </c>
      <c r="L23" s="24">
        <v>0.11509999999999999</v>
      </c>
      <c r="M23" s="25" t="str">
        <f>'[1]JUNE 2026'!N23</f>
        <v>0</v>
      </c>
      <c r="N23" s="26">
        <v>0.88</v>
      </c>
      <c r="O23" s="27">
        <f>'[1]JUNE 2026'!AC23</f>
        <v>0</v>
      </c>
      <c r="P23" s="27">
        <f>'[1]JUNE 2026'!AD23</f>
        <v>0</v>
      </c>
    </row>
    <row r="24" spans="1:16" ht="15" x14ac:dyDescent="0.25">
      <c r="A24" s="14" t="s">
        <v>16</v>
      </c>
      <c r="B24" s="13">
        <f t="shared" si="0"/>
        <v>23</v>
      </c>
      <c r="C24" s="15">
        <v>6</v>
      </c>
      <c r="D24" s="16">
        <v>2026</v>
      </c>
      <c r="E24" s="17">
        <f>IF('[1]JUNE 2026'!C24&lt;0,"0",'[1]JUNE 2026'!C24)+(IF('[1]JUNE 2026'!E24&lt;0,"0",'[1]JUNE 2026'!E24)-(IF('[1]JUNE 2026'!G24&lt;0,"0",'[1]JUNE 2026'!G24)))</f>
        <v>0</v>
      </c>
      <c r="F24" s="18" t="e">
        <f>('[1]JUNE 2026'!C24*0.27)/('[1]JUNE 2026'!C24+'[1]JUNE 2026'!E24)</f>
        <v>#DIV/0!</v>
      </c>
      <c r="G24" s="19" t="str">
        <f>'[1]JUNE 2026'!U24</f>
        <v>0</v>
      </c>
      <c r="H24" s="20">
        <v>0.62</v>
      </c>
      <c r="I24" s="21">
        <f>'[1]JUNE 2026'!W24</f>
        <v>0</v>
      </c>
      <c r="J24" s="22">
        <v>2.42</v>
      </c>
      <c r="K24" s="23">
        <f>'[1]JUNE 2026'!AB24*5.04</f>
        <v>0</v>
      </c>
      <c r="L24" s="24">
        <v>0.11509999999999999</v>
      </c>
      <c r="M24" s="25" t="str">
        <f>'[1]JUNE 2026'!N24</f>
        <v>0</v>
      </c>
      <c r="N24" s="26">
        <v>0.88</v>
      </c>
      <c r="O24" s="27">
        <f>'[1]JUNE 2026'!AC24</f>
        <v>0</v>
      </c>
      <c r="P24" s="27">
        <f>'[1]JUNE 2026'!AD24</f>
        <v>0</v>
      </c>
    </row>
    <row r="25" spans="1:16" ht="15" x14ac:dyDescent="0.25">
      <c r="A25" s="14" t="s">
        <v>16</v>
      </c>
      <c r="B25" s="13">
        <f t="shared" si="0"/>
        <v>24</v>
      </c>
      <c r="C25" s="15">
        <v>6</v>
      </c>
      <c r="D25" s="16">
        <v>2026</v>
      </c>
      <c r="E25" s="17">
        <f>IF('[1]JUNE 2026'!C25&lt;0,"0",'[1]JUNE 2026'!C25)+(IF('[1]JUNE 2026'!E25&lt;0,"0",'[1]JUNE 2026'!E25)-(IF('[1]JUNE 2026'!G25&lt;0,"0",'[1]JUNE 2026'!G25)))</f>
        <v>0</v>
      </c>
      <c r="F25" s="18" t="e">
        <f>('[1]JUNE 2026'!C25*0.27)/('[1]JUNE 2026'!C25+'[1]JUNE 2026'!E25)</f>
        <v>#DIV/0!</v>
      </c>
      <c r="G25" s="19" t="str">
        <f>'[1]JUNE 2026'!U25</f>
        <v>0</v>
      </c>
      <c r="H25" s="20">
        <v>0.62</v>
      </c>
      <c r="I25" s="21">
        <f>'[1]JUNE 2026'!W25</f>
        <v>0</v>
      </c>
      <c r="J25" s="22">
        <v>2.42</v>
      </c>
      <c r="K25" s="23">
        <f>'[1]JUNE 2026'!AB25*5.04</f>
        <v>0</v>
      </c>
      <c r="L25" s="24">
        <v>0.11509999999999999</v>
      </c>
      <c r="M25" s="25" t="str">
        <f>'[1]JUNE 2026'!N25</f>
        <v>0</v>
      </c>
      <c r="N25" s="26">
        <v>0.88</v>
      </c>
      <c r="O25" s="27">
        <f>'[1]JUNE 2026'!AC25</f>
        <v>0</v>
      </c>
      <c r="P25" s="27">
        <f>'[1]JUNE 2026'!AD25</f>
        <v>0</v>
      </c>
    </row>
    <row r="26" spans="1:16" ht="15" x14ac:dyDescent="0.25">
      <c r="A26" s="14" t="s">
        <v>16</v>
      </c>
      <c r="B26" s="13">
        <f>B25+1</f>
        <v>25</v>
      </c>
      <c r="C26" s="15">
        <v>6</v>
      </c>
      <c r="D26" s="16">
        <v>2026</v>
      </c>
      <c r="E26" s="17">
        <f>IF('[1]JUNE 2026'!C26&lt;0,"0",'[1]JUNE 2026'!C26)+(IF('[1]JUNE 2026'!E26&lt;0,"0",'[1]JUNE 2026'!E26)-(IF('[1]JUNE 2026'!G26&lt;0,"0",'[1]JUNE 2026'!G26)))</f>
        <v>0</v>
      </c>
      <c r="F26" s="18" t="e">
        <f>('[1]JUNE 2026'!C26*0.27)/('[1]JUNE 2026'!C26+'[1]JUNE 2026'!E26)</f>
        <v>#DIV/0!</v>
      </c>
      <c r="G26" s="19" t="str">
        <f>'[1]JUNE 2026'!U26</f>
        <v>0</v>
      </c>
      <c r="H26" s="20">
        <v>0.62</v>
      </c>
      <c r="I26" s="21">
        <f>'[1]JUNE 2026'!W26</f>
        <v>0</v>
      </c>
      <c r="J26" s="22">
        <v>2.42</v>
      </c>
      <c r="K26" s="23">
        <f>'[1]JUNE 2026'!AB26*5.04</f>
        <v>0</v>
      </c>
      <c r="L26" s="24">
        <v>0.11509999999999999</v>
      </c>
      <c r="M26" s="25" t="str">
        <f>'[1]JUNE 2026'!N26</f>
        <v>0</v>
      </c>
      <c r="N26" s="26">
        <v>0.88</v>
      </c>
      <c r="O26" s="27">
        <f>'[1]JUNE 2026'!AC26</f>
        <v>0</v>
      </c>
      <c r="P26" s="27">
        <f>'[1]JUNE 2026'!AD26</f>
        <v>0</v>
      </c>
    </row>
    <row r="27" spans="1:16" ht="15" x14ac:dyDescent="0.25">
      <c r="A27" s="14" t="s">
        <v>16</v>
      </c>
      <c r="B27" s="13">
        <f t="shared" si="0"/>
        <v>26</v>
      </c>
      <c r="C27" s="15">
        <v>6</v>
      </c>
      <c r="D27" s="16">
        <v>2026</v>
      </c>
      <c r="E27" s="17">
        <f>IF('[1]JUNE 2026'!C27&lt;0,"0",'[1]JUNE 2026'!C27)+(IF('[1]JUNE 2026'!E27&lt;0,"0",'[1]JUNE 2026'!E27)-(IF('[1]JUNE 2026'!G27&lt;0,"0",'[1]JUNE 2026'!G27)))</f>
        <v>0</v>
      </c>
      <c r="F27" s="18" t="e">
        <f>('[1]JUNE 2026'!C27*0.27)/('[1]JUNE 2026'!C27+'[1]JUNE 2026'!E27)</f>
        <v>#DIV/0!</v>
      </c>
      <c r="G27" s="19" t="str">
        <f>'[1]JUNE 2026'!U27</f>
        <v>0</v>
      </c>
      <c r="H27" s="20">
        <v>0.62</v>
      </c>
      <c r="I27" s="21">
        <f>'[1]JUNE 2026'!W27</f>
        <v>0</v>
      </c>
      <c r="J27" s="22">
        <v>2.42</v>
      </c>
      <c r="K27" s="23">
        <f>'[1]JUNE 2026'!AB27*5.04</f>
        <v>0</v>
      </c>
      <c r="L27" s="24">
        <v>0.11509999999999999</v>
      </c>
      <c r="M27" s="25" t="str">
        <f>'[1]JUNE 2026'!N27</f>
        <v>0</v>
      </c>
      <c r="N27" s="26">
        <v>0.88</v>
      </c>
      <c r="O27" s="27">
        <f>'[1]JUNE 2026'!AC27</f>
        <v>0</v>
      </c>
      <c r="P27" s="27">
        <f>'[1]JUNE 2026'!AD27</f>
        <v>0</v>
      </c>
    </row>
    <row r="28" spans="1:16" ht="15" x14ac:dyDescent="0.25">
      <c r="A28" s="14" t="s">
        <v>16</v>
      </c>
      <c r="B28" s="13">
        <v>27</v>
      </c>
      <c r="C28" s="15">
        <v>6</v>
      </c>
      <c r="D28" s="16">
        <v>2026</v>
      </c>
      <c r="E28" s="17">
        <f>IF('[1]JUNE 2026'!C27&lt;0,"0",'[1]JUNE 2026'!C27)+(IF('[1]JUNE 2026'!E27&lt;0,"0",'[1]JUNE 2026'!E27)-(IF('[1]JUNE 2026'!G27&lt;0,"0",'[1]JUNE 2026'!G27)))</f>
        <v>0</v>
      </c>
      <c r="F28" s="18" t="e">
        <f>('[1]JUNE 2026'!C27*0.27)/('[1]JUNE 2026'!C27+'[1]JUNE 2026'!E27)</f>
        <v>#DIV/0!</v>
      </c>
      <c r="G28" s="19" t="str">
        <f>'[1]JUNE 2026'!U28</f>
        <v>0</v>
      </c>
      <c r="H28" s="20">
        <v>0.62</v>
      </c>
      <c r="I28" s="21">
        <f>'[1]JUNE 2026'!W28</f>
        <v>0</v>
      </c>
      <c r="J28" s="22">
        <v>2.42</v>
      </c>
      <c r="K28" s="23">
        <f>'[1]JUNE 2026'!AB31*5.04</f>
        <v>0</v>
      </c>
      <c r="L28" s="24">
        <v>0.11509999999999999</v>
      </c>
      <c r="M28" s="25" t="str">
        <f>'[1]JUNE 2026'!N28</f>
        <v>0</v>
      </c>
      <c r="N28" s="26">
        <v>0.88</v>
      </c>
      <c r="O28" s="27">
        <f>'[1]JUNE 2026'!AC27</f>
        <v>0</v>
      </c>
      <c r="P28" s="27">
        <f>'[1]JUNE 2026'!AD27</f>
        <v>0</v>
      </c>
    </row>
    <row r="29" spans="1:16" ht="15" x14ac:dyDescent="0.25">
      <c r="A29" s="14" t="s">
        <v>16</v>
      </c>
      <c r="B29" s="13">
        <v>28</v>
      </c>
      <c r="C29" s="15">
        <v>6</v>
      </c>
      <c r="D29" s="16">
        <v>2026</v>
      </c>
      <c r="E29" s="17">
        <f>IF('[1]JUNE 2026'!C28&lt;0,"0",'[1]JUNE 2026'!C28)+(IF('[1]JUNE 2026'!E28&lt;0,"0",'[1]JUNE 2026'!E28)-(IF('[1]JUNE 2026'!G28&lt;0,"0",'[1]JUNE 2026'!G28)))</f>
        <v>0</v>
      </c>
      <c r="F29" s="18" t="e">
        <f>('[1]JUNE 2026'!C28*0.27)/('[1]JUNE 2026'!C28+'[1]JUNE 2026'!E28)</f>
        <v>#DIV/0!</v>
      </c>
      <c r="G29" s="19" t="str">
        <f>'[1]JUNE 2026'!U29</f>
        <v>0</v>
      </c>
      <c r="H29" s="20">
        <v>0.62</v>
      </c>
      <c r="I29" s="21">
        <f>'[1]JUNE 2026'!W29</f>
        <v>0</v>
      </c>
      <c r="J29" s="22">
        <v>2.42</v>
      </c>
      <c r="K29" s="23">
        <f>'[1]JUNE 2026'!AB32*5.04</f>
        <v>0</v>
      </c>
      <c r="L29" s="24">
        <v>0.11509999999999999</v>
      </c>
      <c r="M29" s="25" t="str">
        <f>'[1]JUNE 2026'!N29</f>
        <v>0</v>
      </c>
      <c r="N29" s="26">
        <v>0.88</v>
      </c>
      <c r="O29" s="27">
        <f>'[1]JUNE 2026'!AC28</f>
        <v>0</v>
      </c>
      <c r="P29" s="27">
        <f>'[1]JUNE 2026'!AD28</f>
        <v>0</v>
      </c>
    </row>
    <row r="30" spans="1:16" ht="15" x14ac:dyDescent="0.25">
      <c r="A30" s="14" t="s">
        <v>16</v>
      </c>
      <c r="B30" s="13">
        <f t="shared" si="0"/>
        <v>29</v>
      </c>
      <c r="C30" s="15">
        <v>6</v>
      </c>
      <c r="D30" s="16">
        <v>2026</v>
      </c>
      <c r="E30" s="17">
        <f>IF('[1]JUNE 2026'!C29&lt;0,"0",'[1]JUNE 2026'!C29)+(IF('[1]JUNE 2026'!E29&lt;0,"0",'[1]JUNE 2026'!E29)-(IF('[1]JUNE 2026'!G29&lt;0,"0",'[1]JUNE 2026'!G29)))</f>
        <v>0</v>
      </c>
      <c r="F30" s="18" t="e">
        <f>('[1]JUNE 2026'!C29*0.27)/('[1]JUNE 2026'!C29+'[1]JUNE 2026'!E29)</f>
        <v>#DIV/0!</v>
      </c>
      <c r="G30" s="19" t="str">
        <f>'[1]JUNE 2026'!U30</f>
        <v>0</v>
      </c>
      <c r="H30" s="20">
        <v>0.62</v>
      </c>
      <c r="I30" s="21">
        <f>'[1]JUNE 2026'!W30</f>
        <v>0</v>
      </c>
      <c r="J30" s="22">
        <v>2.42</v>
      </c>
      <c r="K30" s="23">
        <f>'[1]JUNE 2026'!AB33*5.04</f>
        <v>0</v>
      </c>
      <c r="L30" s="24">
        <v>0.11509999999999999</v>
      </c>
      <c r="M30" s="25" t="str">
        <f>'[1]JUNE 2026'!N30</f>
        <v>0</v>
      </c>
      <c r="N30" s="26">
        <v>0.88</v>
      </c>
      <c r="O30" s="27">
        <f>'[1]JUNE 2026'!AC29</f>
        <v>0</v>
      </c>
      <c r="P30" s="27">
        <f>'[1]JUNE 2026'!AD29</f>
        <v>0</v>
      </c>
    </row>
    <row r="31" spans="1:16" ht="17.25" customHeight="1" x14ac:dyDescent="0.25">
      <c r="A31" s="14" t="s">
        <v>16</v>
      </c>
      <c r="B31" s="13">
        <v>30</v>
      </c>
      <c r="C31" s="15">
        <v>6</v>
      </c>
      <c r="D31" s="16">
        <v>2026</v>
      </c>
      <c r="E31" s="17">
        <f>IF('[1]JUNE 2026'!C31&lt;0,"0",'[1]JUNE 2026'!C31)+(IF('[1]JUNE 2026'!E31&lt;0,"0",'[1]JUNE 2026'!E31)-(IF('[1]JUNE 2026'!G31&lt;0,"0",'[1]JUNE 2026'!G31)))</f>
        <v>0</v>
      </c>
      <c r="F31" s="18" t="e">
        <f>('[1]JUNE 2026'!C31*0.27)/('[1]JUNE 2026'!C31+'[1]JUNE 2026'!E31)</f>
        <v>#DIV/0!</v>
      </c>
      <c r="G31" s="19" t="str">
        <f>'[1]JUNE 2026'!U31</f>
        <v>0</v>
      </c>
      <c r="H31" s="20">
        <v>0.62</v>
      </c>
      <c r="I31" s="21">
        <f>'[1]JUNE 2026'!W31</f>
        <v>0</v>
      </c>
      <c r="J31" s="22">
        <v>2.42</v>
      </c>
      <c r="K31" s="23">
        <f>'[1]JUNE 2026'!AB34*5.04</f>
        <v>0</v>
      </c>
      <c r="L31" s="24">
        <v>0.11509999999999999</v>
      </c>
      <c r="M31" s="25" t="str">
        <f>'[1]JUNE 2026'!N31</f>
        <v>0</v>
      </c>
      <c r="N31" s="26">
        <v>0.88</v>
      </c>
      <c r="O31" s="27">
        <f>'[1]JUNE 2026'!AC31</f>
        <v>0</v>
      </c>
      <c r="P31" s="27">
        <f>'[1]JUNE 2026'!AD31</f>
        <v>0</v>
      </c>
    </row>
    <row r="32" spans="1:16" x14ac:dyDescent="0.2">
      <c r="D32" s="28"/>
      <c r="F32" s="18"/>
      <c r="I32" s="22"/>
      <c r="J32" s="22"/>
      <c r="K32" s="23">
        <f>'[1]JUNE 2026'!AB35*5.04</f>
        <v>0</v>
      </c>
      <c r="L32" s="24"/>
      <c r="M32" s="25" t="str">
        <f>'[1]JUNE 2026'!N32</f>
        <v>0</v>
      </c>
      <c r="O32" s="31"/>
      <c r="P32" s="31"/>
    </row>
    <row r="33" spans="4:16" x14ac:dyDescent="0.2">
      <c r="D33" s="28"/>
      <c r="F33" s="18"/>
      <c r="I33" s="22"/>
      <c r="J33" s="22"/>
      <c r="K33" s="23"/>
      <c r="L33" s="24"/>
      <c r="O33" s="31"/>
      <c r="P33" s="31"/>
    </row>
    <row r="34" spans="4:16" x14ac:dyDescent="0.2">
      <c r="D34" s="28"/>
      <c r="F34" s="18"/>
      <c r="I34" s="22"/>
      <c r="J34" s="22"/>
      <c r="K34" s="23"/>
      <c r="L34" s="24"/>
      <c r="O34" s="31"/>
      <c r="P34" s="31"/>
    </row>
    <row r="35" spans="4:16" x14ac:dyDescent="0.2">
      <c r="F35" s="18"/>
      <c r="K35" s="23"/>
      <c r="L35" s="24"/>
    </row>
    <row r="36" spans="4:16" x14ac:dyDescent="0.2">
      <c r="F36" s="18"/>
      <c r="K36" s="23"/>
      <c r="L36" s="24"/>
    </row>
    <row r="37" spans="4:16" x14ac:dyDescent="0.2">
      <c r="F37" s="18"/>
      <c r="K37" s="23"/>
      <c r="L37" s="24"/>
    </row>
    <row r="38" spans="4:16" x14ac:dyDescent="0.2">
      <c r="F38" s="18"/>
      <c r="K38" s="23"/>
      <c r="L38" s="24"/>
    </row>
    <row r="39" spans="4:16" x14ac:dyDescent="0.2">
      <c r="K39" s="23"/>
      <c r="L39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Hussein El Samra</dc:creator>
  <cp:lastModifiedBy>Hussein El Samra</cp:lastModifiedBy>
  <dcterms:created xsi:type="dcterms:W3CDTF">2026-06-16T13:07:15Z</dcterms:created>
  <dcterms:modified xsi:type="dcterms:W3CDTF">2026-06-16T13:07:38Z</dcterms:modified>
</cp:coreProperties>
</file>