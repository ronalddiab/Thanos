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<sst xmlns="http://schemas.openxmlformats.org/spreadsheetml/2006/main" count="315" uniqueCount="148">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</sst>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 t="e">
        <f>Submetering!E18+Submetering!F18+Submetering!G18+Submetering!H18+Submetering!J18-Submetering!AV18</f>
        <v>#VALUE!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 t="e">
        <f>'FS Desroches Daily'!CM20</f>
        <v>#VALUE!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 t="str">
        <f>IF(LPG!F24-LPG!F23&lt;0,"0",(LPG!F24-LPG!F23)*1.8315)</f>
        <v>0</v>
      </c>
      <c r="AY17" s="31" t="str">
        <f>IF(LPG!H24-LPG!H23&lt;0,"0",(LPG!H24-LPG!H23)*1.8315)</f>
        <v>0</v>
      </c>
      <c r="AZ17" s="31" t="str">
        <f>IF(LPG!J24-LPG!J23&lt;0,"0",(LPG!J24-LPG!J23)*1.8315)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e">
        <f>'FS Desroches Daily'!T20</f>
        <v>#VALUE!</v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53599.999999999891</v>
      </c>
      <c r="F33" s="17">
        <f t="shared" ref="F33:BC33" si="0">SUM(F2:F32)</f>
        <v>54599.999999999774</v>
      </c>
      <c r="G33" s="17">
        <f t="shared" si="0"/>
        <v>65999.999999999854</v>
      </c>
      <c r="H33" s="17">
        <f t="shared" si="0"/>
        <v>26600.000000000186</v>
      </c>
      <c r="I33" s="17">
        <f t="shared" si="0"/>
        <v>43499.999999999876</v>
      </c>
      <c r="J33" s="17">
        <f t="shared" si="0"/>
        <v>27299.999999999891</v>
      </c>
      <c r="K33" s="17">
        <f t="shared" si="0"/>
        <v>480</v>
      </c>
      <c r="L33" s="17">
        <f t="shared" si="0"/>
        <v>72</v>
      </c>
      <c r="M33" s="17" t="e">
        <f t="shared" si="0"/>
        <v>#VALUE!</v>
      </c>
      <c r="N33" s="17">
        <f t="shared" si="0"/>
        <v>8301.3999999999069</v>
      </c>
      <c r="O33" s="17">
        <f t="shared" si="0"/>
        <v>5519.9999999999818</v>
      </c>
      <c r="P33" s="17">
        <f t="shared" si="0"/>
        <v>48700.000000000196</v>
      </c>
      <c r="Q33" s="17">
        <f t="shared" si="0"/>
        <v>5549.9999999999545</v>
      </c>
      <c r="R33" s="17">
        <f t="shared" si="0"/>
        <v>6110.0000000000136</v>
      </c>
      <c r="S33" s="17">
        <f t="shared" si="0"/>
        <v>13730.000000000018</v>
      </c>
      <c r="T33" s="17">
        <f t="shared" si="0"/>
        <v>753</v>
      </c>
      <c r="U33" s="35">
        <f t="shared" si="0"/>
        <v>14500.00000000018</v>
      </c>
      <c r="V33" s="35">
        <f t="shared" si="0"/>
        <v>4000</v>
      </c>
      <c r="W33" s="35">
        <f t="shared" si="0"/>
        <v>2709.9999999999795</v>
      </c>
      <c r="X33" s="35">
        <f t="shared" si="0"/>
        <v>4040.0000000000205</v>
      </c>
      <c r="Y33" s="35">
        <f t="shared" si="0"/>
        <v>3459.9999999999795</v>
      </c>
      <c r="Z33" s="35">
        <f t="shared" si="0"/>
        <v>4299.9999999999545</v>
      </c>
      <c r="AA33" s="35">
        <f t="shared" si="0"/>
        <v>4299.9999999999545</v>
      </c>
      <c r="AB33" s="35">
        <f t="shared" si="0"/>
        <v>3259.9999999999909</v>
      </c>
      <c r="AC33" s="35">
        <f t="shared" si="0"/>
        <v>2969.9999999999704</v>
      </c>
      <c r="AD33" s="35">
        <f t="shared" si="0"/>
        <v>2850.0000000000227</v>
      </c>
      <c r="AE33" s="35">
        <f t="shared" si="0"/>
        <v>2430.0000000000068</v>
      </c>
      <c r="AF33" s="17">
        <f t="shared" si="0"/>
        <v>736</v>
      </c>
      <c r="AG33" s="32">
        <f t="shared" si="0"/>
        <v>639.99999999998636</v>
      </c>
      <c r="AH33" s="32">
        <f t="shared" si="0"/>
        <v>680.00000000000682</v>
      </c>
      <c r="AI33" s="32">
        <f t="shared" si="0"/>
        <v>1019.9999999999818</v>
      </c>
      <c r="AJ33" s="32">
        <f t="shared" si="0"/>
        <v>689.99999999999773</v>
      </c>
      <c r="AK33" s="32">
        <f t="shared" si="0"/>
        <v>579.99999999998408</v>
      </c>
      <c r="AL33" s="32">
        <f t="shared" si="0"/>
        <v>710</v>
      </c>
      <c r="AM33" s="32">
        <f t="shared" si="0"/>
        <v>709.99999999997954</v>
      </c>
      <c r="AN33" s="32">
        <f t="shared" si="0"/>
        <v>704</v>
      </c>
      <c r="AO33" s="32">
        <f t="shared" si="0"/>
        <v>650.00000000000568</v>
      </c>
      <c r="AP33" s="32">
        <f t="shared" si="0"/>
        <v>831</v>
      </c>
      <c r="AQ33" s="17">
        <f t="shared" si="0"/>
        <v>1297.9000000000015</v>
      </c>
      <c r="AR33" s="17">
        <f t="shared" si="0"/>
        <v>255.10000000000218</v>
      </c>
      <c r="AS33" s="17">
        <f t="shared" si="0"/>
        <v>55.599999999998545</v>
      </c>
      <c r="AT33" s="17">
        <f t="shared" si="0"/>
        <v>934.69999999999709</v>
      </c>
      <c r="AU33" s="17">
        <f t="shared" si="0"/>
        <v>5025</v>
      </c>
      <c r="AV33" s="17">
        <f t="shared" si="0"/>
        <v>17399.999999999862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78.754499999999993</v>
      </c>
      <c r="BC33" s="17">
        <f t="shared" si="0"/>
        <v>583</v>
      </c>
    </row>
    <row r="35" spans="5:55" x14ac:dyDescent="0.25">
      <c r="E35" s="38">
        <f>E33/E37</f>
        <v>0.24448316441492804</v>
      </c>
      <c r="G35" s="29" t="e">
        <f>G33-M36</f>
        <v>#VALUE!</v>
      </c>
      <c r="AE35" s="35">
        <f>SUM(U33:AE33)</f>
        <v>48820.000000000065</v>
      </c>
      <c r="AG35" s="32">
        <f>SUM(AG33:AP33)</f>
        <v>7214.9999999999418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219237.99999999959</v>
      </c>
      <c r="G37" s="37" t="e">
        <f>M36/E37</f>
        <v>#VALUE!</v>
      </c>
      <c r="M37" s="35">
        <f>AE35</f>
        <v>48820.000000000065</v>
      </c>
    </row>
    <row r="38" spans="5:55" x14ac:dyDescent="0.25">
      <c r="L38" s="27">
        <f>M38/E37</f>
        <v>3.2909440881598785E-2</v>
      </c>
      <c r="M38" s="29">
        <f>AG35</f>
        <v>7214.9999999999418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T1" zoomScale="82" zoomScaleNormal="82" workbookViewId="0">
      <pane ySplit="1" topLeftCell="A2" activePane="bottomLeft" state="frozen"/>
      <selection pane="bottomLeft" activeCell="BF19" sqref="BF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/>
      <c r="D20" s="64" t="str">
        <f t="shared" si="0"/>
        <v>0</v>
      </c>
      <c r="E20" s="58"/>
      <c r="F20" s="64" t="str">
        <f t="shared" si="1"/>
        <v>0</v>
      </c>
      <c r="G20" s="58"/>
      <c r="H20" s="64" t="str">
        <f t="shared" si="2"/>
        <v>0</v>
      </c>
      <c r="I20" s="58"/>
      <c r="J20" s="64" t="str">
        <f t="shared" si="3"/>
        <v>0</v>
      </c>
      <c r="K20" s="58"/>
      <c r="L20" s="64" t="str">
        <f t="shared" si="48"/>
        <v>0</v>
      </c>
      <c r="M20" s="58"/>
      <c r="N20" s="64" t="str">
        <f t="shared" si="49"/>
        <v/>
      </c>
      <c r="O20" s="58"/>
      <c r="P20" s="67" t="str">
        <f t="shared" si="6"/>
        <v/>
      </c>
      <c r="Q20" s="58"/>
      <c r="R20" s="67" t="str">
        <f t="shared" si="7"/>
        <v/>
      </c>
      <c r="S20" s="58"/>
      <c r="T20" s="67" t="e">
        <f t="shared" si="8"/>
        <v>#VALUE!</v>
      </c>
      <c r="U20" s="58"/>
      <c r="V20" s="67" t="str">
        <f t="shared" si="9"/>
        <v/>
      </c>
      <c r="W20" s="58"/>
      <c r="X20" s="65" t="str">
        <f t="shared" si="10"/>
        <v/>
      </c>
      <c r="Y20" s="58"/>
      <c r="Z20" s="65" t="str">
        <f t="shared" si="11"/>
        <v/>
      </c>
      <c r="AA20" s="58"/>
      <c r="AB20" s="65" t="str">
        <f t="shared" si="12"/>
        <v/>
      </c>
      <c r="AC20" s="58"/>
      <c r="AD20" s="65" t="str">
        <f t="shared" si="13"/>
        <v/>
      </c>
      <c r="AE20" s="58"/>
      <c r="AF20" s="65" t="str">
        <f t="shared" si="14"/>
        <v/>
      </c>
      <c r="AG20" s="58"/>
      <c r="AH20" s="67" t="str">
        <f t="shared" si="15"/>
        <v/>
      </c>
      <c r="AI20" s="58"/>
      <c r="AJ20" s="65" t="str">
        <f t="shared" si="16"/>
        <v/>
      </c>
      <c r="AK20" s="58"/>
      <c r="AL20" s="65" t="str">
        <f t="shared" si="17"/>
        <v/>
      </c>
      <c r="AM20" s="58"/>
      <c r="AN20" s="65" t="str">
        <f t="shared" si="18"/>
        <v/>
      </c>
      <c r="AO20" s="58"/>
      <c r="AP20" s="65" t="str">
        <f t="shared" si="19"/>
        <v/>
      </c>
      <c r="AQ20" s="58"/>
      <c r="AR20" s="65" t="str">
        <f t="shared" si="20"/>
        <v/>
      </c>
      <c r="AS20" s="58"/>
      <c r="AT20" s="65" t="str">
        <f t="shared" si="21"/>
        <v/>
      </c>
      <c r="AU20" s="58"/>
      <c r="AV20" s="65" t="str">
        <f t="shared" si="22"/>
        <v/>
      </c>
      <c r="AW20" s="58"/>
      <c r="AX20" s="65" t="str">
        <f t="shared" si="23"/>
        <v/>
      </c>
      <c r="AY20" s="58"/>
      <c r="AZ20" s="65" t="str">
        <f t="shared" si="24"/>
        <v/>
      </c>
      <c r="BA20" s="58"/>
      <c r="BB20" s="65" t="str">
        <f t="shared" si="25"/>
        <v/>
      </c>
      <c r="BC20" s="58"/>
      <c r="BD20" s="65" t="str">
        <f t="shared" si="26"/>
        <v/>
      </c>
      <c r="BE20" s="59"/>
      <c r="BF20" s="67" t="str">
        <f t="shared" si="27"/>
        <v/>
      </c>
      <c r="BG20" s="60"/>
      <c r="BH20" s="65" t="str">
        <f t="shared" si="28"/>
        <v/>
      </c>
      <c r="BI20" s="60"/>
      <c r="BJ20" s="65" t="str">
        <f t="shared" si="29"/>
        <v/>
      </c>
      <c r="BK20" s="60"/>
      <c r="BL20" s="65" t="str">
        <f t="shared" si="30"/>
        <v/>
      </c>
      <c r="BM20" s="60"/>
      <c r="BN20" s="65" t="str">
        <f t="shared" si="31"/>
        <v/>
      </c>
      <c r="BO20" s="60"/>
      <c r="BP20" s="65" t="str">
        <f t="shared" si="32"/>
        <v/>
      </c>
      <c r="BQ20" s="60"/>
      <c r="BR20" s="65" t="str">
        <f t="shared" si="33"/>
        <v/>
      </c>
      <c r="BS20" s="60"/>
      <c r="BT20" s="65" t="str">
        <f t="shared" si="34"/>
        <v/>
      </c>
      <c r="BU20" s="60"/>
      <c r="BV20" s="65" t="str">
        <f t="shared" si="35"/>
        <v/>
      </c>
      <c r="BW20" s="60"/>
      <c r="BX20" s="65" t="str">
        <f t="shared" si="36"/>
        <v/>
      </c>
      <c r="BY20" s="60"/>
      <c r="BZ20" s="67" t="str">
        <f t="shared" si="37"/>
        <v/>
      </c>
      <c r="CA20" s="60"/>
      <c r="CB20" s="67" t="str">
        <f t="shared" si="38"/>
        <v/>
      </c>
      <c r="CC20" s="60"/>
      <c r="CD20" s="67" t="str">
        <f t="shared" si="39"/>
        <v/>
      </c>
      <c r="CE20" s="60"/>
      <c r="CF20" s="67" t="str">
        <f t="shared" si="40"/>
        <v/>
      </c>
      <c r="CG20" s="60"/>
      <c r="CH20" s="67" t="str">
        <f t="shared" si="41"/>
        <v/>
      </c>
      <c r="CI20" s="60"/>
      <c r="CJ20" s="67" t="str">
        <f t="shared" si="42"/>
        <v/>
      </c>
      <c r="CK20" s="60"/>
      <c r="CL20" s="64" t="str">
        <f t="shared" si="43"/>
        <v/>
      </c>
      <c r="CM20" s="65" t="e">
        <f t="shared" si="50"/>
        <v>#VALUE!</v>
      </c>
      <c r="CN20" s="62"/>
      <c r="CO20" s="62"/>
      <c r="CP20" s="68"/>
      <c r="CQ20" s="67" t="str">
        <f t="shared" si="51"/>
        <v/>
      </c>
      <c r="CR20" s="68"/>
      <c r="CS20" s="67" t="str">
        <f t="shared" si="44"/>
        <v/>
      </c>
      <c r="CT20" s="75"/>
      <c r="CU20" s="67" t="str">
        <f t="shared" si="45"/>
        <v/>
      </c>
      <c r="CV20" s="68"/>
      <c r="CW20" s="67" t="str">
        <f t="shared" si="46"/>
        <v/>
      </c>
      <c r="CX20" s="58"/>
      <c r="CY20" s="67" t="str">
        <f t="shared" si="47"/>
        <v/>
      </c>
    </row>
    <row r="21" spans="1:103" ht="25.5" customHeight="1" thickBot="1" x14ac:dyDescent="0.45">
      <c r="A21" s="63">
        <v>44944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8"/>
        <v>0</v>
      </c>
      <c r="M21" s="58"/>
      <c r="N21" s="64">
        <f t="shared" si="49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50"/>
        <v>0</v>
      </c>
      <c r="CN21" s="62"/>
      <c r="CO21" s="62"/>
      <c r="CP21" s="68"/>
      <c r="CQ21" s="67">
        <f t="shared" si="51"/>
        <v>0</v>
      </c>
      <c r="CR21" s="68"/>
      <c r="CS21" s="67">
        <f t="shared" si="44"/>
        <v>0</v>
      </c>
      <c r="CT21" s="75"/>
      <c r="CU21" s="67">
        <f t="shared" si="45"/>
        <v>0</v>
      </c>
      <c r="CV21" s="68"/>
      <c r="CW21" s="67">
        <f t="shared" si="46"/>
        <v>0</v>
      </c>
      <c r="CX21" s="58"/>
      <c r="CY21" s="67">
        <f t="shared" si="47"/>
        <v>0</v>
      </c>
    </row>
    <row r="22" spans="1:103" ht="25.5" customHeight="1" thickBot="1" x14ac:dyDescent="0.45">
      <c r="A22" s="63">
        <v>44945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8"/>
        <v>0</v>
      </c>
      <c r="M22" s="58"/>
      <c r="N22" s="64">
        <f t="shared" si="49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50"/>
        <v>0</v>
      </c>
      <c r="CN22" s="62"/>
      <c r="CO22" s="62"/>
      <c r="CP22" s="68"/>
      <c r="CQ22" s="67">
        <f t="shared" si="51"/>
        <v>0</v>
      </c>
      <c r="CR22" s="68"/>
      <c r="CS22" s="67">
        <f t="shared" si="44"/>
        <v>0</v>
      </c>
      <c r="CT22" s="75"/>
      <c r="CU22" s="67">
        <f t="shared" si="45"/>
        <v>0</v>
      </c>
      <c r="CV22" s="68"/>
      <c r="CW22" s="67">
        <f t="shared" si="46"/>
        <v>0</v>
      </c>
      <c r="CX22" s="58"/>
      <c r="CY22" s="67">
        <f t="shared" si="47"/>
        <v>0</v>
      </c>
    </row>
    <row r="23" spans="1:103" ht="25.5" customHeight="1" thickBot="1" x14ac:dyDescent="0.45">
      <c r="A23" s="63">
        <v>44946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8"/>
        <v>0</v>
      </c>
      <c r="M23" s="58"/>
      <c r="N23" s="64">
        <f t="shared" si="49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51"/>
        <v>0</v>
      </c>
      <c r="CR23" s="68"/>
      <c r="CS23" s="67">
        <f t="shared" si="44"/>
        <v>0</v>
      </c>
      <c r="CT23" s="75"/>
      <c r="CU23" s="67">
        <f t="shared" si="45"/>
        <v>0</v>
      </c>
      <c r="CV23" s="68"/>
      <c r="CW23" s="67">
        <f t="shared" si="46"/>
        <v>0</v>
      </c>
      <c r="CX23" s="58"/>
      <c r="CY23" s="67">
        <f t="shared" si="47"/>
        <v>0</v>
      </c>
    </row>
    <row r="24" spans="1:103" ht="25.5" customHeight="1" thickBot="1" x14ac:dyDescent="0.45">
      <c r="A24" s="63">
        <v>44947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8"/>
        <v>0</v>
      </c>
      <c r="M24" s="58"/>
      <c r="N24" s="64">
        <f t="shared" si="49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50"/>
        <v>0</v>
      </c>
      <c r="CN24" s="62"/>
      <c r="CO24" s="62"/>
      <c r="CP24" s="68"/>
      <c r="CQ24" s="67">
        <f t="shared" si="51"/>
        <v>0</v>
      </c>
      <c r="CR24" s="68"/>
      <c r="CS24" s="67">
        <f t="shared" si="44"/>
        <v>0</v>
      </c>
      <c r="CT24" s="75"/>
      <c r="CU24" s="67">
        <f t="shared" si="45"/>
        <v>0</v>
      </c>
      <c r="CV24" s="68"/>
      <c r="CW24" s="67">
        <f t="shared" si="46"/>
        <v>0</v>
      </c>
      <c r="CX24" s="58"/>
      <c r="CY24" s="67">
        <f t="shared" si="47"/>
        <v>0</v>
      </c>
    </row>
    <row r="25" spans="1:103" ht="25.5" customHeight="1" thickBot="1" x14ac:dyDescent="0.45">
      <c r="A25" s="63">
        <v>44948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8"/>
        <v>0</v>
      </c>
      <c r="M25" s="58"/>
      <c r="N25" s="64">
        <f t="shared" si="49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50"/>
        <v>0</v>
      </c>
      <c r="CN25" s="62"/>
      <c r="CO25" s="62"/>
      <c r="CP25" s="68"/>
      <c r="CQ25" s="67">
        <f t="shared" si="51"/>
        <v>0</v>
      </c>
      <c r="CR25" s="68"/>
      <c r="CS25" s="67">
        <f t="shared" si="44"/>
        <v>0</v>
      </c>
      <c r="CT25" s="75"/>
      <c r="CU25" s="67">
        <f t="shared" si="45"/>
        <v>0</v>
      </c>
      <c r="CV25" s="68"/>
      <c r="CW25" s="67">
        <f t="shared" si="46"/>
        <v>0</v>
      </c>
      <c r="CX25" s="58"/>
      <c r="CY25" s="67">
        <f t="shared" si="47"/>
        <v>0</v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3" sqref="C23:Q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-233</v>
      </c>
    </row>
    <row r="25" spans="1:20" x14ac:dyDescent="0.25">
      <c r="A25" s="73">
        <v>44944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44945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44946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44947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2023-01-17T12:09:20Z</dcterms:modified>
</cp:coreProperties>
</file>