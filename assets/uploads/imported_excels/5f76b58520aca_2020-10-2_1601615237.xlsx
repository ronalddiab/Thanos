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Utility Cost " sheetId="77" r:id="rId15"/>
    <sheet name="Degree Days 2020" sheetId="74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5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H25" i="3"/>
  <c r="H26" s="1"/>
  <c r="H27" s="1"/>
  <c r="H28" s="1"/>
  <c r="H29" s="1"/>
  <c r="H30" s="1"/>
  <c r="H31" s="1"/>
  <c r="H32" s="1"/>
  <c r="H33" s="1"/>
  <c r="H24"/>
  <c r="AA20" i="2" l="1"/>
  <c r="A21" i="1"/>
  <c r="A22"/>
  <c r="A23"/>
  <c r="A24"/>
  <c r="A25"/>
  <c r="A26"/>
  <c r="Q14" i="2"/>
  <c r="Q13"/>
  <c r="S5" i="3" l="1"/>
  <c r="S6"/>
  <c r="K11" i="73"/>
  <c r="F6" i="1"/>
  <c r="Y7" i="5"/>
  <c r="X8"/>
  <c r="Y8" s="1"/>
  <c r="D18" i="77" l="1"/>
  <c r="C18" l="1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W28" s="1"/>
  <c r="G3"/>
  <c r="H3"/>
  <c r="W27" s="1"/>
  <c r="I3"/>
  <c r="J3"/>
  <c r="J11" s="1"/>
  <c r="W26" s="1"/>
  <c r="K3"/>
  <c r="L3"/>
  <c r="M3"/>
  <c r="N3"/>
  <c r="B3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7" s="1"/>
  <c r="J28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32" s="1"/>
  <c r="AT34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6" s="1"/>
  <c r="B27" s="1"/>
  <c r="B28" s="1"/>
  <c r="B29" s="1"/>
  <c r="B30" s="1"/>
  <c r="B32" s="1"/>
  <c r="B34" s="1"/>
  <c r="B35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2" s="1"/>
  <c r="G24" s="1"/>
  <c r="G26" s="1"/>
  <c r="G28" s="1"/>
  <c r="G30" s="1"/>
  <c r="G32" s="1"/>
  <c r="G33" s="1"/>
  <c r="G34" s="1"/>
  <c r="G35" s="1"/>
  <c r="H5"/>
  <c r="I5"/>
  <c r="J5"/>
  <c r="K5"/>
  <c r="L5"/>
  <c r="R5"/>
  <c r="S5"/>
  <c r="T5"/>
  <c r="T8" s="1"/>
  <c r="T22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W5"/>
  <c r="X5"/>
  <c r="Y5"/>
  <c r="Z5"/>
  <c r="Z7" s="1"/>
  <c r="Z8" s="1"/>
  <c r="Z10" s="1"/>
  <c r="Z11" s="1"/>
  <c r="Z12" s="1"/>
  <c r="Z14" s="1"/>
  <c r="Z15" s="1"/>
  <c r="Z16" s="1"/>
  <c r="Z18" s="1"/>
  <c r="Z20" s="1"/>
  <c r="Z21" s="1"/>
  <c r="Z24" s="1"/>
  <c r="Z25" s="1"/>
  <c r="Z26" s="1"/>
  <c r="Z27" s="1"/>
  <c r="Z30" s="1"/>
  <c r="Z31" s="1"/>
  <c r="Z32" s="1"/>
  <c r="Z33" s="1"/>
  <c r="Z34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5" s="1"/>
  <c r="F26" s="1"/>
  <c r="F27" s="1"/>
  <c r="F28" s="1"/>
  <c r="F29" s="1"/>
  <c r="F31" s="1"/>
  <c r="F34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5" s="1"/>
  <c r="Y4"/>
  <c r="Z4"/>
  <c r="Z5" s="1"/>
  <c r="AA4"/>
  <c r="AB4"/>
  <c r="AC4"/>
  <c r="AC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3" s="1"/>
  <c r="AN25" s="1"/>
  <c r="AN26" s="1"/>
  <c r="AN27" s="1"/>
  <c r="AN28" s="1"/>
  <c r="AN29" s="1"/>
  <c r="AN32" s="1"/>
  <c r="AN33" s="1"/>
  <c r="AN34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5" s="1"/>
  <c r="AP26" s="1"/>
  <c r="AP27" s="1"/>
  <c r="AP28" s="1"/>
  <c r="AP29" s="1"/>
  <c r="AP32" s="1"/>
  <c r="AP33" s="1"/>
  <c r="AP34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5" s="1"/>
  <c r="AR26" s="1"/>
  <c r="AR27" s="1"/>
  <c r="AR28" s="1"/>
  <c r="AR29" s="1"/>
  <c r="AR32" s="1"/>
  <c r="AR33" s="1"/>
  <c r="AR34" s="1"/>
  <c r="AS4"/>
  <c r="AT4"/>
  <c r="AU4"/>
  <c r="AV4"/>
  <c r="AW4"/>
  <c r="B4"/>
  <c r="AC4" i="2"/>
  <c r="AC11" s="1"/>
  <c r="AC12" s="1"/>
  <c r="AC13" s="1"/>
  <c r="AC14" s="1"/>
  <c r="AC15" s="1"/>
  <c r="AC16" s="1"/>
  <c r="AC20" s="1"/>
  <c r="AC27" s="1"/>
  <c r="AC28" s="1"/>
  <c r="AC31" s="1"/>
  <c r="AC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F2"/>
  <c r="G2"/>
  <c r="H2"/>
  <c r="I2"/>
  <c r="J2"/>
  <c r="K2"/>
  <c r="L2"/>
  <c r="M2"/>
  <c r="P2"/>
  <c r="Q2"/>
  <c r="S2"/>
  <c r="S6" s="1"/>
  <c r="S7" s="1"/>
  <c r="S8" s="1"/>
  <c r="S18" s="1"/>
  <c r="S19" s="1"/>
  <c r="T2"/>
  <c r="U2"/>
  <c r="U6" s="1"/>
  <c r="U7" s="1"/>
  <c r="U8" s="1"/>
  <c r="U18" s="1"/>
  <c r="U19" s="1"/>
  <c r="V2"/>
  <c r="W2"/>
  <c r="X2"/>
  <c r="Y2"/>
  <c r="Z2"/>
  <c r="AA2"/>
  <c r="AA4" s="1"/>
  <c r="AA11" s="1"/>
  <c r="AA12" s="1"/>
  <c r="AA13" s="1"/>
  <c r="AA14" s="1"/>
  <c r="AA15" s="1"/>
  <c r="AA16" s="1"/>
  <c r="AA27" s="1"/>
  <c r="AA28" s="1"/>
  <c r="AA31" s="1"/>
  <c r="AA32" s="1"/>
  <c r="AB2"/>
  <c r="AC2"/>
  <c r="AD2"/>
  <c r="AE2"/>
  <c r="AF2"/>
  <c r="AG2"/>
  <c r="AH2"/>
  <c r="AJ2"/>
  <c r="AK2"/>
  <c r="AL2"/>
  <c r="D2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"/>
  <c r="B3" s="1"/>
  <c r="B2"/>
  <c r="A2"/>
  <c r="W29" l="1"/>
  <c r="W30" s="1"/>
  <c r="W31" s="1"/>
  <c r="W32" s="1"/>
  <c r="X9" i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6"/>
  <c r="Z9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6"/>
  <c r="AC7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6"/>
  <c r="X9" i="5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8" s="1"/>
  <c r="X29" s="1"/>
  <c r="X30" s="1"/>
  <c r="X31" s="1"/>
  <c r="X32" s="1"/>
  <c r="X33" s="1"/>
  <c r="X34" s="1"/>
  <c r="Y6"/>
  <c r="Q15" i="2"/>
  <c r="R8" i="3"/>
  <c r="S7"/>
  <c r="G24" i="2"/>
  <c r="Q16" l="1"/>
  <c r="R9" i="3"/>
  <c r="S8"/>
  <c r="D9" i="1"/>
  <c r="E9" s="1"/>
  <c r="L22"/>
  <c r="Q17" i="2" l="1"/>
  <c r="S9" i="3"/>
  <c r="AB16" i="74"/>
  <c r="AA16"/>
  <c r="Q18" i="2" l="1"/>
  <c r="S16" i="3"/>
  <c r="R22"/>
  <c r="R23" s="1"/>
  <c r="R24" s="1"/>
  <c r="R25" s="1"/>
  <c r="R26" s="1"/>
  <c r="R27" s="1"/>
  <c r="R28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AB17" i="76"/>
  <c r="AB16"/>
  <c r="AB15"/>
  <c r="Q22" i="2" l="1"/>
  <c r="C13" i="76"/>
  <c r="Q23" i="2" l="1"/>
  <c r="C14" i="76"/>
  <c r="Q24" i="2" l="1"/>
  <c r="C15" i="76"/>
  <c r="K35" i="5"/>
  <c r="K34"/>
  <c r="K35" i="73"/>
  <c r="G35"/>
  <c r="D35"/>
  <c r="A28" i="76"/>
  <c r="A29"/>
  <c r="A30"/>
  <c r="E22" i="3"/>
  <c r="Q25" i="2" l="1"/>
  <c r="C16" i="76"/>
  <c r="D12" i="73"/>
  <c r="AB7" i="2"/>
  <c r="G5" i="76"/>
  <c r="Q26" i="2" l="1"/>
  <c r="C17" i="76"/>
  <c r="AC17"/>
  <c r="AC16"/>
  <c r="AC15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I36" i="79"/>
  <c r="A36"/>
  <c r="L36" s="1"/>
  <c r="AJ33" i="3"/>
  <c r="U33"/>
  <c r="P33"/>
  <c r="E33"/>
  <c r="C33"/>
  <c r="A33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10" i="2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C29" l="1"/>
  <c r="AD33" i="3"/>
  <c r="AE33" s="1"/>
  <c r="AF33" s="1"/>
  <c r="AG33" s="1"/>
  <c r="AH33" s="1"/>
  <c r="M21" i="76"/>
  <c r="D21"/>
  <c r="E21" s="1"/>
  <c r="AQ11" i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7" i="5"/>
  <c r="A31" i="76"/>
  <c r="C30" l="1"/>
  <c r="AI33" i="3"/>
  <c r="M22" i="76"/>
  <c r="D22"/>
  <c r="E22" s="1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AH31" i="5"/>
  <c r="U8"/>
  <c r="X31" i="2" l="1"/>
  <c r="M25" i="76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M27" i="76" l="1"/>
  <c r="D27"/>
  <c r="E27" s="1"/>
  <c r="I28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I31"/>
  <c r="C31"/>
  <c r="G31"/>
  <c r="L30"/>
  <c r="K31"/>
  <c r="N31" s="1"/>
  <c r="O7" i="79"/>
  <c r="AS29" i="1"/>
  <c r="E26" i="2"/>
  <c r="U24" i="3"/>
  <c r="U25"/>
  <c r="M31" i="76" l="1"/>
  <c r="D31"/>
  <c r="E31" s="1"/>
  <c r="I32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K33"/>
  <c r="N33" s="1"/>
  <c r="I33"/>
  <c r="G33"/>
  <c r="L33" s="1"/>
  <c r="L32"/>
  <c r="M10" i="79"/>
  <c r="O9"/>
  <c r="I8"/>
  <c r="K8" i="5"/>
  <c r="I12" i="77"/>
  <c r="Q3" i="2"/>
  <c r="M33" i="76" l="1"/>
  <c r="D33"/>
  <c r="E33" s="1"/>
  <c r="M11" i="79"/>
  <c r="O10"/>
  <c r="K9" i="5"/>
  <c r="I9" i="79"/>
  <c r="H12" i="77"/>
  <c r="K10" i="5" l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6" i="7"/>
  <c r="AU36" s="1"/>
  <c r="B6"/>
  <c r="F37" i="5"/>
  <c r="F38"/>
  <c r="F36"/>
  <c r="B38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B17" i="77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4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A10" i="7" l="1"/>
  <c r="AA13"/>
  <c r="AA7"/>
  <c r="J6" i="82"/>
  <c r="J9"/>
  <c r="J11"/>
  <c r="J8"/>
  <c r="J5"/>
  <c r="J7"/>
  <c r="J10"/>
  <c r="L4" i="76"/>
  <c r="D4"/>
  <c r="E4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K81" l="1"/>
  <c r="L5" i="82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18" i="74" l="1"/>
  <c r="B15" i="77" s="1"/>
  <c r="W32" i="76"/>
  <c r="AB18" i="74"/>
  <c r="B14" i="77" s="1"/>
  <c r="E14" s="1"/>
  <c r="W33" i="76"/>
  <c r="J12" i="82"/>
  <c r="A36" i="76"/>
  <c r="K36" s="1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U16" s="1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S12" i="7"/>
  <c r="AI14" i="1"/>
  <c r="AW15" i="7" s="1"/>
  <c r="O19" i="2"/>
  <c r="S20" i="76"/>
  <c r="I13" i="3"/>
  <c r="H14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6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5" i="1"/>
  <c r="BD35" i="5"/>
  <c r="AU34" i="1"/>
  <c r="I31" i="81" s="1"/>
  <c r="O30" i="2"/>
  <c r="S31" i="76"/>
  <c r="I32" i="3"/>
  <c r="X24" i="7"/>
  <c r="AN28"/>
  <c r="P26" i="3"/>
  <c r="Q26" s="1"/>
  <c r="V31"/>
  <c r="AU32" i="5"/>
  <c r="AZ31"/>
  <c r="BC31" s="1"/>
  <c r="AB30" i="3"/>
  <c r="U36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6" i="5"/>
  <c r="M36" i="76"/>
  <c r="U32" i="3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AG34"/>
  <c r="AL34"/>
  <c r="J34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5" i="1"/>
  <c r="D35" i="75"/>
  <c r="E35" s="1"/>
  <c r="AL35" i="1"/>
  <c r="AN29" i="7"/>
  <c r="O31" i="2"/>
  <c r="S32" i="76"/>
  <c r="F4" i="77"/>
  <c r="C19" s="1"/>
  <c r="AB31" i="3"/>
  <c r="P27"/>
  <c r="Q27" s="1"/>
  <c r="I36" i="5"/>
  <c r="E37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5" i="1"/>
  <c r="Y26" i="7"/>
  <c r="AR26" s="1"/>
  <c r="AO30"/>
  <c r="L36" i="76"/>
  <c r="AK31" i="3"/>
  <c r="F31" i="63"/>
  <c r="Z32" i="3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8" i="5" l="1"/>
  <c r="AU37" i="1"/>
  <c r="O32" i="2"/>
  <c r="S33" i="76"/>
  <c r="X26" i="7"/>
  <c r="AN30"/>
  <c r="P28" i="3"/>
  <c r="I37" i="5"/>
  <c r="I36" i="76"/>
  <c r="AU34" i="5"/>
  <c r="AZ33"/>
  <c r="BC33" s="1"/>
  <c r="AB32" i="3"/>
  <c r="D37" i="73"/>
  <c r="B16" i="77" s="1"/>
  <c r="E8"/>
  <c r="G36" i="76"/>
  <c r="C36"/>
  <c r="K37" s="1"/>
  <c r="AL36" i="5"/>
  <c r="AO31" i="7"/>
  <c r="B27" i="65"/>
  <c r="E27" s="1"/>
  <c r="AI27" i="1"/>
  <c r="AW28" i="7" s="1"/>
  <c r="G23" i="81"/>
  <c r="AJ26" i="1"/>
  <c r="AK26" s="1"/>
  <c r="N28"/>
  <c r="V28" s="1"/>
  <c r="AK32" i="3"/>
  <c r="K35"/>
  <c r="U34" s="1"/>
  <c r="W31" i="76" s="1"/>
  <c r="AE32" i="3"/>
  <c r="AF32" s="1"/>
  <c r="AG32" s="1"/>
  <c r="AJ36" i="5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G8" i="77" l="1"/>
  <c r="F8"/>
  <c r="AN31" i="7"/>
  <c r="Z37" i="5"/>
  <c r="P29" i="3"/>
  <c r="Q28"/>
  <c r="E16" i="77"/>
  <c r="X31" i="76"/>
  <c r="AU35" i="5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8" i="5"/>
  <c r="Z34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5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6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H31" i="63"/>
  <c r="AK34" i="5"/>
  <c r="H7" i="63"/>
  <c r="AK10" i="5"/>
  <c r="H5" i="63"/>
  <c r="AK8" i="5"/>
  <c r="F14" i="65"/>
  <c r="H25" i="63"/>
  <c r="AK28" i="5"/>
  <c r="H18" i="63"/>
  <c r="AK21" i="5"/>
  <c r="F17" i="65"/>
  <c r="AK17" i="5"/>
  <c r="H26" i="63"/>
  <c r="AK29" i="5"/>
  <c r="H22" i="63"/>
  <c r="AK25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6" i="5"/>
  <c r="AK36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BC19"/>
  <c r="AQ18"/>
  <c r="AS24"/>
  <c r="AX24" s="1"/>
  <c r="BC25"/>
  <c r="AQ24"/>
  <c r="BC23"/>
  <c r="AQ22"/>
  <c r="AS23"/>
  <c r="AX23" s="1"/>
  <c r="AS28"/>
  <c r="AX28" s="1"/>
  <c r="AQ35"/>
  <c r="AS22"/>
  <c r="AX22" s="1"/>
  <c r="AY22" s="1"/>
  <c r="AQ20"/>
  <c r="AS20"/>
  <c r="AX20" s="1"/>
  <c r="BC21"/>
  <c r="AS27"/>
  <c r="AX27" s="1"/>
  <c r="Q25" i="76" s="1"/>
  <c r="AQ34" i="7"/>
  <c r="BC35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Q28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C19" s="1"/>
  <c r="AH19" s="1"/>
  <c r="AH2"/>
  <c r="N2" i="2" l="1"/>
  <c r="L21" i="3"/>
  <c r="M20"/>
  <c r="AA20" s="1"/>
  <c r="AC20" s="1"/>
  <c r="AH20" s="1"/>
  <c r="R2" i="2"/>
  <c r="T3" i="76" l="1"/>
  <c r="S3"/>
  <c r="L22" i="3"/>
  <c r="M21"/>
  <c r="AA21" s="1"/>
  <c r="AC21" s="1"/>
  <c r="AH21" s="1"/>
  <c r="AI2" i="2"/>
  <c r="B5" i="7"/>
  <c r="L23" i="3" l="1"/>
  <c r="M22"/>
  <c r="AA22" s="1"/>
  <c r="AC22" s="1"/>
  <c r="AH22" s="1"/>
  <c r="D5" i="7"/>
  <c r="C5"/>
  <c r="L24" i="3" l="1"/>
  <c r="M23"/>
  <c r="AA23" s="1"/>
  <c r="AC23" s="1"/>
  <c r="AH23" s="1"/>
  <c r="E5" i="7"/>
  <c r="F5"/>
  <c r="L25" i="3" l="1"/>
  <c r="M24"/>
  <c r="AA24" s="1"/>
  <c r="AC24" s="1"/>
  <c r="AH24" s="1"/>
  <c r="H5" i="7"/>
  <c r="G5"/>
  <c r="L26" i="3" l="1"/>
  <c r="M25"/>
  <c r="AA25" s="1"/>
  <c r="AC25" s="1"/>
  <c r="AH25" s="1"/>
  <c r="J5" i="7"/>
  <c r="I5"/>
  <c r="L27" i="3" l="1"/>
  <c r="M26"/>
  <c r="AA26" s="1"/>
  <c r="AC26" s="1"/>
  <c r="AH26" s="1"/>
  <c r="L5" i="7"/>
  <c r="K5"/>
  <c r="L28" i="3" l="1"/>
  <c r="M27"/>
  <c r="AA27" s="1"/>
  <c r="AC27" s="1"/>
  <c r="AH27" s="1"/>
  <c r="N5" i="7"/>
  <c r="M5"/>
  <c r="L29" i="3" l="1"/>
  <c r="M28"/>
  <c r="AA28" s="1"/>
  <c r="AC28" s="1"/>
  <c r="AH28" s="1"/>
  <c r="O5" i="7"/>
  <c r="P5"/>
  <c r="L30" i="3" l="1"/>
  <c r="M29"/>
  <c r="AA29" s="1"/>
  <c r="AC29" s="1"/>
  <c r="AH29" s="1"/>
  <c r="R5" i="7"/>
  <c r="Q5"/>
  <c r="L31" i="3" l="1"/>
  <c r="M30"/>
  <c r="AA30" s="1"/>
  <c r="AC30" s="1"/>
  <c r="AH30" s="1"/>
  <c r="T5" i="7"/>
  <c r="S5"/>
  <c r="L32" i="3" l="1"/>
  <c r="M31"/>
  <c r="AA31" s="1"/>
  <c r="AC31" s="1"/>
  <c r="AH31" s="1"/>
  <c r="U5" i="7"/>
  <c r="W5" l="1"/>
  <c r="V5"/>
  <c r="L33" i="3"/>
  <c r="M33" s="1"/>
  <c r="AA33" s="1"/>
  <c r="M32"/>
  <c r="AA32" s="1"/>
  <c r="AC32" s="1"/>
  <c r="AH32" s="1"/>
  <c r="AR5" i="7" l="1"/>
  <c r="AS6" s="1"/>
  <c r="Y5"/>
  <c r="X5"/>
  <c r="AX6" l="1"/>
  <c r="AS39"/>
  <c r="AY6" l="1"/>
  <c r="AY36" s="1"/>
  <c r="Q4" i="76"/>
  <c r="AX36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T29" s="1"/>
  <c r="F27" i="81" s="1"/>
  <c r="O33" i="76"/>
  <c r="P33" s="1"/>
  <c r="R33" s="1"/>
  <c r="T33" s="1"/>
  <c r="F31" i="81" s="1"/>
  <c r="O25" i="76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T32" s="1"/>
  <c r="F30" i="81" s="1"/>
  <c r="O26" i="7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T31" s="1"/>
  <c r="F29" i="81" s="1"/>
  <c r="O22" i="76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I13" i="77" l="1"/>
  <c r="H13"/>
  <c r="J12" i="8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P35" i="5" l="1"/>
  <c r="Q35" s="1"/>
  <c r="Q34"/>
  <c r="M30" i="81" s="1"/>
  <c r="N35" i="5"/>
  <c r="M31" i="81" l="1"/>
  <c r="Q36" i="5"/>
  <c r="O37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BF34"/>
  <c r="BG34" s="1"/>
  <c r="G34" i="65" s="1"/>
  <c r="I30" i="63"/>
  <c r="I31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<sst xmlns="http://schemas.openxmlformats.org/spreadsheetml/2006/main" count="651" uniqueCount="417">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</sst>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26" fillId="0" borderId="0" xfId="0" applyNumberFormat="1" applyFont="1" applyBorder="1"/>
    <xf numFmtId="0" fontId="18" fillId="0" borderId="15" xfId="4" applyNumberFormat="1" applyFont="1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10343</c:v>
                </c:pt>
                <c:pt idx="24">
                  <c:v>10227</c:v>
                </c:pt>
                <c:pt idx="25">
                  <c:v>8186</c:v>
                </c:pt>
                <c:pt idx="26">
                  <c:v>7564</c:v>
                </c:pt>
                <c:pt idx="27">
                  <c:v>9992</c:v>
                </c:pt>
                <c:pt idx="28">
                  <c:v>10083</c:v>
                </c:pt>
                <c:pt idx="29">
                  <c:v>11228</c:v>
                </c:pt>
                <c:pt idx="30">
                  <c:v>11854</c:v>
                </c:pt>
              </c:numCache>
            </c:numRef>
          </c:val>
        </c:ser>
        <c:marker val="1"/>
        <c:axId val="176146688"/>
        <c:axId val="176156672"/>
      </c:lineChart>
      <c:catAx>
        <c:axId val="17614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56672"/>
        <c:crosses val="autoZero"/>
        <c:auto val="1"/>
        <c:lblAlgn val="ctr"/>
        <c:lblOffset val="100"/>
      </c:catAx>
      <c:valAx>
        <c:axId val="176156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4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888"/>
          <c:w val="0.11899800868449698"/>
          <c:h val="4.49826989619465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3243</c:v>
                </c:pt>
                <c:pt idx="27">
                  <c:v>4764</c:v>
                </c:pt>
                <c:pt idx="28">
                  <c:v>4350</c:v>
                </c:pt>
                <c:pt idx="29">
                  <c:v>4797</c:v>
                </c:pt>
                <c:pt idx="30">
                  <c:v>4253</c:v>
                </c:pt>
              </c:numCache>
            </c:numRef>
          </c:val>
        </c:ser>
        <c:marker val="1"/>
        <c:axId val="176164864"/>
        <c:axId val="176166400"/>
      </c:lineChart>
      <c:catAx>
        <c:axId val="17616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66400"/>
        <c:crosses val="autoZero"/>
        <c:auto val="1"/>
        <c:lblAlgn val="ctr"/>
        <c:lblOffset val="100"/>
      </c:catAx>
      <c:valAx>
        <c:axId val="176166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16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9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92054400"/>
        <c:axId val="192055936"/>
      </c:lineChart>
      <c:catAx>
        <c:axId val="19205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55936"/>
        <c:crosses val="autoZero"/>
        <c:auto val="1"/>
        <c:lblAlgn val="ctr"/>
        <c:lblOffset val="100"/>
      </c:catAx>
      <c:valAx>
        <c:axId val="1920559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5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682"/>
          <c:y val="0.62975887529635888"/>
          <c:w val="7.9124755870162669E-2"/>
          <c:h val="4.498269896194653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92084224"/>
        <c:axId val="118423552"/>
      </c:lineChart>
      <c:catAx>
        <c:axId val="19208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23552"/>
        <c:crosses val="autoZero"/>
        <c:auto val="1"/>
        <c:lblAlgn val="ctr"/>
        <c:lblOffset val="100"/>
      </c:catAx>
      <c:valAx>
        <c:axId val="118423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08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48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209.27272727272728</c:v>
                </c:pt>
                <c:pt idx="23">
                  <c:v>232.1</c:v>
                </c:pt>
                <c:pt idx="24">
                  <c:v>237.5</c:v>
                </c:pt>
                <c:pt idx="25">
                  <c:v>192.83333333333334</c:v>
                </c:pt>
                <c:pt idx="26">
                  <c:v>282.75</c:v>
                </c:pt>
                <c:pt idx="27">
                  <c:v>240.36363636363637</c:v>
                </c:pt>
                <c:pt idx="28">
                  <c:v>268</c:v>
                </c:pt>
                <c:pt idx="29">
                  <c:v>232.30769230769232</c:v>
                </c:pt>
              </c:numCache>
            </c:numRef>
          </c:val>
        </c:ser>
        <c:marker val="1"/>
        <c:axId val="118435200"/>
        <c:axId val="118441088"/>
      </c:lineChart>
      <c:catAx>
        <c:axId val="11843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41088"/>
        <c:crosses val="autoZero"/>
        <c:auto val="1"/>
        <c:lblAlgn val="ctr"/>
        <c:lblOffset val="100"/>
      </c:catAx>
      <c:valAx>
        <c:axId val="118441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3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94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8224000"/>
        <c:axId val="118225536"/>
      </c:lineChart>
      <c:catAx>
        <c:axId val="11822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25536"/>
        <c:crosses val="autoZero"/>
        <c:auto val="1"/>
        <c:lblAlgn val="ctr"/>
        <c:lblOffset val="100"/>
      </c:catAx>
      <c:valAx>
        <c:axId val="11822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2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731904"/>
        <c:axId val="120741888"/>
      </c:lineChart>
      <c:catAx>
        <c:axId val="12073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1888"/>
        <c:crosses val="autoZero"/>
        <c:auto val="1"/>
        <c:lblAlgn val="ctr"/>
        <c:lblOffset val="100"/>
      </c:catAx>
      <c:valAx>
        <c:axId val="12074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3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137</c:v>
                </c:pt>
                <c:pt idx="24">
                  <c:v>0</c:v>
                </c:pt>
                <c:pt idx="25">
                  <c:v>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761344"/>
        <c:axId val="120767232"/>
      </c:lineChart>
      <c:catAx>
        <c:axId val="12076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67232"/>
        <c:crosses val="autoZero"/>
        <c:auto val="1"/>
        <c:lblAlgn val="ctr"/>
        <c:lblOffset val="100"/>
      </c:catAx>
      <c:valAx>
        <c:axId val="1207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6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28</c:v>
                </c:pt>
                <c:pt idx="26">
                  <c:v>27.5</c:v>
                </c:pt>
                <c:pt idx="27">
                  <c:v>27.5</c:v>
                </c:pt>
                <c:pt idx="28">
                  <c:v>28.5</c:v>
                </c:pt>
                <c:pt idx="29">
                  <c:v>28.5</c:v>
                </c:pt>
              </c:numCache>
            </c:numRef>
          </c:val>
        </c:ser>
        <c:marker val="1"/>
        <c:axId val="120803712"/>
        <c:axId val="120805248"/>
      </c:lineChart>
      <c:catAx>
        <c:axId val="12080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05248"/>
        <c:crosses val="autoZero"/>
        <c:auto val="1"/>
        <c:lblAlgn val="ctr"/>
        <c:lblOffset val="100"/>
      </c:catAx>
      <c:valAx>
        <c:axId val="120805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0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974"/>
          <c:w val="0.1272403315177270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</c:ser>
        <c:marker val="1"/>
        <c:axId val="120825344"/>
        <c:axId val="120826880"/>
      </c:lineChart>
      <c:catAx>
        <c:axId val="12082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26880"/>
        <c:crosses val="autoZero"/>
        <c:auto val="1"/>
        <c:lblAlgn val="ctr"/>
        <c:lblOffset val="100"/>
      </c:catAx>
      <c:valAx>
        <c:axId val="12082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2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892032"/>
        <c:axId val="120906112"/>
      </c:lineChart>
      <c:catAx>
        <c:axId val="1208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06112"/>
        <c:crosses val="autoZero"/>
        <c:auto val="1"/>
        <c:lblAlgn val="ctr"/>
        <c:lblOffset val="100"/>
      </c:catAx>
      <c:valAx>
        <c:axId val="12090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974"/>
          <c:w val="0.135416885389349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268480"/>
        <c:axId val="117270016"/>
      </c:lineChart>
      <c:catAx>
        <c:axId val="11726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70016"/>
        <c:crosses val="autoZero"/>
        <c:auto val="1"/>
        <c:lblAlgn val="ctr"/>
        <c:lblOffset val="100"/>
      </c:catAx>
      <c:valAx>
        <c:axId val="117270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6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97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10343</c:v>
                </c:pt>
                <c:pt idx="24">
                  <c:v>10227</c:v>
                </c:pt>
                <c:pt idx="25">
                  <c:v>8186</c:v>
                </c:pt>
                <c:pt idx="26">
                  <c:v>7564</c:v>
                </c:pt>
                <c:pt idx="27">
                  <c:v>9992</c:v>
                </c:pt>
                <c:pt idx="28">
                  <c:v>10083</c:v>
                </c:pt>
                <c:pt idx="29">
                  <c:v>11228</c:v>
                </c:pt>
                <c:pt idx="30">
                  <c:v>11854</c:v>
                </c:pt>
              </c:numCache>
            </c:numRef>
          </c:val>
        </c:ser>
        <c:marker val="1"/>
        <c:axId val="117286400"/>
        <c:axId val="117287936"/>
      </c:lineChart>
      <c:catAx>
        <c:axId val="11728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87936"/>
        <c:crosses val="autoZero"/>
        <c:auto val="1"/>
        <c:lblAlgn val="ctr"/>
        <c:lblOffset val="100"/>
      </c:catAx>
      <c:valAx>
        <c:axId val="117287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8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888"/>
          <c:w val="0.12291688538932598"/>
          <c:h val="4.49826989619465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3243</c:v>
                </c:pt>
                <c:pt idx="27">
                  <c:v>4764</c:v>
                </c:pt>
                <c:pt idx="28">
                  <c:v>4350</c:v>
                </c:pt>
                <c:pt idx="29">
                  <c:v>4797</c:v>
                </c:pt>
                <c:pt idx="30">
                  <c:v>4253</c:v>
                </c:pt>
              </c:numCache>
            </c:numRef>
          </c:val>
        </c:ser>
        <c:marker val="1"/>
        <c:axId val="117299840"/>
        <c:axId val="120852864"/>
      </c:lineChart>
      <c:catAx>
        <c:axId val="11729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52864"/>
        <c:crosses val="autoZero"/>
        <c:auto val="1"/>
        <c:lblAlgn val="ctr"/>
        <c:lblOffset val="100"/>
      </c:catAx>
      <c:valAx>
        <c:axId val="12085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9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974"/>
          <c:w val="0.135416885389349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6</c:v>
                </c:pt>
              </c:numCache>
            </c:numRef>
          </c:val>
        </c:ser>
        <c:marker val="1"/>
        <c:axId val="120995840"/>
        <c:axId val="120997376"/>
      </c:lineChart>
      <c:catAx>
        <c:axId val="120995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97376"/>
        <c:crosses val="autoZero"/>
        <c:auto val="1"/>
        <c:lblAlgn val="ctr"/>
        <c:lblOffset val="100"/>
      </c:catAx>
      <c:valAx>
        <c:axId val="120997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95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327"/>
          <c:y val="0.54325368498487869"/>
          <c:w val="0.11458355205599259"/>
          <c:h val="4.498269896194594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-429.3483870967757</c:v>
                </c:pt>
                <c:pt idx="17">
                  <c:v>-606.35483870966709</c:v>
                </c:pt>
                <c:pt idx="18">
                  <c:v>-927.03225806451519</c:v>
                </c:pt>
                <c:pt idx="19">
                  <c:v>-613.35483870968164</c:v>
                </c:pt>
                <c:pt idx="20">
                  <c:v>-920.03225806450064</c:v>
                </c:pt>
                <c:pt idx="21">
                  <c:v>-1226.709677419356</c:v>
                </c:pt>
                <c:pt idx="22">
                  <c:v>-613.35483870967437</c:v>
                </c:pt>
                <c:pt idx="23">
                  <c:v>1321.3870967741823</c:v>
                </c:pt>
                <c:pt idx="24">
                  <c:v>-801.03225806451519</c:v>
                </c:pt>
                <c:pt idx="25">
                  <c:v>-566.01935483870329</c:v>
                </c:pt>
                <c:pt idx="26">
                  <c:v>-283.0096774193662</c:v>
                </c:pt>
                <c:pt idx="27">
                  <c:v>-447.6806451612938</c:v>
                </c:pt>
                <c:pt idx="28">
                  <c:v>221.85161290323595</c:v>
                </c:pt>
                <c:pt idx="29">
                  <c:v>-1274.0451612903271</c:v>
                </c:pt>
              </c:numCache>
            </c:numRef>
          </c:val>
        </c:ser>
        <c:marker val="1"/>
        <c:axId val="121033856"/>
        <c:axId val="121035392"/>
      </c:lineChart>
      <c:catAx>
        <c:axId val="12103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35392"/>
        <c:crosses val="autoZero"/>
        <c:auto val="1"/>
        <c:lblAlgn val="ctr"/>
        <c:lblOffset val="100"/>
      </c:catAx>
      <c:valAx>
        <c:axId val="121035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3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99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13216"/>
        <c:axId val="121123200"/>
      </c:lineChart>
      <c:catAx>
        <c:axId val="1211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3200"/>
        <c:crosses val="autoZero"/>
        <c:auto val="1"/>
        <c:lblAlgn val="ctr"/>
        <c:lblOffset val="100"/>
      </c:catAx>
      <c:valAx>
        <c:axId val="121123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888"/>
          <c:w val="0.13541688538934932"/>
          <c:h val="4.49826989619465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71968"/>
        <c:axId val="121173504"/>
      </c:lineChart>
      <c:catAx>
        <c:axId val="12117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3504"/>
        <c:crosses val="autoZero"/>
        <c:auto val="1"/>
        <c:lblAlgn val="ctr"/>
        <c:lblOffset val="100"/>
      </c:catAx>
      <c:valAx>
        <c:axId val="1211735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888"/>
          <c:w val="9.730870597697025E-2"/>
          <c:h val="4.49826989619465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10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70720"/>
        <c:axId val="121072256"/>
      </c:lineChart>
      <c:catAx>
        <c:axId val="12107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72256"/>
        <c:crosses val="autoZero"/>
        <c:auto val="1"/>
        <c:lblAlgn val="ctr"/>
        <c:lblOffset val="100"/>
      </c:catAx>
      <c:valAx>
        <c:axId val="121072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7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5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78368"/>
        <c:axId val="121188352"/>
      </c:lineChart>
      <c:catAx>
        <c:axId val="121178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88352"/>
        <c:crosses val="autoZero"/>
        <c:auto val="1"/>
        <c:lblAlgn val="ctr"/>
        <c:lblOffset val="100"/>
      </c:catAx>
      <c:valAx>
        <c:axId val="121188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7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811"/>
          <c:y val="0.62975887529635888"/>
          <c:w val="0.13250539334757044"/>
          <c:h val="4.49826989619465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137</c:v>
                </c:pt>
                <c:pt idx="24">
                  <c:v>0</c:v>
                </c:pt>
                <c:pt idx="25">
                  <c:v>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200000"/>
        <c:axId val="121214080"/>
      </c:lineChart>
      <c:catAx>
        <c:axId val="12120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14080"/>
        <c:crosses val="autoZero"/>
        <c:auto val="1"/>
        <c:lblAlgn val="ctr"/>
        <c:lblOffset val="100"/>
      </c:catAx>
      <c:valAx>
        <c:axId val="12121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97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28</c:v>
                </c:pt>
                <c:pt idx="26">
                  <c:v>27.5</c:v>
                </c:pt>
                <c:pt idx="27">
                  <c:v>27.5</c:v>
                </c:pt>
                <c:pt idx="28">
                  <c:v>28.5</c:v>
                </c:pt>
                <c:pt idx="29">
                  <c:v>28.5</c:v>
                </c:pt>
              </c:numCache>
            </c:numRef>
          </c:val>
        </c:ser>
        <c:marker val="1"/>
        <c:axId val="121238272"/>
        <c:axId val="121239808"/>
      </c:lineChart>
      <c:catAx>
        <c:axId val="12123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9808"/>
        <c:crosses val="autoZero"/>
        <c:auto val="1"/>
        <c:lblAlgn val="ctr"/>
        <c:lblOffset val="100"/>
      </c:catAx>
      <c:valAx>
        <c:axId val="12123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489"/>
          <c:w val="0.1234311819809264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1322112"/>
        <c:axId val="121340288"/>
      </c:lineChart>
      <c:catAx>
        <c:axId val="1213221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40288"/>
        <c:crosses val="autoZero"/>
        <c:auto val="1"/>
        <c:lblAlgn val="ctr"/>
        <c:lblOffset val="100"/>
      </c:catAx>
      <c:valAx>
        <c:axId val="121340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2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029"/>
          <c:w val="0.1569039853282138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209.27272727272728</c:v>
                </c:pt>
                <c:pt idx="23">
                  <c:v>232.1</c:v>
                </c:pt>
                <c:pt idx="24">
                  <c:v>237.5</c:v>
                </c:pt>
                <c:pt idx="25">
                  <c:v>192.83333333333334</c:v>
                </c:pt>
                <c:pt idx="26">
                  <c:v>282.75</c:v>
                </c:pt>
                <c:pt idx="27">
                  <c:v>240.36363636363637</c:v>
                </c:pt>
                <c:pt idx="28">
                  <c:v>268</c:v>
                </c:pt>
                <c:pt idx="29">
                  <c:v>232.30769230769232</c:v>
                </c:pt>
              </c:numCache>
            </c:numRef>
          </c:val>
        </c:ser>
        <c:marker val="1"/>
        <c:axId val="121359744"/>
        <c:axId val="121377920"/>
      </c:lineChart>
      <c:catAx>
        <c:axId val="1213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7920"/>
        <c:crosses val="autoZero"/>
        <c:auto val="1"/>
        <c:lblAlgn val="ctr"/>
        <c:lblOffset val="100"/>
      </c:catAx>
      <c:valAx>
        <c:axId val="1213779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888"/>
          <c:w val="0.14853578449139945"/>
          <c:h val="4.49826989619467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28</c:v>
                </c:pt>
                <c:pt idx="26">
                  <c:v>27.5</c:v>
                </c:pt>
                <c:pt idx="27">
                  <c:v>27.5</c:v>
                </c:pt>
                <c:pt idx="28">
                  <c:v>28.5</c:v>
                </c:pt>
                <c:pt idx="29">
                  <c:v>28.5</c:v>
                </c:pt>
              </c:numCache>
            </c:numRef>
          </c:val>
        </c:ser>
        <c:marker val="1"/>
        <c:axId val="121468032"/>
        <c:axId val="121469568"/>
      </c:lineChart>
      <c:catAx>
        <c:axId val="12146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9568"/>
        <c:crosses val="autoZero"/>
        <c:auto val="1"/>
        <c:lblAlgn val="ctr"/>
        <c:lblOffset val="100"/>
      </c:catAx>
      <c:valAx>
        <c:axId val="12146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119"/>
          <c:y val="0.62975887529635888"/>
          <c:w val="0.12164948453608219"/>
          <c:h val="4.498269896194678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9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6</c:v>
                </c:pt>
              </c:numCache>
            </c:numRef>
          </c:val>
        </c:ser>
        <c:marker val="1"/>
        <c:axId val="121666560"/>
        <c:axId val="121860864"/>
      </c:lineChart>
      <c:catAx>
        <c:axId val="12166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0864"/>
        <c:crosses val="autoZero"/>
        <c:auto val="1"/>
        <c:lblAlgn val="ctr"/>
        <c:lblOffset val="100"/>
      </c:catAx>
      <c:valAx>
        <c:axId val="121860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3243</c:v>
                </c:pt>
                <c:pt idx="27">
                  <c:v>4764</c:v>
                </c:pt>
                <c:pt idx="28">
                  <c:v>4350</c:v>
                </c:pt>
                <c:pt idx="29">
                  <c:v>4797</c:v>
                </c:pt>
                <c:pt idx="30">
                  <c:v>4253</c:v>
                </c:pt>
              </c:numCache>
            </c:numRef>
          </c:val>
        </c:ser>
        <c:marker val="1"/>
        <c:axId val="122003840"/>
        <c:axId val="122005376"/>
      </c:lineChart>
      <c:catAx>
        <c:axId val="1220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5376"/>
        <c:crosses val="autoZero"/>
        <c:auto val="1"/>
        <c:lblAlgn val="ctr"/>
        <c:lblOffset val="100"/>
      </c:catAx>
      <c:valAx>
        <c:axId val="12200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00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92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5188736"/>
        <c:axId val="125190528"/>
      </c:lineChart>
      <c:catAx>
        <c:axId val="125188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90528"/>
        <c:crosses val="autoZero"/>
        <c:auto val="1"/>
        <c:lblAlgn val="ctr"/>
        <c:lblOffset val="100"/>
      </c:catAx>
      <c:valAx>
        <c:axId val="1251905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8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0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63874</xdr:colOff>
      <xdr:row>33</xdr:row>
      <xdr:rowOff>131670</xdr:rowOff>
    </xdr:from>
    <xdr:to>
      <xdr:col>30</xdr:col>
      <xdr:colOff>263899</xdr:colOff>
      <xdr:row>48</xdr:row>
      <xdr:rowOff>17370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I60">
            <v>298.16666666666669</v>
          </cell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selection activeCell="C36" sqref="C3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9" bestFit="1" customWidth="1"/>
    <col min="13" max="13" width="12.140625" style="299" customWidth="1"/>
    <col min="14" max="14" width="12.140625" style="511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8" t="s">
        <v>355</v>
      </c>
      <c r="F1" s="278" t="s">
        <v>356</v>
      </c>
      <c r="G1" s="278" t="s">
        <v>357</v>
      </c>
      <c r="H1" s="278" t="s">
        <v>358</v>
      </c>
      <c r="I1" s="278" t="s">
        <v>359</v>
      </c>
      <c r="J1" s="278" t="s">
        <v>360</v>
      </c>
      <c r="K1" s="278" t="s">
        <v>361</v>
      </c>
      <c r="L1" s="311" t="s">
        <v>362</v>
      </c>
      <c r="M1" s="508" t="s">
        <v>403</v>
      </c>
      <c r="N1" s="509" t="s">
        <v>404</v>
      </c>
      <c r="O1" s="278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6">
        <f>SUM('EDl log'!T4)</f>
        <v>8.317865858135591E-2</v>
      </c>
      <c r="G2" s="206">
        <f>-tanks!AW6</f>
        <v>155</v>
      </c>
      <c r="H2" s="336">
        <f>SUM(tanks!AV6)</f>
        <v>0.53</v>
      </c>
      <c r="I2" s="10">
        <f>('B5'!AU5)*0.51</f>
        <v>0</v>
      </c>
      <c r="J2" s="315">
        <f>'B5'!AX5/0.51</f>
        <v>1.5686274509803921</v>
      </c>
      <c r="K2" s="206">
        <f>WATER!I6</f>
        <v>0</v>
      </c>
      <c r="L2" s="337">
        <f>SUM(WATER!J6)</f>
        <v>0</v>
      </c>
      <c r="M2" s="337">
        <f>WATER!Q6</f>
        <v>0</v>
      </c>
      <c r="N2" s="510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6">
        <f>SUM('EDl log'!T5)</f>
        <v>0.10639617826238169</v>
      </c>
      <c r="G3" s="206">
        <f>-tanks!AW7</f>
        <v>0</v>
      </c>
      <c r="H3" s="336">
        <f>SUM(tanks!AV7)</f>
        <v>0.53</v>
      </c>
      <c r="I3" s="10">
        <f>('B5'!AU6)*0.51</f>
        <v>0</v>
      </c>
      <c r="J3" s="315">
        <f>'B5'!AX6/0.51</f>
        <v>1.5686274509803921</v>
      </c>
      <c r="K3" s="206">
        <f>WATER!I7</f>
        <v>0</v>
      </c>
      <c r="L3" s="337">
        <f>SUM(WATER!J7)</f>
        <v>0</v>
      </c>
      <c r="M3" s="337">
        <f>WATER!Q7</f>
        <v>0</v>
      </c>
      <c r="N3" s="510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6">
        <f>SUM('EDl log'!T6)</f>
        <v>9.6652465234721582E-2</v>
      </c>
      <c r="G4" s="206">
        <f>-tanks!AW8</f>
        <v>350</v>
      </c>
      <c r="H4" s="336">
        <f>SUM(tanks!AV8)</f>
        <v>0.53</v>
      </c>
      <c r="I4" s="10">
        <f>('B5'!AU7)*0.51</f>
        <v>0</v>
      </c>
      <c r="J4" s="315">
        <f>'B5'!AX7/0.51</f>
        <v>1.5686274509803921</v>
      </c>
      <c r="K4" s="206">
        <f>WATER!I8</f>
        <v>0</v>
      </c>
      <c r="L4" s="337">
        <f>SUM(WATER!J8)</f>
        <v>0</v>
      </c>
      <c r="M4" s="337">
        <f>WATER!Q8</f>
        <v>0</v>
      </c>
      <c r="N4" s="510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6">
        <f>SUM('EDl log'!T7)</f>
        <v>0.11097463222575256</v>
      </c>
      <c r="G5" s="206">
        <f>-tanks!AW9</f>
        <v>303</v>
      </c>
      <c r="H5" s="336">
        <f>SUM(tanks!AV9)</f>
        <v>0.53</v>
      </c>
      <c r="I5" s="10">
        <f>('B5'!AU8)*0.51</f>
        <v>0</v>
      </c>
      <c r="J5" s="315">
        <f>'B5'!AX8/0.51</f>
        <v>1.5686274509803921</v>
      </c>
      <c r="K5" s="206">
        <f>WATER!I9</f>
        <v>0</v>
      </c>
      <c r="L5" s="337">
        <f>SUM(WATER!J9)</f>
        <v>0</v>
      </c>
      <c r="M5" s="337">
        <f>WATER!Q9</f>
        <v>0</v>
      </c>
      <c r="N5" s="510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6">
        <f>SUM('EDl log'!T8)</f>
        <v>8.7390021762597608E-2</v>
      </c>
      <c r="G6" s="206">
        <f>-tanks!AW10</f>
        <v>0</v>
      </c>
      <c r="H6" s="336">
        <f>SUM(tanks!AV10)</f>
        <v>0.53</v>
      </c>
      <c r="I6" s="10">
        <f>('B5'!AU9)*0.51</f>
        <v>0</v>
      </c>
      <c r="J6" s="315">
        <f>'B5'!AX9/0.51</f>
        <v>1.5686274509803921</v>
      </c>
      <c r="K6" s="206">
        <f>WATER!I10</f>
        <v>0</v>
      </c>
      <c r="L6" s="337">
        <f>SUM(WATER!J10)</f>
        <v>0</v>
      </c>
      <c r="M6" s="337">
        <f>WATER!Q10</f>
        <v>0</v>
      </c>
      <c r="N6" s="510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6">
        <f>SUM('EDl log'!T9)</f>
        <v>0.11498090785715542</v>
      </c>
      <c r="G7" s="206">
        <f>-tanks!AW11</f>
        <v>0</v>
      </c>
      <c r="H7" s="336">
        <f>SUM(tanks!AV11)</f>
        <v>0.53</v>
      </c>
      <c r="I7" s="10">
        <f>('B5'!AU10)*0.51</f>
        <v>0</v>
      </c>
      <c r="J7" s="315">
        <f>'B5'!AX10/0.51</f>
        <v>1.5686274509803921</v>
      </c>
      <c r="K7" s="206">
        <f>WATER!I11</f>
        <v>118</v>
      </c>
      <c r="L7" s="337">
        <f>SUM(WATER!J11)</f>
        <v>2.1186440677966103</v>
      </c>
      <c r="M7" s="337">
        <f>WATER!Q11</f>
        <v>0</v>
      </c>
      <c r="N7" s="510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6">
        <f>SUM('EDl log'!T10)</f>
        <v>9.2334781218453954E-2</v>
      </c>
      <c r="G8" s="206">
        <f>-tanks!AW12</f>
        <v>0</v>
      </c>
      <c r="H8" s="336">
        <f>SUM(tanks!AV12)</f>
        <v>0.53</v>
      </c>
      <c r="I8" s="10">
        <f>('B5'!AU11)*0.51</f>
        <v>0</v>
      </c>
      <c r="J8" s="315">
        <f>'B5'!AX11/0.51</f>
        <v>1.5686274509803921</v>
      </c>
      <c r="K8" s="206">
        <f>WATER!I12</f>
        <v>0</v>
      </c>
      <c r="L8" s="337">
        <f>SUM(WATER!J12)</f>
        <v>0</v>
      </c>
      <c r="M8" s="337">
        <f>WATER!Q12</f>
        <v>0</v>
      </c>
      <c r="N8" s="510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6">
        <f>SUM('EDl log'!T11)</f>
        <v>0.15042933825666305</v>
      </c>
      <c r="G9" s="206">
        <f>-tanks!AW13</f>
        <v>0</v>
      </c>
      <c r="H9" s="336">
        <f>SUM(tanks!AV13)</f>
        <v>0.53</v>
      </c>
      <c r="I9" s="10">
        <f>('B5'!AU12)*0.51</f>
        <v>0</v>
      </c>
      <c r="J9" s="315">
        <f>'B5'!AX12/0.51</f>
        <v>1.5686274509803921</v>
      </c>
      <c r="K9" s="206">
        <f>WATER!I13</f>
        <v>0</v>
      </c>
      <c r="L9" s="337">
        <f>SUM(WATER!J13)</f>
        <v>0</v>
      </c>
      <c r="M9" s="337">
        <f>WATER!Q13</f>
        <v>0</v>
      </c>
      <c r="N9" s="510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6">
        <f>SUM('EDl log'!T12)</f>
        <v>9.1466842641792209E-2</v>
      </c>
      <c r="G10" s="206">
        <f>-tanks!AW14</f>
        <v>0</v>
      </c>
      <c r="H10" s="336">
        <f>SUM(tanks!AV14)</f>
        <v>0.53</v>
      </c>
      <c r="I10" s="10">
        <f>('B5'!AU13)*0.51</f>
        <v>183.6</v>
      </c>
      <c r="J10" s="315">
        <f>'B5'!AX13/0.51</f>
        <v>1.5686274509803921</v>
      </c>
      <c r="K10" s="206">
        <f>WATER!I14</f>
        <v>0</v>
      </c>
      <c r="L10" s="337">
        <f>SUM(WATER!J14)</f>
        <v>0</v>
      </c>
      <c r="M10" s="337">
        <f>WATER!Q14</f>
        <v>0</v>
      </c>
      <c r="N10" s="510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6">
        <f>SUM('EDl log'!T13)</f>
        <v>2.5994703002097688E-2</v>
      </c>
      <c r="G11" s="206">
        <f>-tanks!AW15</f>
        <v>0</v>
      </c>
      <c r="H11" s="336">
        <f>SUM(tanks!AV15)</f>
        <v>0.54</v>
      </c>
      <c r="I11" s="10">
        <f>('B5'!AU14)*0.51</f>
        <v>0</v>
      </c>
      <c r="J11" s="315">
        <f>'B5'!AX14/0.51</f>
        <v>1.5686274509803921</v>
      </c>
      <c r="K11" s="206">
        <f>WATER!I15</f>
        <v>0</v>
      </c>
      <c r="L11" s="337">
        <f>SUM(WATER!J15)</f>
        <v>0</v>
      </c>
      <c r="M11" s="337">
        <f>WATER!Q15</f>
        <v>0</v>
      </c>
      <c r="N11" s="510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6">
        <f>SUM('EDl log'!T14)</f>
        <v>0.10034309792611114</v>
      </c>
      <c r="G12" s="206">
        <f>-tanks!AW16</f>
        <v>0</v>
      </c>
      <c r="H12" s="336">
        <f>SUM(tanks!AV16)</f>
        <v>0.54</v>
      </c>
      <c r="I12" s="10">
        <f>('B5'!AU15)*0.51</f>
        <v>0</v>
      </c>
      <c r="J12" s="315">
        <f>'B5'!AX15/0.51</f>
        <v>1.5686274509803921</v>
      </c>
      <c r="K12" s="206">
        <f>WATER!I16</f>
        <v>0</v>
      </c>
      <c r="L12" s="337">
        <f>SUM(WATER!J16)</f>
        <v>0</v>
      </c>
      <c r="M12" s="337">
        <f>WATER!Q16</f>
        <v>0</v>
      </c>
      <c r="N12" s="510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6">
        <f>SUM('EDl log'!T15)</f>
        <v>0.10096416921914569</v>
      </c>
      <c r="G13" s="206">
        <f>-tanks!AW17</f>
        <v>0</v>
      </c>
      <c r="H13" s="336">
        <f>SUM(tanks!AV17)</f>
        <v>0.54</v>
      </c>
      <c r="I13" s="10">
        <f>('B5'!AU16)*0.51</f>
        <v>0</v>
      </c>
      <c r="J13" s="315">
        <f>'B5'!AX16/0.51</f>
        <v>1.5686274509803921</v>
      </c>
      <c r="K13" s="206">
        <f>WATER!I17</f>
        <v>0</v>
      </c>
      <c r="L13" s="337">
        <f>SUM(WATER!J17)</f>
        <v>0</v>
      </c>
      <c r="M13" s="337">
        <f>WATER!Q17</f>
        <v>0</v>
      </c>
      <c r="N13" s="510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6">
        <f>SUM('EDl log'!T16)</f>
        <v>0.10004211464849722</v>
      </c>
      <c r="G14" s="206">
        <f>-tanks!AW18</f>
        <v>0</v>
      </c>
      <c r="H14" s="336">
        <f>SUM(tanks!AV18)</f>
        <v>0.54</v>
      </c>
      <c r="I14" s="10">
        <f>('B5'!AU17)*0.51</f>
        <v>45.9</v>
      </c>
      <c r="J14" s="315">
        <f>'B5'!AX17/0.51</f>
        <v>1.5686274509803921</v>
      </c>
      <c r="K14" s="206">
        <f>WATER!I18</f>
        <v>0</v>
      </c>
      <c r="L14" s="337">
        <f>SUM(WATER!J18)</f>
        <v>0</v>
      </c>
      <c r="M14" s="337">
        <f>WATER!Q18</f>
        <v>0</v>
      </c>
      <c r="N14" s="510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6">
        <f>SUM('EDl log'!T17)</f>
        <v>8.0677912925046114E-2</v>
      </c>
      <c r="G15" s="206">
        <f>-tanks!AW19</f>
        <v>0</v>
      </c>
      <c r="H15" s="336">
        <f>SUM(tanks!AV19)</f>
        <v>0.54</v>
      </c>
      <c r="I15" s="10">
        <f>('B5'!AU18)*0.51</f>
        <v>0</v>
      </c>
      <c r="J15" s="315">
        <f>'B5'!AX18/0.51</f>
        <v>1.5686274509803921</v>
      </c>
      <c r="K15" s="206">
        <f>WATER!I19</f>
        <v>0</v>
      </c>
      <c r="L15" s="337">
        <f>SUM(WATER!J19)</f>
        <v>0</v>
      </c>
      <c r="M15" s="337">
        <f>WATER!Q19</f>
        <v>0</v>
      </c>
      <c r="N15" s="510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6">
        <f>SUM('EDl log'!T18)</f>
        <v>0.10473824140807508</v>
      </c>
      <c r="G16" s="206">
        <f>-tanks!AW20</f>
        <v>0</v>
      </c>
      <c r="H16" s="336">
        <f>SUM(tanks!AV20)</f>
        <v>0.54</v>
      </c>
      <c r="I16" s="10">
        <f>('B5'!AU19)*0.51</f>
        <v>15.3</v>
      </c>
      <c r="J16" s="315">
        <f>'B5'!AX19/0.51</f>
        <v>1.5686274509803921</v>
      </c>
      <c r="K16" s="206">
        <f>WATER!I20</f>
        <v>0</v>
      </c>
      <c r="L16" s="337">
        <f>SUM(WATER!J20)</f>
        <v>0</v>
      </c>
      <c r="M16" s="337">
        <f>WATER!Q20</f>
        <v>0</v>
      </c>
      <c r="N16" s="510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6">
        <f>SUM('EDl log'!T19)</f>
        <v>9.0908967389742995E-2</v>
      </c>
      <c r="G17" s="206">
        <f>-tanks!AW21</f>
        <v>0</v>
      </c>
      <c r="H17" s="336">
        <f>SUM(tanks!AV21)</f>
        <v>0.54</v>
      </c>
      <c r="I17" s="10">
        <f>('B5'!AU20)*0.51</f>
        <v>30.6</v>
      </c>
      <c r="J17" s="315">
        <f>'B5'!AX20/0.51</f>
        <v>1.5686274509803921</v>
      </c>
      <c r="K17" s="206">
        <f>WATER!I21</f>
        <v>185</v>
      </c>
      <c r="L17" s="337">
        <f>SUM(WATER!J21)</f>
        <v>1.3513513513513513</v>
      </c>
      <c r="M17" s="337">
        <f>WATER!Q21</f>
        <v>0</v>
      </c>
      <c r="N17" s="510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9226</v>
      </c>
      <c r="F18" s="336">
        <f>SUM('EDl log'!T20)</f>
        <v>7.8532273100518787E-2</v>
      </c>
      <c r="G18" s="206">
        <f>-tanks!AW22</f>
        <v>0</v>
      </c>
      <c r="H18" s="336">
        <f>SUM(tanks!AV22)</f>
        <v>0.54</v>
      </c>
      <c r="I18" s="10">
        <f>('B5'!AU21)*0.51</f>
        <v>0</v>
      </c>
      <c r="J18" s="315">
        <f>'B5'!AX21/0.51</f>
        <v>1.5686274509803921</v>
      </c>
      <c r="K18" s="206">
        <f>WATER!I22</f>
        <v>0</v>
      </c>
      <c r="L18" s="337">
        <f>SUM(WATER!J22)</f>
        <v>0</v>
      </c>
      <c r="M18" s="337">
        <f>WATER!Q22</f>
        <v>0</v>
      </c>
      <c r="N18" s="510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9673</v>
      </c>
      <c r="F19" s="336">
        <f>SUM('EDl log'!T21)</f>
        <v>8.5950637940763727E-2</v>
      </c>
      <c r="G19" s="206">
        <f>-tanks!AW23</f>
        <v>0</v>
      </c>
      <c r="H19" s="336">
        <f>SUM(tanks!AV23)</f>
        <v>0.54</v>
      </c>
      <c r="I19" s="10">
        <f>('B5'!AU22)*0.51</f>
        <v>15.3</v>
      </c>
      <c r="J19" s="315">
        <f>'B5'!AX22/0.51</f>
        <v>1.5686274509803921</v>
      </c>
      <c r="K19" s="206">
        <f>WATER!I23</f>
        <v>142</v>
      </c>
      <c r="L19" s="337">
        <f>SUM(WATER!J23)</f>
        <v>1.7605633802816902</v>
      </c>
      <c r="M19" s="337">
        <f>WATER!Q23</f>
        <v>0</v>
      </c>
      <c r="N19" s="510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7867</v>
      </c>
      <c r="F20" s="336">
        <f>SUM('EDl log'!T22)</f>
        <v>0.11865281435664128</v>
      </c>
      <c r="G20" s="206">
        <f>-tanks!AW24</f>
        <v>0</v>
      </c>
      <c r="H20" s="336">
        <f>SUM(tanks!AV24)</f>
        <v>0.54</v>
      </c>
      <c r="I20" s="10">
        <f>('B5'!AU23)*0.51</f>
        <v>0</v>
      </c>
      <c r="J20" s="315">
        <f>'B5'!AX23/0.51</f>
        <v>1.5686274509803921</v>
      </c>
      <c r="K20" s="206">
        <f>WATER!I24</f>
        <v>0</v>
      </c>
      <c r="L20" s="337">
        <f>SUM(WATER!J24)</f>
        <v>0</v>
      </c>
      <c r="M20" s="337">
        <f>WATER!Q24</f>
        <v>0</v>
      </c>
      <c r="N20" s="510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8881</v>
      </c>
      <c r="F21" s="336">
        <f>SUM('EDl log'!T23)</f>
        <v>9.0156905306260068E-2</v>
      </c>
      <c r="G21" s="206">
        <f>-tanks!AW25</f>
        <v>0</v>
      </c>
      <c r="H21" s="336">
        <f>SUM(tanks!AV25)</f>
        <v>0.54</v>
      </c>
      <c r="I21" s="10">
        <f>('B5'!AU24)*0.51</f>
        <v>15.3</v>
      </c>
      <c r="J21" s="315">
        <f>'B5'!AX24/0.51</f>
        <v>1.5686274509803921</v>
      </c>
      <c r="K21" s="206">
        <f>WATER!I25</f>
        <v>122</v>
      </c>
      <c r="L21" s="337">
        <f>SUM(WATER!J25)</f>
        <v>2.0491803278688523</v>
      </c>
      <c r="M21" s="337">
        <f>WATER!Q25</f>
        <v>0</v>
      </c>
      <c r="N21" s="510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9258</v>
      </c>
      <c r="F22" s="336">
        <f>SUM('EDl log'!T24)</f>
        <v>0.10053780163018793</v>
      </c>
      <c r="G22" s="206">
        <f>-tanks!AW26</f>
        <v>0</v>
      </c>
      <c r="H22" s="336">
        <f>SUM(tanks!AV26)</f>
        <v>0.54</v>
      </c>
      <c r="I22" s="10">
        <f>('B5'!AU25)*0.51</f>
        <v>0</v>
      </c>
      <c r="J22" s="315">
        <f>'B5'!AX25/0.51</f>
        <v>1.5686274509803921</v>
      </c>
      <c r="K22" s="206">
        <f>WATER!I26</f>
        <v>0</v>
      </c>
      <c r="L22" s="337">
        <f>SUM(WATER!J26)</f>
        <v>0</v>
      </c>
      <c r="M22" s="337">
        <f>WATER!Q26</f>
        <v>0</v>
      </c>
      <c r="N22" s="510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10688</v>
      </c>
      <c r="F23" s="336">
        <f>SUM('EDl log'!T25)</f>
        <v>9.8475949027425361E-2</v>
      </c>
      <c r="G23" s="206">
        <f>-tanks!AW27</f>
        <v>0</v>
      </c>
      <c r="H23" s="336">
        <f>SUM(tanks!AV27)</f>
        <v>0.54</v>
      </c>
      <c r="I23" s="10">
        <f>('B5'!AU26)*0.51</f>
        <v>0</v>
      </c>
      <c r="J23" s="315">
        <f>'B5'!AX26/0.51</f>
        <v>1.5686274509803921</v>
      </c>
      <c r="K23" s="206">
        <f>WATER!I27</f>
        <v>117</v>
      </c>
      <c r="L23" s="337">
        <f>SUM(WATER!J27)</f>
        <v>2.1367521367521367</v>
      </c>
      <c r="M23" s="337">
        <f>WATER!Q27</f>
        <v>0</v>
      </c>
      <c r="N23" s="510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10343</v>
      </c>
      <c r="F24" s="336">
        <f>SUM('EDl log'!T26)</f>
        <v>8.4217562489369166E-2</v>
      </c>
      <c r="G24" s="206">
        <f>-tanks!AW28</f>
        <v>0</v>
      </c>
      <c r="H24" s="336">
        <f>SUM(tanks!AV28)</f>
        <v>0.54</v>
      </c>
      <c r="I24" s="10">
        <f>('B5'!AU27)*0.51</f>
        <v>0</v>
      </c>
      <c r="J24" s="315">
        <f>'B5'!AX27/0.51</f>
        <v>1.5686274509803921</v>
      </c>
      <c r="K24" s="206">
        <f>WATER!I28</f>
        <v>0</v>
      </c>
      <c r="L24" s="337">
        <f>SUM(WATER!J28)</f>
        <v>0</v>
      </c>
      <c r="M24" s="337">
        <f>WATER!Q28</f>
        <v>0</v>
      </c>
      <c r="N24" s="510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10227</v>
      </c>
      <c r="F25" s="336">
        <f>SUM('EDl log'!T27)</f>
        <v>-1.6800126586009493E-2</v>
      </c>
      <c r="G25" s="206">
        <f>-tanks!AW29</f>
        <v>0</v>
      </c>
      <c r="H25" s="336">
        <f>SUM(tanks!AV29)</f>
        <v>0.503</v>
      </c>
      <c r="I25" s="10">
        <f>('B5'!AU28)*0.51</f>
        <v>0</v>
      </c>
      <c r="J25" s="315">
        <f>'B5'!AX28/0.51</f>
        <v>1.5686274509803921</v>
      </c>
      <c r="K25" s="206">
        <f>WATER!I29</f>
        <v>137</v>
      </c>
      <c r="L25" s="337">
        <f>SUM(WATER!J29)</f>
        <v>1.8248175182481752</v>
      </c>
      <c r="M25" s="337">
        <f>WATER!Q29</f>
        <v>0</v>
      </c>
      <c r="N25" s="510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8186</v>
      </c>
      <c r="F26" s="336">
        <f>SUM('EDl log'!T28)</f>
        <v>0.10464092587754469</v>
      </c>
      <c r="G26" s="206">
        <f>-tanks!AW30</f>
        <v>0</v>
      </c>
      <c r="H26" s="336">
        <f>SUM(tanks!AV30)</f>
        <v>0.503</v>
      </c>
      <c r="I26" s="10">
        <f>('B5'!AU29)*0.51</f>
        <v>0</v>
      </c>
      <c r="J26" s="315">
        <f>'B5'!AX29/0.51</f>
        <v>1.5686274509803921</v>
      </c>
      <c r="K26" s="206">
        <f>WATER!I30</f>
        <v>0</v>
      </c>
      <c r="L26" s="337">
        <f>SUM(WATER!J30)</f>
        <v>0</v>
      </c>
      <c r="M26" s="337">
        <f>WATER!Q30</f>
        <v>0</v>
      </c>
      <c r="N26" s="510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7564</v>
      </c>
      <c r="F27" s="336">
        <f>SUM('EDl log'!T29)</f>
        <v>9.5441096950476131E-2</v>
      </c>
      <c r="G27" s="206">
        <f>-tanks!AW31</f>
        <v>0</v>
      </c>
      <c r="H27" s="336">
        <f>SUM(tanks!AV31)</f>
        <v>0.503</v>
      </c>
      <c r="I27" s="10">
        <f>('B5'!AU30)*0.51</f>
        <v>0</v>
      </c>
      <c r="J27" s="315">
        <f>'B5'!AX30/0.51</f>
        <v>1.5686274509803921</v>
      </c>
      <c r="K27" s="206">
        <f>WATER!I31</f>
        <v>97</v>
      </c>
      <c r="L27" s="337">
        <f>SUM(WATER!J31)</f>
        <v>2.5773195876288661</v>
      </c>
      <c r="M27" s="337">
        <f>WATER!Q31</f>
        <v>0</v>
      </c>
      <c r="N27" s="510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9992</v>
      </c>
      <c r="F28" s="336">
        <f>SUM('EDl log'!T30)</f>
        <v>7.2993767908637305E-2</v>
      </c>
      <c r="G28" s="206">
        <f>-tanks!AW32</f>
        <v>0</v>
      </c>
      <c r="H28" s="336">
        <f>SUM(tanks!AV32)</f>
        <v>0.503</v>
      </c>
      <c r="I28" s="10">
        <f>('B5'!AU31)*0.51</f>
        <v>0</v>
      </c>
      <c r="J28" s="315">
        <f>'B5'!AX31/0.51</f>
        <v>1.5686274509803921</v>
      </c>
      <c r="K28" s="206">
        <f>WATER!I32</f>
        <v>0</v>
      </c>
      <c r="L28" s="337">
        <f>SUM(WATER!J32)</f>
        <v>0</v>
      </c>
      <c r="M28" s="337">
        <f>WATER!Q32</f>
        <v>0</v>
      </c>
      <c r="N28" s="510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10083</v>
      </c>
      <c r="F29" s="336">
        <f>SUM('EDl log'!T31)</f>
        <v>7.7099632436288715E-2</v>
      </c>
      <c r="G29" s="206">
        <f>-tanks!AW33</f>
        <v>0</v>
      </c>
      <c r="H29" s="336">
        <f>SUM(tanks!AV33)</f>
        <v>0.503</v>
      </c>
      <c r="I29" s="10">
        <f>('B5'!AU32)*0.51</f>
        <v>0</v>
      </c>
      <c r="J29" s="315">
        <f>'B5'!AX32/0.51</f>
        <v>1.5686274509803921</v>
      </c>
      <c r="K29" s="206">
        <f>WATER!I33</f>
        <v>0</v>
      </c>
      <c r="L29" s="337">
        <f>SUM(WATER!J33)</f>
        <v>0</v>
      </c>
      <c r="M29" s="337">
        <f>WATER!Q33</f>
        <v>0</v>
      </c>
      <c r="N29" s="510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11228</v>
      </c>
      <c r="F30" s="336">
        <f>SUM('EDl log'!T32)</f>
        <v>4.2525035437659169E-2</v>
      </c>
      <c r="G30" s="206">
        <f>-tanks!AW34</f>
        <v>0</v>
      </c>
      <c r="H30" s="336">
        <f>SUM(tanks!AV34)</f>
        <v>0.503</v>
      </c>
      <c r="I30" s="10">
        <f>('B5'!AU33)*0.51</f>
        <v>0</v>
      </c>
      <c r="J30" s="315">
        <f>'B5'!AX33/0.51</f>
        <v>1.5686274509803921</v>
      </c>
      <c r="K30" s="206">
        <f>WATER!I34</f>
        <v>0</v>
      </c>
      <c r="L30" s="337">
        <f>SUM(WATER!J34)</f>
        <v>0</v>
      </c>
      <c r="M30" s="337">
        <f>WATER!Q34</f>
        <v>0</v>
      </c>
      <c r="N30" s="510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11854</v>
      </c>
      <c r="F31" s="336">
        <f>SUM('EDl log'!T33)</f>
        <v>0.100540519245018</v>
      </c>
      <c r="G31" s="206">
        <f>-tanks!AW35</f>
        <v>0</v>
      </c>
      <c r="H31" s="336">
        <f>SUM(tanks!AV35)</f>
        <v>0.503</v>
      </c>
      <c r="I31" s="10">
        <f>('B5'!AU34)*0.51</f>
        <v>0</v>
      </c>
      <c r="J31" s="315">
        <f>'B5'!AX34/0.51</f>
        <v>1.5686274509803921</v>
      </c>
      <c r="K31" s="206">
        <f>WATER!I35</f>
        <v>0</v>
      </c>
      <c r="L31" s="337">
        <f>SUM(WATER!J35)</f>
        <v>0</v>
      </c>
      <c r="M31" s="337">
        <f>WATER!Q35</f>
        <v>0</v>
      </c>
      <c r="N31" s="510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3" sqref="O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8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2450</v>
      </c>
      <c r="F18" s="206">
        <f>ELEC!K19</f>
        <v>742</v>
      </c>
      <c r="G18" s="206">
        <f>ELEC!I19</f>
        <v>950</v>
      </c>
      <c r="H18" s="206">
        <f>ELEC!E19</f>
        <v>4166</v>
      </c>
      <c r="I18" s="206">
        <f>ELEC!G19</f>
        <v>918</v>
      </c>
      <c r="J18" s="206">
        <f>WATER!Y22</f>
        <v>11</v>
      </c>
      <c r="K18" s="206">
        <f>WATER!AJ22</f>
        <v>23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4092</v>
      </c>
      <c r="F19" s="206">
        <f>ELEC!K20</f>
        <v>852</v>
      </c>
      <c r="G19" s="206">
        <f>ELEC!I20</f>
        <v>908</v>
      </c>
      <c r="H19" s="206">
        <f>ELEC!E20</f>
        <v>2962</v>
      </c>
      <c r="I19" s="206">
        <f>ELEC!G20</f>
        <v>859</v>
      </c>
      <c r="J19" s="206">
        <f>WATER!Y23</f>
        <v>0</v>
      </c>
      <c r="K19" s="206">
        <f>WATER!AJ23</f>
        <v>70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2528</v>
      </c>
      <c r="F20" s="206">
        <f>ELEC!K21</f>
        <v>602</v>
      </c>
      <c r="G20" s="206">
        <f>ELEC!I21</f>
        <v>832</v>
      </c>
      <c r="H20" s="206">
        <f>ELEC!E21</f>
        <v>3144</v>
      </c>
      <c r="I20" s="206">
        <f>ELEC!G21</f>
        <v>761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3896</v>
      </c>
      <c r="F21" s="206">
        <f>ELEC!K22</f>
        <v>754</v>
      </c>
      <c r="G21" s="206">
        <f>ELEC!I22</f>
        <v>876</v>
      </c>
      <c r="H21" s="206">
        <f>ELEC!E22</f>
        <v>2548</v>
      </c>
      <c r="I21" s="206">
        <f>ELEC!G22</f>
        <v>807</v>
      </c>
      <c r="J21" s="206">
        <f>WATER!Y25</f>
        <v>73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3022</v>
      </c>
      <c r="F22" s="206">
        <f>ELEC!K23</f>
        <v>790</v>
      </c>
      <c r="G22" s="206">
        <f>ELEC!I23</f>
        <v>832</v>
      </c>
      <c r="H22" s="206">
        <f>ELEC!E23</f>
        <v>3808</v>
      </c>
      <c r="I22" s="206">
        <f>ELEC!G23</f>
        <v>806</v>
      </c>
      <c r="J22" s="206">
        <f>WATER!Y26</f>
        <v>53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4626</v>
      </c>
      <c r="F23" s="206">
        <f>ELEC!K24</f>
        <v>988</v>
      </c>
      <c r="G23" s="206">
        <f>ELEC!I24</f>
        <v>872</v>
      </c>
      <c r="H23" s="206">
        <f>ELEC!E24</f>
        <v>3372</v>
      </c>
      <c r="I23" s="206">
        <f>ELEC!G24</f>
        <v>830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2784</v>
      </c>
      <c r="F24" s="206">
        <f>ELEC!K25</f>
        <v>852</v>
      </c>
      <c r="G24" s="206">
        <f>ELEC!I25</f>
        <v>876</v>
      </c>
      <c r="H24" s="206">
        <f>ELEC!E25</f>
        <v>4992</v>
      </c>
      <c r="I24" s="206">
        <f>ELEC!G25</f>
        <v>839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3552</v>
      </c>
      <c r="F25" s="206">
        <f>ELEC!K26</f>
        <v>834</v>
      </c>
      <c r="G25" s="206">
        <f>ELEC!I26</f>
        <v>864</v>
      </c>
      <c r="H25" s="206">
        <f>ELEC!E26</f>
        <v>4100</v>
      </c>
      <c r="I25" s="206">
        <f>ELEC!G26</f>
        <v>877</v>
      </c>
      <c r="J25" s="206">
        <f>WATER!Y29</f>
        <v>0</v>
      </c>
      <c r="K25" s="206">
        <f>WATER!AJ29</f>
        <v>20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3312</v>
      </c>
      <c r="F26" s="206">
        <f>ELEC!K27</f>
        <v>632</v>
      </c>
      <c r="G26" s="206">
        <f>ELEC!I27</f>
        <v>846</v>
      </c>
      <c r="H26" s="206">
        <f>ELEC!E27</f>
        <v>2536</v>
      </c>
      <c r="I26" s="206">
        <f>ELEC!G27</f>
        <v>860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2996</v>
      </c>
      <c r="F27" s="206">
        <f>ELEC!K28</f>
        <v>594</v>
      </c>
      <c r="G27" s="206">
        <f>ELEC!I28</f>
        <v>842</v>
      </c>
      <c r="H27" s="206">
        <f>ELEC!E28</f>
        <v>2276</v>
      </c>
      <c r="I27" s="206">
        <f>ELEC!G28</f>
        <v>856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4280</v>
      </c>
      <c r="F28" s="206">
        <f>ELEC!K29</f>
        <v>880</v>
      </c>
      <c r="G28" s="206">
        <f>ELEC!I29</f>
        <v>900</v>
      </c>
      <c r="H28" s="206">
        <f>ELEC!E29</f>
        <v>3138</v>
      </c>
      <c r="I28" s="206">
        <f>ELEC!G29</f>
        <v>794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4312</v>
      </c>
      <c r="F29" s="206">
        <f>ELEC!K30</f>
        <v>928</v>
      </c>
      <c r="G29" s="206">
        <f>ELEC!I30</f>
        <v>816</v>
      </c>
      <c r="H29" s="206">
        <f>ELEC!E30</f>
        <v>3228</v>
      </c>
      <c r="I29" s="206">
        <f>ELEC!G30</f>
        <v>799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5172</v>
      </c>
      <c r="F30" s="206">
        <f>ELEC!K31</f>
        <v>980</v>
      </c>
      <c r="G30" s="206">
        <f>ELEC!I31</f>
        <v>860</v>
      </c>
      <c r="H30" s="206">
        <f>ELEC!E31</f>
        <v>3352</v>
      </c>
      <c r="I30" s="206">
        <f>ELEC!G31</f>
        <v>864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5496</v>
      </c>
      <c r="F31" s="206">
        <f>ELEC!K32</f>
        <v>1056</v>
      </c>
      <c r="G31" s="206">
        <f>ELEC!I32</f>
        <v>940</v>
      </c>
      <c r="H31" s="206">
        <f>ELEC!E32</f>
        <v>3568</v>
      </c>
      <c r="I31" s="206">
        <f>ELEC!G32</f>
        <v>794</v>
      </c>
      <c r="J31" s="206">
        <f>WATER!Y35</f>
        <v>60</v>
      </c>
      <c r="K31" s="206">
        <f>WATER!AJ35</f>
        <v>23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zoomScale="85" zoomScaleNormal="85" zoomScaleSheetLayoutView="100" workbookViewId="0">
      <pane ySplit="1" topLeftCell="A15" activePane="bottomLeft" state="frozen"/>
      <selection activeCell="C1" sqref="C1"/>
      <selection pane="bottomLeft" activeCell="A33" sqref="A33:XFD33"/>
    </sheetView>
  </sheetViews>
  <sheetFormatPr defaultRowHeight="15"/>
  <cols>
    <col min="1" max="1" width="7.7109375" style="477" bestFit="1" customWidth="1"/>
    <col min="2" max="2" width="10.28515625" style="485" bestFit="1" customWidth="1"/>
    <col min="3" max="3" width="11.5703125" style="477" customWidth="1"/>
    <col min="4" max="4" width="18" style="486" bestFit="1" customWidth="1"/>
    <col min="5" max="5" width="14.42578125" style="486" bestFit="1" customWidth="1"/>
    <col min="6" max="6" width="15.28515625" style="486" bestFit="1" customWidth="1"/>
    <col min="7" max="7" width="12" style="486" bestFit="1" customWidth="1"/>
    <col min="8" max="8" width="18" style="486" bestFit="1" customWidth="1"/>
    <col min="9" max="9" width="13" style="486" bestFit="1" customWidth="1"/>
    <col min="10" max="10" width="18" style="486" bestFit="1" customWidth="1"/>
    <col min="11" max="11" width="11.7109375" style="486" customWidth="1"/>
    <col min="12" max="12" width="18" style="486" bestFit="1" customWidth="1"/>
    <col min="13" max="13" width="12.5703125" style="486" bestFit="1" customWidth="1"/>
    <col min="14" max="14" width="15.42578125" style="477" bestFit="1" customWidth="1"/>
    <col min="15" max="15" width="13.140625" style="487" bestFit="1" customWidth="1"/>
    <col min="16" max="16" width="14.28515625" style="477" bestFit="1" customWidth="1"/>
    <col min="17" max="17" width="13.7109375" style="477" bestFit="1" customWidth="1"/>
    <col min="18" max="18" width="12.42578125" style="477" bestFit="1" customWidth="1"/>
    <col min="19" max="21" width="11.5703125" style="477" bestFit="1" customWidth="1"/>
    <col min="22" max="22" width="13.140625" style="477" bestFit="1" customWidth="1"/>
    <col min="23" max="25" width="11.5703125" style="477" bestFit="1" customWidth="1"/>
    <col min="26" max="26" width="13.140625" style="477" bestFit="1" customWidth="1"/>
    <col min="27" max="29" width="11.5703125" style="477" bestFit="1" customWidth="1"/>
    <col min="30" max="30" width="13.140625" style="477" bestFit="1" customWidth="1"/>
    <col min="31" max="32" width="11.5703125" style="477" bestFit="1" customWidth="1"/>
    <col min="33" max="33" width="14.42578125" style="477" bestFit="1" customWidth="1"/>
    <col min="34" max="34" width="9.140625" style="477"/>
    <col min="35" max="35" width="9.7109375" style="477" bestFit="1" customWidth="1"/>
    <col min="36" max="16384" width="9.140625" style="477"/>
  </cols>
  <sheetData>
    <row r="1" spans="1:115" s="461" customFormat="1" ht="18.75" customHeight="1">
      <c r="A1" s="461" t="s">
        <v>19</v>
      </c>
      <c r="B1" s="462" t="s">
        <v>155</v>
      </c>
      <c r="C1" s="463"/>
      <c r="D1" s="464" t="s">
        <v>20</v>
      </c>
      <c r="E1" s="464" t="s">
        <v>21</v>
      </c>
      <c r="F1" s="464" t="s">
        <v>22</v>
      </c>
      <c r="G1" s="464" t="s">
        <v>23</v>
      </c>
      <c r="H1" s="464" t="s">
        <v>24</v>
      </c>
      <c r="I1" s="464" t="s">
        <v>25</v>
      </c>
      <c r="J1" s="464" t="s">
        <v>26</v>
      </c>
      <c r="K1" s="464" t="s">
        <v>27</v>
      </c>
      <c r="L1" s="464" t="s">
        <v>28</v>
      </c>
      <c r="M1" s="464" t="s">
        <v>29</v>
      </c>
      <c r="N1" s="465" t="s">
        <v>30</v>
      </c>
      <c r="O1" s="466" t="s">
        <v>156</v>
      </c>
      <c r="P1" s="467" t="s">
        <v>328</v>
      </c>
      <c r="Q1" s="465" t="s">
        <v>31</v>
      </c>
      <c r="R1" s="465" t="s">
        <v>32</v>
      </c>
      <c r="S1" s="465" t="s">
        <v>363</v>
      </c>
      <c r="T1" s="465" t="s">
        <v>33</v>
      </c>
      <c r="U1" s="465" t="s">
        <v>34</v>
      </c>
      <c r="V1" s="465" t="s">
        <v>35</v>
      </c>
      <c r="W1" s="465" t="s">
        <v>36</v>
      </c>
      <c r="X1" s="465" t="s">
        <v>33</v>
      </c>
      <c r="Y1" s="465" t="s">
        <v>37</v>
      </c>
      <c r="Z1" s="465" t="s">
        <v>38</v>
      </c>
      <c r="AA1" s="465" t="s">
        <v>39</v>
      </c>
      <c r="AB1" s="465" t="s">
        <v>33</v>
      </c>
      <c r="AC1" s="465" t="s">
        <v>77</v>
      </c>
      <c r="AD1" s="465" t="s">
        <v>40</v>
      </c>
      <c r="AE1" s="465" t="s">
        <v>41</v>
      </c>
      <c r="AF1" s="465" t="s">
        <v>42</v>
      </c>
      <c r="AG1" s="461" t="s">
        <v>132</v>
      </c>
    </row>
    <row r="2" spans="1:115" s="460" customFormat="1">
      <c r="A2" s="547">
        <f>[1]ELEC!$A$33</f>
        <v>0</v>
      </c>
      <c r="B2" s="595">
        <f>[1]ELEC!$B$33</f>
        <v>0</v>
      </c>
      <c r="C2" s="469">
        <v>44074</v>
      </c>
      <c r="D2" s="548">
        <f>[1]ELEC!D33</f>
        <v>32168402</v>
      </c>
      <c r="E2" s="548">
        <f>[1]ELEC!E33</f>
        <v>2944</v>
      </c>
      <c r="F2" s="548">
        <f>[1]ELEC!F33</f>
        <v>3846115</v>
      </c>
      <c r="G2" s="548">
        <f>[1]ELEC!G33</f>
        <v>1023</v>
      </c>
      <c r="H2" s="548">
        <f>[1]ELEC!H33</f>
        <v>17640934</v>
      </c>
      <c r="I2" s="548">
        <f>[1]ELEC!I33</f>
        <v>1218</v>
      </c>
      <c r="J2" s="548">
        <f>[1]ELEC!J33</f>
        <v>28692174</v>
      </c>
      <c r="K2" s="548">
        <f>[1]ELEC!K33</f>
        <v>880</v>
      </c>
      <c r="L2" s="548">
        <f>[1]ELEC!L33</f>
        <v>23577646</v>
      </c>
      <c r="M2" s="548">
        <f>[1]ELEC!M33</f>
        <v>4468</v>
      </c>
      <c r="N2" s="548">
        <f>[1]ELEC!N33</f>
        <v>10533</v>
      </c>
      <c r="O2" s="548">
        <f>[1]ELEC!O33</f>
        <v>0</v>
      </c>
      <c r="P2" s="548">
        <f>[1]ELEC!P33</f>
        <v>16263</v>
      </c>
      <c r="Q2" s="548">
        <f>[1]ELEC!Q33</f>
        <v>2000</v>
      </c>
      <c r="R2" s="548">
        <f>[1]ELEC!R33</f>
        <v>8533</v>
      </c>
      <c r="S2" s="548">
        <f>[1]ELEC!S33</f>
        <v>9489</v>
      </c>
      <c r="T2" s="548">
        <f>[1]ELEC!T33</f>
        <v>12</v>
      </c>
      <c r="U2" s="548">
        <f>[1]ELEC!U33</f>
        <v>283000</v>
      </c>
      <c r="V2" s="548">
        <f>[1]ELEC!V33</f>
        <v>2952</v>
      </c>
      <c r="W2" s="548">
        <f>[1]ELEC!W33</f>
        <v>32049</v>
      </c>
      <c r="X2" s="548">
        <f>[1]ELEC!X33</f>
        <v>0</v>
      </c>
      <c r="Y2" s="548">
        <f>[1]ELEC!Y33</f>
        <v>673052</v>
      </c>
      <c r="Z2" s="548">
        <f>[1]ELEC!Z33</f>
        <v>0</v>
      </c>
      <c r="AA2" s="548">
        <f>[1]ELEC!AA33</f>
        <v>35501</v>
      </c>
      <c r="AB2" s="548">
        <f>[1]ELEC!AB33</f>
        <v>0</v>
      </c>
      <c r="AC2" s="548">
        <f>[1]ELEC!AC33</f>
        <v>875897</v>
      </c>
      <c r="AD2" s="548">
        <f>[1]ELEC!AD33</f>
        <v>0</v>
      </c>
      <c r="AE2" s="548">
        <f>[1]ELEC!AE33</f>
        <v>12</v>
      </c>
      <c r="AF2" s="548">
        <f>[1]ELEC!AF33</f>
        <v>2952</v>
      </c>
      <c r="AG2" s="548">
        <f>[1]ELEC!AG33</f>
        <v>246</v>
      </c>
      <c r="AH2" s="548">
        <f>[1]ELEC!AH33</f>
        <v>0</v>
      </c>
      <c r="AI2" s="548">
        <f>[1]ELEC!AI33</f>
        <v>-328401</v>
      </c>
      <c r="AJ2" s="548">
        <f>[1]ELEC!AJ33</f>
        <v>0</v>
      </c>
      <c r="AK2" s="548">
        <f>[1]ELEC!AK33</f>
        <v>0</v>
      </c>
      <c r="AL2" s="548">
        <f>[1]ELEC!AL33</f>
        <v>0</v>
      </c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</row>
    <row r="3" spans="1:115">
      <c r="A3" s="468">
        <f>'General information '!F6</f>
        <v>0</v>
      </c>
      <c r="B3" s="462">
        <f>SUM(230*A3)</f>
        <v>0</v>
      </c>
      <c r="C3" s="469">
        <v>44075</v>
      </c>
      <c r="D3" s="456">
        <v>32172160</v>
      </c>
      <c r="E3" s="457">
        <f>D3-D2</f>
        <v>3758</v>
      </c>
      <c r="F3" s="456">
        <v>3847043</v>
      </c>
      <c r="G3" s="458">
        <f t="shared" ref="G3:G31" si="0">F3-F2</f>
        <v>928</v>
      </c>
      <c r="H3" s="456">
        <v>17642200</v>
      </c>
      <c r="I3" s="458">
        <f>H3-H2</f>
        <v>1266</v>
      </c>
      <c r="J3" s="456">
        <v>28693330</v>
      </c>
      <c r="K3" s="458">
        <f>J3-J2</f>
        <v>1156</v>
      </c>
      <c r="L3" s="456">
        <v>23581616</v>
      </c>
      <c r="M3" s="458">
        <f>L3-L2</f>
        <v>3970</v>
      </c>
      <c r="N3" s="459">
        <f>M3+K3+I3+G3+E3</f>
        <v>11078</v>
      </c>
      <c r="O3" s="470">
        <f t="shared" ref="O3:O9" si="1">IF(B3&gt;0,N3/B3,0)</f>
        <v>0</v>
      </c>
      <c r="P3" s="456">
        <v>16264</v>
      </c>
      <c r="Q3" s="479">
        <f t="shared" ref="Q3:Q12" si="2">(P3-P2)*1000</f>
        <v>1000</v>
      </c>
      <c r="R3" s="472">
        <f>+N3-Q3</f>
        <v>10078</v>
      </c>
      <c r="S3" s="456">
        <v>9498</v>
      </c>
      <c r="T3" s="473">
        <f t="shared" ref="T3:T32" si="3">S3-S2</f>
        <v>9</v>
      </c>
      <c r="U3" s="456">
        <v>285005</v>
      </c>
      <c r="V3" s="471">
        <f>U3-U2</f>
        <v>2005</v>
      </c>
      <c r="W3" s="456">
        <v>32049</v>
      </c>
      <c r="X3" s="471">
        <f t="shared" ref="X3:X8" si="4">W3-W2</f>
        <v>0</v>
      </c>
      <c r="Y3" s="456">
        <v>673052</v>
      </c>
      <c r="Z3" s="471">
        <f>Y3-Y2</f>
        <v>0</v>
      </c>
      <c r="AA3" s="456">
        <v>35503</v>
      </c>
      <c r="AB3" s="471">
        <f>AA3-AA2</f>
        <v>2</v>
      </c>
      <c r="AC3" s="456">
        <v>876365</v>
      </c>
      <c r="AD3" s="474">
        <f>AC3-AC2</f>
        <v>468</v>
      </c>
      <c r="AE3" s="475">
        <f>AB3+X3+T3</f>
        <v>11</v>
      </c>
      <c r="AF3" s="456">
        <f>V3+Z3+AD3</f>
        <v>2473</v>
      </c>
      <c r="AG3" s="476">
        <f t="shared" ref="AG3:AG9" si="5">IF(AE3&gt;0,AF3/AE3,0)</f>
        <v>224.81818181818181</v>
      </c>
    </row>
    <row r="4" spans="1:115">
      <c r="A4" s="468">
        <f>'General information '!F7</f>
        <v>0</v>
      </c>
      <c r="B4" s="462">
        <f t="shared" ref="B4:B31" si="6">SUM(230*A4)</f>
        <v>0</v>
      </c>
      <c r="C4" s="469">
        <v>44076</v>
      </c>
      <c r="D4" s="456">
        <v>32175578</v>
      </c>
      <c r="E4" s="317">
        <f>D4-D3</f>
        <v>3418</v>
      </c>
      <c r="F4" s="599">
        <v>3848009</v>
      </c>
      <c r="G4" s="318">
        <f t="shared" si="0"/>
        <v>966</v>
      </c>
      <c r="H4" s="456">
        <v>17643644</v>
      </c>
      <c r="I4" s="318">
        <f>H4-H3</f>
        <v>1444</v>
      </c>
      <c r="J4" s="599">
        <v>28694370</v>
      </c>
      <c r="K4" s="318">
        <f>J4-J3</f>
        <v>1040</v>
      </c>
      <c r="L4" s="456">
        <v>23587014</v>
      </c>
      <c r="M4" s="318">
        <f>L4-L3</f>
        <v>5398</v>
      </c>
      <c r="N4" s="316">
        <f>M4+K4+I4+G4+E4</f>
        <v>12266</v>
      </c>
      <c r="O4" s="478">
        <f t="shared" si="1"/>
        <v>0</v>
      </c>
      <c r="P4" s="599">
        <v>16269</v>
      </c>
      <c r="Q4" s="479">
        <f t="shared" si="2"/>
        <v>5000</v>
      </c>
      <c r="R4" s="460">
        <f>N4-Q4</f>
        <v>7266</v>
      </c>
      <c r="S4" s="456">
        <v>9511</v>
      </c>
      <c r="T4" s="480">
        <f t="shared" si="3"/>
        <v>13</v>
      </c>
      <c r="U4" s="599">
        <v>288090</v>
      </c>
      <c r="V4" s="460">
        <f>U4-U3</f>
        <v>3085</v>
      </c>
      <c r="W4" s="456">
        <f t="shared" ref="W4:W32" si="7">W3</f>
        <v>32049</v>
      </c>
      <c r="X4" s="460">
        <f t="shared" si="4"/>
        <v>0</v>
      </c>
      <c r="Y4" s="456">
        <f t="shared" ref="Y4:Y32" si="8">Y3</f>
        <v>673052</v>
      </c>
      <c r="Z4" s="460">
        <f>Y4-Y3</f>
        <v>0</v>
      </c>
      <c r="AA4" s="456">
        <f t="shared" ref="AA4:AA32" si="9">AA3</f>
        <v>35503</v>
      </c>
      <c r="AB4" s="481">
        <f>AA4-AA3</f>
        <v>0</v>
      </c>
      <c r="AC4" s="456">
        <f t="shared" ref="AC4:AC32" si="10">AC3</f>
        <v>876365</v>
      </c>
      <c r="AD4" s="482">
        <f>AC4-AC3</f>
        <v>0</v>
      </c>
      <c r="AE4" s="483">
        <f t="shared" ref="AE4:AE32" si="11">AB4+X4+T4</f>
        <v>13</v>
      </c>
      <c r="AF4" s="484">
        <f t="shared" ref="AF4:AF31" si="12">V4+Z4+AD4</f>
        <v>3085</v>
      </c>
      <c r="AG4" s="476">
        <f t="shared" si="5"/>
        <v>237.30769230769232</v>
      </c>
    </row>
    <row r="5" spans="1:115">
      <c r="A5" s="468">
        <f>'General information '!F8</f>
        <v>0</v>
      </c>
      <c r="B5" s="462">
        <f>SUM(230*A5)</f>
        <v>0</v>
      </c>
      <c r="C5" s="469">
        <v>44077</v>
      </c>
      <c r="D5" s="456">
        <v>32181592</v>
      </c>
      <c r="E5" s="317">
        <f t="shared" ref="E5:E32" si="13">D5-D4</f>
        <v>6014</v>
      </c>
      <c r="F5" s="456">
        <v>3848966</v>
      </c>
      <c r="G5" s="318">
        <f t="shared" si="0"/>
        <v>957</v>
      </c>
      <c r="H5" s="456">
        <v>17645086</v>
      </c>
      <c r="I5" s="318">
        <f t="shared" ref="I5:I31" si="14">H5-H4</f>
        <v>1442</v>
      </c>
      <c r="J5" s="456">
        <v>28695484</v>
      </c>
      <c r="K5" s="318">
        <f t="shared" ref="K5:K31" si="15">J5-J4</f>
        <v>1114</v>
      </c>
      <c r="L5" s="456">
        <v>23590046</v>
      </c>
      <c r="M5" s="318">
        <f t="shared" ref="M5:M31" si="16">L5-L4</f>
        <v>3032</v>
      </c>
      <c r="N5" s="316">
        <f t="shared" ref="N5:N31" si="17">M5+K5+I5+G5+E5</f>
        <v>12559</v>
      </c>
      <c r="O5" s="478">
        <f t="shared" si="1"/>
        <v>0</v>
      </c>
      <c r="P5" s="456">
        <v>16274</v>
      </c>
      <c r="Q5" s="479">
        <f>(P5-P4)*1000</f>
        <v>5000</v>
      </c>
      <c r="R5" s="460">
        <f>N5-Q5</f>
        <v>7559</v>
      </c>
      <c r="S5" s="456">
        <v>9517</v>
      </c>
      <c r="T5" s="480">
        <f t="shared" si="3"/>
        <v>6</v>
      </c>
      <c r="U5" s="456">
        <v>289529</v>
      </c>
      <c r="V5" s="460">
        <f t="shared" ref="V5:V32" si="18">U5-U4</f>
        <v>1439</v>
      </c>
      <c r="W5" s="456">
        <v>32049</v>
      </c>
      <c r="X5" s="460">
        <f t="shared" si="4"/>
        <v>0</v>
      </c>
      <c r="Y5" s="456">
        <f t="shared" si="8"/>
        <v>673052</v>
      </c>
      <c r="Z5" s="460">
        <f>Y5-Y4</f>
        <v>0</v>
      </c>
      <c r="AA5" s="456">
        <v>35512</v>
      </c>
      <c r="AB5" s="460">
        <f t="shared" ref="AB5:AB32" si="19">AA5-AA4</f>
        <v>9</v>
      </c>
      <c r="AC5" s="456">
        <v>878376</v>
      </c>
      <c r="AD5" s="460">
        <f t="shared" ref="AD5:AD16" si="20">AC5-AC4</f>
        <v>2011</v>
      </c>
      <c r="AE5" s="483">
        <f t="shared" si="11"/>
        <v>15</v>
      </c>
      <c r="AF5" s="484">
        <f t="shared" si="12"/>
        <v>3450</v>
      </c>
      <c r="AG5" s="476">
        <f t="shared" si="5"/>
        <v>230</v>
      </c>
      <c r="AI5" s="477">
        <f>R5-'EDl log'!B3</f>
        <v>-341719</v>
      </c>
    </row>
    <row r="6" spans="1:115">
      <c r="A6" s="468">
        <f>'General information '!F9</f>
        <v>0</v>
      </c>
      <c r="B6" s="462">
        <f t="shared" si="6"/>
        <v>0</v>
      </c>
      <c r="C6" s="469">
        <v>44078</v>
      </c>
      <c r="D6" s="456">
        <v>32188900</v>
      </c>
      <c r="E6" s="317">
        <f t="shared" si="13"/>
        <v>7308</v>
      </c>
      <c r="F6" s="456">
        <v>3849967</v>
      </c>
      <c r="G6" s="318">
        <f t="shared" si="0"/>
        <v>1001</v>
      </c>
      <c r="H6" s="456">
        <v>17646550</v>
      </c>
      <c r="I6" s="318">
        <f t="shared" si="14"/>
        <v>1464</v>
      </c>
      <c r="J6" s="456">
        <v>28696608</v>
      </c>
      <c r="K6" s="318">
        <f t="shared" si="15"/>
        <v>1124</v>
      </c>
      <c r="L6" s="456">
        <v>23592074</v>
      </c>
      <c r="M6" s="318">
        <f t="shared" si="16"/>
        <v>2028</v>
      </c>
      <c r="N6" s="316">
        <f t="shared" si="17"/>
        <v>12925</v>
      </c>
      <c r="O6" s="478">
        <f t="shared" si="1"/>
        <v>0</v>
      </c>
      <c r="P6" s="456">
        <v>16279</v>
      </c>
      <c r="Q6" s="460">
        <f t="shared" si="2"/>
        <v>5000</v>
      </c>
      <c r="R6" s="460">
        <f t="shared" ref="R6:R12" si="21">N6-Q6</f>
        <v>7925</v>
      </c>
      <c r="S6" s="456">
        <f t="shared" ref="S6:S19" si="22">S5</f>
        <v>9517</v>
      </c>
      <c r="T6" s="480">
        <f t="shared" si="3"/>
        <v>0</v>
      </c>
      <c r="U6" s="456">
        <f t="shared" ref="U6:U19" si="23">U5</f>
        <v>289529</v>
      </c>
      <c r="V6" s="460">
        <f t="shared" si="18"/>
        <v>0</v>
      </c>
      <c r="W6" s="456">
        <f t="shared" si="7"/>
        <v>32049</v>
      </c>
      <c r="X6" s="460">
        <f t="shared" si="4"/>
        <v>0</v>
      </c>
      <c r="Y6" s="456">
        <f t="shared" si="8"/>
        <v>673052</v>
      </c>
      <c r="Z6" s="460">
        <f t="shared" ref="Z6:Z30" si="24">Y6-Y5</f>
        <v>0</v>
      </c>
      <c r="AA6" s="456">
        <v>35528</v>
      </c>
      <c r="AB6" s="460">
        <f t="shared" si="19"/>
        <v>16</v>
      </c>
      <c r="AC6" s="456">
        <v>881970</v>
      </c>
      <c r="AD6" s="460">
        <f t="shared" si="20"/>
        <v>3594</v>
      </c>
      <c r="AE6" s="483">
        <f t="shared" si="11"/>
        <v>16</v>
      </c>
      <c r="AF6" s="484">
        <f t="shared" si="12"/>
        <v>3594</v>
      </c>
      <c r="AG6" s="476">
        <f t="shared" si="5"/>
        <v>224.625</v>
      </c>
      <c r="AI6" s="477">
        <f>R6-'EDl log'!B4</f>
        <v>-346172</v>
      </c>
    </row>
    <row r="7" spans="1:115">
      <c r="A7" s="468">
        <f>'General information '!F10</f>
        <v>0</v>
      </c>
      <c r="B7" s="462">
        <f t="shared" si="6"/>
        <v>0</v>
      </c>
      <c r="C7" s="469">
        <v>44079</v>
      </c>
      <c r="D7" s="456">
        <v>32194860</v>
      </c>
      <c r="E7" s="317">
        <f t="shared" si="13"/>
        <v>5960</v>
      </c>
      <c r="F7" s="456">
        <v>3850928</v>
      </c>
      <c r="G7" s="318">
        <f t="shared" si="0"/>
        <v>961</v>
      </c>
      <c r="H7" s="456">
        <v>17647792</v>
      </c>
      <c r="I7" s="318">
        <f t="shared" si="14"/>
        <v>1242</v>
      </c>
      <c r="J7" s="456">
        <v>28697506</v>
      </c>
      <c r="K7" s="318">
        <f t="shared" si="15"/>
        <v>898</v>
      </c>
      <c r="L7" s="456">
        <v>23593774</v>
      </c>
      <c r="M7" s="318">
        <f t="shared" si="16"/>
        <v>1700</v>
      </c>
      <c r="N7" s="316">
        <f t="shared" si="17"/>
        <v>10761</v>
      </c>
      <c r="O7" s="478">
        <f t="shared" si="1"/>
        <v>0</v>
      </c>
      <c r="P7" s="456">
        <v>16281</v>
      </c>
      <c r="Q7" s="460">
        <f t="shared" si="2"/>
        <v>2000</v>
      </c>
      <c r="R7" s="460">
        <f t="shared" si="21"/>
        <v>8761</v>
      </c>
      <c r="S7" s="456">
        <f t="shared" si="22"/>
        <v>9517</v>
      </c>
      <c r="T7" s="480">
        <f t="shared" si="3"/>
        <v>0</v>
      </c>
      <c r="U7" s="456">
        <f t="shared" si="23"/>
        <v>289529</v>
      </c>
      <c r="V7" s="460">
        <f t="shared" si="18"/>
        <v>0</v>
      </c>
      <c r="W7" s="456">
        <f t="shared" si="7"/>
        <v>32049</v>
      </c>
      <c r="X7" s="460">
        <f t="shared" si="4"/>
        <v>0</v>
      </c>
      <c r="Y7" s="456">
        <f t="shared" si="8"/>
        <v>673052</v>
      </c>
      <c r="Z7" s="460">
        <f t="shared" si="24"/>
        <v>0</v>
      </c>
      <c r="AA7" s="456">
        <v>35538</v>
      </c>
      <c r="AB7" s="460">
        <f t="shared" si="19"/>
        <v>10</v>
      </c>
      <c r="AC7" s="456">
        <v>884534</v>
      </c>
      <c r="AD7" s="460">
        <f t="shared" si="20"/>
        <v>2564</v>
      </c>
      <c r="AE7" s="483">
        <f t="shared" si="11"/>
        <v>10</v>
      </c>
      <c r="AF7" s="484">
        <f t="shared" si="12"/>
        <v>2564</v>
      </c>
      <c r="AG7" s="476">
        <f t="shared" si="5"/>
        <v>256.39999999999998</v>
      </c>
      <c r="AI7" s="477">
        <f>R7-'EDl log'!B5</f>
        <v>-349353</v>
      </c>
    </row>
    <row r="8" spans="1:115">
      <c r="A8" s="468">
        <f>'General information '!F11</f>
        <v>0</v>
      </c>
      <c r="B8" s="462">
        <f t="shared" si="6"/>
        <v>0</v>
      </c>
      <c r="C8" s="469">
        <v>44080</v>
      </c>
      <c r="D8" s="456">
        <v>32200152</v>
      </c>
      <c r="E8" s="317">
        <f t="shared" si="13"/>
        <v>5292</v>
      </c>
      <c r="F8" s="599">
        <v>3851952</v>
      </c>
      <c r="G8" s="318">
        <f t="shared" si="0"/>
        <v>1024</v>
      </c>
      <c r="H8" s="456">
        <v>17649074</v>
      </c>
      <c r="I8" s="318">
        <f t="shared" si="14"/>
        <v>1282</v>
      </c>
      <c r="J8" s="599">
        <v>28698338</v>
      </c>
      <c r="K8" s="318">
        <f t="shared" si="15"/>
        <v>832</v>
      </c>
      <c r="L8" s="456">
        <v>23595684</v>
      </c>
      <c r="M8" s="318">
        <f t="shared" si="16"/>
        <v>1910</v>
      </c>
      <c r="N8" s="316">
        <f t="shared" si="17"/>
        <v>10340</v>
      </c>
      <c r="O8" s="478">
        <f t="shared" si="1"/>
        <v>0</v>
      </c>
      <c r="P8" s="599">
        <v>16285</v>
      </c>
      <c r="Q8" s="460">
        <f t="shared" si="2"/>
        <v>4000</v>
      </c>
      <c r="R8" s="460">
        <f t="shared" si="21"/>
        <v>6340</v>
      </c>
      <c r="S8" s="456">
        <f t="shared" si="22"/>
        <v>9517</v>
      </c>
      <c r="T8" s="480">
        <f t="shared" si="3"/>
        <v>0</v>
      </c>
      <c r="U8" s="456">
        <f t="shared" si="23"/>
        <v>289529</v>
      </c>
      <c r="V8" s="460">
        <f t="shared" si="18"/>
        <v>0</v>
      </c>
      <c r="W8" s="456">
        <f t="shared" si="7"/>
        <v>32049</v>
      </c>
      <c r="X8" s="460">
        <f t="shared" si="4"/>
        <v>0</v>
      </c>
      <c r="Y8" s="456">
        <f t="shared" si="8"/>
        <v>673052</v>
      </c>
      <c r="Z8" s="460">
        <f t="shared" si="24"/>
        <v>0</v>
      </c>
      <c r="AA8" s="456">
        <v>35545</v>
      </c>
      <c r="AB8" s="460">
        <f t="shared" si="19"/>
        <v>7</v>
      </c>
      <c r="AC8" s="599">
        <v>886156</v>
      </c>
      <c r="AD8" s="460">
        <f t="shared" si="20"/>
        <v>1622</v>
      </c>
      <c r="AE8" s="483">
        <f t="shared" si="11"/>
        <v>7</v>
      </c>
      <c r="AF8" s="484">
        <f t="shared" si="12"/>
        <v>1622</v>
      </c>
      <c r="AG8" s="476">
        <f t="shared" si="5"/>
        <v>231.71428571428572</v>
      </c>
      <c r="AI8" s="477">
        <f>R8-'EDl log'!B6</f>
        <v>-355743</v>
      </c>
    </row>
    <row r="9" spans="1:115">
      <c r="A9" s="468">
        <f>'General information '!F12</f>
        <v>0</v>
      </c>
      <c r="B9" s="462">
        <f t="shared" si="6"/>
        <v>0</v>
      </c>
      <c r="C9" s="469">
        <v>44081</v>
      </c>
      <c r="D9" s="456">
        <v>32204862</v>
      </c>
      <c r="E9" s="317">
        <f t="shared" si="13"/>
        <v>4710</v>
      </c>
      <c r="F9" s="599">
        <v>3852863</v>
      </c>
      <c r="G9" s="318">
        <f t="shared" si="0"/>
        <v>911</v>
      </c>
      <c r="H9" s="456">
        <v>17650126</v>
      </c>
      <c r="I9" s="318">
        <f t="shared" si="14"/>
        <v>1052</v>
      </c>
      <c r="J9" s="599">
        <v>28699534</v>
      </c>
      <c r="K9" s="318">
        <f t="shared" si="15"/>
        <v>1196</v>
      </c>
      <c r="L9" s="456">
        <v>23600604</v>
      </c>
      <c r="M9" s="318">
        <f t="shared" si="16"/>
        <v>4920</v>
      </c>
      <c r="N9" s="316">
        <f t="shared" si="17"/>
        <v>12789</v>
      </c>
      <c r="O9" s="478">
        <f t="shared" si="1"/>
        <v>0</v>
      </c>
      <c r="P9" s="599">
        <v>16290</v>
      </c>
      <c r="Q9" s="460">
        <f t="shared" si="2"/>
        <v>5000</v>
      </c>
      <c r="R9" s="460">
        <f t="shared" si="21"/>
        <v>7789</v>
      </c>
      <c r="S9" s="456">
        <v>9527</v>
      </c>
      <c r="T9" s="480">
        <f t="shared" si="3"/>
        <v>10</v>
      </c>
      <c r="U9" s="599">
        <v>292016</v>
      </c>
      <c r="V9" s="460">
        <f t="shared" si="18"/>
        <v>2487</v>
      </c>
      <c r="W9" s="456">
        <f t="shared" si="7"/>
        <v>32049</v>
      </c>
      <c r="X9" s="460">
        <f t="shared" ref="X9:X32" si="25">W9-W8</f>
        <v>0</v>
      </c>
      <c r="Y9" s="456">
        <f t="shared" si="8"/>
        <v>673052</v>
      </c>
      <c r="Z9" s="460">
        <f t="shared" si="24"/>
        <v>0</v>
      </c>
      <c r="AA9" s="456">
        <v>35550</v>
      </c>
      <c r="AB9" s="460">
        <f t="shared" si="19"/>
        <v>5</v>
      </c>
      <c r="AC9" s="599">
        <v>887256</v>
      </c>
      <c r="AD9" s="460">
        <f t="shared" si="20"/>
        <v>1100</v>
      </c>
      <c r="AE9" s="483">
        <f t="shared" si="11"/>
        <v>15</v>
      </c>
      <c r="AF9" s="484">
        <f t="shared" si="12"/>
        <v>3587</v>
      </c>
      <c r="AG9" s="476">
        <f t="shared" si="5"/>
        <v>239.13333333333333</v>
      </c>
      <c r="AI9" s="477">
        <f>R9-'EDl log'!B7</f>
        <v>-358678</v>
      </c>
    </row>
    <row r="10" spans="1:115">
      <c r="A10" s="468">
        <f>'General information '!F13</f>
        <v>0</v>
      </c>
      <c r="B10" s="462">
        <f t="shared" si="6"/>
        <v>0</v>
      </c>
      <c r="C10" s="469">
        <v>44082</v>
      </c>
      <c r="D10" s="456">
        <v>32209330</v>
      </c>
      <c r="E10" s="317">
        <f t="shared" si="13"/>
        <v>4468</v>
      </c>
      <c r="F10" s="456">
        <v>3853692</v>
      </c>
      <c r="G10" s="318">
        <f t="shared" si="0"/>
        <v>829</v>
      </c>
      <c r="H10" s="456">
        <v>17651026</v>
      </c>
      <c r="I10" s="318">
        <f t="shared" si="14"/>
        <v>900</v>
      </c>
      <c r="J10" s="456">
        <v>28700730</v>
      </c>
      <c r="K10" s="318">
        <f t="shared" si="15"/>
        <v>1196</v>
      </c>
      <c r="L10" s="456">
        <v>23605578</v>
      </c>
      <c r="M10" s="318">
        <f t="shared" si="16"/>
        <v>4974</v>
      </c>
      <c r="N10" s="316">
        <f t="shared" si="17"/>
        <v>12367</v>
      </c>
      <c r="O10" s="478">
        <f t="shared" ref="O10:O32" si="26">IF(B10&gt;0,N10/B10,0)</f>
        <v>0</v>
      </c>
      <c r="P10" s="456">
        <v>16298</v>
      </c>
      <c r="Q10" s="460">
        <f t="shared" si="2"/>
        <v>8000</v>
      </c>
      <c r="R10" s="460">
        <f t="shared" si="21"/>
        <v>4367</v>
      </c>
      <c r="S10" s="456">
        <v>9541</v>
      </c>
      <c r="T10" s="480">
        <f t="shared" si="3"/>
        <v>14</v>
      </c>
      <c r="U10" s="456">
        <v>295149</v>
      </c>
      <c r="V10" s="460">
        <f t="shared" si="18"/>
        <v>3133</v>
      </c>
      <c r="W10" s="456">
        <v>32049</v>
      </c>
      <c r="X10" s="460">
        <f t="shared" si="25"/>
        <v>0</v>
      </c>
      <c r="Y10" s="456">
        <f t="shared" si="8"/>
        <v>673052</v>
      </c>
      <c r="Z10" s="460">
        <f t="shared" si="24"/>
        <v>0</v>
      </c>
      <c r="AA10" s="456">
        <v>35556</v>
      </c>
      <c r="AB10" s="460">
        <f t="shared" si="19"/>
        <v>6</v>
      </c>
      <c r="AC10" s="456">
        <v>888280</v>
      </c>
      <c r="AD10" s="460">
        <f t="shared" si="20"/>
        <v>1024</v>
      </c>
      <c r="AE10" s="483">
        <f t="shared" si="11"/>
        <v>20</v>
      </c>
      <c r="AF10" s="484">
        <f t="shared" si="12"/>
        <v>4157</v>
      </c>
      <c r="AG10" s="476">
        <f t="shared" ref="AG10:AG32" si="27">IF(AE10&gt;0,AF10/AE10,0)</f>
        <v>207.85</v>
      </c>
      <c r="AI10" s="477">
        <f>R10-'EDl log'!B8</f>
        <v>-366632</v>
      </c>
    </row>
    <row r="11" spans="1:115">
      <c r="A11" s="468">
        <f>'General information '!F14</f>
        <v>0</v>
      </c>
      <c r="B11" s="462">
        <f>SUM(230*A11)</f>
        <v>0</v>
      </c>
      <c r="C11" s="469">
        <v>44083</v>
      </c>
      <c r="D11" s="456">
        <v>32213030</v>
      </c>
      <c r="E11" s="317">
        <f t="shared" si="13"/>
        <v>3700</v>
      </c>
      <c r="F11" s="599">
        <v>3854552</v>
      </c>
      <c r="G11" s="318">
        <f t="shared" si="0"/>
        <v>860</v>
      </c>
      <c r="H11" s="456">
        <v>17652066</v>
      </c>
      <c r="I11" s="318">
        <f t="shared" si="14"/>
        <v>1040</v>
      </c>
      <c r="J11" s="599">
        <v>28701746</v>
      </c>
      <c r="K11" s="318">
        <f t="shared" si="15"/>
        <v>1016</v>
      </c>
      <c r="L11" s="456">
        <v>23610686</v>
      </c>
      <c r="M11" s="318">
        <f t="shared" si="16"/>
        <v>5108</v>
      </c>
      <c r="N11" s="316">
        <f>M11+K11+I11+G11+E11</f>
        <v>11724</v>
      </c>
      <c r="O11" s="478">
        <f t="shared" si="26"/>
        <v>0</v>
      </c>
      <c r="P11" s="599">
        <v>16300</v>
      </c>
      <c r="Q11" s="460">
        <f t="shared" si="2"/>
        <v>2000</v>
      </c>
      <c r="R11" s="460">
        <f t="shared" si="21"/>
        <v>9724</v>
      </c>
      <c r="S11" s="456">
        <v>9554</v>
      </c>
      <c r="T11" s="480">
        <f t="shared" si="3"/>
        <v>13</v>
      </c>
      <c r="U11" s="599">
        <v>298048</v>
      </c>
      <c r="V11" s="460">
        <f t="shared" si="18"/>
        <v>2899</v>
      </c>
      <c r="W11" s="456">
        <f t="shared" si="7"/>
        <v>32049</v>
      </c>
      <c r="X11" s="460">
        <f t="shared" si="25"/>
        <v>0</v>
      </c>
      <c r="Y11" s="456">
        <f t="shared" si="8"/>
        <v>673052</v>
      </c>
      <c r="Z11" s="460">
        <f t="shared" si="24"/>
        <v>0</v>
      </c>
      <c r="AA11" s="456">
        <f t="shared" si="9"/>
        <v>35556</v>
      </c>
      <c r="AB11" s="460">
        <f t="shared" si="19"/>
        <v>0</v>
      </c>
      <c r="AC11" s="456">
        <f t="shared" si="10"/>
        <v>888280</v>
      </c>
      <c r="AD11" s="460">
        <f t="shared" si="20"/>
        <v>0</v>
      </c>
      <c r="AE11" s="483">
        <f t="shared" si="11"/>
        <v>13</v>
      </c>
      <c r="AF11" s="484">
        <f t="shared" si="12"/>
        <v>2899</v>
      </c>
      <c r="AG11" s="476">
        <f t="shared" si="27"/>
        <v>223</v>
      </c>
      <c r="AI11" s="477">
        <f>R11-'EDl log'!B9</f>
        <v>-364617</v>
      </c>
    </row>
    <row r="12" spans="1:115">
      <c r="A12" s="468">
        <f>'General information '!F15</f>
        <v>0</v>
      </c>
      <c r="B12" s="462">
        <f t="shared" si="6"/>
        <v>0</v>
      </c>
      <c r="C12" s="469">
        <v>44084</v>
      </c>
      <c r="D12" s="456">
        <v>32216554</v>
      </c>
      <c r="E12" s="317">
        <f t="shared" si="13"/>
        <v>3524</v>
      </c>
      <c r="F12" s="599">
        <v>3855348</v>
      </c>
      <c r="G12" s="318">
        <f t="shared" si="0"/>
        <v>796</v>
      </c>
      <c r="H12" s="456">
        <v>17653022</v>
      </c>
      <c r="I12" s="318">
        <f t="shared" si="14"/>
        <v>956</v>
      </c>
      <c r="J12" s="599">
        <v>28702706</v>
      </c>
      <c r="K12" s="318">
        <f t="shared" si="15"/>
        <v>960</v>
      </c>
      <c r="L12" s="456">
        <v>23615454</v>
      </c>
      <c r="M12" s="318">
        <f t="shared" si="16"/>
        <v>4768</v>
      </c>
      <c r="N12" s="316">
        <f>M12+K12+I12+G12+E12</f>
        <v>11004</v>
      </c>
      <c r="O12" s="478">
        <f t="shared" si="26"/>
        <v>0</v>
      </c>
      <c r="P12" s="599">
        <v>16302</v>
      </c>
      <c r="Q12" s="460">
        <f t="shared" si="2"/>
        <v>2000</v>
      </c>
      <c r="R12" s="460">
        <f t="shared" si="21"/>
        <v>9004</v>
      </c>
      <c r="S12" s="456">
        <v>9566</v>
      </c>
      <c r="T12" s="480">
        <f t="shared" si="3"/>
        <v>12</v>
      </c>
      <c r="U12" s="599">
        <v>300876</v>
      </c>
      <c r="V12" s="460">
        <f t="shared" si="18"/>
        <v>2828</v>
      </c>
      <c r="W12" s="456">
        <f t="shared" si="7"/>
        <v>32049</v>
      </c>
      <c r="X12" s="460">
        <f t="shared" si="25"/>
        <v>0</v>
      </c>
      <c r="Y12" s="456">
        <f t="shared" si="8"/>
        <v>673052</v>
      </c>
      <c r="Z12" s="460">
        <f t="shared" si="24"/>
        <v>0</v>
      </c>
      <c r="AA12" s="456">
        <f t="shared" si="9"/>
        <v>35556</v>
      </c>
      <c r="AB12" s="460">
        <f t="shared" si="19"/>
        <v>0</v>
      </c>
      <c r="AC12" s="456">
        <f t="shared" si="10"/>
        <v>888280</v>
      </c>
      <c r="AD12" s="460">
        <f t="shared" si="20"/>
        <v>0</v>
      </c>
      <c r="AE12" s="483">
        <f t="shared" si="11"/>
        <v>12</v>
      </c>
      <c r="AF12" s="484">
        <f t="shared" si="12"/>
        <v>2828</v>
      </c>
      <c r="AG12" s="476">
        <f t="shared" si="27"/>
        <v>235.66666666666666</v>
      </c>
      <c r="AI12" s="477">
        <f>R12-'EDl log'!B10</f>
        <v>-369575</v>
      </c>
    </row>
    <row r="13" spans="1:115">
      <c r="A13" s="468">
        <f>'General information '!F16</f>
        <v>0</v>
      </c>
      <c r="B13" s="462">
        <f t="shared" si="6"/>
        <v>0</v>
      </c>
      <c r="C13" s="469">
        <v>44085</v>
      </c>
      <c r="D13" s="456">
        <v>32220036</v>
      </c>
      <c r="E13" s="317">
        <f t="shared" si="13"/>
        <v>3482</v>
      </c>
      <c r="F13" s="599">
        <v>3856168</v>
      </c>
      <c r="G13" s="318">
        <f t="shared" si="0"/>
        <v>820</v>
      </c>
      <c r="H13" s="456">
        <v>17654008</v>
      </c>
      <c r="I13" s="318">
        <f t="shared" si="14"/>
        <v>986</v>
      </c>
      <c r="J13" s="599">
        <v>28703712</v>
      </c>
      <c r="K13" s="318">
        <f t="shared" si="15"/>
        <v>1006</v>
      </c>
      <c r="L13" s="456">
        <v>23620176</v>
      </c>
      <c r="M13" s="318">
        <f t="shared" si="16"/>
        <v>4722</v>
      </c>
      <c r="N13" s="316">
        <f t="shared" si="17"/>
        <v>11016</v>
      </c>
      <c r="O13" s="478">
        <f t="shared" si="26"/>
        <v>0</v>
      </c>
      <c r="P13" s="609">
        <v>16305</v>
      </c>
      <c r="Q13" s="460">
        <f>(P13-P12)*1000</f>
        <v>3000</v>
      </c>
      <c r="R13" s="460">
        <f t="shared" ref="R13" si="28">N13-Q13</f>
        <v>8016</v>
      </c>
      <c r="S13" s="456">
        <v>9579</v>
      </c>
      <c r="T13" s="480">
        <f t="shared" si="3"/>
        <v>13</v>
      </c>
      <c r="U13" s="599">
        <v>303680</v>
      </c>
      <c r="V13" s="460">
        <f t="shared" si="18"/>
        <v>2804</v>
      </c>
      <c r="W13" s="456">
        <f t="shared" si="7"/>
        <v>32049</v>
      </c>
      <c r="X13" s="460">
        <f t="shared" si="25"/>
        <v>0</v>
      </c>
      <c r="Y13" s="456">
        <f t="shared" si="8"/>
        <v>673052</v>
      </c>
      <c r="Z13" s="460">
        <f t="shared" si="24"/>
        <v>0</v>
      </c>
      <c r="AA13" s="456">
        <f t="shared" si="9"/>
        <v>35556</v>
      </c>
      <c r="AB13" s="460">
        <f t="shared" si="19"/>
        <v>0</v>
      </c>
      <c r="AC13" s="456">
        <f t="shared" si="10"/>
        <v>888280</v>
      </c>
      <c r="AD13" s="460">
        <f t="shared" si="20"/>
        <v>0</v>
      </c>
      <c r="AE13" s="483">
        <f t="shared" si="11"/>
        <v>13</v>
      </c>
      <c r="AF13" s="484">
        <f t="shared" si="12"/>
        <v>2804</v>
      </c>
      <c r="AG13" s="476">
        <f t="shared" si="27"/>
        <v>215.69230769230768</v>
      </c>
      <c r="AI13" s="477">
        <f>R13-'EDl log'!B11</f>
        <v>-372739</v>
      </c>
    </row>
    <row r="14" spans="1:115">
      <c r="A14" s="468">
        <f>'General information '!F17</f>
        <v>0</v>
      </c>
      <c r="B14" s="462">
        <f t="shared" si="6"/>
        <v>0</v>
      </c>
      <c r="C14" s="469">
        <v>44086</v>
      </c>
      <c r="D14" s="456">
        <v>32223034</v>
      </c>
      <c r="E14" s="317">
        <f t="shared" si="13"/>
        <v>2998</v>
      </c>
      <c r="F14" s="456">
        <v>3857010</v>
      </c>
      <c r="G14" s="318">
        <f t="shared" si="0"/>
        <v>842</v>
      </c>
      <c r="H14" s="456">
        <v>17655010</v>
      </c>
      <c r="I14" s="318">
        <f t="shared" si="14"/>
        <v>1002</v>
      </c>
      <c r="J14" s="456">
        <v>28704688</v>
      </c>
      <c r="K14" s="318">
        <f t="shared" si="15"/>
        <v>976</v>
      </c>
      <c r="L14" s="456">
        <v>23624726</v>
      </c>
      <c r="M14" s="318">
        <f t="shared" si="16"/>
        <v>4550</v>
      </c>
      <c r="N14" s="316">
        <f t="shared" si="17"/>
        <v>10368</v>
      </c>
      <c r="O14" s="478">
        <f t="shared" si="26"/>
        <v>0</v>
      </c>
      <c r="P14" s="456">
        <v>16308</v>
      </c>
      <c r="Q14" s="460">
        <f t="shared" ref="Q14:Q32" si="29">(P14-P13)*1000</f>
        <v>3000</v>
      </c>
      <c r="R14" s="460">
        <f t="shared" ref="R14:R32" si="30">N14-Q14</f>
        <v>7368</v>
      </c>
      <c r="S14" s="456">
        <v>9590</v>
      </c>
      <c r="T14" s="480">
        <f t="shared" si="3"/>
        <v>11</v>
      </c>
      <c r="U14" s="456">
        <v>306003</v>
      </c>
      <c r="V14" s="460">
        <f t="shared" si="18"/>
        <v>2323</v>
      </c>
      <c r="W14" s="456">
        <f t="shared" si="7"/>
        <v>32049</v>
      </c>
      <c r="X14" s="460">
        <f t="shared" si="25"/>
        <v>0</v>
      </c>
      <c r="Y14" s="456">
        <f t="shared" si="8"/>
        <v>673052</v>
      </c>
      <c r="Z14" s="460">
        <f t="shared" si="24"/>
        <v>0</v>
      </c>
      <c r="AA14" s="456">
        <f t="shared" si="9"/>
        <v>35556</v>
      </c>
      <c r="AB14" s="460">
        <f t="shared" si="19"/>
        <v>0</v>
      </c>
      <c r="AC14" s="456">
        <f t="shared" si="10"/>
        <v>888280</v>
      </c>
      <c r="AD14" s="460">
        <f t="shared" si="20"/>
        <v>0</v>
      </c>
      <c r="AE14" s="483">
        <f t="shared" si="11"/>
        <v>11</v>
      </c>
      <c r="AF14" s="484">
        <f t="shared" si="12"/>
        <v>2323</v>
      </c>
      <c r="AG14" s="476">
        <f t="shared" si="27"/>
        <v>211.18181818181819</v>
      </c>
      <c r="AI14" s="477">
        <f>R14-'EDl log'!B12</f>
        <v>-378323</v>
      </c>
    </row>
    <row r="15" spans="1:115">
      <c r="A15" s="468">
        <f>'General information '!F18</f>
        <v>0</v>
      </c>
      <c r="B15" s="462">
        <f t="shared" si="6"/>
        <v>0</v>
      </c>
      <c r="C15" s="469">
        <v>44087</v>
      </c>
      <c r="D15" s="456">
        <v>32225554</v>
      </c>
      <c r="E15" s="317">
        <f t="shared" si="13"/>
        <v>2520</v>
      </c>
      <c r="F15" s="456">
        <v>3857817</v>
      </c>
      <c r="G15" s="318">
        <f t="shared" si="0"/>
        <v>807</v>
      </c>
      <c r="H15" s="456">
        <v>17655982</v>
      </c>
      <c r="I15" s="318">
        <f t="shared" si="14"/>
        <v>972</v>
      </c>
      <c r="J15" s="456">
        <v>28705474</v>
      </c>
      <c r="K15" s="318">
        <f t="shared" si="15"/>
        <v>786</v>
      </c>
      <c r="L15" s="456">
        <v>23628682</v>
      </c>
      <c r="M15" s="318">
        <f t="shared" si="16"/>
        <v>3956</v>
      </c>
      <c r="N15" s="316">
        <f t="shared" si="17"/>
        <v>9041</v>
      </c>
      <c r="O15" s="478">
        <f t="shared" si="26"/>
        <v>0</v>
      </c>
      <c r="P15" s="456">
        <v>16310</v>
      </c>
      <c r="Q15" s="460">
        <f t="shared" si="29"/>
        <v>2000</v>
      </c>
      <c r="R15" s="460">
        <f t="shared" si="30"/>
        <v>7041</v>
      </c>
      <c r="S15" s="456">
        <v>9599</v>
      </c>
      <c r="T15" s="480">
        <f t="shared" si="3"/>
        <v>9</v>
      </c>
      <c r="U15" s="456">
        <v>307976</v>
      </c>
      <c r="V15" s="460">
        <f t="shared" si="18"/>
        <v>1973</v>
      </c>
      <c r="W15" s="456">
        <f t="shared" si="7"/>
        <v>32049</v>
      </c>
      <c r="X15" s="460">
        <f t="shared" si="25"/>
        <v>0</v>
      </c>
      <c r="Y15" s="456">
        <f t="shared" si="8"/>
        <v>673052</v>
      </c>
      <c r="Z15" s="460">
        <f t="shared" si="24"/>
        <v>0</v>
      </c>
      <c r="AA15" s="456">
        <f t="shared" si="9"/>
        <v>35556</v>
      </c>
      <c r="AB15" s="460">
        <f t="shared" si="19"/>
        <v>0</v>
      </c>
      <c r="AC15" s="456">
        <f t="shared" si="10"/>
        <v>888280</v>
      </c>
      <c r="AD15" s="460">
        <f t="shared" si="20"/>
        <v>0</v>
      </c>
      <c r="AE15" s="483">
        <f t="shared" si="11"/>
        <v>9</v>
      </c>
      <c r="AF15" s="484">
        <f t="shared" si="12"/>
        <v>1973</v>
      </c>
      <c r="AG15" s="476">
        <f t="shared" si="27"/>
        <v>219.22222222222223</v>
      </c>
      <c r="AI15" s="477">
        <f>R15-'EDl log'!B13</f>
        <v>-383392</v>
      </c>
    </row>
    <row r="16" spans="1:115">
      <c r="A16" s="468">
        <f>'General information '!F19</f>
        <v>0</v>
      </c>
      <c r="B16" s="462">
        <f t="shared" si="6"/>
        <v>0</v>
      </c>
      <c r="C16" s="469">
        <v>44088</v>
      </c>
      <c r="D16" s="456">
        <v>32228614</v>
      </c>
      <c r="E16" s="317">
        <f t="shared" si="13"/>
        <v>3060</v>
      </c>
      <c r="F16" s="456">
        <v>3858662</v>
      </c>
      <c r="G16" s="318">
        <f t="shared" si="0"/>
        <v>845</v>
      </c>
      <c r="H16" s="456">
        <v>17656862</v>
      </c>
      <c r="I16" s="318">
        <f t="shared" si="14"/>
        <v>880</v>
      </c>
      <c r="J16" s="456">
        <v>28706274</v>
      </c>
      <c r="K16" s="318">
        <f t="shared" si="15"/>
        <v>800</v>
      </c>
      <c r="L16" s="456">
        <v>23632202</v>
      </c>
      <c r="M16" s="318">
        <f t="shared" si="16"/>
        <v>3520</v>
      </c>
      <c r="N16" s="316">
        <f t="shared" si="17"/>
        <v>9105</v>
      </c>
      <c r="O16" s="478">
        <f t="shared" si="26"/>
        <v>0</v>
      </c>
      <c r="P16" s="456">
        <v>16312</v>
      </c>
      <c r="Q16" s="460">
        <f t="shared" si="29"/>
        <v>2000</v>
      </c>
      <c r="R16" s="460">
        <f t="shared" si="30"/>
        <v>7105</v>
      </c>
      <c r="S16" s="456">
        <v>9606</v>
      </c>
      <c r="T16" s="480">
        <f t="shared" si="3"/>
        <v>7</v>
      </c>
      <c r="U16" s="456">
        <v>309536</v>
      </c>
      <c r="V16" s="460">
        <f t="shared" si="18"/>
        <v>1560</v>
      </c>
      <c r="W16" s="456">
        <f t="shared" si="7"/>
        <v>32049</v>
      </c>
      <c r="X16" s="460">
        <f>W16-W15</f>
        <v>0</v>
      </c>
      <c r="Y16" s="456">
        <f t="shared" si="8"/>
        <v>673052</v>
      </c>
      <c r="Z16" s="460">
        <f>Y16-Y15</f>
        <v>0</v>
      </c>
      <c r="AA16" s="456">
        <f t="shared" si="9"/>
        <v>35556</v>
      </c>
      <c r="AB16" s="460">
        <f>AA16-AA15</f>
        <v>0</v>
      </c>
      <c r="AC16" s="456">
        <f t="shared" si="10"/>
        <v>888280</v>
      </c>
      <c r="AD16" s="460">
        <f t="shared" si="20"/>
        <v>0</v>
      </c>
      <c r="AE16" s="483">
        <f t="shared" si="11"/>
        <v>7</v>
      </c>
      <c r="AF16" s="484">
        <f t="shared" si="12"/>
        <v>1560</v>
      </c>
      <c r="AG16" s="476">
        <f t="shared" si="27"/>
        <v>222.85714285714286</v>
      </c>
      <c r="AI16" s="477">
        <f>R16-'EDl log'!B14</f>
        <v>-387314</v>
      </c>
    </row>
    <row r="17" spans="1:35">
      <c r="A17" s="468">
        <f>'General information '!F20</f>
        <v>0</v>
      </c>
      <c r="B17" s="462">
        <f t="shared" si="6"/>
        <v>0</v>
      </c>
      <c r="C17" s="469">
        <v>44089</v>
      </c>
      <c r="D17" s="456">
        <v>32234230</v>
      </c>
      <c r="E17" s="317">
        <f t="shared" si="13"/>
        <v>5616</v>
      </c>
      <c r="F17" s="456">
        <v>3859581</v>
      </c>
      <c r="G17" s="318">
        <f t="shared" si="0"/>
        <v>919</v>
      </c>
      <c r="H17" s="456">
        <v>17657838</v>
      </c>
      <c r="I17" s="318">
        <f t="shared" si="14"/>
        <v>976</v>
      </c>
      <c r="J17" s="456">
        <v>28707206</v>
      </c>
      <c r="K17" s="318">
        <f t="shared" si="15"/>
        <v>932</v>
      </c>
      <c r="L17" s="456">
        <v>23634214</v>
      </c>
      <c r="M17" s="318">
        <f t="shared" si="16"/>
        <v>2012</v>
      </c>
      <c r="N17" s="316">
        <f t="shared" si="17"/>
        <v>10455</v>
      </c>
      <c r="O17" s="478">
        <f t="shared" si="26"/>
        <v>0</v>
      </c>
      <c r="P17" s="456">
        <v>16315</v>
      </c>
      <c r="Q17" s="460">
        <f t="shared" si="29"/>
        <v>3000</v>
      </c>
      <c r="R17" s="460">
        <f t="shared" si="30"/>
        <v>7455</v>
      </c>
      <c r="S17" s="456">
        <v>9606</v>
      </c>
      <c r="T17" s="480">
        <f t="shared" si="3"/>
        <v>0</v>
      </c>
      <c r="U17" s="456">
        <v>309536</v>
      </c>
      <c r="V17" s="460">
        <f t="shared" si="18"/>
        <v>0</v>
      </c>
      <c r="W17" s="456">
        <f t="shared" si="7"/>
        <v>32049</v>
      </c>
      <c r="X17" s="460">
        <f t="shared" si="25"/>
        <v>0</v>
      </c>
      <c r="Y17" s="456">
        <f t="shared" si="8"/>
        <v>673052</v>
      </c>
      <c r="Z17" s="460">
        <f t="shared" si="24"/>
        <v>0</v>
      </c>
      <c r="AA17" s="456">
        <v>35566</v>
      </c>
      <c r="AB17" s="460">
        <f t="shared" si="19"/>
        <v>10</v>
      </c>
      <c r="AC17" s="456">
        <v>890520</v>
      </c>
      <c r="AD17" s="460">
        <f t="shared" ref="AD17:AD32" si="31">AC17-AC16</f>
        <v>2240</v>
      </c>
      <c r="AE17" s="483">
        <f t="shared" si="11"/>
        <v>10</v>
      </c>
      <c r="AF17" s="484">
        <f t="shared" si="12"/>
        <v>2240</v>
      </c>
      <c r="AG17" s="476">
        <f t="shared" si="27"/>
        <v>224</v>
      </c>
      <c r="AI17" s="477">
        <f>R17-'EDl log'!B15</f>
        <v>-391299</v>
      </c>
    </row>
    <row r="18" spans="1:35">
      <c r="A18" s="468">
        <f>'General information '!F21</f>
        <v>0</v>
      </c>
      <c r="B18" s="462">
        <f t="shared" si="6"/>
        <v>0</v>
      </c>
      <c r="C18" s="469">
        <v>44090</v>
      </c>
      <c r="D18" s="456">
        <v>32240010</v>
      </c>
      <c r="E18" s="317">
        <f t="shared" si="13"/>
        <v>5780</v>
      </c>
      <c r="F18" s="599">
        <v>3860356</v>
      </c>
      <c r="G18" s="318">
        <f t="shared" si="0"/>
        <v>775</v>
      </c>
      <c r="H18" s="456">
        <v>17658660</v>
      </c>
      <c r="I18" s="318">
        <f t="shared" si="14"/>
        <v>822</v>
      </c>
      <c r="J18" s="599">
        <v>28708154</v>
      </c>
      <c r="K18" s="318">
        <f t="shared" si="15"/>
        <v>948</v>
      </c>
      <c r="L18" s="456">
        <v>23636052</v>
      </c>
      <c r="M18" s="318">
        <f t="shared" si="16"/>
        <v>1838</v>
      </c>
      <c r="N18" s="316">
        <f t="shared" si="17"/>
        <v>10163</v>
      </c>
      <c r="O18" s="478">
        <f t="shared" si="26"/>
        <v>0</v>
      </c>
      <c r="P18" s="599">
        <v>16318</v>
      </c>
      <c r="Q18" s="460">
        <f t="shared" si="29"/>
        <v>3000</v>
      </c>
      <c r="R18" s="460">
        <f t="shared" si="30"/>
        <v>7163</v>
      </c>
      <c r="S18" s="456">
        <f t="shared" si="22"/>
        <v>9606</v>
      </c>
      <c r="T18" s="480">
        <f t="shared" si="3"/>
        <v>0</v>
      </c>
      <c r="U18" s="456">
        <f t="shared" si="23"/>
        <v>309536</v>
      </c>
      <c r="V18" s="460">
        <f t="shared" si="18"/>
        <v>0</v>
      </c>
      <c r="W18" s="456">
        <f t="shared" si="7"/>
        <v>32049</v>
      </c>
      <c r="X18" s="460">
        <f t="shared" si="25"/>
        <v>0</v>
      </c>
      <c r="Y18" s="456">
        <f t="shared" si="8"/>
        <v>673052</v>
      </c>
      <c r="Z18" s="460">
        <f t="shared" si="24"/>
        <v>0</v>
      </c>
      <c r="AA18" s="456">
        <v>35581</v>
      </c>
      <c r="AB18" s="460">
        <f t="shared" si="19"/>
        <v>15</v>
      </c>
      <c r="AC18" s="599">
        <v>893493</v>
      </c>
      <c r="AD18" s="460">
        <f t="shared" si="31"/>
        <v>2973</v>
      </c>
      <c r="AE18" s="483">
        <f t="shared" si="11"/>
        <v>15</v>
      </c>
      <c r="AF18" s="484">
        <f t="shared" si="12"/>
        <v>2973</v>
      </c>
      <c r="AG18" s="476">
        <f t="shared" si="27"/>
        <v>198.2</v>
      </c>
      <c r="AI18" s="477">
        <f>R18-'EDl log'!B16</f>
        <v>-395093</v>
      </c>
    </row>
    <row r="19" spans="1:35">
      <c r="A19" s="468">
        <f>'General information '!F22</f>
        <v>0</v>
      </c>
      <c r="B19" s="462">
        <f t="shared" si="6"/>
        <v>0</v>
      </c>
      <c r="C19" s="469">
        <v>44091</v>
      </c>
      <c r="D19" s="456">
        <v>32244176</v>
      </c>
      <c r="E19" s="317">
        <f t="shared" si="13"/>
        <v>4166</v>
      </c>
      <c r="F19" s="599">
        <v>3861274</v>
      </c>
      <c r="G19" s="318">
        <f t="shared" si="0"/>
        <v>918</v>
      </c>
      <c r="H19" s="456">
        <v>17659610</v>
      </c>
      <c r="I19" s="318">
        <f t="shared" si="14"/>
        <v>950</v>
      </c>
      <c r="J19" s="599">
        <v>28708896</v>
      </c>
      <c r="K19" s="318">
        <f t="shared" si="15"/>
        <v>742</v>
      </c>
      <c r="L19" s="456">
        <v>23638502</v>
      </c>
      <c r="M19" s="318">
        <f t="shared" si="16"/>
        <v>2450</v>
      </c>
      <c r="N19" s="316">
        <f t="shared" si="17"/>
        <v>9226</v>
      </c>
      <c r="O19" s="478">
        <f t="shared" si="26"/>
        <v>0</v>
      </c>
      <c r="P19" s="599">
        <v>16319</v>
      </c>
      <c r="Q19" s="460">
        <f t="shared" si="29"/>
        <v>1000</v>
      </c>
      <c r="R19" s="460">
        <f t="shared" si="30"/>
        <v>8226</v>
      </c>
      <c r="S19" s="456">
        <f t="shared" si="22"/>
        <v>9606</v>
      </c>
      <c r="T19" s="480">
        <f t="shared" si="3"/>
        <v>0</v>
      </c>
      <c r="U19" s="456">
        <f t="shared" si="23"/>
        <v>309536</v>
      </c>
      <c r="V19" s="460">
        <f t="shared" si="18"/>
        <v>0</v>
      </c>
      <c r="W19" s="456">
        <f t="shared" si="7"/>
        <v>32049</v>
      </c>
      <c r="X19" s="460">
        <f t="shared" si="25"/>
        <v>0</v>
      </c>
      <c r="Y19" s="456">
        <f t="shared" si="8"/>
        <v>673052</v>
      </c>
      <c r="Z19" s="460">
        <f t="shared" si="24"/>
        <v>0</v>
      </c>
      <c r="AA19" s="456">
        <v>35586</v>
      </c>
      <c r="AB19" s="460">
        <f t="shared" si="19"/>
        <v>5</v>
      </c>
      <c r="AC19" s="599">
        <v>894782</v>
      </c>
      <c r="AD19" s="460">
        <f t="shared" si="31"/>
        <v>1289</v>
      </c>
      <c r="AE19" s="483">
        <f t="shared" si="11"/>
        <v>5</v>
      </c>
      <c r="AF19" s="484">
        <f t="shared" si="12"/>
        <v>1289</v>
      </c>
      <c r="AG19" s="476">
        <f t="shared" si="27"/>
        <v>257.8</v>
      </c>
      <c r="AI19" s="477">
        <f>R19-'EDl log'!B17</f>
        <v>-397757</v>
      </c>
    </row>
    <row r="20" spans="1:35">
      <c r="A20" s="468">
        <f>'General information '!F23</f>
        <v>0</v>
      </c>
      <c r="B20" s="462">
        <f t="shared" si="6"/>
        <v>0</v>
      </c>
      <c r="C20" s="469">
        <v>44092</v>
      </c>
      <c r="D20" s="456">
        <v>32247138</v>
      </c>
      <c r="E20" s="317">
        <f t="shared" si="13"/>
        <v>2962</v>
      </c>
      <c r="F20" s="456">
        <v>3862133</v>
      </c>
      <c r="G20" s="318">
        <f t="shared" si="0"/>
        <v>859</v>
      </c>
      <c r="H20" s="456">
        <v>17660518</v>
      </c>
      <c r="I20" s="318">
        <f t="shared" si="14"/>
        <v>908</v>
      </c>
      <c r="J20" s="456">
        <v>28709748</v>
      </c>
      <c r="K20" s="318">
        <f t="shared" si="15"/>
        <v>852</v>
      </c>
      <c r="L20" s="456">
        <v>23642594</v>
      </c>
      <c r="M20" s="318">
        <f t="shared" si="16"/>
        <v>4092</v>
      </c>
      <c r="N20" s="316">
        <f t="shared" si="17"/>
        <v>9673</v>
      </c>
      <c r="O20" s="478">
        <f t="shared" si="26"/>
        <v>0</v>
      </c>
      <c r="P20" s="456">
        <v>16321</v>
      </c>
      <c r="Q20" s="460">
        <f t="shared" si="29"/>
        <v>2000</v>
      </c>
      <c r="R20" s="460">
        <f t="shared" si="30"/>
        <v>7673</v>
      </c>
      <c r="S20" s="456">
        <v>9617</v>
      </c>
      <c r="T20" s="480">
        <f t="shared" si="3"/>
        <v>11</v>
      </c>
      <c r="U20" s="456">
        <v>312110</v>
      </c>
      <c r="V20" s="460">
        <f t="shared" si="18"/>
        <v>2574</v>
      </c>
      <c r="W20" s="456">
        <f t="shared" si="7"/>
        <v>32049</v>
      </c>
      <c r="X20" s="460">
        <f t="shared" si="25"/>
        <v>0</v>
      </c>
      <c r="Y20" s="456">
        <f t="shared" si="8"/>
        <v>673052</v>
      </c>
      <c r="Z20" s="460">
        <f t="shared" si="24"/>
        <v>0</v>
      </c>
      <c r="AA20" s="456">
        <f t="shared" si="9"/>
        <v>35586</v>
      </c>
      <c r="AB20" s="460">
        <f t="shared" si="19"/>
        <v>0</v>
      </c>
      <c r="AC20" s="456">
        <f t="shared" si="10"/>
        <v>894782</v>
      </c>
      <c r="AD20" s="460">
        <f t="shared" si="31"/>
        <v>0</v>
      </c>
      <c r="AE20" s="483">
        <f t="shared" si="11"/>
        <v>11</v>
      </c>
      <c r="AF20" s="484">
        <f t="shared" si="12"/>
        <v>2574</v>
      </c>
      <c r="AG20" s="476">
        <f t="shared" si="27"/>
        <v>234</v>
      </c>
      <c r="AI20" s="477">
        <f>R20-'EDl log'!B18</f>
        <v>-402044</v>
      </c>
    </row>
    <row r="21" spans="1:35">
      <c r="A21" s="468">
        <f>'General information '!F24</f>
        <v>0</v>
      </c>
      <c r="B21" s="462">
        <f t="shared" si="6"/>
        <v>0</v>
      </c>
      <c r="C21" s="469">
        <v>44093</v>
      </c>
      <c r="D21" s="456">
        <v>32250282</v>
      </c>
      <c r="E21" s="317">
        <f t="shared" si="13"/>
        <v>3144</v>
      </c>
      <c r="F21" s="599">
        <v>3862894</v>
      </c>
      <c r="G21" s="318">
        <f t="shared" si="0"/>
        <v>761</v>
      </c>
      <c r="H21" s="456">
        <v>17661350</v>
      </c>
      <c r="I21" s="318">
        <f t="shared" si="14"/>
        <v>832</v>
      </c>
      <c r="J21" s="599">
        <v>28710350</v>
      </c>
      <c r="K21" s="318">
        <f t="shared" si="15"/>
        <v>602</v>
      </c>
      <c r="L21" s="456">
        <v>23645122</v>
      </c>
      <c r="M21" s="318">
        <f t="shared" si="16"/>
        <v>2528</v>
      </c>
      <c r="N21" s="316">
        <f t="shared" si="17"/>
        <v>7867</v>
      </c>
      <c r="O21" s="478">
        <f t="shared" si="26"/>
        <v>0</v>
      </c>
      <c r="P21" s="599">
        <v>16323</v>
      </c>
      <c r="Q21" s="460">
        <f t="shared" si="29"/>
        <v>2000</v>
      </c>
      <c r="R21" s="460">
        <f t="shared" si="30"/>
        <v>5867</v>
      </c>
      <c r="S21" s="456">
        <v>9620</v>
      </c>
      <c r="T21" s="480">
        <f t="shared" si="3"/>
        <v>3</v>
      </c>
      <c r="U21" s="599">
        <v>312929</v>
      </c>
      <c r="V21" s="460">
        <f t="shared" si="18"/>
        <v>819</v>
      </c>
      <c r="W21" s="456">
        <f t="shared" si="7"/>
        <v>32049</v>
      </c>
      <c r="X21" s="460">
        <f t="shared" si="25"/>
        <v>0</v>
      </c>
      <c r="Y21" s="456">
        <f t="shared" si="8"/>
        <v>673052</v>
      </c>
      <c r="Z21" s="460">
        <f t="shared" si="24"/>
        <v>0</v>
      </c>
      <c r="AA21" s="456">
        <v>35589</v>
      </c>
      <c r="AB21" s="460">
        <f t="shared" si="19"/>
        <v>3</v>
      </c>
      <c r="AC21" s="599">
        <v>895463</v>
      </c>
      <c r="AD21" s="460">
        <f t="shared" si="31"/>
        <v>681</v>
      </c>
      <c r="AE21" s="483">
        <f t="shared" si="11"/>
        <v>6</v>
      </c>
      <c r="AF21" s="484">
        <f t="shared" si="12"/>
        <v>1500</v>
      </c>
      <c r="AG21" s="476">
        <f t="shared" si="27"/>
        <v>250</v>
      </c>
      <c r="AI21" s="477">
        <f>R21-'EDl log'!B19</f>
        <v>-407885</v>
      </c>
    </row>
    <row r="22" spans="1:35">
      <c r="A22" s="468">
        <f>'General information '!F25</f>
        <v>0</v>
      </c>
      <c r="B22" s="462">
        <f t="shared" si="6"/>
        <v>0</v>
      </c>
      <c r="C22" s="469">
        <v>44094</v>
      </c>
      <c r="D22" s="456">
        <v>32252830</v>
      </c>
      <c r="E22" s="317">
        <f t="shared" si="13"/>
        <v>2548</v>
      </c>
      <c r="F22" s="456">
        <v>3863701</v>
      </c>
      <c r="G22" s="318">
        <f t="shared" si="0"/>
        <v>807</v>
      </c>
      <c r="H22" s="456">
        <v>17662226</v>
      </c>
      <c r="I22" s="318">
        <f t="shared" si="14"/>
        <v>876</v>
      </c>
      <c r="J22" s="456">
        <v>28711104</v>
      </c>
      <c r="K22" s="318">
        <f t="shared" si="15"/>
        <v>754</v>
      </c>
      <c r="L22" s="456">
        <v>23649018</v>
      </c>
      <c r="M22" s="318">
        <f t="shared" si="16"/>
        <v>3896</v>
      </c>
      <c r="N22" s="316">
        <f t="shared" si="17"/>
        <v>8881</v>
      </c>
      <c r="O22" s="478">
        <f t="shared" si="26"/>
        <v>0</v>
      </c>
      <c r="P22" s="456">
        <v>16325.495000000001</v>
      </c>
      <c r="Q22" s="460">
        <f t="shared" si="29"/>
        <v>2495.0000000008004</v>
      </c>
      <c r="R22" s="460">
        <f t="shared" si="30"/>
        <v>6385.9999999991996</v>
      </c>
      <c r="S22" s="456">
        <v>9629</v>
      </c>
      <c r="T22" s="480">
        <f t="shared" si="3"/>
        <v>9</v>
      </c>
      <c r="U22" s="456">
        <v>314977</v>
      </c>
      <c r="V22" s="460">
        <f t="shared" si="18"/>
        <v>2048</v>
      </c>
      <c r="W22" s="456">
        <f t="shared" si="7"/>
        <v>32049</v>
      </c>
      <c r="X22" s="460">
        <f t="shared" si="25"/>
        <v>0</v>
      </c>
      <c r="Y22" s="456">
        <f t="shared" si="8"/>
        <v>673052</v>
      </c>
      <c r="Z22" s="460">
        <f t="shared" si="24"/>
        <v>0</v>
      </c>
      <c r="AA22" s="456">
        <v>35589</v>
      </c>
      <c r="AB22" s="460">
        <f t="shared" si="19"/>
        <v>0</v>
      </c>
      <c r="AC22" s="456">
        <v>895463</v>
      </c>
      <c r="AD22" s="460">
        <f t="shared" si="31"/>
        <v>0</v>
      </c>
      <c r="AE22" s="483">
        <f t="shared" si="11"/>
        <v>9</v>
      </c>
      <c r="AF22" s="484">
        <f t="shared" si="12"/>
        <v>2048</v>
      </c>
      <c r="AG22" s="476">
        <f t="shared" si="27"/>
        <v>227.55555555555554</v>
      </c>
      <c r="AI22" s="477">
        <f>R22-'EDl log'!B20</f>
        <v>-411263.00000000081</v>
      </c>
    </row>
    <row r="23" spans="1:35">
      <c r="A23" s="468">
        <f>'General information '!F26</f>
        <v>0</v>
      </c>
      <c r="B23" s="462">
        <f t="shared" si="6"/>
        <v>0</v>
      </c>
      <c r="C23" s="469">
        <v>44095</v>
      </c>
      <c r="D23" s="456">
        <v>32256638</v>
      </c>
      <c r="E23" s="317">
        <f t="shared" si="13"/>
        <v>3808</v>
      </c>
      <c r="F23" s="599">
        <v>3864507</v>
      </c>
      <c r="G23" s="318">
        <f t="shared" si="0"/>
        <v>806</v>
      </c>
      <c r="H23" s="456">
        <v>17663058</v>
      </c>
      <c r="I23" s="449">
        <f t="shared" si="14"/>
        <v>832</v>
      </c>
      <c r="J23" s="599">
        <v>28711894</v>
      </c>
      <c r="K23" s="318">
        <f t="shared" si="15"/>
        <v>790</v>
      </c>
      <c r="L23" s="456">
        <v>23652040</v>
      </c>
      <c r="M23" s="318">
        <f t="shared" si="16"/>
        <v>3022</v>
      </c>
      <c r="N23" s="316">
        <f t="shared" si="17"/>
        <v>9258</v>
      </c>
      <c r="O23" s="478">
        <f t="shared" si="26"/>
        <v>0</v>
      </c>
      <c r="P23" s="599">
        <v>16327</v>
      </c>
      <c r="Q23" s="460">
        <f t="shared" si="29"/>
        <v>1504.9999999991996</v>
      </c>
      <c r="R23" s="460">
        <f t="shared" si="30"/>
        <v>7753.0000000008004</v>
      </c>
      <c r="S23" s="456">
        <v>9634</v>
      </c>
      <c r="T23" s="480">
        <f t="shared" si="3"/>
        <v>5</v>
      </c>
      <c r="U23" s="599">
        <v>316092</v>
      </c>
      <c r="V23" s="460">
        <f t="shared" si="18"/>
        <v>1115</v>
      </c>
      <c r="W23" s="456">
        <f t="shared" si="7"/>
        <v>32049</v>
      </c>
      <c r="X23" s="460">
        <f t="shared" si="25"/>
        <v>0</v>
      </c>
      <c r="Y23" s="456">
        <f t="shared" si="8"/>
        <v>673052</v>
      </c>
      <c r="Z23" s="460">
        <f t="shared" si="24"/>
        <v>0</v>
      </c>
      <c r="AA23" s="456">
        <v>35594</v>
      </c>
      <c r="AB23" s="460">
        <f t="shared" si="19"/>
        <v>5</v>
      </c>
      <c r="AC23" s="599">
        <v>896638</v>
      </c>
      <c r="AD23" s="460">
        <f t="shared" si="31"/>
        <v>1175</v>
      </c>
      <c r="AE23" s="483">
        <f t="shared" si="11"/>
        <v>10</v>
      </c>
      <c r="AF23" s="484">
        <f t="shared" si="12"/>
        <v>2290</v>
      </c>
      <c r="AG23" s="476">
        <f t="shared" si="27"/>
        <v>229</v>
      </c>
      <c r="AI23" s="477">
        <f>R23-'EDl log'!B21</f>
        <v>-414150.99999999919</v>
      </c>
    </row>
    <row r="24" spans="1:35">
      <c r="A24" s="468">
        <f>'General information '!F27</f>
        <v>0</v>
      </c>
      <c r="B24" s="462">
        <f t="shared" si="6"/>
        <v>0</v>
      </c>
      <c r="C24" s="469">
        <v>44096</v>
      </c>
      <c r="D24" s="456">
        <v>32260010</v>
      </c>
      <c r="E24" s="317">
        <f t="shared" si="13"/>
        <v>3372</v>
      </c>
      <c r="F24" s="456">
        <v>3865337</v>
      </c>
      <c r="G24" s="318">
        <f t="shared" si="0"/>
        <v>830</v>
      </c>
      <c r="H24" s="456">
        <v>17663930</v>
      </c>
      <c r="I24" s="318">
        <f t="shared" si="14"/>
        <v>872</v>
      </c>
      <c r="J24" s="456">
        <v>28712882</v>
      </c>
      <c r="K24" s="318">
        <f t="shared" si="15"/>
        <v>988</v>
      </c>
      <c r="L24" s="456">
        <v>23656666</v>
      </c>
      <c r="M24" s="318">
        <f t="shared" si="16"/>
        <v>4626</v>
      </c>
      <c r="N24" s="316">
        <f t="shared" si="17"/>
        <v>10688</v>
      </c>
      <c r="O24" s="478">
        <f t="shared" si="26"/>
        <v>0</v>
      </c>
      <c r="P24" s="456">
        <v>16331</v>
      </c>
      <c r="Q24" s="460">
        <f t="shared" si="29"/>
        <v>4000</v>
      </c>
      <c r="R24" s="460">
        <f t="shared" si="30"/>
        <v>6688</v>
      </c>
      <c r="S24" s="456">
        <v>9645</v>
      </c>
      <c r="T24" s="480">
        <f t="shared" si="3"/>
        <v>11</v>
      </c>
      <c r="U24" s="456">
        <v>318534</v>
      </c>
      <c r="V24" s="460">
        <f t="shared" si="18"/>
        <v>2442</v>
      </c>
      <c r="W24" s="456">
        <f t="shared" si="7"/>
        <v>32049</v>
      </c>
      <c r="X24" s="460">
        <f t="shared" si="25"/>
        <v>0</v>
      </c>
      <c r="Y24" s="456">
        <f t="shared" si="8"/>
        <v>673052</v>
      </c>
      <c r="Z24" s="460">
        <f t="shared" si="24"/>
        <v>0</v>
      </c>
      <c r="AA24" s="456">
        <v>35594</v>
      </c>
      <c r="AB24" s="460">
        <f t="shared" si="19"/>
        <v>0</v>
      </c>
      <c r="AC24" s="456">
        <v>896638</v>
      </c>
      <c r="AD24" s="460">
        <f t="shared" si="31"/>
        <v>0</v>
      </c>
      <c r="AE24" s="483">
        <f t="shared" si="11"/>
        <v>11</v>
      </c>
      <c r="AF24" s="484">
        <f t="shared" si="12"/>
        <v>2442</v>
      </c>
      <c r="AG24" s="476">
        <f t="shared" si="27"/>
        <v>222</v>
      </c>
      <c r="AI24" s="477">
        <f>R24-'EDl log'!B22</f>
        <v>-418321</v>
      </c>
    </row>
    <row r="25" spans="1:35">
      <c r="A25" s="468">
        <f>'General information '!F28</f>
        <v>0</v>
      </c>
      <c r="B25" s="462">
        <f t="shared" si="6"/>
        <v>0</v>
      </c>
      <c r="C25" s="469">
        <v>44097</v>
      </c>
      <c r="D25" s="456">
        <v>32265002</v>
      </c>
      <c r="E25" s="317">
        <f t="shared" si="13"/>
        <v>4992</v>
      </c>
      <c r="F25" s="456">
        <v>3866176</v>
      </c>
      <c r="G25" s="318">
        <f t="shared" si="0"/>
        <v>839</v>
      </c>
      <c r="H25" s="456">
        <v>17664806</v>
      </c>
      <c r="I25" s="318">
        <f t="shared" si="14"/>
        <v>876</v>
      </c>
      <c r="J25" s="456">
        <v>28713734</v>
      </c>
      <c r="K25" s="318">
        <f t="shared" si="15"/>
        <v>852</v>
      </c>
      <c r="L25" s="456">
        <v>23659450</v>
      </c>
      <c r="M25" s="318">
        <f t="shared" si="16"/>
        <v>2784</v>
      </c>
      <c r="N25" s="316">
        <f t="shared" si="17"/>
        <v>10343</v>
      </c>
      <c r="O25" s="478">
        <f t="shared" si="26"/>
        <v>0</v>
      </c>
      <c r="P25" s="456">
        <v>16333</v>
      </c>
      <c r="Q25" s="460">
        <f t="shared" si="29"/>
        <v>2000</v>
      </c>
      <c r="R25" s="460">
        <f t="shared" si="30"/>
        <v>8343</v>
      </c>
      <c r="S25" s="456">
        <v>9647</v>
      </c>
      <c r="T25" s="480">
        <f t="shared" si="3"/>
        <v>2</v>
      </c>
      <c r="U25" s="456">
        <v>319062</v>
      </c>
      <c r="V25" s="460">
        <f t="shared" si="18"/>
        <v>528</v>
      </c>
      <c r="W25" s="456">
        <f t="shared" si="7"/>
        <v>32049</v>
      </c>
      <c r="X25" s="460">
        <f t="shared" si="25"/>
        <v>0</v>
      </c>
      <c r="Y25" s="456">
        <f t="shared" si="8"/>
        <v>673052</v>
      </c>
      <c r="Z25" s="460">
        <f t="shared" si="24"/>
        <v>0</v>
      </c>
      <c r="AA25" s="456">
        <v>35603</v>
      </c>
      <c r="AB25" s="460">
        <f t="shared" si="19"/>
        <v>9</v>
      </c>
      <c r="AC25" s="456">
        <v>898412</v>
      </c>
      <c r="AD25" s="460">
        <f t="shared" si="31"/>
        <v>1774</v>
      </c>
      <c r="AE25" s="483">
        <f t="shared" si="11"/>
        <v>11</v>
      </c>
      <c r="AF25" s="484">
        <f t="shared" si="12"/>
        <v>2302</v>
      </c>
      <c r="AG25" s="476">
        <f t="shared" si="27"/>
        <v>209.27272727272728</v>
      </c>
      <c r="AI25" s="477">
        <f>R25-'EDl log'!B23</f>
        <v>-420247</v>
      </c>
    </row>
    <row r="26" spans="1:35">
      <c r="A26" s="468">
        <f>'General information '!F29</f>
        <v>0</v>
      </c>
      <c r="B26" s="462">
        <f t="shared" si="6"/>
        <v>0</v>
      </c>
      <c r="C26" s="469">
        <v>44098</v>
      </c>
      <c r="D26" s="456">
        <v>32269102</v>
      </c>
      <c r="E26" s="317">
        <f t="shared" si="13"/>
        <v>4100</v>
      </c>
      <c r="F26" s="456">
        <v>3867053</v>
      </c>
      <c r="G26" s="318">
        <f t="shared" si="0"/>
        <v>877</v>
      </c>
      <c r="H26" s="456">
        <v>17665670</v>
      </c>
      <c r="I26" s="318">
        <f t="shared" si="14"/>
        <v>864</v>
      </c>
      <c r="J26" s="456">
        <v>28714568</v>
      </c>
      <c r="K26" s="318">
        <f t="shared" si="15"/>
        <v>834</v>
      </c>
      <c r="L26" s="456">
        <v>23663002</v>
      </c>
      <c r="M26" s="318">
        <f t="shared" si="16"/>
        <v>3552</v>
      </c>
      <c r="N26" s="316">
        <f t="shared" si="17"/>
        <v>10227</v>
      </c>
      <c r="O26" s="478">
        <f t="shared" si="26"/>
        <v>0</v>
      </c>
      <c r="P26" s="456">
        <v>16335</v>
      </c>
      <c r="Q26" s="460">
        <f t="shared" si="29"/>
        <v>2000</v>
      </c>
      <c r="R26" s="460">
        <f t="shared" si="30"/>
        <v>8227</v>
      </c>
      <c r="S26" s="456">
        <v>9653</v>
      </c>
      <c r="T26" s="480">
        <f t="shared" si="3"/>
        <v>6</v>
      </c>
      <c r="U26" s="456">
        <v>320308</v>
      </c>
      <c r="V26" s="460">
        <f t="shared" si="18"/>
        <v>1246</v>
      </c>
      <c r="W26" s="456">
        <f t="shared" si="7"/>
        <v>32049</v>
      </c>
      <c r="X26" s="460">
        <f t="shared" si="25"/>
        <v>0</v>
      </c>
      <c r="Y26" s="456">
        <f t="shared" si="8"/>
        <v>673052</v>
      </c>
      <c r="Z26" s="460">
        <f t="shared" si="24"/>
        <v>0</v>
      </c>
      <c r="AA26" s="456">
        <v>35607</v>
      </c>
      <c r="AB26" s="460">
        <f t="shared" si="19"/>
        <v>4</v>
      </c>
      <c r="AC26" s="456">
        <v>899487</v>
      </c>
      <c r="AD26" s="460">
        <f t="shared" si="31"/>
        <v>1075</v>
      </c>
      <c r="AE26" s="483">
        <f t="shared" si="11"/>
        <v>10</v>
      </c>
      <c r="AF26" s="484">
        <f t="shared" si="12"/>
        <v>2321</v>
      </c>
      <c r="AG26" s="476">
        <f t="shared" si="27"/>
        <v>232.1</v>
      </c>
      <c r="AI26" s="477">
        <f>R26-'EDl log'!B24</f>
        <v>-424041</v>
      </c>
    </row>
    <row r="27" spans="1:35">
      <c r="A27" s="468">
        <f>'General information '!F30</f>
        <v>0</v>
      </c>
      <c r="B27" s="462">
        <f t="shared" si="6"/>
        <v>0</v>
      </c>
      <c r="C27" s="469">
        <v>44099</v>
      </c>
      <c r="D27" s="456">
        <v>32271638</v>
      </c>
      <c r="E27" s="317">
        <f t="shared" si="13"/>
        <v>2536</v>
      </c>
      <c r="F27" s="599">
        <v>3867913</v>
      </c>
      <c r="G27" s="318">
        <f>F27-F26</f>
        <v>860</v>
      </c>
      <c r="H27" s="456">
        <v>17666516</v>
      </c>
      <c r="I27" s="318">
        <f t="shared" si="14"/>
        <v>846</v>
      </c>
      <c r="J27" s="599">
        <v>28715200</v>
      </c>
      <c r="K27" s="318">
        <f t="shared" si="15"/>
        <v>632</v>
      </c>
      <c r="L27" s="456">
        <v>23666314</v>
      </c>
      <c r="M27" s="318">
        <f t="shared" si="16"/>
        <v>3312</v>
      </c>
      <c r="N27" s="316">
        <f t="shared" si="17"/>
        <v>8186</v>
      </c>
      <c r="O27" s="478">
        <f t="shared" si="26"/>
        <v>0</v>
      </c>
      <c r="P27" s="599">
        <v>16336</v>
      </c>
      <c r="Q27" s="460">
        <f t="shared" si="29"/>
        <v>1000</v>
      </c>
      <c r="R27" s="460">
        <f t="shared" si="30"/>
        <v>7186</v>
      </c>
      <c r="S27" s="456">
        <v>9659</v>
      </c>
      <c r="T27" s="480">
        <f t="shared" si="3"/>
        <v>6</v>
      </c>
      <c r="U27" s="599">
        <v>321733</v>
      </c>
      <c r="V27" s="460">
        <f t="shared" si="18"/>
        <v>1425</v>
      </c>
      <c r="W27" s="456">
        <f t="shared" si="7"/>
        <v>32049</v>
      </c>
      <c r="X27" s="460">
        <f t="shared" si="25"/>
        <v>0</v>
      </c>
      <c r="Y27" s="456">
        <f t="shared" si="8"/>
        <v>673052</v>
      </c>
      <c r="Z27" s="460">
        <f t="shared" si="24"/>
        <v>0</v>
      </c>
      <c r="AA27" s="456">
        <f t="shared" si="9"/>
        <v>35607</v>
      </c>
      <c r="AB27" s="460">
        <f t="shared" si="19"/>
        <v>0</v>
      </c>
      <c r="AC27" s="456">
        <f t="shared" si="10"/>
        <v>899487</v>
      </c>
      <c r="AD27" s="460">
        <f t="shared" si="31"/>
        <v>0</v>
      </c>
      <c r="AE27" s="483">
        <f t="shared" si="11"/>
        <v>6</v>
      </c>
      <c r="AF27" s="484">
        <f t="shared" si="12"/>
        <v>1425</v>
      </c>
      <c r="AG27" s="476">
        <f t="shared" si="27"/>
        <v>237.5</v>
      </c>
      <c r="AI27" s="477">
        <f>R27-'EDl log'!B25</f>
        <v>-428540</v>
      </c>
    </row>
    <row r="28" spans="1:35">
      <c r="A28" s="468">
        <f>'General information '!F31</f>
        <v>0</v>
      </c>
      <c r="B28" s="462">
        <f t="shared" si="6"/>
        <v>0</v>
      </c>
      <c r="C28" s="469">
        <v>44100</v>
      </c>
      <c r="D28" s="456">
        <v>32273914</v>
      </c>
      <c r="E28" s="317">
        <f t="shared" si="13"/>
        <v>2276</v>
      </c>
      <c r="F28" s="456">
        <v>3868769</v>
      </c>
      <c r="G28" s="318">
        <f t="shared" si="0"/>
        <v>856</v>
      </c>
      <c r="H28" s="456">
        <v>17667358</v>
      </c>
      <c r="I28" s="318">
        <f t="shared" si="14"/>
        <v>842</v>
      </c>
      <c r="J28" s="456">
        <v>28715794</v>
      </c>
      <c r="K28" s="318">
        <f t="shared" si="15"/>
        <v>594</v>
      </c>
      <c r="L28" s="456">
        <v>23669310</v>
      </c>
      <c r="M28" s="318">
        <f t="shared" si="16"/>
        <v>2996</v>
      </c>
      <c r="N28" s="316">
        <f t="shared" si="17"/>
        <v>7564</v>
      </c>
      <c r="O28" s="478">
        <f t="shared" si="26"/>
        <v>0</v>
      </c>
      <c r="P28" s="456">
        <v>16338</v>
      </c>
      <c r="Q28" s="460">
        <f t="shared" si="29"/>
        <v>2000</v>
      </c>
      <c r="R28" s="460">
        <f t="shared" si="30"/>
        <v>5564</v>
      </c>
      <c r="S28" s="456">
        <v>9665</v>
      </c>
      <c r="T28" s="480">
        <f t="shared" si="3"/>
        <v>6</v>
      </c>
      <c r="U28" s="456">
        <v>322890</v>
      </c>
      <c r="V28" s="460">
        <f t="shared" si="18"/>
        <v>1157</v>
      </c>
      <c r="W28" s="456">
        <f t="shared" si="7"/>
        <v>32049</v>
      </c>
      <c r="X28" s="460">
        <f t="shared" si="25"/>
        <v>0</v>
      </c>
      <c r="Y28" s="456">
        <f t="shared" si="8"/>
        <v>673052</v>
      </c>
      <c r="Z28" s="460">
        <f t="shared" si="24"/>
        <v>0</v>
      </c>
      <c r="AA28" s="456">
        <f t="shared" si="9"/>
        <v>35607</v>
      </c>
      <c r="AB28" s="460">
        <f t="shared" si="19"/>
        <v>0</v>
      </c>
      <c r="AC28" s="456">
        <f t="shared" si="10"/>
        <v>899487</v>
      </c>
      <c r="AD28" s="460">
        <f t="shared" si="31"/>
        <v>0</v>
      </c>
      <c r="AE28" s="483">
        <f t="shared" si="11"/>
        <v>6</v>
      </c>
      <c r="AF28" s="484">
        <f t="shared" si="12"/>
        <v>1157</v>
      </c>
      <c r="AG28" s="476">
        <f t="shared" si="27"/>
        <v>192.83333333333334</v>
      </c>
      <c r="AI28" s="477">
        <f>R28-'EDl log'!B26</f>
        <v>-434771</v>
      </c>
    </row>
    <row r="29" spans="1:35">
      <c r="A29" s="468">
        <f>'General information '!F32</f>
        <v>0</v>
      </c>
      <c r="B29" s="462">
        <f>SUM(230*A29)</f>
        <v>0</v>
      </c>
      <c r="C29" s="469">
        <v>44101</v>
      </c>
      <c r="D29" s="456">
        <v>32277052</v>
      </c>
      <c r="E29" s="317">
        <f t="shared" si="13"/>
        <v>3138</v>
      </c>
      <c r="F29" s="456">
        <v>3869563</v>
      </c>
      <c r="G29" s="318">
        <f t="shared" si="0"/>
        <v>794</v>
      </c>
      <c r="H29" s="456">
        <v>17668258</v>
      </c>
      <c r="I29" s="318">
        <f t="shared" si="14"/>
        <v>900</v>
      </c>
      <c r="J29" s="456">
        <v>28716674</v>
      </c>
      <c r="K29" s="318">
        <f t="shared" si="15"/>
        <v>880</v>
      </c>
      <c r="L29" s="456">
        <v>23673590</v>
      </c>
      <c r="M29" s="318">
        <f t="shared" si="16"/>
        <v>4280</v>
      </c>
      <c r="N29" s="316">
        <f t="shared" si="17"/>
        <v>9992</v>
      </c>
      <c r="O29" s="478">
        <f t="shared" si="26"/>
        <v>0</v>
      </c>
      <c r="P29" s="456">
        <v>16338.9</v>
      </c>
      <c r="Q29" s="460">
        <f t="shared" si="29"/>
        <v>899.9999999996362</v>
      </c>
      <c r="R29" s="460">
        <f t="shared" si="30"/>
        <v>9092.0000000003638</v>
      </c>
      <c r="S29" s="456">
        <v>9673</v>
      </c>
      <c r="T29" s="480">
        <f t="shared" si="3"/>
        <v>8</v>
      </c>
      <c r="U29" s="456">
        <v>325151</v>
      </c>
      <c r="V29" s="460">
        <f t="shared" si="18"/>
        <v>2261</v>
      </c>
      <c r="W29" s="456">
        <f>W28</f>
        <v>32049</v>
      </c>
      <c r="X29" s="460">
        <f t="shared" si="25"/>
        <v>0</v>
      </c>
      <c r="Y29" s="456">
        <f t="shared" si="8"/>
        <v>673052</v>
      </c>
      <c r="Z29" s="460">
        <f t="shared" si="24"/>
        <v>0</v>
      </c>
      <c r="AA29" s="456">
        <v>35607</v>
      </c>
      <c r="AB29" s="460">
        <f t="shared" si="19"/>
        <v>0</v>
      </c>
      <c r="AC29" s="456">
        <v>899488</v>
      </c>
      <c r="AD29" s="460">
        <f t="shared" si="31"/>
        <v>1</v>
      </c>
      <c r="AE29" s="483">
        <f t="shared" si="11"/>
        <v>8</v>
      </c>
      <c r="AF29" s="484">
        <f t="shared" si="12"/>
        <v>2262</v>
      </c>
      <c r="AG29" s="476">
        <f t="shared" si="27"/>
        <v>282.75</v>
      </c>
      <c r="AI29" s="477">
        <f>R29-'EDl log'!B27</f>
        <v>-435705.99999999965</v>
      </c>
    </row>
    <row r="30" spans="1:35">
      <c r="A30" s="468">
        <f>'General information '!F33</f>
        <v>0</v>
      </c>
      <c r="B30" s="462">
        <f t="shared" si="6"/>
        <v>0</v>
      </c>
      <c r="C30" s="469">
        <v>44102</v>
      </c>
      <c r="D30" s="456">
        <v>32280280</v>
      </c>
      <c r="E30" s="317">
        <f t="shared" si="13"/>
        <v>3228</v>
      </c>
      <c r="F30" s="456">
        <v>3870362</v>
      </c>
      <c r="G30" s="318">
        <f t="shared" si="0"/>
        <v>799</v>
      </c>
      <c r="H30" s="456">
        <v>17669074</v>
      </c>
      <c r="I30" s="318">
        <f t="shared" si="14"/>
        <v>816</v>
      </c>
      <c r="J30" s="456">
        <v>28717602</v>
      </c>
      <c r="K30" s="318">
        <f t="shared" si="15"/>
        <v>928</v>
      </c>
      <c r="L30" s="456">
        <v>23677902</v>
      </c>
      <c r="M30" s="318">
        <f t="shared" si="16"/>
        <v>4312</v>
      </c>
      <c r="N30" s="316">
        <f t="shared" si="17"/>
        <v>10083</v>
      </c>
      <c r="O30" s="478">
        <f t="shared" si="26"/>
        <v>0</v>
      </c>
      <c r="P30" s="456">
        <v>16340</v>
      </c>
      <c r="Q30" s="460">
        <f t="shared" si="29"/>
        <v>1100.0000000003638</v>
      </c>
      <c r="R30" s="460">
        <f t="shared" si="30"/>
        <v>8982.9999999996362</v>
      </c>
      <c r="S30" s="456">
        <v>9684</v>
      </c>
      <c r="T30" s="480">
        <f t="shared" si="3"/>
        <v>11</v>
      </c>
      <c r="U30" s="456">
        <v>327795</v>
      </c>
      <c r="V30" s="460">
        <f t="shared" si="18"/>
        <v>2644</v>
      </c>
      <c r="W30" s="456">
        <f t="shared" si="7"/>
        <v>32049</v>
      </c>
      <c r="X30" s="481">
        <f t="shared" si="25"/>
        <v>0</v>
      </c>
      <c r="Y30" s="456">
        <f t="shared" si="8"/>
        <v>673052</v>
      </c>
      <c r="Z30" s="460">
        <f t="shared" si="24"/>
        <v>0</v>
      </c>
      <c r="AA30" s="456">
        <v>35607</v>
      </c>
      <c r="AB30" s="460">
        <f t="shared" si="19"/>
        <v>0</v>
      </c>
      <c r="AC30" s="456">
        <v>899488</v>
      </c>
      <c r="AD30" s="460">
        <f t="shared" si="31"/>
        <v>0</v>
      </c>
      <c r="AE30" s="483">
        <f t="shared" si="11"/>
        <v>11</v>
      </c>
      <c r="AF30" s="484">
        <f t="shared" si="12"/>
        <v>2644</v>
      </c>
      <c r="AG30" s="476">
        <f t="shared" si="27"/>
        <v>240.36363636363637</v>
      </c>
      <c r="AI30" s="477">
        <f>R30-'EDl log'!B28</f>
        <v>-439366.00000000035</v>
      </c>
    </row>
    <row r="31" spans="1:35">
      <c r="A31" s="468">
        <f>'General information '!F34</f>
        <v>0</v>
      </c>
      <c r="B31" s="462">
        <f t="shared" si="6"/>
        <v>0</v>
      </c>
      <c r="C31" s="469">
        <v>44103</v>
      </c>
      <c r="D31" s="456">
        <v>32283632</v>
      </c>
      <c r="E31" s="317">
        <f t="shared" si="13"/>
        <v>3352</v>
      </c>
      <c r="F31" s="456">
        <v>3871226</v>
      </c>
      <c r="G31" s="318">
        <f t="shared" si="0"/>
        <v>864</v>
      </c>
      <c r="H31" s="456">
        <v>17669934</v>
      </c>
      <c r="I31" s="318">
        <f t="shared" si="14"/>
        <v>860</v>
      </c>
      <c r="J31" s="456">
        <v>28718582</v>
      </c>
      <c r="K31" s="318">
        <f t="shared" si="15"/>
        <v>980</v>
      </c>
      <c r="L31" s="456">
        <v>23683074</v>
      </c>
      <c r="M31" s="318">
        <f t="shared" si="16"/>
        <v>5172</v>
      </c>
      <c r="N31" s="316">
        <f t="shared" si="17"/>
        <v>11228</v>
      </c>
      <c r="O31" s="478">
        <f t="shared" si="26"/>
        <v>0</v>
      </c>
      <c r="P31" s="456">
        <v>16342</v>
      </c>
      <c r="Q31" s="460">
        <f t="shared" si="29"/>
        <v>2000</v>
      </c>
      <c r="R31" s="460">
        <f t="shared" si="30"/>
        <v>9228</v>
      </c>
      <c r="S31" s="456">
        <v>9695</v>
      </c>
      <c r="T31" s="480">
        <f t="shared" si="3"/>
        <v>11</v>
      </c>
      <c r="U31" s="456">
        <v>330743</v>
      </c>
      <c r="V31" s="460">
        <f t="shared" si="18"/>
        <v>2948</v>
      </c>
      <c r="W31" s="456">
        <f t="shared" si="7"/>
        <v>32049</v>
      </c>
      <c r="X31" s="481">
        <f t="shared" si="25"/>
        <v>0</v>
      </c>
      <c r="Y31" s="456">
        <f t="shared" si="8"/>
        <v>673052</v>
      </c>
      <c r="Z31" s="482">
        <f>Y31-Y30</f>
        <v>0</v>
      </c>
      <c r="AA31" s="456">
        <f t="shared" si="9"/>
        <v>35607</v>
      </c>
      <c r="AB31" s="460">
        <f t="shared" si="19"/>
        <v>0</v>
      </c>
      <c r="AC31" s="456">
        <f t="shared" si="10"/>
        <v>899488</v>
      </c>
      <c r="AD31" s="460">
        <f t="shared" si="31"/>
        <v>0</v>
      </c>
      <c r="AE31" s="483">
        <f t="shared" si="11"/>
        <v>11</v>
      </c>
      <c r="AF31" s="484">
        <f t="shared" si="12"/>
        <v>2948</v>
      </c>
      <c r="AG31" s="476">
        <f t="shared" si="27"/>
        <v>268</v>
      </c>
      <c r="AI31" s="477">
        <f>R31-'EDl log'!B29</f>
        <v>-442364</v>
      </c>
    </row>
    <row r="32" spans="1:35">
      <c r="A32" s="468">
        <f>'General information '!F35</f>
        <v>0</v>
      </c>
      <c r="B32" s="462">
        <f>SUM(230*A32)</f>
        <v>0</v>
      </c>
      <c r="C32" s="469">
        <v>44104</v>
      </c>
      <c r="D32" s="456">
        <v>32287200</v>
      </c>
      <c r="E32" s="317">
        <f t="shared" si="13"/>
        <v>3568</v>
      </c>
      <c r="F32" s="456">
        <v>3872020</v>
      </c>
      <c r="G32" s="318">
        <f>F32-F31</f>
        <v>794</v>
      </c>
      <c r="H32" s="456">
        <v>17670874</v>
      </c>
      <c r="I32" s="318">
        <f>H32-H31</f>
        <v>940</v>
      </c>
      <c r="J32" s="456">
        <v>28719638</v>
      </c>
      <c r="K32" s="318">
        <f>J32-J31</f>
        <v>1056</v>
      </c>
      <c r="L32" s="456">
        <v>23688570</v>
      </c>
      <c r="M32" s="318">
        <f>L32-L31</f>
        <v>5496</v>
      </c>
      <c r="N32" s="316">
        <f>M32+K32+I32+G32+E32</f>
        <v>11854</v>
      </c>
      <c r="O32" s="478">
        <f t="shared" si="26"/>
        <v>0</v>
      </c>
      <c r="P32" s="456">
        <v>16346</v>
      </c>
      <c r="Q32" s="460">
        <f t="shared" si="29"/>
        <v>4000</v>
      </c>
      <c r="R32" s="460">
        <f t="shared" si="30"/>
        <v>7854</v>
      </c>
      <c r="S32" s="456">
        <v>9708</v>
      </c>
      <c r="T32" s="480">
        <f t="shared" si="3"/>
        <v>13</v>
      </c>
      <c r="U32" s="456">
        <v>333763</v>
      </c>
      <c r="V32" s="460">
        <f t="shared" si="18"/>
        <v>3020</v>
      </c>
      <c r="W32" s="456">
        <f t="shared" si="7"/>
        <v>32049</v>
      </c>
      <c r="X32" s="460">
        <f t="shared" si="25"/>
        <v>0</v>
      </c>
      <c r="Y32" s="456">
        <f t="shared" si="8"/>
        <v>673052</v>
      </c>
      <c r="Z32" s="482">
        <f>Y32-Y31</f>
        <v>0</v>
      </c>
      <c r="AA32" s="456">
        <f t="shared" si="9"/>
        <v>35607</v>
      </c>
      <c r="AB32" s="460">
        <f t="shared" si="19"/>
        <v>0</v>
      </c>
      <c r="AC32" s="456">
        <f t="shared" si="10"/>
        <v>899488</v>
      </c>
      <c r="AD32" s="460">
        <f t="shared" si="31"/>
        <v>0</v>
      </c>
      <c r="AE32" s="483">
        <f t="shared" si="11"/>
        <v>13</v>
      </c>
      <c r="AF32" s="484">
        <f>V32+Z32+AD32</f>
        <v>3020</v>
      </c>
      <c r="AG32" s="476">
        <f t="shared" si="27"/>
        <v>232.30769230769232</v>
      </c>
      <c r="AI32" s="477">
        <f>R32-'EDl log'!B30</f>
        <v>-448502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zoomScale="90" zoomScaleNormal="90" workbookViewId="0">
      <pane ySplit="1" topLeftCell="A21" activePane="bottomLeft" state="frozen"/>
      <selection activeCell="K1" sqref="K1"/>
      <selection pane="bottomLeft" activeCell="A34" sqref="A3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7" customWidth="1"/>
    <col min="38" max="38" width="11.140625" style="327" bestFit="1" customWidth="1"/>
    <col min="39" max="39" width="11.42578125" style="327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9"/>
    <col min="51" max="16384" width="9.140625" style="42"/>
  </cols>
  <sheetData>
    <row r="1" spans="1:52" ht="30.75" thickBot="1">
      <c r="F1" s="626" t="s">
        <v>2</v>
      </c>
      <c r="G1" s="627"/>
      <c r="H1" s="627"/>
      <c r="I1" s="628"/>
      <c r="J1" s="288">
        <f>J35</f>
        <v>1</v>
      </c>
      <c r="K1" s="629" t="s">
        <v>4</v>
      </c>
      <c r="L1" s="630"/>
      <c r="M1" s="630"/>
      <c r="N1" s="630"/>
      <c r="O1" s="631"/>
      <c r="P1" s="620" t="s">
        <v>6</v>
      </c>
      <c r="Q1" s="621"/>
      <c r="R1" s="621"/>
      <c r="S1" s="621"/>
      <c r="T1" s="622"/>
      <c r="U1" s="405"/>
      <c r="V1" s="27" t="s">
        <v>104</v>
      </c>
      <c r="W1" s="406"/>
      <c r="X1" s="620" t="s">
        <v>8</v>
      </c>
      <c r="Y1" s="621"/>
      <c r="Z1" s="621"/>
      <c r="AA1" s="621"/>
      <c r="AB1" s="621"/>
      <c r="AC1" s="623" t="s">
        <v>10</v>
      </c>
      <c r="AD1" s="624"/>
      <c r="AE1" s="624"/>
      <c r="AF1" s="625"/>
      <c r="AG1" s="210"/>
      <c r="AH1" s="85" t="s">
        <v>105</v>
      </c>
      <c r="AI1" s="320" t="s">
        <v>128</v>
      </c>
      <c r="AJ1" s="320"/>
      <c r="AK1" s="320"/>
      <c r="AL1" s="320" t="s">
        <v>133</v>
      </c>
      <c r="AM1" s="320" t="s">
        <v>134</v>
      </c>
      <c r="AN1" s="322" t="s">
        <v>12</v>
      </c>
      <c r="AO1" s="322" t="s">
        <v>13</v>
      </c>
      <c r="AP1" s="322" t="s">
        <v>14</v>
      </c>
      <c r="AQ1" s="322" t="s">
        <v>15</v>
      </c>
      <c r="AR1" s="322" t="s">
        <v>16</v>
      </c>
      <c r="AS1" s="322" t="s">
        <v>17</v>
      </c>
      <c r="AT1" s="322"/>
      <c r="AU1" s="323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8"/>
      <c r="R2" s="619"/>
      <c r="S2" s="52" t="s">
        <v>7</v>
      </c>
      <c r="T2" s="53"/>
      <c r="U2" s="409" t="s">
        <v>383</v>
      </c>
      <c r="V2" s="54" t="s">
        <v>103</v>
      </c>
      <c r="W2" s="407"/>
      <c r="X2" s="55" t="s">
        <v>8</v>
      </c>
      <c r="Y2" s="46" t="s">
        <v>9</v>
      </c>
      <c r="Z2" s="398" t="s">
        <v>379</v>
      </c>
      <c r="AA2" s="399" t="s">
        <v>380</v>
      </c>
      <c r="AB2" s="287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1" t="s">
        <v>103</v>
      </c>
      <c r="AJ2" s="401"/>
      <c r="AK2" s="401"/>
      <c r="AL2" s="401"/>
      <c r="AM2" s="401"/>
      <c r="AN2" s="400"/>
      <c r="AO2" s="400"/>
      <c r="AP2" s="400"/>
      <c r="AQ2" s="400"/>
      <c r="AR2" s="400"/>
      <c r="AS2" s="400"/>
      <c r="AT2" s="400"/>
      <c r="AU2" s="400"/>
      <c r="AV2" s="274"/>
      <c r="AW2" s="274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9"/>
      <c r="V3" s="59"/>
      <c r="W3" s="407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4"/>
      <c r="AJ3" s="325"/>
      <c r="AK3" s="325"/>
      <c r="AL3" s="325"/>
      <c r="AM3" s="325"/>
    </row>
    <row r="4" spans="1:52" s="345" customFormat="1">
      <c r="A4" s="63">
        <f>ELEC!C2</f>
        <v>44074</v>
      </c>
      <c r="B4" s="403">
        <f>[1]B5!B35</f>
        <v>239</v>
      </c>
      <c r="C4" s="403">
        <f>[1]B5!C35</f>
        <v>244</v>
      </c>
      <c r="D4" s="403">
        <f>[1]B5!D35</f>
        <v>4</v>
      </c>
      <c r="E4" s="403">
        <f>[1]B5!E35</f>
        <v>33.520000000000003</v>
      </c>
      <c r="F4" s="403">
        <f>[1]B5!F35</f>
        <v>1648</v>
      </c>
      <c r="G4" s="403">
        <f>[1]B5!G35</f>
        <v>0</v>
      </c>
      <c r="H4" s="403">
        <f>[1]B5!H35</f>
        <v>357868</v>
      </c>
      <c r="I4" s="403">
        <f>[1]B5!I35</f>
        <v>0</v>
      </c>
      <c r="J4" s="403">
        <f>[1]B5!J35</f>
        <v>0</v>
      </c>
      <c r="K4" s="403">
        <f>[1]B5!K35</f>
        <v>2110</v>
      </c>
      <c r="L4" s="403">
        <f>[1]B5!L35</f>
        <v>2</v>
      </c>
      <c r="M4" s="403">
        <f>[1]B5!M35</f>
        <v>154820</v>
      </c>
      <c r="N4" s="403">
        <f>[1]B5!N35</f>
        <v>138</v>
      </c>
      <c r="O4" s="403">
        <f>[1]B5!O35</f>
        <v>211.87499999999994</v>
      </c>
      <c r="P4" s="403">
        <f>[1]B5!P35</f>
        <v>1837</v>
      </c>
      <c r="Q4" s="403">
        <f>[1]B5!Q35</f>
        <v>155939</v>
      </c>
      <c r="R4" s="403">
        <f>[1]B5!R35</f>
        <v>13</v>
      </c>
      <c r="S4" s="403">
        <f>[1]B5!S35</f>
        <v>0</v>
      </c>
      <c r="T4" s="403">
        <f>[1]B5!T35</f>
        <v>0</v>
      </c>
      <c r="U4" s="403">
        <f>[1]B5!U35</f>
        <v>2</v>
      </c>
      <c r="V4" s="403">
        <f>[1]B5!V35</f>
        <v>151</v>
      </c>
      <c r="W4" s="403">
        <f>[1]B5!W35</f>
        <v>0</v>
      </c>
      <c r="X4" s="403">
        <f>[1]B5!X35</f>
        <v>2435</v>
      </c>
      <c r="Y4" s="403">
        <f>[1]B5!Y35</f>
        <v>0</v>
      </c>
      <c r="Z4" s="403">
        <f>[1]B5!Z35</f>
        <v>136853</v>
      </c>
      <c r="AA4" s="403">
        <f>[1]B5!AA35</f>
        <v>0</v>
      </c>
      <c r="AB4" s="403">
        <f>[1]B5!AB35</f>
        <v>0</v>
      </c>
      <c r="AC4" s="403">
        <f>[1]B5!AC35</f>
        <v>1933</v>
      </c>
      <c r="AD4" s="403">
        <f>[1]B5!AD35</f>
        <v>0</v>
      </c>
      <c r="AE4" s="403">
        <f>[1]B5!AE35</f>
        <v>365210.2</v>
      </c>
      <c r="AF4" s="403">
        <f>[1]B5!AF35</f>
        <v>0</v>
      </c>
      <c r="AG4" s="403">
        <f>[1]B5!AG35</f>
        <v>0</v>
      </c>
      <c r="AH4" s="403">
        <f>[1]B5!AH35</f>
        <v>0</v>
      </c>
      <c r="AI4" s="403">
        <f>[1]B5!AI35</f>
        <v>151</v>
      </c>
      <c r="AJ4" s="403">
        <f>[1]B5!AJ35</f>
        <v>151</v>
      </c>
      <c r="AK4" s="403">
        <f>[1]B5!AK35</f>
        <v>0</v>
      </c>
      <c r="AL4" s="403">
        <f>[1]B5!AL35</f>
        <v>2</v>
      </c>
      <c r="AM4" s="403">
        <f>[1]B5!AM35</f>
        <v>0</v>
      </c>
      <c r="AN4" s="403">
        <f>[1]B5!AN35</f>
        <v>63</v>
      </c>
      <c r="AO4" s="403">
        <f>[1]B5!AO35</f>
        <v>1890</v>
      </c>
      <c r="AP4" s="403">
        <f>[1]B5!AP35</f>
        <v>69</v>
      </c>
      <c r="AQ4" s="403">
        <f>[1]B5!AQ35</f>
        <v>2070</v>
      </c>
      <c r="AR4" s="403">
        <f>[1]B5!AR35</f>
        <v>69</v>
      </c>
      <c r="AS4" s="403">
        <f>[1]B5!AS35</f>
        <v>2070</v>
      </c>
      <c r="AT4" s="403">
        <f>[1]B5!AT35</f>
        <v>6030</v>
      </c>
      <c r="AU4" s="403">
        <f>[1]B5!AU35</f>
        <v>0</v>
      </c>
      <c r="AV4" s="403">
        <f>[1]B5!AV35</f>
        <v>0</v>
      </c>
      <c r="AW4" s="403">
        <f>[1]B5!AW35</f>
        <v>0</v>
      </c>
      <c r="AX4" s="403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4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4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3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0">
        <f>SUM(G5+L5+S5)</f>
        <v>2</v>
      </c>
      <c r="V5" s="62">
        <f>R5+N5+I5:I5</f>
        <v>155</v>
      </c>
      <c r="W5" s="408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0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2">
        <f>AE5-AE4</f>
        <v>0</v>
      </c>
      <c r="AG5" s="212">
        <f>IF(AD5&gt;0,AF5/AD5,0)</f>
        <v>0</v>
      </c>
      <c r="AH5" s="62">
        <f>AF5+AA5</f>
        <v>0</v>
      </c>
      <c r="AI5" s="324">
        <f>SUM(AH5+V5)</f>
        <v>155</v>
      </c>
      <c r="AJ5" s="324">
        <f>-tanks!AW6</f>
        <v>155</v>
      </c>
      <c r="AK5" s="324">
        <f>SUM(AJ5-AI5)</f>
        <v>0</v>
      </c>
      <c r="AL5" s="324">
        <f t="shared" ref="AL5:AL18" si="8">S5+L5+G5</f>
        <v>2</v>
      </c>
      <c r="AM5" s="324">
        <f>Y5+AD5</f>
        <v>0</v>
      </c>
      <c r="AN5" s="64">
        <f>AN4</f>
        <v>63</v>
      </c>
      <c r="AO5" s="326">
        <f>(AN5/100)*3000</f>
        <v>1890</v>
      </c>
      <c r="AP5" s="64">
        <f>AP4</f>
        <v>69</v>
      </c>
      <c r="AQ5" s="326">
        <f>(AP5/100)*3000</f>
        <v>2070</v>
      </c>
      <c r="AR5" s="64">
        <f>AR4</f>
        <v>69</v>
      </c>
      <c r="AS5" s="326">
        <f>(AR5/100)*3000</f>
        <v>2070</v>
      </c>
      <c r="AT5" s="326">
        <f>SUM(AO5+AQ5+AS5)</f>
        <v>6030</v>
      </c>
      <c r="AU5" s="326">
        <f>AT4-AT5+AV5</f>
        <v>0</v>
      </c>
      <c r="AV5" s="274"/>
      <c r="AW5" s="274"/>
      <c r="AX5" s="319">
        <f>IF(AV5&gt;0,AW5,AX4)</f>
        <v>0.8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4" si="10">F5</f>
        <v>1648</v>
      </c>
      <c r="G6" s="52">
        <f t="shared" si="0"/>
        <v>0</v>
      </c>
      <c r="H6" s="64">
        <f t="shared" ref="H6:H34" si="11">H5</f>
        <v>357868</v>
      </c>
      <c r="I6" s="404">
        <f t="shared" si="1"/>
        <v>0</v>
      </c>
      <c r="J6" s="66">
        <f t="shared" ref="J6:J34" si="12">IF(G6&gt;0,I6/G6,0)</f>
        <v>0</v>
      </c>
      <c r="K6" s="64">
        <f t="shared" ref="K6:K34" si="13">K5</f>
        <v>2110</v>
      </c>
      <c r="L6" s="52">
        <f t="shared" si="2"/>
        <v>0</v>
      </c>
      <c r="M6" s="64">
        <f t="shared" ref="M6:M34" si="14">M5</f>
        <v>154820</v>
      </c>
      <c r="N6" s="404">
        <f t="shared" si="3"/>
        <v>0</v>
      </c>
      <c r="O6" s="64">
        <f t="shared" ref="O6:Q34" si="15">O5</f>
        <v>211.87499999999994</v>
      </c>
      <c r="P6" s="64">
        <f t="shared" si="15"/>
        <v>1839</v>
      </c>
      <c r="Q6" s="64">
        <f t="shared" si="15"/>
        <v>156094</v>
      </c>
      <c r="R6" s="403">
        <f t="shared" si="4"/>
        <v>0</v>
      </c>
      <c r="S6" s="52">
        <f t="shared" si="5"/>
        <v>0</v>
      </c>
      <c r="T6" s="67">
        <f>SUM(S6*$T$2)</f>
        <v>0</v>
      </c>
      <c r="U6" s="410">
        <f t="shared" ref="U6:U34" si="16">SUM(G6+L6+S6)</f>
        <v>0</v>
      </c>
      <c r="V6" s="62">
        <f t="shared" ref="V6:V34" si="17">R6+N6+I6:I6</f>
        <v>0</v>
      </c>
      <c r="W6" s="408" t="e">
        <f t="shared" ref="W6:W16" si="18">SUM(V6/U6)</f>
        <v>#DIV/0!</v>
      </c>
      <c r="X6" s="64">
        <f t="shared" ref="X6:X34" si="19">X5</f>
        <v>2435</v>
      </c>
      <c r="Y6" s="52">
        <f t="shared" ref="Y6:Y34" si="20">X6-X5</f>
        <v>0</v>
      </c>
      <c r="Z6" s="64">
        <f t="shared" ref="Z6:Z34" si="21">Z5</f>
        <v>136853</v>
      </c>
      <c r="AA6" s="65">
        <f t="shared" si="6"/>
        <v>0</v>
      </c>
      <c r="AB6" s="290">
        <f>SUM(Y6*$AB$2)</f>
        <v>0</v>
      </c>
      <c r="AC6" s="64">
        <f t="shared" ref="AC6:AC34" si="22">AC5</f>
        <v>1933</v>
      </c>
      <c r="AD6" s="45">
        <f t="shared" si="7"/>
        <v>0</v>
      </c>
      <c r="AE6" s="64">
        <f t="shared" ref="AE6:AE34" si="23">AE5</f>
        <v>365210.2</v>
      </c>
      <c r="AF6" s="312">
        <f t="shared" ref="AF6:AF34" si="24">AE6-AE5</f>
        <v>0</v>
      </c>
      <c r="AG6" s="212">
        <f>IF(AD6&gt;0,AF6/AD6,0)</f>
        <v>0</v>
      </c>
      <c r="AH6" s="62">
        <f>AF6+AA6</f>
        <v>0</v>
      </c>
      <c r="AI6" s="324">
        <f t="shared" ref="AI6:AI34" si="25">SUM(AH6+V6)</f>
        <v>0</v>
      </c>
      <c r="AJ6" s="324">
        <f>-tanks!AW7</f>
        <v>0</v>
      </c>
      <c r="AK6" s="324">
        <f t="shared" ref="AK6:AK34" si="26">SUM(AJ6-AI6)</f>
        <v>0</v>
      </c>
      <c r="AL6" s="324">
        <f t="shared" si="8"/>
        <v>0</v>
      </c>
      <c r="AM6" s="324">
        <f t="shared" ref="AM6:AM33" si="27">Y6+AD6</f>
        <v>0</v>
      </c>
      <c r="AN6" s="64">
        <f t="shared" ref="AN6:AN34" si="28">AN5</f>
        <v>63</v>
      </c>
      <c r="AO6" s="326">
        <f t="shared" ref="AO6:AO26" si="29">(AN6/100)*3000</f>
        <v>1890</v>
      </c>
      <c r="AP6" s="64">
        <f t="shared" ref="AP6:AP34" si="30">AP5</f>
        <v>69</v>
      </c>
      <c r="AQ6" s="326">
        <f t="shared" ref="AQ6:AQ24" si="31">(AP6/100)*3000</f>
        <v>2070</v>
      </c>
      <c r="AR6" s="64">
        <f t="shared" ref="AR6:AR34" si="32">AR5</f>
        <v>69</v>
      </c>
      <c r="AS6" s="326">
        <f>(AR6/100)*3000</f>
        <v>2070</v>
      </c>
      <c r="AT6" s="326">
        <f>SUM(AO6+AQ6+AS6)</f>
        <v>6030</v>
      </c>
      <c r="AU6" s="326">
        <f>AT5-AT6+AV6</f>
        <v>0</v>
      </c>
      <c r="AV6" s="274"/>
      <c r="AW6" s="274"/>
      <c r="AX6" s="319">
        <f t="shared" ref="AX6:AX34" si="33">IF(AV6&gt;0,AW6,AX5)</f>
        <v>0.8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4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4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3">
        <f t="shared" si="4"/>
        <v>0</v>
      </c>
      <c r="S7" s="52">
        <f t="shared" si="5"/>
        <v>0</v>
      </c>
      <c r="T7" s="67">
        <f t="shared" ref="T7:T34" si="35">SUM(S7*$T$2)</f>
        <v>0</v>
      </c>
      <c r="U7" s="410">
        <f t="shared" si="16"/>
        <v>0</v>
      </c>
      <c r="V7" s="62">
        <f t="shared" si="17"/>
        <v>0</v>
      </c>
      <c r="W7" s="408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0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2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4">
        <f t="shared" si="25"/>
        <v>350</v>
      </c>
      <c r="AJ7" s="324">
        <f>-tanks!AW8</f>
        <v>350</v>
      </c>
      <c r="AK7" s="324">
        <f t="shared" si="26"/>
        <v>0</v>
      </c>
      <c r="AL7" s="324">
        <f t="shared" si="8"/>
        <v>0</v>
      </c>
      <c r="AM7" s="324">
        <f t="shared" si="27"/>
        <v>8</v>
      </c>
      <c r="AN7" s="64">
        <f t="shared" si="28"/>
        <v>63</v>
      </c>
      <c r="AO7" s="326">
        <f t="shared" si="29"/>
        <v>1890</v>
      </c>
      <c r="AP7" s="64">
        <f t="shared" si="30"/>
        <v>69</v>
      </c>
      <c r="AQ7" s="326">
        <f t="shared" si="31"/>
        <v>2070</v>
      </c>
      <c r="AR7" s="64">
        <f t="shared" si="32"/>
        <v>69</v>
      </c>
      <c r="AS7" s="326">
        <f t="shared" ref="AS7:AS34" si="39">(AR7/100)*3000</f>
        <v>2070</v>
      </c>
      <c r="AT7" s="326">
        <f t="shared" ref="AT7:AT23" si="40">SUM(AO7+AQ7+AS7)</f>
        <v>6030</v>
      </c>
      <c r="AU7" s="326">
        <f t="shared" ref="AU7:AU34" si="41">AT6-AT7+AV7</f>
        <v>0</v>
      </c>
      <c r="AV7" s="274"/>
      <c r="AW7" s="274"/>
      <c r="AX7" s="319">
        <f t="shared" si="33"/>
        <v>0.8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4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4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3">
        <f t="shared" si="4"/>
        <v>0</v>
      </c>
      <c r="S8" s="52">
        <f t="shared" si="5"/>
        <v>0</v>
      </c>
      <c r="T8" s="67">
        <f t="shared" si="35"/>
        <v>0</v>
      </c>
      <c r="U8" s="410">
        <f t="shared" si="16"/>
        <v>0</v>
      </c>
      <c r="V8" s="62">
        <f t="shared" si="17"/>
        <v>0</v>
      </c>
      <c r="W8" s="408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0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2">
        <f t="shared" si="24"/>
        <v>0</v>
      </c>
      <c r="AG8" s="212">
        <f t="shared" si="37"/>
        <v>0</v>
      </c>
      <c r="AH8" s="62">
        <f t="shared" si="38"/>
        <v>303</v>
      </c>
      <c r="AI8" s="324">
        <f t="shared" si="25"/>
        <v>303</v>
      </c>
      <c r="AJ8" s="324">
        <f>-tanks!AW9</f>
        <v>303</v>
      </c>
      <c r="AK8" s="324">
        <f t="shared" si="26"/>
        <v>0</v>
      </c>
      <c r="AL8" s="324">
        <f t="shared" si="8"/>
        <v>0</v>
      </c>
      <c r="AM8" s="324">
        <f t="shared" si="27"/>
        <v>5</v>
      </c>
      <c r="AN8" s="64">
        <v>63</v>
      </c>
      <c r="AO8" s="326">
        <f t="shared" si="29"/>
        <v>1890</v>
      </c>
      <c r="AP8" s="64">
        <v>69</v>
      </c>
      <c r="AQ8" s="326">
        <f t="shared" si="31"/>
        <v>2070</v>
      </c>
      <c r="AR8" s="64">
        <f t="shared" si="32"/>
        <v>69</v>
      </c>
      <c r="AS8" s="326">
        <f t="shared" si="39"/>
        <v>2070</v>
      </c>
      <c r="AT8" s="326">
        <f t="shared" si="40"/>
        <v>6030</v>
      </c>
      <c r="AU8" s="326">
        <f t="shared" si="41"/>
        <v>0</v>
      </c>
      <c r="AV8" s="274"/>
      <c r="AW8" s="274"/>
      <c r="AX8" s="319">
        <f t="shared" si="33"/>
        <v>0.8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4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4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3">
        <f t="shared" si="4"/>
        <v>0</v>
      </c>
      <c r="S9" s="52">
        <f t="shared" si="5"/>
        <v>0</v>
      </c>
      <c r="T9" s="67">
        <f t="shared" si="35"/>
        <v>0</v>
      </c>
      <c r="U9" s="410">
        <f t="shared" si="16"/>
        <v>0</v>
      </c>
      <c r="V9" s="62">
        <f t="shared" si="17"/>
        <v>0</v>
      </c>
      <c r="W9" s="408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0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2">
        <f t="shared" si="24"/>
        <v>0</v>
      </c>
      <c r="AG9" s="212">
        <f t="shared" si="37"/>
        <v>0</v>
      </c>
      <c r="AH9" s="62">
        <f t="shared" si="38"/>
        <v>0</v>
      </c>
      <c r="AI9" s="324">
        <f t="shared" si="25"/>
        <v>0</v>
      </c>
      <c r="AJ9" s="324">
        <f>-tanks!AW10</f>
        <v>0</v>
      </c>
      <c r="AK9" s="324">
        <f t="shared" si="26"/>
        <v>0</v>
      </c>
      <c r="AL9" s="324">
        <f t="shared" si="8"/>
        <v>0</v>
      </c>
      <c r="AM9" s="324">
        <f t="shared" si="27"/>
        <v>0</v>
      </c>
      <c r="AN9" s="64">
        <f t="shared" si="28"/>
        <v>63</v>
      </c>
      <c r="AO9" s="326">
        <f t="shared" si="29"/>
        <v>1890</v>
      </c>
      <c r="AP9" s="64">
        <f t="shared" si="30"/>
        <v>69</v>
      </c>
      <c r="AQ9" s="326">
        <f t="shared" si="31"/>
        <v>2070</v>
      </c>
      <c r="AR9" s="64">
        <f t="shared" si="32"/>
        <v>69</v>
      </c>
      <c r="AS9" s="326">
        <f>(AR9/100)*3000</f>
        <v>2070</v>
      </c>
      <c r="AT9" s="326">
        <f t="shared" si="40"/>
        <v>6030</v>
      </c>
      <c r="AU9" s="326">
        <f t="shared" si="41"/>
        <v>0</v>
      </c>
      <c r="AV9" s="274"/>
      <c r="AW9" s="274"/>
      <c r="AX9" s="319">
        <f t="shared" si="33"/>
        <v>0.8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4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4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3">
        <f t="shared" si="4"/>
        <v>0</v>
      </c>
      <c r="S10" s="52">
        <f t="shared" si="5"/>
        <v>0</v>
      </c>
      <c r="T10" s="67">
        <f t="shared" si="35"/>
        <v>0</v>
      </c>
      <c r="U10" s="410">
        <f t="shared" si="16"/>
        <v>0</v>
      </c>
      <c r="V10" s="62">
        <f t="shared" si="17"/>
        <v>0</v>
      </c>
      <c r="W10" s="408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0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2">
        <f t="shared" si="24"/>
        <v>0</v>
      </c>
      <c r="AG10" s="212">
        <f t="shared" si="37"/>
        <v>0</v>
      </c>
      <c r="AH10" s="62">
        <f t="shared" si="38"/>
        <v>0</v>
      </c>
      <c r="AI10" s="324">
        <f>SUM(AH10+V10)</f>
        <v>0</v>
      </c>
      <c r="AJ10" s="324">
        <f>-tanks!AW11</f>
        <v>0</v>
      </c>
      <c r="AK10" s="324">
        <f t="shared" si="26"/>
        <v>0</v>
      </c>
      <c r="AL10" s="324">
        <f t="shared" si="8"/>
        <v>0</v>
      </c>
      <c r="AM10" s="324">
        <f t="shared" si="27"/>
        <v>0</v>
      </c>
      <c r="AN10" s="64">
        <f t="shared" si="28"/>
        <v>63</v>
      </c>
      <c r="AO10" s="326">
        <f t="shared" si="29"/>
        <v>1890</v>
      </c>
      <c r="AP10" s="64">
        <f t="shared" si="30"/>
        <v>69</v>
      </c>
      <c r="AQ10" s="326">
        <f t="shared" si="31"/>
        <v>2070</v>
      </c>
      <c r="AR10" s="64">
        <f t="shared" si="32"/>
        <v>69</v>
      </c>
      <c r="AS10" s="326">
        <f t="shared" si="39"/>
        <v>2070</v>
      </c>
      <c r="AT10" s="326">
        <f t="shared" si="40"/>
        <v>6030</v>
      </c>
      <c r="AU10" s="326">
        <f t="shared" si="41"/>
        <v>0</v>
      </c>
      <c r="AV10" s="274"/>
      <c r="AW10" s="274"/>
      <c r="AX10" s="319">
        <f t="shared" si="33"/>
        <v>0.8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4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4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3">
        <f t="shared" ref="R11:R34" si="42">Q11-Q10</f>
        <v>0</v>
      </c>
      <c r="S11" s="52">
        <f t="shared" si="5"/>
        <v>0</v>
      </c>
      <c r="T11" s="67">
        <f t="shared" si="35"/>
        <v>0</v>
      </c>
      <c r="U11" s="410">
        <f t="shared" si="16"/>
        <v>0</v>
      </c>
      <c r="V11" s="62">
        <f t="shared" si="17"/>
        <v>0</v>
      </c>
      <c r="W11" s="408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0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2">
        <f t="shared" si="24"/>
        <v>0</v>
      </c>
      <c r="AG11" s="212">
        <f t="shared" si="37"/>
        <v>0</v>
      </c>
      <c r="AH11" s="62">
        <f>AF11+AA11</f>
        <v>0</v>
      </c>
      <c r="AI11" s="324">
        <f>SUM(AH11+V11)</f>
        <v>0</v>
      </c>
      <c r="AJ11" s="324">
        <f>-tanks!AW12</f>
        <v>0</v>
      </c>
      <c r="AK11" s="324">
        <f t="shared" si="26"/>
        <v>0</v>
      </c>
      <c r="AL11" s="324">
        <f t="shared" si="8"/>
        <v>0</v>
      </c>
      <c r="AM11" s="324">
        <f t="shared" si="27"/>
        <v>0</v>
      </c>
      <c r="AN11" s="64">
        <f t="shared" si="28"/>
        <v>63</v>
      </c>
      <c r="AO11" s="326">
        <f t="shared" si="29"/>
        <v>1890</v>
      </c>
      <c r="AP11" s="64">
        <f t="shared" si="30"/>
        <v>69</v>
      </c>
      <c r="AQ11" s="326">
        <f t="shared" si="31"/>
        <v>2070</v>
      </c>
      <c r="AR11" s="64">
        <f t="shared" si="32"/>
        <v>69</v>
      </c>
      <c r="AS11" s="326">
        <f t="shared" si="39"/>
        <v>2070</v>
      </c>
      <c r="AT11" s="326">
        <f t="shared" si="40"/>
        <v>6030</v>
      </c>
      <c r="AU11" s="326">
        <f t="shared" si="41"/>
        <v>0</v>
      </c>
      <c r="AV11" s="274"/>
      <c r="AW11" s="274"/>
      <c r="AX11" s="319">
        <f t="shared" si="33"/>
        <v>0.8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4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4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3">
        <f t="shared" si="42"/>
        <v>0</v>
      </c>
      <c r="S12" s="52">
        <f t="shared" si="5"/>
        <v>0</v>
      </c>
      <c r="T12" s="67">
        <f t="shared" si="35"/>
        <v>0</v>
      </c>
      <c r="U12" s="410">
        <f t="shared" si="16"/>
        <v>0</v>
      </c>
      <c r="V12" s="62">
        <f t="shared" si="17"/>
        <v>0</v>
      </c>
      <c r="W12" s="408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0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2">
        <f t="shared" si="24"/>
        <v>0</v>
      </c>
      <c r="AG12" s="212">
        <f t="shared" si="37"/>
        <v>0</v>
      </c>
      <c r="AH12" s="62">
        <f t="shared" si="38"/>
        <v>0</v>
      </c>
      <c r="AI12" s="324">
        <f t="shared" si="25"/>
        <v>0</v>
      </c>
      <c r="AJ12" s="324">
        <f>-tanks!AW13</f>
        <v>0</v>
      </c>
      <c r="AK12" s="324">
        <f t="shared" si="26"/>
        <v>0</v>
      </c>
      <c r="AL12" s="324">
        <f t="shared" si="8"/>
        <v>0</v>
      </c>
      <c r="AM12" s="324">
        <f t="shared" si="27"/>
        <v>0</v>
      </c>
      <c r="AN12" s="64">
        <f t="shared" si="28"/>
        <v>63</v>
      </c>
      <c r="AO12" s="326">
        <f t="shared" si="29"/>
        <v>1890</v>
      </c>
      <c r="AP12" s="64">
        <f t="shared" si="30"/>
        <v>69</v>
      </c>
      <c r="AQ12" s="326">
        <f t="shared" si="31"/>
        <v>2070</v>
      </c>
      <c r="AR12" s="64">
        <f t="shared" si="32"/>
        <v>69</v>
      </c>
      <c r="AS12" s="326">
        <f t="shared" si="39"/>
        <v>2070</v>
      </c>
      <c r="AT12" s="326">
        <f t="shared" si="40"/>
        <v>6030</v>
      </c>
      <c r="AU12" s="326">
        <f t="shared" si="41"/>
        <v>0</v>
      </c>
      <c r="AV12" s="274"/>
      <c r="AW12" s="274"/>
      <c r="AX12" s="319">
        <f t="shared" si="33"/>
        <v>0.8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4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4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3">
        <f t="shared" si="42"/>
        <v>0</v>
      </c>
      <c r="S13" s="52">
        <f t="shared" si="5"/>
        <v>0</v>
      </c>
      <c r="T13" s="67">
        <f t="shared" si="35"/>
        <v>0</v>
      </c>
      <c r="U13" s="410">
        <f t="shared" si="16"/>
        <v>0</v>
      </c>
      <c r="V13" s="62">
        <f>R13+N13+I13:I13</f>
        <v>0</v>
      </c>
      <c r="W13" s="408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0">
        <f t="shared" si="6"/>
        <v>0</v>
      </c>
      <c r="AB13" s="290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2">
        <f t="shared" si="24"/>
        <v>0</v>
      </c>
      <c r="AG13" s="212">
        <f t="shared" si="37"/>
        <v>0</v>
      </c>
      <c r="AH13" s="62">
        <f t="shared" si="38"/>
        <v>0</v>
      </c>
      <c r="AI13" s="324">
        <f t="shared" si="25"/>
        <v>0</v>
      </c>
      <c r="AJ13" s="324">
        <f>-tanks!AW14</f>
        <v>0</v>
      </c>
      <c r="AK13" s="324">
        <f t="shared" si="26"/>
        <v>0</v>
      </c>
      <c r="AL13" s="324">
        <f t="shared" si="8"/>
        <v>0</v>
      </c>
      <c r="AM13" s="324">
        <f t="shared" si="27"/>
        <v>0</v>
      </c>
      <c r="AN13" s="64">
        <f t="shared" si="28"/>
        <v>63</v>
      </c>
      <c r="AO13" s="326">
        <f t="shared" si="29"/>
        <v>1890</v>
      </c>
      <c r="AP13" s="64">
        <v>57</v>
      </c>
      <c r="AQ13" s="326">
        <f t="shared" si="31"/>
        <v>1709.9999999999998</v>
      </c>
      <c r="AR13" s="64">
        <f t="shared" si="32"/>
        <v>69</v>
      </c>
      <c r="AS13" s="326">
        <f t="shared" si="39"/>
        <v>2070</v>
      </c>
      <c r="AT13" s="326">
        <f t="shared" si="40"/>
        <v>5670</v>
      </c>
      <c r="AU13" s="326">
        <f t="shared" si="41"/>
        <v>360</v>
      </c>
      <c r="AV13" s="274"/>
      <c r="AW13" s="274"/>
      <c r="AX13" s="319">
        <f t="shared" si="33"/>
        <v>0.8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4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4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3">
        <f t="shared" si="42"/>
        <v>0</v>
      </c>
      <c r="S14" s="52">
        <f t="shared" si="5"/>
        <v>0</v>
      </c>
      <c r="T14" s="67">
        <f t="shared" si="35"/>
        <v>0</v>
      </c>
      <c r="U14" s="410">
        <f t="shared" si="16"/>
        <v>0</v>
      </c>
      <c r="V14" s="62">
        <f t="shared" si="17"/>
        <v>0</v>
      </c>
      <c r="W14" s="408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0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2">
        <f>AE14-AE13</f>
        <v>0</v>
      </c>
      <c r="AG14" s="212">
        <f t="shared" si="37"/>
        <v>0</v>
      </c>
      <c r="AH14" s="62">
        <f>AF14+AA14</f>
        <v>0</v>
      </c>
      <c r="AI14" s="324">
        <f>SUM(AH14+V14)</f>
        <v>0</v>
      </c>
      <c r="AJ14" s="324">
        <f>-tanks!AW15</f>
        <v>0</v>
      </c>
      <c r="AK14" s="324">
        <f t="shared" si="26"/>
        <v>0</v>
      </c>
      <c r="AL14" s="324">
        <f t="shared" si="8"/>
        <v>0</v>
      </c>
      <c r="AM14" s="324">
        <f t="shared" si="27"/>
        <v>0</v>
      </c>
      <c r="AN14" s="64">
        <f t="shared" si="28"/>
        <v>63</v>
      </c>
      <c r="AO14" s="326">
        <f t="shared" si="29"/>
        <v>1890</v>
      </c>
      <c r="AP14" s="64">
        <f t="shared" si="30"/>
        <v>57</v>
      </c>
      <c r="AQ14" s="326">
        <f t="shared" si="31"/>
        <v>1709.9999999999998</v>
      </c>
      <c r="AR14" s="64">
        <f t="shared" si="32"/>
        <v>69</v>
      </c>
      <c r="AS14" s="326">
        <f t="shared" si="39"/>
        <v>2070</v>
      </c>
      <c r="AT14" s="326">
        <f t="shared" si="40"/>
        <v>5670</v>
      </c>
      <c r="AU14" s="326">
        <f t="shared" si="41"/>
        <v>0</v>
      </c>
      <c r="AV14" s="274"/>
      <c r="AW14" s="274"/>
      <c r="AX14" s="319">
        <f t="shared" si="33"/>
        <v>0.8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4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4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3">
        <f t="shared" si="42"/>
        <v>0</v>
      </c>
      <c r="S15" s="52">
        <f t="shared" si="5"/>
        <v>0</v>
      </c>
      <c r="T15" s="67">
        <f t="shared" si="35"/>
        <v>0</v>
      </c>
      <c r="U15" s="410">
        <f t="shared" si="16"/>
        <v>0</v>
      </c>
      <c r="V15" s="62">
        <f t="shared" si="17"/>
        <v>0</v>
      </c>
      <c r="W15" s="408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0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2">
        <f t="shared" si="24"/>
        <v>0</v>
      </c>
      <c r="AG15" s="212">
        <f t="shared" si="37"/>
        <v>0</v>
      </c>
      <c r="AH15" s="62">
        <f t="shared" si="38"/>
        <v>0</v>
      </c>
      <c r="AI15" s="324">
        <f t="shared" si="25"/>
        <v>0</v>
      </c>
      <c r="AJ15" s="324">
        <f>-tanks!AW16</f>
        <v>0</v>
      </c>
      <c r="AK15" s="324">
        <f t="shared" si="26"/>
        <v>0</v>
      </c>
      <c r="AL15" s="324">
        <f t="shared" si="8"/>
        <v>0</v>
      </c>
      <c r="AM15" s="324">
        <f t="shared" si="27"/>
        <v>0</v>
      </c>
      <c r="AN15" s="64">
        <f t="shared" si="28"/>
        <v>63</v>
      </c>
      <c r="AO15" s="326">
        <f t="shared" si="29"/>
        <v>1890</v>
      </c>
      <c r="AP15" s="64">
        <f t="shared" si="30"/>
        <v>57</v>
      </c>
      <c r="AQ15" s="326">
        <f t="shared" si="31"/>
        <v>1709.9999999999998</v>
      </c>
      <c r="AR15" s="64">
        <f t="shared" si="32"/>
        <v>69</v>
      </c>
      <c r="AS15" s="326">
        <f t="shared" si="39"/>
        <v>2070</v>
      </c>
      <c r="AT15" s="326">
        <f t="shared" si="40"/>
        <v>5670</v>
      </c>
      <c r="AU15" s="326">
        <f t="shared" si="41"/>
        <v>0</v>
      </c>
      <c r="AV15" s="274"/>
      <c r="AW15" s="274"/>
      <c r="AX15" s="319">
        <f t="shared" si="33"/>
        <v>0.8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4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4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3">
        <f t="shared" si="42"/>
        <v>0</v>
      </c>
      <c r="S16" s="52">
        <f t="shared" si="5"/>
        <v>0</v>
      </c>
      <c r="T16" s="67">
        <f t="shared" si="35"/>
        <v>0</v>
      </c>
      <c r="U16" s="410">
        <f t="shared" si="16"/>
        <v>0</v>
      </c>
      <c r="V16" s="62">
        <f t="shared" si="17"/>
        <v>0</v>
      </c>
      <c r="W16" s="408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0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2">
        <f t="shared" si="24"/>
        <v>0</v>
      </c>
      <c r="AG16" s="212">
        <f t="shared" si="37"/>
        <v>0</v>
      </c>
      <c r="AH16" s="62">
        <f t="shared" si="38"/>
        <v>0</v>
      </c>
      <c r="AI16" s="324">
        <f t="shared" si="25"/>
        <v>0</v>
      </c>
      <c r="AJ16" s="324">
        <f>-tanks!AW17</f>
        <v>0</v>
      </c>
      <c r="AK16" s="324">
        <f t="shared" si="26"/>
        <v>0</v>
      </c>
      <c r="AL16" s="324">
        <f t="shared" si="8"/>
        <v>0</v>
      </c>
      <c r="AM16" s="324">
        <f t="shared" si="27"/>
        <v>0</v>
      </c>
      <c r="AN16" s="64">
        <f t="shared" si="28"/>
        <v>63</v>
      </c>
      <c r="AO16" s="326">
        <f t="shared" si="29"/>
        <v>1890</v>
      </c>
      <c r="AP16" s="64">
        <f t="shared" si="30"/>
        <v>57</v>
      </c>
      <c r="AQ16" s="326">
        <f t="shared" si="31"/>
        <v>1709.9999999999998</v>
      </c>
      <c r="AR16" s="64">
        <f t="shared" si="32"/>
        <v>69</v>
      </c>
      <c r="AS16" s="326">
        <f t="shared" si="39"/>
        <v>2070</v>
      </c>
      <c r="AT16" s="326">
        <f t="shared" si="40"/>
        <v>5670</v>
      </c>
      <c r="AU16" s="326">
        <f t="shared" si="41"/>
        <v>0</v>
      </c>
      <c r="AV16" s="274"/>
      <c r="AW16" s="274"/>
      <c r="AX16" s="319">
        <f t="shared" si="33"/>
        <v>0.8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4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4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3">
        <f t="shared" si="42"/>
        <v>0</v>
      </c>
      <c r="S17" s="52">
        <f t="shared" si="5"/>
        <v>0</v>
      </c>
      <c r="T17" s="67">
        <f t="shared" si="35"/>
        <v>0</v>
      </c>
      <c r="U17" s="410">
        <f t="shared" si="16"/>
        <v>0</v>
      </c>
      <c r="V17" s="62">
        <f t="shared" si="17"/>
        <v>0</v>
      </c>
      <c r="W17" s="408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0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2">
        <f t="shared" si="24"/>
        <v>0</v>
      </c>
      <c r="AG17" s="212">
        <f t="shared" si="37"/>
        <v>0</v>
      </c>
      <c r="AH17" s="62">
        <f t="shared" si="38"/>
        <v>0</v>
      </c>
      <c r="AI17" s="324">
        <f t="shared" si="25"/>
        <v>0</v>
      </c>
      <c r="AJ17" s="324">
        <f>-tanks!AW18</f>
        <v>0</v>
      </c>
      <c r="AK17" s="324">
        <f t="shared" si="26"/>
        <v>0</v>
      </c>
      <c r="AL17" s="324">
        <f t="shared" si="8"/>
        <v>0</v>
      </c>
      <c r="AM17" s="324">
        <f t="shared" si="27"/>
        <v>0</v>
      </c>
      <c r="AN17" s="64">
        <f t="shared" si="28"/>
        <v>63</v>
      </c>
      <c r="AO17" s="326">
        <f t="shared" si="29"/>
        <v>1890</v>
      </c>
      <c r="AP17" s="64">
        <v>54</v>
      </c>
      <c r="AQ17" s="326">
        <f t="shared" si="31"/>
        <v>1620</v>
      </c>
      <c r="AR17" s="64">
        <f t="shared" si="32"/>
        <v>69</v>
      </c>
      <c r="AS17" s="326">
        <f t="shared" si="39"/>
        <v>2070</v>
      </c>
      <c r="AT17" s="326">
        <f t="shared" si="40"/>
        <v>5580</v>
      </c>
      <c r="AU17" s="326">
        <f t="shared" si="41"/>
        <v>90</v>
      </c>
      <c r="AV17" s="274"/>
      <c r="AW17" s="274"/>
      <c r="AX17" s="319">
        <f t="shared" si="33"/>
        <v>0.8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4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4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3">
        <f t="shared" si="42"/>
        <v>0</v>
      </c>
      <c r="S18" s="52">
        <f t="shared" si="5"/>
        <v>0</v>
      </c>
      <c r="T18" s="67">
        <f t="shared" si="35"/>
        <v>0</v>
      </c>
      <c r="U18" s="410">
        <f t="shared" si="16"/>
        <v>0</v>
      </c>
      <c r="V18" s="62">
        <f t="shared" si="17"/>
        <v>0</v>
      </c>
      <c r="W18" s="408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0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2">
        <f t="shared" si="24"/>
        <v>0</v>
      </c>
      <c r="AG18" s="212">
        <f t="shared" si="37"/>
        <v>0</v>
      </c>
      <c r="AH18" s="62">
        <f t="shared" si="38"/>
        <v>0</v>
      </c>
      <c r="AI18" s="324">
        <f t="shared" si="25"/>
        <v>0</v>
      </c>
      <c r="AJ18" s="324">
        <f>-tanks!AW19</f>
        <v>0</v>
      </c>
      <c r="AK18" s="324">
        <f t="shared" si="26"/>
        <v>0</v>
      </c>
      <c r="AL18" s="324">
        <f t="shared" si="8"/>
        <v>0</v>
      </c>
      <c r="AM18" s="324">
        <f t="shared" si="27"/>
        <v>0</v>
      </c>
      <c r="AN18" s="64">
        <v>63</v>
      </c>
      <c r="AO18" s="326">
        <f t="shared" si="29"/>
        <v>1890</v>
      </c>
      <c r="AP18" s="64">
        <v>54</v>
      </c>
      <c r="AQ18" s="326">
        <f t="shared" si="31"/>
        <v>1620</v>
      </c>
      <c r="AR18" s="64">
        <v>69</v>
      </c>
      <c r="AS18" s="326">
        <f t="shared" si="39"/>
        <v>2070</v>
      </c>
      <c r="AT18" s="326">
        <f t="shared" si="40"/>
        <v>5580</v>
      </c>
      <c r="AU18" s="326">
        <f t="shared" si="41"/>
        <v>0</v>
      </c>
      <c r="AV18" s="274"/>
      <c r="AW18" s="274"/>
      <c r="AX18" s="319">
        <f t="shared" si="33"/>
        <v>0.8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4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4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3">
        <f t="shared" si="42"/>
        <v>0</v>
      </c>
      <c r="S19" s="52">
        <f t="shared" si="5"/>
        <v>0</v>
      </c>
      <c r="T19" s="67">
        <f t="shared" si="35"/>
        <v>0</v>
      </c>
      <c r="U19" s="410">
        <f t="shared" si="16"/>
        <v>0</v>
      </c>
      <c r="V19" s="62">
        <f t="shared" si="17"/>
        <v>0</v>
      </c>
      <c r="W19" s="408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0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2">
        <f t="shared" si="24"/>
        <v>0</v>
      </c>
      <c r="AG19" s="212">
        <f t="shared" si="37"/>
        <v>0</v>
      </c>
      <c r="AH19" s="62">
        <f t="shared" si="38"/>
        <v>0</v>
      </c>
      <c r="AI19" s="324">
        <f t="shared" si="25"/>
        <v>0</v>
      </c>
      <c r="AJ19" s="324">
        <f>-tanks!AW20</f>
        <v>0</v>
      </c>
      <c r="AK19" s="324">
        <f t="shared" si="26"/>
        <v>0</v>
      </c>
      <c r="AL19" s="324">
        <f>S19+L20+G19</f>
        <v>0</v>
      </c>
      <c r="AM19" s="324">
        <f t="shared" si="27"/>
        <v>0</v>
      </c>
      <c r="AN19" s="64">
        <v>63</v>
      </c>
      <c r="AO19" s="326">
        <f t="shared" si="29"/>
        <v>1890</v>
      </c>
      <c r="AP19" s="64">
        <v>53</v>
      </c>
      <c r="AQ19" s="326">
        <f t="shared" si="31"/>
        <v>1590</v>
      </c>
      <c r="AR19" s="64">
        <v>69</v>
      </c>
      <c r="AS19" s="326">
        <f t="shared" si="39"/>
        <v>2070</v>
      </c>
      <c r="AT19" s="326">
        <f t="shared" si="40"/>
        <v>5550</v>
      </c>
      <c r="AU19" s="326">
        <f t="shared" si="41"/>
        <v>30</v>
      </c>
      <c r="AV19" s="274"/>
      <c r="AW19" s="274"/>
      <c r="AX19" s="319">
        <f t="shared" si="33"/>
        <v>0.8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4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4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3">
        <f t="shared" si="42"/>
        <v>0</v>
      </c>
      <c r="S20" s="52">
        <f t="shared" si="5"/>
        <v>0</v>
      </c>
      <c r="T20" s="67">
        <f t="shared" si="35"/>
        <v>0</v>
      </c>
      <c r="U20" s="410">
        <f t="shared" si="16"/>
        <v>0</v>
      </c>
      <c r="V20" s="62">
        <f t="shared" si="17"/>
        <v>0</v>
      </c>
      <c r="W20" s="408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0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2">
        <f t="shared" si="24"/>
        <v>0</v>
      </c>
      <c r="AG20" s="212">
        <f t="shared" si="37"/>
        <v>0</v>
      </c>
      <c r="AH20" s="62">
        <f t="shared" si="38"/>
        <v>0</v>
      </c>
      <c r="AI20" s="324">
        <f t="shared" si="25"/>
        <v>0</v>
      </c>
      <c r="AJ20" s="324">
        <f>-tanks!AW21</f>
        <v>0</v>
      </c>
      <c r="AK20" s="324">
        <f t="shared" si="26"/>
        <v>0</v>
      </c>
      <c r="AL20" s="324">
        <f>S20+L21+G20</f>
        <v>0</v>
      </c>
      <c r="AM20" s="324">
        <f t="shared" si="27"/>
        <v>0</v>
      </c>
      <c r="AN20" s="64">
        <f t="shared" si="28"/>
        <v>63</v>
      </c>
      <c r="AO20" s="326">
        <f t="shared" si="29"/>
        <v>1890</v>
      </c>
      <c r="AP20" s="64">
        <v>52</v>
      </c>
      <c r="AQ20" s="326">
        <f t="shared" si="31"/>
        <v>1560</v>
      </c>
      <c r="AR20" s="64">
        <v>68</v>
      </c>
      <c r="AS20" s="326">
        <f t="shared" si="39"/>
        <v>2040.0000000000002</v>
      </c>
      <c r="AT20" s="326">
        <f t="shared" si="40"/>
        <v>5490</v>
      </c>
      <c r="AU20" s="326">
        <f t="shared" si="41"/>
        <v>60</v>
      </c>
      <c r="AV20" s="274"/>
      <c r="AW20" s="274"/>
      <c r="AX20" s="319">
        <f t="shared" si="33"/>
        <v>0.8</v>
      </c>
    </row>
    <row r="21" spans="1:50">
      <c r="A21" s="63">
        <f>ELEC!C19</f>
        <v>44091</v>
      </c>
      <c r="B21" s="64">
        <v>225</v>
      </c>
      <c r="C21" s="64">
        <v>231</v>
      </c>
      <c r="D21" s="45">
        <f t="shared" ref="D21:D31" si="44">C20-C21</f>
        <v>1.4000000000000057</v>
      </c>
      <c r="E21" s="45">
        <f t="shared" si="9"/>
        <v>11.732000000000049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4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4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3">
        <f t="shared" si="42"/>
        <v>0</v>
      </c>
      <c r="S21" s="52">
        <f t="shared" si="5"/>
        <v>0</v>
      </c>
      <c r="T21" s="67">
        <f t="shared" si="35"/>
        <v>0</v>
      </c>
      <c r="U21" s="410">
        <f t="shared" si="16"/>
        <v>0</v>
      </c>
      <c r="V21" s="62">
        <f t="shared" si="17"/>
        <v>0</v>
      </c>
      <c r="W21" s="408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0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2">
        <f t="shared" si="24"/>
        <v>0</v>
      </c>
      <c r="AG21" s="212">
        <f t="shared" si="37"/>
        <v>0</v>
      </c>
      <c r="AH21" s="62">
        <f t="shared" si="38"/>
        <v>0</v>
      </c>
      <c r="AI21" s="324">
        <f t="shared" si="25"/>
        <v>0</v>
      </c>
      <c r="AJ21" s="324">
        <f>-tanks!AW22</f>
        <v>0</v>
      </c>
      <c r="AK21" s="324">
        <f t="shared" si="26"/>
        <v>0</v>
      </c>
      <c r="AL21" s="324">
        <f t="shared" ref="AL21:AL34" si="45">S21+L21+G21</f>
        <v>0</v>
      </c>
      <c r="AM21" s="324">
        <f t="shared" si="27"/>
        <v>0</v>
      </c>
      <c r="AN21" s="64">
        <f t="shared" si="28"/>
        <v>63</v>
      </c>
      <c r="AO21" s="326">
        <f t="shared" si="29"/>
        <v>1890</v>
      </c>
      <c r="AP21" s="64">
        <f t="shared" si="30"/>
        <v>52</v>
      </c>
      <c r="AQ21" s="326">
        <f t="shared" si="31"/>
        <v>1560</v>
      </c>
      <c r="AR21" s="64">
        <f t="shared" si="32"/>
        <v>68</v>
      </c>
      <c r="AS21" s="326">
        <f t="shared" si="39"/>
        <v>2040.0000000000002</v>
      </c>
      <c r="AT21" s="326">
        <f t="shared" si="40"/>
        <v>5490</v>
      </c>
      <c r="AU21" s="326">
        <f t="shared" si="41"/>
        <v>0</v>
      </c>
      <c r="AV21" s="274"/>
      <c r="AW21" s="274"/>
      <c r="AX21" s="319">
        <f t="shared" si="33"/>
        <v>0.8</v>
      </c>
    </row>
    <row r="22" spans="1:50" ht="16.5" customHeight="1">
      <c r="A22" s="63">
        <f>ELEC!C20</f>
        <v>44092</v>
      </c>
      <c r="B22" s="64">
        <v>223</v>
      </c>
      <c r="C22" s="64">
        <v>229.1</v>
      </c>
      <c r="D22" s="45">
        <f t="shared" si="44"/>
        <v>1.9000000000000057</v>
      </c>
      <c r="E22" s="45">
        <f t="shared" si="9"/>
        <v>15.922000000000049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4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4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3">
        <f t="shared" si="42"/>
        <v>0</v>
      </c>
      <c r="S22" s="52">
        <f t="shared" si="5"/>
        <v>0</v>
      </c>
      <c r="T22" s="67">
        <f t="shared" si="35"/>
        <v>0</v>
      </c>
      <c r="U22" s="410">
        <f t="shared" si="16"/>
        <v>0</v>
      </c>
      <c r="V22" s="62">
        <f t="shared" si="17"/>
        <v>0</v>
      </c>
      <c r="W22" s="408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0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2">
        <f t="shared" si="24"/>
        <v>0</v>
      </c>
      <c r="AG22" s="212">
        <f t="shared" si="37"/>
        <v>0</v>
      </c>
      <c r="AH22" s="62">
        <f t="shared" si="38"/>
        <v>0</v>
      </c>
      <c r="AI22" s="324">
        <f t="shared" si="25"/>
        <v>0</v>
      </c>
      <c r="AJ22" s="324">
        <f>-tanks!AW23</f>
        <v>0</v>
      </c>
      <c r="AK22" s="324">
        <f t="shared" si="26"/>
        <v>0</v>
      </c>
      <c r="AL22" s="324">
        <f t="shared" si="45"/>
        <v>0</v>
      </c>
      <c r="AM22" s="324">
        <f t="shared" si="27"/>
        <v>0</v>
      </c>
      <c r="AN22" s="64">
        <v>62</v>
      </c>
      <c r="AO22" s="326">
        <f t="shared" si="29"/>
        <v>1860</v>
      </c>
      <c r="AP22" s="64">
        <f t="shared" si="30"/>
        <v>52</v>
      </c>
      <c r="AQ22" s="326">
        <f t="shared" si="31"/>
        <v>1560</v>
      </c>
      <c r="AR22" s="64">
        <f t="shared" si="32"/>
        <v>68</v>
      </c>
      <c r="AS22" s="326">
        <f t="shared" si="39"/>
        <v>2040.0000000000002</v>
      </c>
      <c r="AT22" s="326">
        <f t="shared" si="40"/>
        <v>5460</v>
      </c>
      <c r="AU22" s="326">
        <f t="shared" si="41"/>
        <v>30</v>
      </c>
      <c r="AV22" s="274"/>
      <c r="AW22" s="274"/>
      <c r="AX22" s="319">
        <f t="shared" si="33"/>
        <v>0.8</v>
      </c>
    </row>
    <row r="23" spans="1:50">
      <c r="A23" s="63">
        <f>ELEC!C21</f>
        <v>44093</v>
      </c>
      <c r="B23" s="64">
        <v>220</v>
      </c>
      <c r="C23" s="64">
        <v>226</v>
      </c>
      <c r="D23" s="45">
        <f t="shared" si="44"/>
        <v>3.0999999999999943</v>
      </c>
      <c r="E23" s="45">
        <f t="shared" si="9"/>
        <v>25.977999999999955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4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4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3">
        <f t="shared" si="42"/>
        <v>0</v>
      </c>
      <c r="S23" s="52">
        <f t="shared" si="5"/>
        <v>0</v>
      </c>
      <c r="T23" s="67">
        <f t="shared" si="35"/>
        <v>0</v>
      </c>
      <c r="U23" s="410">
        <f t="shared" si="16"/>
        <v>0</v>
      </c>
      <c r="V23" s="62">
        <f t="shared" si="17"/>
        <v>0</v>
      </c>
      <c r="W23" s="408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0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2">
        <f t="shared" si="24"/>
        <v>0</v>
      </c>
      <c r="AG23" s="212">
        <f t="shared" si="37"/>
        <v>0</v>
      </c>
      <c r="AH23" s="62">
        <f t="shared" si="38"/>
        <v>0</v>
      </c>
      <c r="AI23" s="324">
        <f t="shared" si="25"/>
        <v>0</v>
      </c>
      <c r="AJ23" s="324">
        <f>-tanks!AW24</f>
        <v>0</v>
      </c>
      <c r="AK23" s="324">
        <f t="shared" si="26"/>
        <v>0</v>
      </c>
      <c r="AL23" s="324">
        <f t="shared" si="45"/>
        <v>0</v>
      </c>
      <c r="AM23" s="324">
        <f t="shared" si="27"/>
        <v>0</v>
      </c>
      <c r="AN23" s="64">
        <f t="shared" si="28"/>
        <v>62</v>
      </c>
      <c r="AO23" s="326">
        <f t="shared" si="29"/>
        <v>1860</v>
      </c>
      <c r="AP23" s="64">
        <f t="shared" si="30"/>
        <v>52</v>
      </c>
      <c r="AQ23" s="326">
        <f t="shared" si="31"/>
        <v>1560</v>
      </c>
      <c r="AR23" s="64">
        <f t="shared" si="32"/>
        <v>68</v>
      </c>
      <c r="AS23" s="326">
        <f t="shared" si="39"/>
        <v>2040.0000000000002</v>
      </c>
      <c r="AT23" s="326">
        <f t="shared" si="40"/>
        <v>5460</v>
      </c>
      <c r="AU23" s="326">
        <f t="shared" si="41"/>
        <v>0</v>
      </c>
      <c r="AV23" s="274"/>
      <c r="AW23" s="274"/>
      <c r="AX23" s="319">
        <f t="shared" si="33"/>
        <v>0.8</v>
      </c>
    </row>
    <row r="24" spans="1:50">
      <c r="A24" s="63">
        <f>ELEC!C22</f>
        <v>44094</v>
      </c>
      <c r="B24" s="64">
        <v>218</v>
      </c>
      <c r="C24" s="64">
        <v>224</v>
      </c>
      <c r="D24" s="45">
        <f t="shared" si="44"/>
        <v>2</v>
      </c>
      <c r="E24" s="45">
        <f t="shared" si="9"/>
        <v>16.760000000000002</v>
      </c>
      <c r="F24" s="64">
        <v>1648</v>
      </c>
      <c r="G24" s="52">
        <f t="shared" si="0"/>
        <v>0</v>
      </c>
      <c r="H24" s="64">
        <f t="shared" si="11"/>
        <v>357868</v>
      </c>
      <c r="I24" s="404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4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3">
        <f t="shared" si="42"/>
        <v>0</v>
      </c>
      <c r="S24" s="52">
        <f t="shared" si="5"/>
        <v>0</v>
      </c>
      <c r="T24" s="67">
        <f t="shared" si="35"/>
        <v>0</v>
      </c>
      <c r="U24" s="410">
        <f t="shared" si="16"/>
        <v>0</v>
      </c>
      <c r="V24" s="62">
        <f t="shared" si="17"/>
        <v>0</v>
      </c>
      <c r="W24" s="408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0">
        <f t="shared" ref="AB24:AB34" si="46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2">
        <f t="shared" si="24"/>
        <v>0</v>
      </c>
      <c r="AG24" s="212">
        <f t="shared" si="37"/>
        <v>0</v>
      </c>
      <c r="AH24" s="62">
        <f t="shared" si="38"/>
        <v>0</v>
      </c>
      <c r="AI24" s="324">
        <f t="shared" si="25"/>
        <v>0</v>
      </c>
      <c r="AJ24" s="324">
        <f>-tanks!AW25</f>
        <v>0</v>
      </c>
      <c r="AK24" s="324">
        <f t="shared" si="26"/>
        <v>0</v>
      </c>
      <c r="AL24" s="324">
        <f t="shared" si="45"/>
        <v>0</v>
      </c>
      <c r="AM24" s="324">
        <f t="shared" si="27"/>
        <v>0</v>
      </c>
      <c r="AN24" s="64">
        <v>62</v>
      </c>
      <c r="AO24" s="326">
        <f t="shared" si="29"/>
        <v>1860</v>
      </c>
      <c r="AP24" s="64">
        <v>51</v>
      </c>
      <c r="AQ24" s="326">
        <f t="shared" si="31"/>
        <v>1530</v>
      </c>
      <c r="AR24" s="64">
        <v>68</v>
      </c>
      <c r="AS24" s="326">
        <f t="shared" si="39"/>
        <v>2040.0000000000002</v>
      </c>
      <c r="AT24" s="326">
        <f t="shared" ref="AT24:AT34" si="47">SUM(AO24+AQ24+AS24)</f>
        <v>5430</v>
      </c>
      <c r="AU24" s="326">
        <f t="shared" si="41"/>
        <v>30</v>
      </c>
      <c r="AV24" s="274"/>
      <c r="AW24" s="274"/>
      <c r="AX24" s="319">
        <f t="shared" si="33"/>
        <v>0.8</v>
      </c>
    </row>
    <row r="25" spans="1:50" ht="13.5" customHeight="1">
      <c r="A25" s="63">
        <f>ELEC!C23</f>
        <v>44095</v>
      </c>
      <c r="B25" s="64">
        <v>215</v>
      </c>
      <c r="C25" s="64">
        <v>221</v>
      </c>
      <c r="D25" s="45">
        <f t="shared" si="44"/>
        <v>3</v>
      </c>
      <c r="E25" s="45">
        <f t="shared" si="9"/>
        <v>25.14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4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4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3">
        <f t="shared" si="42"/>
        <v>0</v>
      </c>
      <c r="S25" s="52">
        <f t="shared" si="5"/>
        <v>0</v>
      </c>
      <c r="T25" s="67">
        <f t="shared" si="35"/>
        <v>0</v>
      </c>
      <c r="U25" s="410">
        <f t="shared" si="16"/>
        <v>0</v>
      </c>
      <c r="V25" s="62">
        <f t="shared" si="17"/>
        <v>0</v>
      </c>
      <c r="W25" s="408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0">
        <f t="shared" si="46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2">
        <f t="shared" si="24"/>
        <v>0</v>
      </c>
      <c r="AG25" s="212">
        <f t="shared" si="37"/>
        <v>0</v>
      </c>
      <c r="AH25" s="62">
        <f t="shared" si="38"/>
        <v>0</v>
      </c>
      <c r="AI25" s="324">
        <f t="shared" si="25"/>
        <v>0</v>
      </c>
      <c r="AJ25" s="324">
        <f>-tanks!AW26</f>
        <v>0</v>
      </c>
      <c r="AK25" s="324">
        <f t="shared" si="26"/>
        <v>0</v>
      </c>
      <c r="AL25" s="324">
        <f t="shared" si="45"/>
        <v>0</v>
      </c>
      <c r="AM25" s="324">
        <f t="shared" si="27"/>
        <v>0</v>
      </c>
      <c r="AN25" s="64">
        <f t="shared" si="28"/>
        <v>62</v>
      </c>
      <c r="AO25" s="326">
        <f t="shared" si="29"/>
        <v>1860</v>
      </c>
      <c r="AP25" s="64">
        <f t="shared" si="30"/>
        <v>51</v>
      </c>
      <c r="AQ25" s="326">
        <f t="shared" ref="AQ25:AQ34" si="48">(AP25/100)*3000</f>
        <v>1530</v>
      </c>
      <c r="AR25" s="64">
        <f t="shared" si="32"/>
        <v>68</v>
      </c>
      <c r="AS25" s="326">
        <f t="shared" si="39"/>
        <v>2040.0000000000002</v>
      </c>
      <c r="AT25" s="326">
        <f t="shared" si="47"/>
        <v>5430</v>
      </c>
      <c r="AU25" s="326">
        <f t="shared" si="41"/>
        <v>0</v>
      </c>
      <c r="AV25" s="274"/>
      <c r="AW25" s="274"/>
      <c r="AX25" s="319">
        <f t="shared" si="33"/>
        <v>0.8</v>
      </c>
    </row>
    <row r="26" spans="1:50" ht="14.25" customHeight="1">
      <c r="A26" s="63">
        <f>ELEC!C24</f>
        <v>44096</v>
      </c>
      <c r="B26" s="64">
        <v>211</v>
      </c>
      <c r="C26" s="64">
        <v>217</v>
      </c>
      <c r="D26" s="45">
        <f t="shared" si="44"/>
        <v>4</v>
      </c>
      <c r="E26" s="45">
        <f t="shared" si="9"/>
        <v>33.520000000000003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4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4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3">
        <f t="shared" si="42"/>
        <v>0</v>
      </c>
      <c r="S26" s="52">
        <f t="shared" si="5"/>
        <v>0</v>
      </c>
      <c r="T26" s="67">
        <f t="shared" si="35"/>
        <v>0</v>
      </c>
      <c r="U26" s="410">
        <f t="shared" si="16"/>
        <v>0</v>
      </c>
      <c r="V26" s="62">
        <f t="shared" si="17"/>
        <v>0</v>
      </c>
      <c r="W26" s="408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0">
        <f t="shared" si="46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2">
        <f t="shared" si="24"/>
        <v>0</v>
      </c>
      <c r="AG26" s="212">
        <f t="shared" si="37"/>
        <v>0</v>
      </c>
      <c r="AH26" s="62">
        <f t="shared" si="38"/>
        <v>0</v>
      </c>
      <c r="AI26" s="324">
        <f t="shared" si="25"/>
        <v>0</v>
      </c>
      <c r="AJ26" s="324">
        <f>-tanks!AW27</f>
        <v>0</v>
      </c>
      <c r="AK26" s="324">
        <f t="shared" si="26"/>
        <v>0</v>
      </c>
      <c r="AL26" s="324">
        <f t="shared" si="45"/>
        <v>0</v>
      </c>
      <c r="AM26" s="324">
        <f t="shared" si="27"/>
        <v>0</v>
      </c>
      <c r="AN26" s="64">
        <f t="shared" si="28"/>
        <v>62</v>
      </c>
      <c r="AO26" s="326">
        <f t="shared" si="29"/>
        <v>1860</v>
      </c>
      <c r="AP26" s="64">
        <f t="shared" si="30"/>
        <v>51</v>
      </c>
      <c r="AQ26" s="326">
        <f t="shared" si="48"/>
        <v>1530</v>
      </c>
      <c r="AR26" s="64">
        <f t="shared" si="32"/>
        <v>68</v>
      </c>
      <c r="AS26" s="326">
        <f t="shared" si="39"/>
        <v>2040.0000000000002</v>
      </c>
      <c r="AT26" s="326">
        <f t="shared" si="47"/>
        <v>5430</v>
      </c>
      <c r="AU26" s="326">
        <f t="shared" si="41"/>
        <v>0</v>
      </c>
      <c r="AV26" s="274"/>
      <c r="AW26" s="274"/>
      <c r="AX26" s="319">
        <f t="shared" si="33"/>
        <v>0.8</v>
      </c>
    </row>
    <row r="27" spans="1:50">
      <c r="A27" s="63">
        <f>ELEC!C25</f>
        <v>44097</v>
      </c>
      <c r="B27" s="64">
        <v>209</v>
      </c>
      <c r="C27" s="64">
        <v>215</v>
      </c>
      <c r="D27" s="45">
        <f t="shared" si="44"/>
        <v>2</v>
      </c>
      <c r="E27" s="45">
        <f t="shared" si="9"/>
        <v>16.760000000000002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4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4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3">
        <f t="shared" si="42"/>
        <v>0</v>
      </c>
      <c r="S27" s="52">
        <f t="shared" si="5"/>
        <v>0</v>
      </c>
      <c r="T27" s="67">
        <f t="shared" si="35"/>
        <v>0</v>
      </c>
      <c r="U27" s="410">
        <f t="shared" si="16"/>
        <v>0</v>
      </c>
      <c r="V27" s="62">
        <f t="shared" si="17"/>
        <v>0</v>
      </c>
      <c r="W27" s="408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0">
        <f t="shared" si="46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2">
        <f t="shared" si="24"/>
        <v>0</v>
      </c>
      <c r="AG27" s="212">
        <f t="shared" si="37"/>
        <v>0</v>
      </c>
      <c r="AH27" s="62">
        <f t="shared" si="38"/>
        <v>0</v>
      </c>
      <c r="AI27" s="324">
        <f t="shared" si="25"/>
        <v>0</v>
      </c>
      <c r="AJ27" s="324">
        <f>-tanks!AW28</f>
        <v>0</v>
      </c>
      <c r="AK27" s="324">
        <f t="shared" si="26"/>
        <v>0</v>
      </c>
      <c r="AL27" s="324">
        <f t="shared" si="45"/>
        <v>0</v>
      </c>
      <c r="AM27" s="324">
        <f t="shared" si="27"/>
        <v>0</v>
      </c>
      <c r="AN27" s="64">
        <f t="shared" si="28"/>
        <v>62</v>
      </c>
      <c r="AO27" s="326">
        <f>(AN27/100)*3000</f>
        <v>1860</v>
      </c>
      <c r="AP27" s="64">
        <f t="shared" si="30"/>
        <v>51</v>
      </c>
      <c r="AQ27" s="326">
        <f t="shared" si="48"/>
        <v>1530</v>
      </c>
      <c r="AR27" s="64">
        <f t="shared" si="32"/>
        <v>68</v>
      </c>
      <c r="AS27" s="326">
        <f t="shared" si="39"/>
        <v>2040.0000000000002</v>
      </c>
      <c r="AT27" s="326">
        <f t="shared" si="47"/>
        <v>5430</v>
      </c>
      <c r="AU27" s="326">
        <f t="shared" si="41"/>
        <v>0</v>
      </c>
      <c r="AV27" s="274"/>
      <c r="AW27" s="514"/>
      <c r="AX27" s="319">
        <f t="shared" si="33"/>
        <v>0.8</v>
      </c>
    </row>
    <row r="28" spans="1:50">
      <c r="A28" s="63">
        <f>ELEC!C26</f>
        <v>44098</v>
      </c>
      <c r="B28" s="64">
        <v>245</v>
      </c>
      <c r="C28" s="64">
        <v>250.3</v>
      </c>
      <c r="D28" s="45">
        <f t="shared" si="44"/>
        <v>-35.300000000000011</v>
      </c>
      <c r="E28" s="45">
        <f t="shared" si="9"/>
        <v>-295.81400000000014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4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4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3">
        <f t="shared" si="42"/>
        <v>0</v>
      </c>
      <c r="S28" s="52">
        <f t="shared" si="5"/>
        <v>0</v>
      </c>
      <c r="T28" s="67">
        <f t="shared" si="35"/>
        <v>0</v>
      </c>
      <c r="U28" s="410">
        <f t="shared" si="16"/>
        <v>0</v>
      </c>
      <c r="V28" s="62">
        <f t="shared" si="17"/>
        <v>0</v>
      </c>
      <c r="W28" s="408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0">
        <f t="shared" si="46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2">
        <f t="shared" si="24"/>
        <v>0</v>
      </c>
      <c r="AG28" s="212">
        <f t="shared" si="37"/>
        <v>0</v>
      </c>
      <c r="AH28" s="62">
        <f t="shared" si="38"/>
        <v>0</v>
      </c>
      <c r="AI28" s="324">
        <f t="shared" si="25"/>
        <v>0</v>
      </c>
      <c r="AJ28" s="324">
        <f>-tanks!AW29</f>
        <v>0</v>
      </c>
      <c r="AK28" s="324">
        <f t="shared" si="26"/>
        <v>0</v>
      </c>
      <c r="AL28" s="324">
        <f t="shared" si="45"/>
        <v>0</v>
      </c>
      <c r="AM28" s="324">
        <f t="shared" si="27"/>
        <v>0</v>
      </c>
      <c r="AN28" s="64">
        <f t="shared" si="28"/>
        <v>62</v>
      </c>
      <c r="AO28" s="326">
        <f t="shared" ref="AO28:AO34" si="49">(AN28/100)*3000</f>
        <v>1860</v>
      </c>
      <c r="AP28" s="64">
        <f t="shared" si="30"/>
        <v>51</v>
      </c>
      <c r="AQ28" s="326">
        <f t="shared" si="48"/>
        <v>1530</v>
      </c>
      <c r="AR28" s="64">
        <f t="shared" si="32"/>
        <v>68</v>
      </c>
      <c r="AS28" s="326">
        <f t="shared" si="39"/>
        <v>2040.0000000000002</v>
      </c>
      <c r="AT28" s="326">
        <f t="shared" si="47"/>
        <v>5430</v>
      </c>
      <c r="AU28" s="326">
        <f t="shared" si="41"/>
        <v>0</v>
      </c>
      <c r="AV28" s="274"/>
      <c r="AW28" s="274"/>
      <c r="AX28" s="319">
        <f t="shared" si="33"/>
        <v>0.8</v>
      </c>
    </row>
    <row r="29" spans="1:50">
      <c r="A29" s="63">
        <f>ELEC!C27</f>
        <v>44099</v>
      </c>
      <c r="B29" s="64">
        <v>242</v>
      </c>
      <c r="C29" s="64">
        <v>249</v>
      </c>
      <c r="D29" s="45">
        <f t="shared" si="44"/>
        <v>1.3000000000000114</v>
      </c>
      <c r="E29" s="45">
        <f t="shared" si="9"/>
        <v>10.894000000000096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4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4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3">
        <f t="shared" si="42"/>
        <v>0</v>
      </c>
      <c r="S29" s="52">
        <f t="shared" si="5"/>
        <v>0</v>
      </c>
      <c r="T29" s="67">
        <f t="shared" si="35"/>
        <v>0</v>
      </c>
      <c r="U29" s="410">
        <f t="shared" si="16"/>
        <v>0</v>
      </c>
      <c r="V29" s="62">
        <f t="shared" si="17"/>
        <v>0</v>
      </c>
      <c r="W29" s="408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0">
        <f t="shared" si="46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2">
        <f t="shared" si="24"/>
        <v>0</v>
      </c>
      <c r="AG29" s="212">
        <f t="shared" si="37"/>
        <v>0</v>
      </c>
      <c r="AH29" s="62">
        <f t="shared" si="38"/>
        <v>0</v>
      </c>
      <c r="AI29" s="324">
        <f t="shared" si="25"/>
        <v>0</v>
      </c>
      <c r="AJ29" s="324">
        <f>-tanks!AW30</f>
        <v>0</v>
      </c>
      <c r="AK29" s="324">
        <f t="shared" si="26"/>
        <v>0</v>
      </c>
      <c r="AL29" s="324">
        <f t="shared" si="45"/>
        <v>0</v>
      </c>
      <c r="AM29" s="324">
        <f t="shared" si="27"/>
        <v>0</v>
      </c>
      <c r="AN29" s="64">
        <f t="shared" si="28"/>
        <v>62</v>
      </c>
      <c r="AO29" s="326">
        <f t="shared" si="49"/>
        <v>1860</v>
      </c>
      <c r="AP29" s="64">
        <f t="shared" si="30"/>
        <v>51</v>
      </c>
      <c r="AQ29" s="326">
        <f t="shared" si="48"/>
        <v>1530</v>
      </c>
      <c r="AR29" s="64">
        <f t="shared" si="32"/>
        <v>68</v>
      </c>
      <c r="AS29" s="326">
        <f t="shared" si="39"/>
        <v>2040.0000000000002</v>
      </c>
      <c r="AT29" s="326">
        <f>SUM(AO29+AQ29+AS29)</f>
        <v>5430</v>
      </c>
      <c r="AU29" s="326">
        <f>AT28-AT29+AV29</f>
        <v>0</v>
      </c>
      <c r="AV29" s="274"/>
      <c r="AW29" s="274"/>
      <c r="AX29" s="319">
        <f t="shared" si="33"/>
        <v>0.8</v>
      </c>
    </row>
    <row r="30" spans="1:50">
      <c r="A30" s="63">
        <f>ELEC!C28</f>
        <v>44100</v>
      </c>
      <c r="B30" s="64">
        <v>240.2</v>
      </c>
      <c r="C30" s="64">
        <v>247</v>
      </c>
      <c r="D30" s="45">
        <f t="shared" si="44"/>
        <v>2</v>
      </c>
      <c r="E30" s="45">
        <f t="shared" si="9"/>
        <v>16.760000000000002</v>
      </c>
      <c r="F30" s="64">
        <v>1648</v>
      </c>
      <c r="G30" s="52">
        <f t="shared" si="0"/>
        <v>0</v>
      </c>
      <c r="H30" s="64">
        <f t="shared" si="11"/>
        <v>357868</v>
      </c>
      <c r="I30" s="404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4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3">
        <f t="shared" si="42"/>
        <v>0</v>
      </c>
      <c r="S30" s="52">
        <f t="shared" si="5"/>
        <v>0</v>
      </c>
      <c r="T30" s="67">
        <f t="shared" si="35"/>
        <v>0</v>
      </c>
      <c r="U30" s="410">
        <f t="shared" si="16"/>
        <v>0</v>
      </c>
      <c r="V30" s="62">
        <f t="shared" si="17"/>
        <v>0</v>
      </c>
      <c r="W30" s="408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0">
        <f t="shared" si="46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2">
        <f t="shared" si="24"/>
        <v>0</v>
      </c>
      <c r="AG30" s="212">
        <f t="shared" si="37"/>
        <v>0</v>
      </c>
      <c r="AH30" s="62">
        <f t="shared" si="38"/>
        <v>0</v>
      </c>
      <c r="AI30" s="324">
        <f t="shared" si="25"/>
        <v>0</v>
      </c>
      <c r="AJ30" s="324">
        <f>-tanks!AW31</f>
        <v>0</v>
      </c>
      <c r="AK30" s="324">
        <f t="shared" si="26"/>
        <v>0</v>
      </c>
      <c r="AL30" s="324">
        <f t="shared" si="45"/>
        <v>0</v>
      </c>
      <c r="AM30" s="324">
        <f t="shared" si="27"/>
        <v>0</v>
      </c>
      <c r="AN30" s="64">
        <v>62</v>
      </c>
      <c r="AO30" s="326">
        <f t="shared" si="49"/>
        <v>1860</v>
      </c>
      <c r="AP30" s="64">
        <v>51</v>
      </c>
      <c r="AQ30" s="326">
        <f t="shared" si="48"/>
        <v>1530</v>
      </c>
      <c r="AR30" s="64">
        <v>68</v>
      </c>
      <c r="AS30" s="326">
        <f t="shared" si="39"/>
        <v>2040.0000000000002</v>
      </c>
      <c r="AT30" s="326">
        <f t="shared" si="47"/>
        <v>5430</v>
      </c>
      <c r="AU30" s="326">
        <f t="shared" si="41"/>
        <v>0</v>
      </c>
      <c r="AV30" s="274"/>
      <c r="AW30" s="274"/>
      <c r="AX30" s="319">
        <f t="shared" si="33"/>
        <v>0.8</v>
      </c>
    </row>
    <row r="31" spans="1:50">
      <c r="A31" s="63">
        <f>ELEC!C29</f>
        <v>44101</v>
      </c>
      <c r="B31" s="64">
        <v>239.3</v>
      </c>
      <c r="C31" s="64">
        <v>246</v>
      </c>
      <c r="D31" s="45">
        <f t="shared" si="44"/>
        <v>1</v>
      </c>
      <c r="E31" s="45">
        <f t="shared" si="9"/>
        <v>8.3800000000000008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4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4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3">
        <f t="shared" si="42"/>
        <v>0</v>
      </c>
      <c r="S31" s="52">
        <f t="shared" si="5"/>
        <v>0</v>
      </c>
      <c r="T31" s="67">
        <f t="shared" si="35"/>
        <v>0</v>
      </c>
      <c r="U31" s="410">
        <f t="shared" si="16"/>
        <v>0</v>
      </c>
      <c r="V31" s="62">
        <f t="shared" si="17"/>
        <v>0</v>
      </c>
      <c r="W31" s="408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0">
        <f t="shared" si="46"/>
        <v>0</v>
      </c>
      <c r="AC31" s="64">
        <f t="shared" si="22"/>
        <v>1933</v>
      </c>
      <c r="AD31" s="274">
        <f t="shared" si="7"/>
        <v>0</v>
      </c>
      <c r="AE31" s="64">
        <f t="shared" si="23"/>
        <v>365210.2</v>
      </c>
      <c r="AF31" s="312">
        <f t="shared" si="24"/>
        <v>0</v>
      </c>
      <c r="AG31" s="212">
        <f t="shared" si="37"/>
        <v>0</v>
      </c>
      <c r="AH31" s="62">
        <f t="shared" si="38"/>
        <v>0</v>
      </c>
      <c r="AI31" s="324">
        <f t="shared" si="25"/>
        <v>0</v>
      </c>
      <c r="AJ31" s="324">
        <f>-tanks!AW32</f>
        <v>0</v>
      </c>
      <c r="AK31" s="324">
        <f t="shared" si="26"/>
        <v>0</v>
      </c>
      <c r="AL31" s="324">
        <f t="shared" si="45"/>
        <v>0</v>
      </c>
      <c r="AM31" s="324">
        <f t="shared" si="27"/>
        <v>0</v>
      </c>
      <c r="AN31" s="64">
        <v>62</v>
      </c>
      <c r="AO31" s="326">
        <f t="shared" si="49"/>
        <v>1860</v>
      </c>
      <c r="AP31" s="64">
        <v>51</v>
      </c>
      <c r="AQ31" s="326">
        <f t="shared" si="48"/>
        <v>1530</v>
      </c>
      <c r="AR31" s="64">
        <v>68</v>
      </c>
      <c r="AS31" s="326">
        <f t="shared" si="39"/>
        <v>2040.0000000000002</v>
      </c>
      <c r="AT31" s="326">
        <f t="shared" si="47"/>
        <v>5430</v>
      </c>
      <c r="AU31" s="326">
        <f t="shared" si="41"/>
        <v>0</v>
      </c>
      <c r="AV31" s="274"/>
      <c r="AW31" s="274"/>
      <c r="AX31" s="319">
        <f t="shared" si="33"/>
        <v>0.8</v>
      </c>
    </row>
    <row r="32" spans="1:50">
      <c r="A32" s="63">
        <f>ELEC!C30</f>
        <v>44102</v>
      </c>
      <c r="B32" s="64">
        <v>238</v>
      </c>
      <c r="C32" s="64">
        <v>244</v>
      </c>
      <c r="D32" s="45">
        <f t="shared" si="34"/>
        <v>2</v>
      </c>
      <c r="E32" s="45">
        <f t="shared" ref="E32:E34" si="50">D32*8.38</f>
        <v>16.760000000000002</v>
      </c>
      <c r="F32" s="64">
        <v>1648</v>
      </c>
      <c r="G32" s="52">
        <f t="shared" si="0"/>
        <v>0</v>
      </c>
      <c r="H32" s="64">
        <f t="shared" si="11"/>
        <v>357868</v>
      </c>
      <c r="I32" s="404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4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3">
        <f t="shared" si="42"/>
        <v>0</v>
      </c>
      <c r="S32" s="52">
        <f t="shared" si="5"/>
        <v>0</v>
      </c>
      <c r="T32" s="67">
        <f t="shared" si="35"/>
        <v>0</v>
      </c>
      <c r="U32" s="410">
        <f t="shared" si="16"/>
        <v>0</v>
      </c>
      <c r="V32" s="62">
        <f t="shared" si="17"/>
        <v>0</v>
      </c>
      <c r="W32" s="408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0">
        <f t="shared" si="46"/>
        <v>0</v>
      </c>
      <c r="AC32" s="64">
        <f t="shared" si="22"/>
        <v>1933</v>
      </c>
      <c r="AD32" s="274">
        <f t="shared" si="7"/>
        <v>0</v>
      </c>
      <c r="AE32" s="64">
        <f t="shared" si="23"/>
        <v>365210.2</v>
      </c>
      <c r="AF32" s="312">
        <f t="shared" si="24"/>
        <v>0</v>
      </c>
      <c r="AG32" s="212">
        <f t="shared" si="37"/>
        <v>0</v>
      </c>
      <c r="AH32" s="62">
        <f t="shared" si="38"/>
        <v>0</v>
      </c>
      <c r="AI32" s="324">
        <f t="shared" si="25"/>
        <v>0</v>
      </c>
      <c r="AJ32" s="324">
        <f>-tanks!AW33</f>
        <v>0</v>
      </c>
      <c r="AK32" s="324">
        <f t="shared" si="26"/>
        <v>0</v>
      </c>
      <c r="AL32" s="324">
        <f t="shared" si="45"/>
        <v>0</v>
      </c>
      <c r="AM32" s="324">
        <f t="shared" si="27"/>
        <v>0</v>
      </c>
      <c r="AN32" s="64">
        <f t="shared" si="28"/>
        <v>62</v>
      </c>
      <c r="AO32" s="326">
        <f t="shared" si="49"/>
        <v>1860</v>
      </c>
      <c r="AP32" s="64">
        <f t="shared" si="30"/>
        <v>51</v>
      </c>
      <c r="AQ32" s="326">
        <f t="shared" si="48"/>
        <v>1530</v>
      </c>
      <c r="AR32" s="64">
        <f t="shared" si="32"/>
        <v>68</v>
      </c>
      <c r="AS32" s="326">
        <f t="shared" si="39"/>
        <v>2040.0000000000002</v>
      </c>
      <c r="AT32" s="326">
        <f t="shared" si="47"/>
        <v>5430</v>
      </c>
      <c r="AU32" s="326">
        <f t="shared" si="41"/>
        <v>0</v>
      </c>
      <c r="AV32" s="274"/>
      <c r="AW32" s="274"/>
      <c r="AX32" s="319">
        <f t="shared" si="33"/>
        <v>0.8</v>
      </c>
    </row>
    <row r="33" spans="1:50">
      <c r="A33" s="63">
        <f>ELEC!C31</f>
        <v>44103</v>
      </c>
      <c r="B33" s="64">
        <v>255.2</v>
      </c>
      <c r="C33" s="64">
        <v>261</v>
      </c>
      <c r="D33" s="45">
        <f t="shared" si="34"/>
        <v>-17</v>
      </c>
      <c r="E33" s="45">
        <f t="shared" si="50"/>
        <v>-142.46</v>
      </c>
      <c r="F33" s="64">
        <v>1648</v>
      </c>
      <c r="G33" s="52">
        <f t="shared" si="0"/>
        <v>0</v>
      </c>
      <c r="H33" s="64">
        <f t="shared" si="11"/>
        <v>357868</v>
      </c>
      <c r="I33" s="404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4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3">
        <f t="shared" si="42"/>
        <v>0</v>
      </c>
      <c r="S33" s="52">
        <f t="shared" si="5"/>
        <v>0</v>
      </c>
      <c r="T33" s="67">
        <f t="shared" si="35"/>
        <v>0</v>
      </c>
      <c r="U33" s="410">
        <f t="shared" si="16"/>
        <v>0</v>
      </c>
      <c r="V33" s="62">
        <f t="shared" si="17"/>
        <v>0</v>
      </c>
      <c r="W33" s="408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0">
        <f t="shared" si="46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2">
        <f t="shared" si="24"/>
        <v>0</v>
      </c>
      <c r="AG33" s="212">
        <f t="shared" si="37"/>
        <v>0</v>
      </c>
      <c r="AH33" s="62">
        <f t="shared" si="38"/>
        <v>0</v>
      </c>
      <c r="AI33" s="324">
        <f t="shared" si="25"/>
        <v>0</v>
      </c>
      <c r="AJ33" s="324">
        <f>-tanks!AW34</f>
        <v>0</v>
      </c>
      <c r="AK33" s="324">
        <f t="shared" si="26"/>
        <v>0</v>
      </c>
      <c r="AL33" s="324">
        <f t="shared" si="45"/>
        <v>0</v>
      </c>
      <c r="AM33" s="324">
        <f t="shared" si="27"/>
        <v>0</v>
      </c>
      <c r="AN33" s="64">
        <f t="shared" si="28"/>
        <v>62</v>
      </c>
      <c r="AO33" s="326">
        <f t="shared" si="49"/>
        <v>1860</v>
      </c>
      <c r="AP33" s="64">
        <f t="shared" si="30"/>
        <v>51</v>
      </c>
      <c r="AQ33" s="326">
        <f t="shared" si="48"/>
        <v>1530</v>
      </c>
      <c r="AR33" s="64">
        <f t="shared" si="32"/>
        <v>68</v>
      </c>
      <c r="AS33" s="326">
        <f t="shared" si="39"/>
        <v>2040.0000000000002</v>
      </c>
      <c r="AT33" s="326">
        <f t="shared" si="47"/>
        <v>5430</v>
      </c>
      <c r="AU33" s="326">
        <f t="shared" si="41"/>
        <v>0</v>
      </c>
      <c r="AV33" s="274"/>
      <c r="AW33" s="274"/>
      <c r="AX33" s="319">
        <f t="shared" si="33"/>
        <v>0.8</v>
      </c>
    </row>
    <row r="34" spans="1:50">
      <c r="A34" s="63">
        <f>ELEC!C32</f>
        <v>44104</v>
      </c>
      <c r="B34" s="64">
        <v>251</v>
      </c>
      <c r="C34" s="64">
        <v>257</v>
      </c>
      <c r="D34" s="45">
        <f t="shared" si="34"/>
        <v>4</v>
      </c>
      <c r="E34" s="45">
        <f t="shared" si="50"/>
        <v>33.520000000000003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4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4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3">
        <f t="shared" si="42"/>
        <v>0</v>
      </c>
      <c r="S34" s="52">
        <f t="shared" si="5"/>
        <v>0</v>
      </c>
      <c r="T34" s="67">
        <f t="shared" si="35"/>
        <v>0</v>
      </c>
      <c r="U34" s="410">
        <f t="shared" si="16"/>
        <v>0</v>
      </c>
      <c r="V34" s="62">
        <f t="shared" si="17"/>
        <v>0</v>
      </c>
      <c r="W34" s="408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0">
        <f t="shared" si="46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2">
        <f t="shared" si="24"/>
        <v>0</v>
      </c>
      <c r="AG34" s="212">
        <f t="shared" si="37"/>
        <v>0</v>
      </c>
      <c r="AH34" s="62">
        <f t="shared" si="38"/>
        <v>0</v>
      </c>
      <c r="AI34" s="324">
        <f t="shared" si="25"/>
        <v>0</v>
      </c>
      <c r="AJ34" s="324">
        <f>-tanks!AW35</f>
        <v>0</v>
      </c>
      <c r="AK34" s="324">
        <f t="shared" si="26"/>
        <v>0</v>
      </c>
      <c r="AL34" s="324">
        <f t="shared" si="45"/>
        <v>0</v>
      </c>
      <c r="AM34" s="324">
        <f>Y34+AD34</f>
        <v>0</v>
      </c>
      <c r="AN34" s="64">
        <f t="shared" si="28"/>
        <v>62</v>
      </c>
      <c r="AO34" s="326">
        <f t="shared" si="49"/>
        <v>1860</v>
      </c>
      <c r="AP34" s="64">
        <f t="shared" si="30"/>
        <v>51</v>
      </c>
      <c r="AQ34" s="326">
        <f t="shared" si="48"/>
        <v>1530</v>
      </c>
      <c r="AR34" s="64">
        <f t="shared" si="32"/>
        <v>68</v>
      </c>
      <c r="AS34" s="326">
        <f t="shared" si="39"/>
        <v>2040.0000000000002</v>
      </c>
      <c r="AT34" s="326">
        <f t="shared" si="47"/>
        <v>5430</v>
      </c>
      <c r="AU34" s="326">
        <f t="shared" si="41"/>
        <v>0</v>
      </c>
      <c r="AV34" s="274"/>
      <c r="AW34" s="274"/>
      <c r="AX34" s="319">
        <f t="shared" si="33"/>
        <v>0.8</v>
      </c>
    </row>
    <row r="35" spans="1:50">
      <c r="J35" s="289">
        <f>SUM(J5:J34)/(COUNT(J5:J34)-COUNTIF(J5:J34,0))</f>
        <v>1</v>
      </c>
      <c r="V35" s="62">
        <f>SUM(V5:V34)</f>
        <v>155</v>
      </c>
      <c r="AE35" s="71" t="s">
        <v>385</v>
      </c>
      <c r="AG35" s="352"/>
      <c r="AH35" s="62">
        <f>SUM(AH5:AH34)</f>
        <v>653</v>
      </c>
      <c r="AL35" s="62">
        <f>SUM(AL5:AL34)</f>
        <v>2</v>
      </c>
      <c r="AM35" s="62">
        <f>SUM(AM5:AM34)</f>
        <v>13</v>
      </c>
      <c r="AP35" s="319"/>
      <c r="AQ35" s="319"/>
      <c r="AR35" s="319" t="s">
        <v>224</v>
      </c>
      <c r="AS35" s="319">
        <f>COUNT(AW5:AW34)</f>
        <v>0</v>
      </c>
      <c r="AT35" s="319"/>
      <c r="AU35" s="319">
        <f>SUM(AU5:AU34)</f>
        <v>600</v>
      </c>
      <c r="AV35" s="71">
        <f>SUM(AV5:AV34)</f>
        <v>0</v>
      </c>
      <c r="AW35" s="319" t="e">
        <f>SUM(AW5:AW34)/AS35</f>
        <v>#DIV/0!</v>
      </c>
    </row>
    <row r="36" spans="1:50">
      <c r="AH36" s="62">
        <f>AF36+AA36</f>
        <v>0</v>
      </c>
      <c r="AI36" s="327">
        <f>SUM(AI5:AI34)</f>
        <v>808</v>
      </c>
      <c r="AP36" s="319"/>
      <c r="AQ36" s="319"/>
      <c r="AR36" s="319"/>
      <c r="AS36" s="319"/>
      <c r="AT36" s="319"/>
      <c r="AU36" s="319"/>
      <c r="AV36" s="319"/>
      <c r="AW36" s="319"/>
    </row>
    <row r="37" spans="1:50">
      <c r="AH37" s="62">
        <f>AF37+AA37</f>
        <v>0</v>
      </c>
      <c r="AP37" s="319"/>
      <c r="AQ37" s="319"/>
      <c r="AR37" s="319"/>
      <c r="AS37" s="319"/>
      <c r="AT37" s="319"/>
      <c r="AU37" s="319">
        <f>AU35*0.51</f>
        <v>306</v>
      </c>
      <c r="AV37" s="319">
        <f>AV35/0.51</f>
        <v>0</v>
      </c>
      <c r="AW37" s="319" t="e">
        <f>SUM(AW5:AW34)/AS35</f>
        <v>#DIV/0!</v>
      </c>
    </row>
    <row r="38" spans="1:50">
      <c r="AP38" s="319"/>
      <c r="AQ38" s="319"/>
      <c r="AR38" s="319"/>
      <c r="AS38" s="319"/>
      <c r="AT38" s="319"/>
      <c r="AU38" s="319"/>
      <c r="AV38" s="319">
        <f>AV35*0.51</f>
        <v>0</v>
      </c>
      <c r="AW38" s="319"/>
    </row>
    <row r="39" spans="1:50">
      <c r="AP39" s="319"/>
      <c r="AQ39" s="319"/>
      <c r="AR39" s="319"/>
      <c r="AS39" s="319"/>
      <c r="AT39" s="319"/>
      <c r="AU39" s="319"/>
      <c r="AV39" s="319"/>
      <c r="AW39" s="319"/>
    </row>
    <row r="40" spans="1:50">
      <c r="P40" s="69"/>
      <c r="Q40" s="69"/>
      <c r="R40" s="69"/>
      <c r="AP40" s="319"/>
      <c r="AQ40" s="319"/>
      <c r="AR40" s="319"/>
      <c r="AS40" s="319"/>
      <c r="AT40" s="319"/>
      <c r="AU40" s="319"/>
      <c r="AV40" s="319"/>
      <c r="AW40" s="319"/>
    </row>
    <row r="42" spans="1:50">
      <c r="AG42" s="365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zoomScaleNormal="100" workbookViewId="0">
      <pane ySplit="3" topLeftCell="A29" activePane="bottomLeft" state="frozen"/>
      <selection pane="bottomLeft" activeCell="A61" sqref="A6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8" customWidth="1"/>
    <col min="11" max="11" width="13.5703125" style="1" customWidth="1"/>
    <col min="12" max="12" width="13.28515625" style="1" customWidth="1"/>
    <col min="13" max="13" width="10.7109375" style="504" customWidth="1"/>
    <col min="14" max="14" width="10.7109375" style="506" customWidth="1"/>
    <col min="15" max="15" width="11.140625" style="504" customWidth="1"/>
    <col min="16" max="16" width="11.140625" style="506" customWidth="1"/>
    <col min="17" max="17" width="17.28515625" style="504" customWidth="1"/>
    <col min="18" max="18" width="10.85546875" style="504" customWidth="1"/>
    <col min="19" max="19" width="10.7109375" style="504" customWidth="1"/>
    <col min="20" max="20" width="13.28515625" style="414" customWidth="1"/>
    <col min="21" max="21" width="8.7109375" style="418" customWidth="1"/>
    <col min="22" max="22" width="13.28515625" style="328" customWidth="1"/>
    <col min="23" max="23" width="9.7109375" style="328" bestFit="1" customWidth="1"/>
    <col min="24" max="27" width="9.7109375" style="328" customWidth="1"/>
    <col min="28" max="28" width="14.42578125" style="328" customWidth="1"/>
    <col min="29" max="32" width="9.7109375" style="328" customWidth="1"/>
    <col min="33" max="33" width="11.28515625" style="328" customWidth="1"/>
    <col min="34" max="36" width="9.7109375" style="328" customWidth="1"/>
    <col min="37" max="37" width="7.42578125" style="328" customWidth="1"/>
    <col min="38" max="39" width="8.7109375" style="32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7" customFormat="1" ht="15.75" thickBot="1">
      <c r="B1" s="368"/>
      <c r="C1" s="368"/>
      <c r="D1" s="425">
        <f>SUM(G21:G35)</f>
        <v>9127590</v>
      </c>
      <c r="E1" s="369"/>
      <c r="F1" s="369"/>
      <c r="G1" s="368"/>
      <c r="H1" s="368"/>
      <c r="I1" s="368"/>
      <c r="J1" s="369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68"/>
      <c r="AR1" s="371" t="s">
        <v>92</v>
      </c>
      <c r="AS1" s="372"/>
      <c r="AT1" s="372" t="s">
        <v>60</v>
      </c>
      <c r="AU1" s="372"/>
      <c r="AV1" s="373" t="s">
        <v>61</v>
      </c>
    </row>
    <row r="2" spans="1:65" s="367" customFormat="1" ht="15.75" customHeight="1" thickBot="1">
      <c r="B2" s="368"/>
      <c r="C2" s="368"/>
      <c r="D2" s="368"/>
      <c r="E2" s="369"/>
      <c r="F2" s="369"/>
      <c r="G2" s="368"/>
      <c r="H2" s="368"/>
      <c r="I2" s="368"/>
      <c r="J2" s="369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68"/>
      <c r="AR2" s="635" t="s">
        <v>95</v>
      </c>
      <c r="AS2" s="636"/>
      <c r="AT2" s="636"/>
      <c r="AU2" s="636"/>
      <c r="AV2" s="637"/>
      <c r="AW2" s="635" t="s">
        <v>96</v>
      </c>
      <c r="AX2" s="636"/>
      <c r="AY2" s="637"/>
      <c r="AZ2" s="635" t="s">
        <v>98</v>
      </c>
      <c r="BA2" s="636"/>
      <c r="BB2" s="637"/>
      <c r="BC2" s="374"/>
      <c r="BE2" s="375"/>
    </row>
    <row r="3" spans="1:65" s="367" customFormat="1" ht="48" customHeight="1" thickBot="1">
      <c r="A3" s="376" t="s">
        <v>51</v>
      </c>
      <c r="B3" s="377" t="s">
        <v>52</v>
      </c>
      <c r="C3" s="377" t="s">
        <v>53</v>
      </c>
      <c r="D3" s="377" t="s">
        <v>54</v>
      </c>
      <c r="E3" s="378"/>
      <c r="F3" s="379" t="s">
        <v>80</v>
      </c>
      <c r="G3" s="377" t="s">
        <v>55</v>
      </c>
      <c r="H3" s="377" t="s">
        <v>56</v>
      </c>
      <c r="I3" s="377" t="s">
        <v>100</v>
      </c>
      <c r="J3" s="378"/>
      <c r="K3" s="377" t="s">
        <v>394</v>
      </c>
      <c r="L3" s="380" t="s">
        <v>329</v>
      </c>
      <c r="M3" s="523" t="s">
        <v>401</v>
      </c>
      <c r="N3" s="524"/>
      <c r="O3" s="525" t="s">
        <v>402</v>
      </c>
      <c r="P3" s="525"/>
      <c r="Q3" s="525" t="s">
        <v>398</v>
      </c>
      <c r="R3" s="525" t="s">
        <v>400</v>
      </c>
      <c r="S3" s="525" t="s">
        <v>399</v>
      </c>
      <c r="T3" s="377" t="s">
        <v>382</v>
      </c>
      <c r="U3" s="377" t="s">
        <v>384</v>
      </c>
      <c r="V3" s="381" t="s">
        <v>333</v>
      </c>
      <c r="W3" s="382" t="s">
        <v>334</v>
      </c>
      <c r="X3" s="381" t="s">
        <v>337</v>
      </c>
      <c r="Y3" s="382" t="s">
        <v>338</v>
      </c>
      <c r="Z3" s="383" t="s">
        <v>339</v>
      </c>
      <c r="AA3" s="384" t="s">
        <v>397</v>
      </c>
      <c r="AB3" s="452" t="s">
        <v>396</v>
      </c>
      <c r="AC3" s="450" t="s">
        <v>395</v>
      </c>
      <c r="AD3" s="450"/>
      <c r="AE3" s="385" t="s">
        <v>406</v>
      </c>
      <c r="AF3" s="385" t="s">
        <v>407</v>
      </c>
      <c r="AG3" s="385" t="s">
        <v>408</v>
      </c>
      <c r="AH3" s="385" t="s">
        <v>409</v>
      </c>
      <c r="AI3" s="384" t="s">
        <v>410</v>
      </c>
      <c r="AJ3" s="384" t="s">
        <v>340</v>
      </c>
      <c r="AK3" s="385" t="s">
        <v>342</v>
      </c>
      <c r="AL3" s="385" t="s">
        <v>341</v>
      </c>
      <c r="AM3" s="386" t="s">
        <v>125</v>
      </c>
      <c r="AN3" s="632" t="s">
        <v>126</v>
      </c>
      <c r="AO3" s="633"/>
      <c r="AP3" s="634"/>
      <c r="AR3" s="387" t="s">
        <v>51</v>
      </c>
      <c r="AS3" s="388"/>
      <c r="AT3" s="387" t="s">
        <v>94</v>
      </c>
      <c r="AU3" s="388"/>
      <c r="AV3" s="389" t="s">
        <v>57</v>
      </c>
      <c r="AW3" s="390"/>
      <c r="AX3" s="388" t="s">
        <v>59</v>
      </c>
      <c r="AY3" s="391" t="s">
        <v>93</v>
      </c>
      <c r="AZ3" s="389" t="s">
        <v>57</v>
      </c>
      <c r="BA3" s="392" t="s">
        <v>59</v>
      </c>
      <c r="BB3" s="393" t="s">
        <v>57</v>
      </c>
      <c r="BC3" s="393" t="s">
        <v>58</v>
      </c>
      <c r="BD3" s="394" t="s">
        <v>59</v>
      </c>
      <c r="BE3" s="395" t="s">
        <v>99</v>
      </c>
      <c r="BF3" s="394" t="s">
        <v>97</v>
      </c>
      <c r="BG3" s="396"/>
      <c r="BI3" s="397"/>
      <c r="BJ3" s="397"/>
      <c r="BK3" s="397"/>
      <c r="BL3" s="397"/>
      <c r="BM3" s="397"/>
    </row>
    <row r="4" spans="1:65" ht="16.5" thickBot="1">
      <c r="A4" s="87"/>
      <c r="B4" s="5"/>
      <c r="C4" s="5"/>
      <c r="D4" s="271"/>
      <c r="E4" s="339">
        <v>1.66</v>
      </c>
      <c r="F4" s="339"/>
      <c r="G4" s="5"/>
      <c r="H4" s="5"/>
      <c r="I4" s="5"/>
      <c r="J4" s="340"/>
      <c r="K4" s="5"/>
      <c r="L4" s="83"/>
      <c r="M4" s="526"/>
      <c r="N4" s="526"/>
      <c r="O4" s="526"/>
      <c r="P4" s="526"/>
      <c r="Q4" s="526"/>
      <c r="R4" s="526"/>
      <c r="S4" s="526"/>
      <c r="T4" s="83"/>
      <c r="U4" s="83"/>
      <c r="V4" s="329"/>
      <c r="W4" s="330"/>
      <c r="X4" s="329"/>
      <c r="Y4" s="330"/>
      <c r="Z4" s="331"/>
      <c r="AA4" s="451"/>
      <c r="AB4" s="453"/>
      <c r="AC4" s="451"/>
      <c r="AD4" s="451"/>
      <c r="AE4" s="451"/>
      <c r="AF4" s="451"/>
      <c r="AG4" s="451"/>
      <c r="AH4" s="451"/>
      <c r="AI4" s="451"/>
      <c r="AJ4" s="332"/>
      <c r="AK4" s="333"/>
      <c r="AL4" s="333"/>
      <c r="AM4" s="334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19">
        <f>[1]WATER!B36</f>
        <v>109096</v>
      </c>
      <c r="C5" s="419">
        <f>[1]WATER!C36</f>
        <v>0</v>
      </c>
      <c r="D5" s="419">
        <f>[1]WATER!D36</f>
        <v>0</v>
      </c>
      <c r="E5" s="419">
        <f>[1]WATER!E36</f>
        <v>241.93548387096774</v>
      </c>
      <c r="F5" s="419">
        <f>[1]WATER!F36</f>
        <v>0</v>
      </c>
      <c r="G5" s="419">
        <f>[1]WATER!G36</f>
        <v>607824</v>
      </c>
      <c r="H5" s="419">
        <f>[1]WATER!H36</f>
        <v>0</v>
      </c>
      <c r="I5" s="419">
        <f>[1]WATER!I36</f>
        <v>0</v>
      </c>
      <c r="J5" s="419">
        <f>[1]WATER!J36</f>
        <v>0</v>
      </c>
      <c r="K5" s="419">
        <f>[1]WATER!K36</f>
        <v>6555</v>
      </c>
      <c r="L5" s="419">
        <f>[1]WATER!L36</f>
        <v>0</v>
      </c>
      <c r="M5" s="419">
        <f>[1]WATER!M36</f>
        <v>457.44</v>
      </c>
      <c r="N5" s="419">
        <f>[1]WATER!N36</f>
        <v>0</v>
      </c>
      <c r="O5" s="419">
        <f>[1]WATER!O36</f>
        <v>529.52</v>
      </c>
      <c r="P5" s="419">
        <f>[1]WATER!P36</f>
        <v>0</v>
      </c>
      <c r="Q5" s="419">
        <f>[1]WATER!Q36</f>
        <v>0</v>
      </c>
      <c r="R5" s="419">
        <f>[1]WATER!R36</f>
        <v>0</v>
      </c>
      <c r="S5" s="419">
        <f>[1]WATER!S36</f>
        <v>0</v>
      </c>
      <c r="T5" s="419">
        <f>[1]WATER!T36</f>
        <v>5047</v>
      </c>
      <c r="U5" s="419">
        <f>[1]WATER!U36</f>
        <v>7</v>
      </c>
      <c r="V5" s="419">
        <f>[1]WATER!V36</f>
        <v>427</v>
      </c>
      <c r="W5" s="419">
        <f>[1]WATER!W36</f>
        <v>0</v>
      </c>
      <c r="X5" s="419">
        <f>[1]WATER!X36</f>
        <v>147312</v>
      </c>
      <c r="Y5" s="419">
        <f>[1]WATER!Y36</f>
        <v>0</v>
      </c>
      <c r="Z5" s="419">
        <f>[1]WATER!Z36</f>
        <v>96799</v>
      </c>
      <c r="AA5" s="419">
        <f>[1]WATER!AA36</f>
        <v>0</v>
      </c>
      <c r="AB5" s="419">
        <f>[1]WATER!AB36</f>
        <v>264</v>
      </c>
      <c r="AC5" s="419">
        <f>[1]WATER!AC36</f>
        <v>698</v>
      </c>
      <c r="AD5" s="419">
        <f>[1]WATER!AD36</f>
        <v>0</v>
      </c>
      <c r="AE5" s="419">
        <f>[1]WATER!AE36</f>
        <v>206.52</v>
      </c>
      <c r="AF5" s="419">
        <f>[1]WATER!AF36</f>
        <v>7.0400000000000205</v>
      </c>
      <c r="AG5" s="419">
        <f>[1]WATER!AG36</f>
        <v>2111.1999999999998</v>
      </c>
      <c r="AH5" s="419">
        <f>[1]WATER!AH36</f>
        <v>1.9299999999998363</v>
      </c>
      <c r="AI5" s="419">
        <f>[1]WATER!AI36</f>
        <v>8.9699999999998568</v>
      </c>
      <c r="AJ5" s="419">
        <f>[1]WATER!AJ36</f>
        <v>0</v>
      </c>
      <c r="AK5" s="419">
        <f>[1]WATER!AK36</f>
        <v>0</v>
      </c>
      <c r="AL5" s="419">
        <f>[1]WATER!AL36</f>
        <v>0</v>
      </c>
      <c r="AM5" s="419">
        <f>[1]WATER!AM36</f>
        <v>0</v>
      </c>
      <c r="AN5" s="419">
        <f>[1]WATER!AN36</f>
        <v>0</v>
      </c>
      <c r="AO5" s="419">
        <f>[1]WATER!AO36</f>
        <v>0</v>
      </c>
      <c r="AP5" s="419">
        <f>[1]WATER!AP36</f>
        <v>0</v>
      </c>
      <c r="AQ5" s="419">
        <f>[1]WATER!AQ36</f>
        <v>0</v>
      </c>
      <c r="AR5" s="419">
        <f>[1]WATER!AR36</f>
        <v>44074</v>
      </c>
      <c r="AS5" s="419">
        <f>[1]WATER!AS36</f>
        <v>0.9</v>
      </c>
      <c r="AT5" s="419">
        <f>[1]WATER!AT36</f>
        <v>144</v>
      </c>
      <c r="AU5" s="419">
        <f>[1]WATER!AU36</f>
        <v>1.1000000000000001</v>
      </c>
      <c r="AV5" s="419">
        <f>[1]WATER!AV36</f>
        <v>146</v>
      </c>
      <c r="AW5" s="419">
        <f>[1]WATER!AW36</f>
        <v>2.9</v>
      </c>
      <c r="AX5" s="419">
        <f>[1]WATER!AX36</f>
        <v>162</v>
      </c>
      <c r="AY5" s="419">
        <f>[1]WATER!AY36</f>
        <v>129.6</v>
      </c>
      <c r="AZ5" s="419">
        <f>[1]WATER!AZ36</f>
        <v>160.60000000000002</v>
      </c>
      <c r="BA5" s="419">
        <f>[1]WATER!BA36</f>
        <v>469.8</v>
      </c>
      <c r="BB5" s="419">
        <f>[1]WATER!BB36</f>
        <v>-9.9000000000000057</v>
      </c>
      <c r="BC5" s="419">
        <f>[1]WATER!BC36</f>
        <v>-24.199999999999989</v>
      </c>
      <c r="BD5" s="419">
        <f>[1]WATER!BD36</f>
        <v>-84.099999999999966</v>
      </c>
      <c r="BE5" s="419">
        <f>[1]WATER!BE36</f>
        <v>-118.19999999999996</v>
      </c>
      <c r="BF5" s="419">
        <f>[1]WATER!BF36</f>
        <v>118.19999999999996</v>
      </c>
      <c r="BG5" s="419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28">
        <f>C6/27</f>
        <v>0</v>
      </c>
      <c r="E6" s="339">
        <f>SUM((C6*$E$4)+(7500/'EDl log'!$A$38))</f>
        <v>250</v>
      </c>
      <c r="F6" s="427"/>
      <c r="G6" s="5">
        <v>607824</v>
      </c>
      <c r="H6" s="5">
        <f>G6-G5</f>
        <v>0</v>
      </c>
      <c r="I6" s="5">
        <f t="shared" ref="I6:I35" si="0">C6+H6</f>
        <v>0</v>
      </c>
      <c r="J6" s="340">
        <f t="shared" ref="J6:J35" si="1">IF(I6&gt;0,E6/I6,0)</f>
        <v>0</v>
      </c>
      <c r="K6" s="5">
        <f>'Swimming Pool quality check '!H6</f>
        <v>6543</v>
      </c>
      <c r="L6" s="83">
        <v>0</v>
      </c>
      <c r="M6" s="419">
        <f>M5</f>
        <v>457.44</v>
      </c>
      <c r="N6" s="526">
        <f t="shared" ref="N6:N13" si="2">SUM(M6-M5)</f>
        <v>0</v>
      </c>
      <c r="O6" s="419">
        <f>O5</f>
        <v>529.52</v>
      </c>
      <c r="P6" s="526">
        <f t="shared" ref="P6:P13" si="3">SUM(O6-O5)</f>
        <v>0</v>
      </c>
      <c r="Q6" s="527">
        <f>P6+N6</f>
        <v>0</v>
      </c>
      <c r="R6" s="526"/>
      <c r="S6" s="526"/>
      <c r="T6" s="5">
        <v>5057</v>
      </c>
      <c r="U6" s="5">
        <f t="shared" ref="U6:U35" si="4">SUM(T6-T5)</f>
        <v>10</v>
      </c>
      <c r="V6" s="5">
        <f>V5</f>
        <v>427</v>
      </c>
      <c r="W6" s="330">
        <f>+V6-V5</f>
        <v>0</v>
      </c>
      <c r="X6" s="5">
        <v>147392</v>
      </c>
      <c r="Y6" s="330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2">
        <f>+Z6-Z5</f>
        <v>0</v>
      </c>
      <c r="AK6" s="333">
        <f t="shared" ref="AK6:AK37" si="5">SUM(Y6-L6)</f>
        <v>80</v>
      </c>
      <c r="AL6" s="333">
        <f>SUM(AJ6-W6)</f>
        <v>0</v>
      </c>
      <c r="AM6" s="333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2">
        <f>A6</f>
        <v>44075</v>
      </c>
      <c r="AS6" s="433">
        <f t="shared" ref="AS6:AT21" si="6">AS5</f>
        <v>0.9</v>
      </c>
      <c r="AT6" s="204">
        <v>133</v>
      </c>
      <c r="AU6" s="434">
        <f>AU5</f>
        <v>1.1000000000000001</v>
      </c>
      <c r="AV6" s="204">
        <v>128</v>
      </c>
      <c r="AW6" s="5">
        <v>2.9</v>
      </c>
      <c r="AX6" s="204">
        <v>122</v>
      </c>
      <c r="AY6" s="437">
        <f t="shared" ref="AY6:AY35" si="7">AS6*AT6</f>
        <v>119.7</v>
      </c>
      <c r="AZ6" s="437">
        <f>AU6*AV6</f>
        <v>140.80000000000001</v>
      </c>
      <c r="BA6" s="437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5" si="10">B6</f>
        <v>109096</v>
      </c>
      <c r="C7" s="5">
        <f t="shared" ref="C7:C35" si="11">B7-B6</f>
        <v>0</v>
      </c>
      <c r="D7" s="428">
        <f t="shared" ref="D7:D35" si="12">C7/27</f>
        <v>0</v>
      </c>
      <c r="E7" s="339">
        <f>SUM((C7*$E$4)+(7500/'EDl log'!$A$38))</f>
        <v>250</v>
      </c>
      <c r="F7" s="427"/>
      <c r="G7" s="5">
        <f t="shared" ref="G7:G35" si="13">G6</f>
        <v>607824</v>
      </c>
      <c r="H7" s="5">
        <f t="shared" ref="H7:H35" si="14">G7-G6</f>
        <v>0</v>
      </c>
      <c r="I7" s="5">
        <f t="shared" si="0"/>
        <v>0</v>
      </c>
      <c r="J7" s="340">
        <f t="shared" si="1"/>
        <v>0</v>
      </c>
      <c r="K7" s="5">
        <f>'Swimming Pool quality check '!H7</f>
        <v>6550</v>
      </c>
      <c r="L7" s="83">
        <f>K7-K6</f>
        <v>7</v>
      </c>
      <c r="M7" s="419">
        <f t="shared" ref="M7:M35" si="15">M6</f>
        <v>457.44</v>
      </c>
      <c r="N7" s="526">
        <f t="shared" si="2"/>
        <v>0</v>
      </c>
      <c r="O7" s="419">
        <f t="shared" ref="O7:O35" si="16">O6</f>
        <v>529.52</v>
      </c>
      <c r="P7" s="526">
        <f t="shared" si="3"/>
        <v>0</v>
      </c>
      <c r="Q7" s="527">
        <f>P7+N7</f>
        <v>0</v>
      </c>
      <c r="R7" s="526"/>
      <c r="S7" s="526"/>
      <c r="T7" s="5">
        <v>5060</v>
      </c>
      <c r="U7" s="5">
        <f t="shared" si="4"/>
        <v>3</v>
      </c>
      <c r="V7" s="5">
        <f t="shared" ref="V7:V35" si="17">V6</f>
        <v>427</v>
      </c>
      <c r="W7" s="330">
        <f t="shared" ref="W7:W35" si="18">+V7-V6</f>
        <v>0</v>
      </c>
      <c r="X7" s="5">
        <v>147450</v>
      </c>
      <c r="Y7" s="330">
        <f>SUM(X7-X6)</f>
        <v>58</v>
      </c>
      <c r="Z7" s="5">
        <f t="shared" ref="Z7:Z34" si="19">Z6</f>
        <v>96799</v>
      </c>
      <c r="AA7" s="83">
        <f t="shared" ref="AA7:AA35" si="20">Z7-Z6</f>
        <v>0</v>
      </c>
      <c r="AB7" s="5">
        <f t="shared" ref="AB7:AB35" si="21">AB6</f>
        <v>264</v>
      </c>
      <c r="AC7" s="5">
        <f t="shared" ref="AC7:AC35" si="22">AC6</f>
        <v>698</v>
      </c>
      <c r="AD7" s="83">
        <f>AC7-AC6</f>
        <v>0</v>
      </c>
      <c r="AE7" s="5">
        <f t="shared" ref="AE7:AE35" si="23">AE6</f>
        <v>206.52</v>
      </c>
      <c r="AF7" s="83">
        <f t="shared" ref="AF7:AF35" si="24">AE7-AE6</f>
        <v>0</v>
      </c>
      <c r="AG7" s="5">
        <f t="shared" ref="AG7:AG35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2">
        <f t="shared" ref="AJ7:AJ35" si="28">+Z7-Z6</f>
        <v>0</v>
      </c>
      <c r="AK7" s="333">
        <f>SUM(Y7-L7)</f>
        <v>51</v>
      </c>
      <c r="AL7" s="333">
        <f t="shared" ref="AL7:AL35" si="29">SUM(AJ7-W7)</f>
        <v>0</v>
      </c>
      <c r="AM7" s="333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2">
        <f t="shared" ref="AR7:AR35" si="30">A7</f>
        <v>44076</v>
      </c>
      <c r="AS7" s="433">
        <f t="shared" si="6"/>
        <v>0.9</v>
      </c>
      <c r="AT7" s="204">
        <v>82</v>
      </c>
      <c r="AU7" s="434">
        <f>AU6</f>
        <v>1.1000000000000001</v>
      </c>
      <c r="AV7" s="204">
        <v>117</v>
      </c>
      <c r="AW7" s="5">
        <v>2.9</v>
      </c>
      <c r="AX7" s="204">
        <v>125</v>
      </c>
      <c r="AY7" s="437">
        <f t="shared" si="7"/>
        <v>73.8</v>
      </c>
      <c r="AZ7" s="437">
        <f t="shared" ref="AZ7:AZ35" si="31">AU7*AV7</f>
        <v>128.70000000000002</v>
      </c>
      <c r="BA7" s="437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28">
        <f t="shared" si="12"/>
        <v>0</v>
      </c>
      <c r="E8" s="339">
        <f>SUM((C8*$E$4)+(7500/'EDl log'!$A$38))</f>
        <v>250</v>
      </c>
      <c r="F8" s="427"/>
      <c r="G8" s="5">
        <v>607824</v>
      </c>
      <c r="H8" s="5">
        <f t="shared" si="14"/>
        <v>0</v>
      </c>
      <c r="I8" s="5">
        <f t="shared" si="0"/>
        <v>0</v>
      </c>
      <c r="J8" s="340">
        <f t="shared" si="1"/>
        <v>0</v>
      </c>
      <c r="K8" s="5">
        <f>'Swimming Pool quality check '!H8</f>
        <v>6555</v>
      </c>
      <c r="L8" s="83">
        <f>K8-K7</f>
        <v>5</v>
      </c>
      <c r="M8" s="419">
        <f t="shared" si="15"/>
        <v>457.44</v>
      </c>
      <c r="N8" s="526">
        <f t="shared" si="2"/>
        <v>0</v>
      </c>
      <c r="O8" s="419">
        <f t="shared" si="16"/>
        <v>529.52</v>
      </c>
      <c r="P8" s="526">
        <f t="shared" si="3"/>
        <v>0</v>
      </c>
      <c r="Q8" s="527">
        <f>P8+N8</f>
        <v>0</v>
      </c>
      <c r="R8" s="526"/>
      <c r="S8" s="526"/>
      <c r="T8" s="5">
        <f t="shared" ref="T8:T22" si="36">T7</f>
        <v>5060</v>
      </c>
      <c r="U8" s="5">
        <f t="shared" si="4"/>
        <v>0</v>
      </c>
      <c r="V8" s="5">
        <v>449</v>
      </c>
      <c r="W8" s="330">
        <f t="shared" si="18"/>
        <v>22</v>
      </c>
      <c r="X8" s="5">
        <f>X7</f>
        <v>147450</v>
      </c>
      <c r="Y8" s="330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2">
        <f t="shared" si="28"/>
        <v>0</v>
      </c>
      <c r="AK8" s="333">
        <f t="shared" ref="AK8:AK35" si="38">SUM(Y8-L8)</f>
        <v>-5</v>
      </c>
      <c r="AL8" s="333">
        <f t="shared" si="29"/>
        <v>-22</v>
      </c>
      <c r="AM8" s="333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2">
        <f t="shared" si="30"/>
        <v>44077</v>
      </c>
      <c r="AS8" s="433">
        <f t="shared" si="6"/>
        <v>0.9</v>
      </c>
      <c r="AT8" s="204">
        <f t="shared" si="6"/>
        <v>82</v>
      </c>
      <c r="AU8" s="434">
        <v>1.1000000000000001</v>
      </c>
      <c r="AV8" s="204">
        <v>72</v>
      </c>
      <c r="AW8" s="5">
        <v>2.9</v>
      </c>
      <c r="AX8" s="204">
        <v>113</v>
      </c>
      <c r="AY8" s="437">
        <f t="shared" si="7"/>
        <v>73.8</v>
      </c>
      <c r="AZ8" s="437">
        <f t="shared" si="31"/>
        <v>79.2</v>
      </c>
      <c r="BA8" s="437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28">
        <f t="shared" si="12"/>
        <v>0</v>
      </c>
      <c r="E9" s="339">
        <f>SUM((C9*$E$4)+(7500/'EDl log'!$A$38))</f>
        <v>250</v>
      </c>
      <c r="F9" s="427"/>
      <c r="G9" s="5">
        <f t="shared" si="13"/>
        <v>607824</v>
      </c>
      <c r="H9" s="5">
        <f t="shared" si="14"/>
        <v>0</v>
      </c>
      <c r="I9" s="5">
        <f t="shared" si="0"/>
        <v>0</v>
      </c>
      <c r="J9" s="340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19">
        <f t="shared" si="15"/>
        <v>457.44</v>
      </c>
      <c r="N9" s="526">
        <f t="shared" si="2"/>
        <v>0</v>
      </c>
      <c r="O9" s="419">
        <f t="shared" si="16"/>
        <v>529.52</v>
      </c>
      <c r="P9" s="526">
        <f t="shared" si="3"/>
        <v>0</v>
      </c>
      <c r="Q9" s="527">
        <f>P9+N9</f>
        <v>0</v>
      </c>
      <c r="R9" s="526"/>
      <c r="S9" s="526"/>
      <c r="T9" s="5">
        <v>5065</v>
      </c>
      <c r="U9" s="5">
        <f t="shared" si="4"/>
        <v>5</v>
      </c>
      <c r="V9" s="5">
        <v>452</v>
      </c>
      <c r="W9" s="330">
        <f t="shared" si="18"/>
        <v>3</v>
      </c>
      <c r="X9" s="5">
        <f t="shared" ref="X9:X34" si="40">X8</f>
        <v>147450</v>
      </c>
      <c r="Y9" s="330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2">
        <f t="shared" si="28"/>
        <v>66</v>
      </c>
      <c r="AK9" s="333">
        <f t="shared" si="38"/>
        <v>0</v>
      </c>
      <c r="AL9" s="333">
        <f t="shared" si="29"/>
        <v>63</v>
      </c>
      <c r="AM9" s="333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2">
        <f t="shared" si="30"/>
        <v>44078</v>
      </c>
      <c r="AS9" s="433">
        <f t="shared" si="6"/>
        <v>0.9</v>
      </c>
      <c r="AT9" s="204">
        <v>15</v>
      </c>
      <c r="AU9" s="434">
        <f t="shared" ref="AU9:AU35" si="42">AU8</f>
        <v>1.1000000000000001</v>
      </c>
      <c r="AV9" s="204">
        <v>80</v>
      </c>
      <c r="AW9" s="5">
        <v>2.9</v>
      </c>
      <c r="AX9" s="204">
        <v>107</v>
      </c>
      <c r="AY9" s="437">
        <f t="shared" si="7"/>
        <v>13.5</v>
      </c>
      <c r="AZ9" s="437">
        <f t="shared" si="31"/>
        <v>88</v>
      </c>
      <c r="BA9" s="437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3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28">
        <f t="shared" si="12"/>
        <v>0</v>
      </c>
      <c r="E10" s="339">
        <f>SUM((C10*$E$4)+(7500/'EDl log'!$A$38))</f>
        <v>250</v>
      </c>
      <c r="F10" s="427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0">
        <f t="shared" si="1"/>
        <v>0</v>
      </c>
      <c r="K10" s="5">
        <f>'Swimming Pool quality check '!H10</f>
        <v>6555</v>
      </c>
      <c r="L10" s="83">
        <f>K10-K9</f>
        <v>0</v>
      </c>
      <c r="M10" s="419">
        <f t="shared" si="15"/>
        <v>457.44</v>
      </c>
      <c r="N10" s="526">
        <f t="shared" si="2"/>
        <v>0</v>
      </c>
      <c r="O10" s="419">
        <f t="shared" si="16"/>
        <v>529.52</v>
      </c>
      <c r="P10" s="526">
        <f t="shared" si="3"/>
        <v>0</v>
      </c>
      <c r="Q10" s="527">
        <f>P10+N10</f>
        <v>0</v>
      </c>
      <c r="R10" s="526"/>
      <c r="S10" s="526"/>
      <c r="T10" s="5">
        <v>5067</v>
      </c>
      <c r="U10" s="5">
        <f t="shared" si="4"/>
        <v>2</v>
      </c>
      <c r="V10" s="5">
        <v>452</v>
      </c>
      <c r="W10" s="330">
        <f t="shared" si="18"/>
        <v>0</v>
      </c>
      <c r="X10" s="5">
        <f t="shared" si="40"/>
        <v>147450</v>
      </c>
      <c r="Y10" s="330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2">
        <f t="shared" si="28"/>
        <v>0</v>
      </c>
      <c r="AK10" s="333">
        <f t="shared" si="38"/>
        <v>0</v>
      </c>
      <c r="AL10" s="333">
        <f t="shared" si="29"/>
        <v>0</v>
      </c>
      <c r="AM10" s="333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2">
        <f t="shared" si="30"/>
        <v>44079</v>
      </c>
      <c r="AS10" s="433">
        <f t="shared" si="6"/>
        <v>0.9</v>
      </c>
      <c r="AT10" s="204">
        <v>15</v>
      </c>
      <c r="AU10" s="434">
        <f t="shared" si="42"/>
        <v>1.1000000000000001</v>
      </c>
      <c r="AV10" s="204">
        <v>84</v>
      </c>
      <c r="AW10" s="5">
        <v>2.9</v>
      </c>
      <c r="AX10" s="204">
        <v>93</v>
      </c>
      <c r="AY10" s="437">
        <f t="shared" si="7"/>
        <v>13.5</v>
      </c>
      <c r="AZ10" s="437">
        <f t="shared" si="31"/>
        <v>92.4</v>
      </c>
      <c r="BA10" s="437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28">
        <f t="shared" si="12"/>
        <v>0</v>
      </c>
      <c r="E11" s="339">
        <f>SUM((C11*$E$4)+(7500/'EDl log'!$A$38))</f>
        <v>250</v>
      </c>
      <c r="F11" s="427"/>
      <c r="G11" s="5">
        <v>607942</v>
      </c>
      <c r="H11" s="5">
        <f t="shared" si="14"/>
        <v>118</v>
      </c>
      <c r="I11" s="5">
        <f t="shared" si="0"/>
        <v>118</v>
      </c>
      <c r="J11" s="340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19">
        <f t="shared" si="15"/>
        <v>457.44</v>
      </c>
      <c r="N11" s="526">
        <f t="shared" si="2"/>
        <v>0</v>
      </c>
      <c r="O11" s="419">
        <f t="shared" si="16"/>
        <v>529.52</v>
      </c>
      <c r="P11" s="526">
        <f t="shared" si="3"/>
        <v>0</v>
      </c>
      <c r="Q11" s="526">
        <f>SUM(P11+N11)</f>
        <v>0</v>
      </c>
      <c r="R11" s="526"/>
      <c r="S11" s="526"/>
      <c r="T11" s="5">
        <v>5069</v>
      </c>
      <c r="U11" s="5">
        <f t="shared" si="4"/>
        <v>2</v>
      </c>
      <c r="V11" s="5">
        <f t="shared" si="17"/>
        <v>452</v>
      </c>
      <c r="W11" s="330">
        <f t="shared" si="18"/>
        <v>0</v>
      </c>
      <c r="X11" s="5">
        <f t="shared" si="40"/>
        <v>147450</v>
      </c>
      <c r="Y11" s="330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2">
        <f t="shared" si="28"/>
        <v>0</v>
      </c>
      <c r="AK11" s="333">
        <f t="shared" si="38"/>
        <v>0</v>
      </c>
      <c r="AL11" s="333">
        <f t="shared" si="29"/>
        <v>0</v>
      </c>
      <c r="AM11" s="333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2">
        <f t="shared" si="30"/>
        <v>44080</v>
      </c>
      <c r="AS11" s="433">
        <f t="shared" si="6"/>
        <v>0.9</v>
      </c>
      <c r="AT11" s="204">
        <v>74</v>
      </c>
      <c r="AU11" s="434">
        <f t="shared" si="42"/>
        <v>1.1000000000000001</v>
      </c>
      <c r="AV11" s="204">
        <v>78</v>
      </c>
      <c r="AW11" s="5">
        <v>2.9</v>
      </c>
      <c r="AX11" s="204">
        <v>87</v>
      </c>
      <c r="AY11" s="437">
        <f t="shared" si="7"/>
        <v>66.600000000000009</v>
      </c>
      <c r="AZ11" s="437">
        <f t="shared" si="31"/>
        <v>85.800000000000011</v>
      </c>
      <c r="BA11" s="437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28">
        <f t="shared" si="12"/>
        <v>0</v>
      </c>
      <c r="E12" s="339">
        <f>SUM((C12*$E$4)+(7500/'EDl log'!$A$38))</f>
        <v>250</v>
      </c>
      <c r="F12" s="427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0">
        <f t="shared" si="1"/>
        <v>0</v>
      </c>
      <c r="K12" s="5">
        <f>'Swimming Pool quality check '!H12</f>
        <v>6555</v>
      </c>
      <c r="L12" s="83">
        <f t="shared" si="39"/>
        <v>0</v>
      </c>
      <c r="M12" s="419">
        <f t="shared" si="15"/>
        <v>457.44</v>
      </c>
      <c r="N12" s="526">
        <f t="shared" si="2"/>
        <v>0</v>
      </c>
      <c r="O12" s="419">
        <f t="shared" si="16"/>
        <v>529.52</v>
      </c>
      <c r="P12" s="526">
        <f t="shared" si="3"/>
        <v>0</v>
      </c>
      <c r="Q12" s="526">
        <f>SUM(P12+N12)</f>
        <v>0</v>
      </c>
      <c r="R12" s="526"/>
      <c r="S12" s="526"/>
      <c r="T12" s="5">
        <v>5071</v>
      </c>
      <c r="U12" s="5">
        <f t="shared" si="4"/>
        <v>2</v>
      </c>
      <c r="V12" s="5">
        <f t="shared" si="17"/>
        <v>452</v>
      </c>
      <c r="W12" s="330">
        <f t="shared" si="18"/>
        <v>0</v>
      </c>
      <c r="X12" s="5">
        <f t="shared" si="40"/>
        <v>147450</v>
      </c>
      <c r="Y12" s="330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2">
        <f t="shared" si="28"/>
        <v>0</v>
      </c>
      <c r="AK12" s="333">
        <f t="shared" si="38"/>
        <v>0</v>
      </c>
      <c r="AL12" s="333">
        <f t="shared" si="29"/>
        <v>0</v>
      </c>
      <c r="AM12" s="333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2">
        <f t="shared" si="30"/>
        <v>44081</v>
      </c>
      <c r="AS12" s="433">
        <f t="shared" si="6"/>
        <v>0.9</v>
      </c>
      <c r="AT12" s="204">
        <v>69</v>
      </c>
      <c r="AU12" s="434">
        <f t="shared" si="42"/>
        <v>1.1000000000000001</v>
      </c>
      <c r="AV12" s="204">
        <v>69</v>
      </c>
      <c r="AW12" s="5">
        <v>2.9</v>
      </c>
      <c r="AX12" s="204">
        <v>85</v>
      </c>
      <c r="AY12" s="437">
        <f t="shared" si="7"/>
        <v>62.1</v>
      </c>
      <c r="AZ12" s="437">
        <f t="shared" si="31"/>
        <v>75.900000000000006</v>
      </c>
      <c r="BA12" s="437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28">
        <f t="shared" si="12"/>
        <v>0</v>
      </c>
      <c r="E13" s="339">
        <f>SUM((C13*$E$4)+(7500/'EDl log'!$A$38))</f>
        <v>250</v>
      </c>
      <c r="F13" s="427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0">
        <f t="shared" si="1"/>
        <v>0</v>
      </c>
      <c r="K13" s="5">
        <f>'Swimming Pool quality check '!H13</f>
        <v>6555</v>
      </c>
      <c r="L13" s="83">
        <f t="shared" si="39"/>
        <v>0</v>
      </c>
      <c r="M13" s="419">
        <f t="shared" si="15"/>
        <v>457.44</v>
      </c>
      <c r="N13" s="526">
        <f t="shared" si="2"/>
        <v>0</v>
      </c>
      <c r="O13" s="419">
        <f t="shared" si="16"/>
        <v>529.52</v>
      </c>
      <c r="P13" s="526">
        <f t="shared" si="3"/>
        <v>0</v>
      </c>
      <c r="Q13" s="526">
        <f>SUM(P13+N13)</f>
        <v>0</v>
      </c>
      <c r="R13" s="526"/>
      <c r="S13" s="526"/>
      <c r="T13" s="5">
        <v>5074</v>
      </c>
      <c r="U13" s="5">
        <f t="shared" si="4"/>
        <v>3</v>
      </c>
      <c r="V13" s="5">
        <f t="shared" si="17"/>
        <v>452</v>
      </c>
      <c r="W13" s="330">
        <f t="shared" si="18"/>
        <v>0</v>
      </c>
      <c r="X13" s="5">
        <f t="shared" si="40"/>
        <v>147450</v>
      </c>
      <c r="Y13" s="330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2">
        <f t="shared" si="28"/>
        <v>0</v>
      </c>
      <c r="AK13" s="333">
        <f t="shared" si="38"/>
        <v>0</v>
      </c>
      <c r="AL13" s="333">
        <f t="shared" si="29"/>
        <v>0</v>
      </c>
      <c r="AM13" s="333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2">
        <f t="shared" si="30"/>
        <v>44082</v>
      </c>
      <c r="AS13" s="433">
        <f t="shared" si="6"/>
        <v>0.9</v>
      </c>
      <c r="AT13" s="204">
        <v>69</v>
      </c>
      <c r="AU13" s="434">
        <f t="shared" si="42"/>
        <v>1.1000000000000001</v>
      </c>
      <c r="AV13" s="204">
        <v>69</v>
      </c>
      <c r="AW13" s="5">
        <v>2.9</v>
      </c>
      <c r="AX13" s="204">
        <v>79</v>
      </c>
      <c r="AY13" s="437">
        <f t="shared" si="7"/>
        <v>62.1</v>
      </c>
      <c r="AZ13" s="437">
        <f t="shared" si="31"/>
        <v>75.900000000000006</v>
      </c>
      <c r="BA13" s="437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28">
        <f t="shared" si="12"/>
        <v>0</v>
      </c>
      <c r="E14" s="339">
        <f>SUM((C14*$E$4)+(7500/'EDl log'!$A$38))</f>
        <v>250</v>
      </c>
      <c r="F14" s="427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0">
        <f t="shared" si="1"/>
        <v>0</v>
      </c>
      <c r="K14" s="5">
        <f>'Swimming Pool quality check '!H14</f>
        <v>6555</v>
      </c>
      <c r="L14" s="83">
        <f t="shared" si="39"/>
        <v>0</v>
      </c>
      <c r="M14" s="419">
        <f t="shared" si="15"/>
        <v>457.44</v>
      </c>
      <c r="N14" s="526">
        <f t="shared" ref="N14:N35" si="43">SUM(M14-M13)</f>
        <v>0</v>
      </c>
      <c r="O14" s="419">
        <f t="shared" si="16"/>
        <v>529.52</v>
      </c>
      <c r="P14" s="526">
        <f t="shared" ref="P14:P35" si="44">SUM(O14-O13)</f>
        <v>0</v>
      </c>
      <c r="Q14" s="526">
        <f t="shared" ref="Q14:Q35" si="45">SUM(P14+N14)</f>
        <v>0</v>
      </c>
      <c r="R14" s="526"/>
      <c r="S14" s="526"/>
      <c r="T14" s="5">
        <v>5077</v>
      </c>
      <c r="U14" s="5">
        <f t="shared" si="4"/>
        <v>3</v>
      </c>
      <c r="V14" s="5">
        <f t="shared" si="17"/>
        <v>452</v>
      </c>
      <c r="W14" s="330">
        <f t="shared" si="18"/>
        <v>0</v>
      </c>
      <c r="X14" s="5">
        <f t="shared" si="40"/>
        <v>147450</v>
      </c>
      <c r="Y14" s="330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2">
        <f t="shared" si="28"/>
        <v>0</v>
      </c>
      <c r="AK14" s="333">
        <f t="shared" si="38"/>
        <v>0</v>
      </c>
      <c r="AL14" s="333">
        <f t="shared" si="29"/>
        <v>0</v>
      </c>
      <c r="AM14" s="333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2">
        <f t="shared" si="30"/>
        <v>44083</v>
      </c>
      <c r="AS14" s="433">
        <f t="shared" si="6"/>
        <v>0.9</v>
      </c>
      <c r="AT14" s="204">
        <v>62</v>
      </c>
      <c r="AU14" s="434">
        <f t="shared" si="42"/>
        <v>1.1000000000000001</v>
      </c>
      <c r="AV14" s="204">
        <v>53</v>
      </c>
      <c r="AW14" s="5">
        <v>2.9</v>
      </c>
      <c r="AX14" s="204">
        <v>75</v>
      </c>
      <c r="AY14" s="437">
        <f t="shared" si="7"/>
        <v>55.800000000000004</v>
      </c>
      <c r="AZ14" s="437">
        <f t="shared" si="31"/>
        <v>58.300000000000004</v>
      </c>
      <c r="BA14" s="437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28">
        <f t="shared" si="12"/>
        <v>0</v>
      </c>
      <c r="E15" s="339">
        <f>SUM((C15*$E$4)+(7500/'EDl log'!$A$38))</f>
        <v>250</v>
      </c>
      <c r="F15" s="427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0">
        <f t="shared" si="1"/>
        <v>0</v>
      </c>
      <c r="K15" s="5">
        <f>'Swimming Pool quality check '!H15</f>
        <v>6555</v>
      </c>
      <c r="L15" s="83">
        <f t="shared" si="39"/>
        <v>0</v>
      </c>
      <c r="M15" s="419">
        <f t="shared" si="15"/>
        <v>457.44</v>
      </c>
      <c r="N15" s="526">
        <f t="shared" si="43"/>
        <v>0</v>
      </c>
      <c r="O15" s="419">
        <f t="shared" si="16"/>
        <v>529.52</v>
      </c>
      <c r="P15" s="526">
        <f t="shared" si="44"/>
        <v>0</v>
      </c>
      <c r="Q15" s="526">
        <f t="shared" si="45"/>
        <v>0</v>
      </c>
      <c r="R15" s="526"/>
      <c r="S15" s="526"/>
      <c r="T15" s="5">
        <v>5079</v>
      </c>
      <c r="U15" s="5">
        <f t="shared" si="4"/>
        <v>2</v>
      </c>
      <c r="V15" s="5">
        <f t="shared" si="17"/>
        <v>452</v>
      </c>
      <c r="W15" s="330">
        <f t="shared" si="18"/>
        <v>0</v>
      </c>
      <c r="X15" s="5">
        <f t="shared" si="40"/>
        <v>147450</v>
      </c>
      <c r="Y15" s="330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2">
        <f t="shared" si="28"/>
        <v>0</v>
      </c>
      <c r="AK15" s="333">
        <f t="shared" si="38"/>
        <v>0</v>
      </c>
      <c r="AL15" s="333">
        <f t="shared" si="29"/>
        <v>0</v>
      </c>
      <c r="AM15" s="333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2">
        <f t="shared" si="30"/>
        <v>44084</v>
      </c>
      <c r="AS15" s="433">
        <f t="shared" si="6"/>
        <v>0.9</v>
      </c>
      <c r="AT15" s="204">
        <v>62</v>
      </c>
      <c r="AU15" s="434">
        <f t="shared" si="42"/>
        <v>1.1000000000000001</v>
      </c>
      <c r="AV15" s="204">
        <v>46</v>
      </c>
      <c r="AW15" s="5">
        <v>2.9</v>
      </c>
      <c r="AX15" s="204">
        <v>69</v>
      </c>
      <c r="AY15" s="437">
        <f t="shared" si="7"/>
        <v>55.800000000000004</v>
      </c>
      <c r="AZ15" s="437">
        <f t="shared" si="31"/>
        <v>50.6</v>
      </c>
      <c r="BA15" s="437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28">
        <f t="shared" si="12"/>
        <v>0</v>
      </c>
      <c r="E16" s="339">
        <f>SUM((C16*$E$4)+(7500/'EDl log'!$A$38))</f>
        <v>250</v>
      </c>
      <c r="F16" s="427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0">
        <f t="shared" si="1"/>
        <v>0</v>
      </c>
      <c r="K16" s="5">
        <f>'Swimming Pool quality check '!H16</f>
        <v>6555</v>
      </c>
      <c r="L16" s="279">
        <f t="shared" si="39"/>
        <v>0</v>
      </c>
      <c r="M16" s="419">
        <f t="shared" si="15"/>
        <v>457.44</v>
      </c>
      <c r="N16" s="526">
        <f t="shared" si="43"/>
        <v>0</v>
      </c>
      <c r="O16" s="419">
        <f t="shared" si="16"/>
        <v>529.52</v>
      </c>
      <c r="P16" s="526">
        <f t="shared" si="44"/>
        <v>0</v>
      </c>
      <c r="Q16" s="526">
        <f t="shared" si="45"/>
        <v>0</v>
      </c>
      <c r="R16" s="528"/>
      <c r="S16" s="528"/>
      <c r="T16" s="610">
        <v>5082</v>
      </c>
      <c r="U16" s="5">
        <f t="shared" si="4"/>
        <v>3</v>
      </c>
      <c r="V16" s="5">
        <f t="shared" si="17"/>
        <v>452</v>
      </c>
      <c r="W16" s="330">
        <f t="shared" si="18"/>
        <v>0</v>
      </c>
      <c r="X16" s="5">
        <f t="shared" si="40"/>
        <v>147450</v>
      </c>
      <c r="Y16" s="330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2">
        <f t="shared" si="28"/>
        <v>0</v>
      </c>
      <c r="AK16" s="333">
        <f t="shared" si="38"/>
        <v>0</v>
      </c>
      <c r="AL16" s="333">
        <f t="shared" si="29"/>
        <v>0</v>
      </c>
      <c r="AM16" s="333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2">
        <f t="shared" si="30"/>
        <v>44085</v>
      </c>
      <c r="AS16" s="433">
        <f t="shared" si="6"/>
        <v>0.9</v>
      </c>
      <c r="AT16" s="204">
        <f t="shared" si="6"/>
        <v>62</v>
      </c>
      <c r="AU16" s="434">
        <f t="shared" si="42"/>
        <v>1.1000000000000001</v>
      </c>
      <c r="AV16" s="204">
        <v>32</v>
      </c>
      <c r="AW16" s="5">
        <v>2.9</v>
      </c>
      <c r="AX16" s="204">
        <v>60</v>
      </c>
      <c r="AY16" s="437">
        <f t="shared" si="7"/>
        <v>55.800000000000004</v>
      </c>
      <c r="AZ16" s="437">
        <f t="shared" si="31"/>
        <v>35.200000000000003</v>
      </c>
      <c r="BA16" s="437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28">
        <f t="shared" si="12"/>
        <v>0</v>
      </c>
      <c r="E17" s="339">
        <f>SUM((C17*$E$4)+(7500/'EDl log'!$A$38))</f>
        <v>250</v>
      </c>
      <c r="F17" s="427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0">
        <f t="shared" si="1"/>
        <v>0</v>
      </c>
      <c r="K17" s="5">
        <f>'Swimming Pool quality check '!H17</f>
        <v>6555</v>
      </c>
      <c r="L17" s="83">
        <f t="shared" si="39"/>
        <v>0</v>
      </c>
      <c r="M17" s="419">
        <f t="shared" si="15"/>
        <v>457.44</v>
      </c>
      <c r="N17" s="526">
        <f t="shared" si="43"/>
        <v>0</v>
      </c>
      <c r="O17" s="419">
        <f t="shared" si="16"/>
        <v>529.52</v>
      </c>
      <c r="P17" s="526">
        <f t="shared" si="44"/>
        <v>0</v>
      </c>
      <c r="Q17" s="526">
        <f t="shared" si="45"/>
        <v>0</v>
      </c>
      <c r="R17" s="526"/>
      <c r="S17" s="526"/>
      <c r="T17" s="5">
        <v>5084</v>
      </c>
      <c r="U17" s="5">
        <f t="shared" si="4"/>
        <v>2</v>
      </c>
      <c r="V17" s="5">
        <f t="shared" si="17"/>
        <v>452</v>
      </c>
      <c r="W17" s="330">
        <f t="shared" si="18"/>
        <v>0</v>
      </c>
      <c r="X17" s="5">
        <f t="shared" si="40"/>
        <v>147450</v>
      </c>
      <c r="Y17" s="330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2">
        <f t="shared" si="28"/>
        <v>32</v>
      </c>
      <c r="AK17" s="333">
        <f t="shared" si="38"/>
        <v>0</v>
      </c>
      <c r="AL17" s="333">
        <f t="shared" si="29"/>
        <v>32</v>
      </c>
      <c r="AM17" s="333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2">
        <f t="shared" si="30"/>
        <v>44086</v>
      </c>
      <c r="AS17" s="433">
        <f t="shared" si="6"/>
        <v>0.9</v>
      </c>
      <c r="AT17" s="204">
        <v>22</v>
      </c>
      <c r="AU17" s="434">
        <f t="shared" si="42"/>
        <v>1.1000000000000001</v>
      </c>
      <c r="AV17" s="204">
        <v>51</v>
      </c>
      <c r="AW17" s="5">
        <v>2.9</v>
      </c>
      <c r="AX17" s="204">
        <v>58</v>
      </c>
      <c r="AY17" s="437">
        <f t="shared" si="7"/>
        <v>19.8</v>
      </c>
      <c r="AZ17" s="437">
        <f t="shared" si="31"/>
        <v>56.1</v>
      </c>
      <c r="BA17" s="437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28">
        <f t="shared" si="12"/>
        <v>0</v>
      </c>
      <c r="E18" s="339">
        <f>SUM((C18*$E$4)+(7500/'EDl log'!$A$38))</f>
        <v>250</v>
      </c>
      <c r="F18" s="427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0">
        <f t="shared" si="1"/>
        <v>0</v>
      </c>
      <c r="K18" s="5">
        <f>'Swimming Pool quality check '!H18</f>
        <v>6555</v>
      </c>
      <c r="L18" s="83">
        <f t="shared" si="39"/>
        <v>0</v>
      </c>
      <c r="M18" s="419">
        <f t="shared" si="15"/>
        <v>457.44</v>
      </c>
      <c r="N18" s="526">
        <f t="shared" si="43"/>
        <v>0</v>
      </c>
      <c r="O18" s="419">
        <f t="shared" si="16"/>
        <v>529.52</v>
      </c>
      <c r="P18" s="526">
        <f t="shared" si="44"/>
        <v>0</v>
      </c>
      <c r="Q18" s="526">
        <f t="shared" si="45"/>
        <v>0</v>
      </c>
      <c r="R18" s="526"/>
      <c r="S18" s="526"/>
      <c r="T18" s="5">
        <v>5086</v>
      </c>
      <c r="U18" s="5">
        <f t="shared" si="4"/>
        <v>2</v>
      </c>
      <c r="V18" s="5">
        <f t="shared" si="17"/>
        <v>452</v>
      </c>
      <c r="W18" s="330">
        <f t="shared" si="18"/>
        <v>0</v>
      </c>
      <c r="X18" s="5">
        <f t="shared" si="40"/>
        <v>147450</v>
      </c>
      <c r="Y18" s="330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2">
        <f t="shared" si="28"/>
        <v>0</v>
      </c>
      <c r="AK18" s="333">
        <f t="shared" si="38"/>
        <v>0</v>
      </c>
      <c r="AL18" s="333">
        <f t="shared" si="29"/>
        <v>0</v>
      </c>
      <c r="AM18" s="333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2">
        <f t="shared" si="30"/>
        <v>44087</v>
      </c>
      <c r="AS18" s="433">
        <f t="shared" si="6"/>
        <v>0.9</v>
      </c>
      <c r="AT18" s="204">
        <f t="shared" si="6"/>
        <v>22</v>
      </c>
      <c r="AU18" s="434">
        <f t="shared" si="42"/>
        <v>1.1000000000000001</v>
      </c>
      <c r="AV18" s="204">
        <v>43</v>
      </c>
      <c r="AW18" s="5">
        <v>2.9</v>
      </c>
      <c r="AX18" s="204">
        <v>58</v>
      </c>
      <c r="AY18" s="437">
        <f t="shared" si="7"/>
        <v>19.8</v>
      </c>
      <c r="AZ18" s="437">
        <f t="shared" si="31"/>
        <v>47.300000000000004</v>
      </c>
      <c r="BA18" s="437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28">
        <f t="shared" si="12"/>
        <v>0</v>
      </c>
      <c r="E19" s="339">
        <f>SUM((C19*$E$4)+(7500/'EDl log'!$A$38))</f>
        <v>250</v>
      </c>
      <c r="F19" s="427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0">
        <f t="shared" si="1"/>
        <v>0</v>
      </c>
      <c r="K19" s="5">
        <f>'Swimming Pool quality check '!H19</f>
        <v>6555</v>
      </c>
      <c r="L19" s="83">
        <f t="shared" si="39"/>
        <v>0</v>
      </c>
      <c r="M19" s="419">
        <f t="shared" si="15"/>
        <v>457.44</v>
      </c>
      <c r="N19" s="526">
        <f t="shared" si="43"/>
        <v>0</v>
      </c>
      <c r="O19" s="419">
        <f t="shared" si="16"/>
        <v>529.52</v>
      </c>
      <c r="P19" s="526">
        <f t="shared" si="44"/>
        <v>0</v>
      </c>
      <c r="Q19" s="526">
        <f t="shared" si="45"/>
        <v>0</v>
      </c>
      <c r="R19" s="526"/>
      <c r="S19" s="526"/>
      <c r="T19" s="5">
        <v>5088</v>
      </c>
      <c r="U19" s="5">
        <f t="shared" si="4"/>
        <v>2</v>
      </c>
      <c r="V19" s="5">
        <f t="shared" si="17"/>
        <v>452</v>
      </c>
      <c r="W19" s="330">
        <f t="shared" si="18"/>
        <v>0</v>
      </c>
      <c r="X19" s="5">
        <f t="shared" si="40"/>
        <v>147450</v>
      </c>
      <c r="Y19" s="330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2">
        <f t="shared" si="28"/>
        <v>25</v>
      </c>
      <c r="AK19" s="333">
        <f t="shared" si="38"/>
        <v>0</v>
      </c>
      <c r="AL19" s="333">
        <f t="shared" si="29"/>
        <v>25</v>
      </c>
      <c r="AM19" s="333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2">
        <f t="shared" si="30"/>
        <v>44088</v>
      </c>
      <c r="AS19" s="433">
        <f t="shared" si="6"/>
        <v>0.9</v>
      </c>
      <c r="AT19" s="204">
        <v>0</v>
      </c>
      <c r="AU19" s="434">
        <f t="shared" si="42"/>
        <v>1.1000000000000001</v>
      </c>
      <c r="AV19" s="204">
        <v>56</v>
      </c>
      <c r="AW19" s="5">
        <v>2.9</v>
      </c>
      <c r="AX19" s="204">
        <v>57</v>
      </c>
      <c r="AY19" s="437">
        <f t="shared" si="7"/>
        <v>0</v>
      </c>
      <c r="AZ19" s="437">
        <f t="shared" si="31"/>
        <v>61.600000000000009</v>
      </c>
      <c r="BA19" s="437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28">
        <f t="shared" si="12"/>
        <v>0</v>
      </c>
      <c r="E20" s="339">
        <f>SUM((C20*$E$4)+(7500/'EDl log'!$A$38))</f>
        <v>250</v>
      </c>
      <c r="F20" s="427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0">
        <f t="shared" si="1"/>
        <v>0</v>
      </c>
      <c r="K20" s="5">
        <f>'Swimming Pool quality check '!H20</f>
        <v>6555</v>
      </c>
      <c r="L20" s="83">
        <f t="shared" si="39"/>
        <v>0</v>
      </c>
      <c r="M20" s="419">
        <f t="shared" si="15"/>
        <v>457.44</v>
      </c>
      <c r="N20" s="526">
        <f t="shared" si="43"/>
        <v>0</v>
      </c>
      <c r="O20" s="419">
        <f t="shared" si="16"/>
        <v>529.52</v>
      </c>
      <c r="P20" s="526">
        <f t="shared" si="44"/>
        <v>0</v>
      </c>
      <c r="Q20" s="526">
        <f t="shared" si="45"/>
        <v>0</v>
      </c>
      <c r="R20" s="526"/>
      <c r="S20" s="526"/>
      <c r="T20" s="5">
        <v>5089</v>
      </c>
      <c r="U20" s="5">
        <f t="shared" si="4"/>
        <v>1</v>
      </c>
      <c r="V20" s="5">
        <f t="shared" si="17"/>
        <v>452</v>
      </c>
      <c r="W20" s="330">
        <f t="shared" si="18"/>
        <v>0</v>
      </c>
      <c r="X20" s="5">
        <f t="shared" si="40"/>
        <v>147450</v>
      </c>
      <c r="Y20" s="330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2">
        <f t="shared" si="28"/>
        <v>0</v>
      </c>
      <c r="AK20" s="333">
        <f t="shared" si="38"/>
        <v>0</v>
      </c>
      <c r="AL20" s="333">
        <f t="shared" si="29"/>
        <v>0</v>
      </c>
      <c r="AM20" s="333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2">
        <f t="shared" si="30"/>
        <v>44089</v>
      </c>
      <c r="AS20" s="433">
        <f t="shared" si="6"/>
        <v>0.9</v>
      </c>
      <c r="AT20" s="204">
        <f t="shared" si="6"/>
        <v>0</v>
      </c>
      <c r="AU20" s="434">
        <f t="shared" si="42"/>
        <v>1.1000000000000001</v>
      </c>
      <c r="AV20" s="204">
        <v>48</v>
      </c>
      <c r="AW20" s="5">
        <v>2.9</v>
      </c>
      <c r="AX20" s="204">
        <v>52</v>
      </c>
      <c r="AY20" s="437">
        <f t="shared" si="7"/>
        <v>0</v>
      </c>
      <c r="AZ20" s="437">
        <f t="shared" si="31"/>
        <v>52.800000000000004</v>
      </c>
      <c r="BA20" s="437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28">
        <f t="shared" si="12"/>
        <v>0</v>
      </c>
      <c r="E21" s="339">
        <f>SUM((C21*$E$4)+(7500/'EDl log'!$A$38))</f>
        <v>250</v>
      </c>
      <c r="F21" s="333"/>
      <c r="G21" s="5">
        <v>608127</v>
      </c>
      <c r="H21" s="5">
        <f t="shared" si="14"/>
        <v>185</v>
      </c>
      <c r="I21" s="5">
        <f t="shared" si="0"/>
        <v>185</v>
      </c>
      <c r="J21" s="340">
        <f t="shared" si="1"/>
        <v>1.3513513513513513</v>
      </c>
      <c r="K21" s="5">
        <f>'Swimming Pool quality check '!H21</f>
        <v>6555</v>
      </c>
      <c r="L21" s="83">
        <f t="shared" si="39"/>
        <v>0</v>
      </c>
      <c r="M21" s="419">
        <f t="shared" si="15"/>
        <v>457.44</v>
      </c>
      <c r="N21" s="526">
        <f t="shared" si="43"/>
        <v>0</v>
      </c>
      <c r="O21" s="419">
        <f t="shared" si="16"/>
        <v>529.52</v>
      </c>
      <c r="P21" s="526">
        <f t="shared" si="44"/>
        <v>0</v>
      </c>
      <c r="Q21" s="526">
        <f t="shared" si="45"/>
        <v>0</v>
      </c>
      <c r="R21" s="526"/>
      <c r="S21" s="526"/>
      <c r="T21" s="5">
        <v>5093</v>
      </c>
      <c r="U21" s="5">
        <f t="shared" si="4"/>
        <v>4</v>
      </c>
      <c r="V21" s="5">
        <f t="shared" si="17"/>
        <v>452</v>
      </c>
      <c r="W21" s="330">
        <f t="shared" si="18"/>
        <v>0</v>
      </c>
      <c r="X21" s="5">
        <f t="shared" si="40"/>
        <v>147450</v>
      </c>
      <c r="Y21" s="330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2">
        <f t="shared" si="28"/>
        <v>0</v>
      </c>
      <c r="AK21" s="333">
        <f t="shared" si="38"/>
        <v>0</v>
      </c>
      <c r="AL21" s="333">
        <f t="shared" si="29"/>
        <v>0</v>
      </c>
      <c r="AM21" s="333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2">
        <f t="shared" si="30"/>
        <v>44090</v>
      </c>
      <c r="AS21" s="433">
        <f t="shared" si="6"/>
        <v>0.9</v>
      </c>
      <c r="AT21" s="204">
        <v>72</v>
      </c>
      <c r="AU21" s="434">
        <f t="shared" si="42"/>
        <v>1.1000000000000001</v>
      </c>
      <c r="AV21" s="204">
        <v>40</v>
      </c>
      <c r="AW21" s="5">
        <v>2.9</v>
      </c>
      <c r="AX21" s="204">
        <v>48</v>
      </c>
      <c r="AY21" s="437">
        <f t="shared" si="7"/>
        <v>64.8</v>
      </c>
      <c r="AZ21" s="437">
        <f t="shared" si="31"/>
        <v>44</v>
      </c>
      <c r="BA21" s="437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140.6</v>
      </c>
      <c r="BG21" s="82">
        <f t="shared" si="9"/>
        <v>44.400000000000006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28">
        <f t="shared" si="12"/>
        <v>0</v>
      </c>
      <c r="E22" s="339">
        <f>SUM((C22*$E$4)+(7500/'EDl log'!$A$38))</f>
        <v>250</v>
      </c>
      <c r="F22" s="333"/>
      <c r="G22" s="5">
        <f t="shared" si="13"/>
        <v>608127</v>
      </c>
      <c r="H22" s="5">
        <f t="shared" si="14"/>
        <v>0</v>
      </c>
      <c r="I22" s="5">
        <f t="shared" si="0"/>
        <v>0</v>
      </c>
      <c r="J22" s="340">
        <f t="shared" si="1"/>
        <v>0</v>
      </c>
      <c r="K22" s="5">
        <f>'Swimming Pool quality check '!H22</f>
        <v>6555</v>
      </c>
      <c r="L22" s="83">
        <f t="shared" si="39"/>
        <v>0</v>
      </c>
      <c r="M22" s="419">
        <f t="shared" si="15"/>
        <v>457.44</v>
      </c>
      <c r="N22" s="526">
        <f t="shared" si="43"/>
        <v>0</v>
      </c>
      <c r="O22" s="419">
        <f t="shared" si="16"/>
        <v>529.52</v>
      </c>
      <c r="P22" s="526">
        <f t="shared" si="44"/>
        <v>0</v>
      </c>
      <c r="Q22" s="526">
        <f t="shared" si="45"/>
        <v>0</v>
      </c>
      <c r="R22" s="526"/>
      <c r="S22" s="526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0">
        <f t="shared" si="18"/>
        <v>0</v>
      </c>
      <c r="X22" s="610">
        <v>147461</v>
      </c>
      <c r="Y22" s="330">
        <f t="shared" si="41"/>
        <v>11</v>
      </c>
      <c r="Z22" s="5">
        <v>96945</v>
      </c>
      <c r="AA22" s="83">
        <f t="shared" si="20"/>
        <v>23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2">
        <f t="shared" si="28"/>
        <v>23</v>
      </c>
      <c r="AK22" s="333">
        <f t="shared" si="38"/>
        <v>11</v>
      </c>
      <c r="AL22" s="333">
        <f t="shared" si="29"/>
        <v>23</v>
      </c>
      <c r="AM22" s="333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82">
        <f t="shared" si="30"/>
        <v>44091</v>
      </c>
      <c r="AS22" s="433">
        <f t="shared" ref="AS22:AT35" si="46">AS21</f>
        <v>0.9</v>
      </c>
      <c r="AT22" s="204">
        <v>0</v>
      </c>
      <c r="AU22" s="434">
        <f t="shared" si="42"/>
        <v>1.1000000000000001</v>
      </c>
      <c r="AV22" s="204">
        <v>41</v>
      </c>
      <c r="AW22" s="5">
        <v>2.9</v>
      </c>
      <c r="AX22" s="204">
        <v>56</v>
      </c>
      <c r="AY22" s="437">
        <f t="shared" si="7"/>
        <v>0</v>
      </c>
      <c r="AZ22" s="437">
        <f t="shared" si="31"/>
        <v>45.1</v>
      </c>
      <c r="BA22" s="437">
        <f t="shared" si="32"/>
        <v>162.4</v>
      </c>
      <c r="BB22" s="21">
        <f>AY22-AY21</f>
        <v>-64.8</v>
      </c>
      <c r="BC22" s="21">
        <f t="shared" si="33"/>
        <v>1.1000000000000014</v>
      </c>
      <c r="BD22" s="21">
        <f t="shared" si="33"/>
        <v>23.200000000000017</v>
      </c>
      <c r="BE22" s="24">
        <f t="shared" si="35"/>
        <v>-40.499999999999979</v>
      </c>
      <c r="BF22" s="96">
        <f t="shared" si="8"/>
        <v>40.499999999999979</v>
      </c>
      <c r="BG22" s="82">
        <f t="shared" si="9"/>
        <v>-40.499999999999979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28">
        <f t="shared" si="12"/>
        <v>0</v>
      </c>
      <c r="E23" s="339">
        <f>SUM((C23*$E$4)+(7500/'EDl log'!$A$38))</f>
        <v>250</v>
      </c>
      <c r="F23" s="333"/>
      <c r="G23" s="5">
        <v>608269</v>
      </c>
      <c r="H23" s="5">
        <f t="shared" si="14"/>
        <v>142</v>
      </c>
      <c r="I23" s="5">
        <f t="shared" si="0"/>
        <v>142</v>
      </c>
      <c r="J23" s="340">
        <f t="shared" si="1"/>
        <v>1.7605633802816902</v>
      </c>
      <c r="K23" s="5">
        <f>'Swimming Pool quality check '!H23</f>
        <v>6555</v>
      </c>
      <c r="L23" s="279">
        <f t="shared" si="39"/>
        <v>0</v>
      </c>
      <c r="M23" s="419">
        <f t="shared" si="15"/>
        <v>457.44</v>
      </c>
      <c r="N23" s="526">
        <f t="shared" si="43"/>
        <v>0</v>
      </c>
      <c r="O23" s="419">
        <f t="shared" si="16"/>
        <v>529.52</v>
      </c>
      <c r="P23" s="526">
        <f t="shared" si="44"/>
        <v>0</v>
      </c>
      <c r="Q23" s="526">
        <f t="shared" si="45"/>
        <v>0</v>
      </c>
      <c r="R23" s="528"/>
      <c r="S23" s="528"/>
      <c r="T23" s="5">
        <v>5097</v>
      </c>
      <c r="U23" s="5">
        <f t="shared" si="4"/>
        <v>4</v>
      </c>
      <c r="V23" s="5">
        <f t="shared" si="17"/>
        <v>452</v>
      </c>
      <c r="W23" s="330">
        <f t="shared" si="18"/>
        <v>0</v>
      </c>
      <c r="X23" s="5">
        <v>147461</v>
      </c>
      <c r="Y23" s="330">
        <f t="shared" si="41"/>
        <v>0</v>
      </c>
      <c r="Z23" s="5">
        <v>97015</v>
      </c>
      <c r="AA23" s="83">
        <f t="shared" si="20"/>
        <v>70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2">
        <f t="shared" si="28"/>
        <v>70</v>
      </c>
      <c r="AK23" s="333">
        <f t="shared" si="38"/>
        <v>0</v>
      </c>
      <c r="AL23" s="333">
        <f t="shared" si="29"/>
        <v>70</v>
      </c>
      <c r="AM23" s="333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82">
        <f t="shared" si="30"/>
        <v>44092</v>
      </c>
      <c r="AS23" s="433">
        <f t="shared" si="46"/>
        <v>0.9</v>
      </c>
      <c r="AT23" s="204">
        <v>18</v>
      </c>
      <c r="AU23" s="434">
        <f t="shared" si="42"/>
        <v>1.1000000000000001</v>
      </c>
      <c r="AV23" s="204">
        <v>96</v>
      </c>
      <c r="AW23" s="5">
        <v>2.9</v>
      </c>
      <c r="AX23" s="204">
        <v>53</v>
      </c>
      <c r="AY23" s="437">
        <f t="shared" si="7"/>
        <v>16.2</v>
      </c>
      <c r="AZ23" s="437">
        <f t="shared" si="31"/>
        <v>105.60000000000001</v>
      </c>
      <c r="BA23" s="437">
        <f t="shared" si="32"/>
        <v>153.69999999999999</v>
      </c>
      <c r="BB23" s="21">
        <f t="shared" si="33"/>
        <v>16.2</v>
      </c>
      <c r="BC23" s="21">
        <f t="shared" si="33"/>
        <v>60.500000000000007</v>
      </c>
      <c r="BD23" s="21">
        <f t="shared" si="33"/>
        <v>-8.7000000000000171</v>
      </c>
      <c r="BE23" s="24">
        <f t="shared" si="35"/>
        <v>67.999999999999986</v>
      </c>
      <c r="BF23" s="96">
        <f t="shared" si="8"/>
        <v>74.000000000000014</v>
      </c>
      <c r="BG23" s="82">
        <f t="shared" si="9"/>
        <v>67.999999999999986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28">
        <f t="shared" si="12"/>
        <v>0</v>
      </c>
      <c r="E24" s="339">
        <f>SUM((C24*$E$4)+(7500/'EDl log'!$A$38))</f>
        <v>250</v>
      </c>
      <c r="F24" s="333"/>
      <c r="G24" s="5">
        <f t="shared" si="13"/>
        <v>608269</v>
      </c>
      <c r="H24" s="5">
        <f t="shared" si="14"/>
        <v>0</v>
      </c>
      <c r="I24" s="5">
        <f t="shared" si="0"/>
        <v>0</v>
      </c>
      <c r="J24" s="340">
        <f t="shared" si="1"/>
        <v>0</v>
      </c>
      <c r="K24" s="5">
        <f>'Swimming Pool quality check '!H24</f>
        <v>6555</v>
      </c>
      <c r="L24" s="279">
        <f t="shared" si="39"/>
        <v>0</v>
      </c>
      <c r="M24" s="419">
        <f t="shared" si="15"/>
        <v>457.44</v>
      </c>
      <c r="N24" s="526">
        <f t="shared" si="43"/>
        <v>0</v>
      </c>
      <c r="O24" s="419">
        <f t="shared" si="16"/>
        <v>529.52</v>
      </c>
      <c r="P24" s="526">
        <f t="shared" si="44"/>
        <v>0</v>
      </c>
      <c r="Q24" s="526">
        <f t="shared" si="45"/>
        <v>0</v>
      </c>
      <c r="R24" s="528"/>
      <c r="S24" s="528"/>
      <c r="T24" s="5">
        <v>5100</v>
      </c>
      <c r="U24" s="5">
        <f t="shared" si="4"/>
        <v>3</v>
      </c>
      <c r="V24" s="5">
        <f t="shared" si="17"/>
        <v>452</v>
      </c>
      <c r="W24" s="330">
        <f t="shared" si="18"/>
        <v>0</v>
      </c>
      <c r="X24" s="5">
        <f t="shared" si="40"/>
        <v>147461</v>
      </c>
      <c r="Y24" s="330">
        <f t="shared" si="41"/>
        <v>0</v>
      </c>
      <c r="Z24" s="5">
        <f t="shared" si="19"/>
        <v>97015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2">
        <f t="shared" si="28"/>
        <v>0</v>
      </c>
      <c r="AK24" s="333">
        <f t="shared" si="38"/>
        <v>0</v>
      </c>
      <c r="AL24" s="333">
        <f t="shared" si="29"/>
        <v>0</v>
      </c>
      <c r="AM24" s="333">
        <f>'General information '!D24</f>
        <v>28.5</v>
      </c>
      <c r="AN24" s="84">
        <f>'General information '!H24</f>
        <v>0</v>
      </c>
      <c r="AO24" s="84"/>
      <c r="AP24" s="84">
        <f>'General information '!J24</f>
        <v>0</v>
      </c>
      <c r="AR24" s="282">
        <f t="shared" si="30"/>
        <v>44093</v>
      </c>
      <c r="AS24" s="433">
        <f t="shared" si="46"/>
        <v>0.9</v>
      </c>
      <c r="AT24" s="204">
        <v>18</v>
      </c>
      <c r="AU24" s="434">
        <f t="shared" si="42"/>
        <v>1.1000000000000001</v>
      </c>
      <c r="AV24" s="204">
        <v>88</v>
      </c>
      <c r="AW24" s="5">
        <v>2.9</v>
      </c>
      <c r="AX24" s="204">
        <v>49</v>
      </c>
      <c r="AY24" s="437">
        <f t="shared" si="7"/>
        <v>16.2</v>
      </c>
      <c r="AZ24" s="437">
        <f t="shared" si="31"/>
        <v>96.800000000000011</v>
      </c>
      <c r="BA24" s="437">
        <f t="shared" si="32"/>
        <v>142.1</v>
      </c>
      <c r="BB24" s="21">
        <f t="shared" si="33"/>
        <v>0</v>
      </c>
      <c r="BC24" s="21">
        <f t="shared" si="33"/>
        <v>-8.7999999999999972</v>
      </c>
      <c r="BD24" s="21">
        <f t="shared" si="33"/>
        <v>-11.599999999999994</v>
      </c>
      <c r="BE24" s="24">
        <f t="shared" si="35"/>
        <v>-20.399999999999991</v>
      </c>
      <c r="BF24" s="96">
        <f t="shared" si="8"/>
        <v>20.399999999999991</v>
      </c>
      <c r="BG24" s="82">
        <f t="shared" si="9"/>
        <v>-20.399999999999991</v>
      </c>
      <c r="BI24" s="82"/>
    </row>
    <row r="25" spans="1:61" ht="15.75" thickBot="1">
      <c r="A25" s="6">
        <f>ELEC!C22</f>
        <v>44094</v>
      </c>
      <c r="B25" s="5">
        <v>109096</v>
      </c>
      <c r="C25" s="5">
        <f t="shared" si="11"/>
        <v>0</v>
      </c>
      <c r="D25" s="428">
        <f t="shared" si="12"/>
        <v>0</v>
      </c>
      <c r="E25" s="339">
        <f>SUM((C25*$E$4)+(7500/'EDl log'!$A$38))</f>
        <v>250</v>
      </c>
      <c r="F25" s="333"/>
      <c r="G25" s="5">
        <v>608391</v>
      </c>
      <c r="H25" s="5">
        <f t="shared" si="14"/>
        <v>122</v>
      </c>
      <c r="I25" s="5">
        <f t="shared" si="0"/>
        <v>122</v>
      </c>
      <c r="J25" s="340">
        <f t="shared" si="1"/>
        <v>2.0491803278688523</v>
      </c>
      <c r="K25" s="5">
        <f>'Swimming Pool quality check '!H25</f>
        <v>6555</v>
      </c>
      <c r="L25" s="279">
        <f t="shared" si="39"/>
        <v>0</v>
      </c>
      <c r="M25" s="419">
        <f t="shared" si="15"/>
        <v>457.44</v>
      </c>
      <c r="N25" s="526">
        <f t="shared" si="43"/>
        <v>0</v>
      </c>
      <c r="O25" s="419">
        <f t="shared" si="16"/>
        <v>529.52</v>
      </c>
      <c r="P25" s="526">
        <f t="shared" si="44"/>
        <v>0</v>
      </c>
      <c r="Q25" s="526">
        <f t="shared" si="45"/>
        <v>0</v>
      </c>
      <c r="R25" s="528"/>
      <c r="S25" s="528"/>
      <c r="T25" s="5">
        <v>5102</v>
      </c>
      <c r="U25" s="5">
        <f t="shared" si="4"/>
        <v>2</v>
      </c>
      <c r="V25" s="5">
        <f t="shared" si="17"/>
        <v>452</v>
      </c>
      <c r="W25" s="330">
        <f t="shared" si="18"/>
        <v>0</v>
      </c>
      <c r="X25" s="5">
        <v>147534</v>
      </c>
      <c r="Y25" s="330">
        <f t="shared" si="41"/>
        <v>73</v>
      </c>
      <c r="Z25" s="5">
        <f t="shared" si="19"/>
        <v>97015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2">
        <f t="shared" si="28"/>
        <v>0</v>
      </c>
      <c r="AK25" s="333">
        <f t="shared" si="38"/>
        <v>73</v>
      </c>
      <c r="AL25" s="333">
        <f t="shared" si="29"/>
        <v>0</v>
      </c>
      <c r="AM25" s="333">
        <f>'General information '!D25</f>
        <v>26</v>
      </c>
      <c r="AN25" s="84">
        <f>'General information '!H25</f>
        <v>0</v>
      </c>
      <c r="AO25" s="84"/>
      <c r="AP25" s="84">
        <f>'General information '!J25</f>
        <v>0</v>
      </c>
      <c r="AR25" s="282">
        <f t="shared" si="30"/>
        <v>44094</v>
      </c>
      <c r="AS25" s="433">
        <f t="shared" si="46"/>
        <v>0.9</v>
      </c>
      <c r="AT25" s="204">
        <v>55</v>
      </c>
      <c r="AU25" s="434">
        <f t="shared" si="42"/>
        <v>1.1000000000000001</v>
      </c>
      <c r="AV25" s="204">
        <v>80</v>
      </c>
      <c r="AW25" s="5">
        <v>2.9</v>
      </c>
      <c r="AX25" s="204">
        <v>53</v>
      </c>
      <c r="AY25" s="437">
        <f t="shared" si="7"/>
        <v>49.5</v>
      </c>
      <c r="AZ25" s="437">
        <f t="shared" si="31"/>
        <v>88</v>
      </c>
      <c r="BA25" s="437">
        <f t="shared" si="32"/>
        <v>153.69999999999999</v>
      </c>
      <c r="BB25" s="21">
        <f t="shared" si="33"/>
        <v>33.299999999999997</v>
      </c>
      <c r="BC25" s="21">
        <f t="shared" si="33"/>
        <v>-8.8000000000000114</v>
      </c>
      <c r="BD25" s="21">
        <f t="shared" si="33"/>
        <v>11.599999999999994</v>
      </c>
      <c r="BE25" s="24">
        <f t="shared" si="35"/>
        <v>36.09999999999998</v>
      </c>
      <c r="BF25" s="96">
        <f t="shared" si="8"/>
        <v>85.90000000000002</v>
      </c>
      <c r="BG25" s="82">
        <f t="shared" si="9"/>
        <v>36.09999999999998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28">
        <f t="shared" si="12"/>
        <v>0</v>
      </c>
      <c r="E26" s="339">
        <f>SUM((C26*$E$4)+(7500/'EDl log'!$A$38))</f>
        <v>250</v>
      </c>
      <c r="F26" s="333"/>
      <c r="G26" s="5">
        <f t="shared" si="13"/>
        <v>608391</v>
      </c>
      <c r="H26" s="5">
        <f>G26-G25</f>
        <v>0</v>
      </c>
      <c r="I26" s="5">
        <f t="shared" si="0"/>
        <v>0</v>
      </c>
      <c r="J26" s="340">
        <f t="shared" si="1"/>
        <v>0</v>
      </c>
      <c r="K26" s="5">
        <f>'Swimming Pool quality check '!H26</f>
        <v>6555</v>
      </c>
      <c r="L26" s="279">
        <f t="shared" si="39"/>
        <v>0</v>
      </c>
      <c r="M26" s="419">
        <f t="shared" si="15"/>
        <v>457.44</v>
      </c>
      <c r="N26" s="526">
        <f t="shared" si="43"/>
        <v>0</v>
      </c>
      <c r="O26" s="419">
        <f t="shared" si="16"/>
        <v>529.52</v>
      </c>
      <c r="P26" s="526">
        <f t="shared" si="44"/>
        <v>0</v>
      </c>
      <c r="Q26" s="526">
        <f t="shared" si="45"/>
        <v>0</v>
      </c>
      <c r="R26" s="528"/>
      <c r="S26" s="528"/>
      <c r="T26" s="5">
        <v>5105</v>
      </c>
      <c r="U26" s="5">
        <f t="shared" si="4"/>
        <v>3</v>
      </c>
      <c r="V26" s="5">
        <f t="shared" si="17"/>
        <v>452</v>
      </c>
      <c r="W26" s="330">
        <f t="shared" si="18"/>
        <v>0</v>
      </c>
      <c r="X26" s="5">
        <v>147587</v>
      </c>
      <c r="Y26" s="330">
        <f t="shared" si="41"/>
        <v>53</v>
      </c>
      <c r="Z26" s="5">
        <f t="shared" si="19"/>
        <v>97015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2">
        <f t="shared" si="28"/>
        <v>0</v>
      </c>
      <c r="AK26" s="333">
        <f t="shared" si="38"/>
        <v>53</v>
      </c>
      <c r="AL26" s="333">
        <f>SUM(AJ26-W26)</f>
        <v>0</v>
      </c>
      <c r="AM26" s="333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82">
        <f t="shared" si="30"/>
        <v>44095</v>
      </c>
      <c r="AS26" s="433">
        <f t="shared" si="46"/>
        <v>0.9</v>
      </c>
      <c r="AT26" s="204">
        <v>0</v>
      </c>
      <c r="AU26" s="434">
        <f t="shared" si="42"/>
        <v>1.1000000000000001</v>
      </c>
      <c r="AV26" s="204">
        <v>73</v>
      </c>
      <c r="AW26" s="5">
        <v>2.9</v>
      </c>
      <c r="AX26" s="204">
        <v>64</v>
      </c>
      <c r="AY26" s="437">
        <f t="shared" si="7"/>
        <v>0</v>
      </c>
      <c r="AZ26" s="437">
        <f t="shared" si="31"/>
        <v>80.300000000000011</v>
      </c>
      <c r="BA26" s="437">
        <f t="shared" si="32"/>
        <v>185.6</v>
      </c>
      <c r="BB26" s="21">
        <f t="shared" si="33"/>
        <v>-49.5</v>
      </c>
      <c r="BC26" s="21">
        <f t="shared" si="33"/>
        <v>-7.6999999999999886</v>
      </c>
      <c r="BD26" s="21">
        <f t="shared" si="33"/>
        <v>31.900000000000006</v>
      </c>
      <c r="BE26" s="24">
        <f t="shared" si="35"/>
        <v>-25.299999999999983</v>
      </c>
      <c r="BF26" s="348">
        <f t="shared" si="8"/>
        <v>25.299999999999983</v>
      </c>
      <c r="BG26" s="82">
        <f t="shared" si="9"/>
        <v>-25.299999999999983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28">
        <f t="shared" si="12"/>
        <v>0</v>
      </c>
      <c r="E27" s="339">
        <f>SUM((C27*$E$4)+(7500/'EDl log'!$A$38))</f>
        <v>250</v>
      </c>
      <c r="F27" s="333"/>
      <c r="G27" s="5">
        <v>608508</v>
      </c>
      <c r="H27" s="5">
        <f t="shared" si="14"/>
        <v>117</v>
      </c>
      <c r="I27" s="5">
        <f t="shared" si="0"/>
        <v>117</v>
      </c>
      <c r="J27" s="340">
        <f t="shared" si="1"/>
        <v>2.1367521367521367</v>
      </c>
      <c r="K27" s="5">
        <f>'Swimming Pool quality check '!H27</f>
        <v>6555</v>
      </c>
      <c r="L27" s="279">
        <f t="shared" si="39"/>
        <v>0</v>
      </c>
      <c r="M27" s="419">
        <f t="shared" si="15"/>
        <v>457.44</v>
      </c>
      <c r="N27" s="526">
        <f t="shared" si="43"/>
        <v>0</v>
      </c>
      <c r="O27" s="419">
        <f t="shared" si="16"/>
        <v>529.52</v>
      </c>
      <c r="P27" s="526">
        <f t="shared" si="44"/>
        <v>0</v>
      </c>
      <c r="Q27" s="526">
        <f t="shared" si="45"/>
        <v>0</v>
      </c>
      <c r="R27" s="528"/>
      <c r="S27" s="528"/>
      <c r="T27" s="5">
        <v>5107</v>
      </c>
      <c r="U27" s="5">
        <f t="shared" si="4"/>
        <v>2</v>
      </c>
      <c r="V27" s="5">
        <f t="shared" si="17"/>
        <v>452</v>
      </c>
      <c r="W27" s="330">
        <f t="shared" si="18"/>
        <v>0</v>
      </c>
      <c r="X27" s="5">
        <v>147587</v>
      </c>
      <c r="Y27" s="330">
        <f>SUM(X27-X26)</f>
        <v>0</v>
      </c>
      <c r="Z27" s="5">
        <f t="shared" si="19"/>
        <v>97015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2">
        <f t="shared" si="28"/>
        <v>0</v>
      </c>
      <c r="AK27" s="333">
        <f t="shared" si="38"/>
        <v>0</v>
      </c>
      <c r="AL27" s="333">
        <f t="shared" si="29"/>
        <v>0</v>
      </c>
      <c r="AM27" s="333">
        <f>'General information '!D27</f>
        <v>28.5</v>
      </c>
      <c r="AN27" s="84">
        <f>'General information '!H27</f>
        <v>0</v>
      </c>
      <c r="AO27" s="84"/>
      <c r="AP27" s="84">
        <f>'General information '!J27</f>
        <v>0</v>
      </c>
      <c r="AR27" s="282">
        <f t="shared" si="30"/>
        <v>44096</v>
      </c>
      <c r="AS27" s="433">
        <f t="shared" si="46"/>
        <v>0.9</v>
      </c>
      <c r="AT27" s="204">
        <v>64</v>
      </c>
      <c r="AU27" s="434">
        <f t="shared" si="42"/>
        <v>1.1000000000000001</v>
      </c>
      <c r="AV27" s="204">
        <v>65</v>
      </c>
      <c r="AW27" s="5">
        <v>2.9</v>
      </c>
      <c r="AX27" s="204">
        <v>61</v>
      </c>
      <c r="AY27" s="437">
        <f t="shared" si="7"/>
        <v>57.6</v>
      </c>
      <c r="AZ27" s="437">
        <f t="shared" si="31"/>
        <v>71.5</v>
      </c>
      <c r="BA27" s="437">
        <f t="shared" si="32"/>
        <v>176.9</v>
      </c>
      <c r="BB27" s="21">
        <f t="shared" si="33"/>
        <v>57.6</v>
      </c>
      <c r="BC27" s="21">
        <f t="shared" si="33"/>
        <v>-8.8000000000000114</v>
      </c>
      <c r="BD27" s="21">
        <f t="shared" si="33"/>
        <v>-8.6999999999999886</v>
      </c>
      <c r="BE27" s="24">
        <f t="shared" si="35"/>
        <v>40.1</v>
      </c>
      <c r="BF27" s="96">
        <f t="shared" si="8"/>
        <v>76.900000000000006</v>
      </c>
      <c r="BG27" s="82">
        <f t="shared" si="9"/>
        <v>40.099999999999994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28">
        <f t="shared" si="12"/>
        <v>0</v>
      </c>
      <c r="E28" s="339">
        <f>SUM((C28*$E$4)+(7500/'EDl log'!$A$38))</f>
        <v>250</v>
      </c>
      <c r="F28" s="333"/>
      <c r="G28" s="5">
        <f t="shared" si="13"/>
        <v>608508</v>
      </c>
      <c r="H28" s="5">
        <f t="shared" si="14"/>
        <v>0</v>
      </c>
      <c r="I28" s="5">
        <f t="shared" si="0"/>
        <v>0</v>
      </c>
      <c r="J28" s="340">
        <f t="shared" si="1"/>
        <v>0</v>
      </c>
      <c r="K28" s="5">
        <f>'Swimming Pool quality check '!H28</f>
        <v>6555</v>
      </c>
      <c r="L28" s="279">
        <f t="shared" si="39"/>
        <v>0</v>
      </c>
      <c r="M28" s="419">
        <f t="shared" si="15"/>
        <v>457.44</v>
      </c>
      <c r="N28" s="526">
        <f t="shared" si="43"/>
        <v>0</v>
      </c>
      <c r="O28" s="419">
        <f t="shared" si="16"/>
        <v>529.52</v>
      </c>
      <c r="P28" s="526">
        <f t="shared" si="44"/>
        <v>0</v>
      </c>
      <c r="Q28" s="526">
        <f t="shared" si="45"/>
        <v>0</v>
      </c>
      <c r="R28" s="528"/>
      <c r="S28" s="528"/>
      <c r="T28" s="5">
        <v>5108</v>
      </c>
      <c r="U28" s="5">
        <f t="shared" si="4"/>
        <v>1</v>
      </c>
      <c r="V28" s="5">
        <f t="shared" si="17"/>
        <v>452</v>
      </c>
      <c r="W28" s="330">
        <f t="shared" si="18"/>
        <v>0</v>
      </c>
      <c r="X28" s="5">
        <f t="shared" si="40"/>
        <v>147587</v>
      </c>
      <c r="Y28" s="330">
        <f t="shared" si="41"/>
        <v>0</v>
      </c>
      <c r="Z28" s="5">
        <v>97015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2">
        <f t="shared" si="28"/>
        <v>0</v>
      </c>
      <c r="AK28" s="333">
        <f t="shared" si="38"/>
        <v>0</v>
      </c>
      <c r="AL28" s="333">
        <f t="shared" si="29"/>
        <v>0</v>
      </c>
      <c r="AM28" s="333">
        <f>'General information '!D28</f>
        <v>28</v>
      </c>
      <c r="AN28" s="84">
        <f>'General information '!H28</f>
        <v>0</v>
      </c>
      <c r="AO28" s="84"/>
      <c r="AP28" s="84">
        <f>'General information '!J28</f>
        <v>0</v>
      </c>
      <c r="AR28" s="282">
        <f t="shared" si="30"/>
        <v>44097</v>
      </c>
      <c r="AS28" s="433">
        <f t="shared" si="46"/>
        <v>0.9</v>
      </c>
      <c r="AT28" s="204">
        <v>64</v>
      </c>
      <c r="AU28" s="434">
        <f t="shared" si="42"/>
        <v>1.1000000000000001</v>
      </c>
      <c r="AV28" s="204">
        <v>57</v>
      </c>
      <c r="AW28" s="5">
        <v>2.9</v>
      </c>
      <c r="AX28" s="204">
        <v>55</v>
      </c>
      <c r="AY28" s="437">
        <f t="shared" si="7"/>
        <v>57.6</v>
      </c>
      <c r="AZ28" s="437">
        <f t="shared" si="31"/>
        <v>62.7</v>
      </c>
      <c r="BA28" s="437">
        <f t="shared" si="32"/>
        <v>159.5</v>
      </c>
      <c r="BB28" s="21">
        <f t="shared" si="33"/>
        <v>0</v>
      </c>
      <c r="BC28" s="21">
        <f t="shared" si="33"/>
        <v>-8.7999999999999972</v>
      </c>
      <c r="BD28" s="21">
        <f t="shared" si="33"/>
        <v>-17.400000000000006</v>
      </c>
      <c r="BE28" s="24">
        <f t="shared" si="35"/>
        <v>-26.200000000000003</v>
      </c>
      <c r="BF28" s="96">
        <f t="shared" si="8"/>
        <v>26.200000000000003</v>
      </c>
      <c r="BG28" s="82">
        <f t="shared" si="9"/>
        <v>-26.200000000000003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28">
        <f t="shared" si="12"/>
        <v>0</v>
      </c>
      <c r="E29" s="339">
        <f>SUM((C29*$E$4)+(7500/'EDl log'!$A$38))</f>
        <v>250</v>
      </c>
      <c r="F29" s="333"/>
      <c r="G29" s="5">
        <v>608645</v>
      </c>
      <c r="H29" s="5">
        <f t="shared" si="14"/>
        <v>137</v>
      </c>
      <c r="I29" s="5">
        <f t="shared" si="0"/>
        <v>137</v>
      </c>
      <c r="J29" s="340">
        <f t="shared" si="1"/>
        <v>1.8248175182481752</v>
      </c>
      <c r="K29" s="5">
        <f>'Swimming Pool quality check '!H29</f>
        <v>6555</v>
      </c>
      <c r="L29" s="279">
        <f t="shared" si="39"/>
        <v>0</v>
      </c>
      <c r="M29" s="419">
        <f t="shared" si="15"/>
        <v>457.44</v>
      </c>
      <c r="N29" s="526">
        <f t="shared" si="43"/>
        <v>0</v>
      </c>
      <c r="O29" s="419">
        <f t="shared" si="16"/>
        <v>529.52</v>
      </c>
      <c r="P29" s="526">
        <f t="shared" si="44"/>
        <v>0</v>
      </c>
      <c r="Q29" s="526">
        <f t="shared" si="45"/>
        <v>0</v>
      </c>
      <c r="R29" s="528"/>
      <c r="S29" s="528"/>
      <c r="T29" s="5">
        <v>5111</v>
      </c>
      <c r="U29" s="5">
        <f t="shared" si="4"/>
        <v>3</v>
      </c>
      <c r="V29" s="5">
        <f t="shared" si="17"/>
        <v>452</v>
      </c>
      <c r="W29" s="330">
        <f t="shared" si="18"/>
        <v>0</v>
      </c>
      <c r="X29" s="5">
        <f t="shared" si="40"/>
        <v>147587</v>
      </c>
      <c r="Y29" s="330">
        <f t="shared" si="41"/>
        <v>0</v>
      </c>
      <c r="Z29" s="5">
        <v>97035</v>
      </c>
      <c r="AA29" s="83">
        <f t="shared" si="20"/>
        <v>20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2">
        <f t="shared" si="28"/>
        <v>20</v>
      </c>
      <c r="AK29" s="333">
        <f t="shared" si="38"/>
        <v>0</v>
      </c>
      <c r="AL29" s="333">
        <f t="shared" si="29"/>
        <v>20</v>
      </c>
      <c r="AM29" s="333">
        <f>'General information '!D29</f>
        <v>28.5</v>
      </c>
      <c r="AN29" s="84">
        <f>'General information '!H29</f>
        <v>0</v>
      </c>
      <c r="AO29" s="84"/>
      <c r="AP29" s="84">
        <f>'General information '!J29</f>
        <v>0</v>
      </c>
      <c r="AR29" s="282">
        <f t="shared" si="30"/>
        <v>44098</v>
      </c>
      <c r="AS29" s="433">
        <f t="shared" si="46"/>
        <v>0.9</v>
      </c>
      <c r="AT29" s="204">
        <v>126</v>
      </c>
      <c r="AU29" s="434">
        <f t="shared" si="42"/>
        <v>1.1000000000000001</v>
      </c>
      <c r="AV29" s="204">
        <v>64</v>
      </c>
      <c r="AW29" s="5">
        <v>2.9</v>
      </c>
      <c r="AX29" s="204">
        <v>53</v>
      </c>
      <c r="AY29" s="437">
        <f t="shared" si="7"/>
        <v>113.4</v>
      </c>
      <c r="AZ29" s="437">
        <f t="shared" si="31"/>
        <v>70.400000000000006</v>
      </c>
      <c r="BA29" s="437">
        <f t="shared" si="32"/>
        <v>153.69999999999999</v>
      </c>
      <c r="BB29" s="21">
        <f t="shared" si="33"/>
        <v>55.800000000000004</v>
      </c>
      <c r="BC29" s="21">
        <f t="shared" si="33"/>
        <v>7.7000000000000028</v>
      </c>
      <c r="BD29" s="21">
        <f t="shared" si="33"/>
        <v>-5.8000000000000114</v>
      </c>
      <c r="BE29" s="24">
        <f t="shared" si="35"/>
        <v>57.699999999999996</v>
      </c>
      <c r="BF29" s="96">
        <f t="shared" si="8"/>
        <v>79.300000000000011</v>
      </c>
      <c r="BG29" s="82">
        <f t="shared" si="9"/>
        <v>57.699999999999989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28">
        <f t="shared" si="12"/>
        <v>0</v>
      </c>
      <c r="E30" s="339">
        <f>SUM((C30*$E$4)+(7500/'EDl log'!$A$38))</f>
        <v>250</v>
      </c>
      <c r="F30" s="333"/>
      <c r="G30" s="5">
        <f t="shared" si="13"/>
        <v>608645</v>
      </c>
      <c r="H30" s="5">
        <f t="shared" si="14"/>
        <v>0</v>
      </c>
      <c r="I30" s="5">
        <f t="shared" si="0"/>
        <v>0</v>
      </c>
      <c r="J30" s="340">
        <f t="shared" si="1"/>
        <v>0</v>
      </c>
      <c r="K30" s="5">
        <f>'Swimming Pool quality check '!H30</f>
        <v>6555</v>
      </c>
      <c r="L30" s="279">
        <f t="shared" si="39"/>
        <v>0</v>
      </c>
      <c r="M30" s="419">
        <f t="shared" si="15"/>
        <v>457.44</v>
      </c>
      <c r="N30" s="526">
        <f t="shared" si="43"/>
        <v>0</v>
      </c>
      <c r="O30" s="419">
        <f t="shared" si="16"/>
        <v>529.52</v>
      </c>
      <c r="P30" s="526">
        <f t="shared" si="44"/>
        <v>0</v>
      </c>
      <c r="Q30" s="526">
        <f t="shared" si="45"/>
        <v>0</v>
      </c>
      <c r="R30" s="528"/>
      <c r="S30" s="528"/>
      <c r="T30" s="5">
        <v>5113</v>
      </c>
      <c r="U30" s="5">
        <f t="shared" si="4"/>
        <v>2</v>
      </c>
      <c r="V30" s="5">
        <f t="shared" si="17"/>
        <v>452</v>
      </c>
      <c r="W30" s="330">
        <f t="shared" si="18"/>
        <v>0</v>
      </c>
      <c r="X30" s="5">
        <f t="shared" si="40"/>
        <v>147587</v>
      </c>
      <c r="Y30" s="330">
        <f t="shared" si="41"/>
        <v>0</v>
      </c>
      <c r="Z30" s="5">
        <f t="shared" si="19"/>
        <v>97035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2">
        <f t="shared" si="28"/>
        <v>0</v>
      </c>
      <c r="AK30" s="333">
        <f t="shared" si="38"/>
        <v>0</v>
      </c>
      <c r="AL30" s="333">
        <f t="shared" si="29"/>
        <v>0</v>
      </c>
      <c r="AM30" s="333">
        <f>'General information '!D30</f>
        <v>27.5</v>
      </c>
      <c r="AN30" s="84">
        <f>'General information '!H30</f>
        <v>0</v>
      </c>
      <c r="AO30" s="84"/>
      <c r="AP30" s="84">
        <f>'General information '!J30</f>
        <v>0</v>
      </c>
      <c r="AR30" s="282">
        <f t="shared" si="30"/>
        <v>44099</v>
      </c>
      <c r="AS30" s="433">
        <f t="shared" si="46"/>
        <v>0.9</v>
      </c>
      <c r="AT30" s="204">
        <v>116</v>
      </c>
      <c r="AU30" s="434">
        <f t="shared" si="42"/>
        <v>1.1000000000000001</v>
      </c>
      <c r="AV30" s="204">
        <v>57</v>
      </c>
      <c r="AW30" s="5">
        <v>2.9</v>
      </c>
      <c r="AX30" s="204">
        <v>51</v>
      </c>
      <c r="AY30" s="437">
        <f t="shared" si="7"/>
        <v>104.4</v>
      </c>
      <c r="AZ30" s="437">
        <f t="shared" si="31"/>
        <v>62.7</v>
      </c>
      <c r="BA30" s="437">
        <f t="shared" si="32"/>
        <v>147.9</v>
      </c>
      <c r="BB30" s="21">
        <f t="shared" si="33"/>
        <v>-9</v>
      </c>
      <c r="BC30" s="21">
        <f t="shared" si="33"/>
        <v>-7.7000000000000028</v>
      </c>
      <c r="BD30" s="21">
        <f t="shared" si="33"/>
        <v>-5.7999999999999829</v>
      </c>
      <c r="BE30" s="24">
        <f t="shared" si="35"/>
        <v>-22.499999999999986</v>
      </c>
      <c r="BF30" s="96">
        <f t="shared" si="8"/>
        <v>22.499999999999986</v>
      </c>
      <c r="BG30" s="82">
        <f t="shared" si="9"/>
        <v>-22.499999999999986</v>
      </c>
    </row>
    <row r="31" spans="1:61" ht="15.75" thickBot="1">
      <c r="A31" s="6">
        <f>ELEC!C28</f>
        <v>44100</v>
      </c>
      <c r="B31" s="5">
        <v>109096</v>
      </c>
      <c r="C31" s="5">
        <f t="shared" si="11"/>
        <v>0</v>
      </c>
      <c r="D31" s="428">
        <f t="shared" si="12"/>
        <v>0</v>
      </c>
      <c r="E31" s="339">
        <f>SUM((C31*$E$4)+(7500/'EDl log'!$A$38))</f>
        <v>250</v>
      </c>
      <c r="F31" s="333"/>
      <c r="G31" s="5">
        <v>608742</v>
      </c>
      <c r="H31" s="5">
        <f t="shared" si="14"/>
        <v>97</v>
      </c>
      <c r="I31" s="5">
        <f t="shared" si="0"/>
        <v>97</v>
      </c>
      <c r="J31" s="340">
        <f t="shared" si="1"/>
        <v>2.5773195876288661</v>
      </c>
      <c r="K31" s="5">
        <f>'Swimming Pool quality check '!H31</f>
        <v>6555</v>
      </c>
      <c r="L31" s="279">
        <f t="shared" si="39"/>
        <v>0</v>
      </c>
      <c r="M31" s="419">
        <f t="shared" si="15"/>
        <v>457.44</v>
      </c>
      <c r="N31" s="526">
        <f t="shared" si="43"/>
        <v>0</v>
      </c>
      <c r="O31" s="419">
        <f t="shared" si="16"/>
        <v>529.52</v>
      </c>
      <c r="P31" s="526">
        <f t="shared" si="44"/>
        <v>0</v>
      </c>
      <c r="Q31" s="526">
        <f t="shared" si="45"/>
        <v>0</v>
      </c>
      <c r="R31" s="528"/>
      <c r="S31" s="528"/>
      <c r="T31" s="5">
        <v>5116</v>
      </c>
      <c r="U31" s="5">
        <f t="shared" si="4"/>
        <v>3</v>
      </c>
      <c r="V31" s="5">
        <f t="shared" si="17"/>
        <v>452</v>
      </c>
      <c r="W31" s="330">
        <f t="shared" si="18"/>
        <v>0</v>
      </c>
      <c r="X31" s="5">
        <f t="shared" si="40"/>
        <v>147587</v>
      </c>
      <c r="Y31" s="330">
        <f t="shared" si="41"/>
        <v>0</v>
      </c>
      <c r="Z31" s="5">
        <f t="shared" si="19"/>
        <v>97035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2">
        <f t="shared" si="28"/>
        <v>0</v>
      </c>
      <c r="AK31" s="333">
        <f t="shared" si="38"/>
        <v>0</v>
      </c>
      <c r="AL31" s="333">
        <f t="shared" si="29"/>
        <v>0</v>
      </c>
      <c r="AM31" s="333">
        <f>'General information '!D31</f>
        <v>28</v>
      </c>
      <c r="AN31" s="84">
        <f>'General information '!H31</f>
        <v>0</v>
      </c>
      <c r="AO31" s="84"/>
      <c r="AP31" s="84">
        <f>'General information '!J31</f>
        <v>0</v>
      </c>
      <c r="AR31" s="282">
        <f t="shared" si="30"/>
        <v>44100</v>
      </c>
      <c r="AS31" s="433">
        <f t="shared" si="46"/>
        <v>0.9</v>
      </c>
      <c r="AT31" s="204">
        <v>172</v>
      </c>
      <c r="AU31" s="434">
        <f t="shared" si="42"/>
        <v>1.1000000000000001</v>
      </c>
      <c r="AV31" s="204">
        <v>50</v>
      </c>
      <c r="AW31" s="5">
        <v>2.9</v>
      </c>
      <c r="AX31" s="204">
        <v>49</v>
      </c>
      <c r="AY31" s="437">
        <f t="shared" si="7"/>
        <v>154.80000000000001</v>
      </c>
      <c r="AZ31" s="437">
        <f t="shared" si="31"/>
        <v>55.000000000000007</v>
      </c>
      <c r="BA31" s="437">
        <f t="shared" si="32"/>
        <v>142.1</v>
      </c>
      <c r="BB31" s="21">
        <f t="shared" si="33"/>
        <v>50.400000000000006</v>
      </c>
      <c r="BC31" s="21">
        <f t="shared" si="33"/>
        <v>-7.6999999999999957</v>
      </c>
      <c r="BD31" s="21">
        <f t="shared" si="33"/>
        <v>-5.8000000000000114</v>
      </c>
      <c r="BE31" s="24">
        <f t="shared" si="35"/>
        <v>36.9</v>
      </c>
      <c r="BF31" s="96">
        <f t="shared" si="8"/>
        <v>60.1</v>
      </c>
      <c r="BG31" s="82">
        <f t="shared" si="9"/>
        <v>36.9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28">
        <f t="shared" si="12"/>
        <v>0</v>
      </c>
      <c r="E32" s="339">
        <f>SUM((C32*$E$4)+(7500/'EDl log'!$A$38))</f>
        <v>250</v>
      </c>
      <c r="F32" s="333"/>
      <c r="G32" s="5">
        <f t="shared" si="13"/>
        <v>608742</v>
      </c>
      <c r="H32" s="5">
        <f t="shared" si="14"/>
        <v>0</v>
      </c>
      <c r="I32" s="5">
        <f t="shared" si="0"/>
        <v>0</v>
      </c>
      <c r="J32" s="340">
        <f t="shared" si="1"/>
        <v>0</v>
      </c>
      <c r="K32" s="5">
        <f>'Swimming Pool quality check '!H32</f>
        <v>6555</v>
      </c>
      <c r="L32" s="279">
        <f t="shared" si="39"/>
        <v>0</v>
      </c>
      <c r="M32" s="419">
        <f t="shared" si="15"/>
        <v>457.44</v>
      </c>
      <c r="N32" s="526">
        <f t="shared" si="43"/>
        <v>0</v>
      </c>
      <c r="O32" s="419">
        <f t="shared" si="16"/>
        <v>529.52</v>
      </c>
      <c r="P32" s="526">
        <f t="shared" si="44"/>
        <v>0</v>
      </c>
      <c r="Q32" s="526">
        <f t="shared" si="45"/>
        <v>0</v>
      </c>
      <c r="R32" s="528"/>
      <c r="S32" s="528"/>
      <c r="T32" s="5">
        <v>5117</v>
      </c>
      <c r="U32" s="5">
        <f t="shared" si="4"/>
        <v>1</v>
      </c>
      <c r="V32" s="5">
        <f t="shared" si="17"/>
        <v>452</v>
      </c>
      <c r="W32" s="330">
        <f t="shared" si="18"/>
        <v>0</v>
      </c>
      <c r="X32" s="5">
        <f t="shared" si="40"/>
        <v>147587</v>
      </c>
      <c r="Y32" s="330">
        <f t="shared" si="41"/>
        <v>0</v>
      </c>
      <c r="Z32" s="5">
        <f t="shared" si="19"/>
        <v>97035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2">
        <f t="shared" si="28"/>
        <v>0</v>
      </c>
      <c r="AK32" s="333">
        <f t="shared" si="38"/>
        <v>0</v>
      </c>
      <c r="AL32" s="333">
        <f t="shared" si="29"/>
        <v>0</v>
      </c>
      <c r="AM32" s="333">
        <f>'General information '!D32</f>
        <v>27.5</v>
      </c>
      <c r="AN32" s="84">
        <f>'General information '!H32</f>
        <v>0</v>
      </c>
      <c r="AO32" s="84"/>
      <c r="AP32" s="84">
        <f>'General information '!J32</f>
        <v>0</v>
      </c>
      <c r="AR32" s="282">
        <f t="shared" si="30"/>
        <v>44101</v>
      </c>
      <c r="AS32" s="433">
        <f t="shared" si="46"/>
        <v>0.9</v>
      </c>
      <c r="AT32" s="204">
        <f t="shared" si="46"/>
        <v>172</v>
      </c>
      <c r="AU32" s="434">
        <f t="shared" si="42"/>
        <v>1.1000000000000001</v>
      </c>
      <c r="AV32" s="204">
        <v>43</v>
      </c>
      <c r="AW32" s="5">
        <v>2.9</v>
      </c>
      <c r="AX32" s="204">
        <v>44</v>
      </c>
      <c r="AY32" s="437">
        <f t="shared" si="7"/>
        <v>154.80000000000001</v>
      </c>
      <c r="AZ32" s="437">
        <f t="shared" si="31"/>
        <v>47.300000000000004</v>
      </c>
      <c r="BA32" s="437">
        <f t="shared" si="32"/>
        <v>127.6</v>
      </c>
      <c r="BB32" s="21">
        <f t="shared" si="33"/>
        <v>0</v>
      </c>
      <c r="BC32" s="21">
        <f t="shared" si="33"/>
        <v>-7.7000000000000028</v>
      </c>
      <c r="BD32" s="21">
        <f t="shared" si="33"/>
        <v>-14.5</v>
      </c>
      <c r="BE32" s="24">
        <f t="shared" si="35"/>
        <v>-22.200000000000003</v>
      </c>
      <c r="BF32" s="96">
        <f t="shared" si="8"/>
        <v>22.200000000000003</v>
      </c>
      <c r="BG32" s="82">
        <f t="shared" si="9"/>
        <v>-22.200000000000003</v>
      </c>
    </row>
    <row r="33" spans="1:59" ht="15.75" thickBot="1">
      <c r="A33" s="6">
        <f>ELEC!C30</f>
        <v>44102</v>
      </c>
      <c r="B33" s="5">
        <v>109096</v>
      </c>
      <c r="C33" s="5">
        <f t="shared" si="11"/>
        <v>0</v>
      </c>
      <c r="D33" s="428">
        <f t="shared" si="12"/>
        <v>0</v>
      </c>
      <c r="E33" s="339">
        <f>SUM((C33*$E$4)+(7500/'EDl log'!$A$38))</f>
        <v>250</v>
      </c>
      <c r="F33" s="333"/>
      <c r="G33" s="5">
        <f t="shared" si="13"/>
        <v>608742</v>
      </c>
      <c r="H33" s="5">
        <f t="shared" si="14"/>
        <v>0</v>
      </c>
      <c r="I33" s="5">
        <f t="shared" si="0"/>
        <v>0</v>
      </c>
      <c r="J33" s="340">
        <f t="shared" si="1"/>
        <v>0</v>
      </c>
      <c r="K33" s="5">
        <f>'Swimming Pool quality check '!H33</f>
        <v>6555</v>
      </c>
      <c r="L33" s="279">
        <f t="shared" si="39"/>
        <v>0</v>
      </c>
      <c r="M33" s="419">
        <f t="shared" si="15"/>
        <v>457.44</v>
      </c>
      <c r="N33" s="526">
        <f t="shared" si="43"/>
        <v>0</v>
      </c>
      <c r="O33" s="419">
        <f t="shared" si="16"/>
        <v>529.52</v>
      </c>
      <c r="P33" s="526">
        <f t="shared" si="44"/>
        <v>0</v>
      </c>
      <c r="Q33" s="526">
        <f t="shared" si="45"/>
        <v>0</v>
      </c>
      <c r="R33" s="528"/>
      <c r="S33" s="528"/>
      <c r="T33" s="5">
        <v>5120</v>
      </c>
      <c r="U33" s="5">
        <f t="shared" si="4"/>
        <v>3</v>
      </c>
      <c r="V33" s="5">
        <f t="shared" si="17"/>
        <v>452</v>
      </c>
      <c r="W33" s="330">
        <f t="shared" si="18"/>
        <v>0</v>
      </c>
      <c r="X33" s="5">
        <f t="shared" si="40"/>
        <v>147587</v>
      </c>
      <c r="Y33" s="330">
        <f t="shared" si="41"/>
        <v>0</v>
      </c>
      <c r="Z33" s="5">
        <f t="shared" si="19"/>
        <v>97035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2">
        <f t="shared" si="28"/>
        <v>0</v>
      </c>
      <c r="AK33" s="333">
        <f t="shared" si="38"/>
        <v>0</v>
      </c>
      <c r="AL33" s="333">
        <f t="shared" si="29"/>
        <v>0</v>
      </c>
      <c r="AM33" s="333">
        <f>'General information '!D33</f>
        <v>27.5</v>
      </c>
      <c r="AN33" s="84">
        <f>'General information '!H33</f>
        <v>0</v>
      </c>
      <c r="AO33" s="84"/>
      <c r="AP33" s="84">
        <f>'General information '!J33</f>
        <v>0</v>
      </c>
      <c r="AR33" s="282">
        <f t="shared" si="30"/>
        <v>44102</v>
      </c>
      <c r="AS33" s="433">
        <f t="shared" si="46"/>
        <v>0.9</v>
      </c>
      <c r="AT33" s="204">
        <v>172</v>
      </c>
      <c r="AU33" s="434">
        <f t="shared" si="42"/>
        <v>1.1000000000000001</v>
      </c>
      <c r="AV33" s="204">
        <v>36</v>
      </c>
      <c r="AW33" s="5">
        <v>2.9</v>
      </c>
      <c r="AX33" s="204">
        <v>39</v>
      </c>
      <c r="AY33" s="437">
        <f t="shared" si="7"/>
        <v>154.80000000000001</v>
      </c>
      <c r="AZ33" s="437">
        <f t="shared" si="31"/>
        <v>39.6</v>
      </c>
      <c r="BA33" s="437">
        <f t="shared" si="32"/>
        <v>113.1</v>
      </c>
      <c r="BB33" s="21">
        <f t="shared" si="33"/>
        <v>0</v>
      </c>
      <c r="BC33" s="21">
        <f t="shared" si="33"/>
        <v>-7.7000000000000028</v>
      </c>
      <c r="BD33" s="21">
        <f t="shared" si="33"/>
        <v>-14.5</v>
      </c>
      <c r="BE33" s="24">
        <f t="shared" si="35"/>
        <v>-22.200000000000003</v>
      </c>
      <c r="BF33" s="96">
        <f t="shared" si="8"/>
        <v>22.200000000000003</v>
      </c>
      <c r="BG33" s="82">
        <f t="shared" si="9"/>
        <v>-22.200000000000003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28">
        <f t="shared" si="12"/>
        <v>0</v>
      </c>
      <c r="E34" s="339">
        <f>SUM((C34*$E$4)+(7500/'EDl log'!$A$38))</f>
        <v>250</v>
      </c>
      <c r="F34" s="333"/>
      <c r="G34" s="5">
        <f t="shared" si="13"/>
        <v>608742</v>
      </c>
      <c r="H34" s="5">
        <f t="shared" si="14"/>
        <v>0</v>
      </c>
      <c r="I34" s="5">
        <f t="shared" si="0"/>
        <v>0</v>
      </c>
      <c r="J34" s="340">
        <f t="shared" si="1"/>
        <v>0</v>
      </c>
      <c r="K34" s="5">
        <f>'Swimming Pool quality check '!H34</f>
        <v>6555</v>
      </c>
      <c r="L34" s="279">
        <f t="shared" si="39"/>
        <v>0</v>
      </c>
      <c r="M34" s="419">
        <f t="shared" si="15"/>
        <v>457.44</v>
      </c>
      <c r="N34" s="526">
        <f t="shared" si="43"/>
        <v>0</v>
      </c>
      <c r="O34" s="419">
        <f t="shared" si="16"/>
        <v>529.52</v>
      </c>
      <c r="P34" s="526">
        <f t="shared" si="44"/>
        <v>0</v>
      </c>
      <c r="Q34" s="526">
        <f t="shared" si="45"/>
        <v>0</v>
      </c>
      <c r="R34" s="528"/>
      <c r="S34" s="528"/>
      <c r="T34" s="5">
        <v>5122</v>
      </c>
      <c r="U34" s="5">
        <f t="shared" si="4"/>
        <v>2</v>
      </c>
      <c r="V34" s="5">
        <f t="shared" si="17"/>
        <v>452</v>
      </c>
      <c r="W34" s="330">
        <f t="shared" si="18"/>
        <v>0</v>
      </c>
      <c r="X34" s="5">
        <f t="shared" si="40"/>
        <v>147587</v>
      </c>
      <c r="Y34" s="330">
        <f t="shared" si="41"/>
        <v>0</v>
      </c>
      <c r="Z34" s="5">
        <f t="shared" si="19"/>
        <v>97035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2">
        <f t="shared" si="28"/>
        <v>0</v>
      </c>
      <c r="AK34" s="333">
        <f t="shared" si="38"/>
        <v>0</v>
      </c>
      <c r="AL34" s="333">
        <f t="shared" si="29"/>
        <v>0</v>
      </c>
      <c r="AM34" s="333">
        <f>'General information '!D34</f>
        <v>28.5</v>
      </c>
      <c r="AN34" s="84">
        <f>'General information '!H34</f>
        <v>0</v>
      </c>
      <c r="AO34" s="84"/>
      <c r="AP34" s="84">
        <f>'General information '!J34</f>
        <v>0</v>
      </c>
      <c r="AR34" s="282">
        <f t="shared" si="30"/>
        <v>44103</v>
      </c>
      <c r="AS34" s="433">
        <f t="shared" si="46"/>
        <v>0.9</v>
      </c>
      <c r="AT34" s="204">
        <f t="shared" si="46"/>
        <v>172</v>
      </c>
      <c r="AU34" s="435">
        <f t="shared" si="42"/>
        <v>1.1000000000000001</v>
      </c>
      <c r="AV34" s="204">
        <v>30</v>
      </c>
      <c r="AW34" s="5">
        <v>2.9</v>
      </c>
      <c r="AX34" s="204">
        <v>33</v>
      </c>
      <c r="AY34" s="437">
        <f t="shared" si="7"/>
        <v>154.80000000000001</v>
      </c>
      <c r="AZ34" s="437">
        <f t="shared" si="31"/>
        <v>33</v>
      </c>
      <c r="BA34" s="437">
        <f t="shared" si="32"/>
        <v>95.7</v>
      </c>
      <c r="BB34" s="21">
        <f t="shared" si="33"/>
        <v>0</v>
      </c>
      <c r="BC34" s="21">
        <f t="shared" si="33"/>
        <v>-6.6000000000000014</v>
      </c>
      <c r="BD34" s="21">
        <f t="shared" si="33"/>
        <v>-17.399999999999991</v>
      </c>
      <c r="BE34" s="24">
        <f t="shared" si="35"/>
        <v>-23.999999999999993</v>
      </c>
      <c r="BF34" s="96">
        <f t="shared" si="8"/>
        <v>23.999999999999993</v>
      </c>
      <c r="BG34" s="82">
        <f t="shared" si="9"/>
        <v>-23.999999999999993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28">
        <f t="shared" si="12"/>
        <v>0</v>
      </c>
      <c r="E35" s="339">
        <f>SUM((C35*$E$4)+(7500/'EDl log'!$A$38))</f>
        <v>250</v>
      </c>
      <c r="F35" s="333"/>
      <c r="G35" s="5">
        <f t="shared" si="13"/>
        <v>608742</v>
      </c>
      <c r="H35" s="5">
        <f t="shared" si="14"/>
        <v>0</v>
      </c>
      <c r="I35" s="5">
        <f t="shared" si="0"/>
        <v>0</v>
      </c>
      <c r="J35" s="340">
        <f t="shared" si="1"/>
        <v>0</v>
      </c>
      <c r="K35" s="5">
        <f>'Swimming Pool quality check '!H35</f>
        <v>6555</v>
      </c>
      <c r="L35" s="83">
        <f t="shared" si="39"/>
        <v>0</v>
      </c>
      <c r="M35" s="419">
        <f t="shared" si="15"/>
        <v>457.44</v>
      </c>
      <c r="N35" s="526">
        <f t="shared" si="43"/>
        <v>0</v>
      </c>
      <c r="O35" s="419">
        <f t="shared" si="16"/>
        <v>529.52</v>
      </c>
      <c r="P35" s="526">
        <f t="shared" si="44"/>
        <v>0</v>
      </c>
      <c r="Q35" s="526">
        <f t="shared" si="45"/>
        <v>0</v>
      </c>
      <c r="R35" s="526"/>
      <c r="S35" s="526"/>
      <c r="T35" s="5">
        <v>5125</v>
      </c>
      <c r="U35" s="5">
        <f t="shared" si="4"/>
        <v>3</v>
      </c>
      <c r="V35" s="5">
        <f t="shared" si="17"/>
        <v>452</v>
      </c>
      <c r="W35" s="330">
        <f t="shared" si="18"/>
        <v>0</v>
      </c>
      <c r="X35" s="5">
        <v>147647</v>
      </c>
      <c r="Y35" s="330">
        <f t="shared" si="41"/>
        <v>60</v>
      </c>
      <c r="Z35" s="5">
        <v>97058</v>
      </c>
      <c r="AA35" s="83">
        <f t="shared" si="20"/>
        <v>23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2">
        <f t="shared" si="28"/>
        <v>23</v>
      </c>
      <c r="AK35" s="333">
        <f t="shared" si="38"/>
        <v>60</v>
      </c>
      <c r="AL35" s="333">
        <f t="shared" si="29"/>
        <v>23</v>
      </c>
      <c r="AM35" s="333">
        <f>'General information '!D35</f>
        <v>28.5</v>
      </c>
      <c r="AN35" s="84">
        <f>'General information '!H35</f>
        <v>0</v>
      </c>
      <c r="AO35" s="84"/>
      <c r="AP35" s="84">
        <f>'General information '!J35</f>
        <v>0</v>
      </c>
      <c r="AR35" s="282">
        <f t="shared" si="30"/>
        <v>44104</v>
      </c>
      <c r="AS35" s="433">
        <f t="shared" si="46"/>
        <v>0.9</v>
      </c>
      <c r="AT35" s="204">
        <v>63</v>
      </c>
      <c r="AU35" s="436">
        <f t="shared" si="42"/>
        <v>1.1000000000000001</v>
      </c>
      <c r="AV35" s="204">
        <v>41</v>
      </c>
      <c r="AW35" s="5">
        <v>2.9</v>
      </c>
      <c r="AX35" s="204">
        <v>44</v>
      </c>
      <c r="AY35" s="437">
        <f t="shared" si="7"/>
        <v>56.7</v>
      </c>
      <c r="AZ35" s="437">
        <f t="shared" si="31"/>
        <v>45.1</v>
      </c>
      <c r="BA35" s="437">
        <f t="shared" si="32"/>
        <v>127.6</v>
      </c>
      <c r="BB35" s="21">
        <f t="shared" si="33"/>
        <v>-98.100000000000009</v>
      </c>
      <c r="BC35" s="230">
        <f t="shared" si="33"/>
        <v>12.100000000000001</v>
      </c>
      <c r="BD35" s="230">
        <f t="shared" si="33"/>
        <v>31.899999999999991</v>
      </c>
      <c r="BE35" s="24">
        <f t="shared" si="35"/>
        <v>-54.100000000000009</v>
      </c>
      <c r="BF35" s="96">
        <f t="shared" si="8"/>
        <v>54.100000000000009</v>
      </c>
      <c r="BG35" s="82">
        <f t="shared" si="9"/>
        <v>-54.100000000000009</v>
      </c>
    </row>
    <row r="36" spans="1:59">
      <c r="C36" s="421">
        <f>SUM(C6:C35)</f>
        <v>0</v>
      </c>
      <c r="D36" s="328">
        <f>SUM(D6:D35)</f>
        <v>0</v>
      </c>
      <c r="F36" s="423">
        <f>SUM(F6:F35)</f>
        <v>0</v>
      </c>
      <c r="H36" s="421">
        <f>SUM(H6:H35)</f>
        <v>918</v>
      </c>
      <c r="I36" s="421">
        <f>SUM(I6:I35)</f>
        <v>918</v>
      </c>
      <c r="L36" s="273">
        <f>SUM(L7:L35)</f>
        <v>12</v>
      </c>
      <c r="Q36" s="507">
        <f>SUM(Q5:Q35)</f>
        <v>0</v>
      </c>
      <c r="U36" s="418">
        <f>SUM(U6:U35)</f>
        <v>78</v>
      </c>
      <c r="X36" s="329"/>
      <c r="Y36" s="328" t="e">
        <f>SUM(Y35,Y33,Y31,Y29,Y27,Y25,Y23,Y21,Y19,Y17,Y15,Y13,Y11,Y9,Y7+#REF!)</f>
        <v>#REF!</v>
      </c>
      <c r="AJ36" s="328">
        <f>SUM(AJ6:AJ35)</f>
        <v>259</v>
      </c>
      <c r="AK36" s="333" t="e">
        <f t="shared" si="5"/>
        <v>#REF!</v>
      </c>
      <c r="AL36" s="328">
        <f>SUM(AL6:AL35)</f>
        <v>234</v>
      </c>
      <c r="AP36" s="17"/>
      <c r="AQ36" s="17"/>
      <c r="AR36" s="17"/>
      <c r="AS36" s="229"/>
      <c r="AT36" s="5"/>
      <c r="AU36" s="229"/>
      <c r="AV36" s="17"/>
      <c r="AW36" s="231"/>
      <c r="AX36" s="231"/>
      <c r="AY36" s="231"/>
      <c r="AZ36" s="17"/>
      <c r="BA36" s="17"/>
      <c r="BB36" s="17"/>
      <c r="BC36" s="17"/>
      <c r="BD36" s="17"/>
    </row>
    <row r="37" spans="1:59">
      <c r="C37" s="1">
        <f>+C36*1.66</f>
        <v>0</v>
      </c>
      <c r="E37" s="338">
        <f>SUM(E6:E35)</f>
        <v>7500</v>
      </c>
      <c r="F37" s="426">
        <f>SUM(F6:F35)</f>
        <v>0</v>
      </c>
      <c r="H37" s="157">
        <v>7500</v>
      </c>
      <c r="I37" s="422">
        <f>SUM('General information '!G36/WATER!I36)</f>
        <v>0</v>
      </c>
      <c r="L37" s="157"/>
      <c r="O37" s="504">
        <f>SUM(Q36+I36)</f>
        <v>918</v>
      </c>
      <c r="Z37" s="328" t="e">
        <f>SUM(Y36:AJ36)</f>
        <v>#REF!</v>
      </c>
      <c r="AK37" s="333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0">
        <f>9*27</f>
        <v>243</v>
      </c>
      <c r="D38" s="423">
        <f>SUM(D21:D35)</f>
        <v>0</v>
      </c>
      <c r="F38" s="424">
        <f>SUM(F6:F35)</f>
        <v>0</v>
      </c>
      <c r="G38" s="1">
        <f>SUM(I36)</f>
        <v>918</v>
      </c>
      <c r="H38" s="1">
        <f>SUM(H37+C37)</f>
        <v>7500</v>
      </c>
      <c r="K38" s="1">
        <f>SUM(H38/G38)</f>
        <v>8.1699346405228752</v>
      </c>
      <c r="AJ38" s="328">
        <f>SUM(C37-AK37)</f>
        <v>0</v>
      </c>
      <c r="AM38" s="35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30" activePane="bottomLeft" state="frozen"/>
      <selection pane="bottomLeft" activeCell="C36" sqref="C36"/>
    </sheetView>
  </sheetViews>
  <sheetFormatPr defaultRowHeight="15"/>
  <cols>
    <col min="1" max="1" width="11.85546875" style="495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8" t="s">
        <v>193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40"/>
    </row>
    <row r="2" spans="1:15" ht="15.75" customHeight="1" thickBot="1">
      <c r="A2" s="641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3"/>
    </row>
    <row r="3" spans="1:15" ht="9" customHeight="1" thickBot="1">
      <c r="A3" s="492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3"/>
      <c r="B4" s="149" t="s">
        <v>389</v>
      </c>
      <c r="C4" s="150" t="s">
        <v>158</v>
      </c>
      <c r="D4" s="147" t="s">
        <v>160</v>
      </c>
      <c r="E4" s="151" t="s">
        <v>159</v>
      </c>
      <c r="F4" s="515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4">
        <f>ELEC!C2</f>
        <v>44074</v>
      </c>
      <c r="B5" s="364">
        <f>'[1]General information '!B36</f>
        <v>32</v>
      </c>
      <c r="C5" s="364">
        <f>'[1]General information '!C36</f>
        <v>28</v>
      </c>
      <c r="D5" s="364">
        <f>'[1]General information '!D36</f>
        <v>30</v>
      </c>
      <c r="E5" s="594">
        <f>'[1]General information '!E36</f>
        <v>0.76</v>
      </c>
      <c r="F5" s="594">
        <f>'[1]General information '!F36</f>
        <v>0</v>
      </c>
      <c r="G5" s="364">
        <f>'[1]General information '!G36</f>
        <v>0</v>
      </c>
      <c r="H5" s="364">
        <f>'[1]General information '!H36</f>
        <v>0</v>
      </c>
      <c r="I5" s="364">
        <f>'[1]General information '!I36</f>
        <v>0</v>
      </c>
      <c r="J5" s="364">
        <f>'[1]General information '!J36</f>
        <v>0</v>
      </c>
      <c r="K5" s="364">
        <f>'[1]General information '!K36</f>
        <v>0</v>
      </c>
      <c r="L5" s="364">
        <f>'[1]General information '!L36</f>
        <v>0</v>
      </c>
      <c r="M5" s="364">
        <f>'[1]General information '!M36</f>
        <v>0</v>
      </c>
      <c r="N5" s="364">
        <f>'[1]General information '!N36</f>
        <v>0</v>
      </c>
      <c r="O5" s="364">
        <f>'[1]General information '!O36</f>
        <v>0</v>
      </c>
    </row>
    <row r="6" spans="1:15">
      <c r="A6" s="494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6">
        <v>0.8</v>
      </c>
      <c r="F6" s="351">
        <v>0</v>
      </c>
      <c r="G6" s="245">
        <f t="shared" ref="G6:G12" si="1">F6*230</f>
        <v>0</v>
      </c>
      <c r="H6" s="3"/>
      <c r="I6" s="3"/>
      <c r="J6" s="37"/>
      <c r="K6" s="268">
        <f t="shared" ref="K6:K26" si="2">+J6+H6</f>
        <v>0</v>
      </c>
      <c r="L6" s="3"/>
      <c r="M6" s="3"/>
      <c r="N6" s="155"/>
      <c r="O6" s="3"/>
    </row>
    <row r="7" spans="1:15">
      <c r="A7" s="494">
        <f>ELEC!C4</f>
        <v>44076</v>
      </c>
      <c r="B7" s="37">
        <v>31</v>
      </c>
      <c r="C7" s="37">
        <v>27</v>
      </c>
      <c r="D7" s="26">
        <f t="shared" si="0"/>
        <v>29</v>
      </c>
      <c r="E7" s="346">
        <v>0.76</v>
      </c>
      <c r="F7" s="402">
        <v>0</v>
      </c>
      <c r="G7" s="245">
        <f t="shared" si="1"/>
        <v>0</v>
      </c>
      <c r="H7" s="3"/>
      <c r="I7" s="3"/>
      <c r="J7" s="37"/>
      <c r="K7" s="268">
        <f t="shared" si="2"/>
        <v>0</v>
      </c>
      <c r="L7" s="3"/>
      <c r="M7" s="3"/>
      <c r="N7" s="155"/>
      <c r="O7" s="3"/>
    </row>
    <row r="8" spans="1:15">
      <c r="A8" s="494">
        <f>ELEC!C5</f>
        <v>44077</v>
      </c>
      <c r="B8" s="37">
        <v>34</v>
      </c>
      <c r="C8" s="37">
        <v>29</v>
      </c>
      <c r="D8" s="26">
        <f t="shared" si="0"/>
        <v>31.5</v>
      </c>
      <c r="E8" s="346">
        <v>0.71</v>
      </c>
      <c r="F8" s="346">
        <v>0</v>
      </c>
      <c r="G8" s="245">
        <f t="shared" si="1"/>
        <v>0</v>
      </c>
      <c r="H8" s="3"/>
      <c r="I8" s="3"/>
      <c r="J8" s="37"/>
      <c r="K8" s="268">
        <f t="shared" si="2"/>
        <v>0</v>
      </c>
      <c r="L8" s="3"/>
      <c r="M8" s="170"/>
      <c r="N8" s="155"/>
      <c r="O8" s="3"/>
    </row>
    <row r="9" spans="1:15">
      <c r="A9" s="494">
        <f>ELEC!C6</f>
        <v>44078</v>
      </c>
      <c r="B9" s="37">
        <v>33</v>
      </c>
      <c r="C9" s="37">
        <v>27</v>
      </c>
      <c r="D9" s="26">
        <f>(C9+B9)/2</f>
        <v>30</v>
      </c>
      <c r="E9" s="402">
        <v>0.71</v>
      </c>
      <c r="F9" s="402">
        <v>0</v>
      </c>
      <c r="G9" s="245">
        <f>F9*230</f>
        <v>0</v>
      </c>
      <c r="H9" s="3"/>
      <c r="I9" s="3"/>
      <c r="J9" s="37"/>
      <c r="K9" s="268">
        <f>+J9+H9</f>
        <v>0</v>
      </c>
      <c r="L9" s="3"/>
      <c r="M9" s="3"/>
      <c r="N9" s="155"/>
      <c r="O9" s="3"/>
    </row>
    <row r="10" spans="1:15">
      <c r="A10" s="494">
        <f>ELEC!C7</f>
        <v>44079</v>
      </c>
      <c r="B10" s="37">
        <v>31</v>
      </c>
      <c r="C10" s="37">
        <v>25</v>
      </c>
      <c r="D10" s="26">
        <f t="shared" si="0"/>
        <v>28</v>
      </c>
      <c r="E10" s="362">
        <v>0.64</v>
      </c>
      <c r="F10" s="346">
        <v>0</v>
      </c>
      <c r="G10" s="245">
        <f t="shared" si="1"/>
        <v>0</v>
      </c>
      <c r="H10" s="3"/>
      <c r="I10" s="3"/>
      <c r="J10" s="37"/>
      <c r="K10" s="268">
        <f t="shared" si="2"/>
        <v>0</v>
      </c>
      <c r="L10" s="3"/>
      <c r="M10" s="3"/>
      <c r="N10" s="155"/>
      <c r="O10" s="3"/>
    </row>
    <row r="11" spans="1:15">
      <c r="A11" s="494">
        <f>ELEC!C8</f>
        <v>44080</v>
      </c>
      <c r="B11" s="37">
        <v>31</v>
      </c>
      <c r="C11" s="37">
        <v>25</v>
      </c>
      <c r="D11" s="26">
        <f t="shared" si="0"/>
        <v>28</v>
      </c>
      <c r="E11" s="402">
        <v>0.76</v>
      </c>
      <c r="F11" s="402">
        <v>0</v>
      </c>
      <c r="G11" s="245">
        <f t="shared" si="1"/>
        <v>0</v>
      </c>
      <c r="H11" s="3"/>
      <c r="I11" s="3"/>
      <c r="J11" s="37"/>
      <c r="K11" s="268">
        <f>+J11+H11</f>
        <v>0</v>
      </c>
      <c r="L11" s="3"/>
      <c r="M11" s="3"/>
      <c r="N11" s="155"/>
      <c r="O11" s="3"/>
    </row>
    <row r="12" spans="1:15">
      <c r="A12" s="494">
        <f>ELEC!C9</f>
        <v>44081</v>
      </c>
      <c r="B12" s="37">
        <v>32</v>
      </c>
      <c r="C12" s="37">
        <v>27</v>
      </c>
      <c r="D12" s="26">
        <f t="shared" si="0"/>
        <v>29.5</v>
      </c>
      <c r="E12" s="402">
        <v>0.75</v>
      </c>
      <c r="F12" s="402">
        <v>0</v>
      </c>
      <c r="G12" s="245">
        <f t="shared" si="1"/>
        <v>0</v>
      </c>
      <c r="H12" s="3"/>
      <c r="I12" s="3"/>
      <c r="J12" s="37"/>
      <c r="K12" s="268">
        <f t="shared" si="2"/>
        <v>0</v>
      </c>
      <c r="L12" s="3"/>
      <c r="M12" s="3"/>
      <c r="N12" s="155"/>
      <c r="O12" s="3"/>
    </row>
    <row r="13" spans="1:15">
      <c r="A13" s="494">
        <f>ELEC!C10</f>
        <v>44082</v>
      </c>
      <c r="B13" s="37">
        <v>32</v>
      </c>
      <c r="C13" s="37">
        <v>27</v>
      </c>
      <c r="D13" s="26">
        <f>(C13+B13)/2</f>
        <v>29.5</v>
      </c>
      <c r="E13" s="362">
        <v>0.76</v>
      </c>
      <c r="F13" s="402">
        <v>0</v>
      </c>
      <c r="G13" s="245">
        <f>F13*230</f>
        <v>0</v>
      </c>
      <c r="H13" s="3"/>
      <c r="I13" s="3"/>
      <c r="J13" s="37"/>
      <c r="K13" s="268">
        <f t="shared" si="2"/>
        <v>0</v>
      </c>
      <c r="L13" s="3"/>
      <c r="M13" s="3"/>
      <c r="N13" s="155"/>
      <c r="O13" s="3"/>
    </row>
    <row r="14" spans="1:15">
      <c r="A14" s="494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6">
        <v>0.75</v>
      </c>
      <c r="F14" s="346">
        <v>0</v>
      </c>
      <c r="G14" s="245">
        <f t="shared" ref="G14:G34" si="4">F14*230</f>
        <v>0</v>
      </c>
      <c r="H14" s="3"/>
      <c r="I14" s="3"/>
      <c r="J14" s="37"/>
      <c r="K14" s="268">
        <f t="shared" si="2"/>
        <v>0</v>
      </c>
      <c r="L14" s="3"/>
      <c r="M14" s="3"/>
      <c r="N14" s="155"/>
      <c r="O14" s="3"/>
    </row>
    <row r="15" spans="1:15">
      <c r="A15" s="494">
        <f>ELEC!C12</f>
        <v>44084</v>
      </c>
      <c r="B15" s="37">
        <v>32</v>
      </c>
      <c r="C15" s="37">
        <v>26</v>
      </c>
      <c r="D15" s="26">
        <f t="shared" si="3"/>
        <v>29</v>
      </c>
      <c r="E15" s="346">
        <v>0.64</v>
      </c>
      <c r="F15" s="346">
        <v>0</v>
      </c>
      <c r="G15" s="245">
        <f>F15*230</f>
        <v>0</v>
      </c>
      <c r="H15" s="3"/>
      <c r="I15" s="3"/>
      <c r="J15" s="37"/>
      <c r="K15" s="268">
        <f>+J15+H15</f>
        <v>0</v>
      </c>
      <c r="L15" s="3"/>
      <c r="M15" s="3"/>
      <c r="N15" s="155"/>
      <c r="O15" s="3"/>
    </row>
    <row r="16" spans="1:15">
      <c r="A16" s="494">
        <f>ELEC!C13</f>
        <v>44085</v>
      </c>
      <c r="B16" s="37">
        <v>32</v>
      </c>
      <c r="C16" s="37">
        <v>28</v>
      </c>
      <c r="D16" s="26">
        <f t="shared" si="3"/>
        <v>30</v>
      </c>
      <c r="E16" s="346">
        <v>0.77</v>
      </c>
      <c r="F16" s="346">
        <v>0</v>
      </c>
      <c r="G16" s="245">
        <f t="shared" si="4"/>
        <v>0</v>
      </c>
      <c r="H16" s="3"/>
      <c r="I16" s="3"/>
      <c r="J16" s="37"/>
      <c r="K16" s="268">
        <f>+J16+H16</f>
        <v>0</v>
      </c>
      <c r="L16" s="3"/>
      <c r="M16" s="3"/>
      <c r="N16" s="155"/>
      <c r="O16" s="3"/>
    </row>
    <row r="17" spans="1:15">
      <c r="A17" s="494">
        <f>ELEC!C14</f>
        <v>44086</v>
      </c>
      <c r="B17" s="37">
        <v>31</v>
      </c>
      <c r="C17" s="37">
        <v>28</v>
      </c>
      <c r="D17" s="26">
        <f t="shared" si="3"/>
        <v>29.5</v>
      </c>
      <c r="E17" s="346">
        <v>0.75</v>
      </c>
      <c r="F17" s="346">
        <v>0</v>
      </c>
      <c r="G17" s="245">
        <f t="shared" si="4"/>
        <v>0</v>
      </c>
      <c r="H17" s="3"/>
      <c r="I17" s="3"/>
      <c r="J17" s="37"/>
      <c r="K17" s="268">
        <f t="shared" si="2"/>
        <v>0</v>
      </c>
      <c r="L17" s="3"/>
      <c r="M17" s="3"/>
      <c r="N17" s="155"/>
      <c r="O17" s="3"/>
    </row>
    <row r="18" spans="1:15">
      <c r="A18" s="494">
        <f>ELEC!C15</f>
        <v>44087</v>
      </c>
      <c r="B18" s="37">
        <v>31</v>
      </c>
      <c r="C18" s="37">
        <v>25</v>
      </c>
      <c r="D18" s="26">
        <f t="shared" si="3"/>
        <v>28</v>
      </c>
      <c r="E18" s="438">
        <v>0.62</v>
      </c>
      <c r="F18" s="346">
        <v>0</v>
      </c>
      <c r="G18" s="245">
        <f t="shared" si="4"/>
        <v>0</v>
      </c>
      <c r="H18" s="3"/>
      <c r="I18" s="3"/>
      <c r="J18" s="37"/>
      <c r="K18" s="268">
        <f t="shared" si="2"/>
        <v>0</v>
      </c>
      <c r="L18" s="3"/>
      <c r="M18" s="3"/>
      <c r="N18" s="155"/>
      <c r="O18" s="3"/>
    </row>
    <row r="19" spans="1:15">
      <c r="A19" s="494">
        <f>ELEC!C16</f>
        <v>44088</v>
      </c>
      <c r="B19" s="37">
        <v>31</v>
      </c>
      <c r="C19" s="37">
        <v>26</v>
      </c>
      <c r="D19" s="26">
        <f t="shared" si="3"/>
        <v>28.5</v>
      </c>
      <c r="E19" s="346">
        <v>0.69</v>
      </c>
      <c r="F19" s="346">
        <v>0</v>
      </c>
      <c r="G19" s="245">
        <v>0</v>
      </c>
      <c r="H19" s="3"/>
      <c r="I19" s="3"/>
      <c r="J19" s="37"/>
      <c r="K19" s="268">
        <f t="shared" si="2"/>
        <v>0</v>
      </c>
      <c r="L19" s="3"/>
      <c r="M19" s="3"/>
      <c r="N19" s="155"/>
      <c r="O19" s="3"/>
    </row>
    <row r="20" spans="1:15">
      <c r="A20" s="494">
        <f>ELEC!C17</f>
        <v>44089</v>
      </c>
      <c r="B20" s="37">
        <v>30</v>
      </c>
      <c r="C20" s="37">
        <v>23</v>
      </c>
      <c r="D20" s="26">
        <f t="shared" si="3"/>
        <v>26.5</v>
      </c>
      <c r="E20" s="346">
        <v>0.74</v>
      </c>
      <c r="F20" s="346">
        <v>0</v>
      </c>
      <c r="G20" s="245">
        <f t="shared" si="4"/>
        <v>0</v>
      </c>
      <c r="H20" s="3"/>
      <c r="I20" s="3"/>
      <c r="J20" s="37"/>
      <c r="K20" s="268">
        <f t="shared" si="2"/>
        <v>0</v>
      </c>
      <c r="L20" s="3"/>
      <c r="M20" s="3"/>
      <c r="N20" s="155"/>
      <c r="O20" s="3"/>
    </row>
    <row r="21" spans="1:15">
      <c r="A21" s="494">
        <f>ELEC!C18</f>
        <v>44090</v>
      </c>
      <c r="B21" s="37">
        <v>31</v>
      </c>
      <c r="C21" s="37">
        <v>26</v>
      </c>
      <c r="D21" s="26">
        <f>(C21+B21)/2</f>
        <v>28.5</v>
      </c>
      <c r="E21" s="346">
        <v>0.72</v>
      </c>
      <c r="F21" s="402">
        <v>0</v>
      </c>
      <c r="G21" s="245">
        <f t="shared" si="4"/>
        <v>0</v>
      </c>
      <c r="H21" s="3"/>
      <c r="I21" s="3"/>
      <c r="J21" s="37"/>
      <c r="K21" s="268">
        <f t="shared" si="2"/>
        <v>0</v>
      </c>
      <c r="L21" s="3"/>
      <c r="M21" s="3"/>
      <c r="N21" s="155"/>
      <c r="O21" s="3"/>
    </row>
    <row r="22" spans="1:15">
      <c r="A22" s="494">
        <f>ELEC!C19</f>
        <v>44091</v>
      </c>
      <c r="B22" s="37">
        <v>30</v>
      </c>
      <c r="C22" s="37">
        <v>26</v>
      </c>
      <c r="D22" s="26">
        <f t="shared" si="3"/>
        <v>28</v>
      </c>
      <c r="E22" s="346">
        <v>0.75</v>
      </c>
      <c r="F22" s="402">
        <v>0</v>
      </c>
      <c r="G22" s="245">
        <f t="shared" si="4"/>
        <v>0</v>
      </c>
      <c r="H22" s="3"/>
      <c r="I22" s="3"/>
      <c r="J22" s="37"/>
      <c r="K22" s="268">
        <f t="shared" si="2"/>
        <v>0</v>
      </c>
      <c r="L22" s="3"/>
      <c r="M22" s="3"/>
      <c r="N22" s="155"/>
      <c r="O22" s="3"/>
    </row>
    <row r="23" spans="1:15">
      <c r="A23" s="494">
        <f>ELEC!C20</f>
        <v>44092</v>
      </c>
      <c r="B23" s="37">
        <v>30</v>
      </c>
      <c r="C23" s="37">
        <v>25</v>
      </c>
      <c r="D23" s="26">
        <f>(C23+B23)/2</f>
        <v>27.5</v>
      </c>
      <c r="E23" s="346">
        <v>0.77</v>
      </c>
      <c r="F23" s="402">
        <v>0</v>
      </c>
      <c r="G23" s="245">
        <f t="shared" si="4"/>
        <v>0</v>
      </c>
      <c r="H23" s="3"/>
      <c r="I23" s="3"/>
      <c r="J23" s="37"/>
      <c r="K23" s="268">
        <f t="shared" si="2"/>
        <v>0</v>
      </c>
      <c r="L23" s="3"/>
      <c r="M23" s="3"/>
      <c r="N23" s="155"/>
      <c r="O23" s="3"/>
    </row>
    <row r="24" spans="1:15">
      <c r="A24" s="494">
        <f>ELEC!C21</f>
        <v>44093</v>
      </c>
      <c r="B24" s="37">
        <v>32</v>
      </c>
      <c r="C24" s="37">
        <v>25</v>
      </c>
      <c r="D24" s="26">
        <f t="shared" si="3"/>
        <v>28.5</v>
      </c>
      <c r="E24" s="346">
        <v>0.64</v>
      </c>
      <c r="F24" s="346">
        <v>0</v>
      </c>
      <c r="G24" s="245">
        <f t="shared" si="4"/>
        <v>0</v>
      </c>
      <c r="H24" s="3"/>
      <c r="I24" s="3"/>
      <c r="J24" s="37"/>
      <c r="K24" s="268">
        <f t="shared" si="2"/>
        <v>0</v>
      </c>
      <c r="L24" s="3"/>
      <c r="M24" s="3"/>
      <c r="N24" s="155"/>
      <c r="O24" s="3"/>
    </row>
    <row r="25" spans="1:15">
      <c r="A25" s="494">
        <f>ELEC!C22</f>
        <v>44094</v>
      </c>
      <c r="B25" s="37">
        <v>30</v>
      </c>
      <c r="C25" s="37">
        <v>22</v>
      </c>
      <c r="D25" s="26">
        <f t="shared" si="3"/>
        <v>26</v>
      </c>
      <c r="E25" s="346">
        <v>0.65</v>
      </c>
      <c r="F25" s="346">
        <v>0</v>
      </c>
      <c r="G25" s="245">
        <f t="shared" si="4"/>
        <v>0</v>
      </c>
      <c r="H25" s="3"/>
      <c r="I25" s="3"/>
      <c r="J25" s="37"/>
      <c r="K25" s="268">
        <f t="shared" si="2"/>
        <v>0</v>
      </c>
      <c r="L25" s="3"/>
      <c r="M25" s="3"/>
      <c r="N25" s="155"/>
      <c r="O25" s="3"/>
    </row>
    <row r="26" spans="1:15">
      <c r="A26" s="494">
        <f>ELEC!C23</f>
        <v>44095</v>
      </c>
      <c r="B26" s="37">
        <v>30</v>
      </c>
      <c r="C26" s="37">
        <v>27</v>
      </c>
      <c r="D26" s="26">
        <f>(C26+B26)/2</f>
        <v>28.5</v>
      </c>
      <c r="E26" s="346">
        <v>0.64</v>
      </c>
      <c r="F26" s="346">
        <v>0</v>
      </c>
      <c r="G26" s="245">
        <f t="shared" si="4"/>
        <v>0</v>
      </c>
      <c r="H26" s="3"/>
      <c r="I26" s="3"/>
      <c r="J26" s="37"/>
      <c r="K26" s="268">
        <f t="shared" si="2"/>
        <v>0</v>
      </c>
      <c r="L26" s="3"/>
      <c r="M26" s="3"/>
      <c r="N26" s="155"/>
      <c r="O26" s="3"/>
    </row>
    <row r="27" spans="1:15">
      <c r="A27" s="494">
        <f>ELEC!C24</f>
        <v>44096</v>
      </c>
      <c r="B27" s="37">
        <v>30</v>
      </c>
      <c r="C27" s="37">
        <v>27</v>
      </c>
      <c r="D27" s="26">
        <f t="shared" si="3"/>
        <v>28.5</v>
      </c>
      <c r="E27" s="346">
        <v>0.65</v>
      </c>
      <c r="F27" s="346">
        <v>0</v>
      </c>
      <c r="G27" s="245">
        <f t="shared" si="4"/>
        <v>0</v>
      </c>
      <c r="H27" s="3"/>
      <c r="I27" s="3"/>
      <c r="J27" s="37"/>
      <c r="K27" s="268">
        <f>+J27+H27+I27</f>
        <v>0</v>
      </c>
      <c r="L27" s="3"/>
      <c r="M27" s="3"/>
      <c r="N27" s="155"/>
      <c r="O27" s="3"/>
    </row>
    <row r="28" spans="1:15">
      <c r="A28" s="494">
        <f>ELEC!C25</f>
        <v>44097</v>
      </c>
      <c r="B28" s="37">
        <v>30</v>
      </c>
      <c r="C28" s="37">
        <v>26</v>
      </c>
      <c r="D28" s="26">
        <f t="shared" si="3"/>
        <v>28</v>
      </c>
      <c r="E28" s="346">
        <v>0.67</v>
      </c>
      <c r="F28" s="346">
        <v>0</v>
      </c>
      <c r="G28" s="245">
        <f t="shared" si="4"/>
        <v>0</v>
      </c>
      <c r="H28" s="3"/>
      <c r="I28" s="3"/>
      <c r="J28" s="37"/>
      <c r="K28" s="268">
        <f t="shared" ref="K28:K34" si="5">+J28+H28+I28</f>
        <v>0</v>
      </c>
      <c r="L28" s="3"/>
      <c r="M28" s="3"/>
      <c r="N28" s="155"/>
      <c r="O28" s="3"/>
    </row>
    <row r="29" spans="1:15">
      <c r="A29" s="494">
        <f>ELEC!C26</f>
        <v>44098</v>
      </c>
      <c r="B29" s="37">
        <v>31</v>
      </c>
      <c r="C29" s="37">
        <v>26</v>
      </c>
      <c r="D29" s="26">
        <f t="shared" si="3"/>
        <v>28.5</v>
      </c>
      <c r="E29" s="346">
        <v>0.66</v>
      </c>
      <c r="F29" s="346">
        <v>0</v>
      </c>
      <c r="G29" s="245">
        <f t="shared" si="4"/>
        <v>0</v>
      </c>
      <c r="H29" s="3"/>
      <c r="I29" s="3"/>
      <c r="J29" s="37"/>
      <c r="K29" s="268">
        <f t="shared" si="5"/>
        <v>0</v>
      </c>
      <c r="L29" s="3"/>
      <c r="M29" s="3"/>
      <c r="N29" s="155"/>
      <c r="O29" s="3"/>
    </row>
    <row r="30" spans="1:15">
      <c r="A30" s="494">
        <f>ELEC!C27</f>
        <v>44099</v>
      </c>
      <c r="B30" s="37">
        <v>29</v>
      </c>
      <c r="C30" s="37">
        <v>26</v>
      </c>
      <c r="D30" s="26">
        <f t="shared" si="3"/>
        <v>27.5</v>
      </c>
      <c r="E30" s="346">
        <v>0.65</v>
      </c>
      <c r="F30" s="402">
        <v>0</v>
      </c>
      <c r="G30" s="245">
        <f t="shared" si="4"/>
        <v>0</v>
      </c>
      <c r="H30" s="3"/>
      <c r="I30" s="3"/>
      <c r="J30" s="37"/>
      <c r="K30" s="268">
        <f t="shared" si="5"/>
        <v>0</v>
      </c>
      <c r="L30" s="3"/>
      <c r="M30" s="3"/>
      <c r="N30" s="155"/>
      <c r="O30" s="3"/>
    </row>
    <row r="31" spans="1:15">
      <c r="A31" s="494">
        <f>ELEC!C28</f>
        <v>44100</v>
      </c>
      <c r="B31" s="37">
        <v>30</v>
      </c>
      <c r="C31" s="37">
        <v>26</v>
      </c>
      <c r="D31" s="3">
        <f t="shared" si="3"/>
        <v>28</v>
      </c>
      <c r="E31" s="347">
        <v>0.65</v>
      </c>
      <c r="F31" s="286">
        <v>0</v>
      </c>
      <c r="G31" s="245">
        <f t="shared" si="4"/>
        <v>0</v>
      </c>
      <c r="H31" s="3"/>
      <c r="I31" s="3"/>
      <c r="J31" s="37"/>
      <c r="K31" s="268">
        <f t="shared" si="5"/>
        <v>0</v>
      </c>
      <c r="L31" s="3"/>
      <c r="M31" s="3"/>
      <c r="N31" s="155"/>
      <c r="O31" s="3"/>
    </row>
    <row r="32" spans="1:15">
      <c r="A32" s="494">
        <f>ELEC!C29</f>
        <v>44101</v>
      </c>
      <c r="B32" s="37">
        <v>30</v>
      </c>
      <c r="C32" s="37">
        <v>25</v>
      </c>
      <c r="D32" s="285">
        <f>(C32+B32)/2</f>
        <v>27.5</v>
      </c>
      <c r="E32" s="347">
        <v>0.55000000000000004</v>
      </c>
      <c r="F32" s="350">
        <v>0</v>
      </c>
      <c r="G32" s="245">
        <f t="shared" si="4"/>
        <v>0</v>
      </c>
      <c r="H32" s="3"/>
      <c r="I32" s="3"/>
      <c r="J32" s="37"/>
      <c r="K32" s="268">
        <f t="shared" si="5"/>
        <v>0</v>
      </c>
      <c r="L32" s="3"/>
      <c r="M32" s="3"/>
      <c r="N32" s="155"/>
      <c r="O32" s="3"/>
    </row>
    <row r="33" spans="1:15">
      <c r="A33" s="494">
        <f>ELEC!C30</f>
        <v>44102</v>
      </c>
      <c r="B33" s="37">
        <v>30</v>
      </c>
      <c r="C33" s="37">
        <v>25</v>
      </c>
      <c r="D33" s="26">
        <f t="shared" si="3"/>
        <v>27.5</v>
      </c>
      <c r="E33" s="346">
        <v>0.49</v>
      </c>
      <c r="F33" s="346">
        <v>0</v>
      </c>
      <c r="G33" s="245">
        <f t="shared" si="4"/>
        <v>0</v>
      </c>
      <c r="H33" s="3"/>
      <c r="I33" s="3"/>
      <c r="J33" s="37"/>
      <c r="K33" s="268">
        <f t="shared" si="5"/>
        <v>0</v>
      </c>
      <c r="L33" s="3"/>
      <c r="M33" s="3"/>
      <c r="N33" s="155"/>
      <c r="O33" s="3"/>
    </row>
    <row r="34" spans="1:15">
      <c r="A34" s="494">
        <f>ELEC!C31</f>
        <v>44103</v>
      </c>
      <c r="B34" s="37">
        <v>32</v>
      </c>
      <c r="C34" s="37">
        <v>25</v>
      </c>
      <c r="D34" s="26">
        <f t="shared" si="3"/>
        <v>28.5</v>
      </c>
      <c r="E34" s="346">
        <v>0.59</v>
      </c>
      <c r="F34" s="346">
        <v>0</v>
      </c>
      <c r="G34" s="245">
        <f t="shared" si="4"/>
        <v>0</v>
      </c>
      <c r="H34" s="3"/>
      <c r="I34" s="3"/>
      <c r="J34" s="37"/>
      <c r="K34" s="268">
        <f t="shared" si="5"/>
        <v>0</v>
      </c>
      <c r="L34" s="3"/>
      <c r="M34" s="3"/>
      <c r="N34" s="155"/>
      <c r="O34" s="3"/>
    </row>
    <row r="35" spans="1:15">
      <c r="A35" s="494">
        <f>ELEC!C32</f>
        <v>44104</v>
      </c>
      <c r="B35" s="37">
        <v>31</v>
      </c>
      <c r="C35" s="37">
        <v>26</v>
      </c>
      <c r="D35" s="26">
        <f t="shared" ref="D35" si="6">(C35+B35)/2</f>
        <v>28.5</v>
      </c>
      <c r="E35" s="402">
        <v>0.65</v>
      </c>
      <c r="F35" s="402">
        <v>0</v>
      </c>
      <c r="G35" s="245">
        <f t="shared" ref="G35" si="7">F35*230</f>
        <v>0</v>
      </c>
      <c r="H35" s="3"/>
      <c r="I35" s="3"/>
      <c r="J35" s="37"/>
      <c r="K35" s="268">
        <f t="shared" ref="K35" si="8">+J35+H35+I35</f>
        <v>0</v>
      </c>
      <c r="L35" s="3"/>
      <c r="M35" s="3"/>
      <c r="N35" s="155"/>
      <c r="O35" s="3"/>
    </row>
    <row r="36" spans="1:15">
      <c r="D36" s="266"/>
      <c r="F36" s="542">
        <f>AVERAGE(F6:F35)</f>
        <v>0</v>
      </c>
      <c r="G36" s="206">
        <f>SUM(G6:G35)</f>
        <v>0</v>
      </c>
    </row>
    <row r="37" spans="1:15">
      <c r="D37" s="266">
        <f>SUM(D6:D35)/'EDl log'!A36</f>
        <v>28.533333333333335</v>
      </c>
      <c r="F37" s="214"/>
    </row>
    <row r="40" spans="1:15">
      <c r="I40" s="420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1"/>
  <sheetViews>
    <sheetView zoomScale="90" zoomScaleNormal="90" workbookViewId="0">
      <pane xSplit="1" topLeftCell="AI1" activePane="topRight" state="frozen"/>
      <selection pane="topRight" activeCell="A36" sqref="A36:XFD3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5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3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2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2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6" t="s">
        <v>108</v>
      </c>
      <c r="AS3" s="646" t="s">
        <v>233</v>
      </c>
      <c r="AT3" s="644" t="s">
        <v>301</v>
      </c>
      <c r="AU3" s="645"/>
      <c r="AV3" s="30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7"/>
      <c r="AS4" s="647"/>
      <c r="AT4" s="3" t="s">
        <v>71</v>
      </c>
      <c r="AU4" s="3" t="s">
        <v>221</v>
      </c>
      <c r="AV4" s="310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5">
        <f>ELEC!C2</f>
        <v>44074</v>
      </c>
      <c r="B5" s="544">
        <f>[1]tanks!B36</f>
        <v>239</v>
      </c>
      <c r="C5" s="544">
        <f>[1]tanks!C36</f>
        <v>5142.3548387096771</v>
      </c>
      <c r="D5" s="544">
        <f>[1]tanks!D36</f>
        <v>239</v>
      </c>
      <c r="E5" s="544">
        <f>[1]tanks!E36</f>
        <v>5142.3548387096771</v>
      </c>
      <c r="F5" s="544">
        <f>[1]tanks!F36</f>
        <v>239</v>
      </c>
      <c r="G5" s="544">
        <f>[1]tanks!G36</f>
        <v>5142.3548387096771</v>
      </c>
      <c r="H5" s="544">
        <f>[1]tanks!H36</f>
        <v>239</v>
      </c>
      <c r="I5" s="544">
        <f>[1]tanks!I36</f>
        <v>5142.3548387096771</v>
      </c>
      <c r="J5" s="544">
        <f>[1]tanks!J36</f>
        <v>239</v>
      </c>
      <c r="K5" s="544">
        <f>[1]tanks!K36</f>
        <v>5142.3548387096771</v>
      </c>
      <c r="L5" s="544">
        <f>[1]tanks!L36</f>
        <v>239</v>
      </c>
      <c r="M5" s="544">
        <f>[1]tanks!M36</f>
        <v>5142.3548387096771</v>
      </c>
      <c r="N5" s="544">
        <f>[1]tanks!N36</f>
        <v>239</v>
      </c>
      <c r="O5" s="544">
        <f>[1]tanks!O36</f>
        <v>5142.3548387096771</v>
      </c>
      <c r="P5" s="544">
        <f>[1]tanks!P36</f>
        <v>239</v>
      </c>
      <c r="Q5" s="544">
        <f>[1]tanks!Q36</f>
        <v>5142.3548387096771</v>
      </c>
      <c r="R5" s="544">
        <f>[1]tanks!R36</f>
        <v>239</v>
      </c>
      <c r="S5" s="544">
        <f>[1]tanks!S36</f>
        <v>5142.3548387096771</v>
      </c>
      <c r="T5" s="544">
        <f>[1]tanks!T36</f>
        <v>239</v>
      </c>
      <c r="U5" s="544">
        <f>[1]tanks!U36</f>
        <v>5142.3548387096771</v>
      </c>
      <c r="V5" s="544">
        <f>[1]tanks!V36</f>
        <v>239</v>
      </c>
      <c r="W5" s="544">
        <f>[1]tanks!W36</f>
        <v>5142.3548387096771</v>
      </c>
      <c r="X5" s="544">
        <f>[1]tanks!X36</f>
        <v>0.77096774193548367</v>
      </c>
      <c r="Y5" s="544">
        <f>[1]tanks!Y36</f>
        <v>56565.90322580644</v>
      </c>
      <c r="Z5" s="544">
        <f>[1]tanks!Z36</f>
        <v>244</v>
      </c>
      <c r="AA5" s="544">
        <f>[1]tanks!AA36</f>
        <v>2440</v>
      </c>
      <c r="AB5" s="544">
        <f>[1]tanks!AB36</f>
        <v>244</v>
      </c>
      <c r="AC5" s="544">
        <f>[1]tanks!AC36</f>
        <v>2440</v>
      </c>
      <c r="AD5" s="544">
        <f>[1]tanks!AD36</f>
        <v>244</v>
      </c>
      <c r="AE5" s="544">
        <f>[1]tanks!AE36</f>
        <v>2440</v>
      </c>
      <c r="AF5" s="544">
        <f>[1]tanks!AF36</f>
        <v>244</v>
      </c>
      <c r="AG5" s="544">
        <f>[1]tanks!AG36</f>
        <v>2440</v>
      </c>
      <c r="AH5" s="544">
        <f>[1]tanks!AH36</f>
        <v>244</v>
      </c>
      <c r="AI5" s="544">
        <f>[1]tanks!AI36</f>
        <v>2440</v>
      </c>
      <c r="AJ5" s="544">
        <f>[1]tanks!AJ36</f>
        <v>244</v>
      </c>
      <c r="AK5" s="544">
        <f>[1]tanks!AK36</f>
        <v>2440</v>
      </c>
      <c r="AL5" s="544">
        <f>[1]tanks!AL36</f>
        <v>244</v>
      </c>
      <c r="AM5" s="544">
        <f>[1]tanks!AM36</f>
        <v>2440</v>
      </c>
      <c r="AN5" s="517">
        <f>[1]tanks!AN36</f>
        <v>0.87142857142857144</v>
      </c>
      <c r="AO5" s="544">
        <f>[1]tanks!AO36</f>
        <v>17080</v>
      </c>
      <c r="AP5" s="544">
        <f>[1]tanks!AP36</f>
        <v>0</v>
      </c>
      <c r="AQ5" s="517">
        <f>[1]tanks!AQ36</f>
        <v>0.79214696381420291</v>
      </c>
      <c r="AR5" s="544">
        <f>[1]tanks!AR36</f>
        <v>73645.90322580644</v>
      </c>
      <c r="AS5" s="544">
        <f>[1]tanks!AS36</f>
        <v>-990.03225806452974</v>
      </c>
      <c r="AT5" s="544">
        <f>[1]tanks!AT36</f>
        <v>0</v>
      </c>
      <c r="AU5" s="544">
        <f>[1]tanks!AU36</f>
        <v>0</v>
      </c>
      <c r="AV5" s="544">
        <f>[1]tanks!AV36</f>
        <v>0.53</v>
      </c>
      <c r="AW5" s="544">
        <f>[1]tanks!AW36</f>
        <v>-151</v>
      </c>
      <c r="AX5" s="544">
        <f>[1]tanks!AX36</f>
        <v>-839.03225806452974</v>
      </c>
      <c r="AY5" s="544">
        <f>[1]tanks!AY36</f>
        <v>-990.03225806452974</v>
      </c>
      <c r="AZ5" s="517">
        <f>[1]tanks!AZ36</f>
        <v>0</v>
      </c>
      <c r="BA5" s="544">
        <f>[1]tanks!BA36</f>
        <v>30</v>
      </c>
      <c r="BB5" s="544">
        <f>[1]tanks!BB36</f>
        <v>0.76</v>
      </c>
      <c r="BC5" s="544">
        <f>[2]tanks!BC36</f>
        <v>1</v>
      </c>
      <c r="BD5" s="544">
        <f>[2]tanks!BD36</f>
        <v>19222</v>
      </c>
      <c r="BE5" s="544" t="e">
        <f>[2]tanks!BE36</f>
        <v>#REF!</v>
      </c>
      <c r="BF5" s="544">
        <f>[2]tanks!BF36</f>
        <v>0</v>
      </c>
      <c r="BG5" s="544" t="e">
        <f>[2]tanks!BG36</f>
        <v>#REF!</v>
      </c>
      <c r="BH5" s="544">
        <f>[2]tanks!BH36</f>
        <v>0</v>
      </c>
      <c r="BI5" s="206"/>
    </row>
    <row r="6" spans="1:61">
      <c r="A6" s="455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3"/>
      <c r="AU6" s="447"/>
      <c r="AV6" s="530">
        <f>IF(AT6&gt;0,AU6,AV5)</f>
        <v>0.53</v>
      </c>
      <c r="AW6" s="296">
        <f>-SUM('B5'!AI5)</f>
        <v>-155</v>
      </c>
      <c r="AX6" s="296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6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5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6"/>
      <c r="AU7" s="503"/>
      <c r="AV7" s="530">
        <f>IF(AT7&gt;0,AU7,AV6)</f>
        <v>0.53</v>
      </c>
      <c r="AW7" s="296">
        <f>-SUM('B5'!AI6)</f>
        <v>0</v>
      </c>
      <c r="AX7" s="296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2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5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5" si="41">SUM(AO8+Y8)</f>
        <v>69422.419354838697</v>
      </c>
      <c r="AS8" s="200">
        <f t="shared" si="38"/>
        <v>-1840.0645161290449</v>
      </c>
      <c r="AT8" s="363"/>
      <c r="AU8" s="447"/>
      <c r="AV8" s="530">
        <f t="shared" ref="AV8:AV34" si="42">IF(AT8&gt;0,AU8,AV7)</f>
        <v>0.53</v>
      </c>
      <c r="AW8" s="296">
        <f>-SUM('B5'!AI7)</f>
        <v>-350</v>
      </c>
      <c r="AX8" s="296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2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5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3"/>
      <c r="AU9" s="447"/>
      <c r="AV9" s="530">
        <f t="shared" si="42"/>
        <v>0.53</v>
      </c>
      <c r="AW9" s="296">
        <f>-SUM('B5'!AI8)</f>
        <v>-303</v>
      </c>
      <c r="AX9" s="296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2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5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3"/>
      <c r="AU10" s="447"/>
      <c r="AV10" s="530">
        <f>IF(AT10&gt;0,AU10,AV9)</f>
        <v>0.53</v>
      </c>
      <c r="AW10" s="296">
        <f>-SUM('B5'!AI9)</f>
        <v>0</v>
      </c>
      <c r="AX10" s="296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2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5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2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3"/>
      <c r="AU11" s="447"/>
      <c r="AV11" s="530">
        <f>IF(AT11&gt;0,AU11,AV10)</f>
        <v>0.53</v>
      </c>
      <c r="AW11" s="296">
        <f>-SUM('B5'!AI10)</f>
        <v>0</v>
      </c>
      <c r="AX11" s="296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2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5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2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6"/>
      <c r="AU12" s="489"/>
      <c r="AV12" s="530">
        <f t="shared" si="42"/>
        <v>0.53</v>
      </c>
      <c r="AW12" s="296">
        <f>-SUM('B5'!AI11)</f>
        <v>0</v>
      </c>
      <c r="AX12" s="296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2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5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2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6"/>
      <c r="AU13" s="447"/>
      <c r="AV13" s="530">
        <f t="shared" si="42"/>
        <v>0.53</v>
      </c>
      <c r="AW13" s="296">
        <f>-SUM('B5'!AI12)</f>
        <v>0</v>
      </c>
      <c r="AX13" s="296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2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5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6"/>
      <c r="AU14" s="489"/>
      <c r="AV14" s="530">
        <f t="shared" si="42"/>
        <v>0.53</v>
      </c>
      <c r="AW14" s="296">
        <f>-SUM('B5'!AI13)</f>
        <v>0</v>
      </c>
      <c r="AX14" s="296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2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5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6">
        <v>15000</v>
      </c>
      <c r="AU15" s="447">
        <v>0.54</v>
      </c>
      <c r="AV15" s="530">
        <f>IF(AT15&gt;0,AU15,AV14)</f>
        <v>0.54</v>
      </c>
      <c r="AW15" s="296">
        <f>-SUM('B5'!AI14)</f>
        <v>0</v>
      </c>
      <c r="AX15" s="296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2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5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3"/>
      <c r="AU16" s="447"/>
      <c r="AV16" s="530">
        <f>IF(AT16&gt;0,AU16,AV15)</f>
        <v>0.54</v>
      </c>
      <c r="AW16" s="296">
        <f>-SUM('B5'!AI15)</f>
        <v>0</v>
      </c>
      <c r="AX16" s="296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2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5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3"/>
      <c r="AU17" s="489"/>
      <c r="AV17" s="530">
        <f t="shared" si="42"/>
        <v>0.54</v>
      </c>
      <c r="AW17" s="296">
        <f>-SUM('B5'!AI16)</f>
        <v>0</v>
      </c>
      <c r="AX17" s="296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2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5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6"/>
      <c r="AU18" s="447"/>
      <c r="AV18" s="530">
        <f>IF(AT18&gt;0,AU18,AV17)</f>
        <v>0.54</v>
      </c>
      <c r="AW18" s="296">
        <f>-SUM('B5'!AI17)</f>
        <v>0</v>
      </c>
      <c r="AX18" s="296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2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5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6"/>
      <c r="AU19" s="447"/>
      <c r="AV19" s="530">
        <f t="shared" si="42"/>
        <v>0.54</v>
      </c>
      <c r="AW19" s="296">
        <f>-SUM('B5'!AI18)</f>
        <v>0</v>
      </c>
      <c r="AX19" s="296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2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5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6"/>
      <c r="AU20" s="447"/>
      <c r="AV20" s="530">
        <f t="shared" si="42"/>
        <v>0.54</v>
      </c>
      <c r="AW20" s="296">
        <f>-SUM('B5'!AI19)</f>
        <v>0</v>
      </c>
      <c r="AX20" s="296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2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5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6"/>
      <c r="AU21" s="447"/>
      <c r="AV21" s="530">
        <f t="shared" si="42"/>
        <v>0.54</v>
      </c>
      <c r="AW21" s="296">
        <f>-SUM('B5'!AI20)</f>
        <v>0</v>
      </c>
      <c r="AX21" s="296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2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5">
        <f>ELEC!C19</f>
        <v>44091</v>
      </c>
      <c r="B22">
        <f>'B5'!B21</f>
        <v>225</v>
      </c>
      <c r="C22" s="206">
        <f t="shared" si="18"/>
        <v>4841.1290322580644</v>
      </c>
      <c r="D22">
        <f t="shared" si="19"/>
        <v>225</v>
      </c>
      <c r="E22" s="206">
        <f t="shared" si="18"/>
        <v>4841.1290322580644</v>
      </c>
      <c r="F22">
        <f t="shared" si="20"/>
        <v>225</v>
      </c>
      <c r="G22" s="206">
        <f t="shared" si="1"/>
        <v>4841.1290322580644</v>
      </c>
      <c r="H22" s="206">
        <f t="shared" si="21"/>
        <v>225</v>
      </c>
      <c r="I22" s="206">
        <f t="shared" si="2"/>
        <v>4841.1290322580644</v>
      </c>
      <c r="J22" s="206">
        <f t="shared" si="22"/>
        <v>225</v>
      </c>
      <c r="K22" s="206">
        <f t="shared" si="3"/>
        <v>4841.1290322580644</v>
      </c>
      <c r="L22" s="206">
        <f t="shared" si="23"/>
        <v>225</v>
      </c>
      <c r="M22" s="206">
        <f t="shared" si="4"/>
        <v>4841.1290322580644</v>
      </c>
      <c r="N22" s="206">
        <f t="shared" si="24"/>
        <v>225</v>
      </c>
      <c r="O22" s="206">
        <f t="shared" si="5"/>
        <v>4841.1290322580644</v>
      </c>
      <c r="P22" s="206">
        <f t="shared" si="25"/>
        <v>225</v>
      </c>
      <c r="Q22" s="206">
        <f t="shared" si="6"/>
        <v>4841.1290322580644</v>
      </c>
      <c r="R22" s="206">
        <f t="shared" si="26"/>
        <v>225</v>
      </c>
      <c r="S22" s="206">
        <f t="shared" si="7"/>
        <v>4841.1290322580644</v>
      </c>
      <c r="T22" s="206">
        <f t="shared" si="27"/>
        <v>225</v>
      </c>
      <c r="U22" s="206">
        <f t="shared" si="8"/>
        <v>4841.1290322580644</v>
      </c>
      <c r="V22" s="206">
        <f t="shared" si="28"/>
        <v>225</v>
      </c>
      <c r="W22" s="206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6">
        <f>'B5'!C21</f>
        <v>231</v>
      </c>
      <c r="AA22" s="206">
        <f t="shared" si="30"/>
        <v>2310</v>
      </c>
      <c r="AB22" s="206">
        <f t="shared" si="31"/>
        <v>231</v>
      </c>
      <c r="AC22" s="206">
        <f t="shared" si="30"/>
        <v>2310</v>
      </c>
      <c r="AD22" s="206">
        <f t="shared" si="32"/>
        <v>231</v>
      </c>
      <c r="AE22" s="206">
        <f t="shared" si="11"/>
        <v>2310</v>
      </c>
      <c r="AF22" s="206">
        <f t="shared" si="33"/>
        <v>231</v>
      </c>
      <c r="AG22" s="206">
        <f t="shared" si="12"/>
        <v>2310</v>
      </c>
      <c r="AH22" s="206">
        <f t="shared" si="34"/>
        <v>231</v>
      </c>
      <c r="AI22" s="206">
        <f t="shared" si="13"/>
        <v>2310</v>
      </c>
      <c r="AJ22" s="206">
        <f t="shared" si="35"/>
        <v>231</v>
      </c>
      <c r="AK22" s="206">
        <f t="shared" si="14"/>
        <v>2310</v>
      </c>
      <c r="AL22" s="206">
        <f t="shared" si="36"/>
        <v>231</v>
      </c>
      <c r="AM22" s="206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6">
        <f t="shared" si="37"/>
        <v>0.7467185044082898</v>
      </c>
      <c r="AR22" s="38">
        <f t="shared" si="41"/>
        <v>69422.419354838697</v>
      </c>
      <c r="AS22" s="200">
        <f t="shared" si="38"/>
        <v>-429.3483870967757</v>
      </c>
      <c r="AT22" s="276"/>
      <c r="AU22" s="447"/>
      <c r="AV22" s="530">
        <f t="shared" si="42"/>
        <v>0.54</v>
      </c>
      <c r="AW22" s="296">
        <f>-SUM('B5'!AI21)</f>
        <v>0</v>
      </c>
      <c r="AX22" s="296">
        <f t="shared" si="39"/>
        <v>-429.3483870967757</v>
      </c>
      <c r="AY22" s="37">
        <f t="shared" si="40"/>
        <v>-429.3483870967757</v>
      </c>
      <c r="AZ22" s="100">
        <f>ELEC!A19</f>
        <v>0</v>
      </c>
      <c r="BA22" s="118">
        <f>'General information '!D22</f>
        <v>28</v>
      </c>
      <c r="BB22" s="402">
        <f>SUM('General information '!E22)</f>
        <v>0.75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5">
        <f>ELEC!C20</f>
        <v>44092</v>
      </c>
      <c r="B23">
        <f>'B5'!B22</f>
        <v>223</v>
      </c>
      <c r="C23" s="206">
        <f t="shared" si="18"/>
        <v>4798.0967741935483</v>
      </c>
      <c r="D23">
        <f t="shared" si="19"/>
        <v>223</v>
      </c>
      <c r="E23" s="206">
        <f t="shared" si="18"/>
        <v>4798.0967741935483</v>
      </c>
      <c r="F23">
        <f t="shared" si="20"/>
        <v>223</v>
      </c>
      <c r="G23" s="206">
        <f t="shared" si="1"/>
        <v>4798.0967741935483</v>
      </c>
      <c r="H23" s="206">
        <f t="shared" si="21"/>
        <v>223</v>
      </c>
      <c r="I23" s="206">
        <f t="shared" si="2"/>
        <v>4798.0967741935483</v>
      </c>
      <c r="J23" s="206">
        <f t="shared" si="22"/>
        <v>223</v>
      </c>
      <c r="K23" s="206">
        <f t="shared" si="3"/>
        <v>4798.0967741935483</v>
      </c>
      <c r="L23" s="206">
        <f t="shared" si="23"/>
        <v>223</v>
      </c>
      <c r="M23" s="206">
        <f t="shared" si="4"/>
        <v>4798.0967741935483</v>
      </c>
      <c r="N23" s="206">
        <f t="shared" si="24"/>
        <v>223</v>
      </c>
      <c r="O23" s="206">
        <f t="shared" si="5"/>
        <v>4798.0967741935483</v>
      </c>
      <c r="P23" s="206">
        <f t="shared" si="25"/>
        <v>223</v>
      </c>
      <c r="Q23" s="206">
        <f t="shared" si="6"/>
        <v>4798.0967741935483</v>
      </c>
      <c r="R23" s="206">
        <f t="shared" si="26"/>
        <v>223</v>
      </c>
      <c r="S23" s="206">
        <f t="shared" si="7"/>
        <v>4798.0967741935483</v>
      </c>
      <c r="T23" s="206">
        <f t="shared" si="27"/>
        <v>223</v>
      </c>
      <c r="U23" s="206">
        <f t="shared" si="8"/>
        <v>4798.0967741935483</v>
      </c>
      <c r="V23" s="206">
        <f t="shared" si="28"/>
        <v>223</v>
      </c>
      <c r="W23" s="206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6">
        <f>'B5'!C22</f>
        <v>229.1</v>
      </c>
      <c r="AA23" s="206">
        <f t="shared" si="30"/>
        <v>2291</v>
      </c>
      <c r="AB23" s="206">
        <f t="shared" si="31"/>
        <v>229.1</v>
      </c>
      <c r="AC23" s="206">
        <f t="shared" si="30"/>
        <v>2291</v>
      </c>
      <c r="AD23" s="206">
        <f t="shared" si="32"/>
        <v>229.1</v>
      </c>
      <c r="AE23" s="206">
        <f t="shared" si="11"/>
        <v>2291</v>
      </c>
      <c r="AF23" s="206">
        <f t="shared" si="33"/>
        <v>229.1</v>
      </c>
      <c r="AG23" s="206">
        <f t="shared" si="12"/>
        <v>2291</v>
      </c>
      <c r="AH23" s="206">
        <f t="shared" si="34"/>
        <v>229.1</v>
      </c>
      <c r="AI23" s="206">
        <f t="shared" si="13"/>
        <v>2291</v>
      </c>
      <c r="AJ23" s="206">
        <f t="shared" si="35"/>
        <v>229.1</v>
      </c>
      <c r="AK23" s="206">
        <f t="shared" si="14"/>
        <v>2291</v>
      </c>
      <c r="AL23" s="206">
        <f t="shared" si="36"/>
        <v>229.1</v>
      </c>
      <c r="AM23" s="206">
        <f t="shared" si="15"/>
        <v>2291</v>
      </c>
      <c r="AN23" s="35">
        <f t="shared" si="16"/>
        <v>0.81821428571428567</v>
      </c>
      <c r="AO23" s="36">
        <f t="shared" si="17"/>
        <v>16037</v>
      </c>
      <c r="AQ23" s="226">
        <f t="shared" si="37"/>
        <v>0.74019645601945827</v>
      </c>
      <c r="AR23" s="38">
        <f t="shared" si="41"/>
        <v>68816.06451612903</v>
      </c>
      <c r="AS23" s="200">
        <f t="shared" si="38"/>
        <v>-606.35483870966709</v>
      </c>
      <c r="AT23" s="276"/>
      <c r="AU23" s="447"/>
      <c r="AV23" s="530">
        <f t="shared" si="42"/>
        <v>0.54</v>
      </c>
      <c r="AW23" s="296">
        <f>-SUM('B5'!AI22)</f>
        <v>0</v>
      </c>
      <c r="AX23" s="296">
        <f t="shared" si="39"/>
        <v>-606.35483870966709</v>
      </c>
      <c r="AY23" s="37">
        <f t="shared" si="40"/>
        <v>-606.35483870966709</v>
      </c>
      <c r="AZ23" s="100">
        <f>ELEC!A20</f>
        <v>0</v>
      </c>
      <c r="BA23" s="118">
        <f>'General information '!D23</f>
        <v>27.5</v>
      </c>
      <c r="BB23" s="402">
        <f>SUM('General information '!E23)</f>
        <v>0.77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5">
        <f>ELEC!C21</f>
        <v>44093</v>
      </c>
      <c r="B24">
        <f>'B5'!B23</f>
        <v>220</v>
      </c>
      <c r="C24" s="206">
        <f t="shared" si="18"/>
        <v>4733.5483870967737</v>
      </c>
      <c r="D24">
        <f t="shared" si="19"/>
        <v>220</v>
      </c>
      <c r="E24" s="206">
        <f t="shared" si="18"/>
        <v>4733.5483870967737</v>
      </c>
      <c r="F24">
        <f t="shared" si="20"/>
        <v>220</v>
      </c>
      <c r="G24" s="206">
        <f t="shared" si="1"/>
        <v>4733.5483870967737</v>
      </c>
      <c r="H24" s="206">
        <f t="shared" si="21"/>
        <v>220</v>
      </c>
      <c r="I24" s="206">
        <f t="shared" si="2"/>
        <v>4733.5483870967737</v>
      </c>
      <c r="J24" s="206">
        <f t="shared" si="22"/>
        <v>220</v>
      </c>
      <c r="K24" s="206">
        <f t="shared" si="3"/>
        <v>4733.5483870967737</v>
      </c>
      <c r="L24" s="206">
        <f t="shared" si="23"/>
        <v>220</v>
      </c>
      <c r="M24" s="206">
        <f t="shared" si="4"/>
        <v>4733.5483870967737</v>
      </c>
      <c r="N24" s="206">
        <f t="shared" si="24"/>
        <v>220</v>
      </c>
      <c r="O24" s="206">
        <f t="shared" si="5"/>
        <v>4733.5483870967737</v>
      </c>
      <c r="P24" s="206">
        <f t="shared" si="25"/>
        <v>220</v>
      </c>
      <c r="Q24" s="206">
        <f t="shared" si="6"/>
        <v>4733.5483870967737</v>
      </c>
      <c r="R24" s="206">
        <f t="shared" si="26"/>
        <v>220</v>
      </c>
      <c r="S24" s="206">
        <f t="shared" si="7"/>
        <v>4733.5483870967737</v>
      </c>
      <c r="T24" s="206">
        <f t="shared" si="27"/>
        <v>220</v>
      </c>
      <c r="U24" s="206">
        <f t="shared" si="8"/>
        <v>4733.5483870967737</v>
      </c>
      <c r="V24" s="206">
        <f t="shared" si="28"/>
        <v>220</v>
      </c>
      <c r="W24" s="206">
        <f t="shared" si="9"/>
        <v>4733.5483870967737</v>
      </c>
      <c r="X24" s="35">
        <f t="shared" si="10"/>
        <v>0.70967741935483863</v>
      </c>
      <c r="Y24" s="36">
        <f t="shared" si="29"/>
        <v>52069.032258064508</v>
      </c>
      <c r="Z24" s="206">
        <f>'B5'!C23</f>
        <v>226</v>
      </c>
      <c r="AA24" s="206">
        <f t="shared" si="30"/>
        <v>2260</v>
      </c>
      <c r="AB24" s="206">
        <f t="shared" si="31"/>
        <v>226</v>
      </c>
      <c r="AC24" s="206">
        <f t="shared" si="30"/>
        <v>2260</v>
      </c>
      <c r="AD24" s="206">
        <f t="shared" si="32"/>
        <v>226</v>
      </c>
      <c r="AE24" s="206">
        <f t="shared" si="11"/>
        <v>2260</v>
      </c>
      <c r="AF24" s="206">
        <f t="shared" si="33"/>
        <v>226</v>
      </c>
      <c r="AG24" s="206">
        <f t="shared" si="12"/>
        <v>2260</v>
      </c>
      <c r="AH24" s="206">
        <f t="shared" si="34"/>
        <v>226</v>
      </c>
      <c r="AI24" s="206">
        <f t="shared" si="13"/>
        <v>2260</v>
      </c>
      <c r="AJ24" s="206">
        <f t="shared" si="35"/>
        <v>226</v>
      </c>
      <c r="AK24" s="206">
        <f t="shared" si="14"/>
        <v>2260</v>
      </c>
      <c r="AL24" s="206">
        <f t="shared" si="36"/>
        <v>226</v>
      </c>
      <c r="AM24" s="206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6">
        <f t="shared" si="37"/>
        <v>0.73022515067295379</v>
      </c>
      <c r="AR24" s="38">
        <f t="shared" si="41"/>
        <v>67889.032258064515</v>
      </c>
      <c r="AS24" s="200">
        <f t="shared" si="38"/>
        <v>-927.03225806451519</v>
      </c>
      <c r="AT24" s="276"/>
      <c r="AU24" s="447"/>
      <c r="AV24" s="530">
        <f t="shared" si="42"/>
        <v>0.54</v>
      </c>
      <c r="AW24" s="296">
        <f>-SUM('B5'!AI23)</f>
        <v>0</v>
      </c>
      <c r="AX24" s="296">
        <f t="shared" si="39"/>
        <v>-927.03225806451519</v>
      </c>
      <c r="AY24" s="37">
        <f t="shared" si="40"/>
        <v>-927.03225806451519</v>
      </c>
      <c r="AZ24" s="100">
        <f>ELEC!A21</f>
        <v>0</v>
      </c>
      <c r="BA24" s="118">
        <f>'General information '!D24</f>
        <v>28.5</v>
      </c>
      <c r="BB24" s="402">
        <f>SUM('General information '!E24)</f>
        <v>0.64</v>
      </c>
      <c r="BC24" s="3">
        <f t="shared" si="43"/>
        <v>0</v>
      </c>
      <c r="BD24" s="102">
        <v>19222</v>
      </c>
      <c r="BE24" s="14">
        <f>(305/1185)*ELEC!Q22</f>
        <v>642.17299578079678</v>
      </c>
      <c r="BF24" s="14"/>
      <c r="BG24" s="14" t="e">
        <f>#REF!-BE24</f>
        <v>#REF!</v>
      </c>
      <c r="BH24" s="11"/>
      <c r="BI24" t="s">
        <v>325</v>
      </c>
    </row>
    <row r="25" spans="1:61">
      <c r="A25" s="455">
        <f>ELEC!C22</f>
        <v>44094</v>
      </c>
      <c r="B25">
        <f>'B5'!B24</f>
        <v>218</v>
      </c>
      <c r="C25" s="206">
        <f t="shared" si="18"/>
        <v>4690.5161290322576</v>
      </c>
      <c r="D25">
        <f t="shared" si="19"/>
        <v>218</v>
      </c>
      <c r="E25" s="206">
        <f t="shared" si="18"/>
        <v>4690.5161290322576</v>
      </c>
      <c r="F25">
        <f t="shared" si="20"/>
        <v>218</v>
      </c>
      <c r="G25" s="206">
        <f t="shared" si="1"/>
        <v>4690.5161290322576</v>
      </c>
      <c r="H25" s="206">
        <f t="shared" si="21"/>
        <v>218</v>
      </c>
      <c r="I25" s="206">
        <f t="shared" si="2"/>
        <v>4690.5161290322576</v>
      </c>
      <c r="J25" s="206">
        <f t="shared" si="22"/>
        <v>218</v>
      </c>
      <c r="K25" s="206">
        <f t="shared" si="3"/>
        <v>4690.5161290322576</v>
      </c>
      <c r="L25" s="206">
        <f t="shared" si="23"/>
        <v>218</v>
      </c>
      <c r="M25" s="206">
        <f t="shared" si="4"/>
        <v>4690.5161290322576</v>
      </c>
      <c r="N25" s="206">
        <f t="shared" si="24"/>
        <v>218</v>
      </c>
      <c r="O25" s="206">
        <f t="shared" si="5"/>
        <v>4690.5161290322576</v>
      </c>
      <c r="P25" s="206">
        <f t="shared" si="25"/>
        <v>218</v>
      </c>
      <c r="Q25" s="206">
        <f t="shared" si="6"/>
        <v>4690.5161290322576</v>
      </c>
      <c r="R25" s="206">
        <f t="shared" si="26"/>
        <v>218</v>
      </c>
      <c r="S25" s="206">
        <f t="shared" si="7"/>
        <v>4690.5161290322576</v>
      </c>
      <c r="T25" s="206">
        <f t="shared" si="27"/>
        <v>218</v>
      </c>
      <c r="U25" s="206">
        <f t="shared" si="8"/>
        <v>4690.5161290322576</v>
      </c>
      <c r="V25" s="206">
        <f t="shared" si="28"/>
        <v>218</v>
      </c>
      <c r="W25" s="206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6">
        <f>'B5'!C24</f>
        <v>224</v>
      </c>
      <c r="AA25" s="206">
        <f t="shared" si="30"/>
        <v>2240</v>
      </c>
      <c r="AB25" s="206">
        <f t="shared" si="31"/>
        <v>224</v>
      </c>
      <c r="AC25" s="206">
        <f t="shared" si="30"/>
        <v>2240</v>
      </c>
      <c r="AD25" s="206">
        <f t="shared" si="32"/>
        <v>224</v>
      </c>
      <c r="AE25" s="206">
        <f t="shared" si="11"/>
        <v>2240</v>
      </c>
      <c r="AF25" s="206">
        <f t="shared" si="33"/>
        <v>224</v>
      </c>
      <c r="AG25" s="206">
        <f t="shared" si="12"/>
        <v>2240</v>
      </c>
      <c r="AH25" s="206">
        <f t="shared" si="34"/>
        <v>224</v>
      </c>
      <c r="AI25" s="206">
        <f t="shared" si="13"/>
        <v>2240</v>
      </c>
      <c r="AJ25" s="206">
        <f t="shared" si="35"/>
        <v>224</v>
      </c>
      <c r="AK25" s="206">
        <f t="shared" si="14"/>
        <v>2240</v>
      </c>
      <c r="AL25" s="206">
        <f t="shared" si="36"/>
        <v>224</v>
      </c>
      <c r="AM25" s="206">
        <f t="shared" si="15"/>
        <v>2240</v>
      </c>
      <c r="AN25" s="35">
        <f t="shared" si="16"/>
        <v>0.8</v>
      </c>
      <c r="AO25" s="36">
        <f t="shared" si="17"/>
        <v>15680</v>
      </c>
      <c r="AQ25" s="226">
        <f t="shared" si="37"/>
        <v>0.7236278091788193</v>
      </c>
      <c r="AR25" s="38">
        <f t="shared" si="41"/>
        <v>67275.677419354834</v>
      </c>
      <c r="AS25" s="200">
        <f t="shared" si="38"/>
        <v>-613.35483870968164</v>
      </c>
      <c r="AT25" s="276"/>
      <c r="AU25" s="447"/>
      <c r="AV25" s="530">
        <f t="shared" si="42"/>
        <v>0.54</v>
      </c>
      <c r="AW25" s="296">
        <f>-SUM('B5'!AI24)</f>
        <v>0</v>
      </c>
      <c r="AX25" s="296">
        <f t="shared" si="39"/>
        <v>-613.35483870968164</v>
      </c>
      <c r="AY25" s="37">
        <f t="shared" si="40"/>
        <v>-613.35483870968164</v>
      </c>
      <c r="AZ25" s="100">
        <f>ELEC!A22</f>
        <v>0</v>
      </c>
      <c r="BA25" s="118">
        <f>'General information '!D25</f>
        <v>26</v>
      </c>
      <c r="BB25" s="402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387.3628691981063</v>
      </c>
      <c r="BF25" s="14"/>
      <c r="BG25" s="14" t="e">
        <f>#REF!-BE25</f>
        <v>#REF!</v>
      </c>
      <c r="BH25" s="11"/>
    </row>
    <row r="26" spans="1:61">
      <c r="A26" s="455">
        <f>ELEC!C23</f>
        <v>44095</v>
      </c>
      <c r="B26">
        <f>'B5'!B25</f>
        <v>215</v>
      </c>
      <c r="C26" s="206">
        <f t="shared" si="18"/>
        <v>4625.9677419354839</v>
      </c>
      <c r="D26">
        <f t="shared" si="19"/>
        <v>215</v>
      </c>
      <c r="E26" s="206">
        <f t="shared" si="18"/>
        <v>4625.9677419354839</v>
      </c>
      <c r="F26">
        <f t="shared" si="20"/>
        <v>215</v>
      </c>
      <c r="G26" s="206">
        <f t="shared" si="1"/>
        <v>4625.9677419354839</v>
      </c>
      <c r="H26" s="206">
        <f t="shared" si="21"/>
        <v>215</v>
      </c>
      <c r="I26" s="206">
        <f t="shared" si="2"/>
        <v>4625.9677419354839</v>
      </c>
      <c r="J26" s="206">
        <f t="shared" si="22"/>
        <v>215</v>
      </c>
      <c r="K26" s="206">
        <f t="shared" si="3"/>
        <v>4625.9677419354839</v>
      </c>
      <c r="L26" s="206">
        <f t="shared" si="23"/>
        <v>215</v>
      </c>
      <c r="M26" s="206">
        <f t="shared" si="4"/>
        <v>4625.9677419354839</v>
      </c>
      <c r="N26" s="206">
        <f t="shared" si="24"/>
        <v>215</v>
      </c>
      <c r="O26" s="206">
        <f t="shared" si="5"/>
        <v>4625.9677419354839</v>
      </c>
      <c r="P26" s="206">
        <f t="shared" si="25"/>
        <v>215</v>
      </c>
      <c r="Q26" s="206">
        <f t="shared" si="6"/>
        <v>4625.9677419354839</v>
      </c>
      <c r="R26" s="206">
        <f t="shared" si="26"/>
        <v>215</v>
      </c>
      <c r="S26" s="206">
        <f t="shared" si="7"/>
        <v>4625.9677419354839</v>
      </c>
      <c r="T26" s="206">
        <f t="shared" si="27"/>
        <v>215</v>
      </c>
      <c r="U26" s="206">
        <f t="shared" si="8"/>
        <v>4625.9677419354839</v>
      </c>
      <c r="V26" s="206">
        <f t="shared" si="28"/>
        <v>215</v>
      </c>
      <c r="W26" s="206">
        <f t="shared" si="9"/>
        <v>4625.9677419354839</v>
      </c>
      <c r="X26" s="35">
        <f t="shared" si="10"/>
        <v>0.69354838709677424</v>
      </c>
      <c r="Y26" s="36">
        <f t="shared" si="29"/>
        <v>50885.645161290326</v>
      </c>
      <c r="Z26" s="206">
        <f>'B5'!C25</f>
        <v>221</v>
      </c>
      <c r="AA26" s="206">
        <f t="shared" si="30"/>
        <v>2210</v>
      </c>
      <c r="AB26" s="206">
        <f t="shared" si="31"/>
        <v>221</v>
      </c>
      <c r="AC26" s="206">
        <f t="shared" si="30"/>
        <v>2210</v>
      </c>
      <c r="AD26" s="206">
        <f t="shared" si="32"/>
        <v>221</v>
      </c>
      <c r="AE26" s="206">
        <f t="shared" si="11"/>
        <v>2210</v>
      </c>
      <c r="AF26" s="206">
        <f t="shared" si="33"/>
        <v>221</v>
      </c>
      <c r="AG26" s="206">
        <f t="shared" si="12"/>
        <v>2210</v>
      </c>
      <c r="AH26" s="206">
        <f t="shared" si="34"/>
        <v>221</v>
      </c>
      <c r="AI26" s="206">
        <f t="shared" si="13"/>
        <v>2210</v>
      </c>
      <c r="AJ26" s="206">
        <f t="shared" si="35"/>
        <v>221</v>
      </c>
      <c r="AK26" s="206">
        <f t="shared" si="14"/>
        <v>2210</v>
      </c>
      <c r="AL26" s="206">
        <f t="shared" si="36"/>
        <v>221</v>
      </c>
      <c r="AM26" s="206">
        <f t="shared" si="15"/>
        <v>2210</v>
      </c>
      <c r="AN26" s="35">
        <f t="shared" si="16"/>
        <v>0.78928571428571426</v>
      </c>
      <c r="AO26" s="36">
        <f t="shared" si="17"/>
        <v>15470</v>
      </c>
      <c r="AQ26" s="226">
        <f t="shared" si="37"/>
        <v>0.7137317969376179</v>
      </c>
      <c r="AR26" s="38">
        <f t="shared" si="41"/>
        <v>66355.645161290333</v>
      </c>
      <c r="AS26" s="200">
        <f t="shared" si="38"/>
        <v>-920.03225806450064</v>
      </c>
      <c r="AT26" s="276"/>
      <c r="AU26" s="447"/>
      <c r="AV26" s="530">
        <f t="shared" si="42"/>
        <v>0.54</v>
      </c>
      <c r="AW26" s="296">
        <f>-SUM('B5'!AI25)</f>
        <v>0</v>
      </c>
      <c r="AX26" s="296">
        <f t="shared" si="39"/>
        <v>-920.03225806450064</v>
      </c>
      <c r="AY26" s="37">
        <f t="shared" si="40"/>
        <v>-920.03225806450064</v>
      </c>
      <c r="AZ26" s="100">
        <f>ELEC!A23</f>
        <v>0</v>
      </c>
      <c r="BA26" s="118">
        <f>'General information '!D26</f>
        <v>28.5</v>
      </c>
      <c r="BB26" s="402">
        <f>SUM('General information '!E26)</f>
        <v>0.64</v>
      </c>
      <c r="BC26" s="3">
        <f t="shared" si="43"/>
        <v>0</v>
      </c>
      <c r="BD26" s="102">
        <v>19222</v>
      </c>
      <c r="BE26" s="14">
        <f>(305/1185)*ELEC!Q24</f>
        <v>1029.535864978903</v>
      </c>
      <c r="BF26" s="14"/>
      <c r="BG26" s="14" t="e">
        <f>#REF!-BE26</f>
        <v>#REF!</v>
      </c>
      <c r="BH26" s="11"/>
    </row>
    <row r="27" spans="1:61">
      <c r="A27" s="455">
        <f>ELEC!C24</f>
        <v>44096</v>
      </c>
      <c r="B27">
        <f>'B5'!B26</f>
        <v>211</v>
      </c>
      <c r="C27" s="206">
        <f t="shared" si="18"/>
        <v>4539.9032258064517</v>
      </c>
      <c r="D27">
        <f t="shared" si="19"/>
        <v>211</v>
      </c>
      <c r="E27" s="206">
        <f t="shared" si="18"/>
        <v>4539.9032258064517</v>
      </c>
      <c r="F27">
        <f t="shared" si="20"/>
        <v>211</v>
      </c>
      <c r="G27" s="206">
        <f t="shared" si="1"/>
        <v>4539.9032258064517</v>
      </c>
      <c r="H27" s="206">
        <f t="shared" si="21"/>
        <v>211</v>
      </c>
      <c r="I27" s="206">
        <f t="shared" si="2"/>
        <v>4539.9032258064517</v>
      </c>
      <c r="J27" s="206">
        <f t="shared" si="22"/>
        <v>211</v>
      </c>
      <c r="K27" s="206">
        <f t="shared" si="3"/>
        <v>4539.9032258064517</v>
      </c>
      <c r="L27" s="206">
        <f t="shared" si="23"/>
        <v>211</v>
      </c>
      <c r="M27" s="206">
        <f t="shared" si="4"/>
        <v>4539.9032258064517</v>
      </c>
      <c r="N27" s="206">
        <f t="shared" si="24"/>
        <v>211</v>
      </c>
      <c r="O27" s="206">
        <f t="shared" si="5"/>
        <v>4539.9032258064517</v>
      </c>
      <c r="P27" s="206">
        <f t="shared" si="25"/>
        <v>211</v>
      </c>
      <c r="Q27" s="206">
        <f t="shared" si="6"/>
        <v>4539.9032258064517</v>
      </c>
      <c r="R27" s="206">
        <f t="shared" si="26"/>
        <v>211</v>
      </c>
      <c r="S27" s="206">
        <f t="shared" si="7"/>
        <v>4539.9032258064517</v>
      </c>
      <c r="T27" s="206">
        <f t="shared" si="27"/>
        <v>211</v>
      </c>
      <c r="U27" s="206">
        <f t="shared" si="8"/>
        <v>4539.9032258064517</v>
      </c>
      <c r="V27" s="206">
        <f t="shared" si="28"/>
        <v>211</v>
      </c>
      <c r="W27" s="206">
        <f t="shared" si="9"/>
        <v>4539.9032258064517</v>
      </c>
      <c r="X27" s="35">
        <f t="shared" si="10"/>
        <v>0.68064516129032271</v>
      </c>
      <c r="Y27" s="36">
        <f t="shared" si="29"/>
        <v>49938.935483870977</v>
      </c>
      <c r="Z27" s="206">
        <f>'B5'!C26</f>
        <v>217</v>
      </c>
      <c r="AA27" s="206">
        <f t="shared" si="30"/>
        <v>2170</v>
      </c>
      <c r="AB27" s="206">
        <f t="shared" si="31"/>
        <v>217</v>
      </c>
      <c r="AC27" s="206">
        <f t="shared" si="30"/>
        <v>2170</v>
      </c>
      <c r="AD27" s="206">
        <f t="shared" si="32"/>
        <v>217</v>
      </c>
      <c r="AE27" s="206">
        <f t="shared" si="11"/>
        <v>2170</v>
      </c>
      <c r="AF27" s="206">
        <f t="shared" si="33"/>
        <v>217</v>
      </c>
      <c r="AG27" s="206">
        <f t="shared" si="12"/>
        <v>2170</v>
      </c>
      <c r="AH27" s="206">
        <f t="shared" si="34"/>
        <v>217</v>
      </c>
      <c r="AI27" s="206">
        <f t="shared" si="13"/>
        <v>2170</v>
      </c>
      <c r="AJ27" s="206">
        <f t="shared" si="35"/>
        <v>217</v>
      </c>
      <c r="AK27" s="206">
        <f t="shared" si="14"/>
        <v>2170</v>
      </c>
      <c r="AL27" s="206">
        <f t="shared" si="36"/>
        <v>217</v>
      </c>
      <c r="AM27" s="206">
        <f t="shared" si="15"/>
        <v>2170</v>
      </c>
      <c r="AN27" s="35">
        <f t="shared" si="16"/>
        <v>0.77500000000000002</v>
      </c>
      <c r="AO27" s="36">
        <f t="shared" si="17"/>
        <v>15190</v>
      </c>
      <c r="AQ27" s="226">
        <f t="shared" si="37"/>
        <v>0.70053711394934903</v>
      </c>
      <c r="AR27" s="38">
        <f t="shared" si="41"/>
        <v>65128.935483870977</v>
      </c>
      <c r="AS27" s="200">
        <f t="shared" si="38"/>
        <v>-1226.709677419356</v>
      </c>
      <c r="AT27" s="276"/>
      <c r="AU27" s="447"/>
      <c r="AV27" s="530">
        <f t="shared" si="42"/>
        <v>0.54</v>
      </c>
      <c r="AW27" s="296">
        <f>-SUM('B5'!AI26)</f>
        <v>0</v>
      </c>
      <c r="AX27" s="296">
        <f t="shared" si="39"/>
        <v>-1226.709677419356</v>
      </c>
      <c r="AY27" s="37">
        <f t="shared" si="40"/>
        <v>-1226.709677419356</v>
      </c>
      <c r="AZ27" s="100">
        <f>ELEC!A24</f>
        <v>0</v>
      </c>
      <c r="BA27" s="118">
        <f>'General information '!D27</f>
        <v>28.5</v>
      </c>
      <c r="BB27" s="402">
        <f>SUM('General information '!E27)</f>
        <v>0.65</v>
      </c>
      <c r="BC27" s="3">
        <f t="shared" si="43"/>
        <v>0</v>
      </c>
      <c r="BD27" s="102">
        <v>19222</v>
      </c>
      <c r="BE27" s="14">
        <f>(305/1185)*ELEC!Q25</f>
        <v>514.76793248945148</v>
      </c>
      <c r="BF27" s="14"/>
      <c r="BG27" s="14" t="e">
        <f>#REF!-BE27</f>
        <v>#REF!</v>
      </c>
      <c r="BH27" s="11"/>
    </row>
    <row r="28" spans="1:61">
      <c r="A28" s="455">
        <f>ELEC!C25</f>
        <v>44097</v>
      </c>
      <c r="B28">
        <f>'B5'!B27</f>
        <v>209</v>
      </c>
      <c r="C28" s="206">
        <f t="shared" si="18"/>
        <v>4496.8709677419356</v>
      </c>
      <c r="D28">
        <f t="shared" si="19"/>
        <v>209</v>
      </c>
      <c r="E28" s="206">
        <f t="shared" si="18"/>
        <v>4496.8709677419356</v>
      </c>
      <c r="F28">
        <f t="shared" si="20"/>
        <v>209</v>
      </c>
      <c r="G28" s="206">
        <f t="shared" si="1"/>
        <v>4496.8709677419356</v>
      </c>
      <c r="H28" s="206">
        <f t="shared" si="21"/>
        <v>209</v>
      </c>
      <c r="I28" s="206">
        <f t="shared" si="2"/>
        <v>4496.8709677419356</v>
      </c>
      <c r="J28" s="206">
        <f t="shared" si="22"/>
        <v>209</v>
      </c>
      <c r="K28" s="206">
        <f t="shared" si="3"/>
        <v>4496.8709677419356</v>
      </c>
      <c r="L28" s="206">
        <f t="shared" si="23"/>
        <v>209</v>
      </c>
      <c r="M28" s="206">
        <f t="shared" si="4"/>
        <v>4496.8709677419356</v>
      </c>
      <c r="N28" s="206">
        <f t="shared" si="24"/>
        <v>209</v>
      </c>
      <c r="O28" s="206">
        <f t="shared" si="5"/>
        <v>4496.8709677419356</v>
      </c>
      <c r="P28" s="206">
        <f t="shared" si="25"/>
        <v>209</v>
      </c>
      <c r="Q28" s="206">
        <f t="shared" si="6"/>
        <v>4496.8709677419356</v>
      </c>
      <c r="R28" s="206">
        <f t="shared" si="26"/>
        <v>209</v>
      </c>
      <c r="S28" s="206">
        <f t="shared" si="7"/>
        <v>4496.8709677419356</v>
      </c>
      <c r="T28" s="206">
        <f t="shared" si="27"/>
        <v>209</v>
      </c>
      <c r="U28" s="206">
        <f t="shared" si="8"/>
        <v>4496.8709677419356</v>
      </c>
      <c r="V28" s="206">
        <f t="shared" si="28"/>
        <v>209</v>
      </c>
      <c r="W28" s="206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6">
        <f>'B5'!C27</f>
        <v>215</v>
      </c>
      <c r="AA28" s="206">
        <f t="shared" si="30"/>
        <v>2150</v>
      </c>
      <c r="AB28" s="206">
        <f t="shared" si="31"/>
        <v>215</v>
      </c>
      <c r="AC28" s="206">
        <f t="shared" si="30"/>
        <v>2150</v>
      </c>
      <c r="AD28" s="206">
        <f t="shared" si="32"/>
        <v>215</v>
      </c>
      <c r="AE28" s="206">
        <f t="shared" si="11"/>
        <v>2150</v>
      </c>
      <c r="AF28" s="206">
        <f t="shared" si="33"/>
        <v>215</v>
      </c>
      <c r="AG28" s="206">
        <f t="shared" si="12"/>
        <v>2150</v>
      </c>
      <c r="AH28" s="206">
        <f t="shared" si="34"/>
        <v>215</v>
      </c>
      <c r="AI28" s="206">
        <f t="shared" si="13"/>
        <v>2150</v>
      </c>
      <c r="AJ28" s="206">
        <f t="shared" si="35"/>
        <v>215</v>
      </c>
      <c r="AK28" s="206">
        <f t="shared" si="14"/>
        <v>2150</v>
      </c>
      <c r="AL28" s="206">
        <f t="shared" si="36"/>
        <v>215</v>
      </c>
      <c r="AM28" s="206">
        <f t="shared" si="15"/>
        <v>2150</v>
      </c>
      <c r="AN28" s="35">
        <f t="shared" si="16"/>
        <v>0.7678571428571429</v>
      </c>
      <c r="AO28" s="36">
        <f t="shared" si="17"/>
        <v>15050</v>
      </c>
      <c r="AQ28" s="226">
        <f t="shared" si="37"/>
        <v>0.69393977245521465</v>
      </c>
      <c r="AR28" s="38">
        <f t="shared" si="41"/>
        <v>64515.580645161303</v>
      </c>
      <c r="AS28" s="200">
        <f t="shared" si="38"/>
        <v>-613.35483870967437</v>
      </c>
      <c r="AT28" s="363"/>
      <c r="AU28" s="447"/>
      <c r="AV28" s="530">
        <f t="shared" si="42"/>
        <v>0.54</v>
      </c>
      <c r="AW28" s="296">
        <f>-SUM('B5'!AI27)</f>
        <v>0</v>
      </c>
      <c r="AX28" s="296">
        <f t="shared" si="39"/>
        <v>-613.35483870967437</v>
      </c>
      <c r="AY28" s="37">
        <f t="shared" si="40"/>
        <v>-613.35483870967437</v>
      </c>
      <c r="AZ28" s="100">
        <f>ELEC!A25</f>
        <v>0</v>
      </c>
      <c r="BA28" s="118">
        <f>'General information '!D28</f>
        <v>28</v>
      </c>
      <c r="BB28" s="402">
        <f>SUM('General information '!E28)</f>
        <v>0.67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5">
        <f>ELEC!C26</f>
        <v>44098</v>
      </c>
      <c r="B29">
        <f>'B5'!B28</f>
        <v>245</v>
      </c>
      <c r="C29" s="206">
        <f t="shared" si="18"/>
        <v>5271.4516129032254</v>
      </c>
      <c r="D29">
        <f t="shared" si="19"/>
        <v>245</v>
      </c>
      <c r="E29" s="206">
        <f t="shared" si="18"/>
        <v>5271.4516129032254</v>
      </c>
      <c r="F29">
        <f t="shared" si="20"/>
        <v>245</v>
      </c>
      <c r="G29" s="206">
        <f t="shared" si="1"/>
        <v>5271.4516129032254</v>
      </c>
      <c r="H29" s="206">
        <f t="shared" si="21"/>
        <v>245</v>
      </c>
      <c r="I29" s="206">
        <f t="shared" si="2"/>
        <v>5271.4516129032254</v>
      </c>
      <c r="J29" s="206">
        <f t="shared" si="22"/>
        <v>245</v>
      </c>
      <c r="K29" s="206">
        <f t="shared" si="3"/>
        <v>5271.4516129032254</v>
      </c>
      <c r="L29" s="206">
        <f t="shared" si="23"/>
        <v>245</v>
      </c>
      <c r="M29" s="206">
        <f t="shared" si="4"/>
        <v>5271.4516129032254</v>
      </c>
      <c r="N29" s="206">
        <f t="shared" si="24"/>
        <v>245</v>
      </c>
      <c r="O29" s="206">
        <f t="shared" si="5"/>
        <v>5271.4516129032254</v>
      </c>
      <c r="P29" s="206">
        <f t="shared" si="25"/>
        <v>245</v>
      </c>
      <c r="Q29" s="206">
        <f t="shared" si="6"/>
        <v>5271.4516129032254</v>
      </c>
      <c r="R29" s="206">
        <f t="shared" si="26"/>
        <v>245</v>
      </c>
      <c r="S29" s="206">
        <f t="shared" si="7"/>
        <v>5271.4516129032254</v>
      </c>
      <c r="T29" s="206">
        <f t="shared" si="27"/>
        <v>245</v>
      </c>
      <c r="U29" s="206">
        <f t="shared" si="8"/>
        <v>5271.4516129032254</v>
      </c>
      <c r="V29" s="206">
        <f t="shared" si="28"/>
        <v>245</v>
      </c>
      <c r="W29" s="206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6">
        <f>'B5'!C28</f>
        <v>250.3</v>
      </c>
      <c r="AA29" s="206">
        <f t="shared" si="30"/>
        <v>2503</v>
      </c>
      <c r="AB29" s="206">
        <f t="shared" si="31"/>
        <v>250.3</v>
      </c>
      <c r="AC29" s="206">
        <f t="shared" si="30"/>
        <v>2503</v>
      </c>
      <c r="AD29" s="206">
        <f t="shared" si="32"/>
        <v>250.3</v>
      </c>
      <c r="AE29" s="206">
        <f t="shared" si="11"/>
        <v>2503</v>
      </c>
      <c r="AF29" s="206">
        <f t="shared" si="33"/>
        <v>250.3</v>
      </c>
      <c r="AG29" s="206">
        <f t="shared" si="12"/>
        <v>2503</v>
      </c>
      <c r="AH29" s="206">
        <f t="shared" si="34"/>
        <v>250.3</v>
      </c>
      <c r="AI29" s="206">
        <f t="shared" si="13"/>
        <v>2503</v>
      </c>
      <c r="AJ29" s="206">
        <f t="shared" si="35"/>
        <v>250.3</v>
      </c>
      <c r="AK29" s="206">
        <f t="shared" si="14"/>
        <v>2503</v>
      </c>
      <c r="AL29" s="206">
        <f t="shared" si="36"/>
        <v>250.3</v>
      </c>
      <c r="AM29" s="206">
        <f t="shared" si="15"/>
        <v>2503</v>
      </c>
      <c r="AN29" s="35">
        <f t="shared" si="16"/>
        <v>0.89392857142857141</v>
      </c>
      <c r="AO29" s="36">
        <f t="shared" si="17"/>
        <v>17521</v>
      </c>
      <c r="AQ29" s="226">
        <f t="shared" si="37"/>
        <v>0.81216486761251461</v>
      </c>
      <c r="AR29" s="38">
        <f t="shared" si="41"/>
        <v>75506.967741935485</v>
      </c>
      <c r="AS29" s="200">
        <f t="shared" si="38"/>
        <v>1321.3870967741823</v>
      </c>
      <c r="AT29" s="363">
        <v>9670</v>
      </c>
      <c r="AU29" s="447">
        <v>0.503</v>
      </c>
      <c r="AV29" s="530">
        <f t="shared" si="42"/>
        <v>0.503</v>
      </c>
      <c r="AW29" s="296">
        <f>-SUM('B5'!AI28)</f>
        <v>0</v>
      </c>
      <c r="AX29" s="296">
        <f>-SUM(AW29-AS29)</f>
        <v>1321.3870967741823</v>
      </c>
      <c r="AY29" s="37">
        <f t="shared" si="40"/>
        <v>1321.3870967741823</v>
      </c>
      <c r="AZ29" s="100">
        <f>ELEC!A26</f>
        <v>0</v>
      </c>
      <c r="BA29" s="118">
        <f>'General information '!D29</f>
        <v>28.5</v>
      </c>
      <c r="BB29" s="402">
        <f>SUM('General information '!E29)</f>
        <v>0.66</v>
      </c>
      <c r="BC29" s="3">
        <f t="shared" si="43"/>
        <v>1</v>
      </c>
      <c r="BD29" s="102">
        <v>19222</v>
      </c>
      <c r="BE29" s="14">
        <f>(305/1185)*ELEC!Q27</f>
        <v>257.38396624472574</v>
      </c>
      <c r="BF29" s="14"/>
      <c r="BG29" s="14" t="e">
        <f>#REF!-BE29</f>
        <v>#REF!</v>
      </c>
      <c r="BH29" s="11"/>
    </row>
    <row r="30" spans="1:61">
      <c r="A30" s="455">
        <f>ELEC!C27</f>
        <v>44099</v>
      </c>
      <c r="B30">
        <f>'B5'!B29</f>
        <v>242</v>
      </c>
      <c r="C30" s="206">
        <f t="shared" si="18"/>
        <v>5206.9032258064517</v>
      </c>
      <c r="D30">
        <f t="shared" ref="D30:D35" si="44">SUM(B30)</f>
        <v>242</v>
      </c>
      <c r="E30" s="206">
        <f t="shared" si="18"/>
        <v>5206.9032258064517</v>
      </c>
      <c r="F30">
        <f t="shared" ref="F30:F35" si="45">SUM(D30)</f>
        <v>242</v>
      </c>
      <c r="G30" s="206">
        <f t="shared" si="1"/>
        <v>5206.9032258064517</v>
      </c>
      <c r="H30" s="206">
        <f t="shared" ref="H30:H35" si="46">SUM(F30)</f>
        <v>242</v>
      </c>
      <c r="I30" s="206">
        <f t="shared" si="2"/>
        <v>5206.9032258064517</v>
      </c>
      <c r="J30" s="206">
        <f t="shared" ref="J30:J35" si="47">SUM(H30)</f>
        <v>242</v>
      </c>
      <c r="K30" s="206">
        <f t="shared" si="3"/>
        <v>5206.9032258064517</v>
      </c>
      <c r="L30" s="206">
        <f t="shared" ref="L30:L35" si="48">SUM(J30)</f>
        <v>242</v>
      </c>
      <c r="M30" s="206">
        <f t="shared" si="4"/>
        <v>5206.9032258064517</v>
      </c>
      <c r="N30" s="206">
        <f t="shared" ref="N30:N35" si="49">SUM(L30)</f>
        <v>242</v>
      </c>
      <c r="O30" s="206">
        <f t="shared" si="5"/>
        <v>5206.9032258064517</v>
      </c>
      <c r="P30" s="206">
        <f t="shared" ref="P30:P35" si="50">SUM(N30)</f>
        <v>242</v>
      </c>
      <c r="Q30" s="206">
        <f t="shared" si="6"/>
        <v>5206.9032258064517</v>
      </c>
      <c r="R30" s="206">
        <f t="shared" ref="R30:R35" si="51">SUM(P30)</f>
        <v>242</v>
      </c>
      <c r="S30" s="206">
        <f t="shared" si="7"/>
        <v>5206.9032258064517</v>
      </c>
      <c r="T30" s="206">
        <f t="shared" ref="T30:T35" si="52">SUM(R30)</f>
        <v>242</v>
      </c>
      <c r="U30" s="206">
        <f t="shared" si="8"/>
        <v>5206.9032258064517</v>
      </c>
      <c r="V30" s="206">
        <f t="shared" ref="V30:V35" si="53">SUM(T30)</f>
        <v>242</v>
      </c>
      <c r="W30" s="206">
        <f t="shared" si="9"/>
        <v>5206.9032258064517</v>
      </c>
      <c r="X30" s="35">
        <f t="shared" ref="X30:X35" si="54">SUM(Y30/73370)</f>
        <v>0.78064516129032269</v>
      </c>
      <c r="Y30" s="36">
        <f t="shared" ref="Y30:Y35" si="55">SUM(C30+E30+G30+I30+K30+M30+O30+Q30+S30+U30+W30)</f>
        <v>57275.935483870977</v>
      </c>
      <c r="Z30" s="206">
        <f>'B5'!C29</f>
        <v>249</v>
      </c>
      <c r="AA30" s="206">
        <f t="shared" si="30"/>
        <v>2490</v>
      </c>
      <c r="AB30" s="206">
        <f t="shared" ref="AB30:AB35" si="56">SUM(Z30)</f>
        <v>249</v>
      </c>
      <c r="AC30" s="206">
        <f t="shared" si="30"/>
        <v>2490</v>
      </c>
      <c r="AD30" s="206">
        <f t="shared" ref="AD30:AD35" si="57">SUM(AB30)</f>
        <v>249</v>
      </c>
      <c r="AE30" s="206">
        <f t="shared" si="11"/>
        <v>2490</v>
      </c>
      <c r="AF30" s="206">
        <f t="shared" ref="AF30:AF35" si="58">SUM(AD30)</f>
        <v>249</v>
      </c>
      <c r="AG30" s="206">
        <f t="shared" si="12"/>
        <v>2490</v>
      </c>
      <c r="AH30" s="206">
        <f t="shared" ref="AH30:AH35" si="59">SUM(AF30)</f>
        <v>249</v>
      </c>
      <c r="AI30" s="206">
        <f t="shared" si="13"/>
        <v>2490</v>
      </c>
      <c r="AJ30" s="206">
        <f t="shared" ref="AJ30:AJ35" si="60">SUM(AH30)</f>
        <v>249</v>
      </c>
      <c r="AK30" s="206">
        <f t="shared" si="14"/>
        <v>2490</v>
      </c>
      <c r="AL30" s="206">
        <f t="shared" ref="AL30:AL35" si="61">SUM(AJ30)</f>
        <v>249</v>
      </c>
      <c r="AM30" s="206">
        <f t="shared" si="15"/>
        <v>2490</v>
      </c>
      <c r="AN30" s="35">
        <f t="shared" ref="AN30:AN35" si="62">SUM(AO30/19600)</f>
        <v>0.88928571428571423</v>
      </c>
      <c r="AO30" s="36">
        <f t="shared" ref="AO30:AO35" si="63">SUM(AA30+AC30+AE30+AG30+AI30+AK30+AM30)</f>
        <v>17430</v>
      </c>
      <c r="AQ30" s="226">
        <f t="shared" si="37"/>
        <v>0.80354883816146039</v>
      </c>
      <c r="AR30" s="38">
        <f t="shared" si="41"/>
        <v>74705.93548387097</v>
      </c>
      <c r="AS30" s="200">
        <f t="shared" si="38"/>
        <v>-801.03225806451519</v>
      </c>
      <c r="AT30" s="363"/>
      <c r="AU30" s="447"/>
      <c r="AV30" s="530">
        <f t="shared" si="42"/>
        <v>0.503</v>
      </c>
      <c r="AW30" s="296">
        <f>-SUM('B5'!AI29)</f>
        <v>0</v>
      </c>
      <c r="AX30" s="296">
        <f>-SUM(AW30-AS30)</f>
        <v>-801.03225806451519</v>
      </c>
      <c r="AY30" s="37">
        <f t="shared" si="40"/>
        <v>-801.03225806451519</v>
      </c>
      <c r="AZ30" s="100">
        <f>ELEC!A27</f>
        <v>0</v>
      </c>
      <c r="BA30" s="118">
        <f>'General information '!D30</f>
        <v>27.5</v>
      </c>
      <c r="BB30" s="402">
        <f>SUM('General information '!E30)</f>
        <v>0.65</v>
      </c>
      <c r="BC30" s="3">
        <f t="shared" si="43"/>
        <v>0</v>
      </c>
      <c r="BD30" s="102">
        <v>19222</v>
      </c>
      <c r="BE30" s="14">
        <f>(305/1185)*ELEC!Q28</f>
        <v>514.76793248945148</v>
      </c>
      <c r="BF30" s="14"/>
      <c r="BG30" s="14" t="e">
        <f>#REF!-BE30</f>
        <v>#REF!</v>
      </c>
      <c r="BH30" s="11"/>
    </row>
    <row r="31" spans="1:61">
      <c r="A31" s="455">
        <f>ELEC!C28</f>
        <v>44100</v>
      </c>
      <c r="B31">
        <f>'B5'!B30</f>
        <v>240.2</v>
      </c>
      <c r="C31" s="206">
        <f t="shared" si="18"/>
        <v>5168.1741935483869</v>
      </c>
      <c r="D31">
        <f t="shared" si="44"/>
        <v>240.2</v>
      </c>
      <c r="E31" s="206">
        <f t="shared" si="18"/>
        <v>5168.1741935483869</v>
      </c>
      <c r="F31">
        <f t="shared" si="45"/>
        <v>240.2</v>
      </c>
      <c r="G31" s="206">
        <f t="shared" si="1"/>
        <v>5168.1741935483869</v>
      </c>
      <c r="H31" s="206">
        <f t="shared" si="46"/>
        <v>240.2</v>
      </c>
      <c r="I31" s="206">
        <f t="shared" si="2"/>
        <v>5168.1741935483869</v>
      </c>
      <c r="J31" s="206">
        <f t="shared" si="47"/>
        <v>240.2</v>
      </c>
      <c r="K31" s="206">
        <f t="shared" si="3"/>
        <v>5168.1741935483869</v>
      </c>
      <c r="L31" s="206">
        <f t="shared" si="48"/>
        <v>240.2</v>
      </c>
      <c r="M31" s="206">
        <f t="shared" si="4"/>
        <v>5168.1741935483869</v>
      </c>
      <c r="N31" s="206">
        <f t="shared" si="49"/>
        <v>240.2</v>
      </c>
      <c r="O31" s="206">
        <f t="shared" si="5"/>
        <v>5168.1741935483869</v>
      </c>
      <c r="P31" s="206">
        <f t="shared" si="50"/>
        <v>240.2</v>
      </c>
      <c r="Q31" s="206">
        <f t="shared" si="6"/>
        <v>5168.1741935483869</v>
      </c>
      <c r="R31" s="206">
        <f t="shared" si="51"/>
        <v>240.2</v>
      </c>
      <c r="S31" s="206">
        <f t="shared" si="7"/>
        <v>5168.1741935483869</v>
      </c>
      <c r="T31" s="206">
        <f t="shared" si="52"/>
        <v>240.2</v>
      </c>
      <c r="U31" s="206">
        <f t="shared" si="8"/>
        <v>5168.1741935483869</v>
      </c>
      <c r="V31" s="206">
        <f t="shared" si="53"/>
        <v>240.2</v>
      </c>
      <c r="W31" s="206">
        <f t="shared" si="9"/>
        <v>5168.1741935483869</v>
      </c>
      <c r="X31" s="35">
        <f t="shared" si="54"/>
        <v>0.77483870967741941</v>
      </c>
      <c r="Y31" s="36">
        <f t="shared" si="55"/>
        <v>56849.916129032259</v>
      </c>
      <c r="Z31" s="206">
        <f>'B5'!C30</f>
        <v>247</v>
      </c>
      <c r="AA31" s="206">
        <f t="shared" si="30"/>
        <v>2470</v>
      </c>
      <c r="AB31" s="206">
        <f t="shared" si="56"/>
        <v>247</v>
      </c>
      <c r="AC31" s="206">
        <f t="shared" si="30"/>
        <v>2470</v>
      </c>
      <c r="AD31" s="206">
        <f t="shared" si="57"/>
        <v>247</v>
      </c>
      <c r="AE31" s="206">
        <f t="shared" si="11"/>
        <v>2470</v>
      </c>
      <c r="AF31" s="206">
        <f t="shared" si="58"/>
        <v>247</v>
      </c>
      <c r="AG31" s="206">
        <f t="shared" si="12"/>
        <v>2470</v>
      </c>
      <c r="AH31" s="206">
        <f t="shared" si="59"/>
        <v>247</v>
      </c>
      <c r="AI31" s="206">
        <f t="shared" si="13"/>
        <v>2470</v>
      </c>
      <c r="AJ31" s="206">
        <f t="shared" si="60"/>
        <v>247</v>
      </c>
      <c r="AK31" s="206">
        <f t="shared" si="14"/>
        <v>2470</v>
      </c>
      <c r="AL31" s="206">
        <f t="shared" si="61"/>
        <v>247</v>
      </c>
      <c r="AM31" s="206">
        <f t="shared" si="15"/>
        <v>2470</v>
      </c>
      <c r="AN31" s="35">
        <f t="shared" si="62"/>
        <v>0.88214285714285712</v>
      </c>
      <c r="AO31" s="36">
        <f t="shared" si="63"/>
        <v>17290</v>
      </c>
      <c r="AQ31" s="226">
        <f t="shared" si="37"/>
        <v>0.79746064460613386</v>
      </c>
      <c r="AR31" s="38">
        <f t="shared" si="41"/>
        <v>74139.916129032266</v>
      </c>
      <c r="AS31" s="200">
        <f>SUM(AR31-AR30-AT31)</f>
        <v>-566.01935483870329</v>
      </c>
      <c r="AT31" s="363"/>
      <c r="AU31" s="447"/>
      <c r="AV31" s="530">
        <f t="shared" si="42"/>
        <v>0.503</v>
      </c>
      <c r="AW31" s="296">
        <f>-SUM('B5'!AI30)</f>
        <v>0</v>
      </c>
      <c r="AX31" s="296">
        <f t="shared" si="39"/>
        <v>-566.01935483870329</v>
      </c>
      <c r="AY31" s="37">
        <f t="shared" si="40"/>
        <v>-566.01935483870329</v>
      </c>
      <c r="AZ31" s="100">
        <f>ELEC!A28</f>
        <v>0</v>
      </c>
      <c r="BA31" s="118">
        <f>'General information '!D31</f>
        <v>28</v>
      </c>
      <c r="BB31" s="402">
        <f>SUM('General information '!E31)</f>
        <v>0.65</v>
      </c>
      <c r="BC31" s="3">
        <f t="shared" si="43"/>
        <v>0</v>
      </c>
      <c r="BD31" s="102">
        <v>19222</v>
      </c>
      <c r="BE31" s="14">
        <f>(305/1185)*ELEC!Q29</f>
        <v>231.64556962015953</v>
      </c>
      <c r="BF31" s="14"/>
      <c r="BG31" s="14" t="e">
        <f>#REF!-BE31</f>
        <v>#REF!</v>
      </c>
      <c r="BH31" s="11"/>
    </row>
    <row r="32" spans="1:61">
      <c r="A32" s="455">
        <f>ELEC!C29</f>
        <v>44101</v>
      </c>
      <c r="B32">
        <f>'B5'!B31</f>
        <v>239.3</v>
      </c>
      <c r="C32" s="206">
        <f t="shared" si="18"/>
        <v>5148.8096774193546</v>
      </c>
      <c r="D32">
        <f t="shared" si="44"/>
        <v>239.3</v>
      </c>
      <c r="E32" s="206">
        <f t="shared" si="18"/>
        <v>5148.8096774193546</v>
      </c>
      <c r="F32">
        <f t="shared" si="45"/>
        <v>239.3</v>
      </c>
      <c r="G32" s="206">
        <f t="shared" si="1"/>
        <v>5148.8096774193546</v>
      </c>
      <c r="H32" s="206">
        <f t="shared" si="46"/>
        <v>239.3</v>
      </c>
      <c r="I32" s="206">
        <f t="shared" si="2"/>
        <v>5148.8096774193546</v>
      </c>
      <c r="J32" s="206">
        <f t="shared" si="47"/>
        <v>239.3</v>
      </c>
      <c r="K32" s="206">
        <f t="shared" si="3"/>
        <v>5148.8096774193546</v>
      </c>
      <c r="L32" s="206">
        <f t="shared" si="48"/>
        <v>239.3</v>
      </c>
      <c r="M32" s="206">
        <f t="shared" si="4"/>
        <v>5148.8096774193546</v>
      </c>
      <c r="N32" s="206">
        <f t="shared" si="49"/>
        <v>239.3</v>
      </c>
      <c r="O32" s="206">
        <f t="shared" si="5"/>
        <v>5148.8096774193546</v>
      </c>
      <c r="P32" s="206">
        <f t="shared" si="50"/>
        <v>239.3</v>
      </c>
      <c r="Q32" s="206">
        <f t="shared" si="6"/>
        <v>5148.8096774193546</v>
      </c>
      <c r="R32" s="206">
        <f t="shared" si="51"/>
        <v>239.3</v>
      </c>
      <c r="S32" s="206">
        <f t="shared" si="7"/>
        <v>5148.8096774193546</v>
      </c>
      <c r="T32" s="206">
        <f t="shared" si="52"/>
        <v>239.3</v>
      </c>
      <c r="U32" s="206">
        <f t="shared" si="8"/>
        <v>5148.8096774193546</v>
      </c>
      <c r="V32" s="206">
        <f t="shared" si="53"/>
        <v>239.3</v>
      </c>
      <c r="W32" s="206">
        <f t="shared" si="9"/>
        <v>5148.8096774193546</v>
      </c>
      <c r="X32" s="35">
        <f t="shared" si="54"/>
        <v>0.77193548387096766</v>
      </c>
      <c r="Y32" s="36">
        <f t="shared" si="55"/>
        <v>56636.9064516129</v>
      </c>
      <c r="Z32" s="206">
        <f>'B5'!C31</f>
        <v>246</v>
      </c>
      <c r="AA32" s="206">
        <f t="shared" si="30"/>
        <v>2460</v>
      </c>
      <c r="AB32" s="206">
        <f t="shared" si="56"/>
        <v>246</v>
      </c>
      <c r="AC32" s="206">
        <f t="shared" si="30"/>
        <v>2460</v>
      </c>
      <c r="AD32" s="206">
        <f t="shared" si="57"/>
        <v>246</v>
      </c>
      <c r="AE32" s="206">
        <f t="shared" si="11"/>
        <v>2460</v>
      </c>
      <c r="AF32" s="206">
        <f t="shared" si="58"/>
        <v>246</v>
      </c>
      <c r="AG32" s="206">
        <f t="shared" si="12"/>
        <v>2460</v>
      </c>
      <c r="AH32" s="206">
        <f t="shared" si="59"/>
        <v>246</v>
      </c>
      <c r="AI32" s="206">
        <f t="shared" si="13"/>
        <v>2460</v>
      </c>
      <c r="AJ32" s="206">
        <f t="shared" si="60"/>
        <v>246</v>
      </c>
      <c r="AK32" s="206">
        <f t="shared" si="14"/>
        <v>2460</v>
      </c>
      <c r="AL32" s="206">
        <f t="shared" si="61"/>
        <v>246</v>
      </c>
      <c r="AM32" s="206">
        <f t="shared" si="15"/>
        <v>2460</v>
      </c>
      <c r="AN32" s="35">
        <f t="shared" si="62"/>
        <v>0.87857142857142856</v>
      </c>
      <c r="AO32" s="36">
        <f t="shared" si="63"/>
        <v>17220</v>
      </c>
      <c r="AQ32" s="226">
        <f t="shared" si="37"/>
        <v>0.79441654782847049</v>
      </c>
      <c r="AR32" s="38">
        <f t="shared" si="41"/>
        <v>73856.9064516129</v>
      </c>
      <c r="AS32" s="200">
        <f t="shared" si="38"/>
        <v>-283.0096774193662</v>
      </c>
      <c r="AT32" s="363"/>
      <c r="AU32" s="447"/>
      <c r="AV32" s="530">
        <f>IF(AT32&gt;0,AU32,AV31)</f>
        <v>0.503</v>
      </c>
      <c r="AW32" s="296">
        <f>-SUM('B5'!AI31)</f>
        <v>0</v>
      </c>
      <c r="AX32" s="296">
        <f t="shared" si="39"/>
        <v>-283.0096774193662</v>
      </c>
      <c r="AY32" s="37">
        <f t="shared" si="40"/>
        <v>-283.0096774193662</v>
      </c>
      <c r="AZ32" s="100">
        <f>ELEC!A29</f>
        <v>0</v>
      </c>
      <c r="BA32" s="118">
        <f>'General information '!D32</f>
        <v>27.5</v>
      </c>
      <c r="BB32" s="402">
        <f>SUM('General information '!E32)</f>
        <v>0.55000000000000004</v>
      </c>
      <c r="BC32" s="3">
        <f t="shared" si="43"/>
        <v>0</v>
      </c>
      <c r="BD32" s="102">
        <v>19222</v>
      </c>
      <c r="BE32" s="14">
        <f>(305/1185)*ELEC!Q30</f>
        <v>283.12236286929198</v>
      </c>
      <c r="BF32" s="14"/>
      <c r="BG32" s="14" t="e">
        <f>#REF!-BE32</f>
        <v>#REF!</v>
      </c>
      <c r="BH32" s="11"/>
    </row>
    <row r="33" spans="1:60">
      <c r="A33" s="455">
        <f>ELEC!C30</f>
        <v>44102</v>
      </c>
      <c r="B33">
        <f>'B5'!B32</f>
        <v>238</v>
      </c>
      <c r="C33" s="206">
        <f t="shared" si="18"/>
        <v>5120.8387096774195</v>
      </c>
      <c r="D33">
        <f t="shared" si="44"/>
        <v>238</v>
      </c>
      <c r="E33" s="206">
        <f t="shared" si="18"/>
        <v>5120.8387096774195</v>
      </c>
      <c r="F33">
        <f t="shared" si="45"/>
        <v>238</v>
      </c>
      <c r="G33" s="206">
        <f t="shared" si="1"/>
        <v>5120.8387096774195</v>
      </c>
      <c r="H33" s="206">
        <f t="shared" si="46"/>
        <v>238</v>
      </c>
      <c r="I33" s="206">
        <f t="shared" si="2"/>
        <v>5120.8387096774195</v>
      </c>
      <c r="J33" s="206">
        <f t="shared" si="47"/>
        <v>238</v>
      </c>
      <c r="K33" s="206">
        <f t="shared" si="3"/>
        <v>5120.8387096774195</v>
      </c>
      <c r="L33" s="206">
        <f t="shared" si="48"/>
        <v>238</v>
      </c>
      <c r="M33" s="206">
        <f t="shared" si="4"/>
        <v>5120.8387096774195</v>
      </c>
      <c r="N33" s="206">
        <f t="shared" si="49"/>
        <v>238</v>
      </c>
      <c r="O33" s="206">
        <f t="shared" si="5"/>
        <v>5120.8387096774195</v>
      </c>
      <c r="P33" s="206">
        <f t="shared" si="50"/>
        <v>238</v>
      </c>
      <c r="Q33" s="206">
        <f t="shared" si="6"/>
        <v>5120.8387096774195</v>
      </c>
      <c r="R33" s="206">
        <f t="shared" si="51"/>
        <v>238</v>
      </c>
      <c r="S33" s="206">
        <f t="shared" si="7"/>
        <v>5120.8387096774195</v>
      </c>
      <c r="T33" s="206">
        <f t="shared" si="52"/>
        <v>238</v>
      </c>
      <c r="U33" s="206">
        <f t="shared" si="8"/>
        <v>5120.8387096774195</v>
      </c>
      <c r="V33" s="206">
        <f t="shared" si="53"/>
        <v>238</v>
      </c>
      <c r="W33" s="206">
        <f t="shared" si="9"/>
        <v>5120.8387096774195</v>
      </c>
      <c r="X33" s="35">
        <f t="shared" si="54"/>
        <v>0.76774193548387093</v>
      </c>
      <c r="Y33" s="36">
        <f t="shared" si="55"/>
        <v>56329.225806451606</v>
      </c>
      <c r="Z33" s="206">
        <f>'B5'!C32</f>
        <v>244</v>
      </c>
      <c r="AA33" s="206">
        <f t="shared" si="30"/>
        <v>2440</v>
      </c>
      <c r="AB33" s="206">
        <f t="shared" si="56"/>
        <v>244</v>
      </c>
      <c r="AC33" s="206">
        <f t="shared" si="30"/>
        <v>2440</v>
      </c>
      <c r="AD33" s="206">
        <f t="shared" si="57"/>
        <v>244</v>
      </c>
      <c r="AE33" s="206">
        <f t="shared" si="11"/>
        <v>2440</v>
      </c>
      <c r="AF33" s="206">
        <f t="shared" si="58"/>
        <v>244</v>
      </c>
      <c r="AG33" s="206">
        <f t="shared" si="12"/>
        <v>2440</v>
      </c>
      <c r="AH33" s="206">
        <f t="shared" si="59"/>
        <v>244</v>
      </c>
      <c r="AI33" s="206">
        <f t="shared" si="13"/>
        <v>2440</v>
      </c>
      <c r="AJ33" s="206">
        <f t="shared" si="60"/>
        <v>244</v>
      </c>
      <c r="AK33" s="206">
        <f t="shared" si="14"/>
        <v>2440</v>
      </c>
      <c r="AL33" s="206">
        <f t="shared" si="61"/>
        <v>244</v>
      </c>
      <c r="AM33" s="206">
        <f t="shared" si="15"/>
        <v>2440</v>
      </c>
      <c r="AN33" s="35">
        <f t="shared" si="62"/>
        <v>0.87142857142857144</v>
      </c>
      <c r="AO33" s="36">
        <f t="shared" si="63"/>
        <v>17080</v>
      </c>
      <c r="AQ33" s="226">
        <f t="shared" si="37"/>
        <v>0.78960122412016354</v>
      </c>
      <c r="AR33" s="38">
        <f t="shared" si="41"/>
        <v>73409.225806451606</v>
      </c>
      <c r="AS33" s="200">
        <f t="shared" si="38"/>
        <v>-447.6806451612938</v>
      </c>
      <c r="AT33" s="363"/>
      <c r="AU33" s="447"/>
      <c r="AV33" s="530">
        <f>IF(AT33&gt;0,AU33,AV32)</f>
        <v>0.503</v>
      </c>
      <c r="AW33" s="296">
        <f>-SUM('B5'!AI32)</f>
        <v>0</v>
      </c>
      <c r="AX33" s="296">
        <f t="shared" si="39"/>
        <v>-447.6806451612938</v>
      </c>
      <c r="AY33" s="37">
        <f t="shared" si="40"/>
        <v>-447.6806451612938</v>
      </c>
      <c r="AZ33" s="100">
        <f>ELEC!A30</f>
        <v>0</v>
      </c>
      <c r="BA33" s="118">
        <f>'General information '!D33</f>
        <v>27.5</v>
      </c>
      <c r="BB33" s="207">
        <f>SUM('General information '!E33)</f>
        <v>0.49</v>
      </c>
      <c r="BC33" s="3">
        <f t="shared" si="43"/>
        <v>0</v>
      </c>
      <c r="BD33" s="102">
        <v>19222</v>
      </c>
      <c r="BE33" s="14">
        <f>(305/1185)*ELEC!Q31</f>
        <v>514.76793248945148</v>
      </c>
      <c r="BF33" s="14"/>
      <c r="BG33" s="14" t="e">
        <f>#REF!-BE33</f>
        <v>#REF!</v>
      </c>
      <c r="BH33" s="11"/>
    </row>
    <row r="34" spans="1:60">
      <c r="A34" s="455">
        <f>ELEC!C31</f>
        <v>44103</v>
      </c>
      <c r="B34">
        <f>'B5'!B33</f>
        <v>255.2</v>
      </c>
      <c r="C34" s="206">
        <f t="shared" si="18"/>
        <v>5490.9161290322581</v>
      </c>
      <c r="D34">
        <f t="shared" si="44"/>
        <v>255.2</v>
      </c>
      <c r="E34" s="206">
        <f t="shared" si="18"/>
        <v>5490.9161290322581</v>
      </c>
      <c r="F34">
        <f t="shared" si="45"/>
        <v>255.2</v>
      </c>
      <c r="G34" s="206">
        <f t="shared" si="1"/>
        <v>5490.9161290322581</v>
      </c>
      <c r="H34" s="206">
        <f t="shared" si="46"/>
        <v>255.2</v>
      </c>
      <c r="I34" s="206">
        <f t="shared" si="2"/>
        <v>5490.9161290322581</v>
      </c>
      <c r="J34" s="206">
        <f t="shared" si="47"/>
        <v>255.2</v>
      </c>
      <c r="K34" s="206">
        <f t="shared" si="3"/>
        <v>5490.9161290322581</v>
      </c>
      <c r="L34" s="206">
        <f t="shared" si="48"/>
        <v>255.2</v>
      </c>
      <c r="M34" s="206">
        <f t="shared" si="4"/>
        <v>5490.9161290322581</v>
      </c>
      <c r="N34" s="206">
        <f t="shared" si="49"/>
        <v>255.2</v>
      </c>
      <c r="O34" s="206">
        <f t="shared" si="5"/>
        <v>5490.9161290322581</v>
      </c>
      <c r="P34" s="206">
        <f t="shared" si="50"/>
        <v>255.2</v>
      </c>
      <c r="Q34" s="206">
        <f t="shared" si="6"/>
        <v>5490.9161290322581</v>
      </c>
      <c r="R34" s="206">
        <f t="shared" si="51"/>
        <v>255.2</v>
      </c>
      <c r="S34" s="206">
        <f t="shared" si="7"/>
        <v>5490.9161290322581</v>
      </c>
      <c r="T34" s="206">
        <f t="shared" si="52"/>
        <v>255.2</v>
      </c>
      <c r="U34" s="206">
        <f t="shared" si="8"/>
        <v>5490.9161290322581</v>
      </c>
      <c r="V34" s="206">
        <f t="shared" si="53"/>
        <v>255.2</v>
      </c>
      <c r="W34" s="206">
        <f t="shared" si="9"/>
        <v>5490.9161290322581</v>
      </c>
      <c r="X34" s="35">
        <f t="shared" si="54"/>
        <v>0.82322580645161292</v>
      </c>
      <c r="Y34" s="36">
        <f t="shared" si="55"/>
        <v>60400.077419354842</v>
      </c>
      <c r="Z34" s="206">
        <f>'B5'!C33</f>
        <v>261</v>
      </c>
      <c r="AA34" s="206">
        <f t="shared" si="30"/>
        <v>2610</v>
      </c>
      <c r="AB34" s="206">
        <f t="shared" si="56"/>
        <v>261</v>
      </c>
      <c r="AC34" s="206">
        <f t="shared" si="30"/>
        <v>2610</v>
      </c>
      <c r="AD34" s="206">
        <f t="shared" si="57"/>
        <v>261</v>
      </c>
      <c r="AE34" s="206">
        <f t="shared" si="11"/>
        <v>2610</v>
      </c>
      <c r="AF34" s="206">
        <f t="shared" si="58"/>
        <v>261</v>
      </c>
      <c r="AG34" s="206">
        <f t="shared" si="12"/>
        <v>2610</v>
      </c>
      <c r="AH34" s="206">
        <f t="shared" si="59"/>
        <v>261</v>
      </c>
      <c r="AI34" s="206">
        <f t="shared" si="13"/>
        <v>2610</v>
      </c>
      <c r="AJ34" s="206">
        <f t="shared" si="60"/>
        <v>261</v>
      </c>
      <c r="AK34" s="206">
        <f t="shared" si="14"/>
        <v>2610</v>
      </c>
      <c r="AL34" s="206">
        <f t="shared" si="61"/>
        <v>261</v>
      </c>
      <c r="AM34" s="206">
        <f t="shared" si="15"/>
        <v>2610</v>
      </c>
      <c r="AN34" s="35">
        <f t="shared" si="62"/>
        <v>0.93214285714285716</v>
      </c>
      <c r="AO34" s="36">
        <f t="shared" si="63"/>
        <v>18270</v>
      </c>
      <c r="AQ34" s="226">
        <f>SUM(AR34/92970)</f>
        <v>0.84618777475911411</v>
      </c>
      <c r="AR34" s="38">
        <f t="shared" si="41"/>
        <v>78670.077419354842</v>
      </c>
      <c r="AS34" s="200">
        <f t="shared" si="38"/>
        <v>221.85161290323595</v>
      </c>
      <c r="AT34" s="363">
        <v>5039</v>
      </c>
      <c r="AU34" s="447">
        <v>0.503</v>
      </c>
      <c r="AV34" s="530">
        <f t="shared" si="42"/>
        <v>0.503</v>
      </c>
      <c r="AW34" s="296">
        <f>-SUM('B5'!AI33)</f>
        <v>0</v>
      </c>
      <c r="AX34" s="296">
        <f t="shared" si="39"/>
        <v>221.85161290323595</v>
      </c>
      <c r="AY34" s="37">
        <f t="shared" si="40"/>
        <v>221.85161290323595</v>
      </c>
      <c r="AZ34" s="100">
        <f>ELEC!A31</f>
        <v>0</v>
      </c>
      <c r="BA34" s="118">
        <f>'General information '!D34</f>
        <v>28.5</v>
      </c>
      <c r="BB34" s="207">
        <f>SUM('General information '!E34)</f>
        <v>0.59</v>
      </c>
      <c r="BC34" s="3">
        <f>IF(AR33&gt;=AR34,0,1)</f>
        <v>1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5">
        <f>ELEC!C32</f>
        <v>44104</v>
      </c>
      <c r="B35">
        <f>'B5'!B34</f>
        <v>251</v>
      </c>
      <c r="C35" s="206">
        <f t="shared" si="18"/>
        <v>5400.5483870967737</v>
      </c>
      <c r="D35">
        <f t="shared" si="44"/>
        <v>251</v>
      </c>
      <c r="E35" s="206">
        <f t="shared" si="18"/>
        <v>5400.5483870967737</v>
      </c>
      <c r="F35">
        <f t="shared" si="45"/>
        <v>251</v>
      </c>
      <c r="G35" s="206">
        <f t="shared" si="1"/>
        <v>5400.5483870967737</v>
      </c>
      <c r="H35" s="206">
        <f t="shared" si="46"/>
        <v>251</v>
      </c>
      <c r="I35" s="206">
        <f t="shared" si="2"/>
        <v>5400.5483870967737</v>
      </c>
      <c r="J35" s="206">
        <f t="shared" si="47"/>
        <v>251</v>
      </c>
      <c r="K35" s="206">
        <f t="shared" si="3"/>
        <v>5400.5483870967737</v>
      </c>
      <c r="L35" s="206">
        <f t="shared" si="48"/>
        <v>251</v>
      </c>
      <c r="M35" s="206">
        <f t="shared" si="4"/>
        <v>5400.5483870967737</v>
      </c>
      <c r="N35" s="206">
        <f t="shared" si="49"/>
        <v>251</v>
      </c>
      <c r="O35" s="206">
        <f t="shared" si="5"/>
        <v>5400.5483870967737</v>
      </c>
      <c r="P35" s="206">
        <f t="shared" si="50"/>
        <v>251</v>
      </c>
      <c r="Q35" s="206">
        <f t="shared" si="6"/>
        <v>5400.5483870967737</v>
      </c>
      <c r="R35" s="206">
        <f t="shared" si="51"/>
        <v>251</v>
      </c>
      <c r="S35" s="206">
        <f t="shared" si="7"/>
        <v>5400.5483870967737</v>
      </c>
      <c r="T35" s="206">
        <f t="shared" si="52"/>
        <v>251</v>
      </c>
      <c r="U35" s="206">
        <f t="shared" si="8"/>
        <v>5400.5483870967737</v>
      </c>
      <c r="V35" s="206">
        <f t="shared" si="53"/>
        <v>251</v>
      </c>
      <c r="W35" s="206">
        <f t="shared" si="9"/>
        <v>5400.5483870967737</v>
      </c>
      <c r="X35" s="35">
        <f t="shared" si="54"/>
        <v>0.80967741935483861</v>
      </c>
      <c r="Y35" s="36">
        <f t="shared" si="55"/>
        <v>59406.032258064508</v>
      </c>
      <c r="Z35" s="206">
        <f>'B5'!C34</f>
        <v>257</v>
      </c>
      <c r="AA35" s="206">
        <f t="shared" si="30"/>
        <v>2570</v>
      </c>
      <c r="AB35" s="206">
        <f t="shared" si="56"/>
        <v>257</v>
      </c>
      <c r="AC35" s="206">
        <f t="shared" si="30"/>
        <v>2570</v>
      </c>
      <c r="AD35" s="206">
        <f t="shared" si="57"/>
        <v>257</v>
      </c>
      <c r="AE35" s="206">
        <f t="shared" si="11"/>
        <v>2570</v>
      </c>
      <c r="AF35" s="206">
        <f t="shared" si="58"/>
        <v>257</v>
      </c>
      <c r="AG35" s="206">
        <f t="shared" si="12"/>
        <v>2570</v>
      </c>
      <c r="AH35" s="206">
        <f t="shared" si="59"/>
        <v>257</v>
      </c>
      <c r="AI35" s="206">
        <f t="shared" si="13"/>
        <v>2570</v>
      </c>
      <c r="AJ35" s="206">
        <f t="shared" si="60"/>
        <v>257</v>
      </c>
      <c r="AK35" s="206">
        <f t="shared" si="14"/>
        <v>2570</v>
      </c>
      <c r="AL35" s="206">
        <f t="shared" si="61"/>
        <v>257</v>
      </c>
      <c r="AM35" s="206">
        <f t="shared" si="15"/>
        <v>2570</v>
      </c>
      <c r="AN35" s="35">
        <f t="shared" si="62"/>
        <v>0.91785714285714282</v>
      </c>
      <c r="AO35" s="36">
        <f t="shared" si="63"/>
        <v>17990</v>
      </c>
      <c r="AQ35" s="226">
        <f>SUM(AR35/92970)</f>
        <v>0.83248394383203739</v>
      </c>
      <c r="AR35" s="38">
        <f t="shared" si="41"/>
        <v>77396.032258064515</v>
      </c>
      <c r="AS35" s="200">
        <f t="shared" si="38"/>
        <v>-1274.0451612903271</v>
      </c>
      <c r="AT35" s="363"/>
      <c r="AU35" s="447"/>
      <c r="AV35" s="530">
        <f>IF(AT35&gt;0,AU35,AV34)</f>
        <v>0.503</v>
      </c>
      <c r="AW35" s="296">
        <f>-SUM('B5'!AI34)</f>
        <v>0</v>
      </c>
      <c r="AX35" s="296">
        <f t="shared" si="39"/>
        <v>-1274.0451612903271</v>
      </c>
      <c r="AY35" s="37">
        <f t="shared" si="40"/>
        <v>-1274.0451612903271</v>
      </c>
      <c r="AZ35" s="100">
        <f>ELEC!A32</f>
        <v>0</v>
      </c>
      <c r="BA35" s="118">
        <f>'General information '!D35</f>
        <v>28.5</v>
      </c>
      <c r="BB35" s="207">
        <f>SUM('General information '!E35)</f>
        <v>0.65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0" t="s">
        <v>225</v>
      </c>
      <c r="AS36" s="496">
        <f>COUNT(AT6:AT35)</f>
        <v>3</v>
      </c>
      <c r="AT36" s="206">
        <f>SUM(AT6:AT35)</f>
        <v>29709</v>
      </c>
      <c r="AU36">
        <f>SUM(AU6:AU35)/AS36</f>
        <v>0.51533333333333342</v>
      </c>
      <c r="AX36" s="206">
        <f>SUM(AX6:AX35)</f>
        <v>-25150.870967741925</v>
      </c>
      <c r="AY36" s="206">
        <f>SUM(AY6:AY35)</f>
        <v>-25958.870967741925</v>
      </c>
    </row>
    <row r="37" spans="1:60">
      <c r="AS37" s="209"/>
      <c r="AT37">
        <f>+AT36*AU36</f>
        <v>15310.038000000002</v>
      </c>
    </row>
    <row r="39" spans="1:60">
      <c r="AS39" s="165">
        <f>SUM(AS6:AS35)/'EDl log'!A36</f>
        <v>-865.2956989247308</v>
      </c>
      <c r="AT39" s="206"/>
    </row>
    <row r="41" spans="1:60">
      <c r="AR41" s="206"/>
    </row>
  </sheetData>
  <mergeCells count="3">
    <mergeCell ref="AT3:AU3"/>
    <mergeCell ref="AS3:AS4"/>
    <mergeCell ref="AR3:AR4"/>
  </mergeCells>
  <conditionalFormatting sqref="AW6:AX35">
    <cfRule type="cellIs" dxfId="5" priority="4" stopIfTrue="1" operator="greaterThan">
      <formula>0</formula>
    </cfRule>
  </conditionalFormatting>
  <conditionalFormatting sqref="AT6:AU35">
    <cfRule type="cellIs" dxfId="4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17" activePane="bottomLeft" state="frozen"/>
      <selection pane="bottomLeft" activeCell="AG32" sqref="AG3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7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7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2"/>
      <c r="P1" s="25" t="s">
        <v>46</v>
      </c>
      <c r="Q1" s="25" t="s">
        <v>49</v>
      </c>
      <c r="R1" s="417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2" t="s">
        <v>374</v>
      </c>
      <c r="AC1" s="292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5">
        <f>[1]GEN!B33</f>
        <v>9112</v>
      </c>
      <c r="C2" s="275">
        <f>[1]GEN!C33</f>
        <v>0</v>
      </c>
      <c r="D2" s="275">
        <v>225093</v>
      </c>
      <c r="E2" s="275">
        <f>[1]GEN!E33</f>
        <v>0</v>
      </c>
      <c r="F2" s="275">
        <f>[1]GEN!F33</f>
        <v>0</v>
      </c>
      <c r="G2" s="275">
        <f>[1]GEN!G33</f>
        <v>0</v>
      </c>
      <c r="H2" s="275">
        <f>[1]GEN!H33</f>
        <v>9100</v>
      </c>
      <c r="I2" s="275" t="str">
        <f>[1]GEN!I33</f>
        <v>oil change</v>
      </c>
      <c r="J2" s="275">
        <f>[1]GEN!J33</f>
        <v>10698</v>
      </c>
      <c r="K2" s="275">
        <f>[1]GEN!K33</f>
        <v>0</v>
      </c>
      <c r="L2" s="275">
        <f>[1]GEN!L33</f>
        <v>238500</v>
      </c>
      <c r="M2" s="275">
        <f>[1]GEN!M33</f>
        <v>0</v>
      </c>
      <c r="N2" s="275">
        <f>[1]GEN!N33</f>
        <v>0</v>
      </c>
      <c r="O2" s="275">
        <f>[1]GEN!O33</f>
        <v>0</v>
      </c>
      <c r="P2" s="275">
        <f>[1]GEN!P33</f>
        <v>10873</v>
      </c>
      <c r="Q2" s="275" t="str">
        <f>[1]GEN!Q33</f>
        <v>ok</v>
      </c>
      <c r="R2" s="275">
        <f>[1]GEN!R33</f>
        <v>11650</v>
      </c>
      <c r="S2" s="275">
        <f>[1]GEN!S33</f>
        <v>3</v>
      </c>
      <c r="T2" s="275">
        <f>[1]GEN!T33</f>
        <v>345508</v>
      </c>
      <c r="U2" s="275">
        <f>[1]GEN!U33</f>
        <v>448</v>
      </c>
      <c r="V2" s="275">
        <f>[1]GEN!V33</f>
        <v>149.33333333333334</v>
      </c>
      <c r="W2" s="275">
        <f>[1]GEN!W33</f>
        <v>0</v>
      </c>
      <c r="X2" s="275">
        <f>[1]GEN!X33</f>
        <v>12429</v>
      </c>
      <c r="Y2" s="275" t="str">
        <f>[1]GEN!Y33</f>
        <v>ok</v>
      </c>
      <c r="Z2" s="275">
        <f>[1]GEN!Z33</f>
        <v>3</v>
      </c>
      <c r="AA2" s="275">
        <f>[1]GEN!AA33</f>
        <v>448</v>
      </c>
      <c r="AB2" s="275">
        <f>[1]GEN!AB33</f>
        <v>149.33333333333334</v>
      </c>
      <c r="AC2" s="275">
        <f>[1]GEN!AC33</f>
        <v>149.33333333333334</v>
      </c>
      <c r="AD2" s="275">
        <f>[1]GEN!AD33</f>
        <v>2000</v>
      </c>
      <c r="AE2" s="275">
        <f>[1]GEN!AE33</f>
        <v>666.66666666666663</v>
      </c>
      <c r="AF2" s="275">
        <f>[1]GEN!AF33</f>
        <v>0.41666666666666663</v>
      </c>
      <c r="AG2" s="275">
        <f>[1]GEN!AG33</f>
        <v>133.33333333333331</v>
      </c>
      <c r="AH2" s="275">
        <f>[1]GEN!AH33</f>
        <v>16.000000000000028</v>
      </c>
      <c r="AI2" s="275">
        <f>[1]GEN!AI33</f>
        <v>514.76793248945148</v>
      </c>
      <c r="AJ2" s="275">
        <f>[1]GEN!AJ33</f>
        <v>0.25738396624472576</v>
      </c>
      <c r="AK2" s="275">
        <f>[1]GEN!AK33</f>
        <v>171.58931082981715</v>
      </c>
    </row>
    <row r="3" spans="1:37" ht="15.75" thickBot="1">
      <c r="A3" s="4">
        <f>ELEC!C3</f>
        <v>44075</v>
      </c>
      <c r="B3" s="566">
        <v>9112</v>
      </c>
      <c r="C3" s="293">
        <f>B3-B2</f>
        <v>0</v>
      </c>
      <c r="D3" s="567">
        <f>D2</f>
        <v>225093</v>
      </c>
      <c r="E3" s="293">
        <f>SUM(D3-D2)</f>
        <v>0</v>
      </c>
      <c r="F3" s="293">
        <f t="shared" ref="F3:F32" si="0">IF(C3&gt;0,E3/C3,0)</f>
        <v>0</v>
      </c>
      <c r="G3" s="275">
        <f>[3]GEN!G32</f>
        <v>0</v>
      </c>
      <c r="H3" s="294">
        <f>H2+180</f>
        <v>9280</v>
      </c>
      <c r="I3" s="293" t="str">
        <f t="shared" ref="I3:I32" si="1">IF(B3-H3&lt;=0,"ok","oil change")</f>
        <v>ok</v>
      </c>
      <c r="J3" s="567">
        <v>10698</v>
      </c>
      <c r="K3" s="293">
        <f t="shared" ref="K3:K31" si="2">J3-J2</f>
        <v>0</v>
      </c>
      <c r="L3" s="567">
        <f>L2</f>
        <v>238500</v>
      </c>
      <c r="M3" s="293">
        <f t="shared" ref="M3:M32" si="3">SUM(L3-L2)</f>
        <v>0</v>
      </c>
      <c r="N3" s="293">
        <f>IF(K3&gt;0,M3/K3,0)</f>
        <v>0</v>
      </c>
      <c r="O3" s="275">
        <f>[3]GEN!O32</f>
        <v>0</v>
      </c>
      <c r="P3" s="294">
        <f>P2</f>
        <v>10873</v>
      </c>
      <c r="Q3" s="293" t="str">
        <f t="shared" ref="Q3:Q17" si="4">IF(J3-P3&lt;=0,"ok","oil change")</f>
        <v>ok</v>
      </c>
      <c r="R3" s="567">
        <v>11653</v>
      </c>
      <c r="S3" s="293">
        <f t="shared" ref="S3:S32" si="5">R3-R2</f>
        <v>3</v>
      </c>
      <c r="T3" s="567">
        <v>346214</v>
      </c>
      <c r="U3" s="293">
        <f t="shared" ref="U3:U19" si="6">SUM(T3-T2)</f>
        <v>706</v>
      </c>
      <c r="V3" s="293">
        <f>IF(S3&gt;0,U3/S3,0)</f>
        <v>235.33333333333334</v>
      </c>
      <c r="W3" s="275">
        <f>[3]GEN!W32</f>
        <v>0</v>
      </c>
      <c r="X3" s="294">
        <f>X2</f>
        <v>12429</v>
      </c>
      <c r="Y3" s="293" t="str">
        <f t="shared" ref="Y3:Y20" si="7">IF(R3-X3&lt;=0,"ok","oil change")</f>
        <v>ok</v>
      </c>
      <c r="Z3" s="293">
        <f t="shared" ref="Z3:Z32" si="8">C3+K3+S3</f>
        <v>3</v>
      </c>
      <c r="AA3" s="293">
        <f>U3+M3+E3</f>
        <v>706</v>
      </c>
      <c r="AB3" s="293">
        <f>V3+N3+F3</f>
        <v>235.33333333333334</v>
      </c>
      <c r="AC3" s="293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1">
        <f>SUM(AE3/1600)</f>
        <v>0.20833333333333331</v>
      </c>
      <c r="AG3" s="412">
        <f>SUM(360*AF3)</f>
        <v>75</v>
      </c>
      <c r="AH3" s="412">
        <f>SUM(AC3-AG3)</f>
        <v>160.33333333333334</v>
      </c>
      <c r="AI3" s="73">
        <f>AD3*AJ3</f>
        <v>257.38396624472574</v>
      </c>
      <c r="AJ3" s="295">
        <f t="shared" ref="AJ3:AJ33" si="9">305/1185</f>
        <v>0.25738396624472576</v>
      </c>
      <c r="AK3" s="295">
        <f t="shared" ref="AK3:AK8" si="10">AI3/Z3</f>
        <v>85.794655414908576</v>
      </c>
    </row>
    <row r="4" spans="1:37" ht="15.75" thickBot="1">
      <c r="A4" s="4">
        <f>ELEC!C4</f>
        <v>44076</v>
      </c>
      <c r="B4" s="566">
        <v>9113</v>
      </c>
      <c r="C4" s="293">
        <f t="shared" ref="C4:C32" si="11">B4-B3</f>
        <v>1</v>
      </c>
      <c r="D4" s="567">
        <v>225380</v>
      </c>
      <c r="E4" s="293">
        <f t="shared" ref="E4:E32" si="12">SUM(D4-D3)</f>
        <v>287</v>
      </c>
      <c r="F4" s="293">
        <f t="shared" si="0"/>
        <v>287</v>
      </c>
      <c r="G4" s="199"/>
      <c r="H4" s="294">
        <f t="shared" ref="H4:H23" si="13">H3</f>
        <v>9280</v>
      </c>
      <c r="I4" s="293" t="str">
        <f t="shared" si="1"/>
        <v>ok</v>
      </c>
      <c r="J4" s="567">
        <v>10698</v>
      </c>
      <c r="K4" s="293">
        <f t="shared" si="2"/>
        <v>0</v>
      </c>
      <c r="L4" s="567">
        <v>238500</v>
      </c>
      <c r="M4" s="293">
        <f t="shared" si="3"/>
        <v>0</v>
      </c>
      <c r="N4" s="293">
        <f t="shared" ref="N4:N32" si="14">IF(K4&gt;0,M4/K4,0)</f>
        <v>0</v>
      </c>
      <c r="O4" s="199"/>
      <c r="P4" s="294">
        <f t="shared" ref="P4:P33" si="15">P3</f>
        <v>10873</v>
      </c>
      <c r="Q4" s="293" t="str">
        <f t="shared" si="4"/>
        <v>ok</v>
      </c>
      <c r="R4" s="567">
        <v>11658</v>
      </c>
      <c r="S4" s="293">
        <f t="shared" si="5"/>
        <v>5</v>
      </c>
      <c r="T4" s="567">
        <v>347163</v>
      </c>
      <c r="U4" s="293">
        <f t="shared" si="6"/>
        <v>949</v>
      </c>
      <c r="V4" s="293">
        <f t="shared" ref="V4:V32" si="16">IF(S4&gt;0,U4/S4,0)</f>
        <v>189.8</v>
      </c>
      <c r="W4" s="199"/>
      <c r="X4" s="294">
        <f t="shared" ref="X4:X33" si="17">X3</f>
        <v>12429</v>
      </c>
      <c r="Y4" s="293" t="str">
        <f t="shared" si="7"/>
        <v>ok</v>
      </c>
      <c r="Z4" s="293">
        <f>C4+K4+S4</f>
        <v>6</v>
      </c>
      <c r="AA4" s="293">
        <f t="shared" ref="AA4:AA32" si="18">U4+M4+E4</f>
        <v>1236</v>
      </c>
      <c r="AB4" s="293">
        <f t="shared" ref="AB4:AB32" si="19">V4+N4+F4</f>
        <v>476.8</v>
      </c>
      <c r="AC4" s="293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1">
        <f>SUM(AE4/1600)</f>
        <v>0.52083333333333337</v>
      </c>
      <c r="AG4" s="412">
        <f>SUM(360*AF4)</f>
        <v>187.5</v>
      </c>
      <c r="AH4" s="412">
        <f t="shared" ref="AH4:AH32" si="21">SUM(AC4-AG4)</f>
        <v>18.5</v>
      </c>
      <c r="AI4" s="73">
        <f>AD4*AJ4</f>
        <v>1286.9198312236288</v>
      </c>
      <c r="AJ4" s="295">
        <f t="shared" si="9"/>
        <v>0.25738396624472576</v>
      </c>
      <c r="AK4" s="295">
        <f t="shared" si="10"/>
        <v>214.48663853727146</v>
      </c>
    </row>
    <row r="5" spans="1:37" ht="15.75" thickBot="1">
      <c r="A5" s="4">
        <f>ELEC!C5</f>
        <v>44077</v>
      </c>
      <c r="B5" s="566">
        <v>9121</v>
      </c>
      <c r="C5" s="293">
        <f t="shared" si="11"/>
        <v>8</v>
      </c>
      <c r="D5" s="567">
        <v>226901</v>
      </c>
      <c r="E5" s="293">
        <f t="shared" si="12"/>
        <v>1521</v>
      </c>
      <c r="F5" s="293">
        <f t="shared" si="0"/>
        <v>190.125</v>
      </c>
      <c r="G5" s="291"/>
      <c r="H5" s="294">
        <f>H4</f>
        <v>9280</v>
      </c>
      <c r="I5" s="293" t="str">
        <f t="shared" si="1"/>
        <v>ok</v>
      </c>
      <c r="J5" s="567">
        <f t="shared" ref="J5:J33" si="22">J4</f>
        <v>10698</v>
      </c>
      <c r="K5" s="293">
        <f t="shared" si="2"/>
        <v>0</v>
      </c>
      <c r="L5" s="567">
        <f t="shared" ref="L5:L33" si="23">L4</f>
        <v>238500</v>
      </c>
      <c r="M5" s="293">
        <f t="shared" si="3"/>
        <v>0</v>
      </c>
      <c r="N5" s="293">
        <f t="shared" si="14"/>
        <v>0</v>
      </c>
      <c r="O5" s="199"/>
      <c r="P5" s="294">
        <f>P4</f>
        <v>10873</v>
      </c>
      <c r="Q5" s="293" t="str">
        <f t="shared" si="4"/>
        <v>ok</v>
      </c>
      <c r="R5" s="567">
        <v>11658</v>
      </c>
      <c r="S5" s="293">
        <f t="shared" si="5"/>
        <v>0</v>
      </c>
      <c r="T5" s="567">
        <f t="shared" ref="T5:T33" si="24">T4</f>
        <v>347163</v>
      </c>
      <c r="U5" s="293">
        <f t="shared" si="6"/>
        <v>0</v>
      </c>
      <c r="V5" s="293">
        <f>IF(S5&gt;0,U5/S5,0)</f>
        <v>0</v>
      </c>
      <c r="W5" s="199"/>
      <c r="X5" s="294">
        <f t="shared" si="17"/>
        <v>12429</v>
      </c>
      <c r="Y5" s="293" t="str">
        <f t="shared" si="7"/>
        <v>ok</v>
      </c>
      <c r="Z5" s="293">
        <f t="shared" si="8"/>
        <v>8</v>
      </c>
      <c r="AA5" s="293">
        <f t="shared" si="18"/>
        <v>1521</v>
      </c>
      <c r="AB5" s="293">
        <f t="shared" si="19"/>
        <v>190.125</v>
      </c>
      <c r="AC5" s="293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1">
        <f t="shared" ref="AF5:AF32" si="26">SUM(AE5/1600)</f>
        <v>0.390625</v>
      </c>
      <c r="AG5" s="412">
        <f t="shared" ref="AG5:AG32" si="27">SUM(320*AF5)</f>
        <v>125</v>
      </c>
      <c r="AH5" s="412">
        <f t="shared" si="21"/>
        <v>65.125</v>
      </c>
      <c r="AI5" s="73">
        <f t="shared" ref="AI5:AI32" si="28">AD5*AJ5</f>
        <v>1286.9198312236288</v>
      </c>
      <c r="AJ5" s="295">
        <f t="shared" si="9"/>
        <v>0.25738396624472576</v>
      </c>
      <c r="AK5" s="295">
        <f t="shared" si="10"/>
        <v>160.8649789029536</v>
      </c>
    </row>
    <row r="6" spans="1:37" ht="15.75" thickBot="1">
      <c r="A6" s="4">
        <f>ELEC!C6</f>
        <v>44078</v>
      </c>
      <c r="B6" s="566">
        <v>9128</v>
      </c>
      <c r="C6" s="293">
        <f t="shared" si="11"/>
        <v>7</v>
      </c>
      <c r="D6" s="567">
        <v>227869</v>
      </c>
      <c r="E6" s="293">
        <f t="shared" si="12"/>
        <v>968</v>
      </c>
      <c r="F6" s="293">
        <f t="shared" si="0"/>
        <v>138.28571428571428</v>
      </c>
      <c r="G6" s="199"/>
      <c r="H6" s="294">
        <v>9298</v>
      </c>
      <c r="I6" s="293" t="str">
        <f t="shared" si="1"/>
        <v>ok</v>
      </c>
      <c r="J6" s="567">
        <f t="shared" si="22"/>
        <v>10698</v>
      </c>
      <c r="K6" s="293">
        <f t="shared" si="2"/>
        <v>0</v>
      </c>
      <c r="L6" s="567">
        <f t="shared" si="23"/>
        <v>238500</v>
      </c>
      <c r="M6" s="293">
        <f t="shared" si="3"/>
        <v>0</v>
      </c>
      <c r="N6" s="293">
        <f t="shared" si="14"/>
        <v>0</v>
      </c>
      <c r="O6" s="313"/>
      <c r="P6" s="294">
        <f t="shared" si="15"/>
        <v>10873</v>
      </c>
      <c r="Q6" s="293" t="str">
        <f t="shared" si="4"/>
        <v>ok</v>
      </c>
      <c r="R6" s="567">
        <v>11658</v>
      </c>
      <c r="S6" s="293">
        <f t="shared" si="5"/>
        <v>0</v>
      </c>
      <c r="T6" s="567">
        <f t="shared" si="24"/>
        <v>347163</v>
      </c>
      <c r="U6" s="293">
        <f t="shared" si="6"/>
        <v>0</v>
      </c>
      <c r="V6" s="293">
        <f t="shared" si="16"/>
        <v>0</v>
      </c>
      <c r="W6" s="313"/>
      <c r="X6" s="294">
        <f t="shared" si="17"/>
        <v>12429</v>
      </c>
      <c r="Y6" s="293" t="str">
        <f t="shared" si="7"/>
        <v>ok</v>
      </c>
      <c r="Z6" s="293">
        <f t="shared" si="8"/>
        <v>7</v>
      </c>
      <c r="AA6" s="293">
        <f t="shared" si="18"/>
        <v>968</v>
      </c>
      <c r="AB6" s="293">
        <f t="shared" si="19"/>
        <v>138.28571428571428</v>
      </c>
      <c r="AC6" s="293">
        <f t="shared" si="20"/>
        <v>138.28571428571428</v>
      </c>
      <c r="AD6" s="73">
        <f>ELEC!Q6</f>
        <v>5000</v>
      </c>
      <c r="AE6" s="73">
        <f>SUM(AD6/Z6)</f>
        <v>714.28571428571433</v>
      </c>
      <c r="AF6" s="411">
        <f t="shared" si="26"/>
        <v>0.44642857142857145</v>
      </c>
      <c r="AG6" s="412">
        <f>SUM(320*AF6)</f>
        <v>142.85714285714286</v>
      </c>
      <c r="AH6" s="412">
        <f t="shared" si="21"/>
        <v>-4.5714285714285836</v>
      </c>
      <c r="AI6" s="73">
        <f t="shared" si="28"/>
        <v>1286.9198312236288</v>
      </c>
      <c r="AJ6" s="295">
        <f t="shared" si="9"/>
        <v>0.25738396624472576</v>
      </c>
      <c r="AK6" s="295">
        <f t="shared" si="10"/>
        <v>183.8456901748041</v>
      </c>
    </row>
    <row r="7" spans="1:37" ht="15.75" thickBot="1">
      <c r="A7" s="4">
        <f>ELEC!C7</f>
        <v>44079</v>
      </c>
      <c r="B7" s="566">
        <v>9132</v>
      </c>
      <c r="C7" s="293">
        <f t="shared" si="11"/>
        <v>4</v>
      </c>
      <c r="D7" s="567">
        <f t="shared" ref="D7:D33" si="29">D6</f>
        <v>227869</v>
      </c>
      <c r="E7" s="293">
        <f t="shared" si="12"/>
        <v>0</v>
      </c>
      <c r="F7" s="293">
        <f t="shared" si="0"/>
        <v>0</v>
      </c>
      <c r="G7" s="199"/>
      <c r="H7" s="294">
        <f t="shared" si="13"/>
        <v>9298</v>
      </c>
      <c r="I7" s="293" t="str">
        <f t="shared" si="1"/>
        <v>ok</v>
      </c>
      <c r="J7" s="567">
        <f t="shared" si="22"/>
        <v>10698</v>
      </c>
      <c r="K7" s="293">
        <f t="shared" si="2"/>
        <v>0</v>
      </c>
      <c r="L7" s="567">
        <f t="shared" si="23"/>
        <v>238500</v>
      </c>
      <c r="M7" s="293">
        <f t="shared" si="3"/>
        <v>0</v>
      </c>
      <c r="N7" s="293">
        <f t="shared" si="14"/>
        <v>0</v>
      </c>
      <c r="O7" s="313"/>
      <c r="P7" s="294">
        <f t="shared" si="15"/>
        <v>10873</v>
      </c>
      <c r="Q7" s="293" t="str">
        <f t="shared" si="4"/>
        <v>ok</v>
      </c>
      <c r="R7" s="567">
        <f t="shared" ref="R7:R33" si="30">R6</f>
        <v>11658</v>
      </c>
      <c r="S7" s="293">
        <f t="shared" si="5"/>
        <v>0</v>
      </c>
      <c r="T7" s="567">
        <f t="shared" si="24"/>
        <v>347163</v>
      </c>
      <c r="U7" s="293">
        <f t="shared" si="6"/>
        <v>0</v>
      </c>
      <c r="V7" s="293">
        <f t="shared" si="16"/>
        <v>0</v>
      </c>
      <c r="W7" s="199"/>
      <c r="X7" s="294">
        <f t="shared" si="17"/>
        <v>12429</v>
      </c>
      <c r="Y7" s="293" t="str">
        <f t="shared" si="7"/>
        <v>ok</v>
      </c>
      <c r="Z7" s="293">
        <f t="shared" si="8"/>
        <v>4</v>
      </c>
      <c r="AA7" s="293">
        <f>U7+M7+E7</f>
        <v>0</v>
      </c>
      <c r="AB7" s="293">
        <f t="shared" si="19"/>
        <v>0</v>
      </c>
      <c r="AC7" s="293">
        <f t="shared" si="20"/>
        <v>0</v>
      </c>
      <c r="AD7" s="73">
        <f>ELEC!Q7</f>
        <v>2000</v>
      </c>
      <c r="AE7" s="73">
        <f t="shared" si="25"/>
        <v>500</v>
      </c>
      <c r="AF7" s="411">
        <f t="shared" si="26"/>
        <v>0.3125</v>
      </c>
      <c r="AG7" s="516" t="s">
        <v>405</v>
      </c>
      <c r="AH7" s="412" t="e">
        <f t="shared" si="21"/>
        <v>#VALUE!</v>
      </c>
      <c r="AI7" s="73">
        <f t="shared" si="28"/>
        <v>514.76793248945148</v>
      </c>
      <c r="AJ7" s="295">
        <f t="shared" si="9"/>
        <v>0.25738396624472576</v>
      </c>
      <c r="AK7" s="295">
        <f t="shared" si="10"/>
        <v>128.69198312236287</v>
      </c>
    </row>
    <row r="8" spans="1:37" ht="15.75" thickBot="1">
      <c r="A8" s="4">
        <f>ELEC!C8</f>
        <v>44080</v>
      </c>
      <c r="B8" s="603">
        <v>9140</v>
      </c>
      <c r="C8" s="293">
        <f t="shared" si="11"/>
        <v>8</v>
      </c>
      <c r="D8" s="275">
        <v>230126</v>
      </c>
      <c r="E8" s="293">
        <f t="shared" si="12"/>
        <v>2257</v>
      </c>
      <c r="F8" s="293">
        <f t="shared" si="0"/>
        <v>282.125</v>
      </c>
      <c r="G8" s="199"/>
      <c r="H8" s="294">
        <f t="shared" si="13"/>
        <v>9298</v>
      </c>
      <c r="I8" s="293" t="str">
        <f t="shared" si="1"/>
        <v>ok</v>
      </c>
      <c r="J8" s="567">
        <f t="shared" si="22"/>
        <v>10698</v>
      </c>
      <c r="K8" s="293">
        <f t="shared" si="2"/>
        <v>0</v>
      </c>
      <c r="L8" s="567">
        <f t="shared" si="23"/>
        <v>238500</v>
      </c>
      <c r="M8" s="293">
        <f t="shared" si="3"/>
        <v>0</v>
      </c>
      <c r="N8" s="293">
        <f t="shared" si="14"/>
        <v>0</v>
      </c>
      <c r="O8" s="199"/>
      <c r="P8" s="294">
        <f t="shared" si="15"/>
        <v>10873</v>
      </c>
      <c r="Q8" s="293" t="str">
        <f t="shared" si="4"/>
        <v>ok</v>
      </c>
      <c r="R8" s="567">
        <f t="shared" si="30"/>
        <v>11658</v>
      </c>
      <c r="S8" s="293">
        <f t="shared" si="5"/>
        <v>0</v>
      </c>
      <c r="T8" s="567">
        <f t="shared" si="24"/>
        <v>347163</v>
      </c>
      <c r="U8" s="293">
        <f t="shared" si="6"/>
        <v>0</v>
      </c>
      <c r="V8" s="293">
        <f t="shared" si="16"/>
        <v>0</v>
      </c>
      <c r="W8" s="199"/>
      <c r="X8" s="294">
        <f t="shared" si="17"/>
        <v>12429</v>
      </c>
      <c r="Y8" s="293" t="str">
        <f t="shared" si="7"/>
        <v>ok</v>
      </c>
      <c r="Z8" s="293">
        <f t="shared" si="8"/>
        <v>8</v>
      </c>
      <c r="AA8" s="293">
        <f t="shared" si="18"/>
        <v>2257</v>
      </c>
      <c r="AB8" s="293">
        <f t="shared" si="19"/>
        <v>282.125</v>
      </c>
      <c r="AC8" s="293">
        <f t="shared" si="20"/>
        <v>282.125</v>
      </c>
      <c r="AD8" s="73">
        <f>ELEC!Q8</f>
        <v>4000</v>
      </c>
      <c r="AE8" s="73">
        <f t="shared" si="25"/>
        <v>500</v>
      </c>
      <c r="AF8" s="411">
        <f t="shared" si="26"/>
        <v>0.3125</v>
      </c>
      <c r="AG8" s="412">
        <f t="shared" si="27"/>
        <v>100</v>
      </c>
      <c r="AH8" s="412">
        <f t="shared" si="21"/>
        <v>182.125</v>
      </c>
      <c r="AI8" s="73">
        <f t="shared" si="28"/>
        <v>1029.535864978903</v>
      </c>
      <c r="AJ8" s="295">
        <f t="shared" si="9"/>
        <v>0.25738396624472576</v>
      </c>
      <c r="AK8" s="295">
        <f t="shared" si="10"/>
        <v>128.69198312236287</v>
      </c>
    </row>
    <row r="9" spans="1:37" ht="15.75" thickBot="1">
      <c r="A9" s="4">
        <f>ELEC!C9</f>
        <v>44081</v>
      </c>
      <c r="B9" s="603">
        <v>9148</v>
      </c>
      <c r="C9" s="293">
        <f t="shared" si="11"/>
        <v>8</v>
      </c>
      <c r="D9" s="275">
        <v>230116</v>
      </c>
      <c r="E9" s="293">
        <f t="shared" si="12"/>
        <v>-10</v>
      </c>
      <c r="F9" s="293">
        <f t="shared" si="0"/>
        <v>-1.25</v>
      </c>
      <c r="G9" s="199"/>
      <c r="H9" s="294">
        <f t="shared" si="13"/>
        <v>9298</v>
      </c>
      <c r="I9" s="293" t="str">
        <f t="shared" si="1"/>
        <v>ok</v>
      </c>
      <c r="J9" s="567">
        <f t="shared" si="22"/>
        <v>10698</v>
      </c>
      <c r="K9" s="293">
        <f t="shared" si="2"/>
        <v>0</v>
      </c>
      <c r="L9" s="567">
        <f t="shared" si="23"/>
        <v>238500</v>
      </c>
      <c r="M9" s="293">
        <f t="shared" si="3"/>
        <v>0</v>
      </c>
      <c r="N9" s="293">
        <f t="shared" si="14"/>
        <v>0</v>
      </c>
      <c r="O9" s="199"/>
      <c r="P9" s="294">
        <f t="shared" si="15"/>
        <v>10873</v>
      </c>
      <c r="Q9" s="293" t="str">
        <f t="shared" si="4"/>
        <v>ok</v>
      </c>
      <c r="R9" s="567">
        <f t="shared" si="30"/>
        <v>11658</v>
      </c>
      <c r="S9" s="293">
        <f t="shared" si="5"/>
        <v>0</v>
      </c>
      <c r="T9" s="567">
        <f t="shared" si="24"/>
        <v>347163</v>
      </c>
      <c r="U9" s="293">
        <f t="shared" si="6"/>
        <v>0</v>
      </c>
      <c r="V9" s="293">
        <f t="shared" si="16"/>
        <v>0</v>
      </c>
      <c r="W9" s="199"/>
      <c r="X9" s="294">
        <f t="shared" si="17"/>
        <v>12429</v>
      </c>
      <c r="Y9" s="293" t="str">
        <f t="shared" si="7"/>
        <v>ok</v>
      </c>
      <c r="Z9" s="293">
        <f t="shared" si="8"/>
        <v>8</v>
      </c>
      <c r="AA9" s="293">
        <f t="shared" si="18"/>
        <v>-10</v>
      </c>
      <c r="AB9" s="293">
        <f t="shared" si="19"/>
        <v>-1.25</v>
      </c>
      <c r="AC9" s="293">
        <f t="shared" si="20"/>
        <v>-1.25</v>
      </c>
      <c r="AD9" s="73">
        <f>ELEC!Q9</f>
        <v>5000</v>
      </c>
      <c r="AE9" s="73">
        <f t="shared" si="25"/>
        <v>625</v>
      </c>
      <c r="AF9" s="411">
        <f t="shared" si="26"/>
        <v>0.390625</v>
      </c>
      <c r="AG9" s="412">
        <f t="shared" si="27"/>
        <v>125</v>
      </c>
      <c r="AH9" s="412">
        <f t="shared" si="21"/>
        <v>-126.25</v>
      </c>
      <c r="AI9" s="73">
        <f t="shared" si="28"/>
        <v>1286.9198312236288</v>
      </c>
      <c r="AJ9" s="295">
        <v>0.25738396624472576</v>
      </c>
      <c r="AK9" s="295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6">
        <v>9162</v>
      </c>
      <c r="C10" s="293">
        <f t="shared" si="11"/>
        <v>14</v>
      </c>
      <c r="D10" s="567">
        <f t="shared" si="29"/>
        <v>230116</v>
      </c>
      <c r="E10" s="293">
        <f t="shared" si="12"/>
        <v>0</v>
      </c>
      <c r="F10" s="293">
        <f t="shared" si="0"/>
        <v>0</v>
      </c>
      <c r="G10" s="199"/>
      <c r="H10" s="294">
        <f t="shared" si="13"/>
        <v>9298</v>
      </c>
      <c r="I10" s="293" t="str">
        <f t="shared" si="1"/>
        <v>ok</v>
      </c>
      <c r="J10" s="567">
        <f t="shared" si="22"/>
        <v>10698</v>
      </c>
      <c r="K10" s="293">
        <f t="shared" si="2"/>
        <v>0</v>
      </c>
      <c r="L10" s="567">
        <f t="shared" si="23"/>
        <v>238500</v>
      </c>
      <c r="M10" s="293">
        <f t="shared" si="3"/>
        <v>0</v>
      </c>
      <c r="N10" s="293">
        <f t="shared" si="14"/>
        <v>0</v>
      </c>
      <c r="O10" s="199"/>
      <c r="P10" s="294">
        <v>10873</v>
      </c>
      <c r="Q10" s="293" t="str">
        <f t="shared" si="4"/>
        <v>ok</v>
      </c>
      <c r="R10" s="567">
        <v>11658</v>
      </c>
      <c r="S10" s="293">
        <f t="shared" si="5"/>
        <v>0</v>
      </c>
      <c r="T10" s="567">
        <f t="shared" si="24"/>
        <v>347163</v>
      </c>
      <c r="U10" s="293">
        <f t="shared" si="6"/>
        <v>0</v>
      </c>
      <c r="V10" s="293">
        <f t="shared" si="16"/>
        <v>0</v>
      </c>
      <c r="W10" s="199"/>
      <c r="X10" s="294">
        <f t="shared" si="17"/>
        <v>12429</v>
      </c>
      <c r="Y10" s="293" t="str">
        <f t="shared" si="7"/>
        <v>ok</v>
      </c>
      <c r="Z10" s="293">
        <f t="shared" si="8"/>
        <v>14</v>
      </c>
      <c r="AA10" s="293">
        <f t="shared" si="18"/>
        <v>0</v>
      </c>
      <c r="AB10" s="293">
        <f t="shared" si="19"/>
        <v>0</v>
      </c>
      <c r="AC10" s="293">
        <f t="shared" si="20"/>
        <v>0</v>
      </c>
      <c r="AD10" s="73">
        <f>ELEC!Q10</f>
        <v>8000</v>
      </c>
      <c r="AE10" s="73">
        <f t="shared" si="25"/>
        <v>571.42857142857144</v>
      </c>
      <c r="AF10" s="411">
        <f t="shared" si="26"/>
        <v>0.35714285714285715</v>
      </c>
      <c r="AG10" s="412">
        <f t="shared" si="27"/>
        <v>114.28571428571429</v>
      </c>
      <c r="AH10" s="412">
        <f t="shared" si="21"/>
        <v>-114.28571428571429</v>
      </c>
      <c r="AI10" s="73">
        <f t="shared" si="28"/>
        <v>2059.0717299578059</v>
      </c>
      <c r="AJ10" s="295">
        <f t="shared" si="9"/>
        <v>0.25738396624472576</v>
      </c>
      <c r="AK10" s="295">
        <f t="shared" si="31"/>
        <v>147.07655213984327</v>
      </c>
    </row>
    <row r="11" spans="1:37" ht="15.75" thickBot="1">
      <c r="A11" s="4">
        <f>ELEC!C11</f>
        <v>44083</v>
      </c>
      <c r="B11" s="566">
        <v>9166</v>
      </c>
      <c r="C11" s="293">
        <f t="shared" si="11"/>
        <v>4</v>
      </c>
      <c r="D11" s="567">
        <v>235548</v>
      </c>
      <c r="E11" s="293">
        <f t="shared" si="12"/>
        <v>5432</v>
      </c>
      <c r="F11" s="293">
        <f t="shared" si="0"/>
        <v>1358</v>
      </c>
      <c r="G11" s="199"/>
      <c r="H11" s="294">
        <f t="shared" si="13"/>
        <v>9298</v>
      </c>
      <c r="I11" s="293" t="str">
        <f t="shared" si="1"/>
        <v>ok</v>
      </c>
      <c r="J11" s="567">
        <f t="shared" si="22"/>
        <v>10698</v>
      </c>
      <c r="K11" s="293">
        <f t="shared" si="2"/>
        <v>0</v>
      </c>
      <c r="L11" s="567">
        <f t="shared" si="23"/>
        <v>238500</v>
      </c>
      <c r="M11" s="293">
        <f t="shared" si="3"/>
        <v>0</v>
      </c>
      <c r="N11" s="293">
        <f t="shared" si="14"/>
        <v>0</v>
      </c>
      <c r="O11" s="199"/>
      <c r="P11" s="294">
        <f t="shared" si="15"/>
        <v>10873</v>
      </c>
      <c r="Q11" s="293" t="str">
        <f t="shared" si="4"/>
        <v>ok</v>
      </c>
      <c r="R11" s="567">
        <v>11659</v>
      </c>
      <c r="S11" s="293">
        <f t="shared" si="5"/>
        <v>1</v>
      </c>
      <c r="T11" s="567">
        <v>347562</v>
      </c>
      <c r="U11" s="293">
        <f t="shared" si="6"/>
        <v>399</v>
      </c>
      <c r="V11" s="293">
        <f t="shared" si="16"/>
        <v>399</v>
      </c>
      <c r="W11" s="199"/>
      <c r="X11" s="294">
        <f t="shared" si="17"/>
        <v>12429</v>
      </c>
      <c r="Y11" s="293" t="str">
        <f t="shared" si="7"/>
        <v>ok</v>
      </c>
      <c r="Z11" s="293">
        <f t="shared" si="8"/>
        <v>5</v>
      </c>
      <c r="AA11" s="293">
        <f t="shared" si="18"/>
        <v>5831</v>
      </c>
      <c r="AB11" s="293">
        <f t="shared" si="19"/>
        <v>1757</v>
      </c>
      <c r="AC11" s="293">
        <f t="shared" si="20"/>
        <v>1166.2</v>
      </c>
      <c r="AD11" s="73">
        <f>ELEC!Q11</f>
        <v>2000</v>
      </c>
      <c r="AE11" s="73">
        <f t="shared" si="25"/>
        <v>400</v>
      </c>
      <c r="AF11" s="411">
        <f t="shared" si="26"/>
        <v>0.25</v>
      </c>
      <c r="AG11" s="412">
        <f t="shared" si="27"/>
        <v>80</v>
      </c>
      <c r="AH11" s="412">
        <f t="shared" si="21"/>
        <v>1086.2</v>
      </c>
      <c r="AI11" s="73">
        <f t="shared" si="28"/>
        <v>514.76793248945148</v>
      </c>
      <c r="AJ11" s="295">
        <f t="shared" si="9"/>
        <v>0.25738396624472576</v>
      </c>
      <c r="AK11" s="295">
        <f t="shared" si="31"/>
        <v>102.9535864978903</v>
      </c>
    </row>
    <row r="12" spans="1:37" ht="15.75" thickBot="1">
      <c r="A12" s="4">
        <f>ELEC!C12</f>
        <v>44084</v>
      </c>
      <c r="B12" s="566">
        <f t="shared" ref="B12:B33" si="32">B11</f>
        <v>9166</v>
      </c>
      <c r="C12" s="293">
        <f t="shared" si="11"/>
        <v>0</v>
      </c>
      <c r="D12" s="567">
        <f t="shared" si="29"/>
        <v>235548</v>
      </c>
      <c r="E12" s="293">
        <f t="shared" si="12"/>
        <v>0</v>
      </c>
      <c r="F12" s="293">
        <f t="shared" si="0"/>
        <v>0</v>
      </c>
      <c r="G12" s="199"/>
      <c r="H12" s="294">
        <f t="shared" si="13"/>
        <v>9298</v>
      </c>
      <c r="I12" s="293" t="str">
        <f t="shared" si="1"/>
        <v>ok</v>
      </c>
      <c r="J12" s="567">
        <f t="shared" si="22"/>
        <v>10698</v>
      </c>
      <c r="K12" s="293">
        <f t="shared" si="2"/>
        <v>0</v>
      </c>
      <c r="L12" s="567">
        <f t="shared" si="23"/>
        <v>238500</v>
      </c>
      <c r="M12" s="293">
        <f t="shared" si="3"/>
        <v>0</v>
      </c>
      <c r="N12" s="293">
        <f t="shared" si="14"/>
        <v>0</v>
      </c>
      <c r="O12" s="199"/>
      <c r="P12" s="294">
        <f t="shared" si="15"/>
        <v>10873</v>
      </c>
      <c r="Q12" s="293" t="str">
        <f t="shared" si="4"/>
        <v>ok</v>
      </c>
      <c r="R12" s="608">
        <v>11662</v>
      </c>
      <c r="S12" s="293">
        <f t="shared" si="5"/>
        <v>3</v>
      </c>
      <c r="T12" s="275">
        <v>348112</v>
      </c>
      <c r="U12" s="293">
        <f t="shared" si="6"/>
        <v>550</v>
      </c>
      <c r="V12" s="293">
        <f t="shared" si="16"/>
        <v>183.33333333333334</v>
      </c>
      <c r="W12" s="199"/>
      <c r="X12" s="294">
        <f t="shared" si="17"/>
        <v>12429</v>
      </c>
      <c r="Y12" s="293" t="str">
        <f t="shared" si="7"/>
        <v>ok</v>
      </c>
      <c r="Z12" s="293">
        <f t="shared" si="8"/>
        <v>3</v>
      </c>
      <c r="AA12" s="293">
        <f t="shared" si="18"/>
        <v>550</v>
      </c>
      <c r="AB12" s="293">
        <f t="shared" si="19"/>
        <v>183.33333333333334</v>
      </c>
      <c r="AC12" s="293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1">
        <f t="shared" si="26"/>
        <v>0.41666666666666663</v>
      </c>
      <c r="AG12" s="412">
        <f t="shared" si="27"/>
        <v>133.33333333333331</v>
      </c>
      <c r="AH12" s="412">
        <f t="shared" si="21"/>
        <v>50.000000000000028</v>
      </c>
      <c r="AI12" s="73">
        <f t="shared" si="28"/>
        <v>514.76793248945148</v>
      </c>
      <c r="AJ12" s="295">
        <f t="shared" si="9"/>
        <v>0.25738396624472576</v>
      </c>
      <c r="AK12" s="295">
        <f t="shared" si="31"/>
        <v>171.58931082981715</v>
      </c>
    </row>
    <row r="13" spans="1:37" ht="15.75" thickBot="1">
      <c r="A13" s="4">
        <f>ELEC!C13</f>
        <v>44085</v>
      </c>
      <c r="B13" s="566">
        <f t="shared" si="32"/>
        <v>9166</v>
      </c>
      <c r="C13" s="293">
        <f t="shared" si="11"/>
        <v>0</v>
      </c>
      <c r="D13" s="567">
        <f t="shared" si="29"/>
        <v>235548</v>
      </c>
      <c r="E13" s="293">
        <f t="shared" si="12"/>
        <v>0</v>
      </c>
      <c r="F13" s="293">
        <f t="shared" si="0"/>
        <v>0</v>
      </c>
      <c r="G13" s="199"/>
      <c r="H13" s="294">
        <f t="shared" si="13"/>
        <v>9298</v>
      </c>
      <c r="I13" s="293" t="str">
        <f t="shared" si="1"/>
        <v>ok</v>
      </c>
      <c r="J13" s="567">
        <f t="shared" si="22"/>
        <v>10698</v>
      </c>
      <c r="K13" s="293">
        <f t="shared" si="2"/>
        <v>0</v>
      </c>
      <c r="L13" s="567">
        <f t="shared" si="23"/>
        <v>238500</v>
      </c>
      <c r="M13" s="293">
        <f t="shared" si="3"/>
        <v>0</v>
      </c>
      <c r="N13" s="293">
        <f t="shared" si="14"/>
        <v>0</v>
      </c>
      <c r="O13" s="199"/>
      <c r="P13" s="294">
        <f t="shared" si="15"/>
        <v>10873</v>
      </c>
      <c r="Q13" s="293" t="str">
        <f t="shared" si="4"/>
        <v>ok</v>
      </c>
      <c r="R13" s="608">
        <v>11669</v>
      </c>
      <c r="S13" s="293">
        <f t="shared" si="5"/>
        <v>7</v>
      </c>
      <c r="T13" s="275">
        <v>349508</v>
      </c>
      <c r="U13" s="293">
        <f t="shared" si="6"/>
        <v>1396</v>
      </c>
      <c r="V13" s="293">
        <f t="shared" si="16"/>
        <v>199.42857142857142</v>
      </c>
      <c r="W13" s="199"/>
      <c r="X13" s="294">
        <f>X12+180</f>
        <v>12609</v>
      </c>
      <c r="Y13" s="293" t="str">
        <f t="shared" si="7"/>
        <v>ok</v>
      </c>
      <c r="Z13" s="293">
        <f t="shared" si="8"/>
        <v>7</v>
      </c>
      <c r="AA13" s="293">
        <f t="shared" si="18"/>
        <v>1396</v>
      </c>
      <c r="AB13" s="293">
        <f t="shared" si="19"/>
        <v>199.42857142857142</v>
      </c>
      <c r="AC13" s="293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1">
        <f t="shared" si="26"/>
        <v>0.26785714285714285</v>
      </c>
      <c r="AG13" s="412">
        <f t="shared" si="27"/>
        <v>85.714285714285708</v>
      </c>
      <c r="AH13" s="412">
        <f t="shared" si="21"/>
        <v>113.71428571428571</v>
      </c>
      <c r="AI13" s="73">
        <f t="shared" si="28"/>
        <v>772.15189873417728</v>
      </c>
      <c r="AJ13" s="295">
        <f t="shared" si="9"/>
        <v>0.25738396624472576</v>
      </c>
      <c r="AK13" s="295">
        <f t="shared" si="31"/>
        <v>110.30741410488247</v>
      </c>
    </row>
    <row r="14" spans="1:37" ht="15.75" thickBot="1">
      <c r="A14" s="4">
        <f>ELEC!C14</f>
        <v>44086</v>
      </c>
      <c r="B14" s="566">
        <f t="shared" si="32"/>
        <v>9166</v>
      </c>
      <c r="C14" s="293">
        <f t="shared" si="11"/>
        <v>0</v>
      </c>
      <c r="D14" s="567">
        <f t="shared" si="29"/>
        <v>235548</v>
      </c>
      <c r="E14" s="293">
        <f t="shared" si="12"/>
        <v>0</v>
      </c>
      <c r="F14" s="293">
        <f t="shared" si="0"/>
        <v>0</v>
      </c>
      <c r="G14" s="199"/>
      <c r="H14" s="294">
        <f t="shared" si="13"/>
        <v>9298</v>
      </c>
      <c r="I14" s="293" t="str">
        <f t="shared" si="1"/>
        <v>ok</v>
      </c>
      <c r="J14" s="567">
        <f t="shared" si="22"/>
        <v>10698</v>
      </c>
      <c r="K14" s="293">
        <f t="shared" si="2"/>
        <v>0</v>
      </c>
      <c r="L14" s="567">
        <f t="shared" si="23"/>
        <v>238500</v>
      </c>
      <c r="M14" s="293">
        <f t="shared" si="3"/>
        <v>0</v>
      </c>
      <c r="N14" s="293">
        <f t="shared" si="14"/>
        <v>0</v>
      </c>
      <c r="O14" s="199"/>
      <c r="P14" s="294">
        <f t="shared" si="15"/>
        <v>10873</v>
      </c>
      <c r="Q14" s="293" t="str">
        <f t="shared" si="4"/>
        <v>ok</v>
      </c>
      <c r="R14" s="567">
        <v>11675</v>
      </c>
      <c r="S14" s="293">
        <f t="shared" si="5"/>
        <v>6</v>
      </c>
      <c r="T14" s="567">
        <v>350834</v>
      </c>
      <c r="U14" s="293">
        <f t="shared" si="6"/>
        <v>1326</v>
      </c>
      <c r="V14" s="293">
        <f t="shared" si="16"/>
        <v>221</v>
      </c>
      <c r="W14" s="199"/>
      <c r="X14" s="294">
        <f t="shared" si="17"/>
        <v>12609</v>
      </c>
      <c r="Y14" s="293" t="str">
        <f t="shared" si="7"/>
        <v>ok</v>
      </c>
      <c r="Z14" s="293">
        <f t="shared" si="8"/>
        <v>6</v>
      </c>
      <c r="AA14" s="293">
        <f t="shared" si="18"/>
        <v>1326</v>
      </c>
      <c r="AB14" s="293">
        <f t="shared" si="19"/>
        <v>221</v>
      </c>
      <c r="AC14" s="293">
        <f t="shared" si="20"/>
        <v>221</v>
      </c>
      <c r="AD14" s="73">
        <f>ELEC!Q14</f>
        <v>3000</v>
      </c>
      <c r="AE14" s="73">
        <f t="shared" si="25"/>
        <v>500</v>
      </c>
      <c r="AF14" s="411">
        <f t="shared" si="26"/>
        <v>0.3125</v>
      </c>
      <c r="AG14" s="412">
        <f t="shared" si="27"/>
        <v>100</v>
      </c>
      <c r="AH14" s="412">
        <f t="shared" si="21"/>
        <v>121</v>
      </c>
      <c r="AI14" s="73">
        <f t="shared" si="28"/>
        <v>772.15189873417728</v>
      </c>
      <c r="AJ14" s="295">
        <f t="shared" si="9"/>
        <v>0.25738396624472576</v>
      </c>
      <c r="AK14" s="295">
        <f t="shared" si="31"/>
        <v>128.69198312236287</v>
      </c>
    </row>
    <row r="15" spans="1:37" ht="15.75" thickBot="1">
      <c r="A15" s="4">
        <f>ELEC!C15</f>
        <v>44087</v>
      </c>
      <c r="B15" s="566">
        <v>9166</v>
      </c>
      <c r="C15" s="293">
        <f t="shared" si="11"/>
        <v>0</v>
      </c>
      <c r="D15" s="567">
        <v>235549</v>
      </c>
      <c r="E15" s="293">
        <f t="shared" si="12"/>
        <v>1</v>
      </c>
      <c r="F15" s="293">
        <f t="shared" si="0"/>
        <v>0</v>
      </c>
      <c r="G15" s="199"/>
      <c r="H15" s="294">
        <f t="shared" si="13"/>
        <v>9298</v>
      </c>
      <c r="I15" s="293" t="str">
        <f t="shared" si="1"/>
        <v>ok</v>
      </c>
      <c r="J15" s="567">
        <v>10698</v>
      </c>
      <c r="K15" s="293">
        <f t="shared" si="2"/>
        <v>0</v>
      </c>
      <c r="L15" s="567">
        <f t="shared" si="23"/>
        <v>238500</v>
      </c>
      <c r="M15" s="293">
        <f t="shared" si="3"/>
        <v>0</v>
      </c>
      <c r="N15" s="293">
        <f t="shared" si="14"/>
        <v>0</v>
      </c>
      <c r="O15" s="199"/>
      <c r="P15" s="294">
        <f t="shared" si="15"/>
        <v>10873</v>
      </c>
      <c r="Q15" s="293" t="str">
        <f t="shared" si="4"/>
        <v>ok</v>
      </c>
      <c r="R15" s="567">
        <v>11679</v>
      </c>
      <c r="S15" s="293">
        <f t="shared" si="5"/>
        <v>4</v>
      </c>
      <c r="T15" s="567">
        <v>351748</v>
      </c>
      <c r="U15" s="293">
        <f t="shared" si="6"/>
        <v>914</v>
      </c>
      <c r="V15" s="293">
        <f t="shared" si="16"/>
        <v>228.5</v>
      </c>
      <c r="W15" s="199"/>
      <c r="X15" s="294">
        <f t="shared" si="17"/>
        <v>12609</v>
      </c>
      <c r="Y15" s="293" t="str">
        <f t="shared" si="7"/>
        <v>ok</v>
      </c>
      <c r="Z15" s="293">
        <f t="shared" si="8"/>
        <v>4</v>
      </c>
      <c r="AA15" s="293">
        <f t="shared" si="18"/>
        <v>915</v>
      </c>
      <c r="AB15" s="293">
        <f t="shared" si="19"/>
        <v>228.5</v>
      </c>
      <c r="AC15" s="293">
        <f t="shared" si="20"/>
        <v>228.75</v>
      </c>
      <c r="AD15" s="73">
        <f>ELEC!Q15</f>
        <v>2000</v>
      </c>
      <c r="AE15" s="73">
        <f t="shared" si="25"/>
        <v>500</v>
      </c>
      <c r="AF15" s="411">
        <f t="shared" si="26"/>
        <v>0.3125</v>
      </c>
      <c r="AG15" s="412">
        <f t="shared" si="27"/>
        <v>100</v>
      </c>
      <c r="AH15" s="412">
        <f t="shared" si="21"/>
        <v>128.75</v>
      </c>
      <c r="AI15" s="73">
        <f t="shared" si="28"/>
        <v>514.76793248945148</v>
      </c>
      <c r="AJ15" s="295">
        <f t="shared" si="9"/>
        <v>0.25738396624472576</v>
      </c>
      <c r="AK15" s="295">
        <f t="shared" si="31"/>
        <v>128.69198312236287</v>
      </c>
    </row>
    <row r="16" spans="1:37" ht="15.75" thickBot="1">
      <c r="A16" s="4">
        <f>ELEC!C16</f>
        <v>44088</v>
      </c>
      <c r="B16" s="566">
        <v>9166</v>
      </c>
      <c r="C16" s="293">
        <f t="shared" si="11"/>
        <v>0</v>
      </c>
      <c r="D16" s="567">
        <v>235549</v>
      </c>
      <c r="E16" s="293">
        <f t="shared" si="12"/>
        <v>0</v>
      </c>
      <c r="F16" s="293">
        <f t="shared" si="0"/>
        <v>0</v>
      </c>
      <c r="G16" s="199"/>
      <c r="H16" s="294">
        <f t="shared" si="13"/>
        <v>9298</v>
      </c>
      <c r="I16" s="293" t="str">
        <f t="shared" si="1"/>
        <v>ok</v>
      </c>
      <c r="J16" s="567">
        <f t="shared" si="22"/>
        <v>10698</v>
      </c>
      <c r="K16" s="293">
        <f t="shared" si="2"/>
        <v>0</v>
      </c>
      <c r="L16" s="567">
        <f t="shared" si="23"/>
        <v>238500</v>
      </c>
      <c r="M16" s="293">
        <f t="shared" si="3"/>
        <v>0</v>
      </c>
      <c r="N16" s="293">
        <f t="shared" si="14"/>
        <v>0</v>
      </c>
      <c r="O16" s="199"/>
      <c r="P16" s="294">
        <f t="shared" si="15"/>
        <v>10873</v>
      </c>
      <c r="Q16" s="293" t="str">
        <f t="shared" si="4"/>
        <v>ok</v>
      </c>
      <c r="R16" s="567">
        <v>11682</v>
      </c>
      <c r="S16" s="293">
        <f t="shared" si="5"/>
        <v>3</v>
      </c>
      <c r="T16" s="567">
        <v>352350</v>
      </c>
      <c r="U16" s="293">
        <f t="shared" si="6"/>
        <v>602</v>
      </c>
      <c r="V16" s="293">
        <f t="shared" si="16"/>
        <v>200.66666666666666</v>
      </c>
      <c r="W16" s="199"/>
      <c r="X16" s="294">
        <f t="shared" si="17"/>
        <v>12609</v>
      </c>
      <c r="Y16" s="293" t="str">
        <f t="shared" si="7"/>
        <v>ok</v>
      </c>
      <c r="Z16" s="293">
        <f t="shared" si="8"/>
        <v>3</v>
      </c>
      <c r="AA16" s="293">
        <f t="shared" si="18"/>
        <v>602</v>
      </c>
      <c r="AB16" s="293">
        <f t="shared" si="19"/>
        <v>200.66666666666666</v>
      </c>
      <c r="AC16" s="293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1">
        <f t="shared" si="26"/>
        <v>0.41666666666666663</v>
      </c>
      <c r="AG16" s="412">
        <f t="shared" si="27"/>
        <v>133.33333333333331</v>
      </c>
      <c r="AH16" s="412">
        <f t="shared" si="21"/>
        <v>67.333333333333343</v>
      </c>
      <c r="AI16" s="73">
        <f t="shared" si="28"/>
        <v>514.76793248945148</v>
      </c>
      <c r="AJ16" s="295">
        <f t="shared" si="9"/>
        <v>0.25738396624472576</v>
      </c>
      <c r="AK16" s="295">
        <f t="shared" si="31"/>
        <v>171.58931082981715</v>
      </c>
    </row>
    <row r="17" spans="1:37" ht="15.75" thickBot="1">
      <c r="A17" s="4">
        <f>ELEC!C17</f>
        <v>44089</v>
      </c>
      <c r="B17" s="566">
        <v>9166</v>
      </c>
      <c r="C17" s="293">
        <f t="shared" si="11"/>
        <v>0</v>
      </c>
      <c r="D17" s="567">
        <v>235549</v>
      </c>
      <c r="E17" s="293">
        <f t="shared" si="12"/>
        <v>0</v>
      </c>
      <c r="F17" s="293">
        <f t="shared" si="0"/>
        <v>0</v>
      </c>
      <c r="G17" s="199"/>
      <c r="H17" s="294">
        <f t="shared" si="13"/>
        <v>9298</v>
      </c>
      <c r="I17" s="293" t="str">
        <f t="shared" si="1"/>
        <v>ok</v>
      </c>
      <c r="J17" s="567">
        <f t="shared" si="22"/>
        <v>10698</v>
      </c>
      <c r="K17" s="293">
        <f t="shared" si="2"/>
        <v>0</v>
      </c>
      <c r="L17" s="567">
        <f t="shared" si="23"/>
        <v>238500</v>
      </c>
      <c r="M17" s="293">
        <f t="shared" si="3"/>
        <v>0</v>
      </c>
      <c r="N17" s="293">
        <f t="shared" si="14"/>
        <v>0</v>
      </c>
      <c r="O17" s="199"/>
      <c r="P17" s="294">
        <f t="shared" si="15"/>
        <v>10873</v>
      </c>
      <c r="Q17" s="293" t="str">
        <f t="shared" si="4"/>
        <v>ok</v>
      </c>
      <c r="R17" s="567">
        <v>11687</v>
      </c>
      <c r="S17" s="293">
        <f t="shared" si="5"/>
        <v>5</v>
      </c>
      <c r="T17" s="567">
        <v>353470</v>
      </c>
      <c r="U17" s="293">
        <f t="shared" si="6"/>
        <v>1120</v>
      </c>
      <c r="V17" s="293">
        <f t="shared" si="16"/>
        <v>224</v>
      </c>
      <c r="W17" s="199"/>
      <c r="X17" s="294">
        <f t="shared" si="17"/>
        <v>12609</v>
      </c>
      <c r="Y17" s="293" t="str">
        <f t="shared" si="7"/>
        <v>ok</v>
      </c>
      <c r="Z17" s="293">
        <f t="shared" si="8"/>
        <v>5</v>
      </c>
      <c r="AA17" s="293">
        <f t="shared" si="18"/>
        <v>1120</v>
      </c>
      <c r="AB17" s="293">
        <f t="shared" si="19"/>
        <v>224</v>
      </c>
      <c r="AC17" s="293">
        <f t="shared" si="20"/>
        <v>224</v>
      </c>
      <c r="AD17" s="73">
        <f>ELEC!Q17</f>
        <v>3000</v>
      </c>
      <c r="AE17" s="73">
        <f t="shared" si="25"/>
        <v>600</v>
      </c>
      <c r="AF17" s="411">
        <f t="shared" si="26"/>
        <v>0.375</v>
      </c>
      <c r="AG17" s="412">
        <f t="shared" si="27"/>
        <v>120</v>
      </c>
      <c r="AH17" s="412">
        <f t="shared" si="21"/>
        <v>104</v>
      </c>
      <c r="AI17" s="73">
        <f t="shared" si="28"/>
        <v>772.15189873417728</v>
      </c>
      <c r="AJ17" s="295">
        <f t="shared" si="9"/>
        <v>0.25738396624472576</v>
      </c>
      <c r="AK17" s="295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6">
        <f t="shared" si="32"/>
        <v>9166</v>
      </c>
      <c r="C18" s="293">
        <f t="shared" si="11"/>
        <v>0</v>
      </c>
      <c r="D18" s="567">
        <f t="shared" si="29"/>
        <v>235549</v>
      </c>
      <c r="E18" s="293">
        <f t="shared" si="12"/>
        <v>0</v>
      </c>
      <c r="F18" s="293">
        <f t="shared" si="0"/>
        <v>0</v>
      </c>
      <c r="G18" s="199"/>
      <c r="H18" s="294">
        <f t="shared" si="13"/>
        <v>9298</v>
      </c>
      <c r="I18" s="293" t="str">
        <f t="shared" si="1"/>
        <v>ok</v>
      </c>
      <c r="J18" s="567">
        <f t="shared" si="22"/>
        <v>10698</v>
      </c>
      <c r="K18" s="293">
        <f t="shared" si="2"/>
        <v>0</v>
      </c>
      <c r="L18" s="567">
        <f t="shared" si="23"/>
        <v>238500</v>
      </c>
      <c r="M18" s="293">
        <f t="shared" si="3"/>
        <v>0</v>
      </c>
      <c r="N18" s="293">
        <f t="shared" si="14"/>
        <v>0</v>
      </c>
      <c r="O18" s="199"/>
      <c r="P18" s="294">
        <f t="shared" si="15"/>
        <v>10873</v>
      </c>
      <c r="Q18" s="293" t="str">
        <f>IF(J18-P14&lt;=0,"ok","oil change")</f>
        <v>ok</v>
      </c>
      <c r="R18" s="608">
        <v>11693</v>
      </c>
      <c r="S18" s="293">
        <f t="shared" si="5"/>
        <v>6</v>
      </c>
      <c r="T18" s="275">
        <v>354748</v>
      </c>
      <c r="U18" s="293">
        <f t="shared" si="6"/>
        <v>1278</v>
      </c>
      <c r="V18" s="293">
        <f t="shared" si="16"/>
        <v>213</v>
      </c>
      <c r="W18" s="344"/>
      <c r="X18" s="294">
        <f t="shared" si="17"/>
        <v>12609</v>
      </c>
      <c r="Y18" s="293" t="str">
        <f t="shared" si="7"/>
        <v>ok</v>
      </c>
      <c r="Z18" s="293">
        <f t="shared" si="8"/>
        <v>6</v>
      </c>
      <c r="AA18" s="293">
        <f t="shared" si="18"/>
        <v>1278</v>
      </c>
      <c r="AB18" s="293">
        <f t="shared" si="19"/>
        <v>213</v>
      </c>
      <c r="AC18" s="293">
        <f t="shared" si="20"/>
        <v>213</v>
      </c>
      <c r="AD18" s="73">
        <f>ELEC!Q18</f>
        <v>3000</v>
      </c>
      <c r="AE18" s="73">
        <f t="shared" si="25"/>
        <v>500</v>
      </c>
      <c r="AF18" s="411">
        <f t="shared" si="26"/>
        <v>0.3125</v>
      </c>
      <c r="AG18" s="412">
        <f t="shared" si="27"/>
        <v>100</v>
      </c>
      <c r="AH18" s="412">
        <f t="shared" si="21"/>
        <v>113</v>
      </c>
      <c r="AI18" s="73">
        <f t="shared" si="28"/>
        <v>772.15189873417728</v>
      </c>
      <c r="AJ18" s="295">
        <f t="shared" si="9"/>
        <v>0.25738396624472576</v>
      </c>
      <c r="AK18" s="295">
        <f t="shared" si="33"/>
        <v>128.69198312236287</v>
      </c>
    </row>
    <row r="19" spans="1:37" ht="15.75" thickBot="1">
      <c r="A19" s="4">
        <f>ELEC!C19</f>
        <v>44091</v>
      </c>
      <c r="B19" s="566">
        <f t="shared" si="32"/>
        <v>9166</v>
      </c>
      <c r="C19" s="293">
        <f t="shared" si="11"/>
        <v>0</v>
      </c>
      <c r="D19" s="567">
        <f t="shared" si="29"/>
        <v>235549</v>
      </c>
      <c r="E19" s="293">
        <f t="shared" si="12"/>
        <v>0</v>
      </c>
      <c r="F19" s="293">
        <f t="shared" si="0"/>
        <v>0</v>
      </c>
      <c r="G19" s="199"/>
      <c r="H19" s="294">
        <f t="shared" si="13"/>
        <v>9298</v>
      </c>
      <c r="I19" s="293" t="str">
        <f t="shared" si="1"/>
        <v>ok</v>
      </c>
      <c r="J19" s="567">
        <f t="shared" si="22"/>
        <v>10698</v>
      </c>
      <c r="K19" s="293">
        <f t="shared" si="2"/>
        <v>0</v>
      </c>
      <c r="L19" s="567">
        <f t="shared" si="23"/>
        <v>238500</v>
      </c>
      <c r="M19" s="293">
        <f t="shared" si="3"/>
        <v>0</v>
      </c>
      <c r="N19" s="293">
        <f t="shared" si="14"/>
        <v>0</v>
      </c>
      <c r="O19" s="199"/>
      <c r="P19" s="294">
        <f t="shared" si="15"/>
        <v>10873</v>
      </c>
      <c r="Q19" s="293" t="str">
        <f t="shared" ref="Q19:Q32" si="34">IF(J19-P19&lt;=0,"ok","oil change")</f>
        <v>ok</v>
      </c>
      <c r="R19" s="608">
        <v>11697</v>
      </c>
      <c r="S19" s="293">
        <f t="shared" si="5"/>
        <v>4</v>
      </c>
      <c r="T19" s="567">
        <v>355432</v>
      </c>
      <c r="U19" s="293">
        <f t="shared" si="6"/>
        <v>684</v>
      </c>
      <c r="V19" s="293">
        <f t="shared" si="16"/>
        <v>171</v>
      </c>
      <c r="W19" s="199"/>
      <c r="X19" s="294">
        <f t="shared" si="17"/>
        <v>12609</v>
      </c>
      <c r="Y19" s="293" t="str">
        <f t="shared" si="7"/>
        <v>ok</v>
      </c>
      <c r="Z19" s="293">
        <f t="shared" si="8"/>
        <v>4</v>
      </c>
      <c r="AA19" s="293">
        <f t="shared" si="18"/>
        <v>684</v>
      </c>
      <c r="AB19" s="293">
        <f t="shared" si="19"/>
        <v>171</v>
      </c>
      <c r="AC19" s="293">
        <f t="shared" si="20"/>
        <v>171</v>
      </c>
      <c r="AD19" s="73">
        <f>ELEC!Q19</f>
        <v>1000</v>
      </c>
      <c r="AE19" s="73">
        <f t="shared" si="25"/>
        <v>250</v>
      </c>
      <c r="AF19" s="411">
        <f t="shared" si="26"/>
        <v>0.15625</v>
      </c>
      <c r="AG19" s="412">
        <f t="shared" si="27"/>
        <v>50</v>
      </c>
      <c r="AH19" s="412">
        <f t="shared" si="21"/>
        <v>121</v>
      </c>
      <c r="AI19" s="73">
        <f t="shared" si="28"/>
        <v>257.38396624472574</v>
      </c>
      <c r="AJ19" s="295">
        <f t="shared" si="9"/>
        <v>0.25738396624472576</v>
      </c>
      <c r="AK19" s="295">
        <f t="shared" si="33"/>
        <v>64.345991561181435</v>
      </c>
    </row>
    <row r="20" spans="1:37" ht="15.75" thickBot="1">
      <c r="A20" s="4">
        <f>ELEC!C20</f>
        <v>44092</v>
      </c>
      <c r="B20" s="566">
        <f t="shared" si="32"/>
        <v>9166</v>
      </c>
      <c r="C20" s="293">
        <f>B20-B19</f>
        <v>0</v>
      </c>
      <c r="D20" s="567">
        <f t="shared" si="29"/>
        <v>235549</v>
      </c>
      <c r="E20" s="293">
        <f t="shared" si="12"/>
        <v>0</v>
      </c>
      <c r="F20" s="293">
        <f t="shared" si="0"/>
        <v>0</v>
      </c>
      <c r="G20" s="199"/>
      <c r="H20" s="294">
        <f t="shared" si="13"/>
        <v>9298</v>
      </c>
      <c r="I20" s="293" t="str">
        <f t="shared" si="1"/>
        <v>ok</v>
      </c>
      <c r="J20" s="567">
        <f t="shared" si="22"/>
        <v>10698</v>
      </c>
      <c r="K20" s="293">
        <f t="shared" si="2"/>
        <v>0</v>
      </c>
      <c r="L20" s="567">
        <f t="shared" si="23"/>
        <v>238500</v>
      </c>
      <c r="M20" s="293">
        <f t="shared" si="3"/>
        <v>0</v>
      </c>
      <c r="N20" s="293">
        <f t="shared" si="14"/>
        <v>0</v>
      </c>
      <c r="O20" s="199"/>
      <c r="P20" s="294">
        <f t="shared" si="15"/>
        <v>10873</v>
      </c>
      <c r="Q20" s="293" t="str">
        <f t="shared" si="34"/>
        <v>ok</v>
      </c>
      <c r="R20" s="567">
        <v>11700</v>
      </c>
      <c r="S20" s="293">
        <f t="shared" si="5"/>
        <v>3</v>
      </c>
      <c r="T20" s="567">
        <v>356228</v>
      </c>
      <c r="U20" s="293">
        <f t="shared" ref="U20:U32" si="35">SUM(T20-T19)</f>
        <v>796</v>
      </c>
      <c r="V20" s="293">
        <f t="shared" si="16"/>
        <v>265.33333333333331</v>
      </c>
      <c r="W20" s="199"/>
      <c r="X20" s="294">
        <f t="shared" si="17"/>
        <v>12609</v>
      </c>
      <c r="Y20" s="293" t="str">
        <f t="shared" si="7"/>
        <v>ok</v>
      </c>
      <c r="Z20" s="293">
        <f t="shared" si="8"/>
        <v>3</v>
      </c>
      <c r="AA20" s="293">
        <f t="shared" si="18"/>
        <v>796</v>
      </c>
      <c r="AB20" s="293">
        <f t="shared" si="19"/>
        <v>265.33333333333331</v>
      </c>
      <c r="AC20" s="293">
        <f t="shared" si="20"/>
        <v>265.33333333333331</v>
      </c>
      <c r="AD20" s="73">
        <f>ELEC!Q20</f>
        <v>2000</v>
      </c>
      <c r="AE20" s="73">
        <f t="shared" si="25"/>
        <v>666.66666666666663</v>
      </c>
      <c r="AF20" s="411">
        <f t="shared" si="26"/>
        <v>0.41666666666666663</v>
      </c>
      <c r="AG20" s="412">
        <f t="shared" si="27"/>
        <v>133.33333333333331</v>
      </c>
      <c r="AH20" s="412">
        <f t="shared" si="21"/>
        <v>132</v>
      </c>
      <c r="AI20" s="73">
        <f>AD20*AJ20</f>
        <v>514.76793248945148</v>
      </c>
      <c r="AJ20" s="295">
        <f t="shared" si="9"/>
        <v>0.25738396624472576</v>
      </c>
      <c r="AK20" s="295">
        <f t="shared" si="33"/>
        <v>171.58931082981715</v>
      </c>
    </row>
    <row r="21" spans="1:37" ht="15.75" thickBot="1">
      <c r="A21" s="4">
        <f>ELEC!C21</f>
        <v>44093</v>
      </c>
      <c r="B21" s="566">
        <f t="shared" si="32"/>
        <v>9166</v>
      </c>
      <c r="C21" s="293">
        <f t="shared" si="11"/>
        <v>0</v>
      </c>
      <c r="D21" s="567">
        <f t="shared" si="29"/>
        <v>235549</v>
      </c>
      <c r="E21" s="293">
        <f t="shared" si="12"/>
        <v>0</v>
      </c>
      <c r="F21" s="293">
        <f t="shared" si="0"/>
        <v>0</v>
      </c>
      <c r="G21" s="199"/>
      <c r="H21" s="294">
        <f t="shared" si="13"/>
        <v>9298</v>
      </c>
      <c r="I21" s="293" t="str">
        <f t="shared" si="1"/>
        <v>ok</v>
      </c>
      <c r="J21" s="567">
        <f t="shared" si="22"/>
        <v>10698</v>
      </c>
      <c r="K21" s="293">
        <f t="shared" si="2"/>
        <v>0</v>
      </c>
      <c r="L21" s="567">
        <f t="shared" si="23"/>
        <v>238500</v>
      </c>
      <c r="M21" s="293">
        <f t="shared" si="3"/>
        <v>0</v>
      </c>
      <c r="N21" s="293">
        <f t="shared" si="14"/>
        <v>0</v>
      </c>
      <c r="O21" s="199"/>
      <c r="P21" s="294">
        <f t="shared" si="15"/>
        <v>10873</v>
      </c>
      <c r="Q21" s="293" t="str">
        <f t="shared" si="34"/>
        <v>ok</v>
      </c>
      <c r="R21" s="608">
        <v>11705</v>
      </c>
      <c r="S21" s="293">
        <f t="shared" si="5"/>
        <v>5</v>
      </c>
      <c r="T21" s="275">
        <v>357658</v>
      </c>
      <c r="U21" s="293">
        <f t="shared" si="35"/>
        <v>1430</v>
      </c>
      <c r="V21" s="293">
        <f t="shared" si="16"/>
        <v>286</v>
      </c>
      <c r="W21" s="199"/>
      <c r="X21" s="294">
        <f t="shared" si="17"/>
        <v>12609</v>
      </c>
      <c r="Y21" s="293" t="str">
        <f>Y20</f>
        <v>ok</v>
      </c>
      <c r="Z21" s="293">
        <f t="shared" si="8"/>
        <v>5</v>
      </c>
      <c r="AA21" s="293">
        <f t="shared" si="18"/>
        <v>1430</v>
      </c>
      <c r="AB21" s="293">
        <f t="shared" si="19"/>
        <v>286</v>
      </c>
      <c r="AC21" s="293">
        <f t="shared" si="20"/>
        <v>286</v>
      </c>
      <c r="AD21" s="73">
        <f>ELEC!Q21</f>
        <v>2000</v>
      </c>
      <c r="AE21" s="73">
        <f t="shared" si="25"/>
        <v>400</v>
      </c>
      <c r="AF21" s="411">
        <f t="shared" si="26"/>
        <v>0.25</v>
      </c>
      <c r="AG21" s="412">
        <f t="shared" si="27"/>
        <v>80</v>
      </c>
      <c r="AH21" s="412">
        <f t="shared" si="21"/>
        <v>206</v>
      </c>
      <c r="AI21" s="73">
        <f t="shared" si="28"/>
        <v>514.76793248945148</v>
      </c>
      <c r="AJ21" s="295">
        <f t="shared" si="9"/>
        <v>0.25738396624472576</v>
      </c>
      <c r="AK21" s="295">
        <f t="shared" si="33"/>
        <v>102.9535864978903</v>
      </c>
    </row>
    <row r="22" spans="1:37" ht="15.75" thickBot="1">
      <c r="A22" s="4">
        <f>ELEC!C22</f>
        <v>44094</v>
      </c>
      <c r="B22" s="566">
        <v>9170</v>
      </c>
      <c r="C22" s="293">
        <f t="shared" si="11"/>
        <v>4</v>
      </c>
      <c r="D22" s="567">
        <v>236426</v>
      </c>
      <c r="E22" s="293">
        <f t="shared" si="12"/>
        <v>877</v>
      </c>
      <c r="F22" s="293">
        <f t="shared" si="0"/>
        <v>219.25</v>
      </c>
      <c r="G22" s="199"/>
      <c r="H22" s="294">
        <f t="shared" si="13"/>
        <v>9298</v>
      </c>
      <c r="I22" s="293" t="str">
        <f t="shared" si="1"/>
        <v>ok</v>
      </c>
      <c r="J22" s="567">
        <f t="shared" si="22"/>
        <v>10698</v>
      </c>
      <c r="K22" s="293">
        <f t="shared" si="2"/>
        <v>0</v>
      </c>
      <c r="L22" s="567">
        <f t="shared" si="23"/>
        <v>238500</v>
      </c>
      <c r="M22" s="293">
        <f t="shared" si="3"/>
        <v>0</v>
      </c>
      <c r="N22" s="293">
        <f t="shared" si="14"/>
        <v>0</v>
      </c>
      <c r="O22" s="199"/>
      <c r="P22" s="294">
        <f t="shared" si="15"/>
        <v>10873</v>
      </c>
      <c r="Q22" s="293" t="str">
        <f t="shared" si="34"/>
        <v>ok</v>
      </c>
      <c r="R22" s="567">
        <f t="shared" si="30"/>
        <v>11705</v>
      </c>
      <c r="S22" s="293">
        <f t="shared" si="5"/>
        <v>0</v>
      </c>
      <c r="T22" s="567">
        <f t="shared" si="24"/>
        <v>357658</v>
      </c>
      <c r="U22" s="293">
        <f t="shared" si="35"/>
        <v>0</v>
      </c>
      <c r="V22" s="293">
        <f t="shared" si="16"/>
        <v>0</v>
      </c>
      <c r="W22" s="199"/>
      <c r="X22" s="294">
        <f t="shared" si="17"/>
        <v>12609</v>
      </c>
      <c r="Y22" s="293" t="str">
        <f t="shared" ref="Y22:Y32" si="36">IF(R22-X22&lt;=0,"ok","oil change")</f>
        <v>ok</v>
      </c>
      <c r="Z22" s="293">
        <f t="shared" si="8"/>
        <v>4</v>
      </c>
      <c r="AA22" s="293">
        <f t="shared" si="18"/>
        <v>877</v>
      </c>
      <c r="AB22" s="293">
        <f t="shared" si="19"/>
        <v>219.25</v>
      </c>
      <c r="AC22" s="293">
        <f t="shared" si="20"/>
        <v>219.25</v>
      </c>
      <c r="AD22" s="73">
        <f>ELEC!Q22</f>
        <v>2495.0000000008004</v>
      </c>
      <c r="AE22" s="73">
        <f t="shared" si="25"/>
        <v>623.75000000020009</v>
      </c>
      <c r="AF22" s="411">
        <f t="shared" si="26"/>
        <v>0.38984375000012506</v>
      </c>
      <c r="AG22" s="412">
        <f t="shared" si="27"/>
        <v>124.75000000004002</v>
      </c>
      <c r="AH22" s="412">
        <f t="shared" si="21"/>
        <v>94.499999999959982</v>
      </c>
      <c r="AI22" s="73">
        <f t="shared" si="28"/>
        <v>642.17299578079678</v>
      </c>
      <c r="AJ22" s="295">
        <f t="shared" si="9"/>
        <v>0.25738396624472576</v>
      </c>
      <c r="AK22" s="295">
        <f t="shared" si="33"/>
        <v>160.5432489451992</v>
      </c>
    </row>
    <row r="23" spans="1:37" ht="15.75" thickBot="1">
      <c r="A23" s="4">
        <f>ELEC!C23</f>
        <v>44095</v>
      </c>
      <c r="B23" s="603">
        <v>9175</v>
      </c>
      <c r="C23" s="293">
        <f t="shared" si="11"/>
        <v>5</v>
      </c>
      <c r="D23" s="275">
        <v>237558</v>
      </c>
      <c r="E23" s="293">
        <f t="shared" si="12"/>
        <v>1132</v>
      </c>
      <c r="F23" s="293">
        <f t="shared" si="0"/>
        <v>226.4</v>
      </c>
      <c r="G23" s="199"/>
      <c r="H23" s="294">
        <f t="shared" si="13"/>
        <v>9298</v>
      </c>
      <c r="I23" s="293" t="str">
        <f t="shared" si="1"/>
        <v>ok</v>
      </c>
      <c r="J23" s="567">
        <f t="shared" si="22"/>
        <v>10698</v>
      </c>
      <c r="K23" s="293">
        <f t="shared" si="2"/>
        <v>0</v>
      </c>
      <c r="L23" s="567">
        <f t="shared" si="23"/>
        <v>238500</v>
      </c>
      <c r="M23" s="293">
        <f t="shared" si="3"/>
        <v>0</v>
      </c>
      <c r="N23" s="293">
        <f t="shared" si="14"/>
        <v>0</v>
      </c>
      <c r="O23" s="199"/>
      <c r="P23" s="294">
        <f t="shared" si="15"/>
        <v>10873</v>
      </c>
      <c r="Q23" s="293" t="str">
        <f t="shared" si="34"/>
        <v>ok</v>
      </c>
      <c r="R23" s="567">
        <f t="shared" si="30"/>
        <v>11705</v>
      </c>
      <c r="S23" s="293">
        <f t="shared" si="5"/>
        <v>0</v>
      </c>
      <c r="T23" s="567">
        <f t="shared" si="24"/>
        <v>357658</v>
      </c>
      <c r="U23" s="293">
        <f t="shared" si="35"/>
        <v>0</v>
      </c>
      <c r="V23" s="293">
        <f t="shared" si="16"/>
        <v>0</v>
      </c>
      <c r="W23" s="199"/>
      <c r="X23" s="294">
        <f t="shared" si="17"/>
        <v>12609</v>
      </c>
      <c r="Y23" s="293" t="str">
        <f t="shared" si="36"/>
        <v>ok</v>
      </c>
      <c r="Z23" s="293">
        <f t="shared" si="8"/>
        <v>5</v>
      </c>
      <c r="AA23" s="293">
        <f t="shared" si="18"/>
        <v>1132</v>
      </c>
      <c r="AB23" s="293">
        <f t="shared" si="19"/>
        <v>226.4</v>
      </c>
      <c r="AC23" s="293">
        <f t="shared" si="20"/>
        <v>226.4</v>
      </c>
      <c r="AD23" s="73">
        <f>ELEC!Q23</f>
        <v>1504.9999999991996</v>
      </c>
      <c r="AE23" s="73">
        <f t="shared" si="25"/>
        <v>300.99999999983993</v>
      </c>
      <c r="AF23" s="411">
        <f t="shared" si="26"/>
        <v>0.18812499999989996</v>
      </c>
      <c r="AG23" s="412">
        <f t="shared" si="27"/>
        <v>60.199999999967986</v>
      </c>
      <c r="AH23" s="412">
        <f t="shared" si="21"/>
        <v>166.20000000003202</v>
      </c>
      <c r="AI23" s="73">
        <f t="shared" si="28"/>
        <v>387.3628691981063</v>
      </c>
      <c r="AJ23" s="295">
        <f t="shared" si="9"/>
        <v>0.25738396624472576</v>
      </c>
      <c r="AK23" s="295">
        <f t="shared" si="33"/>
        <v>77.472573839621262</v>
      </c>
    </row>
    <row r="24" spans="1:37" ht="15.75" thickBot="1">
      <c r="A24" s="4">
        <f>ELEC!C24</f>
        <v>44096</v>
      </c>
      <c r="B24" s="566">
        <v>9182</v>
      </c>
      <c r="C24" s="293">
        <f t="shared" si="11"/>
        <v>7</v>
      </c>
      <c r="D24" s="567">
        <v>239169</v>
      </c>
      <c r="E24" s="293">
        <f t="shared" si="12"/>
        <v>1611</v>
      </c>
      <c r="F24" s="293">
        <f t="shared" si="0"/>
        <v>230.14285714285714</v>
      </c>
      <c r="G24" s="199"/>
      <c r="H24" s="294">
        <f>H23</f>
        <v>9298</v>
      </c>
      <c r="I24" s="293" t="str">
        <f t="shared" si="1"/>
        <v>ok</v>
      </c>
      <c r="J24" s="567">
        <f t="shared" si="22"/>
        <v>10698</v>
      </c>
      <c r="K24" s="293">
        <f t="shared" si="2"/>
        <v>0</v>
      </c>
      <c r="L24" s="567">
        <f t="shared" si="23"/>
        <v>238500</v>
      </c>
      <c r="M24" s="293">
        <f t="shared" si="3"/>
        <v>0</v>
      </c>
      <c r="N24" s="293">
        <f t="shared" si="14"/>
        <v>0</v>
      </c>
      <c r="O24" s="199"/>
      <c r="P24" s="294">
        <f>P23</f>
        <v>10873</v>
      </c>
      <c r="Q24" s="293" t="str">
        <f t="shared" si="34"/>
        <v>ok</v>
      </c>
      <c r="R24" s="567">
        <f t="shared" si="30"/>
        <v>11705</v>
      </c>
      <c r="S24" s="293">
        <f t="shared" si="5"/>
        <v>0</v>
      </c>
      <c r="T24" s="567">
        <f t="shared" si="24"/>
        <v>357658</v>
      </c>
      <c r="U24" s="293">
        <f t="shared" si="35"/>
        <v>0</v>
      </c>
      <c r="V24" s="293">
        <f t="shared" si="16"/>
        <v>0</v>
      </c>
      <c r="W24" s="199"/>
      <c r="X24" s="294">
        <f t="shared" si="17"/>
        <v>12609</v>
      </c>
      <c r="Y24" s="293" t="str">
        <f t="shared" si="36"/>
        <v>ok</v>
      </c>
      <c r="Z24" s="293">
        <f t="shared" si="8"/>
        <v>7</v>
      </c>
      <c r="AA24" s="293">
        <f t="shared" si="18"/>
        <v>1611</v>
      </c>
      <c r="AB24" s="293">
        <f t="shared" si="19"/>
        <v>230.14285714285714</v>
      </c>
      <c r="AC24" s="293">
        <f t="shared" si="20"/>
        <v>230.14285714285714</v>
      </c>
      <c r="AD24" s="73">
        <f>ELEC!Q24</f>
        <v>4000</v>
      </c>
      <c r="AE24" s="73">
        <f t="shared" si="25"/>
        <v>571.42857142857144</v>
      </c>
      <c r="AF24" s="411">
        <f t="shared" si="26"/>
        <v>0.35714285714285715</v>
      </c>
      <c r="AG24" s="412">
        <f t="shared" si="27"/>
        <v>114.28571428571429</v>
      </c>
      <c r="AH24" s="412">
        <f t="shared" si="21"/>
        <v>115.85714285714285</v>
      </c>
      <c r="AI24" s="73">
        <f t="shared" si="28"/>
        <v>1029.535864978903</v>
      </c>
      <c r="AJ24" s="295">
        <f t="shared" si="9"/>
        <v>0.25738396624472576</v>
      </c>
      <c r="AK24" s="295">
        <f t="shared" si="33"/>
        <v>147.07655213984327</v>
      </c>
    </row>
    <row r="25" spans="1:37" ht="15.75" thickBot="1">
      <c r="A25" s="4">
        <f>ELEC!C25</f>
        <v>44097</v>
      </c>
      <c r="B25" s="566">
        <v>9185</v>
      </c>
      <c r="C25" s="293">
        <f t="shared" si="11"/>
        <v>3</v>
      </c>
      <c r="D25" s="567">
        <v>239872</v>
      </c>
      <c r="E25" s="293">
        <f t="shared" si="12"/>
        <v>703</v>
      </c>
      <c r="F25" s="293">
        <f t="shared" si="0"/>
        <v>234.33333333333334</v>
      </c>
      <c r="G25" s="199"/>
      <c r="H25" s="294">
        <f t="shared" ref="H25:H33" si="37">H24</f>
        <v>9298</v>
      </c>
      <c r="I25" s="293" t="str">
        <f t="shared" si="1"/>
        <v>ok</v>
      </c>
      <c r="J25" s="567">
        <f t="shared" si="22"/>
        <v>10698</v>
      </c>
      <c r="K25" s="293">
        <f t="shared" si="2"/>
        <v>0</v>
      </c>
      <c r="L25" s="567">
        <f t="shared" si="23"/>
        <v>238500</v>
      </c>
      <c r="M25" s="293">
        <f t="shared" si="3"/>
        <v>0</v>
      </c>
      <c r="N25" s="293">
        <f t="shared" si="14"/>
        <v>0</v>
      </c>
      <c r="O25" s="199"/>
      <c r="P25" s="294">
        <f t="shared" si="15"/>
        <v>10873</v>
      </c>
      <c r="Q25" s="293" t="str">
        <f t="shared" si="34"/>
        <v>ok</v>
      </c>
      <c r="R25" s="567">
        <f t="shared" si="30"/>
        <v>11705</v>
      </c>
      <c r="S25" s="293">
        <f t="shared" si="5"/>
        <v>0</v>
      </c>
      <c r="T25" s="567">
        <f t="shared" si="24"/>
        <v>357658</v>
      </c>
      <c r="U25" s="293">
        <f t="shared" si="35"/>
        <v>0</v>
      </c>
      <c r="V25" s="293">
        <f t="shared" si="16"/>
        <v>0</v>
      </c>
      <c r="W25" s="199"/>
      <c r="X25" s="294">
        <f t="shared" si="17"/>
        <v>12609</v>
      </c>
      <c r="Y25" s="293" t="str">
        <f t="shared" si="36"/>
        <v>ok</v>
      </c>
      <c r="Z25" s="293">
        <f t="shared" si="8"/>
        <v>3</v>
      </c>
      <c r="AA25" s="293">
        <f t="shared" si="18"/>
        <v>703</v>
      </c>
      <c r="AB25" s="293">
        <f t="shared" si="19"/>
        <v>234.33333333333334</v>
      </c>
      <c r="AC25" s="293">
        <f t="shared" si="20"/>
        <v>234.33333333333334</v>
      </c>
      <c r="AD25" s="73">
        <f>ELEC!Q25</f>
        <v>2000</v>
      </c>
      <c r="AE25" s="73">
        <f t="shared" si="25"/>
        <v>666.66666666666663</v>
      </c>
      <c r="AF25" s="411">
        <f t="shared" si="26"/>
        <v>0.41666666666666663</v>
      </c>
      <c r="AG25" s="412">
        <f t="shared" si="27"/>
        <v>133.33333333333331</v>
      </c>
      <c r="AH25" s="412">
        <f t="shared" si="21"/>
        <v>101.00000000000003</v>
      </c>
      <c r="AI25" s="73">
        <f t="shared" si="28"/>
        <v>514.76793248945148</v>
      </c>
      <c r="AJ25" s="295">
        <f t="shared" si="9"/>
        <v>0.25738396624472576</v>
      </c>
      <c r="AK25" s="295">
        <f t="shared" si="33"/>
        <v>171.58931082981715</v>
      </c>
    </row>
    <row r="26" spans="1:37" ht="15.75" thickBot="1">
      <c r="A26" s="4">
        <f>ELEC!C26</f>
        <v>44098</v>
      </c>
      <c r="B26" s="566">
        <v>9188</v>
      </c>
      <c r="C26" s="293">
        <f t="shared" si="11"/>
        <v>3</v>
      </c>
      <c r="D26" s="567">
        <v>240538</v>
      </c>
      <c r="E26" s="293">
        <f t="shared" si="12"/>
        <v>666</v>
      </c>
      <c r="F26" s="293">
        <f t="shared" si="0"/>
        <v>222</v>
      </c>
      <c r="G26" s="199"/>
      <c r="H26" s="294">
        <f t="shared" si="37"/>
        <v>9298</v>
      </c>
      <c r="I26" s="293" t="str">
        <f t="shared" si="1"/>
        <v>ok</v>
      </c>
      <c r="J26" s="567">
        <v>10698</v>
      </c>
      <c r="K26" s="293">
        <f t="shared" si="2"/>
        <v>0</v>
      </c>
      <c r="L26" s="567">
        <f t="shared" si="23"/>
        <v>238500</v>
      </c>
      <c r="M26" s="293">
        <f t="shared" si="3"/>
        <v>0</v>
      </c>
      <c r="N26" s="293">
        <f t="shared" si="14"/>
        <v>0</v>
      </c>
      <c r="O26" s="199"/>
      <c r="P26" s="294">
        <f t="shared" si="15"/>
        <v>10873</v>
      </c>
      <c r="Q26" s="293" t="str">
        <f t="shared" si="34"/>
        <v>ok</v>
      </c>
      <c r="R26" s="567">
        <f t="shared" si="30"/>
        <v>11705</v>
      </c>
      <c r="S26" s="293">
        <f t="shared" si="5"/>
        <v>0</v>
      </c>
      <c r="T26" s="567">
        <f t="shared" si="24"/>
        <v>357658</v>
      </c>
      <c r="U26" s="293">
        <f t="shared" si="35"/>
        <v>0</v>
      </c>
      <c r="V26" s="293">
        <f t="shared" si="16"/>
        <v>0</v>
      </c>
      <c r="W26" s="199"/>
      <c r="X26" s="294">
        <f t="shared" si="17"/>
        <v>12609</v>
      </c>
      <c r="Y26" s="293" t="str">
        <f t="shared" si="36"/>
        <v>ok</v>
      </c>
      <c r="Z26" s="293">
        <f t="shared" si="8"/>
        <v>3</v>
      </c>
      <c r="AA26" s="293">
        <f t="shared" si="18"/>
        <v>666</v>
      </c>
      <c r="AB26" s="293">
        <f t="shared" si="19"/>
        <v>222</v>
      </c>
      <c r="AC26" s="293">
        <f t="shared" si="20"/>
        <v>222</v>
      </c>
      <c r="AD26" s="73">
        <f>ELEC!Q26</f>
        <v>2000</v>
      </c>
      <c r="AE26" s="73">
        <f t="shared" si="25"/>
        <v>666.66666666666663</v>
      </c>
      <c r="AF26" s="411">
        <f t="shared" si="26"/>
        <v>0.41666666666666663</v>
      </c>
      <c r="AG26" s="412">
        <f t="shared" si="27"/>
        <v>133.33333333333331</v>
      </c>
      <c r="AH26" s="412">
        <f t="shared" si="21"/>
        <v>88.666666666666686</v>
      </c>
      <c r="AI26" s="73">
        <f t="shared" si="28"/>
        <v>514.76793248945148</v>
      </c>
      <c r="AJ26" s="295">
        <f t="shared" si="9"/>
        <v>0.25738396624472576</v>
      </c>
      <c r="AK26" s="295">
        <f t="shared" si="33"/>
        <v>171.58931082981715</v>
      </c>
    </row>
    <row r="27" spans="1:37" ht="15.75" thickBot="1">
      <c r="A27" s="4">
        <f>ELEC!C27</f>
        <v>44099</v>
      </c>
      <c r="B27" s="566">
        <v>9191</v>
      </c>
      <c r="C27" s="293">
        <f t="shared" si="11"/>
        <v>3</v>
      </c>
      <c r="D27" s="567">
        <v>241366</v>
      </c>
      <c r="E27" s="293">
        <f t="shared" si="12"/>
        <v>828</v>
      </c>
      <c r="F27" s="293">
        <f t="shared" si="0"/>
        <v>276</v>
      </c>
      <c r="G27" s="199"/>
      <c r="H27" s="294">
        <f t="shared" si="37"/>
        <v>9298</v>
      </c>
      <c r="I27" s="293" t="str">
        <f>IF(B27-H27&lt;=0,"ok","oil change")</f>
        <v>ok</v>
      </c>
      <c r="J27" s="567">
        <f t="shared" si="22"/>
        <v>10698</v>
      </c>
      <c r="K27" s="293">
        <f t="shared" si="2"/>
        <v>0</v>
      </c>
      <c r="L27" s="567">
        <f t="shared" si="23"/>
        <v>238500</v>
      </c>
      <c r="M27" s="293">
        <f t="shared" si="3"/>
        <v>0</v>
      </c>
      <c r="N27" s="293">
        <f t="shared" si="14"/>
        <v>0</v>
      </c>
      <c r="O27" s="199"/>
      <c r="P27" s="294">
        <f t="shared" si="15"/>
        <v>10873</v>
      </c>
      <c r="Q27" s="293" t="str">
        <f t="shared" si="34"/>
        <v>ok</v>
      </c>
      <c r="R27" s="567">
        <f t="shared" si="30"/>
        <v>11705</v>
      </c>
      <c r="S27" s="293">
        <f t="shared" si="5"/>
        <v>0</v>
      </c>
      <c r="T27" s="567">
        <f t="shared" si="24"/>
        <v>357658</v>
      </c>
      <c r="U27" s="293">
        <f t="shared" si="35"/>
        <v>0</v>
      </c>
      <c r="V27" s="293">
        <f t="shared" si="16"/>
        <v>0</v>
      </c>
      <c r="W27" s="199"/>
      <c r="X27" s="294">
        <f t="shared" si="17"/>
        <v>12609</v>
      </c>
      <c r="Y27" s="293" t="str">
        <f t="shared" si="36"/>
        <v>ok</v>
      </c>
      <c r="Z27" s="293">
        <f t="shared" si="8"/>
        <v>3</v>
      </c>
      <c r="AA27" s="293">
        <f t="shared" si="18"/>
        <v>828</v>
      </c>
      <c r="AB27" s="293">
        <f t="shared" si="19"/>
        <v>276</v>
      </c>
      <c r="AC27" s="293">
        <f t="shared" si="20"/>
        <v>276</v>
      </c>
      <c r="AD27" s="73">
        <f>ELEC!Q27</f>
        <v>1000</v>
      </c>
      <c r="AE27" s="73">
        <f t="shared" si="25"/>
        <v>333.33333333333331</v>
      </c>
      <c r="AF27" s="411">
        <f t="shared" si="26"/>
        <v>0.20833333333333331</v>
      </c>
      <c r="AG27" s="412">
        <f t="shared" si="27"/>
        <v>66.666666666666657</v>
      </c>
      <c r="AH27" s="412">
        <f t="shared" si="21"/>
        <v>209.33333333333334</v>
      </c>
      <c r="AI27" s="73">
        <f t="shared" si="28"/>
        <v>257.38396624472574</v>
      </c>
      <c r="AJ27" s="295">
        <f t="shared" si="9"/>
        <v>0.25738396624472576</v>
      </c>
      <c r="AK27" s="295">
        <f t="shared" si="33"/>
        <v>85.794655414908576</v>
      </c>
    </row>
    <row r="28" spans="1:37" ht="15.75" thickBot="1">
      <c r="A28" s="4">
        <f>ELEC!C28</f>
        <v>44100</v>
      </c>
      <c r="B28" s="566">
        <v>9195</v>
      </c>
      <c r="C28" s="293">
        <f t="shared" si="11"/>
        <v>4</v>
      </c>
      <c r="D28" s="567">
        <v>242160</v>
      </c>
      <c r="E28" s="293">
        <f t="shared" si="12"/>
        <v>794</v>
      </c>
      <c r="F28" s="293">
        <f t="shared" si="0"/>
        <v>198.5</v>
      </c>
      <c r="G28" s="291"/>
      <c r="H28" s="294">
        <f t="shared" si="37"/>
        <v>9298</v>
      </c>
      <c r="I28" s="293" t="str">
        <f t="shared" si="1"/>
        <v>ok</v>
      </c>
      <c r="J28" s="567">
        <f t="shared" si="22"/>
        <v>10698</v>
      </c>
      <c r="K28" s="293">
        <f t="shared" si="2"/>
        <v>0</v>
      </c>
      <c r="L28" s="567">
        <f t="shared" si="23"/>
        <v>238500</v>
      </c>
      <c r="M28" s="293">
        <f t="shared" si="3"/>
        <v>0</v>
      </c>
      <c r="N28" s="293">
        <f t="shared" si="14"/>
        <v>0</v>
      </c>
      <c r="O28" s="199"/>
      <c r="P28" s="294">
        <f t="shared" si="15"/>
        <v>10873</v>
      </c>
      <c r="Q28" s="293" t="str">
        <f t="shared" si="34"/>
        <v>ok</v>
      </c>
      <c r="R28" s="567">
        <f t="shared" si="30"/>
        <v>11705</v>
      </c>
      <c r="S28" s="293">
        <f t="shared" si="5"/>
        <v>0</v>
      </c>
      <c r="T28" s="567">
        <f t="shared" si="24"/>
        <v>357658</v>
      </c>
      <c r="U28" s="293">
        <f t="shared" si="35"/>
        <v>0</v>
      </c>
      <c r="V28" s="293">
        <f t="shared" si="16"/>
        <v>0</v>
      </c>
      <c r="W28" s="199"/>
      <c r="X28" s="294">
        <f t="shared" si="17"/>
        <v>12609</v>
      </c>
      <c r="Y28" s="293" t="str">
        <f t="shared" si="36"/>
        <v>ok</v>
      </c>
      <c r="Z28" s="293">
        <f t="shared" si="8"/>
        <v>4</v>
      </c>
      <c r="AA28" s="293">
        <f t="shared" si="18"/>
        <v>794</v>
      </c>
      <c r="AB28" s="293">
        <f t="shared" si="19"/>
        <v>198.5</v>
      </c>
      <c r="AC28" s="293">
        <f t="shared" si="20"/>
        <v>198.5</v>
      </c>
      <c r="AD28" s="73">
        <f>ELEC!Q28</f>
        <v>2000</v>
      </c>
      <c r="AE28" s="73">
        <f t="shared" si="25"/>
        <v>500</v>
      </c>
      <c r="AF28" s="411">
        <f t="shared" si="26"/>
        <v>0.3125</v>
      </c>
      <c r="AG28" s="412">
        <f t="shared" si="27"/>
        <v>100</v>
      </c>
      <c r="AH28" s="412">
        <f t="shared" si="21"/>
        <v>98.5</v>
      </c>
      <c r="AI28" s="73">
        <f t="shared" si="28"/>
        <v>514.76793248945148</v>
      </c>
      <c r="AJ28" s="295">
        <f t="shared" si="9"/>
        <v>0.25738396624472576</v>
      </c>
      <c r="AK28" s="295">
        <f t="shared" si="33"/>
        <v>128.69198312236287</v>
      </c>
    </row>
    <row r="29" spans="1:37" ht="15.75" thickBot="1">
      <c r="A29" s="4">
        <f>ELEC!C29</f>
        <v>44101</v>
      </c>
      <c r="B29" s="566">
        <v>9196</v>
      </c>
      <c r="C29" s="293">
        <f t="shared" si="11"/>
        <v>1</v>
      </c>
      <c r="D29" s="567">
        <v>242497</v>
      </c>
      <c r="E29" s="293">
        <f>SUM(D29-D28)</f>
        <v>337</v>
      </c>
      <c r="F29" s="293">
        <f t="shared" si="0"/>
        <v>337</v>
      </c>
      <c r="G29" s="199"/>
      <c r="H29" s="294">
        <f t="shared" si="37"/>
        <v>9298</v>
      </c>
      <c r="I29" s="293" t="str">
        <f t="shared" si="1"/>
        <v>ok</v>
      </c>
      <c r="J29" s="567">
        <v>10698</v>
      </c>
      <c r="K29" s="293">
        <f t="shared" si="2"/>
        <v>0</v>
      </c>
      <c r="L29" s="567">
        <f t="shared" si="23"/>
        <v>238500</v>
      </c>
      <c r="M29" s="293">
        <f t="shared" si="3"/>
        <v>0</v>
      </c>
      <c r="N29" s="293">
        <f t="shared" si="14"/>
        <v>0</v>
      </c>
      <c r="O29" s="199"/>
      <c r="P29" s="294">
        <f t="shared" si="15"/>
        <v>10873</v>
      </c>
      <c r="Q29" s="293" t="str">
        <f t="shared" si="34"/>
        <v>ok</v>
      </c>
      <c r="R29" s="567">
        <v>11705</v>
      </c>
      <c r="S29" s="293">
        <f t="shared" si="5"/>
        <v>0</v>
      </c>
      <c r="T29" s="567">
        <f t="shared" si="24"/>
        <v>357658</v>
      </c>
      <c r="U29" s="293">
        <f t="shared" si="35"/>
        <v>0</v>
      </c>
      <c r="V29" s="293">
        <f t="shared" si="16"/>
        <v>0</v>
      </c>
      <c r="W29" s="199"/>
      <c r="X29" s="294">
        <f t="shared" si="17"/>
        <v>12609</v>
      </c>
      <c r="Y29" s="293" t="str">
        <f t="shared" si="36"/>
        <v>ok</v>
      </c>
      <c r="Z29" s="293">
        <f t="shared" si="8"/>
        <v>1</v>
      </c>
      <c r="AA29" s="293">
        <f t="shared" si="18"/>
        <v>337</v>
      </c>
      <c r="AB29" s="293">
        <f t="shared" si="19"/>
        <v>337</v>
      </c>
      <c r="AC29" s="293">
        <f t="shared" si="20"/>
        <v>337</v>
      </c>
      <c r="AD29" s="73">
        <f>ELEC!Q29</f>
        <v>899.9999999996362</v>
      </c>
      <c r="AE29" s="73">
        <f t="shared" si="25"/>
        <v>899.9999999996362</v>
      </c>
      <c r="AF29" s="411">
        <f t="shared" si="26"/>
        <v>0.56249999999977263</v>
      </c>
      <c r="AG29" s="412">
        <f t="shared" si="27"/>
        <v>179.99999999992724</v>
      </c>
      <c r="AH29" s="412">
        <f t="shared" si="21"/>
        <v>157.00000000007276</v>
      </c>
      <c r="AI29" s="73">
        <f t="shared" si="28"/>
        <v>231.64556962015953</v>
      </c>
      <c r="AJ29" s="295">
        <f t="shared" si="9"/>
        <v>0.25738396624472576</v>
      </c>
      <c r="AK29" s="295">
        <f t="shared" si="33"/>
        <v>231.64556962015953</v>
      </c>
    </row>
    <row r="30" spans="1:37" ht="15.75" thickBot="1">
      <c r="A30" s="4">
        <f>ELEC!C30</f>
        <v>44102</v>
      </c>
      <c r="B30" s="566">
        <v>9199</v>
      </c>
      <c r="C30" s="293">
        <f t="shared" si="11"/>
        <v>3</v>
      </c>
      <c r="D30" s="567">
        <v>242977</v>
      </c>
      <c r="E30" s="293">
        <f t="shared" si="12"/>
        <v>480</v>
      </c>
      <c r="F30" s="293">
        <f t="shared" si="0"/>
        <v>160</v>
      </c>
      <c r="G30" s="199"/>
      <c r="H30" s="294">
        <f t="shared" si="37"/>
        <v>9298</v>
      </c>
      <c r="I30" s="293" t="str">
        <f t="shared" si="1"/>
        <v>ok</v>
      </c>
      <c r="J30" s="567">
        <f t="shared" si="22"/>
        <v>10698</v>
      </c>
      <c r="K30" s="293">
        <f t="shared" si="2"/>
        <v>0</v>
      </c>
      <c r="L30" s="567">
        <f t="shared" si="23"/>
        <v>238500</v>
      </c>
      <c r="M30" s="293">
        <f t="shared" si="3"/>
        <v>0</v>
      </c>
      <c r="N30" s="293">
        <f t="shared" si="14"/>
        <v>0</v>
      </c>
      <c r="O30" s="199"/>
      <c r="P30" s="294">
        <f t="shared" si="15"/>
        <v>10873</v>
      </c>
      <c r="Q30" s="293" t="str">
        <f t="shared" si="34"/>
        <v>ok</v>
      </c>
      <c r="R30" s="567">
        <f t="shared" si="30"/>
        <v>11705</v>
      </c>
      <c r="S30" s="293">
        <f t="shared" si="5"/>
        <v>0</v>
      </c>
      <c r="T30" s="567">
        <f t="shared" si="24"/>
        <v>357658</v>
      </c>
      <c r="U30" s="293">
        <f t="shared" si="35"/>
        <v>0</v>
      </c>
      <c r="V30" s="293">
        <f t="shared" si="16"/>
        <v>0</v>
      </c>
      <c r="W30" s="291"/>
      <c r="X30" s="294">
        <f t="shared" si="17"/>
        <v>12609</v>
      </c>
      <c r="Y30" s="293" t="str">
        <f t="shared" si="36"/>
        <v>ok</v>
      </c>
      <c r="Z30" s="293">
        <f t="shared" si="8"/>
        <v>3</v>
      </c>
      <c r="AA30" s="293">
        <f t="shared" si="18"/>
        <v>480</v>
      </c>
      <c r="AB30" s="293">
        <f t="shared" si="19"/>
        <v>160</v>
      </c>
      <c r="AC30" s="293">
        <f t="shared" si="20"/>
        <v>160</v>
      </c>
      <c r="AD30" s="73">
        <f>ELEC!Q30</f>
        <v>1100.0000000003638</v>
      </c>
      <c r="AE30" s="73">
        <f t="shared" si="25"/>
        <v>366.66666666678793</v>
      </c>
      <c r="AF30" s="411">
        <f t="shared" si="26"/>
        <v>0.22916666666674246</v>
      </c>
      <c r="AG30" s="412">
        <f t="shared" si="27"/>
        <v>73.333333333357587</v>
      </c>
      <c r="AH30" s="412">
        <f t="shared" si="21"/>
        <v>86.666666666642413</v>
      </c>
      <c r="AI30" s="73">
        <f t="shared" si="28"/>
        <v>283.12236286929198</v>
      </c>
      <c r="AJ30" s="295">
        <f t="shared" si="9"/>
        <v>0.25738396624472576</v>
      </c>
      <c r="AK30" s="295">
        <f t="shared" si="33"/>
        <v>94.374120956430659</v>
      </c>
    </row>
    <row r="31" spans="1:37" ht="15.75" thickBot="1">
      <c r="A31" s="4">
        <f>ELEC!C31</f>
        <v>44103</v>
      </c>
      <c r="B31" s="566">
        <v>9202</v>
      </c>
      <c r="C31" s="293">
        <f t="shared" si="11"/>
        <v>3</v>
      </c>
      <c r="D31" s="567">
        <v>243559</v>
      </c>
      <c r="E31" s="293">
        <f t="shared" si="12"/>
        <v>582</v>
      </c>
      <c r="F31" s="293">
        <f t="shared" si="0"/>
        <v>194</v>
      </c>
      <c r="G31" s="199"/>
      <c r="H31" s="294">
        <f t="shared" si="37"/>
        <v>9298</v>
      </c>
      <c r="I31" s="293" t="str">
        <f t="shared" si="1"/>
        <v>ok</v>
      </c>
      <c r="J31" s="567">
        <f t="shared" si="22"/>
        <v>10698</v>
      </c>
      <c r="K31" s="293">
        <f t="shared" si="2"/>
        <v>0</v>
      </c>
      <c r="L31" s="567">
        <f t="shared" si="23"/>
        <v>238500</v>
      </c>
      <c r="M31" s="293">
        <f t="shared" si="3"/>
        <v>0</v>
      </c>
      <c r="N31" s="293">
        <f t="shared" si="14"/>
        <v>0</v>
      </c>
      <c r="O31" s="199"/>
      <c r="P31" s="294">
        <f t="shared" si="15"/>
        <v>10873</v>
      </c>
      <c r="Q31" s="293" t="str">
        <f t="shared" si="34"/>
        <v>ok</v>
      </c>
      <c r="R31" s="567">
        <f t="shared" si="30"/>
        <v>11705</v>
      </c>
      <c r="S31" s="293">
        <f t="shared" si="5"/>
        <v>0</v>
      </c>
      <c r="T31" s="567">
        <f t="shared" si="24"/>
        <v>357658</v>
      </c>
      <c r="U31" s="293">
        <f t="shared" si="35"/>
        <v>0</v>
      </c>
      <c r="V31" s="293">
        <f t="shared" si="16"/>
        <v>0</v>
      </c>
      <c r="W31" s="199"/>
      <c r="X31" s="294">
        <f t="shared" si="17"/>
        <v>12609</v>
      </c>
      <c r="Y31" s="293" t="str">
        <f t="shared" si="36"/>
        <v>ok</v>
      </c>
      <c r="Z31" s="293">
        <f t="shared" si="8"/>
        <v>3</v>
      </c>
      <c r="AA31" s="293">
        <f t="shared" si="18"/>
        <v>582</v>
      </c>
      <c r="AB31" s="293">
        <f t="shared" si="19"/>
        <v>194</v>
      </c>
      <c r="AC31" s="293">
        <f t="shared" si="20"/>
        <v>194</v>
      </c>
      <c r="AD31" s="73">
        <f>ELEC!Q31</f>
        <v>2000</v>
      </c>
      <c r="AE31" s="73">
        <f t="shared" si="25"/>
        <v>666.66666666666663</v>
      </c>
      <c r="AF31" s="411">
        <f t="shared" si="26"/>
        <v>0.41666666666666663</v>
      </c>
      <c r="AG31" s="412">
        <f t="shared" si="27"/>
        <v>133.33333333333331</v>
      </c>
      <c r="AH31" s="412">
        <f t="shared" si="21"/>
        <v>60.666666666666686</v>
      </c>
      <c r="AI31" s="73">
        <f t="shared" si="28"/>
        <v>514.76793248945148</v>
      </c>
      <c r="AJ31" s="295">
        <f t="shared" si="9"/>
        <v>0.25738396624472576</v>
      </c>
      <c r="AK31" s="295">
        <f t="shared" si="33"/>
        <v>171.58931082981715</v>
      </c>
    </row>
    <row r="32" spans="1:37" ht="15.75" thickBot="1">
      <c r="A32" s="4">
        <f>ELEC!C32</f>
        <v>44104</v>
      </c>
      <c r="B32" s="566">
        <v>9208</v>
      </c>
      <c r="C32" s="293">
        <f t="shared" si="11"/>
        <v>6</v>
      </c>
      <c r="D32" s="567">
        <v>244563</v>
      </c>
      <c r="E32" s="293">
        <f t="shared" si="12"/>
        <v>1004</v>
      </c>
      <c r="F32" s="293">
        <f t="shared" si="0"/>
        <v>167.33333333333334</v>
      </c>
      <c r="G32" s="199"/>
      <c r="H32" s="294">
        <f t="shared" si="37"/>
        <v>9298</v>
      </c>
      <c r="I32" s="293" t="str">
        <f t="shared" si="1"/>
        <v>ok</v>
      </c>
      <c r="J32" s="567">
        <f t="shared" si="22"/>
        <v>10698</v>
      </c>
      <c r="K32" s="293">
        <f>J32-J31</f>
        <v>0</v>
      </c>
      <c r="L32" s="567">
        <f t="shared" si="23"/>
        <v>238500</v>
      </c>
      <c r="M32" s="293">
        <f t="shared" si="3"/>
        <v>0</v>
      </c>
      <c r="N32" s="293">
        <f t="shared" si="14"/>
        <v>0</v>
      </c>
      <c r="O32" s="199"/>
      <c r="P32" s="294">
        <f t="shared" si="15"/>
        <v>10873</v>
      </c>
      <c r="Q32" s="293" t="str">
        <f t="shared" si="34"/>
        <v>ok</v>
      </c>
      <c r="R32" s="567">
        <f t="shared" si="30"/>
        <v>11705</v>
      </c>
      <c r="S32" s="293">
        <f t="shared" si="5"/>
        <v>0</v>
      </c>
      <c r="T32" s="567">
        <f t="shared" si="24"/>
        <v>357658</v>
      </c>
      <c r="U32" s="293">
        <f t="shared" si="35"/>
        <v>0</v>
      </c>
      <c r="V32" s="293">
        <f t="shared" si="16"/>
        <v>0</v>
      </c>
      <c r="W32" s="199"/>
      <c r="X32" s="294">
        <f t="shared" si="17"/>
        <v>12609</v>
      </c>
      <c r="Y32" s="293" t="str">
        <f t="shared" si="36"/>
        <v>ok</v>
      </c>
      <c r="Z32" s="293">
        <f t="shared" si="8"/>
        <v>6</v>
      </c>
      <c r="AA32" s="293">
        <f t="shared" si="18"/>
        <v>1004</v>
      </c>
      <c r="AB32" s="293">
        <f t="shared" si="19"/>
        <v>167.33333333333334</v>
      </c>
      <c r="AC32" s="293">
        <f t="shared" si="20"/>
        <v>167.33333333333334</v>
      </c>
      <c r="AD32" s="73">
        <f>ELEC!Q32</f>
        <v>4000</v>
      </c>
      <c r="AE32" s="73">
        <f t="shared" si="25"/>
        <v>666.66666666666663</v>
      </c>
      <c r="AF32" s="411">
        <f t="shared" si="26"/>
        <v>0.41666666666666663</v>
      </c>
      <c r="AG32" s="412">
        <f t="shared" si="27"/>
        <v>133.33333333333331</v>
      </c>
      <c r="AH32" s="412">
        <f t="shared" si="21"/>
        <v>34.000000000000028</v>
      </c>
      <c r="AI32" s="73">
        <f t="shared" si="28"/>
        <v>1029.535864978903</v>
      </c>
      <c r="AJ32" s="295">
        <f t="shared" si="9"/>
        <v>0.25738396624472576</v>
      </c>
      <c r="AK32" s="295">
        <f t="shared" si="33"/>
        <v>171.58931082981715</v>
      </c>
    </row>
    <row r="33" spans="1:37">
      <c r="A33" s="4" t="e">
        <f>ELEC!#REF!</f>
        <v>#REF!</v>
      </c>
      <c r="B33" s="566">
        <f t="shared" si="32"/>
        <v>9208</v>
      </c>
      <c r="C33" s="293">
        <f t="shared" ref="C33" si="38">B33-B32</f>
        <v>0</v>
      </c>
      <c r="D33" s="567">
        <f t="shared" si="29"/>
        <v>244563</v>
      </c>
      <c r="E33" s="293">
        <f t="shared" ref="E33" si="39">SUM(D33-D32)</f>
        <v>0</v>
      </c>
      <c r="F33" s="293">
        <f t="shared" ref="F33" si="40">IF(C33&gt;0,E33/C33,0)</f>
        <v>0</v>
      </c>
      <c r="G33" s="344"/>
      <c r="H33" s="294">
        <f t="shared" si="37"/>
        <v>9298</v>
      </c>
      <c r="I33" s="293" t="str">
        <f t="shared" ref="I33" si="41">IF(B33-H33&lt;=0,"ok","oil change")</f>
        <v>ok</v>
      </c>
      <c r="J33" s="567">
        <f t="shared" si="22"/>
        <v>10698</v>
      </c>
      <c r="K33" s="293">
        <f>J33-J32</f>
        <v>0</v>
      </c>
      <c r="L33" s="567">
        <f t="shared" si="23"/>
        <v>238500</v>
      </c>
      <c r="M33" s="293">
        <f t="shared" ref="M33" si="42">SUM(L33-L32)</f>
        <v>0</v>
      </c>
      <c r="N33" s="293">
        <f t="shared" ref="N33" si="43">IF(K33&gt;0,M33/K33,0)</f>
        <v>0</v>
      </c>
      <c r="O33" s="344"/>
      <c r="P33" s="294">
        <f t="shared" si="15"/>
        <v>10873</v>
      </c>
      <c r="Q33" s="293" t="str">
        <f t="shared" ref="Q33" si="44">IF(J33-P33&lt;=0,"ok","oil change")</f>
        <v>ok</v>
      </c>
      <c r="R33" s="567">
        <f t="shared" si="30"/>
        <v>11705</v>
      </c>
      <c r="S33" s="293">
        <f t="shared" ref="S33" si="45">R33-R32</f>
        <v>0</v>
      </c>
      <c r="T33" s="567">
        <f t="shared" si="24"/>
        <v>357658</v>
      </c>
      <c r="U33" s="293">
        <f t="shared" ref="U33" si="46">SUM(T33-T32)</f>
        <v>0</v>
      </c>
      <c r="V33" s="293">
        <f t="shared" ref="V33" si="47">IF(S33&gt;0,U33/S33,0)</f>
        <v>0</v>
      </c>
      <c r="W33" s="344"/>
      <c r="X33" s="294">
        <f t="shared" si="17"/>
        <v>12609</v>
      </c>
      <c r="Y33" s="293" t="str">
        <f t="shared" ref="Y33" si="48">IF(R33-X33&lt;=0,"ok","oil change")</f>
        <v>ok</v>
      </c>
      <c r="Z33" s="293">
        <f t="shared" ref="Z33" si="49">C33+K33+S33</f>
        <v>0</v>
      </c>
      <c r="AA33" s="293">
        <f t="shared" ref="AA33" si="50">U33+M33+E33</f>
        <v>0</v>
      </c>
      <c r="AB33" s="293">
        <f t="shared" ref="AB33" si="51">V33+N33+F33</f>
        <v>0</v>
      </c>
      <c r="AC33" s="293">
        <f t="shared" ref="AC33" si="52">IF(Z33&gt;0,AA33/Z33,0)</f>
        <v>0</v>
      </c>
      <c r="AD33" s="73" t="e">
        <f>ELEC!#REF!</f>
        <v>#REF!</v>
      </c>
      <c r="AE33" s="73" t="e">
        <f t="shared" ref="AE33" si="53">SUM(AD33/Z33)</f>
        <v>#REF!</v>
      </c>
      <c r="AF33" s="411" t="e">
        <f t="shared" ref="AF33" si="54">SUM(AE33/1600)</f>
        <v>#REF!</v>
      </c>
      <c r="AG33" s="516" t="e">
        <f t="shared" ref="AG33" si="55">SUM(320*AF33)</f>
        <v>#REF!</v>
      </c>
      <c r="AH33" s="516" t="e">
        <f t="shared" ref="AH33" si="56">SUM(AC33-AG33)</f>
        <v>#REF!</v>
      </c>
      <c r="AI33" s="73" t="e">
        <f t="shared" ref="AI33" si="57">AD33*AJ33</f>
        <v>#REF!</v>
      </c>
      <c r="AJ33" s="295">
        <f t="shared" si="9"/>
        <v>0.25738396624472576</v>
      </c>
      <c r="AK33" s="295">
        <f t="shared" ref="AK33" si="58">IF(Z33&gt;0,AI33/Z33,0)</f>
        <v>0</v>
      </c>
    </row>
    <row r="34" spans="1:37">
      <c r="H34" s="39"/>
      <c r="I34" s="272"/>
      <c r="M34" s="39"/>
      <c r="N34" s="39"/>
      <c r="O34" s="39"/>
      <c r="P34" s="82">
        <f>+O34/3</f>
        <v>0</v>
      </c>
      <c r="S34" s="39"/>
      <c r="T34" s="39"/>
      <c r="U34" s="40">
        <f>SUM(C35:S35)</f>
        <v>151</v>
      </c>
      <c r="V34" s="40"/>
      <c r="X34">
        <v>341</v>
      </c>
      <c r="Z34" s="430">
        <f>SUM(Z3:Z32)</f>
        <v>151</v>
      </c>
    </row>
    <row r="35" spans="1:37">
      <c r="C35" s="40">
        <f>SUM(C3:C32)</f>
        <v>96</v>
      </c>
      <c r="K35" s="40">
        <f>SUM(K3:K32)</f>
        <v>0</v>
      </c>
      <c r="S35" s="40">
        <f>SUM(S3:S32)</f>
        <v>55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6761</v>
      </c>
      <c r="E6" s="3">
        <f>ELEC!Q24</f>
        <v>4000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5</v>
      </c>
      <c r="B18" s="3">
        <f>ELEC!AF19</f>
        <v>1289</v>
      </c>
      <c r="C18" s="3">
        <f>ELEC!N19</f>
        <v>9226</v>
      </c>
      <c r="D18" s="3">
        <f t="shared" si="0"/>
        <v>8226</v>
      </c>
      <c r="E18" s="3">
        <f>ELEC!Q19</f>
        <v>1000</v>
      </c>
      <c r="F18" s="3">
        <f>GEN!Z18</f>
        <v>6</v>
      </c>
      <c r="G18" s="3">
        <f>WATER!C21+WATER!H21</f>
        <v>185</v>
      </c>
      <c r="H18" s="3">
        <f>WATER!L21</f>
        <v>0</v>
      </c>
      <c r="I18" s="15">
        <f>WATER!BC21+WATER!BD21+WATER!BE22-Sheet1!G18</f>
        <v>-245.89999999999998</v>
      </c>
      <c r="J18" s="9">
        <f>'B5'!A20</f>
        <v>44090</v>
      </c>
    </row>
    <row r="19" spans="1:10">
      <c r="A19" s="3">
        <f>ELEC!T20+ELEC!X20+ELEC!AB20</f>
        <v>11</v>
      </c>
      <c r="B19" s="3">
        <f>ELEC!AF20</f>
        <v>2574</v>
      </c>
      <c r="C19" s="3">
        <f>ELEC!N20</f>
        <v>9673</v>
      </c>
      <c r="D19" s="3">
        <f t="shared" si="0"/>
        <v>7673</v>
      </c>
      <c r="E19" s="3">
        <f>ELEC!Q20</f>
        <v>2000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92.300000000000011</v>
      </c>
      <c r="J19" s="9">
        <f>'B5'!A21</f>
        <v>44091</v>
      </c>
    </row>
    <row r="20" spans="1:10">
      <c r="A20" s="3">
        <f>ELEC!T21+ELEC!X21+ELEC!AB21</f>
        <v>6</v>
      </c>
      <c r="B20" s="3">
        <f>ELEC!AF21</f>
        <v>1500</v>
      </c>
      <c r="C20" s="3">
        <f>ELEC!N21</f>
        <v>7867</v>
      </c>
      <c r="D20" s="3">
        <f t="shared" si="0"/>
        <v>5867</v>
      </c>
      <c r="E20" s="3">
        <f>ELEC!Q21</f>
        <v>2000</v>
      </c>
      <c r="F20" s="3">
        <f>GEN!Z20</f>
        <v>3</v>
      </c>
      <c r="G20" s="3">
        <f>WATER!C23+WATER!H23</f>
        <v>142</v>
      </c>
      <c r="H20" s="3">
        <f>WATER!L23</f>
        <v>0</v>
      </c>
      <c r="I20" s="15">
        <f>WATER!BC23+WATER!BD23+WATER!BE24-Sheet1!G20</f>
        <v>-110.6</v>
      </c>
      <c r="J20" s="9">
        <f>'B5'!A22</f>
        <v>44092</v>
      </c>
    </row>
    <row r="21" spans="1:10">
      <c r="A21" s="3">
        <f>ELEC!T22+ELEC!X22+ELEC!AB22</f>
        <v>9</v>
      </c>
      <c r="B21" s="3">
        <f>ELEC!AF22</f>
        <v>2048</v>
      </c>
      <c r="C21" s="3">
        <f>ELEC!N22</f>
        <v>8881</v>
      </c>
      <c r="D21" s="3">
        <f t="shared" si="0"/>
        <v>6385.9999999991996</v>
      </c>
      <c r="E21" s="3">
        <f>ELEC!Q22</f>
        <v>2495.0000000008004</v>
      </c>
      <c r="F21" s="3">
        <f>GEN!Z21</f>
        <v>5</v>
      </c>
      <c r="G21" s="3">
        <f>WATER!C24+WATER!H24</f>
        <v>0</v>
      </c>
      <c r="H21" s="3">
        <f>WATER!L24</f>
        <v>0</v>
      </c>
      <c r="I21" s="15">
        <f>WATER!BC24+WATER!BD24+WATER!BE25-Sheet1!G21</f>
        <v>15.699999999999989</v>
      </c>
      <c r="J21" s="9">
        <f>'B5'!A23</f>
        <v>44093</v>
      </c>
    </row>
    <row r="22" spans="1:10">
      <c r="A22" s="3">
        <f>ELEC!T23+ELEC!X23+ELEC!AB23</f>
        <v>10</v>
      </c>
      <c r="B22" s="3">
        <f>ELEC!AF23</f>
        <v>2290</v>
      </c>
      <c r="C22" s="3">
        <f>ELEC!N23</f>
        <v>9258</v>
      </c>
      <c r="D22" s="3">
        <f t="shared" si="0"/>
        <v>7753.0000000008004</v>
      </c>
      <c r="E22" s="3">
        <f>ELEC!Q23</f>
        <v>1504.9999999991996</v>
      </c>
      <c r="F22" s="3">
        <f>GEN!Z22</f>
        <v>4</v>
      </c>
      <c r="G22" s="3">
        <f>WATER!C25+WATER!H25</f>
        <v>122</v>
      </c>
      <c r="H22" s="3">
        <f>WATER!L25</f>
        <v>0</v>
      </c>
      <c r="I22" s="15">
        <f>WATER!BC25+WATER!BD25+WATER!BE26-Sheet1!G22</f>
        <v>-144.5</v>
      </c>
      <c r="J22" s="9">
        <f>'B5'!A24</f>
        <v>44094</v>
      </c>
    </row>
    <row r="23" spans="1:10">
      <c r="A23" s="3">
        <f>ELEC!T24+ELEC!X24+ELEC!AB24</f>
        <v>11</v>
      </c>
      <c r="B23" s="3">
        <f>ELEC!AF24</f>
        <v>2442</v>
      </c>
      <c r="C23" s="3">
        <f>ELEC!N24</f>
        <v>10688</v>
      </c>
      <c r="D23" s="3">
        <f t="shared" si="0"/>
        <v>6688</v>
      </c>
      <c r="E23" s="3">
        <f>ELEC!Q24</f>
        <v>4000</v>
      </c>
      <c r="F23" s="3">
        <f>GEN!Z23</f>
        <v>5</v>
      </c>
      <c r="G23" s="3">
        <f>WATER!C26+WATER!H26</f>
        <v>0</v>
      </c>
      <c r="H23" s="3">
        <f>WATER!L26</f>
        <v>0</v>
      </c>
      <c r="I23" s="15">
        <f>WATER!BC26+WATER!BD26+WATER!BE27-Sheet1!G23</f>
        <v>64.300000000000011</v>
      </c>
      <c r="J23" s="9">
        <f>'B5'!A25</f>
        <v>44095</v>
      </c>
    </row>
    <row r="24" spans="1:10">
      <c r="A24" s="3">
        <f>ELEC!T25+ELEC!X25+ELEC!AB25</f>
        <v>11</v>
      </c>
      <c r="B24" s="3">
        <f>ELEC!AF25</f>
        <v>2302</v>
      </c>
      <c r="C24" s="3">
        <f>ELEC!N25</f>
        <v>10343</v>
      </c>
      <c r="D24" s="3">
        <f t="shared" si="0"/>
        <v>8343</v>
      </c>
      <c r="E24" s="3">
        <f>ELEC!Q25</f>
        <v>2000</v>
      </c>
      <c r="F24" s="3">
        <f>GEN!Z24</f>
        <v>7</v>
      </c>
      <c r="G24" s="3">
        <f>WATER!C27+WATER!H27</f>
        <v>117</v>
      </c>
      <c r="H24" s="3">
        <f>WATER!L27</f>
        <v>0</v>
      </c>
      <c r="I24" s="15">
        <f>WATER!BC27+WATER!BD27+WATER!BE28-Sheet1!G24</f>
        <v>-160.69999999999999</v>
      </c>
      <c r="J24" s="9">
        <f>'B5'!A26</f>
        <v>44096</v>
      </c>
    </row>
    <row r="25" spans="1:10">
      <c r="A25" s="3">
        <f>ELEC!T26+ELEC!X26+ELEC!AB26</f>
        <v>10</v>
      </c>
      <c r="B25" s="3">
        <f>ELEC!AF26</f>
        <v>2321</v>
      </c>
      <c r="C25" s="3">
        <f>ELEC!N26</f>
        <v>10227</v>
      </c>
      <c r="D25" s="3">
        <f t="shared" si="0"/>
        <v>8227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31.499999999999993</v>
      </c>
      <c r="J25" s="9">
        <f>'B5'!A27</f>
        <v>44097</v>
      </c>
    </row>
    <row r="26" spans="1:10">
      <c r="A26" s="3">
        <f>ELEC!T27+ELEC!X27+ELEC!AB27</f>
        <v>6</v>
      </c>
      <c r="B26" s="3">
        <f>ELEC!AF27</f>
        <v>1425</v>
      </c>
      <c r="C26" s="3">
        <f>ELEC!N27</f>
        <v>8186</v>
      </c>
      <c r="D26" s="3">
        <f t="shared" si="0"/>
        <v>7186</v>
      </c>
      <c r="E26" s="3">
        <f>ELEC!Q27</f>
        <v>1000</v>
      </c>
      <c r="F26" s="3">
        <f>GEN!Z26</f>
        <v>3</v>
      </c>
      <c r="G26" s="3">
        <f>WATER!C29+WATER!H29</f>
        <v>137</v>
      </c>
      <c r="H26" s="3">
        <f>WATER!L29</f>
        <v>0</v>
      </c>
      <c r="I26" s="15">
        <f>WATER!BC29+WATER!BD29+WATER!BE30-Sheet1!G26</f>
        <v>-157.6</v>
      </c>
      <c r="J26" s="9">
        <f>'B5'!A28</f>
        <v>44098</v>
      </c>
    </row>
    <row r="27" spans="1:10">
      <c r="A27" s="3">
        <f>ELEC!T28+ELEC!X28+ELEC!AB28</f>
        <v>6</v>
      </c>
      <c r="B27" s="3">
        <f>ELEC!AF28</f>
        <v>1157</v>
      </c>
      <c r="C27" s="3">
        <f>ELEC!N28</f>
        <v>7564</v>
      </c>
      <c r="D27" s="3">
        <f t="shared" si="0"/>
        <v>5564</v>
      </c>
      <c r="E27" s="3">
        <f>ELEC!Q28</f>
        <v>2000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23.400000000000013</v>
      </c>
      <c r="J27" s="9">
        <f>'B5'!A29</f>
        <v>44099</v>
      </c>
    </row>
    <row r="28" spans="1:10">
      <c r="A28" s="3">
        <f>ELEC!T29+ELEC!X29+ELEC!AB29</f>
        <v>8</v>
      </c>
      <c r="B28" s="3">
        <f>ELEC!AF29</f>
        <v>2262</v>
      </c>
      <c r="C28" s="3">
        <f>ELEC!N29</f>
        <v>9992</v>
      </c>
      <c r="D28" s="3">
        <f t="shared" si="0"/>
        <v>9092.0000000003638</v>
      </c>
      <c r="E28" s="3">
        <f>ELEC!Q29</f>
        <v>899.9999999996362</v>
      </c>
      <c r="F28" s="3">
        <f>GEN!Z28</f>
        <v>4</v>
      </c>
      <c r="G28" s="3">
        <f>WATER!C31+WATER!H31</f>
        <v>97</v>
      </c>
      <c r="H28" s="3">
        <f>WATER!L31</f>
        <v>0</v>
      </c>
      <c r="I28" s="15">
        <f>WATER!BC31+WATER!BD31+WATER!BE32-Sheet1!G28</f>
        <v>-132.70000000000002</v>
      </c>
      <c r="J28" s="9">
        <f>'B5'!A30</f>
        <v>44100</v>
      </c>
    </row>
    <row r="29" spans="1:10">
      <c r="A29" s="3">
        <f>ELEC!T30+ELEC!X30+ELEC!AB30</f>
        <v>11</v>
      </c>
      <c r="B29" s="3">
        <f>ELEC!AF30</f>
        <v>2644</v>
      </c>
      <c r="C29" s="3">
        <f>ELEC!N30</f>
        <v>10083</v>
      </c>
      <c r="D29" s="3">
        <f t="shared" si="0"/>
        <v>8982.9999999996362</v>
      </c>
      <c r="E29" s="3">
        <f>ELEC!Q30</f>
        <v>1100.0000000003638</v>
      </c>
      <c r="F29" s="3">
        <f>GEN!Z29</f>
        <v>1</v>
      </c>
      <c r="G29" s="3">
        <f>WATER!C32+WATER!H32</f>
        <v>0</v>
      </c>
      <c r="H29" s="3">
        <f>WATER!L32</f>
        <v>0</v>
      </c>
      <c r="I29" s="15">
        <f>WATER!BC32+WATER!BD32+WATER!BE33-Sheet1!G29</f>
        <v>-44.400000000000006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2948</v>
      </c>
      <c r="C30" s="3">
        <f>ELEC!N31</f>
        <v>11228</v>
      </c>
      <c r="D30" s="3">
        <f t="shared" si="0"/>
        <v>9228</v>
      </c>
      <c r="E30" s="3">
        <f>ELEC!Q31</f>
        <v>2000</v>
      </c>
      <c r="F30" s="3">
        <f>GEN!Z30</f>
        <v>3</v>
      </c>
      <c r="G30" s="3">
        <f>WATER!C33+WATER!H33</f>
        <v>0</v>
      </c>
      <c r="H30" s="3">
        <f>WATER!L33</f>
        <v>0</v>
      </c>
      <c r="I30" s="15">
        <f>WATER!BC33+WATER!BD33+WATER!BE34-Sheet1!G30</f>
        <v>-46.199999999999996</v>
      </c>
      <c r="J30" s="9">
        <f>'B5'!A32</f>
        <v>44102</v>
      </c>
    </row>
    <row r="31" spans="1:10">
      <c r="A31" s="3">
        <f>ELEC!T32+ELEC!X32+ELEC!AB31</f>
        <v>13</v>
      </c>
      <c r="B31" s="3">
        <f>ELEC!AF32</f>
        <v>3020</v>
      </c>
      <c r="C31" s="3">
        <f>ELEC!N32</f>
        <v>11854</v>
      </c>
      <c r="D31" s="3">
        <f>C31-E31</f>
        <v>7854</v>
      </c>
      <c r="E31" s="3">
        <f>ELEC!Q32</f>
        <v>4000</v>
      </c>
      <c r="F31" s="3">
        <f>GEN!Z31</f>
        <v>3</v>
      </c>
      <c r="G31" s="3">
        <f>WATER!C34+WATER!H34</f>
        <v>0</v>
      </c>
      <c r="H31" s="3">
        <f>WATER!L34</f>
        <v>0</v>
      </c>
      <c r="I31" s="15">
        <f>WATER!BC34+WATER!BD34+WATER!BE35-Sheet1!G31</f>
        <v>-78.099999999999994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4"/>
      <c r="B1" s="652" t="s">
        <v>119</v>
      </c>
      <c r="C1" s="652" t="s">
        <v>118</v>
      </c>
      <c r="D1" s="656" t="s">
        <v>113</v>
      </c>
      <c r="E1" s="656" t="s">
        <v>114</v>
      </c>
      <c r="F1" s="657" t="s">
        <v>120</v>
      </c>
      <c r="G1" s="658" t="s">
        <v>75</v>
      </c>
      <c r="H1" s="649" t="s">
        <v>115</v>
      </c>
      <c r="I1" s="650" t="s">
        <v>116</v>
      </c>
      <c r="J1" s="649" t="s">
        <v>117</v>
      </c>
      <c r="K1" s="648" t="s">
        <v>121</v>
      </c>
      <c r="L1" s="648" t="s">
        <v>122</v>
      </c>
      <c r="M1" s="648" t="s">
        <v>123</v>
      </c>
      <c r="N1" s="648" t="s">
        <v>124</v>
      </c>
    </row>
    <row r="2" spans="1:14">
      <c r="A2" s="655"/>
      <c r="B2" s="653"/>
      <c r="C2" s="653"/>
      <c r="D2" s="656"/>
      <c r="E2" s="656"/>
      <c r="F2" s="657"/>
      <c r="G2" s="658"/>
      <c r="H2" s="649"/>
      <c r="I2" s="651"/>
      <c r="J2" s="649"/>
      <c r="K2" s="648"/>
      <c r="L2" s="648"/>
      <c r="M2" s="648"/>
      <c r="N2" s="64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7">
        <v>810</v>
      </c>
      <c r="C4" s="267">
        <v>-606.10000000000582</v>
      </c>
      <c r="D4" s="267">
        <v>1420.5021097047013</v>
      </c>
      <c r="E4" s="267">
        <v>1624.4021097046955</v>
      </c>
      <c r="F4" s="267">
        <v>106</v>
      </c>
      <c r="G4" s="267">
        <v>-58.399999999999977</v>
      </c>
      <c r="H4" s="267">
        <v>6284</v>
      </c>
      <c r="I4" s="267">
        <v>2398.9999999994325</v>
      </c>
      <c r="J4" s="267">
        <v>23932.000000000568</v>
      </c>
      <c r="K4" s="267">
        <v>0</v>
      </c>
      <c r="L4" s="267">
        <v>0</v>
      </c>
      <c r="M4" s="267">
        <v>0</v>
      </c>
      <c r="N4" s="267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6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6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6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6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6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6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6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6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6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6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6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6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6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6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6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6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44091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6">
        <f t="shared" si="0"/>
        <v>257.38396624472574</v>
      </c>
      <c r="F21" s="75">
        <f>WATER!L21</f>
        <v>0</v>
      </c>
      <c r="G21" s="78">
        <f>WATER!BG21</f>
        <v>44.400000000000006</v>
      </c>
      <c r="H21" s="79">
        <f>ELEC!AF19</f>
        <v>1289</v>
      </c>
      <c r="I21" s="79">
        <f>ELEC!Q19</f>
        <v>1000</v>
      </c>
      <c r="J21" s="79">
        <f>ELEC!R19</f>
        <v>8226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514.76793248945148</v>
      </c>
      <c r="E22" s="246">
        <f t="shared" si="0"/>
        <v>514.76793248945148</v>
      </c>
      <c r="F22" s="75">
        <f>WATER!L22</f>
        <v>0</v>
      </c>
      <c r="G22" s="78">
        <f>WATER!BG22</f>
        <v>-40.499999999999979</v>
      </c>
      <c r="H22" s="79">
        <f>ELEC!AF20</f>
        <v>2574</v>
      </c>
      <c r="I22" s="79">
        <f>ELEC!Q20</f>
        <v>2000</v>
      </c>
      <c r="J22" s="79">
        <f>ELEC!R20</f>
        <v>7673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514.76793248945148</v>
      </c>
      <c r="E23" s="246">
        <f t="shared" si="0"/>
        <v>514.76793248945148</v>
      </c>
      <c r="F23" s="75">
        <f>WATER!L23</f>
        <v>0</v>
      </c>
      <c r="G23" s="78">
        <f>WATER!BG23</f>
        <v>67.999999999999986</v>
      </c>
      <c r="H23" s="79">
        <f>ELEC!AF21</f>
        <v>1500</v>
      </c>
      <c r="I23" s="79">
        <f>ELEC!Q21</f>
        <v>2000</v>
      </c>
      <c r="J23" s="79">
        <f>ELEC!R21</f>
        <v>5867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642.17299578079678</v>
      </c>
      <c r="E24" s="246">
        <f t="shared" si="0"/>
        <v>642.17299578079678</v>
      </c>
      <c r="F24" s="75">
        <f>WATER!L24</f>
        <v>0</v>
      </c>
      <c r="G24" s="78">
        <f>WATER!BG24</f>
        <v>-20.399999999999991</v>
      </c>
      <c r="H24" s="79">
        <f>ELEC!AF22</f>
        <v>2048</v>
      </c>
      <c r="I24" s="79">
        <f>ELEC!Q22</f>
        <v>2495.0000000008004</v>
      </c>
      <c r="J24" s="79">
        <f>ELEC!R22</f>
        <v>6385.9999999991996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387.3628691981063</v>
      </c>
      <c r="E25" s="246">
        <f t="shared" si="0"/>
        <v>387.3628691981063</v>
      </c>
      <c r="F25" s="75">
        <f>WATER!L25</f>
        <v>0</v>
      </c>
      <c r="G25" s="78">
        <f>WATER!BG25</f>
        <v>36.09999999999998</v>
      </c>
      <c r="H25" s="79">
        <f>ELEC!AF23</f>
        <v>2290</v>
      </c>
      <c r="I25" s="79">
        <f>ELEC!Q23</f>
        <v>1504.9999999991996</v>
      </c>
      <c r="J25" s="79">
        <f>ELEC!R23</f>
        <v>7753.0000000008004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1029.535864978903</v>
      </c>
      <c r="E26" s="246">
        <f t="shared" si="0"/>
        <v>1029.535864978903</v>
      </c>
      <c r="F26" s="75">
        <f>WATER!L26</f>
        <v>0</v>
      </c>
      <c r="G26" s="78">
        <f>WATER!BG26</f>
        <v>-25.299999999999983</v>
      </c>
      <c r="H26" s="79">
        <f>ELEC!AF24</f>
        <v>2442</v>
      </c>
      <c r="I26" s="79">
        <f>ELEC!Q24</f>
        <v>4000</v>
      </c>
      <c r="J26" s="79">
        <f>ELEC!R24</f>
        <v>6688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514.76793248945148</v>
      </c>
      <c r="E27" s="246">
        <f t="shared" si="0"/>
        <v>514.76793248945148</v>
      </c>
      <c r="F27" s="75">
        <f>WATER!L27</f>
        <v>0</v>
      </c>
      <c r="G27" s="78">
        <f>WATER!BG27</f>
        <v>40.099999999999994</v>
      </c>
      <c r="H27" s="79">
        <f>ELEC!AF25</f>
        <v>2302</v>
      </c>
      <c r="I27" s="79">
        <f>ELEC!Q25</f>
        <v>2000</v>
      </c>
      <c r="J27" s="79">
        <f>ELEC!R25</f>
        <v>8343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6">
        <f t="shared" si="0"/>
        <v>514.76793248945148</v>
      </c>
      <c r="F28" s="75">
        <f>WATER!L28</f>
        <v>0</v>
      </c>
      <c r="G28" s="78">
        <f>WATER!BG28</f>
        <v>-26.200000000000003</v>
      </c>
      <c r="H28" s="79">
        <f>ELEC!AF26</f>
        <v>2321</v>
      </c>
      <c r="I28" s="79">
        <f>ELEC!Q26</f>
        <v>2000</v>
      </c>
      <c r="J28" s="79">
        <f>ELEC!R26</f>
        <v>8227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257.38396624472574</v>
      </c>
      <c r="E29" s="77">
        <f t="shared" si="0"/>
        <v>257.38396624472574</v>
      </c>
      <c r="F29" s="75">
        <f>WATER!L29</f>
        <v>0</v>
      </c>
      <c r="G29" s="78">
        <f>WATER!BG29</f>
        <v>57.699999999999989</v>
      </c>
      <c r="H29" s="79">
        <f>ELEC!AF27</f>
        <v>1425</v>
      </c>
      <c r="I29" s="79">
        <f>ELEC!Q27</f>
        <v>1000</v>
      </c>
      <c r="J29" s="79">
        <f>ELEC!R27</f>
        <v>7186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514.76793248945148</v>
      </c>
      <c r="E30" s="77">
        <f t="shared" si="0"/>
        <v>514.76793248945148</v>
      </c>
      <c r="F30" s="75">
        <f>WATER!L30</f>
        <v>0</v>
      </c>
      <c r="G30" s="78">
        <f>WATER!BG30</f>
        <v>-22.499999999999986</v>
      </c>
      <c r="H30" s="79">
        <f>ELEC!AF28</f>
        <v>1157</v>
      </c>
      <c r="I30" s="79">
        <f>ELEC!Q28</f>
        <v>2000</v>
      </c>
      <c r="J30" s="79">
        <f>ELEC!R28</f>
        <v>5564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231.64556962015953</v>
      </c>
      <c r="E31" s="77">
        <f t="shared" si="0"/>
        <v>231.64556962015953</v>
      </c>
      <c r="F31" s="75">
        <f>WATER!L31</f>
        <v>0</v>
      </c>
      <c r="G31" s="78">
        <f>WATER!BG31</f>
        <v>36.9</v>
      </c>
      <c r="H31" s="79">
        <f>ELEC!AF29</f>
        <v>2262</v>
      </c>
      <c r="I31" s="79">
        <f>ELEC!Q29</f>
        <v>899.9999999996362</v>
      </c>
      <c r="J31" s="79">
        <f>ELEC!R29</f>
        <v>9092.0000000003638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283.12236286929198</v>
      </c>
      <c r="E32" s="77">
        <f t="shared" si="0"/>
        <v>283.12236286929198</v>
      </c>
      <c r="F32" s="75">
        <f>WATER!L32</f>
        <v>0</v>
      </c>
      <c r="G32" s="78">
        <f>WATER!BG32</f>
        <v>-22.200000000000003</v>
      </c>
      <c r="H32" s="79">
        <f>ELEC!AF30</f>
        <v>2644</v>
      </c>
      <c r="I32" s="79">
        <f>ELEC!Q30</f>
        <v>1100.0000000003638</v>
      </c>
      <c r="J32" s="79">
        <f>ELEC!R30</f>
        <v>8982.9999999996362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514.76793248945148</v>
      </c>
      <c r="E33" s="77">
        <f t="shared" si="0"/>
        <v>514.76793248945148</v>
      </c>
      <c r="F33" s="75">
        <f>WATER!L33</f>
        <v>0</v>
      </c>
      <c r="G33" s="78">
        <f>WATER!BG33</f>
        <v>-22.200000000000003</v>
      </c>
      <c r="H33" s="79">
        <f>ELEC!AF31</f>
        <v>2948</v>
      </c>
      <c r="I33" s="79">
        <f>ELEC!Q31</f>
        <v>2000</v>
      </c>
      <c r="J33" s="79">
        <f>ELEC!R31</f>
        <v>9228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1029.535864978903</v>
      </c>
      <c r="E34" s="77">
        <f>B34+C34+D34</f>
        <v>1029.535864978903</v>
      </c>
      <c r="F34" s="75">
        <f>WATER!L34</f>
        <v>0</v>
      </c>
      <c r="G34" s="78">
        <f>WATER!BG34</f>
        <v>-23.999999999999993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9" t="s">
        <v>151</v>
      </c>
      <c r="U3" s="65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Q19" zoomScale="80" zoomScaleNormal="80" workbookViewId="0">
      <selection activeCell="X31" sqref="X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9" bestFit="1" customWidth="1"/>
    <col min="20" max="20" width="10.28515625" style="343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4"/>
      <c r="T1" s="341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4"/>
      <c r="T2" s="341"/>
    </row>
    <row r="3" spans="1:30" ht="15.75" thickBot="1">
      <c r="A3" s="163">
        <f>ELEC!C2</f>
        <v>44074</v>
      </c>
      <c r="B3" s="269">
        <f>'[1]EDl log'!B34</f>
        <v>349278</v>
      </c>
      <c r="C3" s="269">
        <f>'[1]EDl log'!C34</f>
        <v>4464</v>
      </c>
      <c r="D3" s="269">
        <f>'[1]EDl log'!D34</f>
        <v>4465</v>
      </c>
      <c r="E3" s="269">
        <f>'[1]EDl log'!E34</f>
        <v>349279</v>
      </c>
      <c r="F3" s="269">
        <f>'[1]EDl log'!F34</f>
        <v>47510</v>
      </c>
      <c r="G3" s="269">
        <f>'[1]EDl log'!G34</f>
        <v>628</v>
      </c>
      <c r="H3" s="269">
        <f>'[1]EDl log'!H34</f>
        <v>182116</v>
      </c>
      <c r="I3" s="269">
        <f>'[1]EDl log'!I34</f>
        <v>2587</v>
      </c>
      <c r="J3" s="269">
        <f>'[1]EDl log'!J34</f>
        <v>119653</v>
      </c>
      <c r="K3" s="269">
        <f>'[1]EDl log'!K34</f>
        <v>1250</v>
      </c>
      <c r="L3" s="269">
        <f>'[1]EDl log'!L34</f>
        <v>133.30679933665007</v>
      </c>
      <c r="M3" s="269">
        <f>'[1]EDl log'!M34</f>
        <v>192.20165837479271</v>
      </c>
      <c r="N3" s="269">
        <f>'[1]EDl log'!N34</f>
        <v>66.33499170812604</v>
      </c>
      <c r="O3" s="269">
        <f>'[1]EDl log'!O34</f>
        <v>154.80303857058792</v>
      </c>
      <c r="P3" s="269">
        <f>'[1]EDl log'!P34</f>
        <v>546.64648799015674</v>
      </c>
      <c r="Q3" s="269">
        <f>'[1]EDl log'!Q34</f>
        <v>448.88225806452346</v>
      </c>
      <c r="R3" s="269">
        <f>'[1]EDl log'!R34</f>
        <v>995.52874605468014</v>
      </c>
      <c r="S3" s="269">
        <f>'[1]EDl log'!S34</f>
        <v>10533</v>
      </c>
      <c r="T3" s="269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4">
        <v>354097</v>
      </c>
      <c r="C4" s="269">
        <f t="shared" ref="C4:C33" si="0">SUM(B4-B3)</f>
        <v>4819</v>
      </c>
      <c r="D4" s="314">
        <f>SUM(G4+I4+K4)</f>
        <v>4818</v>
      </c>
      <c r="E4" s="314">
        <f>B3+D4</f>
        <v>354096</v>
      </c>
      <c r="F4" s="564">
        <v>48144</v>
      </c>
      <c r="G4" s="160">
        <f t="shared" ref="G4:G32" si="1">F4-F3</f>
        <v>634</v>
      </c>
      <c r="H4" s="564">
        <v>184316</v>
      </c>
      <c r="I4" s="161">
        <f t="shared" ref="I4:I33" si="2">H4-H3</f>
        <v>2200</v>
      </c>
      <c r="J4" s="564">
        <v>121637</v>
      </c>
      <c r="K4" s="162">
        <f t="shared" ref="K4:K33" si="3">J4-J3</f>
        <v>1984</v>
      </c>
      <c r="L4" s="302">
        <f t="shared" ref="L4:L13" si="4">SUM(G4*$Y$28)/1507.5</f>
        <v>134.58043117744612</v>
      </c>
      <c r="M4" s="302">
        <f t="shared" ref="M4:M13" si="5">SUM(I4*$Y$27)/1507.5</f>
        <v>163.44941956882255</v>
      </c>
      <c r="N4" s="302">
        <f t="shared" ref="N4:N13" si="6">SUM(K4*$Y$26)/1507.5</f>
        <v>105.28689883913765</v>
      </c>
      <c r="O4" s="302">
        <f t="shared" ref="O4:O33" si="7">($AC$31/$A$38)/1507.5</f>
        <v>159.96313985627418</v>
      </c>
      <c r="P4" s="303">
        <f>SUM(L4:O4)</f>
        <v>563.27988944168055</v>
      </c>
      <c r="Q4" s="303">
        <f>SUM(-tanks!AX6*tanks!$AU$36)</f>
        <v>358.17329032258021</v>
      </c>
      <c r="R4" s="303">
        <f>SUM(P4:Q4)</f>
        <v>921.45317976426077</v>
      </c>
      <c r="S4" s="305">
        <f>SUM(ELEC!N3)</f>
        <v>11078</v>
      </c>
      <c r="T4" s="342">
        <f>IF(S4&gt;0,R4/S4,0)</f>
        <v>8.317865858135591E-2</v>
      </c>
      <c r="U4" s="254"/>
      <c r="V4" s="255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70"/>
      <c r="AC4" s="671"/>
    </row>
    <row r="5" spans="1:30" ht="15.75" thickBot="1">
      <c r="A5" s="163">
        <f>ELEC!C4</f>
        <v>44076</v>
      </c>
      <c r="B5" s="602">
        <v>358114</v>
      </c>
      <c r="C5" s="269">
        <f t="shared" si="0"/>
        <v>4017</v>
      </c>
      <c r="D5" s="314">
        <f t="shared" ref="D5:D33" si="8">SUM(G5+I5+K5)</f>
        <v>4016</v>
      </c>
      <c r="E5" s="314">
        <f>B4+D5</f>
        <v>358113</v>
      </c>
      <c r="F5" s="598">
        <v>48803</v>
      </c>
      <c r="G5" s="160">
        <f t="shared" si="1"/>
        <v>659</v>
      </c>
      <c r="H5" s="598">
        <v>186052</v>
      </c>
      <c r="I5" s="161">
        <f t="shared" si="2"/>
        <v>1736</v>
      </c>
      <c r="J5" s="600">
        <v>123258</v>
      </c>
      <c r="K5" s="162">
        <f t="shared" si="3"/>
        <v>1621</v>
      </c>
      <c r="L5" s="302">
        <f t="shared" si="4"/>
        <v>139.88723051409619</v>
      </c>
      <c r="M5" s="302">
        <f t="shared" si="5"/>
        <v>128.97645107794361</v>
      </c>
      <c r="N5" s="302">
        <f t="shared" si="6"/>
        <v>86.023217247097847</v>
      </c>
      <c r="O5" s="302">
        <f t="shared" si="7"/>
        <v>159.96313985627418</v>
      </c>
      <c r="P5" s="303">
        <f t="shared" ref="P5:P32" si="9">SUM(L5:O5)</f>
        <v>514.85003869541185</v>
      </c>
      <c r="Q5" s="303">
        <f>SUM(-tanks!AX7*tanks!$AU$36)</f>
        <v>790.2054838709621</v>
      </c>
      <c r="R5" s="303">
        <f t="shared" ref="R5:R32" si="10">SUM(P5:Q5)</f>
        <v>1305.0555225663738</v>
      </c>
      <c r="S5" s="305">
        <f>SUM(ELEC!N4)</f>
        <v>12266</v>
      </c>
      <c r="T5" s="342">
        <f>IF(S5&gt;0,R5/S5,0)</f>
        <v>0.10639617826238169</v>
      </c>
      <c r="U5" s="254"/>
      <c r="V5" s="664"/>
      <c r="W5" s="665"/>
      <c r="X5" s="665"/>
      <c r="Y5" s="666"/>
      <c r="Z5" s="26" t="s">
        <v>203</v>
      </c>
      <c r="AA5" s="269">
        <f>'[5]EDl log'!AA22</f>
        <v>5000</v>
      </c>
      <c r="AB5" s="672"/>
      <c r="AC5" s="673"/>
    </row>
    <row r="6" spans="1:30" ht="15.75" thickBot="1">
      <c r="A6" s="163">
        <f>ELEC!C5</f>
        <v>44077</v>
      </c>
      <c r="B6" s="602">
        <v>362083</v>
      </c>
      <c r="C6" s="269">
        <f t="shared" si="0"/>
        <v>3969</v>
      </c>
      <c r="D6" s="314">
        <f t="shared" si="8"/>
        <v>3970</v>
      </c>
      <c r="E6" s="314">
        <f t="shared" ref="E6:E33" si="11">B5+D6</f>
        <v>362084</v>
      </c>
      <c r="F6" s="564">
        <v>48997</v>
      </c>
      <c r="G6" s="160">
        <f t="shared" si="1"/>
        <v>194</v>
      </c>
      <c r="H6" s="564">
        <v>188146</v>
      </c>
      <c r="I6" s="161">
        <f t="shared" si="2"/>
        <v>2094</v>
      </c>
      <c r="J6" s="564">
        <v>124940</v>
      </c>
      <c r="K6" s="162">
        <f t="shared" si="3"/>
        <v>1682</v>
      </c>
      <c r="L6" s="302">
        <f t="shared" si="4"/>
        <v>41.180762852404641</v>
      </c>
      <c r="M6" s="302">
        <f t="shared" si="5"/>
        <v>155.57412935323384</v>
      </c>
      <c r="N6" s="302">
        <f t="shared" si="6"/>
        <v>89.260364842454393</v>
      </c>
      <c r="O6" s="302">
        <f t="shared" si="7"/>
        <v>159.96313985627418</v>
      </c>
      <c r="P6" s="303">
        <f t="shared" si="9"/>
        <v>445.97839690436706</v>
      </c>
      <c r="Q6" s="303">
        <f>SUM(-tanks!AX8*tanks!$AU$36)</f>
        <v>767.87991397850124</v>
      </c>
      <c r="R6" s="303">
        <f t="shared" si="10"/>
        <v>1213.8583108828684</v>
      </c>
      <c r="S6" s="305">
        <f>SUM(ELEC!N5)</f>
        <v>12559</v>
      </c>
      <c r="T6" s="342">
        <f t="shared" ref="T6:T32" si="12">IF(S6&gt;0,R6/S6,0)</f>
        <v>9.6652465234721582E-2</v>
      </c>
      <c r="V6" s="667"/>
      <c r="W6" s="668"/>
      <c r="X6" s="668"/>
      <c r="Y6" s="669"/>
      <c r="Z6" s="3"/>
      <c r="AA6" s="3"/>
      <c r="AB6" s="672"/>
      <c r="AC6" s="673"/>
    </row>
    <row r="7" spans="1:30" ht="15" customHeight="1" thickBot="1">
      <c r="A7" s="163">
        <f>ELEC!C6</f>
        <v>44078</v>
      </c>
      <c r="B7" s="602">
        <v>366467</v>
      </c>
      <c r="C7" s="269">
        <f t="shared" si="0"/>
        <v>4384</v>
      </c>
      <c r="D7" s="314">
        <f t="shared" si="8"/>
        <v>4383</v>
      </c>
      <c r="E7" s="314">
        <f t="shared" si="11"/>
        <v>366466</v>
      </c>
      <c r="F7" s="564">
        <v>49688</v>
      </c>
      <c r="G7" s="160">
        <f t="shared" si="1"/>
        <v>691</v>
      </c>
      <c r="H7" s="564">
        <v>190089</v>
      </c>
      <c r="I7" s="161">
        <f t="shared" si="2"/>
        <v>1943</v>
      </c>
      <c r="J7" s="564">
        <v>126689</v>
      </c>
      <c r="K7" s="162">
        <f t="shared" si="3"/>
        <v>1749</v>
      </c>
      <c r="L7" s="302">
        <f t="shared" si="4"/>
        <v>146.67993366500829</v>
      </c>
      <c r="M7" s="302">
        <f t="shared" si="5"/>
        <v>144.35555555555555</v>
      </c>
      <c r="N7" s="302">
        <f t="shared" si="6"/>
        <v>92.815920398009951</v>
      </c>
      <c r="O7" s="302">
        <f t="shared" si="7"/>
        <v>159.96313985627418</v>
      </c>
      <c r="P7" s="303">
        <f t="shared" si="9"/>
        <v>543.81454947484792</v>
      </c>
      <c r="Q7" s="303">
        <f>SUM(-tanks!AX9*tanks!$AU$36)</f>
        <v>890.53257204300382</v>
      </c>
      <c r="R7" s="303">
        <f t="shared" si="10"/>
        <v>1434.3471215178517</v>
      </c>
      <c r="S7" s="305">
        <f>SUM(ELEC!N6)</f>
        <v>12925</v>
      </c>
      <c r="T7" s="342">
        <f t="shared" si="12"/>
        <v>0.11097463222575256</v>
      </c>
      <c r="V7" s="660" t="s">
        <v>204</v>
      </c>
      <c r="W7" s="661"/>
      <c r="X7" s="662" t="s">
        <v>205</v>
      </c>
      <c r="Y7" s="663"/>
      <c r="Z7" s="661"/>
      <c r="AA7" s="26"/>
      <c r="AB7" s="674"/>
      <c r="AC7" s="675"/>
    </row>
    <row r="8" spans="1:30" ht="15.75" customHeight="1">
      <c r="A8" s="163">
        <f>ELEC!C7</f>
        <v>44079</v>
      </c>
      <c r="B8" s="602">
        <v>370999</v>
      </c>
      <c r="C8" s="269">
        <f t="shared" si="0"/>
        <v>4532</v>
      </c>
      <c r="D8" s="314">
        <f t="shared" si="8"/>
        <v>4532</v>
      </c>
      <c r="E8" s="314">
        <f t="shared" si="11"/>
        <v>370999</v>
      </c>
      <c r="F8" s="564">
        <v>50447</v>
      </c>
      <c r="G8" s="160">
        <f t="shared" si="1"/>
        <v>759</v>
      </c>
      <c r="H8" s="564">
        <v>192134</v>
      </c>
      <c r="I8" s="161">
        <f t="shared" si="2"/>
        <v>2045</v>
      </c>
      <c r="J8" s="564">
        <v>128417</v>
      </c>
      <c r="K8" s="162">
        <f>J8-J7</f>
        <v>1728</v>
      </c>
      <c r="L8" s="302">
        <f t="shared" si="4"/>
        <v>161.11442786069651</v>
      </c>
      <c r="M8" s="302">
        <f t="shared" si="5"/>
        <v>151.93366500829188</v>
      </c>
      <c r="N8" s="302">
        <f t="shared" si="6"/>
        <v>91.701492537313428</v>
      </c>
      <c r="O8" s="302">
        <f t="shared" si="7"/>
        <v>159.96313985627418</v>
      </c>
      <c r="P8" s="303">
        <f t="shared" si="9"/>
        <v>564.71272526257599</v>
      </c>
      <c r="Q8" s="303">
        <f>SUM(-tanks!AX10*tanks!$AU$36)</f>
        <v>375.69129892473688</v>
      </c>
      <c r="R8" s="303">
        <f t="shared" si="10"/>
        <v>940.40402418731287</v>
      </c>
      <c r="S8" s="305">
        <f>SUM(ELEC!N7)</f>
        <v>10761</v>
      </c>
      <c r="T8" s="342">
        <f>IF(S8&gt;0,R8/S8,0)</f>
        <v>8.7390021762597608E-2</v>
      </c>
      <c r="V8" s="259" t="s">
        <v>206</v>
      </c>
      <c r="W8" s="260" t="s">
        <v>207</v>
      </c>
      <c r="X8" s="260"/>
      <c r="Y8" s="260" t="s">
        <v>208</v>
      </c>
      <c r="Z8" s="26" t="s">
        <v>209</v>
      </c>
      <c r="AA8" s="26" t="s">
        <v>210</v>
      </c>
      <c r="AB8" s="545" t="str">
        <f>'[6]EDl log'!AB25</f>
        <v>Total cost LL</v>
      </c>
      <c r="AC8" s="256" t="s">
        <v>212</v>
      </c>
    </row>
    <row r="9" spans="1:30">
      <c r="A9" s="163">
        <f>ELEC!C8</f>
        <v>44080</v>
      </c>
      <c r="B9" s="602">
        <v>374341</v>
      </c>
      <c r="C9" s="269">
        <f t="shared" si="0"/>
        <v>3342</v>
      </c>
      <c r="D9" s="314">
        <f t="shared" si="8"/>
        <v>3341</v>
      </c>
      <c r="E9" s="314">
        <f t="shared" si="11"/>
        <v>374340</v>
      </c>
      <c r="F9" s="601">
        <v>50850</v>
      </c>
      <c r="G9" s="160">
        <f t="shared" si="1"/>
        <v>403</v>
      </c>
      <c r="H9" s="601">
        <v>193705</v>
      </c>
      <c r="I9" s="161">
        <f t="shared" si="2"/>
        <v>1571</v>
      </c>
      <c r="J9" s="600">
        <v>129784</v>
      </c>
      <c r="K9" s="162">
        <f>J9-J8</f>
        <v>1367</v>
      </c>
      <c r="L9" s="302">
        <f t="shared" si="4"/>
        <v>85.545605306799331</v>
      </c>
      <c r="M9" s="302">
        <f t="shared" si="5"/>
        <v>116.71774461028193</v>
      </c>
      <c r="N9" s="302">
        <f t="shared" si="6"/>
        <v>72.543946932006634</v>
      </c>
      <c r="O9" s="302">
        <f t="shared" si="7"/>
        <v>159.96313985627418</v>
      </c>
      <c r="P9" s="303">
        <f t="shared" si="9"/>
        <v>434.77043670536204</v>
      </c>
      <c r="Q9" s="303">
        <f>SUM(-tanks!AX11*tanks!$AU$36)</f>
        <v>754.13215053762497</v>
      </c>
      <c r="R9" s="303">
        <f>SUM(P9:Q9)</f>
        <v>1188.902587242987</v>
      </c>
      <c r="S9" s="305">
        <f>SUM(ELEC!N8)</f>
        <v>10340</v>
      </c>
      <c r="T9" s="342">
        <f t="shared" si="12"/>
        <v>0.11498090785715542</v>
      </c>
      <c r="V9" s="269">
        <f>'[1]EDl log'!V26</f>
        <v>76091</v>
      </c>
      <c r="W9" s="269">
        <f>'[1]EDl log'!W26</f>
        <v>119653</v>
      </c>
      <c r="X9" s="269" t="str">
        <f>'[2]EDl log'!X26</f>
        <v>Night</v>
      </c>
      <c r="Y9" s="596">
        <f>'[1]EDl log'!Y26</f>
        <v>80</v>
      </c>
      <c r="Z9" s="596">
        <f>'[1]EDl log'!Z26</f>
        <v>1</v>
      </c>
      <c r="AA9" s="596">
        <f>'[1]EDl log'!AA26</f>
        <v>43562</v>
      </c>
      <c r="AB9" s="596">
        <f>'[1]EDl log'!AB26</f>
        <v>3484960</v>
      </c>
      <c r="AC9" s="596">
        <f>'[1]EDl log'!AC26</f>
        <v>1033333</v>
      </c>
      <c r="AD9" s="518">
        <f>'[1]EDl log'!AD26</f>
        <v>0.30405952480665605</v>
      </c>
    </row>
    <row r="10" spans="1:30" ht="15.75" thickBot="1">
      <c r="A10" s="163">
        <f>ELEC!C9</f>
        <v>44081</v>
      </c>
      <c r="B10" s="602">
        <v>378579</v>
      </c>
      <c r="C10" s="269">
        <f t="shared" si="0"/>
        <v>4238</v>
      </c>
      <c r="D10" s="314">
        <f t="shared" si="8"/>
        <v>4239</v>
      </c>
      <c r="E10" s="314">
        <f t="shared" si="11"/>
        <v>378580</v>
      </c>
      <c r="F10" s="602">
        <v>51353</v>
      </c>
      <c r="G10" s="160">
        <f t="shared" si="1"/>
        <v>503</v>
      </c>
      <c r="H10" s="602">
        <v>195949</v>
      </c>
      <c r="I10" s="161">
        <f t="shared" si="2"/>
        <v>2244</v>
      </c>
      <c r="J10" s="600">
        <v>131276</v>
      </c>
      <c r="K10" s="162">
        <f t="shared" si="3"/>
        <v>1492</v>
      </c>
      <c r="L10" s="302">
        <f t="shared" si="4"/>
        <v>106.77280265339967</v>
      </c>
      <c r="M10" s="302">
        <f t="shared" si="5"/>
        <v>166.71840796019902</v>
      </c>
      <c r="N10" s="302">
        <f t="shared" si="6"/>
        <v>79.177446102819232</v>
      </c>
      <c r="O10" s="302">
        <f t="shared" si="7"/>
        <v>159.96313985627418</v>
      </c>
      <c r="P10" s="303">
        <f t="shared" si="9"/>
        <v>512.63179657269211</v>
      </c>
      <c r="Q10" s="303">
        <f>SUM(-tanks!AX12*tanks!$AU$36)</f>
        <v>668.2377204301157</v>
      </c>
      <c r="R10" s="303">
        <f t="shared" si="10"/>
        <v>1180.8695170028077</v>
      </c>
      <c r="S10" s="305">
        <f>SUM(ELEC!N9)</f>
        <v>12789</v>
      </c>
      <c r="T10" s="342">
        <f t="shared" si="12"/>
        <v>9.2334781218453954E-2</v>
      </c>
      <c r="V10" s="269">
        <f>'[1]EDl log'!V27</f>
        <v>99869</v>
      </c>
      <c r="W10" s="269">
        <f>'[1]EDl log'!W27</f>
        <v>182116</v>
      </c>
      <c r="X10" s="269" t="str">
        <f>'[2]EDl log'!X27</f>
        <v>day</v>
      </c>
      <c r="Y10" s="596">
        <f>'[1]EDl log'!Y27</f>
        <v>112</v>
      </c>
      <c r="Z10" s="596">
        <f>'[1]EDl log'!Z27</f>
        <v>1</v>
      </c>
      <c r="AA10" s="596">
        <f>'[1]EDl log'!AA27</f>
        <v>82247</v>
      </c>
      <c r="AB10" s="596">
        <f>'[1]EDl log'!AB27</f>
        <v>9211664</v>
      </c>
      <c r="AC10" s="596">
        <f>'[1]EDl log'!AC27</f>
        <v>6200000</v>
      </c>
      <c r="AD10" s="518">
        <f>'[1]EDl log'!AD27</f>
        <v>0.57407795181059262</v>
      </c>
    </row>
    <row r="11" spans="1:30">
      <c r="A11" s="163">
        <f>ELEC!C10</f>
        <v>44082</v>
      </c>
      <c r="B11" s="564">
        <v>380755</v>
      </c>
      <c r="C11" s="269">
        <f t="shared" si="0"/>
        <v>2176</v>
      </c>
      <c r="D11" s="314">
        <f>SUM(G11+I11+K11)</f>
        <v>2011</v>
      </c>
      <c r="E11" s="314">
        <f t="shared" si="11"/>
        <v>380590</v>
      </c>
      <c r="F11" s="564">
        <v>51578</v>
      </c>
      <c r="G11" s="160">
        <f t="shared" si="1"/>
        <v>225</v>
      </c>
      <c r="H11" s="564">
        <v>197735</v>
      </c>
      <c r="I11" s="161">
        <f t="shared" si="2"/>
        <v>1786</v>
      </c>
      <c r="J11" s="564">
        <f t="shared" ref="J11" si="13">J10</f>
        <v>131276</v>
      </c>
      <c r="K11" s="162">
        <f t="shared" si="3"/>
        <v>0</v>
      </c>
      <c r="L11" s="302">
        <f t="shared" si="4"/>
        <v>47.761194029850749</v>
      </c>
      <c r="M11" s="302">
        <f t="shared" si="5"/>
        <v>132.69121061359868</v>
      </c>
      <c r="N11" s="302">
        <f t="shared" si="6"/>
        <v>0</v>
      </c>
      <c r="O11" s="302">
        <f t="shared" si="7"/>
        <v>159.96313985627418</v>
      </c>
      <c r="P11" s="303">
        <f t="shared" si="9"/>
        <v>340.41554449972364</v>
      </c>
      <c r="Q11" s="303">
        <f>SUM(-tanks!AX13*tanks!$AU$36)</f>
        <v>1519.9440817204284</v>
      </c>
      <c r="R11" s="303">
        <f t="shared" si="10"/>
        <v>1860.359626220152</v>
      </c>
      <c r="S11" s="305">
        <f>SUM(ELEC!N10)</f>
        <v>12367</v>
      </c>
      <c r="T11" s="342">
        <f t="shared" si="12"/>
        <v>0.15042933825666305</v>
      </c>
      <c r="V11" s="269">
        <f>'[1]EDl log'!V28</f>
        <v>30051</v>
      </c>
      <c r="W11" s="269">
        <f>'[1]EDl log'!W28</f>
        <v>47510</v>
      </c>
      <c r="X11" s="269" t="str">
        <f>'[2]EDl log'!X28</f>
        <v>Peak</v>
      </c>
      <c r="Y11" s="596">
        <f>'[1]EDl log'!Y28</f>
        <v>320</v>
      </c>
      <c r="Z11" s="596">
        <f>'[1]EDl log'!Z28</f>
        <v>1</v>
      </c>
      <c r="AA11" s="596">
        <f>'[1]EDl log'!AA28</f>
        <v>17459</v>
      </c>
      <c r="AB11" s="596">
        <f>'[1]EDl log'!AB28</f>
        <v>5586880</v>
      </c>
      <c r="AC11" s="596">
        <f>'[1]EDl log'!AC28</f>
        <v>1000</v>
      </c>
      <c r="AD11" s="518">
        <f>'[1]EDl log'!AD28</f>
        <v>0.12186252338275121</v>
      </c>
    </row>
    <row r="12" spans="1:30">
      <c r="A12" s="163">
        <f>ELEC!C11</f>
        <v>44083</v>
      </c>
      <c r="B12" s="604">
        <v>385691</v>
      </c>
      <c r="C12" s="269">
        <f t="shared" si="0"/>
        <v>4936</v>
      </c>
      <c r="D12" s="314">
        <f t="shared" si="8"/>
        <v>5101</v>
      </c>
      <c r="E12" s="314">
        <f t="shared" si="11"/>
        <v>385856</v>
      </c>
      <c r="F12" s="605">
        <v>52136</v>
      </c>
      <c r="G12" s="160">
        <f t="shared" si="1"/>
        <v>558</v>
      </c>
      <c r="H12" s="604">
        <v>200295</v>
      </c>
      <c r="I12" s="161">
        <f t="shared" si="2"/>
        <v>2560</v>
      </c>
      <c r="J12" s="600">
        <v>133259</v>
      </c>
      <c r="K12" s="162">
        <f t="shared" si="3"/>
        <v>1983</v>
      </c>
      <c r="L12" s="302">
        <f t="shared" si="4"/>
        <v>118.44776119402985</v>
      </c>
      <c r="M12" s="302">
        <f t="shared" si="5"/>
        <v>190.19568822553896</v>
      </c>
      <c r="N12" s="302">
        <f t="shared" si="6"/>
        <v>105.23383084577114</v>
      </c>
      <c r="O12" s="302">
        <f t="shared" si="7"/>
        <v>159.96313985627418</v>
      </c>
      <c r="P12" s="303">
        <f t="shared" si="9"/>
        <v>573.8404201216141</v>
      </c>
      <c r="Q12" s="303">
        <f>SUM(-tanks!AX14*tanks!$AU$36)</f>
        <v>498.51684301075778</v>
      </c>
      <c r="R12" s="303">
        <f t="shared" si="10"/>
        <v>1072.3572631323718</v>
      </c>
      <c r="S12" s="305">
        <f>SUM(ELEC!N11)</f>
        <v>11724</v>
      </c>
      <c r="T12" s="342">
        <f t="shared" si="12"/>
        <v>9.1466842641792209E-2</v>
      </c>
      <c r="V12" s="269"/>
      <c r="W12" s="269"/>
      <c r="X12" s="3"/>
      <c r="Y12" s="269"/>
      <c r="Z12" s="28"/>
      <c r="AA12" s="269">
        <f>'[2]EDl log'!AA29</f>
        <v>93822</v>
      </c>
      <c r="AB12" s="269">
        <f>'[2]EDl log'!AB29</f>
        <v>0</v>
      </c>
      <c r="AC12" s="269">
        <f>'[2]EDl log'!AC29</f>
        <v>0</v>
      </c>
      <c r="AD12" s="518"/>
    </row>
    <row r="13" spans="1:30">
      <c r="A13" s="163">
        <f>ELEC!C12</f>
        <v>44084</v>
      </c>
      <c r="B13" s="606">
        <v>390433</v>
      </c>
      <c r="C13" s="269">
        <f t="shared" si="0"/>
        <v>4742</v>
      </c>
      <c r="D13" s="314">
        <f t="shared" si="8"/>
        <v>4742</v>
      </c>
      <c r="E13" s="314">
        <f t="shared" si="11"/>
        <v>390433</v>
      </c>
      <c r="F13" s="606">
        <v>52621</v>
      </c>
      <c r="G13" s="160">
        <f t="shared" si="1"/>
        <v>485</v>
      </c>
      <c r="H13" s="606">
        <v>202894</v>
      </c>
      <c r="I13" s="161">
        <f t="shared" si="2"/>
        <v>2599</v>
      </c>
      <c r="J13" s="600">
        <v>134917</v>
      </c>
      <c r="K13" s="162">
        <f t="shared" si="3"/>
        <v>1658</v>
      </c>
      <c r="L13" s="302">
        <f t="shared" si="4"/>
        <v>102.95190713101161</v>
      </c>
      <c r="M13" s="302">
        <f t="shared" si="5"/>
        <v>193.0932006633499</v>
      </c>
      <c r="N13" s="302">
        <f t="shared" si="6"/>
        <v>87.986733001658379</v>
      </c>
      <c r="O13" s="302">
        <f t="shared" si="7"/>
        <v>159.96313985627418</v>
      </c>
      <c r="P13" s="303">
        <f t="shared" si="9"/>
        <v>543.99498065229409</v>
      </c>
      <c r="Q13" s="303">
        <f>SUM(-tanks!AX15*tanks!$AU$36)</f>
        <v>-257.94926881721113</v>
      </c>
      <c r="R13" s="303">
        <f t="shared" si="10"/>
        <v>286.04571183508295</v>
      </c>
      <c r="S13" s="305">
        <f>SUM(ELEC!N12)</f>
        <v>11004</v>
      </c>
      <c r="T13" s="342">
        <f t="shared" si="12"/>
        <v>2.5994703002097688E-2</v>
      </c>
      <c r="V13" s="269" t="str">
        <f>'[5]EDl log'!V30</f>
        <v>Occ %</v>
      </c>
      <c r="W13" s="518">
        <f>'[1]EDl log'!W30</f>
        <v>3.4203333333333336E-2</v>
      </c>
      <c r="X13" s="518"/>
      <c r="Y13" s="269" t="str">
        <f>'[2]EDl log'!Y30</f>
        <v>Per G</v>
      </c>
      <c r="Z13" s="3"/>
      <c r="AA13" s="3"/>
      <c r="AB13" s="571">
        <f>'[1]EDl log'!AB30</f>
        <v>18283504</v>
      </c>
      <c r="AC13" s="571">
        <f>'[1]EDl log'!AC30</f>
        <v>7234333</v>
      </c>
    </row>
    <row r="14" spans="1:30" ht="15.75" thickBot="1">
      <c r="A14" s="570">
        <f>ELEC!C13</f>
        <v>44085</v>
      </c>
      <c r="B14" s="607">
        <v>394419</v>
      </c>
      <c r="C14" s="269">
        <f t="shared" si="0"/>
        <v>3986</v>
      </c>
      <c r="D14" s="314">
        <f t="shared" si="8"/>
        <v>3986</v>
      </c>
      <c r="E14" s="314">
        <f t="shared" si="11"/>
        <v>394419</v>
      </c>
      <c r="F14" s="607">
        <v>53212</v>
      </c>
      <c r="G14" s="160">
        <f t="shared" si="1"/>
        <v>591</v>
      </c>
      <c r="H14" s="607">
        <v>204953</v>
      </c>
      <c r="I14" s="161">
        <f t="shared" si="2"/>
        <v>2059</v>
      </c>
      <c r="J14" s="600">
        <v>136253</v>
      </c>
      <c r="K14" s="162">
        <f t="shared" ref="K14:K17" si="14">J14-J13</f>
        <v>1336</v>
      </c>
      <c r="L14" s="302">
        <f t="shared" ref="L14:L17" si="15">SUM(G14*$Y$28)/1507.5</f>
        <v>125.45273631840796</v>
      </c>
      <c r="M14" s="302">
        <f t="shared" ref="M14:M17" si="16">SUM(I14*$Y$27)/1507.5</f>
        <v>152.9737976782753</v>
      </c>
      <c r="N14" s="302">
        <f t="shared" ref="N14:N17" si="17">SUM(K14*$Y$26)/1507.5</f>
        <v>70.898839137645112</v>
      </c>
      <c r="O14" s="302">
        <f t="shared" si="7"/>
        <v>159.96313985627418</v>
      </c>
      <c r="P14" s="303">
        <f t="shared" ref="P14:P17" si="18">SUM(L14:O14)</f>
        <v>509.2885129906025</v>
      </c>
      <c r="Q14" s="303">
        <f>SUM(-tanks!AX16*tanks!$AU$36)</f>
        <v>596.0910537634378</v>
      </c>
      <c r="R14" s="303">
        <f t="shared" ref="R14:R17" si="19">SUM(P14:Q14)</f>
        <v>1105.3795667540403</v>
      </c>
      <c r="S14" s="305">
        <f>SUM(ELEC!N13)</f>
        <v>11016</v>
      </c>
      <c r="T14" s="342">
        <f t="shared" ref="T14:T17" si="20">IF(S14&gt;0,R14/S14,0)</f>
        <v>0.10034309792611114</v>
      </c>
      <c r="V14" s="269" t="str">
        <f>'[5]EDl log'!V31</f>
        <v>Gen RH</v>
      </c>
      <c r="W14" s="597">
        <f>'[1]EDl log'!W31</f>
        <v>167</v>
      </c>
      <c r="X14" s="269">
        <f>'[1]EDl log'!$X$31</f>
        <v>5.387096774193548</v>
      </c>
      <c r="Y14" s="596">
        <f>'[1]EDl log'!$Y$31</f>
        <v>2.693548387096774</v>
      </c>
      <c r="Z14" s="269"/>
      <c r="AA14" s="3"/>
      <c r="AB14" s="571">
        <f>'[1]EDl log'!AB31</f>
        <v>25517837</v>
      </c>
      <c r="AC14" s="571">
        <f>'[1]EDl log'!AC31</f>
        <v>7234333</v>
      </c>
    </row>
    <row r="15" spans="1:30" ht="15.75" thickBot="1">
      <c r="A15" s="163">
        <f>ELEC!C14</f>
        <v>44086</v>
      </c>
      <c r="B15" s="564">
        <v>398754</v>
      </c>
      <c r="C15" s="269">
        <f t="shared" si="0"/>
        <v>4335</v>
      </c>
      <c r="D15" s="314">
        <f t="shared" si="8"/>
        <v>4336</v>
      </c>
      <c r="E15" s="314">
        <f t="shared" si="11"/>
        <v>398755</v>
      </c>
      <c r="F15" s="564">
        <v>53968</v>
      </c>
      <c r="G15" s="160">
        <f t="shared" si="1"/>
        <v>756</v>
      </c>
      <c r="H15" s="564">
        <v>206526</v>
      </c>
      <c r="I15" s="161">
        <f t="shared" si="2"/>
        <v>1573</v>
      </c>
      <c r="J15" s="564">
        <v>138260</v>
      </c>
      <c r="K15" s="162">
        <f t="shared" si="14"/>
        <v>2007</v>
      </c>
      <c r="L15" s="302">
        <f t="shared" si="15"/>
        <v>160.47761194029852</v>
      </c>
      <c r="M15" s="302">
        <f t="shared" si="16"/>
        <v>116.86633499170813</v>
      </c>
      <c r="N15" s="302">
        <f t="shared" si="17"/>
        <v>106.50746268656717</v>
      </c>
      <c r="O15" s="302">
        <f t="shared" si="7"/>
        <v>159.96313985627418</v>
      </c>
      <c r="P15" s="303">
        <f t="shared" si="18"/>
        <v>543.81454947484804</v>
      </c>
      <c r="Q15" s="303">
        <f>SUM(-tanks!AX17*tanks!$AU$36)</f>
        <v>502.9819569892544</v>
      </c>
      <c r="R15" s="303">
        <f t="shared" si="19"/>
        <v>1046.7965064641025</v>
      </c>
      <c r="S15" s="305">
        <f>SUM(ELEC!N14)</f>
        <v>10368</v>
      </c>
      <c r="T15" s="342">
        <f t="shared" si="20"/>
        <v>0.10096416921914569</v>
      </c>
      <c r="V15" s="269" t="str">
        <f>'[5]EDl log'!V32</f>
        <v>H Deg</v>
      </c>
      <c r="W15" s="597">
        <f>'[1]EDl log'!W32</f>
        <v>0</v>
      </c>
      <c r="X15" s="571">
        <f>'[7]EDl log'!X15</f>
        <v>0</v>
      </c>
      <c r="Y15" s="269"/>
      <c r="Z15" s="269"/>
      <c r="AA15" s="3"/>
      <c r="AB15" s="269">
        <f>'[8]EDl log'!AB32</f>
        <v>0</v>
      </c>
      <c r="AC15" s="269">
        <f>'[7]EDl log'!AC33</f>
        <v>0</v>
      </c>
    </row>
    <row r="16" spans="1:30" ht="15.75" thickBot="1">
      <c r="A16" s="163">
        <f>ELEC!C15</f>
        <v>44087</v>
      </c>
      <c r="B16" s="564">
        <v>402256</v>
      </c>
      <c r="C16" s="269">
        <f t="shared" si="0"/>
        <v>3502</v>
      </c>
      <c r="D16" s="314">
        <f t="shared" si="8"/>
        <v>3502</v>
      </c>
      <c r="E16" s="314">
        <f t="shared" si="11"/>
        <v>402256</v>
      </c>
      <c r="F16" s="564">
        <v>54547</v>
      </c>
      <c r="G16" s="160">
        <f t="shared" si="1"/>
        <v>579</v>
      </c>
      <c r="H16" s="564">
        <v>207866</v>
      </c>
      <c r="I16" s="161">
        <f t="shared" si="2"/>
        <v>1340</v>
      </c>
      <c r="J16" s="564">
        <v>139843</v>
      </c>
      <c r="K16" s="162">
        <f t="shared" si="14"/>
        <v>1583</v>
      </c>
      <c r="L16" s="302">
        <f t="shared" si="15"/>
        <v>122.90547263681592</v>
      </c>
      <c r="M16" s="302">
        <f t="shared" si="16"/>
        <v>99.555555555555557</v>
      </c>
      <c r="N16" s="302">
        <f t="shared" si="17"/>
        <v>84.006633499170817</v>
      </c>
      <c r="O16" s="302">
        <f t="shared" si="7"/>
        <v>159.96313985627418</v>
      </c>
      <c r="P16" s="303">
        <f t="shared" si="18"/>
        <v>466.43080154781649</v>
      </c>
      <c r="Q16" s="303">
        <f>SUM(-tanks!AX18*tanks!$AU$36)</f>
        <v>438.04995698924688</v>
      </c>
      <c r="R16" s="303">
        <f t="shared" si="19"/>
        <v>904.48075853706337</v>
      </c>
      <c r="S16" s="305">
        <f>SUM(ELEC!N15)</f>
        <v>9041</v>
      </c>
      <c r="T16" s="342">
        <f t="shared" si="20"/>
        <v>0.10004211464849722</v>
      </c>
      <c r="V16" s="269" t="str">
        <f>'[5]EDl log'!V33</f>
        <v>C Deg</v>
      </c>
      <c r="W16" s="597">
        <f>'[1]EDl log'!W33</f>
        <v>307.69999999999982</v>
      </c>
      <c r="X16" s="571">
        <f>'[7]EDl log'!X16</f>
        <v>0</v>
      </c>
      <c r="Y16" s="571">
        <f>'[5]EDl log'!Y33</f>
        <v>0</v>
      </c>
      <c r="Z16" s="3"/>
      <c r="AA16" s="3"/>
      <c r="AB16" s="269">
        <f>'[8]EDl log'!AB33</f>
        <v>0</v>
      </c>
      <c r="AC16" s="269">
        <f>'[7]EDl log'!AC34</f>
        <v>0</v>
      </c>
    </row>
    <row r="17" spans="1:32" ht="15.75" thickBot="1">
      <c r="A17" s="163">
        <f>ELEC!C16</f>
        <v>44088</v>
      </c>
      <c r="B17" s="564">
        <v>405983</v>
      </c>
      <c r="C17" s="269">
        <f t="shared" si="0"/>
        <v>3727</v>
      </c>
      <c r="D17" s="314">
        <f t="shared" si="8"/>
        <v>3727</v>
      </c>
      <c r="E17" s="314">
        <f t="shared" si="11"/>
        <v>405983</v>
      </c>
      <c r="F17" s="564">
        <v>54899</v>
      </c>
      <c r="G17" s="160">
        <f t="shared" si="1"/>
        <v>352</v>
      </c>
      <c r="H17" s="564">
        <v>210046</v>
      </c>
      <c r="I17" s="161">
        <f t="shared" si="2"/>
        <v>2180</v>
      </c>
      <c r="J17" s="564">
        <v>141038</v>
      </c>
      <c r="K17" s="162">
        <f t="shared" si="14"/>
        <v>1195</v>
      </c>
      <c r="L17" s="302">
        <f t="shared" si="15"/>
        <v>74.719734660033168</v>
      </c>
      <c r="M17" s="302">
        <f t="shared" si="16"/>
        <v>161.96351575456052</v>
      </c>
      <c r="N17" s="302">
        <f t="shared" si="17"/>
        <v>63.41625207296849</v>
      </c>
      <c r="O17" s="302">
        <f t="shared" si="7"/>
        <v>159.96313985627418</v>
      </c>
      <c r="P17" s="303">
        <f t="shared" si="18"/>
        <v>460.06264234383639</v>
      </c>
      <c r="Q17" s="303">
        <f>SUM(-tanks!AX19*tanks!$AU$36)</f>
        <v>274.50975483870849</v>
      </c>
      <c r="R17" s="303">
        <f t="shared" si="19"/>
        <v>734.57239718254482</v>
      </c>
      <c r="S17" s="305">
        <f>SUM(ELEC!N16)</f>
        <v>9105</v>
      </c>
      <c r="T17" s="342">
        <f t="shared" si="20"/>
        <v>8.0677912925046114E-2</v>
      </c>
      <c r="V17" s="257"/>
      <c r="W17" s="518"/>
      <c r="X17" s="17"/>
      <c r="Y17" s="441"/>
      <c r="Z17" s="518"/>
      <c r="AA17" s="518"/>
      <c r="AB17" s="269">
        <f>'[8]EDl log'!AB34</f>
        <v>0</v>
      </c>
      <c r="AC17" s="269">
        <f>'[7]EDl log'!AC35</f>
        <v>0</v>
      </c>
    </row>
    <row r="18" spans="1:32" ht="15.75" thickBot="1">
      <c r="A18" s="163">
        <f>ELEC!C17</f>
        <v>44089</v>
      </c>
      <c r="B18" s="564">
        <v>409717</v>
      </c>
      <c r="C18" s="269">
        <f t="shared" si="0"/>
        <v>3734</v>
      </c>
      <c r="D18" s="314">
        <f t="shared" si="8"/>
        <v>3734</v>
      </c>
      <c r="E18" s="314">
        <f t="shared" si="11"/>
        <v>409717</v>
      </c>
      <c r="F18" s="564">
        <v>55251</v>
      </c>
      <c r="G18" s="160">
        <f t="shared" si="1"/>
        <v>352</v>
      </c>
      <c r="H18" s="564">
        <v>211742</v>
      </c>
      <c r="I18" s="161">
        <f t="shared" si="2"/>
        <v>1696</v>
      </c>
      <c r="J18" s="564">
        <v>142724</v>
      </c>
      <c r="K18" s="162">
        <f t="shared" si="3"/>
        <v>1686</v>
      </c>
      <c r="L18" s="302">
        <f t="shared" ref="L18:L33" si="21">SUM(G18*$Y$28)/1507.5</f>
        <v>74.719734660033168</v>
      </c>
      <c r="M18" s="302">
        <f t="shared" ref="M18:M33" si="22">SUM(I18*$Y$27)/1507.5</f>
        <v>126.00464344941958</v>
      </c>
      <c r="N18" s="302">
        <f t="shared" ref="N18:N33" si="23">SUM(K18*$Y$26)/1507.5</f>
        <v>89.472636815920396</v>
      </c>
      <c r="O18" s="302">
        <f t="shared" si="7"/>
        <v>159.96313985627418</v>
      </c>
      <c r="P18" s="303">
        <f t="shared" si="9"/>
        <v>450.16015478164729</v>
      </c>
      <c r="Q18" s="303">
        <f>SUM(-tanks!AX20*tanks!$AU$36)</f>
        <v>644.87815913977784</v>
      </c>
      <c r="R18" s="303">
        <f t="shared" si="10"/>
        <v>1095.038313921425</v>
      </c>
      <c r="S18" s="305">
        <f>SUM(ELEC!N17)</f>
        <v>10455</v>
      </c>
      <c r="T18" s="342">
        <f t="shared" si="12"/>
        <v>0.10473824140807508</v>
      </c>
      <c r="V18" s="232"/>
      <c r="W18" s="233"/>
      <c r="X18" s="233"/>
      <c r="Y18" s="441"/>
      <c r="Z18" s="518" t="str">
        <f>'[5]EDl log'!Z35</f>
        <v xml:space="preserve">VAT </v>
      </c>
      <c r="AA18" s="518">
        <f>'[5]EDl log'!AA35</f>
        <v>0.11</v>
      </c>
      <c r="AB18" s="269">
        <f>'[2]EDl log'!AB35</f>
        <v>0</v>
      </c>
      <c r="AC18" s="269">
        <f>'[2]EDl log'!AC35</f>
        <v>0</v>
      </c>
    </row>
    <row r="19" spans="1:32" ht="15.75" thickBot="1">
      <c r="A19" s="163">
        <f>ELEC!C18</f>
        <v>44090</v>
      </c>
      <c r="B19" s="611">
        <v>413752</v>
      </c>
      <c r="C19" s="269">
        <f t="shared" si="0"/>
        <v>4035</v>
      </c>
      <c r="D19" s="314">
        <f t="shared" si="8"/>
        <v>4035</v>
      </c>
      <c r="E19" s="314">
        <f t="shared" si="11"/>
        <v>413752</v>
      </c>
      <c r="F19" s="611">
        <v>55594</v>
      </c>
      <c r="G19" s="160">
        <f t="shared" si="1"/>
        <v>343</v>
      </c>
      <c r="H19" s="611">
        <v>214014</v>
      </c>
      <c r="I19" s="161">
        <f t="shared" si="2"/>
        <v>2272</v>
      </c>
      <c r="J19" s="600">
        <v>144144</v>
      </c>
      <c r="K19" s="162">
        <f t="shared" si="3"/>
        <v>1420</v>
      </c>
      <c r="L19" s="302">
        <f t="shared" si="21"/>
        <v>72.809286898839133</v>
      </c>
      <c r="M19" s="302">
        <f t="shared" si="22"/>
        <v>168.79867330016583</v>
      </c>
      <c r="N19" s="302">
        <f t="shared" si="23"/>
        <v>75.356550580431175</v>
      </c>
      <c r="O19" s="302">
        <f t="shared" si="7"/>
        <v>159.96313985627418</v>
      </c>
      <c r="P19" s="303">
        <f t="shared" si="9"/>
        <v>476.92765063571028</v>
      </c>
      <c r="Q19" s="303">
        <f>SUM(-tanks!AX21*tanks!$AU$36)</f>
        <v>446.98018494624773</v>
      </c>
      <c r="R19" s="303">
        <f t="shared" si="10"/>
        <v>923.90783558195801</v>
      </c>
      <c r="S19" s="305">
        <f>SUM(ELEC!N18)</f>
        <v>10163</v>
      </c>
      <c r="T19" s="342">
        <f t="shared" si="12"/>
        <v>9.0908967389742995E-2</v>
      </c>
      <c r="V19" s="232"/>
      <c r="W19" s="233"/>
      <c r="X19" s="233"/>
      <c r="Y19" s="441"/>
      <c r="Z19" s="441"/>
      <c r="AA19" s="269"/>
      <c r="AB19" s="596">
        <f>'[1]EDl log'!$AB$36</f>
        <v>2806962.07</v>
      </c>
      <c r="AC19" s="269">
        <f>'[2]EDl log'!AC36</f>
        <v>0</v>
      </c>
    </row>
    <row r="20" spans="1:32" ht="15.75" thickBot="1">
      <c r="A20" s="163">
        <f>ELEC!C19</f>
        <v>44091</v>
      </c>
      <c r="B20" s="612">
        <v>417649</v>
      </c>
      <c r="C20" s="269">
        <f t="shared" si="0"/>
        <v>3897</v>
      </c>
      <c r="D20" s="314">
        <f t="shared" si="8"/>
        <v>3896</v>
      </c>
      <c r="E20" s="314">
        <f t="shared" si="11"/>
        <v>417648</v>
      </c>
      <c r="F20" s="612">
        <v>56195</v>
      </c>
      <c r="G20" s="160">
        <f t="shared" si="1"/>
        <v>601</v>
      </c>
      <c r="H20" s="612">
        <v>215940</v>
      </c>
      <c r="I20" s="161">
        <f t="shared" si="2"/>
        <v>1926</v>
      </c>
      <c r="J20" s="600">
        <v>145513</v>
      </c>
      <c r="K20" s="162">
        <f t="shared" si="3"/>
        <v>1369</v>
      </c>
      <c r="L20" s="302">
        <f t="shared" si="21"/>
        <v>127.575456053068</v>
      </c>
      <c r="M20" s="302">
        <f t="shared" si="22"/>
        <v>143.09253731343284</v>
      </c>
      <c r="N20" s="302">
        <f t="shared" si="23"/>
        <v>72.650082918739642</v>
      </c>
      <c r="O20" s="302">
        <f t="shared" si="7"/>
        <v>159.96313985627418</v>
      </c>
      <c r="P20" s="303">
        <f t="shared" si="9"/>
        <v>503.28121614151462</v>
      </c>
      <c r="Q20" s="303">
        <f>SUM(-tanks!AX22*tanks!$AU$36)</f>
        <v>221.25753548387178</v>
      </c>
      <c r="R20" s="303">
        <f t="shared" si="10"/>
        <v>724.53875162538634</v>
      </c>
      <c r="S20" s="305">
        <f>SUM(ELEC!N19)</f>
        <v>9226</v>
      </c>
      <c r="T20" s="342">
        <f t="shared" si="12"/>
        <v>7.8532273100518787E-2</v>
      </c>
      <c r="V20" t="s">
        <v>414</v>
      </c>
      <c r="AB20" s="269"/>
    </row>
    <row r="21" spans="1:32">
      <c r="A21" s="163">
        <f>ELEC!C20</f>
        <v>44092</v>
      </c>
      <c r="B21" s="564">
        <v>421904</v>
      </c>
      <c r="C21" s="269">
        <f t="shared" si="0"/>
        <v>4255</v>
      </c>
      <c r="D21" s="314">
        <f t="shared" si="8"/>
        <v>4256</v>
      </c>
      <c r="E21" s="314">
        <f t="shared" si="11"/>
        <v>421905</v>
      </c>
      <c r="F21" s="564">
        <v>56746</v>
      </c>
      <c r="G21" s="160">
        <f t="shared" si="1"/>
        <v>551</v>
      </c>
      <c r="H21" s="564">
        <v>218078</v>
      </c>
      <c r="I21" s="161">
        <f t="shared" si="2"/>
        <v>2138</v>
      </c>
      <c r="J21" s="564">
        <v>147080</v>
      </c>
      <c r="K21" s="162">
        <f t="shared" si="3"/>
        <v>1567</v>
      </c>
      <c r="L21" s="302">
        <f t="shared" si="21"/>
        <v>116.96185737976782</v>
      </c>
      <c r="M21" s="302">
        <f t="shared" si="22"/>
        <v>158.84311774461028</v>
      </c>
      <c r="N21" s="302">
        <f t="shared" si="23"/>
        <v>83.157545605306794</v>
      </c>
      <c r="O21" s="302">
        <f t="shared" si="7"/>
        <v>159.96313985627418</v>
      </c>
      <c r="P21" s="303">
        <f t="shared" si="9"/>
        <v>518.92566058595901</v>
      </c>
      <c r="Q21" s="303">
        <f>SUM(-tanks!AX23*tanks!$AU$36)</f>
        <v>312.47486021504852</v>
      </c>
      <c r="R21" s="303">
        <f t="shared" si="10"/>
        <v>831.40052080100759</v>
      </c>
      <c r="S21" s="305">
        <f>SUM(ELEC!N20)</f>
        <v>9673</v>
      </c>
      <c r="T21" s="342">
        <f t="shared" si="12"/>
        <v>8.5950637940763727E-2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70"/>
      <c r="AC21" s="671"/>
    </row>
    <row r="22" spans="1:32" ht="15.75" thickBot="1">
      <c r="A22" s="163">
        <f>ELEC!C21</f>
        <v>44093</v>
      </c>
      <c r="B22" s="613">
        <v>425009</v>
      </c>
      <c r="C22" s="269">
        <f t="shared" si="0"/>
        <v>3105</v>
      </c>
      <c r="D22" s="314">
        <f t="shared" si="8"/>
        <v>3105</v>
      </c>
      <c r="E22" s="314">
        <f t="shared" si="11"/>
        <v>425009</v>
      </c>
      <c r="F22" s="613">
        <v>57380</v>
      </c>
      <c r="G22" s="160">
        <f t="shared" si="1"/>
        <v>634</v>
      </c>
      <c r="H22" s="613">
        <v>219493</v>
      </c>
      <c r="I22" s="161">
        <f t="shared" si="2"/>
        <v>1415</v>
      </c>
      <c r="J22" s="600">
        <v>148136</v>
      </c>
      <c r="K22" s="162">
        <f t="shared" si="3"/>
        <v>1056</v>
      </c>
      <c r="L22" s="302">
        <f t="shared" si="21"/>
        <v>134.58043117744612</v>
      </c>
      <c r="M22" s="302">
        <f t="shared" si="22"/>
        <v>105.12769485903814</v>
      </c>
      <c r="N22" s="302">
        <f t="shared" si="23"/>
        <v>56.039800995024876</v>
      </c>
      <c r="O22" s="302">
        <f t="shared" si="7"/>
        <v>159.96313985627418</v>
      </c>
      <c r="P22" s="303">
        <f t="shared" si="9"/>
        <v>455.71106688778332</v>
      </c>
      <c r="Q22" s="303">
        <f>SUM(-tanks!AX24*tanks!$AU$36)</f>
        <v>477.73062365591358</v>
      </c>
      <c r="R22" s="303">
        <f t="shared" si="10"/>
        <v>933.44169054369695</v>
      </c>
      <c r="S22" s="305">
        <f>SUM(ELEC!N21)</f>
        <v>7867</v>
      </c>
      <c r="T22" s="342">
        <f t="shared" si="12"/>
        <v>0.11865281435664128</v>
      </c>
      <c r="V22" s="676"/>
      <c r="W22" s="677"/>
      <c r="X22" s="677"/>
      <c r="Y22" s="678"/>
      <c r="Z22" s="26" t="s">
        <v>203</v>
      </c>
      <c r="AA22" s="26">
        <v>5000</v>
      </c>
      <c r="AB22" s="672"/>
      <c r="AC22" s="673"/>
    </row>
    <row r="23" spans="1:32">
      <c r="A23" s="163">
        <f>ELEC!C22</f>
        <v>44094</v>
      </c>
      <c r="B23" s="564">
        <v>428590</v>
      </c>
      <c r="C23" s="269">
        <f t="shared" si="0"/>
        <v>3581</v>
      </c>
      <c r="D23" s="314">
        <f t="shared" si="8"/>
        <v>3579</v>
      </c>
      <c r="E23" s="314">
        <f t="shared" si="11"/>
        <v>428588</v>
      </c>
      <c r="F23" s="564">
        <v>58002</v>
      </c>
      <c r="G23" s="160">
        <f t="shared" si="1"/>
        <v>622</v>
      </c>
      <c r="H23" s="564">
        <v>221174</v>
      </c>
      <c r="I23" s="161">
        <f t="shared" si="2"/>
        <v>1681</v>
      </c>
      <c r="J23" s="564">
        <v>149412</v>
      </c>
      <c r="K23" s="162">
        <f t="shared" si="3"/>
        <v>1276</v>
      </c>
      <c r="L23" s="302">
        <f t="shared" si="21"/>
        <v>132.03316749585406</v>
      </c>
      <c r="M23" s="302">
        <f t="shared" si="22"/>
        <v>124.89021558872305</v>
      </c>
      <c r="N23" s="302">
        <f t="shared" si="23"/>
        <v>67.714759535655062</v>
      </c>
      <c r="O23" s="302">
        <f t="shared" si="7"/>
        <v>159.96313985627418</v>
      </c>
      <c r="P23" s="303">
        <f t="shared" si="9"/>
        <v>484.6012824765063</v>
      </c>
      <c r="Q23" s="303">
        <f>SUM(-tanks!AX25*tanks!$AU$36)</f>
        <v>316.08219354838934</v>
      </c>
      <c r="R23" s="303">
        <f t="shared" si="10"/>
        <v>800.68347602489564</v>
      </c>
      <c r="S23" s="305">
        <f>SUM(ELEC!N22)</f>
        <v>8881</v>
      </c>
      <c r="T23" s="342">
        <f t="shared" si="12"/>
        <v>9.0156905306260068E-2</v>
      </c>
      <c r="V23" s="679"/>
      <c r="W23" s="680"/>
      <c r="X23" s="680"/>
      <c r="Y23" s="681"/>
      <c r="Z23" s="682"/>
      <c r="AA23" s="683"/>
      <c r="AB23" s="672"/>
      <c r="AC23" s="673"/>
    </row>
    <row r="24" spans="1:32" ht="15" customHeight="1" thickBot="1">
      <c r="A24" s="163">
        <f>ELEC!C23</f>
        <v>44095</v>
      </c>
      <c r="B24" s="614">
        <v>432268</v>
      </c>
      <c r="C24" s="269">
        <f t="shared" si="0"/>
        <v>3678</v>
      </c>
      <c r="D24" s="314">
        <f t="shared" si="8"/>
        <v>3680</v>
      </c>
      <c r="E24" s="314">
        <f t="shared" si="11"/>
        <v>432270</v>
      </c>
      <c r="F24" s="614">
        <v>58412</v>
      </c>
      <c r="G24" s="160">
        <f t="shared" si="1"/>
        <v>410</v>
      </c>
      <c r="H24" s="614">
        <v>222876</v>
      </c>
      <c r="I24" s="161">
        <f t="shared" si="2"/>
        <v>1702</v>
      </c>
      <c r="J24" s="600">
        <v>150980</v>
      </c>
      <c r="K24" s="162">
        <f t="shared" si="3"/>
        <v>1568</v>
      </c>
      <c r="L24" s="302">
        <f t="shared" si="21"/>
        <v>87.031509121061362</v>
      </c>
      <c r="M24" s="302">
        <f t="shared" si="22"/>
        <v>126.45041459369817</v>
      </c>
      <c r="N24" s="302">
        <f t="shared" si="23"/>
        <v>83.210613598673305</v>
      </c>
      <c r="O24" s="302">
        <f t="shared" si="7"/>
        <v>159.96313985627418</v>
      </c>
      <c r="P24" s="303">
        <f t="shared" si="9"/>
        <v>456.65567716970702</v>
      </c>
      <c r="Q24" s="303">
        <f>SUM(-tanks!AX26*tanks!$AU$36)</f>
        <v>474.12329032257276</v>
      </c>
      <c r="R24" s="303">
        <f t="shared" si="10"/>
        <v>930.77896749227978</v>
      </c>
      <c r="S24" s="305">
        <f>SUM(ELEC!N23)</f>
        <v>9258</v>
      </c>
      <c r="T24" s="342">
        <f t="shared" si="12"/>
        <v>0.10053780163018793</v>
      </c>
      <c r="V24" s="684" t="s">
        <v>204</v>
      </c>
      <c r="W24" s="685"/>
      <c r="X24" s="686" t="s">
        <v>205</v>
      </c>
      <c r="Y24" s="687"/>
      <c r="Z24" s="688"/>
      <c r="AA24" s="170"/>
      <c r="AB24" s="674"/>
      <c r="AC24" s="675"/>
    </row>
    <row r="25" spans="1:32" ht="17.25" customHeight="1" thickBot="1">
      <c r="A25" s="163">
        <f>ELEC!C24</f>
        <v>44096</v>
      </c>
      <c r="B25" s="564">
        <v>435726</v>
      </c>
      <c r="C25" s="269">
        <f t="shared" si="0"/>
        <v>3458</v>
      </c>
      <c r="D25" s="314">
        <f t="shared" si="8"/>
        <v>3456</v>
      </c>
      <c r="E25" s="314">
        <f t="shared" si="11"/>
        <v>435724</v>
      </c>
      <c r="F25" s="564">
        <v>58661</v>
      </c>
      <c r="G25" s="160">
        <f t="shared" si="1"/>
        <v>249</v>
      </c>
      <c r="H25" s="564">
        <v>224635</v>
      </c>
      <c r="I25" s="161">
        <f t="shared" si="2"/>
        <v>1759</v>
      </c>
      <c r="J25" s="564">
        <v>152428</v>
      </c>
      <c r="K25" s="162">
        <f t="shared" si="3"/>
        <v>1448</v>
      </c>
      <c r="L25" s="302">
        <f t="shared" si="21"/>
        <v>52.855721393034827</v>
      </c>
      <c r="M25" s="302">
        <f t="shared" si="22"/>
        <v>130.68524046434493</v>
      </c>
      <c r="N25" s="302">
        <f t="shared" si="23"/>
        <v>76.842454394693206</v>
      </c>
      <c r="O25" s="302">
        <f t="shared" si="7"/>
        <v>159.96313985627418</v>
      </c>
      <c r="P25" s="303">
        <f t="shared" si="9"/>
        <v>420.34655610834716</v>
      </c>
      <c r="Q25" s="303">
        <f>SUM(-tanks!AX27*tanks!$AU$36)</f>
        <v>632.16438709677493</v>
      </c>
      <c r="R25" s="303">
        <f t="shared" si="10"/>
        <v>1052.5109432051222</v>
      </c>
      <c r="S25" s="305">
        <f>SUM(ELEC!N24)</f>
        <v>10688</v>
      </c>
      <c r="T25" s="342">
        <f t="shared" si="12"/>
        <v>9.8475949027425361E-2</v>
      </c>
      <c r="V25" s="251" t="s">
        <v>206</v>
      </c>
      <c r="W25" s="252" t="s">
        <v>207</v>
      </c>
      <c r="X25" s="252"/>
      <c r="Y25" s="252" t="s">
        <v>208</v>
      </c>
      <c r="Z25" s="252" t="s">
        <v>209</v>
      </c>
      <c r="AA25" s="252" t="s">
        <v>210</v>
      </c>
      <c r="AB25" s="252" t="s">
        <v>211</v>
      </c>
      <c r="AC25" s="171" t="s">
        <v>212</v>
      </c>
    </row>
    <row r="26" spans="1:32" ht="15.75" thickBot="1">
      <c r="A26" s="163">
        <f>ELEC!C25</f>
        <v>44097</v>
      </c>
      <c r="B26" s="564">
        <v>440335</v>
      </c>
      <c r="C26" s="269">
        <f t="shared" si="0"/>
        <v>4609</v>
      </c>
      <c r="D26" s="314">
        <f t="shared" si="8"/>
        <v>4610</v>
      </c>
      <c r="E26" s="314">
        <f t="shared" si="11"/>
        <v>440336</v>
      </c>
      <c r="F26" s="564">
        <v>59237</v>
      </c>
      <c r="G26" s="160">
        <f t="shared" si="1"/>
        <v>576</v>
      </c>
      <c r="H26" s="564">
        <v>227399</v>
      </c>
      <c r="I26" s="161">
        <f t="shared" si="2"/>
        <v>2764</v>
      </c>
      <c r="J26" s="564">
        <v>153698</v>
      </c>
      <c r="K26" s="162">
        <f t="shared" si="3"/>
        <v>1270</v>
      </c>
      <c r="L26" s="302">
        <f t="shared" si="21"/>
        <v>122.26865671641791</v>
      </c>
      <c r="M26" s="302">
        <f t="shared" si="22"/>
        <v>205.35190713101161</v>
      </c>
      <c r="N26" s="302">
        <f t="shared" si="23"/>
        <v>67.396351575456052</v>
      </c>
      <c r="O26" s="302">
        <f t="shared" si="7"/>
        <v>159.96313985627418</v>
      </c>
      <c r="P26" s="303">
        <f t="shared" si="9"/>
        <v>554.98005527915973</v>
      </c>
      <c r="Q26" s="303">
        <f>SUM(-tanks!AX28*tanks!$AU$36)</f>
        <v>316.08219354838559</v>
      </c>
      <c r="R26" s="303">
        <f t="shared" si="10"/>
        <v>871.06224882754532</v>
      </c>
      <c r="S26" s="305">
        <f>SUM(ELEC!N25)</f>
        <v>10343</v>
      </c>
      <c r="T26" s="342">
        <f t="shared" si="12"/>
        <v>8.4217562489369166E-2</v>
      </c>
      <c r="V26" s="258">
        <f>W9</f>
        <v>119653</v>
      </c>
      <c r="W26" s="170">
        <f>J33</f>
        <v>164328</v>
      </c>
      <c r="X26" s="172" t="s">
        <v>199</v>
      </c>
      <c r="Y26" s="172">
        <v>80</v>
      </c>
      <c r="Z26" s="172">
        <v>1</v>
      </c>
      <c r="AA26" s="344">
        <f>(W26-V26)*Z26</f>
        <v>44675</v>
      </c>
      <c r="AB26" s="344">
        <f>AA26*Y26</f>
        <v>3574000</v>
      </c>
      <c r="AC26" s="253">
        <f>AC9</f>
        <v>1033333</v>
      </c>
      <c r="AD26" s="215">
        <f>SUM(K37)</f>
        <v>0.37081458855558691</v>
      </c>
    </row>
    <row r="27" spans="1:32">
      <c r="A27" s="163">
        <f>ELEC!C26</f>
        <v>44098</v>
      </c>
      <c r="B27" s="564">
        <v>444798</v>
      </c>
      <c r="C27" s="269">
        <f t="shared" si="0"/>
        <v>4463</v>
      </c>
      <c r="D27" s="314">
        <f t="shared" si="8"/>
        <v>4464</v>
      </c>
      <c r="E27" s="314">
        <f t="shared" si="11"/>
        <v>444799</v>
      </c>
      <c r="F27" s="564">
        <v>59622</v>
      </c>
      <c r="G27" s="160">
        <f t="shared" si="1"/>
        <v>385</v>
      </c>
      <c r="H27" s="564">
        <v>229801</v>
      </c>
      <c r="I27" s="161">
        <f t="shared" si="2"/>
        <v>2402</v>
      </c>
      <c r="J27" s="564">
        <v>155375</v>
      </c>
      <c r="K27" s="162">
        <f t="shared" si="3"/>
        <v>1677</v>
      </c>
      <c r="L27" s="302">
        <f t="shared" si="21"/>
        <v>81.724709784411274</v>
      </c>
      <c r="M27" s="302">
        <f t="shared" si="22"/>
        <v>178.457048092869</v>
      </c>
      <c r="N27" s="302">
        <f t="shared" si="23"/>
        <v>88.995024875621894</v>
      </c>
      <c r="O27" s="302">
        <f t="shared" si="7"/>
        <v>159.96313985627418</v>
      </c>
      <c r="P27" s="303">
        <f t="shared" si="9"/>
        <v>509.13992260917632</v>
      </c>
      <c r="Q27" s="303">
        <f>SUM(-tanks!AX29*tanks!$AU$36)</f>
        <v>-680.95481720429541</v>
      </c>
      <c r="R27" s="303">
        <f t="shared" si="10"/>
        <v>-171.81489459511909</v>
      </c>
      <c r="S27" s="305">
        <f>SUM(ELEC!N26)</f>
        <v>10227</v>
      </c>
      <c r="T27" s="342">
        <f t="shared" si="12"/>
        <v>-1.6800126586009493E-2</v>
      </c>
      <c r="V27" s="258">
        <f t="shared" ref="V27:V28" si="24">W10</f>
        <v>182116</v>
      </c>
      <c r="W27" s="170">
        <f>H33</f>
        <v>242131</v>
      </c>
      <c r="X27" s="172" t="s">
        <v>213</v>
      </c>
      <c r="Y27" s="172">
        <v>112</v>
      </c>
      <c r="Z27" s="172">
        <v>1</v>
      </c>
      <c r="AA27" s="344">
        <f>(W27-V27)*Z27</f>
        <v>60015</v>
      </c>
      <c r="AB27" s="344">
        <f>SUM(AA27*Y27)</f>
        <v>6721680</v>
      </c>
      <c r="AC27" s="253">
        <f>AC10</f>
        <v>6200000</v>
      </c>
      <c r="AD27" s="215">
        <f>SUM(I37)</f>
        <v>0.49814073938810405</v>
      </c>
    </row>
    <row r="28" spans="1:32" ht="15.75" thickBot="1">
      <c r="A28" s="163">
        <f>ELEC!C27</f>
        <v>44099</v>
      </c>
      <c r="B28" s="615">
        <v>448349</v>
      </c>
      <c r="C28" s="269">
        <f t="shared" si="0"/>
        <v>3551</v>
      </c>
      <c r="D28" s="314">
        <f t="shared" si="8"/>
        <v>3550</v>
      </c>
      <c r="E28" s="314">
        <f t="shared" si="11"/>
        <v>448348</v>
      </c>
      <c r="F28" s="615">
        <v>59964</v>
      </c>
      <c r="G28" s="160">
        <f t="shared" si="1"/>
        <v>342</v>
      </c>
      <c r="H28" s="615">
        <v>231732</v>
      </c>
      <c r="I28" s="161">
        <f t="shared" si="2"/>
        <v>1931</v>
      </c>
      <c r="J28" s="600">
        <v>156652</v>
      </c>
      <c r="K28" s="162">
        <f t="shared" si="3"/>
        <v>1277</v>
      </c>
      <c r="L28" s="302">
        <f t="shared" si="21"/>
        <v>72.597014925373131</v>
      </c>
      <c r="M28" s="302">
        <f t="shared" si="22"/>
        <v>143.46401326699834</v>
      </c>
      <c r="N28" s="302">
        <f t="shared" si="23"/>
        <v>67.767827529021559</v>
      </c>
      <c r="O28" s="302">
        <f t="shared" si="7"/>
        <v>159.96313985627418</v>
      </c>
      <c r="P28" s="303">
        <f t="shared" si="9"/>
        <v>443.79199557766719</v>
      </c>
      <c r="Q28" s="303">
        <f>SUM(-tanks!AX30*tanks!$AU$36)</f>
        <v>412.79862365591356</v>
      </c>
      <c r="R28" s="303">
        <f t="shared" si="10"/>
        <v>856.59061923358081</v>
      </c>
      <c r="S28" s="305">
        <f>SUM(ELEC!N27)</f>
        <v>8186</v>
      </c>
      <c r="T28" s="342">
        <f t="shared" si="12"/>
        <v>0.10464092587754469</v>
      </c>
      <c r="V28" s="258">
        <f t="shared" si="24"/>
        <v>47510</v>
      </c>
      <c r="W28" s="170">
        <f>F33</f>
        <v>63298</v>
      </c>
      <c r="X28" s="172" t="s">
        <v>197</v>
      </c>
      <c r="Y28" s="172">
        <v>320</v>
      </c>
      <c r="Z28" s="172">
        <v>1</v>
      </c>
      <c r="AA28" s="344">
        <f>(W28-V28)*Z28</f>
        <v>15788</v>
      </c>
      <c r="AB28" s="344">
        <f>SUM(AA28*Y28)</f>
        <v>5052160</v>
      </c>
      <c r="AC28" s="253">
        <f>AC11</f>
        <v>1000</v>
      </c>
      <c r="AD28" s="215">
        <f>SUM(G37)</f>
        <v>0.13104467205630904</v>
      </c>
      <c r="AE28" s="40">
        <f>SUM(AB28*5%)</f>
        <v>252608</v>
      </c>
      <c r="AF28" s="82">
        <f>SUM(AE28/7)*31</f>
        <v>1118692.5714285716</v>
      </c>
    </row>
    <row r="29" spans="1:32" ht="15.75" thickBot="1">
      <c r="A29" s="163">
        <f>ELEC!C28</f>
        <v>44100</v>
      </c>
      <c r="B29" s="564">
        <v>451592</v>
      </c>
      <c r="C29" s="269">
        <f t="shared" si="0"/>
        <v>3243</v>
      </c>
      <c r="D29" s="314">
        <f t="shared" si="8"/>
        <v>3243</v>
      </c>
      <c r="E29" s="314">
        <f t="shared" si="11"/>
        <v>451592</v>
      </c>
      <c r="F29" s="564">
        <v>60363</v>
      </c>
      <c r="G29" s="160">
        <f t="shared" si="1"/>
        <v>399</v>
      </c>
      <c r="H29" s="564">
        <v>233364</v>
      </c>
      <c r="I29" s="161">
        <f t="shared" si="2"/>
        <v>1632</v>
      </c>
      <c r="J29" s="564">
        <v>157864</v>
      </c>
      <c r="K29" s="162">
        <f t="shared" si="3"/>
        <v>1212</v>
      </c>
      <c r="L29" s="302">
        <f t="shared" si="21"/>
        <v>84.696517412935322</v>
      </c>
      <c r="M29" s="302">
        <f t="shared" si="22"/>
        <v>121.24975124378109</v>
      </c>
      <c r="N29" s="302">
        <f t="shared" si="23"/>
        <v>64.318407960199011</v>
      </c>
      <c r="O29" s="302">
        <f t="shared" si="7"/>
        <v>159.96313985627418</v>
      </c>
      <c r="P29" s="303">
        <f t="shared" si="9"/>
        <v>430.22781647318959</v>
      </c>
      <c r="Q29" s="303">
        <f>SUM(-tanks!AX31*tanks!$AU$36)</f>
        <v>291.68864086021182</v>
      </c>
      <c r="R29" s="303">
        <f t="shared" si="10"/>
        <v>721.91645733340147</v>
      </c>
      <c r="S29" s="305">
        <f>SUM(ELEC!N28)</f>
        <v>7564</v>
      </c>
      <c r="T29" s="342">
        <f t="shared" si="12"/>
        <v>9.5441096950476131E-2</v>
      </c>
      <c r="V29" s="216"/>
      <c r="W29" s="217"/>
      <c r="X29" s="217"/>
      <c r="Y29" s="218"/>
      <c r="Z29" s="3"/>
      <c r="AA29" s="344">
        <f>SUM(AA26:AA28)</f>
        <v>120478</v>
      </c>
      <c r="AB29" s="344"/>
      <c r="AC29" s="253"/>
    </row>
    <row r="30" spans="1:32" ht="14.25" customHeight="1" thickBot="1">
      <c r="A30" s="163">
        <f>ELEC!C29</f>
        <v>44101</v>
      </c>
      <c r="B30" s="564">
        <v>456356</v>
      </c>
      <c r="C30" s="269">
        <f t="shared" si="0"/>
        <v>4764</v>
      </c>
      <c r="D30" s="314">
        <f t="shared" si="8"/>
        <v>4766</v>
      </c>
      <c r="E30" s="314">
        <f t="shared" si="11"/>
        <v>456358</v>
      </c>
      <c r="F30" s="564">
        <v>61127</v>
      </c>
      <c r="G30" s="160">
        <f t="shared" si="1"/>
        <v>764</v>
      </c>
      <c r="H30" s="564">
        <v>235672</v>
      </c>
      <c r="I30" s="161">
        <f t="shared" si="2"/>
        <v>2308</v>
      </c>
      <c r="J30" s="564">
        <v>159558</v>
      </c>
      <c r="K30" s="162">
        <f t="shared" si="3"/>
        <v>1694</v>
      </c>
      <c r="L30" s="302">
        <f t="shared" si="21"/>
        <v>162.17578772802653</v>
      </c>
      <c r="M30" s="302">
        <f t="shared" si="22"/>
        <v>171.47330016583749</v>
      </c>
      <c r="N30" s="302">
        <f t="shared" si="23"/>
        <v>89.8971807628524</v>
      </c>
      <c r="O30" s="302">
        <f t="shared" si="7"/>
        <v>159.96313985627418</v>
      </c>
      <c r="P30" s="303">
        <f t="shared" si="9"/>
        <v>583.5094085129906</v>
      </c>
      <c r="Q30" s="303">
        <f>SUM(-tanks!AX32*tanks!$AU$36)</f>
        <v>145.84432043011341</v>
      </c>
      <c r="R30" s="303">
        <f t="shared" si="10"/>
        <v>729.35372894310399</v>
      </c>
      <c r="S30" s="305">
        <f>SUM(ELEC!N29)</f>
        <v>9992</v>
      </c>
      <c r="T30" s="342">
        <f t="shared" si="12"/>
        <v>7.2993767908637305E-2</v>
      </c>
      <c r="V30" s="219" t="s">
        <v>316</v>
      </c>
      <c r="W30" s="454">
        <f>'General information '!F36</f>
        <v>0</v>
      </c>
      <c r="X30" s="220"/>
      <c r="Y30" s="221" t="s">
        <v>332</v>
      </c>
      <c r="Z30" s="3"/>
      <c r="AA30" s="344"/>
      <c r="AB30" s="344">
        <f>SUM(AB26:AB29)</f>
        <v>15347840</v>
      </c>
      <c r="AC30" s="253">
        <f>SUM(AC26:AC29)/A38*A36</f>
        <v>7234333</v>
      </c>
    </row>
    <row r="31" spans="1:32" ht="15.75" thickBot="1">
      <c r="A31" s="163">
        <f>ELEC!C30</f>
        <v>44102</v>
      </c>
      <c r="B31" s="564">
        <v>460706</v>
      </c>
      <c r="C31" s="269">
        <f t="shared" si="0"/>
        <v>4350</v>
      </c>
      <c r="D31" s="314">
        <f t="shared" si="8"/>
        <v>4349</v>
      </c>
      <c r="E31" s="314">
        <f t="shared" si="11"/>
        <v>460705</v>
      </c>
      <c r="F31" s="564">
        <v>61791</v>
      </c>
      <c r="G31" s="160">
        <f t="shared" si="1"/>
        <v>664</v>
      </c>
      <c r="H31" s="564">
        <v>238038</v>
      </c>
      <c r="I31" s="161">
        <f t="shared" si="2"/>
        <v>2366</v>
      </c>
      <c r="J31" s="564">
        <v>160877</v>
      </c>
      <c r="K31" s="162">
        <f t="shared" si="3"/>
        <v>1319</v>
      </c>
      <c r="L31" s="302">
        <f t="shared" si="21"/>
        <v>140.94859038142621</v>
      </c>
      <c r="M31" s="302">
        <f t="shared" si="22"/>
        <v>175.78242122719735</v>
      </c>
      <c r="N31" s="302">
        <f t="shared" si="23"/>
        <v>69.996683250414591</v>
      </c>
      <c r="O31" s="302">
        <f t="shared" si="7"/>
        <v>159.96313985627418</v>
      </c>
      <c r="P31" s="303">
        <f t="shared" si="9"/>
        <v>546.69083471531235</v>
      </c>
      <c r="Q31" s="303">
        <f>SUM(-tanks!AX33*tanks!$AU$36)</f>
        <v>230.70475913978677</v>
      </c>
      <c r="R31" s="303">
        <f t="shared" si="10"/>
        <v>777.39559385509915</v>
      </c>
      <c r="S31" s="305">
        <f>SUM(ELEC!N30)</f>
        <v>10083</v>
      </c>
      <c r="T31" s="342">
        <f t="shared" si="12"/>
        <v>7.7099632436288715E-2</v>
      </c>
      <c r="V31" s="219" t="s">
        <v>317</v>
      </c>
      <c r="W31" s="220">
        <f>SUM(GEN!U34)</f>
        <v>151</v>
      </c>
      <c r="X31" s="225">
        <f>SUM(W31/A36)</f>
        <v>5.0333333333333332</v>
      </c>
      <c r="Y31" s="265">
        <f>SUM(X31/2)</f>
        <v>2.5166666666666666</v>
      </c>
      <c r="Z31" s="3"/>
      <c r="AA31" s="3"/>
      <c r="AB31" s="568">
        <f>SUM(AB30+AC31)</f>
        <v>22582173</v>
      </c>
      <c r="AC31" s="253">
        <f>SUM(AC30)</f>
        <v>7234333</v>
      </c>
    </row>
    <row r="32" spans="1:32" ht="15.75" thickBot="1">
      <c r="A32" s="163">
        <f>ELEC!C31</f>
        <v>44103</v>
      </c>
      <c r="B32" s="564">
        <v>465503</v>
      </c>
      <c r="C32" s="269">
        <f t="shared" si="0"/>
        <v>4797</v>
      </c>
      <c r="D32" s="314">
        <f t="shared" si="8"/>
        <v>4797</v>
      </c>
      <c r="E32" s="314">
        <f t="shared" si="11"/>
        <v>465503</v>
      </c>
      <c r="F32" s="564">
        <v>62603</v>
      </c>
      <c r="G32" s="160">
        <f t="shared" si="1"/>
        <v>812</v>
      </c>
      <c r="H32" s="564">
        <v>240299</v>
      </c>
      <c r="I32" s="161">
        <f t="shared" si="2"/>
        <v>2261</v>
      </c>
      <c r="J32" s="564">
        <v>162601</v>
      </c>
      <c r="K32" s="162">
        <f t="shared" si="3"/>
        <v>1724</v>
      </c>
      <c r="L32" s="302">
        <f t="shared" si="21"/>
        <v>172.3648424543947</v>
      </c>
      <c r="M32" s="302">
        <f t="shared" si="22"/>
        <v>167.98142620232173</v>
      </c>
      <c r="N32" s="302">
        <f t="shared" si="23"/>
        <v>91.489220563847425</v>
      </c>
      <c r="O32" s="302">
        <f t="shared" si="7"/>
        <v>159.96313985627418</v>
      </c>
      <c r="P32" s="303">
        <f t="shared" si="9"/>
        <v>591.7986290768381</v>
      </c>
      <c r="Q32" s="303">
        <f>SUM(-tanks!AX34*tanks!$AU$36)</f>
        <v>-114.32753118280094</v>
      </c>
      <c r="R32" s="303">
        <f t="shared" si="10"/>
        <v>477.47109789403714</v>
      </c>
      <c r="S32" s="305">
        <f>SUM(ELEC!N31)</f>
        <v>11228</v>
      </c>
      <c r="T32" s="342">
        <f t="shared" si="12"/>
        <v>4.2525035437659169E-2</v>
      </c>
      <c r="V32" s="219" t="s">
        <v>318</v>
      </c>
      <c r="W32" s="220">
        <f>'Degree Days 2020'!J81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4">
        <v>469756</v>
      </c>
      <c r="C33" s="269">
        <f t="shared" si="0"/>
        <v>4253</v>
      </c>
      <c r="D33" s="314">
        <f t="shared" si="8"/>
        <v>4254</v>
      </c>
      <c r="E33" s="314">
        <f t="shared" si="11"/>
        <v>469757</v>
      </c>
      <c r="F33" s="564">
        <v>63298</v>
      </c>
      <c r="G33" s="160">
        <f>F33-F32</f>
        <v>695</v>
      </c>
      <c r="H33" s="564">
        <v>242131</v>
      </c>
      <c r="I33" s="161">
        <f t="shared" si="2"/>
        <v>1832</v>
      </c>
      <c r="J33" s="564">
        <v>164328</v>
      </c>
      <c r="K33" s="162">
        <f t="shared" si="3"/>
        <v>1727</v>
      </c>
      <c r="L33" s="302">
        <f t="shared" si="21"/>
        <v>147.5290215588723</v>
      </c>
      <c r="M33" s="302">
        <f t="shared" si="22"/>
        <v>136.10878938640133</v>
      </c>
      <c r="N33" s="302">
        <f t="shared" si="23"/>
        <v>91.64842454394693</v>
      </c>
      <c r="O33" s="302">
        <f t="shared" si="7"/>
        <v>159.96313985627418</v>
      </c>
      <c r="P33" s="303">
        <f>SUM(L33:O33)</f>
        <v>535.24937534549474</v>
      </c>
      <c r="Q33" s="303">
        <f>SUM(-tanks!AX35*tanks!$AU$36)</f>
        <v>656.55793978494864</v>
      </c>
      <c r="R33" s="303">
        <f>SUM(P33:Q33)</f>
        <v>1191.8073151304434</v>
      </c>
      <c r="S33" s="305">
        <f>SUM(ELEC!N32)</f>
        <v>11854</v>
      </c>
      <c r="T33" s="342">
        <f>IF(S33&gt;0,R33/S33,0)</f>
        <v>0.100540519245018</v>
      </c>
      <c r="V33" s="219" t="s">
        <v>319</v>
      </c>
      <c r="W33" s="220">
        <f>'Degree Days 2020'!K81</f>
        <v>306.99999999999983</v>
      </c>
      <c r="X33" s="220"/>
      <c r="Y33" s="221"/>
      <c r="Z33" s="3"/>
      <c r="AA33" s="3"/>
      <c r="AB33" s="3"/>
      <c r="AC33" s="173"/>
    </row>
    <row r="34" spans="1:32">
      <c r="A34" s="554"/>
      <c r="B34" s="555"/>
      <c r="C34" s="556"/>
      <c r="D34" s="555"/>
      <c r="E34" s="555"/>
      <c r="F34" s="555"/>
      <c r="G34" s="555"/>
      <c r="H34" s="555"/>
      <c r="I34" s="555"/>
      <c r="J34" s="555"/>
      <c r="K34" s="555"/>
      <c r="L34" s="557"/>
      <c r="M34" s="557"/>
      <c r="N34" s="557"/>
      <c r="O34" s="557"/>
      <c r="P34" s="558"/>
      <c r="Q34" s="558"/>
      <c r="R34" s="558"/>
      <c r="S34" s="559"/>
      <c r="T34" s="560"/>
      <c r="V34" s="219"/>
      <c r="W34" s="220"/>
      <c r="X34" s="220"/>
      <c r="Y34" s="220"/>
      <c r="Z34" s="3"/>
      <c r="AA34" s="3"/>
      <c r="AB34" s="3"/>
      <c r="AC34" s="173"/>
    </row>
    <row r="35" spans="1:32">
      <c r="A35" s="554"/>
      <c r="B35" s="555"/>
      <c r="C35" s="556"/>
      <c r="D35" s="556"/>
      <c r="E35" s="556"/>
      <c r="F35" s="555"/>
      <c r="G35" s="555"/>
      <c r="H35" s="555"/>
      <c r="I35" s="555"/>
      <c r="J35" s="555"/>
      <c r="K35" s="561"/>
      <c r="L35" s="558"/>
      <c r="M35" s="558"/>
      <c r="N35" s="558"/>
      <c r="O35" s="558"/>
      <c r="P35" s="559"/>
      <c r="Q35" s="559"/>
      <c r="R35" s="559"/>
      <c r="S35" s="559"/>
      <c r="T35" s="560"/>
      <c r="V35" s="257"/>
      <c r="W35" s="17"/>
      <c r="X35" s="17"/>
      <c r="Y35" s="17"/>
      <c r="Z35" s="3" t="s">
        <v>214</v>
      </c>
      <c r="AA35" s="283">
        <v>0.11</v>
      </c>
      <c r="AB35" s="297">
        <f>SUM(AB31*AA35)</f>
        <v>2484039.0299999998</v>
      </c>
      <c r="AC35" s="617"/>
    </row>
    <row r="36" spans="1:32" ht="15.75" thickBot="1">
      <c r="A36" s="553">
        <f>A38-COUNTIF(C4:C34,0)</f>
        <v>30</v>
      </c>
      <c r="C36" s="176">
        <f>SUM(C4:C34)/A36</f>
        <v>4015.9333333333334</v>
      </c>
      <c r="D36" s="176"/>
      <c r="E36" s="176"/>
      <c r="G36" s="176">
        <f>SUM(G4:G34)/A36</f>
        <v>526.26666666666665</v>
      </c>
      <c r="I36" s="176">
        <f>SUM(I4:I34)/A36</f>
        <v>2000.5</v>
      </c>
      <c r="K36" s="176">
        <f>SUM(K4:K35)/A36</f>
        <v>1489.1666666666667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6"/>
      <c r="V36" s="232"/>
      <c r="W36" s="233"/>
      <c r="X36" s="233"/>
      <c r="Y36" s="233"/>
      <c r="Z36" s="3"/>
      <c r="AA36" s="45"/>
      <c r="AB36" s="297">
        <f>SUM(AB31+AB35)</f>
        <v>25066212.030000001</v>
      </c>
      <c r="AC36" s="617"/>
    </row>
    <row r="37" spans="1:32" ht="15.75" thickBot="1">
      <c r="A37" s="213"/>
      <c r="C37" s="215">
        <f>SUM(G37:K37)</f>
        <v>1</v>
      </c>
      <c r="G37" s="228">
        <f>IF(C36&gt;0,G36/C36,0)</f>
        <v>0.13104467205630904</v>
      </c>
      <c r="H37" s="215"/>
      <c r="I37" s="228">
        <f>SUM(I36/C36)</f>
        <v>0.49814073938810405</v>
      </c>
      <c r="J37" s="215"/>
      <c r="K37" s="228">
        <f>SUM(K36/C36)</f>
        <v>0.37081458855558691</v>
      </c>
      <c r="L37" s="228"/>
      <c r="M37" s="228"/>
      <c r="N37" s="228"/>
      <c r="O37" s="228"/>
      <c r="P37" s="228"/>
      <c r="Q37" s="228"/>
      <c r="R37" s="228"/>
      <c r="S37" s="307"/>
      <c r="V37" s="232"/>
      <c r="W37" s="233"/>
      <c r="X37" s="233"/>
      <c r="Y37" s="233"/>
      <c r="Z37" s="233"/>
      <c r="AA37" s="233" t="s">
        <v>215</v>
      </c>
      <c r="AB37" s="297">
        <f>SUM(AB31/1507.5)</f>
        <v>14979.882587064676</v>
      </c>
      <c r="AC37" s="617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0"/>
      <c r="W38" s="222"/>
      <c r="X38" s="222"/>
      <c r="Y38" s="223"/>
      <c r="Z38" s="174"/>
      <c r="AA38" s="174"/>
      <c r="AB38" s="261"/>
      <c r="AC38" s="175"/>
    </row>
    <row r="39" spans="1:32">
      <c r="V39" s="220"/>
      <c r="W39" s="82">
        <f>AC30/1507.5</f>
        <v>4798.8941956882254</v>
      </c>
      <c r="Z39" s="40"/>
      <c r="AA39" s="298" t="s">
        <v>215</v>
      </c>
      <c r="AB39" s="299">
        <f>SUM(AB37)</f>
        <v>14979.882587064676</v>
      </c>
    </row>
    <row r="40" spans="1:32">
      <c r="V40" s="220"/>
      <c r="W40" s="82">
        <f>(AB30+AB55)/1507.5</f>
        <v>10180.988391376452</v>
      </c>
      <c r="X40" s="569"/>
      <c r="Z40" s="300">
        <f>SUM(AB39)</f>
        <v>14979.882587064676</v>
      </c>
      <c r="AA40" s="299"/>
      <c r="AB40" s="299"/>
    </row>
    <row r="41" spans="1:32">
      <c r="V41" s="17"/>
      <c r="W41" s="82">
        <f>SUM(W39:W40)</f>
        <v>14979.882587064676</v>
      </c>
      <c r="X41" s="569"/>
      <c r="Y41" s="82"/>
      <c r="Z41" s="300">
        <f>SUM(-tanks!AX36)*tanks!AU36</f>
        <v>12961.082172043007</v>
      </c>
      <c r="AA41" s="101">
        <f>SUM(AB31/A36)</f>
        <v>752739.1</v>
      </c>
      <c r="AB41" s="356">
        <f>SUM(AA41*A38)</f>
        <v>22582173</v>
      </c>
    </row>
    <row r="42" spans="1:32" ht="18.75">
      <c r="W42" s="82">
        <f>(AB30+AB55)/1507.5</f>
        <v>10180.988391376452</v>
      </c>
      <c r="Z42" s="281">
        <f>SUM(Z40:Z41)</f>
        <v>27940.964759107683</v>
      </c>
      <c r="AA42" s="299">
        <f>SUM(AA41/1507.5)</f>
        <v>499.32941956882252</v>
      </c>
      <c r="AB42" s="355">
        <f>SUM(AB41/1507.5)</f>
        <v>14979.882587064676</v>
      </c>
    </row>
    <row r="43" spans="1:32">
      <c r="D43" s="531"/>
      <c r="E43" s="531"/>
      <c r="F43" s="531"/>
      <c r="W43" s="82">
        <f>SUM(W41:W42)</f>
        <v>25160.870978441126</v>
      </c>
      <c r="Z43" s="301" t="e">
        <f>SUM(ELEC!#REF!)</f>
        <v>#REF!</v>
      </c>
    </row>
    <row r="44" spans="1:32">
      <c r="Z44" s="299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2"/>
      <c r="W46" s="573"/>
      <c r="X46" s="17"/>
      <c r="Y46" s="17"/>
      <c r="Z46" s="574"/>
      <c r="AA46" s="17"/>
      <c r="AB46" s="689"/>
      <c r="AC46" s="689"/>
      <c r="AD46" s="17"/>
      <c r="AE46" s="17"/>
      <c r="AF46" s="17"/>
    </row>
    <row r="47" spans="1:32">
      <c r="V47" s="689"/>
      <c r="W47" s="689"/>
      <c r="X47" s="689"/>
      <c r="Y47" s="689"/>
      <c r="Z47" s="574"/>
      <c r="AA47" s="574"/>
      <c r="AB47" s="689"/>
      <c r="AC47" s="689"/>
      <c r="AD47" s="17"/>
      <c r="AE47" s="17"/>
      <c r="AF47" s="17"/>
    </row>
    <row r="48" spans="1:32">
      <c r="V48" s="689"/>
      <c r="W48" s="689"/>
      <c r="X48" s="689"/>
      <c r="Y48" s="689"/>
      <c r="Z48" s="689"/>
      <c r="AA48" s="689"/>
      <c r="AB48" s="689"/>
      <c r="AC48" s="689"/>
      <c r="AD48" s="17"/>
      <c r="AE48" s="17"/>
      <c r="AF48" s="17"/>
    </row>
    <row r="49" spans="22:32">
      <c r="V49" s="690"/>
      <c r="W49" s="690"/>
      <c r="X49" s="691"/>
      <c r="Y49" s="691"/>
      <c r="Z49" s="691"/>
      <c r="AA49" s="575"/>
      <c r="AB49" s="689"/>
      <c r="AC49" s="689"/>
      <c r="AD49" s="17"/>
      <c r="AE49" s="17"/>
      <c r="AF49" s="17"/>
    </row>
    <row r="50" spans="22:32">
      <c r="V50" s="572"/>
      <c r="W50" s="572"/>
      <c r="X50" s="572"/>
      <c r="Y50" s="572"/>
      <c r="Z50" s="572"/>
      <c r="AA50" s="572"/>
      <c r="AB50" s="572"/>
      <c r="AC50" s="576"/>
      <c r="AD50" s="17"/>
      <c r="AE50" s="17"/>
      <c r="AF50" s="17"/>
    </row>
    <row r="51" spans="22:32">
      <c r="V51" s="575"/>
      <c r="W51" s="575"/>
      <c r="X51" s="577"/>
      <c r="Y51" s="577"/>
      <c r="Z51" s="577"/>
      <c r="AA51" s="73"/>
      <c r="AB51" s="73"/>
      <c r="AC51" s="73"/>
      <c r="AD51" s="578"/>
      <c r="AE51" s="17"/>
      <c r="AF51" s="17"/>
    </row>
    <row r="52" spans="22:32">
      <c r="V52" s="575"/>
      <c r="W52" s="575"/>
      <c r="X52" s="577"/>
      <c r="Y52" s="577"/>
      <c r="Z52" s="577"/>
      <c r="AA52" s="73"/>
      <c r="AB52" s="73"/>
      <c r="AC52" s="73"/>
      <c r="AD52" s="578"/>
      <c r="AE52" s="17"/>
      <c r="AF52" s="17"/>
    </row>
    <row r="53" spans="22:32">
      <c r="V53" s="575"/>
      <c r="W53" s="575"/>
      <c r="X53" s="577"/>
      <c r="Y53" s="577"/>
      <c r="Z53" s="577"/>
      <c r="AA53" s="73"/>
      <c r="AB53" s="73"/>
      <c r="AC53" s="73"/>
      <c r="AD53" s="578"/>
      <c r="AE53" s="579"/>
      <c r="AF53" s="580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1"/>
      <c r="X55" s="220"/>
      <c r="Y55" s="220"/>
      <c r="Z55" s="17"/>
      <c r="AA55" s="73"/>
      <c r="AB55" s="272"/>
      <c r="AC55" s="73"/>
      <c r="AD55" s="17"/>
      <c r="AE55" s="17"/>
      <c r="AF55" s="17"/>
    </row>
    <row r="56" spans="22:32">
      <c r="V56" s="220"/>
      <c r="W56" s="220"/>
      <c r="X56" s="225"/>
      <c r="Y56" s="582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3"/>
      <c r="AB60" s="584"/>
      <c r="AC60" s="585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6"/>
      <c r="AB61" s="584"/>
      <c r="AC61" s="585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4"/>
      <c r="AC62" s="585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7"/>
      <c r="AC63" s="17"/>
      <c r="AD63" s="17"/>
      <c r="AE63" s="17"/>
      <c r="AF63" s="17"/>
    </row>
    <row r="64" spans="22:32">
      <c r="V64" s="220"/>
      <c r="W64" s="580"/>
      <c r="X64" s="17"/>
      <c r="Y64" s="17"/>
      <c r="Z64" s="579"/>
      <c r="AA64" s="588"/>
      <c r="AB64" s="577"/>
      <c r="AC64" s="17"/>
      <c r="AD64" s="17"/>
      <c r="AE64" s="17"/>
      <c r="AF64" s="17"/>
    </row>
    <row r="65" spans="22:32">
      <c r="V65" s="220"/>
      <c r="W65" s="580"/>
      <c r="X65" s="17"/>
      <c r="Y65" s="17"/>
      <c r="Z65" s="431"/>
      <c r="AA65" s="577"/>
      <c r="AB65" s="577"/>
      <c r="AC65" s="17"/>
      <c r="AD65" s="17"/>
      <c r="AE65" s="17"/>
      <c r="AF65" s="17"/>
    </row>
    <row r="66" spans="22:32">
      <c r="V66" s="17"/>
      <c r="W66" s="580"/>
      <c r="X66" s="17"/>
      <c r="Y66" s="580"/>
      <c r="Z66" s="431"/>
      <c r="AA66" s="577"/>
      <c r="AB66" s="589"/>
      <c r="AC66" s="17"/>
      <c r="AD66" s="17"/>
      <c r="AE66" s="17"/>
      <c r="AF66" s="17"/>
    </row>
    <row r="67" spans="22:32" ht="18.75">
      <c r="V67" s="17"/>
      <c r="W67" s="580"/>
      <c r="X67" s="17"/>
      <c r="Y67" s="17"/>
      <c r="Z67" s="590"/>
      <c r="AA67" s="577"/>
      <c r="AB67" s="591"/>
      <c r="AC67" s="17"/>
      <c r="AD67" s="17"/>
      <c r="AE67" s="17"/>
      <c r="AF67" s="17"/>
    </row>
    <row r="68" spans="22:32">
      <c r="V68" s="17"/>
      <c r="W68" s="580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4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1" customWidth="1"/>
    <col min="9" max="9" width="12.7109375" bestFit="1" customWidth="1"/>
    <col min="10" max="10" width="25.42578125" style="502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320</v>
      </c>
      <c r="C1" s="705"/>
      <c r="D1" s="707"/>
      <c r="E1" s="704" t="s">
        <v>321</v>
      </c>
      <c r="F1" s="705"/>
      <c r="G1" s="706"/>
      <c r="H1" s="701" t="s">
        <v>326</v>
      </c>
      <c r="I1" s="698" t="s">
        <v>327</v>
      </c>
      <c r="J1" s="695" t="s">
        <v>43</v>
      </c>
    </row>
    <row r="2" spans="1:18" ht="38.25" thickBot="1">
      <c r="A2" s="693"/>
      <c r="B2" s="262" t="s">
        <v>322</v>
      </c>
      <c r="C2" s="263" t="s">
        <v>323</v>
      </c>
      <c r="D2" s="238"/>
      <c r="E2" s="239">
        <v>3.5</v>
      </c>
      <c r="F2" s="264" t="s">
        <v>323</v>
      </c>
      <c r="G2" s="240"/>
      <c r="H2" s="702"/>
      <c r="I2" s="699"/>
      <c r="J2" s="696"/>
    </row>
    <row r="3" spans="1:18" ht="24" customHeight="1" thickBot="1">
      <c r="A3" s="694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703"/>
      <c r="I3" s="700"/>
      <c r="J3" s="697"/>
    </row>
    <row r="4" spans="1:18" ht="19.5" thickBot="1">
      <c r="A4" s="247"/>
      <c r="B4" s="520"/>
      <c r="C4" s="520"/>
      <c r="D4" s="520"/>
      <c r="E4" s="520"/>
      <c r="F4" s="520"/>
      <c r="G4" s="520"/>
      <c r="H4" s="248">
        <v>0</v>
      </c>
      <c r="I4" s="248"/>
      <c r="J4" s="497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9">
        <f>ELEC!C2</f>
        <v>44074</v>
      </c>
      <c r="B5" s="521"/>
      <c r="C5" s="521"/>
      <c r="D5" s="521"/>
      <c r="E5" s="521"/>
      <c r="F5" s="521"/>
      <c r="G5" s="521"/>
      <c r="H5" s="521">
        <v>6541</v>
      </c>
      <c r="I5" s="521">
        <f>'[2]Swimming Pool quality check '!$B$36</f>
        <v>2.5</v>
      </c>
      <c r="J5" s="529">
        <f>'[9]Swimming Pool quality check '!J36</f>
        <v>0.33333333333333398</v>
      </c>
      <c r="K5" s="415">
        <v>0</v>
      </c>
      <c r="L5" s="546">
        <f>A5</f>
        <v>44074</v>
      </c>
      <c r="M5" s="521">
        <v>6541</v>
      </c>
      <c r="N5" s="521">
        <f>'[5]Swimming Pool quality check '!N36</f>
        <v>642</v>
      </c>
      <c r="O5" s="521">
        <f>'[5]Swimming Pool quality check '!O36</f>
        <v>6836</v>
      </c>
    </row>
    <row r="6" spans="1:18" ht="15.75" customHeight="1" thickBot="1">
      <c r="A6" s="244">
        <f>ELEC!C3</f>
        <v>44075</v>
      </c>
      <c r="B6" s="563"/>
      <c r="C6" s="564"/>
      <c r="D6" s="565"/>
      <c r="E6" s="565"/>
      <c r="F6" s="565"/>
      <c r="G6" s="565"/>
      <c r="H6" s="565">
        <v>6543</v>
      </c>
      <c r="I6" s="521">
        <f>H6-H5</f>
        <v>2</v>
      </c>
      <c r="J6" s="498">
        <v>0.29166666666666669</v>
      </c>
      <c r="L6" s="99">
        <f t="shared" ref="L6:L35" si="0">A6</f>
        <v>44075</v>
      </c>
      <c r="M6" s="3">
        <v>6543</v>
      </c>
      <c r="N6" s="521">
        <v>487</v>
      </c>
      <c r="O6" s="521">
        <f t="shared" ref="O6:O35" si="1">M6+N6</f>
        <v>7030</v>
      </c>
    </row>
    <row r="7" spans="1:18" ht="15.75" thickBot="1">
      <c r="A7" s="244">
        <f>ELEC!C4</f>
        <v>44076</v>
      </c>
      <c r="B7" s="550"/>
      <c r="C7" s="562"/>
      <c r="D7" s="170"/>
      <c r="E7" s="170"/>
      <c r="F7" s="170"/>
      <c r="G7" s="170"/>
      <c r="H7" s="565">
        <v>6550</v>
      </c>
      <c r="I7" s="521">
        <f t="shared" ref="I7:I35" si="2">H7-H6</f>
        <v>7</v>
      </c>
      <c r="J7" s="499">
        <v>0.29166666666666669</v>
      </c>
      <c r="L7" s="99">
        <f t="shared" si="0"/>
        <v>44076</v>
      </c>
      <c r="M7" s="3">
        <v>6550</v>
      </c>
      <c r="N7" s="521">
        <v>487</v>
      </c>
      <c r="O7" s="521">
        <f t="shared" si="1"/>
        <v>7037</v>
      </c>
    </row>
    <row r="8" spans="1:18" ht="15.75" thickBot="1">
      <c r="A8" s="244">
        <f>ELEC!C5</f>
        <v>44077</v>
      </c>
      <c r="B8" s="550"/>
      <c r="C8" s="549"/>
      <c r="D8" s="170"/>
      <c r="E8" s="170"/>
      <c r="F8" s="170"/>
      <c r="G8" s="170"/>
      <c r="H8" s="565">
        <v>6555</v>
      </c>
      <c r="I8" s="521">
        <f t="shared" si="2"/>
        <v>5</v>
      </c>
      <c r="J8" s="499">
        <v>0.29166666666666669</v>
      </c>
      <c r="L8" s="99">
        <f t="shared" si="0"/>
        <v>44077</v>
      </c>
      <c r="M8" s="3">
        <v>6555</v>
      </c>
      <c r="N8" s="521">
        <v>487</v>
      </c>
      <c r="O8" s="521">
        <f t="shared" si="1"/>
        <v>7042</v>
      </c>
    </row>
    <row r="9" spans="1:18" ht="15.75" thickBot="1">
      <c r="A9" s="244">
        <f>ELEC!C6</f>
        <v>44078</v>
      </c>
      <c r="B9" s="550"/>
      <c r="C9" s="550"/>
      <c r="D9" s="550"/>
      <c r="E9" s="550"/>
      <c r="F9" s="550"/>
      <c r="G9" s="550"/>
      <c r="H9" s="565">
        <f t="shared" ref="H9:H36" si="3">H8</f>
        <v>6555</v>
      </c>
      <c r="I9" s="521">
        <f t="shared" si="2"/>
        <v>0</v>
      </c>
      <c r="J9" s="499">
        <v>0.29166666666666669</v>
      </c>
      <c r="L9" s="99">
        <f t="shared" si="0"/>
        <v>44078</v>
      </c>
      <c r="M9" s="3">
        <f t="shared" ref="M9:M36" si="4">M8</f>
        <v>6555</v>
      </c>
      <c r="N9" s="521">
        <v>487</v>
      </c>
      <c r="O9" s="521">
        <f t="shared" si="1"/>
        <v>7042</v>
      </c>
    </row>
    <row r="10" spans="1:18" ht="15.75" thickBot="1">
      <c r="A10" s="244">
        <f>ELEC!C7</f>
        <v>44079</v>
      </c>
      <c r="B10" s="550"/>
      <c r="C10" s="550"/>
      <c r="D10" s="550"/>
      <c r="E10" s="550"/>
      <c r="F10" s="550"/>
      <c r="G10" s="550"/>
      <c r="H10" s="565">
        <f t="shared" si="3"/>
        <v>6555</v>
      </c>
      <c r="I10" s="521">
        <f t="shared" si="2"/>
        <v>0</v>
      </c>
      <c r="J10" s="499">
        <v>0.29166666666666669</v>
      </c>
      <c r="L10" s="99">
        <f t="shared" si="0"/>
        <v>44079</v>
      </c>
      <c r="M10" s="3">
        <f t="shared" si="4"/>
        <v>6555</v>
      </c>
      <c r="N10" s="521">
        <v>487</v>
      </c>
      <c r="O10" s="521">
        <f t="shared" si="1"/>
        <v>7042</v>
      </c>
    </row>
    <row r="11" spans="1:18" ht="15.75" thickBot="1">
      <c r="A11" s="244">
        <f>ELEC!C8</f>
        <v>44080</v>
      </c>
      <c r="B11" s="550"/>
      <c r="C11" s="550"/>
      <c r="D11" s="550"/>
      <c r="E11" s="550"/>
      <c r="F11" s="550"/>
      <c r="G11" s="550"/>
      <c r="H11" s="565">
        <f t="shared" si="3"/>
        <v>6555</v>
      </c>
      <c r="I11" s="521">
        <f t="shared" si="2"/>
        <v>0</v>
      </c>
      <c r="J11" s="499">
        <v>0.29166666666666669</v>
      </c>
      <c r="L11" s="99">
        <f t="shared" si="0"/>
        <v>44080</v>
      </c>
      <c r="M11" s="3">
        <f t="shared" si="4"/>
        <v>6555</v>
      </c>
      <c r="N11" s="521">
        <v>487</v>
      </c>
      <c r="O11" s="521">
        <f t="shared" si="1"/>
        <v>7042</v>
      </c>
    </row>
    <row r="12" spans="1:18" ht="16.5" thickBot="1">
      <c r="A12" s="244">
        <f>ELEC!C9</f>
        <v>44081</v>
      </c>
      <c r="B12" s="550"/>
      <c r="C12" s="550"/>
      <c r="D12" s="550"/>
      <c r="E12" s="550"/>
      <c r="F12" s="550"/>
      <c r="G12" s="550"/>
      <c r="H12" s="565">
        <f t="shared" si="3"/>
        <v>6555</v>
      </c>
      <c r="I12" s="521">
        <f t="shared" si="2"/>
        <v>0</v>
      </c>
      <c r="J12" s="499">
        <v>0.29166666666666669</v>
      </c>
      <c r="L12" s="99">
        <f t="shared" si="0"/>
        <v>44081</v>
      </c>
      <c r="M12" s="3">
        <f t="shared" si="4"/>
        <v>6555</v>
      </c>
      <c r="N12" s="521">
        <v>487</v>
      </c>
      <c r="O12" s="521">
        <f t="shared" si="1"/>
        <v>7042</v>
      </c>
      <c r="P12" s="448"/>
      <c r="Q12" s="366"/>
      <c r="R12" s="366"/>
    </row>
    <row r="13" spans="1:18" ht="15.75" thickBot="1">
      <c r="A13" s="244">
        <f>ELEC!C10</f>
        <v>44082</v>
      </c>
      <c r="B13" s="550"/>
      <c r="C13" s="550"/>
      <c r="D13" s="550"/>
      <c r="E13" s="550"/>
      <c r="F13" s="550"/>
      <c r="G13" s="550"/>
      <c r="H13" s="565">
        <f t="shared" si="3"/>
        <v>6555</v>
      </c>
      <c r="I13" s="521">
        <f t="shared" si="2"/>
        <v>0</v>
      </c>
      <c r="J13" s="499">
        <v>0.29166666666666669</v>
      </c>
      <c r="L13" s="99">
        <f t="shared" si="0"/>
        <v>44082</v>
      </c>
      <c r="M13" s="3">
        <f t="shared" si="4"/>
        <v>6555</v>
      </c>
      <c r="N13" s="521">
        <v>487</v>
      </c>
      <c r="O13" s="521">
        <f t="shared" si="1"/>
        <v>7042</v>
      </c>
    </row>
    <row r="14" spans="1:18" ht="15.75" thickBot="1">
      <c r="A14" s="244">
        <f>ELEC!C11</f>
        <v>44083</v>
      </c>
      <c r="B14" s="550"/>
      <c r="C14" s="550"/>
      <c r="D14" s="550"/>
      <c r="E14" s="550"/>
      <c r="F14" s="550"/>
      <c r="G14" s="550"/>
      <c r="H14" s="565">
        <f t="shared" si="3"/>
        <v>6555</v>
      </c>
      <c r="I14" s="521">
        <f t="shared" si="2"/>
        <v>0</v>
      </c>
      <c r="J14" s="499">
        <v>0.29166666666666669</v>
      </c>
      <c r="L14" s="99">
        <f t="shared" si="0"/>
        <v>44083</v>
      </c>
      <c r="M14" s="3">
        <f t="shared" si="4"/>
        <v>6555</v>
      </c>
      <c r="N14" s="521">
        <v>487</v>
      </c>
      <c r="O14" s="521">
        <f t="shared" si="1"/>
        <v>7042</v>
      </c>
    </row>
    <row r="15" spans="1:18" ht="15.75" thickBot="1">
      <c r="A15" s="244">
        <f>ELEC!C12</f>
        <v>44084</v>
      </c>
      <c r="B15" s="550"/>
      <c r="C15" s="550"/>
      <c r="D15" s="550"/>
      <c r="E15" s="550"/>
      <c r="F15" s="550"/>
      <c r="G15" s="550"/>
      <c r="H15" s="565">
        <f t="shared" si="3"/>
        <v>6555</v>
      </c>
      <c r="I15" s="521">
        <f t="shared" si="2"/>
        <v>0</v>
      </c>
      <c r="J15" s="499">
        <v>0.29166666666666669</v>
      </c>
      <c r="L15" s="99">
        <f t="shared" si="0"/>
        <v>44084</v>
      </c>
      <c r="M15" s="3">
        <f t="shared" si="4"/>
        <v>6555</v>
      </c>
      <c r="N15" s="521">
        <v>487</v>
      </c>
      <c r="O15" s="521">
        <f t="shared" si="1"/>
        <v>7042</v>
      </c>
    </row>
    <row r="16" spans="1:18" ht="15.75" thickBot="1">
      <c r="A16" s="244">
        <f>ELEC!C13</f>
        <v>44085</v>
      </c>
      <c r="B16" s="550"/>
      <c r="C16" s="550"/>
      <c r="D16" s="550"/>
      <c r="E16" s="550"/>
      <c r="F16" s="550"/>
      <c r="G16" s="550"/>
      <c r="H16" s="565">
        <f t="shared" si="3"/>
        <v>6555</v>
      </c>
      <c r="I16" s="521">
        <f t="shared" si="2"/>
        <v>0</v>
      </c>
      <c r="J16" s="499">
        <v>0.29166666666666669</v>
      </c>
      <c r="L16" s="99">
        <f t="shared" si="0"/>
        <v>44085</v>
      </c>
      <c r="M16" s="3">
        <f t="shared" si="4"/>
        <v>6555</v>
      </c>
      <c r="N16" s="521">
        <v>487</v>
      </c>
      <c r="O16" s="521">
        <f t="shared" si="1"/>
        <v>7042</v>
      </c>
    </row>
    <row r="17" spans="1:17" ht="15.75" thickBot="1">
      <c r="A17" s="244">
        <f>ELEC!C14</f>
        <v>44086</v>
      </c>
      <c r="B17" s="550"/>
      <c r="C17" s="550"/>
      <c r="D17" s="550"/>
      <c r="E17" s="550"/>
      <c r="F17" s="550"/>
      <c r="G17" s="550"/>
      <c r="H17" s="565">
        <f t="shared" si="3"/>
        <v>6555</v>
      </c>
      <c r="I17" s="521">
        <f t="shared" si="2"/>
        <v>0</v>
      </c>
      <c r="J17" s="499">
        <v>0.29166666666666669</v>
      </c>
      <c r="L17" s="99">
        <f t="shared" si="0"/>
        <v>44086</v>
      </c>
      <c r="M17" s="3">
        <f t="shared" si="4"/>
        <v>6555</v>
      </c>
      <c r="N17" s="521">
        <v>487</v>
      </c>
      <c r="O17" s="521">
        <f t="shared" si="1"/>
        <v>7042</v>
      </c>
    </row>
    <row r="18" spans="1:17" ht="15.75" thickBot="1">
      <c r="A18" s="244">
        <f>ELEC!C15</f>
        <v>44087</v>
      </c>
      <c r="B18" s="550"/>
      <c r="C18" s="550"/>
      <c r="D18" s="550"/>
      <c r="E18" s="550"/>
      <c r="F18" s="550"/>
      <c r="G18" s="550"/>
      <c r="H18" s="565">
        <f t="shared" si="3"/>
        <v>6555</v>
      </c>
      <c r="I18" s="521">
        <f t="shared" si="2"/>
        <v>0</v>
      </c>
      <c r="J18" s="499">
        <v>0.29166666666666669</v>
      </c>
      <c r="L18" s="99">
        <f t="shared" si="0"/>
        <v>44087</v>
      </c>
      <c r="M18" s="3">
        <f t="shared" si="4"/>
        <v>6555</v>
      </c>
      <c r="N18" s="521">
        <v>487</v>
      </c>
      <c r="O18" s="521">
        <f t="shared" si="1"/>
        <v>7042</v>
      </c>
    </row>
    <row r="19" spans="1:17" ht="15.75" thickBot="1">
      <c r="A19" s="244">
        <f>ELEC!C16</f>
        <v>44088</v>
      </c>
      <c r="B19" s="550"/>
      <c r="C19" s="550"/>
      <c r="D19" s="550"/>
      <c r="E19" s="550"/>
      <c r="F19" s="550"/>
      <c r="G19" s="550"/>
      <c r="H19" s="565">
        <f t="shared" si="3"/>
        <v>6555</v>
      </c>
      <c r="I19" s="521">
        <f t="shared" si="2"/>
        <v>0</v>
      </c>
      <c r="J19" s="499">
        <v>0.29166666666666669</v>
      </c>
      <c r="L19" s="99">
        <f t="shared" si="0"/>
        <v>44088</v>
      </c>
      <c r="M19" s="3">
        <f t="shared" si="4"/>
        <v>6555</v>
      </c>
      <c r="N19" s="521">
        <v>487</v>
      </c>
      <c r="O19" s="521">
        <f t="shared" si="1"/>
        <v>7042</v>
      </c>
    </row>
    <row r="20" spans="1:17" ht="15.75" thickBot="1">
      <c r="A20" s="244">
        <f>ELEC!C17</f>
        <v>44089</v>
      </c>
      <c r="B20" s="550"/>
      <c r="C20" s="550"/>
      <c r="D20" s="550"/>
      <c r="E20" s="550"/>
      <c r="F20" s="550"/>
      <c r="G20" s="550"/>
      <c r="H20" s="565">
        <f t="shared" si="3"/>
        <v>6555</v>
      </c>
      <c r="I20" s="521">
        <f t="shared" si="2"/>
        <v>0</v>
      </c>
      <c r="J20" s="499">
        <v>0.29166666666666669</v>
      </c>
      <c r="L20" s="99">
        <f t="shared" si="0"/>
        <v>44089</v>
      </c>
      <c r="M20" s="3">
        <f t="shared" si="4"/>
        <v>6555</v>
      </c>
      <c r="N20" s="521">
        <v>487</v>
      </c>
      <c r="O20" s="521">
        <f t="shared" si="1"/>
        <v>7042</v>
      </c>
    </row>
    <row r="21" spans="1:17" ht="15.75" thickBot="1">
      <c r="A21" s="244">
        <f>ELEC!C18</f>
        <v>44090</v>
      </c>
      <c r="B21" s="550"/>
      <c r="C21" s="550"/>
      <c r="D21" s="550"/>
      <c r="E21" s="550"/>
      <c r="F21" s="550"/>
      <c r="G21" s="550"/>
      <c r="H21" s="565">
        <f t="shared" si="3"/>
        <v>6555</v>
      </c>
      <c r="I21" s="521">
        <f t="shared" si="2"/>
        <v>0</v>
      </c>
      <c r="J21" s="499">
        <v>0.29166666666666669</v>
      </c>
      <c r="L21" s="99">
        <f t="shared" si="0"/>
        <v>44090</v>
      </c>
      <c r="M21" s="3">
        <f t="shared" si="4"/>
        <v>6555</v>
      </c>
      <c r="N21" s="521">
        <v>487</v>
      </c>
      <c r="O21" s="521">
        <f t="shared" si="1"/>
        <v>7042</v>
      </c>
    </row>
    <row r="22" spans="1:17" ht="15.75" thickBot="1">
      <c r="A22" s="244">
        <f>ELEC!C19</f>
        <v>44091</v>
      </c>
      <c r="B22" s="550"/>
      <c r="C22" s="550"/>
      <c r="D22" s="550"/>
      <c r="E22" s="550"/>
      <c r="F22" s="550"/>
      <c r="G22" s="550"/>
      <c r="H22" s="565">
        <f t="shared" si="3"/>
        <v>6555</v>
      </c>
      <c r="I22" s="521">
        <f t="shared" si="2"/>
        <v>0</v>
      </c>
      <c r="J22" s="499">
        <v>0.29166666666666669</v>
      </c>
      <c r="L22" s="99">
        <f t="shared" si="0"/>
        <v>44091</v>
      </c>
      <c r="M22" s="3">
        <f t="shared" si="4"/>
        <v>6555</v>
      </c>
      <c r="N22" s="521">
        <v>487</v>
      </c>
      <c r="O22" s="521">
        <f t="shared" si="1"/>
        <v>7042</v>
      </c>
    </row>
    <row r="23" spans="1:17" ht="15.75" thickBot="1">
      <c r="A23" s="244">
        <f>ELEC!C20</f>
        <v>44092</v>
      </c>
      <c r="B23" s="550"/>
      <c r="C23" s="550"/>
      <c r="D23" s="550"/>
      <c r="E23" s="550"/>
      <c r="F23" s="550"/>
      <c r="G23" s="550"/>
      <c r="H23" s="565">
        <f t="shared" si="3"/>
        <v>6555</v>
      </c>
      <c r="I23" s="521">
        <f t="shared" si="2"/>
        <v>0</v>
      </c>
      <c r="J23" s="499">
        <v>0.29166666666666669</v>
      </c>
      <c r="L23" s="99">
        <f t="shared" si="0"/>
        <v>44092</v>
      </c>
      <c r="M23" s="3">
        <f t="shared" si="4"/>
        <v>6555</v>
      </c>
      <c r="N23" s="521">
        <v>487</v>
      </c>
      <c r="O23" s="521">
        <f t="shared" si="1"/>
        <v>7042</v>
      </c>
    </row>
    <row r="24" spans="1:17" ht="15.75" thickBot="1">
      <c r="A24" s="244">
        <f>ELEC!C21</f>
        <v>44093</v>
      </c>
      <c r="B24" s="550"/>
      <c r="C24" s="550"/>
      <c r="D24" s="550"/>
      <c r="E24" s="550"/>
      <c r="F24" s="550"/>
      <c r="G24" s="550"/>
      <c r="H24" s="565">
        <f t="shared" si="3"/>
        <v>6555</v>
      </c>
      <c r="I24" s="521">
        <f t="shared" si="2"/>
        <v>0</v>
      </c>
      <c r="J24" s="499">
        <v>0.29166666666666702</v>
      </c>
      <c r="L24" s="99">
        <f t="shared" si="0"/>
        <v>44093</v>
      </c>
      <c r="M24" s="3">
        <f t="shared" si="4"/>
        <v>6555</v>
      </c>
      <c r="N24" s="521">
        <v>487</v>
      </c>
      <c r="O24" s="521">
        <f t="shared" si="1"/>
        <v>7042</v>
      </c>
    </row>
    <row r="25" spans="1:17" ht="15.75" thickBot="1">
      <c r="A25" s="244">
        <f>ELEC!C22</f>
        <v>44094</v>
      </c>
      <c r="B25" s="550"/>
      <c r="C25" s="550"/>
      <c r="D25" s="550"/>
      <c r="E25" s="550"/>
      <c r="F25" s="550"/>
      <c r="G25" s="550"/>
      <c r="H25" s="565">
        <f t="shared" si="3"/>
        <v>6555</v>
      </c>
      <c r="I25" s="521">
        <f t="shared" si="2"/>
        <v>0</v>
      </c>
      <c r="J25" s="499">
        <v>0.29166666666666702</v>
      </c>
      <c r="L25" s="99">
        <f t="shared" si="0"/>
        <v>44094</v>
      </c>
      <c r="M25" s="3">
        <f t="shared" si="4"/>
        <v>6555</v>
      </c>
      <c r="N25" s="521">
        <v>487</v>
      </c>
      <c r="O25" s="521">
        <f t="shared" si="1"/>
        <v>7042</v>
      </c>
    </row>
    <row r="26" spans="1:17" ht="15.75" thickBot="1">
      <c r="A26" s="244">
        <f>ELEC!C23</f>
        <v>44095</v>
      </c>
      <c r="B26" s="550"/>
      <c r="C26" s="550"/>
      <c r="D26" s="550"/>
      <c r="E26" s="550"/>
      <c r="F26" s="550"/>
      <c r="G26" s="550"/>
      <c r="H26" s="565">
        <f t="shared" si="3"/>
        <v>6555</v>
      </c>
      <c r="I26" s="521">
        <f t="shared" si="2"/>
        <v>0</v>
      </c>
      <c r="J26" s="499">
        <v>0.29166666666666702</v>
      </c>
      <c r="L26" s="99">
        <f t="shared" si="0"/>
        <v>44095</v>
      </c>
      <c r="M26" s="3">
        <f t="shared" si="4"/>
        <v>6555</v>
      </c>
      <c r="N26" s="521">
        <v>487</v>
      </c>
      <c r="O26" s="521">
        <f t="shared" si="1"/>
        <v>7042</v>
      </c>
    </row>
    <row r="27" spans="1:17" ht="15.75" thickBot="1">
      <c r="A27" s="244">
        <f>ELEC!C24</f>
        <v>44096</v>
      </c>
      <c r="B27" s="550"/>
      <c r="C27" s="550"/>
      <c r="D27" s="550"/>
      <c r="E27" s="550"/>
      <c r="F27" s="550"/>
      <c r="G27" s="550"/>
      <c r="H27" s="565">
        <f t="shared" si="3"/>
        <v>6555</v>
      </c>
      <c r="I27" s="521">
        <f t="shared" si="2"/>
        <v>0</v>
      </c>
      <c r="J27" s="499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1">
        <f t="shared" si="1"/>
        <v>7197</v>
      </c>
    </row>
    <row r="28" spans="1:17" ht="15.75" thickBot="1">
      <c r="A28" s="244">
        <f>ELEC!C25</f>
        <v>44097</v>
      </c>
      <c r="B28" s="550"/>
      <c r="C28" s="550"/>
      <c r="D28" s="550"/>
      <c r="E28" s="550"/>
      <c r="F28" s="550"/>
      <c r="G28" s="550"/>
      <c r="H28" s="565">
        <f t="shared" si="3"/>
        <v>6555</v>
      </c>
      <c r="I28" s="521">
        <f t="shared" si="2"/>
        <v>0</v>
      </c>
      <c r="J28" s="500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1">
        <f t="shared" si="1"/>
        <v>7197</v>
      </c>
    </row>
    <row r="29" spans="1:17" ht="15.75" thickBot="1">
      <c r="A29" s="244">
        <f>ELEC!C26</f>
        <v>44098</v>
      </c>
      <c r="B29" s="550"/>
      <c r="C29" s="550"/>
      <c r="D29" s="550"/>
      <c r="E29" s="550"/>
      <c r="F29" s="550"/>
      <c r="G29" s="550"/>
      <c r="H29" s="565">
        <f t="shared" si="3"/>
        <v>6555</v>
      </c>
      <c r="I29" s="521">
        <f t="shared" si="2"/>
        <v>0</v>
      </c>
      <c r="J29" s="499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1">
        <f t="shared" si="1"/>
        <v>7197</v>
      </c>
    </row>
    <row r="30" spans="1:17" ht="15.75" thickBot="1">
      <c r="A30" s="244">
        <f>ELEC!C27</f>
        <v>44099</v>
      </c>
      <c r="B30" s="521"/>
      <c r="C30" s="521"/>
      <c r="D30" s="170"/>
      <c r="E30" s="170"/>
      <c r="F30" s="170"/>
      <c r="G30" s="170"/>
      <c r="H30" s="565">
        <f t="shared" si="3"/>
        <v>6555</v>
      </c>
      <c r="I30" s="521">
        <f t="shared" si="2"/>
        <v>0</v>
      </c>
      <c r="J30" s="499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1">
        <f t="shared" si="1"/>
        <v>7197</v>
      </c>
    </row>
    <row r="31" spans="1:17" ht="15.75" thickBot="1">
      <c r="A31" s="244">
        <f>ELEC!C28</f>
        <v>44100</v>
      </c>
      <c r="B31" s="258"/>
      <c r="C31" s="552"/>
      <c r="D31" s="170"/>
      <c r="E31" s="170"/>
      <c r="F31" s="170"/>
      <c r="G31" s="170"/>
      <c r="H31" s="565">
        <f t="shared" si="3"/>
        <v>6555</v>
      </c>
      <c r="I31" s="521">
        <f t="shared" si="2"/>
        <v>0</v>
      </c>
      <c r="J31" s="499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1">
        <f t="shared" si="1"/>
        <v>7197</v>
      </c>
    </row>
    <row r="32" spans="1:17" ht="15.75" thickBot="1">
      <c r="A32" s="244">
        <f>ELEC!C29</f>
        <v>44101</v>
      </c>
      <c r="B32" s="521"/>
      <c r="C32" s="521"/>
      <c r="D32" s="521"/>
      <c r="E32" s="521"/>
      <c r="F32" s="521"/>
      <c r="G32" s="521"/>
      <c r="H32" s="565">
        <f t="shared" si="3"/>
        <v>6555</v>
      </c>
      <c r="I32" s="521">
        <f t="shared" si="2"/>
        <v>0</v>
      </c>
      <c r="J32" s="499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1">
        <f t="shared" si="1"/>
        <v>7197</v>
      </c>
    </row>
    <row r="33" spans="1:15" ht="15.75" thickBot="1">
      <c r="A33" s="244">
        <f>ELEC!C30</f>
        <v>44102</v>
      </c>
      <c r="B33" s="521"/>
      <c r="C33" s="521"/>
      <c r="D33" s="521"/>
      <c r="E33" s="521"/>
      <c r="F33" s="521"/>
      <c r="G33" s="521"/>
      <c r="H33" s="565">
        <f t="shared" si="3"/>
        <v>6555</v>
      </c>
      <c r="I33" s="521">
        <f t="shared" si="2"/>
        <v>0</v>
      </c>
      <c r="J33" s="499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1">
        <f t="shared" si="1"/>
        <v>7197</v>
      </c>
    </row>
    <row r="34" spans="1:15" ht="15.75" thickBot="1">
      <c r="A34" s="244">
        <f>ELEC!C31</f>
        <v>44103</v>
      </c>
      <c r="B34" s="521"/>
      <c r="C34" s="521"/>
      <c r="D34" s="521"/>
      <c r="E34" s="521"/>
      <c r="F34" s="521"/>
      <c r="G34" s="521"/>
      <c r="H34" s="565">
        <f t="shared" si="3"/>
        <v>6555</v>
      </c>
      <c r="I34" s="521">
        <f t="shared" si="2"/>
        <v>0</v>
      </c>
      <c r="J34" s="499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1">
        <f t="shared" si="1"/>
        <v>7197</v>
      </c>
    </row>
    <row r="35" spans="1:15" ht="15.75" thickBot="1">
      <c r="A35" s="416">
        <f>ELEC!C32</f>
        <v>44104</v>
      </c>
      <c r="B35" s="521"/>
      <c r="C35" s="521"/>
      <c r="D35" s="521"/>
      <c r="E35" s="521"/>
      <c r="F35" s="521"/>
      <c r="G35" s="521"/>
      <c r="H35" s="565">
        <f t="shared" si="3"/>
        <v>6555</v>
      </c>
      <c r="I35" s="521">
        <f t="shared" si="2"/>
        <v>0</v>
      </c>
      <c r="J35" s="501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1">
        <f t="shared" si="1"/>
        <v>7197</v>
      </c>
    </row>
    <row r="36" spans="1:15">
      <c r="A36" s="416" t="e">
        <f>ELEC!#REF!</f>
        <v>#REF!</v>
      </c>
      <c r="B36" s="521"/>
      <c r="C36" s="521"/>
      <c r="D36" s="521"/>
      <c r="E36" s="521"/>
      <c r="F36" s="521"/>
      <c r="G36" s="521"/>
      <c r="H36" s="565">
        <f t="shared" si="3"/>
        <v>6555</v>
      </c>
      <c r="I36" s="521">
        <f t="shared" ref="I36" si="5">H36-H35</f>
        <v>0</v>
      </c>
      <c r="J36" s="501">
        <v>0.29166666666666702</v>
      </c>
      <c r="L36" s="99" t="e">
        <f t="shared" ref="L36" si="6">A36</f>
        <v>#REF!</v>
      </c>
      <c r="M36" s="3">
        <f t="shared" si="4"/>
        <v>6555</v>
      </c>
      <c r="N36" s="3">
        <v>642</v>
      </c>
      <c r="O36" s="521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zoomScale="90" zoomScaleNormal="90" workbookViewId="0">
      <pane xSplit="1" topLeftCell="B1" activePane="topRight" state="frozen"/>
      <selection pane="topRight" activeCell="I18" sqref="I1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0.140625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30</v>
      </c>
      <c r="G4" s="198">
        <v>30</v>
      </c>
      <c r="H4" s="198"/>
      <c r="I4" s="198"/>
    </row>
    <row r="5" spans="1:11" ht="31.5" customHeight="1">
      <c r="A5" s="249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0" t="s">
        <v>226</v>
      </c>
      <c r="G5" s="252" t="s">
        <v>336</v>
      </c>
      <c r="H5" s="252" t="s">
        <v>335</v>
      </c>
      <c r="I5" s="197" t="s">
        <v>232</v>
      </c>
      <c r="K5" s="440"/>
    </row>
    <row r="6" spans="1:11">
      <c r="A6" s="187" t="s">
        <v>217</v>
      </c>
      <c r="B6" s="358">
        <f>WATER!C36</f>
        <v>0</v>
      </c>
      <c r="C6" s="335">
        <v>1.66</v>
      </c>
      <c r="D6" s="187">
        <f>SUM(C6*B6)*D4</f>
        <v>0</v>
      </c>
      <c r="E6" s="446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49">
        <f>10200-I7</f>
        <v>2700</v>
      </c>
      <c r="J6" s="281"/>
    </row>
    <row r="7" spans="1:11">
      <c r="A7" s="187" t="s">
        <v>218</v>
      </c>
      <c r="B7" s="358">
        <f>WATER!H36</f>
        <v>918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7500</v>
      </c>
      <c r="G7" s="522">
        <v>7500</v>
      </c>
      <c r="H7" s="192">
        <f>[10]Sheet1!$C$9</f>
        <v>7500</v>
      </c>
      <c r="I7" s="188">
        <v>7500</v>
      </c>
      <c r="J7" s="281"/>
    </row>
    <row r="8" spans="1:11">
      <c r="A8" s="193" t="s">
        <v>219</v>
      </c>
      <c r="B8" s="359">
        <f>tanks!AT36</f>
        <v>29709</v>
      </c>
      <c r="C8" s="505">
        <f>SUM(tanks!AU36)</f>
        <v>0.51533333333333342</v>
      </c>
      <c r="D8" s="194">
        <f>SUM(B8*C8)*D4</f>
        <v>23079882.285000004</v>
      </c>
      <c r="E8" s="195">
        <f>SUM(D8/D4/F4)</f>
        <v>510.33460000000008</v>
      </c>
      <c r="F8" s="195">
        <f>SUM(E8*F4)+(1139)</f>
        <v>16449.038</v>
      </c>
      <c r="G8" s="522">
        <f>E8*$F$4+(1139)</f>
        <v>16449.038</v>
      </c>
      <c r="H8" s="192">
        <f>[10]Sheet1!$C$8</f>
        <v>30000</v>
      </c>
      <c r="I8" s="195">
        <v>48300</v>
      </c>
      <c r="J8" s="281"/>
    </row>
    <row r="9" spans="1:11">
      <c r="A9" s="2" t="s">
        <v>416</v>
      </c>
      <c r="B9" s="360">
        <f>'B5'!AV35</f>
        <v>0</v>
      </c>
      <c r="C9" s="357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2">
        <f>E9*$G$4</f>
        <v>0</v>
      </c>
      <c r="H9" s="192">
        <f>[10]Sheet1!$C$7</f>
        <v>0</v>
      </c>
      <c r="I9" s="192">
        <v>8100</v>
      </c>
      <c r="J9" s="281"/>
    </row>
    <row r="10" spans="1:11">
      <c r="A10" s="184" t="s">
        <v>220</v>
      </c>
      <c r="B10" s="361"/>
      <c r="C10" s="184"/>
      <c r="D10" s="186">
        <f>SUM('EDl log'!AB31)</f>
        <v>22582173</v>
      </c>
      <c r="E10" s="185">
        <f>SUM(D10/D4/F4)</f>
        <v>499.32941956882252</v>
      </c>
      <c r="F10" s="185">
        <f>SUM(E10*F4)</f>
        <v>14979.882587064676</v>
      </c>
      <c r="G10" s="522">
        <f>E10*$G$4</f>
        <v>14979.882587064676</v>
      </c>
      <c r="H10" s="192">
        <f>[10]Sheet1!$B$6</f>
        <v>19000</v>
      </c>
      <c r="I10" s="284">
        <v>37000</v>
      </c>
      <c r="J10" s="281"/>
      <c r="K10" s="281"/>
    </row>
    <row r="11" spans="1:11">
      <c r="I11" s="281"/>
      <c r="J11" s="281"/>
      <c r="K11" s="281"/>
    </row>
    <row r="12" spans="1:11" ht="13.5" customHeight="1">
      <c r="E12" s="439">
        <f>SUM(E6:E11)</f>
        <v>1259.6640195688226</v>
      </c>
      <c r="F12" s="183">
        <f>SUM(F6:F10)</f>
        <v>38928.920587064677</v>
      </c>
      <c r="G12" s="182">
        <f>SUM(G6:G10)</f>
        <v>38928.920587064677</v>
      </c>
      <c r="H12" s="182">
        <f>SUM(H6:H11)</f>
        <v>56500</v>
      </c>
      <c r="I12" s="224">
        <f>SUM(I6:I11)</f>
        <v>103600</v>
      </c>
      <c r="J12" s="281"/>
    </row>
    <row r="13" spans="1:11" ht="25.5" customHeight="1">
      <c r="A13" s="3"/>
      <c r="B13" s="178" t="s">
        <v>226</v>
      </c>
      <c r="C13" s="429" t="s">
        <v>386</v>
      </c>
      <c r="D13" s="429" t="s">
        <v>390</v>
      </c>
      <c r="E13" s="429" t="s">
        <v>387</v>
      </c>
      <c r="F13" s="429" t="s">
        <v>412</v>
      </c>
      <c r="G13" s="431"/>
      <c r="H13" s="616">
        <f>F12-H12</f>
        <v>-17571.079412935323</v>
      </c>
      <c r="I13" s="616">
        <f>F12-I12</f>
        <v>-64671.079412935323</v>
      </c>
      <c r="J13" s="17"/>
    </row>
    <row r="14" spans="1:11">
      <c r="A14" s="460" t="s">
        <v>302</v>
      </c>
      <c r="B14" s="97">
        <f>'Degree Days 2020'!AB18</f>
        <v>306.99999999999983</v>
      </c>
      <c r="C14" s="443">
        <f>'[11]Utility Cost '!D14</f>
        <v>285.99999999999983</v>
      </c>
      <c r="D14" s="170"/>
      <c r="E14" s="170">
        <f t="shared" ref="E14:E18" si="0">B14-C14</f>
        <v>21</v>
      </c>
      <c r="F14" s="521">
        <v>0</v>
      </c>
      <c r="G14" s="431"/>
      <c r="H14" s="432"/>
      <c r="I14" s="432"/>
    </row>
    <row r="15" spans="1:11">
      <c r="A15" s="460" t="s">
        <v>303</v>
      </c>
      <c r="B15" s="97">
        <f>'Degree Days 2020'!AA18</f>
        <v>0</v>
      </c>
      <c r="C15" s="443">
        <f>'[11]Utility Cost '!D15</f>
        <v>0</v>
      </c>
      <c r="D15" s="170"/>
      <c r="E15" s="170">
        <f t="shared" si="0"/>
        <v>0</v>
      </c>
      <c r="F15" s="521">
        <v>0</v>
      </c>
      <c r="G15" s="431"/>
      <c r="H15" s="17"/>
      <c r="I15" s="17"/>
      <c r="J15" s="17"/>
    </row>
    <row r="16" spans="1:11">
      <c r="A16" s="460" t="s">
        <v>304</v>
      </c>
      <c r="B16" s="593">
        <f>'General information '!D37</f>
        <v>28.533333333333335</v>
      </c>
      <c r="C16" s="443">
        <f>'[11]Utility Cost '!D16</f>
        <v>27.833333333333332</v>
      </c>
      <c r="D16" s="443"/>
      <c r="E16" s="444">
        <f t="shared" si="0"/>
        <v>0.70000000000000284</v>
      </c>
      <c r="F16" s="541">
        <v>0</v>
      </c>
      <c r="G16" s="431"/>
      <c r="H16" s="17"/>
      <c r="I16" s="17"/>
      <c r="J16" s="17"/>
    </row>
    <row r="17" spans="1:10">
      <c r="A17" s="533" t="s">
        <v>316</v>
      </c>
      <c r="B17" s="536">
        <f>'General information '!F36</f>
        <v>0</v>
      </c>
      <c r="C17" s="535">
        <f>'[11]Utility Cost '!D17</f>
        <v>0.68726333333333334</v>
      </c>
      <c r="D17" s="488">
        <v>0</v>
      </c>
      <c r="E17" s="535">
        <f t="shared" si="0"/>
        <v>-0.68726333333333334</v>
      </c>
      <c r="F17" s="539">
        <f>B17-D17</f>
        <v>0</v>
      </c>
      <c r="G17" s="17"/>
      <c r="H17" s="17"/>
      <c r="I17" s="17"/>
      <c r="J17" s="17"/>
    </row>
    <row r="18" spans="1:10">
      <c r="A18" s="534" t="s">
        <v>388</v>
      </c>
      <c r="B18" s="538">
        <f>GEN!Z34</f>
        <v>151</v>
      </c>
      <c r="C18" s="443">
        <f>'[11]Utility Cost '!D18</f>
        <v>329</v>
      </c>
      <c r="D18" s="441">
        <f>'[12]Other Fuel Calculation 2020'!$J$60</f>
        <v>307.66666666666669</v>
      </c>
      <c r="E18" s="537">
        <f t="shared" si="0"/>
        <v>-178</v>
      </c>
      <c r="F18" s="540">
        <f>B18-D18</f>
        <v>-156.66666666666669</v>
      </c>
    </row>
    <row r="19" spans="1:10">
      <c r="A19" s="534" t="s">
        <v>413</v>
      </c>
      <c r="B19" s="532">
        <f>SUM(B18/$F$4)</f>
        <v>5.0333333333333332</v>
      </c>
      <c r="C19" s="532">
        <f>SUM(C18/$F$4)</f>
        <v>10.966666666666667</v>
      </c>
      <c r="D19" s="442"/>
      <c r="E19" s="442"/>
      <c r="F19" s="521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96"/>
  <sheetViews>
    <sheetView topLeftCell="E63" zoomScale="80" zoomScaleNormal="80" workbookViewId="0">
      <selection activeCell="K93" sqref="J93:K93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0" t="s">
        <v>161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</row>
    <row r="2" spans="1:28" ht="19.5">
      <c r="A2" s="721"/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  <c r="P2" s="721"/>
      <c r="Q2" s="721"/>
      <c r="R2" s="721"/>
      <c r="S2" s="721"/>
      <c r="T2" s="721"/>
      <c r="U2" s="721"/>
      <c r="V2" s="721"/>
      <c r="W2" s="721"/>
      <c r="X2" s="721"/>
    </row>
    <row r="3" spans="1:28" ht="19.5">
      <c r="A3" s="721" t="s">
        <v>162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1" t="s">
        <v>411</v>
      </c>
      <c r="B5" s="721"/>
      <c r="C5" s="721"/>
      <c r="D5" s="721"/>
      <c r="E5" s="721"/>
      <c r="F5" s="721"/>
      <c r="G5" s="721"/>
      <c r="H5" s="721"/>
      <c r="I5" s="721"/>
      <c r="J5" s="721"/>
      <c r="K5" s="721"/>
      <c r="L5" s="721"/>
      <c r="M5" s="721"/>
      <c r="N5" s="721"/>
      <c r="O5" s="721"/>
      <c r="P5" s="721"/>
      <c r="Q5" s="721"/>
      <c r="R5" s="721"/>
      <c r="S5" s="721"/>
      <c r="T5" s="721"/>
      <c r="U5" s="721"/>
      <c r="V5" s="721"/>
      <c r="W5" s="721"/>
      <c r="X5" s="721"/>
    </row>
    <row r="6" spans="1:28" ht="15.75" thickBot="1">
      <c r="A6" s="722"/>
      <c r="B6" s="722"/>
      <c r="C6" s="722"/>
      <c r="D6" s="722"/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2"/>
      <c r="S6" s="722"/>
      <c r="T6" s="722"/>
      <c r="U6" s="722"/>
      <c r="V6" s="722"/>
      <c r="W6" s="722"/>
      <c r="X6" s="722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7">
        <f>'[7]Degree Days 2020'!B10</f>
        <v>16</v>
      </c>
      <c r="C10" s="277">
        <f>'[7]Degree Days 2020'!C10</f>
        <v>11</v>
      </c>
      <c r="D10" s="277">
        <f>(B10+C10)/2-18.3</f>
        <v>-4.8000000000000007</v>
      </c>
      <c r="E10" s="277">
        <f>'[7]Degree Days 2020'!E10</f>
        <v>1</v>
      </c>
      <c r="F10" s="277">
        <f>'[7]Degree Days 2020'!F10</f>
        <v>17</v>
      </c>
      <c r="G10" s="277">
        <f>'[7]Degree Days 2020'!G10</f>
        <v>12</v>
      </c>
      <c r="H10" s="277">
        <f>(F10+G10)/2-18.3</f>
        <v>-3.8000000000000007</v>
      </c>
      <c r="I10" s="277">
        <f>'[6]Degree Days 2018'!I10</f>
        <v>1</v>
      </c>
      <c r="J10" s="277">
        <f>'[7]Degree Days 2020'!J10</f>
        <v>17</v>
      </c>
      <c r="K10" s="277">
        <f>'[7]Degree Days 2020'!K10</f>
        <v>10</v>
      </c>
      <c r="L10" s="277">
        <f>(J10+K10)/2-18.3</f>
        <v>-4.8000000000000007</v>
      </c>
      <c r="M10" s="277">
        <f>'[7]Degree Days 2020'!M10</f>
        <v>1</v>
      </c>
      <c r="N10" s="277">
        <f>'[7]Degree Days 2020'!N10</f>
        <v>19</v>
      </c>
      <c r="O10" s="277">
        <f>'[7]Degree Days 2020'!O10</f>
        <v>14</v>
      </c>
      <c r="P10" s="277">
        <f>(N10+O10)/2-18.3</f>
        <v>-1.8000000000000007</v>
      </c>
      <c r="Q10" s="543">
        <v>1</v>
      </c>
      <c r="R10" s="277">
        <f>'[7]Degree Days 2020'!R10</f>
        <v>22</v>
      </c>
      <c r="S10" s="277">
        <f>'[7]Degree Days 2020'!S10</f>
        <v>16</v>
      </c>
      <c r="T10" s="277">
        <f>(R10+S10)/2-18.3</f>
        <v>0.69999999999999929</v>
      </c>
      <c r="U10" s="543">
        <v>1</v>
      </c>
      <c r="V10" s="277">
        <f>'[7]Degree Days 2020'!V10</f>
        <v>25</v>
      </c>
      <c r="W10" s="277">
        <f>'[7]Degree Days 2020'!W10</f>
        <v>20</v>
      </c>
      <c r="X10" s="277">
        <f>(V10+W10)/2-18.3</f>
        <v>4.1999999999999993</v>
      </c>
      <c r="Z10" t="s">
        <v>165</v>
      </c>
      <c r="AA10" s="277">
        <f>'[2]Degree Days 2020'!AA10</f>
        <v>-148.80000000000001</v>
      </c>
      <c r="AB10" s="277">
        <f>'[2]Degree Days 2020'!AB10</f>
        <v>0</v>
      </c>
    </row>
    <row r="11" spans="1:28">
      <c r="A11" s="117">
        <v>2</v>
      </c>
      <c r="B11" s="277">
        <f>'[7]Degree Days 2020'!B11</f>
        <v>17</v>
      </c>
      <c r="C11" s="277">
        <f>'[7]Degree Days 2020'!C11</f>
        <v>12</v>
      </c>
      <c r="D11" s="277">
        <f t="shared" ref="D11:D40" si="0">(B11+C11)/2-18.3</f>
        <v>-3.8000000000000007</v>
      </c>
      <c r="E11" s="277">
        <f>'[7]Degree Days 2020'!E11</f>
        <v>2</v>
      </c>
      <c r="F11" s="277">
        <f>'[7]Degree Days 2020'!F11</f>
        <v>17</v>
      </c>
      <c r="G11" s="277">
        <f>'[7]Degree Days 2020'!G11</f>
        <v>11</v>
      </c>
      <c r="H11" s="277">
        <f t="shared" ref="H11:H40" si="1">(F11+G11)/2-18.3</f>
        <v>-4.3000000000000007</v>
      </c>
      <c r="I11" s="277">
        <f>'[6]Degree Days 2018'!I11</f>
        <v>2</v>
      </c>
      <c r="J11" s="277">
        <f>'[7]Degree Days 2020'!J11</f>
        <v>18</v>
      </c>
      <c r="K11" s="277">
        <f>'[7]Degree Days 2020'!K11</f>
        <v>11</v>
      </c>
      <c r="L11" s="277">
        <f t="shared" ref="L11:L40" si="2">(J11+K11)/2-18.3</f>
        <v>-3.8000000000000007</v>
      </c>
      <c r="M11" s="277">
        <f>'[7]Degree Days 2020'!M11</f>
        <v>2</v>
      </c>
      <c r="N11" s="277">
        <f>'[7]Degree Days 2020'!N11</f>
        <v>19</v>
      </c>
      <c r="O11" s="277">
        <f>'[7]Degree Days 2020'!O11</f>
        <v>15</v>
      </c>
      <c r="P11" s="277">
        <f t="shared" ref="P11:P40" si="3">(N11+O11)/2-18.3</f>
        <v>-1.3000000000000007</v>
      </c>
      <c r="Q11" s="543">
        <v>2</v>
      </c>
      <c r="R11" s="277">
        <f>'[7]Degree Days 2020'!R11</f>
        <v>21</v>
      </c>
      <c r="S11" s="277">
        <f>'[7]Degree Days 2020'!S11</f>
        <v>14</v>
      </c>
      <c r="T11" s="277">
        <f t="shared" ref="T11:T40" si="4">(R11+S11)/2-18.3</f>
        <v>-0.80000000000000071</v>
      </c>
      <c r="U11" s="543">
        <v>2</v>
      </c>
      <c r="V11" s="277">
        <f>'[7]Degree Days 2020'!V11</f>
        <v>24</v>
      </c>
      <c r="W11" s="277">
        <f>'[7]Degree Days 2020'!W11</f>
        <v>20</v>
      </c>
      <c r="X11" s="277">
        <f t="shared" ref="X11:X40" si="5">(V11+W11)/2-18.3</f>
        <v>3.6999999999999993</v>
      </c>
      <c r="Z11" t="s">
        <v>169</v>
      </c>
      <c r="AA11" s="277">
        <f>'[2]Degree Days 2020'!AA11</f>
        <v>-153.49999999999997</v>
      </c>
      <c r="AB11" s="277">
        <f>'[2]Degree Days 2020'!AB11</f>
        <v>0.69999999999999929</v>
      </c>
    </row>
    <row r="12" spans="1:28">
      <c r="A12" s="117">
        <v>3</v>
      </c>
      <c r="B12" s="277">
        <f>'[7]Degree Days 2020'!B12</f>
        <v>16</v>
      </c>
      <c r="C12" s="277">
        <f>'[7]Degree Days 2020'!C12</f>
        <v>12</v>
      </c>
      <c r="D12" s="277">
        <f t="shared" si="0"/>
        <v>-4.3000000000000007</v>
      </c>
      <c r="E12" s="277">
        <f>'[7]Degree Days 2020'!E12</f>
        <v>3</v>
      </c>
      <c r="F12" s="277">
        <f>'[7]Degree Days 2020'!F12</f>
        <v>16</v>
      </c>
      <c r="G12" s="277">
        <f>'[7]Degree Days 2020'!G12</f>
        <v>10</v>
      </c>
      <c r="H12" s="277">
        <f t="shared" si="1"/>
        <v>-5.3000000000000007</v>
      </c>
      <c r="I12" s="277">
        <f>'[6]Degree Days 2018'!I12</f>
        <v>3</v>
      </c>
      <c r="J12" s="277">
        <f>'[7]Degree Days 2020'!J12</f>
        <v>19</v>
      </c>
      <c r="K12" s="277">
        <f>'[7]Degree Days 2020'!K12</f>
        <v>12</v>
      </c>
      <c r="L12" s="277">
        <f t="shared" si="2"/>
        <v>-2.8000000000000007</v>
      </c>
      <c r="M12" s="277">
        <f>'[7]Degree Days 2020'!M12</f>
        <v>3</v>
      </c>
      <c r="N12" s="277">
        <f>'[7]Degree Days 2020'!N12</f>
        <v>20</v>
      </c>
      <c r="O12" s="277">
        <f>'[7]Degree Days 2020'!O12</f>
        <v>14</v>
      </c>
      <c r="P12" s="277">
        <f t="shared" si="3"/>
        <v>-1.3000000000000007</v>
      </c>
      <c r="Q12" s="543">
        <v>3</v>
      </c>
      <c r="R12" s="277">
        <f>'[7]Degree Days 2020'!R12</f>
        <v>24</v>
      </c>
      <c r="S12" s="277">
        <f>'[7]Degree Days 2020'!S12</f>
        <v>17</v>
      </c>
      <c r="T12" s="277">
        <f t="shared" si="4"/>
        <v>2.1999999999999993</v>
      </c>
      <c r="U12" s="543">
        <v>3</v>
      </c>
      <c r="V12" s="277">
        <f>'[7]Degree Days 2020'!V12</f>
        <v>27</v>
      </c>
      <c r="W12" s="277">
        <f>'[7]Degree Days 2020'!W12</f>
        <v>19</v>
      </c>
      <c r="X12" s="277">
        <f t="shared" si="5"/>
        <v>4.6999999999999993</v>
      </c>
      <c r="Z12" t="s">
        <v>170</v>
      </c>
      <c r="AA12" s="277">
        <f>'[2]Degree Days 2020'!AA12</f>
        <v>-61.799999999999983</v>
      </c>
      <c r="AB12" s="277">
        <f>'[2]Degree Days 2020'!AB12</f>
        <v>11.499999999999996</v>
      </c>
    </row>
    <row r="13" spans="1:28">
      <c r="A13" s="117">
        <v>4</v>
      </c>
      <c r="B13" s="277">
        <f>'[7]Degree Days 2020'!B13</f>
        <v>15</v>
      </c>
      <c r="C13" s="277">
        <f>'[7]Degree Days 2020'!C13</f>
        <v>11</v>
      </c>
      <c r="D13" s="277">
        <f t="shared" si="0"/>
        <v>-5.3000000000000007</v>
      </c>
      <c r="E13" s="277">
        <f>'[7]Degree Days 2020'!E13</f>
        <v>4</v>
      </c>
      <c r="F13" s="277">
        <f>'[7]Degree Days 2020'!F13</f>
        <v>17</v>
      </c>
      <c r="G13" s="277">
        <f>'[7]Degree Days 2020'!G13</f>
        <v>13</v>
      </c>
      <c r="H13" s="277">
        <f t="shared" si="1"/>
        <v>-3.3000000000000007</v>
      </c>
      <c r="I13" s="277">
        <f>'[6]Degree Days 2018'!I13</f>
        <v>4</v>
      </c>
      <c r="J13" s="277">
        <f>'[7]Degree Days 2020'!J13</f>
        <v>19</v>
      </c>
      <c r="K13" s="277">
        <f>'[7]Degree Days 2020'!K13</f>
        <v>12</v>
      </c>
      <c r="L13" s="277">
        <f t="shared" si="2"/>
        <v>-2.8000000000000007</v>
      </c>
      <c r="M13" s="277">
        <f>'[7]Degree Days 2020'!M13</f>
        <v>4</v>
      </c>
      <c r="N13" s="277">
        <f>'[7]Degree Days 2020'!N13</f>
        <v>23</v>
      </c>
      <c r="O13" s="277">
        <f>'[7]Degree Days 2020'!O13</f>
        <v>14</v>
      </c>
      <c r="P13" s="277">
        <f t="shared" si="3"/>
        <v>0.19999999999999929</v>
      </c>
      <c r="Q13" s="543">
        <v>4</v>
      </c>
      <c r="R13" s="277">
        <f>'[7]Degree Days 2020'!R13</f>
        <v>23</v>
      </c>
      <c r="S13" s="277">
        <f>'[7]Degree Days 2020'!S13</f>
        <v>17</v>
      </c>
      <c r="T13" s="277">
        <f t="shared" si="4"/>
        <v>1.6999999999999993</v>
      </c>
      <c r="U13" s="543">
        <v>4</v>
      </c>
      <c r="V13" s="277">
        <f>'[7]Degree Days 2020'!V13</f>
        <v>26</v>
      </c>
      <c r="W13" s="277">
        <f>'[7]Degree Days 2020'!W13</f>
        <v>18</v>
      </c>
      <c r="X13" s="277">
        <f t="shared" si="5"/>
        <v>3.6999999999999993</v>
      </c>
      <c r="Z13" t="s">
        <v>171</v>
      </c>
      <c r="AA13" s="277">
        <f>'[2]Degree Days 2020'!AA13</f>
        <v>-54.600000000000009</v>
      </c>
      <c r="AB13" s="277">
        <f>'[2]Degree Days 2020'!AB13</f>
        <v>25.29999999999999</v>
      </c>
    </row>
    <row r="14" spans="1:28">
      <c r="A14" s="117">
        <v>5</v>
      </c>
      <c r="B14" s="277">
        <f>'[7]Degree Days 2020'!B14</f>
        <v>15</v>
      </c>
      <c r="C14" s="277">
        <f>'[7]Degree Days 2020'!C14</f>
        <v>11</v>
      </c>
      <c r="D14" s="277">
        <f t="shared" si="0"/>
        <v>-5.3000000000000007</v>
      </c>
      <c r="E14" s="277">
        <f>'[7]Degree Days 2020'!E14</f>
        <v>5</v>
      </c>
      <c r="F14" s="277">
        <f>'[7]Degree Days 2020'!F14</f>
        <v>20</v>
      </c>
      <c r="G14" s="277">
        <f>'[7]Degree Days 2020'!G14</f>
        <v>15</v>
      </c>
      <c r="H14" s="277">
        <f t="shared" si="1"/>
        <v>-0.80000000000000071</v>
      </c>
      <c r="I14" s="277">
        <f>'[6]Degree Days 2018'!I14</f>
        <v>5</v>
      </c>
      <c r="J14" s="277">
        <f>'[7]Degree Days 2020'!J14</f>
        <v>19</v>
      </c>
      <c r="K14" s="277">
        <f>'[7]Degree Days 2020'!K14</f>
        <v>14</v>
      </c>
      <c r="L14" s="277">
        <f t="shared" si="2"/>
        <v>-1.8000000000000007</v>
      </c>
      <c r="M14" s="277">
        <f>'[7]Degree Days 2020'!M14</f>
        <v>5</v>
      </c>
      <c r="N14" s="277">
        <f>'[7]Degree Days 2020'!N14</f>
        <v>34</v>
      </c>
      <c r="O14" s="277">
        <f>'[7]Degree Days 2020'!O14</f>
        <v>17</v>
      </c>
      <c r="P14" s="277">
        <f t="shared" si="3"/>
        <v>7.1999999999999993</v>
      </c>
      <c r="Q14" s="543">
        <v>5</v>
      </c>
      <c r="R14" s="277">
        <f>'[7]Degree Days 2020'!R14</f>
        <v>22</v>
      </c>
      <c r="S14" s="277">
        <f>'[7]Degree Days 2020'!S14</f>
        <v>18</v>
      </c>
      <c r="T14" s="277">
        <f t="shared" si="4"/>
        <v>1.6999999999999993</v>
      </c>
      <c r="U14" s="543">
        <v>5</v>
      </c>
      <c r="V14" s="277">
        <f>'[7]Degree Days 2020'!V14</f>
        <v>25</v>
      </c>
      <c r="W14" s="277">
        <f>'[7]Degree Days 2020'!W14</f>
        <v>17</v>
      </c>
      <c r="X14" s="277">
        <f t="shared" si="5"/>
        <v>2.6999999999999993</v>
      </c>
      <c r="Z14" t="s">
        <v>172</v>
      </c>
      <c r="AA14" s="277">
        <f>'[2]Degree Days 2020'!AA14</f>
        <v>-0.80000000000000071</v>
      </c>
      <c r="AB14" s="277">
        <f>'[2]Degree Days 2020'!AB14</f>
        <v>131.50000000000003</v>
      </c>
    </row>
    <row r="15" spans="1:28">
      <c r="A15" s="117">
        <v>6</v>
      </c>
      <c r="B15" s="277">
        <f>'[7]Degree Days 2020'!B15</f>
        <v>16</v>
      </c>
      <c r="C15" s="277">
        <f>'[7]Degree Days 2020'!C15</f>
        <v>12</v>
      </c>
      <c r="D15" s="277">
        <f t="shared" si="0"/>
        <v>-4.3000000000000007</v>
      </c>
      <c r="E15" s="277">
        <f>'[7]Degree Days 2020'!E15</f>
        <v>6</v>
      </c>
      <c r="F15" s="277">
        <f>'[7]Degree Days 2020'!F15</f>
        <v>22</v>
      </c>
      <c r="G15" s="277">
        <f>'[7]Degree Days 2020'!G15</f>
        <v>16</v>
      </c>
      <c r="H15" s="277">
        <f t="shared" si="1"/>
        <v>0.69999999999999929</v>
      </c>
      <c r="I15" s="277">
        <f>'[6]Degree Days 2018'!I15</f>
        <v>6</v>
      </c>
      <c r="J15" s="277">
        <f>'[7]Degree Days 2020'!J15</f>
        <v>18</v>
      </c>
      <c r="K15" s="277">
        <f>'[7]Degree Days 2020'!K15</f>
        <v>12</v>
      </c>
      <c r="L15" s="277">
        <f t="shared" si="2"/>
        <v>-3.3000000000000007</v>
      </c>
      <c r="M15" s="277">
        <f>'[7]Degree Days 2020'!M15</f>
        <v>6</v>
      </c>
      <c r="N15" s="277">
        <f>'[7]Degree Days 2020'!N15</f>
        <v>19</v>
      </c>
      <c r="O15" s="277">
        <f>'[7]Degree Days 2020'!O15</f>
        <v>17</v>
      </c>
      <c r="P15" s="277">
        <f t="shared" si="3"/>
        <v>-0.30000000000000071</v>
      </c>
      <c r="Q15" s="543">
        <v>6</v>
      </c>
      <c r="R15" s="277">
        <f>'[7]Degree Days 2020'!R15</f>
        <v>23</v>
      </c>
      <c r="S15" s="277">
        <f>'[7]Degree Days 2020'!S15</f>
        <v>17</v>
      </c>
      <c r="T15" s="277">
        <f t="shared" si="4"/>
        <v>1.6999999999999993</v>
      </c>
      <c r="U15" s="543">
        <v>6</v>
      </c>
      <c r="V15" s="277">
        <f>'[7]Degree Days 2020'!V15</f>
        <v>26</v>
      </c>
      <c r="W15" s="277">
        <f>'[7]Degree Days 2020'!W15</f>
        <v>18</v>
      </c>
      <c r="X15" s="277">
        <f t="shared" si="5"/>
        <v>3.6999999999999993</v>
      </c>
      <c r="Z15" t="s">
        <v>173</v>
      </c>
      <c r="AA15" s="277">
        <f>'[2]Degree Days 2020'!AA15</f>
        <v>-18.3</v>
      </c>
      <c r="AB15" s="277">
        <f>'[2]Degree Days 2020'!AB15</f>
        <v>182.99999999999997</v>
      </c>
    </row>
    <row r="16" spans="1:28">
      <c r="A16" s="117">
        <v>7</v>
      </c>
      <c r="B16" s="277">
        <f>'[7]Degree Days 2020'!B16</f>
        <v>16</v>
      </c>
      <c r="C16" s="277">
        <f>'[7]Degree Days 2020'!C16</f>
        <v>12</v>
      </c>
      <c r="D16" s="277">
        <f t="shared" si="0"/>
        <v>-4.3000000000000007</v>
      </c>
      <c r="E16" s="277">
        <f>'[7]Degree Days 2020'!E16</f>
        <v>7</v>
      </c>
      <c r="F16" s="277">
        <f>'[7]Degree Days 2020'!F16</f>
        <v>16</v>
      </c>
      <c r="G16" s="277">
        <f>'[7]Degree Days 2020'!G16</f>
        <v>10</v>
      </c>
      <c r="H16" s="277">
        <f t="shared" si="1"/>
        <v>-5.3000000000000007</v>
      </c>
      <c r="I16" s="277">
        <f>'[6]Degree Days 2018'!I16</f>
        <v>7</v>
      </c>
      <c r="J16" s="277">
        <f>'[7]Degree Days 2020'!J16</f>
        <v>18</v>
      </c>
      <c r="K16" s="277">
        <f>'[7]Degree Days 2020'!K16</f>
        <v>12</v>
      </c>
      <c r="L16" s="277">
        <f t="shared" si="2"/>
        <v>-3.3000000000000007</v>
      </c>
      <c r="M16" s="277">
        <f>'[7]Degree Days 2020'!M16</f>
        <v>7</v>
      </c>
      <c r="N16" s="277">
        <f>'[7]Degree Days 2020'!N16</f>
        <v>20</v>
      </c>
      <c r="O16" s="277">
        <f>'[7]Degree Days 2020'!O16</f>
        <v>16</v>
      </c>
      <c r="P16" s="277">
        <f t="shared" si="3"/>
        <v>-0.30000000000000071</v>
      </c>
      <c r="Q16" s="543">
        <v>7</v>
      </c>
      <c r="R16" s="277">
        <f>'[7]Degree Days 2020'!R16</f>
        <v>25</v>
      </c>
      <c r="S16" s="277">
        <f>'[7]Degree Days 2020'!S16</f>
        <v>18</v>
      </c>
      <c r="T16" s="277">
        <f t="shared" si="4"/>
        <v>3.1999999999999993</v>
      </c>
      <c r="U16" s="543">
        <v>7</v>
      </c>
      <c r="V16" s="277">
        <f>'[7]Degree Days 2020'!V16</f>
        <v>27</v>
      </c>
      <c r="W16" s="277">
        <f>'[7]Degree Days 2020'!W16</f>
        <v>21</v>
      </c>
      <c r="X16" s="277">
        <f t="shared" si="5"/>
        <v>5.6999999999999993</v>
      </c>
      <c r="Z16" t="s">
        <v>176</v>
      </c>
      <c r="AA16" s="277">
        <f>'[2]Degree Days 2020'!AA16</f>
        <v>0</v>
      </c>
      <c r="AB16" s="277">
        <f>'[2]Degree Days 2020'!AB16</f>
        <v>275.69999999999987</v>
      </c>
    </row>
    <row r="17" spans="1:28">
      <c r="A17" s="117">
        <v>8</v>
      </c>
      <c r="B17" s="277">
        <f>'[7]Degree Days 2020'!B17</f>
        <v>14</v>
      </c>
      <c r="C17" s="277">
        <f>'[7]Degree Days 2020'!C17</f>
        <v>11</v>
      </c>
      <c r="D17" s="277">
        <f t="shared" si="0"/>
        <v>-5.8000000000000007</v>
      </c>
      <c r="E17" s="277">
        <f>'[7]Degree Days 2020'!E17</f>
        <v>8</v>
      </c>
      <c r="F17" s="277">
        <f>'[7]Degree Days 2020'!F17</f>
        <v>14</v>
      </c>
      <c r="G17" s="277">
        <f>'[7]Degree Days 2020'!G17</f>
        <v>9</v>
      </c>
      <c r="H17" s="277">
        <f t="shared" si="1"/>
        <v>-6.8000000000000007</v>
      </c>
      <c r="I17" s="277">
        <f>'[6]Degree Days 2018'!I17</f>
        <v>8</v>
      </c>
      <c r="J17" s="277">
        <f>'[7]Degree Days 2020'!J17</f>
        <v>19</v>
      </c>
      <c r="K17" s="277">
        <f>'[7]Degree Days 2020'!K17</f>
        <v>13</v>
      </c>
      <c r="L17" s="277">
        <f t="shared" si="2"/>
        <v>-2.3000000000000007</v>
      </c>
      <c r="M17" s="277">
        <f>'[7]Degree Days 2020'!M17</f>
        <v>8</v>
      </c>
      <c r="N17" s="277">
        <f>'[7]Degree Days 2020'!N17</f>
        <v>19</v>
      </c>
      <c r="O17" s="277">
        <f>'[7]Degree Days 2020'!O17</f>
        <v>15</v>
      </c>
      <c r="P17" s="277">
        <f t="shared" si="3"/>
        <v>-1.3000000000000007</v>
      </c>
      <c r="Q17" s="543">
        <v>8</v>
      </c>
      <c r="R17" s="277">
        <f>'[7]Degree Days 2020'!R17</f>
        <v>23</v>
      </c>
      <c r="S17" s="277">
        <f>'[7]Degree Days 2020'!S17</f>
        <v>17</v>
      </c>
      <c r="T17" s="277">
        <f t="shared" si="4"/>
        <v>1.6999999999999993</v>
      </c>
      <c r="U17" s="543">
        <v>8</v>
      </c>
      <c r="V17" s="277">
        <f>'[7]Degree Days 2020'!V17</f>
        <v>26</v>
      </c>
      <c r="W17" s="277">
        <f>'[7]Degree Days 2020'!W17</f>
        <v>22</v>
      </c>
      <c r="X17" s="277">
        <f t="shared" si="5"/>
        <v>5.6999999999999993</v>
      </c>
      <c r="Z17" t="s">
        <v>177</v>
      </c>
      <c r="AA17" s="277">
        <f>F81</f>
        <v>0</v>
      </c>
      <c r="AB17" s="277">
        <f>G81</f>
        <v>307.69999999999982</v>
      </c>
    </row>
    <row r="18" spans="1:28">
      <c r="A18" s="117">
        <v>9</v>
      </c>
      <c r="B18" s="277">
        <f>'[7]Degree Days 2020'!B18</f>
        <v>14</v>
      </c>
      <c r="C18" s="277">
        <f>'[7]Degree Days 2020'!C18</f>
        <v>11</v>
      </c>
      <c r="D18" s="277">
        <f t="shared" si="0"/>
        <v>-5.8000000000000007</v>
      </c>
      <c r="E18" s="277">
        <f>'[7]Degree Days 2020'!E18</f>
        <v>9</v>
      </c>
      <c r="F18" s="277">
        <f>'[7]Degree Days 2020'!F18</f>
        <v>9</v>
      </c>
      <c r="G18" s="277">
        <f>'[7]Degree Days 2020'!G18</f>
        <v>8</v>
      </c>
      <c r="H18" s="277">
        <f t="shared" si="1"/>
        <v>-9.8000000000000007</v>
      </c>
      <c r="I18" s="277">
        <f>'[6]Degree Days 2018'!I18</f>
        <v>9</v>
      </c>
      <c r="J18" s="277">
        <f>'[7]Degree Days 2020'!J18</f>
        <v>20</v>
      </c>
      <c r="K18" s="277">
        <f>'[7]Degree Days 2020'!K18</f>
        <v>14</v>
      </c>
      <c r="L18" s="277">
        <f t="shared" si="2"/>
        <v>-1.3000000000000007</v>
      </c>
      <c r="M18" s="277">
        <f>'[7]Degree Days 2020'!M18</f>
        <v>9</v>
      </c>
      <c r="N18" s="277">
        <f>'[7]Degree Days 2020'!N18</f>
        <v>18</v>
      </c>
      <c r="O18" s="277">
        <f>'[7]Degree Days 2020'!O18</f>
        <v>15</v>
      </c>
      <c r="P18" s="277">
        <f t="shared" si="3"/>
        <v>-1.8000000000000007</v>
      </c>
      <c r="Q18" s="543">
        <v>9</v>
      </c>
      <c r="R18" s="277">
        <f>'[7]Degree Days 2020'!R18</f>
        <v>24</v>
      </c>
      <c r="S18" s="277">
        <f>'[7]Degree Days 2020'!S18</f>
        <v>18</v>
      </c>
      <c r="T18" s="277">
        <f t="shared" si="4"/>
        <v>2.6999999999999993</v>
      </c>
      <c r="U18" s="543">
        <v>9</v>
      </c>
      <c r="V18" s="277">
        <f>'[7]Degree Days 2020'!V18</f>
        <v>28</v>
      </c>
      <c r="W18" s="277">
        <f>'[7]Degree Days 2020'!W18</f>
        <v>20</v>
      </c>
      <c r="X18" s="277">
        <f t="shared" si="5"/>
        <v>5.6999999999999993</v>
      </c>
      <c r="Z18" t="s">
        <v>178</v>
      </c>
      <c r="AA18" s="277">
        <f>J81</f>
        <v>0</v>
      </c>
      <c r="AB18" s="277">
        <f>K81</f>
        <v>306.99999999999983</v>
      </c>
    </row>
    <row r="19" spans="1:28">
      <c r="A19" s="117">
        <v>10</v>
      </c>
      <c r="B19" s="277">
        <f>'[7]Degree Days 2020'!B19</f>
        <v>17</v>
      </c>
      <c r="C19" s="277">
        <f>'[7]Degree Days 2020'!C19</f>
        <v>12</v>
      </c>
      <c r="D19" s="277">
        <f t="shared" si="0"/>
        <v>-3.8000000000000007</v>
      </c>
      <c r="E19" s="277">
        <f>'[7]Degree Days 2020'!E19</f>
        <v>10</v>
      </c>
      <c r="F19" s="277">
        <f>'[7]Degree Days 2020'!F19</f>
        <v>10</v>
      </c>
      <c r="G19" s="277">
        <f>'[7]Degree Days 2020'!G19</f>
        <v>7</v>
      </c>
      <c r="H19" s="277">
        <f t="shared" si="1"/>
        <v>-9.8000000000000007</v>
      </c>
      <c r="I19" s="277">
        <f>'[6]Degree Days 2018'!I19</f>
        <v>10</v>
      </c>
      <c r="J19" s="277">
        <f>'[7]Degree Days 2020'!J19</f>
        <v>19</v>
      </c>
      <c r="K19" s="277">
        <f>'[7]Degree Days 2020'!K19</f>
        <v>16</v>
      </c>
      <c r="L19" s="277">
        <f t="shared" si="2"/>
        <v>-0.80000000000000071</v>
      </c>
      <c r="M19" s="277">
        <f>'[7]Degree Days 2020'!M19</f>
        <v>10</v>
      </c>
      <c r="N19" s="277">
        <f>'[7]Degree Days 2020'!N19</f>
        <v>16</v>
      </c>
      <c r="O19" s="277">
        <f>'[7]Degree Days 2020'!O19</f>
        <v>13</v>
      </c>
      <c r="P19" s="277">
        <f t="shared" si="3"/>
        <v>-3.8000000000000007</v>
      </c>
      <c r="Q19" s="543">
        <v>10</v>
      </c>
      <c r="R19" s="277">
        <f>'[7]Degree Days 2020'!R19</f>
        <v>23</v>
      </c>
      <c r="S19" s="277">
        <f>'[7]Degree Days 2020'!S19</f>
        <v>17</v>
      </c>
      <c r="T19" s="277">
        <f t="shared" si="4"/>
        <v>1.6999999999999993</v>
      </c>
      <c r="U19" s="543">
        <v>10</v>
      </c>
      <c r="V19" s="277">
        <f>'[7]Degree Days 2020'!V19</f>
        <v>28</v>
      </c>
      <c r="W19" s="277">
        <f>'[7]Degree Days 2020'!W19</f>
        <v>20</v>
      </c>
      <c r="X19" s="277">
        <f t="shared" si="5"/>
        <v>5.6999999999999993</v>
      </c>
      <c r="Z19" t="s">
        <v>179</v>
      </c>
      <c r="AA19" s="277"/>
      <c r="AB19" s="277"/>
    </row>
    <row r="20" spans="1:28">
      <c r="A20" s="117">
        <v>11</v>
      </c>
      <c r="B20" s="277">
        <f>'[7]Degree Days 2020'!B20</f>
        <v>17</v>
      </c>
      <c r="C20" s="277">
        <f>'[7]Degree Days 2020'!C20</f>
        <v>13</v>
      </c>
      <c r="D20" s="277">
        <f t="shared" si="0"/>
        <v>-3.3000000000000007</v>
      </c>
      <c r="E20" s="277">
        <f>'[7]Degree Days 2020'!E20</f>
        <v>11</v>
      </c>
      <c r="F20" s="277">
        <f>'[7]Degree Days 2020'!F20</f>
        <v>14</v>
      </c>
      <c r="G20" s="277">
        <f>'[7]Degree Days 2020'!G20</f>
        <v>8</v>
      </c>
      <c r="H20" s="277">
        <f t="shared" si="1"/>
        <v>-7.3000000000000007</v>
      </c>
      <c r="I20" s="277">
        <f>'[6]Degree Days 2018'!I20</f>
        <v>11</v>
      </c>
      <c r="J20" s="277">
        <f>'[7]Degree Days 2020'!J20</f>
        <v>18</v>
      </c>
      <c r="K20" s="277">
        <f>'[7]Degree Days 2020'!K20</f>
        <v>14</v>
      </c>
      <c r="L20" s="277">
        <f t="shared" si="2"/>
        <v>-2.3000000000000007</v>
      </c>
      <c r="M20" s="277">
        <f>'[7]Degree Days 2020'!M20</f>
        <v>11</v>
      </c>
      <c r="N20" s="277">
        <f>'[7]Degree Days 2020'!N20</f>
        <v>17</v>
      </c>
      <c r="O20" s="277">
        <f>'[7]Degree Days 2020'!O20</f>
        <v>14</v>
      </c>
      <c r="P20" s="277">
        <f t="shared" si="3"/>
        <v>-2.8000000000000007</v>
      </c>
      <c r="Q20" s="543">
        <v>11</v>
      </c>
      <c r="R20" s="277">
        <f>'[7]Degree Days 2020'!R20</f>
        <v>23</v>
      </c>
      <c r="S20" s="277">
        <f>'[7]Degree Days 2020'!S20</f>
        <v>18</v>
      </c>
      <c r="T20" s="277">
        <f t="shared" si="4"/>
        <v>2.1999999999999993</v>
      </c>
      <c r="U20" s="543">
        <v>11</v>
      </c>
      <c r="V20" s="277">
        <f>'[7]Degree Days 2020'!V20</f>
        <v>28</v>
      </c>
      <c r="W20" s="277">
        <f>'[7]Degree Days 2020'!W20</f>
        <v>20</v>
      </c>
      <c r="X20" s="277">
        <f t="shared" si="5"/>
        <v>5.6999999999999993</v>
      </c>
      <c r="Z20" t="s">
        <v>180</v>
      </c>
      <c r="AA20" s="277"/>
      <c r="AB20" s="277"/>
    </row>
    <row r="21" spans="1:28">
      <c r="A21" s="117">
        <v>12</v>
      </c>
      <c r="B21" s="277">
        <f>'[7]Degree Days 2020'!B21</f>
        <v>16</v>
      </c>
      <c r="C21" s="277">
        <f>'[7]Degree Days 2020'!C21</f>
        <v>12</v>
      </c>
      <c r="D21" s="277">
        <f t="shared" si="0"/>
        <v>-4.3000000000000007</v>
      </c>
      <c r="E21" s="277">
        <f>'[7]Degree Days 2020'!E21</f>
        <v>12</v>
      </c>
      <c r="F21" s="277">
        <f>'[7]Degree Days 2020'!F21</f>
        <v>16</v>
      </c>
      <c r="G21" s="277">
        <f>'[7]Degree Days 2020'!G21</f>
        <v>13</v>
      </c>
      <c r="H21" s="277">
        <f t="shared" si="1"/>
        <v>-3.8000000000000007</v>
      </c>
      <c r="I21" s="277">
        <f>'[6]Degree Days 2018'!I21</f>
        <v>12</v>
      </c>
      <c r="J21" s="277">
        <f>'[7]Degree Days 2020'!J21</f>
        <v>27</v>
      </c>
      <c r="K21" s="277">
        <f>'[7]Degree Days 2020'!K21</f>
        <v>16</v>
      </c>
      <c r="L21" s="277">
        <f t="shared" si="2"/>
        <v>3.1999999999999993</v>
      </c>
      <c r="M21" s="277">
        <f>'[7]Degree Days 2020'!M21</f>
        <v>12</v>
      </c>
      <c r="N21" s="277">
        <f>'[7]Degree Days 2020'!N21</f>
        <v>20</v>
      </c>
      <c r="O21" s="277">
        <f>'[7]Degree Days 2020'!O21</f>
        <v>14</v>
      </c>
      <c r="P21" s="277">
        <f t="shared" si="3"/>
        <v>-1.3000000000000007</v>
      </c>
      <c r="Q21" s="543">
        <v>12</v>
      </c>
      <c r="R21" s="277">
        <f>'[7]Degree Days 2020'!R21</f>
        <v>24</v>
      </c>
      <c r="S21" s="277">
        <f>'[7]Degree Days 2020'!S21</f>
        <v>18</v>
      </c>
      <c r="T21" s="277">
        <f t="shared" si="4"/>
        <v>2.6999999999999993</v>
      </c>
      <c r="U21" s="543">
        <v>12</v>
      </c>
      <c r="V21" s="277">
        <f>'[7]Degree Days 2020'!V21</f>
        <v>27</v>
      </c>
      <c r="W21" s="277">
        <f>'[7]Degree Days 2020'!W21</f>
        <v>20</v>
      </c>
      <c r="X21" s="277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7">
        <f>'[7]Degree Days 2020'!B22</f>
        <v>17</v>
      </c>
      <c r="C22" s="277">
        <f>'[7]Degree Days 2020'!C22</f>
        <v>13</v>
      </c>
      <c r="D22" s="277">
        <f t="shared" si="0"/>
        <v>-3.3000000000000007</v>
      </c>
      <c r="E22" s="277">
        <f>'[7]Degree Days 2020'!E22</f>
        <v>13</v>
      </c>
      <c r="F22" s="277">
        <f>'[7]Degree Days 2020'!F22</f>
        <v>17</v>
      </c>
      <c r="G22" s="277">
        <f>'[7]Degree Days 2020'!G22</f>
        <v>14</v>
      </c>
      <c r="H22" s="277">
        <f t="shared" si="1"/>
        <v>-2.8000000000000007</v>
      </c>
      <c r="I22" s="277">
        <f>'[6]Degree Days 2018'!I22</f>
        <v>13</v>
      </c>
      <c r="J22" s="277">
        <f>'[7]Degree Days 2020'!J22</f>
        <v>26</v>
      </c>
      <c r="K22" s="277">
        <f>'[7]Degree Days 2020'!K22</f>
        <v>15</v>
      </c>
      <c r="L22" s="277">
        <f t="shared" si="2"/>
        <v>2.1999999999999993</v>
      </c>
      <c r="M22" s="277">
        <f>'[7]Degree Days 2020'!M22</f>
        <v>13</v>
      </c>
      <c r="N22" s="277">
        <f>'[7]Degree Days 2020'!N22</f>
        <v>21</v>
      </c>
      <c r="O22" s="277">
        <f>'[7]Degree Days 2020'!O22</f>
        <v>15</v>
      </c>
      <c r="P22" s="277">
        <f t="shared" si="3"/>
        <v>-0.30000000000000071</v>
      </c>
      <c r="Q22" s="543">
        <v>13</v>
      </c>
      <c r="R22" s="277">
        <f>'[7]Degree Days 2020'!R22</f>
        <v>27</v>
      </c>
      <c r="S22" s="277">
        <f>'[7]Degree Days 2020'!S22</f>
        <v>21</v>
      </c>
      <c r="T22" s="277">
        <f t="shared" si="4"/>
        <v>5.6999999999999993</v>
      </c>
      <c r="U22" s="543">
        <v>13</v>
      </c>
      <c r="V22" s="277">
        <f>'[7]Degree Days 2020'!V22</f>
        <v>25</v>
      </c>
      <c r="W22" s="277">
        <f>'[7]Degree Days 2020'!W22</f>
        <v>20</v>
      </c>
      <c r="X22" s="277">
        <f t="shared" si="5"/>
        <v>4.1999999999999993</v>
      </c>
    </row>
    <row r="23" spans="1:28">
      <c r="A23" s="117">
        <v>14</v>
      </c>
      <c r="B23" s="277">
        <f>'[7]Degree Days 2020'!B23</f>
        <v>16</v>
      </c>
      <c r="C23" s="277">
        <f>'[7]Degree Days 2020'!C23</f>
        <v>12</v>
      </c>
      <c r="D23" s="277">
        <f t="shared" si="0"/>
        <v>-4.3000000000000007</v>
      </c>
      <c r="E23" s="277">
        <f>'[7]Degree Days 2020'!E23</f>
        <v>14</v>
      </c>
      <c r="F23" s="277">
        <f>'[7]Degree Days 2020'!F23</f>
        <v>17</v>
      </c>
      <c r="G23" s="277">
        <f>'[7]Degree Days 2020'!G23</f>
        <v>11</v>
      </c>
      <c r="H23" s="277">
        <f t="shared" si="1"/>
        <v>-4.3000000000000007</v>
      </c>
      <c r="I23" s="277">
        <f>'[6]Degree Days 2018'!I23</f>
        <v>14</v>
      </c>
      <c r="J23" s="277">
        <f>'[7]Degree Days 2020'!J23</f>
        <v>19</v>
      </c>
      <c r="K23" s="277">
        <f>'[7]Degree Days 2020'!K23</f>
        <v>15</v>
      </c>
      <c r="L23" s="277">
        <f t="shared" si="2"/>
        <v>-1.3000000000000007</v>
      </c>
      <c r="M23" s="277">
        <f>'[7]Degree Days 2020'!M23</f>
        <v>14</v>
      </c>
      <c r="N23" s="277">
        <f>'[7]Degree Days 2020'!N23</f>
        <v>22</v>
      </c>
      <c r="O23" s="277">
        <f>'[7]Degree Days 2020'!O23</f>
        <v>16</v>
      </c>
      <c r="P23" s="277">
        <f t="shared" si="3"/>
        <v>0.69999999999999929</v>
      </c>
      <c r="Q23" s="543">
        <v>14</v>
      </c>
      <c r="R23" s="277">
        <f>'[7]Degree Days 2020'!R23</f>
        <v>29</v>
      </c>
      <c r="S23" s="277">
        <f>'[7]Degree Days 2020'!S23</f>
        <v>22</v>
      </c>
      <c r="T23" s="277">
        <f t="shared" si="4"/>
        <v>7.1999999999999993</v>
      </c>
      <c r="U23" s="543">
        <v>14</v>
      </c>
      <c r="V23" s="277">
        <f>'[7]Degree Days 2020'!V23</f>
        <v>26</v>
      </c>
      <c r="W23" s="277">
        <f>'[7]Degree Days 2020'!W23</f>
        <v>21</v>
      </c>
      <c r="X23" s="277">
        <f t="shared" si="5"/>
        <v>5.1999999999999993</v>
      </c>
      <c r="AA23" s="134">
        <f>SUM(AA10:AA22)</f>
        <v>-407.79999999999995</v>
      </c>
      <c r="AB23" s="134">
        <f>SUM(AB10:AB22)</f>
        <v>1264.3999999999994</v>
      </c>
    </row>
    <row r="24" spans="1:28">
      <c r="A24" s="117">
        <v>15</v>
      </c>
      <c r="B24" s="277">
        <f>'[7]Degree Days 2020'!B24</f>
        <v>17</v>
      </c>
      <c r="C24" s="277">
        <f>'[7]Degree Days 2020'!C24</f>
        <v>13</v>
      </c>
      <c r="D24" s="277">
        <f t="shared" si="0"/>
        <v>-3.3000000000000007</v>
      </c>
      <c r="E24" s="277">
        <f>'[7]Degree Days 2020'!E24</f>
        <v>15</v>
      </c>
      <c r="F24" s="277">
        <f>'[7]Degree Days 2020'!F24</f>
        <v>17</v>
      </c>
      <c r="G24" s="277">
        <f>'[7]Degree Days 2020'!G24</f>
        <v>12</v>
      </c>
      <c r="H24" s="277">
        <f t="shared" si="1"/>
        <v>-3.8000000000000007</v>
      </c>
      <c r="I24" s="277">
        <f>'[6]Degree Days 2018'!I24</f>
        <v>15</v>
      </c>
      <c r="J24" s="277">
        <f>'[7]Degree Days 2020'!J24</f>
        <v>19</v>
      </c>
      <c r="K24" s="277">
        <f>'[7]Degree Days 2020'!K24</f>
        <v>15</v>
      </c>
      <c r="L24" s="277">
        <f t="shared" si="2"/>
        <v>-1.3000000000000007</v>
      </c>
      <c r="M24" s="277">
        <f>'[7]Degree Days 2020'!M24</f>
        <v>15</v>
      </c>
      <c r="N24" s="277">
        <f>'[7]Degree Days 2020'!N24</f>
        <v>20</v>
      </c>
      <c r="O24" s="277">
        <f>'[7]Degree Days 2020'!O24</f>
        <v>16</v>
      </c>
      <c r="P24" s="277">
        <f t="shared" si="3"/>
        <v>-0.30000000000000071</v>
      </c>
      <c r="Q24" s="543">
        <v>15</v>
      </c>
      <c r="R24" s="277">
        <f>'[7]Degree Days 2020'!R24</f>
        <v>30</v>
      </c>
      <c r="S24" s="277">
        <f>'[7]Degree Days 2020'!S24</f>
        <v>23</v>
      </c>
      <c r="T24" s="277">
        <f t="shared" si="4"/>
        <v>8.1999999999999993</v>
      </c>
      <c r="U24" s="543">
        <v>15</v>
      </c>
      <c r="V24" s="277">
        <f>'[7]Degree Days 2020'!V24</f>
        <v>26</v>
      </c>
      <c r="W24" s="277">
        <f>'[7]Degree Days 2020'!W24</f>
        <v>20</v>
      </c>
      <c r="X24" s="277">
        <f t="shared" si="5"/>
        <v>4.6999999999999993</v>
      </c>
    </row>
    <row r="25" spans="1:28">
      <c r="A25" s="117">
        <v>16</v>
      </c>
      <c r="B25" s="277">
        <f>'[7]Degree Days 2020'!B25</f>
        <v>19</v>
      </c>
      <c r="C25" s="277">
        <f>'[7]Degree Days 2020'!C25</f>
        <v>13</v>
      </c>
      <c r="D25" s="277">
        <f t="shared" si="0"/>
        <v>-2.3000000000000007</v>
      </c>
      <c r="E25" s="277">
        <f>'[7]Degree Days 2020'!E25</f>
        <v>16</v>
      </c>
      <c r="F25" s="277">
        <f>'[7]Degree Days 2020'!F25</f>
        <v>17</v>
      </c>
      <c r="G25" s="277">
        <f>'[7]Degree Days 2020'!G25</f>
        <v>11</v>
      </c>
      <c r="H25" s="277">
        <f t="shared" si="1"/>
        <v>-4.3000000000000007</v>
      </c>
      <c r="I25" s="277">
        <f>'[6]Degree Days 2018'!I25</f>
        <v>16</v>
      </c>
      <c r="J25" s="277">
        <f>'[7]Degree Days 2020'!J25</f>
        <v>18</v>
      </c>
      <c r="K25" s="277">
        <f>'[7]Degree Days 2020'!K25</f>
        <v>11</v>
      </c>
      <c r="L25" s="277">
        <f t="shared" si="2"/>
        <v>-3.8000000000000007</v>
      </c>
      <c r="M25" s="277">
        <f>'[7]Degree Days 2020'!M25</f>
        <v>16</v>
      </c>
      <c r="N25" s="277">
        <f>'[7]Degree Days 2020'!N25</f>
        <v>20</v>
      </c>
      <c r="O25" s="277">
        <f>'[7]Degree Days 2020'!O25</f>
        <v>15</v>
      </c>
      <c r="P25" s="277">
        <f t="shared" si="3"/>
        <v>-0.80000000000000071</v>
      </c>
      <c r="Q25" s="543">
        <v>16</v>
      </c>
      <c r="R25" s="277">
        <f>'[7]Degree Days 2020'!R25</f>
        <v>32</v>
      </c>
      <c r="S25" s="277">
        <f>'[7]Degree Days 2020'!S25</f>
        <v>24</v>
      </c>
      <c r="T25" s="277">
        <f t="shared" si="4"/>
        <v>9.6999999999999993</v>
      </c>
      <c r="U25" s="543">
        <v>16</v>
      </c>
      <c r="V25" s="277">
        <f>'[7]Degree Days 2020'!V25</f>
        <v>26</v>
      </c>
      <c r="W25" s="277">
        <f>'[7]Degree Days 2020'!W25</f>
        <v>21</v>
      </c>
      <c r="X25" s="277">
        <f t="shared" si="5"/>
        <v>5.1999999999999993</v>
      </c>
    </row>
    <row r="26" spans="1:28">
      <c r="A26" s="117">
        <v>17</v>
      </c>
      <c r="B26" s="277">
        <f>'[7]Degree Days 2020'!B26</f>
        <v>20</v>
      </c>
      <c r="C26" s="277">
        <f>'[7]Degree Days 2020'!C26</f>
        <v>13</v>
      </c>
      <c r="D26" s="277">
        <f t="shared" si="0"/>
        <v>-1.8000000000000007</v>
      </c>
      <c r="E26" s="277">
        <f>'[7]Degree Days 2020'!E26</f>
        <v>17</v>
      </c>
      <c r="F26" s="277">
        <f>'[7]Degree Days 2020'!F26</f>
        <v>16</v>
      </c>
      <c r="G26" s="277">
        <f>'[7]Degree Days 2020'!G26</f>
        <v>12</v>
      </c>
      <c r="H26" s="277">
        <f t="shared" si="1"/>
        <v>-4.3000000000000007</v>
      </c>
      <c r="I26" s="277">
        <f>'[6]Degree Days 2018'!I26</f>
        <v>17</v>
      </c>
      <c r="J26" s="277">
        <f>'[7]Degree Days 2020'!J26</f>
        <v>19</v>
      </c>
      <c r="K26" s="277">
        <f>'[7]Degree Days 2020'!K26</f>
        <v>12</v>
      </c>
      <c r="L26" s="277">
        <f t="shared" si="2"/>
        <v>-2.8000000000000007</v>
      </c>
      <c r="M26" s="277">
        <f>'[7]Degree Days 2020'!M26</f>
        <v>17</v>
      </c>
      <c r="N26" s="277">
        <f>'[7]Degree Days 2020'!N26</f>
        <v>22</v>
      </c>
      <c r="O26" s="277">
        <f>'[7]Degree Days 2020'!O26</f>
        <v>17</v>
      </c>
      <c r="P26" s="277">
        <f t="shared" si="3"/>
        <v>1.1999999999999993</v>
      </c>
      <c r="Q26" s="543">
        <v>17</v>
      </c>
      <c r="R26" s="277">
        <f>'[7]Degree Days 2020'!R26</f>
        <v>36</v>
      </c>
      <c r="S26" s="277">
        <f>'[7]Degree Days 2020'!S26</f>
        <v>26</v>
      </c>
      <c r="T26" s="277">
        <f t="shared" si="4"/>
        <v>12.7</v>
      </c>
      <c r="U26" s="543">
        <v>17</v>
      </c>
      <c r="V26" s="277">
        <f>'[7]Degree Days 2020'!V26</f>
        <v>27</v>
      </c>
      <c r="W26" s="277">
        <f>'[7]Degree Days 2020'!W26</f>
        <v>22</v>
      </c>
      <c r="X26" s="277">
        <f t="shared" si="5"/>
        <v>6.1999999999999993</v>
      </c>
    </row>
    <row r="27" spans="1:28">
      <c r="A27" s="117">
        <v>18</v>
      </c>
      <c r="B27" s="277">
        <f>'[7]Degree Days 2020'!B27</f>
        <v>14</v>
      </c>
      <c r="C27" s="277">
        <f>'[7]Degree Days 2020'!C27</f>
        <v>13</v>
      </c>
      <c r="D27" s="277">
        <f t="shared" si="0"/>
        <v>-4.8000000000000007</v>
      </c>
      <c r="E27" s="277">
        <f>'[7]Degree Days 2020'!E27</f>
        <v>18</v>
      </c>
      <c r="F27" s="277">
        <f>'[7]Degree Days 2020'!F27</f>
        <v>17</v>
      </c>
      <c r="G27" s="277">
        <f>'[7]Degree Days 2020'!G27</f>
        <v>11</v>
      </c>
      <c r="H27" s="277">
        <f t="shared" si="1"/>
        <v>-4.3000000000000007</v>
      </c>
      <c r="I27" s="277">
        <f>'[6]Degree Days 2018'!I27</f>
        <v>18</v>
      </c>
      <c r="J27" s="277">
        <f>'[7]Degree Days 2020'!J27</f>
        <v>15</v>
      </c>
      <c r="K27" s="277">
        <f>'[7]Degree Days 2020'!K27</f>
        <v>13</v>
      </c>
      <c r="L27" s="277">
        <f t="shared" si="2"/>
        <v>-4.3000000000000007</v>
      </c>
      <c r="M27" s="277">
        <f>'[7]Degree Days 2020'!M27</f>
        <v>18</v>
      </c>
      <c r="N27" s="277">
        <f>'[7]Degree Days 2020'!N27</f>
        <v>24</v>
      </c>
      <c r="O27" s="277">
        <f>'[7]Degree Days 2020'!O27</f>
        <v>17</v>
      </c>
      <c r="P27" s="277">
        <f t="shared" si="3"/>
        <v>2.1999999999999993</v>
      </c>
      <c r="Q27" s="543">
        <v>18</v>
      </c>
      <c r="R27" s="277">
        <f>'[7]Degree Days 2020'!R27</f>
        <v>32</v>
      </c>
      <c r="S27" s="277">
        <f>'[7]Degree Days 2020'!S27</f>
        <v>24</v>
      </c>
      <c r="T27" s="277">
        <f t="shared" si="4"/>
        <v>9.6999999999999993</v>
      </c>
      <c r="U27" s="543">
        <v>18</v>
      </c>
      <c r="V27" s="277">
        <f>'[7]Degree Days 2020'!V27</f>
        <v>27</v>
      </c>
      <c r="W27" s="277">
        <f>'[7]Degree Days 2020'!W27</f>
        <v>24</v>
      </c>
      <c r="X27" s="277">
        <f t="shared" si="5"/>
        <v>7.1999999999999993</v>
      </c>
    </row>
    <row r="28" spans="1:28">
      <c r="A28" s="117">
        <v>19</v>
      </c>
      <c r="B28" s="277">
        <f>'[7]Degree Days 2020'!B28</f>
        <v>15</v>
      </c>
      <c r="C28" s="277">
        <f>'[7]Degree Days 2020'!C28</f>
        <v>13</v>
      </c>
      <c r="D28" s="277">
        <f t="shared" si="0"/>
        <v>-4.3000000000000007</v>
      </c>
      <c r="E28" s="277">
        <f>'[7]Degree Days 2020'!E28</f>
        <v>19</v>
      </c>
      <c r="F28" s="277">
        <f>'[7]Degree Days 2020'!F28</f>
        <v>17</v>
      </c>
      <c r="G28" s="277">
        <f>'[7]Degree Days 2020'!G28</f>
        <v>14</v>
      </c>
      <c r="H28" s="277">
        <f t="shared" si="1"/>
        <v>-2.8000000000000007</v>
      </c>
      <c r="I28" s="277">
        <f>'[6]Degree Days 2018'!I28</f>
        <v>19</v>
      </c>
      <c r="J28" s="277">
        <f>'[7]Degree Days 2020'!J28</f>
        <v>17</v>
      </c>
      <c r="K28" s="277">
        <f>'[7]Degree Days 2020'!K28</f>
        <v>14</v>
      </c>
      <c r="L28" s="277">
        <f t="shared" si="2"/>
        <v>-2.8000000000000007</v>
      </c>
      <c r="M28" s="277">
        <f>'[7]Degree Days 2020'!M28</f>
        <v>19</v>
      </c>
      <c r="N28" s="277">
        <f>'[7]Degree Days 2020'!N28</f>
        <v>24</v>
      </c>
      <c r="O28" s="277">
        <f>'[7]Degree Days 2020'!O28</f>
        <v>17</v>
      </c>
      <c r="P28" s="277">
        <f t="shared" si="3"/>
        <v>2.1999999999999993</v>
      </c>
      <c r="Q28" s="543">
        <v>19</v>
      </c>
      <c r="R28" s="277">
        <f>'[7]Degree Days 2020'!R28</f>
        <v>34</v>
      </c>
      <c r="S28" s="277">
        <f>'[7]Degree Days 2020'!S28</f>
        <v>27</v>
      </c>
      <c r="T28" s="277">
        <f t="shared" si="4"/>
        <v>12.2</v>
      </c>
      <c r="U28" s="543">
        <v>19</v>
      </c>
      <c r="V28" s="277">
        <f>'[7]Degree Days 2020'!V28</f>
        <v>27</v>
      </c>
      <c r="W28" s="277">
        <f>'[7]Degree Days 2020'!W28</f>
        <v>24</v>
      </c>
      <c r="X28" s="277">
        <f t="shared" si="5"/>
        <v>7.1999999999999993</v>
      </c>
    </row>
    <row r="29" spans="1:28">
      <c r="A29" s="117">
        <v>20</v>
      </c>
      <c r="B29" s="277">
        <f>'[7]Degree Days 2020'!B29</f>
        <v>15</v>
      </c>
      <c r="C29" s="277">
        <f>'[7]Degree Days 2020'!C29</f>
        <v>10</v>
      </c>
      <c r="D29" s="277">
        <f t="shared" si="0"/>
        <v>-5.8000000000000007</v>
      </c>
      <c r="E29" s="277">
        <f>'[7]Degree Days 2020'!E29</f>
        <v>20</v>
      </c>
      <c r="F29" s="277">
        <f>'[7]Degree Days 2020'!F29</f>
        <v>17</v>
      </c>
      <c r="G29" s="277">
        <f>'[7]Degree Days 2020'!G29</f>
        <v>14</v>
      </c>
      <c r="H29" s="277">
        <f t="shared" si="1"/>
        <v>-2.8000000000000007</v>
      </c>
      <c r="I29" s="277">
        <f>'[6]Degree Days 2018'!I29</f>
        <v>20</v>
      </c>
      <c r="J29" s="277">
        <f>'[7]Degree Days 2020'!J29</f>
        <v>16</v>
      </c>
      <c r="K29" s="277">
        <f>'[7]Degree Days 2020'!K29</f>
        <v>13</v>
      </c>
      <c r="L29" s="277">
        <f t="shared" si="2"/>
        <v>-3.8000000000000007</v>
      </c>
      <c r="M29" s="277">
        <f>'[7]Degree Days 2020'!M29</f>
        <v>20</v>
      </c>
      <c r="N29" s="277">
        <f>'[7]Degree Days 2020'!N29</f>
        <v>23</v>
      </c>
      <c r="O29" s="277">
        <f>'[7]Degree Days 2020'!O29</f>
        <v>18</v>
      </c>
      <c r="P29" s="277">
        <f t="shared" si="3"/>
        <v>2.1999999999999993</v>
      </c>
      <c r="Q29" s="543">
        <v>20</v>
      </c>
      <c r="R29" s="277">
        <f>'[7]Degree Days 2020'!R29</f>
        <v>30</v>
      </c>
      <c r="S29" s="277">
        <f>'[7]Degree Days 2020'!S29</f>
        <v>22</v>
      </c>
      <c r="T29" s="277">
        <f t="shared" si="4"/>
        <v>7.6999999999999993</v>
      </c>
      <c r="U29" s="543">
        <v>20</v>
      </c>
      <c r="V29" s="277">
        <f>'[7]Degree Days 2020'!V29</f>
        <v>26</v>
      </c>
      <c r="W29" s="277">
        <f>'[7]Degree Days 2020'!W29</f>
        <v>23</v>
      </c>
      <c r="X29" s="277">
        <f t="shared" si="5"/>
        <v>6.1999999999999993</v>
      </c>
    </row>
    <row r="30" spans="1:28">
      <c r="A30" s="117">
        <v>21</v>
      </c>
      <c r="B30" s="277">
        <f>'[7]Degree Days 2020'!B30</f>
        <v>13</v>
      </c>
      <c r="C30" s="277">
        <f>'[7]Degree Days 2020'!C30</f>
        <v>9</v>
      </c>
      <c r="D30" s="277">
        <f t="shared" si="0"/>
        <v>-7.3000000000000007</v>
      </c>
      <c r="E30" s="277">
        <f>'[7]Degree Days 2020'!E30</f>
        <v>21</v>
      </c>
      <c r="F30" s="277">
        <f>'[7]Degree Days 2020'!F30</f>
        <v>16</v>
      </c>
      <c r="G30" s="277">
        <f>'[7]Degree Days 2020'!G30</f>
        <v>12</v>
      </c>
      <c r="H30" s="277">
        <f t="shared" si="1"/>
        <v>-4.3000000000000007</v>
      </c>
      <c r="I30" s="277">
        <f>'[6]Degree Days 2018'!I30</f>
        <v>21</v>
      </c>
      <c r="J30" s="277">
        <f>'[7]Degree Days 2020'!J30</f>
        <v>17</v>
      </c>
      <c r="K30" s="277">
        <f>'[7]Degree Days 2020'!K30</f>
        <v>14</v>
      </c>
      <c r="L30" s="277">
        <f t="shared" si="2"/>
        <v>-2.8000000000000007</v>
      </c>
      <c r="M30" s="277">
        <f>'[7]Degree Days 2020'!M30</f>
        <v>21</v>
      </c>
      <c r="N30" s="277">
        <f>'[7]Degree Days 2020'!N30</f>
        <v>24</v>
      </c>
      <c r="O30" s="277">
        <f>'[7]Degree Days 2020'!O30</f>
        <v>18</v>
      </c>
      <c r="P30" s="277">
        <f t="shared" si="3"/>
        <v>2.6999999999999993</v>
      </c>
      <c r="Q30" s="543">
        <v>21</v>
      </c>
      <c r="R30" s="277">
        <f>'[7]Degree Days 2020'!R30</f>
        <v>31</v>
      </c>
      <c r="S30" s="277">
        <f>'[7]Degree Days 2020'!S30</f>
        <v>23</v>
      </c>
      <c r="T30" s="277">
        <f t="shared" si="4"/>
        <v>8.6999999999999993</v>
      </c>
      <c r="U30" s="543">
        <v>21</v>
      </c>
      <c r="V30" s="277">
        <f>'[7]Degree Days 2020'!V30</f>
        <v>29</v>
      </c>
      <c r="W30" s="277">
        <f>'[7]Degree Days 2020'!W30</f>
        <v>21</v>
      </c>
      <c r="X30" s="277">
        <f t="shared" si="5"/>
        <v>6.6999999999999993</v>
      </c>
    </row>
    <row r="31" spans="1:28">
      <c r="A31" s="117">
        <v>22</v>
      </c>
      <c r="B31" s="277">
        <f>'[7]Degree Days 2020'!B31</f>
        <v>14</v>
      </c>
      <c r="C31" s="277">
        <f>'[7]Degree Days 2020'!C31</f>
        <v>10</v>
      </c>
      <c r="D31" s="277">
        <f t="shared" si="0"/>
        <v>-6.3000000000000007</v>
      </c>
      <c r="E31" s="277">
        <f>'[7]Degree Days 2020'!E31</f>
        <v>22</v>
      </c>
      <c r="F31" s="277">
        <f>'[7]Degree Days 2020'!F31</f>
        <v>17</v>
      </c>
      <c r="G31" s="277">
        <f>'[7]Degree Days 2020'!G31</f>
        <v>12</v>
      </c>
      <c r="H31" s="277">
        <f t="shared" si="1"/>
        <v>-3.8000000000000007</v>
      </c>
      <c r="I31" s="277">
        <f>'[6]Degree Days 2018'!I31</f>
        <v>22</v>
      </c>
      <c r="J31" s="277">
        <f>'[7]Degree Days 2020'!J31</f>
        <v>19</v>
      </c>
      <c r="K31" s="277">
        <f>'[7]Degree Days 2020'!K31</f>
        <v>14</v>
      </c>
      <c r="L31" s="277">
        <f t="shared" si="2"/>
        <v>-1.8000000000000007</v>
      </c>
      <c r="M31" s="277">
        <f>'[7]Degree Days 2020'!M31</f>
        <v>22</v>
      </c>
      <c r="N31" s="277">
        <f>'[7]Degree Days 2020'!N31</f>
        <v>25</v>
      </c>
      <c r="O31" s="277">
        <f>'[7]Degree Days 2020'!O31</f>
        <v>18</v>
      </c>
      <c r="P31" s="277">
        <f t="shared" si="3"/>
        <v>3.1999999999999993</v>
      </c>
      <c r="Q31" s="543">
        <v>22</v>
      </c>
      <c r="R31" s="277">
        <f>'[7]Degree Days 2020'!R31</f>
        <v>25</v>
      </c>
      <c r="S31" s="277">
        <f>'[7]Degree Days 2020'!S31</f>
        <v>16</v>
      </c>
      <c r="T31" s="277">
        <f t="shared" si="4"/>
        <v>2.1999999999999993</v>
      </c>
      <c r="U31" s="543">
        <v>22</v>
      </c>
      <c r="V31" s="277">
        <f>'[7]Degree Days 2020'!V31</f>
        <v>29</v>
      </c>
      <c r="W31" s="277">
        <f>'[7]Degree Days 2020'!W31</f>
        <v>22</v>
      </c>
      <c r="X31" s="277">
        <f t="shared" si="5"/>
        <v>7.1999999999999993</v>
      </c>
    </row>
    <row r="32" spans="1:28">
      <c r="A32" s="117">
        <v>23</v>
      </c>
      <c r="B32" s="277">
        <f>'[7]Degree Days 2020'!B32</f>
        <v>13</v>
      </c>
      <c r="C32" s="277">
        <f>'[7]Degree Days 2020'!C32</f>
        <v>7</v>
      </c>
      <c r="D32" s="277">
        <f t="shared" si="0"/>
        <v>-8.3000000000000007</v>
      </c>
      <c r="E32" s="277">
        <f>'[7]Degree Days 2020'!E32</f>
        <v>23</v>
      </c>
      <c r="F32" s="277">
        <f>'[7]Degree Days 2020'!F32</f>
        <v>16</v>
      </c>
      <c r="G32" s="277">
        <f>'[7]Degree Days 2020'!G32</f>
        <v>14</v>
      </c>
      <c r="H32" s="277">
        <f t="shared" si="1"/>
        <v>-3.3000000000000007</v>
      </c>
      <c r="I32" s="277">
        <f>'[6]Degree Days 2018'!I32</f>
        <v>23</v>
      </c>
      <c r="J32" s="277">
        <f>'[7]Degree Days 2020'!J32</f>
        <v>21</v>
      </c>
      <c r="K32" s="277">
        <f>'[7]Degree Days 2020'!K32</f>
        <v>14</v>
      </c>
      <c r="L32" s="277">
        <f t="shared" si="2"/>
        <v>-0.80000000000000071</v>
      </c>
      <c r="M32" s="277">
        <f>'[7]Degree Days 2020'!M32</f>
        <v>23</v>
      </c>
      <c r="N32" s="277">
        <f>'[7]Degree Days 2020'!N32</f>
        <v>23</v>
      </c>
      <c r="O32" s="277">
        <f>'[7]Degree Days 2020'!O32</f>
        <v>15</v>
      </c>
      <c r="P32" s="277">
        <f t="shared" si="3"/>
        <v>0.69999999999999929</v>
      </c>
      <c r="Q32" s="543">
        <v>23</v>
      </c>
      <c r="R32" s="277">
        <f>'[7]Degree Days 2020'!R32</f>
        <v>22</v>
      </c>
      <c r="S32" s="277">
        <f>'[7]Degree Days 2020'!S32</f>
        <v>19</v>
      </c>
      <c r="T32" s="277">
        <f t="shared" si="4"/>
        <v>2.1999999999999993</v>
      </c>
      <c r="U32" s="543">
        <v>23</v>
      </c>
      <c r="V32" s="277">
        <f>'[7]Degree Days 2020'!V32</f>
        <v>27</v>
      </c>
      <c r="W32" s="277">
        <f>'[7]Degree Days 2020'!W32</f>
        <v>23</v>
      </c>
      <c r="X32" s="277">
        <f t="shared" si="5"/>
        <v>6.6999999999999993</v>
      </c>
    </row>
    <row r="33" spans="1:24">
      <c r="A33" s="117">
        <v>24</v>
      </c>
      <c r="B33" s="277">
        <f>'[7]Degree Days 2020'!B33</f>
        <v>14</v>
      </c>
      <c r="C33" s="277">
        <f>'[7]Degree Days 2020'!C33</f>
        <v>8</v>
      </c>
      <c r="D33" s="277">
        <f t="shared" si="0"/>
        <v>-7.3000000000000007</v>
      </c>
      <c r="E33" s="277">
        <f>'[7]Degree Days 2020'!E33</f>
        <v>24</v>
      </c>
      <c r="F33" s="277">
        <f>'[7]Degree Days 2020'!F33</f>
        <v>17</v>
      </c>
      <c r="G33" s="277">
        <f>'[7]Degree Days 2020'!G33</f>
        <v>13</v>
      </c>
      <c r="H33" s="277">
        <f t="shared" si="1"/>
        <v>-3.3000000000000007</v>
      </c>
      <c r="I33" s="277">
        <f>'[6]Degree Days 2018'!I33</f>
        <v>24</v>
      </c>
      <c r="J33" s="277">
        <f>'[7]Degree Days 2020'!J33</f>
        <v>22</v>
      </c>
      <c r="K33" s="277">
        <f>'[7]Degree Days 2020'!K33</f>
        <v>15</v>
      </c>
      <c r="L33" s="277">
        <f t="shared" si="2"/>
        <v>0.19999999999999929</v>
      </c>
      <c r="M33" s="277">
        <f>'[7]Degree Days 2020'!M33</f>
        <v>24</v>
      </c>
      <c r="N33" s="277">
        <f>'[7]Degree Days 2020'!N33</f>
        <v>23</v>
      </c>
      <c r="O33" s="277">
        <f>'[7]Degree Days 2020'!O33</f>
        <v>16</v>
      </c>
      <c r="P33" s="277">
        <f t="shared" si="3"/>
        <v>1.1999999999999993</v>
      </c>
      <c r="Q33" s="543">
        <v>24</v>
      </c>
      <c r="R33" s="277">
        <f>'[7]Degree Days 2020'!R33</f>
        <v>24</v>
      </c>
      <c r="S33" s="277">
        <f>'[7]Degree Days 2020'!S33</f>
        <v>16</v>
      </c>
      <c r="T33" s="277">
        <f t="shared" si="4"/>
        <v>1.6999999999999993</v>
      </c>
      <c r="U33" s="543">
        <v>24</v>
      </c>
      <c r="V33" s="277">
        <f>'[7]Degree Days 2020'!V33</f>
        <v>27</v>
      </c>
      <c r="W33" s="277">
        <f>'[7]Degree Days 2020'!W33</f>
        <v>23</v>
      </c>
      <c r="X33" s="277">
        <f t="shared" si="5"/>
        <v>6.6999999999999993</v>
      </c>
    </row>
    <row r="34" spans="1:24">
      <c r="A34" s="117">
        <v>25</v>
      </c>
      <c r="B34" s="277">
        <f>'[7]Degree Days 2020'!B34</f>
        <v>16</v>
      </c>
      <c r="C34" s="277">
        <f>'[7]Degree Days 2020'!C34</f>
        <v>10</v>
      </c>
      <c r="D34" s="277">
        <f t="shared" si="0"/>
        <v>-5.3000000000000007</v>
      </c>
      <c r="E34" s="277">
        <f>'[7]Degree Days 2020'!E34</f>
        <v>25</v>
      </c>
      <c r="F34" s="277">
        <f>'[7]Degree Days 2020'!F34</f>
        <v>17</v>
      </c>
      <c r="G34" s="277">
        <f>'[7]Degree Days 2020'!G34</f>
        <v>13</v>
      </c>
      <c r="H34" s="277">
        <f t="shared" si="1"/>
        <v>-3.3000000000000007</v>
      </c>
      <c r="I34" s="277">
        <f>'[6]Degree Days 2018'!I34</f>
        <v>25</v>
      </c>
      <c r="J34" s="277">
        <f>'[7]Degree Days 2020'!J34</f>
        <v>21</v>
      </c>
      <c r="K34" s="277">
        <f>'[7]Degree Days 2020'!K34</f>
        <v>15</v>
      </c>
      <c r="L34" s="277">
        <f t="shared" si="2"/>
        <v>-0.30000000000000071</v>
      </c>
      <c r="M34" s="277">
        <f>'[7]Degree Days 2020'!M34</f>
        <v>25</v>
      </c>
      <c r="N34" s="277">
        <f>'[7]Degree Days 2020'!N34</f>
        <v>22</v>
      </c>
      <c r="O34" s="277">
        <f>'[7]Degree Days 2020'!O34</f>
        <v>14</v>
      </c>
      <c r="P34" s="277">
        <f t="shared" si="3"/>
        <v>-0.30000000000000071</v>
      </c>
      <c r="Q34" s="543">
        <v>25</v>
      </c>
      <c r="R34" s="277">
        <f>'[7]Degree Days 2020'!R34</f>
        <v>24</v>
      </c>
      <c r="S34" s="277">
        <f>'[7]Degree Days 2020'!S34</f>
        <v>18</v>
      </c>
      <c r="T34" s="277">
        <f t="shared" si="4"/>
        <v>2.6999999999999993</v>
      </c>
      <c r="U34" s="543">
        <v>25</v>
      </c>
      <c r="V34" s="277">
        <f>'[7]Degree Days 2020'!V34</f>
        <v>33</v>
      </c>
      <c r="W34" s="277">
        <f>'[7]Degree Days 2020'!W34</f>
        <v>27</v>
      </c>
      <c r="X34" s="277">
        <f t="shared" si="5"/>
        <v>11.7</v>
      </c>
    </row>
    <row r="35" spans="1:24">
      <c r="A35" s="117">
        <v>26</v>
      </c>
      <c r="B35" s="277">
        <f>'[7]Degree Days 2020'!B35</f>
        <v>15</v>
      </c>
      <c r="C35" s="277">
        <f>'[7]Degree Days 2020'!C35</f>
        <v>9</v>
      </c>
      <c r="D35" s="277">
        <f t="shared" si="0"/>
        <v>-6.3000000000000007</v>
      </c>
      <c r="E35" s="277">
        <f>'[7]Degree Days 2020'!E35</f>
        <v>26</v>
      </c>
      <c r="F35" s="277">
        <f>'[7]Degree Days 2020'!F35</f>
        <v>18</v>
      </c>
      <c r="G35" s="277">
        <f>'[7]Degree Days 2020'!G35</f>
        <v>14</v>
      </c>
      <c r="H35" s="277">
        <f t="shared" si="1"/>
        <v>-2.3000000000000007</v>
      </c>
      <c r="I35" s="277">
        <f>'[6]Degree Days 2018'!I35</f>
        <v>26</v>
      </c>
      <c r="J35" s="277">
        <f>'[7]Degree Days 2020'!J35</f>
        <v>21</v>
      </c>
      <c r="K35" s="277">
        <f>'[7]Degree Days 2020'!K35</f>
        <v>15</v>
      </c>
      <c r="L35" s="277">
        <f t="shared" si="2"/>
        <v>-0.30000000000000071</v>
      </c>
      <c r="M35" s="277">
        <f>'[7]Degree Days 2020'!M35</f>
        <v>26</v>
      </c>
      <c r="N35" s="277">
        <f>'[7]Degree Days 2020'!N35</f>
        <v>21</v>
      </c>
      <c r="O35" s="277">
        <f>'[7]Degree Days 2020'!O35</f>
        <v>17</v>
      </c>
      <c r="P35" s="277">
        <f t="shared" si="3"/>
        <v>0.69999999999999929</v>
      </c>
      <c r="Q35" s="543">
        <v>26</v>
      </c>
      <c r="R35" s="277">
        <f>'[7]Degree Days 2020'!R35</f>
        <v>25</v>
      </c>
      <c r="S35" s="277">
        <f>'[7]Degree Days 2020'!S35</f>
        <v>20</v>
      </c>
      <c r="T35" s="277">
        <f t="shared" si="4"/>
        <v>4.1999999999999993</v>
      </c>
      <c r="U35" s="543">
        <v>26</v>
      </c>
      <c r="V35" s="277">
        <f>'[7]Degree Days 2020'!V35</f>
        <v>28</v>
      </c>
      <c r="W35" s="277">
        <f>'[7]Degree Days 2020'!W35</f>
        <v>24</v>
      </c>
      <c r="X35" s="277">
        <f t="shared" si="5"/>
        <v>7.6999999999999993</v>
      </c>
    </row>
    <row r="36" spans="1:24">
      <c r="A36" s="117">
        <v>27</v>
      </c>
      <c r="B36" s="277">
        <f>'[7]Degree Days 2020'!B36</f>
        <v>17</v>
      </c>
      <c r="C36" s="277">
        <f>'[7]Degree Days 2020'!C36</f>
        <v>11</v>
      </c>
      <c r="D36" s="277">
        <f t="shared" si="0"/>
        <v>-4.3000000000000007</v>
      </c>
      <c r="E36" s="277">
        <f>'[7]Degree Days 2020'!E36</f>
        <v>27</v>
      </c>
      <c r="F36" s="277">
        <f>'[7]Degree Days 2020'!F36</f>
        <v>19</v>
      </c>
      <c r="G36" s="277">
        <f>'[7]Degree Days 2020'!G36</f>
        <v>13</v>
      </c>
      <c r="H36" s="277">
        <f t="shared" si="1"/>
        <v>-2.3000000000000007</v>
      </c>
      <c r="I36" s="277">
        <f>'[6]Degree Days 2018'!I36</f>
        <v>27</v>
      </c>
      <c r="J36" s="277">
        <f>'[7]Degree Days 2020'!J36</f>
        <v>18</v>
      </c>
      <c r="K36" s="277">
        <f>'[7]Degree Days 2020'!K36</f>
        <v>13</v>
      </c>
      <c r="L36" s="277">
        <f t="shared" si="2"/>
        <v>-2.8000000000000007</v>
      </c>
      <c r="M36" s="277">
        <f>'[7]Degree Days 2020'!M36</f>
        <v>27</v>
      </c>
      <c r="N36" s="277">
        <f>'[7]Degree Days 2020'!N36</f>
        <v>20</v>
      </c>
      <c r="O36" s="277">
        <f>'[7]Degree Days 2020'!O36</f>
        <v>16</v>
      </c>
      <c r="P36" s="277">
        <f t="shared" si="3"/>
        <v>-0.30000000000000071</v>
      </c>
      <c r="Q36" s="543">
        <v>27</v>
      </c>
      <c r="R36" s="277">
        <f>'[7]Degree Days 2020'!R36</f>
        <v>27</v>
      </c>
      <c r="S36" s="277">
        <f>'[7]Degree Days 2020'!S36</f>
        <v>19</v>
      </c>
      <c r="T36" s="277">
        <f t="shared" si="4"/>
        <v>4.6999999999999993</v>
      </c>
      <c r="U36" s="543">
        <v>27</v>
      </c>
      <c r="V36" s="277">
        <f>'[7]Degree Days 2020'!V36</f>
        <v>29</v>
      </c>
      <c r="W36" s="277">
        <f>'[7]Degree Days 2020'!W36</f>
        <v>25</v>
      </c>
      <c r="X36" s="277">
        <f t="shared" si="5"/>
        <v>8.6999999999999993</v>
      </c>
    </row>
    <row r="37" spans="1:24">
      <c r="A37" s="117">
        <v>28</v>
      </c>
      <c r="B37" s="277">
        <f>'[7]Degree Days 2020'!B37</f>
        <v>16</v>
      </c>
      <c r="C37" s="277">
        <f>'[7]Degree Days 2020'!C37</f>
        <v>10</v>
      </c>
      <c r="D37" s="277">
        <f t="shared" si="0"/>
        <v>-5.3000000000000007</v>
      </c>
      <c r="E37" s="277">
        <f>'[7]Degree Days 2020'!E37</f>
        <v>28</v>
      </c>
      <c r="F37" s="277">
        <f>'[7]Degree Days 2020'!F37</f>
        <v>19</v>
      </c>
      <c r="G37" s="277">
        <f>'[7]Degree Days 2020'!G37</f>
        <v>14</v>
      </c>
      <c r="H37" s="277">
        <f t="shared" si="1"/>
        <v>-1.8000000000000007</v>
      </c>
      <c r="I37" s="277">
        <f>'[6]Degree Days 2018'!I37</f>
        <v>28</v>
      </c>
      <c r="J37" s="277">
        <f>'[7]Degree Days 2020'!J37</f>
        <v>17</v>
      </c>
      <c r="K37" s="277">
        <f>'[7]Degree Days 2020'!K37</f>
        <v>13</v>
      </c>
      <c r="L37" s="277">
        <f t="shared" si="2"/>
        <v>-3.3000000000000007</v>
      </c>
      <c r="M37" s="277">
        <f>'[7]Degree Days 2020'!M37</f>
        <v>28</v>
      </c>
      <c r="N37" s="277">
        <f>'[7]Degree Days 2020'!N37</f>
        <v>21</v>
      </c>
      <c r="O37" s="277">
        <f>'[7]Degree Days 2020'!O37</f>
        <v>16</v>
      </c>
      <c r="P37" s="277">
        <f t="shared" si="3"/>
        <v>0.19999999999999929</v>
      </c>
      <c r="Q37" s="543">
        <v>28</v>
      </c>
      <c r="R37" s="277">
        <f>'[7]Degree Days 2020'!R37</f>
        <v>27</v>
      </c>
      <c r="S37" s="277">
        <f>'[7]Degree Days 2020'!S37</f>
        <v>19</v>
      </c>
      <c r="T37" s="277">
        <f t="shared" si="4"/>
        <v>4.6999999999999993</v>
      </c>
      <c r="U37" s="543">
        <v>28</v>
      </c>
      <c r="V37" s="277">
        <f>'[7]Degree Days 2020'!V37</f>
        <v>30</v>
      </c>
      <c r="W37" s="277">
        <f>'[7]Degree Days 2020'!W37</f>
        <v>26</v>
      </c>
      <c r="X37" s="277">
        <f t="shared" si="5"/>
        <v>9.6999999999999993</v>
      </c>
    </row>
    <row r="38" spans="1:24">
      <c r="A38" s="117">
        <v>29</v>
      </c>
      <c r="B38" s="277">
        <f>'[7]Degree Days 2020'!B38</f>
        <v>16</v>
      </c>
      <c r="C38" s="277">
        <f>'[7]Degree Days 2020'!C38</f>
        <v>10</v>
      </c>
      <c r="D38" s="277">
        <f t="shared" si="0"/>
        <v>-5.3000000000000007</v>
      </c>
      <c r="E38" s="277">
        <f>'[7]Degree Days 2020'!E38</f>
        <v>29</v>
      </c>
      <c r="F38" s="277">
        <f>'[7]Degree Days 2020'!F38</f>
        <v>18</v>
      </c>
      <c r="G38" s="277">
        <f>'[7]Degree Days 2020'!G38</f>
        <v>13</v>
      </c>
      <c r="H38" s="277">
        <f t="shared" si="1"/>
        <v>-2.8000000000000007</v>
      </c>
      <c r="I38" s="277">
        <f>'[6]Degree Days 2018'!I38</f>
        <v>29</v>
      </c>
      <c r="J38" s="277">
        <f>'[7]Degree Days 2020'!J38</f>
        <v>20</v>
      </c>
      <c r="K38" s="277">
        <f>'[7]Degree Days 2020'!K38</f>
        <v>16</v>
      </c>
      <c r="L38" s="277">
        <f t="shared" si="2"/>
        <v>-0.30000000000000071</v>
      </c>
      <c r="M38" s="277">
        <f>'[7]Degree Days 2020'!M38</f>
        <v>29</v>
      </c>
      <c r="N38" s="277">
        <f>'[7]Degree Days 2020'!N38</f>
        <v>21</v>
      </c>
      <c r="O38" s="277">
        <f>'[7]Degree Days 2020'!O38</f>
        <v>17</v>
      </c>
      <c r="P38" s="277">
        <f t="shared" si="3"/>
        <v>0.69999999999999929</v>
      </c>
      <c r="Q38" s="543">
        <v>29</v>
      </c>
      <c r="R38" s="277">
        <f>'[7]Degree Days 2020'!R38</f>
        <v>23</v>
      </c>
      <c r="S38" s="277">
        <f>'[7]Degree Days 2020'!S38</f>
        <v>14</v>
      </c>
      <c r="T38" s="277">
        <f t="shared" si="4"/>
        <v>0.19999999999999929</v>
      </c>
      <c r="U38" s="543">
        <v>29</v>
      </c>
      <c r="V38" s="277">
        <f>'[7]Degree Days 2020'!V38</f>
        <v>28</v>
      </c>
      <c r="W38" s="277">
        <f>'[7]Degree Days 2020'!W38</f>
        <v>24</v>
      </c>
      <c r="X38" s="277">
        <f t="shared" si="5"/>
        <v>7.6999999999999993</v>
      </c>
    </row>
    <row r="39" spans="1:24">
      <c r="A39" s="117">
        <v>30</v>
      </c>
      <c r="B39" s="277">
        <f>'[7]Degree Days 2020'!B39</f>
        <v>16</v>
      </c>
      <c r="C39" s="277">
        <f>'[7]Degree Days 2020'!C39</f>
        <v>11</v>
      </c>
      <c r="D39" s="277">
        <f t="shared" si="0"/>
        <v>-4.8000000000000007</v>
      </c>
      <c r="E39" s="277">
        <f>'[7]Degree Days 2020'!E39</f>
        <v>0</v>
      </c>
      <c r="F39" s="277">
        <f>'[7]Degree Days 2020'!F39</f>
        <v>0</v>
      </c>
      <c r="G39" s="277">
        <f>'[7]Degree Days 2020'!G39</f>
        <v>0</v>
      </c>
      <c r="H39" s="277">
        <f t="shared" si="1"/>
        <v>-18.3</v>
      </c>
      <c r="I39" s="277">
        <f>'[6]Degree Days 2018'!I39</f>
        <v>30</v>
      </c>
      <c r="J39" s="277">
        <f>'[7]Degree Days 2020'!J39</f>
        <v>20</v>
      </c>
      <c r="K39" s="277">
        <f>'[7]Degree Days 2020'!K39</f>
        <v>17</v>
      </c>
      <c r="L39" s="277">
        <f t="shared" si="2"/>
        <v>0.19999999999999929</v>
      </c>
      <c r="M39" s="277">
        <f>'[7]Degree Days 2020'!M39</f>
        <v>30</v>
      </c>
      <c r="N39" s="277">
        <f>'[7]Degree Days 2020'!N39</f>
        <v>0</v>
      </c>
      <c r="O39" s="277">
        <f>'[7]Degree Days 2020'!O39</f>
        <v>0</v>
      </c>
      <c r="P39" s="277">
        <f t="shared" si="3"/>
        <v>-18.3</v>
      </c>
      <c r="Q39" s="543">
        <v>30</v>
      </c>
      <c r="R39" s="277">
        <f>'[7]Degree Days 2020'!R39</f>
        <v>23</v>
      </c>
      <c r="S39" s="277">
        <f>'[7]Degree Days 2020'!S39</f>
        <v>17</v>
      </c>
      <c r="T39" s="277">
        <f t="shared" si="4"/>
        <v>1.6999999999999993</v>
      </c>
      <c r="U39" s="543">
        <v>30</v>
      </c>
      <c r="V39" s="277">
        <f>'[7]Degree Days 2020'!V39</f>
        <v>30</v>
      </c>
      <c r="W39" s="277">
        <f>'[7]Degree Days 2020'!W39</f>
        <v>22</v>
      </c>
      <c r="X39" s="277">
        <f t="shared" si="5"/>
        <v>7.6999999999999993</v>
      </c>
    </row>
    <row r="40" spans="1:24">
      <c r="A40" s="120">
        <v>31</v>
      </c>
      <c r="B40" s="277">
        <f>'[7]Degree Days 2020'!B40</f>
        <v>17</v>
      </c>
      <c r="C40" s="277">
        <f>'[7]Degree Days 2020'!C40</f>
        <v>13</v>
      </c>
      <c r="D40" s="277">
        <f t="shared" si="0"/>
        <v>-3.3000000000000007</v>
      </c>
      <c r="E40" s="277">
        <f>'[7]Degree Days 2020'!E40</f>
        <v>0</v>
      </c>
      <c r="F40" s="277">
        <f>'[7]Degree Days 2020'!F40</f>
        <v>0</v>
      </c>
      <c r="G40" s="277">
        <f>'[7]Degree Days 2020'!G40</f>
        <v>0</v>
      </c>
      <c r="H40" s="277">
        <f t="shared" si="1"/>
        <v>-18.3</v>
      </c>
      <c r="I40" s="277">
        <f>'[6]Degree Days 2018'!I40</f>
        <v>31</v>
      </c>
      <c r="J40" s="277">
        <f>'[7]Degree Days 2020'!J40</f>
        <v>30</v>
      </c>
      <c r="K40" s="277">
        <f>'[7]Degree Days 2020'!K40</f>
        <v>18</v>
      </c>
      <c r="L40" s="277">
        <f t="shared" si="2"/>
        <v>5.6999999999999993</v>
      </c>
      <c r="M40" s="277">
        <f>'[7]Degree Days 2020'!M40</f>
        <v>0</v>
      </c>
      <c r="N40" s="277">
        <f>'[7]Degree Days 2020'!N40</f>
        <v>0</v>
      </c>
      <c r="O40" s="277">
        <f>'[7]Degree Days 2020'!O40</f>
        <v>0</v>
      </c>
      <c r="P40" s="277">
        <f t="shared" si="3"/>
        <v>-18.3</v>
      </c>
      <c r="Q40" s="543">
        <v>31</v>
      </c>
      <c r="R40" s="277">
        <f>'[7]Degree Days 2020'!R40</f>
        <v>24</v>
      </c>
      <c r="S40" s="277">
        <f>'[7]Degree Days 2020'!S40</f>
        <v>19</v>
      </c>
      <c r="T40" s="277">
        <f t="shared" si="4"/>
        <v>3.1999999999999993</v>
      </c>
      <c r="U40" s="277"/>
      <c r="V40" s="277">
        <f>'[7]Degree Days 2020'!V40</f>
        <v>0</v>
      </c>
      <c r="W40" s="277">
        <f>'[7]Degree Days 2020'!W40</f>
        <v>0</v>
      </c>
      <c r="X40" s="277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7">
        <f>'[2]Degree Days 2020'!B48</f>
        <v>28</v>
      </c>
      <c r="C48" s="277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7">
        <f>'[1]Degree Days 2020'!F48</f>
        <v>30</v>
      </c>
      <c r="G48" s="277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7">
        <f>'General information '!B6</f>
        <v>32</v>
      </c>
      <c r="K48" s="277">
        <f>'General information '!C6</f>
        <v>28</v>
      </c>
      <c r="L48" s="119">
        <f>(J48+K48)/2-18.3</f>
        <v>11.7</v>
      </c>
      <c r="M48" s="117">
        <v>1</v>
      </c>
      <c r="N48" s="277"/>
      <c r="O48" s="277"/>
      <c r="P48" s="119">
        <f>(N48+O48)/2-18.3</f>
        <v>-18.3</v>
      </c>
      <c r="Q48" s="117">
        <v>1</v>
      </c>
      <c r="R48" s="277"/>
      <c r="S48" s="277"/>
      <c r="T48" s="119">
        <f>(R48+S48)/2-18.3</f>
        <v>-18.3</v>
      </c>
      <c r="U48" s="117">
        <v>1</v>
      </c>
      <c r="V48" s="277"/>
      <c r="W48" s="277"/>
      <c r="X48" s="119">
        <f t="shared" ref="X48:X77" si="10">(V48+W48)/2-18.3</f>
        <v>-18.3</v>
      </c>
    </row>
    <row r="49" spans="1:24">
      <c r="A49" s="117">
        <v>2</v>
      </c>
      <c r="B49" s="277">
        <f>'[2]Degree Days 2020'!B49</f>
        <v>29</v>
      </c>
      <c r="C49" s="277">
        <f>'[2]Degree Days 2020'!C49</f>
        <v>23</v>
      </c>
      <c r="D49" s="119">
        <f t="shared" si="8"/>
        <v>7.6999999999999993</v>
      </c>
      <c r="E49" s="117">
        <v>2</v>
      </c>
      <c r="F49" s="277">
        <f>'[1]Degree Days 2020'!F49</f>
        <v>31</v>
      </c>
      <c r="G49" s="277">
        <f>'[1]Degree Days 2020'!G49</f>
        <v>26</v>
      </c>
      <c r="H49" s="119">
        <f t="shared" si="9"/>
        <v>10.199999999999999</v>
      </c>
      <c r="I49" s="117">
        <v>2</v>
      </c>
      <c r="J49" s="277">
        <f>'General information '!B7</f>
        <v>31</v>
      </c>
      <c r="K49" s="277">
        <f>'General information '!C7</f>
        <v>27</v>
      </c>
      <c r="L49" s="119">
        <f t="shared" ref="L49:L77" si="11">(J49+K49)/2-18.3</f>
        <v>10.7</v>
      </c>
      <c r="M49" s="117">
        <v>2</v>
      </c>
      <c r="N49" s="277"/>
      <c r="O49" s="277"/>
      <c r="P49" s="119">
        <f t="shared" ref="P49:P78" si="12">(N49+O49)/2-18.3</f>
        <v>-18.3</v>
      </c>
      <c r="Q49" s="117">
        <v>2</v>
      </c>
      <c r="R49" s="277"/>
      <c r="S49" s="277"/>
      <c r="T49" s="119">
        <f t="shared" ref="T49:T77" si="13">(R49+S49)/2-18.3</f>
        <v>-18.3</v>
      </c>
      <c r="U49" s="117">
        <v>2</v>
      </c>
      <c r="V49" s="277"/>
      <c r="W49" s="277"/>
      <c r="X49" s="119">
        <f t="shared" si="10"/>
        <v>-18.3</v>
      </c>
    </row>
    <row r="50" spans="1:24">
      <c r="A50" s="117">
        <v>3</v>
      </c>
      <c r="B50" s="277">
        <f>'[2]Degree Days 2020'!B50</f>
        <v>29</v>
      </c>
      <c r="C50" s="277">
        <f>'[2]Degree Days 2020'!C50</f>
        <v>24</v>
      </c>
      <c r="D50" s="119">
        <f t="shared" si="8"/>
        <v>8.1999999999999993</v>
      </c>
      <c r="E50" s="117">
        <v>3</v>
      </c>
      <c r="F50" s="277">
        <f>'[1]Degree Days 2020'!F50</f>
        <v>31</v>
      </c>
      <c r="G50" s="277">
        <f>'[1]Degree Days 2020'!G50</f>
        <v>27</v>
      </c>
      <c r="H50" s="119">
        <f t="shared" si="9"/>
        <v>10.7</v>
      </c>
      <c r="I50" s="117">
        <v>3</v>
      </c>
      <c r="J50" s="277">
        <f>'General information '!B8</f>
        <v>34</v>
      </c>
      <c r="K50" s="277">
        <f>'General information '!C8</f>
        <v>29</v>
      </c>
      <c r="L50" s="119">
        <f t="shared" si="11"/>
        <v>13.2</v>
      </c>
      <c r="M50" s="117">
        <v>3</v>
      </c>
      <c r="N50" s="277"/>
      <c r="O50" s="277"/>
      <c r="P50" s="119">
        <f t="shared" si="12"/>
        <v>-18.3</v>
      </c>
      <c r="Q50" s="117">
        <v>3</v>
      </c>
      <c r="R50" s="277"/>
      <c r="S50" s="277"/>
      <c r="T50" s="119">
        <f t="shared" si="13"/>
        <v>-18.3</v>
      </c>
      <c r="U50" s="117">
        <v>3</v>
      </c>
      <c r="V50" s="277"/>
      <c r="W50" s="277"/>
      <c r="X50" s="119">
        <f t="shared" si="10"/>
        <v>-18.3</v>
      </c>
    </row>
    <row r="51" spans="1:24">
      <c r="A51" s="117">
        <v>4</v>
      </c>
      <c r="B51" s="277">
        <f>'[2]Degree Days 2020'!B51</f>
        <v>28</v>
      </c>
      <c r="C51" s="277">
        <f>'[2]Degree Days 2020'!C51</f>
        <v>24</v>
      </c>
      <c r="D51" s="119">
        <f t="shared" si="8"/>
        <v>7.6999999999999993</v>
      </c>
      <c r="E51" s="117">
        <v>4</v>
      </c>
      <c r="F51" s="277">
        <f>'[1]Degree Days 2020'!F51</f>
        <v>31</v>
      </c>
      <c r="G51" s="277">
        <f>'[1]Degree Days 2020'!G51</f>
        <v>26</v>
      </c>
      <c r="H51" s="119">
        <f t="shared" si="9"/>
        <v>10.199999999999999</v>
      </c>
      <c r="I51" s="117">
        <v>4</v>
      </c>
      <c r="J51" s="277">
        <f>'General information '!B9</f>
        <v>33</v>
      </c>
      <c r="K51" s="277">
        <f>'General information '!C9</f>
        <v>27</v>
      </c>
      <c r="L51" s="119">
        <f t="shared" si="11"/>
        <v>11.7</v>
      </c>
      <c r="M51" s="117">
        <v>4</v>
      </c>
      <c r="N51" s="277"/>
      <c r="O51" s="277"/>
      <c r="P51" s="119">
        <f t="shared" si="12"/>
        <v>-18.3</v>
      </c>
      <c r="Q51" s="117">
        <v>4</v>
      </c>
      <c r="R51" s="277"/>
      <c r="S51" s="277"/>
      <c r="T51" s="119">
        <f t="shared" si="13"/>
        <v>-18.3</v>
      </c>
      <c r="U51" s="117">
        <v>4</v>
      </c>
      <c r="V51" s="277"/>
      <c r="W51" s="277"/>
      <c r="X51" s="119">
        <f t="shared" si="10"/>
        <v>-18.3</v>
      </c>
    </row>
    <row r="52" spans="1:24">
      <c r="A52" s="117">
        <v>5</v>
      </c>
      <c r="B52" s="277">
        <f>'[2]Degree Days 2020'!B52</f>
        <v>30</v>
      </c>
      <c r="C52" s="277">
        <f>'[2]Degree Days 2020'!C52</f>
        <v>26</v>
      </c>
      <c r="D52" s="119">
        <f t="shared" si="8"/>
        <v>9.6999999999999993</v>
      </c>
      <c r="E52" s="117">
        <v>5</v>
      </c>
      <c r="F52" s="277">
        <f>'[1]Degree Days 2020'!F52</f>
        <v>30</v>
      </c>
      <c r="G52" s="277">
        <f>'[1]Degree Days 2020'!G52</f>
        <v>27</v>
      </c>
      <c r="H52" s="119">
        <f t="shared" si="9"/>
        <v>10.199999999999999</v>
      </c>
      <c r="I52" s="117">
        <v>5</v>
      </c>
      <c r="J52" s="277">
        <f>'General information '!B10</f>
        <v>31</v>
      </c>
      <c r="K52" s="277">
        <f>'General information '!C10</f>
        <v>25</v>
      </c>
      <c r="L52" s="119">
        <f t="shared" si="11"/>
        <v>9.6999999999999993</v>
      </c>
      <c r="M52" s="117">
        <v>5</v>
      </c>
      <c r="N52" s="277"/>
      <c r="O52" s="277"/>
      <c r="P52" s="119">
        <f t="shared" si="12"/>
        <v>-18.3</v>
      </c>
      <c r="Q52" s="117">
        <v>5</v>
      </c>
      <c r="R52" s="277"/>
      <c r="S52" s="277"/>
      <c r="T52" s="119">
        <f t="shared" si="13"/>
        <v>-18.3</v>
      </c>
      <c r="U52" s="117">
        <v>5</v>
      </c>
      <c r="V52" s="277"/>
      <c r="W52" s="277"/>
      <c r="X52" s="119">
        <f t="shared" si="10"/>
        <v>-18.3</v>
      </c>
    </row>
    <row r="53" spans="1:24">
      <c r="A53" s="117">
        <v>6</v>
      </c>
      <c r="B53" s="277">
        <f>'[2]Degree Days 2020'!B53</f>
        <v>29</v>
      </c>
      <c r="C53" s="277">
        <f>'[2]Degree Days 2020'!C53</f>
        <v>25</v>
      </c>
      <c r="D53" s="119">
        <f t="shared" si="8"/>
        <v>8.6999999999999993</v>
      </c>
      <c r="E53" s="117">
        <v>6</v>
      </c>
      <c r="F53" s="277">
        <f>'[1]Degree Days 2020'!F53</f>
        <v>31</v>
      </c>
      <c r="G53" s="277">
        <f>'[1]Degree Days 2020'!G53</f>
        <v>26</v>
      </c>
      <c r="H53" s="119">
        <f t="shared" si="9"/>
        <v>10.199999999999999</v>
      </c>
      <c r="I53" s="117">
        <v>6</v>
      </c>
      <c r="J53" s="277">
        <f>'General information '!B11</f>
        <v>31</v>
      </c>
      <c r="K53" s="277">
        <f>'General information '!C11</f>
        <v>25</v>
      </c>
      <c r="L53" s="119">
        <f t="shared" si="11"/>
        <v>9.6999999999999993</v>
      </c>
      <c r="M53" s="117">
        <v>6</v>
      </c>
      <c r="N53" s="277"/>
      <c r="O53" s="277"/>
      <c r="P53" s="119">
        <f t="shared" si="12"/>
        <v>-18.3</v>
      </c>
      <c r="Q53" s="117">
        <v>6</v>
      </c>
      <c r="R53" s="277"/>
      <c r="S53" s="277"/>
      <c r="T53" s="119">
        <f t="shared" si="13"/>
        <v>-18.3</v>
      </c>
      <c r="U53" s="117">
        <v>6</v>
      </c>
      <c r="V53" s="277"/>
      <c r="W53" s="277"/>
      <c r="X53" s="119">
        <f t="shared" si="10"/>
        <v>-18.3</v>
      </c>
    </row>
    <row r="54" spans="1:24">
      <c r="A54" s="117">
        <v>7</v>
      </c>
      <c r="B54" s="277">
        <f>'[2]Degree Days 2020'!B54</f>
        <v>30</v>
      </c>
      <c r="C54" s="277">
        <f>'[2]Degree Days 2020'!C54</f>
        <v>22</v>
      </c>
      <c r="D54" s="119">
        <f t="shared" si="8"/>
        <v>7.6999999999999993</v>
      </c>
      <c r="E54" s="117">
        <v>7</v>
      </c>
      <c r="F54" s="277">
        <f>'[1]Degree Days 2020'!F54</f>
        <v>31</v>
      </c>
      <c r="G54" s="277">
        <f>'[1]Degree Days 2020'!G54</f>
        <v>23</v>
      </c>
      <c r="H54" s="119">
        <f t="shared" si="9"/>
        <v>8.6999999999999993</v>
      </c>
      <c r="I54" s="117">
        <v>7</v>
      </c>
      <c r="J54" s="277">
        <f>'General information '!B12</f>
        <v>32</v>
      </c>
      <c r="K54" s="277">
        <f>'General information '!C12</f>
        <v>27</v>
      </c>
      <c r="L54" s="119">
        <f t="shared" si="11"/>
        <v>11.2</v>
      </c>
      <c r="M54" s="117">
        <v>7</v>
      </c>
      <c r="N54" s="277"/>
      <c r="O54" s="277"/>
      <c r="P54" s="119">
        <f t="shared" si="12"/>
        <v>-18.3</v>
      </c>
      <c r="Q54" s="117">
        <v>7</v>
      </c>
      <c r="R54" s="277"/>
      <c r="S54" s="277"/>
      <c r="T54" s="119">
        <f t="shared" si="13"/>
        <v>-18.3</v>
      </c>
      <c r="U54" s="117">
        <v>7</v>
      </c>
      <c r="V54" s="277"/>
      <c r="W54" s="277"/>
      <c r="X54" s="119">
        <f t="shared" si="10"/>
        <v>-18.3</v>
      </c>
    </row>
    <row r="55" spans="1:24">
      <c r="A55" s="117">
        <v>8</v>
      </c>
      <c r="B55" s="277">
        <f>'[2]Degree Days 2020'!B55</f>
        <v>30</v>
      </c>
      <c r="C55" s="277">
        <f>'[2]Degree Days 2020'!C55</f>
        <v>22</v>
      </c>
      <c r="D55" s="119">
        <f t="shared" si="8"/>
        <v>7.6999999999999993</v>
      </c>
      <c r="E55" s="117">
        <v>8</v>
      </c>
      <c r="F55" s="277">
        <f>'[1]Degree Days 2020'!F55</f>
        <v>33</v>
      </c>
      <c r="G55" s="277">
        <f>'[1]Degree Days 2020'!G55</f>
        <v>24</v>
      </c>
      <c r="H55" s="119">
        <f t="shared" si="9"/>
        <v>10.199999999999999</v>
      </c>
      <c r="I55" s="117">
        <v>8</v>
      </c>
      <c r="J55" s="277">
        <f>'General information '!B13</f>
        <v>32</v>
      </c>
      <c r="K55" s="277">
        <f>'General information '!C13</f>
        <v>27</v>
      </c>
      <c r="L55" s="119">
        <f t="shared" si="11"/>
        <v>11.2</v>
      </c>
      <c r="M55" s="117">
        <v>8</v>
      </c>
      <c r="N55" s="277"/>
      <c r="O55" s="277"/>
      <c r="P55" s="119">
        <f t="shared" si="12"/>
        <v>-18.3</v>
      </c>
      <c r="Q55" s="117">
        <v>8</v>
      </c>
      <c r="R55" s="277"/>
      <c r="S55" s="277"/>
      <c r="T55" s="119">
        <f t="shared" si="13"/>
        <v>-18.3</v>
      </c>
      <c r="U55" s="117">
        <v>8</v>
      </c>
      <c r="V55" s="277"/>
      <c r="W55" s="277"/>
      <c r="X55" s="119">
        <f t="shared" si="10"/>
        <v>-18.3</v>
      </c>
    </row>
    <row r="56" spans="1:24">
      <c r="A56" s="117">
        <v>9</v>
      </c>
      <c r="B56" s="277">
        <f>'[2]Degree Days 2020'!B56</f>
        <v>30</v>
      </c>
      <c r="C56" s="277">
        <f>'[2]Degree Days 2020'!C56</f>
        <v>22</v>
      </c>
      <c r="D56" s="119">
        <f t="shared" si="8"/>
        <v>7.6999999999999993</v>
      </c>
      <c r="E56" s="117">
        <v>9</v>
      </c>
      <c r="F56" s="277">
        <f>'[1]Degree Days 2020'!F56</f>
        <v>31</v>
      </c>
      <c r="G56" s="277">
        <f>'[1]Degree Days 2020'!G56</f>
        <v>27</v>
      </c>
      <c r="H56" s="119">
        <f t="shared" si="9"/>
        <v>10.7</v>
      </c>
      <c r="I56" s="117">
        <v>9</v>
      </c>
      <c r="J56" s="277">
        <f>'General information '!B14</f>
        <v>31</v>
      </c>
      <c r="K56" s="277">
        <f>'General information '!C14</f>
        <v>28</v>
      </c>
      <c r="L56" s="119">
        <f t="shared" si="11"/>
        <v>11.2</v>
      </c>
      <c r="M56" s="117">
        <v>9</v>
      </c>
      <c r="N56" s="277"/>
      <c r="O56" s="277"/>
      <c r="P56" s="119">
        <f t="shared" si="12"/>
        <v>-18.3</v>
      </c>
      <c r="Q56" s="117">
        <v>9</v>
      </c>
      <c r="R56" s="277"/>
      <c r="S56" s="277"/>
      <c r="T56" s="119">
        <f t="shared" si="13"/>
        <v>-18.3</v>
      </c>
      <c r="U56" s="117">
        <v>9</v>
      </c>
      <c r="V56" s="277"/>
      <c r="W56" s="277"/>
      <c r="X56" s="119">
        <f t="shared" si="10"/>
        <v>-18.3</v>
      </c>
    </row>
    <row r="57" spans="1:24">
      <c r="A57" s="117">
        <v>10</v>
      </c>
      <c r="B57" s="277">
        <f>'[2]Degree Days 2020'!B57</f>
        <v>30</v>
      </c>
      <c r="C57" s="277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7">
        <f>'[1]Degree Days 2020'!F57</f>
        <v>31</v>
      </c>
      <c r="G57" s="277">
        <f>'[1]Degree Days 2020'!G57</f>
        <v>23</v>
      </c>
      <c r="H57" s="119">
        <f t="shared" si="9"/>
        <v>8.6999999999999993</v>
      </c>
      <c r="I57" s="117">
        <v>10</v>
      </c>
      <c r="J57" s="277">
        <f>'General information '!B15</f>
        <v>32</v>
      </c>
      <c r="K57" s="277">
        <f>'General information '!C15</f>
        <v>26</v>
      </c>
      <c r="L57" s="119">
        <f t="shared" si="11"/>
        <v>10.7</v>
      </c>
      <c r="M57" s="117">
        <v>10</v>
      </c>
      <c r="N57" s="277"/>
      <c r="O57" s="277"/>
      <c r="P57" s="119">
        <f t="shared" si="12"/>
        <v>-18.3</v>
      </c>
      <c r="Q57" s="117">
        <v>10</v>
      </c>
      <c r="R57" s="277"/>
      <c r="S57" s="277"/>
      <c r="T57" s="119">
        <f t="shared" si="13"/>
        <v>-18.3</v>
      </c>
      <c r="U57" s="117">
        <v>10</v>
      </c>
      <c r="V57" s="277"/>
      <c r="W57" s="277"/>
      <c r="X57" s="119">
        <f t="shared" si="10"/>
        <v>-18.3</v>
      </c>
    </row>
    <row r="58" spans="1:24">
      <c r="A58" s="117">
        <v>11</v>
      </c>
      <c r="B58" s="277">
        <f>'[2]Degree Days 2020'!B58</f>
        <v>30</v>
      </c>
      <c r="C58" s="277">
        <f>'[2]Degree Days 2020'!C58</f>
        <v>26</v>
      </c>
      <c r="D58" s="119">
        <f t="shared" si="14"/>
        <v>9.6999999999999993</v>
      </c>
      <c r="E58" s="117">
        <v>11</v>
      </c>
      <c r="F58" s="277">
        <f>'[1]Degree Days 2020'!F58</f>
        <v>30</v>
      </c>
      <c r="G58" s="277">
        <f>'[1]Degree Days 2020'!G58</f>
        <v>27</v>
      </c>
      <c r="H58" s="119">
        <f t="shared" si="9"/>
        <v>10.199999999999999</v>
      </c>
      <c r="I58" s="117">
        <v>11</v>
      </c>
      <c r="J58" s="277">
        <f>'General information '!B16</f>
        <v>32</v>
      </c>
      <c r="K58" s="277">
        <f>'General information '!C16</f>
        <v>28</v>
      </c>
      <c r="L58" s="119">
        <f t="shared" si="11"/>
        <v>11.7</v>
      </c>
      <c r="M58" s="117">
        <v>11</v>
      </c>
      <c r="N58" s="277"/>
      <c r="O58" s="277"/>
      <c r="P58" s="119">
        <f t="shared" si="12"/>
        <v>-18.3</v>
      </c>
      <c r="Q58" s="117">
        <v>11</v>
      </c>
      <c r="R58" s="277"/>
      <c r="S58" s="277"/>
      <c r="T58" s="119">
        <f t="shared" si="13"/>
        <v>-18.3</v>
      </c>
      <c r="U58" s="117">
        <v>11</v>
      </c>
      <c r="V58" s="277"/>
      <c r="W58" s="277"/>
      <c r="X58" s="119">
        <f t="shared" si="10"/>
        <v>-18.3</v>
      </c>
    </row>
    <row r="59" spans="1:24">
      <c r="A59" s="117">
        <v>12</v>
      </c>
      <c r="B59" s="277">
        <f>'[2]Degree Days 2020'!B59</f>
        <v>30</v>
      </c>
      <c r="C59" s="277">
        <f>'[2]Degree Days 2020'!C59</f>
        <v>22</v>
      </c>
      <c r="D59" s="119">
        <f t="shared" si="14"/>
        <v>7.6999999999999993</v>
      </c>
      <c r="E59" s="117">
        <v>12</v>
      </c>
      <c r="F59" s="277">
        <f>'[1]Degree Days 2020'!F59</f>
        <v>30</v>
      </c>
      <c r="G59" s="277">
        <f>'[1]Degree Days 2020'!G59</f>
        <v>26</v>
      </c>
      <c r="H59" s="119">
        <f t="shared" si="9"/>
        <v>9.6999999999999993</v>
      </c>
      <c r="I59" s="117">
        <v>12</v>
      </c>
      <c r="J59" s="277">
        <f>'General information '!B17</f>
        <v>31</v>
      </c>
      <c r="K59" s="277">
        <f>'General information '!C17</f>
        <v>28</v>
      </c>
      <c r="L59" s="119">
        <f t="shared" si="11"/>
        <v>11.2</v>
      </c>
      <c r="M59" s="117">
        <v>12</v>
      </c>
      <c r="N59" s="277"/>
      <c r="O59" s="277"/>
      <c r="P59" s="119">
        <f t="shared" si="12"/>
        <v>-18.3</v>
      </c>
      <c r="Q59" s="117">
        <v>12</v>
      </c>
      <c r="R59" s="277"/>
      <c r="S59" s="277"/>
      <c r="T59" s="119">
        <f t="shared" si="13"/>
        <v>-18.3</v>
      </c>
      <c r="U59" s="117">
        <v>12</v>
      </c>
      <c r="V59" s="277"/>
      <c r="W59" s="277"/>
      <c r="X59" s="119">
        <f t="shared" si="10"/>
        <v>-18.3</v>
      </c>
    </row>
    <row r="60" spans="1:24">
      <c r="A60" s="117">
        <v>13</v>
      </c>
      <c r="B60" s="277">
        <f>'[2]Degree Days 2020'!B60</f>
        <v>30</v>
      </c>
      <c r="C60" s="277">
        <f>'[2]Degree Days 2020'!C60</f>
        <v>23</v>
      </c>
      <c r="D60" s="119">
        <f t="shared" si="14"/>
        <v>8.1999999999999993</v>
      </c>
      <c r="E60" s="117">
        <v>13</v>
      </c>
      <c r="F60" s="277">
        <f>'[1]Degree Days 2020'!F60</f>
        <v>32</v>
      </c>
      <c r="G60" s="277">
        <f>'[1]Degree Days 2020'!G60</f>
        <v>23</v>
      </c>
      <c r="H60" s="119">
        <f t="shared" si="9"/>
        <v>9.1999999999999993</v>
      </c>
      <c r="I60" s="117">
        <v>13</v>
      </c>
      <c r="J60" s="277">
        <f>'General information '!B18</f>
        <v>31</v>
      </c>
      <c r="K60" s="277">
        <f>'General information '!C18</f>
        <v>25</v>
      </c>
      <c r="L60" s="119">
        <f t="shared" si="11"/>
        <v>9.6999999999999993</v>
      </c>
      <c r="M60" s="117">
        <v>13</v>
      </c>
      <c r="N60" s="277"/>
      <c r="O60" s="277"/>
      <c r="P60" s="119">
        <f t="shared" si="12"/>
        <v>-18.3</v>
      </c>
      <c r="Q60" s="117">
        <v>13</v>
      </c>
      <c r="R60" s="277"/>
      <c r="S60" s="277"/>
      <c r="T60" s="119">
        <f t="shared" si="13"/>
        <v>-18.3</v>
      </c>
      <c r="U60" s="117">
        <v>13</v>
      </c>
      <c r="V60" s="277"/>
      <c r="W60" s="277"/>
      <c r="X60" s="119">
        <f t="shared" si="10"/>
        <v>-18.3</v>
      </c>
    </row>
    <row r="61" spans="1:24">
      <c r="A61" s="117">
        <v>14</v>
      </c>
      <c r="B61" s="277">
        <f>'[2]Degree Days 2020'!B61</f>
        <v>30</v>
      </c>
      <c r="C61" s="277">
        <f>'[2]Degree Days 2020'!C61</f>
        <v>25</v>
      </c>
      <c r="D61" s="119">
        <f t="shared" si="14"/>
        <v>9.1999999999999993</v>
      </c>
      <c r="E61" s="117">
        <v>14</v>
      </c>
      <c r="F61" s="277">
        <f>'[1]Degree Days 2020'!F61</f>
        <v>31</v>
      </c>
      <c r="G61" s="277">
        <f>'[1]Degree Days 2020'!G61</f>
        <v>24</v>
      </c>
      <c r="H61" s="119">
        <f t="shared" si="9"/>
        <v>9.1999999999999993</v>
      </c>
      <c r="I61" s="117">
        <v>14</v>
      </c>
      <c r="J61" s="277">
        <f>'General information '!B19</f>
        <v>31</v>
      </c>
      <c r="K61" s="277">
        <f>'General information '!C19</f>
        <v>26</v>
      </c>
      <c r="L61" s="119">
        <f t="shared" si="11"/>
        <v>10.199999999999999</v>
      </c>
      <c r="M61" s="117">
        <v>14</v>
      </c>
      <c r="N61" s="277"/>
      <c r="O61" s="277"/>
      <c r="P61" s="119">
        <f t="shared" si="12"/>
        <v>-18.3</v>
      </c>
      <c r="Q61" s="117">
        <v>14</v>
      </c>
      <c r="R61" s="277"/>
      <c r="S61" s="277"/>
      <c r="T61" s="119">
        <f t="shared" si="13"/>
        <v>-18.3</v>
      </c>
      <c r="U61" s="117">
        <v>14</v>
      </c>
      <c r="V61" s="277"/>
      <c r="W61" s="277"/>
      <c r="X61" s="119">
        <f t="shared" si="10"/>
        <v>-18.3</v>
      </c>
    </row>
    <row r="62" spans="1:24">
      <c r="A62" s="117">
        <v>15</v>
      </c>
      <c r="B62" s="277">
        <f>'[2]Degree Days 2020'!B62</f>
        <v>30</v>
      </c>
      <c r="C62" s="277">
        <f>'[2]Degree Days 2020'!C62</f>
        <v>23</v>
      </c>
      <c r="D62" s="119">
        <f t="shared" si="14"/>
        <v>8.1999999999999993</v>
      </c>
      <c r="E62" s="117">
        <v>15</v>
      </c>
      <c r="F62" s="277">
        <f>'[1]Degree Days 2020'!F62</f>
        <v>31</v>
      </c>
      <c r="G62" s="277">
        <f>'[1]Degree Days 2020'!G62</f>
        <v>24</v>
      </c>
      <c r="H62" s="119">
        <f t="shared" si="9"/>
        <v>9.1999999999999993</v>
      </c>
      <c r="I62" s="117">
        <v>15</v>
      </c>
      <c r="J62" s="277">
        <f>'General information '!B20</f>
        <v>30</v>
      </c>
      <c r="K62" s="277">
        <f>'General information '!C20</f>
        <v>23</v>
      </c>
      <c r="L62" s="119">
        <f t="shared" si="11"/>
        <v>8.1999999999999993</v>
      </c>
      <c r="M62" s="117">
        <v>15</v>
      </c>
      <c r="N62" s="277"/>
      <c r="O62" s="277"/>
      <c r="P62" s="119">
        <f t="shared" si="12"/>
        <v>-18.3</v>
      </c>
      <c r="Q62" s="117">
        <v>15</v>
      </c>
      <c r="R62" s="277"/>
      <c r="S62" s="277"/>
      <c r="T62" s="119">
        <f t="shared" si="13"/>
        <v>-18.3</v>
      </c>
      <c r="U62" s="117">
        <v>15</v>
      </c>
      <c r="V62" s="277"/>
      <c r="W62" s="277"/>
      <c r="X62" s="119">
        <f t="shared" si="10"/>
        <v>-18.3</v>
      </c>
    </row>
    <row r="63" spans="1:24">
      <c r="A63" s="117">
        <v>16</v>
      </c>
      <c r="B63" s="277">
        <f>'[2]Degree Days 2020'!B63</f>
        <v>30</v>
      </c>
      <c r="C63" s="277">
        <f>'[2]Degree Days 2020'!C63</f>
        <v>25</v>
      </c>
      <c r="D63" s="119">
        <f t="shared" si="14"/>
        <v>9.1999999999999993</v>
      </c>
      <c r="E63" s="117">
        <v>16</v>
      </c>
      <c r="F63" s="277">
        <f>'[1]Degree Days 2020'!F63</f>
        <v>31</v>
      </c>
      <c r="G63" s="277">
        <f>'[1]Degree Days 2020'!G63</f>
        <v>25</v>
      </c>
      <c r="H63" s="119">
        <f t="shared" si="9"/>
        <v>9.6999999999999993</v>
      </c>
      <c r="I63" s="117">
        <v>16</v>
      </c>
      <c r="J63" s="277">
        <f>'General information '!B21</f>
        <v>31</v>
      </c>
      <c r="K63" s="277">
        <f>'General information '!C21</f>
        <v>26</v>
      </c>
      <c r="L63" s="119">
        <f t="shared" si="11"/>
        <v>10.199999999999999</v>
      </c>
      <c r="M63" s="117">
        <v>16</v>
      </c>
      <c r="N63" s="277"/>
      <c r="O63" s="277"/>
      <c r="P63" s="119">
        <f t="shared" si="12"/>
        <v>-18.3</v>
      </c>
      <c r="Q63" s="117">
        <v>16</v>
      </c>
      <c r="R63" s="277"/>
      <c r="S63" s="277"/>
      <c r="T63" s="119">
        <f t="shared" si="13"/>
        <v>-18.3</v>
      </c>
      <c r="U63" s="117">
        <v>16</v>
      </c>
      <c r="V63" s="277"/>
      <c r="W63" s="277"/>
      <c r="X63" s="119">
        <f t="shared" si="10"/>
        <v>-18.3</v>
      </c>
    </row>
    <row r="64" spans="1:24">
      <c r="A64" s="117">
        <v>17</v>
      </c>
      <c r="B64" s="277">
        <f>'[2]Degree Days 2020'!B64</f>
        <v>31</v>
      </c>
      <c r="C64" s="277">
        <f>'[2]Degree Days 2020'!C64</f>
        <v>23</v>
      </c>
      <c r="D64" s="119">
        <f t="shared" si="14"/>
        <v>8.6999999999999993</v>
      </c>
      <c r="E64" s="117">
        <v>17</v>
      </c>
      <c r="F64" s="277">
        <f>'[1]Degree Days 2020'!F64</f>
        <v>31</v>
      </c>
      <c r="G64" s="277">
        <f>'[1]Degree Days 2020'!G64</f>
        <v>26</v>
      </c>
      <c r="H64" s="119">
        <f t="shared" si="9"/>
        <v>10.199999999999999</v>
      </c>
      <c r="I64" s="117">
        <v>17</v>
      </c>
      <c r="J64" s="277">
        <f>'General information '!B22</f>
        <v>30</v>
      </c>
      <c r="K64" s="277">
        <f>'General information '!C22</f>
        <v>26</v>
      </c>
      <c r="L64" s="119">
        <f t="shared" si="11"/>
        <v>9.6999999999999993</v>
      </c>
      <c r="M64" s="117">
        <v>17</v>
      </c>
      <c r="N64" s="277"/>
      <c r="O64" s="277"/>
      <c r="P64" s="119">
        <f t="shared" si="12"/>
        <v>-18.3</v>
      </c>
      <c r="Q64" s="117">
        <v>17</v>
      </c>
      <c r="R64" s="277"/>
      <c r="S64" s="277"/>
      <c r="T64" s="119">
        <f t="shared" si="13"/>
        <v>-18.3</v>
      </c>
      <c r="U64" s="117">
        <v>17</v>
      </c>
      <c r="V64" s="277"/>
      <c r="W64" s="277"/>
      <c r="X64" s="119">
        <f t="shared" si="10"/>
        <v>-18.3</v>
      </c>
    </row>
    <row r="65" spans="1:24">
      <c r="A65" s="117">
        <v>18</v>
      </c>
      <c r="B65" s="277">
        <f>'[2]Degree Days 2020'!B65</f>
        <v>30</v>
      </c>
      <c r="C65" s="277">
        <f>'[2]Degree Days 2020'!C65</f>
        <v>25</v>
      </c>
      <c r="D65" s="119">
        <f t="shared" si="14"/>
        <v>9.1999999999999993</v>
      </c>
      <c r="E65" s="117">
        <v>18</v>
      </c>
      <c r="F65" s="277">
        <f>'[1]Degree Days 2020'!F65</f>
        <v>30</v>
      </c>
      <c r="G65" s="277">
        <f>'[1]Degree Days 2020'!G65</f>
        <v>26</v>
      </c>
      <c r="H65" s="119">
        <f t="shared" si="9"/>
        <v>9.6999999999999993</v>
      </c>
      <c r="I65" s="117">
        <v>18</v>
      </c>
      <c r="J65" s="277">
        <f>'General information '!B23</f>
        <v>30</v>
      </c>
      <c r="K65" s="277">
        <f>'General information '!C23</f>
        <v>25</v>
      </c>
      <c r="L65" s="119">
        <f t="shared" si="11"/>
        <v>9.1999999999999993</v>
      </c>
      <c r="M65" s="117">
        <v>18</v>
      </c>
      <c r="N65" s="277"/>
      <c r="O65" s="277"/>
      <c r="P65" s="119">
        <f t="shared" si="12"/>
        <v>-18.3</v>
      </c>
      <c r="Q65" s="117">
        <v>18</v>
      </c>
      <c r="R65" s="277"/>
      <c r="S65" s="277"/>
      <c r="T65" s="119">
        <f t="shared" si="13"/>
        <v>-18.3</v>
      </c>
      <c r="U65" s="117">
        <v>18</v>
      </c>
      <c r="V65" s="277"/>
      <c r="W65" s="277"/>
      <c r="X65" s="119">
        <f t="shared" si="10"/>
        <v>-18.3</v>
      </c>
    </row>
    <row r="66" spans="1:24">
      <c r="A66" s="117">
        <v>19</v>
      </c>
      <c r="B66" s="277">
        <f>'[2]Degree Days 2020'!B66</f>
        <v>31</v>
      </c>
      <c r="C66" s="277">
        <f>'[2]Degree Days 2020'!C66</f>
        <v>23</v>
      </c>
      <c r="D66" s="119">
        <f t="shared" si="14"/>
        <v>8.6999999999999993</v>
      </c>
      <c r="E66" s="117">
        <v>19</v>
      </c>
      <c r="F66" s="277">
        <f>'[1]Degree Days 2020'!F66</f>
        <v>30</v>
      </c>
      <c r="G66" s="277">
        <f>'[1]Degree Days 2020'!G66</f>
        <v>25</v>
      </c>
      <c r="H66" s="119">
        <f t="shared" si="9"/>
        <v>9.1999999999999993</v>
      </c>
      <c r="I66" s="117">
        <v>19</v>
      </c>
      <c r="J66" s="277">
        <f>'General information '!B24</f>
        <v>32</v>
      </c>
      <c r="K66" s="277">
        <f>'General information '!C24</f>
        <v>25</v>
      </c>
      <c r="L66" s="119">
        <f t="shared" si="11"/>
        <v>10.199999999999999</v>
      </c>
      <c r="M66" s="117">
        <v>19</v>
      </c>
      <c r="N66" s="277"/>
      <c r="O66" s="277"/>
      <c r="P66" s="119">
        <f t="shared" si="12"/>
        <v>-18.3</v>
      </c>
      <c r="Q66" s="117">
        <v>19</v>
      </c>
      <c r="R66" s="277"/>
      <c r="S66" s="277"/>
      <c r="T66" s="119">
        <f t="shared" si="13"/>
        <v>-18.3</v>
      </c>
      <c r="U66" s="117">
        <v>19</v>
      </c>
      <c r="V66" s="277"/>
      <c r="W66" s="277"/>
      <c r="X66" s="119">
        <f t="shared" si="10"/>
        <v>-18.3</v>
      </c>
    </row>
    <row r="67" spans="1:24">
      <c r="A67" s="117">
        <v>20</v>
      </c>
      <c r="B67" s="277">
        <f>'[2]Degree Days 2020'!B67</f>
        <v>31</v>
      </c>
      <c r="C67" s="277">
        <f>'[2]Degree Days 2020'!C67</f>
        <v>23</v>
      </c>
      <c r="D67" s="119">
        <f t="shared" si="14"/>
        <v>8.6999999999999993</v>
      </c>
      <c r="E67" s="117">
        <v>20</v>
      </c>
      <c r="F67" s="277">
        <f>'[1]Degree Days 2020'!F67</f>
        <v>30</v>
      </c>
      <c r="G67" s="277">
        <f>'[1]Degree Days 2020'!G67</f>
        <v>25</v>
      </c>
      <c r="H67" s="119">
        <f t="shared" si="9"/>
        <v>9.1999999999999993</v>
      </c>
      <c r="I67" s="117">
        <v>20</v>
      </c>
      <c r="J67" s="277">
        <f>'General information '!B25</f>
        <v>30</v>
      </c>
      <c r="K67" s="277">
        <f>'General information '!C25</f>
        <v>22</v>
      </c>
      <c r="L67" s="119">
        <f t="shared" si="11"/>
        <v>7.6999999999999993</v>
      </c>
      <c r="M67" s="117">
        <v>20</v>
      </c>
      <c r="N67" s="277"/>
      <c r="O67" s="277"/>
      <c r="P67" s="119">
        <f t="shared" si="12"/>
        <v>-18.3</v>
      </c>
      <c r="Q67" s="117">
        <v>20</v>
      </c>
      <c r="R67" s="277"/>
      <c r="S67" s="277"/>
      <c r="T67" s="119">
        <f t="shared" si="13"/>
        <v>-18.3</v>
      </c>
      <c r="U67" s="117">
        <v>20</v>
      </c>
      <c r="V67" s="277"/>
      <c r="W67" s="277"/>
      <c r="X67" s="119">
        <f t="shared" si="10"/>
        <v>-18.3</v>
      </c>
    </row>
    <row r="68" spans="1:24">
      <c r="A68" s="117">
        <v>21</v>
      </c>
      <c r="B68" s="277">
        <f>'[2]Degree Days 2020'!B68</f>
        <v>31</v>
      </c>
      <c r="C68" s="277">
        <f>'[2]Degree Days 2020'!C68</f>
        <v>23</v>
      </c>
      <c r="D68" s="119">
        <f t="shared" si="14"/>
        <v>8.6999999999999993</v>
      </c>
      <c r="E68" s="117">
        <v>21</v>
      </c>
      <c r="F68" s="277">
        <f>'[1]Degree Days 2020'!F68</f>
        <v>31</v>
      </c>
      <c r="G68" s="277">
        <f>'[1]Degree Days 2020'!G68</f>
        <v>27</v>
      </c>
      <c r="H68" s="119">
        <f t="shared" si="9"/>
        <v>10.7</v>
      </c>
      <c r="I68" s="117">
        <v>21</v>
      </c>
      <c r="J68" s="277">
        <f>'General information '!B26</f>
        <v>30</v>
      </c>
      <c r="K68" s="277">
        <f>'General information '!C26</f>
        <v>27</v>
      </c>
      <c r="L68" s="119">
        <f t="shared" si="11"/>
        <v>10.199999999999999</v>
      </c>
      <c r="M68" s="117">
        <v>21</v>
      </c>
      <c r="N68" s="277"/>
      <c r="O68" s="277"/>
      <c r="P68" s="119">
        <f t="shared" si="12"/>
        <v>-18.3</v>
      </c>
      <c r="Q68" s="117">
        <v>21</v>
      </c>
      <c r="R68" s="277"/>
      <c r="S68" s="277"/>
      <c r="T68" s="119">
        <f t="shared" si="13"/>
        <v>-18.3</v>
      </c>
      <c r="U68" s="117">
        <v>21</v>
      </c>
      <c r="V68" s="277"/>
      <c r="W68" s="277"/>
      <c r="X68" s="119">
        <f t="shared" si="10"/>
        <v>-18.3</v>
      </c>
    </row>
    <row r="69" spans="1:24">
      <c r="A69" s="117">
        <v>22</v>
      </c>
      <c r="B69" s="277">
        <f>'[2]Degree Days 2020'!B69</f>
        <v>31</v>
      </c>
      <c r="C69" s="277">
        <f>'[2]Degree Days 2020'!C69</f>
        <v>23</v>
      </c>
      <c r="D69" s="119">
        <f t="shared" si="14"/>
        <v>8.6999999999999993</v>
      </c>
      <c r="E69" s="117">
        <v>22</v>
      </c>
      <c r="F69" s="277">
        <f>'[1]Degree Days 2020'!F69</f>
        <v>30</v>
      </c>
      <c r="G69" s="277">
        <f>'[1]Degree Days 2020'!G69</f>
        <v>26</v>
      </c>
      <c r="H69" s="119">
        <f t="shared" si="9"/>
        <v>9.6999999999999993</v>
      </c>
      <c r="I69" s="117">
        <v>22</v>
      </c>
      <c r="J69" s="277">
        <f>'General information '!B27</f>
        <v>30</v>
      </c>
      <c r="K69" s="277">
        <f>'General information '!C27</f>
        <v>27</v>
      </c>
      <c r="L69" s="119">
        <f t="shared" si="11"/>
        <v>10.199999999999999</v>
      </c>
      <c r="M69" s="117">
        <v>22</v>
      </c>
      <c r="N69" s="277"/>
      <c r="O69" s="277"/>
      <c r="P69" s="119">
        <f t="shared" si="12"/>
        <v>-18.3</v>
      </c>
      <c r="Q69" s="117">
        <v>22</v>
      </c>
      <c r="R69" s="277"/>
      <c r="S69" s="277"/>
      <c r="T69" s="119">
        <f>(R69+S69)/2-18.3</f>
        <v>-18.3</v>
      </c>
      <c r="U69" s="117">
        <v>22</v>
      </c>
      <c r="V69" s="277"/>
      <c r="W69" s="277"/>
      <c r="X69" s="119">
        <f t="shared" si="10"/>
        <v>-18.3</v>
      </c>
    </row>
    <row r="70" spans="1:24">
      <c r="A70" s="117">
        <v>23</v>
      </c>
      <c r="B70" s="277">
        <f>'[2]Degree Days 2020'!B70</f>
        <v>32</v>
      </c>
      <c r="C70" s="277">
        <f>'[2]Degree Days 2020'!C70</f>
        <v>27</v>
      </c>
      <c r="D70" s="119">
        <f t="shared" si="14"/>
        <v>11.2</v>
      </c>
      <c r="E70" s="117">
        <v>23</v>
      </c>
      <c r="F70" s="277">
        <f>'[1]Degree Days 2020'!F70</f>
        <v>32</v>
      </c>
      <c r="G70" s="277">
        <f>'[1]Degree Days 2020'!G70</f>
        <v>26</v>
      </c>
      <c r="H70" s="119">
        <f t="shared" si="9"/>
        <v>10.7</v>
      </c>
      <c r="I70" s="117">
        <v>23</v>
      </c>
      <c r="J70" s="277">
        <f>'General information '!B28</f>
        <v>30</v>
      </c>
      <c r="K70" s="277">
        <f>'General information '!C28</f>
        <v>26</v>
      </c>
      <c r="L70" s="119">
        <f t="shared" si="11"/>
        <v>9.6999999999999993</v>
      </c>
      <c r="M70" s="117">
        <v>23</v>
      </c>
      <c r="N70" s="277"/>
      <c r="O70" s="277"/>
      <c r="P70" s="119">
        <f t="shared" si="12"/>
        <v>-18.3</v>
      </c>
      <c r="Q70" s="117">
        <v>23</v>
      </c>
      <c r="R70" s="277"/>
      <c r="S70" s="277"/>
      <c r="T70" s="119">
        <f t="shared" si="13"/>
        <v>-18.3</v>
      </c>
      <c r="U70" s="117">
        <v>23</v>
      </c>
      <c r="V70" s="277"/>
      <c r="W70" s="277"/>
      <c r="X70" s="119">
        <f t="shared" si="10"/>
        <v>-18.3</v>
      </c>
    </row>
    <row r="71" spans="1:24">
      <c r="A71" s="117">
        <v>24</v>
      </c>
      <c r="B71" s="277">
        <f>'[2]Degree Days 2020'!B71</f>
        <v>30</v>
      </c>
      <c r="C71" s="277">
        <f>'[2]Degree Days 2020'!C71</f>
        <v>24</v>
      </c>
      <c r="D71" s="119">
        <f t="shared" si="14"/>
        <v>8.6999999999999993</v>
      </c>
      <c r="E71" s="117">
        <v>24</v>
      </c>
      <c r="F71" s="277">
        <f>'[1]Degree Days 2020'!F71</f>
        <v>32</v>
      </c>
      <c r="G71" s="277">
        <f>'[1]Degree Days 2020'!G71</f>
        <v>27</v>
      </c>
      <c r="H71" s="119">
        <f t="shared" si="9"/>
        <v>11.2</v>
      </c>
      <c r="I71" s="117">
        <v>24</v>
      </c>
      <c r="J71" s="277">
        <f>'General information '!B29</f>
        <v>31</v>
      </c>
      <c r="K71" s="277">
        <f>'General information '!C29</f>
        <v>26</v>
      </c>
      <c r="L71" s="119">
        <f t="shared" si="11"/>
        <v>10.199999999999999</v>
      </c>
      <c r="M71" s="117">
        <v>24</v>
      </c>
      <c r="N71" s="277"/>
      <c r="O71" s="277"/>
      <c r="P71" s="119">
        <f t="shared" si="12"/>
        <v>-18.3</v>
      </c>
      <c r="Q71" s="117">
        <v>24</v>
      </c>
      <c r="R71" s="277"/>
      <c r="S71" s="277"/>
      <c r="T71" s="119">
        <f t="shared" si="13"/>
        <v>-18.3</v>
      </c>
      <c r="U71" s="117">
        <v>24</v>
      </c>
      <c r="V71" s="277"/>
      <c r="W71" s="277"/>
      <c r="X71" s="119">
        <f t="shared" si="10"/>
        <v>-18.3</v>
      </c>
    </row>
    <row r="72" spans="1:24">
      <c r="A72" s="117">
        <v>25</v>
      </c>
      <c r="B72" s="277">
        <f>'[2]Degree Days 2020'!B72</f>
        <v>30</v>
      </c>
      <c r="C72" s="277">
        <f>'[2]Degree Days 2020'!C72</f>
        <v>24</v>
      </c>
      <c r="D72" s="119">
        <f t="shared" si="14"/>
        <v>8.6999999999999993</v>
      </c>
      <c r="E72" s="117">
        <v>25</v>
      </c>
      <c r="F72" s="277">
        <f>'[1]Degree Days 2020'!F72</f>
        <v>34</v>
      </c>
      <c r="G72" s="277">
        <f>'[1]Degree Days 2020'!G72</f>
        <v>18</v>
      </c>
      <c r="H72" s="119">
        <f t="shared" si="9"/>
        <v>7.6999999999999993</v>
      </c>
      <c r="I72" s="117">
        <v>25</v>
      </c>
      <c r="J72" s="277">
        <f>'General information '!B30</f>
        <v>29</v>
      </c>
      <c r="K72" s="277">
        <f>'General information '!C30</f>
        <v>26</v>
      </c>
      <c r="L72" s="119">
        <f t="shared" si="11"/>
        <v>9.1999999999999993</v>
      </c>
      <c r="M72" s="117">
        <v>25</v>
      </c>
      <c r="N72" s="277"/>
      <c r="O72" s="277"/>
      <c r="P72" s="119">
        <f t="shared" si="12"/>
        <v>-18.3</v>
      </c>
      <c r="Q72" s="117">
        <v>25</v>
      </c>
      <c r="R72" s="277"/>
      <c r="S72" s="277"/>
      <c r="T72" s="119">
        <f t="shared" si="13"/>
        <v>-18.3</v>
      </c>
      <c r="U72" s="117">
        <v>25</v>
      </c>
      <c r="V72" s="277"/>
      <c r="W72" s="277"/>
      <c r="X72" s="119">
        <f t="shared" si="10"/>
        <v>-18.3</v>
      </c>
    </row>
    <row r="73" spans="1:24">
      <c r="A73" s="117">
        <v>26</v>
      </c>
      <c r="B73" s="277">
        <f>'[2]Degree Days 2020'!B73</f>
        <v>30</v>
      </c>
      <c r="C73" s="277">
        <f>'[2]Degree Days 2020'!C73</f>
        <v>25</v>
      </c>
      <c r="D73" s="119">
        <f t="shared" si="14"/>
        <v>9.1999999999999993</v>
      </c>
      <c r="E73" s="117">
        <v>26</v>
      </c>
      <c r="F73" s="277">
        <f>'[1]Degree Days 2020'!F73</f>
        <v>31</v>
      </c>
      <c r="G73" s="277">
        <f>'[1]Degree Days 2020'!G73</f>
        <v>27</v>
      </c>
      <c r="H73" s="119">
        <f t="shared" si="9"/>
        <v>10.7</v>
      </c>
      <c r="I73" s="117">
        <v>26</v>
      </c>
      <c r="J73" s="277">
        <f>'General information '!B31</f>
        <v>30</v>
      </c>
      <c r="K73" s="277">
        <f>'General information '!C31</f>
        <v>26</v>
      </c>
      <c r="L73" s="119">
        <f t="shared" si="11"/>
        <v>9.6999999999999993</v>
      </c>
      <c r="M73" s="117">
        <v>26</v>
      </c>
      <c r="N73" s="277"/>
      <c r="O73" s="277"/>
      <c r="P73" s="119">
        <f t="shared" si="12"/>
        <v>-18.3</v>
      </c>
      <c r="Q73" s="117">
        <v>26</v>
      </c>
      <c r="R73" s="277"/>
      <c r="S73" s="277"/>
      <c r="T73" s="119">
        <f t="shared" si="13"/>
        <v>-18.3</v>
      </c>
      <c r="U73" s="117">
        <v>26</v>
      </c>
      <c r="V73" s="277"/>
      <c r="W73" s="277"/>
      <c r="X73" s="119">
        <f t="shared" si="10"/>
        <v>-18.3</v>
      </c>
    </row>
    <row r="74" spans="1:24">
      <c r="A74" s="117">
        <v>27</v>
      </c>
      <c r="B74" s="277">
        <f>'[2]Degree Days 2020'!B74</f>
        <v>33</v>
      </c>
      <c r="C74" s="277">
        <f>'[2]Degree Days 2020'!C74</f>
        <v>27</v>
      </c>
      <c r="D74" s="119">
        <f t="shared" si="14"/>
        <v>11.7</v>
      </c>
      <c r="E74" s="117">
        <v>27</v>
      </c>
      <c r="F74" s="277">
        <f>'[1]Degree Days 2020'!F74</f>
        <v>30</v>
      </c>
      <c r="G74" s="277">
        <f>'[1]Degree Days 2020'!G74</f>
        <v>26</v>
      </c>
      <c r="H74" s="119">
        <f t="shared" si="9"/>
        <v>9.6999999999999993</v>
      </c>
      <c r="I74" s="117">
        <v>27</v>
      </c>
      <c r="J74" s="277">
        <f>'General information '!B32</f>
        <v>30</v>
      </c>
      <c r="K74" s="277">
        <f>'General information '!C32</f>
        <v>25</v>
      </c>
      <c r="L74" s="119">
        <f t="shared" si="11"/>
        <v>9.1999999999999993</v>
      </c>
      <c r="M74" s="117">
        <v>27</v>
      </c>
      <c r="N74" s="277"/>
      <c r="O74" s="277"/>
      <c r="P74" s="119">
        <f t="shared" si="12"/>
        <v>-18.3</v>
      </c>
      <c r="Q74" s="117">
        <v>27</v>
      </c>
      <c r="R74" s="277"/>
      <c r="S74" s="277"/>
      <c r="T74" s="119">
        <f t="shared" si="13"/>
        <v>-18.3</v>
      </c>
      <c r="U74" s="117">
        <v>27</v>
      </c>
      <c r="V74" s="277"/>
      <c r="W74" s="277"/>
      <c r="X74" s="119">
        <f t="shared" si="10"/>
        <v>-18.3</v>
      </c>
    </row>
    <row r="75" spans="1:24">
      <c r="A75" s="117">
        <v>28</v>
      </c>
      <c r="B75" s="277">
        <f>'[2]Degree Days 2020'!B75</f>
        <v>31</v>
      </c>
      <c r="C75" s="277">
        <f>'[2]Degree Days 2020'!C75</f>
        <v>27</v>
      </c>
      <c r="D75" s="119">
        <f t="shared" si="14"/>
        <v>10.7</v>
      </c>
      <c r="E75" s="117">
        <v>28</v>
      </c>
      <c r="F75" s="277">
        <f>'[1]Degree Days 2020'!F75</f>
        <v>30</v>
      </c>
      <c r="G75" s="277">
        <f>'[1]Degree Days 2020'!G75</f>
        <v>26</v>
      </c>
      <c r="H75" s="119">
        <f t="shared" si="9"/>
        <v>9.6999999999999993</v>
      </c>
      <c r="I75" s="117">
        <v>28</v>
      </c>
      <c r="J75" s="277">
        <f>'General information '!B33</f>
        <v>30</v>
      </c>
      <c r="K75" s="277">
        <f>'General information '!C33</f>
        <v>25</v>
      </c>
      <c r="L75" s="119">
        <f t="shared" si="11"/>
        <v>9.1999999999999993</v>
      </c>
      <c r="M75" s="117">
        <v>28</v>
      </c>
      <c r="N75" s="277"/>
      <c r="O75" s="277"/>
      <c r="P75" s="119">
        <f t="shared" si="12"/>
        <v>-18.3</v>
      </c>
      <c r="Q75" s="117">
        <v>28</v>
      </c>
      <c r="R75" s="277"/>
      <c r="S75" s="277"/>
      <c r="T75" s="119">
        <f t="shared" si="13"/>
        <v>-18.3</v>
      </c>
      <c r="U75" s="117">
        <v>28</v>
      </c>
      <c r="V75" s="277"/>
      <c r="W75" s="277"/>
      <c r="X75" s="119">
        <f t="shared" si="10"/>
        <v>-18.3</v>
      </c>
    </row>
    <row r="76" spans="1:24">
      <c r="A76" s="117">
        <v>29</v>
      </c>
      <c r="B76" s="277">
        <f>'[2]Degree Days 2020'!B76</f>
        <v>31</v>
      </c>
      <c r="C76" s="277">
        <f>'[2]Degree Days 2020'!C76</f>
        <v>28</v>
      </c>
      <c r="D76" s="119">
        <f t="shared" si="14"/>
        <v>11.2</v>
      </c>
      <c r="E76" s="117">
        <v>29</v>
      </c>
      <c r="F76" s="277">
        <f>'[1]Degree Days 2020'!F76</f>
        <v>29</v>
      </c>
      <c r="G76" s="277">
        <f>'[1]Degree Days 2020'!G76</f>
        <v>26</v>
      </c>
      <c r="H76" s="119">
        <f t="shared" si="9"/>
        <v>9.1999999999999993</v>
      </c>
      <c r="I76" s="117">
        <v>29</v>
      </c>
      <c r="J76" s="277">
        <f>'General information '!B34</f>
        <v>32</v>
      </c>
      <c r="K76" s="277">
        <f>'General information '!C34</f>
        <v>25</v>
      </c>
      <c r="L76" s="119">
        <f t="shared" si="11"/>
        <v>10.199999999999999</v>
      </c>
      <c r="M76" s="117">
        <v>29</v>
      </c>
      <c r="N76" s="277"/>
      <c r="O76" s="277"/>
      <c r="P76" s="119">
        <f t="shared" si="12"/>
        <v>-18.3</v>
      </c>
      <c r="Q76" s="117">
        <v>29</v>
      </c>
      <c r="R76" s="277"/>
      <c r="S76" s="277"/>
      <c r="T76" s="119">
        <f t="shared" si="13"/>
        <v>-18.3</v>
      </c>
      <c r="U76" s="117">
        <v>29</v>
      </c>
      <c r="V76" s="277"/>
      <c r="W76" s="277"/>
      <c r="X76" s="119">
        <f t="shared" si="10"/>
        <v>-18.3</v>
      </c>
    </row>
    <row r="77" spans="1:24">
      <c r="A77" s="117">
        <v>30</v>
      </c>
      <c r="B77" s="277">
        <f>'[2]Degree Days 2020'!B77</f>
        <v>31</v>
      </c>
      <c r="C77" s="277">
        <f>'[2]Degree Days 2020'!C77</f>
        <v>23</v>
      </c>
      <c r="D77" s="119">
        <f t="shared" si="14"/>
        <v>8.6999999999999993</v>
      </c>
      <c r="E77" s="117">
        <v>30</v>
      </c>
      <c r="F77" s="277">
        <f>'[1]Degree Days 2020'!F77</f>
        <v>33</v>
      </c>
      <c r="G77" s="277">
        <f>'[1]Degree Days 2020'!G77</f>
        <v>27</v>
      </c>
      <c r="H77" s="119">
        <f t="shared" si="9"/>
        <v>11.7</v>
      </c>
      <c r="I77" s="117">
        <v>30</v>
      </c>
      <c r="J77" s="277">
        <f>'General information '!B35</f>
        <v>31</v>
      </c>
      <c r="K77" s="277">
        <f>'General information '!C35</f>
        <v>26</v>
      </c>
      <c r="L77" s="119">
        <f t="shared" si="11"/>
        <v>10.199999999999999</v>
      </c>
      <c r="M77" s="117">
        <v>30</v>
      </c>
      <c r="N77" s="277"/>
      <c r="O77" s="277"/>
      <c r="P77" s="119">
        <f t="shared" si="12"/>
        <v>-18.3</v>
      </c>
      <c r="Q77" s="117">
        <v>30</v>
      </c>
      <c r="R77" s="277"/>
      <c r="S77" s="277"/>
      <c r="T77" s="119">
        <f t="shared" si="13"/>
        <v>-18.3</v>
      </c>
      <c r="U77" s="117">
        <v>30</v>
      </c>
      <c r="V77" s="277"/>
      <c r="W77" s="277"/>
      <c r="X77" s="119">
        <f t="shared" si="10"/>
        <v>-18.3</v>
      </c>
    </row>
    <row r="78" spans="1:24">
      <c r="A78" s="120">
        <v>31</v>
      </c>
      <c r="B78" s="277">
        <f>'[2]Degree Days 2020'!B78</f>
        <v>31</v>
      </c>
      <c r="C78" s="277">
        <f>'[2]Degree Days 2020'!C78</f>
        <v>26</v>
      </c>
      <c r="D78" s="119">
        <f t="shared" si="14"/>
        <v>10.199999999999999</v>
      </c>
      <c r="E78" s="120">
        <v>31</v>
      </c>
      <c r="F78" s="277">
        <f>'[1]Degree Days 2020'!F78</f>
        <v>32</v>
      </c>
      <c r="G78" s="277">
        <f>'[1]Degree Days 2020'!G78</f>
        <v>28</v>
      </c>
      <c r="H78" s="119">
        <f t="shared" si="9"/>
        <v>11.7</v>
      </c>
      <c r="I78" s="120"/>
      <c r="J78" s="277"/>
      <c r="K78" s="277"/>
      <c r="L78" s="122"/>
      <c r="M78" s="120">
        <v>31</v>
      </c>
      <c r="N78" s="277"/>
      <c r="O78" s="277"/>
      <c r="P78" s="122">
        <f t="shared" si="12"/>
        <v>-18.3</v>
      </c>
      <c r="Q78" s="120"/>
      <c r="R78" s="277"/>
      <c r="S78" s="277"/>
      <c r="T78" s="122"/>
      <c r="U78" s="120">
        <v>31</v>
      </c>
      <c r="V78" s="277"/>
      <c r="W78" s="277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SUMIF(L48:L77,"&gt;0")</f>
        <v>306.99999999999983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-2103.1000000000004</v>
      </c>
      <c r="O86" s="142">
        <f>C43+G43+K43+O43+S43+W43+C81+G81+K81+O81+S81+W81</f>
        <v>1242.3999999999994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3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Utility Cost </vt:lpstr>
      <vt:lpstr>Degree Days 2020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2020-10-02T05:07:05Z</dcterms:modified>
</cp:coreProperties>
</file>